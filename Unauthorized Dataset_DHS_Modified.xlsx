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onal\Documents\Google Data Analytics Coursera_2023\Datasets, Visuals, Documentation\Migration Datasets\USA_Immigration Dataset\Analysis Files\"/>
    </mc:Choice>
  </mc:AlternateContent>
  <xr:revisionPtr revIDLastSave="0" documentId="13_ncr:1_{6FC11F8E-F4FF-489F-8F7F-59905E7A51D5}" xr6:coauthVersionLast="47" xr6:coauthVersionMax="47" xr10:uidLastSave="{00000000-0000-0000-0000-000000000000}"/>
  <bookViews>
    <workbookView xWindow="-110" yWindow="-110" windowWidth="22620" windowHeight="13500" tabRatio="908" xr2:uid="{00000000-000D-0000-FFFF-FFFF00000000}"/>
  </bookViews>
  <sheets>
    <sheet name="Country-Region(Tall)_2004-2022" sheetId="60" r:id="rId1"/>
    <sheet name="Agency-Sector(Tall)_2004-2022" sheetId="61" r:id="rId2"/>
    <sheet name="Unauth_State" sheetId="8" r:id="rId3"/>
    <sheet name="Unauth_Nationality" sheetId="9" r:id="rId4"/>
    <sheet name="Expul|Apprehen_1925-2022" sheetId="3" r:id="rId5"/>
    <sheet name="Expul|Apprehen_2013_Region" sheetId="7" r:id="rId6"/>
    <sheet name="Expul|Apprehen_2013_Cntry" sheetId="33" r:id="rId7"/>
    <sheet name="Expul|Apprehen_2013_AgencySec" sheetId="12" r:id="rId8"/>
    <sheet name="Removal|Returns_1892" sheetId="15" r:id="rId9"/>
    <sheet name="Returns_Enforcement_2013_Cntry" sheetId="37" r:id="rId10"/>
    <sheet name="Removal_Criminal_2013_Cntry" sheetId="41" r:id="rId11"/>
    <sheet name="Apprehend_2004_Cntry" sheetId="50" r:id="rId12"/>
    <sheet name="Expul|Apprehen_2004_AgencySect" sheetId="44" r:id="rId13"/>
    <sheet name="Return_Enforcement_2009_Cntry" sheetId="45" r:id="rId14"/>
    <sheet name="Removal_Criminal_2004_Cntry" sheetId="49" r:id="rId15"/>
    <sheet name="Agency Prep 2013_Don'tUse" sheetId="10" r:id="rId16"/>
    <sheet name="Removal_Criminal 2013_Prep" sheetId="19" r:id="rId17"/>
    <sheet name="Agency Prep table_2004" sheetId="43" r:id="rId18"/>
    <sheet name="Return 2009_Prep" sheetId="46" r:id="rId19"/>
    <sheet name="Removal_Criminal_2004_Prep" sheetId="47" r:id="rId20"/>
  </sheets>
  <definedNames>
    <definedName name="_xlnm._FilterDatabase" localSheetId="0" hidden="1">'Country-Region(Tall)_2004-2022'!$A$1:$E$11557</definedName>
    <definedName name="_xlnm._FilterDatabase" localSheetId="8" hidden="1">'Removal|Returns_1892'!$A$1:$F$141</definedName>
    <definedName name="_xlnm._FilterDatabase" localSheetId="3" hidden="1">Unauth_Nationality!#REF!</definedName>
    <definedName name="ExternalData_1" localSheetId="1" hidden="1">'Agency-Sector(Tall)_2004-2022'!$B$1:$F$1691</definedName>
    <definedName name="ExternalData_1" localSheetId="12" hidden="1">'Expul|Apprehen_2004_AgencySect'!$A$1:$F$761</definedName>
    <definedName name="ExternalData_1" localSheetId="7" hidden="1">'Expul|Apprehen_2013_AgencySec'!$A$1:$G$1007</definedName>
    <definedName name="ExternalData_1" localSheetId="5" hidden="1">'Expul|Apprehen_2013_Region'!$A$1:$D$71</definedName>
    <definedName name="ExternalData_1" localSheetId="3" hidden="1">Unauth_Nationality!$A$1:$D$210</definedName>
    <definedName name="ExternalData_1" localSheetId="2" hidden="1">Unauth_State!$A$1:$C$210</definedName>
    <definedName name="ExternalData_2" localSheetId="14" hidden="1">Removal_Criminal_2004_Cntry!$A$1:$E$1666</definedName>
    <definedName name="ExternalData_3" localSheetId="11" hidden="1">Apprehend_2004_Cntry!$A$1:$D$1792</definedName>
    <definedName name="ExternalData_3" localSheetId="13" hidden="1">Return_Enforcement_2009_Cntry!$A$1:$D$899</definedName>
    <definedName name="ExternalData_4" localSheetId="9" hidden="1">Returns_Enforcement_2013_Cntry!$A$1:$E$1630</definedName>
    <definedName name="ExternalData_5" localSheetId="6" hidden="1">'Expul|Apprehen_2013_Cntry'!$A$1:$E$1828</definedName>
    <definedName name="ExternalData_6" localSheetId="0" hidden="1">'Country-Region(Tall)_2004-2022'!#REF!</definedName>
    <definedName name="ExternalData_6" localSheetId="10" hidden="1">Removal_Criminal_2013_Cntry!$A$1:$E$1599</definedName>
    <definedName name="ExternalData_7" localSheetId="0" hidden="1">'Country-Region(Tall)_2004-2022'!#REF!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9" l="1"/>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102" i="33"/>
  <c r="B103" i="33"/>
  <c r="B104" i="33"/>
  <c r="B105" i="33"/>
  <c r="B106" i="33"/>
  <c r="B107" i="33"/>
  <c r="B108" i="33"/>
  <c r="B109" i="33"/>
  <c r="B110" i="33"/>
  <c r="B111" i="33"/>
  <c r="B112" i="33"/>
  <c r="B113" i="33"/>
  <c r="B114" i="33"/>
  <c r="B115" i="33"/>
  <c r="B116" i="33"/>
  <c r="B117" i="33"/>
  <c r="B118" i="33"/>
  <c r="B119" i="33"/>
  <c r="B120" i="33"/>
  <c r="B121" i="33"/>
  <c r="B122" i="33"/>
  <c r="B123" i="33"/>
  <c r="B124" i="33"/>
  <c r="B125" i="33"/>
  <c r="B126" i="33"/>
  <c r="B127" i="33"/>
  <c r="B128" i="33"/>
  <c r="B129" i="33"/>
  <c r="B130" i="33"/>
  <c r="B131" i="33"/>
  <c r="B132" i="33"/>
  <c r="B133" i="33"/>
  <c r="B134" i="33"/>
  <c r="B135" i="33"/>
  <c r="B136" i="33"/>
  <c r="B137" i="33"/>
  <c r="B138" i="33"/>
  <c r="B139" i="33"/>
  <c r="B140" i="33"/>
  <c r="B141" i="33"/>
  <c r="B142" i="33"/>
  <c r="B143" i="33"/>
  <c r="B144" i="33"/>
  <c r="B145" i="33"/>
  <c r="B146" i="33"/>
  <c r="B147" i="33"/>
  <c r="B148" i="33"/>
  <c r="B149" i="33"/>
  <c r="B150" i="33"/>
  <c r="B151" i="33"/>
  <c r="B152" i="33"/>
  <c r="B153" i="33"/>
  <c r="B154" i="33"/>
  <c r="B155" i="33"/>
  <c r="B156" i="33"/>
  <c r="B157" i="33"/>
  <c r="B158" i="33"/>
  <c r="B159" i="33"/>
  <c r="B160" i="33"/>
  <c r="B161" i="33"/>
  <c r="B162" i="33"/>
  <c r="B163" i="33"/>
  <c r="B164" i="33"/>
  <c r="B165" i="33"/>
  <c r="B166" i="33"/>
  <c r="B167" i="33"/>
  <c r="B168" i="33"/>
  <c r="B169" i="33"/>
  <c r="B170" i="33"/>
  <c r="B171" i="33"/>
  <c r="B172" i="33"/>
  <c r="B173" i="33"/>
  <c r="B174" i="33"/>
  <c r="B175" i="33"/>
  <c r="B176" i="33"/>
  <c r="B177" i="33"/>
  <c r="B178" i="33"/>
  <c r="B179" i="33"/>
  <c r="B180" i="33"/>
  <c r="B181" i="33"/>
  <c r="B182" i="33"/>
  <c r="B183" i="33"/>
  <c r="B184" i="33"/>
  <c r="B185" i="33"/>
  <c r="B186" i="33"/>
  <c r="B187" i="33"/>
  <c r="B188" i="33"/>
  <c r="B189" i="33"/>
  <c r="B190" i="33"/>
  <c r="B191" i="33"/>
  <c r="B192" i="33"/>
  <c r="B193" i="33"/>
  <c r="B194" i="33"/>
  <c r="B195" i="33"/>
  <c r="B196" i="33"/>
  <c r="B197" i="33"/>
  <c r="B198" i="33"/>
  <c r="B199" i="33"/>
  <c r="B200" i="33"/>
  <c r="B201" i="33"/>
  <c r="B202" i="33"/>
  <c r="B203" i="33"/>
  <c r="B204" i="33"/>
  <c r="B205" i="33"/>
  <c r="B206" i="33"/>
  <c r="B207" i="33"/>
  <c r="B208" i="33"/>
  <c r="B209" i="33"/>
  <c r="B210" i="33"/>
  <c r="B211" i="33"/>
  <c r="B212" i="33"/>
  <c r="B213" i="33"/>
  <c r="B214" i="33"/>
  <c r="B215" i="33"/>
  <c r="B216" i="33"/>
  <c r="B217" i="33"/>
  <c r="B218" i="33"/>
  <c r="B219" i="33"/>
  <c r="B220" i="33"/>
  <c r="B221" i="33"/>
  <c r="B222" i="33"/>
  <c r="B223" i="33"/>
  <c r="B224" i="33"/>
  <c r="B225" i="33"/>
  <c r="B226" i="33"/>
  <c r="B227" i="33"/>
  <c r="B228" i="33"/>
  <c r="B229" i="33"/>
  <c r="B230" i="33"/>
  <c r="B231" i="33"/>
  <c r="B232" i="33"/>
  <c r="B233" i="33"/>
  <c r="B234" i="33"/>
  <c r="B235" i="33"/>
  <c r="B236" i="33"/>
  <c r="B237" i="33"/>
  <c r="B238" i="33"/>
  <c r="B239" i="33"/>
  <c r="B240" i="33"/>
  <c r="B241" i="33"/>
  <c r="B242" i="33"/>
  <c r="B243" i="33"/>
  <c r="B244" i="33"/>
  <c r="B245" i="33"/>
  <c r="B246" i="33"/>
  <c r="B247" i="33"/>
  <c r="B248" i="33"/>
  <c r="B249" i="33"/>
  <c r="B250" i="33"/>
  <c r="B251" i="33"/>
  <c r="B252" i="33"/>
  <c r="B253" i="33"/>
  <c r="B254" i="33"/>
  <c r="B255" i="33"/>
  <c r="B256" i="33"/>
  <c r="B257" i="33"/>
  <c r="B258" i="33"/>
  <c r="B259" i="33"/>
  <c r="B260" i="33"/>
  <c r="B261" i="33"/>
  <c r="B262" i="33"/>
  <c r="B263" i="33"/>
  <c r="B264" i="33"/>
  <c r="B265" i="33"/>
  <c r="B266" i="33"/>
  <c r="B267" i="33"/>
  <c r="B268" i="33"/>
  <c r="B269" i="33"/>
  <c r="B270" i="33"/>
  <c r="B271" i="33"/>
  <c r="B272" i="33"/>
  <c r="B273" i="33"/>
  <c r="B274" i="33"/>
  <c r="B275" i="33"/>
  <c r="B276" i="33"/>
  <c r="B277" i="33"/>
  <c r="B278" i="33"/>
  <c r="B279" i="33"/>
  <c r="B280" i="33"/>
  <c r="B281" i="33"/>
  <c r="B282" i="33"/>
  <c r="B283" i="33"/>
  <c r="B284" i="33"/>
  <c r="B285" i="33"/>
  <c r="B286" i="33"/>
  <c r="B287" i="33"/>
  <c r="B288" i="33"/>
  <c r="B289" i="33"/>
  <c r="B290" i="33"/>
  <c r="B291" i="33"/>
  <c r="B292" i="33"/>
  <c r="B293" i="33"/>
  <c r="B294" i="33"/>
  <c r="B295" i="33"/>
  <c r="B296" i="33"/>
  <c r="B297" i="33"/>
  <c r="B298" i="33"/>
  <c r="B299" i="33"/>
  <c r="B300" i="33"/>
  <c r="B301" i="33"/>
  <c r="B302" i="33"/>
  <c r="B303" i="33"/>
  <c r="B304" i="33"/>
  <c r="B305" i="33"/>
  <c r="B306" i="33"/>
  <c r="B307" i="33"/>
  <c r="B308" i="33"/>
  <c r="B309" i="33"/>
  <c r="B310" i="33"/>
  <c r="B311" i="33"/>
  <c r="B312" i="33"/>
  <c r="B313" i="33"/>
  <c r="B314" i="33"/>
  <c r="B315" i="33"/>
  <c r="B316" i="33"/>
  <c r="B317" i="33"/>
  <c r="B318" i="33"/>
  <c r="B319" i="33"/>
  <c r="B320" i="33"/>
  <c r="B321" i="33"/>
  <c r="B322" i="33"/>
  <c r="B323" i="33"/>
  <c r="B324" i="33"/>
  <c r="B325" i="33"/>
  <c r="B326" i="33"/>
  <c r="B327" i="33"/>
  <c r="B328" i="33"/>
  <c r="B329" i="33"/>
  <c r="B330" i="33"/>
  <c r="B331" i="33"/>
  <c r="B332" i="33"/>
  <c r="B333" i="33"/>
  <c r="B334" i="33"/>
  <c r="B335" i="33"/>
  <c r="B336" i="33"/>
  <c r="B337" i="33"/>
  <c r="B338" i="33"/>
  <c r="B339" i="33"/>
  <c r="B340" i="33"/>
  <c r="B341" i="33"/>
  <c r="B342" i="33"/>
  <c r="B343" i="33"/>
  <c r="B344" i="33"/>
  <c r="B345" i="33"/>
  <c r="B346" i="33"/>
  <c r="B347" i="33"/>
  <c r="B348" i="33"/>
  <c r="B349" i="33"/>
  <c r="B350" i="33"/>
  <c r="B351" i="33"/>
  <c r="B352" i="33"/>
  <c r="B353" i="33"/>
  <c r="B354" i="33"/>
  <c r="B355" i="33"/>
  <c r="B356" i="33"/>
  <c r="B357" i="33"/>
  <c r="B358" i="33"/>
  <c r="B359" i="33"/>
  <c r="B360" i="33"/>
  <c r="B361" i="33"/>
  <c r="B362" i="33"/>
  <c r="B363" i="33"/>
  <c r="B364" i="33"/>
  <c r="B365" i="33"/>
  <c r="B366" i="33"/>
  <c r="B367" i="33"/>
  <c r="B368" i="33"/>
  <c r="B369" i="33"/>
  <c r="B370" i="33"/>
  <c r="B371" i="33"/>
  <c r="B372" i="33"/>
  <c r="B373" i="33"/>
  <c r="B374" i="33"/>
  <c r="B375" i="33"/>
  <c r="B376" i="33"/>
  <c r="B377" i="33"/>
  <c r="B378" i="33"/>
  <c r="B379" i="33"/>
  <c r="B380" i="33"/>
  <c r="B381" i="33"/>
  <c r="B382" i="33"/>
  <c r="B383" i="33"/>
  <c r="B384" i="33"/>
  <c r="B385" i="33"/>
  <c r="B386" i="33"/>
  <c r="B387" i="33"/>
  <c r="B388" i="33"/>
  <c r="B389" i="33"/>
  <c r="B390" i="33"/>
  <c r="B391" i="33"/>
  <c r="B392" i="33"/>
  <c r="B393" i="33"/>
  <c r="B394" i="33"/>
  <c r="B395" i="33"/>
  <c r="B396" i="33"/>
  <c r="B397" i="33"/>
  <c r="B398" i="33"/>
  <c r="B399" i="33"/>
  <c r="B400" i="33"/>
  <c r="B401" i="33"/>
  <c r="B402" i="33"/>
  <c r="B403" i="33"/>
  <c r="B404" i="33"/>
  <c r="B405" i="33"/>
  <c r="B406" i="33"/>
  <c r="B407" i="33"/>
  <c r="B408" i="33"/>
  <c r="B409" i="33"/>
  <c r="B410" i="33"/>
  <c r="B411" i="33"/>
  <c r="B412" i="33"/>
  <c r="B413" i="33"/>
  <c r="B414" i="33"/>
  <c r="B415" i="33"/>
  <c r="B416" i="33"/>
  <c r="B417" i="33"/>
  <c r="B418" i="33"/>
  <c r="B419" i="33"/>
  <c r="B420" i="33"/>
  <c r="B421" i="33"/>
  <c r="B422" i="33"/>
  <c r="B423" i="33"/>
  <c r="B424" i="33"/>
  <c r="B425" i="33"/>
  <c r="B426" i="33"/>
  <c r="B427" i="33"/>
  <c r="B428" i="33"/>
  <c r="B429" i="33"/>
  <c r="B430" i="33"/>
  <c r="B431" i="33"/>
  <c r="B432" i="33"/>
  <c r="B433" i="33"/>
  <c r="B434" i="33"/>
  <c r="B435" i="33"/>
  <c r="B436" i="33"/>
  <c r="B437" i="33"/>
  <c r="B438" i="33"/>
  <c r="B439" i="33"/>
  <c r="B440" i="33"/>
  <c r="B441" i="33"/>
  <c r="B442" i="33"/>
  <c r="B443" i="33"/>
  <c r="B444" i="33"/>
  <c r="B445" i="33"/>
  <c r="B446" i="33"/>
  <c r="B447" i="33"/>
  <c r="B448" i="33"/>
  <c r="B449" i="33"/>
  <c r="B450" i="33"/>
  <c r="B451" i="33"/>
  <c r="B452" i="33"/>
  <c r="B453" i="33"/>
  <c r="B454" i="33"/>
  <c r="B455" i="33"/>
  <c r="B456" i="33"/>
  <c r="B457" i="33"/>
  <c r="B458" i="33"/>
  <c r="B459" i="33"/>
  <c r="B460" i="33"/>
  <c r="B461" i="33"/>
  <c r="B462" i="33"/>
  <c r="B463" i="33"/>
  <c r="B464" i="33"/>
  <c r="B465" i="33"/>
  <c r="B466" i="33"/>
  <c r="B467" i="33"/>
  <c r="B468" i="33"/>
  <c r="B469" i="33"/>
  <c r="B470" i="33"/>
  <c r="B471" i="33"/>
  <c r="B472" i="33"/>
  <c r="B473" i="33"/>
  <c r="B474" i="33"/>
  <c r="B475" i="33"/>
  <c r="B476" i="33"/>
  <c r="B477" i="33"/>
  <c r="B478" i="33"/>
  <c r="B479" i="33"/>
  <c r="B480" i="33"/>
  <c r="B481" i="33"/>
  <c r="B482" i="33"/>
  <c r="B483" i="33"/>
  <c r="B484" i="33"/>
  <c r="B485" i="33"/>
  <c r="B486" i="33"/>
  <c r="B487" i="33"/>
  <c r="B488" i="33"/>
  <c r="B489" i="33"/>
  <c r="B490" i="33"/>
  <c r="B491" i="33"/>
  <c r="B492" i="33"/>
  <c r="B493" i="33"/>
  <c r="B494" i="33"/>
  <c r="B495" i="33"/>
  <c r="B496" i="33"/>
  <c r="B497" i="33"/>
  <c r="B498" i="33"/>
  <c r="B499" i="33"/>
  <c r="B500" i="33"/>
  <c r="B501" i="33"/>
  <c r="B502" i="33"/>
  <c r="B503" i="33"/>
  <c r="B504" i="33"/>
  <c r="B505" i="33"/>
  <c r="B506" i="33"/>
  <c r="B507" i="33"/>
  <c r="B508" i="33"/>
  <c r="B509" i="33"/>
  <c r="B510" i="33"/>
  <c r="B511" i="33"/>
  <c r="B512" i="33"/>
  <c r="B513" i="33"/>
  <c r="B514" i="33"/>
  <c r="B515" i="33"/>
  <c r="B516" i="33"/>
  <c r="B517" i="33"/>
  <c r="B518" i="33"/>
  <c r="B519" i="33"/>
  <c r="B520" i="33"/>
  <c r="B521" i="33"/>
  <c r="B522" i="33"/>
  <c r="B523" i="33"/>
  <c r="B524" i="33"/>
  <c r="B525" i="33"/>
  <c r="B526" i="33"/>
  <c r="B527" i="33"/>
  <c r="B528" i="33"/>
  <c r="B529" i="33"/>
  <c r="B530" i="33"/>
  <c r="B531" i="33"/>
  <c r="B532" i="33"/>
  <c r="B533" i="33"/>
  <c r="B534" i="33"/>
  <c r="B535" i="33"/>
  <c r="B536" i="33"/>
  <c r="B537" i="33"/>
  <c r="B538" i="33"/>
  <c r="B539" i="33"/>
  <c r="B540" i="33"/>
  <c r="B541" i="33"/>
  <c r="B542" i="33"/>
  <c r="B543" i="33"/>
  <c r="B544" i="33"/>
  <c r="B545" i="33"/>
  <c r="B546" i="33"/>
  <c r="B547" i="33"/>
  <c r="B548" i="33"/>
  <c r="B549" i="33"/>
  <c r="B550" i="33"/>
  <c r="B551" i="33"/>
  <c r="B552" i="33"/>
  <c r="B553" i="33"/>
  <c r="B554" i="33"/>
  <c r="B555" i="33"/>
  <c r="B556" i="33"/>
  <c r="B557" i="33"/>
  <c r="B558" i="33"/>
  <c r="B559" i="33"/>
  <c r="B560" i="33"/>
  <c r="B561" i="33"/>
  <c r="B562" i="33"/>
  <c r="B563" i="33"/>
  <c r="B564" i="33"/>
  <c r="B565" i="33"/>
  <c r="B566" i="33"/>
  <c r="B567" i="33"/>
  <c r="B568" i="33"/>
  <c r="B569" i="33"/>
  <c r="B570" i="33"/>
  <c r="B571" i="33"/>
  <c r="B572" i="33"/>
  <c r="B573" i="33"/>
  <c r="B574" i="33"/>
  <c r="B575" i="33"/>
  <c r="B576" i="33"/>
  <c r="B577" i="33"/>
  <c r="B578" i="33"/>
  <c r="B579" i="33"/>
  <c r="B580" i="33"/>
  <c r="B581" i="33"/>
  <c r="B582" i="33"/>
  <c r="B583" i="33"/>
  <c r="B584" i="33"/>
  <c r="B585" i="33"/>
  <c r="B586" i="33"/>
  <c r="B587" i="33"/>
  <c r="B588" i="33"/>
  <c r="B589" i="33"/>
  <c r="B590" i="33"/>
  <c r="B591" i="33"/>
  <c r="B592" i="33"/>
  <c r="B593" i="33"/>
  <c r="B594" i="33"/>
  <c r="B595" i="33"/>
  <c r="B596" i="33"/>
  <c r="B597" i="33"/>
  <c r="B598" i="33"/>
  <c r="B599" i="33"/>
  <c r="B600" i="33"/>
  <c r="B601" i="33"/>
  <c r="B602" i="33"/>
  <c r="B603" i="33"/>
  <c r="B604" i="33"/>
  <c r="B605" i="33"/>
  <c r="B606" i="33"/>
  <c r="B607" i="33"/>
  <c r="B608" i="33"/>
  <c r="B609" i="33"/>
  <c r="B610" i="33"/>
  <c r="B611" i="33"/>
  <c r="B612" i="33"/>
  <c r="B613" i="33"/>
  <c r="B614" i="33"/>
  <c r="B615" i="33"/>
  <c r="B616" i="33"/>
  <c r="B617" i="33"/>
  <c r="B618" i="33"/>
  <c r="B619" i="33"/>
  <c r="B620" i="33"/>
  <c r="B621" i="33"/>
  <c r="B622" i="33"/>
  <c r="B623" i="33"/>
  <c r="B624" i="33"/>
  <c r="B625" i="33"/>
  <c r="B626" i="33"/>
  <c r="B627" i="33"/>
  <c r="B628" i="33"/>
  <c r="B629" i="33"/>
  <c r="B630" i="33"/>
  <c r="B631" i="33"/>
  <c r="B632" i="33"/>
  <c r="B633" i="33"/>
  <c r="B634" i="33"/>
  <c r="B635" i="33"/>
  <c r="B636" i="33"/>
  <c r="B637" i="33"/>
  <c r="B638" i="33"/>
  <c r="B639" i="33"/>
  <c r="B640" i="33"/>
  <c r="B641" i="33"/>
  <c r="B642" i="33"/>
  <c r="B643" i="33"/>
  <c r="B644" i="33"/>
  <c r="B645" i="33"/>
  <c r="B646" i="33"/>
  <c r="B647" i="33"/>
  <c r="B648" i="33"/>
  <c r="B649" i="33"/>
  <c r="B650" i="33"/>
  <c r="B651" i="33"/>
  <c r="B652" i="33"/>
  <c r="B653" i="33"/>
  <c r="B654" i="33"/>
  <c r="B655" i="33"/>
  <c r="B656" i="33"/>
  <c r="B657" i="33"/>
  <c r="B658" i="33"/>
  <c r="B659" i="33"/>
  <c r="B660" i="33"/>
  <c r="B661" i="33"/>
  <c r="B662" i="33"/>
  <c r="B663" i="33"/>
  <c r="B664" i="33"/>
  <c r="B665" i="33"/>
  <c r="B666" i="33"/>
  <c r="B667" i="33"/>
  <c r="B668" i="33"/>
  <c r="B669" i="33"/>
  <c r="B670" i="33"/>
  <c r="B671" i="33"/>
  <c r="B672" i="33"/>
  <c r="B673" i="33"/>
  <c r="B674" i="33"/>
  <c r="B675" i="33"/>
  <c r="B676" i="33"/>
  <c r="B677" i="33"/>
  <c r="B678" i="33"/>
  <c r="B679" i="33"/>
  <c r="B680" i="33"/>
  <c r="B681" i="33"/>
  <c r="B682" i="33"/>
  <c r="B683" i="33"/>
  <c r="B684" i="33"/>
  <c r="B685" i="33"/>
  <c r="B686" i="33"/>
  <c r="B687" i="33"/>
  <c r="B688" i="33"/>
  <c r="B689" i="33"/>
  <c r="B690" i="33"/>
  <c r="B691" i="33"/>
  <c r="B692" i="33"/>
  <c r="B693" i="33"/>
  <c r="B694" i="33"/>
  <c r="B695" i="33"/>
  <c r="B696" i="33"/>
  <c r="B697" i="33"/>
  <c r="B698" i="33"/>
  <c r="B699" i="33"/>
  <c r="B700" i="33"/>
  <c r="B701" i="33"/>
  <c r="B702" i="33"/>
  <c r="B703" i="33"/>
  <c r="B704" i="33"/>
  <c r="B705" i="33"/>
  <c r="B706" i="33"/>
  <c r="B707" i="33"/>
  <c r="B708" i="33"/>
  <c r="B709" i="33"/>
  <c r="B710" i="33"/>
  <c r="B711" i="33"/>
  <c r="B712" i="33"/>
  <c r="B713" i="33"/>
  <c r="B714" i="33"/>
  <c r="B715" i="33"/>
  <c r="B716" i="33"/>
  <c r="B717" i="33"/>
  <c r="B718" i="33"/>
  <c r="B719" i="33"/>
  <c r="B720" i="33"/>
  <c r="B721" i="33"/>
  <c r="B722" i="33"/>
  <c r="B723" i="33"/>
  <c r="B724" i="33"/>
  <c r="B725" i="33"/>
  <c r="B726" i="33"/>
  <c r="B727" i="33"/>
  <c r="B728" i="33"/>
  <c r="B729" i="33"/>
  <c r="B730" i="33"/>
  <c r="B731" i="33"/>
  <c r="B732" i="33"/>
  <c r="B733" i="33"/>
  <c r="B734" i="33"/>
  <c r="B735" i="33"/>
  <c r="B736" i="33"/>
  <c r="B737" i="33"/>
  <c r="B738" i="33"/>
  <c r="B739" i="33"/>
  <c r="B740" i="33"/>
  <c r="B741" i="33"/>
  <c r="B742" i="33"/>
  <c r="B743" i="33"/>
  <c r="B744" i="33"/>
  <c r="B745" i="33"/>
  <c r="B746" i="33"/>
  <c r="B747" i="33"/>
  <c r="B748" i="33"/>
  <c r="B749" i="33"/>
  <c r="B750" i="33"/>
  <c r="B751" i="33"/>
  <c r="B752" i="33"/>
  <c r="B753" i="33"/>
  <c r="B754" i="33"/>
  <c r="B755" i="33"/>
  <c r="B756" i="33"/>
  <c r="B757" i="33"/>
  <c r="B758" i="33"/>
  <c r="B759" i="33"/>
  <c r="B760" i="33"/>
  <c r="B761" i="33"/>
  <c r="B762" i="33"/>
  <c r="B763" i="33"/>
  <c r="B764" i="33"/>
  <c r="B765" i="33"/>
  <c r="B766" i="33"/>
  <c r="B767" i="33"/>
  <c r="B768" i="33"/>
  <c r="B769" i="33"/>
  <c r="B770" i="33"/>
  <c r="B771" i="33"/>
  <c r="B772" i="33"/>
  <c r="B773" i="33"/>
  <c r="B774" i="33"/>
  <c r="B775" i="33"/>
  <c r="B776" i="33"/>
  <c r="B777" i="33"/>
  <c r="B778" i="33"/>
  <c r="B779" i="33"/>
  <c r="B780" i="33"/>
  <c r="B781" i="33"/>
  <c r="B782" i="33"/>
  <c r="B783" i="33"/>
  <c r="B784" i="33"/>
  <c r="B785" i="33"/>
  <c r="B786" i="33"/>
  <c r="B787" i="33"/>
  <c r="B788" i="33"/>
  <c r="B789" i="33"/>
  <c r="B790" i="33"/>
  <c r="B791" i="33"/>
  <c r="B792" i="33"/>
  <c r="B793" i="33"/>
  <c r="B794" i="33"/>
  <c r="B795" i="33"/>
  <c r="B796" i="33"/>
  <c r="B797" i="33"/>
  <c r="B798" i="33"/>
  <c r="B799" i="33"/>
  <c r="B800" i="33"/>
  <c r="B801" i="33"/>
  <c r="B802" i="33"/>
  <c r="B803" i="33"/>
  <c r="B804" i="33"/>
  <c r="B805" i="33"/>
  <c r="B806" i="33"/>
  <c r="B807" i="33"/>
  <c r="B808" i="33"/>
  <c r="B809" i="33"/>
  <c r="B810" i="33"/>
  <c r="B811" i="33"/>
  <c r="B812" i="33"/>
  <c r="B813" i="33"/>
  <c r="B814" i="33"/>
  <c r="B815" i="33"/>
  <c r="B816" i="33"/>
  <c r="B817" i="33"/>
  <c r="B818" i="33"/>
  <c r="B819" i="33"/>
  <c r="B820" i="33"/>
  <c r="B821" i="33"/>
  <c r="B822" i="33"/>
  <c r="B823" i="33"/>
  <c r="B824" i="33"/>
  <c r="B825" i="33"/>
  <c r="B826" i="33"/>
  <c r="B827" i="33"/>
  <c r="B828" i="33"/>
  <c r="B829" i="33"/>
  <c r="B830" i="33"/>
  <c r="B831" i="33"/>
  <c r="B832" i="33"/>
  <c r="B833" i="33"/>
  <c r="B834" i="33"/>
  <c r="B835" i="33"/>
  <c r="B836" i="33"/>
  <c r="B837" i="33"/>
  <c r="B838" i="33"/>
  <c r="B839" i="33"/>
  <c r="B840" i="33"/>
  <c r="B841" i="33"/>
  <c r="B842" i="33"/>
  <c r="B843" i="33"/>
  <c r="B844" i="33"/>
  <c r="B845" i="33"/>
  <c r="B846" i="33"/>
  <c r="B847" i="33"/>
  <c r="B848" i="33"/>
  <c r="B849" i="33"/>
  <c r="B850" i="33"/>
  <c r="B851" i="33"/>
  <c r="B852" i="33"/>
  <c r="B853" i="33"/>
  <c r="B854" i="33"/>
  <c r="B855" i="33"/>
  <c r="B856" i="33"/>
  <c r="B857" i="33"/>
  <c r="B858" i="33"/>
  <c r="B859" i="33"/>
  <c r="B860" i="33"/>
  <c r="B861" i="33"/>
  <c r="B862" i="33"/>
  <c r="B863" i="33"/>
  <c r="B864" i="33"/>
  <c r="B865" i="33"/>
  <c r="B866" i="33"/>
  <c r="B867" i="33"/>
  <c r="B868" i="33"/>
  <c r="B869" i="33"/>
  <c r="B870" i="33"/>
  <c r="B871" i="33"/>
  <c r="B872" i="33"/>
  <c r="B873" i="33"/>
  <c r="B874" i="33"/>
  <c r="B875" i="33"/>
  <c r="B876" i="33"/>
  <c r="B877" i="33"/>
  <c r="B878" i="33"/>
  <c r="B879" i="33"/>
  <c r="B880" i="33"/>
  <c r="B881" i="33"/>
  <c r="B882" i="33"/>
  <c r="B883" i="33"/>
  <c r="B884" i="33"/>
  <c r="B885" i="33"/>
  <c r="B886" i="33"/>
  <c r="B887" i="33"/>
  <c r="B888" i="33"/>
  <c r="B889" i="33"/>
  <c r="B890" i="33"/>
  <c r="B891" i="33"/>
  <c r="B892" i="33"/>
  <c r="B893" i="33"/>
  <c r="B894" i="33"/>
  <c r="B895" i="33"/>
  <c r="B896" i="33"/>
  <c r="B897" i="33"/>
  <c r="B898" i="33"/>
  <c r="B899" i="33"/>
  <c r="B900" i="33"/>
  <c r="B901" i="33"/>
  <c r="B902" i="33"/>
  <c r="B903" i="33"/>
  <c r="B904" i="33"/>
  <c r="B905" i="33"/>
  <c r="B906" i="33"/>
  <c r="B907" i="33"/>
  <c r="B908" i="33"/>
  <c r="B909" i="33"/>
  <c r="B910" i="33"/>
  <c r="B911" i="33"/>
  <c r="B912" i="33"/>
  <c r="B913" i="33"/>
  <c r="B914" i="33"/>
  <c r="B915" i="33"/>
  <c r="B916" i="33"/>
  <c r="B917" i="33"/>
  <c r="B918" i="33"/>
  <c r="B919" i="33"/>
  <c r="B920" i="33"/>
  <c r="B921" i="33"/>
  <c r="B922" i="33"/>
  <c r="B923" i="33"/>
  <c r="B924" i="33"/>
  <c r="B925" i="33"/>
  <c r="B926" i="33"/>
  <c r="B927" i="33"/>
  <c r="B928" i="33"/>
  <c r="B929" i="33"/>
  <c r="B930" i="33"/>
  <c r="B931" i="33"/>
  <c r="B932" i="33"/>
  <c r="B933" i="33"/>
  <c r="B934" i="33"/>
  <c r="B935" i="33"/>
  <c r="B936" i="33"/>
  <c r="B937" i="33"/>
  <c r="B938" i="33"/>
  <c r="B939" i="33"/>
  <c r="B940" i="33"/>
  <c r="B941" i="33"/>
  <c r="B942" i="33"/>
  <c r="B943" i="33"/>
  <c r="B944" i="33"/>
  <c r="B945" i="33"/>
  <c r="B946" i="33"/>
  <c r="B947" i="33"/>
  <c r="B948" i="33"/>
  <c r="B949" i="33"/>
  <c r="B950" i="33"/>
  <c r="B951" i="33"/>
  <c r="B952" i="33"/>
  <c r="B953" i="33"/>
  <c r="B954" i="33"/>
  <c r="B955" i="33"/>
  <c r="B956" i="33"/>
  <c r="B957" i="33"/>
  <c r="B958" i="33"/>
  <c r="B959" i="33"/>
  <c r="B960" i="33"/>
  <c r="B961" i="33"/>
  <c r="B962" i="33"/>
  <c r="B963" i="33"/>
  <c r="B964" i="33"/>
  <c r="B965" i="33"/>
  <c r="B966" i="33"/>
  <c r="B967" i="33"/>
  <c r="B968" i="33"/>
  <c r="B969" i="33"/>
  <c r="B970" i="33"/>
  <c r="B971" i="33"/>
  <c r="B972" i="33"/>
  <c r="B973" i="33"/>
  <c r="B974" i="33"/>
  <c r="B975" i="33"/>
  <c r="B976" i="33"/>
  <c r="B977" i="33"/>
  <c r="B978" i="33"/>
  <c r="B979" i="33"/>
  <c r="B980" i="33"/>
  <c r="B981" i="33"/>
  <c r="B982" i="33"/>
  <c r="B983" i="33"/>
  <c r="B984" i="33"/>
  <c r="B985" i="33"/>
  <c r="B986" i="33"/>
  <c r="B987" i="33"/>
  <c r="B988" i="33"/>
  <c r="B989" i="33"/>
  <c r="B990" i="33"/>
  <c r="B991" i="33"/>
  <c r="B992" i="33"/>
  <c r="B993" i="33"/>
  <c r="B994" i="33"/>
  <c r="B995" i="33"/>
  <c r="B996" i="33"/>
  <c r="B997" i="33"/>
  <c r="B998" i="33"/>
  <c r="B999" i="33"/>
  <c r="B1000" i="33"/>
  <c r="B1001" i="33"/>
  <c r="B1002" i="33"/>
  <c r="B1003" i="33"/>
  <c r="B1004" i="33"/>
  <c r="B1005" i="33"/>
  <c r="B1006" i="33"/>
  <c r="B1007" i="33"/>
  <c r="B1008" i="33"/>
  <c r="B1009" i="33"/>
  <c r="B1010" i="33"/>
  <c r="B1011" i="33"/>
  <c r="B1012" i="33"/>
  <c r="B1013" i="33"/>
  <c r="B1014" i="33"/>
  <c r="B1015" i="33"/>
  <c r="B1016" i="33"/>
  <c r="B1017" i="33"/>
  <c r="B1018" i="33"/>
  <c r="B1019" i="33"/>
  <c r="B1020" i="33"/>
  <c r="B1021" i="33"/>
  <c r="B1022" i="33"/>
  <c r="B1023" i="33"/>
  <c r="B1024" i="33"/>
  <c r="B1025" i="33"/>
  <c r="B1026" i="33"/>
  <c r="B1027" i="33"/>
  <c r="B1028" i="33"/>
  <c r="B1029" i="33"/>
  <c r="B1030" i="33"/>
  <c r="B1031" i="33"/>
  <c r="B1032" i="33"/>
  <c r="B1033" i="33"/>
  <c r="B1034" i="33"/>
  <c r="B1035" i="33"/>
  <c r="B1036" i="33"/>
  <c r="B1037" i="33"/>
  <c r="B1038" i="33"/>
  <c r="B1039" i="33"/>
  <c r="B1040" i="33"/>
  <c r="B1041" i="33"/>
  <c r="B1042" i="33"/>
  <c r="B1043" i="33"/>
  <c r="B1044" i="33"/>
  <c r="B1045" i="33"/>
  <c r="B1046" i="33"/>
  <c r="B1047" i="33"/>
  <c r="B1048" i="33"/>
  <c r="B1049" i="33"/>
  <c r="B1050" i="33"/>
  <c r="B1051" i="33"/>
  <c r="B1052" i="33"/>
  <c r="B1053" i="33"/>
  <c r="B1054" i="33"/>
  <c r="B1055" i="33"/>
  <c r="B1056" i="33"/>
  <c r="B1057" i="33"/>
  <c r="B1058" i="33"/>
  <c r="B1059" i="33"/>
  <c r="B1060" i="33"/>
  <c r="B1061" i="33"/>
  <c r="B1062" i="33"/>
  <c r="B1063" i="33"/>
  <c r="B1064" i="33"/>
  <c r="B1065" i="33"/>
  <c r="B1066" i="33"/>
  <c r="B1067" i="33"/>
  <c r="B1068" i="33"/>
  <c r="B1069" i="33"/>
  <c r="B1070" i="33"/>
  <c r="B1071" i="33"/>
  <c r="B1072" i="33"/>
  <c r="B1073" i="33"/>
  <c r="B1074" i="33"/>
  <c r="B1075" i="33"/>
  <c r="B1076" i="33"/>
  <c r="B1077" i="33"/>
  <c r="B1078" i="33"/>
  <c r="B1079" i="33"/>
  <c r="B1080" i="33"/>
  <c r="B1081" i="33"/>
  <c r="B1082" i="33"/>
  <c r="B1083" i="33"/>
  <c r="B1084" i="33"/>
  <c r="B1085" i="33"/>
  <c r="B1086" i="33"/>
  <c r="B1087" i="33"/>
  <c r="B1088" i="33"/>
  <c r="B1089" i="33"/>
  <c r="B1090" i="33"/>
  <c r="B1091" i="33"/>
  <c r="B1092" i="33"/>
  <c r="B1093" i="33"/>
  <c r="B1094" i="33"/>
  <c r="B1095" i="33"/>
  <c r="B1096" i="33"/>
  <c r="B1097" i="33"/>
  <c r="B1098" i="33"/>
  <c r="B1099" i="33"/>
  <c r="B1100" i="33"/>
  <c r="B1101" i="33"/>
  <c r="B1102" i="33"/>
  <c r="B1103" i="33"/>
  <c r="B1104" i="33"/>
  <c r="B1105" i="33"/>
  <c r="B1106" i="33"/>
  <c r="B1107" i="33"/>
  <c r="B1108" i="33"/>
  <c r="B1109" i="33"/>
  <c r="B1110" i="33"/>
  <c r="B1111" i="33"/>
  <c r="B1112" i="33"/>
  <c r="B1113" i="33"/>
  <c r="B1114" i="33"/>
  <c r="B1115" i="33"/>
  <c r="B1116" i="33"/>
  <c r="B1117" i="33"/>
  <c r="B1118" i="33"/>
  <c r="B1119" i="33"/>
  <c r="B1120" i="33"/>
  <c r="B1121" i="33"/>
  <c r="B1122" i="33"/>
  <c r="B1123" i="33"/>
  <c r="B1124" i="33"/>
  <c r="B1125" i="33"/>
  <c r="B1126" i="33"/>
  <c r="B1127" i="33"/>
  <c r="B1128" i="33"/>
  <c r="B1129" i="33"/>
  <c r="B1130" i="33"/>
  <c r="B1131" i="33"/>
  <c r="B1132" i="33"/>
  <c r="B1133" i="33"/>
  <c r="B1134" i="33"/>
  <c r="B1135" i="33"/>
  <c r="B1136" i="33"/>
  <c r="B1137" i="33"/>
  <c r="B1138" i="33"/>
  <c r="B1139" i="33"/>
  <c r="B1140" i="33"/>
  <c r="B1141" i="33"/>
  <c r="B1142" i="33"/>
  <c r="B1143" i="33"/>
  <c r="B1144" i="33"/>
  <c r="B1145" i="33"/>
  <c r="B1146" i="33"/>
  <c r="B1147" i="33"/>
  <c r="B1148" i="33"/>
  <c r="B1149" i="33"/>
  <c r="B1150" i="33"/>
  <c r="B1151" i="33"/>
  <c r="B1152" i="33"/>
  <c r="B1153" i="33"/>
  <c r="B1154" i="33"/>
  <c r="B1155" i="33"/>
  <c r="B1156" i="33"/>
  <c r="B1157" i="33"/>
  <c r="B1158" i="33"/>
  <c r="B1159" i="33"/>
  <c r="B1160" i="33"/>
  <c r="B1161" i="33"/>
  <c r="B1162" i="33"/>
  <c r="B1163" i="33"/>
  <c r="B1164" i="33"/>
  <c r="B1165" i="33"/>
  <c r="B1166" i="33"/>
  <c r="B1167" i="33"/>
  <c r="B1168" i="33"/>
  <c r="B1169" i="33"/>
  <c r="B1170" i="33"/>
  <c r="B1171" i="33"/>
  <c r="B1172" i="33"/>
  <c r="B1173" i="33"/>
  <c r="B1174" i="33"/>
  <c r="B1175" i="33"/>
  <c r="B1176" i="33"/>
  <c r="B1177" i="33"/>
  <c r="B1178" i="33"/>
  <c r="B1179" i="33"/>
  <c r="B1180" i="33"/>
  <c r="B1181" i="33"/>
  <c r="B1182" i="33"/>
  <c r="B1183" i="33"/>
  <c r="B1184" i="33"/>
  <c r="B1185" i="33"/>
  <c r="B1186" i="33"/>
  <c r="B1187" i="33"/>
  <c r="B1188" i="33"/>
  <c r="B1189" i="33"/>
  <c r="B1190" i="33"/>
  <c r="B1191" i="33"/>
  <c r="B1192" i="33"/>
  <c r="B1193" i="33"/>
  <c r="B1194" i="33"/>
  <c r="B1195" i="33"/>
  <c r="B1196" i="33"/>
  <c r="B1197" i="33"/>
  <c r="B1198" i="33"/>
  <c r="B1199" i="33"/>
  <c r="B1200" i="33"/>
  <c r="B1201" i="33"/>
  <c r="B1202" i="33"/>
  <c r="B1203" i="33"/>
  <c r="B1204" i="33"/>
  <c r="B1205" i="33"/>
  <c r="B1206" i="33"/>
  <c r="B1207" i="33"/>
  <c r="B1208" i="33"/>
  <c r="B1209" i="33"/>
  <c r="B1210" i="33"/>
  <c r="B1211" i="33"/>
  <c r="B1212" i="33"/>
  <c r="B1213" i="33"/>
  <c r="B1214" i="33"/>
  <c r="B1215" i="33"/>
  <c r="B1216" i="33"/>
  <c r="B1217" i="33"/>
  <c r="B1218" i="33"/>
  <c r="B1219" i="33"/>
  <c r="B1220" i="33"/>
  <c r="B1221" i="33"/>
  <c r="B1222" i="33"/>
  <c r="B1223" i="33"/>
  <c r="B1224" i="33"/>
  <c r="B1225" i="33"/>
  <c r="B1226" i="33"/>
  <c r="B1227" i="33"/>
  <c r="B1228" i="33"/>
  <c r="B1229" i="33"/>
  <c r="B1230" i="33"/>
  <c r="B1231" i="33"/>
  <c r="B1232" i="33"/>
  <c r="B1233" i="33"/>
  <c r="B1234" i="33"/>
  <c r="B1235" i="33"/>
  <c r="B1236" i="33"/>
  <c r="B1237" i="33"/>
  <c r="B1238" i="33"/>
  <c r="B1239" i="33"/>
  <c r="B1240" i="33"/>
  <c r="B1241" i="33"/>
  <c r="B1242" i="33"/>
  <c r="B1243" i="33"/>
  <c r="B1244" i="33"/>
  <c r="B1245" i="33"/>
  <c r="B1246" i="33"/>
  <c r="B1247" i="33"/>
  <c r="B1248" i="33"/>
  <c r="B1249" i="33"/>
  <c r="B1250" i="33"/>
  <c r="B1251" i="33"/>
  <c r="B1252" i="33"/>
  <c r="B1253" i="33"/>
  <c r="B1254" i="33"/>
  <c r="B1255" i="33"/>
  <c r="B1256" i="33"/>
  <c r="B1257" i="33"/>
  <c r="B1258" i="33"/>
  <c r="B1259" i="33"/>
  <c r="B1260" i="33"/>
  <c r="B1261" i="33"/>
  <c r="B1262" i="33"/>
  <c r="B1263" i="33"/>
  <c r="B1264" i="33"/>
  <c r="B1265" i="33"/>
  <c r="B1266" i="33"/>
  <c r="B1267" i="33"/>
  <c r="B1268" i="33"/>
  <c r="B1269" i="33"/>
  <c r="B1270" i="33"/>
  <c r="B1271" i="33"/>
  <c r="B1272" i="33"/>
  <c r="B1273" i="33"/>
  <c r="B1274" i="33"/>
  <c r="B1275" i="33"/>
  <c r="B1276" i="33"/>
  <c r="B1277" i="33"/>
  <c r="B1278" i="33"/>
  <c r="B1279" i="33"/>
  <c r="B1280" i="33"/>
  <c r="B1281" i="33"/>
  <c r="B1282" i="33"/>
  <c r="B1283" i="33"/>
  <c r="B1284" i="33"/>
  <c r="B1285" i="33"/>
  <c r="B1286" i="33"/>
  <c r="B1287" i="33"/>
  <c r="B1288" i="33"/>
  <c r="B1289" i="33"/>
  <c r="B1290" i="33"/>
  <c r="B1291" i="33"/>
  <c r="B1292" i="33"/>
  <c r="B1293" i="33"/>
  <c r="B1294" i="33"/>
  <c r="B1295" i="33"/>
  <c r="B1296" i="33"/>
  <c r="B1297" i="33"/>
  <c r="B1298" i="33"/>
  <c r="B1299" i="33"/>
  <c r="B1300" i="33"/>
  <c r="B1301" i="33"/>
  <c r="B1302" i="33"/>
  <c r="B1303" i="33"/>
  <c r="B1304" i="33"/>
  <c r="B1305" i="33"/>
  <c r="B1306" i="33"/>
  <c r="B1307" i="33"/>
  <c r="B1308" i="33"/>
  <c r="B1309" i="33"/>
  <c r="B1310" i="33"/>
  <c r="B1311" i="33"/>
  <c r="B1312" i="33"/>
  <c r="B1313" i="33"/>
  <c r="B1314" i="33"/>
  <c r="B1315" i="33"/>
  <c r="B1316" i="33"/>
  <c r="B1317" i="33"/>
  <c r="B1318" i="33"/>
  <c r="B1319" i="33"/>
  <c r="B1320" i="33"/>
  <c r="B1321" i="33"/>
  <c r="B1322" i="33"/>
  <c r="B1323" i="33"/>
  <c r="B1324" i="33"/>
  <c r="B1325" i="33"/>
  <c r="B1326" i="33"/>
  <c r="B1327" i="33"/>
  <c r="B1328" i="33"/>
  <c r="B1329" i="33"/>
  <c r="B1330" i="33"/>
  <c r="B1331" i="33"/>
  <c r="B1332" i="33"/>
  <c r="B1333" i="33"/>
  <c r="B1334" i="33"/>
  <c r="B1335" i="33"/>
  <c r="B1336" i="33"/>
  <c r="B1337" i="33"/>
  <c r="B1338" i="33"/>
  <c r="B1339" i="33"/>
  <c r="B1340" i="33"/>
  <c r="B1341" i="33"/>
  <c r="B1342" i="33"/>
  <c r="B1343" i="33"/>
  <c r="B1344" i="33"/>
  <c r="B1345" i="33"/>
  <c r="B1346" i="33"/>
  <c r="B1347" i="33"/>
  <c r="B1348" i="33"/>
  <c r="B1349" i="33"/>
  <c r="B1350" i="33"/>
  <c r="B1351" i="33"/>
  <c r="B1352" i="33"/>
  <c r="B1353" i="33"/>
  <c r="B1354" i="33"/>
  <c r="B1355" i="33"/>
  <c r="B1356" i="33"/>
  <c r="B1357" i="33"/>
  <c r="B1358" i="33"/>
  <c r="B1359" i="33"/>
  <c r="B1360" i="33"/>
  <c r="B1361" i="33"/>
  <c r="B1362" i="33"/>
  <c r="B1363" i="33"/>
  <c r="B1364" i="33"/>
  <c r="B1365" i="33"/>
  <c r="B1366" i="33"/>
  <c r="B1367" i="33"/>
  <c r="B1368" i="33"/>
  <c r="B1369" i="33"/>
  <c r="B1370" i="33"/>
  <c r="B1371" i="33"/>
  <c r="B1372" i="33"/>
  <c r="B1373" i="33"/>
  <c r="B1374" i="33"/>
  <c r="B1375" i="33"/>
  <c r="B1376" i="33"/>
  <c r="B1377" i="33"/>
  <c r="B1378" i="33"/>
  <c r="B1379" i="33"/>
  <c r="B1380" i="33"/>
  <c r="B1381" i="33"/>
  <c r="B1382" i="33"/>
  <c r="B1383" i="33"/>
  <c r="B1384" i="33"/>
  <c r="B1385" i="33"/>
  <c r="B1386" i="33"/>
  <c r="B1387" i="33"/>
  <c r="B1388" i="33"/>
  <c r="B1389" i="33"/>
  <c r="B1390" i="33"/>
  <c r="B1391" i="33"/>
  <c r="B1392" i="33"/>
  <c r="B1393" i="33"/>
  <c r="B1394" i="33"/>
  <c r="B1395" i="33"/>
  <c r="B1396" i="33"/>
  <c r="B1397" i="33"/>
  <c r="B1398" i="33"/>
  <c r="B1399" i="33"/>
  <c r="B1400" i="33"/>
  <c r="B1401" i="33"/>
  <c r="B1402" i="33"/>
  <c r="B1403" i="33"/>
  <c r="B1404" i="33"/>
  <c r="B1405" i="33"/>
  <c r="B1406" i="33"/>
  <c r="B1407" i="33"/>
  <c r="B1408" i="33"/>
  <c r="B1409" i="33"/>
  <c r="B1410" i="33"/>
  <c r="B1411" i="33"/>
  <c r="B1412" i="33"/>
  <c r="B1413" i="33"/>
  <c r="B1414" i="33"/>
  <c r="B1415" i="33"/>
  <c r="B1416" i="33"/>
  <c r="B1417" i="33"/>
  <c r="B1418" i="33"/>
  <c r="B1419" i="33"/>
  <c r="B1420" i="33"/>
  <c r="B1421" i="33"/>
  <c r="B1422" i="33"/>
  <c r="B1423" i="33"/>
  <c r="B1424" i="33"/>
  <c r="B1425" i="33"/>
  <c r="B1426" i="33"/>
  <c r="B1427" i="33"/>
  <c r="B1428" i="33"/>
  <c r="B1429" i="33"/>
  <c r="B1430" i="33"/>
  <c r="B1431" i="33"/>
  <c r="B1432" i="33"/>
  <c r="B1433" i="33"/>
  <c r="B1434" i="33"/>
  <c r="B1435" i="33"/>
  <c r="B1436" i="33"/>
  <c r="B1437" i="33"/>
  <c r="B1438" i="33"/>
  <c r="B1439" i="33"/>
  <c r="B1440" i="33"/>
  <c r="B1441" i="33"/>
  <c r="B1442" i="33"/>
  <c r="B1443" i="33"/>
  <c r="B1444" i="33"/>
  <c r="B1445" i="33"/>
  <c r="B1446" i="33"/>
  <c r="B1447" i="33"/>
  <c r="B1448" i="33"/>
  <c r="B1449" i="33"/>
  <c r="B1450" i="33"/>
  <c r="B1451" i="33"/>
  <c r="B1452" i="33"/>
  <c r="B1453" i="33"/>
  <c r="B1454" i="33"/>
  <c r="B1455" i="33"/>
  <c r="B1456" i="33"/>
  <c r="B1457" i="33"/>
  <c r="B1458" i="33"/>
  <c r="B1459" i="33"/>
  <c r="B1460" i="33"/>
  <c r="B1461" i="33"/>
  <c r="B1462" i="33"/>
  <c r="B1463" i="33"/>
  <c r="B1464" i="33"/>
  <c r="B1465" i="33"/>
  <c r="B1466" i="33"/>
  <c r="B1467" i="33"/>
  <c r="B1468" i="33"/>
  <c r="B1469" i="33"/>
  <c r="B1470" i="33"/>
  <c r="B1471" i="33"/>
  <c r="B1472" i="33"/>
  <c r="B1473" i="33"/>
  <c r="B1474" i="33"/>
  <c r="B1475" i="33"/>
  <c r="B1476" i="33"/>
  <c r="B1477" i="33"/>
  <c r="B1478" i="33"/>
  <c r="B1479" i="33"/>
  <c r="B1480" i="33"/>
  <c r="B1481" i="33"/>
  <c r="B1482" i="33"/>
  <c r="B1483" i="33"/>
  <c r="B1484" i="33"/>
  <c r="B1485" i="33"/>
  <c r="B1486" i="33"/>
  <c r="B1487" i="33"/>
  <c r="B1488" i="33"/>
  <c r="B1489" i="33"/>
  <c r="B1490" i="33"/>
  <c r="B1491" i="33"/>
  <c r="B1492" i="33"/>
  <c r="B1493" i="33"/>
  <c r="B1494" i="33"/>
  <c r="B1495" i="33"/>
  <c r="B1496" i="33"/>
  <c r="B1497" i="33"/>
  <c r="B1498" i="33"/>
  <c r="B1499" i="33"/>
  <c r="B1500" i="33"/>
  <c r="B1501" i="33"/>
  <c r="B1502" i="33"/>
  <c r="B1503" i="33"/>
  <c r="B1504" i="33"/>
  <c r="B1505" i="33"/>
  <c r="B1506" i="33"/>
  <c r="B1507" i="33"/>
  <c r="B1508" i="33"/>
  <c r="B1509" i="33"/>
  <c r="B1510" i="33"/>
  <c r="B1511" i="33"/>
  <c r="B1512" i="33"/>
  <c r="B1513" i="33"/>
  <c r="B1514" i="33"/>
  <c r="B1515" i="33"/>
  <c r="B1516" i="33"/>
  <c r="B1517" i="33"/>
  <c r="B1518" i="33"/>
  <c r="B1519" i="33"/>
  <c r="B1520" i="33"/>
  <c r="B1521" i="33"/>
  <c r="B1522" i="33"/>
  <c r="B1523" i="33"/>
  <c r="B1524" i="33"/>
  <c r="B1525" i="33"/>
  <c r="B1526" i="33"/>
  <c r="B1527" i="33"/>
  <c r="B1528" i="33"/>
  <c r="B1529" i="33"/>
  <c r="B1530" i="33"/>
  <c r="B1531" i="33"/>
  <c r="B1532" i="33"/>
  <c r="B1533" i="33"/>
  <c r="B1534" i="33"/>
  <c r="B1535" i="33"/>
  <c r="B1536" i="33"/>
  <c r="B1537" i="33"/>
  <c r="B1538" i="33"/>
  <c r="B1539" i="33"/>
  <c r="B1540" i="33"/>
  <c r="B1541" i="33"/>
  <c r="B1542" i="33"/>
  <c r="B1543" i="33"/>
  <c r="B1544" i="33"/>
  <c r="B1545" i="33"/>
  <c r="B1546" i="33"/>
  <c r="B1547" i="33"/>
  <c r="B1548" i="33"/>
  <c r="B1549" i="33"/>
  <c r="B1550" i="33"/>
  <c r="B1551" i="33"/>
  <c r="B1552" i="33"/>
  <c r="B1553" i="33"/>
  <c r="B1554" i="33"/>
  <c r="B1555" i="33"/>
  <c r="B1556" i="33"/>
  <c r="B1557" i="33"/>
  <c r="B1558" i="33"/>
  <c r="B1559" i="33"/>
  <c r="B1560" i="33"/>
  <c r="B1561" i="33"/>
  <c r="B1562" i="33"/>
  <c r="B1563" i="33"/>
  <c r="B1564" i="33"/>
  <c r="B1565" i="33"/>
  <c r="B1566" i="33"/>
  <c r="B1567" i="33"/>
  <c r="B1568" i="33"/>
  <c r="B1569" i="33"/>
  <c r="B1570" i="33"/>
  <c r="B1571" i="33"/>
  <c r="B1572" i="33"/>
  <c r="B1573" i="33"/>
  <c r="B1574" i="33"/>
  <c r="B1575" i="33"/>
  <c r="B1576" i="33"/>
  <c r="B1577" i="33"/>
  <c r="B1578" i="33"/>
  <c r="B1579" i="33"/>
  <c r="B1580" i="33"/>
  <c r="B1581" i="33"/>
  <c r="B1582" i="33"/>
  <c r="B1583" i="33"/>
  <c r="B1584" i="33"/>
  <c r="B1585" i="33"/>
  <c r="B1586" i="33"/>
  <c r="B1587" i="33"/>
  <c r="B1588" i="33"/>
  <c r="B1589" i="33"/>
  <c r="B1590" i="33"/>
  <c r="B1591" i="33"/>
  <c r="B1592" i="33"/>
  <c r="B1593" i="33"/>
  <c r="B1594" i="33"/>
  <c r="B1595" i="33"/>
  <c r="B1596" i="33"/>
  <c r="B1597" i="33"/>
  <c r="B1598" i="33"/>
  <c r="B1599" i="33"/>
  <c r="B1600" i="33"/>
  <c r="B1601" i="33"/>
  <c r="B1602" i="33"/>
  <c r="B1603" i="33"/>
  <c r="B1604" i="33"/>
  <c r="B1605" i="33"/>
  <c r="B1606" i="33"/>
  <c r="B1607" i="33"/>
  <c r="B1608" i="33"/>
  <c r="B1609" i="33"/>
  <c r="B1610" i="33"/>
  <c r="B1611" i="33"/>
  <c r="B1612" i="33"/>
  <c r="B1613" i="33"/>
  <c r="B1614" i="33"/>
  <c r="B1615" i="33"/>
  <c r="B1616" i="33"/>
  <c r="B1617" i="33"/>
  <c r="B1618" i="33"/>
  <c r="B1619" i="33"/>
  <c r="B1620" i="33"/>
  <c r="B1621" i="33"/>
  <c r="B1622" i="33"/>
  <c r="B1623" i="33"/>
  <c r="B1624" i="33"/>
  <c r="B1625" i="33"/>
  <c r="B1626" i="33"/>
  <c r="B1627" i="33"/>
  <c r="B1628" i="33"/>
  <c r="B1629" i="33"/>
  <c r="B1630" i="33"/>
  <c r="B1631" i="33"/>
  <c r="B1632" i="33"/>
  <c r="B1633" i="33"/>
  <c r="B1634" i="33"/>
  <c r="B1635" i="33"/>
  <c r="B1636" i="33"/>
  <c r="B1637" i="33"/>
  <c r="B1638" i="33"/>
  <c r="B1639" i="33"/>
  <c r="B1640" i="33"/>
  <c r="B1641" i="33"/>
  <c r="B1642" i="33"/>
  <c r="B1643" i="33"/>
  <c r="B1644" i="33"/>
  <c r="B1645" i="33"/>
  <c r="B1646" i="33"/>
  <c r="B1647" i="33"/>
  <c r="B1648" i="33"/>
  <c r="B1649" i="33"/>
  <c r="B1650" i="33"/>
  <c r="B1651" i="33"/>
  <c r="B1652" i="33"/>
  <c r="B1653" i="33"/>
  <c r="B1654" i="33"/>
  <c r="B1655" i="33"/>
  <c r="B1656" i="33"/>
  <c r="B1657" i="33"/>
  <c r="B1658" i="33"/>
  <c r="B1659" i="33"/>
  <c r="B1660" i="33"/>
  <c r="B1661" i="33"/>
  <c r="B1662" i="33"/>
  <c r="B1663" i="33"/>
  <c r="B1664" i="33"/>
  <c r="B1665" i="33"/>
  <c r="B1666" i="33"/>
  <c r="B1667" i="33"/>
  <c r="B1668" i="33"/>
  <c r="B1669" i="33"/>
  <c r="B1670" i="33"/>
  <c r="B1671" i="33"/>
  <c r="B1672" i="33"/>
  <c r="B1673" i="33"/>
  <c r="B1674" i="33"/>
  <c r="B1675" i="33"/>
  <c r="B1676" i="33"/>
  <c r="B1677" i="33"/>
  <c r="B1678" i="33"/>
  <c r="B1679" i="33"/>
  <c r="B1680" i="33"/>
  <c r="B1681" i="33"/>
  <c r="B1682" i="33"/>
  <c r="B1683" i="33"/>
  <c r="B1684" i="33"/>
  <c r="B1685" i="33"/>
  <c r="B1686" i="33"/>
  <c r="B1687" i="33"/>
  <c r="B1688" i="33"/>
  <c r="B1689" i="33"/>
  <c r="B1690" i="33"/>
  <c r="B1691" i="33"/>
  <c r="B1692" i="33"/>
  <c r="B1693" i="33"/>
  <c r="B1694" i="33"/>
  <c r="B1695" i="33"/>
  <c r="B1696" i="33"/>
  <c r="B1697" i="33"/>
  <c r="B1698" i="33"/>
  <c r="B1699" i="33"/>
  <c r="B1700" i="33"/>
  <c r="B1701" i="33"/>
  <c r="B1702" i="33"/>
  <c r="B1703" i="33"/>
  <c r="B1704" i="33"/>
  <c r="B1705" i="33"/>
  <c r="B1706" i="33"/>
  <c r="B1707" i="33"/>
  <c r="B1708" i="33"/>
  <c r="B1709" i="33"/>
  <c r="B1710" i="33"/>
  <c r="B1711" i="33"/>
  <c r="B1712" i="33"/>
  <c r="B1713" i="33"/>
  <c r="B1714" i="33"/>
  <c r="B1715" i="33"/>
  <c r="B1716" i="33"/>
  <c r="B1717" i="33"/>
  <c r="B1718" i="33"/>
  <c r="B1719" i="33"/>
  <c r="B1720" i="33"/>
  <c r="B1721" i="33"/>
  <c r="B1722" i="33"/>
  <c r="B1723" i="33"/>
  <c r="B1724" i="33"/>
  <c r="B1725" i="33"/>
  <c r="B1726" i="33"/>
  <c r="B1727" i="33"/>
  <c r="B1728" i="33"/>
  <c r="B1729" i="33"/>
  <c r="B1730" i="33"/>
  <c r="B1731" i="33"/>
  <c r="B1732" i="33"/>
  <c r="B1733" i="33"/>
  <c r="B1734" i="33"/>
  <c r="B1735" i="33"/>
  <c r="B1736" i="33"/>
  <c r="B1737" i="33"/>
  <c r="B1738" i="33"/>
  <c r="B1739" i="33"/>
  <c r="B1740" i="33"/>
  <c r="B1741" i="33"/>
  <c r="B1742" i="33"/>
  <c r="B1743" i="33"/>
  <c r="B1744" i="33"/>
  <c r="B1745" i="33"/>
  <c r="B1746" i="33"/>
  <c r="B1747" i="33"/>
  <c r="B1748" i="33"/>
  <c r="B1749" i="33"/>
  <c r="B1750" i="33"/>
  <c r="B1751" i="33"/>
  <c r="B1752" i="33"/>
  <c r="B1753" i="33"/>
  <c r="B1754" i="33"/>
  <c r="B1755" i="33"/>
  <c r="B1756" i="33"/>
  <c r="B1757" i="33"/>
  <c r="B1758" i="33"/>
  <c r="B1759" i="33"/>
  <c r="B1760" i="33"/>
  <c r="B1761" i="33"/>
  <c r="B1762" i="33"/>
  <c r="B1763" i="33"/>
  <c r="B1764" i="33"/>
  <c r="B1765" i="33"/>
  <c r="B1766" i="33"/>
  <c r="B1767" i="33"/>
  <c r="B1768" i="33"/>
  <c r="B1769" i="33"/>
  <c r="B1770" i="33"/>
  <c r="B1771" i="33"/>
  <c r="B1772" i="33"/>
  <c r="B1773" i="33"/>
  <c r="B1774" i="33"/>
  <c r="B1775" i="33"/>
  <c r="B1776" i="33"/>
  <c r="B1777" i="33"/>
  <c r="B1778" i="33"/>
  <c r="B1779" i="33"/>
  <c r="B1780" i="33"/>
  <c r="B1781" i="33"/>
  <c r="B1782" i="33"/>
  <c r="B1783" i="33"/>
  <c r="B1784" i="33"/>
  <c r="B1785" i="33"/>
  <c r="B1786" i="33"/>
  <c r="B1787" i="33"/>
  <c r="B1788" i="33"/>
  <c r="B1789" i="33"/>
  <c r="B1790" i="33"/>
  <c r="B1791" i="33"/>
  <c r="B1792" i="33"/>
  <c r="B1793" i="33"/>
  <c r="B1794" i="33"/>
  <c r="B1795" i="33"/>
  <c r="B1796" i="33"/>
  <c r="B1797" i="33"/>
  <c r="B1798" i="33"/>
  <c r="B1799" i="33"/>
  <c r="B1800" i="33"/>
  <c r="B1801" i="33"/>
  <c r="B1802" i="33"/>
  <c r="B1803" i="33"/>
  <c r="B1804" i="33"/>
  <c r="B1805" i="33"/>
  <c r="B1806" i="33"/>
  <c r="B1807" i="33"/>
  <c r="B1808" i="33"/>
  <c r="B1809" i="33"/>
  <c r="B1810" i="33"/>
  <c r="B1811" i="33"/>
  <c r="B1812" i="33"/>
  <c r="B1813" i="33"/>
  <c r="B1814" i="33"/>
  <c r="B1815" i="33"/>
  <c r="B1816" i="33"/>
  <c r="B1817" i="33"/>
  <c r="B1818" i="33"/>
  <c r="B1819" i="33"/>
  <c r="B1820" i="33"/>
  <c r="B1821" i="33"/>
  <c r="B1822" i="33"/>
  <c r="B1823" i="33"/>
  <c r="B1824" i="33"/>
  <c r="B1825" i="33"/>
  <c r="B1826" i="33"/>
  <c r="B1827" i="33"/>
  <c r="B1828" i="33"/>
  <c r="B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591" i="37"/>
  <c r="B1590" i="37"/>
  <c r="B1589" i="37"/>
  <c r="B1588" i="37"/>
  <c r="B1587" i="37"/>
  <c r="B1586" i="37"/>
  <c r="B1585" i="37"/>
  <c r="B1584" i="37"/>
  <c r="B1583" i="37"/>
  <c r="B1582" i="37"/>
  <c r="B1581" i="37"/>
  <c r="B1580" i="37"/>
  <c r="B1579" i="37"/>
  <c r="B1578" i="37"/>
  <c r="B1577" i="37"/>
  <c r="B1576" i="37"/>
  <c r="B1575" i="37"/>
  <c r="B1574" i="37"/>
  <c r="B1573" i="37"/>
  <c r="B1572" i="37"/>
  <c r="B1571" i="37"/>
  <c r="B1570" i="37"/>
  <c r="B1569" i="37"/>
  <c r="B1568" i="37"/>
  <c r="B1567" i="37"/>
  <c r="B1566" i="37"/>
  <c r="B1565" i="37"/>
  <c r="B1564" i="37"/>
  <c r="B1563" i="37"/>
  <c r="B1562" i="37"/>
  <c r="B1561" i="37"/>
  <c r="B1560" i="37"/>
  <c r="B1559" i="37"/>
  <c r="B1558" i="37"/>
  <c r="B1557" i="37"/>
  <c r="B1556" i="37"/>
  <c r="B1555" i="37"/>
  <c r="B1554" i="37"/>
  <c r="B1553" i="37"/>
  <c r="B1552" i="37"/>
  <c r="B1551" i="37"/>
  <c r="B1550" i="37"/>
  <c r="B1549" i="37"/>
  <c r="B1548" i="37"/>
  <c r="B1547" i="37"/>
  <c r="B1546" i="37"/>
  <c r="B1545" i="37"/>
  <c r="B1544" i="37"/>
  <c r="B1543" i="37"/>
  <c r="B1542" i="37"/>
  <c r="B1541" i="37"/>
  <c r="B1540" i="37"/>
  <c r="B1539" i="37"/>
  <c r="B1538" i="37"/>
  <c r="B1537" i="37"/>
  <c r="B1536" i="37"/>
  <c r="B1535" i="37"/>
  <c r="B1534" i="37"/>
  <c r="B1533" i="37"/>
  <c r="B1532" i="37"/>
  <c r="B1531" i="37"/>
  <c r="B1530" i="37"/>
  <c r="B1529" i="37"/>
  <c r="B1528" i="37"/>
  <c r="B1527" i="37"/>
  <c r="B1526" i="37"/>
  <c r="B1525" i="37"/>
  <c r="B1524" i="37"/>
  <c r="B1523" i="37"/>
  <c r="B1522" i="37"/>
  <c r="B1521" i="37"/>
  <c r="B1520" i="37"/>
  <c r="B1519" i="37"/>
  <c r="B1518" i="37"/>
  <c r="B1517" i="37"/>
  <c r="B1516" i="37"/>
  <c r="B1515" i="37"/>
  <c r="B1514" i="37"/>
  <c r="B1513" i="37"/>
  <c r="B1512" i="37"/>
  <c r="B1511" i="37"/>
  <c r="B1510" i="37"/>
  <c r="B1509" i="37"/>
  <c r="B1508" i="37"/>
  <c r="B1507" i="37"/>
  <c r="B1506" i="37"/>
  <c r="B1505" i="37"/>
  <c r="B1504" i="37"/>
  <c r="B1503" i="37"/>
  <c r="B1502" i="37"/>
  <c r="B1501" i="37"/>
  <c r="B1500" i="37"/>
  <c r="B1499" i="37"/>
  <c r="B1498" i="37"/>
  <c r="B1497" i="37"/>
  <c r="B1496" i="37"/>
  <c r="B1495" i="37"/>
  <c r="B1494" i="37"/>
  <c r="B1493" i="37"/>
  <c r="B1492" i="37"/>
  <c r="B1491" i="37"/>
  <c r="B1490" i="37"/>
  <c r="B1489" i="37"/>
  <c r="B1488" i="37"/>
  <c r="B1487" i="37"/>
  <c r="B1486" i="37"/>
  <c r="B1485" i="37"/>
  <c r="B1484" i="37"/>
  <c r="B1483" i="37"/>
  <c r="B1482" i="37"/>
  <c r="B1481" i="37"/>
  <c r="B1480" i="37"/>
  <c r="B1479" i="37"/>
  <c r="B1478" i="37"/>
  <c r="B1477" i="37"/>
  <c r="B1476" i="37"/>
  <c r="B1475" i="37"/>
  <c r="B1474" i="37"/>
  <c r="B1473" i="37"/>
  <c r="B1472" i="37"/>
  <c r="B1471" i="37"/>
  <c r="B1470" i="37"/>
  <c r="B1469" i="37"/>
  <c r="B1468" i="37"/>
  <c r="B1467" i="37"/>
  <c r="B1466" i="37"/>
  <c r="B1465" i="37"/>
  <c r="B1464" i="37"/>
  <c r="B1463" i="37"/>
  <c r="B1462" i="37"/>
  <c r="B1461" i="37"/>
  <c r="B1460" i="37"/>
  <c r="B1459" i="37"/>
  <c r="B1458" i="37"/>
  <c r="B1457" i="37"/>
  <c r="B1456" i="37"/>
  <c r="B1455" i="37"/>
  <c r="B1454" i="37"/>
  <c r="B1453" i="37"/>
  <c r="B1452" i="37"/>
  <c r="B1451" i="37"/>
  <c r="B1450" i="37"/>
  <c r="B1449" i="37"/>
  <c r="B1448" i="37"/>
  <c r="B1447" i="37"/>
  <c r="B1446" i="37"/>
  <c r="B1445" i="37"/>
  <c r="B1444" i="37"/>
  <c r="B1443" i="37"/>
  <c r="B1442" i="37"/>
  <c r="B1441" i="37"/>
  <c r="B1440" i="37"/>
  <c r="B1439" i="37"/>
  <c r="B1438" i="37"/>
  <c r="B1437" i="37"/>
  <c r="B1436" i="37"/>
  <c r="B1435" i="37"/>
  <c r="B1434" i="37"/>
  <c r="B1433" i="37"/>
  <c r="B1432" i="37"/>
  <c r="B1431" i="37"/>
  <c r="B1430" i="37"/>
  <c r="B1429" i="37"/>
  <c r="B1428" i="37"/>
  <c r="B1427" i="37"/>
  <c r="B1426" i="37"/>
  <c r="B1425" i="37"/>
  <c r="B1424" i="37"/>
  <c r="B1423" i="37"/>
  <c r="B1422" i="37"/>
  <c r="B1421" i="37"/>
  <c r="B1420" i="37"/>
  <c r="B1419" i="37"/>
  <c r="B1418" i="37"/>
  <c r="B1417" i="37"/>
  <c r="B1416" i="37"/>
  <c r="B1415" i="37"/>
  <c r="B1414" i="37"/>
  <c r="B1413" i="37"/>
  <c r="B1412" i="37"/>
  <c r="B1411" i="37"/>
  <c r="B1410" i="37"/>
  <c r="B1409" i="37"/>
  <c r="B1408" i="37"/>
  <c r="B1407" i="37"/>
  <c r="B1406" i="37"/>
  <c r="B1405" i="37"/>
  <c r="B1404" i="37"/>
  <c r="B1403" i="37"/>
  <c r="B1402" i="37"/>
  <c r="B1401" i="37"/>
  <c r="B1400" i="37"/>
  <c r="B1399" i="37"/>
  <c r="B1398" i="37"/>
  <c r="B1397" i="37"/>
  <c r="B1396" i="37"/>
  <c r="B1395" i="37"/>
  <c r="B1394" i="37"/>
  <c r="B1393" i="37"/>
  <c r="B1392" i="37"/>
  <c r="B1391" i="37"/>
  <c r="B1390" i="37"/>
  <c r="B1389" i="37"/>
  <c r="B1388" i="37"/>
  <c r="B1387" i="37"/>
  <c r="B1386" i="37"/>
  <c r="B1385" i="37"/>
  <c r="B1384" i="37"/>
  <c r="B1383" i="37"/>
  <c r="B1382" i="37"/>
  <c r="B1381" i="37"/>
  <c r="B1380" i="37"/>
  <c r="B1379" i="37"/>
  <c r="B1378" i="37"/>
  <c r="B1377" i="37"/>
  <c r="B1376" i="37"/>
  <c r="B1375" i="37"/>
  <c r="B1374" i="37"/>
  <c r="B1373" i="37"/>
  <c r="B1372" i="37"/>
  <c r="B1371" i="37"/>
  <c r="B1370" i="37"/>
  <c r="B1369" i="37"/>
  <c r="B1368" i="37"/>
  <c r="B1367" i="37"/>
  <c r="B1366" i="37"/>
  <c r="B1365" i="37"/>
  <c r="B1364" i="37"/>
  <c r="B1363" i="37"/>
  <c r="B1362" i="37"/>
  <c r="B1361" i="37"/>
  <c r="B1360" i="37"/>
  <c r="B1359" i="37"/>
  <c r="B1358" i="37"/>
  <c r="B1357" i="37"/>
  <c r="B1356" i="37"/>
  <c r="B1355" i="37"/>
  <c r="B1354" i="37"/>
  <c r="B1353" i="37"/>
  <c r="B1352" i="37"/>
  <c r="B1351" i="37"/>
  <c r="B1350" i="37"/>
  <c r="B1349" i="37"/>
  <c r="B1348" i="37"/>
  <c r="B1347" i="37"/>
  <c r="B1346" i="37"/>
  <c r="B1345" i="37"/>
  <c r="B1344" i="37"/>
  <c r="B1343" i="37"/>
  <c r="B1342" i="37"/>
  <c r="B1341" i="37"/>
  <c r="B1340" i="37"/>
  <c r="B1339" i="37"/>
  <c r="B1338" i="37"/>
  <c r="B1337" i="37"/>
  <c r="B1336" i="37"/>
  <c r="B1335" i="37"/>
  <c r="B1334" i="37"/>
  <c r="B1333" i="37"/>
  <c r="B1332" i="37"/>
  <c r="B1331" i="37"/>
  <c r="B1330" i="37"/>
  <c r="B1329" i="37"/>
  <c r="B1328" i="37"/>
  <c r="B1327" i="37"/>
  <c r="B1326" i="37"/>
  <c r="B1325" i="37"/>
  <c r="B1324" i="37"/>
  <c r="B1323" i="37"/>
  <c r="B1322" i="37"/>
  <c r="B1321" i="37"/>
  <c r="B1320" i="37"/>
  <c r="B1319" i="37"/>
  <c r="B1318" i="37"/>
  <c r="B1317" i="37"/>
  <c r="B1316" i="37"/>
  <c r="B1315" i="37"/>
  <c r="B1314" i="37"/>
  <c r="B1313" i="37"/>
  <c r="B1312" i="37"/>
  <c r="B1311" i="37"/>
  <c r="B1310" i="37"/>
  <c r="B1309" i="37"/>
  <c r="B1308" i="37"/>
  <c r="B1307" i="37"/>
  <c r="B1306" i="37"/>
  <c r="B1305" i="37"/>
  <c r="B1304" i="37"/>
  <c r="B1303" i="37"/>
  <c r="B1302" i="37"/>
  <c r="B1301" i="37"/>
  <c r="B1300" i="37"/>
  <c r="B1299" i="37"/>
  <c r="B1298" i="37"/>
  <c r="B1297" i="37"/>
  <c r="B1296" i="37"/>
  <c r="B1295" i="37"/>
  <c r="B1294" i="37"/>
  <c r="B1293" i="37"/>
  <c r="B1292" i="37"/>
  <c r="B1291" i="37"/>
  <c r="B1290" i="37"/>
  <c r="B1289" i="37"/>
  <c r="B1288" i="37"/>
  <c r="B1287" i="37"/>
  <c r="B1286" i="37"/>
  <c r="B1285" i="37"/>
  <c r="B1284" i="37"/>
  <c r="B1283" i="37"/>
  <c r="B1282" i="37"/>
  <c r="B1281" i="37"/>
  <c r="B1280" i="37"/>
  <c r="B1279" i="37"/>
  <c r="B1278" i="37"/>
  <c r="B1277" i="37"/>
  <c r="B1276" i="37"/>
  <c r="B1275" i="37"/>
  <c r="B1274" i="37"/>
  <c r="B1273" i="37"/>
  <c r="B1272" i="37"/>
  <c r="B1271" i="37"/>
  <c r="B1270" i="37"/>
  <c r="B1269" i="37"/>
  <c r="B1268" i="37"/>
  <c r="B1267" i="37"/>
  <c r="B1266" i="37"/>
  <c r="B1265" i="37"/>
  <c r="B1264" i="37"/>
  <c r="B1263" i="37"/>
  <c r="B1262" i="37"/>
  <c r="B1261" i="37"/>
  <c r="B1260" i="37"/>
  <c r="B1259" i="37"/>
  <c r="B1258" i="37"/>
  <c r="B1257" i="37"/>
  <c r="B1256" i="37"/>
  <c r="B1255" i="37"/>
  <c r="B1254" i="37"/>
  <c r="B1253" i="37"/>
  <c r="B1252" i="37"/>
  <c r="B1251" i="37"/>
  <c r="B1250" i="37"/>
  <c r="B1249" i="37"/>
  <c r="B1248" i="37"/>
  <c r="B1247" i="37"/>
  <c r="B1246" i="37"/>
  <c r="B1245" i="37"/>
  <c r="B1244" i="37"/>
  <c r="B1243" i="37"/>
  <c r="B1242" i="37"/>
  <c r="B1241" i="37"/>
  <c r="B1240" i="37"/>
  <c r="B1239" i="37"/>
  <c r="B1238" i="37"/>
  <c r="B1237" i="37"/>
  <c r="B1236" i="37"/>
  <c r="B1235" i="37"/>
  <c r="B1234" i="37"/>
  <c r="B1233" i="37"/>
  <c r="B1232" i="37"/>
  <c r="B1231" i="37"/>
  <c r="B1230" i="37"/>
  <c r="B1229" i="37"/>
  <c r="B1228" i="37"/>
  <c r="B1227" i="37"/>
  <c r="B1226" i="37"/>
  <c r="B1225" i="37"/>
  <c r="B1224" i="37"/>
  <c r="B1223" i="37"/>
  <c r="B1222" i="37"/>
  <c r="B1221" i="37"/>
  <c r="B1220" i="37"/>
  <c r="B1219" i="37"/>
  <c r="B1218" i="37"/>
  <c r="B1217" i="37"/>
  <c r="B1216" i="37"/>
  <c r="B1215" i="37"/>
  <c r="B1214" i="37"/>
  <c r="B1213" i="37"/>
  <c r="B1212" i="37"/>
  <c r="B1211" i="37"/>
  <c r="B1210" i="37"/>
  <c r="B1209" i="37"/>
  <c r="B1208" i="37"/>
  <c r="B1207" i="37"/>
  <c r="B1206" i="37"/>
  <c r="B1205" i="37"/>
  <c r="B1204" i="37"/>
  <c r="B1203" i="37"/>
  <c r="B1202" i="37"/>
  <c r="B1201" i="37"/>
  <c r="B1200" i="37"/>
  <c r="B1199" i="37"/>
  <c r="B1198" i="37"/>
  <c r="B1197" i="37"/>
  <c r="B1196" i="37"/>
  <c r="B1195" i="37"/>
  <c r="B1194" i="37"/>
  <c r="B1193" i="37"/>
  <c r="B1192" i="37"/>
  <c r="B1191" i="37"/>
  <c r="B1190" i="37"/>
  <c r="B1189" i="37"/>
  <c r="B1188" i="37"/>
  <c r="B1187" i="37"/>
  <c r="B1186" i="37"/>
  <c r="B1185" i="37"/>
  <c r="B1184" i="37"/>
  <c r="B1183" i="37"/>
  <c r="B1182" i="37"/>
  <c r="B1181" i="37"/>
  <c r="B1180" i="37"/>
  <c r="B1179" i="37"/>
  <c r="B1178" i="37"/>
  <c r="B1177" i="37"/>
  <c r="B1176" i="37"/>
  <c r="B1175" i="37"/>
  <c r="B1174" i="37"/>
  <c r="B1173" i="37"/>
  <c r="B1172" i="37"/>
  <c r="B1171" i="37"/>
  <c r="B1170" i="37"/>
  <c r="B1169" i="37"/>
  <c r="B1168" i="37"/>
  <c r="B1167" i="37"/>
  <c r="B1166" i="37"/>
  <c r="B1165" i="37"/>
  <c r="B1164" i="37"/>
  <c r="B1163" i="37"/>
  <c r="B1162" i="37"/>
  <c r="B1161" i="37"/>
  <c r="B1160" i="37"/>
  <c r="B1159" i="37"/>
  <c r="B1158" i="37"/>
  <c r="B1157" i="37"/>
  <c r="B1156" i="37"/>
  <c r="B1155" i="37"/>
  <c r="B1154" i="37"/>
  <c r="B1153" i="37"/>
  <c r="B1152" i="37"/>
  <c r="B1151" i="37"/>
  <c r="B1150" i="37"/>
  <c r="B1149" i="37"/>
  <c r="B1148" i="37"/>
  <c r="B1147" i="37"/>
  <c r="B1146" i="37"/>
  <c r="B1145" i="37"/>
  <c r="B1144" i="37"/>
  <c r="B1143" i="37"/>
  <c r="B1142" i="37"/>
  <c r="B1141" i="37"/>
  <c r="B1140" i="37"/>
  <c r="B1139" i="37"/>
  <c r="B1138" i="37"/>
  <c r="B1137" i="37"/>
  <c r="B1136" i="37"/>
  <c r="B1135" i="37"/>
  <c r="B1134" i="37"/>
  <c r="B1133" i="37"/>
  <c r="B1132" i="37"/>
  <c r="B1131" i="37"/>
  <c r="B1130" i="37"/>
  <c r="B1129" i="37"/>
  <c r="B1128" i="37"/>
  <c r="B1127" i="37"/>
  <c r="B1126" i="37"/>
  <c r="B1125" i="37"/>
  <c r="B1124" i="37"/>
  <c r="B1123" i="37"/>
  <c r="B1122" i="37"/>
  <c r="B1121" i="37"/>
  <c r="B1120" i="37"/>
  <c r="B1119" i="37"/>
  <c r="B1118" i="37"/>
  <c r="B1117" i="37"/>
  <c r="B1116" i="37"/>
  <c r="B1115" i="37"/>
  <c r="B1114" i="37"/>
  <c r="B1113" i="37"/>
  <c r="B1112" i="37"/>
  <c r="B1111" i="37"/>
  <c r="B1110" i="37"/>
  <c r="B1109" i="37"/>
  <c r="B1108" i="37"/>
  <c r="B1107" i="37"/>
  <c r="B1106" i="37"/>
  <c r="B1105" i="37"/>
  <c r="B1104" i="37"/>
  <c r="B1103" i="37"/>
  <c r="B1102" i="37"/>
  <c r="B1101" i="37"/>
  <c r="B1100" i="37"/>
  <c r="B1099" i="37"/>
  <c r="B1098" i="37"/>
  <c r="B1097" i="37"/>
  <c r="B1096" i="37"/>
  <c r="B1095" i="37"/>
  <c r="B1094" i="37"/>
  <c r="B1093" i="37"/>
  <c r="B1092" i="37"/>
  <c r="B1091" i="37"/>
  <c r="B1090" i="37"/>
  <c r="B1089" i="37"/>
  <c r="B1088" i="37"/>
  <c r="B1087" i="37"/>
  <c r="B1086" i="37"/>
  <c r="B1085" i="37"/>
  <c r="B1084" i="37"/>
  <c r="B1083" i="37"/>
  <c r="B1082" i="37"/>
  <c r="B1081" i="37"/>
  <c r="B1080" i="37"/>
  <c r="B1079" i="37"/>
  <c r="B1078" i="37"/>
  <c r="B1077" i="37"/>
  <c r="B1076" i="37"/>
  <c r="B1075" i="37"/>
  <c r="B1074" i="37"/>
  <c r="B1073" i="37"/>
  <c r="B1072" i="37"/>
  <c r="B1071" i="37"/>
  <c r="B1070" i="37"/>
  <c r="B1069" i="37"/>
  <c r="B1068" i="37"/>
  <c r="B1067" i="37"/>
  <c r="B1066" i="37"/>
  <c r="B1065" i="37"/>
  <c r="B1064" i="37"/>
  <c r="B1063" i="37"/>
  <c r="B1062" i="37"/>
  <c r="B1061" i="37"/>
  <c r="B1060" i="37"/>
  <c r="B1059" i="37"/>
  <c r="B1058" i="37"/>
  <c r="B1057" i="37"/>
  <c r="B1056" i="37"/>
  <c r="B1055" i="37"/>
  <c r="B1054" i="37"/>
  <c r="B1053" i="37"/>
  <c r="B1052" i="37"/>
  <c r="B1051" i="37"/>
  <c r="B1050" i="37"/>
  <c r="B1049" i="37"/>
  <c r="B1048" i="37"/>
  <c r="B1047" i="37"/>
  <c r="B1046" i="37"/>
  <c r="B1045" i="37"/>
  <c r="B1044" i="37"/>
  <c r="B1043" i="37"/>
  <c r="B1042" i="37"/>
  <c r="B1041" i="37"/>
  <c r="B1040" i="37"/>
  <c r="B1039" i="37"/>
  <c r="B1038" i="37"/>
  <c r="B1037" i="37"/>
  <c r="B1036" i="37"/>
  <c r="B1035" i="37"/>
  <c r="B1034" i="37"/>
  <c r="B1033" i="37"/>
  <c r="B1032" i="37"/>
  <c r="B1031" i="37"/>
  <c r="B1030" i="37"/>
  <c r="B1029" i="37"/>
  <c r="B1028" i="37"/>
  <c r="B1027" i="37"/>
  <c r="B1026" i="37"/>
  <c r="B1025" i="37"/>
  <c r="B1024" i="37"/>
  <c r="B1023" i="37"/>
  <c r="B1022" i="37"/>
  <c r="B1021" i="37"/>
  <c r="B1020" i="37"/>
  <c r="B1019" i="37"/>
  <c r="B1018" i="37"/>
  <c r="B1017" i="37"/>
  <c r="B1016" i="37"/>
  <c r="B1015" i="37"/>
  <c r="B1014" i="37"/>
  <c r="B1013" i="37"/>
  <c r="B1012" i="37"/>
  <c r="B1011" i="37"/>
  <c r="B1010" i="37"/>
  <c r="B1009" i="37"/>
  <c r="B1008" i="37"/>
  <c r="B1007" i="37"/>
  <c r="B1006" i="37"/>
  <c r="B1005" i="37"/>
  <c r="B1004" i="37"/>
  <c r="B1003" i="37"/>
  <c r="B1002" i="37"/>
  <c r="B1001" i="37"/>
  <c r="B1000" i="37"/>
  <c r="B999" i="37"/>
  <c r="B998" i="37"/>
  <c r="B997" i="37"/>
  <c r="B996" i="37"/>
  <c r="B995" i="37"/>
  <c r="B994" i="37"/>
  <c r="B993" i="37"/>
  <c r="B992" i="37"/>
  <c r="B991" i="37"/>
  <c r="B990" i="37"/>
  <c r="B989" i="37"/>
  <c r="B988" i="37"/>
  <c r="B987" i="37"/>
  <c r="B986" i="37"/>
  <c r="B985" i="37"/>
  <c r="B984" i="37"/>
  <c r="B983" i="37"/>
  <c r="B982" i="37"/>
  <c r="B981" i="37"/>
  <c r="B980" i="37"/>
  <c r="B979" i="37"/>
  <c r="B978" i="37"/>
  <c r="B977" i="37"/>
  <c r="B976" i="37"/>
  <c r="B975" i="37"/>
  <c r="B974" i="37"/>
  <c r="B973" i="37"/>
  <c r="B972" i="37"/>
  <c r="B971" i="37"/>
  <c r="B970" i="37"/>
  <c r="B969" i="37"/>
  <c r="B968" i="37"/>
  <c r="B967" i="37"/>
  <c r="B966" i="37"/>
  <c r="B965" i="37"/>
  <c r="B964" i="37"/>
  <c r="B963" i="37"/>
  <c r="B962" i="37"/>
  <c r="B961" i="37"/>
  <c r="B960" i="37"/>
  <c r="B959" i="37"/>
  <c r="B958" i="37"/>
  <c r="B957" i="37"/>
  <c r="B956" i="37"/>
  <c r="B955" i="37"/>
  <c r="B954" i="37"/>
  <c r="B953" i="37"/>
  <c r="B952" i="37"/>
  <c r="B951" i="37"/>
  <c r="B950" i="37"/>
  <c r="B949" i="37"/>
  <c r="B948" i="37"/>
  <c r="B947" i="37"/>
  <c r="B946" i="37"/>
  <c r="B945" i="37"/>
  <c r="B944" i="37"/>
  <c r="B943" i="37"/>
  <c r="B942" i="37"/>
  <c r="B941" i="37"/>
  <c r="B940" i="37"/>
  <c r="B939" i="37"/>
  <c r="B938" i="37"/>
  <c r="B937" i="37"/>
  <c r="B936" i="37"/>
  <c r="B935" i="37"/>
  <c r="B934" i="37"/>
  <c r="B933" i="37"/>
  <c r="B932" i="37"/>
  <c r="B931" i="37"/>
  <c r="B930" i="37"/>
  <c r="B929" i="37"/>
  <c r="B928" i="37"/>
  <c r="B927" i="37"/>
  <c r="B926" i="37"/>
  <c r="B925" i="37"/>
  <c r="B924" i="37"/>
  <c r="B923" i="37"/>
  <c r="B922" i="37"/>
  <c r="B921" i="37"/>
  <c r="B920" i="37"/>
  <c r="B919" i="37"/>
  <c r="B918" i="37"/>
  <c r="B917" i="37"/>
  <c r="B916" i="37"/>
  <c r="B915" i="37"/>
  <c r="B914" i="37"/>
  <c r="B913" i="37"/>
  <c r="B912" i="37"/>
  <c r="B911" i="37"/>
  <c r="B910" i="37"/>
  <c r="B909" i="37"/>
  <c r="B908" i="37"/>
  <c r="B907" i="37"/>
  <c r="B906" i="37"/>
  <c r="B905" i="37"/>
  <c r="B904" i="37"/>
  <c r="B903" i="37"/>
  <c r="B902" i="37"/>
  <c r="B901" i="37"/>
  <c r="B900" i="37"/>
  <c r="B899" i="37"/>
  <c r="B898" i="37"/>
  <c r="B897" i="37"/>
  <c r="B896" i="37"/>
  <c r="B895" i="37"/>
  <c r="B894" i="37"/>
  <c r="B893" i="37"/>
  <c r="B892" i="37"/>
  <c r="B891" i="37"/>
  <c r="B890" i="37"/>
  <c r="B889" i="37"/>
  <c r="B888" i="37"/>
  <c r="B887" i="37"/>
  <c r="B886" i="37"/>
  <c r="B885" i="37"/>
  <c r="B884" i="37"/>
  <c r="B883" i="37"/>
  <c r="B882" i="37"/>
  <c r="B881" i="37"/>
  <c r="B880" i="37"/>
  <c r="B879" i="37"/>
  <c r="B878" i="37"/>
  <c r="B877" i="37"/>
  <c r="B876" i="37"/>
  <c r="B875" i="37"/>
  <c r="B874" i="37"/>
  <c r="B873" i="37"/>
  <c r="B872" i="37"/>
  <c r="B871" i="37"/>
  <c r="B870" i="37"/>
  <c r="B869" i="37"/>
  <c r="B868" i="37"/>
  <c r="B867" i="37"/>
  <c r="B866" i="37"/>
  <c r="B865" i="37"/>
  <c r="B864" i="37"/>
  <c r="B863" i="37"/>
  <c r="B862" i="37"/>
  <c r="B861" i="37"/>
  <c r="B860" i="37"/>
  <c r="B859" i="37"/>
  <c r="B858" i="37"/>
  <c r="B857" i="37"/>
  <c r="B856" i="37"/>
  <c r="B855" i="37"/>
  <c r="B854" i="37"/>
  <c r="B853" i="37"/>
  <c r="B852" i="37"/>
  <c r="B851" i="37"/>
  <c r="B850" i="37"/>
  <c r="B849" i="37"/>
  <c r="B848" i="37"/>
  <c r="B847" i="37"/>
  <c r="B846" i="37"/>
  <c r="B845" i="37"/>
  <c r="B844" i="37"/>
  <c r="B843" i="37"/>
  <c r="B842" i="37"/>
  <c r="B841" i="37"/>
  <c r="B840" i="37"/>
  <c r="B839" i="37"/>
  <c r="B838" i="37"/>
  <c r="B837" i="37"/>
  <c r="B836" i="37"/>
  <c r="B835" i="37"/>
  <c r="B834" i="37"/>
  <c r="B833" i="37"/>
  <c r="B832" i="37"/>
  <c r="B831" i="37"/>
  <c r="B830" i="37"/>
  <c r="B829" i="37"/>
  <c r="B828" i="37"/>
  <c r="B827" i="37"/>
  <c r="B826" i="37"/>
  <c r="B825" i="37"/>
  <c r="B824" i="37"/>
  <c r="B823" i="37"/>
  <c r="B822" i="37"/>
  <c r="B821" i="37"/>
  <c r="B820" i="37"/>
  <c r="B819" i="37"/>
  <c r="B818" i="37"/>
  <c r="B817" i="37"/>
  <c r="B816" i="37"/>
  <c r="B815" i="37"/>
  <c r="B814" i="37"/>
  <c r="B813" i="37"/>
  <c r="B812" i="37"/>
  <c r="B811" i="37"/>
  <c r="B810" i="37"/>
  <c r="B809" i="37"/>
  <c r="B808" i="37"/>
  <c r="B807" i="37"/>
  <c r="B806" i="37"/>
  <c r="B805" i="37"/>
  <c r="B804" i="37"/>
  <c r="B803" i="37"/>
  <c r="B802" i="37"/>
  <c r="B801" i="37"/>
  <c r="B800" i="37"/>
  <c r="B799" i="37"/>
  <c r="B798" i="37"/>
  <c r="B797" i="37"/>
  <c r="B796" i="37"/>
  <c r="B795" i="37"/>
  <c r="B794" i="37"/>
  <c r="B793" i="37"/>
  <c r="B792" i="37"/>
  <c r="B791" i="37"/>
  <c r="B790" i="37"/>
  <c r="B789" i="37"/>
  <c r="B788" i="37"/>
  <c r="B787" i="37"/>
  <c r="B786" i="37"/>
  <c r="B785" i="37"/>
  <c r="B784" i="37"/>
  <c r="B783" i="37"/>
  <c r="B782" i="37"/>
  <c r="B781" i="37"/>
  <c r="B780" i="37"/>
  <c r="B779" i="37"/>
  <c r="B778" i="37"/>
  <c r="B777" i="37"/>
  <c r="B776" i="37"/>
  <c r="B775" i="37"/>
  <c r="B774" i="37"/>
  <c r="B773" i="37"/>
  <c r="B772" i="37"/>
  <c r="B771" i="37"/>
  <c r="B770" i="37"/>
  <c r="B769" i="37"/>
  <c r="B768" i="37"/>
  <c r="B767" i="37"/>
  <c r="B766" i="37"/>
  <c r="B765" i="37"/>
  <c r="B764" i="37"/>
  <c r="B763" i="37"/>
  <c r="B762" i="37"/>
  <c r="B761" i="37"/>
  <c r="B760" i="37"/>
  <c r="B759" i="37"/>
  <c r="B758" i="37"/>
  <c r="B757" i="37"/>
  <c r="B756" i="37"/>
  <c r="B755" i="37"/>
  <c r="B754" i="37"/>
  <c r="B753" i="37"/>
  <c r="B752" i="37"/>
  <c r="B751" i="37"/>
  <c r="B750" i="37"/>
  <c r="B749" i="37"/>
  <c r="B748" i="37"/>
  <c r="B747" i="37"/>
  <c r="B746" i="37"/>
  <c r="B745" i="37"/>
  <c r="B744" i="37"/>
  <c r="B743" i="37"/>
  <c r="B742" i="37"/>
  <c r="B741" i="37"/>
  <c r="B740" i="37"/>
  <c r="B739" i="37"/>
  <c r="B738" i="37"/>
  <c r="B737" i="37"/>
  <c r="B736" i="37"/>
  <c r="B735" i="37"/>
  <c r="B734" i="37"/>
  <c r="B733" i="37"/>
  <c r="B732" i="37"/>
  <c r="B731" i="37"/>
  <c r="B730" i="37"/>
  <c r="B729" i="37"/>
  <c r="B728" i="37"/>
  <c r="B727" i="37"/>
  <c r="B726" i="37"/>
  <c r="B725" i="37"/>
  <c r="B724" i="37"/>
  <c r="B723" i="37"/>
  <c r="B722" i="37"/>
  <c r="B721" i="37"/>
  <c r="B720" i="37"/>
  <c r="B719" i="37"/>
  <c r="B718" i="37"/>
  <c r="B717" i="37"/>
  <c r="B716" i="37"/>
  <c r="B715" i="37"/>
  <c r="B714" i="37"/>
  <c r="B713" i="37"/>
  <c r="B712" i="37"/>
  <c r="B711" i="37"/>
  <c r="B710" i="37"/>
  <c r="B709" i="37"/>
  <c r="B708" i="37"/>
  <c r="B707" i="37"/>
  <c r="B706" i="37"/>
  <c r="B705" i="37"/>
  <c r="B704" i="37"/>
  <c r="B703" i="37"/>
  <c r="B702" i="37"/>
  <c r="B701" i="37"/>
  <c r="B700" i="37"/>
  <c r="B699" i="37"/>
  <c r="B698" i="37"/>
  <c r="B697" i="37"/>
  <c r="B696" i="37"/>
  <c r="B695" i="37"/>
  <c r="B694" i="37"/>
  <c r="B693" i="37"/>
  <c r="B692" i="37"/>
  <c r="B691" i="37"/>
  <c r="B690" i="37"/>
  <c r="B689" i="37"/>
  <c r="B688" i="37"/>
  <c r="B687" i="37"/>
  <c r="B686" i="37"/>
  <c r="B685" i="37"/>
  <c r="B684" i="37"/>
  <c r="B683" i="37"/>
  <c r="B682" i="37"/>
  <c r="B681" i="37"/>
  <c r="B680" i="37"/>
  <c r="B679" i="37"/>
  <c r="B678" i="37"/>
  <c r="B677" i="37"/>
  <c r="B676" i="37"/>
  <c r="B675" i="37"/>
  <c r="B674" i="37"/>
  <c r="B673" i="37"/>
  <c r="B672" i="37"/>
  <c r="B671" i="37"/>
  <c r="B670" i="37"/>
  <c r="B669" i="37"/>
  <c r="B668" i="37"/>
  <c r="B667" i="37"/>
  <c r="B666" i="37"/>
  <c r="B665" i="37"/>
  <c r="B664" i="37"/>
  <c r="B663" i="37"/>
  <c r="B662" i="37"/>
  <c r="B661" i="37"/>
  <c r="B660" i="37"/>
  <c r="B659" i="37"/>
  <c r="B658" i="37"/>
  <c r="B657" i="37"/>
  <c r="B656" i="37"/>
  <c r="B655" i="37"/>
  <c r="B654" i="37"/>
  <c r="B653" i="37"/>
  <c r="B652" i="37"/>
  <c r="B651" i="37"/>
  <c r="B650" i="37"/>
  <c r="B649" i="37"/>
  <c r="B648" i="37"/>
  <c r="B647" i="37"/>
  <c r="B646" i="37"/>
  <c r="B645" i="37"/>
  <c r="B644" i="37"/>
  <c r="B643" i="37"/>
  <c r="B642" i="37"/>
  <c r="B641" i="37"/>
  <c r="B640" i="37"/>
  <c r="B639" i="37"/>
  <c r="B638" i="37"/>
  <c r="B637" i="37"/>
  <c r="B636" i="37"/>
  <c r="B635" i="37"/>
  <c r="B634" i="37"/>
  <c r="B633" i="37"/>
  <c r="B632" i="37"/>
  <c r="B631" i="37"/>
  <c r="B630" i="37"/>
  <c r="B629" i="37"/>
  <c r="B628" i="37"/>
  <c r="B627" i="37"/>
  <c r="B626" i="37"/>
  <c r="B625" i="37"/>
  <c r="B624" i="37"/>
  <c r="B623" i="37"/>
  <c r="B622" i="37"/>
  <c r="B621" i="37"/>
  <c r="B620" i="37"/>
  <c r="B619" i="37"/>
  <c r="B618" i="37"/>
  <c r="B617" i="37"/>
  <c r="B616" i="37"/>
  <c r="B615" i="37"/>
  <c r="B614" i="37"/>
  <c r="B613" i="37"/>
  <c r="B612" i="37"/>
  <c r="B611" i="37"/>
  <c r="B610" i="37"/>
  <c r="B609" i="37"/>
  <c r="B608" i="37"/>
  <c r="B607" i="37"/>
  <c r="B606" i="37"/>
  <c r="B605" i="37"/>
  <c r="B604" i="37"/>
  <c r="B603" i="37"/>
  <c r="B602" i="37"/>
  <c r="B601" i="37"/>
  <c r="B600" i="37"/>
  <c r="B599" i="37"/>
  <c r="B598" i="37"/>
  <c r="B597" i="37"/>
  <c r="B596" i="37"/>
  <c r="B595" i="37"/>
  <c r="B594" i="37"/>
  <c r="B593" i="37"/>
  <c r="B592" i="37"/>
  <c r="B591" i="37"/>
  <c r="B590" i="37"/>
  <c r="B589" i="37"/>
  <c r="B588" i="37"/>
  <c r="B587" i="37"/>
  <c r="B586" i="37"/>
  <c r="B585" i="37"/>
  <c r="B584" i="37"/>
  <c r="B583" i="37"/>
  <c r="B582" i="37"/>
  <c r="B581" i="37"/>
  <c r="B580" i="37"/>
  <c r="B579" i="37"/>
  <c r="B578" i="37"/>
  <c r="B577" i="37"/>
  <c r="B576" i="37"/>
  <c r="B575" i="37"/>
  <c r="B574" i="37"/>
  <c r="B573" i="37"/>
  <c r="B572" i="37"/>
  <c r="B571" i="37"/>
  <c r="B570" i="37"/>
  <c r="B569" i="37"/>
  <c r="B568" i="37"/>
  <c r="B567" i="37"/>
  <c r="B566" i="37"/>
  <c r="B565" i="37"/>
  <c r="B564" i="37"/>
  <c r="B563" i="37"/>
  <c r="B562" i="37"/>
  <c r="B561" i="37"/>
  <c r="B560" i="37"/>
  <c r="B559" i="37"/>
  <c r="B558" i="37"/>
  <c r="B557" i="37"/>
  <c r="B556" i="37"/>
  <c r="B555" i="37"/>
  <c r="B554" i="37"/>
  <c r="B553" i="37"/>
  <c r="B552" i="37"/>
  <c r="B551" i="37"/>
  <c r="B550" i="37"/>
  <c r="B549" i="37"/>
  <c r="B548" i="37"/>
  <c r="B547" i="37"/>
  <c r="B546" i="37"/>
  <c r="B545" i="37"/>
  <c r="B544" i="37"/>
  <c r="B543" i="37"/>
  <c r="B542" i="37"/>
  <c r="B541" i="37"/>
  <c r="B540" i="37"/>
  <c r="B539" i="37"/>
  <c r="B538" i="37"/>
  <c r="B537" i="37"/>
  <c r="B536" i="37"/>
  <c r="B535" i="37"/>
  <c r="B534" i="37"/>
  <c r="B533" i="37"/>
  <c r="B532" i="37"/>
  <c r="B531" i="37"/>
  <c r="B530" i="37"/>
  <c r="B529" i="37"/>
  <c r="B528" i="37"/>
  <c r="B527" i="37"/>
  <c r="B526" i="37"/>
  <c r="B525" i="37"/>
  <c r="B524" i="37"/>
  <c r="B523" i="37"/>
  <c r="B522" i="37"/>
  <c r="B521" i="37"/>
  <c r="B520" i="37"/>
  <c r="B519" i="37"/>
  <c r="B518" i="37"/>
  <c r="B517" i="37"/>
  <c r="B516" i="37"/>
  <c r="B515" i="37"/>
  <c r="B514" i="37"/>
  <c r="B513" i="37"/>
  <c r="B512" i="37"/>
  <c r="B511" i="37"/>
  <c r="B510" i="37"/>
  <c r="B509" i="37"/>
  <c r="B508" i="37"/>
  <c r="B507" i="37"/>
  <c r="B506" i="37"/>
  <c r="B505" i="37"/>
  <c r="B504" i="37"/>
  <c r="B503" i="37"/>
  <c r="B502" i="37"/>
  <c r="B501" i="37"/>
  <c r="B500" i="37"/>
  <c r="B499" i="37"/>
  <c r="B498" i="37"/>
  <c r="B497" i="37"/>
  <c r="B496" i="37"/>
  <c r="B495" i="37"/>
  <c r="B494" i="37"/>
  <c r="B493" i="37"/>
  <c r="B492" i="37"/>
  <c r="B491" i="37"/>
  <c r="B490" i="37"/>
  <c r="B489" i="37"/>
  <c r="B488" i="37"/>
  <c r="B487" i="37"/>
  <c r="B486" i="37"/>
  <c r="B485" i="37"/>
  <c r="B484" i="37"/>
  <c r="B483" i="37"/>
  <c r="B482" i="37"/>
  <c r="B481" i="37"/>
  <c r="B480" i="37"/>
  <c r="B479" i="37"/>
  <c r="B478" i="37"/>
  <c r="B477" i="37"/>
  <c r="B476" i="37"/>
  <c r="B475" i="37"/>
  <c r="B474" i="37"/>
  <c r="B473" i="37"/>
  <c r="B472" i="37"/>
  <c r="B471" i="37"/>
  <c r="B470" i="37"/>
  <c r="B469" i="37"/>
  <c r="B468" i="37"/>
  <c r="B467" i="37"/>
  <c r="B466" i="37"/>
  <c r="B465" i="37"/>
  <c r="B464" i="37"/>
  <c r="B463" i="37"/>
  <c r="B462" i="37"/>
  <c r="B461" i="37"/>
  <c r="B460" i="37"/>
  <c r="B459" i="37"/>
  <c r="B458" i="37"/>
  <c r="B457" i="37"/>
  <c r="B456" i="37"/>
  <c r="B455" i="37"/>
  <c r="B454" i="37"/>
  <c r="B453" i="37"/>
  <c r="B452" i="37"/>
  <c r="B451" i="37"/>
  <c r="B450" i="37"/>
  <c r="B449" i="37"/>
  <c r="B448" i="37"/>
  <c r="B447" i="37"/>
  <c r="B446" i="37"/>
  <c r="B445" i="37"/>
  <c r="B444" i="37"/>
  <c r="B443" i="37"/>
  <c r="B442" i="37"/>
  <c r="B441" i="37"/>
  <c r="B440" i="37"/>
  <c r="B439" i="37"/>
  <c r="B438" i="37"/>
  <c r="B437" i="37"/>
  <c r="B436" i="37"/>
  <c r="B435" i="37"/>
  <c r="B434" i="37"/>
  <c r="B433" i="37"/>
  <c r="B432" i="37"/>
  <c r="B431" i="37"/>
  <c r="B430" i="37"/>
  <c r="B429" i="37"/>
  <c r="B428" i="37"/>
  <c r="B427" i="37"/>
  <c r="B426" i="37"/>
  <c r="B425" i="37"/>
  <c r="B424" i="37"/>
  <c r="B423" i="37"/>
  <c r="B422" i="37"/>
  <c r="B421" i="37"/>
  <c r="B420" i="37"/>
  <c r="B419" i="37"/>
  <c r="B418" i="37"/>
  <c r="B417" i="37"/>
  <c r="B416" i="37"/>
  <c r="B415" i="37"/>
  <c r="B414" i="37"/>
  <c r="B413" i="37"/>
  <c r="B412" i="37"/>
  <c r="B411" i="37"/>
  <c r="B410" i="37"/>
  <c r="B409" i="37"/>
  <c r="B408" i="37"/>
  <c r="B407" i="37"/>
  <c r="B406" i="37"/>
  <c r="B405" i="37"/>
  <c r="B404" i="37"/>
  <c r="B403" i="37"/>
  <c r="B402" i="37"/>
  <c r="B401" i="37"/>
  <c r="B400" i="37"/>
  <c r="B399" i="37"/>
  <c r="B398" i="37"/>
  <c r="B397" i="37"/>
  <c r="B396" i="37"/>
  <c r="B395" i="37"/>
  <c r="B394" i="37"/>
  <c r="B393" i="37"/>
  <c r="B392" i="37"/>
  <c r="B391" i="37"/>
  <c r="B390" i="37"/>
  <c r="B389" i="37"/>
  <c r="B388" i="37"/>
  <c r="B387" i="37"/>
  <c r="B386" i="37"/>
  <c r="B385" i="37"/>
  <c r="B384" i="37"/>
  <c r="B383" i="37"/>
  <c r="B382" i="37"/>
  <c r="B381" i="37"/>
  <c r="B380" i="37"/>
  <c r="B379" i="37"/>
  <c r="B378" i="37"/>
  <c r="B377" i="37"/>
  <c r="B376" i="37"/>
  <c r="B375" i="37"/>
  <c r="B374" i="37"/>
  <c r="B373" i="37"/>
  <c r="B372" i="37"/>
  <c r="B371" i="37"/>
  <c r="B370" i="37"/>
  <c r="B369" i="37"/>
  <c r="B368" i="37"/>
  <c r="B367" i="37"/>
  <c r="B366" i="37"/>
  <c r="B365" i="37"/>
  <c r="B364" i="37"/>
  <c r="B363" i="37"/>
  <c r="B362" i="37"/>
  <c r="B361" i="37"/>
  <c r="B360" i="37"/>
  <c r="B359" i="37"/>
  <c r="B358" i="37"/>
  <c r="B357" i="37"/>
  <c r="B356" i="37"/>
  <c r="B355" i="37"/>
  <c r="B354" i="37"/>
  <c r="B353" i="37"/>
  <c r="B352" i="37"/>
  <c r="B351" i="37"/>
  <c r="B350" i="37"/>
  <c r="B349" i="37"/>
  <c r="B348" i="37"/>
  <c r="B347" i="37"/>
  <c r="B346" i="37"/>
  <c r="B345" i="37"/>
  <c r="B344" i="37"/>
  <c r="B343" i="37"/>
  <c r="B342" i="37"/>
  <c r="B341" i="37"/>
  <c r="B340" i="37"/>
  <c r="B339" i="37"/>
  <c r="B338" i="37"/>
  <c r="B337" i="37"/>
  <c r="B336" i="37"/>
  <c r="B335" i="37"/>
  <c r="B334" i="37"/>
  <c r="B333" i="37"/>
  <c r="B332" i="37"/>
  <c r="B331" i="37"/>
  <c r="B330" i="37"/>
  <c r="B329" i="37"/>
  <c r="B328" i="37"/>
  <c r="B327" i="37"/>
  <c r="B326" i="37"/>
  <c r="B325" i="37"/>
  <c r="B324" i="37"/>
  <c r="B323" i="37"/>
  <c r="B322" i="37"/>
  <c r="B321" i="37"/>
  <c r="B320" i="37"/>
  <c r="B319" i="37"/>
  <c r="B318" i="37"/>
  <c r="B317" i="37"/>
  <c r="B316" i="37"/>
  <c r="B315" i="37"/>
  <c r="B314" i="37"/>
  <c r="B313" i="37"/>
  <c r="B312" i="37"/>
  <c r="B311" i="37"/>
  <c r="B310" i="37"/>
  <c r="B309" i="37"/>
  <c r="B308" i="37"/>
  <c r="B307" i="37"/>
  <c r="B306" i="37"/>
  <c r="B305" i="37"/>
  <c r="B304" i="37"/>
  <c r="B303" i="37"/>
  <c r="B302" i="37"/>
  <c r="B301" i="37"/>
  <c r="B300" i="37"/>
  <c r="B299" i="37"/>
  <c r="B298" i="37"/>
  <c r="B297" i="37"/>
  <c r="B296" i="37"/>
  <c r="B295" i="37"/>
  <c r="B294" i="37"/>
  <c r="B293" i="37"/>
  <c r="B292" i="37"/>
  <c r="B291" i="37"/>
  <c r="B290" i="37"/>
  <c r="B289" i="37"/>
  <c r="B288" i="37"/>
  <c r="B287" i="37"/>
  <c r="B286" i="37"/>
  <c r="B285" i="37"/>
  <c r="B284" i="37"/>
  <c r="B283" i="37"/>
  <c r="B282" i="37"/>
  <c r="B281" i="37"/>
  <c r="B280" i="37"/>
  <c r="B279" i="37"/>
  <c r="B278" i="37"/>
  <c r="B277" i="37"/>
  <c r="B276" i="37"/>
  <c r="B275" i="37"/>
  <c r="B274" i="37"/>
  <c r="B273" i="37"/>
  <c r="B272" i="37"/>
  <c r="B271" i="37"/>
  <c r="B270" i="37"/>
  <c r="B269" i="37"/>
  <c r="B268" i="37"/>
  <c r="B267" i="37"/>
  <c r="B266" i="37"/>
  <c r="B265" i="37"/>
  <c r="B264" i="37"/>
  <c r="B263" i="37"/>
  <c r="B262" i="37"/>
  <c r="B261" i="37"/>
  <c r="B260" i="37"/>
  <c r="B259" i="37"/>
  <c r="B258" i="37"/>
  <c r="B257" i="37"/>
  <c r="B256" i="37"/>
  <c r="B255" i="37"/>
  <c r="B254" i="37"/>
  <c r="B253" i="37"/>
  <c r="B252" i="37"/>
  <c r="B251" i="37"/>
  <c r="B250" i="37"/>
  <c r="B249" i="37"/>
  <c r="B248" i="37"/>
  <c r="B247" i="37"/>
  <c r="B246" i="37"/>
  <c r="B245" i="37"/>
  <c r="B244" i="37"/>
  <c r="B243" i="37"/>
  <c r="B242" i="37"/>
  <c r="B241" i="37"/>
  <c r="B240" i="37"/>
  <c r="B239" i="37"/>
  <c r="B238" i="37"/>
  <c r="B237" i="37"/>
  <c r="B236" i="37"/>
  <c r="B235" i="37"/>
  <c r="B234" i="37"/>
  <c r="B233" i="37"/>
  <c r="B232" i="37"/>
  <c r="B231" i="37"/>
  <c r="B230" i="37"/>
  <c r="B229" i="37"/>
  <c r="B228" i="37"/>
  <c r="B227" i="37"/>
  <c r="B226" i="37"/>
  <c r="B225" i="37"/>
  <c r="B224" i="37"/>
  <c r="B223" i="37"/>
  <c r="B222" i="37"/>
  <c r="B221" i="37"/>
  <c r="B220" i="37"/>
  <c r="B219" i="37"/>
  <c r="B218" i="37"/>
  <c r="B217" i="37"/>
  <c r="B216" i="37"/>
  <c r="B215" i="37"/>
  <c r="B214" i="37"/>
  <c r="B213" i="37"/>
  <c r="B212" i="37"/>
  <c r="B211" i="37"/>
  <c r="B210" i="37"/>
  <c r="B209" i="37"/>
  <c r="B208" i="37"/>
  <c r="B207" i="37"/>
  <c r="B206" i="37"/>
  <c r="B205" i="37"/>
  <c r="B204" i="37"/>
  <c r="B203" i="37"/>
  <c r="B202" i="37"/>
  <c r="B201" i="37"/>
  <c r="B200" i="37"/>
  <c r="B199" i="37"/>
  <c r="B198" i="37"/>
  <c r="B197" i="37"/>
  <c r="B196" i="37"/>
  <c r="B195" i="37"/>
  <c r="B194" i="37"/>
  <c r="B193" i="37"/>
  <c r="B192" i="37"/>
  <c r="B191" i="37"/>
  <c r="B190" i="37"/>
  <c r="B189" i="37"/>
  <c r="B188" i="37"/>
  <c r="B187" i="37"/>
  <c r="B186" i="37"/>
  <c r="B185" i="37"/>
  <c r="B184" i="37"/>
  <c r="B183" i="37"/>
  <c r="B182" i="37"/>
  <c r="B181" i="37"/>
  <c r="B180" i="37"/>
  <c r="B179" i="37"/>
  <c r="B178" i="37"/>
  <c r="B177" i="37"/>
  <c r="B176" i="37"/>
  <c r="B175" i="37"/>
  <c r="B174" i="37"/>
  <c r="B173" i="37"/>
  <c r="B172" i="37"/>
  <c r="B171" i="37"/>
  <c r="B170" i="37"/>
  <c r="B169" i="37"/>
  <c r="B168" i="37"/>
  <c r="B167" i="37"/>
  <c r="B166" i="37"/>
  <c r="B165" i="37"/>
  <c r="B164" i="37"/>
  <c r="B163" i="37"/>
  <c r="B162" i="37"/>
  <c r="B161" i="37"/>
  <c r="B160" i="37"/>
  <c r="B159" i="37"/>
  <c r="B158" i="37"/>
  <c r="B157" i="37"/>
  <c r="B156" i="37"/>
  <c r="B155" i="37"/>
  <c r="B154" i="37"/>
  <c r="B153" i="37"/>
  <c r="B152" i="37"/>
  <c r="B151" i="37"/>
  <c r="B150" i="37"/>
  <c r="B149" i="37"/>
  <c r="B148" i="37"/>
  <c r="B147" i="37"/>
  <c r="B146" i="37"/>
  <c r="B145" i="37"/>
  <c r="B144" i="37"/>
  <c r="B143" i="37"/>
  <c r="B142" i="37"/>
  <c r="B141" i="37"/>
  <c r="B140" i="37"/>
  <c r="B139" i="37"/>
  <c r="B138" i="37"/>
  <c r="B137" i="37"/>
  <c r="B136" i="37"/>
  <c r="B135" i="37"/>
  <c r="B134" i="37"/>
  <c r="B133" i="37"/>
  <c r="B132" i="37"/>
  <c r="B131" i="37"/>
  <c r="B130" i="37"/>
  <c r="B129" i="37"/>
  <c r="B128" i="37"/>
  <c r="B127" i="37"/>
  <c r="B126" i="37"/>
  <c r="B125" i="37"/>
  <c r="B124" i="37"/>
  <c r="B123" i="37"/>
  <c r="B122" i="37"/>
  <c r="B121" i="37"/>
  <c r="B120" i="37"/>
  <c r="B119" i="37"/>
  <c r="B118" i="37"/>
  <c r="B117" i="37"/>
  <c r="B116" i="37"/>
  <c r="B115" i="37"/>
  <c r="B114" i="37"/>
  <c r="B113" i="37"/>
  <c r="B112" i="37"/>
  <c r="B111" i="37"/>
  <c r="B110" i="37"/>
  <c r="B109" i="37"/>
  <c r="B108" i="37"/>
  <c r="B107" i="37"/>
  <c r="B106" i="37"/>
  <c r="B105" i="37"/>
  <c r="B104" i="37"/>
  <c r="B103" i="37"/>
  <c r="B102" i="37"/>
  <c r="B101" i="37"/>
  <c r="B100" i="37"/>
  <c r="B99" i="37"/>
  <c r="B98" i="37"/>
  <c r="B97" i="37"/>
  <c r="B96" i="37"/>
  <c r="B95" i="37"/>
  <c r="B94" i="37"/>
  <c r="B93" i="37"/>
  <c r="B92" i="37"/>
  <c r="B91" i="37"/>
  <c r="B90" i="37"/>
  <c r="B89" i="37"/>
  <c r="B88" i="37"/>
  <c r="B87" i="37"/>
  <c r="B86" i="37"/>
  <c r="B85" i="37"/>
  <c r="B84" i="37"/>
  <c r="B83" i="37"/>
  <c r="B82" i="37"/>
  <c r="B81" i="37"/>
  <c r="B80" i="37"/>
  <c r="B79" i="37"/>
  <c r="B78" i="37"/>
  <c r="B77" i="37"/>
  <c r="B76" i="37"/>
  <c r="B75" i="37"/>
  <c r="B74" i="37"/>
  <c r="B73" i="37"/>
  <c r="B72" i="37"/>
  <c r="B71" i="37"/>
  <c r="B70" i="37"/>
  <c r="B69" i="37"/>
  <c r="B68" i="37"/>
  <c r="B67" i="37"/>
  <c r="B66" i="37"/>
  <c r="B65" i="37"/>
  <c r="B64" i="37"/>
  <c r="B63" i="37"/>
  <c r="B62" i="37"/>
  <c r="B61" i="37"/>
  <c r="B60" i="37"/>
  <c r="B59" i="37"/>
  <c r="B58" i="37"/>
  <c r="B57" i="37"/>
  <c r="B56" i="37"/>
  <c r="B55" i="37"/>
  <c r="B54" i="37"/>
  <c r="B53" i="37"/>
  <c r="B52" i="37"/>
  <c r="B51" i="37"/>
  <c r="B50" i="37"/>
  <c r="B49" i="37"/>
  <c r="B48" i="37"/>
  <c r="B47" i="37"/>
  <c r="B46" i="37"/>
  <c r="B45" i="37"/>
  <c r="B44" i="37"/>
  <c r="B43" i="37"/>
  <c r="B42" i="37"/>
  <c r="B41" i="37"/>
  <c r="B40" i="37"/>
  <c r="B39" i="37"/>
  <c r="B38" i="37"/>
  <c r="B37" i="37"/>
  <c r="B36" i="37"/>
  <c r="B35" i="37"/>
  <c r="B34" i="37"/>
  <c r="B33" i="37"/>
  <c r="B32" i="37"/>
  <c r="B31" i="37"/>
  <c r="B30" i="37"/>
  <c r="B29" i="37"/>
  <c r="B28" i="37"/>
  <c r="B27" i="37"/>
  <c r="B26" i="37"/>
  <c r="B25" i="37"/>
  <c r="B24" i="37"/>
  <c r="B23" i="37"/>
  <c r="B22" i="37"/>
  <c r="B21" i="37"/>
  <c r="B20" i="37"/>
  <c r="B19" i="37"/>
  <c r="B18" i="37"/>
  <c r="B17" i="37"/>
  <c r="B16" i="37"/>
  <c r="B15" i="37"/>
  <c r="B14" i="37"/>
  <c r="B13" i="37"/>
  <c r="B12" i="37"/>
  <c r="B11" i="37"/>
  <c r="B10" i="37"/>
  <c r="B9" i="37"/>
  <c r="B8" i="37"/>
  <c r="B7" i="37"/>
  <c r="B6" i="37"/>
  <c r="B5" i="37"/>
  <c r="B4" i="37"/>
  <c r="B3" i="37"/>
  <c r="B2" i="37"/>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9A139A-251C-4518-8E9C-C808528CF9A8}" keepAlive="1" name="Query - Apprehend_2004_Cntry" description="Connection to the 'Apprehend_2004_Cntry' query in the workbook." type="5" refreshedVersion="0" background="1">
    <dbPr connection="Provider=Microsoft.Mashup.OleDb.1;Data Source=$Workbook$;Location=Apprehend_2004_Cntry;Extended Properties=&quot;&quot;" command="SELECT * FROM [Apprehend_2004_Cntry]"/>
  </connection>
  <connection id="2" xr16:uid="{1AC5E793-FFFC-4D0E-86A4-73E6FF319ADA}" keepAlive="1" name="Query - countries_with_regions" description="Connection to the 'countries_with_regions' query in the workbook." type="5" refreshedVersion="8" background="1" saveData="1">
    <dbPr connection="Provider=Microsoft.Mashup.OleDb.1;Data Source=$Workbook$;Location=countries_with_regions;Extended Properties=&quot;&quot;" command="SELECT * FROM [countries_with_regions]"/>
  </connection>
  <connection id="3" xr16:uid="{F7AC5787-3E2A-42E9-B0ED-024885C650B5}" keepAlive="1" name="Query - countries_with_regions (2)" description="Connection to the 'countries_with_regions (2)' query in the workbook." type="5" refreshedVersion="0" background="1">
    <dbPr connection="Provider=Microsoft.Mashup.OleDb.1;Data Source=$Workbook$;Location=&quot;countries_with_regions (2)&quot;;Extended Properties=&quot;&quot;" command="SELECT * FROM [countries_with_regions (2)]"/>
  </connection>
  <connection id="4" xr16:uid="{9B8D724A-F3BF-4048-A530-317A7FD8843E}" keepAlive="1" name="Query - countries_with_regions (3)" description="Connection to the 'countries_with_regions (3)' query in the workbook." type="5" refreshedVersion="8" background="1" saveData="1">
    <dbPr connection="Provider=Microsoft.Mashup.OleDb.1;Data Source=$Workbook$;Location=&quot;countries_with_regions (3)&quot;;Extended Properties=&quot;&quot;" command="SELECT * FROM [countries_with_regions (3)]"/>
  </connection>
  <connection id="5" xr16:uid="{188D231E-2884-43CB-BC03-6A4CF3009EAE}" keepAlive="1" name="Query - countries_with_regions (4)" description="Connection to the 'countries_with_regions (4)' query in the workbook." type="5" refreshedVersion="0" background="1">
    <dbPr connection="Provider=Microsoft.Mashup.OleDb.1;Data Source=$Workbook$;Location=&quot;countries_with_regions (4)&quot;;Extended Properties=&quot;&quot;" command="SELECT * FROM [countries_with_regions (4)]"/>
  </connection>
  <connection id="6" xr16:uid="{2C96FE22-3C50-4847-989A-E648D2D2CE8F}" keepAlive="1" name="Query - Country Masterlist" description="Connection to the 'Country Masterlist' query in the workbook." type="5" refreshedVersion="8" background="1" saveData="1">
    <dbPr connection="Provider=Microsoft.Mashup.OleDb.1;Data Source=$Workbook$;Location=&quot;Country Masterlist&quot;;Extended Properties=&quot;&quot;" command="SELECT * FROM [Country Masterlist]"/>
  </connection>
  <connection id="7" xr16:uid="{3B54153F-23B6-4566-8CB2-EF8EE0D7A36F}" keepAlive="1" name="Query - Country Masterlist (10)" description="Connection to the 'Country Masterlist (10)' query in the workbook." type="5" refreshedVersion="8" background="1" saveData="1">
    <dbPr connection="Provider=Microsoft.Mashup.OleDb.1;Data Source=$Workbook$;Location=&quot;Country Masterlist (10)&quot;;Extended Properties=&quot;&quot;" command="SELECT * FROM [Country Masterlist (10)]"/>
  </connection>
  <connection id="8" xr16:uid="{D45AFFD0-70BE-4040-BDDB-F7862778D207}" keepAlive="1" name="Query - Country Masterlist (11)" description="Connection to the 'Country Masterlist (11)' query in the workbook." type="5" refreshedVersion="8" background="1" saveData="1">
    <dbPr connection="Provider=Microsoft.Mashup.OleDb.1;Data Source=$Workbook$;Location=&quot;Country Masterlist (11)&quot;;Extended Properties=&quot;&quot;" command="SELECT * FROM [Country Masterlist (11)]"/>
  </connection>
  <connection id="9" xr16:uid="{36A03E7B-82C2-4AA5-90E2-27D97BBD8901}" keepAlive="1" name="Query - Country Masterlist (12)" description="Connection to the 'Country Masterlist (12)' query in the workbook." type="5" refreshedVersion="8" background="1" saveData="1">
    <dbPr connection="Provider=Microsoft.Mashup.OleDb.1;Data Source=$Workbook$;Location=&quot;Country Masterlist (12)&quot;;Extended Properties=&quot;&quot;" command="SELECT * FROM [Country Masterlist (12)]"/>
  </connection>
  <connection id="10" xr16:uid="{19609A17-E130-4D0F-8582-32A0F43E4ACD}" keepAlive="1" name="Query - Country Masterlist (13)" description="Connection to the 'Country Masterlist (13)' query in the workbook." type="5" refreshedVersion="8" background="1" saveData="1">
    <dbPr connection="Provider=Microsoft.Mashup.OleDb.1;Data Source=$Workbook$;Location=&quot;Country Masterlist (13)&quot;;Extended Properties=&quot;&quot;" command="SELECT * FROM [Country Masterlist (13)]"/>
  </connection>
  <connection id="11" xr16:uid="{A707A0CD-BE98-46F0-8CBE-6F062895AC30}" keepAlive="1" name="Query - Country Masterlist (14)" description="Connection to the 'Country Masterlist (14)' query in the workbook." type="5" refreshedVersion="8" background="1" saveData="1">
    <dbPr connection="Provider=Microsoft.Mashup.OleDb.1;Data Source=$Workbook$;Location=&quot;Country Masterlist (14)&quot;;Extended Properties=&quot;&quot;" command="SELECT * FROM [Country Masterlist (14)]"/>
  </connection>
  <connection id="12" xr16:uid="{DD19DAEA-10A2-405A-93B3-260E95B2AA3D}" keepAlive="1" name="Query - Country Masterlist (2)" description="Connection to the 'Country Masterlist (2)' query in the workbook." type="5" refreshedVersion="8" background="1" saveData="1">
    <dbPr connection="Provider=Microsoft.Mashup.OleDb.1;Data Source=$Workbook$;Location=&quot;Country Masterlist (2)&quot;;Extended Properties=&quot;&quot;" command="SELECT * FROM [Country Masterlist (2)]"/>
  </connection>
  <connection id="13" xr16:uid="{6E1E0881-752E-43AF-85DC-5933EB3B0134}" keepAlive="1" name="Query - Country Masterlist (3)" description="Connection to the 'Country Masterlist (3)' query in the workbook." type="5" refreshedVersion="8" background="1" saveData="1">
    <dbPr connection="Provider=Microsoft.Mashup.OleDb.1;Data Source=$Workbook$;Location=&quot;Country Masterlist (3)&quot;;Extended Properties=&quot;&quot;" command="SELECT * FROM [Country Masterlist (3)]"/>
  </connection>
  <connection id="14" xr16:uid="{7BC7182F-9B22-4FA9-ADB1-C4820FA128D0}" keepAlive="1" name="Query - Country Masterlist (4)" description="Connection to the 'Country Masterlist (4)' query in the workbook." type="5" refreshedVersion="8" background="1" saveData="1">
    <dbPr connection="Provider=Microsoft.Mashup.OleDb.1;Data Source=$Workbook$;Location=&quot;Country Masterlist (4)&quot;;Extended Properties=&quot;&quot;" command="SELECT * FROM [Country Masterlist (4)]"/>
  </connection>
  <connection id="15" xr16:uid="{2F27BC5F-D8FA-403D-B15D-6633490E7B42}" keepAlive="1" name="Query - Country Masterlist (5)" description="Connection to the 'Country Masterlist (5)' query in the workbook." type="5" refreshedVersion="0" background="1">
    <dbPr connection="Provider=Microsoft.Mashup.OleDb.1;Data Source=$Workbook$;Location=&quot;Country Masterlist (5)&quot;;Extended Properties=&quot;&quot;" command="SELECT * FROM [Country Masterlist (5)]"/>
  </connection>
  <connection id="16" xr16:uid="{2FE1207D-8EF2-496A-9184-35BCF1543A18}" keepAlive="1" name="Query - Country Masterlist (6)" description="Connection to the 'Country Masterlist (6)' query in the workbook." type="5" refreshedVersion="8" background="1" saveData="1">
    <dbPr connection="Provider=Microsoft.Mashup.OleDb.1;Data Source=$Workbook$;Location=&quot;Country Masterlist (6)&quot;;Extended Properties=&quot;&quot;" command="SELECT * FROM [Country Masterlist (6)]"/>
  </connection>
  <connection id="17" xr16:uid="{D4A80EC8-E2E4-4A6B-A4D1-F598693AD0DA}" keepAlive="1" name="Query - Country Masterlist (7)" description="Connection to the 'Country Masterlist (7)' query in the workbook." type="5" refreshedVersion="8" background="1" saveData="1">
    <dbPr connection="Provider=Microsoft.Mashup.OleDb.1;Data Source=$Workbook$;Location=&quot;Country Masterlist (7)&quot;;Extended Properties=&quot;&quot;" command="SELECT * FROM [Country Masterlist (7)]"/>
  </connection>
  <connection id="18" xr16:uid="{1DCC29C1-049E-4742-ACFE-A8E24CFC8692}" keepAlive="1" name="Query - Country Masterlist (8)" description="Connection to the 'Country Masterlist (8)' query in the workbook." type="5" refreshedVersion="8" background="1" saveData="1">
    <dbPr connection="Provider=Microsoft.Mashup.OleDb.1;Data Source=$Workbook$;Location=&quot;Country Masterlist (8)&quot;;Extended Properties=&quot;&quot;" command="SELECT * FROM [Country Masterlist (8)]"/>
  </connection>
  <connection id="19" xr16:uid="{506B2318-1032-4B11-8EAF-14B4ECACCE80}" keepAlive="1" name="Query - Country Masterlist (9)" description="Connection to the 'Country Masterlist (9)' query in the workbook." type="5" refreshedVersion="8" background="1" saveData="1">
    <dbPr connection="Provider=Microsoft.Mashup.OleDb.1;Data Source=$Workbook$;Location=&quot;Country Masterlist (9)&quot;;Extended Properties=&quot;&quot;" command="SELECT * FROM [Country Masterlist (9)]"/>
  </connection>
  <connection id="20" xr16:uid="{C9DE0A13-F24D-4C6E-BFB9-214D73EAFC7F}" keepAlive="1" name="Query - Expul|Apprehen_2013_Cntry" description="Connection to the 'Expul|Apprehen_2013_Cntry' query in the workbook." type="5" refreshedVersion="8" background="1" saveData="1">
    <dbPr connection="Provider=Microsoft.Mashup.OleDb.1;Data Source=$Workbook$;Location=Expul|Apprehen_2013_Cntry;Extended Properties=&quot;&quot;" command="SELECT * FROM [Expul|Apprehen_2013_Cntry]"/>
  </connection>
  <connection id="21" xr16:uid="{5B0EBCD5-4656-4D2E-AFA3-51CEB210AD36}" keepAlive="1" name="Query - EXPULSIONS&amp;NONCITIZEN Apprehen1" description="Connection to the 'EXPULSIONS&amp;NONCITIZEN Apprehen1' query in the workbook." type="5" refreshedVersion="8" background="1" saveData="1">
    <dbPr connection="Provider=Microsoft.Mashup.OleDb.1;Data Source=$Workbook$;Location=&quot;EXPULSIONS&amp;NONCITIZEN Apprehen1&quot;;Extended Properties=&quot;&quot;" command="SELECT * FROM [EXPULSIONS&amp;NONCITIZEN Apprehen1]"/>
  </connection>
  <connection id="22" xr16:uid="{78358EC5-8375-425E-929E-3A73B60BA3FD}" keepAlive="1" name="Query - EXPULSIONS&amp;NONCITIZEN Apprehen2" description="Connection to the 'EXPULSIONS&amp;NONCITIZEN Apprehen2' query in the workbook." type="5" refreshedVersion="8" background="1" saveData="1">
    <dbPr connection="Provider=Microsoft.Mashup.OleDb.1;Data Source=$Workbook$;Location=&quot;EXPULSIONS&amp;NONCITIZEN Apprehen2&quot;;Extended Properties=&quot;&quot;" command="SELECT * FROM [EXPULSIONS&amp;NONCITIZEN Apprehen2]"/>
  </connection>
  <connection id="23" xr16:uid="{F285DBEE-F0EB-429A-898A-BAFF4B37A4A2}" keepAlive="1" name="Query - EXPULSIONS_NONCITIZEN_Apprehen2" description="Connection to the 'EXPULSIONS_NONCITIZEN_Apprehen2' query in the workbook." type="5" refreshedVersion="0" background="1">
    <dbPr connection="Provider=Microsoft.Mashup.OleDb.1;Data Source=$Workbook$;Location=EXPULSIONS_NONCITIZEN_Apprehen2;Extended Properties=&quot;&quot;" command="SELECT * FROM [EXPULSIONS_NONCITIZEN_Apprehen2]"/>
  </connection>
  <connection id="24" xr16:uid="{79945976-FF79-47B2-96BA-3433B53EF983}" keepAlive="1" name="Query - Removal_Criminal_2004_Cntry" description="Connection to the 'Removal_Criminal_2004_Cntry' query in the workbook." type="5" refreshedVersion="8" background="1" saveData="1">
    <dbPr connection="Provider=Microsoft.Mashup.OleDb.1;Data Source=$Workbook$;Location=Removal_Criminal_2004_Cntry;Extended Properties=&quot;&quot;" command="SELECT * FROM [Removal_Criminal_2004_Cntry]"/>
  </connection>
  <connection id="25" xr16:uid="{044AA38A-0FC0-4FCA-A504-5520E80EE970}" keepAlive="1" name="Query - Removal_Criminal_2004_Cntry (2)" description="Connection to the 'Removal_Criminal_2004_Cntry (2)' query in the workbook." type="5" refreshedVersion="8" background="1" saveData="1">
    <dbPr connection="Provider=Microsoft.Mashup.OleDb.1;Data Source=$Workbook$;Location=&quot;Removal_Criminal_2004_Cntry (2)&quot;;Extended Properties=&quot;&quot;" command="SELECT * FROM [Removal_Criminal_2004_Cntry (2)]"/>
  </connection>
  <connection id="26" xr16:uid="{9EF33FF3-AFAD-4832-8273-2D6E8A1A40BC}" keepAlive="1" name="Query - Removal_Criminal_2004_Cntry (3)" description="Connection to the 'Removal_Criminal_2004_Cntry (3)' query in the workbook." type="5" refreshedVersion="8" background="1" saveData="1">
    <dbPr connection="Provider=Microsoft.Mashup.OleDb.1;Data Source=$Workbook$;Location=&quot;Removal_Criminal_2004_Cntry (3)&quot;;Extended Properties=&quot;&quot;" command="SELECT * FROM [Removal_Criminal_2004_Cntry (3)]"/>
  </connection>
  <connection id="27" xr16:uid="{0E477A08-8240-46D9-A66D-A403BC9ECD2C}" keepAlive="1" name="Query - Removal_Criminal_2013_Cntry" description="Connection to the 'Removal_Criminal_2013_Cntry' query in the workbook." type="5" refreshedVersion="8" background="1" saveData="1">
    <dbPr connection="Provider=Microsoft.Mashup.OleDb.1;Data Source=$Workbook$;Location=Removal_Criminal_2013_Cntry;Extended Properties=&quot;&quot;" command="SELECT * FROM [Removal_Criminal_2013_Cntry]"/>
  </connection>
  <connection id="28" xr16:uid="{AF7A571A-064D-4318-9324-6C4D01DAE7E3}" keepAlive="1" name="Query - Return_Enforcement_2009_Cntry" description="Connection to the 'Return_Enforcement_2009_Cntry' query in the workbook." type="5" refreshedVersion="0" background="1">
    <dbPr connection="Provider=Microsoft.Mashup.OleDb.1;Data Source=$Workbook$;Location=Return_Enforcement_2009_Cntry;Extended Properties=&quot;&quot;" command="SELECT * FROM [Return_Enforcement_2009_Cntry]"/>
  </connection>
  <connection id="29" xr16:uid="{A3819341-EE41-46EA-B931-2184D9B9797E}" keepAlive="1" name="Query - Returns_Enforcement_2013_Cntry" description="Connection to the 'Returns_Enforcement_2013_Cntry' query in the workbook." type="5" refreshedVersion="8" background="1" saveData="1">
    <dbPr connection="Provider=Microsoft.Mashup.OleDb.1;Data Source=$Workbook$;Location=Returns_Enforcement_2013_Cntry;Extended Properties=&quot;&quot;" command="SELECT * FROM [Returns_Enforcement_2013_Cntry]"/>
  </connection>
  <connection id="30" xr16:uid="{6D2F929A-5D46-46AB-A10C-424AB3A41429}"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1" xr16:uid="{B2E4B19B-324F-43F4-B905-C9EB5575D62F}"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 id="32" xr16:uid="{AB85C9A7-B574-4911-AF9C-B6A978162602}" keepAlive="1" name="Query - Table1_1 (2)" description="Connection to the 'Table1_1 (2)' query in the workbook." type="5" refreshedVersion="0" background="1">
    <dbPr connection="Provider=Microsoft.Mashup.OleDb.1;Data Source=$Workbook$;Location=&quot;Table1_1 (2)&quot;;Extended Properties=&quot;&quot;" command="SELECT * FROM [Table1_1 (2)]"/>
  </connection>
  <connection id="33" xr16:uid="{D7C1E362-FCF3-4468-8841-E41E24E18909}" keepAlive="1" name="Query - Table1_1 (3)" description="Connection to the 'Table1_1 (3)' query in the workbook." type="5" refreshedVersion="0" background="1">
    <dbPr connection="Provider=Microsoft.Mashup.OleDb.1;Data Source=$Workbook$;Location=&quot;Table1_1 (3)&quot;;Extended Properties=&quot;&quot;" command="SELECT * FROM [Table1_1 (3)]"/>
  </connection>
  <connection id="34" xr16:uid="{21FC90CF-1A6B-44EE-8281-40527C122A6E}" keepAlive="1" name="Query - Table1_1 (4)" description="Connection to the 'Table1_1 (4)' query in the workbook." type="5" refreshedVersion="0" background="1">
    <dbPr connection="Provider=Microsoft.Mashup.OleDb.1;Data Source=$Workbook$;Location=&quot;Table1_1 (4)&quot;;Extended Properties=&quot;&quot;" command="SELECT * FROM [Table1_1 (4)]"/>
  </connection>
  <connection id="35" xr16:uid="{39049ECC-F5A2-441B-AA41-59F1768A78D1}" keepAlive="1" name="Query - Table1_1 (5)" description="Connection to the 'Table1_1 (5)' query in the workbook." type="5" refreshedVersion="0" background="1">
    <dbPr connection="Provider=Microsoft.Mashup.OleDb.1;Data Source=$Workbook$;Location=&quot;Table1_1 (5)&quot;;Extended Properties=&quot;&quot;" command="SELECT * FROM [Table1_1 (5)]"/>
  </connection>
  <connection id="36" xr16:uid="{1D47AEE6-97FF-4D40-8C0E-4D2F1242FFE5}" keepAlive="1" name="Query - Table10" description="Connection to the 'Table10' query in the workbook." type="5" refreshedVersion="8" background="1" saveData="1">
    <dbPr connection="Provider=Microsoft.Mashup.OleDb.1;Data Source=$Workbook$;Location=Table10;Extended Properties=&quot;&quot;" command="SELECT * FROM [Table10]"/>
  </connection>
  <connection id="37" xr16:uid="{01CEB97C-3CE4-4690-8120-88EA4EA5886D}" keepAlive="1" name="Query - Table10 (2)" description="Connection to the 'Table10 (2)' query in the workbook." type="5" refreshedVersion="8" background="1" saveData="1">
    <dbPr connection="Provider=Microsoft.Mashup.OleDb.1;Data Source=$Workbook$;Location=&quot;Table10 (2)&quot;;Extended Properties=&quot;&quot;" command="SELECT * FROM [Table10 (2)]"/>
  </connection>
  <connection id="38" xr16:uid="{528568CA-0133-4834-8983-C60814983818}" keepAlive="1" name="Query - Table10_1" description="Connection to the 'Table10_1' query in the workbook." type="5" refreshedVersion="8" background="1" saveData="1">
    <dbPr connection="Provider=Microsoft.Mashup.OleDb.1;Data Source=$Workbook$;Location=Table10_1;Extended Properties=&quot;&quot;" command="SELECT * FROM [Table10_1]"/>
  </connection>
  <connection id="39" xr16:uid="{5E4BF109-91EA-456B-9EB1-18C42BE925DF}" keepAlive="1" name="Query - Table10_2" description="Connection to the 'Table10_2' query in the workbook." type="5" refreshedVersion="0" background="1">
    <dbPr connection="Provider=Microsoft.Mashup.OleDb.1;Data Source=$Workbook$;Location=Table10_2;Extended Properties=&quot;&quot;" command="SELECT * FROM [Table10_2]"/>
  </connection>
  <connection id="40" xr16:uid="{8043C9D1-3872-4B90-879D-F19C2C66108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41" xr16:uid="{8BF55C1D-68DF-409F-A215-04C7DC7D8FC8}" keepAlive="1" name="Query - Table14_1" description="Connection to the 'Table14_1' query in the workbook." type="5" refreshedVersion="8" background="1" saveData="1">
    <dbPr connection="Provider=Microsoft.Mashup.OleDb.1;Data Source=$Workbook$;Location=Table14_1;Extended Properties=&quot;&quot;" command="SELECT * FROM [Table14_1]"/>
  </connection>
  <connection id="42" xr16:uid="{3D2543CD-4E00-4091-BCF7-F82B20DCABA4}" keepAlive="1" name="Query - Table14_2" description="Connection to the 'Table14_2' query in the workbook." type="5" refreshedVersion="8" background="1" saveData="1">
    <dbPr connection="Provider=Microsoft.Mashup.OleDb.1;Data Source=$Workbook$;Location=Table14_2;Extended Properties=&quot;&quot;" command="SELECT * FROM [Table14_2]"/>
  </connection>
  <connection id="43" xr16:uid="{C0287FD0-E42A-448F-88E0-2BDA0E7714D4}" keepAlive="1" name="Query - Table14_3" description="Connection to the 'Table14_3' query in the workbook." type="5" refreshedVersion="0" background="1">
    <dbPr connection="Provider=Microsoft.Mashup.OleDb.1;Data Source=$Workbook$;Location=Table14_3;Extended Properties=&quot;&quot;" command="SELECT * FROM [Table14_3]"/>
  </connection>
  <connection id="44" xr16:uid="{C898EF5A-017E-445F-9476-0A8E06EA56B5}" keepAlive="1" name="Query - Table14_4" description="Connection to the 'Table14_4' query in the workbook." type="5" refreshedVersion="0" background="1">
    <dbPr connection="Provider=Microsoft.Mashup.OleDb.1;Data Source=$Workbook$;Location=Table14_4;Extended Properties=&quot;&quot;" command="SELECT * FROM [Table14_4]"/>
  </connection>
  <connection id="45" xr16:uid="{B47CF149-9138-4756-9C0D-8FD09B8E9C4A}"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46" xr16:uid="{7B4FC5AB-C406-477D-B24A-7198D6D2B09C}"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47" xr16:uid="{2C8FE0D7-65AC-4AE6-9320-CB6651557F30}" keepAlive="1" name="Query - Table2 (3)" description="Connection to the 'Table2 (3)' query in the workbook." type="5" refreshedVersion="8" background="1" saveData="1">
    <dbPr connection="Provider=Microsoft.Mashup.OleDb.1;Data Source=$Workbook$;Location=&quot;Table2 (3)&quot;;Extended Properties=&quot;&quot;" command="SELECT * FROM [Table2 (3)]"/>
  </connection>
  <connection id="48" xr16:uid="{85DE1148-306D-40EE-B70B-6376859CD241}" keepAlive="1" name="Query - Table230" description="Connection to the 'Table230' query in the workbook." type="5" refreshedVersion="8" background="1" saveData="1">
    <dbPr connection="Provider=Microsoft.Mashup.OleDb.1;Data Source=$Workbook$;Location=Table230;Extended Properties=&quot;&quot;" command="SELECT * FROM [Table230]"/>
  </connection>
  <connection id="49" xr16:uid="{2BA35C98-5195-4C04-BF90-28A50F9FE528}" keepAlive="1" name="Query - Table33" description="Connection to the 'Table33' query in the workbook." type="5" refreshedVersion="0" background="1">
    <dbPr connection="Provider=Microsoft.Mashup.OleDb.1;Data Source=$Workbook$;Location=Table33;Extended Properties=&quot;&quot;" command="SELECT * FROM [Table33]"/>
  </connection>
  <connection id="50" xr16:uid="{E0DE4B1C-9AB1-437C-BEB6-19741A13444E}"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51" xr16:uid="{F9C06108-4783-44AD-B057-ECD8DDC531D8}"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s>
</file>

<file path=xl/sharedStrings.xml><?xml version="1.0" encoding="utf-8"?>
<sst xmlns="http://schemas.openxmlformats.org/spreadsheetml/2006/main" count="74853" uniqueCount="472">
  <si>
    <t>State</t>
  </si>
  <si>
    <t>California</t>
  </si>
  <si>
    <t>Texas</t>
  </si>
  <si>
    <t>Florida</t>
  </si>
  <si>
    <t>New Jersey</t>
  </si>
  <si>
    <t>Illinois</t>
  </si>
  <si>
    <t>New York</t>
  </si>
  <si>
    <t>North Carolina</t>
  </si>
  <si>
    <t>Georgia</t>
  </si>
  <si>
    <t>Washington</t>
  </si>
  <si>
    <t>Arizona</t>
  </si>
  <si>
    <t>All others</t>
  </si>
  <si>
    <t>Figures in Thousands</t>
  </si>
  <si>
    <t>Country</t>
  </si>
  <si>
    <t>Mexico</t>
  </si>
  <si>
    <t>Guatemala</t>
  </si>
  <si>
    <t>El Salvador</t>
  </si>
  <si>
    <t>Honduras</t>
  </si>
  <si>
    <t>Philippines</t>
  </si>
  <si>
    <t>Venezuela</t>
  </si>
  <si>
    <t>Colombia</t>
  </si>
  <si>
    <t>Brazil</t>
  </si>
  <si>
    <t>India</t>
  </si>
  <si>
    <t>Figures in thousands</t>
  </si>
  <si>
    <t>Year</t>
  </si>
  <si>
    <r>
      <rPr>
        <vertAlign val="superscript"/>
        <sz val="8"/>
        <color theme="1"/>
        <rFont val="Arial"/>
        <family val="2"/>
      </rPr>
      <t>1</t>
    </r>
    <r>
      <rPr>
        <sz val="8"/>
        <color theme="1"/>
        <rFont val="Arial"/>
        <family val="2"/>
      </rPr>
      <t xml:space="preserve"> Prior to 1952, data are limited to U.S. Customs and Border Protection (CBP) U.S. Border Patrol (USBP) apprehensions; beginning in 1952, data also include Immigration and Customs Enforcement (ICE) Homeland Security Investigations (HSI) administrative arrests.</t>
    </r>
  </si>
  <si>
    <r>
      <rPr>
        <vertAlign val="superscript"/>
        <sz val="8"/>
        <color theme="1"/>
        <rFont val="Arial"/>
        <family val="2"/>
      </rPr>
      <t>2</t>
    </r>
    <r>
      <rPr>
        <sz val="8"/>
        <color theme="1"/>
        <rFont val="Arial"/>
        <family val="2"/>
      </rPr>
      <t xml:space="preserve"> Includes the 15 months from July 1, 1975 to September 30, 1976 because the end date of fiscal years was changed from June 30 to September 30.</t>
    </r>
  </si>
  <si>
    <r>
      <rPr>
        <vertAlign val="superscript"/>
        <sz val="8"/>
        <color theme="1"/>
        <rFont val="Arial"/>
        <family val="2"/>
      </rPr>
      <t>3</t>
    </r>
    <r>
      <rPr>
        <sz val="8"/>
        <color theme="1"/>
        <rFont val="Arial"/>
        <family val="2"/>
      </rPr>
      <t xml:space="preserve"> Beginning in 2006, data also include arrests of fugitive and nonfugitive aliens under the National Fugitive Operations Program of ICE Enforcement and Removal Operations (ERO).</t>
    </r>
  </si>
  <si>
    <r>
      <rPr>
        <vertAlign val="superscript"/>
        <sz val="8"/>
        <color theme="1"/>
        <rFont val="Arial"/>
        <family val="2"/>
      </rPr>
      <t>4</t>
    </r>
    <r>
      <rPr>
        <sz val="8"/>
        <color theme="1"/>
        <rFont val="Arial"/>
        <family val="2"/>
      </rPr>
      <t xml:space="preserve"> Beginning in 2008, data also include all administrative arrests conducted by ICE ERO.</t>
    </r>
  </si>
  <si>
    <r>
      <rPr>
        <vertAlign val="superscript"/>
        <sz val="8"/>
        <color theme="1"/>
        <rFont val="Arial"/>
        <family val="2"/>
      </rPr>
      <t>5</t>
    </r>
    <r>
      <rPr>
        <sz val="8"/>
        <color theme="1"/>
        <rFont val="Arial"/>
        <family val="2"/>
      </rPr>
      <t xml:space="preserve"> Beginning in 2012, data also include enforcement encounters by CBP Office of Field Operations (OFO), reflecting attempted unlawful entries into the United States. </t>
    </r>
  </si>
  <si>
    <r>
      <rPr>
        <vertAlign val="superscript"/>
        <sz val="8"/>
        <color theme="1"/>
        <rFont val="Arial"/>
        <family val="2"/>
      </rPr>
      <t>6</t>
    </r>
    <r>
      <rPr>
        <sz val="8"/>
        <color theme="1"/>
        <rFont val="Arial"/>
        <family val="2"/>
      </rPr>
      <t xml:space="preserve"> Prior to 2016 reporting methodology limits data to one ERO administrative arrest for a single person on a single day; beginning in 2016 the reporting methodology was revised to align with ICE ERO reporting, which may include multiple arrests on a single day.</t>
    </r>
  </si>
  <si>
    <r>
      <rPr>
        <vertAlign val="superscript"/>
        <sz val="8"/>
        <color theme="1"/>
        <rFont val="Arial"/>
        <family val="2"/>
      </rPr>
      <t>7</t>
    </r>
    <r>
      <rPr>
        <sz val="8"/>
        <color theme="1"/>
        <rFont val="Arial"/>
        <family val="2"/>
      </rPr>
      <t xml:space="preserve"> Beginning in 2020, data include CBP encounters resulting in expulsions on public health grounds under U.S. Code Title 42 in response to the COVID-19 pandemic.</t>
    </r>
  </si>
  <si>
    <t>Source: Office of Homeland Security Statistics.</t>
  </si>
  <si>
    <t>Africa</t>
  </si>
  <si>
    <t>Asia</t>
  </si>
  <si>
    <t>Europe</t>
  </si>
  <si>
    <t>North America</t>
  </si>
  <si>
    <t>Oceania</t>
  </si>
  <si>
    <t>South America</t>
  </si>
  <si>
    <t>Unknown</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</si>
  <si>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</si>
  <si>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</si>
  <si>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</si>
  <si>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</si>
  <si>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</si>
  <si>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</si>
  <si>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</si>
  <si>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</si>
  <si>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</si>
  <si>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</si>
  <si>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</si>
  <si>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</si>
  <si>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</si>
  <si>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</si>
  <si>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</si>
  <si>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</si>
  <si>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</si>
  <si>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</si>
  <si>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</si>
  <si>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</si>
  <si>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</si>
  <si>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</si>
  <si>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Bulgaria</t>
  </si>
  <si>
    <t>Burkina Faso</t>
  </si>
  <si>
    <t>Burma</t>
  </si>
  <si>
    <t>Burundi</t>
  </si>
  <si>
    <t>Cabo Verde</t>
  </si>
  <si>
    <t>Cambodia</t>
  </si>
  <si>
    <t>Cameroon</t>
  </si>
  <si>
    <t>Canada</t>
  </si>
  <si>
    <t>Central African Republic</t>
  </si>
  <si>
    <t>Chad</t>
  </si>
  <si>
    <t>Chile</t>
  </si>
  <si>
    <t>China, People's Republic</t>
  </si>
  <si>
    <t>Congo, Democratic Republic</t>
  </si>
  <si>
    <t>Congo, Republic</t>
  </si>
  <si>
    <t>Costa Rica</t>
  </si>
  <si>
    <t>Cote d'Ivoire</t>
  </si>
  <si>
    <t>Croatia</t>
  </si>
  <si>
    <t>Cuba</t>
  </si>
  <si>
    <t>Cyprus</t>
  </si>
  <si>
    <t>Czechia</t>
  </si>
  <si>
    <t>Denmark</t>
  </si>
  <si>
    <t>Djibouti</t>
  </si>
  <si>
    <t>Dominica</t>
  </si>
  <si>
    <t>Dominican Republic</t>
  </si>
  <si>
    <t>Ecuador</t>
  </si>
  <si>
    <t>Egypt</t>
  </si>
  <si>
    <t>Equatorial Guinea</t>
  </si>
  <si>
    <t>Eritrea</t>
  </si>
  <si>
    <t>Estonia</t>
  </si>
  <si>
    <t>Ethiopia</t>
  </si>
  <si>
    <t>Fiji</t>
  </si>
  <si>
    <t>Finland</t>
  </si>
  <si>
    <t>France</t>
  </si>
  <si>
    <t>Gabon</t>
  </si>
  <si>
    <t>Gambia</t>
  </si>
  <si>
    <t>Germany</t>
  </si>
  <si>
    <t>Ghana</t>
  </si>
  <si>
    <t>Greece</t>
  </si>
  <si>
    <t>Grenada</t>
  </si>
  <si>
    <t>Guinea</t>
  </si>
  <si>
    <t>Guinea-Bissau</t>
  </si>
  <si>
    <t>Guyana</t>
  </si>
  <si>
    <t>Haiti</t>
  </si>
  <si>
    <t>Hungary</t>
  </si>
  <si>
    <t>Iceland</t>
  </si>
  <si>
    <t>Indonesia</t>
  </si>
  <si>
    <t>Iran</t>
  </si>
  <si>
    <t>Iraq</t>
  </si>
  <si>
    <t>Ireland</t>
  </si>
  <si>
    <t>Israel</t>
  </si>
  <si>
    <t>Italy</t>
  </si>
  <si>
    <t>Jamaica</t>
  </si>
  <si>
    <t>Japan</t>
  </si>
  <si>
    <t>Jordan</t>
  </si>
  <si>
    <t>Kazakhstan</t>
  </si>
  <si>
    <t>Kenya</t>
  </si>
  <si>
    <t>Korea, South</t>
  </si>
  <si>
    <t>Kosovo</t>
  </si>
  <si>
    <t>Kuwait</t>
  </si>
  <si>
    <t>Kyrgyzstan</t>
  </si>
  <si>
    <t>Laos</t>
  </si>
  <si>
    <t>Latvia</t>
  </si>
  <si>
    <t>Lebanon</t>
  </si>
  <si>
    <t>Liberia</t>
  </si>
  <si>
    <t>Libya</t>
  </si>
  <si>
    <t>Lithuania</t>
  </si>
  <si>
    <t>Luxembourg</t>
  </si>
  <si>
    <t>Madagascar</t>
  </si>
  <si>
    <t>Malawi</t>
  </si>
  <si>
    <t>Malaysia</t>
  </si>
  <si>
    <t>Mali</t>
  </si>
  <si>
    <t>Malta</t>
  </si>
  <si>
    <t>Marshall Islands</t>
  </si>
  <si>
    <t>Mauritania</t>
  </si>
  <si>
    <t>Mauritius</t>
  </si>
  <si>
    <t>Micronesia, Federated States</t>
  </si>
  <si>
    <t>Moldova</t>
  </si>
  <si>
    <t>Mongolia</t>
  </si>
  <si>
    <t>Montenegro</t>
  </si>
  <si>
    <t>Morocco</t>
  </si>
  <si>
    <t>Mozambique</t>
  </si>
  <si>
    <t>Namibia</t>
  </si>
  <si>
    <t>Nepal</t>
  </si>
  <si>
    <t>Netherlands</t>
  </si>
  <si>
    <t>New Zealand</t>
  </si>
  <si>
    <t>Nicaragua</t>
  </si>
  <si>
    <t>Niger</t>
  </si>
  <si>
    <t>Nigeria</t>
  </si>
  <si>
    <t>Norway</t>
  </si>
  <si>
    <t>Oman</t>
  </si>
  <si>
    <t>Pakistan</t>
  </si>
  <si>
    <t>Palau</t>
  </si>
  <si>
    <t>Panama</t>
  </si>
  <si>
    <t>Paraguay</t>
  </si>
  <si>
    <t>Peru</t>
  </si>
  <si>
    <t>Poland</t>
  </si>
  <si>
    <t>Portugal</t>
  </si>
  <si>
    <t>Qatar</t>
  </si>
  <si>
    <t>Romania</t>
  </si>
  <si>
    <t>Russia</t>
  </si>
  <si>
    <t>Rwanda</t>
  </si>
  <si>
    <t>Saint Kitts and Nevis</t>
  </si>
  <si>
    <t>Saint Lucia</t>
  </si>
  <si>
    <t>Saint Vincent and the Grenadines</t>
  </si>
  <si>
    <t>Samoa</t>
  </si>
  <si>
    <t>Saudi Arabia</t>
  </si>
  <si>
    <t>Senegal</t>
  </si>
  <si>
    <t>Serbia</t>
  </si>
  <si>
    <t>Sierra Leone</t>
  </si>
  <si>
    <t>Singapore</t>
  </si>
  <si>
    <t>Slovakia</t>
  </si>
  <si>
    <t>Slovenia</t>
  </si>
  <si>
    <t>Somalia</t>
  </si>
  <si>
    <t>South Africa</t>
  </si>
  <si>
    <t>South Sudan</t>
  </si>
  <si>
    <t>Spain</t>
  </si>
  <si>
    <t>Sri Lanka</t>
  </si>
  <si>
    <t>Sudan</t>
  </si>
  <si>
    <t>Suriname</t>
  </si>
  <si>
    <t>Swaziland</t>
  </si>
  <si>
    <t>Sweden</t>
  </si>
  <si>
    <t>Switzerland</t>
  </si>
  <si>
    <t>Syria</t>
  </si>
  <si>
    <t>Taiwan</t>
  </si>
  <si>
    <t>Tajikistan</t>
  </si>
  <si>
    <t>Tanzania</t>
  </si>
  <si>
    <t>Thailand</t>
  </si>
  <si>
    <t>Togo</t>
  </si>
  <si>
    <t>Tonga</t>
  </si>
  <si>
    <t>Trinidad and Tobago</t>
  </si>
  <si>
    <t>Tunisia</t>
  </si>
  <si>
    <t>Turkey</t>
  </si>
  <si>
    <t>Turkmenistan</t>
  </si>
  <si>
    <t>Uganda</t>
  </si>
  <si>
    <t>Ukraine</t>
  </si>
  <si>
    <t>United Arab Emirates</t>
  </si>
  <si>
    <t>United Kingdom</t>
  </si>
  <si>
    <t>Uruguay</t>
  </si>
  <si>
    <t>Uzbekistan</t>
  </si>
  <si>
    <t>Vietnam</t>
  </si>
  <si>
    <t>Yemen</t>
  </si>
  <si>
    <t>Zambia</t>
  </si>
  <si>
    <t>Zimbabwe</t>
  </si>
  <si>
    <t>D</t>
  </si>
  <si>
    <t>X</t>
  </si>
  <si>
    <t>D Data withheld to limit disclosure.</t>
  </si>
  <si>
    <t>X Not applicable.</t>
  </si>
  <si>
    <r>
      <rPr>
        <vertAlign val="superscript"/>
        <sz val="8"/>
        <color theme="1"/>
        <rFont val="Arial"/>
        <family val="2"/>
      </rPr>
      <t>1</t>
    </r>
    <r>
      <rPr>
        <sz val="8"/>
        <color theme="1"/>
        <rFont val="Arial"/>
        <family val="2"/>
      </rPr>
      <t xml:space="preserve"> Prior to 2016 reporting methodology limits data to one Immigration and Customs Enforcement (ICE) Enforcement and Removal Operations (ERO) administrative arrest for a single person on a single day; beginning in 2016 the reporting methodology was revised to align with ICE ERO reporting, which may include multiple arrests on a single day.</t>
    </r>
  </si>
  <si>
    <r>
      <rPr>
        <vertAlign val="superscript"/>
        <sz val="8"/>
        <color theme="1"/>
        <rFont val="Arial"/>
        <family val="2"/>
      </rPr>
      <t>2</t>
    </r>
    <r>
      <rPr>
        <sz val="8"/>
        <color theme="1"/>
        <rFont val="Arial"/>
        <family val="2"/>
      </rPr>
      <t xml:space="preserve"> U.S. Customs and Border Protection (CBP) U.S. Border Patrol (USBP) and CBP Office of Field Operations (OFO) data for 2020, 2021, and 2022 include encounters resulting in expulsions on public health grounds under U.S. Code Title 42 in response to the COVID-19 pandemic.</t>
    </r>
  </si>
  <si>
    <r>
      <rPr>
        <vertAlign val="superscript"/>
        <sz val="8"/>
        <color theme="1"/>
        <rFont val="Arial"/>
        <family val="2"/>
      </rPr>
      <t>3</t>
    </r>
    <r>
      <rPr>
        <sz val="8"/>
        <color theme="1"/>
        <rFont val="Arial"/>
        <family val="2"/>
      </rPr>
      <t xml:space="preserve"> Figures for Czechoslovakia (former), Serbia and Montenegro (former), and Soviet Union (former) for 2021 and onward are assigned to Unknown.</t>
    </r>
  </si>
  <si>
    <r>
      <rPr>
        <vertAlign val="superscript"/>
        <sz val="8"/>
        <color theme="1"/>
        <rFont val="Arial"/>
        <family val="2"/>
      </rPr>
      <t>4</t>
    </r>
    <r>
      <rPr>
        <sz val="8"/>
        <color theme="1"/>
        <rFont val="Arial"/>
        <family val="2"/>
      </rPr>
      <t xml:space="preserve"> Includes countries with fewer than 10 noncitizen apprehensions or encounters per year.</t>
    </r>
  </si>
  <si>
    <t xml:space="preserve">Notes: Data include CBP USBP apprehensions, CBP OFO inadmissibles, ICE Homeland Security Investigations (HSI) administrative arrests, and ICE ERO administrative arrests. CBP OFO inadmissibles in this table only include enforcement encounters, reflecting attempted unlawful entries into the United States. </t>
  </si>
  <si>
    <t>Czechoslovakia (former)3</t>
  </si>
  <si>
    <t>Serbia and Montenegro (former)3</t>
  </si>
  <si>
    <t>Soviet Union (former)3</t>
  </si>
  <si>
    <t>Region</t>
  </si>
  <si>
    <t>Expulsions/Apprehensions of noncitizens</t>
  </si>
  <si>
    <t>Unauthorized Population</t>
  </si>
  <si>
    <t>Nationality</t>
  </si>
  <si>
    <t>Source: DHS</t>
  </si>
  <si>
    <t>Southwest sectors</t>
  </si>
  <si>
    <t>Big Bend, TX</t>
  </si>
  <si>
    <t>Del Rio, TX</t>
  </si>
  <si>
    <t>El Centro, CA</t>
  </si>
  <si>
    <t>El Paso, TX</t>
  </si>
  <si>
    <t>Laredo, TX</t>
  </si>
  <si>
    <t>Rio Grande Valley, TX</t>
  </si>
  <si>
    <t>San Diego, CA</t>
  </si>
  <si>
    <t>Tucson, AZ</t>
  </si>
  <si>
    <t>Yuma, AZ</t>
  </si>
  <si>
    <t>Other sectors</t>
  </si>
  <si>
    <t>Blaine, WA</t>
  </si>
  <si>
    <t>Buffalo, NY</t>
  </si>
  <si>
    <t>Detroit, MI</t>
  </si>
  <si>
    <t>Grand Forks, ND</t>
  </si>
  <si>
    <t>Havre, MT</t>
  </si>
  <si>
    <t>Houlton, ME</t>
  </si>
  <si>
    <t>Miami, FL</t>
  </si>
  <si>
    <t>New Orleans, LA</t>
  </si>
  <si>
    <t>Ramey, PR</t>
  </si>
  <si>
    <t>Spokane, WA</t>
  </si>
  <si>
    <t>Swanton, VT</t>
  </si>
  <si>
    <t>Atlanta, GA</t>
  </si>
  <si>
    <t>Baltimore, MD</t>
  </si>
  <si>
    <t>Boston, MA</t>
  </si>
  <si>
    <t>Chicago, IL</t>
  </si>
  <si>
    <t>Houston, TX</t>
  </si>
  <si>
    <t>Los Angeles, CA</t>
  </si>
  <si>
    <t>New York, NY</t>
  </si>
  <si>
    <t>Portland, OR</t>
  </si>
  <si>
    <t>San Francisco, CA</t>
  </si>
  <si>
    <t>San Juan, PR</t>
  </si>
  <si>
    <t>Seattle, WA</t>
  </si>
  <si>
    <t>Tampa, FL</t>
  </si>
  <si>
    <r>
      <rPr>
        <sz val="10"/>
        <color theme="1"/>
        <rFont val="Arial"/>
        <family val="2"/>
      </rPr>
      <t>Pre-clearance</t>
    </r>
    <r>
      <rPr>
        <vertAlign val="superscript"/>
        <sz val="10"/>
        <color theme="1"/>
        <rFont val="Arial"/>
        <family val="2"/>
      </rPr>
      <t>4</t>
    </r>
  </si>
  <si>
    <t>Unknown field offices</t>
  </si>
  <si>
    <t>Charlotte, NC</t>
  </si>
  <si>
    <t>Dallas, TX</t>
  </si>
  <si>
    <t>Denver, CO</t>
  </si>
  <si>
    <t>Honolulu, HI</t>
  </si>
  <si>
    <t>Kansas City, MO</t>
  </si>
  <si>
    <t>Las Vegas, NV</t>
  </si>
  <si>
    <t>Nashville, TN</t>
  </si>
  <si>
    <t>Newark, NJ</t>
  </si>
  <si>
    <t>Philadelphia, PA</t>
  </si>
  <si>
    <t>Phoenix, AZ</t>
  </si>
  <si>
    <t>Saint Paul, MN</t>
  </si>
  <si>
    <t>San Antonio, TX</t>
  </si>
  <si>
    <t>Washington, DC</t>
  </si>
  <si>
    <t>Other SAC jurisdictions abroad</t>
  </si>
  <si>
    <t>Salt Lake City, UT</t>
  </si>
  <si>
    <t>Headquarters</t>
  </si>
  <si>
    <r>
      <rPr>
        <vertAlign val="superscript"/>
        <sz val="8"/>
        <color theme="1"/>
        <rFont val="Arial"/>
        <family val="2"/>
      </rPr>
      <t>1</t>
    </r>
    <r>
      <rPr>
        <sz val="8"/>
        <color theme="1"/>
        <rFont val="Arial"/>
        <family val="2"/>
      </rPr>
      <t xml:space="preserve"> </t>
    </r>
    <r>
      <rPr>
        <sz val="8"/>
        <color theme="1"/>
        <rFont val="Arial"/>
        <family val="2"/>
      </rPr>
      <t>Prior to 2016 reporting methodology limits data to one Immigration and Customs Enforcement (ICE) ERO administrative arrest for a single person on a single day; beginning in 2016 the reporting methodology was revised to align with ICE ERO reporting, which may include multiple arrests on a single day.</t>
    </r>
  </si>
  <si>
    <r>
      <rPr>
        <sz val="8"/>
        <color theme="1"/>
        <rFont val="Arial"/>
        <family val="2"/>
      </rPr>
      <t>2</t>
    </r>
    <r>
      <rPr>
        <sz val="8"/>
        <color theme="1"/>
        <rFont val="Arial"/>
        <family val="2"/>
      </rPr>
      <t xml:space="preserve"> U.S. Customs and Border Protection (CBP) U.S. Border Patrol (USBP) and CBP Office of Field Operations (OFO) data for 2020, 2021, and 2022 include encounters resulting in expulsions on public health grounds under U.S. Code Title 42 in response to the COVID-19 pandemic.</t>
    </r>
  </si>
  <si>
    <r>
      <rPr>
        <vertAlign val="superscript"/>
        <sz val="8"/>
        <color theme="1"/>
        <rFont val="Arial"/>
        <family val="2"/>
      </rPr>
      <t>3</t>
    </r>
    <r>
      <rPr>
        <sz val="8"/>
        <color theme="1"/>
        <rFont val="Arial"/>
        <family val="2"/>
      </rPr>
      <t xml:space="preserve"> Historical figures for ICE ERO administrative arrests may differ from those published by ICE due to difference in reporting methodologies.</t>
    </r>
  </si>
  <si>
    <r>
      <rPr>
        <vertAlign val="superscript"/>
        <sz val="8"/>
        <color theme="1"/>
        <rFont val="Arial"/>
        <family val="2"/>
      </rPr>
      <t>4</t>
    </r>
    <r>
      <rPr>
        <sz val="8"/>
        <color theme="1"/>
        <rFont val="Arial"/>
        <family val="2"/>
      </rPr>
      <t xml:space="preserve"> Refers to field offices abroad.</t>
    </r>
  </si>
  <si>
    <t xml:space="preserve">Notes: Data include CBP USBP apprehensions, CBP OFO inadmissibles, ICE HSI administrative arrests, and ICE ERO administrative arrests. CBP OFO inadmissibles in this table only include enforcement encounters, reflecting attempted unlawful entries into the United States. </t>
  </si>
  <si>
    <t>Agency/Jurisdiction</t>
  </si>
  <si>
    <t>Sector</t>
  </si>
  <si>
    <t>Southwest land ports</t>
  </si>
  <si>
    <t>Location</t>
  </si>
  <si>
    <t xml:space="preserve">Other ports </t>
  </si>
  <si>
    <r>
      <t xml:space="preserve">2016 </t>
    </r>
    <r>
      <rPr>
        <b/>
        <vertAlign val="superscript"/>
        <sz val="10"/>
        <color theme="1"/>
        <rFont val="Arial"/>
        <family val="2"/>
      </rPr>
      <t>1</t>
    </r>
  </si>
  <si>
    <r>
      <t xml:space="preserve">2020 </t>
    </r>
    <r>
      <rPr>
        <b/>
        <vertAlign val="superscript"/>
        <sz val="10"/>
        <color theme="1"/>
        <rFont val="Arial"/>
        <family val="2"/>
      </rPr>
      <t>2</t>
    </r>
  </si>
  <si>
    <r>
      <t xml:space="preserve">2021 </t>
    </r>
    <r>
      <rPr>
        <b/>
        <vertAlign val="superscript"/>
        <sz val="10"/>
        <color theme="1"/>
        <rFont val="Arial"/>
        <family val="2"/>
      </rPr>
      <t>2</t>
    </r>
  </si>
  <si>
    <r>
      <t xml:space="preserve">2022 </t>
    </r>
    <r>
      <rPr>
        <b/>
        <vertAlign val="superscript"/>
        <sz val="10"/>
        <color theme="1"/>
        <rFont val="Arial"/>
        <family val="2"/>
      </rPr>
      <t>2</t>
    </r>
  </si>
  <si>
    <t>Boder Patrol</t>
  </si>
  <si>
    <t>Office of Field Operations</t>
  </si>
  <si>
    <t>HSI SAC Jurisdiction</t>
  </si>
  <si>
    <t>Enforcement and Removals Operations</t>
  </si>
  <si>
    <t>2013</t>
  </si>
  <si>
    <t>2014</t>
  </si>
  <si>
    <t>2015</t>
  </si>
  <si>
    <t>2017</t>
  </si>
  <si>
    <t>2018</t>
  </si>
  <si>
    <t>2019</t>
  </si>
  <si>
    <t>Pre-clearance4</t>
  </si>
  <si>
    <t>Apprehension</t>
  </si>
  <si>
    <t>Apprehension/Encounter/Arrest</t>
  </si>
  <si>
    <t>Enforcement Encounter</t>
  </si>
  <si>
    <t>Administrative Arrests</t>
  </si>
  <si>
    <t>https://ohss.dhs.gov/about-our-data/regions</t>
  </si>
  <si>
    <t>Source: DHS, Table35d Immigration_Enforcement (2022): TITLE 42 EXPULSIONS AND NONCITIZEN APPREHENSIONS BY AGENCY AND BORDER PATROL SECTOR, OFFICE OF FIELD OPERATIONS FIELD OFFICE, INVESTIGATIONS SPECIAL AGENT IN CHARGE (SAC) JURISDICTION, AND AREA OF RESPONSIBILITY: FISCAL YEARS 2013 TO 2022</t>
  </si>
  <si>
    <t>Apprehension_Type</t>
  </si>
  <si>
    <t xml:space="preserve">Table 39.  </t>
  </si>
  <si>
    <t>NONCITIZEN REMOVALS, RETURNS, AND EXPULSIONS: FISCAL YEARS 1892 TO 2022</t>
  </si>
  <si>
    <r>
      <rPr>
        <sz val="10"/>
        <color theme="1"/>
        <rFont val="Arial"/>
        <family val="2"/>
      </rPr>
      <t>1976</t>
    </r>
    <r>
      <rPr>
        <vertAlign val="superscript"/>
        <sz val="10"/>
        <color theme="1"/>
        <rFont val="Arial"/>
        <family val="2"/>
      </rPr>
      <t xml:space="preserve"> 4</t>
    </r>
  </si>
  <si>
    <t>NA Not available.</t>
  </si>
  <si>
    <r>
      <rPr>
        <sz val="8"/>
        <color theme="1"/>
        <rFont val="Arial"/>
        <family val="2"/>
      </rPr>
      <t xml:space="preserve">1 </t>
    </r>
    <r>
      <rPr>
        <sz val="8"/>
        <color theme="1"/>
        <rFont val="Arial"/>
        <family val="2"/>
      </rPr>
      <t>Removals are the compulsory and confirmed movement of an inadmissible or deportable noncitizen out of the United States based on an order of removal. A noncitizen who is removed has administrative or criminal consequences placed on subsequent reentry owing to the fact of the removal.</t>
    </r>
  </si>
  <si>
    <r>
      <rPr>
        <vertAlign val="superscript"/>
        <sz val="8"/>
        <color theme="1"/>
        <rFont val="Arial"/>
        <family val="2"/>
      </rPr>
      <t>2</t>
    </r>
    <r>
      <rPr>
        <sz val="8"/>
        <color theme="1"/>
        <rFont val="Arial"/>
        <family val="2"/>
      </rPr>
      <t xml:space="preserve"> Returns are the confirmed movement of an inadmissible or deportable noncitizen out of the United States not based on an order of removal.  Administrative returns include crew members from 2005 to 2017, and both crew members and administrative withdrawals since 2018. Administrative withdrawals are withdrawals of application for admission that are terminated without prejudice. Enforcement returns are all returns with the exception of crew members and administrative withdrawals. All returns are reported as enforcement returns from 1927 to 2008.</t>
    </r>
  </si>
  <si>
    <r>
      <rPr>
        <sz val="8"/>
        <color theme="1"/>
        <rFont val="Arial"/>
        <family val="2"/>
      </rPr>
      <t xml:space="preserve">3 </t>
    </r>
    <r>
      <rPr>
        <sz val="8"/>
        <color theme="1"/>
        <rFont val="Arial"/>
        <family val="2"/>
      </rPr>
      <t>Expulsions on public health grounds under U.S. Code Title 42 in response to the COVID-19 pandemic.</t>
    </r>
  </si>
  <si>
    <r>
      <rPr>
        <sz val="8"/>
        <color theme="1"/>
        <rFont val="Arial"/>
        <family val="2"/>
      </rPr>
      <t>4</t>
    </r>
    <r>
      <rPr>
        <sz val="8"/>
        <color theme="1"/>
        <rFont val="Arial"/>
        <family val="2"/>
      </rPr>
      <t xml:space="preserve"> Includes the 15 months from July 1, 1975 to September 30, 1976 because the end date of fiscal years was changed from June 30 to September 30.</t>
    </r>
  </si>
  <si>
    <r>
      <t>Removals</t>
    </r>
    <r>
      <rPr>
        <b/>
        <vertAlign val="superscript"/>
        <sz val="10"/>
        <color theme="1"/>
        <rFont val="Arial"/>
        <family val="2"/>
      </rPr>
      <t>1</t>
    </r>
  </si>
  <si>
    <r>
      <t>Administrative Returns</t>
    </r>
    <r>
      <rPr>
        <b/>
        <vertAlign val="superscript"/>
        <sz val="10"/>
        <color theme="1"/>
        <rFont val="Arial"/>
        <family val="2"/>
      </rPr>
      <t>2</t>
    </r>
  </si>
  <si>
    <r>
      <t>Enforcement Returns</t>
    </r>
    <r>
      <rPr>
        <b/>
        <vertAlign val="superscript"/>
        <sz val="10"/>
        <color theme="1"/>
        <rFont val="Arial"/>
        <family val="2"/>
      </rPr>
      <t>2</t>
    </r>
  </si>
  <si>
    <r>
      <t>Expulsions</t>
    </r>
    <r>
      <rPr>
        <b/>
        <vertAlign val="superscript"/>
        <sz val="10"/>
        <color theme="1"/>
        <rFont val="Arial"/>
        <family val="2"/>
      </rPr>
      <t>3</t>
    </r>
  </si>
  <si>
    <t>Table 33.</t>
  </si>
  <si>
    <t>TITLE 42 EXPULSIONS AND NONCITIZEN APPREHENSIONS: FISCAL YEARS 1925 TO 2022</t>
  </si>
  <si>
    <t>Table 41.</t>
  </si>
  <si>
    <t>NONCITIZEN ENFORCEMENT RETURNS BY REGION AND COUNTRY OF NATIONALITY: FISCAL YEARS 2013 TO 2022</t>
  </si>
  <si>
    <t>North Macedonia</t>
  </si>
  <si>
    <r>
      <rPr>
        <vertAlign val="superscript"/>
        <sz val="8"/>
        <color theme="1"/>
        <rFont val="Arial"/>
        <family val="2"/>
      </rPr>
      <t>1</t>
    </r>
    <r>
      <rPr>
        <sz val="8"/>
        <color theme="1"/>
        <rFont val="Arial"/>
        <family val="2"/>
      </rPr>
      <t xml:space="preserve"> Includes countries with fewer than 10 noncitizens returned per year.</t>
    </r>
  </si>
  <si>
    <t>Note: The enforcement returns are all returns with the exception of crew members and administrative withdrawals.</t>
  </si>
  <si>
    <t>Enforcement Returns_Noncitizens</t>
  </si>
  <si>
    <t>Table 42.</t>
  </si>
  <si>
    <t>NONCITIZEN REMOVALS BY CRIMINAL STATUS AND REGION AND COUNTRY OF NATIONALITY: FISCAL YEARS 2013 TO 2022</t>
  </si>
  <si>
    <t>Non-Criminal</t>
  </si>
  <si>
    <r>
      <rPr>
        <sz val="10"/>
        <color theme="1"/>
        <rFont val="Arial"/>
        <family val="2"/>
      </rPr>
      <t>Czechoslovakia (former)</t>
    </r>
    <r>
      <rPr>
        <vertAlign val="superscript"/>
        <sz val="10"/>
        <color theme="1"/>
        <rFont val="Arial"/>
        <family val="2"/>
      </rPr>
      <t>2</t>
    </r>
  </si>
  <si>
    <r>
      <rPr>
        <sz val="10"/>
        <color theme="1"/>
        <rFont val="Arial"/>
        <family val="2"/>
      </rPr>
      <t>Serbia and Montenegro (former)</t>
    </r>
    <r>
      <rPr>
        <vertAlign val="superscript"/>
        <sz val="10"/>
        <color theme="1"/>
        <rFont val="Arial"/>
        <family val="2"/>
      </rPr>
      <t>2</t>
    </r>
  </si>
  <si>
    <r>
      <rPr>
        <sz val="10"/>
        <color theme="1"/>
        <rFont val="Arial"/>
        <family val="2"/>
      </rPr>
      <t>All other countries</t>
    </r>
    <r>
      <rPr>
        <vertAlign val="superscript"/>
        <sz val="10"/>
        <color theme="1"/>
        <rFont val="Arial"/>
        <family val="2"/>
      </rPr>
      <t>3</t>
    </r>
  </si>
  <si>
    <r>
      <rPr>
        <vertAlign val="superscript"/>
        <sz val="8"/>
        <color theme="1"/>
        <rFont val="Arial"/>
        <family val="2"/>
      </rPr>
      <t>1</t>
    </r>
    <r>
      <rPr>
        <sz val="8"/>
        <color theme="1"/>
        <rFont val="Arial"/>
        <family val="2"/>
      </rPr>
      <t xml:space="preserve"> Criminals are limited to noncitizens with previous criminal convictions; noncitizens with pending criminal charges (data available in ICE records since 2017) are included in the non-criminal category.</t>
    </r>
  </si>
  <si>
    <r>
      <rPr>
        <vertAlign val="superscript"/>
        <sz val="8"/>
        <color theme="1"/>
        <rFont val="Arial"/>
        <family val="2"/>
      </rPr>
      <t>2</t>
    </r>
    <r>
      <rPr>
        <sz val="8"/>
        <color theme="1"/>
        <rFont val="Arial"/>
        <family val="2"/>
      </rPr>
      <t xml:space="preserve"> Figures for Czechoslovakia (former) and Serbia and Montenegro (former) for 2021 and onward are assigned to Unknown.</t>
    </r>
  </si>
  <si>
    <r>
      <rPr>
        <vertAlign val="superscript"/>
        <sz val="8"/>
        <color theme="1"/>
        <rFont val="Arial"/>
        <family val="2"/>
      </rPr>
      <t>3</t>
    </r>
    <r>
      <rPr>
        <sz val="8"/>
        <color theme="1"/>
        <rFont val="Arial"/>
        <family val="2"/>
      </rPr>
      <t xml:space="preserve"> Includes countries with fewer than 10 noncitizen removals per year.</t>
    </r>
  </si>
  <si>
    <t>2013_Criminal</t>
  </si>
  <si>
    <t>2013_Non-Criminal</t>
  </si>
  <si>
    <t>2014_Criminal</t>
  </si>
  <si>
    <t>2014_Non-Criminal</t>
  </si>
  <si>
    <t>2015_Criminal</t>
  </si>
  <si>
    <t>2015_Non-Criminal</t>
  </si>
  <si>
    <t>2016_Criminal</t>
  </si>
  <si>
    <t>2016_Non-Criminal</t>
  </si>
  <si>
    <t>2017_Criminal</t>
  </si>
  <si>
    <t>2017_Non-Criminal</t>
  </si>
  <si>
    <t>2018_Criminal</t>
  </si>
  <si>
    <t>2018_Non-Criminal</t>
  </si>
  <si>
    <t>2019_Criminal</t>
  </si>
  <si>
    <t>2019_Non-Criminal</t>
  </si>
  <si>
    <t>2020Criminal</t>
  </si>
  <si>
    <t>2020_Non-Criminal</t>
  </si>
  <si>
    <t>2021_Criminal</t>
  </si>
  <si>
    <t>2021_Non-Criminal</t>
  </si>
  <si>
    <t>2022_Criminal</t>
  </si>
  <si>
    <t>2022_Non-Criminal</t>
  </si>
  <si>
    <t>Criminal</t>
  </si>
  <si>
    <t>Table 34.</t>
  </si>
  <si>
    <t>TITLE 42 EXPULSIONS AND NONCITIZEN APPREHENSIONS BY REGION AND COUNTRY OF NATIONALITY: FISCAL YEARS 2013 TO 2022</t>
  </si>
  <si>
    <t>2010: Revised to be consistent with estimates derived from the 2010 Census (U.S. Census Bureau, 2011). 
2015/2018: Revised to show the impact of the updated methodology. 
***Estimates are not available. 
Notes: 
Detail may not sum to totals because of rounding. 
Estimates shown for Colombia 2000–2013, Brazil 2010–2015, and Venezuela 2007–2015 are approximations based on historical estimation and project notes. 
The revised 2018 estimate and the 2019–2020 and 2022 estimates for China include Hong Kong and Macau, whereas the earlier estimates did not. 
Estimates for 2021 are not available. Source: Office of Homeland Security Statistics.</t>
  </si>
  <si>
    <t>Dataset extracted from pdf report : Estimates of the Unauthorized
Immigrant Population Residing
in the United States:
January 2018–January 2022</t>
  </si>
  <si>
    <r>
      <rPr>
        <vertAlign val="superscript"/>
        <sz val="8"/>
        <color theme="1"/>
        <rFont val="Arial"/>
        <family val="2"/>
      </rPr>
      <t xml:space="preserve"> </t>
    </r>
    <r>
      <rPr>
        <sz val="9"/>
        <color rgb="FFFF0000"/>
        <rFont val="Arial"/>
        <family val="2"/>
      </rPr>
      <t>[DELETED]</t>
    </r>
    <r>
      <rPr>
        <vertAlign val="superscript"/>
        <sz val="8"/>
        <color theme="1"/>
        <rFont val="Arial"/>
        <family val="2"/>
      </rPr>
      <t xml:space="preserve">  2</t>
    </r>
    <r>
      <rPr>
        <sz val="8"/>
        <color theme="1"/>
        <rFont val="Arial"/>
        <family val="2"/>
      </rPr>
      <t xml:space="preserve"> Figures for Czechoslovakia (former) and Serbia and Montenegro (former) for 2021 and onward are assigned to Unknown.</t>
    </r>
  </si>
  <si>
    <t>ALIENS APPREHENDED: FISCAL YEARS 1925 TO 2013</t>
  </si>
  <si>
    <t>ALIENS APPREHENDED BY REGION AND COUNTRY OF NATIONALITY: FISCAL YEARS 2004 TO 2013</t>
  </si>
  <si>
    <t>Bermuda</t>
  </si>
  <si>
    <t>British Virgin Islands</t>
  </si>
  <si>
    <t>Cayman Islands</t>
  </si>
  <si>
    <t>-</t>
  </si>
  <si>
    <t>Guam</t>
  </si>
  <si>
    <t>Hong Kong</t>
  </si>
  <si>
    <t>Macau</t>
  </si>
  <si>
    <t>Montserrat</t>
  </si>
  <si>
    <t>Netherlands Antilles</t>
  </si>
  <si>
    <t>Turks and Caicos Islands</t>
  </si>
  <si>
    <t>All other countries</t>
  </si>
  <si>
    <t xml:space="preserve"> - Represents zero.</t>
  </si>
  <si>
    <r>
      <rPr>
        <vertAlign val="superscript"/>
        <sz val="8"/>
        <rFont val="Arial"/>
        <family val="2"/>
      </rPr>
      <t>1</t>
    </r>
    <r>
      <rPr>
        <sz val="8"/>
        <rFont val="Arial"/>
        <family val="2"/>
      </rPr>
      <t xml:space="preserve"> Beginning in 2008 data include administrative arrests conducted by ICE ERO.</t>
    </r>
  </si>
  <si>
    <r>
      <rPr>
        <vertAlign val="superscript"/>
        <sz val="8"/>
        <rFont val="Arial"/>
        <family val="2"/>
      </rPr>
      <t>2</t>
    </r>
    <r>
      <rPr>
        <sz val="8"/>
        <rFont val="Arial"/>
        <family val="2"/>
      </rPr>
      <t xml:space="preserve"> Beginning in 2009 data include administrative arrests conducted by ICE ERO and administrative arrests conducted under the 287(g) program.</t>
    </r>
  </si>
  <si>
    <t>Note: CBP Border Patrol data are current as of April 2014.  ICE Enforcement and Removal Operations (ERO) data are current as of October 2013. ICE Homeland Security Investigations (HSI) data current as of October 2013.</t>
  </si>
  <si>
    <t xml:space="preserve">Source: U.S. Department of Homeland Security, Customs and Border Protection (CBP) U.S. Border Patrol (USBP), Immigration and Customs Enforcement (ICE) Homeland Security Investigations (HSI), and the Office of Enforcement and Removal Operations (ERO). </t>
  </si>
  <si>
    <t>2004</t>
  </si>
  <si>
    <t>2005</t>
  </si>
  <si>
    <t>2006</t>
  </si>
  <si>
    <t>2007</t>
  </si>
  <si>
    <t>2010</t>
  </si>
  <si>
    <t>2011</t>
  </si>
  <si>
    <t>2012</t>
  </si>
  <si>
    <t>American Samoa</t>
  </si>
  <si>
    <t>Tuvalu</t>
  </si>
  <si>
    <t>Solomon Islands</t>
  </si>
  <si>
    <t>Maldives</t>
  </si>
  <si>
    <t>Kiribati</t>
  </si>
  <si>
    <t>French Polynesia</t>
  </si>
  <si>
    <t>Anguilla</t>
  </si>
  <si>
    <t>Vanuatu</t>
  </si>
  <si>
    <t>2008</t>
  </si>
  <si>
    <t>2009</t>
  </si>
  <si>
    <r>
      <t xml:space="preserve">  Big Bend, TX </t>
    </r>
    <r>
      <rPr>
        <vertAlign val="superscript"/>
        <sz val="10"/>
        <rFont val="Arial"/>
        <family val="2"/>
      </rPr>
      <t>3</t>
    </r>
  </si>
  <si>
    <t xml:space="preserve">  Del Rio, TX</t>
  </si>
  <si>
    <t xml:space="preserve">  EL Centro, CA</t>
  </si>
  <si>
    <t xml:space="preserve">  EL Paso, TX</t>
  </si>
  <si>
    <t xml:space="preserve">  Laredo, TX</t>
  </si>
  <si>
    <t xml:space="preserve">  Rio Grande Valley, TX</t>
  </si>
  <si>
    <t xml:space="preserve">  San Diego, CA</t>
  </si>
  <si>
    <t xml:space="preserve">  Tucson, AZ</t>
  </si>
  <si>
    <t xml:space="preserve">  Yuma, AZ</t>
  </si>
  <si>
    <t xml:space="preserve">  Blaine, WA</t>
  </si>
  <si>
    <t xml:space="preserve">  Buffalo, NY</t>
  </si>
  <si>
    <t xml:space="preserve">  Detroit, MI</t>
  </si>
  <si>
    <t xml:space="preserve">  Grand Forks, ND</t>
  </si>
  <si>
    <t xml:space="preserve">  Havre, MT</t>
  </si>
  <si>
    <t xml:space="preserve">  Houlton, ME</t>
  </si>
  <si>
    <r>
      <t xml:space="preserve">  Livermore, CA </t>
    </r>
    <r>
      <rPr>
        <vertAlign val="superscript"/>
        <sz val="10"/>
        <rFont val="Arial"/>
        <family val="2"/>
      </rPr>
      <t>4</t>
    </r>
  </si>
  <si>
    <t xml:space="preserve">  Miami, FL</t>
  </si>
  <si>
    <t xml:space="preserve">  New Orleans, LA</t>
  </si>
  <si>
    <t xml:space="preserve">  Ramey, PR</t>
  </si>
  <si>
    <t xml:space="preserve">  Spokane, WA</t>
  </si>
  <si>
    <t xml:space="preserve">  Swanton, VT</t>
  </si>
  <si>
    <t>EL Paso, TX</t>
  </si>
  <si>
    <t>Other SAC Jurisdictions abroad</t>
  </si>
  <si>
    <t>New York City, NY</t>
  </si>
  <si>
    <t>- Represents zero.</t>
  </si>
  <si>
    <r>
      <t xml:space="preserve">1  </t>
    </r>
    <r>
      <rPr>
        <sz val="8"/>
        <rFont val="Arial"/>
        <family val="2"/>
      </rPr>
      <t>By 2008, no longer includes arrests under the 287(g) program.</t>
    </r>
  </si>
  <si>
    <r>
      <t xml:space="preserve">2  </t>
    </r>
    <r>
      <rPr>
        <sz val="8"/>
        <rFont val="Arial"/>
        <family val="2"/>
      </rPr>
      <t xml:space="preserve"> Data for 2006 and 2007 include only arrests of fugitive and nonfugitive aliens under the National Fugitive Operations Program of ICE ERO; 2008 data include administrative arrests conducted by ICE ERO; data from 2009 to 2013 include arrests conducted by ICE ERO and arrests conducted under the 287(g) program.</t>
    </r>
  </si>
  <si>
    <r>
      <t xml:space="preserve">3   </t>
    </r>
    <r>
      <rPr>
        <sz val="8"/>
        <rFont val="Arial"/>
        <family val="2"/>
      </rPr>
      <t>Formerly known as Marfa, TX.</t>
    </r>
  </si>
  <si>
    <r>
      <t xml:space="preserve">4   </t>
    </r>
    <r>
      <rPr>
        <sz val="8"/>
        <rFont val="Arial"/>
        <family val="2"/>
      </rPr>
      <t>Livermore sector closed September 30, 2004.</t>
    </r>
  </si>
  <si>
    <t>National</t>
  </si>
  <si>
    <t>Abroad</t>
  </si>
  <si>
    <t xml:space="preserve">  Livermore, CA 4</t>
  </si>
  <si>
    <t xml:space="preserve">  Big Bend, TX 3</t>
  </si>
  <si>
    <t>Table 35.</t>
  </si>
  <si>
    <t>ALIENS APPREHENDED BY PROGRAM AND BORDER PATROL SECTOR, INVESTIGATIONS SPECIAL AGENT IN CHARGE (SAC) JURISDICTION, AND AREA OF RESPONSIBILITY: FISCAL YEARS 2004 TO 2013</t>
  </si>
  <si>
    <t>Source: U.S. Department of Homeland Security. ENFORCE Alien Removal Module (EARM), January 2014, Enforcement Integrated Database (EID), November 2013.</t>
  </si>
  <si>
    <t>Table 40.</t>
  </si>
  <si>
    <t>ALIENS RETURNED BY REGION AND COUNTRY OF NATIONALITY: FISCAL YEARS 2009 TO 2013</t>
  </si>
  <si>
    <t>ALIENS REMOVED BY CRIMINAL STATUS AND REGION AND COUNTRY OF NATIONALITY: FISCAL YEARS 2004 TO 2013</t>
  </si>
  <si>
    <t xml:space="preserve">Note: Beginning in 2008, excludes criminals removed by Customs and Border Protection (CBP); CBP ENFORCE does not identify if aliens removed were criminals. </t>
  </si>
  <si>
    <t>Source: U.S. Department of Homeland Security, ENFORCE Alien Removal Module (EARM), January 2014, Enforcement Integrated Database (EID), November 2013.</t>
  </si>
  <si>
    <r>
      <t xml:space="preserve">2004 Criminal </t>
    </r>
    <r>
      <rPr>
        <vertAlign val="superscript"/>
        <sz val="10"/>
        <color indexed="8"/>
        <rFont val="Arial"/>
        <family val="2"/>
      </rPr>
      <t>1</t>
    </r>
  </si>
  <si>
    <t>2004 Non-Criminal</t>
  </si>
  <si>
    <r>
      <t xml:space="preserve">2005 Criminal </t>
    </r>
    <r>
      <rPr>
        <vertAlign val="superscript"/>
        <sz val="10"/>
        <color indexed="8"/>
        <rFont val="Arial"/>
        <family val="2"/>
      </rPr>
      <t>1</t>
    </r>
  </si>
  <si>
    <t>2005 Non-Criminal</t>
  </si>
  <si>
    <r>
      <t xml:space="preserve">2006 Criminal </t>
    </r>
    <r>
      <rPr>
        <vertAlign val="superscript"/>
        <sz val="10"/>
        <color indexed="8"/>
        <rFont val="Arial"/>
        <family val="2"/>
      </rPr>
      <t>1</t>
    </r>
  </si>
  <si>
    <t>2006 Non-Criminal</t>
  </si>
  <si>
    <r>
      <t xml:space="preserve">2007 Criminal </t>
    </r>
    <r>
      <rPr>
        <vertAlign val="superscript"/>
        <sz val="10"/>
        <color indexed="8"/>
        <rFont val="Arial"/>
        <family val="2"/>
      </rPr>
      <t>1</t>
    </r>
  </si>
  <si>
    <t>2007 Non-Criminal</t>
  </si>
  <si>
    <r>
      <t xml:space="preserve">2008 Criminal </t>
    </r>
    <r>
      <rPr>
        <vertAlign val="superscript"/>
        <sz val="10"/>
        <color indexed="8"/>
        <rFont val="Arial"/>
        <family val="2"/>
      </rPr>
      <t>1</t>
    </r>
  </si>
  <si>
    <t>2008 Non-Criminal</t>
  </si>
  <si>
    <r>
      <t xml:space="preserve">2009 Criminal </t>
    </r>
    <r>
      <rPr>
        <vertAlign val="superscript"/>
        <sz val="10"/>
        <color indexed="8"/>
        <rFont val="Arial"/>
        <family val="2"/>
      </rPr>
      <t>1</t>
    </r>
  </si>
  <si>
    <t>2009 Non-Criminal</t>
  </si>
  <si>
    <r>
      <t xml:space="preserve">2010 Criminal </t>
    </r>
    <r>
      <rPr>
        <vertAlign val="superscript"/>
        <sz val="10"/>
        <color indexed="8"/>
        <rFont val="Arial"/>
        <family val="2"/>
      </rPr>
      <t>1</t>
    </r>
  </si>
  <si>
    <t>2010 Non-Criminal</t>
  </si>
  <si>
    <r>
      <t xml:space="preserve">2011 Criminal </t>
    </r>
    <r>
      <rPr>
        <vertAlign val="superscript"/>
        <sz val="10"/>
        <color indexed="8"/>
        <rFont val="Arial"/>
        <family val="2"/>
      </rPr>
      <t>1</t>
    </r>
  </si>
  <si>
    <t>2011 Non-Criminal</t>
  </si>
  <si>
    <r>
      <t xml:space="preserve">2012 Criminal </t>
    </r>
    <r>
      <rPr>
        <vertAlign val="superscript"/>
        <sz val="10"/>
        <color indexed="8"/>
        <rFont val="Arial"/>
        <family val="2"/>
      </rPr>
      <t>1</t>
    </r>
  </si>
  <si>
    <t>2012 Non-Criminal</t>
  </si>
  <si>
    <r>
      <t xml:space="preserve">2013 Criminal </t>
    </r>
    <r>
      <rPr>
        <vertAlign val="superscript"/>
        <sz val="10"/>
        <color indexed="8"/>
        <rFont val="Arial"/>
        <family val="2"/>
      </rPr>
      <t>1</t>
    </r>
  </si>
  <si>
    <t>2013 Non-Criminal</t>
  </si>
  <si>
    <r>
      <rPr>
        <vertAlign val="superscript"/>
        <sz val="8"/>
        <rFont val="Arial"/>
        <family val="2"/>
      </rPr>
      <t>1</t>
    </r>
    <r>
      <rPr>
        <sz val="8"/>
        <rFont val="Arial"/>
        <family val="2"/>
      </rPr>
      <t xml:space="preserve"> Refers to persons removed who have a prior criminal conviction.</t>
    </r>
  </si>
  <si>
    <t xml:space="preserve">Criminal </t>
  </si>
  <si>
    <t>Difference*: 2022 minus 2013</t>
  </si>
  <si>
    <t>* Difference captures the discripancy in DHS records for period 1925-2022 ans 1925-2013. Shows over 100000 difference for 2012 and 2013; assuming 1925-2022 is updated list.</t>
  </si>
  <si>
    <t>Year1</t>
  </si>
  <si>
    <t xml:space="preserve"> </t>
  </si>
  <si>
    <t>9999 = 2013 (duplicate year; old version)</t>
  </si>
  <si>
    <t>Value</t>
  </si>
  <si>
    <t>Measure Type</t>
  </si>
  <si>
    <t>Expulsions/Apprehensions</t>
  </si>
  <si>
    <t>Enforcement Returns</t>
  </si>
  <si>
    <t>D/X Values converted to Null</t>
  </si>
  <si>
    <t>Apprehensions &amp; Title 42 Expulsions 1925 TO 2022</t>
  </si>
  <si>
    <t xml:space="preserve"> APPREHENSIONS: 1925 TO 2013</t>
  </si>
  <si>
    <t>Years available: 2000, 2005-2020,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</si>
</sst>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3" x14ac:knownFonts="1">
    <font>
      <sz val="11"/>
      <color theme="1"/>
      <name val="Calibri"/>
      <family val="2"/>
      <scheme val="minor"/>
    </font>
    <font>
      <b/>
      <sz val="11"/>
      <color theme="1"/>
      <name val="Calibri"/>
      <family val="2"/>
      <scheme val="minor"/>
    </font>
    <font>
      <b/>
      <sz val="11"/>
      <color theme="4"/>
      <name val="Calibri"/>
      <family val="2"/>
      <scheme val="minor"/>
    </font>
    <font>
      <b/>
      <sz val="10"/>
      <color theme="1"/>
      <name val="Arial"/>
      <family val="2"/>
    </font>
    <font>
      <sz val="10"/>
      <color theme="1"/>
      <name val="Arial"/>
      <family val="2"/>
    </font>
    <font>
      <sz val="10"/>
      <color rgb="FF000000"/>
      <name val="Arial"/>
      <family val="2"/>
    </font>
    <font>
      <sz val="8"/>
      <color theme="1"/>
      <name val="Arial"/>
      <family val="2"/>
    </font>
    <font>
      <vertAlign val="superscript"/>
      <sz val="8"/>
      <color theme="1"/>
      <name val="Arial"/>
      <family val="2"/>
    </font>
    <font>
      <sz val="11"/>
      <color theme="1"/>
      <name val="Arial"/>
      <family val="2"/>
    </font>
    <font>
      <vertAlign val="superscript"/>
      <sz val="10"/>
      <color theme="1"/>
      <name val="Arial"/>
      <family val="2"/>
    </font>
    <font>
      <b/>
      <vertAlign val="superscript"/>
      <sz val="10"/>
      <color theme="1"/>
      <name val="Arial"/>
      <family val="2"/>
    </font>
    <font>
      <sz val="8"/>
      <name val="Calibri"/>
      <family val="2"/>
      <scheme val="minor"/>
    </font>
    <font>
      <sz val="11"/>
      <name val="Calibri"/>
      <family val="2"/>
    </font>
    <font>
      <sz val="9"/>
      <color rgb="FFFF0000"/>
      <name val="Arial"/>
      <family val="2"/>
    </font>
    <font>
      <sz val="11"/>
      <color theme="1"/>
      <name val="Calibri"/>
      <family val="2"/>
      <scheme val="minor"/>
    </font>
    <font>
      <sz val="10"/>
      <name val="Arial"/>
      <family val="2"/>
    </font>
    <font>
      <b/>
      <sz val="10"/>
      <name val="Arial"/>
      <family val="2"/>
    </font>
    <font>
      <vertAlign val="superscript"/>
      <sz val="10"/>
      <name val="Arial"/>
      <family val="2"/>
    </font>
    <font>
      <vertAlign val="superscript"/>
      <sz val="10"/>
      <color indexed="8"/>
      <name val="Arial"/>
      <family val="2"/>
    </font>
    <font>
      <sz val="8"/>
      <name val="Arial"/>
      <family val="2"/>
    </font>
    <font>
      <vertAlign val="superscrip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theme="2"/>
        <bgColor indexed="64"/>
      </patternFill>
    </fill>
  </fills>
  <borders count="13">
    <border>
      <left/>
      <right/>
      <top/>
      <bottom/>
      <diagonal/>
    </border>
    <border>
      <left style="thin">
        <color theme="4" tint="0.39997558519241921"/>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indexed="64"/>
      </bottom>
      <diagonal/>
    </border>
  </borders>
  <cellStyleXfs count="3">
    <xf numFmtId="0" fontId="0" fillId="0" borderId="0"/>
    <xf numFmtId="43" fontId="14" fillId="0" borderId="0" applyFont="0" applyFill="0" applyBorder="0" applyAlignment="0" applyProtection="0"/>
    <xf numFmtId="0" fontId="21" fillId="0" borderId="0"/>
  </cellStyleXfs>
  <cellXfs count="96">
    <xf numFmtId="0" fontId="0" fillId="0" borderId="0" xfId="0"/>
    <xf numFmtId="0" fontId="1" fillId="0" borderId="0" xfId="0" applyFont="1"/>
    <xf numFmtId="0" fontId="6" fillId="0" borderId="0" xfId="0" applyFont="1" applyAlignment="1">
      <alignment horizontal="left"/>
    </xf>
    <xf numFmtId="0" fontId="4" fillId="0" borderId="0" xfId="0" applyFont="1" applyAlignment="1">
      <alignment horizontal="left"/>
    </xf>
    <xf numFmtId="0" fontId="4" fillId="0" borderId="0" xfId="0" applyFont="1"/>
    <xf numFmtId="0" fontId="4" fillId="0" borderId="0" xfId="0" applyFont="1" applyAlignment="1">
      <alignment horizontal="right" wrapText="1"/>
    </xf>
    <xf numFmtId="3" fontId="4" fillId="0" borderId="0" xfId="0" applyNumberFormat="1" applyFont="1" applyAlignment="1">
      <alignment horizontal="right"/>
    </xf>
    <xf numFmtId="3" fontId="4" fillId="0" borderId="0" xfId="0" applyNumberFormat="1" applyFont="1"/>
    <xf numFmtId="3" fontId="4" fillId="0" borderId="0" xfId="0" applyNumberFormat="1" applyFont="1" applyAlignment="1">
      <alignment horizontal="right" wrapText="1"/>
    </xf>
    <xf numFmtId="0" fontId="3" fillId="0" borderId="0" xfId="0" applyFont="1" applyAlignment="1">
      <alignment horizontal="right" wrapText="1"/>
    </xf>
    <xf numFmtId="14" fontId="4" fillId="0" borderId="0" xfId="0" applyNumberFormat="1" applyFont="1" applyAlignment="1">
      <alignment horizontal="left"/>
    </xf>
    <xf numFmtId="14" fontId="5" fillId="0" borderId="0" xfId="0" applyNumberFormat="1" applyFont="1" applyAlignment="1">
      <alignment horizontal="left"/>
    </xf>
    <xf numFmtId="14" fontId="4" fillId="0" borderId="0" xfId="0" applyNumberFormat="1" applyFont="1" applyAlignment="1">
      <alignment horizontal="left" wrapText="1"/>
    </xf>
    <xf numFmtId="14" fontId="0" fillId="0" borderId="0" xfId="0" applyNumberFormat="1"/>
    <xf numFmtId="14" fontId="3" fillId="0" borderId="0" xfId="0" applyNumberFormat="1" applyFont="1" applyAlignment="1">
      <alignment horizontal="left"/>
    </xf>
    <xf numFmtId="14" fontId="6" fillId="0" borderId="0" xfId="0" applyNumberFormat="1" applyFont="1" applyAlignment="1">
      <alignment horizontal="left"/>
    </xf>
    <xf numFmtId="0" fontId="6" fillId="0" borderId="0" xfId="0" applyFont="1"/>
    <xf numFmtId="3" fontId="6" fillId="0" borderId="0" xfId="0" applyNumberFormat="1" applyFont="1"/>
    <xf numFmtId="0" fontId="8" fillId="0" borderId="0" xfId="0" applyFont="1"/>
    <xf numFmtId="0" fontId="3" fillId="0" borderId="0" xfId="0" applyFont="1" applyAlignment="1">
      <alignment horizontal="left"/>
    </xf>
    <xf numFmtId="164" fontId="4" fillId="0" borderId="0" xfId="0" applyNumberFormat="1" applyFont="1" applyAlignment="1">
      <alignment horizontal="right"/>
    </xf>
    <xf numFmtId="0" fontId="3" fillId="0" borderId="0" xfId="0" applyFont="1"/>
    <xf numFmtId="0" fontId="4" fillId="0" borderId="3" xfId="0" applyFont="1" applyBorder="1" applyAlignment="1">
      <alignment horizontal="left"/>
    </xf>
    <xf numFmtId="3" fontId="4" fillId="0" borderId="3" xfId="0" applyNumberFormat="1" applyFont="1" applyBorder="1" applyAlignment="1">
      <alignment horizontal="right"/>
    </xf>
    <xf numFmtId="0" fontId="6" fillId="0" borderId="4" xfId="0" quotePrefix="1" applyFont="1" applyBorder="1" applyAlignment="1">
      <alignment horizontal="left"/>
    </xf>
    <xf numFmtId="0" fontId="6" fillId="0" borderId="0" xfId="0" quotePrefix="1" applyFont="1" applyAlignment="1">
      <alignment horizontal="left"/>
    </xf>
    <xf numFmtId="0" fontId="7" fillId="0" borderId="0" xfId="0" applyFont="1"/>
    <xf numFmtId="0" fontId="3" fillId="0" borderId="0" xfId="0" applyFont="1" applyAlignment="1">
      <alignment horizontal="right"/>
    </xf>
    <xf numFmtId="14" fontId="2" fillId="0" borderId="0" xfId="0" applyNumberFormat="1" applyFont="1"/>
    <xf numFmtId="0" fontId="4" fillId="0" borderId="6" xfId="0" applyFont="1" applyBorder="1" applyAlignment="1">
      <alignment horizontal="left"/>
    </xf>
    <xf numFmtId="3" fontId="4" fillId="0" borderId="7" xfId="0" applyNumberFormat="1" applyFont="1" applyBorder="1"/>
    <xf numFmtId="3" fontId="4" fillId="0" borderId="8" xfId="0" applyNumberFormat="1" applyFont="1" applyBorder="1" applyAlignment="1">
      <alignment horizontal="right"/>
    </xf>
    <xf numFmtId="3" fontId="4" fillId="0" borderId="7" xfId="0" applyNumberFormat="1" applyFont="1" applyBorder="1" applyAlignment="1">
      <alignment horizontal="right"/>
    </xf>
    <xf numFmtId="0" fontId="4" fillId="0" borderId="7" xfId="0" applyFont="1" applyBorder="1" applyAlignment="1">
      <alignment horizontal="left"/>
    </xf>
    <xf numFmtId="3" fontId="4" fillId="0" borderId="6" xfId="0" applyNumberFormat="1" applyFont="1" applyBorder="1"/>
    <xf numFmtId="3" fontId="4" fillId="0" borderId="9" xfId="0" applyNumberFormat="1" applyFont="1" applyBorder="1" applyAlignment="1">
      <alignment horizontal="right"/>
    </xf>
    <xf numFmtId="3" fontId="4" fillId="0" borderId="10" xfId="0" applyNumberFormat="1" applyFont="1" applyBorder="1"/>
    <xf numFmtId="3" fontId="4" fillId="0" borderId="11" xfId="0" applyNumberFormat="1" applyFont="1" applyBorder="1" applyAlignment="1">
      <alignment horizontal="right"/>
    </xf>
    <xf numFmtId="164" fontId="6" fillId="0" borderId="0" xfId="0" applyNumberFormat="1" applyFont="1"/>
    <xf numFmtId="0" fontId="3" fillId="0" borderId="5" xfId="0" applyFont="1" applyBorder="1" applyAlignment="1">
      <alignment horizontal="left"/>
    </xf>
    <xf numFmtId="0" fontId="3" fillId="0" borderId="2" xfId="0" applyFont="1" applyBorder="1" applyAlignment="1">
      <alignment horizontal="right"/>
    </xf>
    <xf numFmtId="0" fontId="4" fillId="0" borderId="9" xfId="0" applyFont="1" applyBorder="1"/>
    <xf numFmtId="0" fontId="4" fillId="0" borderId="11" xfId="0" applyFont="1" applyBorder="1"/>
    <xf numFmtId="49" fontId="4" fillId="0" borderId="7" xfId="0" applyNumberFormat="1" applyFont="1" applyBorder="1"/>
    <xf numFmtId="0" fontId="12" fillId="0" borderId="3" xfId="0" applyFont="1" applyBorder="1"/>
    <xf numFmtId="0" fontId="12" fillId="0" borderId="11" xfId="0" applyFont="1" applyBorder="1"/>
    <xf numFmtId="0" fontId="6" fillId="0" borderId="1" xfId="0" applyFont="1" applyBorder="1" applyAlignment="1">
      <alignment horizontal="left"/>
    </xf>
    <xf numFmtId="0" fontId="3" fillId="0" borderId="1" xfId="0" applyFont="1" applyBorder="1"/>
    <xf numFmtId="3" fontId="15" fillId="0" borderId="0" xfId="1" applyNumberFormat="1" applyFont="1" applyFill="1" applyBorder="1" applyAlignment="1">
      <alignment horizontal="right"/>
    </xf>
    <xf numFmtId="3" fontId="15" fillId="0" borderId="0" xfId="1" applyNumberFormat="1" applyFont="1" applyBorder="1" applyAlignment="1"/>
    <xf numFmtId="3" fontId="15" fillId="0" borderId="0" xfId="0" applyNumberFormat="1" applyFont="1"/>
    <xf numFmtId="0" fontId="16" fillId="0" borderId="0" xfId="0" applyFont="1" applyAlignment="1">
      <alignment horizontal="left"/>
    </xf>
    <xf numFmtId="1" fontId="0" fillId="0" borderId="0" xfId="0" applyNumberFormat="1"/>
    <xf numFmtId="0" fontId="0" fillId="2" borderId="0" xfId="0" applyFill="1"/>
    <xf numFmtId="0" fontId="16" fillId="0" borderId="0" xfId="0" applyFont="1"/>
    <xf numFmtId="164" fontId="4" fillId="0" borderId="0" xfId="1" applyNumberFormat="1" applyFont="1" applyFill="1" applyBorder="1" applyAlignment="1">
      <alignment horizontal="right"/>
    </xf>
    <xf numFmtId="0" fontId="19" fillId="0" borderId="0" xfId="0" applyFont="1"/>
    <xf numFmtId="0" fontId="2" fillId="0" borderId="0" xfId="0" applyFont="1"/>
    <xf numFmtId="22" fontId="0" fillId="0" borderId="0" xfId="0" applyNumberFormat="1"/>
    <xf numFmtId="0" fontId="15" fillId="0" borderId="0" xfId="1" applyNumberFormat="1" applyFont="1" applyFill="1" applyBorder="1" applyAlignment="1">
      <alignment horizontal="right"/>
    </xf>
    <xf numFmtId="164" fontId="15" fillId="0" borderId="0" xfId="1" applyNumberFormat="1" applyFont="1" applyBorder="1" applyAlignment="1">
      <alignment horizontal="right"/>
    </xf>
    <xf numFmtId="164" fontId="15" fillId="0" borderId="0" xfId="1" applyNumberFormat="1" applyFont="1" applyFill="1" applyBorder="1" applyAlignment="1">
      <alignment horizontal="right"/>
    </xf>
    <xf numFmtId="3" fontId="15" fillId="0" borderId="0" xfId="1" applyNumberFormat="1" applyFont="1" applyFill="1" applyBorder="1" applyAlignment="1"/>
    <xf numFmtId="164" fontId="16" fillId="0" borderId="0" xfId="1" applyNumberFormat="1" applyFont="1" applyFill="1" applyBorder="1" applyAlignment="1">
      <alignment horizontal="right"/>
    </xf>
    <xf numFmtId="3" fontId="16" fillId="0" borderId="0" xfId="1" applyNumberFormat="1" applyFont="1" applyFill="1" applyBorder="1" applyAlignment="1">
      <alignment horizontal="right"/>
    </xf>
    <xf numFmtId="0" fontId="15" fillId="0" borderId="0" xfId="0" applyFont="1"/>
    <xf numFmtId="3" fontId="15" fillId="0" borderId="0" xfId="0" applyNumberFormat="1" applyFont="1" applyAlignment="1">
      <alignment horizontal="right"/>
    </xf>
    <xf numFmtId="3" fontId="16" fillId="0" borderId="0" xfId="0" applyNumberFormat="1" applyFont="1" applyAlignment="1">
      <alignment horizontal="right"/>
    </xf>
    <xf numFmtId="0" fontId="19" fillId="0" borderId="0" xfId="0" applyFont="1" applyAlignment="1">
      <alignment horizontal="left"/>
    </xf>
    <xf numFmtId="0" fontId="20" fillId="0" borderId="0" xfId="0" applyFont="1"/>
    <xf numFmtId="0" fontId="19" fillId="0" borderId="0" xfId="0" applyFont="1" applyAlignment="1">
      <alignment horizontal="left" vertical="top"/>
    </xf>
    <xf numFmtId="3" fontId="3" fillId="0" borderId="0" xfId="0" applyNumberFormat="1" applyFont="1" applyAlignment="1">
      <alignment horizontal="right"/>
    </xf>
    <xf numFmtId="3" fontId="3" fillId="0" borderId="0" xfId="0" applyNumberFormat="1" applyFont="1"/>
    <xf numFmtId="0" fontId="6" fillId="0" borderId="0" xfId="0" applyFont="1" applyAlignment="1">
      <alignment horizontal="right"/>
    </xf>
    <xf numFmtId="0" fontId="19" fillId="0" borderId="0" xfId="0" applyFont="1" applyAlignment="1">
      <alignment horizontal="left" vertical="center" wrapText="1"/>
    </xf>
    <xf numFmtId="0" fontId="4" fillId="0" borderId="0" xfId="0" applyFont="1" applyAlignment="1">
      <alignment horizontal="right"/>
    </xf>
    <xf numFmtId="164" fontId="4" fillId="0" borderId="12" xfId="1" applyNumberFormat="1" applyFont="1" applyBorder="1" applyAlignment="1">
      <alignment horizontal="right"/>
    </xf>
    <xf numFmtId="164" fontId="4" fillId="0" borderId="0" xfId="1" applyNumberFormat="1" applyFont="1" applyAlignment="1">
      <alignment horizontal="right"/>
    </xf>
    <xf numFmtId="0" fontId="19" fillId="0" borderId="0" xfId="0" applyFont="1" applyAlignment="1">
      <alignment horizontal="left" vertical="center"/>
    </xf>
    <xf numFmtId="164" fontId="4" fillId="0" borderId="0" xfId="1" applyNumberFormat="1" applyFont="1" applyBorder="1" applyAlignment="1">
      <alignment horizontal="right"/>
    </xf>
    <xf numFmtId="49" fontId="4" fillId="0" borderId="0" xfId="0" applyNumberFormat="1" applyFont="1" applyAlignment="1">
      <alignment horizontal="left"/>
    </xf>
    <xf numFmtId="3" fontId="4" fillId="0" borderId="0" xfId="0" applyNumberFormat="1" applyFont="1" applyAlignment="1">
      <alignment horizontal="left"/>
    </xf>
    <xf numFmtId="0" fontId="0" fillId="0" borderId="0" xfId="0" applyAlignment="1">
      <alignment horizontal="left"/>
    </xf>
    <xf numFmtId="0" fontId="19" fillId="0" borderId="0" xfId="0" quotePrefix="1" applyFont="1"/>
    <xf numFmtId="3" fontId="15" fillId="0" borderId="0" xfId="0" applyNumberFormat="1" applyFont="1" applyAlignment="1">
      <alignment horizontal="left" indent="3"/>
    </xf>
    <xf numFmtId="0" fontId="3" fillId="0" borderId="0" xfId="0" applyFont="1" applyAlignment="1">
      <alignment horizontal="left" wrapText="1"/>
    </xf>
    <xf numFmtId="14" fontId="0" fillId="2" borderId="0" xfId="0" applyNumberFormat="1" applyFill="1"/>
    <xf numFmtId="3" fontId="15" fillId="0" borderId="0" xfId="1" applyNumberFormat="1" applyFont="1" applyBorder="1" applyAlignment="1">
      <alignment horizontal="right"/>
    </xf>
    <xf numFmtId="3" fontId="15" fillId="0" borderId="0" xfId="0" applyNumberFormat="1" applyFont="1" applyAlignment="1">
      <alignment horizontal="right" wrapText="1"/>
    </xf>
    <xf numFmtId="3" fontId="15" fillId="0" borderId="0" xfId="1" applyNumberFormat="1" applyFont="1" applyFill="1" applyBorder="1"/>
    <xf numFmtId="0" fontId="4" fillId="0" borderId="0" xfId="0" applyFont="1" applyAlignment="1">
      <alignment horizontal="center"/>
    </xf>
    <xf numFmtId="0" fontId="0" fillId="0" borderId="0" xfId="0" applyAlignment="1">
      <alignment horizontal="left" vertical="top" wrapText="1"/>
    </xf>
    <xf numFmtId="0" fontId="19" fillId="0" borderId="0" xfId="2" applyFont="1" applyAlignment="1">
      <alignment horizontal="left" vertical="top" wrapText="1"/>
    </xf>
    <xf numFmtId="0" fontId="22" fillId="0" borderId="0" xfId="2" applyFont="1" applyAlignment="1">
      <alignment horizontal="left" vertical="top" wrapText="1"/>
    </xf>
    <xf numFmtId="0" fontId="16" fillId="0" borderId="0" xfId="0" applyFont="1" applyAlignment="1">
      <alignment horizontal="left"/>
    </xf>
    <xf numFmtId="0" fontId="19" fillId="0" borderId="0" xfId="0" applyFont="1" applyAlignment="1">
      <alignment horizontal="left" vertical="center" wrapText="1"/>
    </xf>
  </cellXfs>
  <cellStyles count="3">
    <cellStyle name="Comma" xfId="1" builtinId="3"/>
    <cellStyle name="Normal" xfId="0" builtinId="0"/>
    <cellStyle name="Normal_Table 35(287g)" xfId="2" xr:uid="{9BFC4DB2-7541-4291-A31E-A0C23470E68D}"/>
  </cellStyles>
  <dxfs count="79">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19" formatCode="m/d/yyyy"/>
    </dxf>
    <dxf>
      <numFmt numFmtId="0" formatCode="General"/>
    </dxf>
    <dxf>
      <numFmt numFmtId="0" formatCode="General"/>
    </dxf>
    <dxf>
      <numFmt numFmtId="19" formatCode="m/d/yyyy"/>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'Expul|Apprehen_1925-2022'!$C$1</c:f>
              <c:strCache>
                <c:ptCount val="1"/>
                <c:pt idx="0">
                  <c:v>Apprehensions &amp; Title 42 Expulsions 1925 TO 2022</c:v>
                </c:pt>
              </c:strCache>
            </c:strRef>
          </c:tx>
          <c:spPr>
            <a:ln w="28575" cap="rnd">
              <a:solidFill>
                <a:schemeClr val="accent1"/>
              </a:solidFill>
              <a:round/>
            </a:ln>
            <a:effectLst/>
          </c:spPr>
          <c:marker>
            <c:symbol val="none"/>
          </c:marker>
          <c:dLbls>
            <c:dLbl>
              <c:idx val="29"/>
              <c:layout>
                <c:manualLayout>
                  <c:x val="-4.8206937095826026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1A-4DB4-84CC-44D9D21B7BBD}"/>
                </c:ext>
              </c:extLst>
            </c:dLbl>
            <c:dLbl>
              <c:idx val="61"/>
              <c:layout>
                <c:manualLayout>
                  <c:x val="-5.1734273956496268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1A-4DB4-84CC-44D9D21B7BBD}"/>
                </c:ext>
              </c:extLst>
            </c:dLbl>
            <c:dLbl>
              <c:idx val="90"/>
              <c:layout>
                <c:manualLayout>
                  <c:x val="-1.9988242210464434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1A-4DB4-84CC-44D9D21B7BBD}"/>
                </c:ext>
              </c:extLst>
            </c:dLbl>
            <c:dLbl>
              <c:idx val="97"/>
              <c:layout>
                <c:manualLayout>
                  <c:x val="-3.8800705467372132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03-4E55-A7B1-D5B1C11392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'Expul|Apprehen_1925-2022'!$A$2:$A$99</c:f>
              <c:numCache>
                <c:formatCode>m/d/yyyy</c:formatCode>
                <c:ptCount val="98"/>
                <c:pt idx="0">
                  <c:v>9133</c:v>
                </c:pt>
                <c:pt idx="1">
                  <c:v>9498</c:v>
                </c:pt>
                <c:pt idx="2">
                  <c:v>9863</c:v>
                </c:pt>
                <c:pt idx="3">
                  <c:v>10228</c:v>
                </c:pt>
                <c:pt idx="4">
                  <c:v>10594</c:v>
                </c:pt>
                <c:pt idx="5">
                  <c:v>10959</c:v>
                </c:pt>
                <c:pt idx="6">
                  <c:v>11324</c:v>
                </c:pt>
                <c:pt idx="7">
                  <c:v>11689</c:v>
                </c:pt>
                <c:pt idx="8">
                  <c:v>12055</c:v>
                </c:pt>
                <c:pt idx="9">
                  <c:v>12420</c:v>
                </c:pt>
                <c:pt idx="10">
                  <c:v>12785</c:v>
                </c:pt>
                <c:pt idx="11">
                  <c:v>13150</c:v>
                </c:pt>
                <c:pt idx="12">
                  <c:v>13516</c:v>
                </c:pt>
                <c:pt idx="13">
                  <c:v>13881</c:v>
                </c:pt>
                <c:pt idx="14">
                  <c:v>14246</c:v>
                </c:pt>
                <c:pt idx="15">
                  <c:v>14611</c:v>
                </c:pt>
                <c:pt idx="16">
                  <c:v>14977</c:v>
                </c:pt>
                <c:pt idx="17">
                  <c:v>15342</c:v>
                </c:pt>
                <c:pt idx="18">
                  <c:v>15707</c:v>
                </c:pt>
                <c:pt idx="19">
                  <c:v>16072</c:v>
                </c:pt>
                <c:pt idx="20">
                  <c:v>16438</c:v>
                </c:pt>
                <c:pt idx="21">
                  <c:v>16803</c:v>
                </c:pt>
                <c:pt idx="22">
                  <c:v>17168</c:v>
                </c:pt>
                <c:pt idx="23">
                  <c:v>17533</c:v>
                </c:pt>
                <c:pt idx="24">
                  <c:v>17899</c:v>
                </c:pt>
                <c:pt idx="25">
                  <c:v>18264</c:v>
                </c:pt>
                <c:pt idx="26">
                  <c:v>18629</c:v>
                </c:pt>
                <c:pt idx="27">
                  <c:v>18994</c:v>
                </c:pt>
                <c:pt idx="28">
                  <c:v>19360</c:v>
                </c:pt>
                <c:pt idx="29">
                  <c:v>19725</c:v>
                </c:pt>
                <c:pt idx="30">
                  <c:v>20090</c:v>
                </c:pt>
                <c:pt idx="31">
                  <c:v>20455</c:v>
                </c:pt>
                <c:pt idx="32">
                  <c:v>20821</c:v>
                </c:pt>
                <c:pt idx="33">
                  <c:v>21186</c:v>
                </c:pt>
                <c:pt idx="34">
                  <c:v>21551</c:v>
                </c:pt>
                <c:pt idx="35">
                  <c:v>21916</c:v>
                </c:pt>
                <c:pt idx="36">
                  <c:v>22282</c:v>
                </c:pt>
                <c:pt idx="37">
                  <c:v>22647</c:v>
                </c:pt>
                <c:pt idx="38">
                  <c:v>23012</c:v>
                </c:pt>
                <c:pt idx="39">
                  <c:v>23377</c:v>
                </c:pt>
                <c:pt idx="40">
                  <c:v>23743</c:v>
                </c:pt>
                <c:pt idx="41">
                  <c:v>24108</c:v>
                </c:pt>
                <c:pt idx="42">
                  <c:v>24473</c:v>
                </c:pt>
                <c:pt idx="43">
                  <c:v>24838</c:v>
                </c:pt>
                <c:pt idx="44">
                  <c:v>25204</c:v>
                </c:pt>
                <c:pt idx="45">
                  <c:v>25569</c:v>
                </c:pt>
                <c:pt idx="46">
                  <c:v>25934</c:v>
                </c:pt>
                <c:pt idx="47">
                  <c:v>26299</c:v>
                </c:pt>
                <c:pt idx="48">
                  <c:v>26665</c:v>
                </c:pt>
                <c:pt idx="49">
                  <c:v>27030</c:v>
                </c:pt>
                <c:pt idx="50">
                  <c:v>27395</c:v>
                </c:pt>
                <c:pt idx="51">
                  <c:v>27760</c:v>
                </c:pt>
                <c:pt idx="52">
                  <c:v>28126</c:v>
                </c:pt>
                <c:pt idx="53">
                  <c:v>28491</c:v>
                </c:pt>
                <c:pt idx="54">
                  <c:v>28856</c:v>
                </c:pt>
                <c:pt idx="55">
                  <c:v>29221</c:v>
                </c:pt>
                <c:pt idx="56">
                  <c:v>29587</c:v>
                </c:pt>
                <c:pt idx="57">
                  <c:v>29952</c:v>
                </c:pt>
                <c:pt idx="58">
                  <c:v>30317</c:v>
                </c:pt>
                <c:pt idx="59">
                  <c:v>30682</c:v>
                </c:pt>
                <c:pt idx="60">
                  <c:v>31048</c:v>
                </c:pt>
                <c:pt idx="61">
                  <c:v>31413</c:v>
                </c:pt>
                <c:pt idx="62">
                  <c:v>31778</c:v>
                </c:pt>
                <c:pt idx="63">
                  <c:v>32143</c:v>
                </c:pt>
                <c:pt idx="64">
                  <c:v>32509</c:v>
                </c:pt>
                <c:pt idx="65">
                  <c:v>32874</c:v>
                </c:pt>
                <c:pt idx="66">
                  <c:v>33239</c:v>
                </c:pt>
                <c:pt idx="67">
                  <c:v>33604</c:v>
                </c:pt>
                <c:pt idx="68">
                  <c:v>33970</c:v>
                </c:pt>
                <c:pt idx="69">
                  <c:v>34335</c:v>
                </c:pt>
                <c:pt idx="70">
                  <c:v>34700</c:v>
                </c:pt>
                <c:pt idx="71">
                  <c:v>35065</c:v>
                </c:pt>
                <c:pt idx="72">
                  <c:v>35431</c:v>
                </c:pt>
                <c:pt idx="73">
                  <c:v>35796</c:v>
                </c:pt>
                <c:pt idx="74">
                  <c:v>36161</c:v>
                </c:pt>
                <c:pt idx="75">
                  <c:v>36526</c:v>
                </c:pt>
                <c:pt idx="76">
                  <c:v>36892</c:v>
                </c:pt>
                <c:pt idx="77">
                  <c:v>37257</c:v>
                </c:pt>
                <c:pt idx="78">
                  <c:v>37622</c:v>
                </c:pt>
                <c:pt idx="79">
                  <c:v>37987</c:v>
                </c:pt>
                <c:pt idx="80">
                  <c:v>38353</c:v>
                </c:pt>
                <c:pt idx="81">
                  <c:v>38718</c:v>
                </c:pt>
                <c:pt idx="82">
                  <c:v>39083</c:v>
                </c:pt>
                <c:pt idx="83">
                  <c:v>39448</c:v>
                </c:pt>
                <c:pt idx="84">
                  <c:v>39814</c:v>
                </c:pt>
                <c:pt idx="85">
                  <c:v>40179</c:v>
                </c:pt>
                <c:pt idx="86">
                  <c:v>40544</c:v>
                </c:pt>
                <c:pt idx="87">
                  <c:v>40909</c:v>
                </c:pt>
                <c:pt idx="88">
                  <c:v>41275</c:v>
                </c:pt>
                <c:pt idx="89">
                  <c:v>41640</c:v>
                </c:pt>
                <c:pt idx="90">
                  <c:v>42005</c:v>
                </c:pt>
                <c:pt idx="91">
                  <c:v>42370</c:v>
                </c:pt>
                <c:pt idx="92">
                  <c:v>42736</c:v>
                </c:pt>
                <c:pt idx="93">
                  <c:v>43101</c:v>
                </c:pt>
                <c:pt idx="94">
                  <c:v>43466</c:v>
                </c:pt>
                <c:pt idx="95">
                  <c:v>43831</c:v>
                </c:pt>
                <c:pt idx="96">
                  <c:v>44197</c:v>
                </c:pt>
                <c:pt idx="97">
                  <c:v>44562</c:v>
                </c:pt>
              </c:numCache>
            </c:numRef>
          </c:cat>
          <c:val>
            <c:numRef>
              <c:f>'Expul|Apprehen_1925-2022'!$C$2:$C$99</c:f>
              <c:numCache>
                <c:formatCode>#,##0</c:formatCode>
                <c:ptCount val="98"/>
                <c:pt idx="0">
                  <c:v>22199</c:v>
                </c:pt>
                <c:pt idx="1">
                  <c:v>12735</c:v>
                </c:pt>
                <c:pt idx="2">
                  <c:v>16393</c:v>
                </c:pt>
                <c:pt idx="3">
                  <c:v>23566</c:v>
                </c:pt>
                <c:pt idx="4">
                  <c:v>32711</c:v>
                </c:pt>
                <c:pt idx="5">
                  <c:v>20880</c:v>
                </c:pt>
                <c:pt idx="6">
                  <c:v>22276</c:v>
                </c:pt>
                <c:pt idx="7">
                  <c:v>22735</c:v>
                </c:pt>
                <c:pt idx="8">
                  <c:v>20949</c:v>
                </c:pt>
                <c:pt idx="9">
                  <c:v>10319</c:v>
                </c:pt>
                <c:pt idx="10">
                  <c:v>11016</c:v>
                </c:pt>
                <c:pt idx="11">
                  <c:v>11728</c:v>
                </c:pt>
                <c:pt idx="12">
                  <c:v>13054</c:v>
                </c:pt>
                <c:pt idx="13">
                  <c:v>12851</c:v>
                </c:pt>
                <c:pt idx="14">
                  <c:v>12037</c:v>
                </c:pt>
                <c:pt idx="15">
                  <c:v>10492</c:v>
                </c:pt>
                <c:pt idx="16">
                  <c:v>11294</c:v>
                </c:pt>
                <c:pt idx="17">
                  <c:v>11784</c:v>
                </c:pt>
                <c:pt idx="18">
                  <c:v>11175</c:v>
                </c:pt>
                <c:pt idx="19">
                  <c:v>31174</c:v>
                </c:pt>
                <c:pt idx="20">
                  <c:v>69164</c:v>
                </c:pt>
                <c:pt idx="21">
                  <c:v>99591</c:v>
                </c:pt>
                <c:pt idx="22">
                  <c:v>193657</c:v>
                </c:pt>
                <c:pt idx="23">
                  <c:v>192779</c:v>
                </c:pt>
                <c:pt idx="24">
                  <c:v>288253</c:v>
                </c:pt>
                <c:pt idx="25">
                  <c:v>468339</c:v>
                </c:pt>
                <c:pt idx="26">
                  <c:v>509040</c:v>
                </c:pt>
                <c:pt idx="27">
                  <c:v>543535</c:v>
                </c:pt>
                <c:pt idx="28">
                  <c:v>885587</c:v>
                </c:pt>
                <c:pt idx="29">
                  <c:v>1089583</c:v>
                </c:pt>
                <c:pt idx="30">
                  <c:v>254096</c:v>
                </c:pt>
                <c:pt idx="31">
                  <c:v>87696</c:v>
                </c:pt>
                <c:pt idx="32">
                  <c:v>59918</c:v>
                </c:pt>
                <c:pt idx="33">
                  <c:v>53474</c:v>
                </c:pt>
                <c:pt idx="34">
                  <c:v>45336</c:v>
                </c:pt>
                <c:pt idx="35">
                  <c:v>70684</c:v>
                </c:pt>
                <c:pt idx="36">
                  <c:v>88823</c:v>
                </c:pt>
                <c:pt idx="37">
                  <c:v>92758</c:v>
                </c:pt>
                <c:pt idx="38">
                  <c:v>88712</c:v>
                </c:pt>
                <c:pt idx="39">
                  <c:v>86597</c:v>
                </c:pt>
                <c:pt idx="40">
                  <c:v>110371</c:v>
                </c:pt>
                <c:pt idx="41">
                  <c:v>138520</c:v>
                </c:pt>
                <c:pt idx="42">
                  <c:v>161608</c:v>
                </c:pt>
                <c:pt idx="43">
                  <c:v>212057</c:v>
                </c:pt>
                <c:pt idx="44">
                  <c:v>283557</c:v>
                </c:pt>
                <c:pt idx="45">
                  <c:v>345353</c:v>
                </c:pt>
                <c:pt idx="46">
                  <c:v>420126</c:v>
                </c:pt>
                <c:pt idx="47">
                  <c:v>505949</c:v>
                </c:pt>
                <c:pt idx="48">
                  <c:v>655968</c:v>
                </c:pt>
                <c:pt idx="49">
                  <c:v>788145</c:v>
                </c:pt>
                <c:pt idx="50">
                  <c:v>766600</c:v>
                </c:pt>
                <c:pt idx="51">
                  <c:v>1097739</c:v>
                </c:pt>
                <c:pt idx="52">
                  <c:v>1042215</c:v>
                </c:pt>
                <c:pt idx="53">
                  <c:v>1057977</c:v>
                </c:pt>
                <c:pt idx="54">
                  <c:v>1076418</c:v>
                </c:pt>
                <c:pt idx="55">
                  <c:v>910361</c:v>
                </c:pt>
                <c:pt idx="56">
                  <c:v>975780</c:v>
                </c:pt>
                <c:pt idx="57">
                  <c:v>970246</c:v>
                </c:pt>
                <c:pt idx="58">
                  <c:v>1251357</c:v>
                </c:pt>
                <c:pt idx="59">
                  <c:v>1246981</c:v>
                </c:pt>
                <c:pt idx="60">
                  <c:v>1348749</c:v>
                </c:pt>
                <c:pt idx="61">
                  <c:v>1767400</c:v>
                </c:pt>
                <c:pt idx="62">
                  <c:v>1190488</c:v>
                </c:pt>
                <c:pt idx="63">
                  <c:v>1008145</c:v>
                </c:pt>
                <c:pt idx="64">
                  <c:v>954243</c:v>
                </c:pt>
                <c:pt idx="65">
                  <c:v>1169939</c:v>
                </c:pt>
                <c:pt idx="66">
                  <c:v>1197875</c:v>
                </c:pt>
                <c:pt idx="67">
                  <c:v>1258481</c:v>
                </c:pt>
                <c:pt idx="68">
                  <c:v>1327261</c:v>
                </c:pt>
                <c:pt idx="69">
                  <c:v>1094719</c:v>
                </c:pt>
                <c:pt idx="70">
                  <c:v>1394554</c:v>
                </c:pt>
                <c:pt idx="71">
                  <c:v>1649986</c:v>
                </c:pt>
                <c:pt idx="72">
                  <c:v>1536520</c:v>
                </c:pt>
                <c:pt idx="73">
                  <c:v>1679439</c:v>
                </c:pt>
                <c:pt idx="74">
                  <c:v>1714035</c:v>
                </c:pt>
                <c:pt idx="75">
                  <c:v>1814729</c:v>
                </c:pt>
                <c:pt idx="76">
                  <c:v>1387486</c:v>
                </c:pt>
                <c:pt idx="77">
                  <c:v>1062270</c:v>
                </c:pt>
                <c:pt idx="78">
                  <c:v>1046422</c:v>
                </c:pt>
                <c:pt idx="79">
                  <c:v>1264232</c:v>
                </c:pt>
                <c:pt idx="80">
                  <c:v>1291065</c:v>
                </c:pt>
                <c:pt idx="81">
                  <c:v>1206408</c:v>
                </c:pt>
                <c:pt idx="82">
                  <c:v>960673</c:v>
                </c:pt>
                <c:pt idx="83">
                  <c:v>1043759</c:v>
                </c:pt>
                <c:pt idx="84">
                  <c:v>889212</c:v>
                </c:pt>
                <c:pt idx="85">
                  <c:v>796587</c:v>
                </c:pt>
                <c:pt idx="86">
                  <c:v>678606</c:v>
                </c:pt>
                <c:pt idx="87">
                  <c:v>795735</c:v>
                </c:pt>
                <c:pt idx="88">
                  <c:v>786223</c:v>
                </c:pt>
                <c:pt idx="89">
                  <c:v>805334</c:v>
                </c:pt>
                <c:pt idx="90">
                  <c:v>596560</c:v>
                </c:pt>
                <c:pt idx="91">
                  <c:v>683782</c:v>
                </c:pt>
                <c:pt idx="92">
                  <c:v>607677</c:v>
                </c:pt>
                <c:pt idx="93">
                  <c:v>739486</c:v>
                </c:pt>
                <c:pt idx="94">
                  <c:v>1175841</c:v>
                </c:pt>
                <c:pt idx="95">
                  <c:v>609265</c:v>
                </c:pt>
                <c:pt idx="96">
                  <c:v>1865379</c:v>
                </c:pt>
                <c:pt idx="97">
                  <c:v>2584220</c:v>
                </c:pt>
              </c:numCache>
            </c:numRef>
          </c:val>
          <c:smooth val="0"/>
          <c:extLst>
            <c:ext xmlns:c16="http://schemas.microsoft.com/office/drawing/2014/chart" uri="{C3380CC4-5D6E-409C-BE32-E72D297353CC}">
              <c16:uniqueId val="{00000000-C51A-4DB4-84CC-44D9D21B7BBD}"/>
            </c:ext>
          </c:extLst>
        </c:ser>
        <c:dLbls>
          <c:showLegendKey val="0"/>
          <c:showVal val="0"/>
          <c:showCatName val="0"/>
          <c:showSerName val="0"/>
          <c:showPercent val="0"/>
          <c:showBubbleSize val="0"/>
        </c:dLbls>
        <c:smooth val="0"/>
        <c:axId val="1576344384"/>
        <c:axId val="1576329984"/>
      </c:lineChart>
      <c:dateAx>
        <c:axId val="1576344384"/>
        <c:scaling>
          <c:orientation val="minMax"/>
          <c:max val="44927"/>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29984"/>
        <c:crosses val="autoZero"/>
        <c:auto val="1"/>
        <c:lblOffset val="100"/>
        <c:baseTimeUnit val="years"/>
      </c:dateAx>
      <c:valAx>
        <c:axId val="157632998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44384"/>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469900</xdr:colOff>
      <xdr:row>0</xdr:row>
      <xdr:rowOff>1149350</xdr:rowOff>
    </xdr:from>
    <xdr:to>
      <xdr:col>24</xdr:col>
      <xdr:colOff>158750</xdr:colOff>
      <xdr:row>15</xdr:row>
      <xdr:rowOff>152400</xdr:rowOff>
    </xdr:to>
    <xdr:graphicFrame macro="">
      <xdr:nvGraphicFramePr>
        <xdr:cNvPr id="6" name="Chart 5">
          <a:extLst>
            <a:ext uri="{FF2B5EF4-FFF2-40B4-BE49-F238E27FC236}">
              <a16:creationId xmlns:a16="http://schemas.microsoft.com/office/drawing/2014/main" id="{2EC3F84F-19F1-0C17-CE90-CC19EA8C1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7" xr16:uid="{014287E8-02DD-4ED1-9A93-50D3D475BDF5}" autoFormatId="16" applyNumberFormats="0" applyBorderFormats="0" applyFontFormats="0" applyPatternFormats="0" applyAlignmentFormats="0" applyWidthHeightFormats="0">
  <queryTableRefresh nextId="10" unboundColumnsLeft="1">
    <queryTableFields count="6">
      <queryTableField id="8" dataBound="0" tableColumnId="7"/>
      <queryTableField id="1" name="Agency/Jurisdiction" tableColumnId="1"/>
      <queryTableField id="2" name="Sector" tableColumnId="2"/>
      <queryTableField id="3" name="Location" tableColumnId="3"/>
      <queryTableField id="6" name="Value" tableColumnId="6"/>
      <queryTableField id="4" name="Apprehension/Encounter/Arrest" tableColumnId="4"/>
    </queryTableFields>
    <queryTableDeletedFields count="1">
      <deletedField name="Attribut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0" xr16:uid="{404D523A-CB18-4D62-B0FB-B99EF61A53F8}" autoFormatId="16" applyNumberFormats="0" applyBorderFormats="0" applyFontFormats="0" applyPatternFormats="0" applyAlignmentFormats="0" applyWidthHeightFormats="0">
  <queryTableRefresh nextId="6">
    <queryTableFields count="3">
      <queryTableField id="1" name="State" tableColumnId="1"/>
      <queryTableField id="2" name="Attribute" tableColumnId="2"/>
      <queryTableField id="3" name="Valu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1" xr16:uid="{C311B02B-F5BD-4ABC-A125-0EA4ADCFE0F9}" autoFormatId="16" applyNumberFormats="0" applyBorderFormats="0" applyFontFormats="0" applyPatternFormats="0" applyAlignmentFormats="0" applyWidthHeightFormats="0">
  <queryTableRefresh nextId="9">
    <queryTableFields count="4">
      <queryTableField id="1" name="Year" tableColumnId="1"/>
      <queryTableField id="5" dataBound="0" tableColumnId="4"/>
      <queryTableField id="2" name="Nationality" tableColumnId="2"/>
      <queryTableField id="3" name="Unauthorized Populat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1" xr16:uid="{51C9A0B2-EF02-4EBA-99D7-B7B130A01967}" autoFormatId="16" applyNumberFormats="0" applyBorderFormats="0" applyFontFormats="0" applyPatternFormats="0" applyAlignmentFormats="0" applyWidthHeightFormats="0">
  <queryTableRefresh nextId="6">
    <queryTableFields count="4">
      <queryTableField id="1" name="Year" tableColumnId="1"/>
      <queryTableField id="5" dataBound="0" tableColumnId="4"/>
      <queryTableField id="2" name="Region" tableColumnId="2"/>
      <queryTableField id="3" name="Expulsions/Apprehensions"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4" xr16:uid="{0A08B874-7FB4-47FA-98EF-EA17A587C114}" autoFormatId="16" applyNumberFormats="0" applyBorderFormats="0" applyFontFormats="0" applyPatternFormats="0" applyAlignmentFormats="0" applyWidthHeightFormats="0">
  <queryTableRefresh nextId="10">
    <queryTableFields count="5">
      <queryTableField id="3" name="countries_with_regions (4).Year" tableColumnId="3"/>
      <queryTableField id="9" dataBound="0" tableColumnId="4"/>
      <queryTableField id="2" name="Region ( https://ohss.dhs.gov/about-our-data/regions)" tableColumnId="2"/>
      <queryTableField id="1" name="Country Masterlist (n198)" tableColumnId="1"/>
      <queryTableField id="6" name="countries_with_regions (4).Expulsions/Apprehensions of noncitizens" tableColumnId="6"/>
    </queryTableFields>
    <queryTableDeletedFields count="2">
      <deletedField name="countries_with_regions (4).Country"/>
      <deletedField name="countries_with_regions (4).Region"/>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6" xr16:uid="{593009FC-2269-4894-BCF7-01158387624C}" autoFormatId="16" applyNumberFormats="0" applyBorderFormats="0" applyFontFormats="0" applyPatternFormats="0" applyAlignmentFormats="0" applyWidthHeightFormats="0">
  <queryTableRefresh nextId="9">
    <queryTableFields count="7">
      <queryTableField id="5" name="Attribute" tableColumnId="5"/>
      <queryTableField id="8" dataBound="0" tableColumnId="7"/>
      <queryTableField id="1" name="Agency/Jurisdiction" tableColumnId="1"/>
      <queryTableField id="2" name="Sector" tableColumnId="2"/>
      <queryTableField id="3" name="Location" tableColumnId="3"/>
      <queryTableField id="4" name="Apprehension/Encounter/Arrest" tableColumnId="4"/>
      <queryTableField id="6" name="Value"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16" xr16:uid="{B73CDD53-D88B-4D7D-AF60-FB78F4BBEA55}" autoFormatId="16" applyNumberFormats="0" applyBorderFormats="0" applyFontFormats="0" applyPatternFormats="0" applyAlignmentFormats="0" applyWidthHeightFormats="0">
  <queryTableRefresh nextId="11">
    <queryTableFields count="5">
      <queryTableField id="3" name="Table10_2.Year" tableColumnId="3"/>
      <queryTableField id="10" dataBound="0" tableColumnId="4"/>
      <queryTableField id="2" name="Region ( https://ohss.dhs.gov/about-our-data/regions)" tableColumnId="2"/>
      <queryTableField id="1" name="Country Masterlist (n198)" tableColumnId="1"/>
      <queryTableField id="6" name="Table10_2.Enforcement Returns_Noncitizens" tableColumnId="6"/>
    </queryTableFields>
    <queryTableDeletedFields count="2">
      <deletedField name="Table10_2.Region"/>
      <deletedField name="Table10_2.Country"/>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connectionId="18" xr16:uid="{98E21D90-F670-4E57-9B13-1C7AA61B8203}" autoFormatId="16" applyNumberFormats="0" applyBorderFormats="0" applyFontFormats="0" applyPatternFormats="0" applyAlignmentFormats="0" applyWidthHeightFormats="0">
  <queryTableRefresh nextId="10">
    <queryTableFields count="5">
      <queryTableField id="3" name="Table14_4.Year" tableColumnId="3"/>
      <queryTableField id="2" name="Region ( https://ohss.dhs.gov/about-our-data/regions)" tableColumnId="2"/>
      <queryTableField id="1" name="Country Masterlist (n198)" tableColumnId="1"/>
      <queryTableField id="6" name="Table14_4.Criminal" tableColumnId="6"/>
      <queryTableField id="7" name="Table14_4.Non-Criminal" tableColumnId="7"/>
    </queryTableFields>
    <queryTableDeletedFields count="2">
      <deletedField name="Table14_4.Region"/>
      <deletedField name="Table14_4.Nationality"/>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9" xr16:uid="{E59DA717-6A4D-4F16-8431-46587E8DAA12}" autoFormatId="16" applyNumberFormats="0" applyBorderFormats="0" applyFontFormats="0" applyPatternFormats="0" applyAlignmentFormats="0" applyWidthHeightFormats="0">
  <queryTableRefresh nextId="9">
    <queryTableFields count="4">
      <queryTableField id="3" name="Table1_1 (3).Year" tableColumnId="3"/>
      <queryTableField id="2" name="Region ( https://ohss.dhs.gov/about-our-data/regions)" tableColumnId="2"/>
      <queryTableField id="1" name="Coountry Masterlist (n198)" tableColumnId="1"/>
      <queryTableField id="5" name="Table1_1 (3).Apprehended" tableColumnId="5"/>
    </queryTableFields>
    <queryTableDeletedFields count="1">
      <deletedField name="Table1_1 (3).Country of nationality"/>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48" xr16:uid="{FA644BD7-6B5C-420E-A4C1-5B2E5EEA7831}" autoFormatId="16" applyNumberFormats="0" applyBorderFormats="0" applyFontFormats="0" applyPatternFormats="0" applyAlignmentFormats="0" applyWidthHeightFormats="0">
  <queryTableRefresh nextId="10">
    <queryTableFields count="6">
      <queryTableField id="5" name="Attribute" tableColumnId="5"/>
      <queryTableField id="1" name="Agency/Jurisdiction" tableColumnId="1"/>
      <queryTableField id="2" name="Sector" tableColumnId="2"/>
      <queryTableField id="3" name="Location" tableColumnId="3"/>
      <queryTableField id="4" name="Apprehension/Encounter/Arrest" tableColumnId="4"/>
      <queryTableField id="6" name="Value" tableColumnId="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19" xr16:uid="{858D80AE-2949-438D-905F-14DEA58F8491}" autoFormatId="16" applyNumberFormats="0" applyBorderFormats="0" applyFontFormats="0" applyPatternFormats="0" applyAlignmentFormats="0" applyWidthHeightFormats="0">
  <queryTableRefresh nextId="9">
    <queryTableFields count="4">
      <queryTableField id="4" name="Table1_1.Attribute" tableColumnId="4"/>
      <queryTableField id="2" name="Region ( https://ohss.dhs.gov/about-our-data/regions)" tableColumnId="2"/>
      <queryTableField id="1" name="Country Masterlist (n198)" tableColumnId="1"/>
      <queryTableField id="5" name="Table1_1.Value" tableColumnId="5"/>
    </queryTableFields>
    <queryTableDeletedFields count="1">
      <deletedField name="Table1_1.Country"/>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7" xr16:uid="{580D4808-4B04-470F-9E39-CD372F554D1A}" autoFormatId="16" applyNumberFormats="0" applyBorderFormats="0" applyFontFormats="0" applyPatternFormats="0" applyAlignmentFormats="0" applyWidthHeightFormats="0">
  <queryTableRefresh nextId="9">
    <queryTableFields count="5">
      <queryTableField id="4" name="Table33.Attribute.1" tableColumnId="4"/>
      <queryTableField id="2" name="Region ( https://ohss.dhs.gov/about-our-data/regions)" tableColumnId="2"/>
      <queryTableField id="1" name="Country Masterlist (n198)" tableColumnId="1"/>
      <queryTableField id="5" name="Table33. Criminal 1" tableColumnId="5"/>
      <queryTableField id="6" name="Table33. Non-Criminal" tableColumnId="6"/>
    </queryTableFields>
    <queryTableDeletedFields count="1">
      <deletedField name="Table33.Nationality"/>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D17424-AFAE-4A26-82A4-54709784DE8F}" name="Table2__25" displayName="Table2__25" ref="A1:F1691" tableType="queryTable" totalsRowShown="0">
  <autoFilter ref="A1:F1691" xr:uid="{C9D17424-AFAE-4A26-82A4-54709784DE8F}"/>
  <sortState xmlns:xlrd2="http://schemas.microsoft.com/office/spreadsheetml/2017/richdata2" ref="A2:F1691">
    <sortCondition ref="A1:A1691"/>
  </sortState>
  <tableColumns count="6">
    <tableColumn id="7" xr3:uid="{FA7BDA85-7E73-457D-A372-6ECE028ACB5C}" uniqueName="7" name="Year" queryTableFieldId="8" dataDxfId="78"/>
    <tableColumn id="1" xr3:uid="{7F5DCCE5-83D3-41C0-B5BE-1F3134473AE7}" uniqueName="1" name="Agency/Jurisdiction" queryTableFieldId="1" dataDxfId="77"/>
    <tableColumn id="2" xr3:uid="{F130D25C-38E9-4CD3-800D-B470DB596709}" uniqueName="2" name="Sector" queryTableFieldId="2" dataDxfId="76"/>
    <tableColumn id="3" xr3:uid="{307A1802-A3EA-4D67-9284-3DFE79E21956}" uniqueName="3" name="Location" queryTableFieldId="3" dataDxfId="75"/>
    <tableColumn id="6" xr3:uid="{89F959A4-9C84-4F70-BE2B-D68CCCFA9AED}" uniqueName="6" name="Value" queryTableFieldId="6"/>
    <tableColumn id="4" xr3:uid="{065964BD-7B06-463C-9E24-A1B63B93D0CA}" uniqueName="4" name="Measure Type" queryTableFieldId="4" dataDxfId="74"/>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4E76B7-F313-46AA-85FF-91598F8C4499}" name="Table5_1" displayName="Table5_1" ref="A1:C210" tableType="queryTable" totalsRowShown="0" headerRowDxfId="73" dataDxfId="72">
  <autoFilter ref="A1:C210" xr:uid="{154E76B7-F313-46AA-85FF-91598F8C4499}"/>
  <tableColumns count="3">
    <tableColumn id="1" xr3:uid="{B429E20E-95C9-4204-9AB4-AAA2904DB48E}" uniqueName="1" name="Year" queryTableFieldId="1" dataDxfId="71"/>
    <tableColumn id="2" xr3:uid="{36665025-A2E2-4E1D-8A00-649CD57EA0D7}" uniqueName="2" name="State" queryTableFieldId="2" dataDxfId="70"/>
    <tableColumn id="3" xr3:uid="{F04032CE-EEA2-4622-8791-898D8FA2B174}" uniqueName="3" name="Unauthorized Population" queryTableFieldId="3" dataDxfId="6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0CF446-8151-4432-B47E-C58CACDEF458}" name="Table7_1" displayName="Table7_1" ref="A1:D210" tableType="queryTable" totalsRowShown="0">
  <autoFilter ref="A1:D210" xr:uid="{8D0CF446-8151-4432-B47E-C58CACDEF458}"/>
  <tableColumns count="4">
    <tableColumn id="1" xr3:uid="{40094BAE-B030-46A3-A3EB-CBE7B3FBFDD9}" uniqueName="1" name="Year1" queryTableFieldId="1" dataDxfId="68"/>
    <tableColumn id="4" xr3:uid="{00EFE3A0-ED47-4C70-841D-E451B29FD41E}" uniqueName="4" name="Year" queryTableFieldId="5" dataDxfId="67">
      <calculatedColumnFormula>YEAR(Table7_1[[#This Row],[Year1]])</calculatedColumnFormula>
    </tableColumn>
    <tableColumn id="2" xr3:uid="{0C059839-048E-41DF-8857-2A5CE1D509A8}" uniqueName="2" name="Nationality" queryTableFieldId="2" dataDxfId="66"/>
    <tableColumn id="3" xr3:uid="{E9DAF777-FD10-4606-B97E-8338617A7D7B}" uniqueName="3" name="Unauthorized Population" queryTableField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33E3D7-6E79-41CF-A88C-323B2A62A021}" name="EXPULSIONS_NONCITIZEN_Apprehen1" displayName="EXPULSIONS_NONCITIZEN_Apprehen1" ref="A1:D71" tableType="queryTable" totalsRowShown="0">
  <autoFilter ref="A1:D71" xr:uid="{0C33E3D7-6E79-41CF-A88C-323B2A62A021}"/>
  <tableColumns count="4">
    <tableColumn id="1" xr3:uid="{E0CE5868-67D4-4FC9-9677-5876E69C21F5}" uniqueName="1" name="Year1" queryTableFieldId="1" dataDxfId="65"/>
    <tableColumn id="4" xr3:uid="{32D833F4-2876-483C-8C30-84B160AAF6A1}" uniqueName="4" name="Year" queryTableFieldId="5" dataDxfId="64">
      <calculatedColumnFormula>YEAR(EXPULSIONS_NONCITIZEN_Apprehen1[[#This Row],[Year1]])</calculatedColumnFormula>
    </tableColumn>
    <tableColumn id="2" xr3:uid="{30EA7BE7-01F5-46CE-AE8F-DDFB7E82BAAA}" uniqueName="2" name="Region" queryTableFieldId="2" dataDxfId="63"/>
    <tableColumn id="3" xr3:uid="{DDC2B30B-5C26-4A92-A320-7800DE16B6CF}" uniqueName="3" name="Expulsions/Apprehensions of noncitizens" queryTableFieldId="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CCD5AC0-54EF-4E88-92F7-906789DE6B69}" name="Country_Masterlist__4" displayName="Country_Masterlist__4" ref="A1:E1828" tableType="queryTable" totalsRowShown="0">
  <autoFilter ref="A1:E1828" xr:uid="{BCCD5AC0-54EF-4E88-92F7-906789DE6B69}"/>
  <tableColumns count="5">
    <tableColumn id="3" xr3:uid="{B8E1D49B-66B7-4ACC-81B5-01E4FBBB1726}" uniqueName="3" name="Year1" queryTableFieldId="3" dataDxfId="62"/>
    <tableColumn id="4" xr3:uid="{3F42A09A-9191-404F-A9D0-3B448AB329F6}" uniqueName="4" name="Year" queryTableFieldId="9" dataDxfId="61">
      <calculatedColumnFormula>YEAR(Country_Masterlist__4[[#This Row],[Year1]])</calculatedColumnFormula>
    </tableColumn>
    <tableColumn id="2" xr3:uid="{E869D521-5D45-48C7-94B3-11F263FD9DFE}" uniqueName="2" name="Region" queryTableFieldId="2" dataDxfId="60"/>
    <tableColumn id="1" xr3:uid="{722FF266-21F6-40EF-8884-4CFAE882FE53}" uniqueName="1" name="Country" queryTableFieldId="1" dataDxfId="59"/>
    <tableColumn id="6" xr3:uid="{B35180F1-4A4D-45CC-BCBC-65ADF385CE16}" uniqueName="6" name="Expulsions/Apprehensions of noncitizens" queryTableFieldId="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482CA9-275D-4B63-B46D-04165A3B7182}" name="Table2__2" displayName="Table2__2" ref="A1:G1007" tableType="queryTable" totalsRowShown="0">
  <autoFilter ref="A1:G1007" xr:uid="{C3482CA9-275D-4B63-B46D-04165A3B7182}"/>
  <sortState xmlns:xlrd2="http://schemas.microsoft.com/office/spreadsheetml/2017/richdata2" ref="A2:G1007">
    <sortCondition ref="A1:A1007"/>
  </sortState>
  <tableColumns count="7">
    <tableColumn id="5" xr3:uid="{D5AFD42A-A98F-4AB5-8DCB-0D2BF893AD55}" uniqueName="5" name="Year1" queryTableFieldId="5" dataDxfId="58"/>
    <tableColumn id="7" xr3:uid="{963F0698-F4D4-4E69-88E6-8AE8C6AFAB28}" uniqueName="7" name="Year" queryTableFieldId="8" dataDxfId="57">
      <calculatedColumnFormula>YEAR(Table2__2[[#This Row],[Year1]])</calculatedColumnFormula>
    </tableColumn>
    <tableColumn id="1" xr3:uid="{BA154074-CA8E-4AF4-AB32-74A888AC56AB}" uniqueName="1" name="Agency/Jurisdiction" queryTableFieldId="1" dataDxfId="56"/>
    <tableColumn id="2" xr3:uid="{06A0808A-DCE8-4755-9FAE-1F5A56929818}" uniqueName="2" name="Sector" queryTableFieldId="2" dataDxfId="55"/>
    <tableColumn id="3" xr3:uid="{37A0E736-33E8-4DFE-9242-16ACA7222468}" uniqueName="3" name="Location" queryTableFieldId="3" dataDxfId="54"/>
    <tableColumn id="4" xr3:uid="{A97E5856-6935-480C-880A-473BF404B456}" uniqueName="4" name="Apprehension_Type" queryTableFieldId="4" dataDxfId="53"/>
    <tableColumn id="6" xr3:uid="{87D37E25-395C-48DF-BF5E-805F0C2356F7}" uniqueName="6" name="Expulsions/Apprehensions of noncitizens" queryTableFieldId="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7780306-0EDC-45CA-B16A-FA374A424A8C}" name="Country_Masterlist__6" displayName="Country_Masterlist__6" ref="A1:E1630" tableType="queryTable" totalsRowShown="0">
  <autoFilter ref="A1:E1630" xr:uid="{47780306-0EDC-45CA-B16A-FA374A424A8C}"/>
  <tableColumns count="5">
    <tableColumn id="3" xr3:uid="{DC395CCB-3BB1-4486-80D6-3F1A9E236F4D}" uniqueName="3" name="Year1" queryTableFieldId="3" dataDxfId="52"/>
    <tableColumn id="4" xr3:uid="{9CB91200-CF8D-4136-9902-F67205E05467}" uniqueName="4" name="Year" queryTableFieldId="10" dataDxfId="51"/>
    <tableColumn id="2" xr3:uid="{34A12063-984E-4B8F-BED1-82268A3E27C5}" uniqueName="2" name="Region" queryTableFieldId="2" dataDxfId="50"/>
    <tableColumn id="1" xr3:uid="{65EB6D34-0B19-4C9F-973A-2722CEA33412}" uniqueName="1" name="Country" queryTableFieldId="1" dataDxfId="49"/>
    <tableColumn id="6" xr3:uid="{01C6C7D6-08B7-4E50-B282-9B4BA3B225CA}" uniqueName="6" name="Enforcement Returns_Noncitizens" queryTableFieldId="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25F3B43-0F32-4D54-86CC-7FAD1D7495B8}" name="Country_Masterlist__8" displayName="Country_Masterlist__8" ref="A1:E1599" tableType="queryTable" totalsRowShown="0">
  <autoFilter ref="A1:E1599" xr:uid="{325F3B43-0F32-4D54-86CC-7FAD1D7495B8}">
    <filterColumn colId="0">
      <filters>
        <filter val="2014"/>
      </filters>
    </filterColumn>
  </autoFilter>
  <tableColumns count="5">
    <tableColumn id="3" xr3:uid="{78533AB6-6854-4527-8B21-D6227D070DA5}" uniqueName="3" name="Year" queryTableFieldId="3"/>
    <tableColumn id="2" xr3:uid="{49026914-1DF1-406F-8850-A73BF5072125}" uniqueName="2" name="Region" queryTableFieldId="2" dataDxfId="48"/>
    <tableColumn id="1" xr3:uid="{0E72B043-C2EF-42C2-8AA8-2689DFA73EA8}" uniqueName="1" name="Country" queryTableFieldId="1" dataDxfId="47"/>
    <tableColumn id="6" xr3:uid="{6AB292D0-6856-4DD8-8CBF-A56FFBD9C436}" uniqueName="6" name="Criminal" queryTableFieldId="6"/>
    <tableColumn id="7" xr3:uid="{300D737A-8D95-452A-8412-5B878C2F36A1}" uniqueName="7" name="Non-Criminal" queryTableFieldId="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D8F381-2162-41A0-B61C-ED63AC213156}" name="Country_Masterlist__32" displayName="Country_Masterlist__32" ref="A1:D1792" tableType="queryTable" totalsRowShown="0">
  <autoFilter ref="A1:D1792" xr:uid="{D9973376-21B0-405F-948F-A06D6012BC63}"/>
  <tableColumns count="4">
    <tableColumn id="3" xr3:uid="{93420333-B58C-4D8E-8ECF-0032ABAF3FCD}" uniqueName="3" name="Year" queryTableFieldId="3"/>
    <tableColumn id="2" xr3:uid="{E34082B9-45E7-4526-87CC-CF2CA18759A9}" uniqueName="2" name="Region" queryTableFieldId="2" dataDxfId="46"/>
    <tableColumn id="1" xr3:uid="{A914C0D2-A69C-4174-9D99-40CD4BB1B7A6}" uniqueName="1" name="Country" queryTableFieldId="1" dataDxfId="45"/>
    <tableColumn id="5" xr3:uid="{952793C9-8CB0-4C02-A902-37521A99E205}" uniqueName="5" name="Expulsions/Apprehensions of noncitizens" queryTableFieldId="5"/>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910F550-9B14-4A6F-8A7E-794A8C871B0A}" name="Table230_1" displayName="Table230_1" ref="A1:F761" tableType="queryTable" totalsRowShown="0">
  <autoFilter ref="A1:F761" xr:uid="{2910F550-9B14-4A6F-8A7E-794A8C871B0A}"/>
  <sortState xmlns:xlrd2="http://schemas.microsoft.com/office/spreadsheetml/2017/richdata2" ref="A2:F761">
    <sortCondition ref="A2:A761"/>
    <sortCondition ref="B2:B761"/>
    <sortCondition ref="C2:C761"/>
  </sortState>
  <tableColumns count="6">
    <tableColumn id="5" xr3:uid="{23AE490A-AAA7-478F-B189-A0A690467929}" uniqueName="5" name="Year" queryTableFieldId="5" dataDxfId="44"/>
    <tableColumn id="1" xr3:uid="{AB006EA1-D88C-4899-A722-7B2B76829F93}" uniqueName="1" name="Agency/Jurisdiction" queryTableFieldId="1" dataDxfId="43"/>
    <tableColumn id="2" xr3:uid="{10B5455B-FAC1-4232-B34B-B456CA0FE9BB}" uniqueName="2" name="Sector" queryTableFieldId="2" dataDxfId="42"/>
    <tableColumn id="3" xr3:uid="{DE077AA1-2487-48B1-A9EA-0E9000A482CB}" uniqueName="3" name="Location" queryTableFieldId="3" dataDxfId="41"/>
    <tableColumn id="4" xr3:uid="{21A25FC2-1E4B-45D5-8DA5-3AE38D23AA80}" uniqueName="4" name="Apprehension_Type" queryTableFieldId="4" dataDxfId="40"/>
    <tableColumn id="6" xr3:uid="{DA40EB1E-0E42-4F03-87F9-2A5A44567EE1}" uniqueName="6" name="Expulsions/Apprehensions of noncitizens" queryTableFieldId="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025E6EA-2C45-44A8-A389-1654AAF88B70}" name="Country_Masterlist__2" displayName="Country_Masterlist__2" ref="A1:D899" tableType="queryTable" totalsRowShown="0">
  <autoFilter ref="A1:D899" xr:uid="{DD8AEC14-C3B6-493F-9D8E-8AB91D2F3788}"/>
  <sortState xmlns:xlrd2="http://schemas.microsoft.com/office/spreadsheetml/2017/richdata2" ref="A2:D899">
    <sortCondition ref="A1:A899"/>
  </sortState>
  <tableColumns count="4">
    <tableColumn id="4" xr3:uid="{6040C189-BFF9-450E-B01D-93045DD1F731}" uniqueName="4" name="Year" queryTableFieldId="4"/>
    <tableColumn id="2" xr3:uid="{0BD11678-0FAE-40B5-81AA-64A0FDD6B9EA}" uniqueName="2" name="Region" queryTableFieldId="2" dataDxfId="39"/>
    <tableColumn id="1" xr3:uid="{E90D28F3-51F4-4A15-8E04-099FBF30F91E}" uniqueName="1" name="Country" queryTableFieldId="1" dataDxfId="38"/>
    <tableColumn id="5" xr3:uid="{C1C41D1F-D2C4-40A9-9AED-F455928A11B7}" uniqueName="5" name="Enforcement Returns_Noncitizens" queryTableFieldId="5"/>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C03478D-8819-4D93-ABCA-DF6B46D5AC3B}" name="Country_Masterlist__10" displayName="Country_Masterlist__10" ref="A1:E1666" tableType="queryTable" totalsRowShown="0">
  <autoFilter ref="A1:E1666" xr:uid="{EC03478D-8819-4D93-ABCA-DF6B46D5AC3B}"/>
  <sortState xmlns:xlrd2="http://schemas.microsoft.com/office/spreadsheetml/2017/richdata2" ref="A2:E1666">
    <sortCondition ref="A1:A1666"/>
  </sortState>
  <tableColumns count="5">
    <tableColumn id="4" xr3:uid="{B233EAE1-4AD6-431D-8BB3-73C82FF8FFD0}" uniqueName="4" name="Year" queryTableFieldId="4" dataDxfId="37"/>
    <tableColumn id="2" xr3:uid="{636552F8-2F4D-4825-96F5-CC243BD3F8DD}" uniqueName="2" name="Region" queryTableFieldId="2" dataDxfId="36"/>
    <tableColumn id="1" xr3:uid="{6D09D18C-CEF0-4174-99A9-0FE2D7F5F526}" uniqueName="1" name="Country" queryTableFieldId="1" dataDxfId="35"/>
    <tableColumn id="5" xr3:uid="{0E83679D-5B49-40A0-A650-88677009080F}" uniqueName="5" name="Criminal " queryTableFieldId="5"/>
    <tableColumn id="6" xr3:uid="{88DFFA1C-D497-485B-9BD6-6A7489595F45}" uniqueName="6" name="Non-Criminal" queryTableFieldId="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E54F72-223C-4087-8054-6C48D354E3BC}" name="Table2" displayName="Table2" ref="A1:N1048576" totalsRowShown="0" headerRowDxfId="34">
  <autoFilter ref="A1:N1048576" xr:uid="{67E54F72-223C-4087-8054-6C48D354E3BC}"/>
  <tableColumns count="14">
    <tableColumn id="1" xr3:uid="{06678D51-0B7E-463B-85A7-ABB74B501FBC}" name="Agency/Jurisdiction"/>
    <tableColumn id="2" xr3:uid="{9E91347D-8B56-4048-81D0-E706F750C9CE}" name="Sector"/>
    <tableColumn id="3" xr3:uid="{E520E280-6E05-4ED8-BE47-0909A04902DC}" name="Location"/>
    <tableColumn id="14" xr3:uid="{F4A752F5-312C-4A01-9BD6-81A99945B5B7}" name="Apprehension/Encounter/Arrest"/>
    <tableColumn id="4" xr3:uid="{911F3C59-BD78-4B87-B923-D812A276311F}" name="2013"/>
    <tableColumn id="5" xr3:uid="{1CC9ACDC-851E-40ED-A8D0-06BF6611B7E7}" name="2014"/>
    <tableColumn id="6" xr3:uid="{9F619C6C-AFE7-41DB-9C92-218A37DF4C57}" name="2015"/>
    <tableColumn id="7" xr3:uid="{F7617575-D2A8-4839-8D05-861181180BA2}" name="2016 1"/>
    <tableColumn id="8" xr3:uid="{9525FDEE-11A8-4F68-9965-12BEF2D5C826}" name="2017"/>
    <tableColumn id="9" xr3:uid="{E1EA0673-6780-4931-9BE5-36364061C180}" name="2018"/>
    <tableColumn id="10" xr3:uid="{5370EF1B-0008-4762-9B3E-84F179BBC61A}" name="2019"/>
    <tableColumn id="11" xr3:uid="{9EF22C25-75D6-4956-8918-DB80D6361380}" name="2020 2"/>
    <tableColumn id="12" xr3:uid="{ABD591EA-9E0E-4A42-AA54-081D58D47D61}" name="2021 2"/>
    <tableColumn id="13" xr3:uid="{C497ED0C-7573-4F30-B238-0AAA61F6727B}" name="2022 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38C429C-E551-49EC-BDDF-E5ABC731F26A}" name="Table14" displayName="Table14" ref="A1:U1048575" totalsRowShown="0" headerRowDxfId="33" tableBorderDxfId="32">
  <autoFilter ref="A1:U1048575" xr:uid="{838C429C-E551-49EC-BDDF-E5ABC731F26A}"/>
  <tableColumns count="21">
    <tableColumn id="1" xr3:uid="{C667C650-9BB3-40B0-B62C-CBA1046353EB}" name="Nationality"/>
    <tableColumn id="2" xr3:uid="{350DAC7A-B076-4C43-911A-302DA468AD7A}" name="2013_Criminal"/>
    <tableColumn id="3" xr3:uid="{2A37C6BF-7AAD-4D73-9660-6F1ECAE1DFE5}" name="2013_Non-Criminal"/>
    <tableColumn id="4" xr3:uid="{08DFF707-DF4D-4BDC-AAD5-51FAAB5A979E}" name="2014_Criminal"/>
    <tableColumn id="5" xr3:uid="{5E3B0A95-6E8C-4FC1-8233-CEC15026D9FF}" name="2014_Non-Criminal"/>
    <tableColumn id="6" xr3:uid="{950EF8F5-F117-49D9-8E16-6E28306F303A}" name="2015_Criminal"/>
    <tableColumn id="7" xr3:uid="{8EAC078F-A5B9-48D3-8933-B67427650DBB}" name="2015_Non-Criminal"/>
    <tableColumn id="8" xr3:uid="{23D1D458-4F82-4039-A612-275E8F3FE259}" name="2016_Criminal"/>
    <tableColumn id="9" xr3:uid="{BD58FD8C-9A7A-472E-A339-688DD6130DC7}" name="2016_Non-Criminal"/>
    <tableColumn id="10" xr3:uid="{F5B2BCAD-62C6-4061-A490-B8D000A673D1}" name="2017_Criminal"/>
    <tableColumn id="11" xr3:uid="{2B992626-B394-4102-9602-2AE8F5DB6218}" name="2017_Non-Criminal"/>
    <tableColumn id="12" xr3:uid="{6A1804C1-EB62-4488-9660-7C0F2F7F2BCD}" name="2018_Criminal"/>
    <tableColumn id="13" xr3:uid="{A86B21AC-87F8-44F2-87A7-4BE4E6BE9759}" name="2018_Non-Criminal"/>
    <tableColumn id="14" xr3:uid="{E6E02E8A-54CA-4284-818A-DD41D7420ED0}" name="2019_Criminal"/>
    <tableColumn id="15" xr3:uid="{EF5021DE-7B59-4E0E-94D3-A241BCA4FBBC}" name="2019_Non-Criminal"/>
    <tableColumn id="16" xr3:uid="{293E2B91-4D7E-4858-8E93-700B8C169E2F}" name="2020Criminal"/>
    <tableColumn id="17" xr3:uid="{1D7BFFD9-4001-4A22-8798-EADE5A36A8C7}" name="2020_Non-Criminal"/>
    <tableColumn id="18" xr3:uid="{86975C4D-94B5-4273-9AFF-C842A2E73142}" name="2021_Criminal"/>
    <tableColumn id="19" xr3:uid="{04592DCA-C80F-413B-ACF8-A64AA02130B2}" name="2021_Non-Criminal"/>
    <tableColumn id="20" xr3:uid="{C04ECB0F-3B2D-4795-B4C5-359FCF23E2D7}" name="2022_Criminal"/>
    <tableColumn id="21" xr3:uid="{4038EF9C-1B22-4F4C-A923-3A1412C78AE8}" name="2022_Non-Criminal"/>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650D0D0-512B-48F8-9DB9-5C012617481D}" name="Table230" displayName="Table230" ref="A1:N1048563" totalsRowShown="0" headerRowDxfId="31">
  <autoFilter ref="A1:N1048563" xr:uid="{67E54F72-223C-4087-8054-6C48D354E3BC}"/>
  <tableColumns count="14">
    <tableColumn id="1" xr3:uid="{08A56895-B460-4B39-A3A2-54B57BE6CAC2}" name="Agency/Jurisdiction"/>
    <tableColumn id="2" xr3:uid="{26E9D7C8-091D-43A4-810E-AE19F0038548}" name="Sector"/>
    <tableColumn id="3" xr3:uid="{DA6BAC0C-F155-4773-8402-CA081D208D1B}" name="Location"/>
    <tableColumn id="14" xr3:uid="{670C0DE2-B6CB-499D-B2C6-64E366EE8EA2}" name="Apprehension/Encounter/Arrest"/>
    <tableColumn id="4" xr3:uid="{38B05DF2-C9A7-41F3-B8FD-4C5D4B9EAC3D}" name="2004"/>
    <tableColumn id="5" xr3:uid="{77E79977-6B85-4D10-B390-62492718D6AE}" name="2005"/>
    <tableColumn id="6" xr3:uid="{CE403C4F-E99F-4505-9B66-EE104A7D26EB}" name="2006"/>
    <tableColumn id="7" xr3:uid="{8A19074C-FB25-4D42-9F4D-3C928B122EB6}" name="2007"/>
    <tableColumn id="8" xr3:uid="{7839A955-ED3F-4560-9ADA-D6DDB8AF232A}" name="2008"/>
    <tableColumn id="9" xr3:uid="{D43B040B-18B5-48DB-B127-2E82CAC86C7C}" name="2009"/>
    <tableColumn id="10" xr3:uid="{B0DA5FCF-3F25-45CA-98DF-672925EBB220}" name="2010"/>
    <tableColumn id="11" xr3:uid="{F30BF134-BF3F-4D20-88F2-FA315AEDEDA6}" name="2011"/>
    <tableColumn id="12" xr3:uid="{1E170D6B-1FCE-4091-9D25-ED2495CCF878}" name="2012"/>
    <tableColumn id="13" xr3:uid="{9F63B79B-870E-4144-BCB7-478FF985CA64}" name="2013"/>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FD632A8-7286-4ECE-953E-7F3D4E5F165F}" name="Table1" displayName="Table1" ref="A1:F65536" totalsRowShown="0" headerRowDxfId="30" dataDxfId="29">
  <autoFilter ref="A1:F65536" xr:uid="{26B8CFFE-3C3A-47D3-8AB9-5775DA70C078}"/>
  <tableColumns count="6">
    <tableColumn id="1" xr3:uid="{43BABB50-84A4-4FFE-BE03-7C63727468CA}" name="Country" dataDxfId="28"/>
    <tableColumn id="2" xr3:uid="{1670E0A0-D318-4618-B818-9893078C2ED6}" name="2009" dataDxfId="27"/>
    <tableColumn id="3" xr3:uid="{7B75D8CB-8060-469C-8024-429E06670F9B}" name="2010" dataDxfId="26"/>
    <tableColumn id="4" xr3:uid="{CF69690F-FC93-4FF5-A364-A6B498E16B1E}" name="2011" dataDxfId="25"/>
    <tableColumn id="5" xr3:uid="{1E971F25-28F2-4273-831C-3E210BF17373}" name="2012" dataDxfId="24"/>
    <tableColumn id="6" xr3:uid="{ADAAB425-9CBD-4C97-B9AF-4415B4E6E991}" name="2013" dataDxfId="23"/>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C291A96-5689-4201-872A-9778FD8AF8B1}" name="Table33" displayName="Table33" ref="A1:U1048576" totalsRowShown="0" headerRowDxfId="22" dataDxfId="21">
  <autoFilter ref="A1:U1048576" xr:uid="{3C291A96-5689-4201-872A-9778FD8AF8B1}"/>
  <tableColumns count="21">
    <tableColumn id="1" xr3:uid="{231E1F60-882B-41F0-8885-0E2F5230C2AE}" name="Nationality" dataDxfId="20"/>
    <tableColumn id="2" xr3:uid="{403611E9-882D-4E41-8FF6-0AB313E91C51}" name="2004 Criminal 1" dataDxfId="19"/>
    <tableColumn id="3" xr3:uid="{A3D40758-76F7-4B86-A605-96A87ADA2440}" name="2004 Non-Criminal" dataDxfId="18"/>
    <tableColumn id="4" xr3:uid="{8BF8A89A-F416-42A6-A22D-D13A2A732045}" name="2005 Criminal 1" dataDxfId="17"/>
    <tableColumn id="5" xr3:uid="{B6B6A418-1F2B-4628-96C5-2B20C5619489}" name="2005 Non-Criminal" dataDxfId="16"/>
    <tableColumn id="6" xr3:uid="{F809E7A2-4EFA-43EC-9E5F-35C871A0F022}" name="2006 Criminal 1" dataDxfId="15"/>
    <tableColumn id="7" xr3:uid="{859FD66E-FEC8-44A0-B2C3-DBB124A64630}" name="2006 Non-Criminal" dataDxfId="14"/>
    <tableColumn id="8" xr3:uid="{7C639045-5E0A-4E7F-865D-6D93AA534C7E}" name="2007 Criminal 1" dataDxfId="13"/>
    <tableColumn id="9" xr3:uid="{6176D0DA-DB19-4624-90F1-0111FBC94ED6}" name="2007 Non-Criminal" dataDxfId="12"/>
    <tableColumn id="10" xr3:uid="{4731B0B8-CA72-44F9-9607-1FB70953A1C6}" name="2008 Criminal 1" dataDxfId="11"/>
    <tableColumn id="11" xr3:uid="{1630991B-752E-40B9-AA6B-2259E74B2BBE}" name="2008 Non-Criminal" dataDxfId="10"/>
    <tableColumn id="12" xr3:uid="{789AA038-9D5F-43C3-A971-FEFE7367102C}" name="2009 Criminal 1" dataDxfId="9"/>
    <tableColumn id="13" xr3:uid="{162AE600-9818-4FEA-A782-D8F7C0044397}" name="2009 Non-Criminal" dataDxfId="8"/>
    <tableColumn id="14" xr3:uid="{3A06C54C-573D-4A73-963C-D866FBFDEBF0}" name="2010 Criminal 1" dataDxfId="7"/>
    <tableColumn id="15" xr3:uid="{6169DFA4-22CF-4BB0-A4EA-C739ED2BB6D2}" name="2010 Non-Criminal" dataDxfId="6"/>
    <tableColumn id="16" xr3:uid="{1779E4D8-2A0C-4526-8480-525793195D93}" name="2011 Criminal 1" dataDxfId="5"/>
    <tableColumn id="17" xr3:uid="{5CBD2402-94C9-48FF-82AF-FDA272A1FF98}" name="2011 Non-Criminal" dataDxfId="4"/>
    <tableColumn id="18" xr3:uid="{38E08AEB-DD79-4E3C-A9EC-61A313C771C5}" name="2012 Criminal 1" dataDxfId="3"/>
    <tableColumn id="19" xr3:uid="{E50EAB34-AC1A-4547-8036-DF523EDBEEE1}" name="2012 Non-Criminal" dataDxfId="2"/>
    <tableColumn id="20" xr3:uid="{C2B948EB-06CB-431C-8DAF-C13098E27E9B}" name="2013 Criminal 1" dataDxfId="1"/>
    <tableColumn id="21" xr3:uid="{A2D52507-72F5-4F76-9EE8-2FD91BA53D60}" name="2013 Non-Crimina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6462-21A1-4D71-A659-4DADDC2F1D3E}">
  <sheetPr>
    <tabColor rgb="FF92D050"/>
  </sheetPr>
  <dimension ref="A1:E12051"/>
  <sheetViews>
    <sheetView tabSelected="1" topLeftCell="A11556" workbookViewId="0">
      <selection activeCell="E11575" sqref="E11575"/>
    </sheetView>
  </sheetViews>
  <sheetFormatPr defaultRowHeight="14.5" x14ac:dyDescent="0.35"/>
  <cols>
    <col min="2" max="2" width="15.26953125" customWidth="1"/>
    <col min="3" max="3" width="17.36328125" customWidth="1"/>
    <col min="4" max="4" width="15.453125" customWidth="1"/>
    <col min="5" max="5" width="35.08984375" customWidth="1"/>
  </cols>
  <sheetData>
    <row r="1" spans="1:5" x14ac:dyDescent="0.35">
      <c r="A1" t="s">
        <v>24</v>
      </c>
      <c r="B1" t="s">
        <v>217</v>
      </c>
      <c r="C1" t="s">
        <v>13</v>
      </c>
      <c r="D1" t="s">
        <v>464</v>
      </c>
      <c r="E1" t="s">
        <v>465</v>
      </c>
    </row>
    <row r="2" spans="1:5" x14ac:dyDescent="0.35">
      <c r="A2">
        <v>2004</v>
      </c>
      <c r="B2" t="s">
        <v>34</v>
      </c>
      <c r="C2" t="s">
        <v>40</v>
      </c>
      <c r="D2">
        <v>14</v>
      </c>
      <c r="E2" t="s">
        <v>458</v>
      </c>
    </row>
    <row r="3" spans="1:5" x14ac:dyDescent="0.35">
      <c r="A3">
        <v>2004</v>
      </c>
      <c r="B3" t="s">
        <v>38</v>
      </c>
      <c r="C3" t="s">
        <v>155</v>
      </c>
      <c r="E3" t="s">
        <v>328</v>
      </c>
    </row>
    <row r="4" spans="1:5" x14ac:dyDescent="0.35">
      <c r="A4">
        <v>2004</v>
      </c>
      <c r="B4" t="s">
        <v>38</v>
      </c>
      <c r="C4" t="s">
        <v>155</v>
      </c>
      <c r="E4" t="s">
        <v>458</v>
      </c>
    </row>
    <row r="5" spans="1:5" x14ac:dyDescent="0.35">
      <c r="A5">
        <v>2004</v>
      </c>
      <c r="B5" t="s">
        <v>36</v>
      </c>
      <c r="C5" t="s">
        <v>154</v>
      </c>
      <c r="D5">
        <v>66</v>
      </c>
      <c r="E5" t="s">
        <v>328</v>
      </c>
    </row>
    <row r="6" spans="1:5" x14ac:dyDescent="0.35">
      <c r="A6">
        <v>2004</v>
      </c>
      <c r="B6" t="s">
        <v>36</v>
      </c>
      <c r="C6" t="s">
        <v>154</v>
      </c>
      <c r="D6">
        <v>122</v>
      </c>
      <c r="E6" t="s">
        <v>458</v>
      </c>
    </row>
    <row r="7" spans="1:5" x14ac:dyDescent="0.35">
      <c r="A7">
        <v>2004</v>
      </c>
      <c r="B7" t="s">
        <v>37</v>
      </c>
      <c r="C7" t="s">
        <v>153</v>
      </c>
      <c r="D7">
        <v>7</v>
      </c>
      <c r="E7" t="s">
        <v>458</v>
      </c>
    </row>
    <row r="8" spans="1:5" x14ac:dyDescent="0.35">
      <c r="A8">
        <v>2004</v>
      </c>
      <c r="B8" t="s">
        <v>34</v>
      </c>
      <c r="C8" t="s">
        <v>152</v>
      </c>
      <c r="D8">
        <v>531</v>
      </c>
      <c r="E8" t="s">
        <v>328</v>
      </c>
    </row>
    <row r="9" spans="1:5" x14ac:dyDescent="0.35">
      <c r="A9">
        <v>2004</v>
      </c>
      <c r="B9" t="s">
        <v>34</v>
      </c>
      <c r="C9" t="s">
        <v>152</v>
      </c>
      <c r="D9">
        <v>119</v>
      </c>
      <c r="E9" t="s">
        <v>458</v>
      </c>
    </row>
    <row r="10" spans="1:5" x14ac:dyDescent="0.35">
      <c r="A10">
        <v>2004</v>
      </c>
      <c r="B10" t="s">
        <v>35</v>
      </c>
      <c r="C10" t="s">
        <v>150</v>
      </c>
      <c r="D10">
        <v>13</v>
      </c>
      <c r="E10" t="s">
        <v>328</v>
      </c>
    </row>
    <row r="11" spans="1:5" x14ac:dyDescent="0.35">
      <c r="A11">
        <v>2004</v>
      </c>
      <c r="B11" t="s">
        <v>35</v>
      </c>
      <c r="C11" t="s">
        <v>150</v>
      </c>
      <c r="D11">
        <v>6</v>
      </c>
      <c r="E11" t="s">
        <v>458</v>
      </c>
    </row>
    <row r="12" spans="1:5" x14ac:dyDescent="0.35">
      <c r="A12">
        <v>2004</v>
      </c>
      <c r="B12" t="s">
        <v>35</v>
      </c>
      <c r="C12" t="s">
        <v>322</v>
      </c>
      <c r="D12">
        <v>22</v>
      </c>
      <c r="E12" t="s">
        <v>328</v>
      </c>
    </row>
    <row r="13" spans="1:5" x14ac:dyDescent="0.35">
      <c r="A13">
        <v>2004</v>
      </c>
      <c r="B13" t="s">
        <v>35</v>
      </c>
      <c r="C13" t="s">
        <v>322</v>
      </c>
      <c r="D13">
        <v>8</v>
      </c>
      <c r="E13" t="s">
        <v>458</v>
      </c>
    </row>
    <row r="14" spans="1:5" x14ac:dyDescent="0.35">
      <c r="A14">
        <v>2004</v>
      </c>
      <c r="B14" t="s">
        <v>33</v>
      </c>
      <c r="C14" t="s">
        <v>149</v>
      </c>
      <c r="D14">
        <v>278</v>
      </c>
      <c r="E14" t="s">
        <v>328</v>
      </c>
    </row>
    <row r="15" spans="1:5" x14ac:dyDescent="0.35">
      <c r="A15">
        <v>2004</v>
      </c>
      <c r="B15" t="s">
        <v>33</v>
      </c>
      <c r="C15" t="s">
        <v>149</v>
      </c>
      <c r="D15">
        <v>279</v>
      </c>
      <c r="E15" t="s">
        <v>458</v>
      </c>
    </row>
    <row r="16" spans="1:5" x14ac:dyDescent="0.35">
      <c r="A16">
        <v>2004</v>
      </c>
      <c r="B16" t="s">
        <v>33</v>
      </c>
      <c r="C16" t="s">
        <v>148</v>
      </c>
      <c r="D16">
        <v>36</v>
      </c>
      <c r="E16" t="s">
        <v>328</v>
      </c>
    </row>
    <row r="17" spans="1:5" x14ac:dyDescent="0.35">
      <c r="A17">
        <v>2004</v>
      </c>
      <c r="B17" t="s">
        <v>33</v>
      </c>
      <c r="C17" t="s">
        <v>148</v>
      </c>
      <c r="D17">
        <v>12</v>
      </c>
      <c r="E17" t="s">
        <v>458</v>
      </c>
    </row>
    <row r="18" spans="1:5" x14ac:dyDescent="0.35">
      <c r="A18">
        <v>2004</v>
      </c>
      <c r="B18" t="s">
        <v>38</v>
      </c>
      <c r="C18" t="s">
        <v>156</v>
      </c>
      <c r="D18">
        <v>306</v>
      </c>
      <c r="E18" t="s">
        <v>458</v>
      </c>
    </row>
    <row r="19" spans="1:5" x14ac:dyDescent="0.35">
      <c r="A19">
        <v>2004</v>
      </c>
      <c r="B19" t="s">
        <v>38</v>
      </c>
      <c r="C19" t="s">
        <v>156</v>
      </c>
      <c r="D19">
        <v>815</v>
      </c>
      <c r="E19" t="s">
        <v>328</v>
      </c>
    </row>
    <row r="20" spans="1:5" x14ac:dyDescent="0.35">
      <c r="A20">
        <v>2004</v>
      </c>
      <c r="B20" t="s">
        <v>34</v>
      </c>
      <c r="C20" t="s">
        <v>18</v>
      </c>
      <c r="D20">
        <v>364</v>
      </c>
      <c r="E20" t="s">
        <v>458</v>
      </c>
    </row>
    <row r="21" spans="1:5" x14ac:dyDescent="0.35">
      <c r="A21">
        <v>2004</v>
      </c>
      <c r="B21" t="s">
        <v>34</v>
      </c>
      <c r="C21" t="s">
        <v>18</v>
      </c>
      <c r="D21">
        <v>572</v>
      </c>
      <c r="E21" t="s">
        <v>328</v>
      </c>
    </row>
    <row r="22" spans="1:5" x14ac:dyDescent="0.35">
      <c r="A22">
        <v>2004</v>
      </c>
      <c r="B22" t="s">
        <v>37</v>
      </c>
      <c r="C22" t="s">
        <v>166</v>
      </c>
      <c r="D22">
        <v>14</v>
      </c>
      <c r="E22" t="s">
        <v>458</v>
      </c>
    </row>
    <row r="23" spans="1:5" x14ac:dyDescent="0.35">
      <c r="A23">
        <v>2004</v>
      </c>
      <c r="B23" t="s">
        <v>36</v>
      </c>
      <c r="C23" t="s">
        <v>165</v>
      </c>
      <c r="D23">
        <v>12</v>
      </c>
      <c r="E23" t="s">
        <v>328</v>
      </c>
    </row>
    <row r="24" spans="1:5" x14ac:dyDescent="0.35">
      <c r="A24">
        <v>2004</v>
      </c>
      <c r="B24" t="s">
        <v>36</v>
      </c>
      <c r="C24" t="s">
        <v>165</v>
      </c>
      <c r="D24">
        <v>32</v>
      </c>
      <c r="E24" t="s">
        <v>458</v>
      </c>
    </row>
    <row r="25" spans="1:5" x14ac:dyDescent="0.35">
      <c r="A25">
        <v>2004</v>
      </c>
      <c r="B25" t="s">
        <v>36</v>
      </c>
      <c r="C25" t="s">
        <v>164</v>
      </c>
      <c r="D25">
        <v>32</v>
      </c>
      <c r="E25" t="s">
        <v>328</v>
      </c>
    </row>
    <row r="26" spans="1:5" x14ac:dyDescent="0.35">
      <c r="A26">
        <v>2004</v>
      </c>
      <c r="B26" t="s">
        <v>36</v>
      </c>
      <c r="C26" t="s">
        <v>164</v>
      </c>
      <c r="D26">
        <v>18</v>
      </c>
      <c r="E26" t="s">
        <v>458</v>
      </c>
    </row>
    <row r="27" spans="1:5" x14ac:dyDescent="0.35">
      <c r="A27">
        <v>2004</v>
      </c>
      <c r="B27" t="s">
        <v>36</v>
      </c>
      <c r="C27" t="s">
        <v>163</v>
      </c>
      <c r="D27">
        <v>11</v>
      </c>
      <c r="E27" t="s">
        <v>328</v>
      </c>
    </row>
    <row r="28" spans="1:5" x14ac:dyDescent="0.35">
      <c r="A28">
        <v>2004</v>
      </c>
      <c r="B28" t="s">
        <v>36</v>
      </c>
      <c r="C28" t="s">
        <v>163</v>
      </c>
      <c r="D28">
        <v>15</v>
      </c>
      <c r="E28" t="s">
        <v>458</v>
      </c>
    </row>
    <row r="29" spans="1:5" x14ac:dyDescent="0.35">
      <c r="A29">
        <v>2004</v>
      </c>
      <c r="B29" t="s">
        <v>36</v>
      </c>
      <c r="C29" t="s">
        <v>147</v>
      </c>
      <c r="D29">
        <v>546</v>
      </c>
      <c r="E29" t="s">
        <v>328</v>
      </c>
    </row>
    <row r="30" spans="1:5" x14ac:dyDescent="0.35">
      <c r="A30">
        <v>2004</v>
      </c>
      <c r="B30" t="s">
        <v>33</v>
      </c>
      <c r="C30" t="s">
        <v>162</v>
      </c>
      <c r="D30">
        <v>7</v>
      </c>
      <c r="E30" t="s">
        <v>328</v>
      </c>
    </row>
    <row r="31" spans="1:5" x14ac:dyDescent="0.35">
      <c r="A31">
        <v>2004</v>
      </c>
      <c r="B31" t="s">
        <v>35</v>
      </c>
      <c r="C31" t="s">
        <v>161</v>
      </c>
      <c r="D31">
        <v>67</v>
      </c>
      <c r="E31" t="s">
        <v>458</v>
      </c>
    </row>
    <row r="32" spans="1:5" x14ac:dyDescent="0.35">
      <c r="A32">
        <v>2004</v>
      </c>
      <c r="B32" t="s">
        <v>35</v>
      </c>
      <c r="C32" t="s">
        <v>160</v>
      </c>
      <c r="D32">
        <v>110</v>
      </c>
      <c r="E32" t="s">
        <v>328</v>
      </c>
    </row>
    <row r="33" spans="1:5" x14ac:dyDescent="0.35">
      <c r="A33">
        <v>2004</v>
      </c>
      <c r="B33" t="s">
        <v>35</v>
      </c>
      <c r="C33" t="s">
        <v>160</v>
      </c>
      <c r="D33">
        <v>34</v>
      </c>
      <c r="E33" t="s">
        <v>458</v>
      </c>
    </row>
    <row r="34" spans="1:5" x14ac:dyDescent="0.35">
      <c r="A34">
        <v>2004</v>
      </c>
      <c r="B34" t="s">
        <v>35</v>
      </c>
      <c r="C34" t="s">
        <v>158</v>
      </c>
      <c r="D34">
        <v>43</v>
      </c>
      <c r="E34" t="s">
        <v>328</v>
      </c>
    </row>
    <row r="35" spans="1:5" x14ac:dyDescent="0.35">
      <c r="A35">
        <v>2004</v>
      </c>
      <c r="B35" t="s">
        <v>35</v>
      </c>
      <c r="C35" t="s">
        <v>158</v>
      </c>
      <c r="D35">
        <v>77</v>
      </c>
      <c r="E35" t="s">
        <v>458</v>
      </c>
    </row>
    <row r="36" spans="1:5" x14ac:dyDescent="0.35">
      <c r="A36">
        <v>2004</v>
      </c>
      <c r="B36" t="s">
        <v>35</v>
      </c>
      <c r="C36" t="s">
        <v>157</v>
      </c>
      <c r="D36">
        <v>319</v>
      </c>
      <c r="E36" t="s">
        <v>328</v>
      </c>
    </row>
    <row r="37" spans="1:5" x14ac:dyDescent="0.35">
      <c r="A37">
        <v>2004</v>
      </c>
      <c r="B37" t="s">
        <v>35</v>
      </c>
      <c r="C37" t="s">
        <v>157</v>
      </c>
      <c r="D37">
        <v>107</v>
      </c>
      <c r="E37" t="s">
        <v>458</v>
      </c>
    </row>
    <row r="38" spans="1:5" x14ac:dyDescent="0.35">
      <c r="A38">
        <v>2004</v>
      </c>
      <c r="B38" t="s">
        <v>35</v>
      </c>
      <c r="C38" t="s">
        <v>161</v>
      </c>
      <c r="D38">
        <v>156</v>
      </c>
      <c r="E38" t="s">
        <v>328</v>
      </c>
    </row>
    <row r="39" spans="1:5" x14ac:dyDescent="0.35">
      <c r="A39">
        <v>2004</v>
      </c>
      <c r="B39" t="s">
        <v>36</v>
      </c>
      <c r="C39" t="s">
        <v>147</v>
      </c>
      <c r="D39">
        <v>401</v>
      </c>
      <c r="E39" t="s">
        <v>458</v>
      </c>
    </row>
    <row r="40" spans="1:5" x14ac:dyDescent="0.35">
      <c r="A40">
        <v>2004</v>
      </c>
      <c r="B40" t="s">
        <v>37</v>
      </c>
      <c r="C40" t="s">
        <v>146</v>
      </c>
      <c r="D40">
        <v>29</v>
      </c>
      <c r="E40" t="s">
        <v>328</v>
      </c>
    </row>
    <row r="41" spans="1:5" x14ac:dyDescent="0.35">
      <c r="A41">
        <v>2004</v>
      </c>
      <c r="B41" t="s">
        <v>37</v>
      </c>
      <c r="C41" t="s">
        <v>146</v>
      </c>
      <c r="D41">
        <v>9</v>
      </c>
      <c r="E41" t="s">
        <v>458</v>
      </c>
    </row>
    <row r="42" spans="1:5" x14ac:dyDescent="0.35">
      <c r="A42">
        <v>2004</v>
      </c>
      <c r="B42" t="s">
        <v>33</v>
      </c>
      <c r="C42" t="s">
        <v>132</v>
      </c>
      <c r="D42">
        <v>41</v>
      </c>
      <c r="E42" t="s">
        <v>328</v>
      </c>
    </row>
    <row r="43" spans="1:5" x14ac:dyDescent="0.35">
      <c r="A43">
        <v>2004</v>
      </c>
      <c r="B43" t="s">
        <v>33</v>
      </c>
      <c r="C43" t="s">
        <v>132</v>
      </c>
      <c r="D43">
        <v>6</v>
      </c>
      <c r="E43" t="s">
        <v>458</v>
      </c>
    </row>
    <row r="44" spans="1:5" x14ac:dyDescent="0.35">
      <c r="A44">
        <v>2004</v>
      </c>
      <c r="B44" t="s">
        <v>34</v>
      </c>
      <c r="C44" t="s">
        <v>131</v>
      </c>
      <c r="D44">
        <v>93</v>
      </c>
      <c r="E44" t="s">
        <v>328</v>
      </c>
    </row>
    <row r="45" spans="1:5" x14ac:dyDescent="0.35">
      <c r="A45">
        <v>2004</v>
      </c>
      <c r="B45" t="s">
        <v>34</v>
      </c>
      <c r="C45" t="s">
        <v>131</v>
      </c>
      <c r="D45">
        <v>15</v>
      </c>
      <c r="E45" t="s">
        <v>458</v>
      </c>
    </row>
    <row r="46" spans="1:5" x14ac:dyDescent="0.35">
      <c r="A46">
        <v>2004</v>
      </c>
      <c r="B46" t="s">
        <v>33</v>
      </c>
      <c r="C46" t="s">
        <v>130</v>
      </c>
      <c r="D46">
        <v>4</v>
      </c>
      <c r="E46" t="s">
        <v>328</v>
      </c>
    </row>
    <row r="47" spans="1:5" x14ac:dyDescent="0.35">
      <c r="A47">
        <v>2004</v>
      </c>
      <c r="B47" t="s">
        <v>33</v>
      </c>
      <c r="C47" t="s">
        <v>130</v>
      </c>
      <c r="D47">
        <v>3</v>
      </c>
      <c r="E47" t="s">
        <v>458</v>
      </c>
    </row>
    <row r="48" spans="1:5" x14ac:dyDescent="0.35">
      <c r="A48">
        <v>2004</v>
      </c>
      <c r="B48" t="s">
        <v>35</v>
      </c>
      <c r="C48" t="s">
        <v>127</v>
      </c>
      <c r="D48">
        <v>65</v>
      </c>
      <c r="E48" t="s">
        <v>328</v>
      </c>
    </row>
    <row r="49" spans="1:5" x14ac:dyDescent="0.35">
      <c r="A49">
        <v>2004</v>
      </c>
      <c r="B49" t="s">
        <v>37</v>
      </c>
      <c r="C49" t="s">
        <v>134</v>
      </c>
      <c r="E49" t="s">
        <v>458</v>
      </c>
    </row>
    <row r="50" spans="1:5" x14ac:dyDescent="0.35">
      <c r="A50">
        <v>2004</v>
      </c>
      <c r="B50" t="s">
        <v>35</v>
      </c>
      <c r="C50" t="s">
        <v>127</v>
      </c>
      <c r="D50">
        <v>9</v>
      </c>
      <c r="E50" t="s">
        <v>458</v>
      </c>
    </row>
    <row r="51" spans="1:5" x14ac:dyDescent="0.35">
      <c r="A51">
        <v>2004</v>
      </c>
      <c r="B51" t="s">
        <v>33</v>
      </c>
      <c r="C51" t="s">
        <v>125</v>
      </c>
      <c r="D51">
        <v>40</v>
      </c>
      <c r="E51" t="s">
        <v>458</v>
      </c>
    </row>
    <row r="52" spans="1:5" x14ac:dyDescent="0.35">
      <c r="A52">
        <v>2004</v>
      </c>
      <c r="B52" t="s">
        <v>34</v>
      </c>
      <c r="C52" t="s">
        <v>124</v>
      </c>
      <c r="D52">
        <v>140</v>
      </c>
      <c r="E52" t="s">
        <v>328</v>
      </c>
    </row>
    <row r="53" spans="1:5" x14ac:dyDescent="0.35">
      <c r="A53">
        <v>2004</v>
      </c>
      <c r="B53" t="s">
        <v>34</v>
      </c>
      <c r="C53" t="s">
        <v>124</v>
      </c>
      <c r="D53">
        <v>32</v>
      </c>
      <c r="E53" t="s">
        <v>458</v>
      </c>
    </row>
    <row r="54" spans="1:5" x14ac:dyDescent="0.35">
      <c r="A54">
        <v>2004</v>
      </c>
      <c r="B54" t="s">
        <v>35</v>
      </c>
      <c r="C54" t="s">
        <v>123</v>
      </c>
      <c r="D54">
        <v>18</v>
      </c>
      <c r="E54" t="s">
        <v>328</v>
      </c>
    </row>
    <row r="55" spans="1:5" x14ac:dyDescent="0.35">
      <c r="A55">
        <v>2004</v>
      </c>
      <c r="B55" t="s">
        <v>35</v>
      </c>
      <c r="C55" t="s">
        <v>123</v>
      </c>
      <c r="D55">
        <v>5</v>
      </c>
      <c r="E55" t="s">
        <v>458</v>
      </c>
    </row>
    <row r="56" spans="1:5" x14ac:dyDescent="0.35">
      <c r="A56">
        <v>2004</v>
      </c>
      <c r="B56" t="s">
        <v>34</v>
      </c>
      <c r="C56" t="s">
        <v>122</v>
      </c>
      <c r="E56" t="s">
        <v>328</v>
      </c>
    </row>
    <row r="57" spans="1:5" x14ac:dyDescent="0.35">
      <c r="A57">
        <v>2004</v>
      </c>
      <c r="B57" t="s">
        <v>34</v>
      </c>
      <c r="C57" t="s">
        <v>122</v>
      </c>
      <c r="E57" t="s">
        <v>458</v>
      </c>
    </row>
    <row r="58" spans="1:5" x14ac:dyDescent="0.35">
      <c r="A58">
        <v>2004</v>
      </c>
      <c r="B58" t="s">
        <v>33</v>
      </c>
      <c r="C58" t="s">
        <v>125</v>
      </c>
      <c r="D58">
        <v>27</v>
      </c>
      <c r="E58" t="s">
        <v>328</v>
      </c>
    </row>
    <row r="59" spans="1:5" x14ac:dyDescent="0.35">
      <c r="A59">
        <v>2004</v>
      </c>
      <c r="B59" t="s">
        <v>37</v>
      </c>
      <c r="C59" t="s">
        <v>166</v>
      </c>
      <c r="D59">
        <v>13</v>
      </c>
      <c r="E59" t="s">
        <v>328</v>
      </c>
    </row>
    <row r="60" spans="1:5" x14ac:dyDescent="0.35">
      <c r="A60">
        <v>2004</v>
      </c>
      <c r="B60" t="s">
        <v>37</v>
      </c>
      <c r="C60" t="s">
        <v>134</v>
      </c>
      <c r="E60" t="s">
        <v>328</v>
      </c>
    </row>
    <row r="61" spans="1:5" x14ac:dyDescent="0.35">
      <c r="A61">
        <v>2004</v>
      </c>
      <c r="B61" t="s">
        <v>33</v>
      </c>
      <c r="C61" t="s">
        <v>135</v>
      </c>
      <c r="D61">
        <v>38</v>
      </c>
      <c r="E61" t="s">
        <v>328</v>
      </c>
    </row>
    <row r="62" spans="1:5" x14ac:dyDescent="0.35">
      <c r="A62">
        <v>2004</v>
      </c>
      <c r="B62" t="s">
        <v>35</v>
      </c>
      <c r="C62" t="s">
        <v>145</v>
      </c>
      <c r="D62">
        <v>35</v>
      </c>
      <c r="E62" t="s">
        <v>328</v>
      </c>
    </row>
    <row r="63" spans="1:5" x14ac:dyDescent="0.35">
      <c r="A63">
        <v>2004</v>
      </c>
      <c r="B63" t="s">
        <v>35</v>
      </c>
      <c r="C63" t="s">
        <v>145</v>
      </c>
      <c r="D63">
        <v>53</v>
      </c>
      <c r="E63" t="s">
        <v>458</v>
      </c>
    </row>
    <row r="64" spans="1:5" x14ac:dyDescent="0.35">
      <c r="A64">
        <v>2004</v>
      </c>
      <c r="B64" t="s">
        <v>34</v>
      </c>
      <c r="C64" t="s">
        <v>144</v>
      </c>
      <c r="D64">
        <v>45</v>
      </c>
      <c r="E64" t="s">
        <v>328</v>
      </c>
    </row>
    <row r="65" spans="1:5" x14ac:dyDescent="0.35">
      <c r="A65">
        <v>2004</v>
      </c>
      <c r="B65" t="s">
        <v>34</v>
      </c>
      <c r="C65" t="s">
        <v>144</v>
      </c>
      <c r="D65">
        <v>4</v>
      </c>
      <c r="E65" t="s">
        <v>458</v>
      </c>
    </row>
    <row r="66" spans="1:5" x14ac:dyDescent="0.35">
      <c r="A66">
        <v>2004</v>
      </c>
      <c r="B66" t="s">
        <v>33</v>
      </c>
      <c r="C66" t="s">
        <v>141</v>
      </c>
      <c r="D66">
        <v>86</v>
      </c>
      <c r="E66" t="s">
        <v>328</v>
      </c>
    </row>
    <row r="67" spans="1:5" x14ac:dyDescent="0.35">
      <c r="A67">
        <v>2004</v>
      </c>
      <c r="B67" t="s">
        <v>33</v>
      </c>
      <c r="C67" t="s">
        <v>141</v>
      </c>
      <c r="D67">
        <v>42</v>
      </c>
      <c r="E67" t="s">
        <v>458</v>
      </c>
    </row>
    <row r="68" spans="1:5" x14ac:dyDescent="0.35">
      <c r="A68">
        <v>2004</v>
      </c>
      <c r="B68" t="s">
        <v>35</v>
      </c>
      <c r="C68" t="s">
        <v>140</v>
      </c>
      <c r="E68" t="s">
        <v>328</v>
      </c>
    </row>
    <row r="69" spans="1:5" x14ac:dyDescent="0.35">
      <c r="A69">
        <v>2004</v>
      </c>
      <c r="B69" t="s">
        <v>33</v>
      </c>
      <c r="C69" t="s">
        <v>135</v>
      </c>
      <c r="D69">
        <v>6</v>
      </c>
      <c r="E69" t="s">
        <v>458</v>
      </c>
    </row>
    <row r="70" spans="1:5" x14ac:dyDescent="0.35">
      <c r="A70">
        <v>2004</v>
      </c>
      <c r="B70" t="s">
        <v>35</v>
      </c>
      <c r="C70" t="s">
        <v>140</v>
      </c>
      <c r="E70" t="s">
        <v>458</v>
      </c>
    </row>
    <row r="71" spans="1:5" x14ac:dyDescent="0.35">
      <c r="A71">
        <v>2004</v>
      </c>
      <c r="B71" t="s">
        <v>34</v>
      </c>
      <c r="C71" t="s">
        <v>139</v>
      </c>
      <c r="D71">
        <v>4</v>
      </c>
      <c r="E71" t="s">
        <v>458</v>
      </c>
    </row>
    <row r="72" spans="1:5" x14ac:dyDescent="0.35">
      <c r="A72">
        <v>2004</v>
      </c>
      <c r="B72" t="s">
        <v>35</v>
      </c>
      <c r="C72" t="s">
        <v>138</v>
      </c>
      <c r="D72">
        <v>8</v>
      </c>
      <c r="E72" t="s">
        <v>328</v>
      </c>
    </row>
    <row r="73" spans="1:5" x14ac:dyDescent="0.35">
      <c r="A73">
        <v>2004</v>
      </c>
      <c r="B73" t="s">
        <v>35</v>
      </c>
      <c r="C73" t="s">
        <v>138</v>
      </c>
      <c r="D73">
        <v>4</v>
      </c>
      <c r="E73" t="s">
        <v>458</v>
      </c>
    </row>
    <row r="74" spans="1:5" x14ac:dyDescent="0.35">
      <c r="A74">
        <v>2004</v>
      </c>
      <c r="B74" t="s">
        <v>37</v>
      </c>
      <c r="C74" t="s">
        <v>137</v>
      </c>
      <c r="E74" t="s">
        <v>328</v>
      </c>
    </row>
    <row r="75" spans="1:5" x14ac:dyDescent="0.35">
      <c r="A75">
        <v>2004</v>
      </c>
      <c r="B75" t="s">
        <v>37</v>
      </c>
      <c r="C75" t="s">
        <v>137</v>
      </c>
      <c r="E75" t="s">
        <v>458</v>
      </c>
    </row>
    <row r="76" spans="1:5" x14ac:dyDescent="0.35">
      <c r="A76">
        <v>2004</v>
      </c>
      <c r="B76" t="s">
        <v>36</v>
      </c>
      <c r="C76" t="s">
        <v>14</v>
      </c>
      <c r="D76">
        <v>104295</v>
      </c>
      <c r="E76" t="s">
        <v>328</v>
      </c>
    </row>
    <row r="77" spans="1:5" x14ac:dyDescent="0.35">
      <c r="A77">
        <v>2004</v>
      </c>
      <c r="B77" t="s">
        <v>36</v>
      </c>
      <c r="C77" t="s">
        <v>14</v>
      </c>
      <c r="D77">
        <v>71570</v>
      </c>
      <c r="E77" t="s">
        <v>458</v>
      </c>
    </row>
    <row r="78" spans="1:5" x14ac:dyDescent="0.35">
      <c r="A78">
        <v>2004</v>
      </c>
      <c r="B78" t="s">
        <v>34</v>
      </c>
      <c r="C78" t="s">
        <v>139</v>
      </c>
      <c r="D78">
        <v>38</v>
      </c>
      <c r="E78" t="s">
        <v>328</v>
      </c>
    </row>
    <row r="79" spans="1:5" x14ac:dyDescent="0.35">
      <c r="A79">
        <v>2004</v>
      </c>
      <c r="B79" t="s">
        <v>34</v>
      </c>
      <c r="C79" t="s">
        <v>121</v>
      </c>
      <c r="D79">
        <v>4</v>
      </c>
      <c r="E79" t="s">
        <v>328</v>
      </c>
    </row>
    <row r="80" spans="1:5" x14ac:dyDescent="0.35">
      <c r="A80">
        <v>2004</v>
      </c>
      <c r="B80" t="s">
        <v>34</v>
      </c>
      <c r="C80" t="s">
        <v>167</v>
      </c>
      <c r="D80">
        <v>20</v>
      </c>
      <c r="E80" t="s">
        <v>328</v>
      </c>
    </row>
    <row r="81" spans="1:5" x14ac:dyDescent="0.35">
      <c r="A81">
        <v>2004</v>
      </c>
      <c r="B81" t="s">
        <v>33</v>
      </c>
      <c r="C81" t="s">
        <v>168</v>
      </c>
      <c r="D81">
        <v>98</v>
      </c>
      <c r="E81" t="s">
        <v>328</v>
      </c>
    </row>
    <row r="82" spans="1:5" x14ac:dyDescent="0.35">
      <c r="A82">
        <v>2004</v>
      </c>
      <c r="B82" t="s">
        <v>35</v>
      </c>
      <c r="C82" t="s">
        <v>196</v>
      </c>
      <c r="D82">
        <v>198</v>
      </c>
      <c r="E82" t="s">
        <v>328</v>
      </c>
    </row>
    <row r="83" spans="1:5" x14ac:dyDescent="0.35">
      <c r="A83">
        <v>2004</v>
      </c>
      <c r="B83" t="s">
        <v>35</v>
      </c>
      <c r="C83" t="s">
        <v>196</v>
      </c>
      <c r="D83">
        <v>47</v>
      </c>
      <c r="E83" t="s">
        <v>458</v>
      </c>
    </row>
    <row r="84" spans="1:5" x14ac:dyDescent="0.35">
      <c r="A84">
        <v>2004</v>
      </c>
      <c r="B84" t="s">
        <v>33</v>
      </c>
      <c r="C84" t="s">
        <v>195</v>
      </c>
      <c r="D84">
        <v>22</v>
      </c>
      <c r="E84" t="s">
        <v>328</v>
      </c>
    </row>
    <row r="85" spans="1:5" x14ac:dyDescent="0.35">
      <c r="A85">
        <v>2004</v>
      </c>
      <c r="B85" t="s">
        <v>33</v>
      </c>
      <c r="C85" t="s">
        <v>195</v>
      </c>
      <c r="D85">
        <v>8</v>
      </c>
      <c r="E85" t="s">
        <v>458</v>
      </c>
    </row>
    <row r="86" spans="1:5" x14ac:dyDescent="0.35">
      <c r="A86">
        <v>2004</v>
      </c>
      <c r="B86" t="s">
        <v>36</v>
      </c>
      <c r="C86" t="s">
        <v>372</v>
      </c>
      <c r="E86" t="s">
        <v>328</v>
      </c>
    </row>
    <row r="87" spans="1:5" x14ac:dyDescent="0.35">
      <c r="A87">
        <v>2004</v>
      </c>
      <c r="B87" t="s">
        <v>34</v>
      </c>
      <c r="C87" t="s">
        <v>193</v>
      </c>
      <c r="D87">
        <v>125</v>
      </c>
      <c r="E87" t="s">
        <v>328</v>
      </c>
    </row>
    <row r="88" spans="1:5" x14ac:dyDescent="0.35">
      <c r="A88">
        <v>2004</v>
      </c>
      <c r="B88" t="s">
        <v>34</v>
      </c>
      <c r="C88" t="s">
        <v>193</v>
      </c>
      <c r="D88">
        <v>24</v>
      </c>
      <c r="E88" t="s">
        <v>458</v>
      </c>
    </row>
    <row r="89" spans="1:5" x14ac:dyDescent="0.35">
      <c r="A89">
        <v>2004</v>
      </c>
      <c r="B89" t="s">
        <v>33</v>
      </c>
      <c r="C89" t="s">
        <v>192</v>
      </c>
      <c r="D89">
        <v>27</v>
      </c>
      <c r="E89" t="s">
        <v>328</v>
      </c>
    </row>
    <row r="90" spans="1:5" x14ac:dyDescent="0.35">
      <c r="A90">
        <v>2004</v>
      </c>
      <c r="B90" t="s">
        <v>33</v>
      </c>
      <c r="C90" t="s">
        <v>192</v>
      </c>
      <c r="D90">
        <v>12</v>
      </c>
      <c r="E90" t="s">
        <v>458</v>
      </c>
    </row>
    <row r="91" spans="1:5" x14ac:dyDescent="0.35">
      <c r="A91">
        <v>2004</v>
      </c>
      <c r="B91" t="s">
        <v>36</v>
      </c>
      <c r="C91" t="s">
        <v>191</v>
      </c>
      <c r="D91">
        <v>191</v>
      </c>
      <c r="E91" t="s">
        <v>328</v>
      </c>
    </row>
    <row r="92" spans="1:5" x14ac:dyDescent="0.35">
      <c r="A92">
        <v>2004</v>
      </c>
      <c r="B92" t="s">
        <v>36</v>
      </c>
      <c r="C92" t="s">
        <v>191</v>
      </c>
      <c r="D92">
        <v>266</v>
      </c>
      <c r="E92" t="s">
        <v>458</v>
      </c>
    </row>
    <row r="93" spans="1:5" x14ac:dyDescent="0.35">
      <c r="A93">
        <v>2004</v>
      </c>
      <c r="B93" t="s">
        <v>37</v>
      </c>
      <c r="C93" t="s">
        <v>190</v>
      </c>
      <c r="D93">
        <v>12</v>
      </c>
      <c r="E93" t="s">
        <v>328</v>
      </c>
    </row>
    <row r="94" spans="1:5" x14ac:dyDescent="0.35">
      <c r="A94">
        <v>2004</v>
      </c>
      <c r="B94" t="s">
        <v>37</v>
      </c>
      <c r="C94" t="s">
        <v>190</v>
      </c>
      <c r="D94">
        <v>38</v>
      </c>
      <c r="E94" t="s">
        <v>458</v>
      </c>
    </row>
    <row r="95" spans="1:5" x14ac:dyDescent="0.35">
      <c r="A95">
        <v>2004</v>
      </c>
      <c r="B95" t="s">
        <v>33</v>
      </c>
      <c r="C95" t="s">
        <v>189</v>
      </c>
      <c r="D95">
        <v>31</v>
      </c>
      <c r="E95" t="s">
        <v>328</v>
      </c>
    </row>
    <row r="96" spans="1:5" x14ac:dyDescent="0.35">
      <c r="A96">
        <v>2004</v>
      </c>
      <c r="B96" t="s">
        <v>33</v>
      </c>
      <c r="C96" t="s">
        <v>189</v>
      </c>
      <c r="D96">
        <v>10</v>
      </c>
      <c r="E96" t="s">
        <v>458</v>
      </c>
    </row>
    <row r="97" spans="1:5" x14ac:dyDescent="0.35">
      <c r="A97">
        <v>2004</v>
      </c>
      <c r="B97" t="s">
        <v>34</v>
      </c>
      <c r="C97" t="s">
        <v>197</v>
      </c>
      <c r="E97" t="s">
        <v>458</v>
      </c>
    </row>
    <row r="98" spans="1:5" x14ac:dyDescent="0.35">
      <c r="A98">
        <v>2004</v>
      </c>
      <c r="B98" t="s">
        <v>34</v>
      </c>
      <c r="C98" t="s">
        <v>197</v>
      </c>
      <c r="E98" t="s">
        <v>328</v>
      </c>
    </row>
    <row r="99" spans="1:5" x14ac:dyDescent="0.35">
      <c r="A99">
        <v>2004</v>
      </c>
      <c r="B99" t="s">
        <v>35</v>
      </c>
      <c r="C99" t="s">
        <v>198</v>
      </c>
      <c r="D99">
        <v>254</v>
      </c>
      <c r="E99" t="s">
        <v>458</v>
      </c>
    </row>
    <row r="100" spans="1:5" x14ac:dyDescent="0.35">
      <c r="A100">
        <v>2004</v>
      </c>
      <c r="B100" t="s">
        <v>35</v>
      </c>
      <c r="C100" t="s">
        <v>198</v>
      </c>
      <c r="D100">
        <v>236</v>
      </c>
      <c r="E100" t="s">
        <v>328</v>
      </c>
    </row>
    <row r="101" spans="1:5" x14ac:dyDescent="0.35">
      <c r="A101">
        <v>2004</v>
      </c>
      <c r="B101" t="s">
        <v>33</v>
      </c>
      <c r="C101" t="s">
        <v>204</v>
      </c>
      <c r="D101">
        <v>12</v>
      </c>
      <c r="E101" t="s">
        <v>328</v>
      </c>
    </row>
    <row r="102" spans="1:5" x14ac:dyDescent="0.35">
      <c r="A102">
        <v>2004</v>
      </c>
      <c r="B102" t="s">
        <v>33</v>
      </c>
      <c r="C102" t="s">
        <v>204</v>
      </c>
      <c r="D102">
        <v>11</v>
      </c>
      <c r="E102" t="s">
        <v>458</v>
      </c>
    </row>
    <row r="103" spans="1:5" x14ac:dyDescent="0.35">
      <c r="A103">
        <v>2004</v>
      </c>
      <c r="B103" t="s">
        <v>33</v>
      </c>
      <c r="C103" t="s">
        <v>203</v>
      </c>
      <c r="D103">
        <v>14</v>
      </c>
      <c r="E103" t="s">
        <v>328</v>
      </c>
    </row>
    <row r="104" spans="1:5" x14ac:dyDescent="0.35">
      <c r="A104">
        <v>2004</v>
      </c>
      <c r="B104" t="s">
        <v>33</v>
      </c>
      <c r="C104" t="s">
        <v>203</v>
      </c>
      <c r="D104">
        <v>8</v>
      </c>
      <c r="E104" t="s">
        <v>458</v>
      </c>
    </row>
    <row r="105" spans="1:5" x14ac:dyDescent="0.35">
      <c r="A105">
        <v>2004</v>
      </c>
      <c r="B105" t="s">
        <v>34</v>
      </c>
      <c r="C105" t="s">
        <v>202</v>
      </c>
      <c r="D105">
        <v>40</v>
      </c>
      <c r="E105" t="s">
        <v>328</v>
      </c>
    </row>
    <row r="106" spans="1:5" x14ac:dyDescent="0.35">
      <c r="A106">
        <v>2004</v>
      </c>
      <c r="B106" t="s">
        <v>34</v>
      </c>
      <c r="C106" t="s">
        <v>202</v>
      </c>
      <c r="D106">
        <v>12</v>
      </c>
      <c r="E106" t="s">
        <v>458</v>
      </c>
    </row>
    <row r="107" spans="1:5" x14ac:dyDescent="0.35">
      <c r="A107">
        <v>2004</v>
      </c>
      <c r="B107" t="s">
        <v>34</v>
      </c>
      <c r="C107" t="s">
        <v>201</v>
      </c>
      <c r="D107">
        <v>15</v>
      </c>
      <c r="E107" t="s">
        <v>328</v>
      </c>
    </row>
    <row r="108" spans="1:5" x14ac:dyDescent="0.35">
      <c r="A108">
        <v>2004</v>
      </c>
      <c r="B108" t="s">
        <v>34</v>
      </c>
      <c r="C108" t="s">
        <v>188</v>
      </c>
      <c r="D108">
        <v>66</v>
      </c>
      <c r="E108" t="s">
        <v>328</v>
      </c>
    </row>
    <row r="109" spans="1:5" x14ac:dyDescent="0.35">
      <c r="A109">
        <v>2004</v>
      </c>
      <c r="B109" t="s">
        <v>34</v>
      </c>
      <c r="C109" t="s">
        <v>201</v>
      </c>
      <c r="D109">
        <v>18</v>
      </c>
      <c r="E109" t="s">
        <v>458</v>
      </c>
    </row>
    <row r="110" spans="1:5" x14ac:dyDescent="0.35">
      <c r="A110">
        <v>2004</v>
      </c>
      <c r="B110" t="s">
        <v>38</v>
      </c>
      <c r="C110" t="s">
        <v>19</v>
      </c>
      <c r="D110">
        <v>119</v>
      </c>
      <c r="E110" t="s">
        <v>458</v>
      </c>
    </row>
    <row r="111" spans="1:5" x14ac:dyDescent="0.35">
      <c r="A111">
        <v>2004</v>
      </c>
      <c r="B111" t="s">
        <v>34</v>
      </c>
      <c r="C111" t="s">
        <v>200</v>
      </c>
      <c r="D111">
        <v>63</v>
      </c>
      <c r="E111" t="s">
        <v>328</v>
      </c>
    </row>
    <row r="112" spans="1:5" x14ac:dyDescent="0.35">
      <c r="A112">
        <v>2004</v>
      </c>
      <c r="B112" t="s">
        <v>34</v>
      </c>
      <c r="C112" t="s">
        <v>200</v>
      </c>
      <c r="D112">
        <v>10</v>
      </c>
      <c r="E112" t="s">
        <v>458</v>
      </c>
    </row>
    <row r="113" spans="1:5" x14ac:dyDescent="0.35">
      <c r="A113">
        <v>2004</v>
      </c>
      <c r="B113" t="s">
        <v>38</v>
      </c>
      <c r="C113" t="s">
        <v>199</v>
      </c>
      <c r="D113">
        <v>129</v>
      </c>
      <c r="E113" t="s">
        <v>328</v>
      </c>
    </row>
    <row r="114" spans="1:5" x14ac:dyDescent="0.35">
      <c r="A114">
        <v>2004</v>
      </c>
      <c r="B114" t="s">
        <v>38</v>
      </c>
      <c r="C114" t="s">
        <v>199</v>
      </c>
      <c r="D114">
        <v>17</v>
      </c>
      <c r="E114" t="s">
        <v>458</v>
      </c>
    </row>
    <row r="115" spans="1:5" x14ac:dyDescent="0.35">
      <c r="A115">
        <v>2004</v>
      </c>
      <c r="B115" t="s">
        <v>39</v>
      </c>
      <c r="C115" t="s">
        <v>39</v>
      </c>
      <c r="D115">
        <v>85</v>
      </c>
      <c r="E115" t="s">
        <v>328</v>
      </c>
    </row>
    <row r="116" spans="1:5" x14ac:dyDescent="0.35">
      <c r="A116">
        <v>2004</v>
      </c>
      <c r="B116" t="s">
        <v>39</v>
      </c>
      <c r="C116" t="s">
        <v>39</v>
      </c>
      <c r="D116">
        <v>7</v>
      </c>
      <c r="E116" t="s">
        <v>458</v>
      </c>
    </row>
    <row r="117" spans="1:5" x14ac:dyDescent="0.35">
      <c r="A117">
        <v>2004</v>
      </c>
      <c r="B117" t="s">
        <v>38</v>
      </c>
      <c r="C117" t="s">
        <v>19</v>
      </c>
      <c r="D117">
        <v>316</v>
      </c>
      <c r="E117" t="s">
        <v>328</v>
      </c>
    </row>
    <row r="118" spans="1:5" x14ac:dyDescent="0.35">
      <c r="A118">
        <v>2004</v>
      </c>
      <c r="B118" t="s">
        <v>34</v>
      </c>
      <c r="C118" t="s">
        <v>188</v>
      </c>
      <c r="D118">
        <v>30</v>
      </c>
      <c r="E118" t="s">
        <v>458</v>
      </c>
    </row>
    <row r="119" spans="1:5" x14ac:dyDescent="0.35">
      <c r="A119">
        <v>2004</v>
      </c>
      <c r="B119" t="s">
        <v>33</v>
      </c>
      <c r="C119" t="s">
        <v>187</v>
      </c>
      <c r="D119">
        <v>18</v>
      </c>
      <c r="E119" t="s">
        <v>328</v>
      </c>
    </row>
    <row r="120" spans="1:5" x14ac:dyDescent="0.35">
      <c r="A120">
        <v>2004</v>
      </c>
      <c r="B120" t="s">
        <v>33</v>
      </c>
      <c r="C120" t="s">
        <v>187</v>
      </c>
      <c r="D120">
        <v>9</v>
      </c>
      <c r="E120" t="s">
        <v>458</v>
      </c>
    </row>
    <row r="121" spans="1:5" x14ac:dyDescent="0.35">
      <c r="A121">
        <v>2004</v>
      </c>
      <c r="B121" t="s">
        <v>33</v>
      </c>
      <c r="C121" t="s">
        <v>176</v>
      </c>
      <c r="E121" t="s">
        <v>458</v>
      </c>
    </row>
    <row r="122" spans="1:5" x14ac:dyDescent="0.35">
      <c r="A122">
        <v>2004</v>
      </c>
      <c r="B122" t="s">
        <v>33</v>
      </c>
      <c r="C122" t="s">
        <v>175</v>
      </c>
      <c r="D122">
        <v>42</v>
      </c>
      <c r="E122" t="s">
        <v>328</v>
      </c>
    </row>
    <row r="123" spans="1:5" x14ac:dyDescent="0.35">
      <c r="A123">
        <v>2004</v>
      </c>
      <c r="B123" t="s">
        <v>33</v>
      </c>
      <c r="C123" t="s">
        <v>175</v>
      </c>
      <c r="D123">
        <v>30</v>
      </c>
      <c r="E123" t="s">
        <v>458</v>
      </c>
    </row>
    <row r="124" spans="1:5" x14ac:dyDescent="0.35">
      <c r="A124">
        <v>2004</v>
      </c>
      <c r="B124" t="s">
        <v>33</v>
      </c>
      <c r="C124" t="s">
        <v>174</v>
      </c>
      <c r="E124" t="s">
        <v>328</v>
      </c>
    </row>
    <row r="125" spans="1:5" x14ac:dyDescent="0.35">
      <c r="A125">
        <v>2004</v>
      </c>
      <c r="B125" t="s">
        <v>33</v>
      </c>
      <c r="C125" t="s">
        <v>174</v>
      </c>
      <c r="E125" t="s">
        <v>458</v>
      </c>
    </row>
    <row r="126" spans="1:5" x14ac:dyDescent="0.35">
      <c r="A126">
        <v>2004</v>
      </c>
      <c r="B126" t="s">
        <v>35</v>
      </c>
      <c r="C126" t="s">
        <v>173</v>
      </c>
      <c r="D126">
        <v>14</v>
      </c>
      <c r="E126" t="s">
        <v>328</v>
      </c>
    </row>
    <row r="127" spans="1:5" x14ac:dyDescent="0.35">
      <c r="A127">
        <v>2004</v>
      </c>
      <c r="B127" t="s">
        <v>35</v>
      </c>
      <c r="C127" t="s">
        <v>172</v>
      </c>
      <c r="D127">
        <v>40</v>
      </c>
      <c r="E127" t="s">
        <v>328</v>
      </c>
    </row>
    <row r="128" spans="1:5" x14ac:dyDescent="0.35">
      <c r="A128">
        <v>2004</v>
      </c>
      <c r="B128" t="s">
        <v>33</v>
      </c>
      <c r="C128" t="s">
        <v>176</v>
      </c>
      <c r="E128" t="s">
        <v>328</v>
      </c>
    </row>
    <row r="129" spans="1:5" x14ac:dyDescent="0.35">
      <c r="A129">
        <v>2004</v>
      </c>
      <c r="B129" t="s">
        <v>35</v>
      </c>
      <c r="C129" t="s">
        <v>172</v>
      </c>
      <c r="D129">
        <v>7</v>
      </c>
      <c r="E129" t="s">
        <v>458</v>
      </c>
    </row>
    <row r="130" spans="1:5" x14ac:dyDescent="0.35">
      <c r="A130">
        <v>2004</v>
      </c>
      <c r="B130" t="s">
        <v>34</v>
      </c>
      <c r="C130" t="s">
        <v>171</v>
      </c>
      <c r="D130">
        <v>10</v>
      </c>
      <c r="E130" t="s">
        <v>458</v>
      </c>
    </row>
    <row r="131" spans="1:5" x14ac:dyDescent="0.35">
      <c r="A131">
        <v>2004</v>
      </c>
      <c r="B131" t="s">
        <v>33</v>
      </c>
      <c r="C131" t="s">
        <v>170</v>
      </c>
      <c r="D131">
        <v>40</v>
      </c>
      <c r="E131" t="s">
        <v>328</v>
      </c>
    </row>
    <row r="132" spans="1:5" x14ac:dyDescent="0.35">
      <c r="A132">
        <v>2004</v>
      </c>
      <c r="B132" t="s">
        <v>33</v>
      </c>
      <c r="C132" t="s">
        <v>170</v>
      </c>
      <c r="D132">
        <v>22</v>
      </c>
      <c r="E132" t="s">
        <v>458</v>
      </c>
    </row>
    <row r="133" spans="1:5" x14ac:dyDescent="0.35">
      <c r="A133">
        <v>2004</v>
      </c>
      <c r="B133" t="s">
        <v>35</v>
      </c>
      <c r="C133" t="s">
        <v>215</v>
      </c>
      <c r="D133">
        <v>95</v>
      </c>
      <c r="E133" t="s">
        <v>328</v>
      </c>
    </row>
    <row r="134" spans="1:5" x14ac:dyDescent="0.35">
      <c r="A134">
        <v>2004</v>
      </c>
      <c r="B134" t="s">
        <v>35</v>
      </c>
      <c r="C134" t="s">
        <v>215</v>
      </c>
      <c r="D134">
        <v>22</v>
      </c>
      <c r="E134" t="s">
        <v>458</v>
      </c>
    </row>
    <row r="135" spans="1:5" x14ac:dyDescent="0.35">
      <c r="A135">
        <v>2004</v>
      </c>
      <c r="B135" t="s">
        <v>35</v>
      </c>
      <c r="C135" t="s">
        <v>169</v>
      </c>
      <c r="E135" t="s">
        <v>328</v>
      </c>
    </row>
    <row r="136" spans="1:5" x14ac:dyDescent="0.35">
      <c r="A136">
        <v>2004</v>
      </c>
      <c r="B136" t="s">
        <v>35</v>
      </c>
      <c r="C136" t="s">
        <v>169</v>
      </c>
      <c r="E136" t="s">
        <v>458</v>
      </c>
    </row>
    <row r="137" spans="1:5" x14ac:dyDescent="0.35">
      <c r="A137">
        <v>2004</v>
      </c>
      <c r="B137" t="s">
        <v>34</v>
      </c>
      <c r="C137" t="s">
        <v>171</v>
      </c>
      <c r="D137">
        <v>20</v>
      </c>
      <c r="E137" t="s">
        <v>328</v>
      </c>
    </row>
    <row r="138" spans="1:5" x14ac:dyDescent="0.35">
      <c r="A138">
        <v>2004</v>
      </c>
      <c r="B138" t="s">
        <v>33</v>
      </c>
      <c r="C138" t="s">
        <v>168</v>
      </c>
      <c r="D138">
        <v>23</v>
      </c>
      <c r="E138" t="s">
        <v>458</v>
      </c>
    </row>
    <row r="139" spans="1:5" x14ac:dyDescent="0.35">
      <c r="A139">
        <v>2004</v>
      </c>
      <c r="B139" t="s">
        <v>35</v>
      </c>
      <c r="C139" t="s">
        <v>216</v>
      </c>
      <c r="D139">
        <v>9</v>
      </c>
      <c r="E139" t="s">
        <v>458</v>
      </c>
    </row>
    <row r="140" spans="1:5" x14ac:dyDescent="0.35">
      <c r="A140">
        <v>2004</v>
      </c>
      <c r="B140" t="s">
        <v>35</v>
      </c>
      <c r="C140" t="s">
        <v>177</v>
      </c>
      <c r="D140">
        <v>56</v>
      </c>
      <c r="E140" t="s">
        <v>458</v>
      </c>
    </row>
    <row r="141" spans="1:5" x14ac:dyDescent="0.35">
      <c r="A141">
        <v>2004</v>
      </c>
      <c r="B141" t="s">
        <v>34</v>
      </c>
      <c r="C141" t="s">
        <v>186</v>
      </c>
      <c r="D141">
        <v>6</v>
      </c>
      <c r="E141" t="s">
        <v>328</v>
      </c>
    </row>
    <row r="142" spans="1:5" x14ac:dyDescent="0.35">
      <c r="A142">
        <v>2004</v>
      </c>
      <c r="B142" t="s">
        <v>34</v>
      </c>
      <c r="C142" t="s">
        <v>185</v>
      </c>
      <c r="D142">
        <v>70</v>
      </c>
      <c r="E142" t="s">
        <v>328</v>
      </c>
    </row>
    <row r="143" spans="1:5" x14ac:dyDescent="0.35">
      <c r="A143">
        <v>2004</v>
      </c>
      <c r="B143" t="s">
        <v>34</v>
      </c>
      <c r="C143" t="s">
        <v>185</v>
      </c>
      <c r="D143">
        <v>31</v>
      </c>
      <c r="E143" t="s">
        <v>458</v>
      </c>
    </row>
    <row r="144" spans="1:5" x14ac:dyDescent="0.35">
      <c r="A144">
        <v>2004</v>
      </c>
      <c r="B144" t="s">
        <v>34</v>
      </c>
      <c r="C144" t="s">
        <v>184</v>
      </c>
      <c r="D144">
        <v>47</v>
      </c>
      <c r="E144" t="s">
        <v>328</v>
      </c>
    </row>
    <row r="145" spans="1:5" x14ac:dyDescent="0.35">
      <c r="A145">
        <v>2004</v>
      </c>
      <c r="B145" t="s">
        <v>34</v>
      </c>
      <c r="C145" t="s">
        <v>184</v>
      </c>
      <c r="D145">
        <v>25</v>
      </c>
      <c r="E145" t="s">
        <v>458</v>
      </c>
    </row>
    <row r="146" spans="1:5" x14ac:dyDescent="0.35">
      <c r="A146">
        <v>2004</v>
      </c>
      <c r="B146" t="s">
        <v>35</v>
      </c>
      <c r="C146" t="s">
        <v>183</v>
      </c>
      <c r="D146">
        <v>10</v>
      </c>
      <c r="E146" t="s">
        <v>328</v>
      </c>
    </row>
    <row r="147" spans="1:5" x14ac:dyDescent="0.35">
      <c r="A147">
        <v>2004</v>
      </c>
      <c r="B147" t="s">
        <v>35</v>
      </c>
      <c r="C147" t="s">
        <v>183</v>
      </c>
      <c r="D147">
        <v>3</v>
      </c>
      <c r="E147" t="s">
        <v>458</v>
      </c>
    </row>
    <row r="148" spans="1:5" x14ac:dyDescent="0.35">
      <c r="A148">
        <v>2004</v>
      </c>
      <c r="B148" t="s">
        <v>35</v>
      </c>
      <c r="C148" t="s">
        <v>216</v>
      </c>
      <c r="D148">
        <v>8</v>
      </c>
      <c r="E148" t="s">
        <v>328</v>
      </c>
    </row>
    <row r="149" spans="1:5" x14ac:dyDescent="0.35">
      <c r="A149">
        <v>2004</v>
      </c>
      <c r="B149" t="s">
        <v>35</v>
      </c>
      <c r="C149" t="s">
        <v>182</v>
      </c>
      <c r="D149">
        <v>20</v>
      </c>
      <c r="E149" t="s">
        <v>328</v>
      </c>
    </row>
    <row r="150" spans="1:5" x14ac:dyDescent="0.35">
      <c r="A150">
        <v>2004</v>
      </c>
      <c r="B150" t="s">
        <v>38</v>
      </c>
      <c r="C150" t="s">
        <v>180</v>
      </c>
      <c r="D150">
        <v>17</v>
      </c>
      <c r="E150" t="s">
        <v>328</v>
      </c>
    </row>
    <row r="151" spans="1:5" x14ac:dyDescent="0.35">
      <c r="A151">
        <v>2004</v>
      </c>
      <c r="B151" t="s">
        <v>38</v>
      </c>
      <c r="C151" t="s">
        <v>180</v>
      </c>
      <c r="D151">
        <v>7</v>
      </c>
      <c r="E151" t="s">
        <v>458</v>
      </c>
    </row>
    <row r="152" spans="1:5" x14ac:dyDescent="0.35">
      <c r="A152">
        <v>2004</v>
      </c>
      <c r="B152" t="s">
        <v>33</v>
      </c>
      <c r="C152" t="s">
        <v>179</v>
      </c>
      <c r="D152">
        <v>17</v>
      </c>
      <c r="E152" t="s">
        <v>328</v>
      </c>
    </row>
    <row r="153" spans="1:5" x14ac:dyDescent="0.35">
      <c r="A153">
        <v>2004</v>
      </c>
      <c r="B153" t="s">
        <v>33</v>
      </c>
      <c r="C153" t="s">
        <v>179</v>
      </c>
      <c r="D153">
        <v>11</v>
      </c>
      <c r="E153" t="s">
        <v>458</v>
      </c>
    </row>
    <row r="154" spans="1:5" x14ac:dyDescent="0.35">
      <c r="A154">
        <v>2004</v>
      </c>
      <c r="B154" t="s">
        <v>34</v>
      </c>
      <c r="C154" t="s">
        <v>178</v>
      </c>
      <c r="D154">
        <v>86</v>
      </c>
      <c r="E154" t="s">
        <v>328</v>
      </c>
    </row>
    <row r="155" spans="1:5" x14ac:dyDescent="0.35">
      <c r="A155">
        <v>2004</v>
      </c>
      <c r="B155" t="s">
        <v>34</v>
      </c>
      <c r="C155" t="s">
        <v>178</v>
      </c>
      <c r="D155">
        <v>8</v>
      </c>
      <c r="E155" t="s">
        <v>458</v>
      </c>
    </row>
    <row r="156" spans="1:5" x14ac:dyDescent="0.35">
      <c r="A156">
        <v>2004</v>
      </c>
      <c r="B156" t="s">
        <v>35</v>
      </c>
      <c r="C156" t="s">
        <v>177</v>
      </c>
      <c r="D156">
        <v>53</v>
      </c>
      <c r="E156" t="s">
        <v>328</v>
      </c>
    </row>
    <row r="157" spans="1:5" x14ac:dyDescent="0.35">
      <c r="A157">
        <v>2004</v>
      </c>
      <c r="B157" t="s">
        <v>35</v>
      </c>
      <c r="C157" t="s">
        <v>182</v>
      </c>
      <c r="D157">
        <v>9</v>
      </c>
      <c r="E157" t="s">
        <v>458</v>
      </c>
    </row>
    <row r="158" spans="1:5" x14ac:dyDescent="0.35">
      <c r="A158">
        <v>2004</v>
      </c>
      <c r="B158" t="s">
        <v>34</v>
      </c>
      <c r="C158" t="s">
        <v>120</v>
      </c>
      <c r="D158">
        <v>9</v>
      </c>
      <c r="E158" t="s">
        <v>328</v>
      </c>
    </row>
    <row r="159" spans="1:5" x14ac:dyDescent="0.35">
      <c r="A159">
        <v>2004</v>
      </c>
      <c r="B159" t="s">
        <v>34</v>
      </c>
      <c r="C159" t="s">
        <v>167</v>
      </c>
      <c r="D159">
        <v>3</v>
      </c>
      <c r="E159" t="s">
        <v>458</v>
      </c>
    </row>
    <row r="160" spans="1:5" x14ac:dyDescent="0.35">
      <c r="A160">
        <v>2004</v>
      </c>
      <c r="B160" t="s">
        <v>35</v>
      </c>
      <c r="C160" t="s">
        <v>119</v>
      </c>
      <c r="E160" t="s">
        <v>328</v>
      </c>
    </row>
    <row r="161" spans="1:5" x14ac:dyDescent="0.35">
      <c r="A161">
        <v>2004</v>
      </c>
      <c r="B161" t="s">
        <v>33</v>
      </c>
      <c r="C161" t="s">
        <v>71</v>
      </c>
      <c r="D161">
        <v>7</v>
      </c>
      <c r="E161" t="s">
        <v>328</v>
      </c>
    </row>
    <row r="162" spans="1:5" x14ac:dyDescent="0.35">
      <c r="A162">
        <v>2004</v>
      </c>
      <c r="B162" t="s">
        <v>36</v>
      </c>
      <c r="C162" t="s">
        <v>69</v>
      </c>
      <c r="D162">
        <v>977</v>
      </c>
      <c r="E162" t="s">
        <v>328</v>
      </c>
    </row>
    <row r="163" spans="1:5" x14ac:dyDescent="0.35">
      <c r="A163">
        <v>2004</v>
      </c>
      <c r="B163" t="s">
        <v>36</v>
      </c>
      <c r="C163" t="s">
        <v>69</v>
      </c>
      <c r="D163">
        <v>520</v>
      </c>
      <c r="E163" t="s">
        <v>458</v>
      </c>
    </row>
    <row r="164" spans="1:5" x14ac:dyDescent="0.35">
      <c r="A164">
        <v>2004</v>
      </c>
      <c r="B164" t="s">
        <v>33</v>
      </c>
      <c r="C164" t="s">
        <v>68</v>
      </c>
      <c r="D164">
        <v>63</v>
      </c>
      <c r="E164" t="s">
        <v>328</v>
      </c>
    </row>
    <row r="165" spans="1:5" x14ac:dyDescent="0.35">
      <c r="A165">
        <v>2004</v>
      </c>
      <c r="B165" t="s">
        <v>33</v>
      </c>
      <c r="C165" t="s">
        <v>68</v>
      </c>
      <c r="D165">
        <v>17</v>
      </c>
      <c r="E165" t="s">
        <v>458</v>
      </c>
    </row>
    <row r="166" spans="1:5" x14ac:dyDescent="0.35">
      <c r="A166">
        <v>2004</v>
      </c>
      <c r="B166" t="s">
        <v>34</v>
      </c>
      <c r="C166" t="s">
        <v>67</v>
      </c>
      <c r="D166">
        <v>28</v>
      </c>
      <c r="E166" t="s">
        <v>328</v>
      </c>
    </row>
    <row r="167" spans="1:5" x14ac:dyDescent="0.35">
      <c r="A167">
        <v>2004</v>
      </c>
      <c r="B167" t="s">
        <v>34</v>
      </c>
      <c r="C167" t="s">
        <v>67</v>
      </c>
      <c r="D167">
        <v>42</v>
      </c>
      <c r="E167" t="s">
        <v>458</v>
      </c>
    </row>
    <row r="168" spans="1:5" x14ac:dyDescent="0.35">
      <c r="A168">
        <v>2004</v>
      </c>
      <c r="B168" t="s">
        <v>38</v>
      </c>
      <c r="C168" t="s">
        <v>72</v>
      </c>
      <c r="D168">
        <v>73</v>
      </c>
      <c r="E168" t="s">
        <v>458</v>
      </c>
    </row>
    <row r="169" spans="1:5" x14ac:dyDescent="0.35">
      <c r="A169">
        <v>2004</v>
      </c>
      <c r="B169" t="s">
        <v>33</v>
      </c>
      <c r="C169" t="s">
        <v>66</v>
      </c>
      <c r="D169">
        <v>11</v>
      </c>
      <c r="E169" t="s">
        <v>328</v>
      </c>
    </row>
    <row r="170" spans="1:5" x14ac:dyDescent="0.35">
      <c r="A170">
        <v>2004</v>
      </c>
      <c r="B170" t="s">
        <v>34</v>
      </c>
      <c r="C170" t="s">
        <v>64</v>
      </c>
      <c r="D170">
        <v>12</v>
      </c>
      <c r="E170" t="s">
        <v>328</v>
      </c>
    </row>
    <row r="171" spans="1:5" x14ac:dyDescent="0.35">
      <c r="A171">
        <v>2004</v>
      </c>
      <c r="B171" t="s">
        <v>34</v>
      </c>
      <c r="C171" t="s">
        <v>64</v>
      </c>
      <c r="D171">
        <v>3</v>
      </c>
      <c r="E171" t="s">
        <v>458</v>
      </c>
    </row>
    <row r="172" spans="1:5" x14ac:dyDescent="0.35">
      <c r="A172">
        <v>2004</v>
      </c>
      <c r="B172" t="s">
        <v>33</v>
      </c>
      <c r="C172" t="s">
        <v>63</v>
      </c>
      <c r="E172" t="s">
        <v>328</v>
      </c>
    </row>
    <row r="173" spans="1:5" x14ac:dyDescent="0.35">
      <c r="A173">
        <v>2004</v>
      </c>
      <c r="B173" t="s">
        <v>33</v>
      </c>
      <c r="C173" t="s">
        <v>63</v>
      </c>
      <c r="E173" t="s">
        <v>458</v>
      </c>
    </row>
    <row r="174" spans="1:5" x14ac:dyDescent="0.35">
      <c r="A174">
        <v>2004</v>
      </c>
      <c r="B174" t="s">
        <v>35</v>
      </c>
      <c r="C174" t="s">
        <v>62</v>
      </c>
      <c r="D174">
        <v>72</v>
      </c>
      <c r="E174" t="s">
        <v>328</v>
      </c>
    </row>
    <row r="175" spans="1:5" x14ac:dyDescent="0.35">
      <c r="A175">
        <v>2004</v>
      </c>
      <c r="B175" t="s">
        <v>35</v>
      </c>
      <c r="C175" t="s">
        <v>62</v>
      </c>
      <c r="D175">
        <v>12</v>
      </c>
      <c r="E175" t="s">
        <v>458</v>
      </c>
    </row>
    <row r="176" spans="1:5" x14ac:dyDescent="0.35">
      <c r="A176">
        <v>2004</v>
      </c>
      <c r="B176" t="s">
        <v>38</v>
      </c>
      <c r="C176" t="s">
        <v>21</v>
      </c>
      <c r="D176">
        <v>5629</v>
      </c>
      <c r="E176" t="s">
        <v>328</v>
      </c>
    </row>
    <row r="177" spans="1:5" x14ac:dyDescent="0.35">
      <c r="A177">
        <v>2004</v>
      </c>
      <c r="B177" t="s">
        <v>33</v>
      </c>
      <c r="C177" t="s">
        <v>66</v>
      </c>
      <c r="D177">
        <v>31</v>
      </c>
      <c r="E177" t="s">
        <v>458</v>
      </c>
    </row>
    <row r="178" spans="1:5" x14ac:dyDescent="0.35">
      <c r="A178">
        <v>2004</v>
      </c>
      <c r="B178" t="s">
        <v>35</v>
      </c>
      <c r="C178" t="s">
        <v>60</v>
      </c>
      <c r="D178">
        <v>5</v>
      </c>
      <c r="E178" t="s">
        <v>328</v>
      </c>
    </row>
    <row r="179" spans="1:5" x14ac:dyDescent="0.35">
      <c r="A179">
        <v>2004</v>
      </c>
      <c r="B179" t="s">
        <v>38</v>
      </c>
      <c r="C179" t="s">
        <v>72</v>
      </c>
      <c r="D179">
        <v>154</v>
      </c>
      <c r="E179" t="s">
        <v>328</v>
      </c>
    </row>
    <row r="180" spans="1:5" x14ac:dyDescent="0.35">
      <c r="A180">
        <v>2004</v>
      </c>
      <c r="B180" t="s">
        <v>34</v>
      </c>
      <c r="C180" t="s">
        <v>73</v>
      </c>
      <c r="D180">
        <v>1081</v>
      </c>
      <c r="E180" t="s">
        <v>328</v>
      </c>
    </row>
    <row r="181" spans="1:5" x14ac:dyDescent="0.35">
      <c r="A181">
        <v>2004</v>
      </c>
      <c r="B181" t="s">
        <v>35</v>
      </c>
      <c r="C181" t="s">
        <v>81</v>
      </c>
      <c r="D181">
        <v>29</v>
      </c>
      <c r="E181" t="s">
        <v>328</v>
      </c>
    </row>
    <row r="182" spans="1:5" x14ac:dyDescent="0.35">
      <c r="A182">
        <v>2004</v>
      </c>
      <c r="B182" t="s">
        <v>35</v>
      </c>
      <c r="C182" t="s">
        <v>81</v>
      </c>
      <c r="D182">
        <v>5</v>
      </c>
      <c r="E182" t="s">
        <v>458</v>
      </c>
    </row>
    <row r="183" spans="1:5" x14ac:dyDescent="0.35">
      <c r="A183">
        <v>2004</v>
      </c>
      <c r="B183" t="s">
        <v>36</v>
      </c>
      <c r="C183" t="s">
        <v>79</v>
      </c>
      <c r="D183">
        <v>398</v>
      </c>
      <c r="E183" t="s">
        <v>328</v>
      </c>
    </row>
    <row r="184" spans="1:5" x14ac:dyDescent="0.35">
      <c r="A184">
        <v>2004</v>
      </c>
      <c r="B184" t="s">
        <v>36</v>
      </c>
      <c r="C184" t="s">
        <v>79</v>
      </c>
      <c r="D184">
        <v>67</v>
      </c>
      <c r="E184" t="s">
        <v>458</v>
      </c>
    </row>
    <row r="185" spans="1:5" x14ac:dyDescent="0.35">
      <c r="A185">
        <v>2004</v>
      </c>
      <c r="B185" t="s">
        <v>35</v>
      </c>
      <c r="C185" t="s">
        <v>78</v>
      </c>
      <c r="D185">
        <v>12</v>
      </c>
      <c r="E185" t="s">
        <v>328</v>
      </c>
    </row>
    <row r="186" spans="1:5" x14ac:dyDescent="0.35">
      <c r="A186">
        <v>2004</v>
      </c>
      <c r="B186" t="s">
        <v>35</v>
      </c>
      <c r="C186" t="s">
        <v>78</v>
      </c>
      <c r="D186">
        <v>7</v>
      </c>
      <c r="E186" t="s">
        <v>458</v>
      </c>
    </row>
    <row r="187" spans="1:5" x14ac:dyDescent="0.35">
      <c r="A187">
        <v>2004</v>
      </c>
      <c r="B187" t="s">
        <v>33</v>
      </c>
      <c r="C187" t="s">
        <v>77</v>
      </c>
      <c r="D187">
        <v>27</v>
      </c>
      <c r="E187" t="s">
        <v>328</v>
      </c>
    </row>
    <row r="188" spans="1:5" x14ac:dyDescent="0.35">
      <c r="A188">
        <v>2004</v>
      </c>
      <c r="B188" t="s">
        <v>34</v>
      </c>
      <c r="C188" t="s">
        <v>73</v>
      </c>
      <c r="D188">
        <v>144</v>
      </c>
      <c r="E188" t="s">
        <v>458</v>
      </c>
    </row>
    <row r="189" spans="1:5" x14ac:dyDescent="0.35">
      <c r="A189">
        <v>2004</v>
      </c>
      <c r="B189" t="s">
        <v>33</v>
      </c>
      <c r="C189" t="s">
        <v>77</v>
      </c>
      <c r="D189">
        <v>8</v>
      </c>
      <c r="E189" t="s">
        <v>458</v>
      </c>
    </row>
    <row r="190" spans="1:5" x14ac:dyDescent="0.35">
      <c r="A190">
        <v>2004</v>
      </c>
      <c r="B190" t="s">
        <v>36</v>
      </c>
      <c r="C190" t="s">
        <v>76</v>
      </c>
      <c r="D190">
        <v>74</v>
      </c>
      <c r="E190" t="s">
        <v>458</v>
      </c>
    </row>
    <row r="191" spans="1:5" x14ac:dyDescent="0.35">
      <c r="A191">
        <v>2004</v>
      </c>
      <c r="B191" t="s">
        <v>33</v>
      </c>
      <c r="C191" t="s">
        <v>75</v>
      </c>
      <c r="D191">
        <v>17</v>
      </c>
      <c r="E191" t="s">
        <v>328</v>
      </c>
    </row>
    <row r="192" spans="1:5" x14ac:dyDescent="0.35">
      <c r="A192">
        <v>2004</v>
      </c>
      <c r="B192" t="s">
        <v>33</v>
      </c>
      <c r="C192" t="s">
        <v>75</v>
      </c>
      <c r="D192">
        <v>7</v>
      </c>
      <c r="E192" t="s">
        <v>458</v>
      </c>
    </row>
    <row r="193" spans="1:5" x14ac:dyDescent="0.35">
      <c r="A193">
        <v>2004</v>
      </c>
      <c r="B193" t="s">
        <v>33</v>
      </c>
      <c r="C193" t="s">
        <v>74</v>
      </c>
      <c r="E193" t="s">
        <v>328</v>
      </c>
    </row>
    <row r="194" spans="1:5" x14ac:dyDescent="0.35">
      <c r="A194">
        <v>2004</v>
      </c>
      <c r="B194" t="s">
        <v>33</v>
      </c>
      <c r="C194" t="s">
        <v>74</v>
      </c>
      <c r="E194" t="s">
        <v>458</v>
      </c>
    </row>
    <row r="195" spans="1:5" x14ac:dyDescent="0.35">
      <c r="A195">
        <v>2004</v>
      </c>
      <c r="B195" t="s">
        <v>38</v>
      </c>
      <c r="C195" t="s">
        <v>20</v>
      </c>
      <c r="D195">
        <v>1269</v>
      </c>
      <c r="E195" t="s">
        <v>328</v>
      </c>
    </row>
    <row r="196" spans="1:5" x14ac:dyDescent="0.35">
      <c r="A196">
        <v>2004</v>
      </c>
      <c r="B196" t="s">
        <v>38</v>
      </c>
      <c r="C196" t="s">
        <v>20</v>
      </c>
      <c r="D196">
        <v>1456</v>
      </c>
      <c r="E196" t="s">
        <v>458</v>
      </c>
    </row>
    <row r="197" spans="1:5" x14ac:dyDescent="0.35">
      <c r="A197">
        <v>2004</v>
      </c>
      <c r="B197" t="s">
        <v>36</v>
      </c>
      <c r="C197" t="s">
        <v>76</v>
      </c>
      <c r="D197">
        <v>525</v>
      </c>
      <c r="E197" t="s">
        <v>328</v>
      </c>
    </row>
    <row r="198" spans="1:5" x14ac:dyDescent="0.35">
      <c r="A198">
        <v>2004</v>
      </c>
      <c r="B198" t="s">
        <v>35</v>
      </c>
      <c r="C198" t="s">
        <v>214</v>
      </c>
      <c r="D198">
        <v>19</v>
      </c>
      <c r="E198" t="s">
        <v>458</v>
      </c>
    </row>
    <row r="199" spans="1:5" x14ac:dyDescent="0.35">
      <c r="A199">
        <v>2004</v>
      </c>
      <c r="B199" t="s">
        <v>35</v>
      </c>
      <c r="C199" t="s">
        <v>60</v>
      </c>
      <c r="D199">
        <v>21</v>
      </c>
      <c r="E199" t="s">
        <v>458</v>
      </c>
    </row>
    <row r="200" spans="1:5" x14ac:dyDescent="0.35">
      <c r="A200">
        <v>2004</v>
      </c>
      <c r="B200" t="s">
        <v>38</v>
      </c>
      <c r="C200" t="s">
        <v>59</v>
      </c>
      <c r="D200">
        <v>51</v>
      </c>
      <c r="E200" t="s">
        <v>458</v>
      </c>
    </row>
    <row r="201" spans="1:5" x14ac:dyDescent="0.35">
      <c r="A201">
        <v>2004</v>
      </c>
      <c r="B201" t="s">
        <v>34</v>
      </c>
      <c r="C201" t="s">
        <v>46</v>
      </c>
      <c r="D201">
        <v>106</v>
      </c>
      <c r="E201" t="s">
        <v>328</v>
      </c>
    </row>
    <row r="202" spans="1:5" x14ac:dyDescent="0.35">
      <c r="A202">
        <v>2004</v>
      </c>
      <c r="B202" t="s">
        <v>34</v>
      </c>
      <c r="C202" t="s">
        <v>46</v>
      </c>
      <c r="D202">
        <v>38</v>
      </c>
      <c r="E202" t="s">
        <v>458</v>
      </c>
    </row>
    <row r="203" spans="1:5" x14ac:dyDescent="0.35">
      <c r="A203">
        <v>2004</v>
      </c>
      <c r="B203" t="s">
        <v>38</v>
      </c>
      <c r="C203" t="s">
        <v>45</v>
      </c>
      <c r="D203">
        <v>577</v>
      </c>
      <c r="E203" t="s">
        <v>328</v>
      </c>
    </row>
    <row r="204" spans="1:5" x14ac:dyDescent="0.35">
      <c r="A204">
        <v>2004</v>
      </c>
      <c r="B204" t="s">
        <v>38</v>
      </c>
      <c r="C204" t="s">
        <v>45</v>
      </c>
      <c r="D204">
        <v>71</v>
      </c>
      <c r="E204" t="s">
        <v>458</v>
      </c>
    </row>
    <row r="205" spans="1:5" x14ac:dyDescent="0.35">
      <c r="A205">
        <v>2004</v>
      </c>
      <c r="B205" t="s">
        <v>36</v>
      </c>
      <c r="C205" t="s">
        <v>44</v>
      </c>
      <c r="D205">
        <v>11</v>
      </c>
      <c r="E205" t="s">
        <v>328</v>
      </c>
    </row>
    <row r="206" spans="1:5" x14ac:dyDescent="0.35">
      <c r="A206">
        <v>2004</v>
      </c>
      <c r="B206" t="s">
        <v>36</v>
      </c>
      <c r="C206" t="s">
        <v>44</v>
      </c>
      <c r="D206">
        <v>25</v>
      </c>
      <c r="E206" t="s">
        <v>458</v>
      </c>
    </row>
    <row r="207" spans="1:5" x14ac:dyDescent="0.35">
      <c r="A207">
        <v>2004</v>
      </c>
      <c r="B207" t="s">
        <v>33</v>
      </c>
      <c r="C207" t="s">
        <v>43</v>
      </c>
      <c r="D207">
        <v>10</v>
      </c>
      <c r="E207" t="s">
        <v>328</v>
      </c>
    </row>
    <row r="208" spans="1:5" x14ac:dyDescent="0.35">
      <c r="A208">
        <v>2004</v>
      </c>
      <c r="B208" t="s">
        <v>37</v>
      </c>
      <c r="C208" t="s">
        <v>47</v>
      </c>
      <c r="D208">
        <v>12</v>
      </c>
      <c r="E208" t="s">
        <v>458</v>
      </c>
    </row>
    <row r="209" spans="1:5" x14ac:dyDescent="0.35">
      <c r="A209">
        <v>2004</v>
      </c>
      <c r="B209" t="s">
        <v>33</v>
      </c>
      <c r="C209" t="s">
        <v>43</v>
      </c>
      <c r="D209">
        <v>3</v>
      </c>
      <c r="E209" t="s">
        <v>458</v>
      </c>
    </row>
    <row r="210" spans="1:5" x14ac:dyDescent="0.35">
      <c r="A210">
        <v>2004</v>
      </c>
      <c r="C210" t="s">
        <v>373</v>
      </c>
      <c r="D210">
        <v>16</v>
      </c>
      <c r="E210" t="s">
        <v>458</v>
      </c>
    </row>
    <row r="211" spans="1:5" x14ac:dyDescent="0.35">
      <c r="A211">
        <v>2004</v>
      </c>
      <c r="B211" t="s">
        <v>33</v>
      </c>
      <c r="C211" t="s">
        <v>42</v>
      </c>
      <c r="D211">
        <v>42</v>
      </c>
      <c r="E211" t="s">
        <v>328</v>
      </c>
    </row>
    <row r="212" spans="1:5" x14ac:dyDescent="0.35">
      <c r="A212">
        <v>2004</v>
      </c>
      <c r="B212" t="s">
        <v>33</v>
      </c>
      <c r="C212" t="s">
        <v>42</v>
      </c>
      <c r="D212">
        <v>12</v>
      </c>
      <c r="E212" t="s">
        <v>458</v>
      </c>
    </row>
    <row r="213" spans="1:5" x14ac:dyDescent="0.35">
      <c r="A213">
        <v>2004</v>
      </c>
      <c r="B213" t="s">
        <v>35</v>
      </c>
      <c r="C213" t="s">
        <v>41</v>
      </c>
      <c r="D213">
        <v>183</v>
      </c>
      <c r="E213" t="s">
        <v>328</v>
      </c>
    </row>
    <row r="214" spans="1:5" x14ac:dyDescent="0.35">
      <c r="A214">
        <v>2004</v>
      </c>
      <c r="B214" t="s">
        <v>35</v>
      </c>
      <c r="C214" t="s">
        <v>41</v>
      </c>
      <c r="D214">
        <v>26</v>
      </c>
      <c r="E214" t="s">
        <v>458</v>
      </c>
    </row>
    <row r="215" spans="1:5" x14ac:dyDescent="0.35">
      <c r="A215">
        <v>2004</v>
      </c>
      <c r="B215" t="s">
        <v>34</v>
      </c>
      <c r="C215" t="s">
        <v>40</v>
      </c>
      <c r="D215">
        <v>24</v>
      </c>
      <c r="E215" t="s">
        <v>328</v>
      </c>
    </row>
    <row r="216" spans="1:5" x14ac:dyDescent="0.35">
      <c r="A216">
        <v>2004</v>
      </c>
      <c r="B216" t="s">
        <v>34</v>
      </c>
      <c r="C216" t="s">
        <v>120</v>
      </c>
      <c r="D216">
        <v>4</v>
      </c>
      <c r="E216" t="s">
        <v>458</v>
      </c>
    </row>
    <row r="217" spans="1:5" x14ac:dyDescent="0.35">
      <c r="A217">
        <v>2004</v>
      </c>
      <c r="C217" t="s">
        <v>373</v>
      </c>
      <c r="D217">
        <v>41</v>
      </c>
      <c r="E217" t="s">
        <v>328</v>
      </c>
    </row>
    <row r="218" spans="1:5" x14ac:dyDescent="0.35">
      <c r="A218">
        <v>2004</v>
      </c>
      <c r="B218" t="s">
        <v>38</v>
      </c>
      <c r="C218" t="s">
        <v>59</v>
      </c>
      <c r="D218">
        <v>285</v>
      </c>
      <c r="E218" t="s">
        <v>328</v>
      </c>
    </row>
    <row r="219" spans="1:5" x14ac:dyDescent="0.35">
      <c r="A219">
        <v>2004</v>
      </c>
      <c r="B219" t="s">
        <v>37</v>
      </c>
      <c r="C219" t="s">
        <v>47</v>
      </c>
      <c r="D219">
        <v>50</v>
      </c>
      <c r="E219" t="s">
        <v>328</v>
      </c>
    </row>
    <row r="220" spans="1:5" x14ac:dyDescent="0.35">
      <c r="A220">
        <v>2004</v>
      </c>
      <c r="B220" t="s">
        <v>35</v>
      </c>
      <c r="C220" t="s">
        <v>48</v>
      </c>
      <c r="D220">
        <v>8</v>
      </c>
      <c r="E220" t="s">
        <v>328</v>
      </c>
    </row>
    <row r="221" spans="1:5" x14ac:dyDescent="0.35">
      <c r="A221">
        <v>2004</v>
      </c>
      <c r="B221" t="s">
        <v>36</v>
      </c>
      <c r="C221" t="s">
        <v>363</v>
      </c>
      <c r="D221">
        <v>3</v>
      </c>
      <c r="E221" t="s">
        <v>328</v>
      </c>
    </row>
    <row r="222" spans="1:5" x14ac:dyDescent="0.35">
      <c r="A222">
        <v>2004</v>
      </c>
      <c r="B222" t="s">
        <v>33</v>
      </c>
      <c r="C222" t="s">
        <v>57</v>
      </c>
      <c r="D222">
        <v>3</v>
      </c>
      <c r="E222" t="s">
        <v>328</v>
      </c>
    </row>
    <row r="223" spans="1:5" x14ac:dyDescent="0.35">
      <c r="A223">
        <v>2004</v>
      </c>
      <c r="B223" t="s">
        <v>36</v>
      </c>
      <c r="C223" t="s">
        <v>56</v>
      </c>
      <c r="D223">
        <v>83</v>
      </c>
      <c r="E223" t="s">
        <v>328</v>
      </c>
    </row>
    <row r="224" spans="1:5" x14ac:dyDescent="0.35">
      <c r="A224">
        <v>2004</v>
      </c>
      <c r="B224" t="s">
        <v>36</v>
      </c>
      <c r="C224" t="s">
        <v>56</v>
      </c>
      <c r="D224">
        <v>119</v>
      </c>
      <c r="E224" t="s">
        <v>458</v>
      </c>
    </row>
    <row r="225" spans="1:5" x14ac:dyDescent="0.35">
      <c r="A225">
        <v>2004</v>
      </c>
      <c r="B225" t="s">
        <v>35</v>
      </c>
      <c r="C225" t="s">
        <v>55</v>
      </c>
      <c r="D225">
        <v>28</v>
      </c>
      <c r="E225" t="s">
        <v>328</v>
      </c>
    </row>
    <row r="226" spans="1:5" x14ac:dyDescent="0.35">
      <c r="A226">
        <v>2004</v>
      </c>
      <c r="B226" t="s">
        <v>35</v>
      </c>
      <c r="C226" t="s">
        <v>55</v>
      </c>
      <c r="D226">
        <v>10</v>
      </c>
      <c r="E226" t="s">
        <v>458</v>
      </c>
    </row>
    <row r="227" spans="1:5" x14ac:dyDescent="0.35">
      <c r="A227">
        <v>2004</v>
      </c>
      <c r="B227" t="s">
        <v>35</v>
      </c>
      <c r="C227" t="s">
        <v>54</v>
      </c>
      <c r="D227">
        <v>9</v>
      </c>
      <c r="E227" t="s">
        <v>328</v>
      </c>
    </row>
    <row r="228" spans="1:5" x14ac:dyDescent="0.35">
      <c r="A228">
        <v>2004</v>
      </c>
      <c r="B228" t="s">
        <v>35</v>
      </c>
      <c r="C228" t="s">
        <v>48</v>
      </c>
      <c r="D228">
        <v>8</v>
      </c>
      <c r="E228" t="s">
        <v>458</v>
      </c>
    </row>
    <row r="229" spans="1:5" x14ac:dyDescent="0.35">
      <c r="A229">
        <v>2004</v>
      </c>
      <c r="B229" t="s">
        <v>35</v>
      </c>
      <c r="C229" t="s">
        <v>54</v>
      </c>
      <c r="D229">
        <v>11</v>
      </c>
      <c r="E229" t="s">
        <v>458</v>
      </c>
    </row>
    <row r="230" spans="1:5" x14ac:dyDescent="0.35">
      <c r="A230">
        <v>2004</v>
      </c>
      <c r="B230" t="s">
        <v>36</v>
      </c>
      <c r="C230" t="s">
        <v>53</v>
      </c>
      <c r="D230">
        <v>68</v>
      </c>
      <c r="E230" t="s">
        <v>458</v>
      </c>
    </row>
    <row r="231" spans="1:5" x14ac:dyDescent="0.35">
      <c r="A231">
        <v>2004</v>
      </c>
      <c r="B231" t="s">
        <v>34</v>
      </c>
      <c r="C231" t="s">
        <v>52</v>
      </c>
      <c r="D231">
        <v>110</v>
      </c>
      <c r="E231" t="s">
        <v>328</v>
      </c>
    </row>
    <row r="232" spans="1:5" x14ac:dyDescent="0.35">
      <c r="A232">
        <v>2004</v>
      </c>
      <c r="B232" t="s">
        <v>34</v>
      </c>
      <c r="C232" t="s">
        <v>52</v>
      </c>
      <c r="D232">
        <v>21</v>
      </c>
      <c r="E232" t="s">
        <v>458</v>
      </c>
    </row>
    <row r="233" spans="1:5" x14ac:dyDescent="0.35">
      <c r="A233">
        <v>2004</v>
      </c>
      <c r="B233" t="s">
        <v>36</v>
      </c>
      <c r="C233" t="s">
        <v>50</v>
      </c>
      <c r="D233">
        <v>37</v>
      </c>
      <c r="E233" t="s">
        <v>328</v>
      </c>
    </row>
    <row r="234" spans="1:5" x14ac:dyDescent="0.35">
      <c r="A234">
        <v>2004</v>
      </c>
      <c r="B234" t="s">
        <v>36</v>
      </c>
      <c r="C234" t="s">
        <v>50</v>
      </c>
      <c r="D234">
        <v>95</v>
      </c>
      <c r="E234" t="s">
        <v>458</v>
      </c>
    </row>
    <row r="235" spans="1:5" x14ac:dyDescent="0.35">
      <c r="A235">
        <v>2004</v>
      </c>
      <c r="B235" t="s">
        <v>34</v>
      </c>
      <c r="C235" t="s">
        <v>49</v>
      </c>
      <c r="E235" t="s">
        <v>328</v>
      </c>
    </row>
    <row r="236" spans="1:5" x14ac:dyDescent="0.35">
      <c r="A236">
        <v>2004</v>
      </c>
      <c r="B236" t="s">
        <v>34</v>
      </c>
      <c r="C236" t="s">
        <v>49</v>
      </c>
      <c r="E236" t="s">
        <v>458</v>
      </c>
    </row>
    <row r="237" spans="1:5" x14ac:dyDescent="0.35">
      <c r="A237">
        <v>2004</v>
      </c>
      <c r="B237" t="s">
        <v>36</v>
      </c>
      <c r="C237" t="s">
        <v>53</v>
      </c>
      <c r="D237">
        <v>7</v>
      </c>
      <c r="E237" t="s">
        <v>328</v>
      </c>
    </row>
    <row r="238" spans="1:5" x14ac:dyDescent="0.35">
      <c r="A238">
        <v>2004</v>
      </c>
      <c r="B238" t="s">
        <v>35</v>
      </c>
      <c r="C238" t="s">
        <v>214</v>
      </c>
      <c r="D238">
        <v>166</v>
      </c>
      <c r="E238" t="s">
        <v>328</v>
      </c>
    </row>
    <row r="239" spans="1:5" x14ac:dyDescent="0.35">
      <c r="A239">
        <v>2004</v>
      </c>
      <c r="B239" t="s">
        <v>38</v>
      </c>
      <c r="C239" t="s">
        <v>21</v>
      </c>
      <c r="D239">
        <v>761</v>
      </c>
      <c r="E239" t="s">
        <v>458</v>
      </c>
    </row>
    <row r="240" spans="1:5" x14ac:dyDescent="0.35">
      <c r="A240">
        <v>2004</v>
      </c>
      <c r="B240" t="s">
        <v>35</v>
      </c>
      <c r="C240" t="s">
        <v>82</v>
      </c>
      <c r="D240">
        <v>3</v>
      </c>
      <c r="E240" t="s">
        <v>458</v>
      </c>
    </row>
    <row r="241" spans="1:5" x14ac:dyDescent="0.35">
      <c r="A241">
        <v>2004</v>
      </c>
      <c r="B241" t="s">
        <v>34</v>
      </c>
      <c r="C241" t="s">
        <v>108</v>
      </c>
      <c r="D241">
        <v>23</v>
      </c>
      <c r="E241" t="s">
        <v>458</v>
      </c>
    </row>
    <row r="242" spans="1:5" x14ac:dyDescent="0.35">
      <c r="A242">
        <v>2004</v>
      </c>
      <c r="B242" t="s">
        <v>34</v>
      </c>
      <c r="C242" t="s">
        <v>107</v>
      </c>
      <c r="D242">
        <v>340</v>
      </c>
      <c r="E242" t="s">
        <v>328</v>
      </c>
    </row>
    <row r="243" spans="1:5" x14ac:dyDescent="0.35">
      <c r="A243">
        <v>2004</v>
      </c>
      <c r="B243" t="s">
        <v>34</v>
      </c>
      <c r="C243" t="s">
        <v>107</v>
      </c>
      <c r="D243">
        <v>21</v>
      </c>
      <c r="E243" t="s">
        <v>458</v>
      </c>
    </row>
    <row r="244" spans="1:5" x14ac:dyDescent="0.35">
      <c r="A244">
        <v>2004</v>
      </c>
      <c r="B244" t="s">
        <v>34</v>
      </c>
      <c r="C244" t="s">
        <v>22</v>
      </c>
      <c r="D244">
        <v>797</v>
      </c>
      <c r="E244" t="s">
        <v>328</v>
      </c>
    </row>
    <row r="245" spans="1:5" x14ac:dyDescent="0.35">
      <c r="A245">
        <v>2004</v>
      </c>
      <c r="B245" t="s">
        <v>34</v>
      </c>
      <c r="C245" t="s">
        <v>22</v>
      </c>
      <c r="D245">
        <v>131</v>
      </c>
      <c r="E245" t="s">
        <v>458</v>
      </c>
    </row>
    <row r="246" spans="1:5" x14ac:dyDescent="0.35">
      <c r="A246">
        <v>2004</v>
      </c>
      <c r="B246" t="s">
        <v>35</v>
      </c>
      <c r="C246" t="s">
        <v>105</v>
      </c>
      <c r="D246">
        <v>90</v>
      </c>
      <c r="E246" t="s">
        <v>328</v>
      </c>
    </row>
    <row r="247" spans="1:5" x14ac:dyDescent="0.35">
      <c r="A247">
        <v>2004</v>
      </c>
      <c r="B247" t="s">
        <v>35</v>
      </c>
      <c r="C247" t="s">
        <v>105</v>
      </c>
      <c r="D247">
        <v>9</v>
      </c>
      <c r="E247" t="s">
        <v>458</v>
      </c>
    </row>
    <row r="248" spans="1:5" x14ac:dyDescent="0.35">
      <c r="A248">
        <v>2004</v>
      </c>
      <c r="B248" t="s">
        <v>34</v>
      </c>
      <c r="C248" t="s">
        <v>108</v>
      </c>
      <c r="D248">
        <v>41</v>
      </c>
      <c r="E248" t="s">
        <v>328</v>
      </c>
    </row>
    <row r="249" spans="1:5" x14ac:dyDescent="0.35">
      <c r="A249">
        <v>2004</v>
      </c>
      <c r="B249" t="s">
        <v>34</v>
      </c>
      <c r="C249" t="s">
        <v>368</v>
      </c>
      <c r="D249">
        <v>17</v>
      </c>
      <c r="E249" t="s">
        <v>328</v>
      </c>
    </row>
    <row r="250" spans="1:5" x14ac:dyDescent="0.35">
      <c r="A250">
        <v>2004</v>
      </c>
      <c r="B250" t="s">
        <v>36</v>
      </c>
      <c r="C250" t="s">
        <v>17</v>
      </c>
      <c r="D250">
        <v>6208</v>
      </c>
      <c r="E250" t="s">
        <v>328</v>
      </c>
    </row>
    <row r="251" spans="1:5" x14ac:dyDescent="0.35">
      <c r="A251">
        <v>2004</v>
      </c>
      <c r="B251" t="s">
        <v>36</v>
      </c>
      <c r="C251" t="s">
        <v>17</v>
      </c>
      <c r="D251">
        <v>2544</v>
      </c>
      <c r="E251" t="s">
        <v>458</v>
      </c>
    </row>
    <row r="252" spans="1:5" x14ac:dyDescent="0.35">
      <c r="A252">
        <v>2004</v>
      </c>
      <c r="B252" t="s">
        <v>36</v>
      </c>
      <c r="C252" t="s">
        <v>104</v>
      </c>
      <c r="D252">
        <v>656</v>
      </c>
      <c r="E252" t="s">
        <v>328</v>
      </c>
    </row>
    <row r="253" spans="1:5" x14ac:dyDescent="0.35">
      <c r="A253">
        <v>2004</v>
      </c>
      <c r="B253" t="s">
        <v>36</v>
      </c>
      <c r="C253" t="s">
        <v>104</v>
      </c>
      <c r="D253">
        <v>222</v>
      </c>
      <c r="E253" t="s">
        <v>458</v>
      </c>
    </row>
    <row r="254" spans="1:5" x14ac:dyDescent="0.35">
      <c r="A254">
        <v>2004</v>
      </c>
      <c r="B254" t="s">
        <v>38</v>
      </c>
      <c r="C254" t="s">
        <v>103</v>
      </c>
      <c r="D254">
        <v>158</v>
      </c>
      <c r="E254" t="s">
        <v>328</v>
      </c>
    </row>
    <row r="255" spans="1:5" x14ac:dyDescent="0.35">
      <c r="A255">
        <v>2004</v>
      </c>
      <c r="B255" t="s">
        <v>38</v>
      </c>
      <c r="C255" t="s">
        <v>103</v>
      </c>
      <c r="D255">
        <v>230</v>
      </c>
      <c r="E255" t="s">
        <v>458</v>
      </c>
    </row>
    <row r="256" spans="1:5" x14ac:dyDescent="0.35">
      <c r="A256">
        <v>2004</v>
      </c>
      <c r="B256" t="s">
        <v>33</v>
      </c>
      <c r="C256" t="s">
        <v>101</v>
      </c>
      <c r="D256">
        <v>70</v>
      </c>
      <c r="E256" t="s">
        <v>328</v>
      </c>
    </row>
    <row r="257" spans="1:5" x14ac:dyDescent="0.35">
      <c r="A257">
        <v>2004</v>
      </c>
      <c r="B257" t="s">
        <v>34</v>
      </c>
      <c r="C257" t="s">
        <v>368</v>
      </c>
      <c r="D257">
        <v>5</v>
      </c>
      <c r="E257" t="s">
        <v>458</v>
      </c>
    </row>
    <row r="258" spans="1:5" x14ac:dyDescent="0.35">
      <c r="A258">
        <v>2004</v>
      </c>
      <c r="B258" t="s">
        <v>33</v>
      </c>
      <c r="C258" t="s">
        <v>101</v>
      </c>
      <c r="D258">
        <v>22</v>
      </c>
      <c r="E258" t="s">
        <v>458</v>
      </c>
    </row>
    <row r="259" spans="1:5" x14ac:dyDescent="0.35">
      <c r="A259">
        <v>2004</v>
      </c>
      <c r="B259" t="s">
        <v>34</v>
      </c>
      <c r="C259" t="s">
        <v>109</v>
      </c>
      <c r="D259">
        <v>3</v>
      </c>
      <c r="E259" t="s">
        <v>458</v>
      </c>
    </row>
    <row r="260" spans="1:5" x14ac:dyDescent="0.35">
      <c r="A260">
        <v>2004</v>
      </c>
      <c r="B260" t="s">
        <v>35</v>
      </c>
      <c r="C260" t="s">
        <v>110</v>
      </c>
      <c r="D260">
        <v>25</v>
      </c>
      <c r="E260" t="s">
        <v>458</v>
      </c>
    </row>
    <row r="261" spans="1:5" x14ac:dyDescent="0.35">
      <c r="A261">
        <v>2004</v>
      </c>
      <c r="B261" t="s">
        <v>34</v>
      </c>
      <c r="C261" t="s">
        <v>118</v>
      </c>
      <c r="D261">
        <v>278</v>
      </c>
      <c r="E261" t="s">
        <v>328</v>
      </c>
    </row>
    <row r="262" spans="1:5" x14ac:dyDescent="0.35">
      <c r="A262">
        <v>2004</v>
      </c>
      <c r="B262" t="s">
        <v>34</v>
      </c>
      <c r="C262" t="s">
        <v>118</v>
      </c>
      <c r="D262">
        <v>156</v>
      </c>
      <c r="E262" t="s">
        <v>458</v>
      </c>
    </row>
    <row r="263" spans="1:5" x14ac:dyDescent="0.35">
      <c r="A263">
        <v>2004</v>
      </c>
      <c r="B263" t="s">
        <v>33</v>
      </c>
      <c r="C263" t="s">
        <v>117</v>
      </c>
      <c r="D263">
        <v>82</v>
      </c>
      <c r="E263" t="s">
        <v>328</v>
      </c>
    </row>
    <row r="264" spans="1:5" x14ac:dyDescent="0.35">
      <c r="A264">
        <v>2004</v>
      </c>
      <c r="B264" t="s">
        <v>33</v>
      </c>
      <c r="C264" t="s">
        <v>117</v>
      </c>
      <c r="D264">
        <v>47</v>
      </c>
      <c r="E264" t="s">
        <v>458</v>
      </c>
    </row>
    <row r="265" spans="1:5" x14ac:dyDescent="0.35">
      <c r="A265">
        <v>2004</v>
      </c>
      <c r="B265" t="s">
        <v>34</v>
      </c>
      <c r="C265" t="s">
        <v>116</v>
      </c>
      <c r="D265">
        <v>17</v>
      </c>
      <c r="E265" t="s">
        <v>328</v>
      </c>
    </row>
    <row r="266" spans="1:5" x14ac:dyDescent="0.35">
      <c r="A266">
        <v>2004</v>
      </c>
      <c r="B266" t="s">
        <v>34</v>
      </c>
      <c r="C266" t="s">
        <v>115</v>
      </c>
      <c r="D266">
        <v>133</v>
      </c>
      <c r="E266" t="s">
        <v>328</v>
      </c>
    </row>
    <row r="267" spans="1:5" x14ac:dyDescent="0.35">
      <c r="A267">
        <v>2004</v>
      </c>
      <c r="B267" t="s">
        <v>34</v>
      </c>
      <c r="C267" t="s">
        <v>115</v>
      </c>
      <c r="D267">
        <v>74</v>
      </c>
      <c r="E267" t="s">
        <v>458</v>
      </c>
    </row>
    <row r="268" spans="1:5" x14ac:dyDescent="0.35">
      <c r="A268">
        <v>2004</v>
      </c>
      <c r="B268" t="s">
        <v>34</v>
      </c>
      <c r="C268" t="s">
        <v>109</v>
      </c>
      <c r="D268">
        <v>23</v>
      </c>
      <c r="E268" t="s">
        <v>328</v>
      </c>
    </row>
    <row r="269" spans="1:5" x14ac:dyDescent="0.35">
      <c r="A269">
        <v>2004</v>
      </c>
      <c r="B269" t="s">
        <v>34</v>
      </c>
      <c r="C269" t="s">
        <v>114</v>
      </c>
      <c r="D269">
        <v>55</v>
      </c>
      <c r="E269" t="s">
        <v>328</v>
      </c>
    </row>
    <row r="270" spans="1:5" x14ac:dyDescent="0.35">
      <c r="A270">
        <v>2004</v>
      </c>
      <c r="B270" t="s">
        <v>36</v>
      </c>
      <c r="C270" t="s">
        <v>113</v>
      </c>
      <c r="D270">
        <v>927</v>
      </c>
      <c r="E270" t="s">
        <v>328</v>
      </c>
    </row>
    <row r="271" spans="1:5" x14ac:dyDescent="0.35">
      <c r="A271">
        <v>2004</v>
      </c>
      <c r="B271" t="s">
        <v>36</v>
      </c>
      <c r="C271" t="s">
        <v>113</v>
      </c>
      <c r="D271">
        <v>1614</v>
      </c>
      <c r="E271" t="s">
        <v>458</v>
      </c>
    </row>
    <row r="272" spans="1:5" x14ac:dyDescent="0.35">
      <c r="A272">
        <v>2004</v>
      </c>
      <c r="B272" t="s">
        <v>35</v>
      </c>
      <c r="C272" t="s">
        <v>112</v>
      </c>
      <c r="D272">
        <v>61</v>
      </c>
      <c r="E272" t="s">
        <v>328</v>
      </c>
    </row>
    <row r="273" spans="1:5" x14ac:dyDescent="0.35">
      <c r="A273">
        <v>2004</v>
      </c>
      <c r="B273" t="s">
        <v>35</v>
      </c>
      <c r="C273" t="s">
        <v>112</v>
      </c>
      <c r="D273">
        <v>100</v>
      </c>
      <c r="E273" t="s">
        <v>458</v>
      </c>
    </row>
    <row r="274" spans="1:5" x14ac:dyDescent="0.35">
      <c r="A274">
        <v>2004</v>
      </c>
      <c r="B274" t="s">
        <v>34</v>
      </c>
      <c r="C274" t="s">
        <v>111</v>
      </c>
      <c r="D274">
        <v>177</v>
      </c>
      <c r="E274" t="s">
        <v>328</v>
      </c>
    </row>
    <row r="275" spans="1:5" x14ac:dyDescent="0.35">
      <c r="A275">
        <v>2004</v>
      </c>
      <c r="B275" t="s">
        <v>34</v>
      </c>
      <c r="C275" t="s">
        <v>111</v>
      </c>
      <c r="D275">
        <v>63</v>
      </c>
      <c r="E275" t="s">
        <v>458</v>
      </c>
    </row>
    <row r="276" spans="1:5" x14ac:dyDescent="0.35">
      <c r="A276">
        <v>2004</v>
      </c>
      <c r="B276" t="s">
        <v>35</v>
      </c>
      <c r="C276" t="s">
        <v>110</v>
      </c>
      <c r="D276">
        <v>52</v>
      </c>
      <c r="E276" t="s">
        <v>328</v>
      </c>
    </row>
    <row r="277" spans="1:5" x14ac:dyDescent="0.35">
      <c r="A277">
        <v>2004</v>
      </c>
      <c r="B277" t="s">
        <v>34</v>
      </c>
      <c r="C277" t="s">
        <v>114</v>
      </c>
      <c r="D277">
        <v>38</v>
      </c>
      <c r="E277" t="s">
        <v>458</v>
      </c>
    </row>
    <row r="278" spans="1:5" x14ac:dyDescent="0.35">
      <c r="A278">
        <v>2004</v>
      </c>
      <c r="B278" t="s">
        <v>36</v>
      </c>
      <c r="C278" t="s">
        <v>15</v>
      </c>
      <c r="D278">
        <v>7553</v>
      </c>
      <c r="E278" t="s">
        <v>328</v>
      </c>
    </row>
    <row r="279" spans="1:5" x14ac:dyDescent="0.35">
      <c r="A279">
        <v>2004</v>
      </c>
      <c r="B279" t="s">
        <v>35</v>
      </c>
      <c r="C279" t="s">
        <v>119</v>
      </c>
      <c r="E279" t="s">
        <v>458</v>
      </c>
    </row>
    <row r="280" spans="1:5" x14ac:dyDescent="0.35">
      <c r="A280">
        <v>2004</v>
      </c>
      <c r="B280" t="s">
        <v>36</v>
      </c>
      <c r="C280" t="s">
        <v>16</v>
      </c>
      <c r="D280">
        <v>2805</v>
      </c>
      <c r="E280" t="s">
        <v>458</v>
      </c>
    </row>
    <row r="281" spans="1:5" x14ac:dyDescent="0.35">
      <c r="A281">
        <v>2004</v>
      </c>
      <c r="B281" t="s">
        <v>35</v>
      </c>
      <c r="C281" t="s">
        <v>90</v>
      </c>
      <c r="D281">
        <v>10</v>
      </c>
      <c r="E281" t="s">
        <v>328</v>
      </c>
    </row>
    <row r="282" spans="1:5" x14ac:dyDescent="0.35">
      <c r="A282">
        <v>2004</v>
      </c>
      <c r="B282" t="s">
        <v>35</v>
      </c>
      <c r="C282" t="s">
        <v>90</v>
      </c>
      <c r="D282">
        <v>4</v>
      </c>
      <c r="E282" t="s">
        <v>458</v>
      </c>
    </row>
    <row r="283" spans="1:5" x14ac:dyDescent="0.35">
      <c r="A283">
        <v>2004</v>
      </c>
      <c r="B283" t="s">
        <v>33</v>
      </c>
      <c r="C283" t="s">
        <v>89</v>
      </c>
      <c r="E283" t="s">
        <v>328</v>
      </c>
    </row>
    <row r="284" spans="1:5" x14ac:dyDescent="0.35">
      <c r="A284">
        <v>2004</v>
      </c>
      <c r="B284" t="s">
        <v>33</v>
      </c>
      <c r="C284" t="s">
        <v>89</v>
      </c>
      <c r="E284" t="s">
        <v>458</v>
      </c>
    </row>
    <row r="285" spans="1:5" x14ac:dyDescent="0.35">
      <c r="A285">
        <v>2004</v>
      </c>
      <c r="B285" t="s">
        <v>36</v>
      </c>
      <c r="C285" t="s">
        <v>16</v>
      </c>
      <c r="D285">
        <v>4464</v>
      </c>
      <c r="E285" t="s">
        <v>328</v>
      </c>
    </row>
    <row r="286" spans="1:5" x14ac:dyDescent="0.35">
      <c r="A286">
        <v>2004</v>
      </c>
      <c r="B286" t="s">
        <v>36</v>
      </c>
      <c r="C286" t="s">
        <v>15</v>
      </c>
      <c r="D286">
        <v>2176</v>
      </c>
      <c r="E286" t="s">
        <v>458</v>
      </c>
    </row>
    <row r="287" spans="1:5" x14ac:dyDescent="0.35">
      <c r="A287">
        <v>2004</v>
      </c>
      <c r="B287" t="s">
        <v>33</v>
      </c>
      <c r="C287" t="s">
        <v>87</v>
      </c>
      <c r="D287">
        <v>197</v>
      </c>
      <c r="E287" t="s">
        <v>328</v>
      </c>
    </row>
    <row r="288" spans="1:5" x14ac:dyDescent="0.35">
      <c r="A288">
        <v>2004</v>
      </c>
      <c r="B288" t="s">
        <v>33</v>
      </c>
      <c r="C288" t="s">
        <v>87</v>
      </c>
      <c r="D288">
        <v>59</v>
      </c>
      <c r="E288" t="s">
        <v>458</v>
      </c>
    </row>
    <row r="289" spans="1:5" x14ac:dyDescent="0.35">
      <c r="A289">
        <v>2004</v>
      </c>
      <c r="B289" t="s">
        <v>38</v>
      </c>
      <c r="C289" t="s">
        <v>86</v>
      </c>
      <c r="D289">
        <v>809</v>
      </c>
      <c r="E289" t="s">
        <v>328</v>
      </c>
    </row>
    <row r="290" spans="1:5" x14ac:dyDescent="0.35">
      <c r="A290">
        <v>2004</v>
      </c>
      <c r="B290" t="s">
        <v>38</v>
      </c>
      <c r="C290" t="s">
        <v>86</v>
      </c>
      <c r="D290">
        <v>307</v>
      </c>
      <c r="E290" t="s">
        <v>458</v>
      </c>
    </row>
    <row r="291" spans="1:5" x14ac:dyDescent="0.35">
      <c r="A291">
        <v>2004</v>
      </c>
      <c r="B291" t="s">
        <v>36</v>
      </c>
      <c r="C291" t="s">
        <v>85</v>
      </c>
      <c r="D291">
        <v>1281</v>
      </c>
      <c r="E291" t="s">
        <v>328</v>
      </c>
    </row>
    <row r="292" spans="1:5" x14ac:dyDescent="0.35">
      <c r="A292">
        <v>2004</v>
      </c>
      <c r="B292" t="s">
        <v>36</v>
      </c>
      <c r="C292" t="s">
        <v>85</v>
      </c>
      <c r="D292">
        <v>2479</v>
      </c>
      <c r="E292" t="s">
        <v>458</v>
      </c>
    </row>
    <row r="293" spans="1:5" x14ac:dyDescent="0.35">
      <c r="A293">
        <v>2004</v>
      </c>
      <c r="B293" t="s">
        <v>36</v>
      </c>
      <c r="C293" t="s">
        <v>84</v>
      </c>
      <c r="D293">
        <v>31</v>
      </c>
      <c r="E293" t="s">
        <v>328</v>
      </c>
    </row>
    <row r="294" spans="1:5" x14ac:dyDescent="0.35">
      <c r="A294">
        <v>2004</v>
      </c>
      <c r="B294" t="s">
        <v>36</v>
      </c>
      <c r="C294" t="s">
        <v>84</v>
      </c>
      <c r="D294">
        <v>16</v>
      </c>
      <c r="E294" t="s">
        <v>458</v>
      </c>
    </row>
    <row r="295" spans="1:5" x14ac:dyDescent="0.35">
      <c r="A295">
        <v>2004</v>
      </c>
      <c r="B295" t="s">
        <v>35</v>
      </c>
      <c r="C295" t="s">
        <v>82</v>
      </c>
      <c r="D295">
        <v>11</v>
      </c>
      <c r="E295" t="s">
        <v>328</v>
      </c>
    </row>
    <row r="296" spans="1:5" x14ac:dyDescent="0.35">
      <c r="A296">
        <v>2004</v>
      </c>
      <c r="B296" t="s">
        <v>33</v>
      </c>
      <c r="C296" t="s">
        <v>91</v>
      </c>
      <c r="D296">
        <v>63</v>
      </c>
      <c r="E296" t="s">
        <v>328</v>
      </c>
    </row>
    <row r="297" spans="1:5" x14ac:dyDescent="0.35">
      <c r="A297">
        <v>2004</v>
      </c>
      <c r="B297" t="s">
        <v>37</v>
      </c>
      <c r="C297" t="s">
        <v>92</v>
      </c>
      <c r="D297">
        <v>27</v>
      </c>
      <c r="E297" t="s">
        <v>458</v>
      </c>
    </row>
    <row r="298" spans="1:5" x14ac:dyDescent="0.35">
      <c r="A298">
        <v>2004</v>
      </c>
      <c r="B298" t="s">
        <v>33</v>
      </c>
      <c r="C298" t="s">
        <v>91</v>
      </c>
      <c r="D298">
        <v>15</v>
      </c>
      <c r="E298" t="s">
        <v>458</v>
      </c>
    </row>
    <row r="299" spans="1:5" x14ac:dyDescent="0.35">
      <c r="A299">
        <v>2004</v>
      </c>
      <c r="B299" t="s">
        <v>35</v>
      </c>
      <c r="C299" t="s">
        <v>93</v>
      </c>
      <c r="E299" t="s">
        <v>458</v>
      </c>
    </row>
    <row r="300" spans="1:5" x14ac:dyDescent="0.35">
      <c r="A300">
        <v>2004</v>
      </c>
      <c r="B300" t="s">
        <v>36</v>
      </c>
      <c r="C300" t="s">
        <v>100</v>
      </c>
      <c r="D300">
        <v>9</v>
      </c>
      <c r="E300" t="s">
        <v>328</v>
      </c>
    </row>
    <row r="301" spans="1:5" x14ac:dyDescent="0.35">
      <c r="A301">
        <v>2004</v>
      </c>
      <c r="B301" t="s">
        <v>36</v>
      </c>
      <c r="C301" t="s">
        <v>100</v>
      </c>
      <c r="D301">
        <v>19</v>
      </c>
      <c r="E301" t="s">
        <v>458</v>
      </c>
    </row>
    <row r="302" spans="1:5" x14ac:dyDescent="0.35">
      <c r="A302">
        <v>2004</v>
      </c>
      <c r="B302" t="s">
        <v>35</v>
      </c>
      <c r="C302" t="s">
        <v>99</v>
      </c>
      <c r="D302">
        <v>14</v>
      </c>
      <c r="E302" t="s">
        <v>328</v>
      </c>
    </row>
    <row r="303" spans="1:5" x14ac:dyDescent="0.35">
      <c r="A303">
        <v>2004</v>
      </c>
      <c r="B303" t="s">
        <v>35</v>
      </c>
      <c r="C303" t="s">
        <v>99</v>
      </c>
      <c r="D303">
        <v>22</v>
      </c>
      <c r="E303" t="s">
        <v>458</v>
      </c>
    </row>
    <row r="304" spans="1:5" x14ac:dyDescent="0.35">
      <c r="A304">
        <v>2004</v>
      </c>
      <c r="B304" t="s">
        <v>33</v>
      </c>
      <c r="C304" t="s">
        <v>98</v>
      </c>
      <c r="D304">
        <v>246</v>
      </c>
      <c r="E304" t="s">
        <v>328</v>
      </c>
    </row>
    <row r="305" spans="1:5" x14ac:dyDescent="0.35">
      <c r="A305">
        <v>2004</v>
      </c>
      <c r="B305" t="s">
        <v>37</v>
      </c>
      <c r="C305" t="s">
        <v>92</v>
      </c>
      <c r="D305">
        <v>38</v>
      </c>
      <c r="E305" t="s">
        <v>328</v>
      </c>
    </row>
    <row r="306" spans="1:5" x14ac:dyDescent="0.35">
      <c r="A306">
        <v>2004</v>
      </c>
      <c r="B306" t="s">
        <v>35</v>
      </c>
      <c r="C306" t="s">
        <v>97</v>
      </c>
      <c r="D306">
        <v>71</v>
      </c>
      <c r="E306" t="s">
        <v>328</v>
      </c>
    </row>
    <row r="307" spans="1:5" x14ac:dyDescent="0.35">
      <c r="A307">
        <v>2004</v>
      </c>
      <c r="B307" t="s">
        <v>35</v>
      </c>
      <c r="C307" t="s">
        <v>97</v>
      </c>
      <c r="D307">
        <v>100</v>
      </c>
      <c r="E307" t="s">
        <v>458</v>
      </c>
    </row>
    <row r="308" spans="1:5" x14ac:dyDescent="0.35">
      <c r="A308">
        <v>2004</v>
      </c>
      <c r="B308" t="s">
        <v>33</v>
      </c>
      <c r="C308" t="s">
        <v>98</v>
      </c>
      <c r="D308">
        <v>53</v>
      </c>
      <c r="E308" t="s">
        <v>458</v>
      </c>
    </row>
    <row r="309" spans="1:5" x14ac:dyDescent="0.35">
      <c r="A309">
        <v>2004</v>
      </c>
      <c r="B309" t="s">
        <v>34</v>
      </c>
      <c r="C309" t="s">
        <v>8</v>
      </c>
      <c r="D309">
        <v>18</v>
      </c>
      <c r="E309" t="s">
        <v>458</v>
      </c>
    </row>
    <row r="310" spans="1:5" x14ac:dyDescent="0.35">
      <c r="A310">
        <v>2004</v>
      </c>
      <c r="B310" t="s">
        <v>33</v>
      </c>
      <c r="C310" t="s">
        <v>96</v>
      </c>
      <c r="D310">
        <v>56</v>
      </c>
      <c r="E310" t="s">
        <v>328</v>
      </c>
    </row>
    <row r="311" spans="1:5" x14ac:dyDescent="0.35">
      <c r="A311">
        <v>2004</v>
      </c>
      <c r="B311" t="s">
        <v>33</v>
      </c>
      <c r="C311" t="s">
        <v>96</v>
      </c>
      <c r="D311">
        <v>16</v>
      </c>
      <c r="E311" t="s">
        <v>458</v>
      </c>
    </row>
    <row r="312" spans="1:5" x14ac:dyDescent="0.35">
      <c r="A312">
        <v>2004</v>
      </c>
      <c r="B312" t="s">
        <v>33</v>
      </c>
      <c r="C312" t="s">
        <v>95</v>
      </c>
      <c r="D312">
        <v>4</v>
      </c>
      <c r="E312" t="s">
        <v>328</v>
      </c>
    </row>
    <row r="313" spans="1:5" x14ac:dyDescent="0.35">
      <c r="A313">
        <v>2004</v>
      </c>
      <c r="B313" t="s">
        <v>35</v>
      </c>
      <c r="C313" t="s">
        <v>94</v>
      </c>
      <c r="D313">
        <v>85</v>
      </c>
      <c r="E313" t="s">
        <v>328</v>
      </c>
    </row>
    <row r="314" spans="1:5" x14ac:dyDescent="0.35">
      <c r="A314">
        <v>2004</v>
      </c>
      <c r="B314" t="s">
        <v>35</v>
      </c>
      <c r="C314" t="s">
        <v>94</v>
      </c>
      <c r="D314">
        <v>36</v>
      </c>
      <c r="E314" t="s">
        <v>458</v>
      </c>
    </row>
    <row r="315" spans="1:5" x14ac:dyDescent="0.35">
      <c r="A315">
        <v>2004</v>
      </c>
      <c r="B315" t="s">
        <v>35</v>
      </c>
      <c r="C315" t="s">
        <v>93</v>
      </c>
      <c r="E315" t="s">
        <v>328</v>
      </c>
    </row>
    <row r="316" spans="1:5" x14ac:dyDescent="0.35">
      <c r="A316">
        <v>2004</v>
      </c>
      <c r="B316" t="s">
        <v>34</v>
      </c>
      <c r="C316" t="s">
        <v>8</v>
      </c>
      <c r="D316">
        <v>47</v>
      </c>
      <c r="E316" t="s">
        <v>328</v>
      </c>
    </row>
    <row r="317" spans="1:5" x14ac:dyDescent="0.35">
      <c r="A317">
        <v>2004</v>
      </c>
      <c r="B317" t="s">
        <v>34</v>
      </c>
      <c r="C317" t="s">
        <v>40</v>
      </c>
      <c r="D317">
        <v>57</v>
      </c>
      <c r="E317" t="s">
        <v>466</v>
      </c>
    </row>
    <row r="318" spans="1:5" x14ac:dyDescent="0.35">
      <c r="A318">
        <v>2004</v>
      </c>
      <c r="B318" t="s">
        <v>35</v>
      </c>
      <c r="C318" t="s">
        <v>41</v>
      </c>
      <c r="D318">
        <v>163</v>
      </c>
      <c r="E318" t="s">
        <v>466</v>
      </c>
    </row>
    <row r="319" spans="1:5" x14ac:dyDescent="0.35">
      <c r="A319">
        <v>2004</v>
      </c>
      <c r="B319" t="s">
        <v>33</v>
      </c>
      <c r="C319" t="s">
        <v>42</v>
      </c>
      <c r="D319">
        <v>49</v>
      </c>
      <c r="E319" t="s">
        <v>466</v>
      </c>
    </row>
    <row r="320" spans="1:5" x14ac:dyDescent="0.35">
      <c r="A320">
        <v>2004</v>
      </c>
      <c r="C320" t="s">
        <v>373</v>
      </c>
      <c r="D320">
        <v>24</v>
      </c>
      <c r="E320" t="s">
        <v>466</v>
      </c>
    </row>
    <row r="321" spans="1:5" x14ac:dyDescent="0.35">
      <c r="A321">
        <v>2004</v>
      </c>
      <c r="B321" t="s">
        <v>33</v>
      </c>
      <c r="C321" t="s">
        <v>43</v>
      </c>
      <c r="D321">
        <v>10</v>
      </c>
      <c r="E321" t="s">
        <v>466</v>
      </c>
    </row>
    <row r="322" spans="1:5" x14ac:dyDescent="0.35">
      <c r="A322">
        <v>2004</v>
      </c>
      <c r="B322" t="s">
        <v>36</v>
      </c>
      <c r="C322" t="s">
        <v>44</v>
      </c>
      <c r="D322">
        <v>14</v>
      </c>
      <c r="E322" t="s">
        <v>466</v>
      </c>
    </row>
    <row r="323" spans="1:5" x14ac:dyDescent="0.35">
      <c r="A323">
        <v>2004</v>
      </c>
      <c r="B323" t="s">
        <v>38</v>
      </c>
      <c r="C323" t="s">
        <v>45</v>
      </c>
      <c r="D323">
        <v>325</v>
      </c>
      <c r="E323" t="s">
        <v>466</v>
      </c>
    </row>
    <row r="324" spans="1:5" x14ac:dyDescent="0.35">
      <c r="A324">
        <v>2004</v>
      </c>
      <c r="B324" t="s">
        <v>34</v>
      </c>
      <c r="C324" t="s">
        <v>46</v>
      </c>
      <c r="D324">
        <v>55</v>
      </c>
      <c r="E324" t="s">
        <v>466</v>
      </c>
    </row>
    <row r="325" spans="1:5" x14ac:dyDescent="0.35">
      <c r="A325">
        <v>2004</v>
      </c>
      <c r="B325" t="s">
        <v>37</v>
      </c>
      <c r="C325" t="s">
        <v>47</v>
      </c>
      <c r="D325">
        <v>54</v>
      </c>
      <c r="E325" t="s">
        <v>466</v>
      </c>
    </row>
    <row r="326" spans="1:5" x14ac:dyDescent="0.35">
      <c r="A326">
        <v>2004</v>
      </c>
      <c r="B326" t="s">
        <v>35</v>
      </c>
      <c r="C326" t="s">
        <v>48</v>
      </c>
      <c r="D326">
        <v>12</v>
      </c>
      <c r="E326" t="s">
        <v>466</v>
      </c>
    </row>
    <row r="327" spans="1:5" x14ac:dyDescent="0.35">
      <c r="A327">
        <v>2004</v>
      </c>
      <c r="B327" t="s">
        <v>34</v>
      </c>
      <c r="C327" t="s">
        <v>49</v>
      </c>
      <c r="D327">
        <v>7</v>
      </c>
      <c r="E327" t="s">
        <v>466</v>
      </c>
    </row>
    <row r="328" spans="1:5" x14ac:dyDescent="0.35">
      <c r="A328">
        <v>2004</v>
      </c>
      <c r="B328" t="s">
        <v>36</v>
      </c>
      <c r="C328" t="s">
        <v>50</v>
      </c>
      <c r="D328">
        <v>68</v>
      </c>
      <c r="E328" t="s">
        <v>466</v>
      </c>
    </row>
    <row r="329" spans="1:5" x14ac:dyDescent="0.35">
      <c r="A329">
        <v>2004</v>
      </c>
      <c r="B329" t="s">
        <v>34</v>
      </c>
      <c r="C329" t="s">
        <v>51</v>
      </c>
      <c r="D329">
        <v>11</v>
      </c>
      <c r="E329" t="s">
        <v>466</v>
      </c>
    </row>
    <row r="330" spans="1:5" x14ac:dyDescent="0.35">
      <c r="A330">
        <v>2004</v>
      </c>
      <c r="B330" t="s">
        <v>34</v>
      </c>
      <c r="C330" t="s">
        <v>52</v>
      </c>
      <c r="D330">
        <v>138</v>
      </c>
      <c r="E330" t="s">
        <v>466</v>
      </c>
    </row>
    <row r="331" spans="1:5" x14ac:dyDescent="0.35">
      <c r="A331">
        <v>2004</v>
      </c>
      <c r="B331" t="s">
        <v>36</v>
      </c>
      <c r="C331" t="s">
        <v>53</v>
      </c>
      <c r="D331">
        <v>31</v>
      </c>
      <c r="E331" t="s">
        <v>466</v>
      </c>
    </row>
    <row r="332" spans="1:5" x14ac:dyDescent="0.35">
      <c r="A332">
        <v>2004</v>
      </c>
      <c r="B332" t="s">
        <v>35</v>
      </c>
      <c r="C332" t="s">
        <v>54</v>
      </c>
      <c r="D332">
        <v>25</v>
      </c>
      <c r="E332" t="s">
        <v>466</v>
      </c>
    </row>
    <row r="333" spans="1:5" x14ac:dyDescent="0.35">
      <c r="A333">
        <v>2004</v>
      </c>
      <c r="B333" t="s">
        <v>35</v>
      </c>
      <c r="C333" t="s">
        <v>55</v>
      </c>
      <c r="D333">
        <v>9</v>
      </c>
      <c r="E333" t="s">
        <v>466</v>
      </c>
    </row>
    <row r="334" spans="1:5" x14ac:dyDescent="0.35">
      <c r="A334">
        <v>2004</v>
      </c>
      <c r="B334" t="s">
        <v>36</v>
      </c>
      <c r="C334" t="s">
        <v>56</v>
      </c>
      <c r="D334">
        <v>151</v>
      </c>
      <c r="E334" t="s">
        <v>466</v>
      </c>
    </row>
    <row r="335" spans="1:5" x14ac:dyDescent="0.35">
      <c r="A335">
        <v>2004</v>
      </c>
      <c r="B335" t="s">
        <v>33</v>
      </c>
      <c r="C335" t="s">
        <v>57</v>
      </c>
      <c r="D335">
        <v>9</v>
      </c>
      <c r="E335" t="s">
        <v>466</v>
      </c>
    </row>
    <row r="336" spans="1:5" x14ac:dyDescent="0.35">
      <c r="A336">
        <v>2004</v>
      </c>
      <c r="B336" t="s">
        <v>36</v>
      </c>
      <c r="C336" t="s">
        <v>363</v>
      </c>
      <c r="D336">
        <v>4</v>
      </c>
      <c r="E336" t="s">
        <v>466</v>
      </c>
    </row>
    <row r="337" spans="1:5" x14ac:dyDescent="0.35">
      <c r="A337">
        <v>2004</v>
      </c>
      <c r="B337" t="s">
        <v>38</v>
      </c>
      <c r="C337" t="s">
        <v>59</v>
      </c>
      <c r="D337">
        <v>221</v>
      </c>
      <c r="E337" t="s">
        <v>466</v>
      </c>
    </row>
    <row r="338" spans="1:5" x14ac:dyDescent="0.35">
      <c r="A338">
        <v>2004</v>
      </c>
      <c r="B338" t="s">
        <v>35</v>
      </c>
      <c r="C338" t="s">
        <v>60</v>
      </c>
      <c r="D338">
        <v>43</v>
      </c>
      <c r="E338" t="s">
        <v>466</v>
      </c>
    </row>
    <row r="339" spans="1:5" x14ac:dyDescent="0.35">
      <c r="A339">
        <v>2004</v>
      </c>
      <c r="B339" t="s">
        <v>38</v>
      </c>
      <c r="C339" t="s">
        <v>21</v>
      </c>
      <c r="D339">
        <v>10082</v>
      </c>
      <c r="E339" t="s">
        <v>466</v>
      </c>
    </row>
    <row r="340" spans="1:5" x14ac:dyDescent="0.35">
      <c r="A340">
        <v>2004</v>
      </c>
      <c r="B340" t="s">
        <v>36</v>
      </c>
      <c r="C340" t="s">
        <v>364</v>
      </c>
      <c r="E340" t="s">
        <v>466</v>
      </c>
    </row>
    <row r="341" spans="1:5" x14ac:dyDescent="0.35">
      <c r="A341">
        <v>2004</v>
      </c>
      <c r="B341" t="s">
        <v>35</v>
      </c>
      <c r="C341" t="s">
        <v>62</v>
      </c>
      <c r="D341">
        <v>82</v>
      </c>
      <c r="E341" t="s">
        <v>466</v>
      </c>
    </row>
    <row r="342" spans="1:5" x14ac:dyDescent="0.35">
      <c r="A342">
        <v>2004</v>
      </c>
      <c r="B342" t="s">
        <v>33</v>
      </c>
      <c r="C342" t="s">
        <v>63</v>
      </c>
      <c r="D342">
        <v>8</v>
      </c>
      <c r="E342" t="s">
        <v>466</v>
      </c>
    </row>
    <row r="343" spans="1:5" x14ac:dyDescent="0.35">
      <c r="A343">
        <v>2004</v>
      </c>
      <c r="B343" t="s">
        <v>34</v>
      </c>
      <c r="C343" t="s">
        <v>64</v>
      </c>
      <c r="D343">
        <v>9</v>
      </c>
      <c r="E343" t="s">
        <v>466</v>
      </c>
    </row>
    <row r="344" spans="1:5" x14ac:dyDescent="0.35">
      <c r="A344">
        <v>2004</v>
      </c>
      <c r="B344" t="s">
        <v>33</v>
      </c>
      <c r="C344" t="s">
        <v>65</v>
      </c>
      <c r="E344" t="s">
        <v>466</v>
      </c>
    </row>
    <row r="345" spans="1:5" x14ac:dyDescent="0.35">
      <c r="A345">
        <v>2004</v>
      </c>
      <c r="B345" t="s">
        <v>33</v>
      </c>
      <c r="C345" t="s">
        <v>66</v>
      </c>
      <c r="D345">
        <v>102</v>
      </c>
      <c r="E345" t="s">
        <v>466</v>
      </c>
    </row>
    <row r="346" spans="1:5" x14ac:dyDescent="0.35">
      <c r="A346">
        <v>2004</v>
      </c>
      <c r="B346" t="s">
        <v>34</v>
      </c>
      <c r="C346" t="s">
        <v>67</v>
      </c>
      <c r="D346">
        <v>34</v>
      </c>
      <c r="E346" t="s">
        <v>466</v>
      </c>
    </row>
    <row r="347" spans="1:5" x14ac:dyDescent="0.35">
      <c r="A347">
        <v>2004</v>
      </c>
      <c r="B347" t="s">
        <v>33</v>
      </c>
      <c r="C347" t="s">
        <v>68</v>
      </c>
      <c r="D347">
        <v>1806</v>
      </c>
      <c r="E347" t="s">
        <v>466</v>
      </c>
    </row>
    <row r="348" spans="1:5" x14ac:dyDescent="0.35">
      <c r="A348">
        <v>2004</v>
      </c>
      <c r="B348" t="s">
        <v>36</v>
      </c>
      <c r="C348" t="s">
        <v>69</v>
      </c>
      <c r="D348">
        <v>42</v>
      </c>
      <c r="E348" t="s">
        <v>466</v>
      </c>
    </row>
    <row r="349" spans="1:5" x14ac:dyDescent="0.35">
      <c r="A349">
        <v>2004</v>
      </c>
      <c r="B349" t="s">
        <v>36</v>
      </c>
      <c r="C349" t="s">
        <v>365</v>
      </c>
      <c r="D349">
        <v>3</v>
      </c>
      <c r="E349" t="s">
        <v>466</v>
      </c>
    </row>
    <row r="350" spans="1:5" x14ac:dyDescent="0.35">
      <c r="A350">
        <v>2004</v>
      </c>
      <c r="B350" t="s">
        <v>33</v>
      </c>
      <c r="C350" t="s">
        <v>70</v>
      </c>
      <c r="E350" t="s">
        <v>466</v>
      </c>
    </row>
    <row r="351" spans="1:5" x14ac:dyDescent="0.35">
      <c r="A351">
        <v>2004</v>
      </c>
      <c r="B351" t="s">
        <v>33</v>
      </c>
      <c r="C351" t="s">
        <v>71</v>
      </c>
      <c r="E351" t="s">
        <v>466</v>
      </c>
    </row>
    <row r="352" spans="1:5" x14ac:dyDescent="0.35">
      <c r="A352">
        <v>2004</v>
      </c>
      <c r="B352" t="s">
        <v>38</v>
      </c>
      <c r="C352" t="s">
        <v>72</v>
      </c>
      <c r="D352">
        <v>116</v>
      </c>
      <c r="E352" t="s">
        <v>466</v>
      </c>
    </row>
    <row r="353" spans="1:5" x14ac:dyDescent="0.35">
      <c r="A353">
        <v>2004</v>
      </c>
      <c r="B353" t="s">
        <v>34</v>
      </c>
      <c r="C353" t="s">
        <v>73</v>
      </c>
      <c r="D353">
        <v>1560</v>
      </c>
      <c r="E353" t="s">
        <v>466</v>
      </c>
    </row>
    <row r="354" spans="1:5" x14ac:dyDescent="0.35">
      <c r="A354">
        <v>2004</v>
      </c>
      <c r="B354" t="s">
        <v>38</v>
      </c>
      <c r="C354" t="s">
        <v>20</v>
      </c>
      <c r="D354">
        <v>919</v>
      </c>
      <c r="E354" t="s">
        <v>466</v>
      </c>
    </row>
    <row r="355" spans="1:5" x14ac:dyDescent="0.35">
      <c r="A355">
        <v>2004</v>
      </c>
      <c r="B355" t="s">
        <v>33</v>
      </c>
      <c r="C355" t="s">
        <v>74</v>
      </c>
      <c r="D355">
        <v>3</v>
      </c>
      <c r="E355" t="s">
        <v>466</v>
      </c>
    </row>
    <row r="356" spans="1:5" x14ac:dyDescent="0.35">
      <c r="A356">
        <v>2004</v>
      </c>
      <c r="B356" t="s">
        <v>33</v>
      </c>
      <c r="C356" t="s">
        <v>75</v>
      </c>
      <c r="D356">
        <v>21</v>
      </c>
      <c r="E356" t="s">
        <v>466</v>
      </c>
    </row>
    <row r="357" spans="1:5" x14ac:dyDescent="0.35">
      <c r="A357">
        <v>2004</v>
      </c>
      <c r="B357" t="s">
        <v>36</v>
      </c>
      <c r="C357" t="s">
        <v>76</v>
      </c>
      <c r="D357">
        <v>571</v>
      </c>
      <c r="E357" t="s">
        <v>466</v>
      </c>
    </row>
    <row r="358" spans="1:5" x14ac:dyDescent="0.35">
      <c r="A358">
        <v>2004</v>
      </c>
      <c r="B358" t="s">
        <v>33</v>
      </c>
      <c r="C358" t="s">
        <v>77</v>
      </c>
      <c r="D358">
        <v>27</v>
      </c>
      <c r="E358" t="s">
        <v>466</v>
      </c>
    </row>
    <row r="359" spans="1:5" x14ac:dyDescent="0.35">
      <c r="A359">
        <v>2004</v>
      </c>
      <c r="B359" t="s">
        <v>35</v>
      </c>
      <c r="C359" t="s">
        <v>78</v>
      </c>
      <c r="D359">
        <v>12</v>
      </c>
      <c r="E359" t="s">
        <v>466</v>
      </c>
    </row>
    <row r="360" spans="1:5" x14ac:dyDescent="0.35">
      <c r="A360">
        <v>2004</v>
      </c>
      <c r="B360" t="s">
        <v>36</v>
      </c>
      <c r="C360" t="s">
        <v>79</v>
      </c>
      <c r="D360">
        <v>1831</v>
      </c>
      <c r="E360" t="s">
        <v>466</v>
      </c>
    </row>
    <row r="361" spans="1:5" x14ac:dyDescent="0.35">
      <c r="A361">
        <v>2004</v>
      </c>
      <c r="B361" t="s">
        <v>35</v>
      </c>
      <c r="C361" t="s">
        <v>81</v>
      </c>
      <c r="D361">
        <v>150</v>
      </c>
      <c r="E361" t="s">
        <v>466</v>
      </c>
    </row>
    <row r="362" spans="1:5" x14ac:dyDescent="0.35">
      <c r="A362">
        <v>2004</v>
      </c>
      <c r="B362" t="s">
        <v>35</v>
      </c>
      <c r="C362" t="s">
        <v>214</v>
      </c>
      <c r="D362">
        <v>42</v>
      </c>
      <c r="E362" t="s">
        <v>466</v>
      </c>
    </row>
    <row r="363" spans="1:5" x14ac:dyDescent="0.35">
      <c r="A363">
        <v>2004</v>
      </c>
      <c r="B363" t="s">
        <v>35</v>
      </c>
      <c r="C363" t="s">
        <v>82</v>
      </c>
      <c r="D363">
        <v>6</v>
      </c>
      <c r="E363" t="s">
        <v>466</v>
      </c>
    </row>
    <row r="364" spans="1:5" x14ac:dyDescent="0.35">
      <c r="A364">
        <v>2004</v>
      </c>
      <c r="B364" t="s">
        <v>36</v>
      </c>
      <c r="C364" t="s">
        <v>84</v>
      </c>
      <c r="D364">
        <v>20</v>
      </c>
      <c r="E364" t="s">
        <v>466</v>
      </c>
    </row>
    <row r="365" spans="1:5" x14ac:dyDescent="0.35">
      <c r="A365">
        <v>2004</v>
      </c>
      <c r="B365" t="s">
        <v>36</v>
      </c>
      <c r="C365" t="s">
        <v>85</v>
      </c>
      <c r="D365">
        <v>3635</v>
      </c>
      <c r="E365" t="s">
        <v>466</v>
      </c>
    </row>
    <row r="366" spans="1:5" x14ac:dyDescent="0.35">
      <c r="A366">
        <v>2004</v>
      </c>
      <c r="B366" t="s">
        <v>38</v>
      </c>
      <c r="C366" t="s">
        <v>86</v>
      </c>
      <c r="D366">
        <v>1173</v>
      </c>
      <c r="E366" t="s">
        <v>466</v>
      </c>
    </row>
    <row r="367" spans="1:5" x14ac:dyDescent="0.35">
      <c r="A367">
        <v>2004</v>
      </c>
      <c r="B367" t="s">
        <v>33</v>
      </c>
      <c r="C367" t="s">
        <v>87</v>
      </c>
      <c r="D367">
        <v>218</v>
      </c>
      <c r="E367" t="s">
        <v>466</v>
      </c>
    </row>
    <row r="368" spans="1:5" x14ac:dyDescent="0.35">
      <c r="A368">
        <v>2004</v>
      </c>
      <c r="B368" t="s">
        <v>36</v>
      </c>
      <c r="C368" t="s">
        <v>16</v>
      </c>
      <c r="D368">
        <v>19180</v>
      </c>
      <c r="E368" t="s">
        <v>466</v>
      </c>
    </row>
    <row r="369" spans="1:5" x14ac:dyDescent="0.35">
      <c r="A369">
        <v>2004</v>
      </c>
      <c r="B369" t="s">
        <v>33</v>
      </c>
      <c r="C369" t="s">
        <v>88</v>
      </c>
      <c r="E369" t="s">
        <v>466</v>
      </c>
    </row>
    <row r="370" spans="1:5" x14ac:dyDescent="0.35">
      <c r="A370">
        <v>2004</v>
      </c>
      <c r="B370" t="s">
        <v>33</v>
      </c>
      <c r="C370" t="s">
        <v>89</v>
      </c>
      <c r="D370">
        <v>26</v>
      </c>
      <c r="E370" t="s">
        <v>466</v>
      </c>
    </row>
    <row r="371" spans="1:5" x14ac:dyDescent="0.35">
      <c r="A371">
        <v>2004</v>
      </c>
      <c r="B371" t="s">
        <v>35</v>
      </c>
      <c r="C371" t="s">
        <v>90</v>
      </c>
      <c r="D371">
        <v>18</v>
      </c>
      <c r="E371" t="s">
        <v>466</v>
      </c>
    </row>
    <row r="372" spans="1:5" x14ac:dyDescent="0.35">
      <c r="A372">
        <v>2004</v>
      </c>
      <c r="B372" t="s">
        <v>33</v>
      </c>
      <c r="C372" t="s">
        <v>91</v>
      </c>
      <c r="D372">
        <v>79</v>
      </c>
      <c r="E372" t="s">
        <v>466</v>
      </c>
    </row>
    <row r="373" spans="1:5" x14ac:dyDescent="0.35">
      <c r="A373">
        <v>2004</v>
      </c>
      <c r="B373" t="s">
        <v>37</v>
      </c>
      <c r="C373" t="s">
        <v>92</v>
      </c>
      <c r="D373">
        <v>23</v>
      </c>
      <c r="E373" t="s">
        <v>466</v>
      </c>
    </row>
    <row r="374" spans="1:5" x14ac:dyDescent="0.35">
      <c r="A374">
        <v>2004</v>
      </c>
      <c r="B374" t="s">
        <v>35</v>
      </c>
      <c r="C374" t="s">
        <v>94</v>
      </c>
      <c r="D374">
        <v>109</v>
      </c>
      <c r="E374" t="s">
        <v>466</v>
      </c>
    </row>
    <row r="375" spans="1:5" x14ac:dyDescent="0.35">
      <c r="A375">
        <v>2004</v>
      </c>
      <c r="B375" t="s">
        <v>33</v>
      </c>
      <c r="C375" t="s">
        <v>95</v>
      </c>
      <c r="E375" t="s">
        <v>466</v>
      </c>
    </row>
    <row r="376" spans="1:5" x14ac:dyDescent="0.35">
      <c r="A376">
        <v>2004</v>
      </c>
      <c r="B376" t="s">
        <v>33</v>
      </c>
      <c r="C376" t="s">
        <v>96</v>
      </c>
      <c r="D376">
        <v>64</v>
      </c>
      <c r="E376" t="s">
        <v>466</v>
      </c>
    </row>
    <row r="377" spans="1:5" x14ac:dyDescent="0.35">
      <c r="A377">
        <v>2004</v>
      </c>
      <c r="B377" t="s">
        <v>34</v>
      </c>
      <c r="C377" t="s">
        <v>8</v>
      </c>
      <c r="D377">
        <v>42</v>
      </c>
      <c r="E377" t="s">
        <v>466</v>
      </c>
    </row>
    <row r="378" spans="1:5" x14ac:dyDescent="0.35">
      <c r="A378">
        <v>2004</v>
      </c>
      <c r="B378" t="s">
        <v>35</v>
      </c>
      <c r="C378" t="s">
        <v>97</v>
      </c>
      <c r="D378">
        <v>104</v>
      </c>
      <c r="E378" t="s">
        <v>466</v>
      </c>
    </row>
    <row r="379" spans="1:5" x14ac:dyDescent="0.35">
      <c r="A379">
        <v>2004</v>
      </c>
      <c r="B379" t="s">
        <v>33</v>
      </c>
      <c r="C379" t="s">
        <v>98</v>
      </c>
      <c r="D379">
        <v>135</v>
      </c>
      <c r="E379" t="s">
        <v>466</v>
      </c>
    </row>
    <row r="380" spans="1:5" x14ac:dyDescent="0.35">
      <c r="A380">
        <v>2004</v>
      </c>
      <c r="B380" t="s">
        <v>35</v>
      </c>
      <c r="C380" t="s">
        <v>99</v>
      </c>
      <c r="D380">
        <v>28</v>
      </c>
      <c r="E380" t="s">
        <v>466</v>
      </c>
    </row>
    <row r="381" spans="1:5" x14ac:dyDescent="0.35">
      <c r="A381">
        <v>2004</v>
      </c>
      <c r="B381" t="s">
        <v>36</v>
      </c>
      <c r="C381" t="s">
        <v>100</v>
      </c>
      <c r="D381">
        <v>21</v>
      </c>
      <c r="E381" t="s">
        <v>466</v>
      </c>
    </row>
    <row r="382" spans="1:5" x14ac:dyDescent="0.35">
      <c r="A382">
        <v>2004</v>
      </c>
      <c r="B382" t="s">
        <v>37</v>
      </c>
      <c r="C382" t="s">
        <v>367</v>
      </c>
      <c r="E382" t="s">
        <v>466</v>
      </c>
    </row>
    <row r="383" spans="1:5" x14ac:dyDescent="0.35">
      <c r="A383">
        <v>2004</v>
      </c>
      <c r="B383" t="s">
        <v>36</v>
      </c>
      <c r="C383" t="s">
        <v>15</v>
      </c>
      <c r="D383">
        <v>14288</v>
      </c>
      <c r="E383" t="s">
        <v>466</v>
      </c>
    </row>
    <row r="384" spans="1:5" x14ac:dyDescent="0.35">
      <c r="A384">
        <v>2004</v>
      </c>
      <c r="B384" t="s">
        <v>33</v>
      </c>
      <c r="C384" t="s">
        <v>101</v>
      </c>
      <c r="D384">
        <v>36</v>
      </c>
      <c r="E384" t="s">
        <v>466</v>
      </c>
    </row>
    <row r="385" spans="1:5" x14ac:dyDescent="0.35">
      <c r="A385">
        <v>2004</v>
      </c>
      <c r="B385" t="s">
        <v>33</v>
      </c>
      <c r="C385" t="s">
        <v>102</v>
      </c>
      <c r="E385" t="s">
        <v>466</v>
      </c>
    </row>
    <row r="386" spans="1:5" x14ac:dyDescent="0.35">
      <c r="A386">
        <v>2004</v>
      </c>
      <c r="B386" t="s">
        <v>38</v>
      </c>
      <c r="C386" t="s">
        <v>103</v>
      </c>
      <c r="D386">
        <v>135</v>
      </c>
      <c r="E386" t="s">
        <v>466</v>
      </c>
    </row>
    <row r="387" spans="1:5" x14ac:dyDescent="0.35">
      <c r="A387">
        <v>2004</v>
      </c>
      <c r="B387" t="s">
        <v>36</v>
      </c>
      <c r="C387" t="s">
        <v>104</v>
      </c>
      <c r="D387">
        <v>367</v>
      </c>
      <c r="E387" t="s">
        <v>466</v>
      </c>
    </row>
    <row r="388" spans="1:5" x14ac:dyDescent="0.35">
      <c r="A388">
        <v>2004</v>
      </c>
      <c r="B388" t="s">
        <v>36</v>
      </c>
      <c r="C388" t="s">
        <v>17</v>
      </c>
      <c r="D388">
        <v>26555</v>
      </c>
      <c r="E388" t="s">
        <v>466</v>
      </c>
    </row>
    <row r="389" spans="1:5" x14ac:dyDescent="0.35">
      <c r="A389">
        <v>2004</v>
      </c>
      <c r="B389" t="s">
        <v>34</v>
      </c>
      <c r="C389" t="s">
        <v>368</v>
      </c>
      <c r="D389">
        <v>15</v>
      </c>
      <c r="E389" t="s">
        <v>466</v>
      </c>
    </row>
    <row r="390" spans="1:5" x14ac:dyDescent="0.35">
      <c r="A390">
        <v>2004</v>
      </c>
      <c r="B390" t="s">
        <v>35</v>
      </c>
      <c r="C390" t="s">
        <v>105</v>
      </c>
      <c r="D390">
        <v>76</v>
      </c>
      <c r="E390" t="s">
        <v>466</v>
      </c>
    </row>
    <row r="391" spans="1:5" x14ac:dyDescent="0.35">
      <c r="A391">
        <v>2004</v>
      </c>
      <c r="B391" t="s">
        <v>35</v>
      </c>
      <c r="C391" t="s">
        <v>106</v>
      </c>
      <c r="E391" t="s">
        <v>466</v>
      </c>
    </row>
    <row r="392" spans="1:5" x14ac:dyDescent="0.35">
      <c r="A392">
        <v>2004</v>
      </c>
      <c r="B392" t="s">
        <v>34</v>
      </c>
      <c r="C392" t="s">
        <v>22</v>
      </c>
      <c r="D392">
        <v>895</v>
      </c>
      <c r="E392" t="s">
        <v>466</v>
      </c>
    </row>
    <row r="393" spans="1:5" x14ac:dyDescent="0.35">
      <c r="A393">
        <v>2004</v>
      </c>
      <c r="B393" t="s">
        <v>34</v>
      </c>
      <c r="C393" t="s">
        <v>107</v>
      </c>
      <c r="D393">
        <v>170</v>
      </c>
      <c r="E393" t="s">
        <v>466</v>
      </c>
    </row>
    <row r="394" spans="1:5" x14ac:dyDescent="0.35">
      <c r="A394">
        <v>2004</v>
      </c>
      <c r="B394" t="s">
        <v>34</v>
      </c>
      <c r="C394" t="s">
        <v>108</v>
      </c>
      <c r="D394">
        <v>138</v>
      </c>
      <c r="E394" t="s">
        <v>466</v>
      </c>
    </row>
    <row r="395" spans="1:5" x14ac:dyDescent="0.35">
      <c r="A395">
        <v>2004</v>
      </c>
      <c r="B395" t="s">
        <v>34</v>
      </c>
      <c r="C395" t="s">
        <v>109</v>
      </c>
      <c r="D395">
        <v>135</v>
      </c>
      <c r="E395" t="s">
        <v>466</v>
      </c>
    </row>
    <row r="396" spans="1:5" x14ac:dyDescent="0.35">
      <c r="A396">
        <v>2004</v>
      </c>
      <c r="B396" t="s">
        <v>35</v>
      </c>
      <c r="C396" t="s">
        <v>110</v>
      </c>
      <c r="D396">
        <v>41</v>
      </c>
      <c r="E396" t="s">
        <v>466</v>
      </c>
    </row>
    <row r="397" spans="1:5" x14ac:dyDescent="0.35">
      <c r="A397">
        <v>2004</v>
      </c>
      <c r="B397" t="s">
        <v>34</v>
      </c>
      <c r="C397" t="s">
        <v>111</v>
      </c>
      <c r="D397">
        <v>290</v>
      </c>
      <c r="E397" t="s">
        <v>466</v>
      </c>
    </row>
    <row r="398" spans="1:5" x14ac:dyDescent="0.35">
      <c r="A398">
        <v>2004</v>
      </c>
      <c r="B398" t="s">
        <v>35</v>
      </c>
      <c r="C398" t="s">
        <v>112</v>
      </c>
      <c r="D398">
        <v>81</v>
      </c>
      <c r="E398" t="s">
        <v>466</v>
      </c>
    </row>
    <row r="399" spans="1:5" x14ac:dyDescent="0.35">
      <c r="A399">
        <v>2004</v>
      </c>
      <c r="B399" t="s">
        <v>36</v>
      </c>
      <c r="C399" t="s">
        <v>113</v>
      </c>
      <c r="D399">
        <v>976</v>
      </c>
      <c r="E399" t="s">
        <v>466</v>
      </c>
    </row>
    <row r="400" spans="1:5" x14ac:dyDescent="0.35">
      <c r="A400">
        <v>2004</v>
      </c>
      <c r="B400" t="s">
        <v>34</v>
      </c>
      <c r="C400" t="s">
        <v>114</v>
      </c>
      <c r="D400">
        <v>101</v>
      </c>
      <c r="E400" t="s">
        <v>466</v>
      </c>
    </row>
    <row r="401" spans="1:5" x14ac:dyDescent="0.35">
      <c r="A401">
        <v>2004</v>
      </c>
      <c r="B401" t="s">
        <v>34</v>
      </c>
      <c r="C401" t="s">
        <v>115</v>
      </c>
      <c r="D401">
        <v>258</v>
      </c>
      <c r="E401" t="s">
        <v>466</v>
      </c>
    </row>
    <row r="402" spans="1:5" x14ac:dyDescent="0.35">
      <c r="A402">
        <v>2004</v>
      </c>
      <c r="B402" t="s">
        <v>34</v>
      </c>
      <c r="C402" t="s">
        <v>116</v>
      </c>
      <c r="D402">
        <v>14</v>
      </c>
      <c r="E402" t="s">
        <v>466</v>
      </c>
    </row>
    <row r="403" spans="1:5" x14ac:dyDescent="0.35">
      <c r="A403">
        <v>2004</v>
      </c>
      <c r="B403" t="s">
        <v>33</v>
      </c>
      <c r="C403" t="s">
        <v>117</v>
      </c>
      <c r="D403">
        <v>138</v>
      </c>
      <c r="E403" t="s">
        <v>466</v>
      </c>
    </row>
    <row r="404" spans="1:5" x14ac:dyDescent="0.35">
      <c r="A404">
        <v>2004</v>
      </c>
      <c r="B404" t="s">
        <v>34</v>
      </c>
      <c r="C404" t="s">
        <v>118</v>
      </c>
      <c r="D404">
        <v>503</v>
      </c>
      <c r="E404" t="s">
        <v>466</v>
      </c>
    </row>
    <row r="405" spans="1:5" x14ac:dyDescent="0.35">
      <c r="A405">
        <v>2004</v>
      </c>
      <c r="B405" t="s">
        <v>35</v>
      </c>
      <c r="C405" t="s">
        <v>119</v>
      </c>
      <c r="E405" t="s">
        <v>466</v>
      </c>
    </row>
    <row r="406" spans="1:5" x14ac:dyDescent="0.35">
      <c r="A406">
        <v>2004</v>
      </c>
      <c r="B406" t="s">
        <v>34</v>
      </c>
      <c r="C406" t="s">
        <v>120</v>
      </c>
      <c r="D406">
        <v>24</v>
      </c>
      <c r="E406" t="s">
        <v>466</v>
      </c>
    </row>
    <row r="407" spans="1:5" x14ac:dyDescent="0.35">
      <c r="A407">
        <v>2004</v>
      </c>
      <c r="B407" t="s">
        <v>34</v>
      </c>
      <c r="C407" t="s">
        <v>121</v>
      </c>
      <c r="E407" t="s">
        <v>466</v>
      </c>
    </row>
    <row r="408" spans="1:5" x14ac:dyDescent="0.35">
      <c r="A408">
        <v>2004</v>
      </c>
      <c r="B408" t="s">
        <v>34</v>
      </c>
      <c r="C408" t="s">
        <v>122</v>
      </c>
      <c r="D408">
        <v>148</v>
      </c>
      <c r="E408" t="s">
        <v>466</v>
      </c>
    </row>
    <row r="409" spans="1:5" x14ac:dyDescent="0.35">
      <c r="A409">
        <v>2004</v>
      </c>
      <c r="B409" t="s">
        <v>35</v>
      </c>
      <c r="C409" t="s">
        <v>123</v>
      </c>
      <c r="D409">
        <v>25</v>
      </c>
      <c r="E409" t="s">
        <v>466</v>
      </c>
    </row>
    <row r="410" spans="1:5" x14ac:dyDescent="0.35">
      <c r="A410">
        <v>2004</v>
      </c>
      <c r="B410" t="s">
        <v>34</v>
      </c>
      <c r="C410" t="s">
        <v>124</v>
      </c>
      <c r="D410">
        <v>157</v>
      </c>
      <c r="E410" t="s">
        <v>466</v>
      </c>
    </row>
    <row r="411" spans="1:5" x14ac:dyDescent="0.35">
      <c r="A411">
        <v>2004</v>
      </c>
      <c r="B411" t="s">
        <v>33</v>
      </c>
      <c r="C411" t="s">
        <v>125</v>
      </c>
      <c r="D411">
        <v>59</v>
      </c>
      <c r="E411" t="s">
        <v>466</v>
      </c>
    </row>
    <row r="412" spans="1:5" x14ac:dyDescent="0.35">
      <c r="A412">
        <v>2004</v>
      </c>
      <c r="B412" t="s">
        <v>33</v>
      </c>
      <c r="C412" t="s">
        <v>126</v>
      </c>
      <c r="D412">
        <v>7</v>
      </c>
      <c r="E412" t="s">
        <v>466</v>
      </c>
    </row>
    <row r="413" spans="1:5" x14ac:dyDescent="0.35">
      <c r="A413">
        <v>2004</v>
      </c>
      <c r="B413" t="s">
        <v>35</v>
      </c>
      <c r="C413" t="s">
        <v>127</v>
      </c>
      <c r="D413">
        <v>64</v>
      </c>
      <c r="E413" t="s">
        <v>466</v>
      </c>
    </row>
    <row r="414" spans="1:5" x14ac:dyDescent="0.35">
      <c r="A414">
        <v>2004</v>
      </c>
      <c r="B414" t="s">
        <v>34</v>
      </c>
      <c r="C414" t="s">
        <v>369</v>
      </c>
      <c r="E414" t="s">
        <v>466</v>
      </c>
    </row>
    <row r="415" spans="1:5" x14ac:dyDescent="0.35">
      <c r="A415">
        <v>2004</v>
      </c>
      <c r="B415" t="s">
        <v>33</v>
      </c>
      <c r="C415" t="s">
        <v>130</v>
      </c>
      <c r="D415">
        <v>11</v>
      </c>
      <c r="E415" t="s">
        <v>466</v>
      </c>
    </row>
    <row r="416" spans="1:5" x14ac:dyDescent="0.35">
      <c r="A416">
        <v>2004</v>
      </c>
      <c r="B416" t="s">
        <v>34</v>
      </c>
      <c r="C416" t="s">
        <v>131</v>
      </c>
      <c r="D416">
        <v>67</v>
      </c>
      <c r="E416" t="s">
        <v>466</v>
      </c>
    </row>
    <row r="417" spans="1:5" x14ac:dyDescent="0.35">
      <c r="A417">
        <v>2004</v>
      </c>
      <c r="B417" t="s">
        <v>33</v>
      </c>
      <c r="C417" t="s">
        <v>132</v>
      </c>
      <c r="D417">
        <v>38</v>
      </c>
      <c r="E417" t="s">
        <v>466</v>
      </c>
    </row>
    <row r="418" spans="1:5" x14ac:dyDescent="0.35">
      <c r="A418">
        <v>2004</v>
      </c>
      <c r="B418" t="s">
        <v>35</v>
      </c>
      <c r="C418" t="s">
        <v>133</v>
      </c>
      <c r="D418">
        <v>10</v>
      </c>
      <c r="E418" t="s">
        <v>466</v>
      </c>
    </row>
    <row r="419" spans="1:5" x14ac:dyDescent="0.35">
      <c r="A419">
        <v>2004</v>
      </c>
      <c r="B419" t="s">
        <v>37</v>
      </c>
      <c r="C419" t="s">
        <v>134</v>
      </c>
      <c r="D419">
        <v>16</v>
      </c>
      <c r="E419" t="s">
        <v>466</v>
      </c>
    </row>
    <row r="420" spans="1:5" x14ac:dyDescent="0.35">
      <c r="A420">
        <v>2004</v>
      </c>
      <c r="B420" t="s">
        <v>33</v>
      </c>
      <c r="C420" t="s">
        <v>135</v>
      </c>
      <c r="D420">
        <v>20</v>
      </c>
      <c r="E420" t="s">
        <v>466</v>
      </c>
    </row>
    <row r="421" spans="1:5" x14ac:dyDescent="0.35">
      <c r="A421">
        <v>2004</v>
      </c>
      <c r="B421" t="s">
        <v>36</v>
      </c>
      <c r="C421" t="s">
        <v>14</v>
      </c>
      <c r="D421">
        <v>1142807</v>
      </c>
      <c r="E421" t="s">
        <v>466</v>
      </c>
    </row>
    <row r="422" spans="1:5" x14ac:dyDescent="0.35">
      <c r="A422">
        <v>2004</v>
      </c>
      <c r="B422" t="s">
        <v>37</v>
      </c>
      <c r="C422" t="s">
        <v>137</v>
      </c>
      <c r="D422">
        <v>55</v>
      </c>
      <c r="E422" t="s">
        <v>466</v>
      </c>
    </row>
    <row r="423" spans="1:5" x14ac:dyDescent="0.35">
      <c r="A423">
        <v>2004</v>
      </c>
      <c r="B423" t="s">
        <v>35</v>
      </c>
      <c r="C423" t="s">
        <v>138</v>
      </c>
      <c r="D423">
        <v>10</v>
      </c>
      <c r="E423" t="s">
        <v>466</v>
      </c>
    </row>
    <row r="424" spans="1:5" x14ac:dyDescent="0.35">
      <c r="A424">
        <v>2004</v>
      </c>
      <c r="B424" t="s">
        <v>34</v>
      </c>
      <c r="C424" t="s">
        <v>139</v>
      </c>
      <c r="D424">
        <v>70</v>
      </c>
      <c r="E424" t="s">
        <v>466</v>
      </c>
    </row>
    <row r="425" spans="1:5" x14ac:dyDescent="0.35">
      <c r="A425">
        <v>2004</v>
      </c>
      <c r="B425" t="s">
        <v>35</v>
      </c>
      <c r="C425" t="s">
        <v>140</v>
      </c>
      <c r="E425" t="s">
        <v>466</v>
      </c>
    </row>
    <row r="426" spans="1:5" x14ac:dyDescent="0.35">
      <c r="A426">
        <v>2004</v>
      </c>
      <c r="B426" t="s">
        <v>36</v>
      </c>
      <c r="C426" t="s">
        <v>370</v>
      </c>
      <c r="E426" t="s">
        <v>466</v>
      </c>
    </row>
    <row r="427" spans="1:5" x14ac:dyDescent="0.35">
      <c r="A427">
        <v>2004</v>
      </c>
      <c r="B427" t="s">
        <v>33</v>
      </c>
      <c r="C427" t="s">
        <v>141</v>
      </c>
      <c r="D427">
        <v>244</v>
      </c>
      <c r="E427" t="s">
        <v>466</v>
      </c>
    </row>
    <row r="428" spans="1:5" x14ac:dyDescent="0.35">
      <c r="A428">
        <v>2004</v>
      </c>
      <c r="B428" t="s">
        <v>34</v>
      </c>
      <c r="C428" t="s">
        <v>144</v>
      </c>
      <c r="D428">
        <v>60</v>
      </c>
      <c r="E428" t="s">
        <v>466</v>
      </c>
    </row>
    <row r="429" spans="1:5" x14ac:dyDescent="0.35">
      <c r="A429">
        <v>2004</v>
      </c>
      <c r="B429" t="s">
        <v>35</v>
      </c>
      <c r="C429" t="s">
        <v>145</v>
      </c>
      <c r="D429">
        <v>55</v>
      </c>
      <c r="E429" t="s">
        <v>466</v>
      </c>
    </row>
    <row r="430" spans="1:5" x14ac:dyDescent="0.35">
      <c r="A430">
        <v>2004</v>
      </c>
      <c r="B430" t="s">
        <v>36</v>
      </c>
      <c r="C430" t="s">
        <v>371</v>
      </c>
      <c r="D430">
        <v>6</v>
      </c>
      <c r="E430" t="s">
        <v>466</v>
      </c>
    </row>
    <row r="431" spans="1:5" x14ac:dyDescent="0.35">
      <c r="A431">
        <v>2004</v>
      </c>
      <c r="B431" t="s">
        <v>37</v>
      </c>
      <c r="C431" t="s">
        <v>146</v>
      </c>
      <c r="D431">
        <v>42</v>
      </c>
      <c r="E431" t="s">
        <v>466</v>
      </c>
    </row>
    <row r="432" spans="1:5" x14ac:dyDescent="0.35">
      <c r="A432">
        <v>2004</v>
      </c>
      <c r="B432" t="s">
        <v>36</v>
      </c>
      <c r="C432" t="s">
        <v>147</v>
      </c>
      <c r="D432">
        <v>1664</v>
      </c>
      <c r="E432" t="s">
        <v>466</v>
      </c>
    </row>
    <row r="433" spans="1:5" x14ac:dyDescent="0.35">
      <c r="A433">
        <v>2004</v>
      </c>
      <c r="B433" t="s">
        <v>33</v>
      </c>
      <c r="C433" t="s">
        <v>148</v>
      </c>
      <c r="D433">
        <v>19</v>
      </c>
      <c r="E433" t="s">
        <v>466</v>
      </c>
    </row>
    <row r="434" spans="1:5" x14ac:dyDescent="0.35">
      <c r="A434">
        <v>2004</v>
      </c>
      <c r="B434" t="s">
        <v>33</v>
      </c>
      <c r="C434" t="s">
        <v>149</v>
      </c>
      <c r="D434">
        <v>279</v>
      </c>
      <c r="E434" t="s">
        <v>466</v>
      </c>
    </row>
    <row r="435" spans="1:5" x14ac:dyDescent="0.35">
      <c r="A435">
        <v>2004</v>
      </c>
      <c r="B435" t="s">
        <v>35</v>
      </c>
      <c r="C435" t="s">
        <v>322</v>
      </c>
      <c r="D435">
        <v>35</v>
      </c>
      <c r="E435" t="s">
        <v>466</v>
      </c>
    </row>
    <row r="436" spans="1:5" x14ac:dyDescent="0.35">
      <c r="A436">
        <v>2004</v>
      </c>
      <c r="B436" t="s">
        <v>35</v>
      </c>
      <c r="C436" t="s">
        <v>150</v>
      </c>
      <c r="D436">
        <v>12</v>
      </c>
      <c r="E436" t="s">
        <v>466</v>
      </c>
    </row>
    <row r="437" spans="1:5" x14ac:dyDescent="0.35">
      <c r="A437">
        <v>2004</v>
      </c>
      <c r="B437" t="s">
        <v>34</v>
      </c>
      <c r="C437" t="s">
        <v>152</v>
      </c>
      <c r="D437">
        <v>641</v>
      </c>
      <c r="E437" t="s">
        <v>466</v>
      </c>
    </row>
    <row r="438" spans="1:5" x14ac:dyDescent="0.35">
      <c r="A438">
        <v>2004</v>
      </c>
      <c r="B438" t="s">
        <v>37</v>
      </c>
      <c r="C438" t="s">
        <v>153</v>
      </c>
      <c r="D438">
        <v>8</v>
      </c>
      <c r="E438" t="s">
        <v>466</v>
      </c>
    </row>
    <row r="439" spans="1:5" x14ac:dyDescent="0.35">
      <c r="A439">
        <v>2004</v>
      </c>
      <c r="B439" t="s">
        <v>36</v>
      </c>
      <c r="C439" t="s">
        <v>154</v>
      </c>
      <c r="D439">
        <v>97</v>
      </c>
      <c r="E439" t="s">
        <v>466</v>
      </c>
    </row>
    <row r="440" spans="1:5" x14ac:dyDescent="0.35">
      <c r="A440">
        <v>2004</v>
      </c>
      <c r="B440" t="s">
        <v>38</v>
      </c>
      <c r="C440" t="s">
        <v>155</v>
      </c>
      <c r="D440">
        <v>35</v>
      </c>
      <c r="E440" t="s">
        <v>466</v>
      </c>
    </row>
    <row r="441" spans="1:5" x14ac:dyDescent="0.35">
      <c r="A441">
        <v>2004</v>
      </c>
      <c r="B441" t="s">
        <v>38</v>
      </c>
      <c r="C441" t="s">
        <v>156</v>
      </c>
      <c r="D441">
        <v>714</v>
      </c>
      <c r="E441" t="s">
        <v>466</v>
      </c>
    </row>
    <row r="442" spans="1:5" x14ac:dyDescent="0.35">
      <c r="A442">
        <v>2004</v>
      </c>
      <c r="B442" t="s">
        <v>34</v>
      </c>
      <c r="C442" t="s">
        <v>18</v>
      </c>
      <c r="D442">
        <v>488</v>
      </c>
      <c r="E442" t="s">
        <v>466</v>
      </c>
    </row>
    <row r="443" spans="1:5" x14ac:dyDescent="0.35">
      <c r="A443">
        <v>2004</v>
      </c>
      <c r="B443" t="s">
        <v>35</v>
      </c>
      <c r="C443" t="s">
        <v>157</v>
      </c>
      <c r="D443">
        <v>440</v>
      </c>
      <c r="E443" t="s">
        <v>466</v>
      </c>
    </row>
    <row r="444" spans="1:5" x14ac:dyDescent="0.35">
      <c r="A444">
        <v>2004</v>
      </c>
      <c r="B444" t="s">
        <v>35</v>
      </c>
      <c r="C444" t="s">
        <v>158</v>
      </c>
      <c r="D444">
        <v>86</v>
      </c>
      <c r="E444" t="s">
        <v>466</v>
      </c>
    </row>
    <row r="445" spans="1:5" x14ac:dyDescent="0.35">
      <c r="A445">
        <v>2004</v>
      </c>
      <c r="B445" t="s">
        <v>35</v>
      </c>
      <c r="C445" t="s">
        <v>160</v>
      </c>
      <c r="D445">
        <v>153</v>
      </c>
      <c r="E445" t="s">
        <v>466</v>
      </c>
    </row>
    <row r="446" spans="1:5" x14ac:dyDescent="0.35">
      <c r="A446">
        <v>2004</v>
      </c>
      <c r="B446" t="s">
        <v>35</v>
      </c>
      <c r="C446" t="s">
        <v>161</v>
      </c>
      <c r="D446">
        <v>175</v>
      </c>
      <c r="E446" t="s">
        <v>466</v>
      </c>
    </row>
    <row r="447" spans="1:5" x14ac:dyDescent="0.35">
      <c r="A447">
        <v>2004</v>
      </c>
      <c r="B447" t="s">
        <v>33</v>
      </c>
      <c r="C447" t="s">
        <v>162</v>
      </c>
      <c r="D447">
        <v>6</v>
      </c>
      <c r="E447" t="s">
        <v>466</v>
      </c>
    </row>
    <row r="448" spans="1:5" x14ac:dyDescent="0.35">
      <c r="A448">
        <v>2004</v>
      </c>
      <c r="B448" t="s">
        <v>36</v>
      </c>
      <c r="C448" t="s">
        <v>163</v>
      </c>
      <c r="D448">
        <v>11</v>
      </c>
      <c r="E448" t="s">
        <v>466</v>
      </c>
    </row>
    <row r="449" spans="1:5" x14ac:dyDescent="0.35">
      <c r="A449">
        <v>2004</v>
      </c>
      <c r="B449" t="s">
        <v>36</v>
      </c>
      <c r="C449" t="s">
        <v>164</v>
      </c>
      <c r="D449">
        <v>22</v>
      </c>
      <c r="E449" t="s">
        <v>466</v>
      </c>
    </row>
    <row r="450" spans="1:5" x14ac:dyDescent="0.35">
      <c r="A450">
        <v>2004</v>
      </c>
      <c r="B450" t="s">
        <v>36</v>
      </c>
      <c r="C450" t="s">
        <v>165</v>
      </c>
      <c r="D450">
        <v>8</v>
      </c>
      <c r="E450" t="s">
        <v>466</v>
      </c>
    </row>
    <row r="451" spans="1:5" x14ac:dyDescent="0.35">
      <c r="A451">
        <v>2004</v>
      </c>
      <c r="B451" t="s">
        <v>37</v>
      </c>
      <c r="C451" t="s">
        <v>166</v>
      </c>
      <c r="D451">
        <v>30</v>
      </c>
      <c r="E451" t="s">
        <v>466</v>
      </c>
    </row>
    <row r="452" spans="1:5" x14ac:dyDescent="0.35">
      <c r="A452">
        <v>2004</v>
      </c>
      <c r="B452" t="s">
        <v>34</v>
      </c>
      <c r="C452" t="s">
        <v>167</v>
      </c>
      <c r="D452">
        <v>72</v>
      </c>
      <c r="E452" t="s">
        <v>466</v>
      </c>
    </row>
    <row r="453" spans="1:5" x14ac:dyDescent="0.35">
      <c r="A453">
        <v>2004</v>
      </c>
      <c r="B453" t="s">
        <v>33</v>
      </c>
      <c r="C453" t="s">
        <v>168</v>
      </c>
      <c r="D453">
        <v>69</v>
      </c>
      <c r="E453" t="s">
        <v>466</v>
      </c>
    </row>
    <row r="454" spans="1:5" x14ac:dyDescent="0.35">
      <c r="A454">
        <v>2004</v>
      </c>
      <c r="B454" t="s">
        <v>35</v>
      </c>
      <c r="C454" t="s">
        <v>169</v>
      </c>
      <c r="E454" t="s">
        <v>466</v>
      </c>
    </row>
    <row r="455" spans="1:5" x14ac:dyDescent="0.35">
      <c r="A455">
        <v>2004</v>
      </c>
      <c r="B455" t="s">
        <v>35</v>
      </c>
      <c r="C455" t="s">
        <v>215</v>
      </c>
      <c r="D455">
        <v>150</v>
      </c>
      <c r="E455" t="s">
        <v>466</v>
      </c>
    </row>
    <row r="456" spans="1:5" x14ac:dyDescent="0.35">
      <c r="A456">
        <v>2004</v>
      </c>
      <c r="B456" t="s">
        <v>33</v>
      </c>
      <c r="C456" t="s">
        <v>170</v>
      </c>
      <c r="D456">
        <v>31</v>
      </c>
      <c r="E456" t="s">
        <v>466</v>
      </c>
    </row>
    <row r="457" spans="1:5" x14ac:dyDescent="0.35">
      <c r="A457">
        <v>2004</v>
      </c>
      <c r="B457" t="s">
        <v>34</v>
      </c>
      <c r="C457" t="s">
        <v>171</v>
      </c>
      <c r="D457">
        <v>18</v>
      </c>
      <c r="E457" t="s">
        <v>466</v>
      </c>
    </row>
    <row r="458" spans="1:5" x14ac:dyDescent="0.35">
      <c r="A458">
        <v>2004</v>
      </c>
      <c r="B458" t="s">
        <v>35</v>
      </c>
      <c r="C458" t="s">
        <v>172</v>
      </c>
      <c r="D458">
        <v>56</v>
      </c>
      <c r="E458" t="s">
        <v>466</v>
      </c>
    </row>
    <row r="459" spans="1:5" x14ac:dyDescent="0.35">
      <c r="A459">
        <v>2004</v>
      </c>
      <c r="B459" t="s">
        <v>35</v>
      </c>
      <c r="C459" t="s">
        <v>173</v>
      </c>
      <c r="E459" t="s">
        <v>466</v>
      </c>
    </row>
    <row r="460" spans="1:5" x14ac:dyDescent="0.35">
      <c r="A460">
        <v>2004</v>
      </c>
      <c r="B460" t="s">
        <v>33</v>
      </c>
      <c r="C460" t="s">
        <v>174</v>
      </c>
      <c r="D460">
        <v>50</v>
      </c>
      <c r="E460" t="s">
        <v>466</v>
      </c>
    </row>
    <row r="461" spans="1:5" x14ac:dyDescent="0.35">
      <c r="A461">
        <v>2004</v>
      </c>
      <c r="B461" t="s">
        <v>33</v>
      </c>
      <c r="C461" t="s">
        <v>175</v>
      </c>
      <c r="D461">
        <v>83</v>
      </c>
      <c r="E461" t="s">
        <v>466</v>
      </c>
    </row>
    <row r="462" spans="1:5" x14ac:dyDescent="0.35">
      <c r="A462">
        <v>2004</v>
      </c>
      <c r="B462" t="s">
        <v>33</v>
      </c>
      <c r="C462" t="s">
        <v>176</v>
      </c>
      <c r="E462" t="s">
        <v>466</v>
      </c>
    </row>
    <row r="463" spans="1:5" x14ac:dyDescent="0.35">
      <c r="A463">
        <v>2004</v>
      </c>
      <c r="B463" t="s">
        <v>35</v>
      </c>
      <c r="C463" t="s">
        <v>216</v>
      </c>
      <c r="D463">
        <v>20</v>
      </c>
      <c r="E463" t="s">
        <v>466</v>
      </c>
    </row>
    <row r="464" spans="1:5" x14ac:dyDescent="0.35">
      <c r="A464">
        <v>2004</v>
      </c>
      <c r="B464" t="s">
        <v>35</v>
      </c>
      <c r="C464" t="s">
        <v>177</v>
      </c>
      <c r="D464">
        <v>41</v>
      </c>
      <c r="E464" t="s">
        <v>466</v>
      </c>
    </row>
    <row r="465" spans="1:5" x14ac:dyDescent="0.35">
      <c r="A465">
        <v>2004</v>
      </c>
      <c r="B465" t="s">
        <v>34</v>
      </c>
      <c r="C465" t="s">
        <v>178</v>
      </c>
      <c r="D465">
        <v>26</v>
      </c>
      <c r="E465" t="s">
        <v>466</v>
      </c>
    </row>
    <row r="466" spans="1:5" x14ac:dyDescent="0.35">
      <c r="A466">
        <v>2004</v>
      </c>
      <c r="B466" t="s">
        <v>33</v>
      </c>
      <c r="C466" t="s">
        <v>179</v>
      </c>
      <c r="D466">
        <v>50</v>
      </c>
      <c r="E466" t="s">
        <v>466</v>
      </c>
    </row>
    <row r="467" spans="1:5" x14ac:dyDescent="0.35">
      <c r="A467">
        <v>2004</v>
      </c>
      <c r="B467" t="s">
        <v>38</v>
      </c>
      <c r="C467" t="s">
        <v>180</v>
      </c>
      <c r="D467">
        <v>10</v>
      </c>
      <c r="E467" t="s">
        <v>466</v>
      </c>
    </row>
    <row r="468" spans="1:5" x14ac:dyDescent="0.35">
      <c r="A468">
        <v>2004</v>
      </c>
      <c r="B468" t="s">
        <v>35</v>
      </c>
      <c r="C468" t="s">
        <v>182</v>
      </c>
      <c r="D468">
        <v>18</v>
      </c>
      <c r="E468" t="s">
        <v>466</v>
      </c>
    </row>
    <row r="469" spans="1:5" x14ac:dyDescent="0.35">
      <c r="A469">
        <v>2004</v>
      </c>
      <c r="B469" t="s">
        <v>35</v>
      </c>
      <c r="C469" t="s">
        <v>183</v>
      </c>
      <c r="D469">
        <v>11</v>
      </c>
      <c r="E469" t="s">
        <v>466</v>
      </c>
    </row>
    <row r="470" spans="1:5" x14ac:dyDescent="0.35">
      <c r="A470">
        <v>2004</v>
      </c>
      <c r="B470" t="s">
        <v>34</v>
      </c>
      <c r="C470" t="s">
        <v>184</v>
      </c>
      <c r="D470">
        <v>106</v>
      </c>
      <c r="E470" t="s">
        <v>466</v>
      </c>
    </row>
    <row r="471" spans="1:5" x14ac:dyDescent="0.35">
      <c r="A471">
        <v>2004</v>
      </c>
      <c r="B471" t="s">
        <v>34</v>
      </c>
      <c r="C471" t="s">
        <v>185</v>
      </c>
      <c r="D471">
        <v>37</v>
      </c>
      <c r="E471" t="s">
        <v>466</v>
      </c>
    </row>
    <row r="472" spans="1:5" x14ac:dyDescent="0.35">
      <c r="A472">
        <v>2004</v>
      </c>
      <c r="B472" t="s">
        <v>34</v>
      </c>
      <c r="C472" t="s">
        <v>186</v>
      </c>
      <c r="D472">
        <v>8</v>
      </c>
      <c r="E472" t="s">
        <v>466</v>
      </c>
    </row>
    <row r="473" spans="1:5" x14ac:dyDescent="0.35">
      <c r="A473">
        <v>2004</v>
      </c>
      <c r="B473" t="s">
        <v>33</v>
      </c>
      <c r="C473" t="s">
        <v>187</v>
      </c>
      <c r="D473">
        <v>44</v>
      </c>
      <c r="E473" t="s">
        <v>466</v>
      </c>
    </row>
    <row r="474" spans="1:5" x14ac:dyDescent="0.35">
      <c r="A474">
        <v>2004</v>
      </c>
      <c r="B474" t="s">
        <v>34</v>
      </c>
      <c r="C474" t="s">
        <v>188</v>
      </c>
      <c r="D474">
        <v>123</v>
      </c>
      <c r="E474" t="s">
        <v>466</v>
      </c>
    </row>
    <row r="475" spans="1:5" x14ac:dyDescent="0.35">
      <c r="A475">
        <v>2004</v>
      </c>
      <c r="B475" t="s">
        <v>33</v>
      </c>
      <c r="C475" t="s">
        <v>189</v>
      </c>
      <c r="D475">
        <v>16</v>
      </c>
      <c r="E475" t="s">
        <v>466</v>
      </c>
    </row>
    <row r="476" spans="1:5" x14ac:dyDescent="0.35">
      <c r="A476">
        <v>2004</v>
      </c>
      <c r="B476" t="s">
        <v>37</v>
      </c>
      <c r="C476" t="s">
        <v>190</v>
      </c>
      <c r="D476">
        <v>52</v>
      </c>
      <c r="E476" t="s">
        <v>466</v>
      </c>
    </row>
    <row r="477" spans="1:5" x14ac:dyDescent="0.35">
      <c r="A477">
        <v>2004</v>
      </c>
      <c r="B477" t="s">
        <v>36</v>
      </c>
      <c r="C477" t="s">
        <v>191</v>
      </c>
      <c r="D477">
        <v>181</v>
      </c>
      <c r="E477" t="s">
        <v>466</v>
      </c>
    </row>
    <row r="478" spans="1:5" x14ac:dyDescent="0.35">
      <c r="A478">
        <v>2004</v>
      </c>
      <c r="B478" t="s">
        <v>33</v>
      </c>
      <c r="C478" t="s">
        <v>192</v>
      </c>
      <c r="D478">
        <v>79</v>
      </c>
      <c r="E478" t="s">
        <v>466</v>
      </c>
    </row>
    <row r="479" spans="1:5" x14ac:dyDescent="0.35">
      <c r="A479">
        <v>2004</v>
      </c>
      <c r="B479" t="s">
        <v>34</v>
      </c>
      <c r="C479" t="s">
        <v>193</v>
      </c>
      <c r="D479">
        <v>232</v>
      </c>
      <c r="E479" t="s">
        <v>466</v>
      </c>
    </row>
    <row r="480" spans="1:5" x14ac:dyDescent="0.35">
      <c r="A480">
        <v>2004</v>
      </c>
      <c r="B480" t="s">
        <v>34</v>
      </c>
      <c r="C480" t="s">
        <v>194</v>
      </c>
      <c r="D480">
        <v>4</v>
      </c>
      <c r="E480" t="s">
        <v>466</v>
      </c>
    </row>
    <row r="481" spans="1:5" x14ac:dyDescent="0.35">
      <c r="A481">
        <v>2004</v>
      </c>
      <c r="B481" t="s">
        <v>36</v>
      </c>
      <c r="C481" t="s">
        <v>372</v>
      </c>
      <c r="E481" t="s">
        <v>466</v>
      </c>
    </row>
    <row r="482" spans="1:5" x14ac:dyDescent="0.35">
      <c r="A482">
        <v>2004</v>
      </c>
      <c r="B482" t="s">
        <v>33</v>
      </c>
      <c r="C482" t="s">
        <v>195</v>
      </c>
      <c r="D482">
        <v>17</v>
      </c>
      <c r="E482" t="s">
        <v>466</v>
      </c>
    </row>
    <row r="483" spans="1:5" x14ac:dyDescent="0.35">
      <c r="A483">
        <v>2004</v>
      </c>
      <c r="B483" t="s">
        <v>35</v>
      </c>
      <c r="C483" t="s">
        <v>196</v>
      </c>
      <c r="D483">
        <v>137</v>
      </c>
      <c r="E483" t="s">
        <v>466</v>
      </c>
    </row>
    <row r="484" spans="1:5" x14ac:dyDescent="0.35">
      <c r="A484">
        <v>2004</v>
      </c>
      <c r="B484" t="s">
        <v>34</v>
      </c>
      <c r="C484" t="s">
        <v>197</v>
      </c>
      <c r="D484">
        <v>9</v>
      </c>
      <c r="E484" t="s">
        <v>466</v>
      </c>
    </row>
    <row r="485" spans="1:5" x14ac:dyDescent="0.35">
      <c r="A485">
        <v>2004</v>
      </c>
      <c r="B485" t="s">
        <v>35</v>
      </c>
      <c r="C485" t="s">
        <v>198</v>
      </c>
      <c r="D485">
        <v>326</v>
      </c>
      <c r="E485" t="s">
        <v>466</v>
      </c>
    </row>
    <row r="486" spans="1:5" x14ac:dyDescent="0.35">
      <c r="A486">
        <v>2004</v>
      </c>
      <c r="B486" t="s">
        <v>39</v>
      </c>
      <c r="C486" t="s">
        <v>39</v>
      </c>
      <c r="D486">
        <v>23386</v>
      </c>
      <c r="E486" t="s">
        <v>466</v>
      </c>
    </row>
    <row r="487" spans="1:5" x14ac:dyDescent="0.35">
      <c r="A487">
        <v>2004</v>
      </c>
      <c r="B487" t="s">
        <v>38</v>
      </c>
      <c r="C487" t="s">
        <v>199</v>
      </c>
      <c r="D487">
        <v>114</v>
      </c>
      <c r="E487" t="s">
        <v>466</v>
      </c>
    </row>
    <row r="488" spans="1:5" x14ac:dyDescent="0.35">
      <c r="A488">
        <v>2004</v>
      </c>
      <c r="B488" t="s">
        <v>34</v>
      </c>
      <c r="C488" t="s">
        <v>200</v>
      </c>
      <c r="D488">
        <v>73</v>
      </c>
      <c r="E488" t="s">
        <v>466</v>
      </c>
    </row>
    <row r="489" spans="1:5" x14ac:dyDescent="0.35">
      <c r="A489">
        <v>2004</v>
      </c>
      <c r="B489" t="s">
        <v>38</v>
      </c>
      <c r="C489" t="s">
        <v>19</v>
      </c>
      <c r="D489">
        <v>249</v>
      </c>
      <c r="E489" t="s">
        <v>466</v>
      </c>
    </row>
    <row r="490" spans="1:5" x14ac:dyDescent="0.35">
      <c r="A490">
        <v>2004</v>
      </c>
      <c r="B490" t="s">
        <v>34</v>
      </c>
      <c r="C490" t="s">
        <v>201</v>
      </c>
      <c r="D490">
        <v>271</v>
      </c>
      <c r="E490" t="s">
        <v>466</v>
      </c>
    </row>
    <row r="491" spans="1:5" x14ac:dyDescent="0.35">
      <c r="A491">
        <v>2004</v>
      </c>
      <c r="B491" t="s">
        <v>34</v>
      </c>
      <c r="C491" t="s">
        <v>202</v>
      </c>
      <c r="D491">
        <v>88</v>
      </c>
      <c r="E491" t="s">
        <v>466</v>
      </c>
    </row>
    <row r="492" spans="1:5" x14ac:dyDescent="0.35">
      <c r="A492">
        <v>2004</v>
      </c>
      <c r="B492" t="s">
        <v>33</v>
      </c>
      <c r="C492" t="s">
        <v>203</v>
      </c>
      <c r="D492">
        <v>24</v>
      </c>
      <c r="E492" t="s">
        <v>466</v>
      </c>
    </row>
    <row r="493" spans="1:5" x14ac:dyDescent="0.35">
      <c r="A493">
        <v>2004</v>
      </c>
      <c r="B493" t="s">
        <v>33</v>
      </c>
      <c r="C493" t="s">
        <v>204</v>
      </c>
      <c r="D493">
        <v>26</v>
      </c>
      <c r="E493" t="s">
        <v>466</v>
      </c>
    </row>
    <row r="494" spans="1:5" x14ac:dyDescent="0.35">
      <c r="A494">
        <v>2005</v>
      </c>
      <c r="B494" t="s">
        <v>37</v>
      </c>
      <c r="C494" t="s">
        <v>153</v>
      </c>
      <c r="D494">
        <v>6</v>
      </c>
      <c r="E494" t="s">
        <v>458</v>
      </c>
    </row>
    <row r="495" spans="1:5" x14ac:dyDescent="0.35">
      <c r="A495">
        <v>2005</v>
      </c>
      <c r="B495" t="s">
        <v>38</v>
      </c>
      <c r="C495" t="s">
        <v>156</v>
      </c>
      <c r="D495">
        <v>304</v>
      </c>
      <c r="E495" t="s">
        <v>458</v>
      </c>
    </row>
    <row r="496" spans="1:5" x14ac:dyDescent="0.35">
      <c r="A496">
        <v>2005</v>
      </c>
      <c r="B496" t="s">
        <v>38</v>
      </c>
      <c r="C496" t="s">
        <v>155</v>
      </c>
      <c r="D496">
        <v>46</v>
      </c>
      <c r="E496" t="s">
        <v>328</v>
      </c>
    </row>
    <row r="497" spans="1:5" x14ac:dyDescent="0.35">
      <c r="A497">
        <v>2005</v>
      </c>
      <c r="B497" t="s">
        <v>38</v>
      </c>
      <c r="C497" t="s">
        <v>155</v>
      </c>
      <c r="D497">
        <v>11</v>
      </c>
      <c r="E497" t="s">
        <v>458</v>
      </c>
    </row>
    <row r="498" spans="1:5" x14ac:dyDescent="0.35">
      <c r="A498">
        <v>2005</v>
      </c>
      <c r="B498" t="s">
        <v>36</v>
      </c>
      <c r="C498" t="s">
        <v>154</v>
      </c>
      <c r="D498">
        <v>65</v>
      </c>
      <c r="E498" t="s">
        <v>328</v>
      </c>
    </row>
    <row r="499" spans="1:5" x14ac:dyDescent="0.35">
      <c r="A499">
        <v>2005</v>
      </c>
      <c r="B499" t="s">
        <v>36</v>
      </c>
      <c r="C499" t="s">
        <v>154</v>
      </c>
      <c r="D499">
        <v>122</v>
      </c>
      <c r="E499" t="s">
        <v>458</v>
      </c>
    </row>
    <row r="500" spans="1:5" x14ac:dyDescent="0.35">
      <c r="A500">
        <v>2005</v>
      </c>
      <c r="B500" t="s">
        <v>34</v>
      </c>
      <c r="C500" t="s">
        <v>152</v>
      </c>
      <c r="D500">
        <v>551</v>
      </c>
      <c r="E500" t="s">
        <v>328</v>
      </c>
    </row>
    <row r="501" spans="1:5" x14ac:dyDescent="0.35">
      <c r="A501">
        <v>2005</v>
      </c>
      <c r="B501" t="s">
        <v>37</v>
      </c>
      <c r="C501" t="s">
        <v>166</v>
      </c>
      <c r="D501">
        <v>6</v>
      </c>
      <c r="E501" t="s">
        <v>328</v>
      </c>
    </row>
    <row r="502" spans="1:5" x14ac:dyDescent="0.35">
      <c r="A502">
        <v>2005</v>
      </c>
      <c r="B502" t="s">
        <v>35</v>
      </c>
      <c r="C502" t="s">
        <v>150</v>
      </c>
      <c r="D502">
        <v>5</v>
      </c>
      <c r="E502" t="s">
        <v>328</v>
      </c>
    </row>
    <row r="503" spans="1:5" x14ac:dyDescent="0.35">
      <c r="A503">
        <v>2005</v>
      </c>
      <c r="B503" t="s">
        <v>35</v>
      </c>
      <c r="C503" t="s">
        <v>150</v>
      </c>
      <c r="D503">
        <v>3</v>
      </c>
      <c r="E503" t="s">
        <v>458</v>
      </c>
    </row>
    <row r="504" spans="1:5" x14ac:dyDescent="0.35">
      <c r="A504">
        <v>2005</v>
      </c>
      <c r="B504" t="s">
        <v>35</v>
      </c>
      <c r="C504" t="s">
        <v>322</v>
      </c>
      <c r="E504" t="s">
        <v>328</v>
      </c>
    </row>
    <row r="505" spans="1:5" x14ac:dyDescent="0.35">
      <c r="A505">
        <v>2005</v>
      </c>
      <c r="B505" t="s">
        <v>35</v>
      </c>
      <c r="C505" t="s">
        <v>322</v>
      </c>
      <c r="E505" t="s">
        <v>458</v>
      </c>
    </row>
    <row r="506" spans="1:5" x14ac:dyDescent="0.35">
      <c r="A506">
        <v>2005</v>
      </c>
      <c r="B506" t="s">
        <v>33</v>
      </c>
      <c r="C506" t="s">
        <v>149</v>
      </c>
      <c r="D506">
        <v>248</v>
      </c>
      <c r="E506" t="s">
        <v>328</v>
      </c>
    </row>
    <row r="507" spans="1:5" x14ac:dyDescent="0.35">
      <c r="A507">
        <v>2005</v>
      </c>
      <c r="B507" t="s">
        <v>33</v>
      </c>
      <c r="C507" t="s">
        <v>149</v>
      </c>
      <c r="D507">
        <v>232</v>
      </c>
      <c r="E507" t="s">
        <v>458</v>
      </c>
    </row>
    <row r="508" spans="1:5" x14ac:dyDescent="0.35">
      <c r="A508">
        <v>2005</v>
      </c>
      <c r="B508" t="s">
        <v>33</v>
      </c>
      <c r="C508" t="s">
        <v>148</v>
      </c>
      <c r="D508">
        <v>26</v>
      </c>
      <c r="E508" t="s">
        <v>328</v>
      </c>
    </row>
    <row r="509" spans="1:5" x14ac:dyDescent="0.35">
      <c r="A509">
        <v>2005</v>
      </c>
      <c r="B509" t="s">
        <v>38</v>
      </c>
      <c r="C509" t="s">
        <v>156</v>
      </c>
      <c r="D509">
        <v>916</v>
      </c>
      <c r="E509" t="s">
        <v>328</v>
      </c>
    </row>
    <row r="510" spans="1:5" x14ac:dyDescent="0.35">
      <c r="A510">
        <v>2005</v>
      </c>
      <c r="B510" t="s">
        <v>34</v>
      </c>
      <c r="C510" t="s">
        <v>152</v>
      </c>
      <c r="D510">
        <v>104</v>
      </c>
      <c r="E510" t="s">
        <v>458</v>
      </c>
    </row>
    <row r="511" spans="1:5" x14ac:dyDescent="0.35">
      <c r="A511">
        <v>2005</v>
      </c>
      <c r="B511" t="s">
        <v>34</v>
      </c>
      <c r="C511" t="s">
        <v>18</v>
      </c>
      <c r="D511">
        <v>357</v>
      </c>
      <c r="E511" t="s">
        <v>458</v>
      </c>
    </row>
    <row r="512" spans="1:5" x14ac:dyDescent="0.35">
      <c r="A512">
        <v>2005</v>
      </c>
      <c r="B512" t="s">
        <v>37</v>
      </c>
      <c r="C512" t="s">
        <v>166</v>
      </c>
      <c r="D512">
        <v>15</v>
      </c>
      <c r="E512" t="s">
        <v>458</v>
      </c>
    </row>
    <row r="513" spans="1:5" x14ac:dyDescent="0.35">
      <c r="A513">
        <v>2005</v>
      </c>
      <c r="B513" t="s">
        <v>35</v>
      </c>
      <c r="C513" t="s">
        <v>157</v>
      </c>
      <c r="D513">
        <v>135</v>
      </c>
      <c r="E513" t="s">
        <v>458</v>
      </c>
    </row>
    <row r="514" spans="1:5" x14ac:dyDescent="0.35">
      <c r="A514">
        <v>2005</v>
      </c>
      <c r="B514" t="s">
        <v>33</v>
      </c>
      <c r="C514" t="s">
        <v>148</v>
      </c>
      <c r="D514">
        <v>8</v>
      </c>
      <c r="E514" t="s">
        <v>458</v>
      </c>
    </row>
    <row r="515" spans="1:5" x14ac:dyDescent="0.35">
      <c r="A515">
        <v>2005</v>
      </c>
      <c r="B515" t="s">
        <v>36</v>
      </c>
      <c r="C515" t="s">
        <v>165</v>
      </c>
      <c r="D515">
        <v>14</v>
      </c>
      <c r="E515" t="s">
        <v>328</v>
      </c>
    </row>
    <row r="516" spans="1:5" x14ac:dyDescent="0.35">
      <c r="A516">
        <v>2005</v>
      </c>
      <c r="B516" t="s">
        <v>36</v>
      </c>
      <c r="C516" t="s">
        <v>165</v>
      </c>
      <c r="D516">
        <v>30</v>
      </c>
      <c r="E516" t="s">
        <v>458</v>
      </c>
    </row>
    <row r="517" spans="1:5" x14ac:dyDescent="0.35">
      <c r="A517">
        <v>2005</v>
      </c>
      <c r="B517" t="s">
        <v>36</v>
      </c>
      <c r="C517" t="s">
        <v>164</v>
      </c>
      <c r="D517">
        <v>32</v>
      </c>
      <c r="E517" t="s">
        <v>328</v>
      </c>
    </row>
    <row r="518" spans="1:5" x14ac:dyDescent="0.35">
      <c r="A518">
        <v>2005</v>
      </c>
      <c r="B518" t="s">
        <v>36</v>
      </c>
      <c r="C518" t="s">
        <v>164</v>
      </c>
      <c r="D518">
        <v>18</v>
      </c>
      <c r="E518" t="s">
        <v>458</v>
      </c>
    </row>
    <row r="519" spans="1:5" x14ac:dyDescent="0.35">
      <c r="A519">
        <v>2005</v>
      </c>
      <c r="B519" t="s">
        <v>36</v>
      </c>
      <c r="C519" t="s">
        <v>163</v>
      </c>
      <c r="D519">
        <v>3</v>
      </c>
      <c r="E519" t="s">
        <v>328</v>
      </c>
    </row>
    <row r="520" spans="1:5" x14ac:dyDescent="0.35">
      <c r="A520">
        <v>2005</v>
      </c>
      <c r="B520" t="s">
        <v>36</v>
      </c>
      <c r="C520" t="s">
        <v>163</v>
      </c>
      <c r="D520">
        <v>21</v>
      </c>
      <c r="E520" t="s">
        <v>458</v>
      </c>
    </row>
    <row r="521" spans="1:5" x14ac:dyDescent="0.35">
      <c r="A521">
        <v>2005</v>
      </c>
      <c r="B521" t="s">
        <v>34</v>
      </c>
      <c r="C521" t="s">
        <v>18</v>
      </c>
      <c r="D521">
        <v>398</v>
      </c>
      <c r="E521" t="s">
        <v>328</v>
      </c>
    </row>
    <row r="522" spans="1:5" x14ac:dyDescent="0.35">
      <c r="A522">
        <v>2005</v>
      </c>
      <c r="B522" t="s">
        <v>33</v>
      </c>
      <c r="C522" t="s">
        <v>162</v>
      </c>
      <c r="E522" t="s">
        <v>328</v>
      </c>
    </row>
    <row r="523" spans="1:5" x14ac:dyDescent="0.35">
      <c r="A523">
        <v>2005</v>
      </c>
      <c r="B523" t="s">
        <v>35</v>
      </c>
      <c r="C523" t="s">
        <v>161</v>
      </c>
      <c r="D523">
        <v>135</v>
      </c>
      <c r="E523" t="s">
        <v>328</v>
      </c>
    </row>
    <row r="524" spans="1:5" x14ac:dyDescent="0.35">
      <c r="A524">
        <v>2005</v>
      </c>
      <c r="B524" t="s">
        <v>35</v>
      </c>
      <c r="C524" t="s">
        <v>161</v>
      </c>
      <c r="D524">
        <v>54</v>
      </c>
      <c r="E524" t="s">
        <v>458</v>
      </c>
    </row>
    <row r="525" spans="1:5" x14ac:dyDescent="0.35">
      <c r="A525">
        <v>2005</v>
      </c>
      <c r="B525" t="s">
        <v>35</v>
      </c>
      <c r="C525" t="s">
        <v>160</v>
      </c>
      <c r="D525">
        <v>106</v>
      </c>
      <c r="E525" t="s">
        <v>328</v>
      </c>
    </row>
    <row r="526" spans="1:5" x14ac:dyDescent="0.35">
      <c r="A526">
        <v>2005</v>
      </c>
      <c r="B526" t="s">
        <v>35</v>
      </c>
      <c r="C526" t="s">
        <v>160</v>
      </c>
      <c r="D526">
        <v>27</v>
      </c>
      <c r="E526" t="s">
        <v>458</v>
      </c>
    </row>
    <row r="527" spans="1:5" x14ac:dyDescent="0.35">
      <c r="A527">
        <v>2005</v>
      </c>
      <c r="B527" t="s">
        <v>35</v>
      </c>
      <c r="C527" t="s">
        <v>158</v>
      </c>
      <c r="D527">
        <v>45</v>
      </c>
      <c r="E527" t="s">
        <v>328</v>
      </c>
    </row>
    <row r="528" spans="1:5" x14ac:dyDescent="0.35">
      <c r="A528">
        <v>2005</v>
      </c>
      <c r="B528" t="s">
        <v>35</v>
      </c>
      <c r="C528" t="s">
        <v>158</v>
      </c>
      <c r="D528">
        <v>78</v>
      </c>
      <c r="E528" t="s">
        <v>458</v>
      </c>
    </row>
    <row r="529" spans="1:5" x14ac:dyDescent="0.35">
      <c r="A529">
        <v>2005</v>
      </c>
      <c r="B529" t="s">
        <v>35</v>
      </c>
      <c r="C529" t="s">
        <v>157</v>
      </c>
      <c r="D529">
        <v>314</v>
      </c>
      <c r="E529" t="s">
        <v>328</v>
      </c>
    </row>
    <row r="530" spans="1:5" x14ac:dyDescent="0.35">
      <c r="A530">
        <v>2005</v>
      </c>
      <c r="B530" t="s">
        <v>33</v>
      </c>
      <c r="C530" t="s">
        <v>162</v>
      </c>
      <c r="E530" t="s">
        <v>458</v>
      </c>
    </row>
    <row r="531" spans="1:5" x14ac:dyDescent="0.35">
      <c r="A531">
        <v>2005</v>
      </c>
      <c r="B531" t="s">
        <v>36</v>
      </c>
      <c r="C531" t="s">
        <v>147</v>
      </c>
      <c r="D531">
        <v>936</v>
      </c>
      <c r="E531" t="s">
        <v>328</v>
      </c>
    </row>
    <row r="532" spans="1:5" x14ac:dyDescent="0.35">
      <c r="A532">
        <v>2005</v>
      </c>
      <c r="B532" t="s">
        <v>36</v>
      </c>
      <c r="C532" t="s">
        <v>14</v>
      </c>
      <c r="D532">
        <v>70779</v>
      </c>
      <c r="E532" t="s">
        <v>458</v>
      </c>
    </row>
    <row r="533" spans="1:5" x14ac:dyDescent="0.35">
      <c r="A533">
        <v>2005</v>
      </c>
      <c r="B533" t="s">
        <v>37</v>
      </c>
      <c r="C533" t="s">
        <v>146</v>
      </c>
      <c r="D533">
        <v>22</v>
      </c>
      <c r="E533" t="s">
        <v>328</v>
      </c>
    </row>
    <row r="534" spans="1:5" x14ac:dyDescent="0.35">
      <c r="A534">
        <v>2005</v>
      </c>
      <c r="B534" t="s">
        <v>33</v>
      </c>
      <c r="C534" t="s">
        <v>132</v>
      </c>
      <c r="D534">
        <v>4</v>
      </c>
      <c r="E534" t="s">
        <v>458</v>
      </c>
    </row>
    <row r="535" spans="1:5" x14ac:dyDescent="0.35">
      <c r="A535">
        <v>2005</v>
      </c>
      <c r="B535" t="s">
        <v>34</v>
      </c>
      <c r="C535" t="s">
        <v>131</v>
      </c>
      <c r="D535">
        <v>76</v>
      </c>
      <c r="E535" t="s">
        <v>328</v>
      </c>
    </row>
    <row r="536" spans="1:5" x14ac:dyDescent="0.35">
      <c r="A536">
        <v>2005</v>
      </c>
      <c r="B536" t="s">
        <v>34</v>
      </c>
      <c r="C536" t="s">
        <v>131</v>
      </c>
      <c r="D536">
        <v>13</v>
      </c>
      <c r="E536" t="s">
        <v>458</v>
      </c>
    </row>
    <row r="537" spans="1:5" x14ac:dyDescent="0.35">
      <c r="A537">
        <v>2005</v>
      </c>
      <c r="B537" t="s">
        <v>33</v>
      </c>
      <c r="C537" t="s">
        <v>130</v>
      </c>
      <c r="D537">
        <v>6</v>
      </c>
      <c r="E537" t="s">
        <v>328</v>
      </c>
    </row>
    <row r="538" spans="1:5" x14ac:dyDescent="0.35">
      <c r="A538">
        <v>2005</v>
      </c>
      <c r="B538" t="s">
        <v>33</v>
      </c>
      <c r="C538" t="s">
        <v>130</v>
      </c>
      <c r="D538">
        <v>4</v>
      </c>
      <c r="E538" t="s">
        <v>458</v>
      </c>
    </row>
    <row r="539" spans="1:5" x14ac:dyDescent="0.35">
      <c r="A539">
        <v>2005</v>
      </c>
      <c r="B539" t="s">
        <v>35</v>
      </c>
      <c r="C539" t="s">
        <v>127</v>
      </c>
      <c r="D539">
        <v>50</v>
      </c>
      <c r="E539" t="s">
        <v>328</v>
      </c>
    </row>
    <row r="540" spans="1:5" x14ac:dyDescent="0.35">
      <c r="A540">
        <v>2005</v>
      </c>
      <c r="B540" t="s">
        <v>35</v>
      </c>
      <c r="C540" t="s">
        <v>127</v>
      </c>
      <c r="D540">
        <v>16</v>
      </c>
      <c r="E540" t="s">
        <v>458</v>
      </c>
    </row>
    <row r="541" spans="1:5" x14ac:dyDescent="0.35">
      <c r="A541">
        <v>2005</v>
      </c>
      <c r="B541" t="s">
        <v>33</v>
      </c>
      <c r="C541" t="s">
        <v>132</v>
      </c>
      <c r="D541">
        <v>30</v>
      </c>
      <c r="E541" t="s">
        <v>328</v>
      </c>
    </row>
    <row r="542" spans="1:5" x14ac:dyDescent="0.35">
      <c r="A542">
        <v>2005</v>
      </c>
      <c r="B542" t="s">
        <v>33</v>
      </c>
      <c r="C542" t="s">
        <v>125</v>
      </c>
      <c r="D542">
        <v>28</v>
      </c>
      <c r="E542" t="s">
        <v>328</v>
      </c>
    </row>
    <row r="543" spans="1:5" x14ac:dyDescent="0.35">
      <c r="A543">
        <v>2005</v>
      </c>
      <c r="B543" t="s">
        <v>34</v>
      </c>
      <c r="C543" t="s">
        <v>124</v>
      </c>
      <c r="D543">
        <v>111</v>
      </c>
      <c r="E543" t="s">
        <v>328</v>
      </c>
    </row>
    <row r="544" spans="1:5" x14ac:dyDescent="0.35">
      <c r="A544">
        <v>2005</v>
      </c>
      <c r="B544" t="s">
        <v>34</v>
      </c>
      <c r="C544" t="s">
        <v>124</v>
      </c>
      <c r="D544">
        <v>38</v>
      </c>
      <c r="E544" t="s">
        <v>458</v>
      </c>
    </row>
    <row r="545" spans="1:5" x14ac:dyDescent="0.35">
      <c r="A545">
        <v>2005</v>
      </c>
      <c r="B545" t="s">
        <v>35</v>
      </c>
      <c r="C545" t="s">
        <v>123</v>
      </c>
      <c r="D545">
        <v>21</v>
      </c>
      <c r="E545" t="s">
        <v>328</v>
      </c>
    </row>
    <row r="546" spans="1:5" x14ac:dyDescent="0.35">
      <c r="A546">
        <v>2005</v>
      </c>
      <c r="B546" t="s">
        <v>35</v>
      </c>
      <c r="C546" t="s">
        <v>123</v>
      </c>
      <c r="D546">
        <v>7</v>
      </c>
      <c r="E546" t="s">
        <v>458</v>
      </c>
    </row>
    <row r="547" spans="1:5" x14ac:dyDescent="0.35">
      <c r="A547">
        <v>2005</v>
      </c>
      <c r="B547" t="s">
        <v>34</v>
      </c>
      <c r="C547" t="s">
        <v>122</v>
      </c>
      <c r="D547">
        <v>8</v>
      </c>
      <c r="E547" t="s">
        <v>328</v>
      </c>
    </row>
    <row r="548" spans="1:5" x14ac:dyDescent="0.35">
      <c r="A548">
        <v>2005</v>
      </c>
      <c r="B548" t="s">
        <v>34</v>
      </c>
      <c r="C548" t="s">
        <v>122</v>
      </c>
      <c r="D548">
        <v>4</v>
      </c>
      <c r="E548" t="s">
        <v>458</v>
      </c>
    </row>
    <row r="549" spans="1:5" x14ac:dyDescent="0.35">
      <c r="A549">
        <v>2005</v>
      </c>
      <c r="B549" t="s">
        <v>34</v>
      </c>
      <c r="C549" t="s">
        <v>121</v>
      </c>
      <c r="E549" t="s">
        <v>328</v>
      </c>
    </row>
    <row r="550" spans="1:5" x14ac:dyDescent="0.35">
      <c r="A550">
        <v>2005</v>
      </c>
      <c r="B550" t="s">
        <v>33</v>
      </c>
      <c r="C550" t="s">
        <v>125</v>
      </c>
      <c r="D550">
        <v>70</v>
      </c>
      <c r="E550" t="s">
        <v>458</v>
      </c>
    </row>
    <row r="551" spans="1:5" x14ac:dyDescent="0.35">
      <c r="A551">
        <v>2005</v>
      </c>
      <c r="B551" t="s">
        <v>36</v>
      </c>
      <c r="C551" t="s">
        <v>147</v>
      </c>
      <c r="D551">
        <v>356</v>
      </c>
      <c r="E551" t="s">
        <v>458</v>
      </c>
    </row>
    <row r="552" spans="1:5" x14ac:dyDescent="0.35">
      <c r="A552">
        <v>2005</v>
      </c>
      <c r="B552" t="s">
        <v>37</v>
      </c>
      <c r="C552" t="s">
        <v>134</v>
      </c>
      <c r="E552" t="s">
        <v>458</v>
      </c>
    </row>
    <row r="553" spans="1:5" x14ac:dyDescent="0.35">
      <c r="A553">
        <v>2005</v>
      </c>
      <c r="B553" t="s">
        <v>33</v>
      </c>
      <c r="C553" t="s">
        <v>135</v>
      </c>
      <c r="D553">
        <v>32</v>
      </c>
      <c r="E553" t="s">
        <v>328</v>
      </c>
    </row>
    <row r="554" spans="1:5" x14ac:dyDescent="0.35">
      <c r="A554">
        <v>2005</v>
      </c>
      <c r="B554" t="s">
        <v>37</v>
      </c>
      <c r="C554" t="s">
        <v>146</v>
      </c>
      <c r="D554">
        <v>13</v>
      </c>
      <c r="E554" t="s">
        <v>458</v>
      </c>
    </row>
    <row r="555" spans="1:5" x14ac:dyDescent="0.35">
      <c r="A555">
        <v>2005</v>
      </c>
      <c r="B555" t="s">
        <v>35</v>
      </c>
      <c r="C555" t="s">
        <v>145</v>
      </c>
      <c r="D555">
        <v>38</v>
      </c>
      <c r="E555" t="s">
        <v>328</v>
      </c>
    </row>
    <row r="556" spans="1:5" x14ac:dyDescent="0.35">
      <c r="A556">
        <v>2005</v>
      </c>
      <c r="B556" t="s">
        <v>35</v>
      </c>
      <c r="C556" t="s">
        <v>145</v>
      </c>
      <c r="D556">
        <v>65</v>
      </c>
      <c r="E556" t="s">
        <v>458</v>
      </c>
    </row>
    <row r="557" spans="1:5" x14ac:dyDescent="0.35">
      <c r="A557">
        <v>2005</v>
      </c>
      <c r="B557" t="s">
        <v>34</v>
      </c>
      <c r="C557" t="s">
        <v>144</v>
      </c>
      <c r="D557">
        <v>30</v>
      </c>
      <c r="E557" t="s">
        <v>328</v>
      </c>
    </row>
    <row r="558" spans="1:5" x14ac:dyDescent="0.35">
      <c r="A558">
        <v>2005</v>
      </c>
      <c r="B558" t="s">
        <v>34</v>
      </c>
      <c r="C558" t="s">
        <v>144</v>
      </c>
      <c r="D558">
        <v>8</v>
      </c>
      <c r="E558" t="s">
        <v>458</v>
      </c>
    </row>
    <row r="559" spans="1:5" x14ac:dyDescent="0.35">
      <c r="A559">
        <v>2005</v>
      </c>
      <c r="B559" t="s">
        <v>33</v>
      </c>
      <c r="C559" t="s">
        <v>141</v>
      </c>
      <c r="D559">
        <v>73</v>
      </c>
      <c r="E559" t="s">
        <v>328</v>
      </c>
    </row>
    <row r="560" spans="1:5" x14ac:dyDescent="0.35">
      <c r="A560">
        <v>2005</v>
      </c>
      <c r="B560" t="s">
        <v>33</v>
      </c>
      <c r="C560" t="s">
        <v>141</v>
      </c>
      <c r="D560">
        <v>35</v>
      </c>
      <c r="E560" t="s">
        <v>458</v>
      </c>
    </row>
    <row r="561" spans="1:5" x14ac:dyDescent="0.35">
      <c r="A561">
        <v>2005</v>
      </c>
      <c r="B561" t="s">
        <v>37</v>
      </c>
      <c r="C561" t="s">
        <v>134</v>
      </c>
      <c r="E561" t="s">
        <v>328</v>
      </c>
    </row>
    <row r="562" spans="1:5" x14ac:dyDescent="0.35">
      <c r="A562">
        <v>2005</v>
      </c>
      <c r="B562" t="s">
        <v>35</v>
      </c>
      <c r="C562" t="s">
        <v>140</v>
      </c>
      <c r="E562" t="s">
        <v>328</v>
      </c>
    </row>
    <row r="563" spans="1:5" x14ac:dyDescent="0.35">
      <c r="A563">
        <v>2005</v>
      </c>
      <c r="B563" t="s">
        <v>34</v>
      </c>
      <c r="C563" t="s">
        <v>139</v>
      </c>
      <c r="E563" t="s">
        <v>328</v>
      </c>
    </row>
    <row r="564" spans="1:5" x14ac:dyDescent="0.35">
      <c r="A564">
        <v>2005</v>
      </c>
      <c r="B564" t="s">
        <v>34</v>
      </c>
      <c r="C564" t="s">
        <v>139</v>
      </c>
      <c r="E564" t="s">
        <v>458</v>
      </c>
    </row>
    <row r="565" spans="1:5" x14ac:dyDescent="0.35">
      <c r="A565">
        <v>2005</v>
      </c>
      <c r="B565" t="s">
        <v>35</v>
      </c>
      <c r="C565" t="s">
        <v>138</v>
      </c>
      <c r="D565">
        <v>8</v>
      </c>
      <c r="E565" t="s">
        <v>328</v>
      </c>
    </row>
    <row r="566" spans="1:5" x14ac:dyDescent="0.35">
      <c r="A566">
        <v>2005</v>
      </c>
      <c r="B566" t="s">
        <v>35</v>
      </c>
      <c r="C566" t="s">
        <v>138</v>
      </c>
      <c r="D566">
        <v>4</v>
      </c>
      <c r="E566" t="s">
        <v>458</v>
      </c>
    </row>
    <row r="567" spans="1:5" x14ac:dyDescent="0.35">
      <c r="A567">
        <v>2005</v>
      </c>
      <c r="B567" t="s">
        <v>37</v>
      </c>
      <c r="C567" t="s">
        <v>137</v>
      </c>
      <c r="D567">
        <v>3</v>
      </c>
      <c r="E567" t="s">
        <v>328</v>
      </c>
    </row>
    <row r="568" spans="1:5" x14ac:dyDescent="0.35">
      <c r="A568">
        <v>2005</v>
      </c>
      <c r="B568" t="s">
        <v>37</v>
      </c>
      <c r="C568" t="s">
        <v>137</v>
      </c>
      <c r="D568">
        <v>21</v>
      </c>
      <c r="E568" t="s">
        <v>458</v>
      </c>
    </row>
    <row r="569" spans="1:5" x14ac:dyDescent="0.35">
      <c r="A569">
        <v>2005</v>
      </c>
      <c r="B569" t="s">
        <v>36</v>
      </c>
      <c r="C569" t="s">
        <v>14</v>
      </c>
      <c r="D569">
        <v>98252</v>
      </c>
      <c r="E569" t="s">
        <v>328</v>
      </c>
    </row>
    <row r="570" spans="1:5" x14ac:dyDescent="0.35">
      <c r="A570">
        <v>2005</v>
      </c>
      <c r="B570" t="s">
        <v>35</v>
      </c>
      <c r="C570" t="s">
        <v>140</v>
      </c>
      <c r="E570" t="s">
        <v>458</v>
      </c>
    </row>
    <row r="571" spans="1:5" x14ac:dyDescent="0.35">
      <c r="A571">
        <v>2005</v>
      </c>
      <c r="B571" t="s">
        <v>34</v>
      </c>
      <c r="C571" t="s">
        <v>167</v>
      </c>
      <c r="D571">
        <v>5</v>
      </c>
      <c r="E571" t="s">
        <v>458</v>
      </c>
    </row>
    <row r="572" spans="1:5" x14ac:dyDescent="0.35">
      <c r="A572">
        <v>2005</v>
      </c>
      <c r="B572" t="s">
        <v>33</v>
      </c>
      <c r="C572" t="s">
        <v>204</v>
      </c>
      <c r="D572">
        <v>29</v>
      </c>
      <c r="E572" t="s">
        <v>328</v>
      </c>
    </row>
    <row r="573" spans="1:5" x14ac:dyDescent="0.35">
      <c r="A573">
        <v>2005</v>
      </c>
      <c r="B573" t="s">
        <v>33</v>
      </c>
      <c r="C573" t="s">
        <v>168</v>
      </c>
      <c r="D573">
        <v>22</v>
      </c>
      <c r="E573" t="s">
        <v>458</v>
      </c>
    </row>
    <row r="574" spans="1:5" x14ac:dyDescent="0.35">
      <c r="A574">
        <v>2005</v>
      </c>
      <c r="B574" t="s">
        <v>35</v>
      </c>
      <c r="C574" t="s">
        <v>196</v>
      </c>
      <c r="D574">
        <v>47</v>
      </c>
      <c r="E574" t="s">
        <v>458</v>
      </c>
    </row>
    <row r="575" spans="1:5" x14ac:dyDescent="0.35">
      <c r="A575">
        <v>2005</v>
      </c>
      <c r="B575" t="s">
        <v>33</v>
      </c>
      <c r="C575" t="s">
        <v>195</v>
      </c>
      <c r="D575">
        <v>19</v>
      </c>
      <c r="E575" t="s">
        <v>328</v>
      </c>
    </row>
    <row r="576" spans="1:5" x14ac:dyDescent="0.35">
      <c r="A576">
        <v>2005</v>
      </c>
      <c r="B576" t="s">
        <v>33</v>
      </c>
      <c r="C576" t="s">
        <v>195</v>
      </c>
      <c r="D576">
        <v>5</v>
      </c>
      <c r="E576" t="s">
        <v>458</v>
      </c>
    </row>
    <row r="577" spans="1:5" x14ac:dyDescent="0.35">
      <c r="A577">
        <v>2005</v>
      </c>
      <c r="B577" t="s">
        <v>36</v>
      </c>
      <c r="C577" t="s">
        <v>372</v>
      </c>
      <c r="D577">
        <v>3</v>
      </c>
      <c r="E577" t="s">
        <v>328</v>
      </c>
    </row>
    <row r="578" spans="1:5" x14ac:dyDescent="0.35">
      <c r="A578">
        <v>2005</v>
      </c>
      <c r="B578" t="s">
        <v>34</v>
      </c>
      <c r="C578" t="s">
        <v>193</v>
      </c>
      <c r="D578">
        <v>158</v>
      </c>
      <c r="E578" t="s">
        <v>328</v>
      </c>
    </row>
    <row r="579" spans="1:5" x14ac:dyDescent="0.35">
      <c r="A579">
        <v>2005</v>
      </c>
      <c r="B579" t="s">
        <v>34</v>
      </c>
      <c r="C579" t="s">
        <v>193</v>
      </c>
      <c r="D579">
        <v>26</v>
      </c>
      <c r="E579" t="s">
        <v>458</v>
      </c>
    </row>
    <row r="580" spans="1:5" x14ac:dyDescent="0.35">
      <c r="A580">
        <v>2005</v>
      </c>
      <c r="B580" t="s">
        <v>33</v>
      </c>
      <c r="C580" t="s">
        <v>192</v>
      </c>
      <c r="D580">
        <v>27</v>
      </c>
      <c r="E580" t="s">
        <v>328</v>
      </c>
    </row>
    <row r="581" spans="1:5" x14ac:dyDescent="0.35">
      <c r="A581">
        <v>2005</v>
      </c>
      <c r="B581" t="s">
        <v>35</v>
      </c>
      <c r="C581" t="s">
        <v>196</v>
      </c>
      <c r="D581">
        <v>121</v>
      </c>
      <c r="E581" t="s">
        <v>328</v>
      </c>
    </row>
    <row r="582" spans="1:5" x14ac:dyDescent="0.35">
      <c r="A582">
        <v>2005</v>
      </c>
      <c r="B582" t="s">
        <v>33</v>
      </c>
      <c r="C582" t="s">
        <v>192</v>
      </c>
      <c r="D582">
        <v>12</v>
      </c>
      <c r="E582" t="s">
        <v>458</v>
      </c>
    </row>
    <row r="583" spans="1:5" x14ac:dyDescent="0.35">
      <c r="A583">
        <v>2005</v>
      </c>
      <c r="B583" t="s">
        <v>36</v>
      </c>
      <c r="C583" t="s">
        <v>191</v>
      </c>
      <c r="D583">
        <v>307</v>
      </c>
      <c r="E583" t="s">
        <v>458</v>
      </c>
    </row>
    <row r="584" spans="1:5" x14ac:dyDescent="0.35">
      <c r="A584">
        <v>2005</v>
      </c>
      <c r="B584" t="s">
        <v>37</v>
      </c>
      <c r="C584" t="s">
        <v>190</v>
      </c>
      <c r="D584">
        <v>7</v>
      </c>
      <c r="E584" t="s">
        <v>328</v>
      </c>
    </row>
    <row r="585" spans="1:5" x14ac:dyDescent="0.35">
      <c r="A585">
        <v>2005</v>
      </c>
      <c r="B585" t="s">
        <v>37</v>
      </c>
      <c r="C585" t="s">
        <v>190</v>
      </c>
      <c r="D585">
        <v>34</v>
      </c>
      <c r="E585" t="s">
        <v>458</v>
      </c>
    </row>
    <row r="586" spans="1:5" x14ac:dyDescent="0.35">
      <c r="A586">
        <v>2005</v>
      </c>
      <c r="B586" t="s">
        <v>33</v>
      </c>
      <c r="C586" t="s">
        <v>189</v>
      </c>
      <c r="D586">
        <v>23</v>
      </c>
      <c r="E586" t="s">
        <v>328</v>
      </c>
    </row>
    <row r="587" spans="1:5" x14ac:dyDescent="0.35">
      <c r="A587">
        <v>2005</v>
      </c>
      <c r="B587" t="s">
        <v>33</v>
      </c>
      <c r="C587" t="s">
        <v>189</v>
      </c>
      <c r="D587">
        <v>4</v>
      </c>
      <c r="E587" t="s">
        <v>458</v>
      </c>
    </row>
    <row r="588" spans="1:5" x14ac:dyDescent="0.35">
      <c r="A588">
        <v>2005</v>
      </c>
      <c r="B588" t="s">
        <v>34</v>
      </c>
      <c r="C588" t="s">
        <v>188</v>
      </c>
      <c r="D588">
        <v>44</v>
      </c>
      <c r="E588" t="s">
        <v>328</v>
      </c>
    </row>
    <row r="589" spans="1:5" x14ac:dyDescent="0.35">
      <c r="A589">
        <v>2005</v>
      </c>
      <c r="B589" t="s">
        <v>34</v>
      </c>
      <c r="C589" t="s">
        <v>188</v>
      </c>
      <c r="D589">
        <v>31</v>
      </c>
      <c r="E589" t="s">
        <v>458</v>
      </c>
    </row>
    <row r="590" spans="1:5" x14ac:dyDescent="0.35">
      <c r="A590">
        <v>2005</v>
      </c>
      <c r="B590" t="s">
        <v>36</v>
      </c>
      <c r="C590" t="s">
        <v>191</v>
      </c>
      <c r="D590">
        <v>148</v>
      </c>
      <c r="E590" t="s">
        <v>328</v>
      </c>
    </row>
    <row r="591" spans="1:5" x14ac:dyDescent="0.35">
      <c r="A591">
        <v>2005</v>
      </c>
      <c r="B591" t="s">
        <v>33</v>
      </c>
      <c r="C591" t="s">
        <v>187</v>
      </c>
      <c r="D591">
        <v>13</v>
      </c>
      <c r="E591" t="s">
        <v>328</v>
      </c>
    </row>
    <row r="592" spans="1:5" x14ac:dyDescent="0.35">
      <c r="A592">
        <v>2005</v>
      </c>
      <c r="B592" t="s">
        <v>34</v>
      </c>
      <c r="C592" t="s">
        <v>197</v>
      </c>
      <c r="E592" t="s">
        <v>328</v>
      </c>
    </row>
    <row r="593" spans="1:5" x14ac:dyDescent="0.35">
      <c r="A593">
        <v>2005</v>
      </c>
      <c r="B593" t="s">
        <v>35</v>
      </c>
      <c r="C593" t="s">
        <v>198</v>
      </c>
      <c r="D593">
        <v>213</v>
      </c>
      <c r="E593" t="s">
        <v>328</v>
      </c>
    </row>
    <row r="594" spans="1:5" x14ac:dyDescent="0.35">
      <c r="A594">
        <v>2005</v>
      </c>
      <c r="B594" t="s">
        <v>34</v>
      </c>
      <c r="C594" t="s">
        <v>121</v>
      </c>
      <c r="E594" t="s">
        <v>458</v>
      </c>
    </row>
    <row r="595" spans="1:5" x14ac:dyDescent="0.35">
      <c r="A595">
        <v>2005</v>
      </c>
      <c r="B595" t="s">
        <v>33</v>
      </c>
      <c r="C595" t="s">
        <v>204</v>
      </c>
      <c r="D595">
        <v>5</v>
      </c>
      <c r="E595" t="s">
        <v>458</v>
      </c>
    </row>
    <row r="596" spans="1:5" x14ac:dyDescent="0.35">
      <c r="A596">
        <v>2005</v>
      </c>
      <c r="B596" t="s">
        <v>33</v>
      </c>
      <c r="C596" t="s">
        <v>203</v>
      </c>
      <c r="D596">
        <v>10</v>
      </c>
      <c r="E596" t="s">
        <v>328</v>
      </c>
    </row>
    <row r="597" spans="1:5" x14ac:dyDescent="0.35">
      <c r="A597">
        <v>2005</v>
      </c>
      <c r="B597" t="s">
        <v>33</v>
      </c>
      <c r="C597" t="s">
        <v>203</v>
      </c>
      <c r="D597">
        <v>6</v>
      </c>
      <c r="E597" t="s">
        <v>458</v>
      </c>
    </row>
    <row r="598" spans="1:5" x14ac:dyDescent="0.35">
      <c r="A598">
        <v>2005</v>
      </c>
      <c r="B598" t="s">
        <v>34</v>
      </c>
      <c r="C598" t="s">
        <v>202</v>
      </c>
      <c r="D598">
        <v>53</v>
      </c>
      <c r="E598" t="s">
        <v>328</v>
      </c>
    </row>
    <row r="599" spans="1:5" x14ac:dyDescent="0.35">
      <c r="A599">
        <v>2005</v>
      </c>
      <c r="B599" t="s">
        <v>34</v>
      </c>
      <c r="C599" t="s">
        <v>202</v>
      </c>
      <c r="D599">
        <v>23</v>
      </c>
      <c r="E599" t="s">
        <v>458</v>
      </c>
    </row>
    <row r="600" spans="1:5" x14ac:dyDescent="0.35">
      <c r="A600">
        <v>2005</v>
      </c>
      <c r="B600" t="s">
        <v>34</v>
      </c>
      <c r="C600" t="s">
        <v>201</v>
      </c>
      <c r="D600">
        <v>16</v>
      </c>
      <c r="E600" t="s">
        <v>328</v>
      </c>
    </row>
    <row r="601" spans="1:5" x14ac:dyDescent="0.35">
      <c r="A601">
        <v>2005</v>
      </c>
      <c r="B601" t="s">
        <v>35</v>
      </c>
      <c r="C601" t="s">
        <v>198</v>
      </c>
      <c r="D601">
        <v>218</v>
      </c>
      <c r="E601" t="s">
        <v>458</v>
      </c>
    </row>
    <row r="602" spans="1:5" x14ac:dyDescent="0.35">
      <c r="A602">
        <v>2005</v>
      </c>
      <c r="B602" t="s">
        <v>34</v>
      </c>
      <c r="C602" t="s">
        <v>201</v>
      </c>
      <c r="D602">
        <v>11</v>
      </c>
      <c r="E602" t="s">
        <v>458</v>
      </c>
    </row>
    <row r="603" spans="1:5" x14ac:dyDescent="0.35">
      <c r="A603">
        <v>2005</v>
      </c>
      <c r="B603" t="s">
        <v>38</v>
      </c>
      <c r="C603" t="s">
        <v>19</v>
      </c>
      <c r="D603">
        <v>144</v>
      </c>
      <c r="E603" t="s">
        <v>458</v>
      </c>
    </row>
    <row r="604" spans="1:5" x14ac:dyDescent="0.35">
      <c r="A604">
        <v>2005</v>
      </c>
      <c r="B604" t="s">
        <v>34</v>
      </c>
      <c r="C604" t="s">
        <v>200</v>
      </c>
      <c r="D604">
        <v>48</v>
      </c>
      <c r="E604" t="s">
        <v>328</v>
      </c>
    </row>
    <row r="605" spans="1:5" x14ac:dyDescent="0.35">
      <c r="A605">
        <v>2005</v>
      </c>
      <c r="B605" t="s">
        <v>34</v>
      </c>
      <c r="C605" t="s">
        <v>200</v>
      </c>
      <c r="D605">
        <v>8</v>
      </c>
      <c r="E605" t="s">
        <v>458</v>
      </c>
    </row>
    <row r="606" spans="1:5" x14ac:dyDescent="0.35">
      <c r="A606">
        <v>2005</v>
      </c>
      <c r="B606" t="s">
        <v>38</v>
      </c>
      <c r="C606" t="s">
        <v>199</v>
      </c>
      <c r="D606">
        <v>134</v>
      </c>
      <c r="E606" t="s">
        <v>328</v>
      </c>
    </row>
    <row r="607" spans="1:5" x14ac:dyDescent="0.35">
      <c r="A607">
        <v>2005</v>
      </c>
      <c r="B607" t="s">
        <v>38</v>
      </c>
      <c r="C607" t="s">
        <v>199</v>
      </c>
      <c r="D607">
        <v>23</v>
      </c>
      <c r="E607" t="s">
        <v>458</v>
      </c>
    </row>
    <row r="608" spans="1:5" x14ac:dyDescent="0.35">
      <c r="A608">
        <v>2005</v>
      </c>
      <c r="B608" t="s">
        <v>39</v>
      </c>
      <c r="C608" t="s">
        <v>39</v>
      </c>
      <c r="E608" t="s">
        <v>328</v>
      </c>
    </row>
    <row r="609" spans="1:5" x14ac:dyDescent="0.35">
      <c r="A609">
        <v>2005</v>
      </c>
      <c r="B609" t="s">
        <v>39</v>
      </c>
      <c r="C609" t="s">
        <v>39</v>
      </c>
      <c r="E609" t="s">
        <v>458</v>
      </c>
    </row>
    <row r="610" spans="1:5" x14ac:dyDescent="0.35">
      <c r="A610">
        <v>2005</v>
      </c>
      <c r="B610" t="s">
        <v>38</v>
      </c>
      <c r="C610" t="s">
        <v>19</v>
      </c>
      <c r="D610">
        <v>254</v>
      </c>
      <c r="E610" t="s">
        <v>328</v>
      </c>
    </row>
    <row r="611" spans="1:5" x14ac:dyDescent="0.35">
      <c r="A611">
        <v>2005</v>
      </c>
      <c r="B611" t="s">
        <v>33</v>
      </c>
      <c r="C611" t="s">
        <v>187</v>
      </c>
      <c r="D611">
        <v>5</v>
      </c>
      <c r="E611" t="s">
        <v>458</v>
      </c>
    </row>
    <row r="612" spans="1:5" x14ac:dyDescent="0.35">
      <c r="A612">
        <v>2005</v>
      </c>
      <c r="B612" t="s">
        <v>34</v>
      </c>
      <c r="C612" t="s">
        <v>186</v>
      </c>
      <c r="E612" t="s">
        <v>328</v>
      </c>
    </row>
    <row r="613" spans="1:5" x14ac:dyDescent="0.35">
      <c r="A613">
        <v>2005</v>
      </c>
      <c r="B613" t="s">
        <v>34</v>
      </c>
      <c r="C613" t="s">
        <v>186</v>
      </c>
      <c r="E613" t="s">
        <v>458</v>
      </c>
    </row>
    <row r="614" spans="1:5" x14ac:dyDescent="0.35">
      <c r="A614">
        <v>2005</v>
      </c>
      <c r="B614" t="s">
        <v>33</v>
      </c>
      <c r="C614" t="s">
        <v>175</v>
      </c>
      <c r="D614">
        <v>23</v>
      </c>
      <c r="E614" t="s">
        <v>458</v>
      </c>
    </row>
    <row r="615" spans="1:5" x14ac:dyDescent="0.35">
      <c r="A615">
        <v>2005</v>
      </c>
      <c r="B615" t="s">
        <v>33</v>
      </c>
      <c r="C615" t="s">
        <v>174</v>
      </c>
      <c r="D615">
        <v>35</v>
      </c>
      <c r="E615" t="s">
        <v>328</v>
      </c>
    </row>
    <row r="616" spans="1:5" x14ac:dyDescent="0.35">
      <c r="A616">
        <v>2005</v>
      </c>
      <c r="B616" t="s">
        <v>33</v>
      </c>
      <c r="C616" t="s">
        <v>174</v>
      </c>
      <c r="D616">
        <v>5</v>
      </c>
      <c r="E616" t="s">
        <v>458</v>
      </c>
    </row>
    <row r="617" spans="1:5" x14ac:dyDescent="0.35">
      <c r="A617">
        <v>2005</v>
      </c>
      <c r="B617" t="s">
        <v>35</v>
      </c>
      <c r="C617" t="s">
        <v>173</v>
      </c>
      <c r="D617">
        <v>5</v>
      </c>
      <c r="E617" t="s">
        <v>328</v>
      </c>
    </row>
    <row r="618" spans="1:5" x14ac:dyDescent="0.35">
      <c r="A618">
        <v>2005</v>
      </c>
      <c r="B618" t="s">
        <v>35</v>
      </c>
      <c r="C618" t="s">
        <v>173</v>
      </c>
      <c r="D618">
        <v>3</v>
      </c>
      <c r="E618" t="s">
        <v>458</v>
      </c>
    </row>
    <row r="619" spans="1:5" x14ac:dyDescent="0.35">
      <c r="A619">
        <v>2005</v>
      </c>
      <c r="B619" t="s">
        <v>35</v>
      </c>
      <c r="C619" t="s">
        <v>172</v>
      </c>
      <c r="D619">
        <v>32</v>
      </c>
      <c r="E619" t="s">
        <v>328</v>
      </c>
    </row>
    <row r="620" spans="1:5" x14ac:dyDescent="0.35">
      <c r="A620">
        <v>2005</v>
      </c>
      <c r="B620" t="s">
        <v>35</v>
      </c>
      <c r="C620" t="s">
        <v>172</v>
      </c>
      <c r="D620">
        <v>5</v>
      </c>
      <c r="E620" t="s">
        <v>458</v>
      </c>
    </row>
    <row r="621" spans="1:5" x14ac:dyDescent="0.35">
      <c r="A621">
        <v>2005</v>
      </c>
      <c r="B621" t="s">
        <v>33</v>
      </c>
      <c r="C621" t="s">
        <v>175</v>
      </c>
      <c r="D621">
        <v>50</v>
      </c>
      <c r="E621" t="s">
        <v>328</v>
      </c>
    </row>
    <row r="622" spans="1:5" x14ac:dyDescent="0.35">
      <c r="A622">
        <v>2005</v>
      </c>
      <c r="B622" t="s">
        <v>34</v>
      </c>
      <c r="C622" t="s">
        <v>171</v>
      </c>
      <c r="D622">
        <v>18</v>
      </c>
      <c r="E622" t="s">
        <v>328</v>
      </c>
    </row>
    <row r="623" spans="1:5" x14ac:dyDescent="0.35">
      <c r="A623">
        <v>2005</v>
      </c>
      <c r="B623" t="s">
        <v>33</v>
      </c>
      <c r="C623" t="s">
        <v>170</v>
      </c>
      <c r="D623">
        <v>44</v>
      </c>
      <c r="E623" t="s">
        <v>328</v>
      </c>
    </row>
    <row r="624" spans="1:5" x14ac:dyDescent="0.35">
      <c r="A624">
        <v>2005</v>
      </c>
      <c r="B624" t="s">
        <v>33</v>
      </c>
      <c r="C624" t="s">
        <v>170</v>
      </c>
      <c r="D624">
        <v>16</v>
      </c>
      <c r="E624" t="s">
        <v>458</v>
      </c>
    </row>
    <row r="625" spans="1:5" x14ac:dyDescent="0.35">
      <c r="A625">
        <v>2005</v>
      </c>
      <c r="B625" t="s">
        <v>35</v>
      </c>
      <c r="C625" t="s">
        <v>215</v>
      </c>
      <c r="D625">
        <v>110</v>
      </c>
      <c r="E625" t="s">
        <v>328</v>
      </c>
    </row>
    <row r="626" spans="1:5" x14ac:dyDescent="0.35">
      <c r="A626">
        <v>2005</v>
      </c>
      <c r="B626" t="s">
        <v>35</v>
      </c>
      <c r="C626" t="s">
        <v>215</v>
      </c>
      <c r="D626">
        <v>35</v>
      </c>
      <c r="E626" t="s">
        <v>458</v>
      </c>
    </row>
    <row r="627" spans="1:5" x14ac:dyDescent="0.35">
      <c r="A627">
        <v>2005</v>
      </c>
      <c r="B627" t="s">
        <v>35</v>
      </c>
      <c r="C627" t="s">
        <v>169</v>
      </c>
      <c r="E627" t="s">
        <v>328</v>
      </c>
    </row>
    <row r="628" spans="1:5" x14ac:dyDescent="0.35">
      <c r="A628">
        <v>2005</v>
      </c>
      <c r="B628" t="s">
        <v>35</v>
      </c>
      <c r="C628" t="s">
        <v>169</v>
      </c>
      <c r="E628" t="s">
        <v>458</v>
      </c>
    </row>
    <row r="629" spans="1:5" x14ac:dyDescent="0.35">
      <c r="A629">
        <v>2005</v>
      </c>
      <c r="B629" t="s">
        <v>33</v>
      </c>
      <c r="C629" t="s">
        <v>168</v>
      </c>
      <c r="D629">
        <v>69</v>
      </c>
      <c r="E629" t="s">
        <v>328</v>
      </c>
    </row>
    <row r="630" spans="1:5" x14ac:dyDescent="0.35">
      <c r="A630">
        <v>2005</v>
      </c>
      <c r="B630" t="s">
        <v>34</v>
      </c>
      <c r="C630" t="s">
        <v>171</v>
      </c>
      <c r="D630">
        <v>12</v>
      </c>
      <c r="E630" t="s">
        <v>458</v>
      </c>
    </row>
    <row r="631" spans="1:5" x14ac:dyDescent="0.35">
      <c r="A631">
        <v>2005</v>
      </c>
      <c r="B631" t="s">
        <v>33</v>
      </c>
      <c r="C631" t="s">
        <v>176</v>
      </c>
      <c r="E631" t="s">
        <v>458</v>
      </c>
    </row>
    <row r="632" spans="1:5" x14ac:dyDescent="0.35">
      <c r="A632">
        <v>2005</v>
      </c>
      <c r="B632" t="s">
        <v>33</v>
      </c>
      <c r="C632" t="s">
        <v>176</v>
      </c>
      <c r="E632" t="s">
        <v>328</v>
      </c>
    </row>
    <row r="633" spans="1:5" x14ac:dyDescent="0.35">
      <c r="A633">
        <v>2005</v>
      </c>
      <c r="B633" t="s">
        <v>35</v>
      </c>
      <c r="C633" t="s">
        <v>216</v>
      </c>
      <c r="D633">
        <v>14</v>
      </c>
      <c r="E633" t="s">
        <v>458</v>
      </c>
    </row>
    <row r="634" spans="1:5" x14ac:dyDescent="0.35">
      <c r="A634">
        <v>2005</v>
      </c>
      <c r="B634" t="s">
        <v>34</v>
      </c>
      <c r="C634" t="s">
        <v>185</v>
      </c>
      <c r="D634">
        <v>50</v>
      </c>
      <c r="E634" t="s">
        <v>328</v>
      </c>
    </row>
    <row r="635" spans="1:5" x14ac:dyDescent="0.35">
      <c r="A635">
        <v>2005</v>
      </c>
      <c r="B635" t="s">
        <v>34</v>
      </c>
      <c r="C635" t="s">
        <v>185</v>
      </c>
      <c r="D635">
        <v>18</v>
      </c>
      <c r="E635" t="s">
        <v>458</v>
      </c>
    </row>
    <row r="636" spans="1:5" x14ac:dyDescent="0.35">
      <c r="A636">
        <v>2005</v>
      </c>
      <c r="B636" t="s">
        <v>34</v>
      </c>
      <c r="C636" t="s">
        <v>184</v>
      </c>
      <c r="D636">
        <v>44</v>
      </c>
      <c r="E636" t="s">
        <v>328</v>
      </c>
    </row>
    <row r="637" spans="1:5" x14ac:dyDescent="0.35">
      <c r="A637">
        <v>2005</v>
      </c>
      <c r="B637" t="s">
        <v>34</v>
      </c>
      <c r="C637" t="s">
        <v>184</v>
      </c>
      <c r="D637">
        <v>15</v>
      </c>
      <c r="E637" t="s">
        <v>458</v>
      </c>
    </row>
    <row r="638" spans="1:5" x14ac:dyDescent="0.35">
      <c r="A638">
        <v>2005</v>
      </c>
      <c r="B638" t="s">
        <v>35</v>
      </c>
      <c r="C638" t="s">
        <v>183</v>
      </c>
      <c r="D638">
        <v>12</v>
      </c>
      <c r="E638" t="s">
        <v>328</v>
      </c>
    </row>
    <row r="639" spans="1:5" x14ac:dyDescent="0.35">
      <c r="A639">
        <v>2005</v>
      </c>
      <c r="B639" t="s">
        <v>35</v>
      </c>
      <c r="C639" t="s">
        <v>183</v>
      </c>
      <c r="D639">
        <v>5</v>
      </c>
      <c r="E639" t="s">
        <v>458</v>
      </c>
    </row>
    <row r="640" spans="1:5" x14ac:dyDescent="0.35">
      <c r="A640">
        <v>2005</v>
      </c>
      <c r="B640" t="s">
        <v>35</v>
      </c>
      <c r="C640" t="s">
        <v>182</v>
      </c>
      <c r="D640">
        <v>21</v>
      </c>
      <c r="E640" t="s">
        <v>328</v>
      </c>
    </row>
    <row r="641" spans="1:5" x14ac:dyDescent="0.35">
      <c r="A641">
        <v>2005</v>
      </c>
      <c r="B641" t="s">
        <v>35</v>
      </c>
      <c r="C641" t="s">
        <v>182</v>
      </c>
      <c r="D641">
        <v>13</v>
      </c>
      <c r="E641" t="s">
        <v>458</v>
      </c>
    </row>
    <row r="642" spans="1:5" x14ac:dyDescent="0.35">
      <c r="A642">
        <v>2005</v>
      </c>
      <c r="B642" t="s">
        <v>38</v>
      </c>
      <c r="C642" t="s">
        <v>180</v>
      </c>
      <c r="D642">
        <v>18</v>
      </c>
      <c r="E642" t="s">
        <v>328</v>
      </c>
    </row>
    <row r="643" spans="1:5" x14ac:dyDescent="0.35">
      <c r="A643">
        <v>2005</v>
      </c>
      <c r="B643" t="s">
        <v>38</v>
      </c>
      <c r="C643" t="s">
        <v>180</v>
      </c>
      <c r="D643">
        <v>6</v>
      </c>
      <c r="E643" t="s">
        <v>458</v>
      </c>
    </row>
    <row r="644" spans="1:5" x14ac:dyDescent="0.35">
      <c r="A644">
        <v>2005</v>
      </c>
      <c r="B644" t="s">
        <v>33</v>
      </c>
      <c r="C644" t="s">
        <v>179</v>
      </c>
      <c r="D644">
        <v>13</v>
      </c>
      <c r="E644" t="s">
        <v>328</v>
      </c>
    </row>
    <row r="645" spans="1:5" x14ac:dyDescent="0.35">
      <c r="A645">
        <v>2005</v>
      </c>
      <c r="B645" t="s">
        <v>33</v>
      </c>
      <c r="C645" t="s">
        <v>179</v>
      </c>
      <c r="D645">
        <v>4</v>
      </c>
      <c r="E645" t="s">
        <v>458</v>
      </c>
    </row>
    <row r="646" spans="1:5" x14ac:dyDescent="0.35">
      <c r="A646">
        <v>2005</v>
      </c>
      <c r="B646" t="s">
        <v>34</v>
      </c>
      <c r="C646" t="s">
        <v>178</v>
      </c>
      <c r="D646">
        <v>81</v>
      </c>
      <c r="E646" t="s">
        <v>328</v>
      </c>
    </row>
    <row r="647" spans="1:5" x14ac:dyDescent="0.35">
      <c r="A647">
        <v>2005</v>
      </c>
      <c r="B647" t="s">
        <v>34</v>
      </c>
      <c r="C647" t="s">
        <v>178</v>
      </c>
      <c r="D647">
        <v>4</v>
      </c>
      <c r="E647" t="s">
        <v>458</v>
      </c>
    </row>
    <row r="648" spans="1:5" x14ac:dyDescent="0.35">
      <c r="A648">
        <v>2005</v>
      </c>
      <c r="B648" t="s">
        <v>35</v>
      </c>
      <c r="C648" t="s">
        <v>177</v>
      </c>
      <c r="D648">
        <v>37</v>
      </c>
      <c r="E648" t="s">
        <v>328</v>
      </c>
    </row>
    <row r="649" spans="1:5" x14ac:dyDescent="0.35">
      <c r="A649">
        <v>2005</v>
      </c>
      <c r="B649" t="s">
        <v>35</v>
      </c>
      <c r="C649" t="s">
        <v>177</v>
      </c>
      <c r="D649">
        <v>29</v>
      </c>
      <c r="E649" t="s">
        <v>458</v>
      </c>
    </row>
    <row r="650" spans="1:5" x14ac:dyDescent="0.35">
      <c r="A650">
        <v>2005</v>
      </c>
      <c r="B650" t="s">
        <v>35</v>
      </c>
      <c r="C650" t="s">
        <v>216</v>
      </c>
      <c r="D650">
        <v>8</v>
      </c>
      <c r="E650" t="s">
        <v>328</v>
      </c>
    </row>
    <row r="651" spans="1:5" x14ac:dyDescent="0.35">
      <c r="A651">
        <v>2005</v>
      </c>
      <c r="B651" t="s">
        <v>34</v>
      </c>
      <c r="C651" t="s">
        <v>167</v>
      </c>
      <c r="D651">
        <v>15</v>
      </c>
      <c r="E651" t="s">
        <v>328</v>
      </c>
    </row>
    <row r="652" spans="1:5" x14ac:dyDescent="0.35">
      <c r="A652">
        <v>2005</v>
      </c>
      <c r="B652" t="s">
        <v>34</v>
      </c>
      <c r="C652" t="s">
        <v>120</v>
      </c>
      <c r="D652">
        <v>8</v>
      </c>
      <c r="E652" t="s">
        <v>328</v>
      </c>
    </row>
    <row r="653" spans="1:5" x14ac:dyDescent="0.35">
      <c r="A653">
        <v>2005</v>
      </c>
      <c r="B653" t="s">
        <v>35</v>
      </c>
      <c r="C653" t="s">
        <v>82</v>
      </c>
      <c r="D653">
        <v>6</v>
      </c>
      <c r="E653" t="s">
        <v>458</v>
      </c>
    </row>
    <row r="654" spans="1:5" x14ac:dyDescent="0.35">
      <c r="A654">
        <v>2005</v>
      </c>
      <c r="B654" t="s">
        <v>35</v>
      </c>
      <c r="C654" t="s">
        <v>119</v>
      </c>
      <c r="E654" t="s">
        <v>328</v>
      </c>
    </row>
    <row r="655" spans="1:5" x14ac:dyDescent="0.35">
      <c r="A655">
        <v>2005</v>
      </c>
      <c r="B655" t="s">
        <v>33</v>
      </c>
      <c r="C655" t="s">
        <v>71</v>
      </c>
      <c r="E655" t="s">
        <v>458</v>
      </c>
    </row>
    <row r="656" spans="1:5" x14ac:dyDescent="0.35">
      <c r="A656">
        <v>2005</v>
      </c>
      <c r="B656" t="s">
        <v>36</v>
      </c>
      <c r="C656" t="s">
        <v>69</v>
      </c>
      <c r="D656">
        <v>1099</v>
      </c>
      <c r="E656" t="s">
        <v>328</v>
      </c>
    </row>
    <row r="657" spans="1:5" x14ac:dyDescent="0.35">
      <c r="A657">
        <v>2005</v>
      </c>
      <c r="B657" t="s">
        <v>36</v>
      </c>
      <c r="C657" t="s">
        <v>69</v>
      </c>
      <c r="D657">
        <v>462</v>
      </c>
      <c r="E657" t="s">
        <v>458</v>
      </c>
    </row>
    <row r="658" spans="1:5" x14ac:dyDescent="0.35">
      <c r="A658">
        <v>2005</v>
      </c>
      <c r="B658" t="s">
        <v>33</v>
      </c>
      <c r="C658" t="s">
        <v>68</v>
      </c>
      <c r="D658">
        <v>53</v>
      </c>
      <c r="E658" t="s">
        <v>328</v>
      </c>
    </row>
    <row r="659" spans="1:5" x14ac:dyDescent="0.35">
      <c r="A659">
        <v>2005</v>
      </c>
      <c r="B659" t="s">
        <v>33</v>
      </c>
      <c r="C659" t="s">
        <v>68</v>
      </c>
      <c r="D659">
        <v>8</v>
      </c>
      <c r="E659" t="s">
        <v>458</v>
      </c>
    </row>
    <row r="660" spans="1:5" x14ac:dyDescent="0.35">
      <c r="A660">
        <v>2005</v>
      </c>
      <c r="B660" t="s">
        <v>34</v>
      </c>
      <c r="C660" t="s">
        <v>67</v>
      </c>
      <c r="D660">
        <v>23</v>
      </c>
      <c r="E660" t="s">
        <v>328</v>
      </c>
    </row>
    <row r="661" spans="1:5" x14ac:dyDescent="0.35">
      <c r="A661">
        <v>2005</v>
      </c>
      <c r="B661" t="s">
        <v>34</v>
      </c>
      <c r="C661" t="s">
        <v>67</v>
      </c>
      <c r="D661">
        <v>28</v>
      </c>
      <c r="E661" t="s">
        <v>458</v>
      </c>
    </row>
    <row r="662" spans="1:5" x14ac:dyDescent="0.35">
      <c r="A662">
        <v>2005</v>
      </c>
      <c r="B662" t="s">
        <v>33</v>
      </c>
      <c r="C662" t="s">
        <v>71</v>
      </c>
      <c r="E662" t="s">
        <v>328</v>
      </c>
    </row>
    <row r="663" spans="1:5" x14ac:dyDescent="0.35">
      <c r="A663">
        <v>2005</v>
      </c>
      <c r="B663" t="s">
        <v>33</v>
      </c>
      <c r="C663" t="s">
        <v>66</v>
      </c>
      <c r="D663">
        <v>9</v>
      </c>
      <c r="E663" t="s">
        <v>328</v>
      </c>
    </row>
    <row r="664" spans="1:5" x14ac:dyDescent="0.35">
      <c r="A664">
        <v>2005</v>
      </c>
      <c r="B664" t="s">
        <v>34</v>
      </c>
      <c r="C664" t="s">
        <v>64</v>
      </c>
      <c r="D664">
        <v>7</v>
      </c>
      <c r="E664" t="s">
        <v>328</v>
      </c>
    </row>
    <row r="665" spans="1:5" x14ac:dyDescent="0.35">
      <c r="A665">
        <v>2005</v>
      </c>
      <c r="B665" t="s">
        <v>34</v>
      </c>
      <c r="C665" t="s">
        <v>64</v>
      </c>
      <c r="D665">
        <v>5</v>
      </c>
      <c r="E665" t="s">
        <v>458</v>
      </c>
    </row>
    <row r="666" spans="1:5" x14ac:dyDescent="0.35">
      <c r="A666">
        <v>2005</v>
      </c>
      <c r="B666" t="s">
        <v>33</v>
      </c>
      <c r="C666" t="s">
        <v>63</v>
      </c>
      <c r="D666">
        <v>8</v>
      </c>
      <c r="E666" t="s">
        <v>328</v>
      </c>
    </row>
    <row r="667" spans="1:5" x14ac:dyDescent="0.35">
      <c r="A667">
        <v>2005</v>
      </c>
      <c r="B667" t="s">
        <v>33</v>
      </c>
      <c r="C667" t="s">
        <v>63</v>
      </c>
      <c r="D667">
        <v>3</v>
      </c>
      <c r="E667" t="s">
        <v>458</v>
      </c>
    </row>
    <row r="668" spans="1:5" x14ac:dyDescent="0.35">
      <c r="A668">
        <v>2005</v>
      </c>
      <c r="B668" t="s">
        <v>35</v>
      </c>
      <c r="C668" t="s">
        <v>62</v>
      </c>
      <c r="D668">
        <v>67</v>
      </c>
      <c r="E668" t="s">
        <v>328</v>
      </c>
    </row>
    <row r="669" spans="1:5" x14ac:dyDescent="0.35">
      <c r="A669">
        <v>2005</v>
      </c>
      <c r="B669" t="s">
        <v>35</v>
      </c>
      <c r="C669" t="s">
        <v>62</v>
      </c>
      <c r="D669">
        <v>15</v>
      </c>
      <c r="E669" t="s">
        <v>458</v>
      </c>
    </row>
    <row r="670" spans="1:5" x14ac:dyDescent="0.35">
      <c r="A670">
        <v>2005</v>
      </c>
      <c r="B670" t="s">
        <v>38</v>
      </c>
      <c r="C670" t="s">
        <v>21</v>
      </c>
      <c r="D670">
        <v>5666</v>
      </c>
      <c r="E670" t="s">
        <v>328</v>
      </c>
    </row>
    <row r="671" spans="1:5" x14ac:dyDescent="0.35">
      <c r="A671">
        <v>2005</v>
      </c>
      <c r="B671" t="s">
        <v>33</v>
      </c>
      <c r="C671" t="s">
        <v>66</v>
      </c>
      <c r="D671">
        <v>38</v>
      </c>
      <c r="E671" t="s">
        <v>458</v>
      </c>
    </row>
    <row r="672" spans="1:5" x14ac:dyDescent="0.35">
      <c r="A672">
        <v>2005</v>
      </c>
      <c r="B672" t="s">
        <v>38</v>
      </c>
      <c r="C672" t="s">
        <v>21</v>
      </c>
      <c r="D672">
        <v>1431</v>
      </c>
      <c r="E672" t="s">
        <v>458</v>
      </c>
    </row>
    <row r="673" spans="1:5" x14ac:dyDescent="0.35">
      <c r="A673">
        <v>2005</v>
      </c>
      <c r="B673" t="s">
        <v>38</v>
      </c>
      <c r="C673" t="s">
        <v>72</v>
      </c>
      <c r="D673">
        <v>61</v>
      </c>
      <c r="E673" t="s">
        <v>458</v>
      </c>
    </row>
    <row r="674" spans="1:5" x14ac:dyDescent="0.35">
      <c r="A674">
        <v>2005</v>
      </c>
      <c r="B674" t="s">
        <v>34</v>
      </c>
      <c r="C674" t="s">
        <v>73</v>
      </c>
      <c r="D674">
        <v>147</v>
      </c>
      <c r="E674" t="s">
        <v>458</v>
      </c>
    </row>
    <row r="675" spans="1:5" x14ac:dyDescent="0.35">
      <c r="A675">
        <v>2005</v>
      </c>
      <c r="B675" t="s">
        <v>35</v>
      </c>
      <c r="C675" t="s">
        <v>81</v>
      </c>
      <c r="E675" t="s">
        <v>458</v>
      </c>
    </row>
    <row r="676" spans="1:5" x14ac:dyDescent="0.35">
      <c r="A676">
        <v>2005</v>
      </c>
      <c r="B676" t="s">
        <v>36</v>
      </c>
      <c r="C676" t="s">
        <v>79</v>
      </c>
      <c r="D676">
        <v>686</v>
      </c>
      <c r="E676" t="s">
        <v>328</v>
      </c>
    </row>
    <row r="677" spans="1:5" x14ac:dyDescent="0.35">
      <c r="A677">
        <v>2005</v>
      </c>
      <c r="B677" t="s">
        <v>36</v>
      </c>
      <c r="C677" t="s">
        <v>79</v>
      </c>
      <c r="D677">
        <v>44</v>
      </c>
      <c r="E677" t="s">
        <v>458</v>
      </c>
    </row>
    <row r="678" spans="1:5" x14ac:dyDescent="0.35">
      <c r="A678">
        <v>2005</v>
      </c>
      <c r="B678" t="s">
        <v>35</v>
      </c>
      <c r="C678" t="s">
        <v>78</v>
      </c>
      <c r="D678">
        <v>7</v>
      </c>
      <c r="E678" t="s">
        <v>328</v>
      </c>
    </row>
    <row r="679" spans="1:5" x14ac:dyDescent="0.35">
      <c r="A679">
        <v>2005</v>
      </c>
      <c r="B679" t="s">
        <v>35</v>
      </c>
      <c r="C679" t="s">
        <v>78</v>
      </c>
      <c r="D679">
        <v>4</v>
      </c>
      <c r="E679" t="s">
        <v>458</v>
      </c>
    </row>
    <row r="680" spans="1:5" x14ac:dyDescent="0.35">
      <c r="A680">
        <v>2005</v>
      </c>
      <c r="B680" t="s">
        <v>33</v>
      </c>
      <c r="C680" t="s">
        <v>77</v>
      </c>
      <c r="D680">
        <v>28</v>
      </c>
      <c r="E680" t="s">
        <v>328</v>
      </c>
    </row>
    <row r="681" spans="1:5" x14ac:dyDescent="0.35">
      <c r="A681">
        <v>2005</v>
      </c>
      <c r="B681" t="s">
        <v>33</v>
      </c>
      <c r="C681" t="s">
        <v>77</v>
      </c>
      <c r="D681">
        <v>6</v>
      </c>
      <c r="E681" t="s">
        <v>458</v>
      </c>
    </row>
    <row r="682" spans="1:5" x14ac:dyDescent="0.35">
      <c r="A682">
        <v>2005</v>
      </c>
      <c r="B682" t="s">
        <v>38</v>
      </c>
      <c r="C682" t="s">
        <v>72</v>
      </c>
      <c r="D682">
        <v>164</v>
      </c>
      <c r="E682" t="s">
        <v>328</v>
      </c>
    </row>
    <row r="683" spans="1:5" x14ac:dyDescent="0.35">
      <c r="A683">
        <v>2005</v>
      </c>
      <c r="B683" t="s">
        <v>36</v>
      </c>
      <c r="C683" t="s">
        <v>76</v>
      </c>
      <c r="D683">
        <v>594</v>
      </c>
      <c r="E683" t="s">
        <v>328</v>
      </c>
    </row>
    <row r="684" spans="1:5" x14ac:dyDescent="0.35">
      <c r="A684">
        <v>2005</v>
      </c>
      <c r="B684" t="s">
        <v>33</v>
      </c>
      <c r="C684" t="s">
        <v>75</v>
      </c>
      <c r="D684">
        <v>27</v>
      </c>
      <c r="E684" t="s">
        <v>328</v>
      </c>
    </row>
    <row r="685" spans="1:5" x14ac:dyDescent="0.35">
      <c r="A685">
        <v>2005</v>
      </c>
      <c r="B685" t="s">
        <v>33</v>
      </c>
      <c r="C685" t="s">
        <v>75</v>
      </c>
      <c r="D685">
        <v>3</v>
      </c>
      <c r="E685" t="s">
        <v>458</v>
      </c>
    </row>
    <row r="686" spans="1:5" x14ac:dyDescent="0.35">
      <c r="A686">
        <v>2005</v>
      </c>
      <c r="B686" t="s">
        <v>33</v>
      </c>
      <c r="C686" t="s">
        <v>74</v>
      </c>
      <c r="E686" t="s">
        <v>328</v>
      </c>
    </row>
    <row r="687" spans="1:5" x14ac:dyDescent="0.35">
      <c r="A687">
        <v>2005</v>
      </c>
      <c r="B687" t="s">
        <v>33</v>
      </c>
      <c r="C687" t="s">
        <v>74</v>
      </c>
      <c r="E687" t="s">
        <v>458</v>
      </c>
    </row>
    <row r="688" spans="1:5" x14ac:dyDescent="0.35">
      <c r="A688">
        <v>2005</v>
      </c>
      <c r="B688" t="s">
        <v>38</v>
      </c>
      <c r="C688" t="s">
        <v>20</v>
      </c>
      <c r="D688">
        <v>1227</v>
      </c>
      <c r="E688" t="s">
        <v>328</v>
      </c>
    </row>
    <row r="689" spans="1:5" x14ac:dyDescent="0.35">
      <c r="A689">
        <v>2005</v>
      </c>
      <c r="B689" t="s">
        <v>38</v>
      </c>
      <c r="C689" t="s">
        <v>20</v>
      </c>
      <c r="D689">
        <v>1367</v>
      </c>
      <c r="E689" t="s">
        <v>458</v>
      </c>
    </row>
    <row r="690" spans="1:5" x14ac:dyDescent="0.35">
      <c r="A690">
        <v>2005</v>
      </c>
      <c r="B690" t="s">
        <v>34</v>
      </c>
      <c r="C690" t="s">
        <v>73</v>
      </c>
      <c r="D690">
        <v>1105</v>
      </c>
      <c r="E690" t="s">
        <v>328</v>
      </c>
    </row>
    <row r="691" spans="1:5" x14ac:dyDescent="0.35">
      <c r="A691">
        <v>2005</v>
      </c>
      <c r="B691" t="s">
        <v>36</v>
      </c>
      <c r="C691" t="s">
        <v>76</v>
      </c>
      <c r="D691">
        <v>82</v>
      </c>
      <c r="E691" t="s">
        <v>458</v>
      </c>
    </row>
    <row r="692" spans="1:5" x14ac:dyDescent="0.35">
      <c r="A692">
        <v>2005</v>
      </c>
      <c r="B692" t="s">
        <v>35</v>
      </c>
      <c r="C692" t="s">
        <v>81</v>
      </c>
      <c r="E692" t="s">
        <v>328</v>
      </c>
    </row>
    <row r="693" spans="1:5" x14ac:dyDescent="0.35">
      <c r="A693">
        <v>2005</v>
      </c>
      <c r="B693" t="s">
        <v>35</v>
      </c>
      <c r="C693" t="s">
        <v>60</v>
      </c>
      <c r="D693">
        <v>9</v>
      </c>
      <c r="E693" t="s">
        <v>328</v>
      </c>
    </row>
    <row r="694" spans="1:5" x14ac:dyDescent="0.35">
      <c r="A694">
        <v>2005</v>
      </c>
      <c r="B694" t="s">
        <v>38</v>
      </c>
      <c r="C694" t="s">
        <v>59</v>
      </c>
      <c r="D694">
        <v>241</v>
      </c>
      <c r="E694" t="s">
        <v>328</v>
      </c>
    </row>
    <row r="695" spans="1:5" x14ac:dyDescent="0.35">
      <c r="A695">
        <v>2005</v>
      </c>
      <c r="B695" t="s">
        <v>37</v>
      </c>
      <c r="C695" t="s">
        <v>47</v>
      </c>
      <c r="D695">
        <v>11</v>
      </c>
      <c r="E695" t="s">
        <v>458</v>
      </c>
    </row>
    <row r="696" spans="1:5" x14ac:dyDescent="0.35">
      <c r="A696">
        <v>2005</v>
      </c>
      <c r="B696" t="s">
        <v>34</v>
      </c>
      <c r="C696" t="s">
        <v>46</v>
      </c>
      <c r="D696">
        <v>88</v>
      </c>
      <c r="E696" t="s">
        <v>328</v>
      </c>
    </row>
    <row r="697" spans="1:5" x14ac:dyDescent="0.35">
      <c r="A697">
        <v>2005</v>
      </c>
      <c r="B697" t="s">
        <v>34</v>
      </c>
      <c r="C697" t="s">
        <v>46</v>
      </c>
      <c r="D697">
        <v>32</v>
      </c>
      <c r="E697" t="s">
        <v>458</v>
      </c>
    </row>
    <row r="698" spans="1:5" x14ac:dyDescent="0.35">
      <c r="A698">
        <v>2005</v>
      </c>
      <c r="B698" t="s">
        <v>38</v>
      </c>
      <c r="C698" t="s">
        <v>45</v>
      </c>
      <c r="D698">
        <v>479</v>
      </c>
      <c r="E698" t="s">
        <v>328</v>
      </c>
    </row>
    <row r="699" spans="1:5" x14ac:dyDescent="0.35">
      <c r="A699">
        <v>2005</v>
      </c>
      <c r="B699" t="s">
        <v>38</v>
      </c>
      <c r="C699" t="s">
        <v>45</v>
      </c>
      <c r="D699">
        <v>95</v>
      </c>
      <c r="E699" t="s">
        <v>458</v>
      </c>
    </row>
    <row r="700" spans="1:5" x14ac:dyDescent="0.35">
      <c r="A700">
        <v>2005</v>
      </c>
      <c r="B700" t="s">
        <v>36</v>
      </c>
      <c r="C700" t="s">
        <v>44</v>
      </c>
      <c r="D700">
        <v>8</v>
      </c>
      <c r="E700" t="s">
        <v>328</v>
      </c>
    </row>
    <row r="701" spans="1:5" x14ac:dyDescent="0.35">
      <c r="A701">
        <v>2005</v>
      </c>
      <c r="B701" t="s">
        <v>36</v>
      </c>
      <c r="C701" t="s">
        <v>44</v>
      </c>
      <c r="D701">
        <v>26</v>
      </c>
      <c r="E701" t="s">
        <v>458</v>
      </c>
    </row>
    <row r="702" spans="1:5" x14ac:dyDescent="0.35">
      <c r="A702">
        <v>2005</v>
      </c>
      <c r="B702" t="s">
        <v>37</v>
      </c>
      <c r="C702" t="s">
        <v>47</v>
      </c>
      <c r="D702">
        <v>28</v>
      </c>
      <c r="E702" t="s">
        <v>328</v>
      </c>
    </row>
    <row r="703" spans="1:5" x14ac:dyDescent="0.35">
      <c r="A703">
        <v>2005</v>
      </c>
      <c r="B703" t="s">
        <v>33</v>
      </c>
      <c r="C703" t="s">
        <v>43</v>
      </c>
      <c r="D703">
        <v>13</v>
      </c>
      <c r="E703" t="s">
        <v>328</v>
      </c>
    </row>
    <row r="704" spans="1:5" x14ac:dyDescent="0.35">
      <c r="A704">
        <v>2005</v>
      </c>
      <c r="C704" t="s">
        <v>373</v>
      </c>
      <c r="D704">
        <v>11</v>
      </c>
      <c r="E704" t="s">
        <v>458</v>
      </c>
    </row>
    <row r="705" spans="1:5" x14ac:dyDescent="0.35">
      <c r="A705">
        <v>2005</v>
      </c>
      <c r="B705" t="s">
        <v>33</v>
      </c>
      <c r="C705" t="s">
        <v>42</v>
      </c>
      <c r="D705">
        <v>30</v>
      </c>
      <c r="E705" t="s">
        <v>328</v>
      </c>
    </row>
    <row r="706" spans="1:5" x14ac:dyDescent="0.35">
      <c r="A706">
        <v>2005</v>
      </c>
      <c r="B706" t="s">
        <v>33</v>
      </c>
      <c r="C706" t="s">
        <v>42</v>
      </c>
      <c r="D706">
        <v>9</v>
      </c>
      <c r="E706" t="s">
        <v>458</v>
      </c>
    </row>
    <row r="707" spans="1:5" x14ac:dyDescent="0.35">
      <c r="A707">
        <v>2005</v>
      </c>
      <c r="B707" t="s">
        <v>35</v>
      </c>
      <c r="C707" t="s">
        <v>41</v>
      </c>
      <c r="D707">
        <v>204</v>
      </c>
      <c r="E707" t="s">
        <v>328</v>
      </c>
    </row>
    <row r="708" spans="1:5" x14ac:dyDescent="0.35">
      <c r="A708">
        <v>2005</v>
      </c>
      <c r="B708" t="s">
        <v>35</v>
      </c>
      <c r="C708" t="s">
        <v>41</v>
      </c>
      <c r="D708">
        <v>32</v>
      </c>
      <c r="E708" t="s">
        <v>458</v>
      </c>
    </row>
    <row r="709" spans="1:5" x14ac:dyDescent="0.35">
      <c r="A709">
        <v>2005</v>
      </c>
      <c r="B709" t="s">
        <v>34</v>
      </c>
      <c r="C709" t="s">
        <v>40</v>
      </c>
      <c r="D709">
        <v>16</v>
      </c>
      <c r="E709" t="s">
        <v>328</v>
      </c>
    </row>
    <row r="710" spans="1:5" x14ac:dyDescent="0.35">
      <c r="A710">
        <v>2005</v>
      </c>
      <c r="B710" t="s">
        <v>34</v>
      </c>
      <c r="C710" t="s">
        <v>120</v>
      </c>
      <c r="D710">
        <v>5</v>
      </c>
      <c r="E710" t="s">
        <v>458</v>
      </c>
    </row>
    <row r="711" spans="1:5" x14ac:dyDescent="0.35">
      <c r="A711">
        <v>2005</v>
      </c>
      <c r="C711" t="s">
        <v>373</v>
      </c>
      <c r="D711">
        <v>42</v>
      </c>
      <c r="E711" t="s">
        <v>328</v>
      </c>
    </row>
    <row r="712" spans="1:5" x14ac:dyDescent="0.35">
      <c r="A712">
        <v>2005</v>
      </c>
      <c r="B712" t="s">
        <v>35</v>
      </c>
      <c r="C712" t="s">
        <v>60</v>
      </c>
      <c r="D712">
        <v>14</v>
      </c>
      <c r="E712" t="s">
        <v>458</v>
      </c>
    </row>
    <row r="713" spans="1:5" x14ac:dyDescent="0.35">
      <c r="A713">
        <v>2005</v>
      </c>
      <c r="B713" t="s">
        <v>35</v>
      </c>
      <c r="C713" t="s">
        <v>48</v>
      </c>
      <c r="E713" t="s">
        <v>458</v>
      </c>
    </row>
    <row r="714" spans="1:5" x14ac:dyDescent="0.35">
      <c r="A714">
        <v>2005</v>
      </c>
      <c r="B714" t="s">
        <v>34</v>
      </c>
      <c r="C714" t="s">
        <v>49</v>
      </c>
      <c r="E714" t="s">
        <v>458</v>
      </c>
    </row>
    <row r="715" spans="1:5" x14ac:dyDescent="0.35">
      <c r="A715">
        <v>2005</v>
      </c>
      <c r="B715" t="s">
        <v>38</v>
      </c>
      <c r="C715" t="s">
        <v>59</v>
      </c>
      <c r="D715">
        <v>62</v>
      </c>
      <c r="E715" t="s">
        <v>458</v>
      </c>
    </row>
    <row r="716" spans="1:5" x14ac:dyDescent="0.35">
      <c r="A716">
        <v>2005</v>
      </c>
      <c r="B716" t="s">
        <v>33</v>
      </c>
      <c r="C716" t="s">
        <v>57</v>
      </c>
      <c r="E716" t="s">
        <v>328</v>
      </c>
    </row>
    <row r="717" spans="1:5" x14ac:dyDescent="0.35">
      <c r="A717">
        <v>2005</v>
      </c>
      <c r="B717" t="s">
        <v>33</v>
      </c>
      <c r="C717" t="s">
        <v>57</v>
      </c>
      <c r="E717" t="s">
        <v>458</v>
      </c>
    </row>
    <row r="718" spans="1:5" x14ac:dyDescent="0.35">
      <c r="A718">
        <v>2005</v>
      </c>
      <c r="B718" t="s">
        <v>36</v>
      </c>
      <c r="C718" t="s">
        <v>56</v>
      </c>
      <c r="D718">
        <v>101</v>
      </c>
      <c r="E718" t="s">
        <v>328</v>
      </c>
    </row>
    <row r="719" spans="1:5" x14ac:dyDescent="0.35">
      <c r="A719">
        <v>2005</v>
      </c>
      <c r="B719" t="s">
        <v>36</v>
      </c>
      <c r="C719" t="s">
        <v>56</v>
      </c>
      <c r="D719">
        <v>118</v>
      </c>
      <c r="E719" t="s">
        <v>458</v>
      </c>
    </row>
    <row r="720" spans="1:5" x14ac:dyDescent="0.35">
      <c r="A720">
        <v>2005</v>
      </c>
      <c r="B720" t="s">
        <v>35</v>
      </c>
      <c r="C720" t="s">
        <v>55</v>
      </c>
      <c r="D720">
        <v>12</v>
      </c>
      <c r="E720" t="s">
        <v>328</v>
      </c>
    </row>
    <row r="721" spans="1:5" x14ac:dyDescent="0.35">
      <c r="A721">
        <v>2005</v>
      </c>
      <c r="B721" t="s">
        <v>35</v>
      </c>
      <c r="C721" t="s">
        <v>55</v>
      </c>
      <c r="D721">
        <v>7</v>
      </c>
      <c r="E721" t="s">
        <v>458</v>
      </c>
    </row>
    <row r="722" spans="1:5" x14ac:dyDescent="0.35">
      <c r="A722">
        <v>2005</v>
      </c>
      <c r="B722" t="s">
        <v>35</v>
      </c>
      <c r="C722" t="s">
        <v>48</v>
      </c>
      <c r="E722" t="s">
        <v>328</v>
      </c>
    </row>
    <row r="723" spans="1:5" x14ac:dyDescent="0.35">
      <c r="A723">
        <v>2005</v>
      </c>
      <c r="B723" t="s">
        <v>35</v>
      </c>
      <c r="C723" t="s">
        <v>54</v>
      </c>
      <c r="D723">
        <v>19</v>
      </c>
      <c r="E723" t="s">
        <v>328</v>
      </c>
    </row>
    <row r="724" spans="1:5" x14ac:dyDescent="0.35">
      <c r="A724">
        <v>2005</v>
      </c>
      <c r="B724" t="s">
        <v>36</v>
      </c>
      <c r="C724" t="s">
        <v>53</v>
      </c>
      <c r="D724">
        <v>10</v>
      </c>
      <c r="E724" t="s">
        <v>328</v>
      </c>
    </row>
    <row r="725" spans="1:5" x14ac:dyDescent="0.35">
      <c r="A725">
        <v>2005</v>
      </c>
      <c r="B725" t="s">
        <v>36</v>
      </c>
      <c r="C725" t="s">
        <v>53</v>
      </c>
      <c r="D725">
        <v>55</v>
      </c>
      <c r="E725" t="s">
        <v>458</v>
      </c>
    </row>
    <row r="726" spans="1:5" x14ac:dyDescent="0.35">
      <c r="A726">
        <v>2005</v>
      </c>
      <c r="B726" t="s">
        <v>34</v>
      </c>
      <c r="C726" t="s">
        <v>52</v>
      </c>
      <c r="D726">
        <v>124</v>
      </c>
      <c r="E726" t="s">
        <v>328</v>
      </c>
    </row>
    <row r="727" spans="1:5" x14ac:dyDescent="0.35">
      <c r="A727">
        <v>2005</v>
      </c>
      <c r="B727" t="s">
        <v>34</v>
      </c>
      <c r="C727" t="s">
        <v>52</v>
      </c>
      <c r="D727">
        <v>21</v>
      </c>
      <c r="E727" t="s">
        <v>458</v>
      </c>
    </row>
    <row r="728" spans="1:5" x14ac:dyDescent="0.35">
      <c r="A728">
        <v>2005</v>
      </c>
      <c r="B728" t="s">
        <v>36</v>
      </c>
      <c r="C728" t="s">
        <v>50</v>
      </c>
      <c r="D728">
        <v>33</v>
      </c>
      <c r="E728" t="s">
        <v>328</v>
      </c>
    </row>
    <row r="729" spans="1:5" x14ac:dyDescent="0.35">
      <c r="A729">
        <v>2005</v>
      </c>
      <c r="B729" t="s">
        <v>36</v>
      </c>
      <c r="C729" t="s">
        <v>50</v>
      </c>
      <c r="D729">
        <v>120</v>
      </c>
      <c r="E729" t="s">
        <v>458</v>
      </c>
    </row>
    <row r="730" spans="1:5" x14ac:dyDescent="0.35">
      <c r="A730">
        <v>2005</v>
      </c>
      <c r="B730" t="s">
        <v>34</v>
      </c>
      <c r="C730" t="s">
        <v>49</v>
      </c>
      <c r="E730" t="s">
        <v>328</v>
      </c>
    </row>
    <row r="731" spans="1:5" x14ac:dyDescent="0.35">
      <c r="A731">
        <v>2005</v>
      </c>
      <c r="B731" t="s">
        <v>35</v>
      </c>
      <c r="C731" t="s">
        <v>54</v>
      </c>
      <c r="D731">
        <v>6</v>
      </c>
      <c r="E731" t="s">
        <v>458</v>
      </c>
    </row>
    <row r="732" spans="1:5" x14ac:dyDescent="0.35">
      <c r="A732">
        <v>2005</v>
      </c>
      <c r="B732" t="s">
        <v>35</v>
      </c>
      <c r="C732" t="s">
        <v>214</v>
      </c>
      <c r="D732">
        <v>10</v>
      </c>
      <c r="E732" t="s">
        <v>458</v>
      </c>
    </row>
    <row r="733" spans="1:5" x14ac:dyDescent="0.35">
      <c r="A733">
        <v>2005</v>
      </c>
      <c r="B733" t="s">
        <v>34</v>
      </c>
      <c r="C733" t="s">
        <v>40</v>
      </c>
      <c r="D733">
        <v>21</v>
      </c>
      <c r="E733" t="s">
        <v>458</v>
      </c>
    </row>
    <row r="734" spans="1:5" x14ac:dyDescent="0.35">
      <c r="A734">
        <v>2005</v>
      </c>
      <c r="B734" t="s">
        <v>35</v>
      </c>
      <c r="C734" t="s">
        <v>119</v>
      </c>
      <c r="E734" t="s">
        <v>458</v>
      </c>
    </row>
    <row r="735" spans="1:5" x14ac:dyDescent="0.35">
      <c r="A735">
        <v>2005</v>
      </c>
      <c r="B735" t="s">
        <v>34</v>
      </c>
      <c r="C735" t="s">
        <v>108</v>
      </c>
      <c r="D735">
        <v>35</v>
      </c>
      <c r="E735" t="s">
        <v>328</v>
      </c>
    </row>
    <row r="736" spans="1:5" x14ac:dyDescent="0.35">
      <c r="A736">
        <v>2005</v>
      </c>
      <c r="B736" t="s">
        <v>34</v>
      </c>
      <c r="C736" t="s">
        <v>108</v>
      </c>
      <c r="D736">
        <v>17</v>
      </c>
      <c r="E736" t="s">
        <v>458</v>
      </c>
    </row>
    <row r="737" spans="1:5" x14ac:dyDescent="0.35">
      <c r="A737">
        <v>2005</v>
      </c>
      <c r="B737" t="s">
        <v>34</v>
      </c>
      <c r="C737" t="s">
        <v>107</v>
      </c>
      <c r="D737">
        <v>358</v>
      </c>
      <c r="E737" t="s">
        <v>328</v>
      </c>
    </row>
    <row r="738" spans="1:5" x14ac:dyDescent="0.35">
      <c r="A738">
        <v>2005</v>
      </c>
      <c r="B738" t="s">
        <v>34</v>
      </c>
      <c r="C738" t="s">
        <v>107</v>
      </c>
      <c r="D738">
        <v>17</v>
      </c>
      <c r="E738" t="s">
        <v>458</v>
      </c>
    </row>
    <row r="739" spans="1:5" x14ac:dyDescent="0.35">
      <c r="A739">
        <v>2005</v>
      </c>
      <c r="B739" t="s">
        <v>34</v>
      </c>
      <c r="C739" t="s">
        <v>22</v>
      </c>
      <c r="D739">
        <v>728</v>
      </c>
      <c r="E739" t="s">
        <v>328</v>
      </c>
    </row>
    <row r="740" spans="1:5" x14ac:dyDescent="0.35">
      <c r="A740">
        <v>2005</v>
      </c>
      <c r="B740" t="s">
        <v>34</v>
      </c>
      <c r="C740" t="s">
        <v>22</v>
      </c>
      <c r="D740">
        <v>139</v>
      </c>
      <c r="E740" t="s">
        <v>458</v>
      </c>
    </row>
    <row r="741" spans="1:5" x14ac:dyDescent="0.35">
      <c r="A741">
        <v>2005</v>
      </c>
      <c r="B741" t="s">
        <v>35</v>
      </c>
      <c r="C741" t="s">
        <v>105</v>
      </c>
      <c r="D741">
        <v>98</v>
      </c>
      <c r="E741" t="s">
        <v>328</v>
      </c>
    </row>
    <row r="742" spans="1:5" x14ac:dyDescent="0.35">
      <c r="A742">
        <v>2005</v>
      </c>
      <c r="B742" t="s">
        <v>35</v>
      </c>
      <c r="C742" t="s">
        <v>214</v>
      </c>
      <c r="D742">
        <v>97</v>
      </c>
      <c r="E742" t="s">
        <v>328</v>
      </c>
    </row>
    <row r="743" spans="1:5" x14ac:dyDescent="0.35">
      <c r="A743">
        <v>2005</v>
      </c>
      <c r="B743" t="s">
        <v>35</v>
      </c>
      <c r="C743" t="s">
        <v>105</v>
      </c>
      <c r="D743">
        <v>12</v>
      </c>
      <c r="E743" t="s">
        <v>458</v>
      </c>
    </row>
    <row r="744" spans="1:5" x14ac:dyDescent="0.35">
      <c r="A744">
        <v>2005</v>
      </c>
      <c r="B744" t="s">
        <v>34</v>
      </c>
      <c r="C744" t="s">
        <v>368</v>
      </c>
      <c r="D744">
        <v>7</v>
      </c>
      <c r="E744" t="s">
        <v>458</v>
      </c>
    </row>
    <row r="745" spans="1:5" x14ac:dyDescent="0.35">
      <c r="A745">
        <v>2005</v>
      </c>
      <c r="B745" t="s">
        <v>36</v>
      </c>
      <c r="C745" t="s">
        <v>17</v>
      </c>
      <c r="D745">
        <v>12868</v>
      </c>
      <c r="E745" t="s">
        <v>328</v>
      </c>
    </row>
    <row r="746" spans="1:5" x14ac:dyDescent="0.35">
      <c r="A746">
        <v>2005</v>
      </c>
      <c r="B746" t="s">
        <v>36</v>
      </c>
      <c r="C746" t="s">
        <v>17</v>
      </c>
      <c r="D746">
        <v>2704</v>
      </c>
      <c r="E746" t="s">
        <v>458</v>
      </c>
    </row>
    <row r="747" spans="1:5" x14ac:dyDescent="0.35">
      <c r="A747">
        <v>2005</v>
      </c>
      <c r="B747" t="s">
        <v>36</v>
      </c>
      <c r="C747" t="s">
        <v>104</v>
      </c>
      <c r="D747">
        <v>613</v>
      </c>
      <c r="E747" t="s">
        <v>328</v>
      </c>
    </row>
    <row r="748" spans="1:5" x14ac:dyDescent="0.35">
      <c r="A748">
        <v>2005</v>
      </c>
      <c r="B748" t="s">
        <v>36</v>
      </c>
      <c r="C748" t="s">
        <v>104</v>
      </c>
      <c r="D748">
        <v>591</v>
      </c>
      <c r="E748" t="s">
        <v>458</v>
      </c>
    </row>
    <row r="749" spans="1:5" x14ac:dyDescent="0.35">
      <c r="A749">
        <v>2005</v>
      </c>
      <c r="B749" t="s">
        <v>38</v>
      </c>
      <c r="C749" t="s">
        <v>103</v>
      </c>
      <c r="D749">
        <v>141</v>
      </c>
      <c r="E749" t="s">
        <v>328</v>
      </c>
    </row>
    <row r="750" spans="1:5" x14ac:dyDescent="0.35">
      <c r="A750">
        <v>2005</v>
      </c>
      <c r="B750" t="s">
        <v>38</v>
      </c>
      <c r="C750" t="s">
        <v>103</v>
      </c>
      <c r="D750">
        <v>255</v>
      </c>
      <c r="E750" t="s">
        <v>458</v>
      </c>
    </row>
    <row r="751" spans="1:5" x14ac:dyDescent="0.35">
      <c r="A751">
        <v>2005</v>
      </c>
      <c r="B751" t="s">
        <v>34</v>
      </c>
      <c r="C751" t="s">
        <v>368</v>
      </c>
      <c r="D751">
        <v>13</v>
      </c>
      <c r="E751" t="s">
        <v>328</v>
      </c>
    </row>
    <row r="752" spans="1:5" x14ac:dyDescent="0.35">
      <c r="A752">
        <v>2005</v>
      </c>
      <c r="B752" t="s">
        <v>33</v>
      </c>
      <c r="C752" t="s">
        <v>101</v>
      </c>
      <c r="D752">
        <v>68</v>
      </c>
      <c r="E752" t="s">
        <v>328</v>
      </c>
    </row>
    <row r="753" spans="1:5" x14ac:dyDescent="0.35">
      <c r="A753">
        <v>2005</v>
      </c>
      <c r="B753" t="s">
        <v>34</v>
      </c>
      <c r="C753" t="s">
        <v>109</v>
      </c>
      <c r="D753">
        <v>16</v>
      </c>
      <c r="E753" t="s">
        <v>328</v>
      </c>
    </row>
    <row r="754" spans="1:5" x14ac:dyDescent="0.35">
      <c r="A754">
        <v>2005</v>
      </c>
      <c r="B754" t="s">
        <v>35</v>
      </c>
      <c r="C754" t="s">
        <v>110</v>
      </c>
      <c r="D754">
        <v>59</v>
      </c>
      <c r="E754" t="s">
        <v>328</v>
      </c>
    </row>
    <row r="755" spans="1:5" x14ac:dyDescent="0.35">
      <c r="A755">
        <v>2005</v>
      </c>
      <c r="B755" t="s">
        <v>34</v>
      </c>
      <c r="C755" t="s">
        <v>118</v>
      </c>
      <c r="D755">
        <v>288</v>
      </c>
      <c r="E755" t="s">
        <v>328</v>
      </c>
    </row>
    <row r="756" spans="1:5" x14ac:dyDescent="0.35">
      <c r="A756">
        <v>2005</v>
      </c>
      <c r="B756" t="s">
        <v>34</v>
      </c>
      <c r="C756" t="s">
        <v>118</v>
      </c>
      <c r="D756">
        <v>113</v>
      </c>
      <c r="E756" t="s">
        <v>458</v>
      </c>
    </row>
    <row r="757" spans="1:5" x14ac:dyDescent="0.35">
      <c r="A757">
        <v>2005</v>
      </c>
      <c r="B757" t="s">
        <v>33</v>
      </c>
      <c r="C757" t="s">
        <v>117</v>
      </c>
      <c r="D757">
        <v>81</v>
      </c>
      <c r="E757" t="s">
        <v>328</v>
      </c>
    </row>
    <row r="758" spans="1:5" x14ac:dyDescent="0.35">
      <c r="A758">
        <v>2005</v>
      </c>
      <c r="B758" t="s">
        <v>33</v>
      </c>
      <c r="C758" t="s">
        <v>117</v>
      </c>
      <c r="D758">
        <v>36</v>
      </c>
      <c r="E758" t="s">
        <v>458</v>
      </c>
    </row>
    <row r="759" spans="1:5" x14ac:dyDescent="0.35">
      <c r="A759">
        <v>2005</v>
      </c>
      <c r="B759" t="s">
        <v>34</v>
      </c>
      <c r="C759" t="s">
        <v>116</v>
      </c>
      <c r="D759">
        <v>15</v>
      </c>
      <c r="E759" t="s">
        <v>328</v>
      </c>
    </row>
    <row r="760" spans="1:5" x14ac:dyDescent="0.35">
      <c r="A760">
        <v>2005</v>
      </c>
      <c r="B760" t="s">
        <v>34</v>
      </c>
      <c r="C760" t="s">
        <v>116</v>
      </c>
      <c r="D760">
        <v>3</v>
      </c>
      <c r="E760" t="s">
        <v>458</v>
      </c>
    </row>
    <row r="761" spans="1:5" x14ac:dyDescent="0.35">
      <c r="A761">
        <v>2005</v>
      </c>
      <c r="B761" t="s">
        <v>34</v>
      </c>
      <c r="C761" t="s">
        <v>115</v>
      </c>
      <c r="D761">
        <v>142</v>
      </c>
      <c r="E761" t="s">
        <v>328</v>
      </c>
    </row>
    <row r="762" spans="1:5" x14ac:dyDescent="0.35">
      <c r="A762">
        <v>2005</v>
      </c>
      <c r="B762" t="s">
        <v>35</v>
      </c>
      <c r="C762" t="s">
        <v>110</v>
      </c>
      <c r="D762">
        <v>13</v>
      </c>
      <c r="E762" t="s">
        <v>458</v>
      </c>
    </row>
    <row r="763" spans="1:5" x14ac:dyDescent="0.35">
      <c r="A763">
        <v>2005</v>
      </c>
      <c r="B763" t="s">
        <v>34</v>
      </c>
      <c r="C763" t="s">
        <v>115</v>
      </c>
      <c r="D763">
        <v>81</v>
      </c>
      <c r="E763" t="s">
        <v>458</v>
      </c>
    </row>
    <row r="764" spans="1:5" x14ac:dyDescent="0.35">
      <c r="A764">
        <v>2005</v>
      </c>
      <c r="B764" t="s">
        <v>34</v>
      </c>
      <c r="C764" t="s">
        <v>114</v>
      </c>
      <c r="D764">
        <v>12</v>
      </c>
      <c r="E764" t="s">
        <v>458</v>
      </c>
    </row>
    <row r="765" spans="1:5" x14ac:dyDescent="0.35">
      <c r="A765">
        <v>2005</v>
      </c>
      <c r="B765" t="s">
        <v>36</v>
      </c>
      <c r="C765" t="s">
        <v>113</v>
      </c>
      <c r="D765">
        <v>548</v>
      </c>
      <c r="E765" t="s">
        <v>328</v>
      </c>
    </row>
    <row r="766" spans="1:5" x14ac:dyDescent="0.35">
      <c r="A766">
        <v>2005</v>
      </c>
      <c r="B766" t="s">
        <v>36</v>
      </c>
      <c r="C766" t="s">
        <v>113</v>
      </c>
      <c r="D766">
        <v>1475</v>
      </c>
      <c r="E766" t="s">
        <v>458</v>
      </c>
    </row>
    <row r="767" spans="1:5" x14ac:dyDescent="0.35">
      <c r="A767">
        <v>2005</v>
      </c>
      <c r="B767" t="s">
        <v>35</v>
      </c>
      <c r="C767" t="s">
        <v>112</v>
      </c>
      <c r="D767">
        <v>71</v>
      </c>
      <c r="E767" t="s">
        <v>328</v>
      </c>
    </row>
    <row r="768" spans="1:5" x14ac:dyDescent="0.35">
      <c r="A768">
        <v>2005</v>
      </c>
      <c r="B768" t="s">
        <v>35</v>
      </c>
      <c r="C768" t="s">
        <v>112</v>
      </c>
      <c r="D768">
        <v>73</v>
      </c>
      <c r="E768" t="s">
        <v>458</v>
      </c>
    </row>
    <row r="769" spans="1:5" x14ac:dyDescent="0.35">
      <c r="A769">
        <v>2005</v>
      </c>
      <c r="B769" t="s">
        <v>34</v>
      </c>
      <c r="C769" t="s">
        <v>111</v>
      </c>
      <c r="D769">
        <v>200</v>
      </c>
      <c r="E769" t="s">
        <v>328</v>
      </c>
    </row>
    <row r="770" spans="1:5" x14ac:dyDescent="0.35">
      <c r="A770">
        <v>2005</v>
      </c>
      <c r="B770" t="s">
        <v>34</v>
      </c>
      <c r="C770" t="s">
        <v>111</v>
      </c>
      <c r="D770">
        <v>84</v>
      </c>
      <c r="E770" t="s">
        <v>458</v>
      </c>
    </row>
    <row r="771" spans="1:5" x14ac:dyDescent="0.35">
      <c r="A771">
        <v>2005</v>
      </c>
      <c r="B771" t="s">
        <v>34</v>
      </c>
      <c r="C771" t="s">
        <v>114</v>
      </c>
      <c r="D771">
        <v>34</v>
      </c>
      <c r="E771" t="s">
        <v>328</v>
      </c>
    </row>
    <row r="772" spans="1:5" x14ac:dyDescent="0.35">
      <c r="A772">
        <v>2005</v>
      </c>
      <c r="B772" t="s">
        <v>33</v>
      </c>
      <c r="C772" t="s">
        <v>101</v>
      </c>
      <c r="D772">
        <v>24</v>
      </c>
      <c r="E772" t="s">
        <v>458</v>
      </c>
    </row>
    <row r="773" spans="1:5" x14ac:dyDescent="0.35">
      <c r="A773">
        <v>2005</v>
      </c>
      <c r="B773" t="s">
        <v>34</v>
      </c>
      <c r="C773" t="s">
        <v>109</v>
      </c>
      <c r="D773">
        <v>8</v>
      </c>
      <c r="E773" t="s">
        <v>458</v>
      </c>
    </row>
    <row r="774" spans="1:5" x14ac:dyDescent="0.35">
      <c r="A774">
        <v>2005</v>
      </c>
      <c r="B774" t="s">
        <v>36</v>
      </c>
      <c r="C774" t="s">
        <v>15</v>
      </c>
      <c r="D774">
        <v>2143</v>
      </c>
      <c r="E774" t="s">
        <v>458</v>
      </c>
    </row>
    <row r="775" spans="1:5" x14ac:dyDescent="0.35">
      <c r="A775">
        <v>2005</v>
      </c>
      <c r="B775" t="s">
        <v>33</v>
      </c>
      <c r="C775" t="s">
        <v>91</v>
      </c>
      <c r="D775">
        <v>19</v>
      </c>
      <c r="E775" t="s">
        <v>458</v>
      </c>
    </row>
    <row r="776" spans="1:5" x14ac:dyDescent="0.35">
      <c r="A776">
        <v>2005</v>
      </c>
      <c r="B776" t="s">
        <v>35</v>
      </c>
      <c r="C776" t="s">
        <v>90</v>
      </c>
      <c r="D776">
        <v>18</v>
      </c>
      <c r="E776" t="s">
        <v>328</v>
      </c>
    </row>
    <row r="777" spans="1:5" x14ac:dyDescent="0.35">
      <c r="A777">
        <v>2005</v>
      </c>
      <c r="B777" t="s">
        <v>35</v>
      </c>
      <c r="C777" t="s">
        <v>90</v>
      </c>
      <c r="D777">
        <v>4</v>
      </c>
      <c r="E777" t="s">
        <v>458</v>
      </c>
    </row>
    <row r="778" spans="1:5" x14ac:dyDescent="0.35">
      <c r="A778">
        <v>2005</v>
      </c>
      <c r="B778" t="s">
        <v>33</v>
      </c>
      <c r="C778" t="s">
        <v>89</v>
      </c>
      <c r="E778" t="s">
        <v>328</v>
      </c>
    </row>
    <row r="779" spans="1:5" x14ac:dyDescent="0.35">
      <c r="A779">
        <v>2005</v>
      </c>
      <c r="B779" t="s">
        <v>33</v>
      </c>
      <c r="C779" t="s">
        <v>89</v>
      </c>
      <c r="E779" t="s">
        <v>458</v>
      </c>
    </row>
    <row r="780" spans="1:5" x14ac:dyDescent="0.35">
      <c r="A780">
        <v>2005</v>
      </c>
      <c r="B780" t="s">
        <v>36</v>
      </c>
      <c r="C780" t="s">
        <v>16</v>
      </c>
      <c r="D780">
        <v>5478</v>
      </c>
      <c r="E780" t="s">
        <v>328</v>
      </c>
    </row>
    <row r="781" spans="1:5" x14ac:dyDescent="0.35">
      <c r="A781">
        <v>2005</v>
      </c>
      <c r="B781" t="s">
        <v>33</v>
      </c>
      <c r="C781" t="s">
        <v>87</v>
      </c>
      <c r="D781">
        <v>186</v>
      </c>
      <c r="E781" t="s">
        <v>328</v>
      </c>
    </row>
    <row r="782" spans="1:5" x14ac:dyDescent="0.35">
      <c r="A782">
        <v>2005</v>
      </c>
      <c r="B782" t="s">
        <v>33</v>
      </c>
      <c r="C782" t="s">
        <v>91</v>
      </c>
      <c r="D782">
        <v>75</v>
      </c>
      <c r="E782" t="s">
        <v>328</v>
      </c>
    </row>
    <row r="783" spans="1:5" x14ac:dyDescent="0.35">
      <c r="A783">
        <v>2005</v>
      </c>
      <c r="B783" t="s">
        <v>33</v>
      </c>
      <c r="C783" t="s">
        <v>87</v>
      </c>
      <c r="D783">
        <v>47</v>
      </c>
      <c r="E783" t="s">
        <v>458</v>
      </c>
    </row>
    <row r="784" spans="1:5" x14ac:dyDescent="0.35">
      <c r="A784">
        <v>2005</v>
      </c>
      <c r="B784" t="s">
        <v>38</v>
      </c>
      <c r="C784" t="s">
        <v>86</v>
      </c>
      <c r="D784">
        <v>393</v>
      </c>
      <c r="E784" t="s">
        <v>458</v>
      </c>
    </row>
    <row r="785" spans="1:5" x14ac:dyDescent="0.35">
      <c r="A785">
        <v>2005</v>
      </c>
      <c r="B785" t="s">
        <v>36</v>
      </c>
      <c r="C785" t="s">
        <v>85</v>
      </c>
      <c r="D785">
        <v>902</v>
      </c>
      <c r="E785" t="s">
        <v>328</v>
      </c>
    </row>
    <row r="786" spans="1:5" x14ac:dyDescent="0.35">
      <c r="A786">
        <v>2005</v>
      </c>
      <c r="B786" t="s">
        <v>36</v>
      </c>
      <c r="C786" t="s">
        <v>85</v>
      </c>
      <c r="D786">
        <v>2308</v>
      </c>
      <c r="E786" t="s">
        <v>458</v>
      </c>
    </row>
    <row r="787" spans="1:5" x14ac:dyDescent="0.35">
      <c r="A787">
        <v>2005</v>
      </c>
      <c r="B787" t="s">
        <v>36</v>
      </c>
      <c r="C787" t="s">
        <v>84</v>
      </c>
      <c r="D787">
        <v>11</v>
      </c>
      <c r="E787" t="s">
        <v>328</v>
      </c>
    </row>
    <row r="788" spans="1:5" x14ac:dyDescent="0.35">
      <c r="A788">
        <v>2005</v>
      </c>
      <c r="B788" t="s">
        <v>36</v>
      </c>
      <c r="C788" t="s">
        <v>84</v>
      </c>
      <c r="D788">
        <v>17</v>
      </c>
      <c r="E788" t="s">
        <v>458</v>
      </c>
    </row>
    <row r="789" spans="1:5" x14ac:dyDescent="0.35">
      <c r="A789">
        <v>2005</v>
      </c>
      <c r="B789" t="s">
        <v>35</v>
      </c>
      <c r="C789" t="s">
        <v>82</v>
      </c>
      <c r="D789">
        <v>8</v>
      </c>
      <c r="E789" t="s">
        <v>328</v>
      </c>
    </row>
    <row r="790" spans="1:5" x14ac:dyDescent="0.35">
      <c r="A790">
        <v>2005</v>
      </c>
      <c r="B790" t="s">
        <v>36</v>
      </c>
      <c r="C790" t="s">
        <v>15</v>
      </c>
      <c r="D790">
        <v>12379</v>
      </c>
      <c r="E790" t="s">
        <v>328</v>
      </c>
    </row>
    <row r="791" spans="1:5" x14ac:dyDescent="0.35">
      <c r="A791">
        <v>2005</v>
      </c>
      <c r="B791" t="s">
        <v>38</v>
      </c>
      <c r="C791" t="s">
        <v>86</v>
      </c>
      <c r="D791">
        <v>1097</v>
      </c>
      <c r="E791" t="s">
        <v>328</v>
      </c>
    </row>
    <row r="792" spans="1:5" x14ac:dyDescent="0.35">
      <c r="A792">
        <v>2005</v>
      </c>
      <c r="B792" t="s">
        <v>37</v>
      </c>
      <c r="C792" t="s">
        <v>92</v>
      </c>
      <c r="D792">
        <v>18</v>
      </c>
      <c r="E792" t="s">
        <v>458</v>
      </c>
    </row>
    <row r="793" spans="1:5" x14ac:dyDescent="0.35">
      <c r="A793">
        <v>2005</v>
      </c>
      <c r="B793" t="s">
        <v>36</v>
      </c>
      <c r="C793" t="s">
        <v>16</v>
      </c>
      <c r="D793">
        <v>2827</v>
      </c>
      <c r="E793" t="s">
        <v>458</v>
      </c>
    </row>
    <row r="794" spans="1:5" x14ac:dyDescent="0.35">
      <c r="A794">
        <v>2005</v>
      </c>
      <c r="B794" t="s">
        <v>35</v>
      </c>
      <c r="C794" t="s">
        <v>93</v>
      </c>
      <c r="D794">
        <v>8</v>
      </c>
      <c r="E794" t="s">
        <v>328</v>
      </c>
    </row>
    <row r="795" spans="1:5" x14ac:dyDescent="0.35">
      <c r="A795">
        <v>2005</v>
      </c>
      <c r="B795" t="s">
        <v>37</v>
      </c>
      <c r="C795" t="s">
        <v>92</v>
      </c>
      <c r="D795">
        <v>56</v>
      </c>
      <c r="E795" t="s">
        <v>328</v>
      </c>
    </row>
    <row r="796" spans="1:5" x14ac:dyDescent="0.35">
      <c r="A796">
        <v>2005</v>
      </c>
      <c r="B796" t="s">
        <v>36</v>
      </c>
      <c r="C796" t="s">
        <v>100</v>
      </c>
      <c r="D796">
        <v>27</v>
      </c>
      <c r="E796" t="s">
        <v>458</v>
      </c>
    </row>
    <row r="797" spans="1:5" x14ac:dyDescent="0.35">
      <c r="A797">
        <v>2005</v>
      </c>
      <c r="B797" t="s">
        <v>35</v>
      </c>
      <c r="C797" t="s">
        <v>99</v>
      </c>
      <c r="D797">
        <v>26</v>
      </c>
      <c r="E797" t="s">
        <v>328</v>
      </c>
    </row>
    <row r="798" spans="1:5" x14ac:dyDescent="0.35">
      <c r="A798">
        <v>2005</v>
      </c>
      <c r="B798" t="s">
        <v>35</v>
      </c>
      <c r="C798" t="s">
        <v>99</v>
      </c>
      <c r="D798">
        <v>24</v>
      </c>
      <c r="E798" t="s">
        <v>458</v>
      </c>
    </row>
    <row r="799" spans="1:5" x14ac:dyDescent="0.35">
      <c r="A799">
        <v>2005</v>
      </c>
      <c r="B799" t="s">
        <v>33</v>
      </c>
      <c r="C799" t="s">
        <v>98</v>
      </c>
      <c r="D799">
        <v>142</v>
      </c>
      <c r="E799" t="s">
        <v>328</v>
      </c>
    </row>
    <row r="800" spans="1:5" x14ac:dyDescent="0.35">
      <c r="A800">
        <v>2005</v>
      </c>
      <c r="B800" t="s">
        <v>33</v>
      </c>
      <c r="C800" t="s">
        <v>98</v>
      </c>
      <c r="D800">
        <v>76</v>
      </c>
      <c r="E800" t="s">
        <v>458</v>
      </c>
    </row>
    <row r="801" spans="1:5" x14ac:dyDescent="0.35">
      <c r="A801">
        <v>2005</v>
      </c>
      <c r="B801" t="s">
        <v>35</v>
      </c>
      <c r="C801" t="s">
        <v>97</v>
      </c>
      <c r="D801">
        <v>90</v>
      </c>
      <c r="E801" t="s">
        <v>328</v>
      </c>
    </row>
    <row r="802" spans="1:5" x14ac:dyDescent="0.35">
      <c r="A802">
        <v>2005</v>
      </c>
      <c r="B802" t="s">
        <v>35</v>
      </c>
      <c r="C802" t="s">
        <v>97</v>
      </c>
      <c r="D802">
        <v>79</v>
      </c>
      <c r="E802" t="s">
        <v>458</v>
      </c>
    </row>
    <row r="803" spans="1:5" x14ac:dyDescent="0.35">
      <c r="A803">
        <v>2005</v>
      </c>
      <c r="B803" t="s">
        <v>36</v>
      </c>
      <c r="C803" t="s">
        <v>100</v>
      </c>
      <c r="D803">
        <v>11</v>
      </c>
      <c r="E803" t="s">
        <v>328</v>
      </c>
    </row>
    <row r="804" spans="1:5" x14ac:dyDescent="0.35">
      <c r="A804">
        <v>2005</v>
      </c>
      <c r="B804" t="s">
        <v>34</v>
      </c>
      <c r="C804" t="s">
        <v>8</v>
      </c>
      <c r="D804">
        <v>18</v>
      </c>
      <c r="E804" t="s">
        <v>458</v>
      </c>
    </row>
    <row r="805" spans="1:5" x14ac:dyDescent="0.35">
      <c r="A805">
        <v>2005</v>
      </c>
      <c r="B805" t="s">
        <v>33</v>
      </c>
      <c r="C805" t="s">
        <v>96</v>
      </c>
      <c r="D805">
        <v>45</v>
      </c>
      <c r="E805" t="s">
        <v>328</v>
      </c>
    </row>
    <row r="806" spans="1:5" x14ac:dyDescent="0.35">
      <c r="A806">
        <v>2005</v>
      </c>
      <c r="B806" t="s">
        <v>33</v>
      </c>
      <c r="C806" t="s">
        <v>96</v>
      </c>
      <c r="D806">
        <v>16</v>
      </c>
      <c r="E806" t="s">
        <v>458</v>
      </c>
    </row>
    <row r="807" spans="1:5" x14ac:dyDescent="0.35">
      <c r="A807">
        <v>2005</v>
      </c>
      <c r="B807" t="s">
        <v>33</v>
      </c>
      <c r="C807" t="s">
        <v>95</v>
      </c>
      <c r="E807" t="s">
        <v>328</v>
      </c>
    </row>
    <row r="808" spans="1:5" x14ac:dyDescent="0.35">
      <c r="A808">
        <v>2005</v>
      </c>
      <c r="B808" t="s">
        <v>33</v>
      </c>
      <c r="C808" t="s">
        <v>95</v>
      </c>
      <c r="E808" t="s">
        <v>458</v>
      </c>
    </row>
    <row r="809" spans="1:5" x14ac:dyDescent="0.35">
      <c r="A809">
        <v>2005</v>
      </c>
      <c r="B809" t="s">
        <v>35</v>
      </c>
      <c r="C809" t="s">
        <v>94</v>
      </c>
      <c r="D809">
        <v>91</v>
      </c>
      <c r="E809" t="s">
        <v>328</v>
      </c>
    </row>
    <row r="810" spans="1:5" x14ac:dyDescent="0.35">
      <c r="A810">
        <v>2005</v>
      </c>
      <c r="B810" t="s">
        <v>35</v>
      </c>
      <c r="C810" t="s">
        <v>94</v>
      </c>
      <c r="D810">
        <v>45</v>
      </c>
      <c r="E810" t="s">
        <v>458</v>
      </c>
    </row>
    <row r="811" spans="1:5" x14ac:dyDescent="0.35">
      <c r="A811">
        <v>2005</v>
      </c>
      <c r="B811" t="s">
        <v>34</v>
      </c>
      <c r="C811" t="s">
        <v>8</v>
      </c>
      <c r="D811">
        <v>17</v>
      </c>
      <c r="E811" t="s">
        <v>328</v>
      </c>
    </row>
    <row r="812" spans="1:5" x14ac:dyDescent="0.35">
      <c r="A812">
        <v>2005</v>
      </c>
      <c r="B812" t="s">
        <v>34</v>
      </c>
      <c r="C812" t="s">
        <v>40</v>
      </c>
      <c r="D812">
        <v>55</v>
      </c>
      <c r="E812" t="s">
        <v>466</v>
      </c>
    </row>
    <row r="813" spans="1:5" x14ac:dyDescent="0.35">
      <c r="A813">
        <v>2005</v>
      </c>
      <c r="B813" t="s">
        <v>35</v>
      </c>
      <c r="C813" t="s">
        <v>41</v>
      </c>
      <c r="D813">
        <v>253</v>
      </c>
      <c r="E813" t="s">
        <v>466</v>
      </c>
    </row>
    <row r="814" spans="1:5" x14ac:dyDescent="0.35">
      <c r="A814">
        <v>2005</v>
      </c>
      <c r="B814" t="s">
        <v>33</v>
      </c>
      <c r="C814" t="s">
        <v>42</v>
      </c>
      <c r="D814">
        <v>39</v>
      </c>
      <c r="E814" t="s">
        <v>466</v>
      </c>
    </row>
    <row r="815" spans="1:5" x14ac:dyDescent="0.35">
      <c r="A815">
        <v>2005</v>
      </c>
      <c r="C815" t="s">
        <v>373</v>
      </c>
      <c r="D815">
        <v>36</v>
      </c>
      <c r="E815" t="s">
        <v>466</v>
      </c>
    </row>
    <row r="816" spans="1:5" x14ac:dyDescent="0.35">
      <c r="A816">
        <v>2005</v>
      </c>
      <c r="B816" t="s">
        <v>33</v>
      </c>
      <c r="C816" t="s">
        <v>43</v>
      </c>
      <c r="D816">
        <v>10</v>
      </c>
      <c r="E816" t="s">
        <v>466</v>
      </c>
    </row>
    <row r="817" spans="1:5" x14ac:dyDescent="0.35">
      <c r="A817">
        <v>2005</v>
      </c>
      <c r="B817" t="s">
        <v>36</v>
      </c>
      <c r="C817" t="s">
        <v>44</v>
      </c>
      <c r="D817">
        <v>30</v>
      </c>
      <c r="E817" t="s">
        <v>466</v>
      </c>
    </row>
    <row r="818" spans="1:5" x14ac:dyDescent="0.35">
      <c r="A818">
        <v>2005</v>
      </c>
      <c r="B818" t="s">
        <v>38</v>
      </c>
      <c r="C818" t="s">
        <v>45</v>
      </c>
      <c r="D818">
        <v>296</v>
      </c>
      <c r="E818" t="s">
        <v>466</v>
      </c>
    </row>
    <row r="819" spans="1:5" x14ac:dyDescent="0.35">
      <c r="A819">
        <v>2005</v>
      </c>
      <c r="B819" t="s">
        <v>34</v>
      </c>
      <c r="C819" t="s">
        <v>46</v>
      </c>
      <c r="D819">
        <v>82</v>
      </c>
      <c r="E819" t="s">
        <v>466</v>
      </c>
    </row>
    <row r="820" spans="1:5" x14ac:dyDescent="0.35">
      <c r="A820">
        <v>2005</v>
      </c>
      <c r="B820" t="s">
        <v>37</v>
      </c>
      <c r="C820" t="s">
        <v>47</v>
      </c>
      <c r="D820">
        <v>33</v>
      </c>
      <c r="E820" t="s">
        <v>466</v>
      </c>
    </row>
    <row r="821" spans="1:5" x14ac:dyDescent="0.35">
      <c r="A821">
        <v>2005</v>
      </c>
      <c r="B821" t="s">
        <v>35</v>
      </c>
      <c r="C821" t="s">
        <v>48</v>
      </c>
      <c r="D821">
        <v>12</v>
      </c>
      <c r="E821" t="s">
        <v>466</v>
      </c>
    </row>
    <row r="822" spans="1:5" x14ac:dyDescent="0.35">
      <c r="A822">
        <v>2005</v>
      </c>
      <c r="B822" t="s">
        <v>34</v>
      </c>
      <c r="C822" t="s">
        <v>49</v>
      </c>
      <c r="D822">
        <v>16</v>
      </c>
      <c r="E822" t="s">
        <v>466</v>
      </c>
    </row>
    <row r="823" spans="1:5" x14ac:dyDescent="0.35">
      <c r="A823">
        <v>2005</v>
      </c>
      <c r="B823" t="s">
        <v>36</v>
      </c>
      <c r="C823" t="s">
        <v>50</v>
      </c>
      <c r="D823">
        <v>122</v>
      </c>
      <c r="E823" t="s">
        <v>466</v>
      </c>
    </row>
    <row r="824" spans="1:5" x14ac:dyDescent="0.35">
      <c r="A824">
        <v>2005</v>
      </c>
      <c r="B824" t="s">
        <v>34</v>
      </c>
      <c r="C824" t="s">
        <v>51</v>
      </c>
      <c r="D824">
        <v>6</v>
      </c>
      <c r="E824" t="s">
        <v>466</v>
      </c>
    </row>
    <row r="825" spans="1:5" x14ac:dyDescent="0.35">
      <c r="A825">
        <v>2005</v>
      </c>
      <c r="B825" t="s">
        <v>34</v>
      </c>
      <c r="C825" t="s">
        <v>52</v>
      </c>
      <c r="D825">
        <v>151</v>
      </c>
      <c r="E825" t="s">
        <v>466</v>
      </c>
    </row>
    <row r="826" spans="1:5" x14ac:dyDescent="0.35">
      <c r="A826">
        <v>2005</v>
      </c>
      <c r="B826" t="s">
        <v>36</v>
      </c>
      <c r="C826" t="s">
        <v>53</v>
      </c>
      <c r="D826">
        <v>67</v>
      </c>
      <c r="E826" t="s">
        <v>466</v>
      </c>
    </row>
    <row r="827" spans="1:5" x14ac:dyDescent="0.35">
      <c r="A827">
        <v>2005</v>
      </c>
      <c r="B827" t="s">
        <v>35</v>
      </c>
      <c r="C827" t="s">
        <v>54</v>
      </c>
      <c r="D827">
        <v>28</v>
      </c>
      <c r="E827" t="s">
        <v>466</v>
      </c>
    </row>
    <row r="828" spans="1:5" x14ac:dyDescent="0.35">
      <c r="A828">
        <v>2005</v>
      </c>
      <c r="B828" t="s">
        <v>35</v>
      </c>
      <c r="C828" t="s">
        <v>55</v>
      </c>
      <c r="D828">
        <v>15</v>
      </c>
      <c r="E828" t="s">
        <v>466</v>
      </c>
    </row>
    <row r="829" spans="1:5" x14ac:dyDescent="0.35">
      <c r="A829">
        <v>2005</v>
      </c>
      <c r="B829" t="s">
        <v>36</v>
      </c>
      <c r="C829" t="s">
        <v>56</v>
      </c>
      <c r="D829">
        <v>149</v>
      </c>
      <c r="E829" t="s">
        <v>466</v>
      </c>
    </row>
    <row r="830" spans="1:5" x14ac:dyDescent="0.35">
      <c r="A830">
        <v>2005</v>
      </c>
      <c r="B830" t="s">
        <v>33</v>
      </c>
      <c r="C830" t="s">
        <v>57</v>
      </c>
      <c r="D830">
        <v>9</v>
      </c>
      <c r="E830" t="s">
        <v>466</v>
      </c>
    </row>
    <row r="831" spans="1:5" x14ac:dyDescent="0.35">
      <c r="A831">
        <v>2005</v>
      </c>
      <c r="B831" t="s">
        <v>36</v>
      </c>
      <c r="C831" t="s">
        <v>363</v>
      </c>
      <c r="D831">
        <v>4</v>
      </c>
      <c r="E831" t="s">
        <v>466</v>
      </c>
    </row>
    <row r="832" spans="1:5" x14ac:dyDescent="0.35">
      <c r="A832">
        <v>2005</v>
      </c>
      <c r="B832" t="s">
        <v>38</v>
      </c>
      <c r="C832" t="s">
        <v>59</v>
      </c>
      <c r="D832">
        <v>329</v>
      </c>
      <c r="E832" t="s">
        <v>466</v>
      </c>
    </row>
    <row r="833" spans="1:5" x14ac:dyDescent="0.35">
      <c r="A833">
        <v>2005</v>
      </c>
      <c r="B833" t="s">
        <v>35</v>
      </c>
      <c r="C833" t="s">
        <v>60</v>
      </c>
      <c r="D833">
        <v>67</v>
      </c>
      <c r="E833" t="s">
        <v>466</v>
      </c>
    </row>
    <row r="834" spans="1:5" x14ac:dyDescent="0.35">
      <c r="A834">
        <v>2005</v>
      </c>
      <c r="B834" t="s">
        <v>38</v>
      </c>
      <c r="C834" t="s">
        <v>21</v>
      </c>
      <c r="D834">
        <v>32103</v>
      </c>
      <c r="E834" t="s">
        <v>466</v>
      </c>
    </row>
    <row r="835" spans="1:5" x14ac:dyDescent="0.35">
      <c r="A835">
        <v>2005</v>
      </c>
      <c r="B835" t="s">
        <v>36</v>
      </c>
      <c r="C835" t="s">
        <v>364</v>
      </c>
      <c r="E835" t="s">
        <v>466</v>
      </c>
    </row>
    <row r="836" spans="1:5" x14ac:dyDescent="0.35">
      <c r="A836">
        <v>2005</v>
      </c>
      <c r="B836" t="s">
        <v>35</v>
      </c>
      <c r="C836" t="s">
        <v>62</v>
      </c>
      <c r="D836">
        <v>75</v>
      </c>
      <c r="E836" t="s">
        <v>466</v>
      </c>
    </row>
    <row r="837" spans="1:5" x14ac:dyDescent="0.35">
      <c r="A837">
        <v>2005</v>
      </c>
      <c r="B837" t="s">
        <v>33</v>
      </c>
      <c r="C837" t="s">
        <v>63</v>
      </c>
      <c r="D837">
        <v>13</v>
      </c>
      <c r="E837" t="s">
        <v>466</v>
      </c>
    </row>
    <row r="838" spans="1:5" x14ac:dyDescent="0.35">
      <c r="A838">
        <v>2005</v>
      </c>
      <c r="B838" t="s">
        <v>34</v>
      </c>
      <c r="C838" t="s">
        <v>64</v>
      </c>
      <c r="D838">
        <v>9</v>
      </c>
      <c r="E838" t="s">
        <v>466</v>
      </c>
    </row>
    <row r="839" spans="1:5" x14ac:dyDescent="0.35">
      <c r="A839">
        <v>2005</v>
      </c>
      <c r="B839" t="s">
        <v>33</v>
      </c>
      <c r="C839" t="s">
        <v>65</v>
      </c>
      <c r="E839" t="s">
        <v>466</v>
      </c>
    </row>
    <row r="840" spans="1:5" x14ac:dyDescent="0.35">
      <c r="A840">
        <v>2005</v>
      </c>
      <c r="B840" t="s">
        <v>33</v>
      </c>
      <c r="C840" t="s">
        <v>66</v>
      </c>
      <c r="D840">
        <v>104</v>
      </c>
      <c r="E840" t="s">
        <v>466</v>
      </c>
    </row>
    <row r="841" spans="1:5" x14ac:dyDescent="0.35">
      <c r="A841">
        <v>2005</v>
      </c>
      <c r="B841" t="s">
        <v>34</v>
      </c>
      <c r="C841" t="s">
        <v>67</v>
      </c>
      <c r="D841">
        <v>45</v>
      </c>
      <c r="E841" t="s">
        <v>466</v>
      </c>
    </row>
    <row r="842" spans="1:5" x14ac:dyDescent="0.35">
      <c r="A842">
        <v>2005</v>
      </c>
      <c r="B842" t="s">
        <v>33</v>
      </c>
      <c r="C842" t="s">
        <v>68</v>
      </c>
      <c r="D842">
        <v>1486</v>
      </c>
      <c r="E842" t="s">
        <v>466</v>
      </c>
    </row>
    <row r="843" spans="1:5" x14ac:dyDescent="0.35">
      <c r="A843">
        <v>2005</v>
      </c>
      <c r="B843" t="s">
        <v>36</v>
      </c>
      <c r="C843" t="s">
        <v>69</v>
      </c>
      <c r="D843">
        <v>84</v>
      </c>
      <c r="E843" t="s">
        <v>466</v>
      </c>
    </row>
    <row r="844" spans="1:5" x14ac:dyDescent="0.35">
      <c r="A844">
        <v>2005</v>
      </c>
      <c r="B844" t="s">
        <v>36</v>
      </c>
      <c r="C844" t="s">
        <v>365</v>
      </c>
      <c r="E844" t="s">
        <v>466</v>
      </c>
    </row>
    <row r="845" spans="1:5" x14ac:dyDescent="0.35">
      <c r="A845">
        <v>2005</v>
      </c>
      <c r="B845" t="s">
        <v>33</v>
      </c>
      <c r="C845" t="s">
        <v>70</v>
      </c>
      <c r="D845">
        <v>3</v>
      </c>
      <c r="E845" t="s">
        <v>466</v>
      </c>
    </row>
    <row r="846" spans="1:5" x14ac:dyDescent="0.35">
      <c r="A846">
        <v>2005</v>
      </c>
      <c r="B846" t="s">
        <v>33</v>
      </c>
      <c r="C846" t="s">
        <v>71</v>
      </c>
      <c r="E846" t="s">
        <v>466</v>
      </c>
    </row>
    <row r="847" spans="1:5" x14ac:dyDescent="0.35">
      <c r="A847">
        <v>2005</v>
      </c>
      <c r="B847" t="s">
        <v>38</v>
      </c>
      <c r="C847" t="s">
        <v>72</v>
      </c>
      <c r="D847">
        <v>156</v>
      </c>
      <c r="E847" t="s">
        <v>466</v>
      </c>
    </row>
    <row r="848" spans="1:5" x14ac:dyDescent="0.35">
      <c r="A848">
        <v>2005</v>
      </c>
      <c r="B848" t="s">
        <v>34</v>
      </c>
      <c r="C848" t="s">
        <v>73</v>
      </c>
      <c r="D848">
        <v>2890</v>
      </c>
      <c r="E848" t="s">
        <v>466</v>
      </c>
    </row>
    <row r="849" spans="1:5" x14ac:dyDescent="0.35">
      <c r="A849">
        <v>2005</v>
      </c>
      <c r="B849" t="s">
        <v>38</v>
      </c>
      <c r="C849" t="s">
        <v>20</v>
      </c>
      <c r="D849">
        <v>1545</v>
      </c>
      <c r="E849" t="s">
        <v>466</v>
      </c>
    </row>
    <row r="850" spans="1:5" x14ac:dyDescent="0.35">
      <c r="A850">
        <v>2005</v>
      </c>
      <c r="B850" t="s">
        <v>33</v>
      </c>
      <c r="C850" t="s">
        <v>74</v>
      </c>
      <c r="D850">
        <v>10</v>
      </c>
      <c r="E850" t="s">
        <v>466</v>
      </c>
    </row>
    <row r="851" spans="1:5" x14ac:dyDescent="0.35">
      <c r="A851">
        <v>2005</v>
      </c>
      <c r="B851" t="s">
        <v>33</v>
      </c>
      <c r="C851" t="s">
        <v>75</v>
      </c>
      <c r="D851">
        <v>18</v>
      </c>
      <c r="E851" t="s">
        <v>466</v>
      </c>
    </row>
    <row r="852" spans="1:5" x14ac:dyDescent="0.35">
      <c r="A852">
        <v>2005</v>
      </c>
      <c r="B852" t="s">
        <v>36</v>
      </c>
      <c r="C852" t="s">
        <v>76</v>
      </c>
      <c r="D852">
        <v>1321</v>
      </c>
      <c r="E852" t="s">
        <v>466</v>
      </c>
    </row>
    <row r="853" spans="1:5" x14ac:dyDescent="0.35">
      <c r="A853">
        <v>2005</v>
      </c>
      <c r="B853" t="s">
        <v>33</v>
      </c>
      <c r="C853" t="s">
        <v>77</v>
      </c>
      <c r="D853">
        <v>22</v>
      </c>
      <c r="E853" t="s">
        <v>466</v>
      </c>
    </row>
    <row r="854" spans="1:5" x14ac:dyDescent="0.35">
      <c r="A854">
        <v>2005</v>
      </c>
      <c r="B854" t="s">
        <v>35</v>
      </c>
      <c r="C854" t="s">
        <v>78</v>
      </c>
      <c r="D854">
        <v>13</v>
      </c>
      <c r="E854" t="s">
        <v>466</v>
      </c>
    </row>
    <row r="855" spans="1:5" x14ac:dyDescent="0.35">
      <c r="A855">
        <v>2005</v>
      </c>
      <c r="B855" t="s">
        <v>36</v>
      </c>
      <c r="C855" t="s">
        <v>79</v>
      </c>
      <c r="D855">
        <v>4285</v>
      </c>
      <c r="E855" t="s">
        <v>466</v>
      </c>
    </row>
    <row r="856" spans="1:5" x14ac:dyDescent="0.35">
      <c r="A856">
        <v>2005</v>
      </c>
      <c r="B856" t="s">
        <v>35</v>
      </c>
      <c r="C856" t="s">
        <v>81</v>
      </c>
      <c r="D856">
        <v>50</v>
      </c>
      <c r="E856" t="s">
        <v>466</v>
      </c>
    </row>
    <row r="857" spans="1:5" x14ac:dyDescent="0.35">
      <c r="A857">
        <v>2005</v>
      </c>
      <c r="B857" t="s">
        <v>35</v>
      </c>
      <c r="C857" t="s">
        <v>214</v>
      </c>
      <c r="D857">
        <v>12</v>
      </c>
      <c r="E857" t="s">
        <v>466</v>
      </c>
    </row>
    <row r="858" spans="1:5" x14ac:dyDescent="0.35">
      <c r="A858">
        <v>2005</v>
      </c>
      <c r="B858" t="s">
        <v>35</v>
      </c>
      <c r="C858" t="s">
        <v>82</v>
      </c>
      <c r="D858">
        <v>8</v>
      </c>
      <c r="E858" t="s">
        <v>466</v>
      </c>
    </row>
    <row r="859" spans="1:5" x14ac:dyDescent="0.35">
      <c r="A859">
        <v>2005</v>
      </c>
      <c r="B859" t="s">
        <v>36</v>
      </c>
      <c r="C859" t="s">
        <v>84</v>
      </c>
      <c r="D859">
        <v>44</v>
      </c>
      <c r="E859" t="s">
        <v>466</v>
      </c>
    </row>
    <row r="860" spans="1:5" x14ac:dyDescent="0.35">
      <c r="A860">
        <v>2005</v>
      </c>
      <c r="B860" t="s">
        <v>36</v>
      </c>
      <c r="C860" t="s">
        <v>85</v>
      </c>
      <c r="D860">
        <v>4586</v>
      </c>
      <c r="E860" t="s">
        <v>466</v>
      </c>
    </row>
    <row r="861" spans="1:5" x14ac:dyDescent="0.35">
      <c r="A861">
        <v>2005</v>
      </c>
      <c r="B861" t="s">
        <v>38</v>
      </c>
      <c r="C861" t="s">
        <v>86</v>
      </c>
      <c r="D861">
        <v>2048</v>
      </c>
      <c r="E861" t="s">
        <v>466</v>
      </c>
    </row>
    <row r="862" spans="1:5" x14ac:dyDescent="0.35">
      <c r="A862">
        <v>2005</v>
      </c>
      <c r="B862" t="s">
        <v>33</v>
      </c>
      <c r="C862" t="s">
        <v>87</v>
      </c>
      <c r="D862">
        <v>291</v>
      </c>
      <c r="E862" t="s">
        <v>466</v>
      </c>
    </row>
    <row r="863" spans="1:5" x14ac:dyDescent="0.35">
      <c r="A863">
        <v>2005</v>
      </c>
      <c r="B863" t="s">
        <v>36</v>
      </c>
      <c r="C863" t="s">
        <v>16</v>
      </c>
      <c r="D863">
        <v>42885</v>
      </c>
      <c r="E863" t="s">
        <v>466</v>
      </c>
    </row>
    <row r="864" spans="1:5" x14ac:dyDescent="0.35">
      <c r="A864">
        <v>2005</v>
      </c>
      <c r="B864" t="s">
        <v>33</v>
      </c>
      <c r="C864" t="s">
        <v>88</v>
      </c>
      <c r="E864" t="s">
        <v>466</v>
      </c>
    </row>
    <row r="865" spans="1:5" x14ac:dyDescent="0.35">
      <c r="A865">
        <v>2005</v>
      </c>
      <c r="B865" t="s">
        <v>33</v>
      </c>
      <c r="C865" t="s">
        <v>89</v>
      </c>
      <c r="D865">
        <v>88</v>
      </c>
      <c r="E865" t="s">
        <v>466</v>
      </c>
    </row>
    <row r="866" spans="1:5" x14ac:dyDescent="0.35">
      <c r="A866">
        <v>2005</v>
      </c>
      <c r="B866" t="s">
        <v>35</v>
      </c>
      <c r="C866" t="s">
        <v>90</v>
      </c>
      <c r="D866">
        <v>23</v>
      </c>
      <c r="E866" t="s">
        <v>466</v>
      </c>
    </row>
    <row r="867" spans="1:5" x14ac:dyDescent="0.35">
      <c r="A867">
        <v>2005</v>
      </c>
      <c r="B867" t="s">
        <v>33</v>
      </c>
      <c r="C867" t="s">
        <v>91</v>
      </c>
      <c r="D867">
        <v>206</v>
      </c>
      <c r="E867" t="s">
        <v>466</v>
      </c>
    </row>
    <row r="868" spans="1:5" x14ac:dyDescent="0.35">
      <c r="A868">
        <v>2005</v>
      </c>
      <c r="B868" t="s">
        <v>37</v>
      </c>
      <c r="C868" t="s">
        <v>92</v>
      </c>
      <c r="D868">
        <v>29</v>
      </c>
      <c r="E868" t="s">
        <v>466</v>
      </c>
    </row>
    <row r="869" spans="1:5" x14ac:dyDescent="0.35">
      <c r="A869">
        <v>2005</v>
      </c>
      <c r="B869" t="s">
        <v>35</v>
      </c>
      <c r="C869" t="s">
        <v>94</v>
      </c>
      <c r="D869">
        <v>115</v>
      </c>
      <c r="E869" t="s">
        <v>466</v>
      </c>
    </row>
    <row r="870" spans="1:5" x14ac:dyDescent="0.35">
      <c r="A870">
        <v>2005</v>
      </c>
      <c r="B870" t="s">
        <v>33</v>
      </c>
      <c r="C870" t="s">
        <v>95</v>
      </c>
      <c r="E870" t="s">
        <v>466</v>
      </c>
    </row>
    <row r="871" spans="1:5" x14ac:dyDescent="0.35">
      <c r="A871">
        <v>2005</v>
      </c>
      <c r="B871" t="s">
        <v>33</v>
      </c>
      <c r="C871" t="s">
        <v>96</v>
      </c>
      <c r="D871">
        <v>79</v>
      </c>
      <c r="E871" t="s">
        <v>466</v>
      </c>
    </row>
    <row r="872" spans="1:5" x14ac:dyDescent="0.35">
      <c r="A872">
        <v>2005</v>
      </c>
      <c r="B872" t="s">
        <v>34</v>
      </c>
      <c r="C872" t="s">
        <v>8</v>
      </c>
      <c r="D872">
        <v>45</v>
      </c>
      <c r="E872" t="s">
        <v>466</v>
      </c>
    </row>
    <row r="873" spans="1:5" x14ac:dyDescent="0.35">
      <c r="A873">
        <v>2005</v>
      </c>
      <c r="B873" t="s">
        <v>35</v>
      </c>
      <c r="C873" t="s">
        <v>97</v>
      </c>
      <c r="D873">
        <v>159</v>
      </c>
      <c r="E873" t="s">
        <v>466</v>
      </c>
    </row>
    <row r="874" spans="1:5" x14ac:dyDescent="0.35">
      <c r="A874">
        <v>2005</v>
      </c>
      <c r="B874" t="s">
        <v>33</v>
      </c>
      <c r="C874" t="s">
        <v>98</v>
      </c>
      <c r="D874">
        <v>165</v>
      </c>
      <c r="E874" t="s">
        <v>466</v>
      </c>
    </row>
    <row r="875" spans="1:5" x14ac:dyDescent="0.35">
      <c r="A875">
        <v>2005</v>
      </c>
      <c r="B875" t="s">
        <v>35</v>
      </c>
      <c r="C875" t="s">
        <v>99</v>
      </c>
      <c r="D875">
        <v>29</v>
      </c>
      <c r="E875" t="s">
        <v>466</v>
      </c>
    </row>
    <row r="876" spans="1:5" x14ac:dyDescent="0.35">
      <c r="A876">
        <v>2005</v>
      </c>
      <c r="B876" t="s">
        <v>36</v>
      </c>
      <c r="C876" t="s">
        <v>100</v>
      </c>
      <c r="D876">
        <v>23</v>
      </c>
      <c r="E876" t="s">
        <v>466</v>
      </c>
    </row>
    <row r="877" spans="1:5" x14ac:dyDescent="0.35">
      <c r="A877">
        <v>2005</v>
      </c>
      <c r="B877" t="s">
        <v>37</v>
      </c>
      <c r="C877" t="s">
        <v>367</v>
      </c>
      <c r="E877" t="s">
        <v>466</v>
      </c>
    </row>
    <row r="878" spans="1:5" x14ac:dyDescent="0.35">
      <c r="A878">
        <v>2005</v>
      </c>
      <c r="B878" t="s">
        <v>36</v>
      </c>
      <c r="C878" t="s">
        <v>15</v>
      </c>
      <c r="D878">
        <v>25909</v>
      </c>
      <c r="E878" t="s">
        <v>466</v>
      </c>
    </row>
    <row r="879" spans="1:5" x14ac:dyDescent="0.35">
      <c r="A879">
        <v>2005</v>
      </c>
      <c r="B879" t="s">
        <v>33</v>
      </c>
      <c r="C879" t="s">
        <v>101</v>
      </c>
      <c r="D879">
        <v>67</v>
      </c>
      <c r="E879" t="s">
        <v>466</v>
      </c>
    </row>
    <row r="880" spans="1:5" x14ac:dyDescent="0.35">
      <c r="A880">
        <v>2005</v>
      </c>
      <c r="B880" t="s">
        <v>33</v>
      </c>
      <c r="C880" t="s">
        <v>102</v>
      </c>
      <c r="E880" t="s">
        <v>466</v>
      </c>
    </row>
    <row r="881" spans="1:5" x14ac:dyDescent="0.35">
      <c r="A881">
        <v>2005</v>
      </c>
      <c r="B881" t="s">
        <v>38</v>
      </c>
      <c r="C881" t="s">
        <v>103</v>
      </c>
      <c r="D881">
        <v>293</v>
      </c>
      <c r="E881" t="s">
        <v>466</v>
      </c>
    </row>
    <row r="882" spans="1:5" x14ac:dyDescent="0.35">
      <c r="A882">
        <v>2005</v>
      </c>
      <c r="B882" t="s">
        <v>36</v>
      </c>
      <c r="C882" t="s">
        <v>104</v>
      </c>
      <c r="D882">
        <v>999</v>
      </c>
      <c r="E882" t="s">
        <v>466</v>
      </c>
    </row>
    <row r="883" spans="1:5" x14ac:dyDescent="0.35">
      <c r="A883">
        <v>2005</v>
      </c>
      <c r="B883" t="s">
        <v>36</v>
      </c>
      <c r="C883" t="s">
        <v>17</v>
      </c>
      <c r="D883">
        <v>55756</v>
      </c>
      <c r="E883" t="s">
        <v>466</v>
      </c>
    </row>
    <row r="884" spans="1:5" x14ac:dyDescent="0.35">
      <c r="A884">
        <v>2005</v>
      </c>
      <c r="B884" t="s">
        <v>34</v>
      </c>
      <c r="C884" t="s">
        <v>368</v>
      </c>
      <c r="D884">
        <v>31</v>
      </c>
      <c r="E884" t="s">
        <v>466</v>
      </c>
    </row>
    <row r="885" spans="1:5" x14ac:dyDescent="0.35">
      <c r="A885">
        <v>2005</v>
      </c>
      <c r="B885" t="s">
        <v>35</v>
      </c>
      <c r="C885" t="s">
        <v>105</v>
      </c>
      <c r="D885">
        <v>50</v>
      </c>
      <c r="E885" t="s">
        <v>466</v>
      </c>
    </row>
    <row r="886" spans="1:5" x14ac:dyDescent="0.35">
      <c r="A886">
        <v>2005</v>
      </c>
      <c r="B886" t="s">
        <v>35</v>
      </c>
      <c r="C886" t="s">
        <v>106</v>
      </c>
      <c r="D886">
        <v>3</v>
      </c>
      <c r="E886" t="s">
        <v>466</v>
      </c>
    </row>
    <row r="887" spans="1:5" x14ac:dyDescent="0.35">
      <c r="A887">
        <v>2005</v>
      </c>
      <c r="B887" t="s">
        <v>34</v>
      </c>
      <c r="C887" t="s">
        <v>22</v>
      </c>
      <c r="D887">
        <v>770</v>
      </c>
      <c r="E887" t="s">
        <v>466</v>
      </c>
    </row>
    <row r="888" spans="1:5" x14ac:dyDescent="0.35">
      <c r="A888">
        <v>2005</v>
      </c>
      <c r="B888" t="s">
        <v>34</v>
      </c>
      <c r="C888" t="s">
        <v>107</v>
      </c>
      <c r="D888">
        <v>153</v>
      </c>
      <c r="E888" t="s">
        <v>466</v>
      </c>
    </row>
    <row r="889" spans="1:5" x14ac:dyDescent="0.35">
      <c r="A889">
        <v>2005</v>
      </c>
      <c r="B889" t="s">
        <v>34</v>
      </c>
      <c r="C889" t="s">
        <v>108</v>
      </c>
      <c r="D889">
        <v>166</v>
      </c>
      <c r="E889" t="s">
        <v>466</v>
      </c>
    </row>
    <row r="890" spans="1:5" x14ac:dyDescent="0.35">
      <c r="A890">
        <v>2005</v>
      </c>
      <c r="B890" t="s">
        <v>34</v>
      </c>
      <c r="C890" t="s">
        <v>109</v>
      </c>
      <c r="D890">
        <v>164</v>
      </c>
      <c r="E890" t="s">
        <v>466</v>
      </c>
    </row>
    <row r="891" spans="1:5" x14ac:dyDescent="0.35">
      <c r="A891">
        <v>2005</v>
      </c>
      <c r="B891" t="s">
        <v>35</v>
      </c>
      <c r="C891" t="s">
        <v>110</v>
      </c>
      <c r="D891">
        <v>53</v>
      </c>
      <c r="E891" t="s">
        <v>466</v>
      </c>
    </row>
    <row r="892" spans="1:5" x14ac:dyDescent="0.35">
      <c r="A892">
        <v>2005</v>
      </c>
      <c r="B892" t="s">
        <v>34</v>
      </c>
      <c r="C892" t="s">
        <v>111</v>
      </c>
      <c r="D892">
        <v>322</v>
      </c>
      <c r="E892" t="s">
        <v>466</v>
      </c>
    </row>
    <row r="893" spans="1:5" x14ac:dyDescent="0.35">
      <c r="A893">
        <v>2005</v>
      </c>
      <c r="B893" t="s">
        <v>35</v>
      </c>
      <c r="C893" t="s">
        <v>112</v>
      </c>
      <c r="D893">
        <v>104</v>
      </c>
      <c r="E893" t="s">
        <v>466</v>
      </c>
    </row>
    <row r="894" spans="1:5" x14ac:dyDescent="0.35">
      <c r="A894">
        <v>2005</v>
      </c>
      <c r="B894" t="s">
        <v>36</v>
      </c>
      <c r="C894" t="s">
        <v>113</v>
      </c>
      <c r="D894">
        <v>1557</v>
      </c>
      <c r="E894" t="s">
        <v>466</v>
      </c>
    </row>
    <row r="895" spans="1:5" x14ac:dyDescent="0.35">
      <c r="A895">
        <v>2005</v>
      </c>
      <c r="B895" t="s">
        <v>34</v>
      </c>
      <c r="C895" t="s">
        <v>114</v>
      </c>
      <c r="D895">
        <v>41</v>
      </c>
      <c r="E895" t="s">
        <v>466</v>
      </c>
    </row>
    <row r="896" spans="1:5" x14ac:dyDescent="0.35">
      <c r="A896">
        <v>2005</v>
      </c>
      <c r="B896" t="s">
        <v>34</v>
      </c>
      <c r="C896" t="s">
        <v>115</v>
      </c>
      <c r="D896">
        <v>309</v>
      </c>
      <c r="E896" t="s">
        <v>466</v>
      </c>
    </row>
    <row r="897" spans="1:5" x14ac:dyDescent="0.35">
      <c r="A897">
        <v>2005</v>
      </c>
      <c r="B897" t="s">
        <v>34</v>
      </c>
      <c r="C897" t="s">
        <v>116</v>
      </c>
      <c r="D897">
        <v>14</v>
      </c>
      <c r="E897" t="s">
        <v>466</v>
      </c>
    </row>
    <row r="898" spans="1:5" x14ac:dyDescent="0.35">
      <c r="A898">
        <v>2005</v>
      </c>
      <c r="B898" t="s">
        <v>33</v>
      </c>
      <c r="C898" t="s">
        <v>117</v>
      </c>
      <c r="D898">
        <v>146</v>
      </c>
      <c r="E898" t="s">
        <v>466</v>
      </c>
    </row>
    <row r="899" spans="1:5" x14ac:dyDescent="0.35">
      <c r="A899">
        <v>2005</v>
      </c>
      <c r="B899" t="s">
        <v>34</v>
      </c>
      <c r="C899" t="s">
        <v>118</v>
      </c>
      <c r="D899">
        <v>604</v>
      </c>
      <c r="E899" t="s">
        <v>466</v>
      </c>
    </row>
    <row r="900" spans="1:5" x14ac:dyDescent="0.35">
      <c r="A900">
        <v>2005</v>
      </c>
      <c r="B900" t="s">
        <v>35</v>
      </c>
      <c r="C900" t="s">
        <v>119</v>
      </c>
      <c r="E900" t="s">
        <v>466</v>
      </c>
    </row>
    <row r="901" spans="1:5" x14ac:dyDescent="0.35">
      <c r="A901">
        <v>2005</v>
      </c>
      <c r="B901" t="s">
        <v>34</v>
      </c>
      <c r="C901" t="s">
        <v>120</v>
      </c>
      <c r="D901">
        <v>16</v>
      </c>
      <c r="E901" t="s">
        <v>466</v>
      </c>
    </row>
    <row r="902" spans="1:5" x14ac:dyDescent="0.35">
      <c r="A902">
        <v>2005</v>
      </c>
      <c r="B902" t="s">
        <v>34</v>
      </c>
      <c r="C902" t="s">
        <v>121</v>
      </c>
      <c r="D902">
        <v>12</v>
      </c>
      <c r="E902" t="s">
        <v>466</v>
      </c>
    </row>
    <row r="903" spans="1:5" x14ac:dyDescent="0.35">
      <c r="A903">
        <v>2005</v>
      </c>
      <c r="B903" t="s">
        <v>34</v>
      </c>
      <c r="C903" t="s">
        <v>122</v>
      </c>
      <c r="D903">
        <v>237</v>
      </c>
      <c r="E903" t="s">
        <v>466</v>
      </c>
    </row>
    <row r="904" spans="1:5" x14ac:dyDescent="0.35">
      <c r="A904">
        <v>2005</v>
      </c>
      <c r="B904" t="s">
        <v>35</v>
      </c>
      <c r="C904" t="s">
        <v>123</v>
      </c>
      <c r="D904">
        <v>14</v>
      </c>
      <c r="E904" t="s">
        <v>466</v>
      </c>
    </row>
    <row r="905" spans="1:5" x14ac:dyDescent="0.35">
      <c r="A905">
        <v>2005</v>
      </c>
      <c r="B905" t="s">
        <v>34</v>
      </c>
      <c r="C905" t="s">
        <v>124</v>
      </c>
      <c r="D905">
        <v>125</v>
      </c>
      <c r="E905" t="s">
        <v>466</v>
      </c>
    </row>
    <row r="906" spans="1:5" x14ac:dyDescent="0.35">
      <c r="A906">
        <v>2005</v>
      </c>
      <c r="B906" t="s">
        <v>33</v>
      </c>
      <c r="C906" t="s">
        <v>125</v>
      </c>
      <c r="D906">
        <v>85</v>
      </c>
      <c r="E906" t="s">
        <v>466</v>
      </c>
    </row>
    <row r="907" spans="1:5" x14ac:dyDescent="0.35">
      <c r="A907">
        <v>2005</v>
      </c>
      <c r="B907" t="s">
        <v>33</v>
      </c>
      <c r="C907" t="s">
        <v>126</v>
      </c>
      <c r="D907">
        <v>5</v>
      </c>
      <c r="E907" t="s">
        <v>466</v>
      </c>
    </row>
    <row r="908" spans="1:5" x14ac:dyDescent="0.35">
      <c r="A908">
        <v>2005</v>
      </c>
      <c r="B908" t="s">
        <v>35</v>
      </c>
      <c r="C908" t="s">
        <v>127</v>
      </c>
      <c r="D908">
        <v>62</v>
      </c>
      <c r="E908" t="s">
        <v>466</v>
      </c>
    </row>
    <row r="909" spans="1:5" x14ac:dyDescent="0.35">
      <c r="A909">
        <v>2005</v>
      </c>
      <c r="B909" t="s">
        <v>34</v>
      </c>
      <c r="C909" t="s">
        <v>369</v>
      </c>
      <c r="E909" t="s">
        <v>466</v>
      </c>
    </row>
    <row r="910" spans="1:5" x14ac:dyDescent="0.35">
      <c r="A910">
        <v>2005</v>
      </c>
      <c r="B910" t="s">
        <v>33</v>
      </c>
      <c r="C910" t="s">
        <v>130</v>
      </c>
      <c r="D910">
        <v>7</v>
      </c>
      <c r="E910" t="s">
        <v>466</v>
      </c>
    </row>
    <row r="911" spans="1:5" x14ac:dyDescent="0.35">
      <c r="A911">
        <v>2005</v>
      </c>
      <c r="B911" t="s">
        <v>34</v>
      </c>
      <c r="C911" t="s">
        <v>131</v>
      </c>
      <c r="D911">
        <v>51</v>
      </c>
      <c r="E911" t="s">
        <v>466</v>
      </c>
    </row>
    <row r="912" spans="1:5" x14ac:dyDescent="0.35">
      <c r="A912">
        <v>2005</v>
      </c>
      <c r="B912" t="s">
        <v>33</v>
      </c>
      <c r="C912" t="s">
        <v>132</v>
      </c>
      <c r="D912">
        <v>44</v>
      </c>
      <c r="E912" t="s">
        <v>466</v>
      </c>
    </row>
    <row r="913" spans="1:5" x14ac:dyDescent="0.35">
      <c r="A913">
        <v>2005</v>
      </c>
      <c r="B913" t="s">
        <v>35</v>
      </c>
      <c r="C913" t="s">
        <v>133</v>
      </c>
      <c r="D913">
        <v>3</v>
      </c>
      <c r="E913" t="s">
        <v>466</v>
      </c>
    </row>
    <row r="914" spans="1:5" x14ac:dyDescent="0.35">
      <c r="A914">
        <v>2005</v>
      </c>
      <c r="B914" t="s">
        <v>37</v>
      </c>
      <c r="C914" t="s">
        <v>134</v>
      </c>
      <c r="D914">
        <v>5</v>
      </c>
      <c r="E914" t="s">
        <v>466</v>
      </c>
    </row>
    <row r="915" spans="1:5" x14ac:dyDescent="0.35">
      <c r="A915">
        <v>2005</v>
      </c>
      <c r="B915" t="s">
        <v>33</v>
      </c>
      <c r="C915" t="s">
        <v>135</v>
      </c>
      <c r="D915">
        <v>33</v>
      </c>
      <c r="E915" t="s">
        <v>466</v>
      </c>
    </row>
    <row r="916" spans="1:5" x14ac:dyDescent="0.35">
      <c r="A916">
        <v>2005</v>
      </c>
      <c r="B916" t="s">
        <v>36</v>
      </c>
      <c r="C916" t="s">
        <v>14</v>
      </c>
      <c r="D916">
        <v>1093340</v>
      </c>
      <c r="E916" t="s">
        <v>466</v>
      </c>
    </row>
    <row r="917" spans="1:5" x14ac:dyDescent="0.35">
      <c r="A917">
        <v>2005</v>
      </c>
      <c r="B917" t="s">
        <v>37</v>
      </c>
      <c r="C917" t="s">
        <v>137</v>
      </c>
      <c r="D917">
        <v>22</v>
      </c>
      <c r="E917" t="s">
        <v>466</v>
      </c>
    </row>
    <row r="918" spans="1:5" x14ac:dyDescent="0.35">
      <c r="A918">
        <v>2005</v>
      </c>
      <c r="B918" t="s">
        <v>35</v>
      </c>
      <c r="C918" t="s">
        <v>138</v>
      </c>
      <c r="D918">
        <v>20</v>
      </c>
      <c r="E918" t="s">
        <v>466</v>
      </c>
    </row>
    <row r="919" spans="1:5" x14ac:dyDescent="0.35">
      <c r="A919">
        <v>2005</v>
      </c>
      <c r="B919" t="s">
        <v>34</v>
      </c>
      <c r="C919" t="s">
        <v>139</v>
      </c>
      <c r="D919">
        <v>41</v>
      </c>
      <c r="E919" t="s">
        <v>466</v>
      </c>
    </row>
    <row r="920" spans="1:5" x14ac:dyDescent="0.35">
      <c r="A920">
        <v>2005</v>
      </c>
      <c r="B920" t="s">
        <v>35</v>
      </c>
      <c r="C920" t="s">
        <v>140</v>
      </c>
      <c r="E920" t="s">
        <v>466</v>
      </c>
    </row>
    <row r="921" spans="1:5" x14ac:dyDescent="0.35">
      <c r="A921">
        <v>2005</v>
      </c>
      <c r="B921" t="s">
        <v>36</v>
      </c>
      <c r="C921" t="s">
        <v>370</v>
      </c>
      <c r="D921">
        <v>4</v>
      </c>
      <c r="E921" t="s">
        <v>466</v>
      </c>
    </row>
    <row r="922" spans="1:5" x14ac:dyDescent="0.35">
      <c r="A922">
        <v>2005</v>
      </c>
      <c r="B922" t="s">
        <v>33</v>
      </c>
      <c r="C922" t="s">
        <v>141</v>
      </c>
      <c r="D922">
        <v>278</v>
      </c>
      <c r="E922" t="s">
        <v>466</v>
      </c>
    </row>
    <row r="923" spans="1:5" x14ac:dyDescent="0.35">
      <c r="A923">
        <v>2005</v>
      </c>
      <c r="B923" t="s">
        <v>34</v>
      </c>
      <c r="C923" t="s">
        <v>144</v>
      </c>
      <c r="D923">
        <v>33</v>
      </c>
      <c r="E923" t="s">
        <v>466</v>
      </c>
    </row>
    <row r="924" spans="1:5" x14ac:dyDescent="0.35">
      <c r="A924">
        <v>2005</v>
      </c>
      <c r="B924" t="s">
        <v>35</v>
      </c>
      <c r="C924" t="s">
        <v>145</v>
      </c>
      <c r="D924">
        <v>53</v>
      </c>
      <c r="E924" t="s">
        <v>466</v>
      </c>
    </row>
    <row r="925" spans="1:5" x14ac:dyDescent="0.35">
      <c r="A925">
        <v>2005</v>
      </c>
      <c r="B925" t="s">
        <v>36</v>
      </c>
      <c r="C925" t="s">
        <v>371</v>
      </c>
      <c r="D925">
        <v>10</v>
      </c>
      <c r="E925" t="s">
        <v>466</v>
      </c>
    </row>
    <row r="926" spans="1:5" x14ac:dyDescent="0.35">
      <c r="A926">
        <v>2005</v>
      </c>
      <c r="B926" t="s">
        <v>37</v>
      </c>
      <c r="C926" t="s">
        <v>146</v>
      </c>
      <c r="D926">
        <v>25</v>
      </c>
      <c r="E926" t="s">
        <v>466</v>
      </c>
    </row>
    <row r="927" spans="1:5" x14ac:dyDescent="0.35">
      <c r="A927">
        <v>2005</v>
      </c>
      <c r="B927" t="s">
        <v>36</v>
      </c>
      <c r="C927" t="s">
        <v>147</v>
      </c>
      <c r="D927">
        <v>4272</v>
      </c>
      <c r="E927" t="s">
        <v>466</v>
      </c>
    </row>
    <row r="928" spans="1:5" x14ac:dyDescent="0.35">
      <c r="A928">
        <v>2005</v>
      </c>
      <c r="B928" t="s">
        <v>33</v>
      </c>
      <c r="C928" t="s">
        <v>148</v>
      </c>
      <c r="D928">
        <v>19</v>
      </c>
      <c r="E928" t="s">
        <v>466</v>
      </c>
    </row>
    <row r="929" spans="1:5" x14ac:dyDescent="0.35">
      <c r="A929">
        <v>2005</v>
      </c>
      <c r="B929" t="s">
        <v>33</v>
      </c>
      <c r="C929" t="s">
        <v>149</v>
      </c>
      <c r="D929">
        <v>375</v>
      </c>
      <c r="E929" t="s">
        <v>466</v>
      </c>
    </row>
    <row r="930" spans="1:5" x14ac:dyDescent="0.35">
      <c r="A930">
        <v>2005</v>
      </c>
      <c r="B930" t="s">
        <v>35</v>
      </c>
      <c r="C930" t="s">
        <v>322</v>
      </c>
      <c r="D930">
        <v>44</v>
      </c>
      <c r="E930" t="s">
        <v>466</v>
      </c>
    </row>
    <row r="931" spans="1:5" x14ac:dyDescent="0.35">
      <c r="A931">
        <v>2005</v>
      </c>
      <c r="B931" t="s">
        <v>35</v>
      </c>
      <c r="C931" t="s">
        <v>150</v>
      </c>
      <c r="D931">
        <v>5</v>
      </c>
      <c r="E931" t="s">
        <v>466</v>
      </c>
    </row>
    <row r="932" spans="1:5" x14ac:dyDescent="0.35">
      <c r="A932">
        <v>2005</v>
      </c>
      <c r="B932" t="s">
        <v>34</v>
      </c>
      <c r="C932" t="s">
        <v>152</v>
      </c>
      <c r="D932">
        <v>792</v>
      </c>
      <c r="E932" t="s">
        <v>466</v>
      </c>
    </row>
    <row r="933" spans="1:5" x14ac:dyDescent="0.35">
      <c r="A933">
        <v>2005</v>
      </c>
      <c r="B933" t="s">
        <v>37</v>
      </c>
      <c r="C933" t="s">
        <v>153</v>
      </c>
      <c r="D933">
        <v>5</v>
      </c>
      <c r="E933" t="s">
        <v>466</v>
      </c>
    </row>
    <row r="934" spans="1:5" x14ac:dyDescent="0.35">
      <c r="A934">
        <v>2005</v>
      </c>
      <c r="B934" t="s">
        <v>36</v>
      </c>
      <c r="C934" t="s">
        <v>154</v>
      </c>
      <c r="D934">
        <v>131</v>
      </c>
      <c r="E934" t="s">
        <v>466</v>
      </c>
    </row>
    <row r="935" spans="1:5" x14ac:dyDescent="0.35">
      <c r="A935">
        <v>2005</v>
      </c>
      <c r="B935" t="s">
        <v>38</v>
      </c>
      <c r="C935" t="s">
        <v>155</v>
      </c>
      <c r="D935">
        <v>18</v>
      </c>
      <c r="E935" t="s">
        <v>466</v>
      </c>
    </row>
    <row r="936" spans="1:5" x14ac:dyDescent="0.35">
      <c r="A936">
        <v>2005</v>
      </c>
      <c r="B936" t="s">
        <v>38</v>
      </c>
      <c r="C936" t="s">
        <v>156</v>
      </c>
      <c r="D936">
        <v>903</v>
      </c>
      <c r="E936" t="s">
        <v>466</v>
      </c>
    </row>
    <row r="937" spans="1:5" x14ac:dyDescent="0.35">
      <c r="A937">
        <v>2005</v>
      </c>
      <c r="B937" t="s">
        <v>34</v>
      </c>
      <c r="C937" t="s">
        <v>18</v>
      </c>
      <c r="D937">
        <v>600</v>
      </c>
      <c r="E937" t="s">
        <v>466</v>
      </c>
    </row>
    <row r="938" spans="1:5" x14ac:dyDescent="0.35">
      <c r="A938">
        <v>2005</v>
      </c>
      <c r="B938" t="s">
        <v>35</v>
      </c>
      <c r="C938" t="s">
        <v>157</v>
      </c>
      <c r="D938">
        <v>348</v>
      </c>
      <c r="E938" t="s">
        <v>466</v>
      </c>
    </row>
    <row r="939" spans="1:5" x14ac:dyDescent="0.35">
      <c r="A939">
        <v>2005</v>
      </c>
      <c r="B939" t="s">
        <v>35</v>
      </c>
      <c r="C939" t="s">
        <v>158</v>
      </c>
      <c r="D939">
        <v>145</v>
      </c>
      <c r="E939" t="s">
        <v>466</v>
      </c>
    </row>
    <row r="940" spans="1:5" x14ac:dyDescent="0.35">
      <c r="A940">
        <v>2005</v>
      </c>
      <c r="B940" t="s">
        <v>35</v>
      </c>
      <c r="C940" t="s">
        <v>160</v>
      </c>
      <c r="D940">
        <v>232</v>
      </c>
      <c r="E940" t="s">
        <v>466</v>
      </c>
    </row>
    <row r="941" spans="1:5" x14ac:dyDescent="0.35">
      <c r="A941">
        <v>2005</v>
      </c>
      <c r="B941" t="s">
        <v>35</v>
      </c>
      <c r="C941" t="s">
        <v>161</v>
      </c>
      <c r="D941">
        <v>195</v>
      </c>
      <c r="E941" t="s">
        <v>466</v>
      </c>
    </row>
    <row r="942" spans="1:5" x14ac:dyDescent="0.35">
      <c r="A942">
        <v>2005</v>
      </c>
      <c r="B942" t="s">
        <v>33</v>
      </c>
      <c r="C942" t="s">
        <v>162</v>
      </c>
      <c r="D942">
        <v>5</v>
      </c>
      <c r="E942" t="s">
        <v>466</v>
      </c>
    </row>
    <row r="943" spans="1:5" x14ac:dyDescent="0.35">
      <c r="A943">
        <v>2005</v>
      </c>
      <c r="B943" t="s">
        <v>36</v>
      </c>
      <c r="C943" t="s">
        <v>163</v>
      </c>
      <c r="D943">
        <v>20</v>
      </c>
      <c r="E943" t="s">
        <v>466</v>
      </c>
    </row>
    <row r="944" spans="1:5" x14ac:dyDescent="0.35">
      <c r="A944">
        <v>2005</v>
      </c>
      <c r="B944" t="s">
        <v>36</v>
      </c>
      <c r="C944" t="s">
        <v>164</v>
      </c>
      <c r="D944">
        <v>44</v>
      </c>
      <c r="E944" t="s">
        <v>466</v>
      </c>
    </row>
    <row r="945" spans="1:5" x14ac:dyDescent="0.35">
      <c r="A945">
        <v>2005</v>
      </c>
      <c r="B945" t="s">
        <v>36</v>
      </c>
      <c r="C945" t="s">
        <v>165</v>
      </c>
      <c r="D945">
        <v>28</v>
      </c>
      <c r="E945" t="s">
        <v>466</v>
      </c>
    </row>
    <row r="946" spans="1:5" x14ac:dyDescent="0.35">
      <c r="A946">
        <v>2005</v>
      </c>
      <c r="B946" t="s">
        <v>37</v>
      </c>
      <c r="C946" t="s">
        <v>166</v>
      </c>
      <c r="D946">
        <v>20</v>
      </c>
      <c r="E946" t="s">
        <v>466</v>
      </c>
    </row>
    <row r="947" spans="1:5" x14ac:dyDescent="0.35">
      <c r="A947">
        <v>2005</v>
      </c>
      <c r="B947" t="s">
        <v>34</v>
      </c>
      <c r="C947" t="s">
        <v>167</v>
      </c>
      <c r="D947">
        <v>40</v>
      </c>
      <c r="E947" t="s">
        <v>466</v>
      </c>
    </row>
    <row r="948" spans="1:5" x14ac:dyDescent="0.35">
      <c r="A948">
        <v>2005</v>
      </c>
      <c r="B948" t="s">
        <v>33</v>
      </c>
      <c r="C948" t="s">
        <v>168</v>
      </c>
      <c r="D948">
        <v>66</v>
      </c>
      <c r="E948" t="s">
        <v>466</v>
      </c>
    </row>
    <row r="949" spans="1:5" x14ac:dyDescent="0.35">
      <c r="A949">
        <v>2005</v>
      </c>
      <c r="B949" t="s">
        <v>35</v>
      </c>
      <c r="C949" t="s">
        <v>169</v>
      </c>
      <c r="E949" t="s">
        <v>466</v>
      </c>
    </row>
    <row r="950" spans="1:5" x14ac:dyDescent="0.35">
      <c r="A950">
        <v>2005</v>
      </c>
      <c r="B950" t="s">
        <v>35</v>
      </c>
      <c r="C950" t="s">
        <v>215</v>
      </c>
      <c r="D950">
        <v>122</v>
      </c>
      <c r="E950" t="s">
        <v>466</v>
      </c>
    </row>
    <row r="951" spans="1:5" x14ac:dyDescent="0.35">
      <c r="A951">
        <v>2005</v>
      </c>
      <c r="B951" t="s">
        <v>33</v>
      </c>
      <c r="C951" t="s">
        <v>170</v>
      </c>
      <c r="D951">
        <v>63</v>
      </c>
      <c r="E951" t="s">
        <v>466</v>
      </c>
    </row>
    <row r="952" spans="1:5" x14ac:dyDescent="0.35">
      <c r="A952">
        <v>2005</v>
      </c>
      <c r="B952" t="s">
        <v>34</v>
      </c>
      <c r="C952" t="s">
        <v>171</v>
      </c>
      <c r="D952">
        <v>13</v>
      </c>
      <c r="E952" t="s">
        <v>466</v>
      </c>
    </row>
    <row r="953" spans="1:5" x14ac:dyDescent="0.35">
      <c r="A953">
        <v>2005</v>
      </c>
      <c r="B953" t="s">
        <v>35</v>
      </c>
      <c r="C953" t="s">
        <v>172</v>
      </c>
      <c r="D953">
        <v>32</v>
      </c>
      <c r="E953" t="s">
        <v>466</v>
      </c>
    </row>
    <row r="954" spans="1:5" x14ac:dyDescent="0.35">
      <c r="A954">
        <v>2005</v>
      </c>
      <c r="B954" t="s">
        <v>35</v>
      </c>
      <c r="C954" t="s">
        <v>173</v>
      </c>
      <c r="D954">
        <v>4</v>
      </c>
      <c r="E954" t="s">
        <v>466</v>
      </c>
    </row>
    <row r="955" spans="1:5" x14ac:dyDescent="0.35">
      <c r="A955">
        <v>2005</v>
      </c>
      <c r="B955" t="s">
        <v>33</v>
      </c>
      <c r="C955" t="s">
        <v>174</v>
      </c>
      <c r="D955">
        <v>92</v>
      </c>
      <c r="E955" t="s">
        <v>466</v>
      </c>
    </row>
    <row r="956" spans="1:5" x14ac:dyDescent="0.35">
      <c r="A956">
        <v>2005</v>
      </c>
      <c r="B956" t="s">
        <v>33</v>
      </c>
      <c r="C956" t="s">
        <v>175</v>
      </c>
      <c r="D956">
        <v>138</v>
      </c>
      <c r="E956" t="s">
        <v>466</v>
      </c>
    </row>
    <row r="957" spans="1:5" x14ac:dyDescent="0.35">
      <c r="A957">
        <v>2005</v>
      </c>
      <c r="B957" t="s">
        <v>33</v>
      </c>
      <c r="C957" t="s">
        <v>176</v>
      </c>
      <c r="E957" t="s">
        <v>466</v>
      </c>
    </row>
    <row r="958" spans="1:5" x14ac:dyDescent="0.35">
      <c r="A958">
        <v>2005</v>
      </c>
      <c r="B958" t="s">
        <v>35</v>
      </c>
      <c r="C958" t="s">
        <v>216</v>
      </c>
      <c r="D958">
        <v>42</v>
      </c>
      <c r="E958" t="s">
        <v>466</v>
      </c>
    </row>
    <row r="959" spans="1:5" x14ac:dyDescent="0.35">
      <c r="A959">
        <v>2005</v>
      </c>
      <c r="B959" t="s">
        <v>35</v>
      </c>
      <c r="C959" t="s">
        <v>177</v>
      </c>
      <c r="D959">
        <v>43</v>
      </c>
      <c r="E959" t="s">
        <v>466</v>
      </c>
    </row>
    <row r="960" spans="1:5" x14ac:dyDescent="0.35">
      <c r="A960">
        <v>2005</v>
      </c>
      <c r="B960" t="s">
        <v>34</v>
      </c>
      <c r="C960" t="s">
        <v>178</v>
      </c>
      <c r="D960">
        <v>46</v>
      </c>
      <c r="E960" t="s">
        <v>466</v>
      </c>
    </row>
    <row r="961" spans="1:5" x14ac:dyDescent="0.35">
      <c r="A961">
        <v>2005</v>
      </c>
      <c r="B961" t="s">
        <v>33</v>
      </c>
      <c r="C961" t="s">
        <v>179</v>
      </c>
      <c r="D961">
        <v>81</v>
      </c>
      <c r="E961" t="s">
        <v>466</v>
      </c>
    </row>
    <row r="962" spans="1:5" x14ac:dyDescent="0.35">
      <c r="A962">
        <v>2005</v>
      </c>
      <c r="B962" t="s">
        <v>38</v>
      </c>
      <c r="C962" t="s">
        <v>180</v>
      </c>
      <c r="D962">
        <v>8</v>
      </c>
      <c r="E962" t="s">
        <v>466</v>
      </c>
    </row>
    <row r="963" spans="1:5" x14ac:dyDescent="0.35">
      <c r="A963">
        <v>2005</v>
      </c>
      <c r="B963" t="s">
        <v>35</v>
      </c>
      <c r="C963" t="s">
        <v>182</v>
      </c>
      <c r="D963">
        <v>23</v>
      </c>
      <c r="E963" t="s">
        <v>466</v>
      </c>
    </row>
    <row r="964" spans="1:5" x14ac:dyDescent="0.35">
      <c r="A964">
        <v>2005</v>
      </c>
      <c r="B964" t="s">
        <v>35</v>
      </c>
      <c r="C964" t="s">
        <v>183</v>
      </c>
      <c r="D964">
        <v>10</v>
      </c>
      <c r="E964" t="s">
        <v>466</v>
      </c>
    </row>
    <row r="965" spans="1:5" x14ac:dyDescent="0.35">
      <c r="A965">
        <v>2005</v>
      </c>
      <c r="B965" t="s">
        <v>34</v>
      </c>
      <c r="C965" t="s">
        <v>184</v>
      </c>
      <c r="D965">
        <v>113</v>
      </c>
      <c r="E965" t="s">
        <v>466</v>
      </c>
    </row>
    <row r="966" spans="1:5" x14ac:dyDescent="0.35">
      <c r="A966">
        <v>2005</v>
      </c>
      <c r="B966" t="s">
        <v>34</v>
      </c>
      <c r="C966" t="s">
        <v>185</v>
      </c>
      <c r="D966">
        <v>51</v>
      </c>
      <c r="E966" t="s">
        <v>466</v>
      </c>
    </row>
    <row r="967" spans="1:5" x14ac:dyDescent="0.35">
      <c r="A967">
        <v>2005</v>
      </c>
      <c r="B967" t="s">
        <v>34</v>
      </c>
      <c r="C967" t="s">
        <v>186</v>
      </c>
      <c r="D967">
        <v>8</v>
      </c>
      <c r="E967" t="s">
        <v>466</v>
      </c>
    </row>
    <row r="968" spans="1:5" x14ac:dyDescent="0.35">
      <c r="A968">
        <v>2005</v>
      </c>
      <c r="B968" t="s">
        <v>33</v>
      </c>
      <c r="C968" t="s">
        <v>187</v>
      </c>
      <c r="D968">
        <v>37</v>
      </c>
      <c r="E968" t="s">
        <v>466</v>
      </c>
    </row>
    <row r="969" spans="1:5" x14ac:dyDescent="0.35">
      <c r="A969">
        <v>2005</v>
      </c>
      <c r="B969" t="s">
        <v>34</v>
      </c>
      <c r="C969" t="s">
        <v>188</v>
      </c>
      <c r="D969">
        <v>134</v>
      </c>
      <c r="E969" t="s">
        <v>466</v>
      </c>
    </row>
    <row r="970" spans="1:5" x14ac:dyDescent="0.35">
      <c r="A970">
        <v>2005</v>
      </c>
      <c r="B970" t="s">
        <v>33</v>
      </c>
      <c r="C970" t="s">
        <v>189</v>
      </c>
      <c r="D970">
        <v>12</v>
      </c>
      <c r="E970" t="s">
        <v>466</v>
      </c>
    </row>
    <row r="971" spans="1:5" x14ac:dyDescent="0.35">
      <c r="A971">
        <v>2005</v>
      </c>
      <c r="B971" t="s">
        <v>37</v>
      </c>
      <c r="C971" t="s">
        <v>190</v>
      </c>
      <c r="D971">
        <v>33</v>
      </c>
      <c r="E971" t="s">
        <v>466</v>
      </c>
    </row>
    <row r="972" spans="1:5" x14ac:dyDescent="0.35">
      <c r="A972">
        <v>2005</v>
      </c>
      <c r="B972" t="s">
        <v>36</v>
      </c>
      <c r="C972" t="s">
        <v>191</v>
      </c>
      <c r="D972">
        <v>448</v>
      </c>
      <c r="E972" t="s">
        <v>466</v>
      </c>
    </row>
    <row r="973" spans="1:5" x14ac:dyDescent="0.35">
      <c r="A973">
        <v>2005</v>
      </c>
      <c r="B973" t="s">
        <v>33</v>
      </c>
      <c r="C973" t="s">
        <v>192</v>
      </c>
      <c r="D973">
        <v>85</v>
      </c>
      <c r="E973" t="s">
        <v>466</v>
      </c>
    </row>
    <row r="974" spans="1:5" x14ac:dyDescent="0.35">
      <c r="A974">
        <v>2005</v>
      </c>
      <c r="B974" t="s">
        <v>34</v>
      </c>
      <c r="C974" t="s">
        <v>193</v>
      </c>
      <c r="D974">
        <v>392</v>
      </c>
      <c r="E974" t="s">
        <v>466</v>
      </c>
    </row>
    <row r="975" spans="1:5" x14ac:dyDescent="0.35">
      <c r="A975">
        <v>2005</v>
      </c>
      <c r="B975" t="s">
        <v>34</v>
      </c>
      <c r="C975" t="s">
        <v>194</v>
      </c>
      <c r="E975" t="s">
        <v>466</v>
      </c>
    </row>
    <row r="976" spans="1:5" x14ac:dyDescent="0.35">
      <c r="A976">
        <v>2005</v>
      </c>
      <c r="B976" t="s">
        <v>36</v>
      </c>
      <c r="C976" t="s">
        <v>372</v>
      </c>
      <c r="D976">
        <v>5</v>
      </c>
      <c r="E976" t="s">
        <v>466</v>
      </c>
    </row>
    <row r="977" spans="1:5" x14ac:dyDescent="0.35">
      <c r="A977">
        <v>2005</v>
      </c>
      <c r="B977" t="s">
        <v>33</v>
      </c>
      <c r="C977" t="s">
        <v>195</v>
      </c>
      <c r="D977">
        <v>17</v>
      </c>
      <c r="E977" t="s">
        <v>466</v>
      </c>
    </row>
    <row r="978" spans="1:5" x14ac:dyDescent="0.35">
      <c r="A978">
        <v>2005</v>
      </c>
      <c r="B978" t="s">
        <v>35</v>
      </c>
      <c r="C978" t="s">
        <v>196</v>
      </c>
      <c r="D978">
        <v>154</v>
      </c>
      <c r="E978" t="s">
        <v>466</v>
      </c>
    </row>
    <row r="979" spans="1:5" x14ac:dyDescent="0.35">
      <c r="A979">
        <v>2005</v>
      </c>
      <c r="B979" t="s">
        <v>34</v>
      </c>
      <c r="C979" t="s">
        <v>197</v>
      </c>
      <c r="D979">
        <v>6</v>
      </c>
      <c r="E979" t="s">
        <v>466</v>
      </c>
    </row>
    <row r="980" spans="1:5" x14ac:dyDescent="0.35">
      <c r="A980">
        <v>2005</v>
      </c>
      <c r="B980" t="s">
        <v>35</v>
      </c>
      <c r="C980" t="s">
        <v>198</v>
      </c>
      <c r="D980">
        <v>297</v>
      </c>
      <c r="E980" t="s">
        <v>466</v>
      </c>
    </row>
    <row r="981" spans="1:5" x14ac:dyDescent="0.35">
      <c r="A981">
        <v>2005</v>
      </c>
      <c r="B981" t="s">
        <v>39</v>
      </c>
      <c r="C981" t="s">
        <v>39</v>
      </c>
      <c r="D981">
        <v>227</v>
      </c>
      <c r="E981" t="s">
        <v>466</v>
      </c>
    </row>
    <row r="982" spans="1:5" x14ac:dyDescent="0.35">
      <c r="A982">
        <v>2005</v>
      </c>
      <c r="B982" t="s">
        <v>38</v>
      </c>
      <c r="C982" t="s">
        <v>199</v>
      </c>
      <c r="D982">
        <v>128</v>
      </c>
      <c r="E982" t="s">
        <v>466</v>
      </c>
    </row>
    <row r="983" spans="1:5" x14ac:dyDescent="0.35">
      <c r="A983">
        <v>2005</v>
      </c>
      <c r="B983" t="s">
        <v>34</v>
      </c>
      <c r="C983" t="s">
        <v>200</v>
      </c>
      <c r="D983">
        <v>130</v>
      </c>
      <c r="E983" t="s">
        <v>466</v>
      </c>
    </row>
    <row r="984" spans="1:5" x14ac:dyDescent="0.35">
      <c r="A984">
        <v>2005</v>
      </c>
      <c r="B984" t="s">
        <v>38</v>
      </c>
      <c r="C984" t="s">
        <v>19</v>
      </c>
      <c r="D984">
        <v>301</v>
      </c>
      <c r="E984" t="s">
        <v>466</v>
      </c>
    </row>
    <row r="985" spans="1:5" x14ac:dyDescent="0.35">
      <c r="A985">
        <v>2005</v>
      </c>
      <c r="B985" t="s">
        <v>34</v>
      </c>
      <c r="C985" t="s">
        <v>201</v>
      </c>
      <c r="D985">
        <v>421</v>
      </c>
      <c r="E985" t="s">
        <v>466</v>
      </c>
    </row>
    <row r="986" spans="1:5" x14ac:dyDescent="0.35">
      <c r="A986">
        <v>2005</v>
      </c>
      <c r="B986" t="s">
        <v>34</v>
      </c>
      <c r="C986" t="s">
        <v>202</v>
      </c>
      <c r="D986">
        <v>67</v>
      </c>
      <c r="E986" t="s">
        <v>466</v>
      </c>
    </row>
    <row r="987" spans="1:5" x14ac:dyDescent="0.35">
      <c r="A987">
        <v>2005</v>
      </c>
      <c r="B987" t="s">
        <v>33</v>
      </c>
      <c r="C987" t="s">
        <v>203</v>
      </c>
      <c r="D987">
        <v>22</v>
      </c>
      <c r="E987" t="s">
        <v>466</v>
      </c>
    </row>
    <row r="988" spans="1:5" x14ac:dyDescent="0.35">
      <c r="A988">
        <v>2005</v>
      </c>
      <c r="B988" t="s">
        <v>33</v>
      </c>
      <c r="C988" t="s">
        <v>204</v>
      </c>
      <c r="D988">
        <v>32</v>
      </c>
      <c r="E988" t="s">
        <v>466</v>
      </c>
    </row>
    <row r="989" spans="1:5" x14ac:dyDescent="0.35">
      <c r="A989">
        <v>2006</v>
      </c>
      <c r="B989" t="s">
        <v>38</v>
      </c>
      <c r="C989" t="s">
        <v>155</v>
      </c>
      <c r="D989">
        <v>6</v>
      </c>
      <c r="E989" t="s">
        <v>458</v>
      </c>
    </row>
    <row r="990" spans="1:5" x14ac:dyDescent="0.35">
      <c r="A990">
        <v>2006</v>
      </c>
      <c r="B990" t="s">
        <v>36</v>
      </c>
      <c r="C990" t="s">
        <v>154</v>
      </c>
      <c r="D990">
        <v>95</v>
      </c>
      <c r="E990" t="s">
        <v>328</v>
      </c>
    </row>
    <row r="991" spans="1:5" x14ac:dyDescent="0.35">
      <c r="A991">
        <v>2006</v>
      </c>
      <c r="B991" t="s">
        <v>36</v>
      </c>
      <c r="C991" t="s">
        <v>154</v>
      </c>
      <c r="D991">
        <v>114</v>
      </c>
      <c r="E991" t="s">
        <v>458</v>
      </c>
    </row>
    <row r="992" spans="1:5" x14ac:dyDescent="0.35">
      <c r="A992">
        <v>2006</v>
      </c>
      <c r="B992" t="s">
        <v>37</v>
      </c>
      <c r="C992" t="s">
        <v>153</v>
      </c>
      <c r="D992">
        <v>11</v>
      </c>
      <c r="E992" t="s">
        <v>458</v>
      </c>
    </row>
    <row r="993" spans="1:5" x14ac:dyDescent="0.35">
      <c r="A993">
        <v>2006</v>
      </c>
      <c r="B993" t="s">
        <v>34</v>
      </c>
      <c r="C993" t="s">
        <v>152</v>
      </c>
      <c r="D993">
        <v>473</v>
      </c>
      <c r="E993" t="s">
        <v>328</v>
      </c>
    </row>
    <row r="994" spans="1:5" x14ac:dyDescent="0.35">
      <c r="A994">
        <v>2006</v>
      </c>
      <c r="B994" t="s">
        <v>34</v>
      </c>
      <c r="C994" t="s">
        <v>152</v>
      </c>
      <c r="D994">
        <v>94</v>
      </c>
      <c r="E994" t="s">
        <v>458</v>
      </c>
    </row>
    <row r="995" spans="1:5" x14ac:dyDescent="0.35">
      <c r="A995">
        <v>2006</v>
      </c>
      <c r="B995" t="s">
        <v>35</v>
      </c>
      <c r="C995" t="s">
        <v>150</v>
      </c>
      <c r="D995">
        <v>10</v>
      </c>
      <c r="E995" t="s">
        <v>328</v>
      </c>
    </row>
    <row r="996" spans="1:5" x14ac:dyDescent="0.35">
      <c r="A996">
        <v>2006</v>
      </c>
      <c r="B996" t="s">
        <v>33</v>
      </c>
      <c r="C996" t="s">
        <v>149</v>
      </c>
      <c r="D996">
        <v>216</v>
      </c>
      <c r="E996" t="s">
        <v>328</v>
      </c>
    </row>
    <row r="997" spans="1:5" x14ac:dyDescent="0.35">
      <c r="A997">
        <v>2006</v>
      </c>
      <c r="B997" t="s">
        <v>35</v>
      </c>
      <c r="C997" t="s">
        <v>322</v>
      </c>
      <c r="D997">
        <v>31</v>
      </c>
      <c r="E997" t="s">
        <v>328</v>
      </c>
    </row>
    <row r="998" spans="1:5" x14ac:dyDescent="0.35">
      <c r="A998">
        <v>2006</v>
      </c>
      <c r="B998" t="s">
        <v>35</v>
      </c>
      <c r="C998" t="s">
        <v>322</v>
      </c>
      <c r="D998">
        <v>7</v>
      </c>
      <c r="E998" t="s">
        <v>458</v>
      </c>
    </row>
    <row r="999" spans="1:5" x14ac:dyDescent="0.35">
      <c r="A999">
        <v>2006</v>
      </c>
      <c r="B999" t="s">
        <v>33</v>
      </c>
      <c r="C999" t="s">
        <v>149</v>
      </c>
      <c r="D999">
        <v>202</v>
      </c>
      <c r="E999" t="s">
        <v>458</v>
      </c>
    </row>
    <row r="1000" spans="1:5" x14ac:dyDescent="0.35">
      <c r="A1000">
        <v>2006</v>
      </c>
      <c r="B1000" t="s">
        <v>33</v>
      </c>
      <c r="C1000" t="s">
        <v>148</v>
      </c>
      <c r="D1000">
        <v>22</v>
      </c>
      <c r="E1000" t="s">
        <v>328</v>
      </c>
    </row>
    <row r="1001" spans="1:5" x14ac:dyDescent="0.35">
      <c r="A1001">
        <v>2006</v>
      </c>
      <c r="B1001" t="s">
        <v>33</v>
      </c>
      <c r="C1001" t="s">
        <v>148</v>
      </c>
      <c r="D1001">
        <v>8</v>
      </c>
      <c r="E1001" t="s">
        <v>458</v>
      </c>
    </row>
    <row r="1002" spans="1:5" x14ac:dyDescent="0.35">
      <c r="A1002">
        <v>2006</v>
      </c>
      <c r="B1002" t="s">
        <v>36</v>
      </c>
      <c r="C1002" t="s">
        <v>147</v>
      </c>
      <c r="D1002">
        <v>1854</v>
      </c>
      <c r="E1002" t="s">
        <v>328</v>
      </c>
    </row>
    <row r="1003" spans="1:5" x14ac:dyDescent="0.35">
      <c r="A1003">
        <v>2006</v>
      </c>
      <c r="B1003" t="s">
        <v>38</v>
      </c>
      <c r="C1003" t="s">
        <v>155</v>
      </c>
      <c r="D1003">
        <v>53</v>
      </c>
      <c r="E1003" t="s">
        <v>328</v>
      </c>
    </row>
    <row r="1004" spans="1:5" x14ac:dyDescent="0.35">
      <c r="A1004">
        <v>2006</v>
      </c>
      <c r="B1004" t="s">
        <v>35</v>
      </c>
      <c r="C1004" t="s">
        <v>150</v>
      </c>
      <c r="D1004">
        <v>5</v>
      </c>
      <c r="E1004" t="s">
        <v>458</v>
      </c>
    </row>
    <row r="1005" spans="1:5" x14ac:dyDescent="0.35">
      <c r="A1005">
        <v>2006</v>
      </c>
      <c r="B1005" t="s">
        <v>38</v>
      </c>
      <c r="C1005" t="s">
        <v>156</v>
      </c>
      <c r="D1005">
        <v>314</v>
      </c>
      <c r="E1005" t="s">
        <v>458</v>
      </c>
    </row>
    <row r="1006" spans="1:5" x14ac:dyDescent="0.35">
      <c r="A1006">
        <v>2006</v>
      </c>
      <c r="B1006" t="s">
        <v>36</v>
      </c>
      <c r="C1006" t="s">
        <v>165</v>
      </c>
      <c r="D1006">
        <v>7</v>
      </c>
      <c r="E1006" t="s">
        <v>328</v>
      </c>
    </row>
    <row r="1007" spans="1:5" x14ac:dyDescent="0.35">
      <c r="A1007">
        <v>2006</v>
      </c>
      <c r="B1007" t="s">
        <v>34</v>
      </c>
      <c r="C1007" t="s">
        <v>18</v>
      </c>
      <c r="D1007">
        <v>260</v>
      </c>
      <c r="E1007" t="s">
        <v>458</v>
      </c>
    </row>
    <row r="1008" spans="1:5" x14ac:dyDescent="0.35">
      <c r="A1008">
        <v>2006</v>
      </c>
      <c r="B1008" t="s">
        <v>36</v>
      </c>
      <c r="C1008" t="s">
        <v>165</v>
      </c>
      <c r="D1008">
        <v>14</v>
      </c>
      <c r="E1008" t="s">
        <v>458</v>
      </c>
    </row>
    <row r="1009" spans="1:5" x14ac:dyDescent="0.35">
      <c r="A1009">
        <v>2006</v>
      </c>
      <c r="B1009" t="s">
        <v>36</v>
      </c>
      <c r="C1009" t="s">
        <v>164</v>
      </c>
      <c r="D1009">
        <v>22</v>
      </c>
      <c r="E1009" t="s">
        <v>328</v>
      </c>
    </row>
    <row r="1010" spans="1:5" x14ac:dyDescent="0.35">
      <c r="A1010">
        <v>2006</v>
      </c>
      <c r="B1010" t="s">
        <v>36</v>
      </c>
      <c r="C1010" t="s">
        <v>164</v>
      </c>
      <c r="D1010">
        <v>13</v>
      </c>
      <c r="E1010" t="s">
        <v>458</v>
      </c>
    </row>
    <row r="1011" spans="1:5" x14ac:dyDescent="0.35">
      <c r="A1011">
        <v>2006</v>
      </c>
      <c r="B1011" t="s">
        <v>36</v>
      </c>
      <c r="C1011" t="s">
        <v>163</v>
      </c>
      <c r="D1011">
        <v>3</v>
      </c>
      <c r="E1011" t="s">
        <v>328</v>
      </c>
    </row>
    <row r="1012" spans="1:5" x14ac:dyDescent="0.35">
      <c r="A1012">
        <v>2006</v>
      </c>
      <c r="B1012" t="s">
        <v>36</v>
      </c>
      <c r="C1012" t="s">
        <v>163</v>
      </c>
      <c r="D1012">
        <v>22</v>
      </c>
      <c r="E1012" t="s">
        <v>458</v>
      </c>
    </row>
    <row r="1013" spans="1:5" x14ac:dyDescent="0.35">
      <c r="A1013">
        <v>2006</v>
      </c>
      <c r="B1013" t="s">
        <v>33</v>
      </c>
      <c r="C1013" t="s">
        <v>162</v>
      </c>
      <c r="E1013" t="s">
        <v>328</v>
      </c>
    </row>
    <row r="1014" spans="1:5" x14ac:dyDescent="0.35">
      <c r="A1014">
        <v>2006</v>
      </c>
      <c r="B1014" t="s">
        <v>33</v>
      </c>
      <c r="C1014" t="s">
        <v>162</v>
      </c>
      <c r="E1014" t="s">
        <v>458</v>
      </c>
    </row>
    <row r="1015" spans="1:5" x14ac:dyDescent="0.35">
      <c r="A1015">
        <v>2006</v>
      </c>
      <c r="B1015" t="s">
        <v>38</v>
      </c>
      <c r="C1015" t="s">
        <v>156</v>
      </c>
      <c r="D1015">
        <v>1024</v>
      </c>
      <c r="E1015" t="s">
        <v>328</v>
      </c>
    </row>
    <row r="1016" spans="1:5" x14ac:dyDescent="0.35">
      <c r="A1016">
        <v>2006</v>
      </c>
      <c r="B1016" t="s">
        <v>35</v>
      </c>
      <c r="C1016" t="s">
        <v>161</v>
      </c>
      <c r="D1016">
        <v>125</v>
      </c>
      <c r="E1016" t="s">
        <v>328</v>
      </c>
    </row>
    <row r="1017" spans="1:5" x14ac:dyDescent="0.35">
      <c r="A1017">
        <v>2006</v>
      </c>
      <c r="B1017" t="s">
        <v>35</v>
      </c>
      <c r="C1017" t="s">
        <v>160</v>
      </c>
      <c r="D1017">
        <v>135</v>
      </c>
      <c r="E1017" t="s">
        <v>328</v>
      </c>
    </row>
    <row r="1018" spans="1:5" x14ac:dyDescent="0.35">
      <c r="A1018">
        <v>2006</v>
      </c>
      <c r="B1018" t="s">
        <v>35</v>
      </c>
      <c r="C1018" t="s">
        <v>160</v>
      </c>
      <c r="D1018">
        <v>53</v>
      </c>
      <c r="E1018" t="s">
        <v>458</v>
      </c>
    </row>
    <row r="1019" spans="1:5" x14ac:dyDescent="0.35">
      <c r="A1019">
        <v>2006</v>
      </c>
      <c r="B1019" t="s">
        <v>35</v>
      </c>
      <c r="C1019" t="s">
        <v>158</v>
      </c>
      <c r="D1019">
        <v>53</v>
      </c>
      <c r="E1019" t="s">
        <v>328</v>
      </c>
    </row>
    <row r="1020" spans="1:5" x14ac:dyDescent="0.35">
      <c r="A1020">
        <v>2006</v>
      </c>
      <c r="B1020" t="s">
        <v>35</v>
      </c>
      <c r="C1020" t="s">
        <v>158</v>
      </c>
      <c r="D1020">
        <v>93</v>
      </c>
      <c r="E1020" t="s">
        <v>458</v>
      </c>
    </row>
    <row r="1021" spans="1:5" x14ac:dyDescent="0.35">
      <c r="A1021">
        <v>2006</v>
      </c>
      <c r="B1021" t="s">
        <v>35</v>
      </c>
      <c r="C1021" t="s">
        <v>157</v>
      </c>
      <c r="D1021">
        <v>334</v>
      </c>
      <c r="E1021" t="s">
        <v>328</v>
      </c>
    </row>
    <row r="1022" spans="1:5" x14ac:dyDescent="0.35">
      <c r="A1022">
        <v>2006</v>
      </c>
      <c r="B1022" t="s">
        <v>35</v>
      </c>
      <c r="C1022" t="s">
        <v>157</v>
      </c>
      <c r="D1022">
        <v>116</v>
      </c>
      <c r="E1022" t="s">
        <v>458</v>
      </c>
    </row>
    <row r="1023" spans="1:5" x14ac:dyDescent="0.35">
      <c r="A1023">
        <v>2006</v>
      </c>
      <c r="B1023" t="s">
        <v>34</v>
      </c>
      <c r="C1023" t="s">
        <v>18</v>
      </c>
      <c r="D1023">
        <v>398</v>
      </c>
      <c r="E1023" t="s">
        <v>328</v>
      </c>
    </row>
    <row r="1024" spans="1:5" x14ac:dyDescent="0.35">
      <c r="A1024">
        <v>2006</v>
      </c>
      <c r="B1024" t="s">
        <v>35</v>
      </c>
      <c r="C1024" t="s">
        <v>161</v>
      </c>
      <c r="D1024">
        <v>44</v>
      </c>
      <c r="E1024" t="s">
        <v>458</v>
      </c>
    </row>
    <row r="1025" spans="1:5" x14ac:dyDescent="0.35">
      <c r="A1025">
        <v>2006</v>
      </c>
      <c r="B1025" t="s">
        <v>36</v>
      </c>
      <c r="C1025" t="s">
        <v>147</v>
      </c>
      <c r="D1025">
        <v>592</v>
      </c>
      <c r="E1025" t="s">
        <v>458</v>
      </c>
    </row>
    <row r="1026" spans="1:5" x14ac:dyDescent="0.35">
      <c r="A1026">
        <v>2006</v>
      </c>
      <c r="B1026" t="s">
        <v>34</v>
      </c>
      <c r="C1026" t="s">
        <v>120</v>
      </c>
      <c r="E1026" t="s">
        <v>328</v>
      </c>
    </row>
    <row r="1027" spans="1:5" x14ac:dyDescent="0.35">
      <c r="A1027">
        <v>2006</v>
      </c>
      <c r="B1027" t="s">
        <v>37</v>
      </c>
      <c r="C1027" t="s">
        <v>146</v>
      </c>
      <c r="D1027">
        <v>11</v>
      </c>
      <c r="E1027" t="s">
        <v>458</v>
      </c>
    </row>
    <row r="1028" spans="1:5" x14ac:dyDescent="0.35">
      <c r="A1028">
        <v>2006</v>
      </c>
      <c r="B1028" t="s">
        <v>34</v>
      </c>
      <c r="C1028" t="s">
        <v>131</v>
      </c>
      <c r="D1028">
        <v>58</v>
      </c>
      <c r="E1028" t="s">
        <v>328</v>
      </c>
    </row>
    <row r="1029" spans="1:5" x14ac:dyDescent="0.35">
      <c r="A1029">
        <v>2006</v>
      </c>
      <c r="B1029" t="s">
        <v>34</v>
      </c>
      <c r="C1029" t="s">
        <v>131</v>
      </c>
      <c r="D1029">
        <v>8</v>
      </c>
      <c r="E1029" t="s">
        <v>458</v>
      </c>
    </row>
    <row r="1030" spans="1:5" x14ac:dyDescent="0.35">
      <c r="A1030">
        <v>2006</v>
      </c>
      <c r="B1030" t="s">
        <v>33</v>
      </c>
      <c r="C1030" t="s">
        <v>130</v>
      </c>
      <c r="E1030" t="s">
        <v>328</v>
      </c>
    </row>
    <row r="1031" spans="1:5" x14ac:dyDescent="0.35">
      <c r="A1031">
        <v>2006</v>
      </c>
      <c r="B1031" t="s">
        <v>35</v>
      </c>
      <c r="C1031" t="s">
        <v>127</v>
      </c>
      <c r="D1031">
        <v>48</v>
      </c>
      <c r="E1031" t="s">
        <v>328</v>
      </c>
    </row>
    <row r="1032" spans="1:5" x14ac:dyDescent="0.35">
      <c r="A1032">
        <v>2006</v>
      </c>
      <c r="B1032" t="s">
        <v>35</v>
      </c>
      <c r="C1032" t="s">
        <v>127</v>
      </c>
      <c r="D1032">
        <v>15</v>
      </c>
      <c r="E1032" t="s">
        <v>458</v>
      </c>
    </row>
    <row r="1033" spans="1:5" x14ac:dyDescent="0.35">
      <c r="A1033">
        <v>2006</v>
      </c>
      <c r="B1033" t="s">
        <v>33</v>
      </c>
      <c r="C1033" t="s">
        <v>125</v>
      </c>
      <c r="D1033">
        <v>25</v>
      </c>
      <c r="E1033" t="s">
        <v>328</v>
      </c>
    </row>
    <row r="1034" spans="1:5" x14ac:dyDescent="0.35">
      <c r="A1034">
        <v>2006</v>
      </c>
      <c r="B1034" t="s">
        <v>33</v>
      </c>
      <c r="C1034" t="s">
        <v>125</v>
      </c>
      <c r="D1034">
        <v>39</v>
      </c>
      <c r="E1034" t="s">
        <v>458</v>
      </c>
    </row>
    <row r="1035" spans="1:5" x14ac:dyDescent="0.35">
      <c r="A1035">
        <v>2006</v>
      </c>
      <c r="B1035" t="s">
        <v>33</v>
      </c>
      <c r="C1035" t="s">
        <v>132</v>
      </c>
      <c r="D1035">
        <v>3</v>
      </c>
      <c r="E1035" t="s">
        <v>458</v>
      </c>
    </row>
    <row r="1036" spans="1:5" x14ac:dyDescent="0.35">
      <c r="A1036">
        <v>2006</v>
      </c>
      <c r="B1036" t="s">
        <v>34</v>
      </c>
      <c r="C1036" t="s">
        <v>124</v>
      </c>
      <c r="D1036">
        <v>118</v>
      </c>
      <c r="E1036" t="s">
        <v>328</v>
      </c>
    </row>
    <row r="1037" spans="1:5" x14ac:dyDescent="0.35">
      <c r="A1037">
        <v>2006</v>
      </c>
      <c r="B1037" t="s">
        <v>35</v>
      </c>
      <c r="C1037" t="s">
        <v>123</v>
      </c>
      <c r="D1037">
        <v>15</v>
      </c>
      <c r="E1037" t="s">
        <v>328</v>
      </c>
    </row>
    <row r="1038" spans="1:5" x14ac:dyDescent="0.35">
      <c r="A1038">
        <v>2006</v>
      </c>
      <c r="B1038" t="s">
        <v>35</v>
      </c>
      <c r="C1038" t="s">
        <v>123</v>
      </c>
      <c r="D1038">
        <v>4</v>
      </c>
      <c r="E1038" t="s">
        <v>458</v>
      </c>
    </row>
    <row r="1039" spans="1:5" x14ac:dyDescent="0.35">
      <c r="A1039">
        <v>2006</v>
      </c>
      <c r="B1039" t="s">
        <v>34</v>
      </c>
      <c r="C1039" t="s">
        <v>122</v>
      </c>
      <c r="E1039" t="s">
        <v>328</v>
      </c>
    </row>
    <row r="1040" spans="1:5" x14ac:dyDescent="0.35">
      <c r="A1040">
        <v>2006</v>
      </c>
      <c r="B1040" t="s">
        <v>34</v>
      </c>
      <c r="C1040" t="s">
        <v>122</v>
      </c>
      <c r="E1040" t="s">
        <v>458</v>
      </c>
    </row>
    <row r="1041" spans="1:5" x14ac:dyDescent="0.35">
      <c r="A1041">
        <v>2006</v>
      </c>
      <c r="B1041" t="s">
        <v>34</v>
      </c>
      <c r="C1041" t="s">
        <v>121</v>
      </c>
      <c r="E1041" t="s">
        <v>328</v>
      </c>
    </row>
    <row r="1042" spans="1:5" x14ac:dyDescent="0.35">
      <c r="A1042">
        <v>2006</v>
      </c>
      <c r="B1042" t="s">
        <v>34</v>
      </c>
      <c r="C1042" t="s">
        <v>121</v>
      </c>
      <c r="E1042" t="s">
        <v>458</v>
      </c>
    </row>
    <row r="1043" spans="1:5" x14ac:dyDescent="0.35">
      <c r="A1043">
        <v>2006</v>
      </c>
      <c r="B1043" t="s">
        <v>37</v>
      </c>
      <c r="C1043" t="s">
        <v>166</v>
      </c>
      <c r="D1043">
        <v>3</v>
      </c>
      <c r="E1043" t="s">
        <v>458</v>
      </c>
    </row>
    <row r="1044" spans="1:5" x14ac:dyDescent="0.35">
      <c r="A1044">
        <v>2006</v>
      </c>
      <c r="B1044" t="s">
        <v>34</v>
      </c>
      <c r="C1044" t="s">
        <v>124</v>
      </c>
      <c r="D1044">
        <v>36</v>
      </c>
      <c r="E1044" t="s">
        <v>458</v>
      </c>
    </row>
    <row r="1045" spans="1:5" x14ac:dyDescent="0.35">
      <c r="A1045">
        <v>2006</v>
      </c>
      <c r="B1045" t="s">
        <v>33</v>
      </c>
      <c r="C1045" t="s">
        <v>132</v>
      </c>
      <c r="D1045">
        <v>21</v>
      </c>
      <c r="E1045" t="s">
        <v>328</v>
      </c>
    </row>
    <row r="1046" spans="1:5" x14ac:dyDescent="0.35">
      <c r="A1046">
        <v>2006</v>
      </c>
      <c r="B1046" t="s">
        <v>37</v>
      </c>
      <c r="C1046" t="s">
        <v>134</v>
      </c>
      <c r="E1046" t="s">
        <v>458</v>
      </c>
    </row>
    <row r="1047" spans="1:5" x14ac:dyDescent="0.35">
      <c r="A1047">
        <v>2006</v>
      </c>
      <c r="B1047" t="s">
        <v>33</v>
      </c>
      <c r="C1047" t="s">
        <v>135</v>
      </c>
      <c r="D1047">
        <v>3</v>
      </c>
      <c r="E1047" t="s">
        <v>458</v>
      </c>
    </row>
    <row r="1048" spans="1:5" x14ac:dyDescent="0.35">
      <c r="A1048">
        <v>2006</v>
      </c>
      <c r="B1048" t="s">
        <v>35</v>
      </c>
      <c r="C1048" t="s">
        <v>145</v>
      </c>
      <c r="D1048">
        <v>42</v>
      </c>
      <c r="E1048" t="s">
        <v>328</v>
      </c>
    </row>
    <row r="1049" spans="1:5" x14ac:dyDescent="0.35">
      <c r="A1049">
        <v>2006</v>
      </c>
      <c r="B1049" t="s">
        <v>35</v>
      </c>
      <c r="C1049" t="s">
        <v>145</v>
      </c>
      <c r="D1049">
        <v>47</v>
      </c>
      <c r="E1049" t="s">
        <v>458</v>
      </c>
    </row>
    <row r="1050" spans="1:5" x14ac:dyDescent="0.35">
      <c r="A1050">
        <v>2006</v>
      </c>
      <c r="B1050" t="s">
        <v>34</v>
      </c>
      <c r="C1050" t="s">
        <v>144</v>
      </c>
      <c r="D1050">
        <v>22</v>
      </c>
      <c r="E1050" t="s">
        <v>328</v>
      </c>
    </row>
    <row r="1051" spans="1:5" x14ac:dyDescent="0.35">
      <c r="A1051">
        <v>2006</v>
      </c>
      <c r="B1051" t="s">
        <v>34</v>
      </c>
      <c r="C1051" t="s">
        <v>144</v>
      </c>
      <c r="D1051">
        <v>8</v>
      </c>
      <c r="E1051" t="s">
        <v>458</v>
      </c>
    </row>
    <row r="1052" spans="1:5" x14ac:dyDescent="0.35">
      <c r="A1052">
        <v>2006</v>
      </c>
      <c r="B1052" t="s">
        <v>33</v>
      </c>
      <c r="C1052" t="s">
        <v>141</v>
      </c>
      <c r="D1052">
        <v>64</v>
      </c>
      <c r="E1052" t="s">
        <v>328</v>
      </c>
    </row>
    <row r="1053" spans="1:5" x14ac:dyDescent="0.35">
      <c r="A1053">
        <v>2006</v>
      </c>
      <c r="B1053" t="s">
        <v>33</v>
      </c>
      <c r="C1053" t="s">
        <v>141</v>
      </c>
      <c r="D1053">
        <v>26</v>
      </c>
      <c r="E1053" t="s">
        <v>458</v>
      </c>
    </row>
    <row r="1054" spans="1:5" x14ac:dyDescent="0.35">
      <c r="A1054">
        <v>2006</v>
      </c>
      <c r="B1054" t="s">
        <v>35</v>
      </c>
      <c r="C1054" t="s">
        <v>140</v>
      </c>
      <c r="E1054" t="s">
        <v>328</v>
      </c>
    </row>
    <row r="1055" spans="1:5" x14ac:dyDescent="0.35">
      <c r="A1055">
        <v>2006</v>
      </c>
      <c r="B1055" t="s">
        <v>35</v>
      </c>
      <c r="C1055" t="s">
        <v>140</v>
      </c>
      <c r="E1055" t="s">
        <v>458</v>
      </c>
    </row>
    <row r="1056" spans="1:5" x14ac:dyDescent="0.35">
      <c r="A1056">
        <v>2006</v>
      </c>
      <c r="B1056" t="s">
        <v>34</v>
      </c>
      <c r="C1056" t="s">
        <v>139</v>
      </c>
      <c r="D1056">
        <v>44</v>
      </c>
      <c r="E1056" t="s">
        <v>328</v>
      </c>
    </row>
    <row r="1057" spans="1:5" x14ac:dyDescent="0.35">
      <c r="A1057">
        <v>2006</v>
      </c>
      <c r="B1057" t="s">
        <v>34</v>
      </c>
      <c r="C1057" t="s">
        <v>139</v>
      </c>
      <c r="D1057">
        <v>4</v>
      </c>
      <c r="E1057" t="s">
        <v>458</v>
      </c>
    </row>
    <row r="1058" spans="1:5" x14ac:dyDescent="0.35">
      <c r="A1058">
        <v>2006</v>
      </c>
      <c r="B1058" t="s">
        <v>35</v>
      </c>
      <c r="C1058" t="s">
        <v>138</v>
      </c>
      <c r="D1058">
        <v>6</v>
      </c>
      <c r="E1058" t="s">
        <v>328</v>
      </c>
    </row>
    <row r="1059" spans="1:5" x14ac:dyDescent="0.35">
      <c r="A1059">
        <v>2006</v>
      </c>
      <c r="B1059" t="s">
        <v>35</v>
      </c>
      <c r="C1059" t="s">
        <v>138</v>
      </c>
      <c r="D1059">
        <v>6</v>
      </c>
      <c r="E1059" t="s">
        <v>458</v>
      </c>
    </row>
    <row r="1060" spans="1:5" x14ac:dyDescent="0.35">
      <c r="A1060">
        <v>2006</v>
      </c>
      <c r="B1060" t="s">
        <v>37</v>
      </c>
      <c r="C1060" t="s">
        <v>137</v>
      </c>
      <c r="D1060">
        <v>7</v>
      </c>
      <c r="E1060" t="s">
        <v>328</v>
      </c>
    </row>
    <row r="1061" spans="1:5" x14ac:dyDescent="0.35">
      <c r="A1061">
        <v>2006</v>
      </c>
      <c r="B1061" t="s">
        <v>37</v>
      </c>
      <c r="C1061" t="s">
        <v>137</v>
      </c>
      <c r="D1061">
        <v>23</v>
      </c>
      <c r="E1061" t="s">
        <v>458</v>
      </c>
    </row>
    <row r="1062" spans="1:5" x14ac:dyDescent="0.35">
      <c r="A1062">
        <v>2006</v>
      </c>
      <c r="B1062" t="s">
        <v>36</v>
      </c>
      <c r="C1062" t="s">
        <v>14</v>
      </c>
      <c r="D1062">
        <v>113555</v>
      </c>
      <c r="E1062" t="s">
        <v>328</v>
      </c>
    </row>
    <row r="1063" spans="1:5" x14ac:dyDescent="0.35">
      <c r="A1063">
        <v>2006</v>
      </c>
      <c r="B1063" t="s">
        <v>36</v>
      </c>
      <c r="C1063" t="s">
        <v>14</v>
      </c>
      <c r="D1063">
        <v>73171</v>
      </c>
      <c r="E1063" t="s">
        <v>458</v>
      </c>
    </row>
    <row r="1064" spans="1:5" x14ac:dyDescent="0.35">
      <c r="A1064">
        <v>2006</v>
      </c>
      <c r="B1064" t="s">
        <v>33</v>
      </c>
      <c r="C1064" t="s">
        <v>135</v>
      </c>
      <c r="D1064">
        <v>43</v>
      </c>
      <c r="E1064" t="s">
        <v>328</v>
      </c>
    </row>
    <row r="1065" spans="1:5" x14ac:dyDescent="0.35">
      <c r="A1065">
        <v>2006</v>
      </c>
      <c r="B1065" t="s">
        <v>37</v>
      </c>
      <c r="C1065" t="s">
        <v>146</v>
      </c>
      <c r="D1065">
        <v>21</v>
      </c>
      <c r="E1065" t="s">
        <v>328</v>
      </c>
    </row>
    <row r="1066" spans="1:5" x14ac:dyDescent="0.35">
      <c r="A1066">
        <v>2006</v>
      </c>
      <c r="B1066" t="s">
        <v>37</v>
      </c>
      <c r="C1066" t="s">
        <v>166</v>
      </c>
      <c r="D1066">
        <v>4</v>
      </c>
      <c r="E1066" t="s">
        <v>328</v>
      </c>
    </row>
    <row r="1067" spans="1:5" x14ac:dyDescent="0.35">
      <c r="A1067">
        <v>2006</v>
      </c>
      <c r="B1067" t="s">
        <v>34</v>
      </c>
      <c r="C1067" t="s">
        <v>185</v>
      </c>
      <c r="D1067">
        <v>9</v>
      </c>
      <c r="E1067" t="s">
        <v>458</v>
      </c>
    </row>
    <row r="1068" spans="1:5" x14ac:dyDescent="0.35">
      <c r="A1068">
        <v>2006</v>
      </c>
      <c r="B1068" t="s">
        <v>34</v>
      </c>
      <c r="C1068" t="s">
        <v>167</v>
      </c>
      <c r="D1068">
        <v>19</v>
      </c>
      <c r="E1068" t="s">
        <v>328</v>
      </c>
    </row>
    <row r="1069" spans="1:5" x14ac:dyDescent="0.35">
      <c r="A1069">
        <v>2006</v>
      </c>
      <c r="B1069" t="s">
        <v>35</v>
      </c>
      <c r="C1069" t="s">
        <v>196</v>
      </c>
      <c r="D1069">
        <v>48</v>
      </c>
      <c r="E1069" t="s">
        <v>458</v>
      </c>
    </row>
    <row r="1070" spans="1:5" x14ac:dyDescent="0.35">
      <c r="A1070">
        <v>2006</v>
      </c>
      <c r="B1070" t="s">
        <v>33</v>
      </c>
      <c r="C1070" t="s">
        <v>195</v>
      </c>
      <c r="D1070">
        <v>19</v>
      </c>
      <c r="E1070" t="s">
        <v>328</v>
      </c>
    </row>
    <row r="1071" spans="1:5" x14ac:dyDescent="0.35">
      <c r="A1071">
        <v>2006</v>
      </c>
      <c r="B1071" t="s">
        <v>33</v>
      </c>
      <c r="C1071" t="s">
        <v>195</v>
      </c>
      <c r="D1071">
        <v>7</v>
      </c>
      <c r="E1071" t="s">
        <v>458</v>
      </c>
    </row>
    <row r="1072" spans="1:5" x14ac:dyDescent="0.35">
      <c r="A1072">
        <v>2006</v>
      </c>
      <c r="B1072" t="s">
        <v>34</v>
      </c>
      <c r="C1072" t="s">
        <v>193</v>
      </c>
      <c r="D1072">
        <v>133</v>
      </c>
      <c r="E1072" t="s">
        <v>328</v>
      </c>
    </row>
    <row r="1073" spans="1:5" x14ac:dyDescent="0.35">
      <c r="A1073">
        <v>2006</v>
      </c>
      <c r="B1073" t="s">
        <v>34</v>
      </c>
      <c r="C1073" t="s">
        <v>193</v>
      </c>
      <c r="D1073">
        <v>25</v>
      </c>
      <c r="E1073" t="s">
        <v>458</v>
      </c>
    </row>
    <row r="1074" spans="1:5" x14ac:dyDescent="0.35">
      <c r="A1074">
        <v>2006</v>
      </c>
      <c r="B1074" t="s">
        <v>33</v>
      </c>
      <c r="C1074" t="s">
        <v>192</v>
      </c>
      <c r="D1074">
        <v>25</v>
      </c>
      <c r="E1074" t="s">
        <v>328</v>
      </c>
    </row>
    <row r="1075" spans="1:5" x14ac:dyDescent="0.35">
      <c r="A1075">
        <v>2006</v>
      </c>
      <c r="B1075" t="s">
        <v>33</v>
      </c>
      <c r="C1075" t="s">
        <v>192</v>
      </c>
      <c r="D1075">
        <v>8</v>
      </c>
      <c r="E1075" t="s">
        <v>458</v>
      </c>
    </row>
    <row r="1076" spans="1:5" x14ac:dyDescent="0.35">
      <c r="A1076">
        <v>2006</v>
      </c>
      <c r="B1076" t="s">
        <v>36</v>
      </c>
      <c r="C1076" t="s">
        <v>191</v>
      </c>
      <c r="D1076">
        <v>150</v>
      </c>
      <c r="E1076" t="s">
        <v>328</v>
      </c>
    </row>
    <row r="1077" spans="1:5" x14ac:dyDescent="0.35">
      <c r="A1077">
        <v>2006</v>
      </c>
      <c r="B1077" t="s">
        <v>36</v>
      </c>
      <c r="C1077" t="s">
        <v>191</v>
      </c>
      <c r="D1077">
        <v>248</v>
      </c>
      <c r="E1077" t="s">
        <v>458</v>
      </c>
    </row>
    <row r="1078" spans="1:5" x14ac:dyDescent="0.35">
      <c r="A1078">
        <v>2006</v>
      </c>
      <c r="B1078" t="s">
        <v>37</v>
      </c>
      <c r="C1078" t="s">
        <v>190</v>
      </c>
      <c r="D1078">
        <v>9</v>
      </c>
      <c r="E1078" t="s">
        <v>328</v>
      </c>
    </row>
    <row r="1079" spans="1:5" x14ac:dyDescent="0.35">
      <c r="A1079">
        <v>2006</v>
      </c>
      <c r="B1079" t="s">
        <v>37</v>
      </c>
      <c r="C1079" t="s">
        <v>190</v>
      </c>
      <c r="D1079">
        <v>23</v>
      </c>
      <c r="E1079" t="s">
        <v>458</v>
      </c>
    </row>
    <row r="1080" spans="1:5" x14ac:dyDescent="0.35">
      <c r="A1080">
        <v>2006</v>
      </c>
      <c r="B1080" t="s">
        <v>33</v>
      </c>
      <c r="C1080" t="s">
        <v>189</v>
      </c>
      <c r="D1080">
        <v>16</v>
      </c>
      <c r="E1080" t="s">
        <v>328</v>
      </c>
    </row>
    <row r="1081" spans="1:5" x14ac:dyDescent="0.35">
      <c r="A1081">
        <v>2006</v>
      </c>
      <c r="B1081" t="s">
        <v>33</v>
      </c>
      <c r="C1081" t="s">
        <v>189</v>
      </c>
      <c r="D1081">
        <v>7</v>
      </c>
      <c r="E1081" t="s">
        <v>458</v>
      </c>
    </row>
    <row r="1082" spans="1:5" x14ac:dyDescent="0.35">
      <c r="A1082">
        <v>2006</v>
      </c>
      <c r="B1082" t="s">
        <v>34</v>
      </c>
      <c r="C1082" t="s">
        <v>188</v>
      </c>
      <c r="D1082">
        <v>57</v>
      </c>
      <c r="E1082" t="s">
        <v>328</v>
      </c>
    </row>
    <row r="1083" spans="1:5" x14ac:dyDescent="0.35">
      <c r="A1083">
        <v>2006</v>
      </c>
      <c r="B1083" t="s">
        <v>34</v>
      </c>
      <c r="C1083" t="s">
        <v>188</v>
      </c>
      <c r="D1083">
        <v>16</v>
      </c>
      <c r="E1083" t="s">
        <v>458</v>
      </c>
    </row>
    <row r="1084" spans="1:5" x14ac:dyDescent="0.35">
      <c r="A1084">
        <v>2006</v>
      </c>
      <c r="B1084" t="s">
        <v>35</v>
      </c>
      <c r="C1084" t="s">
        <v>196</v>
      </c>
      <c r="D1084">
        <v>126</v>
      </c>
      <c r="E1084" t="s">
        <v>328</v>
      </c>
    </row>
    <row r="1085" spans="1:5" x14ac:dyDescent="0.35">
      <c r="A1085">
        <v>2006</v>
      </c>
      <c r="B1085" t="s">
        <v>34</v>
      </c>
      <c r="C1085" t="s">
        <v>197</v>
      </c>
      <c r="D1085">
        <v>10</v>
      </c>
      <c r="E1085" t="s">
        <v>328</v>
      </c>
    </row>
    <row r="1086" spans="1:5" x14ac:dyDescent="0.35">
      <c r="A1086">
        <v>2006</v>
      </c>
      <c r="B1086" t="s">
        <v>35</v>
      </c>
      <c r="C1086" t="s">
        <v>198</v>
      </c>
      <c r="D1086">
        <v>195</v>
      </c>
      <c r="E1086" t="s">
        <v>458</v>
      </c>
    </row>
    <row r="1087" spans="1:5" x14ac:dyDescent="0.35">
      <c r="A1087">
        <v>2006</v>
      </c>
      <c r="B1087" t="s">
        <v>35</v>
      </c>
      <c r="C1087" t="s">
        <v>198</v>
      </c>
      <c r="D1087">
        <v>190</v>
      </c>
      <c r="E1087" t="s">
        <v>328</v>
      </c>
    </row>
    <row r="1088" spans="1:5" x14ac:dyDescent="0.35">
      <c r="A1088">
        <v>2006</v>
      </c>
      <c r="B1088" t="s">
        <v>33</v>
      </c>
      <c r="C1088" t="s">
        <v>204</v>
      </c>
      <c r="D1088">
        <v>14</v>
      </c>
      <c r="E1088" t="s">
        <v>328</v>
      </c>
    </row>
    <row r="1089" spans="1:5" x14ac:dyDescent="0.35">
      <c r="A1089">
        <v>2006</v>
      </c>
      <c r="B1089" t="s">
        <v>33</v>
      </c>
      <c r="C1089" t="s">
        <v>204</v>
      </c>
      <c r="D1089">
        <v>12</v>
      </c>
      <c r="E1089" t="s">
        <v>458</v>
      </c>
    </row>
    <row r="1090" spans="1:5" x14ac:dyDescent="0.35">
      <c r="A1090">
        <v>2006</v>
      </c>
      <c r="B1090" t="s">
        <v>33</v>
      </c>
      <c r="C1090" t="s">
        <v>203</v>
      </c>
      <c r="D1090">
        <v>7</v>
      </c>
      <c r="E1090" t="s">
        <v>328</v>
      </c>
    </row>
    <row r="1091" spans="1:5" x14ac:dyDescent="0.35">
      <c r="A1091">
        <v>2006</v>
      </c>
      <c r="B1091" t="s">
        <v>33</v>
      </c>
      <c r="C1091" t="s">
        <v>203</v>
      </c>
      <c r="D1091">
        <v>7</v>
      </c>
      <c r="E1091" t="s">
        <v>458</v>
      </c>
    </row>
    <row r="1092" spans="1:5" x14ac:dyDescent="0.35">
      <c r="A1092">
        <v>2006</v>
      </c>
      <c r="B1092" t="s">
        <v>34</v>
      </c>
      <c r="C1092" t="s">
        <v>202</v>
      </c>
      <c r="D1092">
        <v>31</v>
      </c>
      <c r="E1092" t="s">
        <v>328</v>
      </c>
    </row>
    <row r="1093" spans="1:5" x14ac:dyDescent="0.35">
      <c r="A1093">
        <v>2006</v>
      </c>
      <c r="B1093" t="s">
        <v>34</v>
      </c>
      <c r="C1093" t="s">
        <v>202</v>
      </c>
      <c r="D1093">
        <v>16</v>
      </c>
      <c r="E1093" t="s">
        <v>458</v>
      </c>
    </row>
    <row r="1094" spans="1:5" x14ac:dyDescent="0.35">
      <c r="A1094">
        <v>2006</v>
      </c>
      <c r="B1094" t="s">
        <v>34</v>
      </c>
      <c r="C1094" t="s">
        <v>201</v>
      </c>
      <c r="D1094">
        <v>22</v>
      </c>
      <c r="E1094" t="s">
        <v>328</v>
      </c>
    </row>
    <row r="1095" spans="1:5" x14ac:dyDescent="0.35">
      <c r="A1095">
        <v>2006</v>
      </c>
      <c r="B1095" t="s">
        <v>33</v>
      </c>
      <c r="C1095" t="s">
        <v>187</v>
      </c>
      <c r="D1095">
        <v>15</v>
      </c>
      <c r="E1095" t="s">
        <v>328</v>
      </c>
    </row>
    <row r="1096" spans="1:5" x14ac:dyDescent="0.35">
      <c r="A1096">
        <v>2006</v>
      </c>
      <c r="B1096" t="s">
        <v>34</v>
      </c>
      <c r="C1096" t="s">
        <v>201</v>
      </c>
      <c r="D1096">
        <v>19</v>
      </c>
      <c r="E1096" t="s">
        <v>458</v>
      </c>
    </row>
    <row r="1097" spans="1:5" x14ac:dyDescent="0.35">
      <c r="A1097">
        <v>2006</v>
      </c>
      <c r="B1097" t="s">
        <v>38</v>
      </c>
      <c r="C1097" t="s">
        <v>19</v>
      </c>
      <c r="D1097">
        <v>130</v>
      </c>
      <c r="E1097" t="s">
        <v>458</v>
      </c>
    </row>
    <row r="1098" spans="1:5" x14ac:dyDescent="0.35">
      <c r="A1098">
        <v>2006</v>
      </c>
      <c r="B1098" t="s">
        <v>34</v>
      </c>
      <c r="C1098" t="s">
        <v>200</v>
      </c>
      <c r="D1098">
        <v>43</v>
      </c>
      <c r="E1098" t="s">
        <v>328</v>
      </c>
    </row>
    <row r="1099" spans="1:5" x14ac:dyDescent="0.35">
      <c r="A1099">
        <v>2006</v>
      </c>
      <c r="B1099" t="s">
        <v>34</v>
      </c>
      <c r="C1099" t="s">
        <v>200</v>
      </c>
      <c r="D1099">
        <v>5</v>
      </c>
      <c r="E1099" t="s">
        <v>458</v>
      </c>
    </row>
    <row r="1100" spans="1:5" x14ac:dyDescent="0.35">
      <c r="A1100">
        <v>2006</v>
      </c>
      <c r="B1100" t="s">
        <v>38</v>
      </c>
      <c r="C1100" t="s">
        <v>199</v>
      </c>
      <c r="D1100">
        <v>123</v>
      </c>
      <c r="E1100" t="s">
        <v>328</v>
      </c>
    </row>
    <row r="1101" spans="1:5" x14ac:dyDescent="0.35">
      <c r="A1101">
        <v>2006</v>
      </c>
      <c r="B1101" t="s">
        <v>38</v>
      </c>
      <c r="C1101" t="s">
        <v>199</v>
      </c>
      <c r="D1101">
        <v>19</v>
      </c>
      <c r="E1101" t="s">
        <v>458</v>
      </c>
    </row>
    <row r="1102" spans="1:5" x14ac:dyDescent="0.35">
      <c r="A1102">
        <v>2006</v>
      </c>
      <c r="B1102" t="s">
        <v>39</v>
      </c>
      <c r="C1102" t="s">
        <v>39</v>
      </c>
      <c r="D1102">
        <v>68</v>
      </c>
      <c r="E1102" t="s">
        <v>328</v>
      </c>
    </row>
    <row r="1103" spans="1:5" x14ac:dyDescent="0.35">
      <c r="A1103">
        <v>2006</v>
      </c>
      <c r="B1103" t="s">
        <v>39</v>
      </c>
      <c r="C1103" t="s">
        <v>39</v>
      </c>
      <c r="D1103">
        <v>8</v>
      </c>
      <c r="E1103" t="s">
        <v>458</v>
      </c>
    </row>
    <row r="1104" spans="1:5" x14ac:dyDescent="0.35">
      <c r="A1104">
        <v>2006</v>
      </c>
      <c r="B1104" t="s">
        <v>38</v>
      </c>
      <c r="C1104" t="s">
        <v>19</v>
      </c>
      <c r="D1104">
        <v>314</v>
      </c>
      <c r="E1104" t="s">
        <v>328</v>
      </c>
    </row>
    <row r="1105" spans="1:5" x14ac:dyDescent="0.35">
      <c r="A1105">
        <v>2006</v>
      </c>
      <c r="B1105" t="s">
        <v>33</v>
      </c>
      <c r="C1105" t="s">
        <v>187</v>
      </c>
      <c r="D1105">
        <v>5</v>
      </c>
      <c r="E1105" t="s">
        <v>458</v>
      </c>
    </row>
    <row r="1106" spans="1:5" x14ac:dyDescent="0.35">
      <c r="A1106">
        <v>2006</v>
      </c>
      <c r="B1106" t="s">
        <v>34</v>
      </c>
      <c r="C1106" t="s">
        <v>186</v>
      </c>
      <c r="E1106" t="s">
        <v>328</v>
      </c>
    </row>
    <row r="1107" spans="1:5" x14ac:dyDescent="0.35">
      <c r="A1107">
        <v>2006</v>
      </c>
      <c r="B1107" t="s">
        <v>34</v>
      </c>
      <c r="C1107" t="s">
        <v>185</v>
      </c>
      <c r="D1107">
        <v>77</v>
      </c>
      <c r="E1107" t="s">
        <v>328</v>
      </c>
    </row>
    <row r="1108" spans="1:5" x14ac:dyDescent="0.35">
      <c r="A1108">
        <v>2006</v>
      </c>
      <c r="B1108" t="s">
        <v>33</v>
      </c>
      <c r="C1108" t="s">
        <v>174</v>
      </c>
      <c r="D1108">
        <v>34</v>
      </c>
      <c r="E1108" t="s">
        <v>328</v>
      </c>
    </row>
    <row r="1109" spans="1:5" x14ac:dyDescent="0.35">
      <c r="A1109">
        <v>2006</v>
      </c>
      <c r="B1109" t="s">
        <v>33</v>
      </c>
      <c r="C1109" t="s">
        <v>174</v>
      </c>
      <c r="D1109">
        <v>5</v>
      </c>
      <c r="E1109" t="s">
        <v>458</v>
      </c>
    </row>
    <row r="1110" spans="1:5" x14ac:dyDescent="0.35">
      <c r="A1110">
        <v>2006</v>
      </c>
      <c r="B1110" t="s">
        <v>35</v>
      </c>
      <c r="C1110" t="s">
        <v>173</v>
      </c>
      <c r="E1110" t="s">
        <v>328</v>
      </c>
    </row>
    <row r="1111" spans="1:5" x14ac:dyDescent="0.35">
      <c r="A1111">
        <v>2006</v>
      </c>
      <c r="B1111" t="s">
        <v>35</v>
      </c>
      <c r="C1111" t="s">
        <v>173</v>
      </c>
      <c r="E1111" t="s">
        <v>458</v>
      </c>
    </row>
    <row r="1112" spans="1:5" x14ac:dyDescent="0.35">
      <c r="A1112">
        <v>2006</v>
      </c>
      <c r="B1112" t="s">
        <v>35</v>
      </c>
      <c r="C1112" t="s">
        <v>172</v>
      </c>
      <c r="D1112">
        <v>30</v>
      </c>
      <c r="E1112" t="s">
        <v>328</v>
      </c>
    </row>
    <row r="1113" spans="1:5" x14ac:dyDescent="0.35">
      <c r="A1113">
        <v>2006</v>
      </c>
      <c r="B1113" t="s">
        <v>35</v>
      </c>
      <c r="C1113" t="s">
        <v>172</v>
      </c>
      <c r="D1113">
        <v>5</v>
      </c>
      <c r="E1113" t="s">
        <v>458</v>
      </c>
    </row>
    <row r="1114" spans="1:5" x14ac:dyDescent="0.35">
      <c r="A1114">
        <v>2006</v>
      </c>
      <c r="B1114" t="s">
        <v>34</v>
      </c>
      <c r="C1114" t="s">
        <v>171</v>
      </c>
      <c r="D1114">
        <v>13</v>
      </c>
      <c r="E1114" t="s">
        <v>328</v>
      </c>
    </row>
    <row r="1115" spans="1:5" x14ac:dyDescent="0.35">
      <c r="A1115">
        <v>2006</v>
      </c>
      <c r="B1115" t="s">
        <v>33</v>
      </c>
      <c r="C1115" t="s">
        <v>175</v>
      </c>
      <c r="D1115">
        <v>24</v>
      </c>
      <c r="E1115" t="s">
        <v>458</v>
      </c>
    </row>
    <row r="1116" spans="1:5" x14ac:dyDescent="0.35">
      <c r="A1116">
        <v>2006</v>
      </c>
      <c r="B1116" t="s">
        <v>34</v>
      </c>
      <c r="C1116" t="s">
        <v>171</v>
      </c>
      <c r="D1116">
        <v>3</v>
      </c>
      <c r="E1116" t="s">
        <v>458</v>
      </c>
    </row>
    <row r="1117" spans="1:5" x14ac:dyDescent="0.35">
      <c r="A1117">
        <v>2006</v>
      </c>
      <c r="B1117" t="s">
        <v>33</v>
      </c>
      <c r="C1117" t="s">
        <v>170</v>
      </c>
      <c r="D1117">
        <v>15</v>
      </c>
      <c r="E1117" t="s">
        <v>458</v>
      </c>
    </row>
    <row r="1118" spans="1:5" x14ac:dyDescent="0.35">
      <c r="A1118">
        <v>2006</v>
      </c>
      <c r="B1118" t="s">
        <v>35</v>
      </c>
      <c r="C1118" t="s">
        <v>215</v>
      </c>
      <c r="D1118">
        <v>76</v>
      </c>
      <c r="E1118" t="s">
        <v>328</v>
      </c>
    </row>
    <row r="1119" spans="1:5" x14ac:dyDescent="0.35">
      <c r="A1119">
        <v>2006</v>
      </c>
      <c r="B1119" t="s">
        <v>35</v>
      </c>
      <c r="C1119" t="s">
        <v>215</v>
      </c>
      <c r="D1119">
        <v>29</v>
      </c>
      <c r="E1119" t="s">
        <v>458</v>
      </c>
    </row>
    <row r="1120" spans="1:5" x14ac:dyDescent="0.35">
      <c r="A1120">
        <v>2006</v>
      </c>
      <c r="B1120" t="s">
        <v>35</v>
      </c>
      <c r="C1120" t="s">
        <v>169</v>
      </c>
      <c r="E1120" t="s">
        <v>328</v>
      </c>
    </row>
    <row r="1121" spans="1:5" x14ac:dyDescent="0.35">
      <c r="A1121">
        <v>2006</v>
      </c>
      <c r="B1121" t="s">
        <v>35</v>
      </c>
      <c r="C1121" t="s">
        <v>169</v>
      </c>
      <c r="E1121" t="s">
        <v>458</v>
      </c>
    </row>
    <row r="1122" spans="1:5" x14ac:dyDescent="0.35">
      <c r="A1122">
        <v>2006</v>
      </c>
      <c r="B1122" t="s">
        <v>33</v>
      </c>
      <c r="C1122" t="s">
        <v>168</v>
      </c>
      <c r="D1122">
        <v>101</v>
      </c>
      <c r="E1122" t="s">
        <v>328</v>
      </c>
    </row>
    <row r="1123" spans="1:5" x14ac:dyDescent="0.35">
      <c r="A1123">
        <v>2006</v>
      </c>
      <c r="B1123" t="s">
        <v>33</v>
      </c>
      <c r="C1123" t="s">
        <v>168</v>
      </c>
      <c r="D1123">
        <v>23</v>
      </c>
      <c r="E1123" t="s">
        <v>458</v>
      </c>
    </row>
    <row r="1124" spans="1:5" x14ac:dyDescent="0.35">
      <c r="A1124">
        <v>2006</v>
      </c>
      <c r="B1124" t="s">
        <v>33</v>
      </c>
      <c r="C1124" t="s">
        <v>170</v>
      </c>
      <c r="D1124">
        <v>20</v>
      </c>
      <c r="E1124" t="s">
        <v>328</v>
      </c>
    </row>
    <row r="1125" spans="1:5" x14ac:dyDescent="0.35">
      <c r="A1125">
        <v>2006</v>
      </c>
      <c r="B1125" t="s">
        <v>34</v>
      </c>
      <c r="C1125" t="s">
        <v>167</v>
      </c>
      <c r="D1125">
        <v>4</v>
      </c>
      <c r="E1125" t="s">
        <v>458</v>
      </c>
    </row>
    <row r="1126" spans="1:5" x14ac:dyDescent="0.35">
      <c r="A1126">
        <v>2006</v>
      </c>
      <c r="B1126" t="s">
        <v>33</v>
      </c>
      <c r="C1126" t="s">
        <v>175</v>
      </c>
      <c r="D1126">
        <v>45</v>
      </c>
      <c r="E1126" t="s">
        <v>328</v>
      </c>
    </row>
    <row r="1127" spans="1:5" x14ac:dyDescent="0.35">
      <c r="A1127">
        <v>2006</v>
      </c>
      <c r="B1127" t="s">
        <v>33</v>
      </c>
      <c r="C1127" t="s">
        <v>176</v>
      </c>
      <c r="E1127" t="s">
        <v>328</v>
      </c>
    </row>
    <row r="1128" spans="1:5" x14ac:dyDescent="0.35">
      <c r="A1128">
        <v>2006</v>
      </c>
      <c r="B1128" t="s">
        <v>34</v>
      </c>
      <c r="C1128" t="s">
        <v>184</v>
      </c>
      <c r="D1128">
        <v>49</v>
      </c>
      <c r="E1128" t="s">
        <v>328</v>
      </c>
    </row>
    <row r="1129" spans="1:5" x14ac:dyDescent="0.35">
      <c r="A1129">
        <v>2006</v>
      </c>
      <c r="B1129" t="s">
        <v>34</v>
      </c>
      <c r="C1129" t="s">
        <v>184</v>
      </c>
      <c r="D1129">
        <v>21</v>
      </c>
      <c r="E1129" t="s">
        <v>458</v>
      </c>
    </row>
    <row r="1130" spans="1:5" x14ac:dyDescent="0.35">
      <c r="A1130">
        <v>2006</v>
      </c>
      <c r="B1130" t="s">
        <v>35</v>
      </c>
      <c r="C1130" t="s">
        <v>183</v>
      </c>
      <c r="D1130">
        <v>5</v>
      </c>
      <c r="E1130" t="s">
        <v>328</v>
      </c>
    </row>
    <row r="1131" spans="1:5" x14ac:dyDescent="0.35">
      <c r="A1131">
        <v>2006</v>
      </c>
      <c r="B1131" t="s">
        <v>35</v>
      </c>
      <c r="C1131" t="s">
        <v>183</v>
      </c>
      <c r="D1131">
        <v>10</v>
      </c>
      <c r="E1131" t="s">
        <v>458</v>
      </c>
    </row>
    <row r="1132" spans="1:5" x14ac:dyDescent="0.35">
      <c r="A1132">
        <v>2006</v>
      </c>
      <c r="B1132" t="s">
        <v>35</v>
      </c>
      <c r="C1132" t="s">
        <v>182</v>
      </c>
      <c r="D1132">
        <v>17</v>
      </c>
      <c r="E1132" t="s">
        <v>328</v>
      </c>
    </row>
    <row r="1133" spans="1:5" x14ac:dyDescent="0.35">
      <c r="A1133">
        <v>2006</v>
      </c>
      <c r="B1133" t="s">
        <v>35</v>
      </c>
      <c r="C1133" t="s">
        <v>182</v>
      </c>
      <c r="D1133">
        <v>8</v>
      </c>
      <c r="E1133" t="s">
        <v>458</v>
      </c>
    </row>
    <row r="1134" spans="1:5" x14ac:dyDescent="0.35">
      <c r="A1134">
        <v>2006</v>
      </c>
      <c r="B1134" t="s">
        <v>38</v>
      </c>
      <c r="C1134" t="s">
        <v>180</v>
      </c>
      <c r="D1134">
        <v>14</v>
      </c>
      <c r="E1134" t="s">
        <v>328</v>
      </c>
    </row>
    <row r="1135" spans="1:5" x14ac:dyDescent="0.35">
      <c r="A1135">
        <v>2006</v>
      </c>
      <c r="B1135" t="s">
        <v>33</v>
      </c>
      <c r="C1135" t="s">
        <v>176</v>
      </c>
      <c r="E1135" t="s">
        <v>458</v>
      </c>
    </row>
    <row r="1136" spans="1:5" x14ac:dyDescent="0.35">
      <c r="A1136">
        <v>2006</v>
      </c>
      <c r="B1136" t="s">
        <v>38</v>
      </c>
      <c r="C1136" t="s">
        <v>180</v>
      </c>
      <c r="D1136">
        <v>7</v>
      </c>
      <c r="E1136" t="s">
        <v>458</v>
      </c>
    </row>
    <row r="1137" spans="1:5" x14ac:dyDescent="0.35">
      <c r="A1137">
        <v>2006</v>
      </c>
      <c r="B1137" t="s">
        <v>33</v>
      </c>
      <c r="C1137" t="s">
        <v>179</v>
      </c>
      <c r="D1137">
        <v>5</v>
      </c>
      <c r="E1137" t="s">
        <v>458</v>
      </c>
    </row>
    <row r="1138" spans="1:5" x14ac:dyDescent="0.35">
      <c r="A1138">
        <v>2006</v>
      </c>
      <c r="B1138" t="s">
        <v>34</v>
      </c>
      <c r="C1138" t="s">
        <v>178</v>
      </c>
      <c r="D1138">
        <v>76</v>
      </c>
      <c r="E1138" t="s">
        <v>328</v>
      </c>
    </row>
    <row r="1139" spans="1:5" x14ac:dyDescent="0.35">
      <c r="A1139">
        <v>2006</v>
      </c>
      <c r="B1139" t="s">
        <v>34</v>
      </c>
      <c r="C1139" t="s">
        <v>178</v>
      </c>
      <c r="D1139">
        <v>6</v>
      </c>
      <c r="E1139" t="s">
        <v>458</v>
      </c>
    </row>
    <row r="1140" spans="1:5" x14ac:dyDescent="0.35">
      <c r="A1140">
        <v>2006</v>
      </c>
      <c r="B1140" t="s">
        <v>35</v>
      </c>
      <c r="C1140" t="s">
        <v>177</v>
      </c>
      <c r="D1140">
        <v>34</v>
      </c>
      <c r="E1140" t="s">
        <v>328</v>
      </c>
    </row>
    <row r="1141" spans="1:5" x14ac:dyDescent="0.35">
      <c r="A1141">
        <v>2006</v>
      </c>
      <c r="B1141" t="s">
        <v>35</v>
      </c>
      <c r="C1141" t="s">
        <v>177</v>
      </c>
      <c r="D1141">
        <v>25</v>
      </c>
      <c r="E1141" t="s">
        <v>458</v>
      </c>
    </row>
    <row r="1142" spans="1:5" x14ac:dyDescent="0.35">
      <c r="A1142">
        <v>2006</v>
      </c>
      <c r="B1142" t="s">
        <v>35</v>
      </c>
      <c r="C1142" t="s">
        <v>216</v>
      </c>
      <c r="D1142">
        <v>3</v>
      </c>
      <c r="E1142" t="s">
        <v>328</v>
      </c>
    </row>
    <row r="1143" spans="1:5" x14ac:dyDescent="0.35">
      <c r="A1143">
        <v>2006</v>
      </c>
      <c r="B1143" t="s">
        <v>35</v>
      </c>
      <c r="C1143" t="s">
        <v>216</v>
      </c>
      <c r="D1143">
        <v>5</v>
      </c>
      <c r="E1143" t="s">
        <v>458</v>
      </c>
    </row>
    <row r="1144" spans="1:5" x14ac:dyDescent="0.35">
      <c r="A1144">
        <v>2006</v>
      </c>
      <c r="B1144" t="s">
        <v>33</v>
      </c>
      <c r="C1144" t="s">
        <v>179</v>
      </c>
      <c r="D1144">
        <v>17</v>
      </c>
      <c r="E1144" t="s">
        <v>328</v>
      </c>
    </row>
    <row r="1145" spans="1:5" x14ac:dyDescent="0.35">
      <c r="A1145">
        <v>2006</v>
      </c>
      <c r="B1145" t="s">
        <v>34</v>
      </c>
      <c r="C1145" t="s">
        <v>120</v>
      </c>
      <c r="E1145" t="s">
        <v>458</v>
      </c>
    </row>
    <row r="1146" spans="1:5" x14ac:dyDescent="0.35">
      <c r="A1146">
        <v>2006</v>
      </c>
      <c r="B1146" t="s">
        <v>35</v>
      </c>
      <c r="C1146" t="s">
        <v>81</v>
      </c>
      <c r="E1146" t="s">
        <v>328</v>
      </c>
    </row>
    <row r="1147" spans="1:5" x14ac:dyDescent="0.35">
      <c r="A1147">
        <v>2006</v>
      </c>
      <c r="B1147" t="s">
        <v>35</v>
      </c>
      <c r="C1147" t="s">
        <v>119</v>
      </c>
      <c r="E1147" t="s">
        <v>458</v>
      </c>
    </row>
    <row r="1148" spans="1:5" x14ac:dyDescent="0.35">
      <c r="A1148">
        <v>2006</v>
      </c>
      <c r="B1148" t="s">
        <v>36</v>
      </c>
      <c r="C1148" t="s">
        <v>69</v>
      </c>
      <c r="D1148">
        <v>990</v>
      </c>
      <c r="E1148" t="s">
        <v>328</v>
      </c>
    </row>
    <row r="1149" spans="1:5" x14ac:dyDescent="0.35">
      <c r="A1149">
        <v>2006</v>
      </c>
      <c r="B1149" t="s">
        <v>36</v>
      </c>
      <c r="C1149" t="s">
        <v>69</v>
      </c>
      <c r="D1149">
        <v>423</v>
      </c>
      <c r="E1149" t="s">
        <v>458</v>
      </c>
    </row>
    <row r="1150" spans="1:5" x14ac:dyDescent="0.35">
      <c r="A1150">
        <v>2006</v>
      </c>
      <c r="B1150" t="s">
        <v>33</v>
      </c>
      <c r="C1150" t="s">
        <v>68</v>
      </c>
      <c r="D1150">
        <v>49</v>
      </c>
      <c r="E1150" t="s">
        <v>328</v>
      </c>
    </row>
    <row r="1151" spans="1:5" x14ac:dyDescent="0.35">
      <c r="A1151">
        <v>2006</v>
      </c>
      <c r="B1151" t="s">
        <v>33</v>
      </c>
      <c r="C1151" t="s">
        <v>68</v>
      </c>
      <c r="D1151">
        <v>11</v>
      </c>
      <c r="E1151" t="s">
        <v>458</v>
      </c>
    </row>
    <row r="1152" spans="1:5" x14ac:dyDescent="0.35">
      <c r="A1152">
        <v>2006</v>
      </c>
      <c r="B1152" t="s">
        <v>34</v>
      </c>
      <c r="C1152" t="s">
        <v>67</v>
      </c>
      <c r="D1152">
        <v>16</v>
      </c>
      <c r="E1152" t="s">
        <v>328</v>
      </c>
    </row>
    <row r="1153" spans="1:5" x14ac:dyDescent="0.35">
      <c r="A1153">
        <v>2006</v>
      </c>
      <c r="B1153" t="s">
        <v>34</v>
      </c>
      <c r="C1153" t="s">
        <v>67</v>
      </c>
      <c r="D1153">
        <v>11</v>
      </c>
      <c r="E1153" t="s">
        <v>458</v>
      </c>
    </row>
    <row r="1154" spans="1:5" x14ac:dyDescent="0.35">
      <c r="A1154">
        <v>2006</v>
      </c>
      <c r="B1154" t="s">
        <v>33</v>
      </c>
      <c r="C1154" t="s">
        <v>66</v>
      </c>
      <c r="D1154">
        <v>7</v>
      </c>
      <c r="E1154" t="s">
        <v>328</v>
      </c>
    </row>
    <row r="1155" spans="1:5" x14ac:dyDescent="0.35">
      <c r="A1155">
        <v>2006</v>
      </c>
      <c r="B1155" t="s">
        <v>33</v>
      </c>
      <c r="C1155" t="s">
        <v>66</v>
      </c>
      <c r="D1155">
        <v>30</v>
      </c>
      <c r="E1155" t="s">
        <v>458</v>
      </c>
    </row>
    <row r="1156" spans="1:5" x14ac:dyDescent="0.35">
      <c r="A1156">
        <v>2006</v>
      </c>
      <c r="B1156" t="s">
        <v>34</v>
      </c>
      <c r="C1156" t="s">
        <v>64</v>
      </c>
      <c r="D1156">
        <v>14</v>
      </c>
      <c r="E1156" t="s">
        <v>328</v>
      </c>
    </row>
    <row r="1157" spans="1:5" x14ac:dyDescent="0.35">
      <c r="A1157">
        <v>2006</v>
      </c>
      <c r="B1157" t="s">
        <v>33</v>
      </c>
      <c r="C1157" t="s">
        <v>63</v>
      </c>
      <c r="D1157">
        <v>14</v>
      </c>
      <c r="E1157" t="s">
        <v>328</v>
      </c>
    </row>
    <row r="1158" spans="1:5" x14ac:dyDescent="0.35">
      <c r="A1158">
        <v>2006</v>
      </c>
      <c r="B1158" t="s">
        <v>33</v>
      </c>
      <c r="C1158" t="s">
        <v>63</v>
      </c>
      <c r="D1158">
        <v>3</v>
      </c>
      <c r="E1158" t="s">
        <v>458</v>
      </c>
    </row>
    <row r="1159" spans="1:5" x14ac:dyDescent="0.35">
      <c r="A1159">
        <v>2006</v>
      </c>
      <c r="B1159" t="s">
        <v>35</v>
      </c>
      <c r="C1159" t="s">
        <v>62</v>
      </c>
      <c r="D1159">
        <v>54</v>
      </c>
      <c r="E1159" t="s">
        <v>328</v>
      </c>
    </row>
    <row r="1160" spans="1:5" x14ac:dyDescent="0.35">
      <c r="A1160">
        <v>2006</v>
      </c>
      <c r="B1160" t="s">
        <v>35</v>
      </c>
      <c r="C1160" t="s">
        <v>62</v>
      </c>
      <c r="D1160">
        <v>10</v>
      </c>
      <c r="E1160" t="s">
        <v>458</v>
      </c>
    </row>
    <row r="1161" spans="1:5" x14ac:dyDescent="0.35">
      <c r="A1161">
        <v>2006</v>
      </c>
      <c r="B1161" t="s">
        <v>38</v>
      </c>
      <c r="C1161" t="s">
        <v>21</v>
      </c>
      <c r="D1161">
        <v>3654</v>
      </c>
      <c r="E1161" t="s">
        <v>328</v>
      </c>
    </row>
    <row r="1162" spans="1:5" x14ac:dyDescent="0.35">
      <c r="A1162">
        <v>2006</v>
      </c>
      <c r="B1162" t="s">
        <v>38</v>
      </c>
      <c r="C1162" t="s">
        <v>21</v>
      </c>
      <c r="D1162">
        <v>563</v>
      </c>
      <c r="E1162" t="s">
        <v>458</v>
      </c>
    </row>
    <row r="1163" spans="1:5" x14ac:dyDescent="0.35">
      <c r="A1163">
        <v>2006</v>
      </c>
      <c r="B1163" t="s">
        <v>33</v>
      </c>
      <c r="C1163" t="s">
        <v>71</v>
      </c>
      <c r="E1163" t="s">
        <v>458</v>
      </c>
    </row>
    <row r="1164" spans="1:5" x14ac:dyDescent="0.35">
      <c r="A1164">
        <v>2006</v>
      </c>
      <c r="B1164" t="s">
        <v>38</v>
      </c>
      <c r="C1164" t="s">
        <v>72</v>
      </c>
      <c r="D1164">
        <v>60</v>
      </c>
      <c r="E1164" t="s">
        <v>458</v>
      </c>
    </row>
    <row r="1165" spans="1:5" x14ac:dyDescent="0.35">
      <c r="A1165">
        <v>2006</v>
      </c>
      <c r="B1165" t="s">
        <v>38</v>
      </c>
      <c r="C1165" t="s">
        <v>72</v>
      </c>
      <c r="D1165">
        <v>185</v>
      </c>
      <c r="E1165" t="s">
        <v>328</v>
      </c>
    </row>
    <row r="1166" spans="1:5" x14ac:dyDescent="0.35">
      <c r="A1166">
        <v>2006</v>
      </c>
      <c r="B1166" t="s">
        <v>34</v>
      </c>
      <c r="C1166" t="s">
        <v>73</v>
      </c>
      <c r="D1166">
        <v>132</v>
      </c>
      <c r="E1166" t="s">
        <v>458</v>
      </c>
    </row>
    <row r="1167" spans="1:5" x14ac:dyDescent="0.35">
      <c r="A1167">
        <v>2006</v>
      </c>
      <c r="B1167" t="s">
        <v>35</v>
      </c>
      <c r="C1167" t="s">
        <v>81</v>
      </c>
      <c r="E1167" t="s">
        <v>458</v>
      </c>
    </row>
    <row r="1168" spans="1:5" x14ac:dyDescent="0.35">
      <c r="A1168">
        <v>2006</v>
      </c>
      <c r="B1168" t="s">
        <v>36</v>
      </c>
      <c r="C1168" t="s">
        <v>79</v>
      </c>
      <c r="D1168">
        <v>85</v>
      </c>
      <c r="E1168" t="s">
        <v>328</v>
      </c>
    </row>
    <row r="1169" spans="1:5" x14ac:dyDescent="0.35">
      <c r="A1169">
        <v>2006</v>
      </c>
      <c r="B1169" t="s">
        <v>36</v>
      </c>
      <c r="C1169" t="s">
        <v>79</v>
      </c>
      <c r="D1169">
        <v>39</v>
      </c>
      <c r="E1169" t="s">
        <v>458</v>
      </c>
    </row>
    <row r="1170" spans="1:5" x14ac:dyDescent="0.35">
      <c r="A1170">
        <v>2006</v>
      </c>
      <c r="B1170" t="s">
        <v>35</v>
      </c>
      <c r="C1170" t="s">
        <v>78</v>
      </c>
      <c r="D1170">
        <v>10</v>
      </c>
      <c r="E1170" t="s">
        <v>328</v>
      </c>
    </row>
    <row r="1171" spans="1:5" x14ac:dyDescent="0.35">
      <c r="A1171">
        <v>2006</v>
      </c>
      <c r="B1171" t="s">
        <v>35</v>
      </c>
      <c r="C1171" t="s">
        <v>78</v>
      </c>
      <c r="D1171">
        <v>5</v>
      </c>
      <c r="E1171" t="s">
        <v>458</v>
      </c>
    </row>
    <row r="1172" spans="1:5" x14ac:dyDescent="0.35">
      <c r="A1172">
        <v>2006</v>
      </c>
      <c r="B1172" t="s">
        <v>33</v>
      </c>
      <c r="C1172" t="s">
        <v>77</v>
      </c>
      <c r="D1172">
        <v>33</v>
      </c>
      <c r="E1172" t="s">
        <v>328</v>
      </c>
    </row>
    <row r="1173" spans="1:5" x14ac:dyDescent="0.35">
      <c r="A1173">
        <v>2006</v>
      </c>
      <c r="B1173" t="s">
        <v>33</v>
      </c>
      <c r="C1173" t="s">
        <v>77</v>
      </c>
      <c r="D1173">
        <v>8</v>
      </c>
      <c r="E1173" t="s">
        <v>458</v>
      </c>
    </row>
    <row r="1174" spans="1:5" x14ac:dyDescent="0.35">
      <c r="A1174">
        <v>2006</v>
      </c>
      <c r="B1174" t="s">
        <v>35</v>
      </c>
      <c r="C1174" t="s">
        <v>60</v>
      </c>
      <c r="D1174">
        <v>14</v>
      </c>
      <c r="E1174" t="s">
        <v>328</v>
      </c>
    </row>
    <row r="1175" spans="1:5" x14ac:dyDescent="0.35">
      <c r="A1175">
        <v>2006</v>
      </c>
      <c r="B1175" t="s">
        <v>36</v>
      </c>
      <c r="C1175" t="s">
        <v>76</v>
      </c>
      <c r="D1175">
        <v>695</v>
      </c>
      <c r="E1175" t="s">
        <v>328</v>
      </c>
    </row>
    <row r="1176" spans="1:5" x14ac:dyDescent="0.35">
      <c r="A1176">
        <v>2006</v>
      </c>
      <c r="B1176" t="s">
        <v>33</v>
      </c>
      <c r="C1176" t="s">
        <v>75</v>
      </c>
      <c r="D1176">
        <v>23</v>
      </c>
      <c r="E1176" t="s">
        <v>328</v>
      </c>
    </row>
    <row r="1177" spans="1:5" x14ac:dyDescent="0.35">
      <c r="A1177">
        <v>2006</v>
      </c>
      <c r="B1177" t="s">
        <v>33</v>
      </c>
      <c r="C1177" t="s">
        <v>75</v>
      </c>
      <c r="D1177">
        <v>3</v>
      </c>
      <c r="E1177" t="s">
        <v>458</v>
      </c>
    </row>
    <row r="1178" spans="1:5" x14ac:dyDescent="0.35">
      <c r="A1178">
        <v>2006</v>
      </c>
      <c r="B1178" t="s">
        <v>33</v>
      </c>
      <c r="C1178" t="s">
        <v>74</v>
      </c>
      <c r="D1178">
        <v>16</v>
      </c>
      <c r="E1178" t="s">
        <v>328</v>
      </c>
    </row>
    <row r="1179" spans="1:5" x14ac:dyDescent="0.35">
      <c r="A1179">
        <v>2006</v>
      </c>
      <c r="B1179" t="s">
        <v>33</v>
      </c>
      <c r="C1179" t="s">
        <v>74</v>
      </c>
      <c r="D1179">
        <v>7</v>
      </c>
      <c r="E1179" t="s">
        <v>458</v>
      </c>
    </row>
    <row r="1180" spans="1:5" x14ac:dyDescent="0.35">
      <c r="A1180">
        <v>2006</v>
      </c>
      <c r="B1180" t="s">
        <v>38</v>
      </c>
      <c r="C1180" t="s">
        <v>20</v>
      </c>
      <c r="D1180">
        <v>1481</v>
      </c>
      <c r="E1180" t="s">
        <v>328</v>
      </c>
    </row>
    <row r="1181" spans="1:5" x14ac:dyDescent="0.35">
      <c r="A1181">
        <v>2006</v>
      </c>
      <c r="B1181" t="s">
        <v>38</v>
      </c>
      <c r="C1181" t="s">
        <v>20</v>
      </c>
      <c r="D1181">
        <v>1307</v>
      </c>
      <c r="E1181" t="s">
        <v>458</v>
      </c>
    </row>
    <row r="1182" spans="1:5" x14ac:dyDescent="0.35">
      <c r="A1182">
        <v>2006</v>
      </c>
      <c r="B1182" t="s">
        <v>34</v>
      </c>
      <c r="C1182" t="s">
        <v>73</v>
      </c>
      <c r="D1182">
        <v>1230</v>
      </c>
      <c r="E1182" t="s">
        <v>328</v>
      </c>
    </row>
    <row r="1183" spans="1:5" x14ac:dyDescent="0.35">
      <c r="A1183">
        <v>2006</v>
      </c>
      <c r="B1183" t="s">
        <v>36</v>
      </c>
      <c r="C1183" t="s">
        <v>76</v>
      </c>
      <c r="D1183">
        <v>100</v>
      </c>
      <c r="E1183" t="s">
        <v>458</v>
      </c>
    </row>
    <row r="1184" spans="1:5" x14ac:dyDescent="0.35">
      <c r="A1184">
        <v>2006</v>
      </c>
      <c r="B1184" t="s">
        <v>35</v>
      </c>
      <c r="C1184" t="s">
        <v>60</v>
      </c>
      <c r="D1184">
        <v>28</v>
      </c>
      <c r="E1184" t="s">
        <v>458</v>
      </c>
    </row>
    <row r="1185" spans="1:5" x14ac:dyDescent="0.35">
      <c r="A1185">
        <v>2006</v>
      </c>
      <c r="B1185" t="s">
        <v>38</v>
      </c>
      <c r="C1185" t="s">
        <v>59</v>
      </c>
      <c r="D1185">
        <v>291</v>
      </c>
      <c r="E1185" t="s">
        <v>328</v>
      </c>
    </row>
    <row r="1186" spans="1:5" x14ac:dyDescent="0.35">
      <c r="A1186">
        <v>2006</v>
      </c>
      <c r="B1186" t="s">
        <v>38</v>
      </c>
      <c r="C1186" t="s">
        <v>59</v>
      </c>
      <c r="D1186">
        <v>61</v>
      </c>
      <c r="E1186" t="s">
        <v>458</v>
      </c>
    </row>
    <row r="1187" spans="1:5" x14ac:dyDescent="0.35">
      <c r="A1187">
        <v>2006</v>
      </c>
      <c r="B1187" t="s">
        <v>37</v>
      </c>
      <c r="C1187" t="s">
        <v>47</v>
      </c>
      <c r="D1187">
        <v>20</v>
      </c>
      <c r="E1187" t="s">
        <v>458</v>
      </c>
    </row>
    <row r="1188" spans="1:5" x14ac:dyDescent="0.35">
      <c r="A1188">
        <v>2006</v>
      </c>
      <c r="B1188" t="s">
        <v>34</v>
      </c>
      <c r="C1188" t="s">
        <v>46</v>
      </c>
      <c r="D1188">
        <v>70</v>
      </c>
      <c r="E1188" t="s">
        <v>328</v>
      </c>
    </row>
    <row r="1189" spans="1:5" x14ac:dyDescent="0.35">
      <c r="A1189">
        <v>2006</v>
      </c>
      <c r="B1189" t="s">
        <v>34</v>
      </c>
      <c r="C1189" t="s">
        <v>46</v>
      </c>
      <c r="D1189">
        <v>27</v>
      </c>
      <c r="E1189" t="s">
        <v>458</v>
      </c>
    </row>
    <row r="1190" spans="1:5" x14ac:dyDescent="0.35">
      <c r="A1190">
        <v>2006</v>
      </c>
      <c r="B1190" t="s">
        <v>38</v>
      </c>
      <c r="C1190" t="s">
        <v>45</v>
      </c>
      <c r="D1190">
        <v>369</v>
      </c>
      <c r="E1190" t="s">
        <v>328</v>
      </c>
    </row>
    <row r="1191" spans="1:5" x14ac:dyDescent="0.35">
      <c r="A1191">
        <v>2006</v>
      </c>
      <c r="B1191" t="s">
        <v>38</v>
      </c>
      <c r="C1191" t="s">
        <v>45</v>
      </c>
      <c r="D1191">
        <v>88</v>
      </c>
      <c r="E1191" t="s">
        <v>458</v>
      </c>
    </row>
    <row r="1192" spans="1:5" x14ac:dyDescent="0.35">
      <c r="A1192">
        <v>2006</v>
      </c>
      <c r="B1192" t="s">
        <v>36</v>
      </c>
      <c r="C1192" t="s">
        <v>44</v>
      </c>
      <c r="D1192">
        <v>7</v>
      </c>
      <c r="E1192" t="s">
        <v>328</v>
      </c>
    </row>
    <row r="1193" spans="1:5" x14ac:dyDescent="0.35">
      <c r="A1193">
        <v>2006</v>
      </c>
      <c r="B1193" t="s">
        <v>36</v>
      </c>
      <c r="C1193" t="s">
        <v>44</v>
      </c>
      <c r="D1193">
        <v>33</v>
      </c>
      <c r="E1193" t="s">
        <v>458</v>
      </c>
    </row>
    <row r="1194" spans="1:5" x14ac:dyDescent="0.35">
      <c r="A1194">
        <v>2006</v>
      </c>
      <c r="B1194" t="s">
        <v>37</v>
      </c>
      <c r="C1194" t="s">
        <v>47</v>
      </c>
      <c r="D1194">
        <v>34</v>
      </c>
      <c r="E1194" t="s">
        <v>328</v>
      </c>
    </row>
    <row r="1195" spans="1:5" x14ac:dyDescent="0.35">
      <c r="A1195">
        <v>2006</v>
      </c>
      <c r="B1195" t="s">
        <v>33</v>
      </c>
      <c r="C1195" t="s">
        <v>43</v>
      </c>
      <c r="E1195" t="s">
        <v>328</v>
      </c>
    </row>
    <row r="1196" spans="1:5" x14ac:dyDescent="0.35">
      <c r="A1196">
        <v>2006</v>
      </c>
      <c r="C1196" t="s">
        <v>373</v>
      </c>
      <c r="D1196">
        <v>46</v>
      </c>
      <c r="E1196" t="s">
        <v>328</v>
      </c>
    </row>
    <row r="1197" spans="1:5" x14ac:dyDescent="0.35">
      <c r="A1197">
        <v>2006</v>
      </c>
      <c r="C1197" t="s">
        <v>373</v>
      </c>
      <c r="D1197">
        <v>10</v>
      </c>
      <c r="E1197" t="s">
        <v>458</v>
      </c>
    </row>
    <row r="1198" spans="1:5" x14ac:dyDescent="0.35">
      <c r="A1198">
        <v>2006</v>
      </c>
      <c r="B1198" t="s">
        <v>33</v>
      </c>
      <c r="C1198" t="s">
        <v>42</v>
      </c>
      <c r="D1198">
        <v>23</v>
      </c>
      <c r="E1198" t="s">
        <v>328</v>
      </c>
    </row>
    <row r="1199" spans="1:5" x14ac:dyDescent="0.35">
      <c r="A1199">
        <v>2006</v>
      </c>
      <c r="B1199" t="s">
        <v>33</v>
      </c>
      <c r="C1199" t="s">
        <v>42</v>
      </c>
      <c r="D1199">
        <v>18</v>
      </c>
      <c r="E1199" t="s">
        <v>458</v>
      </c>
    </row>
    <row r="1200" spans="1:5" x14ac:dyDescent="0.35">
      <c r="A1200">
        <v>2006</v>
      </c>
      <c r="B1200" t="s">
        <v>35</v>
      </c>
      <c r="C1200" t="s">
        <v>41</v>
      </c>
      <c r="D1200">
        <v>220</v>
      </c>
      <c r="E1200" t="s">
        <v>328</v>
      </c>
    </row>
    <row r="1201" spans="1:5" x14ac:dyDescent="0.35">
      <c r="A1201">
        <v>2006</v>
      </c>
      <c r="B1201" t="s">
        <v>35</v>
      </c>
      <c r="C1201" t="s">
        <v>41</v>
      </c>
      <c r="D1201">
        <v>32</v>
      </c>
      <c r="E1201" t="s">
        <v>458</v>
      </c>
    </row>
    <row r="1202" spans="1:5" x14ac:dyDescent="0.35">
      <c r="A1202">
        <v>2006</v>
      </c>
      <c r="B1202" t="s">
        <v>34</v>
      </c>
      <c r="C1202" t="s">
        <v>40</v>
      </c>
      <c r="D1202">
        <v>8</v>
      </c>
      <c r="E1202" t="s">
        <v>328</v>
      </c>
    </row>
    <row r="1203" spans="1:5" x14ac:dyDescent="0.35">
      <c r="A1203">
        <v>2006</v>
      </c>
      <c r="B1203" t="s">
        <v>33</v>
      </c>
      <c r="C1203" t="s">
        <v>43</v>
      </c>
      <c r="E1203" t="s">
        <v>458</v>
      </c>
    </row>
    <row r="1204" spans="1:5" x14ac:dyDescent="0.35">
      <c r="A1204">
        <v>2006</v>
      </c>
      <c r="B1204" t="s">
        <v>35</v>
      </c>
      <c r="C1204" t="s">
        <v>214</v>
      </c>
      <c r="D1204">
        <v>16</v>
      </c>
      <c r="E1204" t="s">
        <v>458</v>
      </c>
    </row>
    <row r="1205" spans="1:5" x14ac:dyDescent="0.35">
      <c r="A1205">
        <v>2006</v>
      </c>
      <c r="B1205" t="s">
        <v>35</v>
      </c>
      <c r="C1205" t="s">
        <v>48</v>
      </c>
      <c r="E1205" t="s">
        <v>458</v>
      </c>
    </row>
    <row r="1206" spans="1:5" x14ac:dyDescent="0.35">
      <c r="A1206">
        <v>2006</v>
      </c>
      <c r="B1206" t="s">
        <v>34</v>
      </c>
      <c r="C1206" t="s">
        <v>49</v>
      </c>
      <c r="E1206" t="s">
        <v>458</v>
      </c>
    </row>
    <row r="1207" spans="1:5" x14ac:dyDescent="0.35">
      <c r="A1207">
        <v>2006</v>
      </c>
      <c r="B1207" t="s">
        <v>36</v>
      </c>
      <c r="C1207" t="s">
        <v>363</v>
      </c>
      <c r="E1207" t="s">
        <v>328</v>
      </c>
    </row>
    <row r="1208" spans="1:5" x14ac:dyDescent="0.35">
      <c r="A1208">
        <v>2006</v>
      </c>
      <c r="B1208" t="s">
        <v>33</v>
      </c>
      <c r="C1208" t="s">
        <v>57</v>
      </c>
      <c r="D1208">
        <v>7</v>
      </c>
      <c r="E1208" t="s">
        <v>328</v>
      </c>
    </row>
    <row r="1209" spans="1:5" x14ac:dyDescent="0.35">
      <c r="A1209">
        <v>2006</v>
      </c>
      <c r="B1209" t="s">
        <v>33</v>
      </c>
      <c r="C1209" t="s">
        <v>57</v>
      </c>
      <c r="D1209">
        <v>4</v>
      </c>
      <c r="E1209" t="s">
        <v>458</v>
      </c>
    </row>
    <row r="1210" spans="1:5" x14ac:dyDescent="0.35">
      <c r="A1210">
        <v>2006</v>
      </c>
      <c r="B1210" t="s">
        <v>36</v>
      </c>
      <c r="C1210" t="s">
        <v>56</v>
      </c>
      <c r="D1210">
        <v>99</v>
      </c>
      <c r="E1210" t="s">
        <v>328</v>
      </c>
    </row>
    <row r="1211" spans="1:5" x14ac:dyDescent="0.35">
      <c r="A1211">
        <v>2006</v>
      </c>
      <c r="B1211" t="s">
        <v>36</v>
      </c>
      <c r="C1211" t="s">
        <v>56</v>
      </c>
      <c r="D1211">
        <v>112</v>
      </c>
      <c r="E1211" t="s">
        <v>458</v>
      </c>
    </row>
    <row r="1212" spans="1:5" x14ac:dyDescent="0.35">
      <c r="A1212">
        <v>2006</v>
      </c>
      <c r="B1212" t="s">
        <v>35</v>
      </c>
      <c r="C1212" t="s">
        <v>55</v>
      </c>
      <c r="D1212">
        <v>10</v>
      </c>
      <c r="E1212" t="s">
        <v>328</v>
      </c>
    </row>
    <row r="1213" spans="1:5" x14ac:dyDescent="0.35">
      <c r="A1213">
        <v>2006</v>
      </c>
      <c r="B1213" t="s">
        <v>35</v>
      </c>
      <c r="C1213" t="s">
        <v>55</v>
      </c>
      <c r="D1213">
        <v>4</v>
      </c>
      <c r="E1213" t="s">
        <v>458</v>
      </c>
    </row>
    <row r="1214" spans="1:5" x14ac:dyDescent="0.35">
      <c r="A1214">
        <v>2006</v>
      </c>
      <c r="B1214" t="s">
        <v>35</v>
      </c>
      <c r="C1214" t="s">
        <v>48</v>
      </c>
      <c r="E1214" t="s">
        <v>328</v>
      </c>
    </row>
    <row r="1215" spans="1:5" x14ac:dyDescent="0.35">
      <c r="A1215">
        <v>2006</v>
      </c>
      <c r="B1215" t="s">
        <v>35</v>
      </c>
      <c r="C1215" t="s">
        <v>54</v>
      </c>
      <c r="D1215">
        <v>17</v>
      </c>
      <c r="E1215" t="s">
        <v>328</v>
      </c>
    </row>
    <row r="1216" spans="1:5" x14ac:dyDescent="0.35">
      <c r="A1216">
        <v>2006</v>
      </c>
      <c r="B1216" t="s">
        <v>36</v>
      </c>
      <c r="C1216" t="s">
        <v>53</v>
      </c>
      <c r="D1216">
        <v>5</v>
      </c>
      <c r="E1216" t="s">
        <v>328</v>
      </c>
    </row>
    <row r="1217" spans="1:5" x14ac:dyDescent="0.35">
      <c r="A1217">
        <v>2006</v>
      </c>
      <c r="B1217" t="s">
        <v>36</v>
      </c>
      <c r="C1217" t="s">
        <v>53</v>
      </c>
      <c r="D1217">
        <v>41</v>
      </c>
      <c r="E1217" t="s">
        <v>458</v>
      </c>
    </row>
    <row r="1218" spans="1:5" x14ac:dyDescent="0.35">
      <c r="A1218">
        <v>2006</v>
      </c>
      <c r="B1218" t="s">
        <v>34</v>
      </c>
      <c r="C1218" t="s">
        <v>52</v>
      </c>
      <c r="D1218">
        <v>129</v>
      </c>
      <c r="E1218" t="s">
        <v>328</v>
      </c>
    </row>
    <row r="1219" spans="1:5" x14ac:dyDescent="0.35">
      <c r="A1219">
        <v>2006</v>
      </c>
      <c r="B1219" t="s">
        <v>34</v>
      </c>
      <c r="C1219" t="s">
        <v>52</v>
      </c>
      <c r="D1219">
        <v>22</v>
      </c>
      <c r="E1219" t="s">
        <v>458</v>
      </c>
    </row>
    <row r="1220" spans="1:5" x14ac:dyDescent="0.35">
      <c r="A1220">
        <v>2006</v>
      </c>
      <c r="B1220" t="s">
        <v>36</v>
      </c>
      <c r="C1220" t="s">
        <v>50</v>
      </c>
      <c r="D1220">
        <v>23</v>
      </c>
      <c r="E1220" t="s">
        <v>328</v>
      </c>
    </row>
    <row r="1221" spans="1:5" x14ac:dyDescent="0.35">
      <c r="A1221">
        <v>2006</v>
      </c>
      <c r="B1221" t="s">
        <v>36</v>
      </c>
      <c r="C1221" t="s">
        <v>50</v>
      </c>
      <c r="D1221">
        <v>68</v>
      </c>
      <c r="E1221" t="s">
        <v>458</v>
      </c>
    </row>
    <row r="1222" spans="1:5" x14ac:dyDescent="0.35">
      <c r="A1222">
        <v>2006</v>
      </c>
      <c r="B1222" t="s">
        <v>34</v>
      </c>
      <c r="C1222" t="s">
        <v>49</v>
      </c>
      <c r="E1222" t="s">
        <v>328</v>
      </c>
    </row>
    <row r="1223" spans="1:5" x14ac:dyDescent="0.35">
      <c r="A1223">
        <v>2006</v>
      </c>
      <c r="B1223" t="s">
        <v>35</v>
      </c>
      <c r="C1223" t="s">
        <v>54</v>
      </c>
      <c r="D1223">
        <v>7</v>
      </c>
      <c r="E1223" t="s">
        <v>458</v>
      </c>
    </row>
    <row r="1224" spans="1:5" x14ac:dyDescent="0.35">
      <c r="A1224">
        <v>2006</v>
      </c>
      <c r="B1224" t="s">
        <v>35</v>
      </c>
      <c r="C1224" t="s">
        <v>214</v>
      </c>
      <c r="D1224">
        <v>52</v>
      </c>
      <c r="E1224" t="s">
        <v>328</v>
      </c>
    </row>
    <row r="1225" spans="1:5" x14ac:dyDescent="0.35">
      <c r="A1225">
        <v>2006</v>
      </c>
      <c r="B1225" t="s">
        <v>34</v>
      </c>
      <c r="C1225" t="s">
        <v>40</v>
      </c>
      <c r="D1225">
        <v>12</v>
      </c>
      <c r="E1225" t="s">
        <v>458</v>
      </c>
    </row>
    <row r="1226" spans="1:5" x14ac:dyDescent="0.35">
      <c r="A1226">
        <v>2006</v>
      </c>
      <c r="B1226" t="s">
        <v>35</v>
      </c>
      <c r="C1226" t="s">
        <v>82</v>
      </c>
      <c r="E1226" t="s">
        <v>328</v>
      </c>
    </row>
    <row r="1227" spans="1:5" x14ac:dyDescent="0.35">
      <c r="A1227">
        <v>2006</v>
      </c>
      <c r="B1227" t="s">
        <v>34</v>
      </c>
      <c r="C1227" t="s">
        <v>109</v>
      </c>
      <c r="D1227">
        <v>4</v>
      </c>
      <c r="E1227" t="s">
        <v>458</v>
      </c>
    </row>
    <row r="1228" spans="1:5" x14ac:dyDescent="0.35">
      <c r="A1228">
        <v>2006</v>
      </c>
      <c r="B1228" t="s">
        <v>34</v>
      </c>
      <c r="C1228" t="s">
        <v>108</v>
      </c>
      <c r="D1228">
        <v>43</v>
      </c>
      <c r="E1228" t="s">
        <v>328</v>
      </c>
    </row>
    <row r="1229" spans="1:5" x14ac:dyDescent="0.35">
      <c r="A1229">
        <v>2006</v>
      </c>
      <c r="B1229" t="s">
        <v>34</v>
      </c>
      <c r="C1229" t="s">
        <v>108</v>
      </c>
      <c r="D1229">
        <v>16</v>
      </c>
      <c r="E1229" t="s">
        <v>458</v>
      </c>
    </row>
    <row r="1230" spans="1:5" x14ac:dyDescent="0.35">
      <c r="A1230">
        <v>2006</v>
      </c>
      <c r="B1230" t="s">
        <v>34</v>
      </c>
      <c r="C1230" t="s">
        <v>107</v>
      </c>
      <c r="D1230">
        <v>366</v>
      </c>
      <c r="E1230" t="s">
        <v>328</v>
      </c>
    </row>
    <row r="1231" spans="1:5" x14ac:dyDescent="0.35">
      <c r="A1231">
        <v>2006</v>
      </c>
      <c r="B1231" t="s">
        <v>34</v>
      </c>
      <c r="C1231" t="s">
        <v>107</v>
      </c>
      <c r="D1231">
        <v>22</v>
      </c>
      <c r="E1231" t="s">
        <v>458</v>
      </c>
    </row>
    <row r="1232" spans="1:5" x14ac:dyDescent="0.35">
      <c r="A1232">
        <v>2006</v>
      </c>
      <c r="B1232" t="s">
        <v>34</v>
      </c>
      <c r="C1232" t="s">
        <v>22</v>
      </c>
      <c r="D1232">
        <v>898</v>
      </c>
      <c r="E1232" t="s">
        <v>328</v>
      </c>
    </row>
    <row r="1233" spans="1:5" x14ac:dyDescent="0.35">
      <c r="A1233">
        <v>2006</v>
      </c>
      <c r="B1233" t="s">
        <v>34</v>
      </c>
      <c r="C1233" t="s">
        <v>22</v>
      </c>
      <c r="D1233">
        <v>150</v>
      </c>
      <c r="E1233" t="s">
        <v>458</v>
      </c>
    </row>
    <row r="1234" spans="1:5" x14ac:dyDescent="0.35">
      <c r="A1234">
        <v>2006</v>
      </c>
      <c r="B1234" t="s">
        <v>34</v>
      </c>
      <c r="C1234" t="s">
        <v>109</v>
      </c>
      <c r="D1234">
        <v>17</v>
      </c>
      <c r="E1234" t="s">
        <v>328</v>
      </c>
    </row>
    <row r="1235" spans="1:5" x14ac:dyDescent="0.35">
      <c r="A1235">
        <v>2006</v>
      </c>
      <c r="B1235" t="s">
        <v>35</v>
      </c>
      <c r="C1235" t="s">
        <v>105</v>
      </c>
      <c r="D1235">
        <v>61</v>
      </c>
      <c r="E1235" t="s">
        <v>328</v>
      </c>
    </row>
    <row r="1236" spans="1:5" x14ac:dyDescent="0.35">
      <c r="A1236">
        <v>2006</v>
      </c>
      <c r="B1236" t="s">
        <v>34</v>
      </c>
      <c r="C1236" t="s">
        <v>368</v>
      </c>
      <c r="D1236">
        <v>7</v>
      </c>
      <c r="E1236" t="s">
        <v>328</v>
      </c>
    </row>
    <row r="1237" spans="1:5" x14ac:dyDescent="0.35">
      <c r="A1237">
        <v>2006</v>
      </c>
      <c r="B1237" t="s">
        <v>34</v>
      </c>
      <c r="C1237" t="s">
        <v>368</v>
      </c>
      <c r="D1237">
        <v>8</v>
      </c>
      <c r="E1237" t="s">
        <v>458</v>
      </c>
    </row>
    <row r="1238" spans="1:5" x14ac:dyDescent="0.35">
      <c r="A1238">
        <v>2006</v>
      </c>
      <c r="B1238" t="s">
        <v>36</v>
      </c>
      <c r="C1238" t="s">
        <v>17</v>
      </c>
      <c r="D1238">
        <v>21308</v>
      </c>
      <c r="E1238" t="s">
        <v>328</v>
      </c>
    </row>
    <row r="1239" spans="1:5" x14ac:dyDescent="0.35">
      <c r="A1239">
        <v>2006</v>
      </c>
      <c r="B1239" t="s">
        <v>36</v>
      </c>
      <c r="C1239" t="s">
        <v>17</v>
      </c>
      <c r="D1239">
        <v>5752</v>
      </c>
      <c r="E1239" t="s">
        <v>458</v>
      </c>
    </row>
    <row r="1240" spans="1:5" x14ac:dyDescent="0.35">
      <c r="A1240">
        <v>2006</v>
      </c>
      <c r="B1240" t="s">
        <v>36</v>
      </c>
      <c r="C1240" t="s">
        <v>104</v>
      </c>
      <c r="D1240">
        <v>617</v>
      </c>
      <c r="E1240" t="s">
        <v>328</v>
      </c>
    </row>
    <row r="1241" spans="1:5" x14ac:dyDescent="0.35">
      <c r="A1241">
        <v>2006</v>
      </c>
      <c r="B1241" t="s">
        <v>36</v>
      </c>
      <c r="C1241" t="s">
        <v>104</v>
      </c>
      <c r="D1241">
        <v>290</v>
      </c>
      <c r="E1241" t="s">
        <v>458</v>
      </c>
    </row>
    <row r="1242" spans="1:5" x14ac:dyDescent="0.35">
      <c r="A1242">
        <v>2006</v>
      </c>
      <c r="B1242" t="s">
        <v>38</v>
      </c>
      <c r="C1242" t="s">
        <v>103</v>
      </c>
      <c r="D1242">
        <v>115</v>
      </c>
      <c r="E1242" t="s">
        <v>328</v>
      </c>
    </row>
    <row r="1243" spans="1:5" x14ac:dyDescent="0.35">
      <c r="A1243">
        <v>2006</v>
      </c>
      <c r="B1243" t="s">
        <v>35</v>
      </c>
      <c r="C1243" t="s">
        <v>105</v>
      </c>
      <c r="D1243">
        <v>14</v>
      </c>
      <c r="E1243" t="s">
        <v>458</v>
      </c>
    </row>
    <row r="1244" spans="1:5" x14ac:dyDescent="0.35">
      <c r="A1244">
        <v>2006</v>
      </c>
      <c r="B1244" t="s">
        <v>38</v>
      </c>
      <c r="C1244" t="s">
        <v>103</v>
      </c>
      <c r="D1244">
        <v>174</v>
      </c>
      <c r="E1244" t="s">
        <v>458</v>
      </c>
    </row>
    <row r="1245" spans="1:5" x14ac:dyDescent="0.35">
      <c r="A1245">
        <v>2006</v>
      </c>
      <c r="B1245" t="s">
        <v>35</v>
      </c>
      <c r="C1245" t="s">
        <v>110</v>
      </c>
      <c r="D1245">
        <v>11</v>
      </c>
      <c r="E1245" t="s">
        <v>458</v>
      </c>
    </row>
    <row r="1246" spans="1:5" x14ac:dyDescent="0.35">
      <c r="A1246">
        <v>2006</v>
      </c>
      <c r="B1246" t="s">
        <v>34</v>
      </c>
      <c r="C1246" t="s">
        <v>111</v>
      </c>
      <c r="D1246">
        <v>53</v>
      </c>
      <c r="E1246" t="s">
        <v>458</v>
      </c>
    </row>
    <row r="1247" spans="1:5" x14ac:dyDescent="0.35">
      <c r="A1247">
        <v>2006</v>
      </c>
      <c r="B1247" t="s">
        <v>35</v>
      </c>
      <c r="C1247" t="s">
        <v>82</v>
      </c>
      <c r="E1247" t="s">
        <v>458</v>
      </c>
    </row>
    <row r="1248" spans="1:5" x14ac:dyDescent="0.35">
      <c r="A1248">
        <v>2006</v>
      </c>
      <c r="B1248" t="s">
        <v>34</v>
      </c>
      <c r="C1248" t="s">
        <v>118</v>
      </c>
      <c r="D1248">
        <v>336</v>
      </c>
      <c r="E1248" t="s">
        <v>328</v>
      </c>
    </row>
    <row r="1249" spans="1:5" x14ac:dyDescent="0.35">
      <c r="A1249">
        <v>2006</v>
      </c>
      <c r="B1249" t="s">
        <v>34</v>
      </c>
      <c r="C1249" t="s">
        <v>118</v>
      </c>
      <c r="D1249">
        <v>115</v>
      </c>
      <c r="E1249" t="s">
        <v>458</v>
      </c>
    </row>
    <row r="1250" spans="1:5" x14ac:dyDescent="0.35">
      <c r="A1250">
        <v>2006</v>
      </c>
      <c r="B1250" t="s">
        <v>33</v>
      </c>
      <c r="C1250" t="s">
        <v>117</v>
      </c>
      <c r="D1250">
        <v>61</v>
      </c>
      <c r="E1250" t="s">
        <v>328</v>
      </c>
    </row>
    <row r="1251" spans="1:5" x14ac:dyDescent="0.35">
      <c r="A1251">
        <v>2006</v>
      </c>
      <c r="B1251" t="s">
        <v>33</v>
      </c>
      <c r="C1251" t="s">
        <v>117</v>
      </c>
      <c r="D1251">
        <v>36</v>
      </c>
      <c r="E1251" t="s">
        <v>458</v>
      </c>
    </row>
    <row r="1252" spans="1:5" x14ac:dyDescent="0.35">
      <c r="A1252">
        <v>2006</v>
      </c>
      <c r="B1252" t="s">
        <v>34</v>
      </c>
      <c r="C1252" t="s">
        <v>116</v>
      </c>
      <c r="D1252">
        <v>12</v>
      </c>
      <c r="E1252" t="s">
        <v>328</v>
      </c>
    </row>
    <row r="1253" spans="1:5" x14ac:dyDescent="0.35">
      <c r="A1253">
        <v>2006</v>
      </c>
      <c r="B1253" t="s">
        <v>34</v>
      </c>
      <c r="C1253" t="s">
        <v>116</v>
      </c>
      <c r="D1253">
        <v>3</v>
      </c>
      <c r="E1253" t="s">
        <v>458</v>
      </c>
    </row>
    <row r="1254" spans="1:5" x14ac:dyDescent="0.35">
      <c r="A1254">
        <v>2006</v>
      </c>
      <c r="B1254" t="s">
        <v>35</v>
      </c>
      <c r="C1254" t="s">
        <v>110</v>
      </c>
      <c r="D1254">
        <v>43</v>
      </c>
      <c r="E1254" t="s">
        <v>328</v>
      </c>
    </row>
    <row r="1255" spans="1:5" x14ac:dyDescent="0.35">
      <c r="A1255">
        <v>2006</v>
      </c>
      <c r="B1255" t="s">
        <v>34</v>
      </c>
      <c r="C1255" t="s">
        <v>115</v>
      </c>
      <c r="D1255">
        <v>115</v>
      </c>
      <c r="E1255" t="s">
        <v>328</v>
      </c>
    </row>
    <row r="1256" spans="1:5" x14ac:dyDescent="0.35">
      <c r="A1256">
        <v>2006</v>
      </c>
      <c r="B1256" t="s">
        <v>34</v>
      </c>
      <c r="C1256" t="s">
        <v>114</v>
      </c>
      <c r="D1256">
        <v>43</v>
      </c>
      <c r="E1256" t="s">
        <v>328</v>
      </c>
    </row>
    <row r="1257" spans="1:5" x14ac:dyDescent="0.35">
      <c r="A1257">
        <v>2006</v>
      </c>
      <c r="B1257" t="s">
        <v>34</v>
      </c>
      <c r="C1257" t="s">
        <v>114</v>
      </c>
      <c r="D1257">
        <v>10</v>
      </c>
      <c r="E1257" t="s">
        <v>458</v>
      </c>
    </row>
    <row r="1258" spans="1:5" x14ac:dyDescent="0.35">
      <c r="A1258">
        <v>2006</v>
      </c>
      <c r="B1258" t="s">
        <v>36</v>
      </c>
      <c r="C1258" t="s">
        <v>113</v>
      </c>
      <c r="D1258">
        <v>428</v>
      </c>
      <c r="E1258" t="s">
        <v>328</v>
      </c>
    </row>
    <row r="1259" spans="1:5" x14ac:dyDescent="0.35">
      <c r="A1259">
        <v>2006</v>
      </c>
      <c r="B1259" t="s">
        <v>36</v>
      </c>
      <c r="C1259" t="s">
        <v>113</v>
      </c>
      <c r="D1259">
        <v>1234</v>
      </c>
      <c r="E1259" t="s">
        <v>458</v>
      </c>
    </row>
    <row r="1260" spans="1:5" x14ac:dyDescent="0.35">
      <c r="A1260">
        <v>2006</v>
      </c>
      <c r="B1260" t="s">
        <v>35</v>
      </c>
      <c r="C1260" t="s">
        <v>112</v>
      </c>
      <c r="D1260">
        <v>66</v>
      </c>
      <c r="E1260" t="s">
        <v>328</v>
      </c>
    </row>
    <row r="1261" spans="1:5" x14ac:dyDescent="0.35">
      <c r="A1261">
        <v>2006</v>
      </c>
      <c r="B1261" t="s">
        <v>35</v>
      </c>
      <c r="C1261" t="s">
        <v>112</v>
      </c>
      <c r="D1261">
        <v>78</v>
      </c>
      <c r="E1261" t="s">
        <v>458</v>
      </c>
    </row>
    <row r="1262" spans="1:5" x14ac:dyDescent="0.35">
      <c r="A1262">
        <v>2006</v>
      </c>
      <c r="B1262" t="s">
        <v>34</v>
      </c>
      <c r="C1262" t="s">
        <v>111</v>
      </c>
      <c r="D1262">
        <v>144</v>
      </c>
      <c r="E1262" t="s">
        <v>328</v>
      </c>
    </row>
    <row r="1263" spans="1:5" x14ac:dyDescent="0.35">
      <c r="A1263">
        <v>2006</v>
      </c>
      <c r="B1263" t="s">
        <v>34</v>
      </c>
      <c r="C1263" t="s">
        <v>115</v>
      </c>
      <c r="D1263">
        <v>75</v>
      </c>
      <c r="E1263" t="s">
        <v>458</v>
      </c>
    </row>
    <row r="1264" spans="1:5" x14ac:dyDescent="0.35">
      <c r="A1264">
        <v>2006</v>
      </c>
      <c r="B1264" t="s">
        <v>33</v>
      </c>
      <c r="C1264" t="s">
        <v>101</v>
      </c>
      <c r="D1264">
        <v>60</v>
      </c>
      <c r="E1264" t="s">
        <v>328</v>
      </c>
    </row>
    <row r="1265" spans="1:5" x14ac:dyDescent="0.35">
      <c r="A1265">
        <v>2006</v>
      </c>
      <c r="B1265" t="s">
        <v>35</v>
      </c>
      <c r="C1265" t="s">
        <v>119</v>
      </c>
      <c r="E1265" t="s">
        <v>328</v>
      </c>
    </row>
    <row r="1266" spans="1:5" x14ac:dyDescent="0.35">
      <c r="A1266">
        <v>2006</v>
      </c>
      <c r="B1266" t="s">
        <v>36</v>
      </c>
      <c r="C1266" t="s">
        <v>15</v>
      </c>
      <c r="D1266">
        <v>16677</v>
      </c>
      <c r="E1266" t="s">
        <v>328</v>
      </c>
    </row>
    <row r="1267" spans="1:5" x14ac:dyDescent="0.35">
      <c r="A1267">
        <v>2006</v>
      </c>
      <c r="B1267" t="s">
        <v>33</v>
      </c>
      <c r="C1267" t="s">
        <v>91</v>
      </c>
      <c r="D1267">
        <v>57</v>
      </c>
      <c r="E1267" t="s">
        <v>328</v>
      </c>
    </row>
    <row r="1268" spans="1:5" x14ac:dyDescent="0.35">
      <c r="A1268">
        <v>2006</v>
      </c>
      <c r="B1268" t="s">
        <v>33</v>
      </c>
      <c r="C1268" t="s">
        <v>91</v>
      </c>
      <c r="D1268">
        <v>48</v>
      </c>
      <c r="E1268" t="s">
        <v>458</v>
      </c>
    </row>
    <row r="1269" spans="1:5" x14ac:dyDescent="0.35">
      <c r="A1269">
        <v>2006</v>
      </c>
      <c r="B1269" t="s">
        <v>35</v>
      </c>
      <c r="C1269" t="s">
        <v>90</v>
      </c>
      <c r="D1269">
        <v>19</v>
      </c>
      <c r="E1269" t="s">
        <v>328</v>
      </c>
    </row>
    <row r="1270" spans="1:5" x14ac:dyDescent="0.35">
      <c r="A1270">
        <v>2006</v>
      </c>
      <c r="B1270" t="s">
        <v>35</v>
      </c>
      <c r="C1270" t="s">
        <v>90</v>
      </c>
      <c r="D1270">
        <v>4</v>
      </c>
      <c r="E1270" t="s">
        <v>458</v>
      </c>
    </row>
    <row r="1271" spans="1:5" x14ac:dyDescent="0.35">
      <c r="A1271">
        <v>2006</v>
      </c>
      <c r="B1271" t="s">
        <v>33</v>
      </c>
      <c r="C1271" t="s">
        <v>89</v>
      </c>
      <c r="D1271">
        <v>7</v>
      </c>
      <c r="E1271" t="s">
        <v>328</v>
      </c>
    </row>
    <row r="1272" spans="1:5" x14ac:dyDescent="0.35">
      <c r="A1272">
        <v>2006</v>
      </c>
      <c r="B1272" t="s">
        <v>33</v>
      </c>
      <c r="C1272" t="s">
        <v>89</v>
      </c>
      <c r="D1272">
        <v>3</v>
      </c>
      <c r="E1272" t="s">
        <v>458</v>
      </c>
    </row>
    <row r="1273" spans="1:5" x14ac:dyDescent="0.35">
      <c r="A1273">
        <v>2006</v>
      </c>
      <c r="B1273" t="s">
        <v>36</v>
      </c>
      <c r="C1273" t="s">
        <v>16</v>
      </c>
      <c r="D1273">
        <v>3850</v>
      </c>
      <c r="E1273" t="s">
        <v>458</v>
      </c>
    </row>
    <row r="1274" spans="1:5" x14ac:dyDescent="0.35">
      <c r="A1274">
        <v>2006</v>
      </c>
      <c r="B1274" t="s">
        <v>37</v>
      </c>
      <c r="C1274" t="s">
        <v>92</v>
      </c>
      <c r="D1274">
        <v>19</v>
      </c>
      <c r="E1274" t="s">
        <v>458</v>
      </c>
    </row>
    <row r="1275" spans="1:5" x14ac:dyDescent="0.35">
      <c r="A1275">
        <v>2006</v>
      </c>
      <c r="B1275" t="s">
        <v>33</v>
      </c>
      <c r="C1275" t="s">
        <v>87</v>
      </c>
      <c r="D1275">
        <v>142</v>
      </c>
      <c r="E1275" t="s">
        <v>328</v>
      </c>
    </row>
    <row r="1276" spans="1:5" x14ac:dyDescent="0.35">
      <c r="A1276">
        <v>2006</v>
      </c>
      <c r="B1276" t="s">
        <v>38</v>
      </c>
      <c r="C1276" t="s">
        <v>86</v>
      </c>
      <c r="D1276">
        <v>1280</v>
      </c>
      <c r="E1276" t="s">
        <v>328</v>
      </c>
    </row>
    <row r="1277" spans="1:5" x14ac:dyDescent="0.35">
      <c r="A1277">
        <v>2006</v>
      </c>
      <c r="B1277" t="s">
        <v>38</v>
      </c>
      <c r="C1277" t="s">
        <v>86</v>
      </c>
      <c r="D1277">
        <v>470</v>
      </c>
      <c r="E1277" t="s">
        <v>458</v>
      </c>
    </row>
    <row r="1278" spans="1:5" x14ac:dyDescent="0.35">
      <c r="A1278">
        <v>2006</v>
      </c>
      <c r="B1278" t="s">
        <v>36</v>
      </c>
      <c r="C1278" t="s">
        <v>85</v>
      </c>
      <c r="D1278">
        <v>901</v>
      </c>
      <c r="E1278" t="s">
        <v>328</v>
      </c>
    </row>
    <row r="1279" spans="1:5" x14ac:dyDescent="0.35">
      <c r="A1279">
        <v>2006</v>
      </c>
      <c r="B1279" t="s">
        <v>36</v>
      </c>
      <c r="C1279" t="s">
        <v>85</v>
      </c>
      <c r="D1279">
        <v>2206</v>
      </c>
      <c r="E1279" t="s">
        <v>458</v>
      </c>
    </row>
    <row r="1280" spans="1:5" x14ac:dyDescent="0.35">
      <c r="A1280">
        <v>2006</v>
      </c>
      <c r="B1280" t="s">
        <v>36</v>
      </c>
      <c r="C1280" t="s">
        <v>84</v>
      </c>
      <c r="D1280">
        <v>14</v>
      </c>
      <c r="E1280" t="s">
        <v>328</v>
      </c>
    </row>
    <row r="1281" spans="1:5" x14ac:dyDescent="0.35">
      <c r="A1281">
        <v>2006</v>
      </c>
      <c r="B1281" t="s">
        <v>36</v>
      </c>
      <c r="C1281" t="s">
        <v>84</v>
      </c>
      <c r="D1281">
        <v>14</v>
      </c>
      <c r="E1281" t="s">
        <v>458</v>
      </c>
    </row>
    <row r="1282" spans="1:5" x14ac:dyDescent="0.35">
      <c r="A1282">
        <v>2006</v>
      </c>
      <c r="B1282" t="s">
        <v>33</v>
      </c>
      <c r="C1282" t="s">
        <v>101</v>
      </c>
      <c r="D1282">
        <v>18</v>
      </c>
      <c r="E1282" t="s">
        <v>458</v>
      </c>
    </row>
    <row r="1283" spans="1:5" x14ac:dyDescent="0.35">
      <c r="A1283">
        <v>2006</v>
      </c>
      <c r="B1283" t="s">
        <v>33</v>
      </c>
      <c r="C1283" t="s">
        <v>87</v>
      </c>
      <c r="D1283">
        <v>30</v>
      </c>
      <c r="E1283" t="s">
        <v>458</v>
      </c>
    </row>
    <row r="1284" spans="1:5" x14ac:dyDescent="0.35">
      <c r="A1284">
        <v>2006</v>
      </c>
      <c r="B1284" t="s">
        <v>37</v>
      </c>
      <c r="C1284" t="s">
        <v>92</v>
      </c>
      <c r="D1284">
        <v>28</v>
      </c>
      <c r="E1284" t="s">
        <v>328</v>
      </c>
    </row>
    <row r="1285" spans="1:5" x14ac:dyDescent="0.35">
      <c r="A1285">
        <v>2006</v>
      </c>
      <c r="B1285" t="s">
        <v>36</v>
      </c>
      <c r="C1285" t="s">
        <v>16</v>
      </c>
      <c r="D1285">
        <v>7200</v>
      </c>
      <c r="E1285" t="s">
        <v>328</v>
      </c>
    </row>
    <row r="1286" spans="1:5" x14ac:dyDescent="0.35">
      <c r="A1286">
        <v>2006</v>
      </c>
      <c r="B1286" t="s">
        <v>35</v>
      </c>
      <c r="C1286" t="s">
        <v>93</v>
      </c>
      <c r="E1286" t="s">
        <v>328</v>
      </c>
    </row>
    <row r="1287" spans="1:5" x14ac:dyDescent="0.35">
      <c r="A1287">
        <v>2006</v>
      </c>
      <c r="B1287" t="s">
        <v>35</v>
      </c>
      <c r="C1287" t="s">
        <v>93</v>
      </c>
      <c r="E1287" t="s">
        <v>458</v>
      </c>
    </row>
    <row r="1288" spans="1:5" x14ac:dyDescent="0.35">
      <c r="A1288">
        <v>2006</v>
      </c>
      <c r="B1288" t="s">
        <v>36</v>
      </c>
      <c r="C1288" t="s">
        <v>100</v>
      </c>
      <c r="D1288">
        <v>7</v>
      </c>
      <c r="E1288" t="s">
        <v>328</v>
      </c>
    </row>
    <row r="1289" spans="1:5" x14ac:dyDescent="0.35">
      <c r="A1289">
        <v>2006</v>
      </c>
      <c r="B1289" t="s">
        <v>36</v>
      </c>
      <c r="C1289" t="s">
        <v>100</v>
      </c>
      <c r="D1289">
        <v>20</v>
      </c>
      <c r="E1289" t="s">
        <v>458</v>
      </c>
    </row>
    <row r="1290" spans="1:5" x14ac:dyDescent="0.35">
      <c r="A1290">
        <v>2006</v>
      </c>
      <c r="B1290" t="s">
        <v>35</v>
      </c>
      <c r="C1290" t="s">
        <v>99</v>
      </c>
      <c r="D1290">
        <v>16</v>
      </c>
      <c r="E1290" t="s">
        <v>328</v>
      </c>
    </row>
    <row r="1291" spans="1:5" x14ac:dyDescent="0.35">
      <c r="A1291">
        <v>2006</v>
      </c>
      <c r="B1291" t="s">
        <v>35</v>
      </c>
      <c r="C1291" t="s">
        <v>99</v>
      </c>
      <c r="D1291">
        <v>19</v>
      </c>
      <c r="E1291" t="s">
        <v>458</v>
      </c>
    </row>
    <row r="1292" spans="1:5" x14ac:dyDescent="0.35">
      <c r="A1292">
        <v>2006</v>
      </c>
      <c r="B1292" t="s">
        <v>33</v>
      </c>
      <c r="C1292" t="s">
        <v>98</v>
      </c>
      <c r="D1292">
        <v>69</v>
      </c>
      <c r="E1292" t="s">
        <v>458</v>
      </c>
    </row>
    <row r="1293" spans="1:5" x14ac:dyDescent="0.35">
      <c r="A1293">
        <v>2006</v>
      </c>
      <c r="B1293" t="s">
        <v>35</v>
      </c>
      <c r="C1293" t="s">
        <v>97</v>
      </c>
      <c r="D1293">
        <v>97</v>
      </c>
      <c r="E1293" t="s">
        <v>328</v>
      </c>
    </row>
    <row r="1294" spans="1:5" x14ac:dyDescent="0.35">
      <c r="A1294">
        <v>2006</v>
      </c>
      <c r="B1294" t="s">
        <v>35</v>
      </c>
      <c r="C1294" t="s">
        <v>97</v>
      </c>
      <c r="D1294">
        <v>61</v>
      </c>
      <c r="E1294" t="s">
        <v>458</v>
      </c>
    </row>
    <row r="1295" spans="1:5" x14ac:dyDescent="0.35">
      <c r="A1295">
        <v>2006</v>
      </c>
      <c r="B1295" t="s">
        <v>33</v>
      </c>
      <c r="C1295" t="s">
        <v>98</v>
      </c>
      <c r="D1295">
        <v>118</v>
      </c>
      <c r="E1295" t="s">
        <v>328</v>
      </c>
    </row>
    <row r="1296" spans="1:5" x14ac:dyDescent="0.35">
      <c r="A1296">
        <v>2006</v>
      </c>
      <c r="B1296" t="s">
        <v>36</v>
      </c>
      <c r="C1296" t="s">
        <v>15</v>
      </c>
      <c r="D1296">
        <v>3850</v>
      </c>
      <c r="E1296" t="s">
        <v>458</v>
      </c>
    </row>
    <row r="1297" spans="1:5" x14ac:dyDescent="0.35">
      <c r="A1297">
        <v>2006</v>
      </c>
      <c r="B1297" t="s">
        <v>34</v>
      </c>
      <c r="C1297" t="s">
        <v>8</v>
      </c>
      <c r="D1297">
        <v>7</v>
      </c>
      <c r="E1297" t="s">
        <v>458</v>
      </c>
    </row>
    <row r="1298" spans="1:5" x14ac:dyDescent="0.35">
      <c r="A1298">
        <v>2006</v>
      </c>
      <c r="B1298" t="s">
        <v>33</v>
      </c>
      <c r="C1298" t="s">
        <v>96</v>
      </c>
      <c r="D1298">
        <v>36</v>
      </c>
      <c r="E1298" t="s">
        <v>328</v>
      </c>
    </row>
    <row r="1299" spans="1:5" x14ac:dyDescent="0.35">
      <c r="A1299">
        <v>2006</v>
      </c>
      <c r="B1299" t="s">
        <v>33</v>
      </c>
      <c r="C1299" t="s">
        <v>96</v>
      </c>
      <c r="D1299">
        <v>7</v>
      </c>
      <c r="E1299" t="s">
        <v>458</v>
      </c>
    </row>
    <row r="1300" spans="1:5" x14ac:dyDescent="0.35">
      <c r="A1300">
        <v>2006</v>
      </c>
      <c r="B1300" t="s">
        <v>33</v>
      </c>
      <c r="C1300" t="s">
        <v>95</v>
      </c>
      <c r="E1300" t="s">
        <v>458</v>
      </c>
    </row>
    <row r="1301" spans="1:5" x14ac:dyDescent="0.35">
      <c r="A1301">
        <v>2006</v>
      </c>
      <c r="B1301" t="s">
        <v>35</v>
      </c>
      <c r="C1301" t="s">
        <v>94</v>
      </c>
      <c r="D1301">
        <v>89</v>
      </c>
      <c r="E1301" t="s">
        <v>328</v>
      </c>
    </row>
    <row r="1302" spans="1:5" x14ac:dyDescent="0.35">
      <c r="A1302">
        <v>2006</v>
      </c>
      <c r="B1302" t="s">
        <v>35</v>
      </c>
      <c r="C1302" t="s">
        <v>94</v>
      </c>
      <c r="D1302">
        <v>35</v>
      </c>
      <c r="E1302" t="s">
        <v>458</v>
      </c>
    </row>
    <row r="1303" spans="1:5" x14ac:dyDescent="0.35">
      <c r="A1303">
        <v>2006</v>
      </c>
      <c r="B1303" t="s">
        <v>34</v>
      </c>
      <c r="C1303" t="s">
        <v>8</v>
      </c>
      <c r="D1303">
        <v>35</v>
      </c>
      <c r="E1303" t="s">
        <v>328</v>
      </c>
    </row>
    <row r="1304" spans="1:5" x14ac:dyDescent="0.35">
      <c r="A1304">
        <v>2006</v>
      </c>
      <c r="B1304" t="s">
        <v>34</v>
      </c>
      <c r="C1304" t="s">
        <v>40</v>
      </c>
      <c r="D1304">
        <v>53</v>
      </c>
      <c r="E1304" t="s">
        <v>466</v>
      </c>
    </row>
    <row r="1305" spans="1:5" x14ac:dyDescent="0.35">
      <c r="A1305">
        <v>2006</v>
      </c>
      <c r="B1305" t="s">
        <v>35</v>
      </c>
      <c r="C1305" t="s">
        <v>41</v>
      </c>
      <c r="D1305">
        <v>350</v>
      </c>
      <c r="E1305" t="s">
        <v>466</v>
      </c>
    </row>
    <row r="1306" spans="1:5" x14ac:dyDescent="0.35">
      <c r="A1306">
        <v>2006</v>
      </c>
      <c r="B1306" t="s">
        <v>33</v>
      </c>
      <c r="C1306" t="s">
        <v>42</v>
      </c>
      <c r="D1306">
        <v>50</v>
      </c>
      <c r="E1306" t="s">
        <v>466</v>
      </c>
    </row>
    <row r="1307" spans="1:5" x14ac:dyDescent="0.35">
      <c r="A1307">
        <v>2006</v>
      </c>
      <c r="C1307" t="s">
        <v>373</v>
      </c>
      <c r="D1307">
        <v>45</v>
      </c>
      <c r="E1307" t="s">
        <v>466</v>
      </c>
    </row>
    <row r="1308" spans="1:5" x14ac:dyDescent="0.35">
      <c r="A1308">
        <v>2006</v>
      </c>
      <c r="B1308" t="s">
        <v>33</v>
      </c>
      <c r="C1308" t="s">
        <v>43</v>
      </c>
      <c r="D1308">
        <v>11</v>
      </c>
      <c r="E1308" t="s">
        <v>466</v>
      </c>
    </row>
    <row r="1309" spans="1:5" x14ac:dyDescent="0.35">
      <c r="A1309">
        <v>2006</v>
      </c>
      <c r="B1309" t="s">
        <v>36</v>
      </c>
      <c r="C1309" t="s">
        <v>44</v>
      </c>
      <c r="D1309">
        <v>29</v>
      </c>
      <c r="E1309" t="s">
        <v>466</v>
      </c>
    </row>
    <row r="1310" spans="1:5" x14ac:dyDescent="0.35">
      <c r="A1310">
        <v>2006</v>
      </c>
      <c r="B1310" t="s">
        <v>38</v>
      </c>
      <c r="C1310" t="s">
        <v>45</v>
      </c>
      <c r="D1310">
        <v>293</v>
      </c>
      <c r="E1310" t="s">
        <v>466</v>
      </c>
    </row>
    <row r="1311" spans="1:5" x14ac:dyDescent="0.35">
      <c r="A1311">
        <v>2006</v>
      </c>
      <c r="B1311" t="s">
        <v>34</v>
      </c>
      <c r="C1311" t="s">
        <v>46</v>
      </c>
      <c r="D1311">
        <v>78</v>
      </c>
      <c r="E1311" t="s">
        <v>466</v>
      </c>
    </row>
    <row r="1312" spans="1:5" x14ac:dyDescent="0.35">
      <c r="A1312">
        <v>2006</v>
      </c>
      <c r="B1312" t="s">
        <v>37</v>
      </c>
      <c r="C1312" t="s">
        <v>47</v>
      </c>
      <c r="D1312">
        <v>28</v>
      </c>
      <c r="E1312" t="s">
        <v>466</v>
      </c>
    </row>
    <row r="1313" spans="1:5" x14ac:dyDescent="0.35">
      <c r="A1313">
        <v>2006</v>
      </c>
      <c r="B1313" t="s">
        <v>35</v>
      </c>
      <c r="C1313" t="s">
        <v>48</v>
      </c>
      <c r="D1313">
        <v>9</v>
      </c>
      <c r="E1313" t="s">
        <v>466</v>
      </c>
    </row>
    <row r="1314" spans="1:5" x14ac:dyDescent="0.35">
      <c r="A1314">
        <v>2006</v>
      </c>
      <c r="B1314" t="s">
        <v>34</v>
      </c>
      <c r="C1314" t="s">
        <v>49</v>
      </c>
      <c r="D1314">
        <v>13</v>
      </c>
      <c r="E1314" t="s">
        <v>466</v>
      </c>
    </row>
    <row r="1315" spans="1:5" x14ac:dyDescent="0.35">
      <c r="A1315">
        <v>2006</v>
      </c>
      <c r="B1315" t="s">
        <v>36</v>
      </c>
      <c r="C1315" t="s">
        <v>50</v>
      </c>
      <c r="D1315">
        <v>101</v>
      </c>
      <c r="E1315" t="s">
        <v>466</v>
      </c>
    </row>
    <row r="1316" spans="1:5" x14ac:dyDescent="0.35">
      <c r="A1316">
        <v>2006</v>
      </c>
      <c r="B1316" t="s">
        <v>34</v>
      </c>
      <c r="C1316" t="s">
        <v>51</v>
      </c>
      <c r="D1316">
        <v>5</v>
      </c>
      <c r="E1316" t="s">
        <v>466</v>
      </c>
    </row>
    <row r="1317" spans="1:5" x14ac:dyDescent="0.35">
      <c r="A1317">
        <v>2006</v>
      </c>
      <c r="B1317" t="s">
        <v>34</v>
      </c>
      <c r="C1317" t="s">
        <v>52</v>
      </c>
      <c r="D1317">
        <v>190</v>
      </c>
      <c r="E1317" t="s">
        <v>466</v>
      </c>
    </row>
    <row r="1318" spans="1:5" x14ac:dyDescent="0.35">
      <c r="A1318">
        <v>2006</v>
      </c>
      <c r="B1318" t="s">
        <v>36</v>
      </c>
      <c r="C1318" t="s">
        <v>53</v>
      </c>
      <c r="D1318">
        <v>34</v>
      </c>
      <c r="E1318" t="s">
        <v>466</v>
      </c>
    </row>
    <row r="1319" spans="1:5" x14ac:dyDescent="0.35">
      <c r="A1319">
        <v>2006</v>
      </c>
      <c r="B1319" t="s">
        <v>35</v>
      </c>
      <c r="C1319" t="s">
        <v>54</v>
      </c>
      <c r="D1319">
        <v>22</v>
      </c>
      <c r="E1319" t="s">
        <v>466</v>
      </c>
    </row>
    <row r="1320" spans="1:5" x14ac:dyDescent="0.35">
      <c r="A1320">
        <v>2006</v>
      </c>
      <c r="B1320" t="s">
        <v>35</v>
      </c>
      <c r="C1320" t="s">
        <v>55</v>
      </c>
      <c r="D1320">
        <v>16</v>
      </c>
      <c r="E1320" t="s">
        <v>466</v>
      </c>
    </row>
    <row r="1321" spans="1:5" x14ac:dyDescent="0.35">
      <c r="A1321">
        <v>2006</v>
      </c>
      <c r="B1321" t="s">
        <v>36</v>
      </c>
      <c r="C1321" t="s">
        <v>56</v>
      </c>
      <c r="D1321">
        <v>140</v>
      </c>
      <c r="E1321" t="s">
        <v>466</v>
      </c>
    </row>
    <row r="1322" spans="1:5" x14ac:dyDescent="0.35">
      <c r="A1322">
        <v>2006</v>
      </c>
      <c r="B1322" t="s">
        <v>33</v>
      </c>
      <c r="C1322" t="s">
        <v>57</v>
      </c>
      <c r="D1322">
        <v>8</v>
      </c>
      <c r="E1322" t="s">
        <v>466</v>
      </c>
    </row>
    <row r="1323" spans="1:5" x14ac:dyDescent="0.35">
      <c r="A1323">
        <v>2006</v>
      </c>
      <c r="B1323" t="s">
        <v>36</v>
      </c>
      <c r="C1323" t="s">
        <v>363</v>
      </c>
      <c r="D1323">
        <v>8</v>
      </c>
      <c r="E1323" t="s">
        <v>466</v>
      </c>
    </row>
    <row r="1324" spans="1:5" x14ac:dyDescent="0.35">
      <c r="A1324">
        <v>2006</v>
      </c>
      <c r="B1324" t="s">
        <v>38</v>
      </c>
      <c r="C1324" t="s">
        <v>59</v>
      </c>
      <c r="D1324">
        <v>310</v>
      </c>
      <c r="E1324" t="s">
        <v>466</v>
      </c>
    </row>
    <row r="1325" spans="1:5" x14ac:dyDescent="0.35">
      <c r="A1325">
        <v>2006</v>
      </c>
      <c r="B1325" t="s">
        <v>35</v>
      </c>
      <c r="C1325" t="s">
        <v>60</v>
      </c>
      <c r="D1325">
        <v>66</v>
      </c>
      <c r="E1325" t="s">
        <v>466</v>
      </c>
    </row>
    <row r="1326" spans="1:5" x14ac:dyDescent="0.35">
      <c r="A1326">
        <v>2006</v>
      </c>
      <c r="B1326" t="s">
        <v>38</v>
      </c>
      <c r="C1326" t="s">
        <v>21</v>
      </c>
      <c r="D1326">
        <v>2957</v>
      </c>
      <c r="E1326" t="s">
        <v>466</v>
      </c>
    </row>
    <row r="1327" spans="1:5" x14ac:dyDescent="0.35">
      <c r="A1327">
        <v>2006</v>
      </c>
      <c r="B1327" t="s">
        <v>36</v>
      </c>
      <c r="C1327" t="s">
        <v>364</v>
      </c>
      <c r="D1327">
        <v>4</v>
      </c>
      <c r="E1327" t="s">
        <v>466</v>
      </c>
    </row>
    <row r="1328" spans="1:5" x14ac:dyDescent="0.35">
      <c r="A1328">
        <v>2006</v>
      </c>
      <c r="B1328" t="s">
        <v>35</v>
      </c>
      <c r="C1328" t="s">
        <v>62</v>
      </c>
      <c r="D1328">
        <v>69</v>
      </c>
      <c r="E1328" t="s">
        <v>466</v>
      </c>
    </row>
    <row r="1329" spans="1:5" x14ac:dyDescent="0.35">
      <c r="A1329">
        <v>2006</v>
      </c>
      <c r="B1329" t="s">
        <v>33</v>
      </c>
      <c r="C1329" t="s">
        <v>63</v>
      </c>
      <c r="D1329">
        <v>13</v>
      </c>
      <c r="E1329" t="s">
        <v>466</v>
      </c>
    </row>
    <row r="1330" spans="1:5" x14ac:dyDescent="0.35">
      <c r="A1330">
        <v>2006</v>
      </c>
      <c r="B1330" t="s">
        <v>34</v>
      </c>
      <c r="C1330" t="s">
        <v>64</v>
      </c>
      <c r="D1330">
        <v>26</v>
      </c>
      <c r="E1330" t="s">
        <v>466</v>
      </c>
    </row>
    <row r="1331" spans="1:5" x14ac:dyDescent="0.35">
      <c r="A1331">
        <v>2006</v>
      </c>
      <c r="B1331" t="s">
        <v>33</v>
      </c>
      <c r="C1331" t="s">
        <v>65</v>
      </c>
      <c r="D1331">
        <v>8</v>
      </c>
      <c r="E1331" t="s">
        <v>466</v>
      </c>
    </row>
    <row r="1332" spans="1:5" x14ac:dyDescent="0.35">
      <c r="A1332">
        <v>2006</v>
      </c>
      <c r="B1332" t="s">
        <v>33</v>
      </c>
      <c r="C1332" t="s">
        <v>66</v>
      </c>
      <c r="D1332">
        <v>124</v>
      </c>
      <c r="E1332" t="s">
        <v>466</v>
      </c>
    </row>
    <row r="1333" spans="1:5" x14ac:dyDescent="0.35">
      <c r="A1333">
        <v>2006</v>
      </c>
      <c r="B1333" t="s">
        <v>34</v>
      </c>
      <c r="C1333" t="s">
        <v>67</v>
      </c>
      <c r="D1333">
        <v>79</v>
      </c>
      <c r="E1333" t="s">
        <v>466</v>
      </c>
    </row>
    <row r="1334" spans="1:5" x14ac:dyDescent="0.35">
      <c r="A1334">
        <v>2006</v>
      </c>
      <c r="B1334" t="s">
        <v>33</v>
      </c>
      <c r="C1334" t="s">
        <v>68</v>
      </c>
      <c r="D1334">
        <v>1200</v>
      </c>
      <c r="E1334" t="s">
        <v>466</v>
      </c>
    </row>
    <row r="1335" spans="1:5" x14ac:dyDescent="0.35">
      <c r="A1335">
        <v>2006</v>
      </c>
      <c r="B1335" t="s">
        <v>36</v>
      </c>
      <c r="C1335" t="s">
        <v>69</v>
      </c>
      <c r="D1335">
        <v>57</v>
      </c>
      <c r="E1335" t="s">
        <v>466</v>
      </c>
    </row>
    <row r="1336" spans="1:5" x14ac:dyDescent="0.35">
      <c r="A1336">
        <v>2006</v>
      </c>
      <c r="B1336" t="s">
        <v>36</v>
      </c>
      <c r="C1336" t="s">
        <v>365</v>
      </c>
      <c r="E1336" t="s">
        <v>466</v>
      </c>
    </row>
    <row r="1337" spans="1:5" x14ac:dyDescent="0.35">
      <c r="A1337">
        <v>2006</v>
      </c>
      <c r="B1337" t="s">
        <v>33</v>
      </c>
      <c r="C1337" t="s">
        <v>70</v>
      </c>
      <c r="D1337">
        <v>5</v>
      </c>
      <c r="E1337" t="s">
        <v>466</v>
      </c>
    </row>
    <row r="1338" spans="1:5" x14ac:dyDescent="0.35">
      <c r="A1338">
        <v>2006</v>
      </c>
      <c r="B1338" t="s">
        <v>33</v>
      </c>
      <c r="C1338" t="s">
        <v>71</v>
      </c>
      <c r="D1338">
        <v>4</v>
      </c>
      <c r="E1338" t="s">
        <v>466</v>
      </c>
    </row>
    <row r="1339" spans="1:5" x14ac:dyDescent="0.35">
      <c r="A1339">
        <v>2006</v>
      </c>
      <c r="B1339" t="s">
        <v>38</v>
      </c>
      <c r="C1339" t="s">
        <v>72</v>
      </c>
      <c r="D1339">
        <v>190</v>
      </c>
      <c r="E1339" t="s">
        <v>466</v>
      </c>
    </row>
    <row r="1340" spans="1:5" x14ac:dyDescent="0.35">
      <c r="A1340">
        <v>2006</v>
      </c>
      <c r="B1340" t="s">
        <v>34</v>
      </c>
      <c r="C1340" t="s">
        <v>73</v>
      </c>
      <c r="D1340">
        <v>2987</v>
      </c>
      <c r="E1340" t="s">
        <v>466</v>
      </c>
    </row>
    <row r="1341" spans="1:5" x14ac:dyDescent="0.35">
      <c r="A1341">
        <v>2006</v>
      </c>
      <c r="B1341" t="s">
        <v>38</v>
      </c>
      <c r="C1341" t="s">
        <v>20</v>
      </c>
      <c r="D1341">
        <v>1647</v>
      </c>
      <c r="E1341" t="s">
        <v>466</v>
      </c>
    </row>
    <row r="1342" spans="1:5" x14ac:dyDescent="0.35">
      <c r="A1342">
        <v>2006</v>
      </c>
      <c r="B1342" t="s">
        <v>33</v>
      </c>
      <c r="C1342" t="s">
        <v>74</v>
      </c>
      <c r="D1342">
        <v>13</v>
      </c>
      <c r="E1342" t="s">
        <v>466</v>
      </c>
    </row>
    <row r="1343" spans="1:5" x14ac:dyDescent="0.35">
      <c r="A1343">
        <v>2006</v>
      </c>
      <c r="B1343" t="s">
        <v>33</v>
      </c>
      <c r="C1343" t="s">
        <v>75</v>
      </c>
      <c r="D1343">
        <v>44</v>
      </c>
      <c r="E1343" t="s">
        <v>466</v>
      </c>
    </row>
    <row r="1344" spans="1:5" x14ac:dyDescent="0.35">
      <c r="A1344">
        <v>2006</v>
      </c>
      <c r="B1344" t="s">
        <v>36</v>
      </c>
      <c r="C1344" t="s">
        <v>76</v>
      </c>
      <c r="D1344">
        <v>804</v>
      </c>
      <c r="E1344" t="s">
        <v>466</v>
      </c>
    </row>
    <row r="1345" spans="1:5" x14ac:dyDescent="0.35">
      <c r="A1345">
        <v>2006</v>
      </c>
      <c r="B1345" t="s">
        <v>33</v>
      </c>
      <c r="C1345" t="s">
        <v>77</v>
      </c>
      <c r="D1345">
        <v>62</v>
      </c>
      <c r="E1345" t="s">
        <v>466</v>
      </c>
    </row>
    <row r="1346" spans="1:5" x14ac:dyDescent="0.35">
      <c r="A1346">
        <v>2006</v>
      </c>
      <c r="B1346" t="s">
        <v>35</v>
      </c>
      <c r="C1346" t="s">
        <v>78</v>
      </c>
      <c r="D1346">
        <v>15</v>
      </c>
      <c r="E1346" t="s">
        <v>466</v>
      </c>
    </row>
    <row r="1347" spans="1:5" x14ac:dyDescent="0.35">
      <c r="A1347">
        <v>2006</v>
      </c>
      <c r="B1347" t="s">
        <v>36</v>
      </c>
      <c r="C1347" t="s">
        <v>79</v>
      </c>
      <c r="D1347">
        <v>5088</v>
      </c>
      <c r="E1347" t="s">
        <v>466</v>
      </c>
    </row>
    <row r="1348" spans="1:5" x14ac:dyDescent="0.35">
      <c r="A1348">
        <v>2006</v>
      </c>
      <c r="B1348" t="s">
        <v>35</v>
      </c>
      <c r="C1348" t="s">
        <v>81</v>
      </c>
      <c r="D1348">
        <v>44</v>
      </c>
      <c r="E1348" t="s">
        <v>466</v>
      </c>
    </row>
    <row r="1349" spans="1:5" x14ac:dyDescent="0.35">
      <c r="A1349">
        <v>2006</v>
      </c>
      <c r="B1349" t="s">
        <v>35</v>
      </c>
      <c r="C1349" t="s">
        <v>214</v>
      </c>
      <c r="D1349">
        <v>33</v>
      </c>
      <c r="E1349" t="s">
        <v>466</v>
      </c>
    </row>
    <row r="1350" spans="1:5" x14ac:dyDescent="0.35">
      <c r="A1350">
        <v>2006</v>
      </c>
      <c r="B1350" t="s">
        <v>35</v>
      </c>
      <c r="C1350" t="s">
        <v>82</v>
      </c>
      <c r="D1350">
        <v>6</v>
      </c>
      <c r="E1350" t="s">
        <v>466</v>
      </c>
    </row>
    <row r="1351" spans="1:5" x14ac:dyDescent="0.35">
      <c r="A1351">
        <v>2006</v>
      </c>
      <c r="B1351" t="s">
        <v>36</v>
      </c>
      <c r="C1351" t="s">
        <v>84</v>
      </c>
      <c r="D1351">
        <v>35</v>
      </c>
      <c r="E1351" t="s">
        <v>466</v>
      </c>
    </row>
    <row r="1352" spans="1:5" x14ac:dyDescent="0.35">
      <c r="A1352">
        <v>2006</v>
      </c>
      <c r="B1352" t="s">
        <v>36</v>
      </c>
      <c r="C1352" t="s">
        <v>85</v>
      </c>
      <c r="D1352">
        <v>3713</v>
      </c>
      <c r="E1352" t="s">
        <v>466</v>
      </c>
    </row>
    <row r="1353" spans="1:5" x14ac:dyDescent="0.35">
      <c r="A1353">
        <v>2006</v>
      </c>
      <c r="B1353" t="s">
        <v>38</v>
      </c>
      <c r="C1353" t="s">
        <v>86</v>
      </c>
      <c r="D1353">
        <v>1931</v>
      </c>
      <c r="E1353" t="s">
        <v>466</v>
      </c>
    </row>
    <row r="1354" spans="1:5" x14ac:dyDescent="0.35">
      <c r="A1354">
        <v>2006</v>
      </c>
      <c r="B1354" t="s">
        <v>33</v>
      </c>
      <c r="C1354" t="s">
        <v>87</v>
      </c>
      <c r="D1354">
        <v>354</v>
      </c>
      <c r="E1354" t="s">
        <v>466</v>
      </c>
    </row>
    <row r="1355" spans="1:5" x14ac:dyDescent="0.35">
      <c r="A1355">
        <v>2006</v>
      </c>
      <c r="B1355" t="s">
        <v>36</v>
      </c>
      <c r="C1355" t="s">
        <v>16</v>
      </c>
      <c r="D1355">
        <v>46314</v>
      </c>
      <c r="E1355" t="s">
        <v>466</v>
      </c>
    </row>
    <row r="1356" spans="1:5" x14ac:dyDescent="0.35">
      <c r="A1356">
        <v>2006</v>
      </c>
      <c r="B1356" t="s">
        <v>33</v>
      </c>
      <c r="C1356" t="s">
        <v>88</v>
      </c>
      <c r="E1356" t="s">
        <v>466</v>
      </c>
    </row>
    <row r="1357" spans="1:5" x14ac:dyDescent="0.35">
      <c r="A1357">
        <v>2006</v>
      </c>
      <c r="B1357" t="s">
        <v>33</v>
      </c>
      <c r="C1357" t="s">
        <v>89</v>
      </c>
      <c r="D1357">
        <v>83</v>
      </c>
      <c r="E1357" t="s">
        <v>466</v>
      </c>
    </row>
    <row r="1358" spans="1:5" x14ac:dyDescent="0.35">
      <c r="A1358">
        <v>2006</v>
      </c>
      <c r="B1358" t="s">
        <v>35</v>
      </c>
      <c r="C1358" t="s">
        <v>90</v>
      </c>
      <c r="D1358">
        <v>13</v>
      </c>
      <c r="E1358" t="s">
        <v>466</v>
      </c>
    </row>
    <row r="1359" spans="1:5" x14ac:dyDescent="0.35">
      <c r="A1359">
        <v>2006</v>
      </c>
      <c r="B1359" t="s">
        <v>33</v>
      </c>
      <c r="C1359" t="s">
        <v>91</v>
      </c>
      <c r="D1359">
        <v>346</v>
      </c>
      <c r="E1359" t="s">
        <v>466</v>
      </c>
    </row>
    <row r="1360" spans="1:5" x14ac:dyDescent="0.35">
      <c r="A1360">
        <v>2006</v>
      </c>
      <c r="B1360" t="s">
        <v>37</v>
      </c>
      <c r="C1360" t="s">
        <v>92</v>
      </c>
      <c r="D1360">
        <v>54</v>
      </c>
      <c r="E1360" t="s">
        <v>466</v>
      </c>
    </row>
    <row r="1361" spans="1:5" x14ac:dyDescent="0.35">
      <c r="A1361">
        <v>2006</v>
      </c>
      <c r="B1361" t="s">
        <v>35</v>
      </c>
      <c r="C1361" t="s">
        <v>94</v>
      </c>
      <c r="D1361">
        <v>75</v>
      </c>
      <c r="E1361" t="s">
        <v>466</v>
      </c>
    </row>
    <row r="1362" spans="1:5" x14ac:dyDescent="0.35">
      <c r="A1362">
        <v>2006</v>
      </c>
      <c r="B1362" t="s">
        <v>33</v>
      </c>
      <c r="C1362" t="s">
        <v>95</v>
      </c>
      <c r="D1362">
        <v>4</v>
      </c>
      <c r="E1362" t="s">
        <v>466</v>
      </c>
    </row>
    <row r="1363" spans="1:5" x14ac:dyDescent="0.35">
      <c r="A1363">
        <v>2006</v>
      </c>
      <c r="B1363" t="s">
        <v>33</v>
      </c>
      <c r="C1363" t="s">
        <v>96</v>
      </c>
      <c r="D1363">
        <v>71</v>
      </c>
      <c r="E1363" t="s">
        <v>466</v>
      </c>
    </row>
    <row r="1364" spans="1:5" x14ac:dyDescent="0.35">
      <c r="A1364">
        <v>2006</v>
      </c>
      <c r="B1364" t="s">
        <v>34</v>
      </c>
      <c r="C1364" t="s">
        <v>8</v>
      </c>
      <c r="D1364">
        <v>50</v>
      </c>
      <c r="E1364" t="s">
        <v>466</v>
      </c>
    </row>
    <row r="1365" spans="1:5" x14ac:dyDescent="0.35">
      <c r="A1365">
        <v>2006</v>
      </c>
      <c r="B1365" t="s">
        <v>35</v>
      </c>
      <c r="C1365" t="s">
        <v>97</v>
      </c>
      <c r="D1365">
        <v>130</v>
      </c>
      <c r="E1365" t="s">
        <v>466</v>
      </c>
    </row>
    <row r="1366" spans="1:5" x14ac:dyDescent="0.35">
      <c r="A1366">
        <v>2006</v>
      </c>
      <c r="B1366" t="s">
        <v>33</v>
      </c>
      <c r="C1366" t="s">
        <v>98</v>
      </c>
      <c r="D1366">
        <v>251</v>
      </c>
      <c r="E1366" t="s">
        <v>466</v>
      </c>
    </row>
    <row r="1367" spans="1:5" x14ac:dyDescent="0.35">
      <c r="A1367">
        <v>2006</v>
      </c>
      <c r="B1367" t="s">
        <v>35</v>
      </c>
      <c r="C1367" t="s">
        <v>99</v>
      </c>
      <c r="D1367">
        <v>36</v>
      </c>
      <c r="E1367" t="s">
        <v>466</v>
      </c>
    </row>
    <row r="1368" spans="1:5" x14ac:dyDescent="0.35">
      <c r="A1368">
        <v>2006</v>
      </c>
      <c r="B1368" t="s">
        <v>36</v>
      </c>
      <c r="C1368" t="s">
        <v>100</v>
      </c>
      <c r="D1368">
        <v>28</v>
      </c>
      <c r="E1368" t="s">
        <v>466</v>
      </c>
    </row>
    <row r="1369" spans="1:5" x14ac:dyDescent="0.35">
      <c r="A1369">
        <v>2006</v>
      </c>
      <c r="B1369" t="s">
        <v>37</v>
      </c>
      <c r="C1369" t="s">
        <v>367</v>
      </c>
      <c r="E1369" t="s">
        <v>466</v>
      </c>
    </row>
    <row r="1370" spans="1:5" x14ac:dyDescent="0.35">
      <c r="A1370">
        <v>2006</v>
      </c>
      <c r="B1370" t="s">
        <v>36</v>
      </c>
      <c r="C1370" t="s">
        <v>15</v>
      </c>
      <c r="D1370">
        <v>25144</v>
      </c>
      <c r="E1370" t="s">
        <v>466</v>
      </c>
    </row>
    <row r="1371" spans="1:5" x14ac:dyDescent="0.35">
      <c r="A1371">
        <v>2006</v>
      </c>
      <c r="B1371" t="s">
        <v>33</v>
      </c>
      <c r="C1371" t="s">
        <v>101</v>
      </c>
      <c r="D1371">
        <v>64</v>
      </c>
      <c r="E1371" t="s">
        <v>466</v>
      </c>
    </row>
    <row r="1372" spans="1:5" x14ac:dyDescent="0.35">
      <c r="A1372">
        <v>2006</v>
      </c>
      <c r="B1372" t="s">
        <v>33</v>
      </c>
      <c r="C1372" t="s">
        <v>102</v>
      </c>
      <c r="E1372" t="s">
        <v>466</v>
      </c>
    </row>
    <row r="1373" spans="1:5" x14ac:dyDescent="0.35">
      <c r="A1373">
        <v>2006</v>
      </c>
      <c r="B1373" t="s">
        <v>38</v>
      </c>
      <c r="C1373" t="s">
        <v>103</v>
      </c>
      <c r="D1373">
        <v>243</v>
      </c>
      <c r="E1373" t="s">
        <v>466</v>
      </c>
    </row>
    <row r="1374" spans="1:5" x14ac:dyDescent="0.35">
      <c r="A1374">
        <v>2006</v>
      </c>
      <c r="B1374" t="s">
        <v>36</v>
      </c>
      <c r="C1374" t="s">
        <v>104</v>
      </c>
      <c r="D1374">
        <v>1215</v>
      </c>
      <c r="E1374" t="s">
        <v>466</v>
      </c>
    </row>
    <row r="1375" spans="1:5" x14ac:dyDescent="0.35">
      <c r="A1375">
        <v>2006</v>
      </c>
      <c r="B1375" t="s">
        <v>36</v>
      </c>
      <c r="C1375" t="s">
        <v>17</v>
      </c>
      <c r="D1375">
        <v>33394</v>
      </c>
      <c r="E1375" t="s">
        <v>466</v>
      </c>
    </row>
    <row r="1376" spans="1:5" x14ac:dyDescent="0.35">
      <c r="A1376">
        <v>2006</v>
      </c>
      <c r="B1376" t="s">
        <v>34</v>
      </c>
      <c r="C1376" t="s">
        <v>368</v>
      </c>
      <c r="D1376">
        <v>22</v>
      </c>
      <c r="E1376" t="s">
        <v>466</v>
      </c>
    </row>
    <row r="1377" spans="1:5" x14ac:dyDescent="0.35">
      <c r="A1377">
        <v>2006</v>
      </c>
      <c r="B1377" t="s">
        <v>35</v>
      </c>
      <c r="C1377" t="s">
        <v>105</v>
      </c>
      <c r="D1377">
        <v>47</v>
      </c>
      <c r="E1377" t="s">
        <v>466</v>
      </c>
    </row>
    <row r="1378" spans="1:5" x14ac:dyDescent="0.35">
      <c r="A1378">
        <v>2006</v>
      </c>
      <c r="B1378" t="s">
        <v>35</v>
      </c>
      <c r="C1378" t="s">
        <v>106</v>
      </c>
      <c r="E1378" t="s">
        <v>466</v>
      </c>
    </row>
    <row r="1379" spans="1:5" x14ac:dyDescent="0.35">
      <c r="A1379">
        <v>2006</v>
      </c>
      <c r="B1379" t="s">
        <v>34</v>
      </c>
      <c r="C1379" t="s">
        <v>22</v>
      </c>
      <c r="D1379">
        <v>769</v>
      </c>
      <c r="E1379" t="s">
        <v>466</v>
      </c>
    </row>
    <row r="1380" spans="1:5" x14ac:dyDescent="0.35">
      <c r="A1380">
        <v>2006</v>
      </c>
      <c r="B1380" t="s">
        <v>34</v>
      </c>
      <c r="C1380" t="s">
        <v>107</v>
      </c>
      <c r="D1380">
        <v>488</v>
      </c>
      <c r="E1380" t="s">
        <v>466</v>
      </c>
    </row>
    <row r="1381" spans="1:5" x14ac:dyDescent="0.35">
      <c r="A1381">
        <v>2006</v>
      </c>
      <c r="B1381" t="s">
        <v>34</v>
      </c>
      <c r="C1381" t="s">
        <v>108</v>
      </c>
      <c r="D1381">
        <v>215</v>
      </c>
      <c r="E1381" t="s">
        <v>466</v>
      </c>
    </row>
    <row r="1382" spans="1:5" x14ac:dyDescent="0.35">
      <c r="A1382">
        <v>2006</v>
      </c>
      <c r="B1382" t="s">
        <v>34</v>
      </c>
      <c r="C1382" t="s">
        <v>109</v>
      </c>
      <c r="D1382">
        <v>170</v>
      </c>
      <c r="E1382" t="s">
        <v>466</v>
      </c>
    </row>
    <row r="1383" spans="1:5" x14ac:dyDescent="0.35">
      <c r="A1383">
        <v>2006</v>
      </c>
      <c r="B1383" t="s">
        <v>35</v>
      </c>
      <c r="C1383" t="s">
        <v>110</v>
      </c>
      <c r="D1383">
        <v>52</v>
      </c>
      <c r="E1383" t="s">
        <v>466</v>
      </c>
    </row>
    <row r="1384" spans="1:5" x14ac:dyDescent="0.35">
      <c r="A1384">
        <v>2006</v>
      </c>
      <c r="B1384" t="s">
        <v>34</v>
      </c>
      <c r="C1384" t="s">
        <v>111</v>
      </c>
      <c r="D1384">
        <v>267</v>
      </c>
      <c r="E1384" t="s">
        <v>466</v>
      </c>
    </row>
    <row r="1385" spans="1:5" x14ac:dyDescent="0.35">
      <c r="A1385">
        <v>2006</v>
      </c>
      <c r="B1385" t="s">
        <v>35</v>
      </c>
      <c r="C1385" t="s">
        <v>112</v>
      </c>
      <c r="D1385">
        <v>90</v>
      </c>
      <c r="E1385" t="s">
        <v>466</v>
      </c>
    </row>
    <row r="1386" spans="1:5" x14ac:dyDescent="0.35">
      <c r="A1386">
        <v>2006</v>
      </c>
      <c r="B1386" t="s">
        <v>36</v>
      </c>
      <c r="C1386" t="s">
        <v>113</v>
      </c>
      <c r="D1386">
        <v>1350</v>
      </c>
      <c r="E1386" t="s">
        <v>466</v>
      </c>
    </row>
    <row r="1387" spans="1:5" x14ac:dyDescent="0.35">
      <c r="A1387">
        <v>2006</v>
      </c>
      <c r="B1387" t="s">
        <v>34</v>
      </c>
      <c r="C1387" t="s">
        <v>114</v>
      </c>
      <c r="D1387">
        <v>33</v>
      </c>
      <c r="E1387" t="s">
        <v>466</v>
      </c>
    </row>
    <row r="1388" spans="1:5" x14ac:dyDescent="0.35">
      <c r="A1388">
        <v>2006</v>
      </c>
      <c r="B1388" t="s">
        <v>34</v>
      </c>
      <c r="C1388" t="s">
        <v>115</v>
      </c>
      <c r="D1388">
        <v>338</v>
      </c>
      <c r="E1388" t="s">
        <v>466</v>
      </c>
    </row>
    <row r="1389" spans="1:5" x14ac:dyDescent="0.35">
      <c r="A1389">
        <v>2006</v>
      </c>
      <c r="B1389" t="s">
        <v>34</v>
      </c>
      <c r="C1389" t="s">
        <v>116</v>
      </c>
      <c r="D1389">
        <v>40</v>
      </c>
      <c r="E1389" t="s">
        <v>466</v>
      </c>
    </row>
    <row r="1390" spans="1:5" x14ac:dyDescent="0.35">
      <c r="A1390">
        <v>2006</v>
      </c>
      <c r="B1390" t="s">
        <v>33</v>
      </c>
      <c r="C1390" t="s">
        <v>117</v>
      </c>
      <c r="D1390">
        <v>176</v>
      </c>
      <c r="E1390" t="s">
        <v>466</v>
      </c>
    </row>
    <row r="1391" spans="1:5" x14ac:dyDescent="0.35">
      <c r="A1391">
        <v>2006</v>
      </c>
      <c r="B1391" t="s">
        <v>34</v>
      </c>
      <c r="C1391" t="s">
        <v>118</v>
      </c>
      <c r="D1391">
        <v>519</v>
      </c>
      <c r="E1391" t="s">
        <v>466</v>
      </c>
    </row>
    <row r="1392" spans="1:5" x14ac:dyDescent="0.35">
      <c r="A1392">
        <v>2006</v>
      </c>
      <c r="B1392" t="s">
        <v>35</v>
      </c>
      <c r="C1392" t="s">
        <v>119</v>
      </c>
      <c r="E1392" t="s">
        <v>466</v>
      </c>
    </row>
    <row r="1393" spans="1:5" x14ac:dyDescent="0.35">
      <c r="A1393">
        <v>2006</v>
      </c>
      <c r="B1393" t="s">
        <v>34</v>
      </c>
      <c r="C1393" t="s">
        <v>120</v>
      </c>
      <c r="D1393">
        <v>80</v>
      </c>
      <c r="E1393" t="s">
        <v>466</v>
      </c>
    </row>
    <row r="1394" spans="1:5" x14ac:dyDescent="0.35">
      <c r="A1394">
        <v>2006</v>
      </c>
      <c r="B1394" t="s">
        <v>34</v>
      </c>
      <c r="C1394" t="s">
        <v>121</v>
      </c>
      <c r="D1394">
        <v>14</v>
      </c>
      <c r="E1394" t="s">
        <v>466</v>
      </c>
    </row>
    <row r="1395" spans="1:5" x14ac:dyDescent="0.35">
      <c r="A1395">
        <v>2006</v>
      </c>
      <c r="B1395" t="s">
        <v>34</v>
      </c>
      <c r="C1395" t="s">
        <v>122</v>
      </c>
      <c r="D1395">
        <v>199</v>
      </c>
      <c r="E1395" t="s">
        <v>466</v>
      </c>
    </row>
    <row r="1396" spans="1:5" x14ac:dyDescent="0.35">
      <c r="A1396">
        <v>2006</v>
      </c>
      <c r="B1396" t="s">
        <v>35</v>
      </c>
      <c r="C1396" t="s">
        <v>123</v>
      </c>
      <c r="D1396">
        <v>22</v>
      </c>
      <c r="E1396" t="s">
        <v>466</v>
      </c>
    </row>
    <row r="1397" spans="1:5" x14ac:dyDescent="0.35">
      <c r="A1397">
        <v>2006</v>
      </c>
      <c r="B1397" t="s">
        <v>34</v>
      </c>
      <c r="C1397" t="s">
        <v>124</v>
      </c>
      <c r="D1397">
        <v>262</v>
      </c>
      <c r="E1397" t="s">
        <v>466</v>
      </c>
    </row>
    <row r="1398" spans="1:5" x14ac:dyDescent="0.35">
      <c r="A1398">
        <v>2006</v>
      </c>
      <c r="B1398" t="s">
        <v>33</v>
      </c>
      <c r="C1398" t="s">
        <v>125</v>
      </c>
      <c r="D1398">
        <v>137</v>
      </c>
      <c r="E1398" t="s">
        <v>466</v>
      </c>
    </row>
    <row r="1399" spans="1:5" x14ac:dyDescent="0.35">
      <c r="A1399">
        <v>2006</v>
      </c>
      <c r="B1399" t="s">
        <v>33</v>
      </c>
      <c r="C1399" t="s">
        <v>126</v>
      </c>
      <c r="D1399">
        <v>10</v>
      </c>
      <c r="E1399" t="s">
        <v>466</v>
      </c>
    </row>
    <row r="1400" spans="1:5" x14ac:dyDescent="0.35">
      <c r="A1400">
        <v>2006</v>
      </c>
      <c r="B1400" t="s">
        <v>35</v>
      </c>
      <c r="C1400" t="s">
        <v>127</v>
      </c>
      <c r="D1400">
        <v>47</v>
      </c>
      <c r="E1400" t="s">
        <v>466</v>
      </c>
    </row>
    <row r="1401" spans="1:5" x14ac:dyDescent="0.35">
      <c r="A1401">
        <v>2006</v>
      </c>
      <c r="B1401" t="s">
        <v>34</v>
      </c>
      <c r="C1401" t="s">
        <v>369</v>
      </c>
      <c r="E1401" t="s">
        <v>466</v>
      </c>
    </row>
    <row r="1402" spans="1:5" x14ac:dyDescent="0.35">
      <c r="A1402">
        <v>2006</v>
      </c>
      <c r="B1402" t="s">
        <v>33</v>
      </c>
      <c r="C1402" t="s">
        <v>130</v>
      </c>
      <c r="D1402">
        <v>5</v>
      </c>
      <c r="E1402" t="s">
        <v>466</v>
      </c>
    </row>
    <row r="1403" spans="1:5" x14ac:dyDescent="0.35">
      <c r="A1403">
        <v>2006</v>
      </c>
      <c r="B1403" t="s">
        <v>34</v>
      </c>
      <c r="C1403" t="s">
        <v>131</v>
      </c>
      <c r="D1403">
        <v>104</v>
      </c>
      <c r="E1403" t="s">
        <v>466</v>
      </c>
    </row>
    <row r="1404" spans="1:5" x14ac:dyDescent="0.35">
      <c r="A1404">
        <v>2006</v>
      </c>
      <c r="B1404" t="s">
        <v>33</v>
      </c>
      <c r="C1404" t="s">
        <v>132</v>
      </c>
      <c r="D1404">
        <v>120</v>
      </c>
      <c r="E1404" t="s">
        <v>466</v>
      </c>
    </row>
    <row r="1405" spans="1:5" x14ac:dyDescent="0.35">
      <c r="A1405">
        <v>2006</v>
      </c>
      <c r="B1405" t="s">
        <v>35</v>
      </c>
      <c r="C1405" t="s">
        <v>133</v>
      </c>
      <c r="E1405" t="s">
        <v>466</v>
      </c>
    </row>
    <row r="1406" spans="1:5" x14ac:dyDescent="0.35">
      <c r="A1406">
        <v>2006</v>
      </c>
      <c r="B1406" t="s">
        <v>37</v>
      </c>
      <c r="C1406" t="s">
        <v>134</v>
      </c>
      <c r="D1406">
        <v>4</v>
      </c>
      <c r="E1406" t="s">
        <v>466</v>
      </c>
    </row>
    <row r="1407" spans="1:5" x14ac:dyDescent="0.35">
      <c r="A1407">
        <v>2006</v>
      </c>
      <c r="B1407" t="s">
        <v>33</v>
      </c>
      <c r="C1407" t="s">
        <v>135</v>
      </c>
      <c r="D1407">
        <v>46</v>
      </c>
      <c r="E1407" t="s">
        <v>466</v>
      </c>
    </row>
    <row r="1408" spans="1:5" x14ac:dyDescent="0.35">
      <c r="A1408">
        <v>2006</v>
      </c>
      <c r="B1408" t="s">
        <v>36</v>
      </c>
      <c r="C1408" t="s">
        <v>14</v>
      </c>
      <c r="D1408">
        <v>1057222</v>
      </c>
      <c r="E1408" t="s">
        <v>466</v>
      </c>
    </row>
    <row r="1409" spans="1:5" x14ac:dyDescent="0.35">
      <c r="A1409">
        <v>2006</v>
      </c>
      <c r="B1409" t="s">
        <v>37</v>
      </c>
      <c r="C1409" t="s">
        <v>137</v>
      </c>
      <c r="D1409">
        <v>23</v>
      </c>
      <c r="E1409" t="s">
        <v>466</v>
      </c>
    </row>
    <row r="1410" spans="1:5" x14ac:dyDescent="0.35">
      <c r="A1410">
        <v>2006</v>
      </c>
      <c r="B1410" t="s">
        <v>35</v>
      </c>
      <c r="C1410" t="s">
        <v>138</v>
      </c>
      <c r="D1410">
        <v>28</v>
      </c>
      <c r="E1410" t="s">
        <v>466</v>
      </c>
    </row>
    <row r="1411" spans="1:5" x14ac:dyDescent="0.35">
      <c r="A1411">
        <v>2006</v>
      </c>
      <c r="B1411" t="s">
        <v>34</v>
      </c>
      <c r="C1411" t="s">
        <v>139</v>
      </c>
      <c r="D1411">
        <v>44</v>
      </c>
      <c r="E1411" t="s">
        <v>466</v>
      </c>
    </row>
    <row r="1412" spans="1:5" x14ac:dyDescent="0.35">
      <c r="A1412">
        <v>2006</v>
      </c>
      <c r="B1412" t="s">
        <v>35</v>
      </c>
      <c r="C1412" t="s">
        <v>140</v>
      </c>
      <c r="E1412" t="s">
        <v>466</v>
      </c>
    </row>
    <row r="1413" spans="1:5" x14ac:dyDescent="0.35">
      <c r="A1413">
        <v>2006</v>
      </c>
      <c r="B1413" t="s">
        <v>36</v>
      </c>
      <c r="C1413" t="s">
        <v>370</v>
      </c>
      <c r="E1413" t="s">
        <v>466</v>
      </c>
    </row>
    <row r="1414" spans="1:5" x14ac:dyDescent="0.35">
      <c r="A1414">
        <v>2006</v>
      </c>
      <c r="B1414" t="s">
        <v>33</v>
      </c>
      <c r="C1414" t="s">
        <v>141</v>
      </c>
      <c r="D1414">
        <v>287</v>
      </c>
      <c r="E1414" t="s">
        <v>466</v>
      </c>
    </row>
    <row r="1415" spans="1:5" x14ac:dyDescent="0.35">
      <c r="A1415">
        <v>2006</v>
      </c>
      <c r="B1415" t="s">
        <v>34</v>
      </c>
      <c r="C1415" t="s">
        <v>144</v>
      </c>
      <c r="D1415">
        <v>48</v>
      </c>
      <c r="E1415" t="s">
        <v>466</v>
      </c>
    </row>
    <row r="1416" spans="1:5" x14ac:dyDescent="0.35">
      <c r="A1416">
        <v>2006</v>
      </c>
      <c r="B1416" t="s">
        <v>35</v>
      </c>
      <c r="C1416" t="s">
        <v>145</v>
      </c>
      <c r="D1416">
        <v>29</v>
      </c>
      <c r="E1416" t="s">
        <v>466</v>
      </c>
    </row>
    <row r="1417" spans="1:5" x14ac:dyDescent="0.35">
      <c r="A1417">
        <v>2006</v>
      </c>
      <c r="B1417" t="s">
        <v>36</v>
      </c>
      <c r="C1417" t="s">
        <v>371</v>
      </c>
      <c r="D1417">
        <v>4</v>
      </c>
      <c r="E1417" t="s">
        <v>466</v>
      </c>
    </row>
    <row r="1418" spans="1:5" x14ac:dyDescent="0.35">
      <c r="A1418">
        <v>2006</v>
      </c>
      <c r="B1418" t="s">
        <v>37</v>
      </c>
      <c r="C1418" t="s">
        <v>146</v>
      </c>
      <c r="D1418">
        <v>33</v>
      </c>
      <c r="E1418" t="s">
        <v>466</v>
      </c>
    </row>
    <row r="1419" spans="1:5" x14ac:dyDescent="0.35">
      <c r="A1419">
        <v>2006</v>
      </c>
      <c r="B1419" t="s">
        <v>36</v>
      </c>
      <c r="C1419" t="s">
        <v>147</v>
      </c>
      <c r="D1419">
        <v>3228</v>
      </c>
      <c r="E1419" t="s">
        <v>466</v>
      </c>
    </row>
    <row r="1420" spans="1:5" x14ac:dyDescent="0.35">
      <c r="A1420">
        <v>2006</v>
      </c>
      <c r="B1420" t="s">
        <v>33</v>
      </c>
      <c r="C1420" t="s">
        <v>148</v>
      </c>
      <c r="D1420">
        <v>112</v>
      </c>
      <c r="E1420" t="s">
        <v>466</v>
      </c>
    </row>
    <row r="1421" spans="1:5" x14ac:dyDescent="0.35">
      <c r="A1421">
        <v>2006</v>
      </c>
      <c r="B1421" t="s">
        <v>33</v>
      </c>
      <c r="C1421" t="s">
        <v>149</v>
      </c>
      <c r="D1421">
        <v>363</v>
      </c>
      <c r="E1421" t="s">
        <v>466</v>
      </c>
    </row>
    <row r="1422" spans="1:5" x14ac:dyDescent="0.35">
      <c r="A1422">
        <v>2006</v>
      </c>
      <c r="B1422" t="s">
        <v>35</v>
      </c>
      <c r="C1422" t="s">
        <v>322</v>
      </c>
      <c r="D1422">
        <v>48</v>
      </c>
      <c r="E1422" t="s">
        <v>466</v>
      </c>
    </row>
    <row r="1423" spans="1:5" x14ac:dyDescent="0.35">
      <c r="A1423">
        <v>2006</v>
      </c>
      <c r="B1423" t="s">
        <v>35</v>
      </c>
      <c r="C1423" t="s">
        <v>150</v>
      </c>
      <c r="D1423">
        <v>7</v>
      </c>
      <c r="E1423" t="s">
        <v>466</v>
      </c>
    </row>
    <row r="1424" spans="1:5" x14ac:dyDescent="0.35">
      <c r="A1424">
        <v>2006</v>
      </c>
      <c r="B1424" t="s">
        <v>34</v>
      </c>
      <c r="C1424" t="s">
        <v>152</v>
      </c>
      <c r="D1424">
        <v>721</v>
      </c>
      <c r="E1424" t="s">
        <v>466</v>
      </c>
    </row>
    <row r="1425" spans="1:5" x14ac:dyDescent="0.35">
      <c r="A1425">
        <v>2006</v>
      </c>
      <c r="B1425" t="s">
        <v>37</v>
      </c>
      <c r="C1425" t="s">
        <v>153</v>
      </c>
      <c r="D1425">
        <v>8</v>
      </c>
      <c r="E1425" t="s">
        <v>466</v>
      </c>
    </row>
    <row r="1426" spans="1:5" x14ac:dyDescent="0.35">
      <c r="A1426">
        <v>2006</v>
      </c>
      <c r="B1426" t="s">
        <v>36</v>
      </c>
      <c r="C1426" t="s">
        <v>154</v>
      </c>
      <c r="D1426">
        <v>132</v>
      </c>
      <c r="E1426" t="s">
        <v>466</v>
      </c>
    </row>
    <row r="1427" spans="1:5" x14ac:dyDescent="0.35">
      <c r="A1427">
        <v>2006</v>
      </c>
      <c r="B1427" t="s">
        <v>38</v>
      </c>
      <c r="C1427" t="s">
        <v>155</v>
      </c>
      <c r="D1427">
        <v>26</v>
      </c>
      <c r="E1427" t="s">
        <v>466</v>
      </c>
    </row>
    <row r="1428" spans="1:5" x14ac:dyDescent="0.35">
      <c r="A1428">
        <v>2006</v>
      </c>
      <c r="B1428" t="s">
        <v>38</v>
      </c>
      <c r="C1428" t="s">
        <v>156</v>
      </c>
      <c r="D1428">
        <v>1020</v>
      </c>
      <c r="E1428" t="s">
        <v>466</v>
      </c>
    </row>
    <row r="1429" spans="1:5" x14ac:dyDescent="0.35">
      <c r="A1429">
        <v>2006</v>
      </c>
      <c r="B1429" t="s">
        <v>34</v>
      </c>
      <c r="C1429" t="s">
        <v>18</v>
      </c>
      <c r="D1429">
        <v>773</v>
      </c>
      <c r="E1429" t="s">
        <v>466</v>
      </c>
    </row>
    <row r="1430" spans="1:5" x14ac:dyDescent="0.35">
      <c r="A1430">
        <v>2006</v>
      </c>
      <c r="B1430" t="s">
        <v>35</v>
      </c>
      <c r="C1430" t="s">
        <v>157</v>
      </c>
      <c r="D1430">
        <v>337</v>
      </c>
      <c r="E1430" t="s">
        <v>466</v>
      </c>
    </row>
    <row r="1431" spans="1:5" x14ac:dyDescent="0.35">
      <c r="A1431">
        <v>2006</v>
      </c>
      <c r="B1431" t="s">
        <v>35</v>
      </c>
      <c r="C1431" t="s">
        <v>158</v>
      </c>
      <c r="D1431">
        <v>106</v>
      </c>
      <c r="E1431" t="s">
        <v>466</v>
      </c>
    </row>
    <row r="1432" spans="1:5" x14ac:dyDescent="0.35">
      <c r="A1432">
        <v>2006</v>
      </c>
      <c r="B1432" t="s">
        <v>35</v>
      </c>
      <c r="C1432" t="s">
        <v>160</v>
      </c>
      <c r="D1432">
        <v>309</v>
      </c>
      <c r="E1432" t="s">
        <v>466</v>
      </c>
    </row>
    <row r="1433" spans="1:5" x14ac:dyDescent="0.35">
      <c r="A1433">
        <v>2006</v>
      </c>
      <c r="B1433" t="s">
        <v>35</v>
      </c>
      <c r="C1433" t="s">
        <v>161</v>
      </c>
      <c r="D1433">
        <v>183</v>
      </c>
      <c r="E1433" t="s">
        <v>466</v>
      </c>
    </row>
    <row r="1434" spans="1:5" x14ac:dyDescent="0.35">
      <c r="A1434">
        <v>2006</v>
      </c>
      <c r="B1434" t="s">
        <v>33</v>
      </c>
      <c r="C1434" t="s">
        <v>162</v>
      </c>
      <c r="D1434">
        <v>4</v>
      </c>
      <c r="E1434" t="s">
        <v>466</v>
      </c>
    </row>
    <row r="1435" spans="1:5" x14ac:dyDescent="0.35">
      <c r="A1435">
        <v>2006</v>
      </c>
      <c r="B1435" t="s">
        <v>36</v>
      </c>
      <c r="C1435" t="s">
        <v>163</v>
      </c>
      <c r="D1435">
        <v>24</v>
      </c>
      <c r="E1435" t="s">
        <v>466</v>
      </c>
    </row>
    <row r="1436" spans="1:5" x14ac:dyDescent="0.35">
      <c r="A1436">
        <v>2006</v>
      </c>
      <c r="B1436" t="s">
        <v>36</v>
      </c>
      <c r="C1436" t="s">
        <v>164</v>
      </c>
      <c r="D1436">
        <v>45</v>
      </c>
      <c r="E1436" t="s">
        <v>466</v>
      </c>
    </row>
    <row r="1437" spans="1:5" x14ac:dyDescent="0.35">
      <c r="A1437">
        <v>2006</v>
      </c>
      <c r="B1437" t="s">
        <v>36</v>
      </c>
      <c r="C1437" t="s">
        <v>165</v>
      </c>
      <c r="D1437">
        <v>14</v>
      </c>
      <c r="E1437" t="s">
        <v>466</v>
      </c>
    </row>
    <row r="1438" spans="1:5" x14ac:dyDescent="0.35">
      <c r="A1438">
        <v>2006</v>
      </c>
      <c r="B1438" t="s">
        <v>37</v>
      </c>
      <c r="C1438" t="s">
        <v>166</v>
      </c>
      <c r="D1438">
        <v>21</v>
      </c>
      <c r="E1438" t="s">
        <v>466</v>
      </c>
    </row>
    <row r="1439" spans="1:5" x14ac:dyDescent="0.35">
      <c r="A1439">
        <v>2006</v>
      </c>
      <c r="B1439" t="s">
        <v>34</v>
      </c>
      <c r="C1439" t="s">
        <v>167</v>
      </c>
      <c r="D1439">
        <v>130</v>
      </c>
      <c r="E1439" t="s">
        <v>466</v>
      </c>
    </row>
    <row r="1440" spans="1:5" x14ac:dyDescent="0.35">
      <c r="A1440">
        <v>2006</v>
      </c>
      <c r="B1440" t="s">
        <v>33</v>
      </c>
      <c r="C1440" t="s">
        <v>168</v>
      </c>
      <c r="D1440">
        <v>98</v>
      </c>
      <c r="E1440" t="s">
        <v>466</v>
      </c>
    </row>
    <row r="1441" spans="1:5" x14ac:dyDescent="0.35">
      <c r="A1441">
        <v>2006</v>
      </c>
      <c r="B1441" t="s">
        <v>35</v>
      </c>
      <c r="C1441" t="s">
        <v>169</v>
      </c>
      <c r="E1441" t="s">
        <v>466</v>
      </c>
    </row>
    <row r="1442" spans="1:5" x14ac:dyDescent="0.35">
      <c r="A1442">
        <v>2006</v>
      </c>
      <c r="B1442" t="s">
        <v>35</v>
      </c>
      <c r="C1442" t="s">
        <v>215</v>
      </c>
      <c r="D1442">
        <v>176</v>
      </c>
      <c r="E1442" t="s">
        <v>466</v>
      </c>
    </row>
    <row r="1443" spans="1:5" x14ac:dyDescent="0.35">
      <c r="A1443">
        <v>2006</v>
      </c>
      <c r="B1443" t="s">
        <v>33</v>
      </c>
      <c r="C1443" t="s">
        <v>170</v>
      </c>
      <c r="D1443">
        <v>75</v>
      </c>
      <c r="E1443" t="s">
        <v>466</v>
      </c>
    </row>
    <row r="1444" spans="1:5" x14ac:dyDescent="0.35">
      <c r="A1444">
        <v>2006</v>
      </c>
      <c r="B1444" t="s">
        <v>34</v>
      </c>
      <c r="C1444" t="s">
        <v>171</v>
      </c>
      <c r="D1444">
        <v>11</v>
      </c>
      <c r="E1444" t="s">
        <v>466</v>
      </c>
    </row>
    <row r="1445" spans="1:5" x14ac:dyDescent="0.35">
      <c r="A1445">
        <v>2006</v>
      </c>
      <c r="B1445" t="s">
        <v>35</v>
      </c>
      <c r="C1445" t="s">
        <v>172</v>
      </c>
      <c r="D1445">
        <v>15</v>
      </c>
      <c r="E1445" t="s">
        <v>466</v>
      </c>
    </row>
    <row r="1446" spans="1:5" x14ac:dyDescent="0.35">
      <c r="A1446">
        <v>2006</v>
      </c>
      <c r="B1446" t="s">
        <v>35</v>
      </c>
      <c r="C1446" t="s">
        <v>173</v>
      </c>
      <c r="D1446">
        <v>3</v>
      </c>
      <c r="E1446" t="s">
        <v>466</v>
      </c>
    </row>
    <row r="1447" spans="1:5" x14ac:dyDescent="0.35">
      <c r="A1447">
        <v>2006</v>
      </c>
      <c r="B1447" t="s">
        <v>33</v>
      </c>
      <c r="C1447" t="s">
        <v>174</v>
      </c>
      <c r="D1447">
        <v>122</v>
      </c>
      <c r="E1447" t="s">
        <v>466</v>
      </c>
    </row>
    <row r="1448" spans="1:5" x14ac:dyDescent="0.35">
      <c r="A1448">
        <v>2006</v>
      </c>
      <c r="B1448" t="s">
        <v>33</v>
      </c>
      <c r="C1448" t="s">
        <v>175</v>
      </c>
      <c r="D1448">
        <v>108</v>
      </c>
      <c r="E1448" t="s">
        <v>466</v>
      </c>
    </row>
    <row r="1449" spans="1:5" x14ac:dyDescent="0.35">
      <c r="A1449">
        <v>2006</v>
      </c>
      <c r="B1449" t="s">
        <v>33</v>
      </c>
      <c r="C1449" t="s">
        <v>176</v>
      </c>
      <c r="E1449" t="s">
        <v>466</v>
      </c>
    </row>
    <row r="1450" spans="1:5" x14ac:dyDescent="0.35">
      <c r="A1450">
        <v>2006</v>
      </c>
      <c r="B1450" t="s">
        <v>35</v>
      </c>
      <c r="C1450" t="s">
        <v>216</v>
      </c>
      <c r="D1450">
        <v>82</v>
      </c>
      <c r="E1450" t="s">
        <v>466</v>
      </c>
    </row>
    <row r="1451" spans="1:5" x14ac:dyDescent="0.35">
      <c r="A1451">
        <v>2006</v>
      </c>
      <c r="B1451" t="s">
        <v>35</v>
      </c>
      <c r="C1451" t="s">
        <v>177</v>
      </c>
      <c r="D1451">
        <v>32</v>
      </c>
      <c r="E1451" t="s">
        <v>466</v>
      </c>
    </row>
    <row r="1452" spans="1:5" x14ac:dyDescent="0.35">
      <c r="A1452">
        <v>2006</v>
      </c>
      <c r="B1452" t="s">
        <v>34</v>
      </c>
      <c r="C1452" t="s">
        <v>178</v>
      </c>
      <c r="D1452">
        <v>67</v>
      </c>
      <c r="E1452" t="s">
        <v>466</v>
      </c>
    </row>
    <row r="1453" spans="1:5" x14ac:dyDescent="0.35">
      <c r="A1453">
        <v>2006</v>
      </c>
      <c r="B1453" t="s">
        <v>33</v>
      </c>
      <c r="C1453" t="s">
        <v>179</v>
      </c>
      <c r="D1453">
        <v>74</v>
      </c>
      <c r="E1453" t="s">
        <v>466</v>
      </c>
    </row>
    <row r="1454" spans="1:5" x14ac:dyDescent="0.35">
      <c r="A1454">
        <v>2006</v>
      </c>
      <c r="B1454" t="s">
        <v>38</v>
      </c>
      <c r="C1454" t="s">
        <v>180</v>
      </c>
      <c r="D1454">
        <v>20</v>
      </c>
      <c r="E1454" t="s">
        <v>466</v>
      </c>
    </row>
    <row r="1455" spans="1:5" x14ac:dyDescent="0.35">
      <c r="A1455">
        <v>2006</v>
      </c>
      <c r="B1455" t="s">
        <v>35</v>
      </c>
      <c r="C1455" t="s">
        <v>182</v>
      </c>
      <c r="D1455">
        <v>10</v>
      </c>
      <c r="E1455" t="s">
        <v>466</v>
      </c>
    </row>
    <row r="1456" spans="1:5" x14ac:dyDescent="0.35">
      <c r="A1456">
        <v>2006</v>
      </c>
      <c r="B1456" t="s">
        <v>35</v>
      </c>
      <c r="C1456" t="s">
        <v>183</v>
      </c>
      <c r="D1456">
        <v>8</v>
      </c>
      <c r="E1456" t="s">
        <v>466</v>
      </c>
    </row>
    <row r="1457" spans="1:5" x14ac:dyDescent="0.35">
      <c r="A1457">
        <v>2006</v>
      </c>
      <c r="B1457" t="s">
        <v>34</v>
      </c>
      <c r="C1457" t="s">
        <v>184</v>
      </c>
      <c r="D1457">
        <v>151</v>
      </c>
      <c r="E1457" t="s">
        <v>466</v>
      </c>
    </row>
    <row r="1458" spans="1:5" x14ac:dyDescent="0.35">
      <c r="A1458">
        <v>2006</v>
      </c>
      <c r="B1458" t="s">
        <v>34</v>
      </c>
      <c r="C1458" t="s">
        <v>185</v>
      </c>
      <c r="D1458">
        <v>44</v>
      </c>
      <c r="E1458" t="s">
        <v>466</v>
      </c>
    </row>
    <row r="1459" spans="1:5" x14ac:dyDescent="0.35">
      <c r="A1459">
        <v>2006</v>
      </c>
      <c r="B1459" t="s">
        <v>34</v>
      </c>
      <c r="C1459" t="s">
        <v>186</v>
      </c>
      <c r="D1459">
        <v>13</v>
      </c>
      <c r="E1459" t="s">
        <v>466</v>
      </c>
    </row>
    <row r="1460" spans="1:5" x14ac:dyDescent="0.35">
      <c r="A1460">
        <v>2006</v>
      </c>
      <c r="B1460" t="s">
        <v>33</v>
      </c>
      <c r="C1460" t="s">
        <v>187</v>
      </c>
      <c r="D1460">
        <v>49</v>
      </c>
      <c r="E1460" t="s">
        <v>466</v>
      </c>
    </row>
    <row r="1461" spans="1:5" x14ac:dyDescent="0.35">
      <c r="A1461">
        <v>2006</v>
      </c>
      <c r="B1461" t="s">
        <v>34</v>
      </c>
      <c r="C1461" t="s">
        <v>188</v>
      </c>
      <c r="D1461">
        <v>339</v>
      </c>
      <c r="E1461" t="s">
        <v>466</v>
      </c>
    </row>
    <row r="1462" spans="1:5" x14ac:dyDescent="0.35">
      <c r="A1462">
        <v>2006</v>
      </c>
      <c r="B1462" t="s">
        <v>33</v>
      </c>
      <c r="C1462" t="s">
        <v>189</v>
      </c>
      <c r="D1462">
        <v>29</v>
      </c>
      <c r="E1462" t="s">
        <v>466</v>
      </c>
    </row>
    <row r="1463" spans="1:5" x14ac:dyDescent="0.35">
      <c r="A1463">
        <v>2006</v>
      </c>
      <c r="B1463" t="s">
        <v>37</v>
      </c>
      <c r="C1463" t="s">
        <v>190</v>
      </c>
      <c r="D1463">
        <v>43</v>
      </c>
      <c r="E1463" t="s">
        <v>466</v>
      </c>
    </row>
    <row r="1464" spans="1:5" x14ac:dyDescent="0.35">
      <c r="A1464">
        <v>2006</v>
      </c>
      <c r="B1464" t="s">
        <v>36</v>
      </c>
      <c r="C1464" t="s">
        <v>191</v>
      </c>
      <c r="D1464">
        <v>320</v>
      </c>
      <c r="E1464" t="s">
        <v>466</v>
      </c>
    </row>
    <row r="1465" spans="1:5" x14ac:dyDescent="0.35">
      <c r="A1465">
        <v>2006</v>
      </c>
      <c r="B1465" t="s">
        <v>33</v>
      </c>
      <c r="C1465" t="s">
        <v>192</v>
      </c>
      <c r="D1465">
        <v>86</v>
      </c>
      <c r="E1465" t="s">
        <v>466</v>
      </c>
    </row>
    <row r="1466" spans="1:5" x14ac:dyDescent="0.35">
      <c r="A1466">
        <v>2006</v>
      </c>
      <c r="B1466" t="s">
        <v>34</v>
      </c>
      <c r="C1466" t="s">
        <v>193</v>
      </c>
      <c r="D1466">
        <v>250</v>
      </c>
      <c r="E1466" t="s">
        <v>466</v>
      </c>
    </row>
    <row r="1467" spans="1:5" x14ac:dyDescent="0.35">
      <c r="A1467">
        <v>2006</v>
      </c>
      <c r="B1467" t="s">
        <v>34</v>
      </c>
      <c r="C1467" t="s">
        <v>194</v>
      </c>
      <c r="D1467">
        <v>6</v>
      </c>
      <c r="E1467" t="s">
        <v>466</v>
      </c>
    </row>
    <row r="1468" spans="1:5" x14ac:dyDescent="0.35">
      <c r="A1468">
        <v>2006</v>
      </c>
      <c r="B1468" t="s">
        <v>36</v>
      </c>
      <c r="C1468" t="s">
        <v>372</v>
      </c>
      <c r="E1468" t="s">
        <v>466</v>
      </c>
    </row>
    <row r="1469" spans="1:5" x14ac:dyDescent="0.35">
      <c r="A1469">
        <v>2006</v>
      </c>
      <c r="B1469" t="s">
        <v>33</v>
      </c>
      <c r="C1469" t="s">
        <v>195</v>
      </c>
      <c r="D1469">
        <v>36</v>
      </c>
      <c r="E1469" t="s">
        <v>466</v>
      </c>
    </row>
    <row r="1470" spans="1:5" x14ac:dyDescent="0.35">
      <c r="A1470">
        <v>2006</v>
      </c>
      <c r="B1470" t="s">
        <v>35</v>
      </c>
      <c r="C1470" t="s">
        <v>196</v>
      </c>
      <c r="D1470">
        <v>193</v>
      </c>
      <c r="E1470" t="s">
        <v>466</v>
      </c>
    </row>
    <row r="1471" spans="1:5" x14ac:dyDescent="0.35">
      <c r="A1471">
        <v>2006</v>
      </c>
      <c r="B1471" t="s">
        <v>34</v>
      </c>
      <c r="C1471" t="s">
        <v>197</v>
      </c>
      <c r="D1471">
        <v>35</v>
      </c>
      <c r="E1471" t="s">
        <v>466</v>
      </c>
    </row>
    <row r="1472" spans="1:5" x14ac:dyDescent="0.35">
      <c r="A1472">
        <v>2006</v>
      </c>
      <c r="B1472" t="s">
        <v>35</v>
      </c>
      <c r="C1472" t="s">
        <v>198</v>
      </c>
      <c r="D1472">
        <v>305</v>
      </c>
      <c r="E1472" t="s">
        <v>466</v>
      </c>
    </row>
    <row r="1473" spans="1:5" x14ac:dyDescent="0.35">
      <c r="A1473">
        <v>2006</v>
      </c>
      <c r="B1473" t="s">
        <v>39</v>
      </c>
      <c r="C1473" t="s">
        <v>39</v>
      </c>
      <c r="D1473">
        <v>678</v>
      </c>
      <c r="E1473" t="s">
        <v>466</v>
      </c>
    </row>
    <row r="1474" spans="1:5" x14ac:dyDescent="0.35">
      <c r="A1474">
        <v>2006</v>
      </c>
      <c r="B1474" t="s">
        <v>38</v>
      </c>
      <c r="C1474" t="s">
        <v>199</v>
      </c>
      <c r="D1474">
        <v>110</v>
      </c>
      <c r="E1474" t="s">
        <v>466</v>
      </c>
    </row>
    <row r="1475" spans="1:5" x14ac:dyDescent="0.35">
      <c r="A1475">
        <v>2006</v>
      </c>
      <c r="B1475" t="s">
        <v>34</v>
      </c>
      <c r="C1475" t="s">
        <v>200</v>
      </c>
      <c r="D1475">
        <v>147</v>
      </c>
      <c r="E1475" t="s">
        <v>466</v>
      </c>
    </row>
    <row r="1476" spans="1:5" x14ac:dyDescent="0.35">
      <c r="A1476">
        <v>2006</v>
      </c>
      <c r="B1476" t="s">
        <v>38</v>
      </c>
      <c r="C1476" t="s">
        <v>19</v>
      </c>
      <c r="D1476">
        <v>255</v>
      </c>
      <c r="E1476" t="s">
        <v>466</v>
      </c>
    </row>
    <row r="1477" spans="1:5" x14ac:dyDescent="0.35">
      <c r="A1477">
        <v>2006</v>
      </c>
      <c r="B1477" t="s">
        <v>34</v>
      </c>
      <c r="C1477" t="s">
        <v>201</v>
      </c>
      <c r="D1477">
        <v>442</v>
      </c>
      <c r="E1477" t="s">
        <v>466</v>
      </c>
    </row>
    <row r="1478" spans="1:5" x14ac:dyDescent="0.35">
      <c r="A1478">
        <v>2006</v>
      </c>
      <c r="B1478" t="s">
        <v>34</v>
      </c>
      <c r="C1478" t="s">
        <v>202</v>
      </c>
      <c r="D1478">
        <v>64</v>
      </c>
      <c r="E1478" t="s">
        <v>466</v>
      </c>
    </row>
    <row r="1479" spans="1:5" x14ac:dyDescent="0.35">
      <c r="A1479">
        <v>2006</v>
      </c>
      <c r="B1479" t="s">
        <v>33</v>
      </c>
      <c r="C1479" t="s">
        <v>203</v>
      </c>
      <c r="D1479">
        <v>22</v>
      </c>
      <c r="E1479" t="s">
        <v>466</v>
      </c>
    </row>
    <row r="1480" spans="1:5" x14ac:dyDescent="0.35">
      <c r="A1480">
        <v>2006</v>
      </c>
      <c r="B1480" t="s">
        <v>33</v>
      </c>
      <c r="C1480" t="s">
        <v>204</v>
      </c>
      <c r="D1480">
        <v>41</v>
      </c>
      <c r="E1480" t="s">
        <v>466</v>
      </c>
    </row>
    <row r="1481" spans="1:5" x14ac:dyDescent="0.35">
      <c r="A1481">
        <v>2007</v>
      </c>
      <c r="B1481" t="s">
        <v>35</v>
      </c>
      <c r="C1481" t="s">
        <v>150</v>
      </c>
      <c r="D1481">
        <v>5</v>
      </c>
      <c r="E1481" t="s">
        <v>328</v>
      </c>
    </row>
    <row r="1482" spans="1:5" x14ac:dyDescent="0.35">
      <c r="A1482">
        <v>2007</v>
      </c>
      <c r="B1482" t="s">
        <v>36</v>
      </c>
      <c r="C1482" t="s">
        <v>154</v>
      </c>
      <c r="D1482">
        <v>86</v>
      </c>
      <c r="E1482" t="s">
        <v>328</v>
      </c>
    </row>
    <row r="1483" spans="1:5" x14ac:dyDescent="0.35">
      <c r="A1483">
        <v>2007</v>
      </c>
      <c r="B1483" t="s">
        <v>36</v>
      </c>
      <c r="C1483" t="s">
        <v>154</v>
      </c>
      <c r="D1483">
        <v>99</v>
      </c>
      <c r="E1483" t="s">
        <v>458</v>
      </c>
    </row>
    <row r="1484" spans="1:5" x14ac:dyDescent="0.35">
      <c r="A1484">
        <v>2007</v>
      </c>
      <c r="B1484" t="s">
        <v>37</v>
      </c>
      <c r="C1484" t="s">
        <v>153</v>
      </c>
      <c r="D1484">
        <v>6</v>
      </c>
      <c r="E1484" t="s">
        <v>458</v>
      </c>
    </row>
    <row r="1485" spans="1:5" x14ac:dyDescent="0.35">
      <c r="A1485">
        <v>2007</v>
      </c>
      <c r="B1485" t="s">
        <v>34</v>
      </c>
      <c r="C1485" t="s">
        <v>152</v>
      </c>
      <c r="D1485">
        <v>433</v>
      </c>
      <c r="E1485" t="s">
        <v>328</v>
      </c>
    </row>
    <row r="1486" spans="1:5" x14ac:dyDescent="0.35">
      <c r="A1486">
        <v>2007</v>
      </c>
      <c r="B1486" t="s">
        <v>34</v>
      </c>
      <c r="C1486" t="s">
        <v>152</v>
      </c>
      <c r="D1486">
        <v>112</v>
      </c>
      <c r="E1486" t="s">
        <v>458</v>
      </c>
    </row>
    <row r="1487" spans="1:5" x14ac:dyDescent="0.35">
      <c r="A1487">
        <v>2007</v>
      </c>
      <c r="B1487" t="s">
        <v>35</v>
      </c>
      <c r="C1487" t="s">
        <v>150</v>
      </c>
      <c r="D1487">
        <v>4</v>
      </c>
      <c r="E1487" t="s">
        <v>458</v>
      </c>
    </row>
    <row r="1488" spans="1:5" x14ac:dyDescent="0.35">
      <c r="A1488">
        <v>2007</v>
      </c>
      <c r="B1488" t="s">
        <v>36</v>
      </c>
      <c r="C1488" t="s">
        <v>147</v>
      </c>
      <c r="D1488">
        <v>508</v>
      </c>
      <c r="E1488" t="s">
        <v>458</v>
      </c>
    </row>
    <row r="1489" spans="1:5" x14ac:dyDescent="0.35">
      <c r="A1489">
        <v>2007</v>
      </c>
      <c r="B1489" t="s">
        <v>35</v>
      </c>
      <c r="C1489" t="s">
        <v>322</v>
      </c>
      <c r="D1489">
        <v>8</v>
      </c>
      <c r="E1489" t="s">
        <v>458</v>
      </c>
    </row>
    <row r="1490" spans="1:5" x14ac:dyDescent="0.35">
      <c r="A1490">
        <v>2007</v>
      </c>
      <c r="B1490" t="s">
        <v>33</v>
      </c>
      <c r="C1490" t="s">
        <v>149</v>
      </c>
      <c r="D1490">
        <v>194</v>
      </c>
      <c r="E1490" t="s">
        <v>328</v>
      </c>
    </row>
    <row r="1491" spans="1:5" x14ac:dyDescent="0.35">
      <c r="A1491">
        <v>2007</v>
      </c>
      <c r="B1491" t="s">
        <v>33</v>
      </c>
      <c r="C1491" t="s">
        <v>149</v>
      </c>
      <c r="D1491">
        <v>241</v>
      </c>
      <c r="E1491" t="s">
        <v>458</v>
      </c>
    </row>
    <row r="1492" spans="1:5" x14ac:dyDescent="0.35">
      <c r="A1492">
        <v>2007</v>
      </c>
      <c r="B1492" t="s">
        <v>33</v>
      </c>
      <c r="C1492" t="s">
        <v>148</v>
      </c>
      <c r="D1492">
        <v>20</v>
      </c>
      <c r="E1492" t="s">
        <v>328</v>
      </c>
    </row>
    <row r="1493" spans="1:5" x14ac:dyDescent="0.35">
      <c r="A1493">
        <v>2007</v>
      </c>
      <c r="B1493" t="s">
        <v>33</v>
      </c>
      <c r="C1493" t="s">
        <v>148</v>
      </c>
      <c r="D1493">
        <v>20</v>
      </c>
      <c r="E1493" t="s">
        <v>458</v>
      </c>
    </row>
    <row r="1494" spans="1:5" x14ac:dyDescent="0.35">
      <c r="A1494">
        <v>2007</v>
      </c>
      <c r="B1494" t="s">
        <v>36</v>
      </c>
      <c r="C1494" t="s">
        <v>147</v>
      </c>
      <c r="D1494">
        <v>1799</v>
      </c>
      <c r="E1494" t="s">
        <v>328</v>
      </c>
    </row>
    <row r="1495" spans="1:5" x14ac:dyDescent="0.35">
      <c r="A1495">
        <v>2007</v>
      </c>
      <c r="B1495" t="s">
        <v>38</v>
      </c>
      <c r="C1495" t="s">
        <v>155</v>
      </c>
      <c r="D1495">
        <v>6</v>
      </c>
      <c r="E1495" t="s">
        <v>458</v>
      </c>
    </row>
    <row r="1496" spans="1:5" x14ac:dyDescent="0.35">
      <c r="A1496">
        <v>2007</v>
      </c>
      <c r="B1496" t="s">
        <v>35</v>
      </c>
      <c r="C1496" t="s">
        <v>322</v>
      </c>
      <c r="D1496">
        <v>26</v>
      </c>
      <c r="E1496" t="s">
        <v>328</v>
      </c>
    </row>
    <row r="1497" spans="1:5" x14ac:dyDescent="0.35">
      <c r="A1497">
        <v>2007</v>
      </c>
      <c r="B1497" t="s">
        <v>38</v>
      </c>
      <c r="C1497" t="s">
        <v>155</v>
      </c>
      <c r="D1497">
        <v>43</v>
      </c>
      <c r="E1497" t="s">
        <v>328</v>
      </c>
    </row>
    <row r="1498" spans="1:5" x14ac:dyDescent="0.35">
      <c r="A1498">
        <v>2007</v>
      </c>
      <c r="B1498" t="s">
        <v>36</v>
      </c>
      <c r="C1498" t="s">
        <v>164</v>
      </c>
      <c r="D1498">
        <v>19</v>
      </c>
      <c r="E1498" t="s">
        <v>328</v>
      </c>
    </row>
    <row r="1499" spans="1:5" x14ac:dyDescent="0.35">
      <c r="A1499">
        <v>2007</v>
      </c>
      <c r="B1499" t="s">
        <v>38</v>
      </c>
      <c r="C1499" t="s">
        <v>156</v>
      </c>
      <c r="D1499">
        <v>913</v>
      </c>
      <c r="E1499" t="s">
        <v>328</v>
      </c>
    </row>
    <row r="1500" spans="1:5" x14ac:dyDescent="0.35">
      <c r="A1500">
        <v>2007</v>
      </c>
      <c r="B1500" t="s">
        <v>37</v>
      </c>
      <c r="C1500" t="s">
        <v>146</v>
      </c>
      <c r="D1500">
        <v>22</v>
      </c>
      <c r="E1500" t="s">
        <v>328</v>
      </c>
    </row>
    <row r="1501" spans="1:5" x14ac:dyDescent="0.35">
      <c r="A1501">
        <v>2007</v>
      </c>
      <c r="B1501" t="s">
        <v>36</v>
      </c>
      <c r="C1501" t="s">
        <v>164</v>
      </c>
      <c r="D1501">
        <v>27</v>
      </c>
      <c r="E1501" t="s">
        <v>458</v>
      </c>
    </row>
    <row r="1502" spans="1:5" x14ac:dyDescent="0.35">
      <c r="A1502">
        <v>2007</v>
      </c>
      <c r="B1502" t="s">
        <v>36</v>
      </c>
      <c r="C1502" t="s">
        <v>163</v>
      </c>
      <c r="E1502" t="s">
        <v>328</v>
      </c>
    </row>
    <row r="1503" spans="1:5" x14ac:dyDescent="0.35">
      <c r="A1503">
        <v>2007</v>
      </c>
      <c r="B1503" t="s">
        <v>36</v>
      </c>
      <c r="C1503" t="s">
        <v>163</v>
      </c>
      <c r="E1503" t="s">
        <v>458</v>
      </c>
    </row>
    <row r="1504" spans="1:5" x14ac:dyDescent="0.35">
      <c r="A1504">
        <v>2007</v>
      </c>
      <c r="B1504" t="s">
        <v>33</v>
      </c>
      <c r="C1504" t="s">
        <v>162</v>
      </c>
      <c r="E1504" t="s">
        <v>328</v>
      </c>
    </row>
    <row r="1505" spans="1:5" x14ac:dyDescent="0.35">
      <c r="A1505">
        <v>2007</v>
      </c>
      <c r="B1505" t="s">
        <v>33</v>
      </c>
      <c r="C1505" t="s">
        <v>162</v>
      </c>
      <c r="E1505" t="s">
        <v>458</v>
      </c>
    </row>
    <row r="1506" spans="1:5" x14ac:dyDescent="0.35">
      <c r="A1506">
        <v>2007</v>
      </c>
      <c r="B1506" t="s">
        <v>35</v>
      </c>
      <c r="C1506" t="s">
        <v>161</v>
      </c>
      <c r="D1506">
        <v>139</v>
      </c>
      <c r="E1506" t="s">
        <v>328</v>
      </c>
    </row>
    <row r="1507" spans="1:5" x14ac:dyDescent="0.35">
      <c r="A1507">
        <v>2007</v>
      </c>
      <c r="B1507" t="s">
        <v>38</v>
      </c>
      <c r="C1507" t="s">
        <v>156</v>
      </c>
      <c r="D1507">
        <v>295</v>
      </c>
      <c r="E1507" t="s">
        <v>458</v>
      </c>
    </row>
    <row r="1508" spans="1:5" x14ac:dyDescent="0.35">
      <c r="A1508">
        <v>2007</v>
      </c>
      <c r="B1508" t="s">
        <v>35</v>
      </c>
      <c r="C1508" t="s">
        <v>161</v>
      </c>
      <c r="D1508">
        <v>49</v>
      </c>
      <c r="E1508" t="s">
        <v>458</v>
      </c>
    </row>
    <row r="1509" spans="1:5" x14ac:dyDescent="0.35">
      <c r="A1509">
        <v>2007</v>
      </c>
      <c r="B1509" t="s">
        <v>35</v>
      </c>
      <c r="C1509" t="s">
        <v>160</v>
      </c>
      <c r="D1509">
        <v>39</v>
      </c>
      <c r="E1509" t="s">
        <v>458</v>
      </c>
    </row>
    <row r="1510" spans="1:5" x14ac:dyDescent="0.35">
      <c r="A1510">
        <v>2007</v>
      </c>
      <c r="B1510" t="s">
        <v>35</v>
      </c>
      <c r="C1510" t="s">
        <v>158</v>
      </c>
      <c r="D1510">
        <v>44</v>
      </c>
      <c r="E1510" t="s">
        <v>328</v>
      </c>
    </row>
    <row r="1511" spans="1:5" x14ac:dyDescent="0.35">
      <c r="A1511">
        <v>2007</v>
      </c>
      <c r="B1511" t="s">
        <v>35</v>
      </c>
      <c r="C1511" t="s">
        <v>158</v>
      </c>
      <c r="D1511">
        <v>80</v>
      </c>
      <c r="E1511" t="s">
        <v>458</v>
      </c>
    </row>
    <row r="1512" spans="1:5" x14ac:dyDescent="0.35">
      <c r="A1512">
        <v>2007</v>
      </c>
      <c r="B1512" t="s">
        <v>35</v>
      </c>
      <c r="C1512" t="s">
        <v>157</v>
      </c>
      <c r="D1512">
        <v>298</v>
      </c>
      <c r="E1512" t="s">
        <v>328</v>
      </c>
    </row>
    <row r="1513" spans="1:5" x14ac:dyDescent="0.35">
      <c r="A1513">
        <v>2007</v>
      </c>
      <c r="B1513" t="s">
        <v>35</v>
      </c>
      <c r="C1513" t="s">
        <v>157</v>
      </c>
      <c r="D1513">
        <v>112</v>
      </c>
      <c r="E1513" t="s">
        <v>458</v>
      </c>
    </row>
    <row r="1514" spans="1:5" x14ac:dyDescent="0.35">
      <c r="A1514">
        <v>2007</v>
      </c>
      <c r="B1514" t="s">
        <v>34</v>
      </c>
      <c r="C1514" t="s">
        <v>18</v>
      </c>
      <c r="D1514">
        <v>419</v>
      </c>
      <c r="E1514" t="s">
        <v>328</v>
      </c>
    </row>
    <row r="1515" spans="1:5" x14ac:dyDescent="0.35">
      <c r="A1515">
        <v>2007</v>
      </c>
      <c r="B1515" t="s">
        <v>34</v>
      </c>
      <c r="C1515" t="s">
        <v>18</v>
      </c>
      <c r="D1515">
        <v>278</v>
      </c>
      <c r="E1515" t="s">
        <v>458</v>
      </c>
    </row>
    <row r="1516" spans="1:5" x14ac:dyDescent="0.35">
      <c r="A1516">
        <v>2007</v>
      </c>
      <c r="B1516" t="s">
        <v>35</v>
      </c>
      <c r="C1516" t="s">
        <v>160</v>
      </c>
      <c r="D1516">
        <v>161</v>
      </c>
      <c r="E1516" t="s">
        <v>328</v>
      </c>
    </row>
    <row r="1517" spans="1:5" x14ac:dyDescent="0.35">
      <c r="A1517">
        <v>2007</v>
      </c>
      <c r="B1517" t="s">
        <v>37</v>
      </c>
      <c r="C1517" t="s">
        <v>146</v>
      </c>
      <c r="D1517">
        <v>13</v>
      </c>
      <c r="E1517" t="s">
        <v>458</v>
      </c>
    </row>
    <row r="1518" spans="1:5" x14ac:dyDescent="0.35">
      <c r="A1518">
        <v>2007</v>
      </c>
      <c r="B1518" t="s">
        <v>33</v>
      </c>
      <c r="C1518" t="s">
        <v>132</v>
      </c>
      <c r="D1518">
        <v>31</v>
      </c>
      <c r="E1518" t="s">
        <v>328</v>
      </c>
    </row>
    <row r="1519" spans="1:5" x14ac:dyDescent="0.35">
      <c r="A1519">
        <v>2007</v>
      </c>
      <c r="B1519" t="s">
        <v>35</v>
      </c>
      <c r="C1519" t="s">
        <v>145</v>
      </c>
      <c r="D1519">
        <v>36</v>
      </c>
      <c r="E1519" t="s">
        <v>458</v>
      </c>
    </row>
    <row r="1520" spans="1:5" x14ac:dyDescent="0.35">
      <c r="A1520">
        <v>2007</v>
      </c>
      <c r="B1520" t="s">
        <v>33</v>
      </c>
      <c r="C1520" t="s">
        <v>130</v>
      </c>
      <c r="E1520" t="s">
        <v>458</v>
      </c>
    </row>
    <row r="1521" spans="1:5" x14ac:dyDescent="0.35">
      <c r="A1521">
        <v>2007</v>
      </c>
      <c r="B1521" t="s">
        <v>35</v>
      </c>
      <c r="C1521" t="s">
        <v>127</v>
      </c>
      <c r="D1521">
        <v>63</v>
      </c>
      <c r="E1521" t="s">
        <v>328</v>
      </c>
    </row>
    <row r="1522" spans="1:5" x14ac:dyDescent="0.35">
      <c r="A1522">
        <v>2007</v>
      </c>
      <c r="B1522" t="s">
        <v>35</v>
      </c>
      <c r="C1522" t="s">
        <v>127</v>
      </c>
      <c r="D1522">
        <v>14</v>
      </c>
      <c r="E1522" t="s">
        <v>458</v>
      </c>
    </row>
    <row r="1523" spans="1:5" x14ac:dyDescent="0.35">
      <c r="A1523">
        <v>2007</v>
      </c>
      <c r="B1523" t="s">
        <v>33</v>
      </c>
      <c r="C1523" t="s">
        <v>125</v>
      </c>
      <c r="D1523">
        <v>26</v>
      </c>
      <c r="E1523" t="s">
        <v>328</v>
      </c>
    </row>
    <row r="1524" spans="1:5" x14ac:dyDescent="0.35">
      <c r="A1524">
        <v>2007</v>
      </c>
      <c r="B1524" t="s">
        <v>33</v>
      </c>
      <c r="C1524" t="s">
        <v>125</v>
      </c>
      <c r="D1524">
        <v>43</v>
      </c>
      <c r="E1524" t="s">
        <v>458</v>
      </c>
    </row>
    <row r="1525" spans="1:5" x14ac:dyDescent="0.35">
      <c r="A1525">
        <v>2007</v>
      </c>
      <c r="B1525" t="s">
        <v>34</v>
      </c>
      <c r="C1525" t="s">
        <v>124</v>
      </c>
      <c r="D1525">
        <v>95</v>
      </c>
      <c r="E1525" t="s">
        <v>328</v>
      </c>
    </row>
    <row r="1526" spans="1:5" x14ac:dyDescent="0.35">
      <c r="A1526">
        <v>2007</v>
      </c>
      <c r="B1526" t="s">
        <v>34</v>
      </c>
      <c r="C1526" t="s">
        <v>124</v>
      </c>
      <c r="D1526">
        <v>33</v>
      </c>
      <c r="E1526" t="s">
        <v>458</v>
      </c>
    </row>
    <row r="1527" spans="1:5" x14ac:dyDescent="0.35">
      <c r="A1527">
        <v>2007</v>
      </c>
      <c r="B1527" t="s">
        <v>33</v>
      </c>
      <c r="C1527" t="s">
        <v>130</v>
      </c>
      <c r="E1527" t="s">
        <v>328</v>
      </c>
    </row>
    <row r="1528" spans="1:5" x14ac:dyDescent="0.35">
      <c r="A1528">
        <v>2007</v>
      </c>
      <c r="B1528" t="s">
        <v>35</v>
      </c>
      <c r="C1528" t="s">
        <v>123</v>
      </c>
      <c r="D1528">
        <v>16</v>
      </c>
      <c r="E1528" t="s">
        <v>328</v>
      </c>
    </row>
    <row r="1529" spans="1:5" x14ac:dyDescent="0.35">
      <c r="A1529">
        <v>2007</v>
      </c>
      <c r="B1529" t="s">
        <v>34</v>
      </c>
      <c r="C1529" t="s">
        <v>122</v>
      </c>
      <c r="E1529" t="s">
        <v>328</v>
      </c>
    </row>
    <row r="1530" spans="1:5" x14ac:dyDescent="0.35">
      <c r="A1530">
        <v>2007</v>
      </c>
      <c r="B1530" t="s">
        <v>34</v>
      </c>
      <c r="C1530" t="s">
        <v>122</v>
      </c>
      <c r="E1530" t="s">
        <v>458</v>
      </c>
    </row>
    <row r="1531" spans="1:5" x14ac:dyDescent="0.35">
      <c r="A1531">
        <v>2007</v>
      </c>
      <c r="B1531" t="s">
        <v>34</v>
      </c>
      <c r="C1531" t="s">
        <v>121</v>
      </c>
      <c r="E1531" t="s">
        <v>328</v>
      </c>
    </row>
    <row r="1532" spans="1:5" x14ac:dyDescent="0.35">
      <c r="A1532">
        <v>2007</v>
      </c>
      <c r="B1532" t="s">
        <v>34</v>
      </c>
      <c r="C1532" t="s">
        <v>121</v>
      </c>
      <c r="E1532" t="s">
        <v>458</v>
      </c>
    </row>
    <row r="1533" spans="1:5" x14ac:dyDescent="0.35">
      <c r="A1533">
        <v>2007</v>
      </c>
      <c r="B1533" t="s">
        <v>34</v>
      </c>
      <c r="C1533" t="s">
        <v>120</v>
      </c>
      <c r="D1533">
        <v>7</v>
      </c>
      <c r="E1533" t="s">
        <v>328</v>
      </c>
    </row>
    <row r="1534" spans="1:5" x14ac:dyDescent="0.35">
      <c r="A1534">
        <v>2007</v>
      </c>
      <c r="B1534" t="s">
        <v>35</v>
      </c>
      <c r="C1534" t="s">
        <v>119</v>
      </c>
      <c r="E1534" t="s">
        <v>328</v>
      </c>
    </row>
    <row r="1535" spans="1:5" x14ac:dyDescent="0.35">
      <c r="A1535">
        <v>2007</v>
      </c>
      <c r="B1535" t="s">
        <v>35</v>
      </c>
      <c r="C1535" t="s">
        <v>119</v>
      </c>
      <c r="E1535" t="s">
        <v>458</v>
      </c>
    </row>
    <row r="1536" spans="1:5" x14ac:dyDescent="0.35">
      <c r="A1536">
        <v>2007</v>
      </c>
      <c r="B1536" t="s">
        <v>35</v>
      </c>
      <c r="C1536" t="s">
        <v>123</v>
      </c>
      <c r="D1536">
        <v>3</v>
      </c>
      <c r="E1536" t="s">
        <v>458</v>
      </c>
    </row>
    <row r="1537" spans="1:5" x14ac:dyDescent="0.35">
      <c r="A1537">
        <v>2007</v>
      </c>
      <c r="B1537" t="s">
        <v>35</v>
      </c>
      <c r="C1537" t="s">
        <v>145</v>
      </c>
      <c r="D1537">
        <v>39</v>
      </c>
      <c r="E1537" t="s">
        <v>328</v>
      </c>
    </row>
    <row r="1538" spans="1:5" x14ac:dyDescent="0.35">
      <c r="A1538">
        <v>2007</v>
      </c>
      <c r="B1538" t="s">
        <v>34</v>
      </c>
      <c r="C1538" t="s">
        <v>131</v>
      </c>
      <c r="D1538">
        <v>21</v>
      </c>
      <c r="E1538" t="s">
        <v>458</v>
      </c>
    </row>
    <row r="1539" spans="1:5" x14ac:dyDescent="0.35">
      <c r="A1539">
        <v>2007</v>
      </c>
      <c r="B1539" t="s">
        <v>33</v>
      </c>
      <c r="C1539" t="s">
        <v>132</v>
      </c>
      <c r="D1539">
        <v>4</v>
      </c>
      <c r="E1539" t="s">
        <v>458</v>
      </c>
    </row>
    <row r="1540" spans="1:5" x14ac:dyDescent="0.35">
      <c r="A1540">
        <v>2007</v>
      </c>
      <c r="B1540" t="s">
        <v>34</v>
      </c>
      <c r="C1540" t="s">
        <v>144</v>
      </c>
      <c r="D1540">
        <v>38</v>
      </c>
      <c r="E1540" t="s">
        <v>328</v>
      </c>
    </row>
    <row r="1541" spans="1:5" x14ac:dyDescent="0.35">
      <c r="A1541">
        <v>2007</v>
      </c>
      <c r="B1541" t="s">
        <v>34</v>
      </c>
      <c r="C1541" t="s">
        <v>144</v>
      </c>
      <c r="D1541">
        <v>5</v>
      </c>
      <c r="E1541" t="s">
        <v>458</v>
      </c>
    </row>
    <row r="1542" spans="1:5" x14ac:dyDescent="0.35">
      <c r="A1542">
        <v>2007</v>
      </c>
      <c r="B1542" t="s">
        <v>33</v>
      </c>
      <c r="C1542" t="s">
        <v>141</v>
      </c>
      <c r="D1542">
        <v>61</v>
      </c>
      <c r="E1542" t="s">
        <v>328</v>
      </c>
    </row>
    <row r="1543" spans="1:5" x14ac:dyDescent="0.35">
      <c r="A1543">
        <v>2007</v>
      </c>
      <c r="B1543" t="s">
        <v>33</v>
      </c>
      <c r="C1543" t="s">
        <v>141</v>
      </c>
      <c r="D1543">
        <v>27</v>
      </c>
      <c r="E1543" t="s">
        <v>458</v>
      </c>
    </row>
    <row r="1544" spans="1:5" x14ac:dyDescent="0.35">
      <c r="A1544">
        <v>2007</v>
      </c>
      <c r="B1544" t="s">
        <v>34</v>
      </c>
      <c r="C1544" t="s">
        <v>139</v>
      </c>
      <c r="D1544">
        <v>40</v>
      </c>
      <c r="E1544" t="s">
        <v>328</v>
      </c>
    </row>
    <row r="1545" spans="1:5" x14ac:dyDescent="0.35">
      <c r="A1545">
        <v>2007</v>
      </c>
      <c r="B1545" t="s">
        <v>34</v>
      </c>
      <c r="C1545" t="s">
        <v>139</v>
      </c>
      <c r="D1545">
        <v>6</v>
      </c>
      <c r="E1545" t="s">
        <v>458</v>
      </c>
    </row>
    <row r="1546" spans="1:5" x14ac:dyDescent="0.35">
      <c r="A1546">
        <v>2007</v>
      </c>
      <c r="B1546" t="s">
        <v>35</v>
      </c>
      <c r="C1546" t="s">
        <v>138</v>
      </c>
      <c r="D1546">
        <v>10</v>
      </c>
      <c r="E1546" t="s">
        <v>328</v>
      </c>
    </row>
    <row r="1547" spans="1:5" x14ac:dyDescent="0.35">
      <c r="A1547">
        <v>2007</v>
      </c>
      <c r="B1547" t="s">
        <v>34</v>
      </c>
      <c r="C1547" t="s">
        <v>131</v>
      </c>
      <c r="D1547">
        <v>44</v>
      </c>
      <c r="E1547" t="s">
        <v>328</v>
      </c>
    </row>
    <row r="1548" spans="1:5" x14ac:dyDescent="0.35">
      <c r="A1548">
        <v>2007</v>
      </c>
      <c r="B1548" t="s">
        <v>35</v>
      </c>
      <c r="C1548" t="s">
        <v>138</v>
      </c>
      <c r="D1548">
        <v>6</v>
      </c>
      <c r="E1548" t="s">
        <v>458</v>
      </c>
    </row>
    <row r="1549" spans="1:5" x14ac:dyDescent="0.35">
      <c r="A1549">
        <v>2007</v>
      </c>
      <c r="B1549" t="s">
        <v>37</v>
      </c>
      <c r="C1549" t="s">
        <v>137</v>
      </c>
      <c r="D1549">
        <v>35</v>
      </c>
      <c r="E1549" t="s">
        <v>458</v>
      </c>
    </row>
    <row r="1550" spans="1:5" x14ac:dyDescent="0.35">
      <c r="A1550">
        <v>2007</v>
      </c>
      <c r="B1550" t="s">
        <v>36</v>
      </c>
      <c r="C1550" t="s">
        <v>14</v>
      </c>
      <c r="D1550">
        <v>132029</v>
      </c>
      <c r="E1550" t="s">
        <v>328</v>
      </c>
    </row>
    <row r="1551" spans="1:5" x14ac:dyDescent="0.35">
      <c r="A1551">
        <v>2007</v>
      </c>
      <c r="B1551" t="s">
        <v>36</v>
      </c>
      <c r="C1551" t="s">
        <v>14</v>
      </c>
      <c r="D1551">
        <v>76967</v>
      </c>
      <c r="E1551" t="s">
        <v>458</v>
      </c>
    </row>
    <row r="1552" spans="1:5" x14ac:dyDescent="0.35">
      <c r="A1552">
        <v>2007</v>
      </c>
      <c r="B1552" t="s">
        <v>33</v>
      </c>
      <c r="C1552" t="s">
        <v>135</v>
      </c>
      <c r="D1552">
        <v>17</v>
      </c>
      <c r="E1552" t="s">
        <v>328</v>
      </c>
    </row>
    <row r="1553" spans="1:5" x14ac:dyDescent="0.35">
      <c r="A1553">
        <v>2007</v>
      </c>
      <c r="B1553" t="s">
        <v>33</v>
      </c>
      <c r="C1553" t="s">
        <v>135</v>
      </c>
      <c r="D1553">
        <v>4</v>
      </c>
      <c r="E1553" t="s">
        <v>458</v>
      </c>
    </row>
    <row r="1554" spans="1:5" x14ac:dyDescent="0.35">
      <c r="A1554">
        <v>2007</v>
      </c>
      <c r="B1554" t="s">
        <v>37</v>
      </c>
      <c r="C1554" t="s">
        <v>134</v>
      </c>
      <c r="D1554">
        <v>10</v>
      </c>
      <c r="E1554" t="s">
        <v>458</v>
      </c>
    </row>
    <row r="1555" spans="1:5" x14ac:dyDescent="0.35">
      <c r="A1555">
        <v>2007</v>
      </c>
      <c r="B1555" t="s">
        <v>36</v>
      </c>
      <c r="C1555" t="s">
        <v>165</v>
      </c>
      <c r="D1555">
        <v>15</v>
      </c>
      <c r="E1555" t="s">
        <v>458</v>
      </c>
    </row>
    <row r="1556" spans="1:5" x14ac:dyDescent="0.35">
      <c r="A1556">
        <v>2007</v>
      </c>
      <c r="B1556" t="s">
        <v>37</v>
      </c>
      <c r="C1556" t="s">
        <v>137</v>
      </c>
      <c r="D1556">
        <v>8</v>
      </c>
      <c r="E1556" t="s">
        <v>328</v>
      </c>
    </row>
    <row r="1557" spans="1:5" x14ac:dyDescent="0.35">
      <c r="A1557">
        <v>2007</v>
      </c>
      <c r="B1557" t="s">
        <v>36</v>
      </c>
      <c r="C1557" t="s">
        <v>165</v>
      </c>
      <c r="D1557">
        <v>11</v>
      </c>
      <c r="E1557" t="s">
        <v>328</v>
      </c>
    </row>
    <row r="1558" spans="1:5" x14ac:dyDescent="0.35">
      <c r="A1558">
        <v>2007</v>
      </c>
      <c r="B1558" t="s">
        <v>33</v>
      </c>
      <c r="C1558" t="s">
        <v>175</v>
      </c>
      <c r="D1558">
        <v>13</v>
      </c>
      <c r="E1558" t="s">
        <v>458</v>
      </c>
    </row>
    <row r="1559" spans="1:5" x14ac:dyDescent="0.35">
      <c r="A1559">
        <v>2007</v>
      </c>
      <c r="B1559" t="s">
        <v>37</v>
      </c>
      <c r="C1559" t="s">
        <v>166</v>
      </c>
      <c r="D1559">
        <v>11</v>
      </c>
      <c r="E1559" t="s">
        <v>328</v>
      </c>
    </row>
    <row r="1560" spans="1:5" x14ac:dyDescent="0.35">
      <c r="A1560">
        <v>2007</v>
      </c>
      <c r="B1560" t="s">
        <v>35</v>
      </c>
      <c r="C1560" t="s">
        <v>196</v>
      </c>
      <c r="D1560">
        <v>36</v>
      </c>
      <c r="E1560" t="s">
        <v>458</v>
      </c>
    </row>
    <row r="1561" spans="1:5" x14ac:dyDescent="0.35">
      <c r="A1561">
        <v>2007</v>
      </c>
      <c r="B1561" t="s">
        <v>33</v>
      </c>
      <c r="C1561" t="s">
        <v>195</v>
      </c>
      <c r="D1561">
        <v>24</v>
      </c>
      <c r="E1561" t="s">
        <v>328</v>
      </c>
    </row>
    <row r="1562" spans="1:5" x14ac:dyDescent="0.35">
      <c r="A1562">
        <v>2007</v>
      </c>
      <c r="B1562" t="s">
        <v>33</v>
      </c>
      <c r="C1562" t="s">
        <v>195</v>
      </c>
      <c r="D1562">
        <v>7</v>
      </c>
      <c r="E1562" t="s">
        <v>458</v>
      </c>
    </row>
    <row r="1563" spans="1:5" x14ac:dyDescent="0.35">
      <c r="A1563">
        <v>2007</v>
      </c>
      <c r="B1563" t="s">
        <v>36</v>
      </c>
      <c r="C1563" t="s">
        <v>372</v>
      </c>
      <c r="D1563">
        <v>3</v>
      </c>
      <c r="E1563" t="s">
        <v>328</v>
      </c>
    </row>
    <row r="1564" spans="1:5" x14ac:dyDescent="0.35">
      <c r="A1564">
        <v>2007</v>
      </c>
      <c r="B1564" t="s">
        <v>34</v>
      </c>
      <c r="C1564" t="s">
        <v>193</v>
      </c>
      <c r="D1564">
        <v>120</v>
      </c>
      <c r="E1564" t="s">
        <v>328</v>
      </c>
    </row>
    <row r="1565" spans="1:5" x14ac:dyDescent="0.35">
      <c r="A1565">
        <v>2007</v>
      </c>
      <c r="B1565" t="s">
        <v>34</v>
      </c>
      <c r="C1565" t="s">
        <v>193</v>
      </c>
      <c r="D1565">
        <v>35</v>
      </c>
      <c r="E1565" t="s">
        <v>458</v>
      </c>
    </row>
    <row r="1566" spans="1:5" x14ac:dyDescent="0.35">
      <c r="A1566">
        <v>2007</v>
      </c>
      <c r="B1566" t="s">
        <v>33</v>
      </c>
      <c r="C1566" t="s">
        <v>192</v>
      </c>
      <c r="D1566">
        <v>18</v>
      </c>
      <c r="E1566" t="s">
        <v>328</v>
      </c>
    </row>
    <row r="1567" spans="1:5" x14ac:dyDescent="0.35">
      <c r="A1567">
        <v>2007</v>
      </c>
      <c r="B1567" t="s">
        <v>35</v>
      </c>
      <c r="C1567" t="s">
        <v>196</v>
      </c>
      <c r="D1567">
        <v>126</v>
      </c>
      <c r="E1567" t="s">
        <v>328</v>
      </c>
    </row>
    <row r="1568" spans="1:5" x14ac:dyDescent="0.35">
      <c r="A1568">
        <v>2007</v>
      </c>
      <c r="B1568" t="s">
        <v>33</v>
      </c>
      <c r="C1568" t="s">
        <v>192</v>
      </c>
      <c r="D1568">
        <v>5</v>
      </c>
      <c r="E1568" t="s">
        <v>458</v>
      </c>
    </row>
    <row r="1569" spans="1:5" x14ac:dyDescent="0.35">
      <c r="A1569">
        <v>2007</v>
      </c>
      <c r="B1569" t="s">
        <v>36</v>
      </c>
      <c r="C1569" t="s">
        <v>191</v>
      </c>
      <c r="D1569">
        <v>234</v>
      </c>
      <c r="E1569" t="s">
        <v>458</v>
      </c>
    </row>
    <row r="1570" spans="1:5" x14ac:dyDescent="0.35">
      <c r="A1570">
        <v>2007</v>
      </c>
      <c r="B1570" t="s">
        <v>37</v>
      </c>
      <c r="C1570" t="s">
        <v>190</v>
      </c>
      <c r="D1570">
        <v>9</v>
      </c>
      <c r="E1570" t="s">
        <v>328</v>
      </c>
    </row>
    <row r="1571" spans="1:5" x14ac:dyDescent="0.35">
      <c r="A1571">
        <v>2007</v>
      </c>
      <c r="B1571" t="s">
        <v>37</v>
      </c>
      <c r="C1571" t="s">
        <v>190</v>
      </c>
      <c r="D1571">
        <v>23</v>
      </c>
      <c r="E1571" t="s">
        <v>458</v>
      </c>
    </row>
    <row r="1572" spans="1:5" x14ac:dyDescent="0.35">
      <c r="A1572">
        <v>2007</v>
      </c>
      <c r="B1572" t="s">
        <v>33</v>
      </c>
      <c r="C1572" t="s">
        <v>189</v>
      </c>
      <c r="D1572">
        <v>16</v>
      </c>
      <c r="E1572" t="s">
        <v>328</v>
      </c>
    </row>
    <row r="1573" spans="1:5" x14ac:dyDescent="0.35">
      <c r="A1573">
        <v>2007</v>
      </c>
      <c r="B1573" t="s">
        <v>33</v>
      </c>
      <c r="C1573" t="s">
        <v>189</v>
      </c>
      <c r="D1573">
        <v>7</v>
      </c>
      <c r="E1573" t="s">
        <v>458</v>
      </c>
    </row>
    <row r="1574" spans="1:5" x14ac:dyDescent="0.35">
      <c r="A1574">
        <v>2007</v>
      </c>
      <c r="B1574" t="s">
        <v>34</v>
      </c>
      <c r="C1574" t="s">
        <v>188</v>
      </c>
      <c r="D1574">
        <v>78</v>
      </c>
      <c r="E1574" t="s">
        <v>328</v>
      </c>
    </row>
    <row r="1575" spans="1:5" x14ac:dyDescent="0.35">
      <c r="A1575">
        <v>2007</v>
      </c>
      <c r="B1575" t="s">
        <v>34</v>
      </c>
      <c r="C1575" t="s">
        <v>188</v>
      </c>
      <c r="D1575">
        <v>13</v>
      </c>
      <c r="E1575" t="s">
        <v>458</v>
      </c>
    </row>
    <row r="1576" spans="1:5" x14ac:dyDescent="0.35">
      <c r="A1576">
        <v>2007</v>
      </c>
      <c r="B1576" t="s">
        <v>36</v>
      </c>
      <c r="C1576" t="s">
        <v>191</v>
      </c>
      <c r="D1576">
        <v>129</v>
      </c>
      <c r="E1576" t="s">
        <v>328</v>
      </c>
    </row>
    <row r="1577" spans="1:5" x14ac:dyDescent="0.35">
      <c r="A1577">
        <v>2007</v>
      </c>
      <c r="B1577" t="s">
        <v>33</v>
      </c>
      <c r="C1577" t="s">
        <v>187</v>
      </c>
      <c r="D1577">
        <v>15</v>
      </c>
      <c r="E1577" t="s">
        <v>328</v>
      </c>
    </row>
    <row r="1578" spans="1:5" x14ac:dyDescent="0.35">
      <c r="A1578">
        <v>2007</v>
      </c>
      <c r="B1578" t="s">
        <v>34</v>
      </c>
      <c r="C1578" t="s">
        <v>197</v>
      </c>
      <c r="D1578">
        <v>5</v>
      </c>
      <c r="E1578" t="s">
        <v>328</v>
      </c>
    </row>
    <row r="1579" spans="1:5" x14ac:dyDescent="0.35">
      <c r="A1579">
        <v>2007</v>
      </c>
      <c r="B1579" t="s">
        <v>35</v>
      </c>
      <c r="C1579" t="s">
        <v>198</v>
      </c>
      <c r="D1579">
        <v>216</v>
      </c>
      <c r="E1579" t="s">
        <v>328</v>
      </c>
    </row>
    <row r="1580" spans="1:5" x14ac:dyDescent="0.35">
      <c r="A1580">
        <v>2007</v>
      </c>
      <c r="B1580" t="s">
        <v>34</v>
      </c>
      <c r="C1580" t="s">
        <v>118</v>
      </c>
      <c r="D1580">
        <v>294</v>
      </c>
      <c r="E1580" t="s">
        <v>328</v>
      </c>
    </row>
    <row r="1581" spans="1:5" x14ac:dyDescent="0.35">
      <c r="A1581">
        <v>2007</v>
      </c>
      <c r="B1581" t="s">
        <v>33</v>
      </c>
      <c r="C1581" t="s">
        <v>204</v>
      </c>
      <c r="E1581" t="s">
        <v>458</v>
      </c>
    </row>
    <row r="1582" spans="1:5" x14ac:dyDescent="0.35">
      <c r="A1582">
        <v>2007</v>
      </c>
      <c r="B1582" t="s">
        <v>33</v>
      </c>
      <c r="C1582" t="s">
        <v>203</v>
      </c>
      <c r="D1582">
        <v>12</v>
      </c>
      <c r="E1582" t="s">
        <v>328</v>
      </c>
    </row>
    <row r="1583" spans="1:5" x14ac:dyDescent="0.35">
      <c r="A1583">
        <v>2007</v>
      </c>
      <c r="B1583" t="s">
        <v>33</v>
      </c>
      <c r="C1583" t="s">
        <v>203</v>
      </c>
      <c r="D1583">
        <v>13</v>
      </c>
      <c r="E1583" t="s">
        <v>458</v>
      </c>
    </row>
    <row r="1584" spans="1:5" x14ac:dyDescent="0.35">
      <c r="A1584">
        <v>2007</v>
      </c>
      <c r="B1584" t="s">
        <v>34</v>
      </c>
      <c r="C1584" t="s">
        <v>202</v>
      </c>
      <c r="D1584">
        <v>47</v>
      </c>
      <c r="E1584" t="s">
        <v>328</v>
      </c>
    </row>
    <row r="1585" spans="1:5" x14ac:dyDescent="0.35">
      <c r="A1585">
        <v>2007</v>
      </c>
      <c r="B1585" t="s">
        <v>34</v>
      </c>
      <c r="C1585" t="s">
        <v>202</v>
      </c>
      <c r="D1585">
        <v>17</v>
      </c>
      <c r="E1585" t="s">
        <v>458</v>
      </c>
    </row>
    <row r="1586" spans="1:5" x14ac:dyDescent="0.35">
      <c r="A1586">
        <v>2007</v>
      </c>
      <c r="B1586" t="s">
        <v>34</v>
      </c>
      <c r="C1586" t="s">
        <v>201</v>
      </c>
      <c r="D1586">
        <v>18</v>
      </c>
      <c r="E1586" t="s">
        <v>328</v>
      </c>
    </row>
    <row r="1587" spans="1:5" x14ac:dyDescent="0.35">
      <c r="A1587">
        <v>2007</v>
      </c>
      <c r="B1587" t="s">
        <v>35</v>
      </c>
      <c r="C1587" t="s">
        <v>198</v>
      </c>
      <c r="D1587">
        <v>162</v>
      </c>
      <c r="E1587" t="s">
        <v>458</v>
      </c>
    </row>
    <row r="1588" spans="1:5" x14ac:dyDescent="0.35">
      <c r="A1588">
        <v>2007</v>
      </c>
      <c r="B1588" t="s">
        <v>34</v>
      </c>
      <c r="C1588" t="s">
        <v>201</v>
      </c>
      <c r="D1588">
        <v>9</v>
      </c>
      <c r="E1588" t="s">
        <v>458</v>
      </c>
    </row>
    <row r="1589" spans="1:5" x14ac:dyDescent="0.35">
      <c r="A1589">
        <v>2007</v>
      </c>
      <c r="B1589" t="s">
        <v>38</v>
      </c>
      <c r="C1589" t="s">
        <v>19</v>
      </c>
      <c r="D1589">
        <v>124</v>
      </c>
      <c r="E1589" t="s">
        <v>458</v>
      </c>
    </row>
    <row r="1590" spans="1:5" x14ac:dyDescent="0.35">
      <c r="A1590">
        <v>2007</v>
      </c>
      <c r="B1590" t="s">
        <v>34</v>
      </c>
      <c r="C1590" t="s">
        <v>200</v>
      </c>
      <c r="D1590">
        <v>39</v>
      </c>
      <c r="E1590" t="s">
        <v>328</v>
      </c>
    </row>
    <row r="1591" spans="1:5" x14ac:dyDescent="0.35">
      <c r="A1591">
        <v>2007</v>
      </c>
      <c r="B1591" t="s">
        <v>34</v>
      </c>
      <c r="C1591" t="s">
        <v>200</v>
      </c>
      <c r="D1591">
        <v>7</v>
      </c>
      <c r="E1591" t="s">
        <v>458</v>
      </c>
    </row>
    <row r="1592" spans="1:5" x14ac:dyDescent="0.35">
      <c r="A1592">
        <v>2007</v>
      </c>
      <c r="B1592" t="s">
        <v>38</v>
      </c>
      <c r="C1592" t="s">
        <v>199</v>
      </c>
      <c r="D1592">
        <v>132</v>
      </c>
      <c r="E1592" t="s">
        <v>328</v>
      </c>
    </row>
    <row r="1593" spans="1:5" x14ac:dyDescent="0.35">
      <c r="A1593">
        <v>2007</v>
      </c>
      <c r="B1593" t="s">
        <v>38</v>
      </c>
      <c r="C1593" t="s">
        <v>199</v>
      </c>
      <c r="D1593">
        <v>31</v>
      </c>
      <c r="E1593" t="s">
        <v>458</v>
      </c>
    </row>
    <row r="1594" spans="1:5" x14ac:dyDescent="0.35">
      <c r="A1594">
        <v>2007</v>
      </c>
      <c r="B1594" t="s">
        <v>39</v>
      </c>
      <c r="C1594" t="s">
        <v>39</v>
      </c>
      <c r="D1594">
        <v>39</v>
      </c>
      <c r="E1594" t="s">
        <v>328</v>
      </c>
    </row>
    <row r="1595" spans="1:5" x14ac:dyDescent="0.35">
      <c r="A1595">
        <v>2007</v>
      </c>
      <c r="B1595" t="s">
        <v>39</v>
      </c>
      <c r="C1595" t="s">
        <v>39</v>
      </c>
      <c r="D1595">
        <v>4</v>
      </c>
      <c r="E1595" t="s">
        <v>458</v>
      </c>
    </row>
    <row r="1596" spans="1:5" x14ac:dyDescent="0.35">
      <c r="A1596">
        <v>2007</v>
      </c>
      <c r="B1596" t="s">
        <v>38</v>
      </c>
      <c r="C1596" t="s">
        <v>19</v>
      </c>
      <c r="D1596">
        <v>358</v>
      </c>
      <c r="E1596" t="s">
        <v>328</v>
      </c>
    </row>
    <row r="1597" spans="1:5" x14ac:dyDescent="0.35">
      <c r="A1597">
        <v>2007</v>
      </c>
      <c r="B1597" t="s">
        <v>37</v>
      </c>
      <c r="C1597" t="s">
        <v>166</v>
      </c>
      <c r="D1597">
        <v>12</v>
      </c>
      <c r="E1597" t="s">
        <v>458</v>
      </c>
    </row>
    <row r="1598" spans="1:5" x14ac:dyDescent="0.35">
      <c r="A1598">
        <v>2007</v>
      </c>
      <c r="B1598" t="s">
        <v>33</v>
      </c>
      <c r="C1598" t="s">
        <v>187</v>
      </c>
      <c r="D1598">
        <v>8</v>
      </c>
      <c r="E1598" t="s">
        <v>458</v>
      </c>
    </row>
    <row r="1599" spans="1:5" x14ac:dyDescent="0.35">
      <c r="A1599">
        <v>2007</v>
      </c>
      <c r="B1599" t="s">
        <v>34</v>
      </c>
      <c r="C1599" t="s">
        <v>185</v>
      </c>
      <c r="D1599">
        <v>111</v>
      </c>
      <c r="E1599" t="s">
        <v>328</v>
      </c>
    </row>
    <row r="1600" spans="1:5" x14ac:dyDescent="0.35">
      <c r="A1600">
        <v>2007</v>
      </c>
      <c r="B1600" t="s">
        <v>33</v>
      </c>
      <c r="C1600" t="s">
        <v>174</v>
      </c>
      <c r="D1600">
        <v>16</v>
      </c>
      <c r="E1600" t="s">
        <v>328</v>
      </c>
    </row>
    <row r="1601" spans="1:5" x14ac:dyDescent="0.35">
      <c r="A1601">
        <v>2007</v>
      </c>
      <c r="B1601" t="s">
        <v>33</v>
      </c>
      <c r="C1601" t="s">
        <v>174</v>
      </c>
      <c r="D1601">
        <v>3</v>
      </c>
      <c r="E1601" t="s">
        <v>458</v>
      </c>
    </row>
    <row r="1602" spans="1:5" x14ac:dyDescent="0.35">
      <c r="A1602">
        <v>2007</v>
      </c>
      <c r="B1602" t="s">
        <v>35</v>
      </c>
      <c r="C1602" t="s">
        <v>173</v>
      </c>
      <c r="E1602" t="s">
        <v>328</v>
      </c>
    </row>
    <row r="1603" spans="1:5" x14ac:dyDescent="0.35">
      <c r="A1603">
        <v>2007</v>
      </c>
      <c r="B1603" t="s">
        <v>35</v>
      </c>
      <c r="C1603" t="s">
        <v>173</v>
      </c>
      <c r="E1603" t="s">
        <v>458</v>
      </c>
    </row>
    <row r="1604" spans="1:5" x14ac:dyDescent="0.35">
      <c r="A1604">
        <v>2007</v>
      </c>
      <c r="B1604" t="s">
        <v>35</v>
      </c>
      <c r="C1604" t="s">
        <v>172</v>
      </c>
      <c r="D1604">
        <v>38</v>
      </c>
      <c r="E1604" t="s">
        <v>328</v>
      </c>
    </row>
    <row r="1605" spans="1:5" x14ac:dyDescent="0.35">
      <c r="A1605">
        <v>2007</v>
      </c>
      <c r="B1605" t="s">
        <v>35</v>
      </c>
      <c r="C1605" t="s">
        <v>172</v>
      </c>
      <c r="D1605">
        <v>6</v>
      </c>
      <c r="E1605" t="s">
        <v>458</v>
      </c>
    </row>
    <row r="1606" spans="1:5" x14ac:dyDescent="0.35">
      <c r="A1606">
        <v>2007</v>
      </c>
      <c r="B1606" t="s">
        <v>34</v>
      </c>
      <c r="C1606" t="s">
        <v>171</v>
      </c>
      <c r="D1606">
        <v>11</v>
      </c>
      <c r="E1606" t="s">
        <v>328</v>
      </c>
    </row>
    <row r="1607" spans="1:5" x14ac:dyDescent="0.35">
      <c r="A1607">
        <v>2007</v>
      </c>
      <c r="B1607" t="s">
        <v>33</v>
      </c>
      <c r="C1607" t="s">
        <v>175</v>
      </c>
      <c r="D1607">
        <v>32</v>
      </c>
      <c r="E1607" t="s">
        <v>328</v>
      </c>
    </row>
    <row r="1608" spans="1:5" x14ac:dyDescent="0.35">
      <c r="A1608">
        <v>2007</v>
      </c>
      <c r="B1608" t="s">
        <v>34</v>
      </c>
      <c r="C1608" t="s">
        <v>171</v>
      </c>
      <c r="D1608">
        <v>5</v>
      </c>
      <c r="E1608" t="s">
        <v>458</v>
      </c>
    </row>
    <row r="1609" spans="1:5" x14ac:dyDescent="0.35">
      <c r="A1609">
        <v>2007</v>
      </c>
      <c r="B1609" t="s">
        <v>33</v>
      </c>
      <c r="C1609" t="s">
        <v>170</v>
      </c>
      <c r="D1609">
        <v>16</v>
      </c>
      <c r="E1609" t="s">
        <v>458</v>
      </c>
    </row>
    <row r="1610" spans="1:5" x14ac:dyDescent="0.35">
      <c r="A1610">
        <v>2007</v>
      </c>
      <c r="B1610" t="s">
        <v>35</v>
      </c>
      <c r="C1610" t="s">
        <v>215</v>
      </c>
      <c r="D1610">
        <v>105</v>
      </c>
      <c r="E1610" t="s">
        <v>328</v>
      </c>
    </row>
    <row r="1611" spans="1:5" x14ac:dyDescent="0.35">
      <c r="A1611">
        <v>2007</v>
      </c>
      <c r="B1611" t="s">
        <v>35</v>
      </c>
      <c r="C1611" t="s">
        <v>215</v>
      </c>
      <c r="D1611">
        <v>32</v>
      </c>
      <c r="E1611" t="s">
        <v>458</v>
      </c>
    </row>
    <row r="1612" spans="1:5" x14ac:dyDescent="0.35">
      <c r="A1612">
        <v>2007</v>
      </c>
      <c r="B1612" t="s">
        <v>33</v>
      </c>
      <c r="C1612" t="s">
        <v>168</v>
      </c>
      <c r="D1612">
        <v>64</v>
      </c>
      <c r="E1612" t="s">
        <v>328</v>
      </c>
    </row>
    <row r="1613" spans="1:5" x14ac:dyDescent="0.35">
      <c r="A1613">
        <v>2007</v>
      </c>
      <c r="B1613" t="s">
        <v>33</v>
      </c>
      <c r="C1613" t="s">
        <v>168</v>
      </c>
      <c r="D1613">
        <v>15</v>
      </c>
      <c r="E1613" t="s">
        <v>458</v>
      </c>
    </row>
    <row r="1614" spans="1:5" x14ac:dyDescent="0.35">
      <c r="A1614">
        <v>2007</v>
      </c>
      <c r="B1614" t="s">
        <v>34</v>
      </c>
      <c r="C1614" t="s">
        <v>167</v>
      </c>
      <c r="D1614">
        <v>26</v>
      </c>
      <c r="E1614" t="s">
        <v>328</v>
      </c>
    </row>
    <row r="1615" spans="1:5" x14ac:dyDescent="0.35">
      <c r="A1615">
        <v>2007</v>
      </c>
      <c r="B1615" t="s">
        <v>34</v>
      </c>
      <c r="C1615" t="s">
        <v>167</v>
      </c>
      <c r="D1615">
        <v>5</v>
      </c>
      <c r="E1615" t="s">
        <v>458</v>
      </c>
    </row>
    <row r="1616" spans="1:5" x14ac:dyDescent="0.35">
      <c r="A1616">
        <v>2007</v>
      </c>
      <c r="B1616" t="s">
        <v>33</v>
      </c>
      <c r="C1616" t="s">
        <v>170</v>
      </c>
      <c r="D1616">
        <v>35</v>
      </c>
      <c r="E1616" t="s">
        <v>328</v>
      </c>
    </row>
    <row r="1617" spans="1:5" x14ac:dyDescent="0.35">
      <c r="A1617">
        <v>2007</v>
      </c>
      <c r="B1617" t="s">
        <v>34</v>
      </c>
      <c r="C1617" t="s">
        <v>186</v>
      </c>
      <c r="E1617" t="s">
        <v>328</v>
      </c>
    </row>
    <row r="1618" spans="1:5" x14ac:dyDescent="0.35">
      <c r="A1618">
        <v>2007</v>
      </c>
      <c r="B1618" t="s">
        <v>33</v>
      </c>
      <c r="C1618" t="s">
        <v>176</v>
      </c>
      <c r="E1618" t="s">
        <v>458</v>
      </c>
    </row>
    <row r="1619" spans="1:5" x14ac:dyDescent="0.35">
      <c r="A1619">
        <v>2007</v>
      </c>
      <c r="B1619" t="s">
        <v>35</v>
      </c>
      <c r="C1619" t="s">
        <v>216</v>
      </c>
      <c r="E1619" t="s">
        <v>458</v>
      </c>
    </row>
    <row r="1620" spans="1:5" x14ac:dyDescent="0.35">
      <c r="A1620">
        <v>2007</v>
      </c>
      <c r="B1620" t="s">
        <v>33</v>
      </c>
      <c r="C1620" t="s">
        <v>204</v>
      </c>
      <c r="E1620" t="s">
        <v>328</v>
      </c>
    </row>
    <row r="1621" spans="1:5" x14ac:dyDescent="0.35">
      <c r="A1621">
        <v>2007</v>
      </c>
      <c r="B1621" t="s">
        <v>34</v>
      </c>
      <c r="C1621" t="s">
        <v>184</v>
      </c>
      <c r="D1621">
        <v>33</v>
      </c>
      <c r="E1621" t="s">
        <v>328</v>
      </c>
    </row>
    <row r="1622" spans="1:5" x14ac:dyDescent="0.35">
      <c r="A1622">
        <v>2007</v>
      </c>
      <c r="B1622" t="s">
        <v>34</v>
      </c>
      <c r="C1622" t="s">
        <v>184</v>
      </c>
      <c r="D1622">
        <v>7</v>
      </c>
      <c r="E1622" t="s">
        <v>458</v>
      </c>
    </row>
    <row r="1623" spans="1:5" x14ac:dyDescent="0.35">
      <c r="A1623">
        <v>2007</v>
      </c>
      <c r="B1623" t="s">
        <v>35</v>
      </c>
      <c r="C1623" t="s">
        <v>183</v>
      </c>
      <c r="D1623">
        <v>12</v>
      </c>
      <c r="E1623" t="s">
        <v>328</v>
      </c>
    </row>
    <row r="1624" spans="1:5" x14ac:dyDescent="0.35">
      <c r="A1624">
        <v>2007</v>
      </c>
      <c r="B1624" t="s">
        <v>35</v>
      </c>
      <c r="C1624" t="s">
        <v>183</v>
      </c>
      <c r="D1624">
        <v>4</v>
      </c>
      <c r="E1624" t="s">
        <v>458</v>
      </c>
    </row>
    <row r="1625" spans="1:5" x14ac:dyDescent="0.35">
      <c r="A1625">
        <v>2007</v>
      </c>
      <c r="B1625" t="s">
        <v>35</v>
      </c>
      <c r="C1625" t="s">
        <v>182</v>
      </c>
      <c r="D1625">
        <v>25</v>
      </c>
      <c r="E1625" t="s">
        <v>328</v>
      </c>
    </row>
    <row r="1626" spans="1:5" x14ac:dyDescent="0.35">
      <c r="A1626">
        <v>2007</v>
      </c>
      <c r="B1626" t="s">
        <v>35</v>
      </c>
      <c r="C1626" t="s">
        <v>182</v>
      </c>
      <c r="D1626">
        <v>10</v>
      </c>
      <c r="E1626" t="s">
        <v>458</v>
      </c>
    </row>
    <row r="1627" spans="1:5" x14ac:dyDescent="0.35">
      <c r="A1627">
        <v>2007</v>
      </c>
      <c r="B1627" t="s">
        <v>33</v>
      </c>
      <c r="C1627" t="s">
        <v>176</v>
      </c>
      <c r="E1627" t="s">
        <v>328</v>
      </c>
    </row>
    <row r="1628" spans="1:5" x14ac:dyDescent="0.35">
      <c r="A1628">
        <v>2007</v>
      </c>
      <c r="B1628" t="s">
        <v>38</v>
      </c>
      <c r="C1628" t="s">
        <v>180</v>
      </c>
      <c r="D1628">
        <v>6</v>
      </c>
      <c r="E1628" t="s">
        <v>328</v>
      </c>
    </row>
    <row r="1629" spans="1:5" x14ac:dyDescent="0.35">
      <c r="A1629">
        <v>2007</v>
      </c>
      <c r="B1629" t="s">
        <v>33</v>
      </c>
      <c r="C1629" t="s">
        <v>179</v>
      </c>
      <c r="D1629">
        <v>8</v>
      </c>
      <c r="E1629" t="s">
        <v>328</v>
      </c>
    </row>
    <row r="1630" spans="1:5" x14ac:dyDescent="0.35">
      <c r="A1630">
        <v>2007</v>
      </c>
      <c r="B1630" t="s">
        <v>33</v>
      </c>
      <c r="C1630" t="s">
        <v>179</v>
      </c>
      <c r="D1630">
        <v>5</v>
      </c>
      <c r="E1630" t="s">
        <v>458</v>
      </c>
    </row>
    <row r="1631" spans="1:5" x14ac:dyDescent="0.35">
      <c r="A1631">
        <v>2007</v>
      </c>
      <c r="B1631" t="s">
        <v>34</v>
      </c>
      <c r="C1631" t="s">
        <v>178</v>
      </c>
      <c r="D1631">
        <v>54</v>
      </c>
      <c r="E1631" t="s">
        <v>328</v>
      </c>
    </row>
    <row r="1632" spans="1:5" x14ac:dyDescent="0.35">
      <c r="A1632">
        <v>2007</v>
      </c>
      <c r="B1632" t="s">
        <v>34</v>
      </c>
      <c r="C1632" t="s">
        <v>178</v>
      </c>
      <c r="D1632">
        <v>6</v>
      </c>
      <c r="E1632" t="s">
        <v>458</v>
      </c>
    </row>
    <row r="1633" spans="1:5" x14ac:dyDescent="0.35">
      <c r="A1633">
        <v>2007</v>
      </c>
      <c r="B1633" t="s">
        <v>35</v>
      </c>
      <c r="C1633" t="s">
        <v>177</v>
      </c>
      <c r="D1633">
        <v>40</v>
      </c>
      <c r="E1633" t="s">
        <v>328</v>
      </c>
    </row>
    <row r="1634" spans="1:5" x14ac:dyDescent="0.35">
      <c r="A1634">
        <v>2007</v>
      </c>
      <c r="B1634" t="s">
        <v>35</v>
      </c>
      <c r="C1634" t="s">
        <v>177</v>
      </c>
      <c r="D1634">
        <v>25</v>
      </c>
      <c r="E1634" t="s">
        <v>458</v>
      </c>
    </row>
    <row r="1635" spans="1:5" x14ac:dyDescent="0.35">
      <c r="A1635">
        <v>2007</v>
      </c>
      <c r="B1635" t="s">
        <v>35</v>
      </c>
      <c r="C1635" t="s">
        <v>216</v>
      </c>
      <c r="E1635" t="s">
        <v>328</v>
      </c>
    </row>
    <row r="1636" spans="1:5" x14ac:dyDescent="0.35">
      <c r="A1636">
        <v>2007</v>
      </c>
      <c r="B1636" t="s">
        <v>38</v>
      </c>
      <c r="C1636" t="s">
        <v>180</v>
      </c>
      <c r="D1636">
        <v>6</v>
      </c>
      <c r="E1636" t="s">
        <v>458</v>
      </c>
    </row>
    <row r="1637" spans="1:5" x14ac:dyDescent="0.35">
      <c r="A1637">
        <v>2007</v>
      </c>
      <c r="B1637" t="s">
        <v>34</v>
      </c>
      <c r="C1637" t="s">
        <v>185</v>
      </c>
      <c r="D1637">
        <v>15</v>
      </c>
      <c r="E1637" t="s">
        <v>458</v>
      </c>
    </row>
    <row r="1638" spans="1:5" x14ac:dyDescent="0.35">
      <c r="A1638">
        <v>2007</v>
      </c>
      <c r="B1638" t="s">
        <v>34</v>
      </c>
      <c r="C1638" t="s">
        <v>118</v>
      </c>
      <c r="D1638">
        <v>123</v>
      </c>
      <c r="E1638" t="s">
        <v>458</v>
      </c>
    </row>
    <row r="1639" spans="1:5" x14ac:dyDescent="0.35">
      <c r="A1639">
        <v>2007</v>
      </c>
      <c r="B1639" t="s">
        <v>33</v>
      </c>
      <c r="C1639" t="s">
        <v>117</v>
      </c>
      <c r="D1639">
        <v>43</v>
      </c>
      <c r="E1639" t="s">
        <v>458</v>
      </c>
    </row>
    <row r="1640" spans="1:5" x14ac:dyDescent="0.35">
      <c r="A1640">
        <v>2007</v>
      </c>
      <c r="B1640" t="s">
        <v>33</v>
      </c>
      <c r="C1640" t="s">
        <v>68</v>
      </c>
      <c r="D1640">
        <v>53</v>
      </c>
      <c r="E1640" t="s">
        <v>328</v>
      </c>
    </row>
    <row r="1641" spans="1:5" x14ac:dyDescent="0.35">
      <c r="A1641">
        <v>2007</v>
      </c>
      <c r="B1641" t="s">
        <v>33</v>
      </c>
      <c r="C1641" t="s">
        <v>68</v>
      </c>
      <c r="D1641">
        <v>10</v>
      </c>
      <c r="E1641" t="s">
        <v>458</v>
      </c>
    </row>
    <row r="1642" spans="1:5" x14ac:dyDescent="0.35">
      <c r="A1642">
        <v>2007</v>
      </c>
      <c r="B1642" t="s">
        <v>34</v>
      </c>
      <c r="C1642" t="s">
        <v>67</v>
      </c>
      <c r="D1642">
        <v>12</v>
      </c>
      <c r="E1642" t="s">
        <v>328</v>
      </c>
    </row>
    <row r="1643" spans="1:5" x14ac:dyDescent="0.35">
      <c r="A1643">
        <v>2007</v>
      </c>
      <c r="B1643" t="s">
        <v>34</v>
      </c>
      <c r="C1643" t="s">
        <v>67</v>
      </c>
      <c r="D1643">
        <v>17</v>
      </c>
      <c r="E1643" t="s">
        <v>458</v>
      </c>
    </row>
    <row r="1644" spans="1:5" x14ac:dyDescent="0.35">
      <c r="A1644">
        <v>2007</v>
      </c>
      <c r="B1644" t="s">
        <v>33</v>
      </c>
      <c r="C1644" t="s">
        <v>66</v>
      </c>
      <c r="D1644">
        <v>11</v>
      </c>
      <c r="E1644" t="s">
        <v>328</v>
      </c>
    </row>
    <row r="1645" spans="1:5" x14ac:dyDescent="0.35">
      <c r="A1645">
        <v>2007</v>
      </c>
      <c r="B1645" t="s">
        <v>33</v>
      </c>
      <c r="C1645" t="s">
        <v>66</v>
      </c>
      <c r="D1645">
        <v>50</v>
      </c>
      <c r="E1645" t="s">
        <v>458</v>
      </c>
    </row>
    <row r="1646" spans="1:5" x14ac:dyDescent="0.35">
      <c r="A1646">
        <v>2007</v>
      </c>
      <c r="B1646" t="s">
        <v>34</v>
      </c>
      <c r="C1646" t="s">
        <v>64</v>
      </c>
      <c r="E1646" t="s">
        <v>328</v>
      </c>
    </row>
    <row r="1647" spans="1:5" x14ac:dyDescent="0.35">
      <c r="A1647">
        <v>2007</v>
      </c>
      <c r="B1647" t="s">
        <v>34</v>
      </c>
      <c r="C1647" t="s">
        <v>64</v>
      </c>
      <c r="E1647" t="s">
        <v>458</v>
      </c>
    </row>
    <row r="1648" spans="1:5" x14ac:dyDescent="0.35">
      <c r="A1648">
        <v>2007</v>
      </c>
      <c r="B1648" t="s">
        <v>33</v>
      </c>
      <c r="C1648" t="s">
        <v>63</v>
      </c>
      <c r="D1648">
        <v>9</v>
      </c>
      <c r="E1648" t="s">
        <v>328</v>
      </c>
    </row>
    <row r="1649" spans="1:5" x14ac:dyDescent="0.35">
      <c r="A1649">
        <v>2007</v>
      </c>
      <c r="B1649" t="s">
        <v>33</v>
      </c>
      <c r="C1649" t="s">
        <v>63</v>
      </c>
      <c r="D1649">
        <v>4</v>
      </c>
      <c r="E1649" t="s">
        <v>458</v>
      </c>
    </row>
    <row r="1650" spans="1:5" x14ac:dyDescent="0.35">
      <c r="A1650">
        <v>2007</v>
      </c>
      <c r="B1650" t="s">
        <v>35</v>
      </c>
      <c r="C1650" t="s">
        <v>62</v>
      </c>
      <c r="D1650">
        <v>57</v>
      </c>
      <c r="E1650" t="s">
        <v>328</v>
      </c>
    </row>
    <row r="1651" spans="1:5" x14ac:dyDescent="0.35">
      <c r="A1651">
        <v>2007</v>
      </c>
      <c r="B1651" t="s">
        <v>35</v>
      </c>
      <c r="C1651" t="s">
        <v>62</v>
      </c>
      <c r="D1651">
        <v>23</v>
      </c>
      <c r="E1651" t="s">
        <v>458</v>
      </c>
    </row>
    <row r="1652" spans="1:5" x14ac:dyDescent="0.35">
      <c r="A1652">
        <v>2007</v>
      </c>
      <c r="B1652" t="s">
        <v>38</v>
      </c>
      <c r="C1652" t="s">
        <v>21</v>
      </c>
      <c r="D1652">
        <v>3858</v>
      </c>
      <c r="E1652" t="s">
        <v>328</v>
      </c>
    </row>
    <row r="1653" spans="1:5" x14ac:dyDescent="0.35">
      <c r="A1653">
        <v>2007</v>
      </c>
      <c r="B1653" t="s">
        <v>38</v>
      </c>
      <c r="C1653" t="s">
        <v>21</v>
      </c>
      <c r="D1653">
        <v>352</v>
      </c>
      <c r="E1653" t="s">
        <v>458</v>
      </c>
    </row>
    <row r="1654" spans="1:5" x14ac:dyDescent="0.35">
      <c r="A1654">
        <v>2007</v>
      </c>
      <c r="B1654" t="s">
        <v>35</v>
      </c>
      <c r="C1654" t="s">
        <v>60</v>
      </c>
      <c r="D1654">
        <v>13</v>
      </c>
      <c r="E1654" t="s">
        <v>328</v>
      </c>
    </row>
    <row r="1655" spans="1:5" x14ac:dyDescent="0.35">
      <c r="A1655">
        <v>2007</v>
      </c>
      <c r="B1655" t="s">
        <v>36</v>
      </c>
      <c r="C1655" t="s">
        <v>69</v>
      </c>
      <c r="D1655">
        <v>411</v>
      </c>
      <c r="E1655" t="s">
        <v>458</v>
      </c>
    </row>
    <row r="1656" spans="1:5" x14ac:dyDescent="0.35">
      <c r="A1656">
        <v>2007</v>
      </c>
      <c r="B1656" t="s">
        <v>36</v>
      </c>
      <c r="C1656" t="s">
        <v>69</v>
      </c>
      <c r="D1656">
        <v>852</v>
      </c>
      <c r="E1656" t="s">
        <v>328</v>
      </c>
    </row>
    <row r="1657" spans="1:5" x14ac:dyDescent="0.35">
      <c r="A1657">
        <v>2007</v>
      </c>
      <c r="B1657" t="s">
        <v>33</v>
      </c>
      <c r="C1657" t="s">
        <v>71</v>
      </c>
      <c r="E1657" t="s">
        <v>458</v>
      </c>
    </row>
    <row r="1658" spans="1:5" x14ac:dyDescent="0.35">
      <c r="A1658">
        <v>2007</v>
      </c>
      <c r="B1658" t="s">
        <v>33</v>
      </c>
      <c r="C1658" t="s">
        <v>71</v>
      </c>
      <c r="E1658" t="s">
        <v>328</v>
      </c>
    </row>
    <row r="1659" spans="1:5" x14ac:dyDescent="0.35">
      <c r="A1659">
        <v>2007</v>
      </c>
      <c r="B1659" t="s">
        <v>35</v>
      </c>
      <c r="C1659" t="s">
        <v>78</v>
      </c>
      <c r="D1659">
        <v>7</v>
      </c>
      <c r="E1659" t="s">
        <v>328</v>
      </c>
    </row>
    <row r="1660" spans="1:5" x14ac:dyDescent="0.35">
      <c r="A1660">
        <v>2007</v>
      </c>
      <c r="B1660" t="s">
        <v>35</v>
      </c>
      <c r="C1660" t="s">
        <v>78</v>
      </c>
      <c r="D1660">
        <v>6</v>
      </c>
      <c r="E1660" t="s">
        <v>458</v>
      </c>
    </row>
    <row r="1661" spans="1:5" x14ac:dyDescent="0.35">
      <c r="A1661">
        <v>2007</v>
      </c>
      <c r="B1661" t="s">
        <v>33</v>
      </c>
      <c r="C1661" t="s">
        <v>77</v>
      </c>
      <c r="D1661">
        <v>26</v>
      </c>
      <c r="E1661" t="s">
        <v>328</v>
      </c>
    </row>
    <row r="1662" spans="1:5" x14ac:dyDescent="0.35">
      <c r="A1662">
        <v>2007</v>
      </c>
      <c r="B1662" t="s">
        <v>33</v>
      </c>
      <c r="C1662" t="s">
        <v>77</v>
      </c>
      <c r="D1662">
        <v>4</v>
      </c>
      <c r="E1662" t="s">
        <v>458</v>
      </c>
    </row>
    <row r="1663" spans="1:5" x14ac:dyDescent="0.35">
      <c r="A1663">
        <v>2007</v>
      </c>
      <c r="B1663" t="s">
        <v>36</v>
      </c>
      <c r="C1663" t="s">
        <v>76</v>
      </c>
      <c r="D1663">
        <v>567</v>
      </c>
      <c r="E1663" t="s">
        <v>328</v>
      </c>
    </row>
    <row r="1664" spans="1:5" x14ac:dyDescent="0.35">
      <c r="A1664">
        <v>2007</v>
      </c>
      <c r="B1664" t="s">
        <v>36</v>
      </c>
      <c r="C1664" t="s">
        <v>76</v>
      </c>
      <c r="D1664">
        <v>88</v>
      </c>
      <c r="E1664" t="s">
        <v>458</v>
      </c>
    </row>
    <row r="1665" spans="1:5" x14ac:dyDescent="0.35">
      <c r="A1665">
        <v>2007</v>
      </c>
      <c r="B1665" t="s">
        <v>33</v>
      </c>
      <c r="C1665" t="s">
        <v>75</v>
      </c>
      <c r="D1665">
        <v>12</v>
      </c>
      <c r="E1665" t="s">
        <v>328</v>
      </c>
    </row>
    <row r="1666" spans="1:5" x14ac:dyDescent="0.35">
      <c r="A1666">
        <v>2007</v>
      </c>
      <c r="B1666" t="s">
        <v>35</v>
      </c>
      <c r="C1666" t="s">
        <v>60</v>
      </c>
      <c r="D1666">
        <v>29</v>
      </c>
      <c r="E1666" t="s">
        <v>458</v>
      </c>
    </row>
    <row r="1667" spans="1:5" x14ac:dyDescent="0.35">
      <c r="A1667">
        <v>2007</v>
      </c>
      <c r="B1667" t="s">
        <v>33</v>
      </c>
      <c r="C1667" t="s">
        <v>75</v>
      </c>
      <c r="D1667">
        <v>5</v>
      </c>
      <c r="E1667" t="s">
        <v>458</v>
      </c>
    </row>
    <row r="1668" spans="1:5" x14ac:dyDescent="0.35">
      <c r="A1668">
        <v>2007</v>
      </c>
      <c r="B1668" t="s">
        <v>33</v>
      </c>
      <c r="C1668" t="s">
        <v>74</v>
      </c>
      <c r="D1668">
        <v>4</v>
      </c>
      <c r="E1668" t="s">
        <v>458</v>
      </c>
    </row>
    <row r="1669" spans="1:5" x14ac:dyDescent="0.35">
      <c r="A1669">
        <v>2007</v>
      </c>
      <c r="B1669" t="s">
        <v>38</v>
      </c>
      <c r="C1669" t="s">
        <v>20</v>
      </c>
      <c r="D1669">
        <v>1802</v>
      </c>
      <c r="E1669" t="s">
        <v>328</v>
      </c>
    </row>
    <row r="1670" spans="1:5" x14ac:dyDescent="0.35">
      <c r="A1670">
        <v>2007</v>
      </c>
      <c r="B1670" t="s">
        <v>38</v>
      </c>
      <c r="C1670" t="s">
        <v>20</v>
      </c>
      <c r="D1670">
        <v>1191</v>
      </c>
      <c r="E1670" t="s">
        <v>458</v>
      </c>
    </row>
    <row r="1671" spans="1:5" x14ac:dyDescent="0.35">
      <c r="A1671">
        <v>2007</v>
      </c>
      <c r="B1671" t="s">
        <v>34</v>
      </c>
      <c r="C1671" t="s">
        <v>73</v>
      </c>
      <c r="D1671">
        <v>767</v>
      </c>
      <c r="E1671" t="s">
        <v>328</v>
      </c>
    </row>
    <row r="1672" spans="1:5" x14ac:dyDescent="0.35">
      <c r="A1672">
        <v>2007</v>
      </c>
      <c r="B1672" t="s">
        <v>34</v>
      </c>
      <c r="C1672" t="s">
        <v>73</v>
      </c>
      <c r="D1672">
        <v>97</v>
      </c>
      <c r="E1672" t="s">
        <v>458</v>
      </c>
    </row>
    <row r="1673" spans="1:5" x14ac:dyDescent="0.35">
      <c r="A1673">
        <v>2007</v>
      </c>
      <c r="B1673" t="s">
        <v>38</v>
      </c>
      <c r="C1673" t="s">
        <v>72</v>
      </c>
      <c r="D1673">
        <v>164</v>
      </c>
      <c r="E1673" t="s">
        <v>328</v>
      </c>
    </row>
    <row r="1674" spans="1:5" x14ac:dyDescent="0.35">
      <c r="A1674">
        <v>2007</v>
      </c>
      <c r="B1674" t="s">
        <v>38</v>
      </c>
      <c r="C1674" t="s">
        <v>72</v>
      </c>
      <c r="D1674">
        <v>73</v>
      </c>
      <c r="E1674" t="s">
        <v>458</v>
      </c>
    </row>
    <row r="1675" spans="1:5" x14ac:dyDescent="0.35">
      <c r="A1675">
        <v>2007</v>
      </c>
      <c r="B1675" t="s">
        <v>33</v>
      </c>
      <c r="C1675" t="s">
        <v>74</v>
      </c>
      <c r="D1675">
        <v>13</v>
      </c>
      <c r="E1675" t="s">
        <v>328</v>
      </c>
    </row>
    <row r="1676" spans="1:5" x14ac:dyDescent="0.35">
      <c r="A1676">
        <v>2007</v>
      </c>
      <c r="B1676" t="s">
        <v>38</v>
      </c>
      <c r="C1676" t="s">
        <v>59</v>
      </c>
      <c r="D1676">
        <v>37</v>
      </c>
      <c r="E1676" t="s">
        <v>458</v>
      </c>
    </row>
    <row r="1677" spans="1:5" x14ac:dyDescent="0.35">
      <c r="A1677">
        <v>2007</v>
      </c>
      <c r="B1677" t="s">
        <v>36</v>
      </c>
      <c r="C1677" t="s">
        <v>363</v>
      </c>
      <c r="E1677" t="s">
        <v>328</v>
      </c>
    </row>
    <row r="1678" spans="1:5" x14ac:dyDescent="0.35">
      <c r="A1678">
        <v>2007</v>
      </c>
      <c r="B1678" t="s">
        <v>33</v>
      </c>
      <c r="C1678" t="s">
        <v>57</v>
      </c>
      <c r="D1678">
        <v>4</v>
      </c>
      <c r="E1678" t="s">
        <v>328</v>
      </c>
    </row>
    <row r="1679" spans="1:5" x14ac:dyDescent="0.35">
      <c r="A1679">
        <v>2007</v>
      </c>
      <c r="B1679" t="s">
        <v>34</v>
      </c>
      <c r="C1679" t="s">
        <v>46</v>
      </c>
      <c r="D1679">
        <v>34</v>
      </c>
      <c r="E1679" t="s">
        <v>458</v>
      </c>
    </row>
    <row r="1680" spans="1:5" x14ac:dyDescent="0.35">
      <c r="A1680">
        <v>2007</v>
      </c>
      <c r="B1680" t="s">
        <v>38</v>
      </c>
      <c r="C1680" t="s">
        <v>45</v>
      </c>
      <c r="D1680">
        <v>319</v>
      </c>
      <c r="E1680" t="s">
        <v>328</v>
      </c>
    </row>
    <row r="1681" spans="1:5" x14ac:dyDescent="0.35">
      <c r="A1681">
        <v>2007</v>
      </c>
      <c r="B1681" t="s">
        <v>38</v>
      </c>
      <c r="C1681" t="s">
        <v>45</v>
      </c>
      <c r="D1681">
        <v>76</v>
      </c>
      <c r="E1681" t="s">
        <v>458</v>
      </c>
    </row>
    <row r="1682" spans="1:5" x14ac:dyDescent="0.35">
      <c r="A1682">
        <v>2007</v>
      </c>
      <c r="B1682" t="s">
        <v>36</v>
      </c>
      <c r="C1682" t="s">
        <v>44</v>
      </c>
      <c r="D1682">
        <v>8</v>
      </c>
      <c r="E1682" t="s">
        <v>328</v>
      </c>
    </row>
    <row r="1683" spans="1:5" x14ac:dyDescent="0.35">
      <c r="A1683">
        <v>2007</v>
      </c>
      <c r="B1683" t="s">
        <v>36</v>
      </c>
      <c r="C1683" t="s">
        <v>44</v>
      </c>
      <c r="D1683">
        <v>37</v>
      </c>
      <c r="E1683" t="s">
        <v>458</v>
      </c>
    </row>
    <row r="1684" spans="1:5" x14ac:dyDescent="0.35">
      <c r="A1684">
        <v>2007</v>
      </c>
      <c r="B1684" t="s">
        <v>33</v>
      </c>
      <c r="C1684" t="s">
        <v>43</v>
      </c>
      <c r="D1684">
        <v>14</v>
      </c>
      <c r="E1684" t="s">
        <v>328</v>
      </c>
    </row>
    <row r="1685" spans="1:5" x14ac:dyDescent="0.35">
      <c r="A1685">
        <v>2007</v>
      </c>
      <c r="B1685" t="s">
        <v>33</v>
      </c>
      <c r="C1685" t="s">
        <v>43</v>
      </c>
      <c r="D1685">
        <v>3</v>
      </c>
      <c r="E1685" t="s">
        <v>458</v>
      </c>
    </row>
    <row r="1686" spans="1:5" x14ac:dyDescent="0.35">
      <c r="A1686">
        <v>2007</v>
      </c>
      <c r="B1686" t="s">
        <v>34</v>
      </c>
      <c r="C1686" t="s">
        <v>46</v>
      </c>
      <c r="D1686">
        <v>40</v>
      </c>
      <c r="E1686" t="s">
        <v>328</v>
      </c>
    </row>
    <row r="1687" spans="1:5" x14ac:dyDescent="0.35">
      <c r="A1687">
        <v>2007</v>
      </c>
      <c r="C1687" t="s">
        <v>373</v>
      </c>
      <c r="D1687">
        <v>39</v>
      </c>
      <c r="E1687" t="s">
        <v>328</v>
      </c>
    </row>
    <row r="1688" spans="1:5" x14ac:dyDescent="0.35">
      <c r="A1688">
        <v>2007</v>
      </c>
      <c r="B1688" t="s">
        <v>33</v>
      </c>
      <c r="C1688" t="s">
        <v>42</v>
      </c>
      <c r="D1688">
        <v>21</v>
      </c>
      <c r="E1688" t="s">
        <v>328</v>
      </c>
    </row>
    <row r="1689" spans="1:5" x14ac:dyDescent="0.35">
      <c r="A1689">
        <v>2007</v>
      </c>
      <c r="B1689" t="s">
        <v>33</v>
      </c>
      <c r="C1689" t="s">
        <v>42</v>
      </c>
      <c r="D1689">
        <v>6</v>
      </c>
      <c r="E1689" t="s">
        <v>458</v>
      </c>
    </row>
    <row r="1690" spans="1:5" x14ac:dyDescent="0.35">
      <c r="A1690">
        <v>2007</v>
      </c>
      <c r="B1690" t="s">
        <v>35</v>
      </c>
      <c r="C1690" t="s">
        <v>41</v>
      </c>
      <c r="D1690">
        <v>223</v>
      </c>
      <c r="E1690" t="s">
        <v>328</v>
      </c>
    </row>
    <row r="1691" spans="1:5" x14ac:dyDescent="0.35">
      <c r="A1691">
        <v>2007</v>
      </c>
      <c r="B1691" t="s">
        <v>35</v>
      </c>
      <c r="C1691" t="s">
        <v>41</v>
      </c>
      <c r="D1691">
        <v>23</v>
      </c>
      <c r="E1691" t="s">
        <v>458</v>
      </c>
    </row>
    <row r="1692" spans="1:5" x14ac:dyDescent="0.35">
      <c r="A1692">
        <v>2007</v>
      </c>
      <c r="B1692" t="s">
        <v>34</v>
      </c>
      <c r="C1692" t="s">
        <v>40</v>
      </c>
      <c r="D1692">
        <v>16</v>
      </c>
      <c r="E1692" t="s">
        <v>328</v>
      </c>
    </row>
    <row r="1693" spans="1:5" x14ac:dyDescent="0.35">
      <c r="A1693">
        <v>2007</v>
      </c>
      <c r="B1693" t="s">
        <v>34</v>
      </c>
      <c r="C1693" t="s">
        <v>40</v>
      </c>
      <c r="D1693">
        <v>11</v>
      </c>
      <c r="E1693" t="s">
        <v>458</v>
      </c>
    </row>
    <row r="1694" spans="1:5" x14ac:dyDescent="0.35">
      <c r="A1694">
        <v>2007</v>
      </c>
      <c r="B1694" t="s">
        <v>33</v>
      </c>
      <c r="C1694" t="s">
        <v>117</v>
      </c>
      <c r="D1694">
        <v>83</v>
      </c>
      <c r="E1694" t="s">
        <v>328</v>
      </c>
    </row>
    <row r="1695" spans="1:5" x14ac:dyDescent="0.35">
      <c r="A1695">
        <v>2007</v>
      </c>
      <c r="C1695" t="s">
        <v>373</v>
      </c>
      <c r="D1695">
        <v>10</v>
      </c>
      <c r="E1695" t="s">
        <v>458</v>
      </c>
    </row>
    <row r="1696" spans="1:5" x14ac:dyDescent="0.35">
      <c r="A1696">
        <v>2007</v>
      </c>
      <c r="B1696" t="s">
        <v>36</v>
      </c>
      <c r="C1696" t="s">
        <v>79</v>
      </c>
      <c r="D1696">
        <v>26</v>
      </c>
      <c r="E1696" t="s">
        <v>458</v>
      </c>
    </row>
    <row r="1697" spans="1:5" x14ac:dyDescent="0.35">
      <c r="A1697">
        <v>2007</v>
      </c>
      <c r="B1697" t="s">
        <v>37</v>
      </c>
      <c r="C1697" t="s">
        <v>47</v>
      </c>
      <c r="D1697">
        <v>21</v>
      </c>
      <c r="E1697" t="s">
        <v>458</v>
      </c>
    </row>
    <row r="1698" spans="1:5" x14ac:dyDescent="0.35">
      <c r="A1698">
        <v>2007</v>
      </c>
      <c r="B1698" t="s">
        <v>35</v>
      </c>
      <c r="C1698" t="s">
        <v>48</v>
      </c>
      <c r="D1698">
        <v>8</v>
      </c>
      <c r="E1698" t="s">
        <v>458</v>
      </c>
    </row>
    <row r="1699" spans="1:5" x14ac:dyDescent="0.35">
      <c r="A1699">
        <v>2007</v>
      </c>
      <c r="B1699" t="s">
        <v>33</v>
      </c>
      <c r="C1699" t="s">
        <v>57</v>
      </c>
      <c r="D1699">
        <v>3</v>
      </c>
      <c r="E1699" t="s">
        <v>458</v>
      </c>
    </row>
    <row r="1700" spans="1:5" x14ac:dyDescent="0.35">
      <c r="A1700">
        <v>2007</v>
      </c>
      <c r="B1700" t="s">
        <v>36</v>
      </c>
      <c r="C1700" t="s">
        <v>56</v>
      </c>
      <c r="D1700">
        <v>117</v>
      </c>
      <c r="E1700" t="s">
        <v>328</v>
      </c>
    </row>
    <row r="1701" spans="1:5" x14ac:dyDescent="0.35">
      <c r="A1701">
        <v>2007</v>
      </c>
      <c r="B1701" t="s">
        <v>36</v>
      </c>
      <c r="C1701" t="s">
        <v>56</v>
      </c>
      <c r="D1701">
        <v>116</v>
      </c>
      <c r="E1701" t="s">
        <v>458</v>
      </c>
    </row>
    <row r="1702" spans="1:5" x14ac:dyDescent="0.35">
      <c r="A1702">
        <v>2007</v>
      </c>
      <c r="B1702" t="s">
        <v>35</v>
      </c>
      <c r="C1702" t="s">
        <v>55</v>
      </c>
      <c r="D1702">
        <v>13</v>
      </c>
      <c r="E1702" t="s">
        <v>328</v>
      </c>
    </row>
    <row r="1703" spans="1:5" x14ac:dyDescent="0.35">
      <c r="A1703">
        <v>2007</v>
      </c>
      <c r="B1703" t="s">
        <v>35</v>
      </c>
      <c r="C1703" t="s">
        <v>55</v>
      </c>
      <c r="D1703">
        <v>4</v>
      </c>
      <c r="E1703" t="s">
        <v>458</v>
      </c>
    </row>
    <row r="1704" spans="1:5" x14ac:dyDescent="0.35">
      <c r="A1704">
        <v>2007</v>
      </c>
      <c r="B1704" t="s">
        <v>35</v>
      </c>
      <c r="C1704" t="s">
        <v>54</v>
      </c>
      <c r="D1704">
        <v>17</v>
      </c>
      <c r="E1704" t="s">
        <v>328</v>
      </c>
    </row>
    <row r="1705" spans="1:5" x14ac:dyDescent="0.35">
      <c r="A1705">
        <v>2007</v>
      </c>
      <c r="B1705" t="s">
        <v>35</v>
      </c>
      <c r="C1705" t="s">
        <v>54</v>
      </c>
      <c r="D1705">
        <v>4</v>
      </c>
      <c r="E1705" t="s">
        <v>458</v>
      </c>
    </row>
    <row r="1706" spans="1:5" x14ac:dyDescent="0.35">
      <c r="A1706">
        <v>2007</v>
      </c>
      <c r="B1706" t="s">
        <v>37</v>
      </c>
      <c r="C1706" t="s">
        <v>47</v>
      </c>
      <c r="D1706">
        <v>31</v>
      </c>
      <c r="E1706" t="s">
        <v>328</v>
      </c>
    </row>
    <row r="1707" spans="1:5" x14ac:dyDescent="0.35">
      <c r="A1707">
        <v>2007</v>
      </c>
      <c r="B1707" t="s">
        <v>36</v>
      </c>
      <c r="C1707" t="s">
        <v>53</v>
      </c>
      <c r="D1707">
        <v>7</v>
      </c>
      <c r="E1707" t="s">
        <v>328</v>
      </c>
    </row>
    <row r="1708" spans="1:5" x14ac:dyDescent="0.35">
      <c r="A1708">
        <v>2007</v>
      </c>
      <c r="B1708" t="s">
        <v>34</v>
      </c>
      <c r="C1708" t="s">
        <v>52</v>
      </c>
      <c r="D1708">
        <v>113</v>
      </c>
      <c r="E1708" t="s">
        <v>328</v>
      </c>
    </row>
    <row r="1709" spans="1:5" x14ac:dyDescent="0.35">
      <c r="A1709">
        <v>2007</v>
      </c>
      <c r="B1709" t="s">
        <v>34</v>
      </c>
      <c r="C1709" t="s">
        <v>52</v>
      </c>
      <c r="D1709">
        <v>25</v>
      </c>
      <c r="E1709" t="s">
        <v>458</v>
      </c>
    </row>
    <row r="1710" spans="1:5" x14ac:dyDescent="0.35">
      <c r="A1710">
        <v>2007</v>
      </c>
      <c r="B1710" t="s">
        <v>36</v>
      </c>
      <c r="C1710" t="s">
        <v>50</v>
      </c>
      <c r="D1710">
        <v>25</v>
      </c>
      <c r="E1710" t="s">
        <v>328</v>
      </c>
    </row>
    <row r="1711" spans="1:5" x14ac:dyDescent="0.35">
      <c r="A1711">
        <v>2007</v>
      </c>
      <c r="B1711" t="s">
        <v>36</v>
      </c>
      <c r="C1711" t="s">
        <v>50</v>
      </c>
      <c r="D1711">
        <v>72</v>
      </c>
      <c r="E1711" t="s">
        <v>458</v>
      </c>
    </row>
    <row r="1712" spans="1:5" x14ac:dyDescent="0.35">
      <c r="A1712">
        <v>2007</v>
      </c>
      <c r="B1712" t="s">
        <v>34</v>
      </c>
      <c r="C1712" t="s">
        <v>49</v>
      </c>
      <c r="E1712" t="s">
        <v>328</v>
      </c>
    </row>
    <row r="1713" spans="1:5" x14ac:dyDescent="0.35">
      <c r="A1713">
        <v>2007</v>
      </c>
      <c r="B1713" t="s">
        <v>34</v>
      </c>
      <c r="C1713" t="s">
        <v>49</v>
      </c>
      <c r="E1713" t="s">
        <v>458</v>
      </c>
    </row>
    <row r="1714" spans="1:5" x14ac:dyDescent="0.35">
      <c r="A1714">
        <v>2007</v>
      </c>
      <c r="B1714" t="s">
        <v>35</v>
      </c>
      <c r="C1714" t="s">
        <v>48</v>
      </c>
      <c r="D1714">
        <v>5</v>
      </c>
      <c r="E1714" t="s">
        <v>328</v>
      </c>
    </row>
    <row r="1715" spans="1:5" x14ac:dyDescent="0.35">
      <c r="A1715">
        <v>2007</v>
      </c>
      <c r="B1715" t="s">
        <v>36</v>
      </c>
      <c r="C1715" t="s">
        <v>53</v>
      </c>
      <c r="D1715">
        <v>33</v>
      </c>
      <c r="E1715" t="s">
        <v>458</v>
      </c>
    </row>
    <row r="1716" spans="1:5" x14ac:dyDescent="0.35">
      <c r="A1716">
        <v>2007</v>
      </c>
      <c r="B1716" t="s">
        <v>36</v>
      </c>
      <c r="C1716" t="s">
        <v>79</v>
      </c>
      <c r="D1716">
        <v>50</v>
      </c>
      <c r="E1716" t="s">
        <v>328</v>
      </c>
    </row>
    <row r="1717" spans="1:5" x14ac:dyDescent="0.35">
      <c r="A1717">
        <v>2007</v>
      </c>
      <c r="B1717" t="s">
        <v>38</v>
      </c>
      <c r="C1717" t="s">
        <v>59</v>
      </c>
      <c r="D1717">
        <v>345</v>
      </c>
      <c r="E1717" t="s">
        <v>328</v>
      </c>
    </row>
    <row r="1718" spans="1:5" x14ac:dyDescent="0.35">
      <c r="A1718">
        <v>2007</v>
      </c>
      <c r="B1718" t="s">
        <v>35</v>
      </c>
      <c r="C1718" t="s">
        <v>81</v>
      </c>
      <c r="D1718">
        <v>33</v>
      </c>
      <c r="E1718" t="s">
        <v>328</v>
      </c>
    </row>
    <row r="1719" spans="1:5" x14ac:dyDescent="0.35">
      <c r="A1719">
        <v>2007</v>
      </c>
      <c r="B1719" t="s">
        <v>34</v>
      </c>
      <c r="C1719" t="s">
        <v>107</v>
      </c>
      <c r="D1719">
        <v>39</v>
      </c>
      <c r="E1719" t="s">
        <v>458</v>
      </c>
    </row>
    <row r="1720" spans="1:5" x14ac:dyDescent="0.35">
      <c r="A1720">
        <v>2007</v>
      </c>
      <c r="B1720" t="s">
        <v>34</v>
      </c>
      <c r="C1720" t="s">
        <v>22</v>
      </c>
      <c r="D1720">
        <v>125</v>
      </c>
      <c r="E1720" t="s">
        <v>458</v>
      </c>
    </row>
    <row r="1721" spans="1:5" x14ac:dyDescent="0.35">
      <c r="A1721">
        <v>2007</v>
      </c>
      <c r="B1721" t="s">
        <v>35</v>
      </c>
      <c r="C1721" t="s">
        <v>105</v>
      </c>
      <c r="D1721">
        <v>75</v>
      </c>
      <c r="E1721" t="s">
        <v>328</v>
      </c>
    </row>
    <row r="1722" spans="1:5" x14ac:dyDescent="0.35">
      <c r="A1722">
        <v>2007</v>
      </c>
      <c r="B1722" t="s">
        <v>35</v>
      </c>
      <c r="C1722" t="s">
        <v>105</v>
      </c>
      <c r="D1722">
        <v>10</v>
      </c>
      <c r="E1722" t="s">
        <v>458</v>
      </c>
    </row>
    <row r="1723" spans="1:5" x14ac:dyDescent="0.35">
      <c r="A1723">
        <v>2007</v>
      </c>
      <c r="B1723" t="s">
        <v>34</v>
      </c>
      <c r="C1723" t="s">
        <v>368</v>
      </c>
      <c r="D1723">
        <v>24</v>
      </c>
      <c r="E1723" t="s">
        <v>328</v>
      </c>
    </row>
    <row r="1724" spans="1:5" x14ac:dyDescent="0.35">
      <c r="A1724">
        <v>2007</v>
      </c>
      <c r="B1724" t="s">
        <v>34</v>
      </c>
      <c r="C1724" t="s">
        <v>368</v>
      </c>
      <c r="D1724">
        <v>4</v>
      </c>
      <c r="E1724" t="s">
        <v>458</v>
      </c>
    </row>
    <row r="1725" spans="1:5" x14ac:dyDescent="0.35">
      <c r="A1725">
        <v>2007</v>
      </c>
      <c r="B1725" t="s">
        <v>36</v>
      </c>
      <c r="C1725" t="s">
        <v>17</v>
      </c>
      <c r="D1725">
        <v>24501</v>
      </c>
      <c r="E1725" t="s">
        <v>328</v>
      </c>
    </row>
    <row r="1726" spans="1:5" x14ac:dyDescent="0.35">
      <c r="A1726">
        <v>2007</v>
      </c>
      <c r="B1726" t="s">
        <v>34</v>
      </c>
      <c r="C1726" t="s">
        <v>107</v>
      </c>
      <c r="D1726">
        <v>395</v>
      </c>
      <c r="E1726" t="s">
        <v>328</v>
      </c>
    </row>
    <row r="1727" spans="1:5" x14ac:dyDescent="0.35">
      <c r="A1727">
        <v>2007</v>
      </c>
      <c r="B1727" t="s">
        <v>36</v>
      </c>
      <c r="C1727" t="s">
        <v>17</v>
      </c>
      <c r="D1727">
        <v>5236</v>
      </c>
      <c r="E1727" t="s">
        <v>458</v>
      </c>
    </row>
    <row r="1728" spans="1:5" x14ac:dyDescent="0.35">
      <c r="A1728">
        <v>2007</v>
      </c>
      <c r="B1728" t="s">
        <v>36</v>
      </c>
      <c r="C1728" t="s">
        <v>104</v>
      </c>
      <c r="D1728">
        <v>519</v>
      </c>
      <c r="E1728" t="s">
        <v>458</v>
      </c>
    </row>
    <row r="1729" spans="1:5" x14ac:dyDescent="0.35">
      <c r="A1729">
        <v>2007</v>
      </c>
      <c r="B1729" t="s">
        <v>38</v>
      </c>
      <c r="C1729" t="s">
        <v>103</v>
      </c>
      <c r="D1729">
        <v>102</v>
      </c>
      <c r="E1729" t="s">
        <v>328</v>
      </c>
    </row>
    <row r="1730" spans="1:5" x14ac:dyDescent="0.35">
      <c r="A1730">
        <v>2007</v>
      </c>
      <c r="B1730" t="s">
        <v>38</v>
      </c>
      <c r="C1730" t="s">
        <v>103</v>
      </c>
      <c r="D1730">
        <v>191</v>
      </c>
      <c r="E1730" t="s">
        <v>458</v>
      </c>
    </row>
    <row r="1731" spans="1:5" x14ac:dyDescent="0.35">
      <c r="A1731">
        <v>2007</v>
      </c>
      <c r="B1731" t="s">
        <v>33</v>
      </c>
      <c r="C1731" t="s">
        <v>101</v>
      </c>
      <c r="D1731">
        <v>46</v>
      </c>
      <c r="E1731" t="s">
        <v>328</v>
      </c>
    </row>
    <row r="1732" spans="1:5" x14ac:dyDescent="0.35">
      <c r="A1732">
        <v>2007</v>
      </c>
      <c r="B1732" t="s">
        <v>33</v>
      </c>
      <c r="C1732" t="s">
        <v>101</v>
      </c>
      <c r="D1732">
        <v>20</v>
      </c>
      <c r="E1732" t="s">
        <v>458</v>
      </c>
    </row>
    <row r="1733" spans="1:5" x14ac:dyDescent="0.35">
      <c r="A1733">
        <v>2007</v>
      </c>
      <c r="B1733" t="s">
        <v>36</v>
      </c>
      <c r="C1733" t="s">
        <v>15</v>
      </c>
      <c r="D1733">
        <v>21981</v>
      </c>
      <c r="E1733" t="s">
        <v>328</v>
      </c>
    </row>
    <row r="1734" spans="1:5" x14ac:dyDescent="0.35">
      <c r="A1734">
        <v>2007</v>
      </c>
      <c r="B1734" t="s">
        <v>36</v>
      </c>
      <c r="C1734" t="s">
        <v>15</v>
      </c>
      <c r="D1734">
        <v>3917</v>
      </c>
      <c r="E1734" t="s">
        <v>458</v>
      </c>
    </row>
    <row r="1735" spans="1:5" x14ac:dyDescent="0.35">
      <c r="A1735">
        <v>2007</v>
      </c>
      <c r="B1735" t="s">
        <v>36</v>
      </c>
      <c r="C1735" t="s">
        <v>104</v>
      </c>
      <c r="D1735">
        <v>973</v>
      </c>
      <c r="E1735" t="s">
        <v>328</v>
      </c>
    </row>
    <row r="1736" spans="1:5" x14ac:dyDescent="0.35">
      <c r="A1736">
        <v>2007</v>
      </c>
      <c r="B1736" t="s">
        <v>36</v>
      </c>
      <c r="C1736" t="s">
        <v>100</v>
      </c>
      <c r="D1736">
        <v>9</v>
      </c>
      <c r="E1736" t="s">
        <v>328</v>
      </c>
    </row>
    <row r="1737" spans="1:5" x14ac:dyDescent="0.35">
      <c r="A1737">
        <v>2007</v>
      </c>
      <c r="B1737" t="s">
        <v>34</v>
      </c>
      <c r="C1737" t="s">
        <v>108</v>
      </c>
      <c r="D1737">
        <v>9</v>
      </c>
      <c r="E1737" t="s">
        <v>458</v>
      </c>
    </row>
    <row r="1738" spans="1:5" x14ac:dyDescent="0.35">
      <c r="A1738">
        <v>2007</v>
      </c>
      <c r="B1738" t="s">
        <v>34</v>
      </c>
      <c r="C1738" t="s">
        <v>109</v>
      </c>
      <c r="D1738">
        <v>3</v>
      </c>
      <c r="E1738" t="s">
        <v>458</v>
      </c>
    </row>
    <row r="1739" spans="1:5" x14ac:dyDescent="0.35">
      <c r="A1739">
        <v>2007</v>
      </c>
      <c r="B1739" t="s">
        <v>34</v>
      </c>
      <c r="C1739" t="s">
        <v>116</v>
      </c>
      <c r="E1739" t="s">
        <v>328</v>
      </c>
    </row>
    <row r="1740" spans="1:5" x14ac:dyDescent="0.35">
      <c r="A1740">
        <v>2007</v>
      </c>
      <c r="B1740" t="s">
        <v>35</v>
      </c>
      <c r="C1740" t="s">
        <v>81</v>
      </c>
      <c r="D1740">
        <v>8</v>
      </c>
      <c r="E1740" t="s">
        <v>458</v>
      </c>
    </row>
    <row r="1741" spans="1:5" x14ac:dyDescent="0.35">
      <c r="A1741">
        <v>2007</v>
      </c>
      <c r="B1741" t="s">
        <v>34</v>
      </c>
      <c r="C1741" t="s">
        <v>116</v>
      </c>
      <c r="E1741" t="s">
        <v>458</v>
      </c>
    </row>
    <row r="1742" spans="1:5" x14ac:dyDescent="0.35">
      <c r="A1742">
        <v>2007</v>
      </c>
      <c r="B1742" t="s">
        <v>34</v>
      </c>
      <c r="C1742" t="s">
        <v>115</v>
      </c>
      <c r="D1742">
        <v>147</v>
      </c>
      <c r="E1742" t="s">
        <v>328</v>
      </c>
    </row>
    <row r="1743" spans="1:5" x14ac:dyDescent="0.35">
      <c r="A1743">
        <v>2007</v>
      </c>
      <c r="B1743" t="s">
        <v>34</v>
      </c>
      <c r="C1743" t="s">
        <v>115</v>
      </c>
      <c r="D1743">
        <v>65</v>
      </c>
      <c r="E1743" t="s">
        <v>458</v>
      </c>
    </row>
    <row r="1744" spans="1:5" x14ac:dyDescent="0.35">
      <c r="A1744">
        <v>2007</v>
      </c>
      <c r="B1744" t="s">
        <v>34</v>
      </c>
      <c r="C1744" t="s">
        <v>114</v>
      </c>
      <c r="D1744">
        <v>27</v>
      </c>
      <c r="E1744" t="s">
        <v>328</v>
      </c>
    </row>
    <row r="1745" spans="1:5" x14ac:dyDescent="0.35">
      <c r="A1745">
        <v>2007</v>
      </c>
      <c r="B1745" t="s">
        <v>34</v>
      </c>
      <c r="C1745" t="s">
        <v>114</v>
      </c>
      <c r="D1745">
        <v>11</v>
      </c>
      <c r="E1745" t="s">
        <v>458</v>
      </c>
    </row>
    <row r="1746" spans="1:5" x14ac:dyDescent="0.35">
      <c r="A1746">
        <v>2007</v>
      </c>
      <c r="B1746" t="s">
        <v>34</v>
      </c>
      <c r="C1746" t="s">
        <v>108</v>
      </c>
      <c r="D1746">
        <v>39</v>
      </c>
      <c r="E1746" t="s">
        <v>328</v>
      </c>
    </row>
    <row r="1747" spans="1:5" x14ac:dyDescent="0.35">
      <c r="A1747">
        <v>2007</v>
      </c>
      <c r="B1747" t="s">
        <v>36</v>
      </c>
      <c r="C1747" t="s">
        <v>113</v>
      </c>
      <c r="D1747">
        <v>351</v>
      </c>
      <c r="E1747" t="s">
        <v>328</v>
      </c>
    </row>
    <row r="1748" spans="1:5" x14ac:dyDescent="0.35">
      <c r="A1748">
        <v>2007</v>
      </c>
      <c r="B1748" t="s">
        <v>35</v>
      </c>
      <c r="C1748" t="s">
        <v>112</v>
      </c>
      <c r="D1748">
        <v>89</v>
      </c>
      <c r="E1748" t="s">
        <v>328</v>
      </c>
    </row>
    <row r="1749" spans="1:5" x14ac:dyDescent="0.35">
      <c r="A1749">
        <v>2007</v>
      </c>
      <c r="B1749" t="s">
        <v>35</v>
      </c>
      <c r="C1749" t="s">
        <v>112</v>
      </c>
      <c r="D1749">
        <v>69</v>
      </c>
      <c r="E1749" t="s">
        <v>458</v>
      </c>
    </row>
    <row r="1750" spans="1:5" x14ac:dyDescent="0.35">
      <c r="A1750">
        <v>2007</v>
      </c>
      <c r="B1750" t="s">
        <v>34</v>
      </c>
      <c r="C1750" t="s">
        <v>111</v>
      </c>
      <c r="D1750">
        <v>193</v>
      </c>
      <c r="E1750" t="s">
        <v>328</v>
      </c>
    </row>
    <row r="1751" spans="1:5" x14ac:dyDescent="0.35">
      <c r="A1751">
        <v>2007</v>
      </c>
      <c r="B1751" t="s">
        <v>34</v>
      </c>
      <c r="C1751" t="s">
        <v>111</v>
      </c>
      <c r="D1751">
        <v>53</v>
      </c>
      <c r="E1751" t="s">
        <v>458</v>
      </c>
    </row>
    <row r="1752" spans="1:5" x14ac:dyDescent="0.35">
      <c r="A1752">
        <v>2007</v>
      </c>
      <c r="B1752" t="s">
        <v>35</v>
      </c>
      <c r="C1752" t="s">
        <v>110</v>
      </c>
      <c r="D1752">
        <v>37</v>
      </c>
      <c r="E1752" t="s">
        <v>328</v>
      </c>
    </row>
    <row r="1753" spans="1:5" x14ac:dyDescent="0.35">
      <c r="A1753">
        <v>2007</v>
      </c>
      <c r="B1753" t="s">
        <v>35</v>
      </c>
      <c r="C1753" t="s">
        <v>110</v>
      </c>
      <c r="D1753">
        <v>20</v>
      </c>
      <c r="E1753" t="s">
        <v>458</v>
      </c>
    </row>
    <row r="1754" spans="1:5" x14ac:dyDescent="0.35">
      <c r="A1754">
        <v>2007</v>
      </c>
      <c r="B1754" t="s">
        <v>34</v>
      </c>
      <c r="C1754" t="s">
        <v>109</v>
      </c>
      <c r="D1754">
        <v>24</v>
      </c>
      <c r="E1754" t="s">
        <v>328</v>
      </c>
    </row>
    <row r="1755" spans="1:5" x14ac:dyDescent="0.35">
      <c r="A1755">
        <v>2007</v>
      </c>
      <c r="B1755" t="s">
        <v>36</v>
      </c>
      <c r="C1755" t="s">
        <v>113</v>
      </c>
      <c r="D1755">
        <v>1139</v>
      </c>
      <c r="E1755" t="s">
        <v>458</v>
      </c>
    </row>
    <row r="1756" spans="1:5" x14ac:dyDescent="0.35">
      <c r="A1756">
        <v>2007</v>
      </c>
      <c r="B1756" t="s">
        <v>36</v>
      </c>
      <c r="C1756" t="s">
        <v>100</v>
      </c>
      <c r="D1756">
        <v>19</v>
      </c>
      <c r="E1756" t="s">
        <v>458</v>
      </c>
    </row>
    <row r="1757" spans="1:5" x14ac:dyDescent="0.35">
      <c r="A1757">
        <v>2007</v>
      </c>
      <c r="B1757" t="s">
        <v>34</v>
      </c>
      <c r="C1757" t="s">
        <v>22</v>
      </c>
      <c r="D1757">
        <v>707</v>
      </c>
      <c r="E1757" t="s">
        <v>328</v>
      </c>
    </row>
    <row r="1758" spans="1:5" x14ac:dyDescent="0.35">
      <c r="A1758">
        <v>2007</v>
      </c>
      <c r="B1758" t="s">
        <v>35</v>
      </c>
      <c r="C1758" t="s">
        <v>214</v>
      </c>
      <c r="D1758">
        <v>40</v>
      </c>
      <c r="E1758" t="s">
        <v>328</v>
      </c>
    </row>
    <row r="1759" spans="1:5" x14ac:dyDescent="0.35">
      <c r="A1759">
        <v>2007</v>
      </c>
      <c r="B1759" t="s">
        <v>35</v>
      </c>
      <c r="C1759" t="s">
        <v>90</v>
      </c>
      <c r="D1759">
        <v>8</v>
      </c>
      <c r="E1759" t="s">
        <v>458</v>
      </c>
    </row>
    <row r="1760" spans="1:5" x14ac:dyDescent="0.35">
      <c r="A1760">
        <v>2007</v>
      </c>
      <c r="B1760" t="s">
        <v>33</v>
      </c>
      <c r="C1760" t="s">
        <v>89</v>
      </c>
      <c r="D1760">
        <v>5</v>
      </c>
      <c r="E1760" t="s">
        <v>328</v>
      </c>
    </row>
    <row r="1761" spans="1:5" x14ac:dyDescent="0.35">
      <c r="A1761">
        <v>2007</v>
      </c>
      <c r="B1761" t="s">
        <v>33</v>
      </c>
      <c r="C1761" t="s">
        <v>89</v>
      </c>
      <c r="D1761">
        <v>6</v>
      </c>
      <c r="E1761" t="s">
        <v>458</v>
      </c>
    </row>
    <row r="1762" spans="1:5" x14ac:dyDescent="0.35">
      <c r="A1762">
        <v>2007</v>
      </c>
      <c r="B1762" t="s">
        <v>36</v>
      </c>
      <c r="C1762" t="s">
        <v>16</v>
      </c>
      <c r="D1762">
        <v>15096</v>
      </c>
      <c r="E1762" t="s">
        <v>328</v>
      </c>
    </row>
    <row r="1763" spans="1:5" x14ac:dyDescent="0.35">
      <c r="A1763">
        <v>2007</v>
      </c>
      <c r="B1763" t="s">
        <v>36</v>
      </c>
      <c r="C1763" t="s">
        <v>16</v>
      </c>
      <c r="D1763">
        <v>4949</v>
      </c>
      <c r="E1763" t="s">
        <v>458</v>
      </c>
    </row>
    <row r="1764" spans="1:5" x14ac:dyDescent="0.35">
      <c r="A1764">
        <v>2007</v>
      </c>
      <c r="B1764" t="s">
        <v>33</v>
      </c>
      <c r="C1764" t="s">
        <v>87</v>
      </c>
      <c r="D1764">
        <v>29</v>
      </c>
      <c r="E1764" t="s">
        <v>458</v>
      </c>
    </row>
    <row r="1765" spans="1:5" x14ac:dyDescent="0.35">
      <c r="A1765">
        <v>2007</v>
      </c>
      <c r="B1765" t="s">
        <v>38</v>
      </c>
      <c r="C1765" t="s">
        <v>86</v>
      </c>
      <c r="D1765">
        <v>1172</v>
      </c>
      <c r="E1765" t="s">
        <v>328</v>
      </c>
    </row>
    <row r="1766" spans="1:5" x14ac:dyDescent="0.35">
      <c r="A1766">
        <v>2007</v>
      </c>
      <c r="B1766" t="s">
        <v>35</v>
      </c>
      <c r="C1766" t="s">
        <v>90</v>
      </c>
      <c r="D1766">
        <v>13</v>
      </c>
      <c r="E1766" t="s">
        <v>328</v>
      </c>
    </row>
    <row r="1767" spans="1:5" x14ac:dyDescent="0.35">
      <c r="A1767">
        <v>2007</v>
      </c>
      <c r="B1767" t="s">
        <v>38</v>
      </c>
      <c r="C1767" t="s">
        <v>86</v>
      </c>
      <c r="D1767">
        <v>392</v>
      </c>
      <c r="E1767" t="s">
        <v>458</v>
      </c>
    </row>
    <row r="1768" spans="1:5" x14ac:dyDescent="0.35">
      <c r="A1768">
        <v>2007</v>
      </c>
      <c r="B1768" t="s">
        <v>36</v>
      </c>
      <c r="C1768" t="s">
        <v>85</v>
      </c>
      <c r="D1768">
        <v>2044</v>
      </c>
      <c r="E1768" t="s">
        <v>458</v>
      </c>
    </row>
    <row r="1769" spans="1:5" x14ac:dyDescent="0.35">
      <c r="A1769">
        <v>2007</v>
      </c>
      <c r="B1769" t="s">
        <v>36</v>
      </c>
      <c r="C1769" t="s">
        <v>84</v>
      </c>
      <c r="D1769">
        <v>20</v>
      </c>
      <c r="E1769" t="s">
        <v>328</v>
      </c>
    </row>
    <row r="1770" spans="1:5" x14ac:dyDescent="0.35">
      <c r="A1770">
        <v>2007</v>
      </c>
      <c r="B1770" t="s">
        <v>36</v>
      </c>
      <c r="C1770" t="s">
        <v>84</v>
      </c>
      <c r="D1770">
        <v>29</v>
      </c>
      <c r="E1770" t="s">
        <v>458</v>
      </c>
    </row>
    <row r="1771" spans="1:5" x14ac:dyDescent="0.35">
      <c r="A1771">
        <v>2007</v>
      </c>
      <c r="B1771" t="s">
        <v>35</v>
      </c>
      <c r="C1771" t="s">
        <v>82</v>
      </c>
      <c r="D1771">
        <v>11</v>
      </c>
      <c r="E1771" t="s">
        <v>328</v>
      </c>
    </row>
    <row r="1772" spans="1:5" x14ac:dyDescent="0.35">
      <c r="A1772">
        <v>2007</v>
      </c>
      <c r="B1772" t="s">
        <v>35</v>
      </c>
      <c r="C1772" t="s">
        <v>82</v>
      </c>
      <c r="D1772">
        <v>3</v>
      </c>
      <c r="E1772" t="s">
        <v>458</v>
      </c>
    </row>
    <row r="1773" spans="1:5" x14ac:dyDescent="0.35">
      <c r="A1773">
        <v>2007</v>
      </c>
      <c r="B1773" t="s">
        <v>35</v>
      </c>
      <c r="C1773" t="s">
        <v>99</v>
      </c>
      <c r="D1773">
        <v>17</v>
      </c>
      <c r="E1773" t="s">
        <v>328</v>
      </c>
    </row>
    <row r="1774" spans="1:5" x14ac:dyDescent="0.35">
      <c r="A1774">
        <v>2007</v>
      </c>
      <c r="B1774" t="s">
        <v>35</v>
      </c>
      <c r="C1774" t="s">
        <v>214</v>
      </c>
      <c r="D1774">
        <v>12</v>
      </c>
      <c r="E1774" t="s">
        <v>458</v>
      </c>
    </row>
    <row r="1775" spans="1:5" x14ac:dyDescent="0.35">
      <c r="A1775">
        <v>2007</v>
      </c>
      <c r="B1775" t="s">
        <v>36</v>
      </c>
      <c r="C1775" t="s">
        <v>85</v>
      </c>
      <c r="D1775">
        <v>946</v>
      </c>
      <c r="E1775" t="s">
        <v>328</v>
      </c>
    </row>
    <row r="1776" spans="1:5" x14ac:dyDescent="0.35">
      <c r="A1776">
        <v>2007</v>
      </c>
      <c r="B1776" t="s">
        <v>33</v>
      </c>
      <c r="C1776" t="s">
        <v>91</v>
      </c>
      <c r="D1776">
        <v>78</v>
      </c>
      <c r="E1776" t="s">
        <v>458</v>
      </c>
    </row>
    <row r="1777" spans="1:5" x14ac:dyDescent="0.35">
      <c r="A1777">
        <v>2007</v>
      </c>
      <c r="B1777" t="s">
        <v>33</v>
      </c>
      <c r="C1777" t="s">
        <v>87</v>
      </c>
      <c r="D1777">
        <v>116</v>
      </c>
      <c r="E1777" t="s">
        <v>328</v>
      </c>
    </row>
    <row r="1778" spans="1:5" x14ac:dyDescent="0.35">
      <c r="A1778">
        <v>2007</v>
      </c>
      <c r="B1778" t="s">
        <v>37</v>
      </c>
      <c r="C1778" t="s">
        <v>92</v>
      </c>
      <c r="D1778">
        <v>21</v>
      </c>
      <c r="E1778" t="s">
        <v>458</v>
      </c>
    </row>
    <row r="1779" spans="1:5" x14ac:dyDescent="0.35">
      <c r="A1779">
        <v>2007</v>
      </c>
      <c r="B1779" t="s">
        <v>35</v>
      </c>
      <c r="C1779" t="s">
        <v>99</v>
      </c>
      <c r="D1779">
        <v>13</v>
      </c>
      <c r="E1779" t="s">
        <v>458</v>
      </c>
    </row>
    <row r="1780" spans="1:5" x14ac:dyDescent="0.35">
      <c r="A1780">
        <v>2007</v>
      </c>
      <c r="B1780" t="s">
        <v>33</v>
      </c>
      <c r="C1780" t="s">
        <v>91</v>
      </c>
      <c r="D1780">
        <v>72</v>
      </c>
      <c r="E1780" t="s">
        <v>328</v>
      </c>
    </row>
    <row r="1781" spans="1:5" x14ac:dyDescent="0.35">
      <c r="A1781">
        <v>2007</v>
      </c>
      <c r="B1781" t="s">
        <v>33</v>
      </c>
      <c r="C1781" t="s">
        <v>98</v>
      </c>
      <c r="D1781">
        <v>88</v>
      </c>
      <c r="E1781" t="s">
        <v>458</v>
      </c>
    </row>
    <row r="1782" spans="1:5" x14ac:dyDescent="0.35">
      <c r="A1782">
        <v>2007</v>
      </c>
      <c r="B1782" t="s">
        <v>35</v>
      </c>
      <c r="C1782" t="s">
        <v>97</v>
      </c>
      <c r="D1782">
        <v>105</v>
      </c>
      <c r="E1782" t="s">
        <v>328</v>
      </c>
    </row>
    <row r="1783" spans="1:5" x14ac:dyDescent="0.35">
      <c r="A1783">
        <v>2007</v>
      </c>
      <c r="B1783" t="s">
        <v>35</v>
      </c>
      <c r="C1783" t="s">
        <v>97</v>
      </c>
      <c r="D1783">
        <v>60</v>
      </c>
      <c r="E1783" t="s">
        <v>458</v>
      </c>
    </row>
    <row r="1784" spans="1:5" x14ac:dyDescent="0.35">
      <c r="A1784">
        <v>2007</v>
      </c>
      <c r="B1784" t="s">
        <v>34</v>
      </c>
      <c r="C1784" t="s">
        <v>8</v>
      </c>
      <c r="D1784">
        <v>36</v>
      </c>
      <c r="E1784" t="s">
        <v>328</v>
      </c>
    </row>
    <row r="1785" spans="1:5" x14ac:dyDescent="0.35">
      <c r="A1785">
        <v>2007</v>
      </c>
      <c r="B1785" t="s">
        <v>34</v>
      </c>
      <c r="C1785" t="s">
        <v>8</v>
      </c>
      <c r="D1785">
        <v>17</v>
      </c>
      <c r="E1785" t="s">
        <v>458</v>
      </c>
    </row>
    <row r="1786" spans="1:5" x14ac:dyDescent="0.35">
      <c r="A1786">
        <v>2007</v>
      </c>
      <c r="B1786" t="s">
        <v>33</v>
      </c>
      <c r="C1786" t="s">
        <v>96</v>
      </c>
      <c r="D1786">
        <v>25</v>
      </c>
      <c r="E1786" t="s">
        <v>328</v>
      </c>
    </row>
    <row r="1787" spans="1:5" x14ac:dyDescent="0.35">
      <c r="A1787">
        <v>2007</v>
      </c>
      <c r="B1787" t="s">
        <v>33</v>
      </c>
      <c r="C1787" t="s">
        <v>98</v>
      </c>
      <c r="D1787">
        <v>143</v>
      </c>
      <c r="E1787" t="s">
        <v>328</v>
      </c>
    </row>
    <row r="1788" spans="1:5" x14ac:dyDescent="0.35">
      <c r="A1788">
        <v>2007</v>
      </c>
      <c r="B1788" t="s">
        <v>33</v>
      </c>
      <c r="C1788" t="s">
        <v>95</v>
      </c>
      <c r="E1788" t="s">
        <v>328</v>
      </c>
    </row>
    <row r="1789" spans="1:5" x14ac:dyDescent="0.35">
      <c r="A1789">
        <v>2007</v>
      </c>
      <c r="B1789" t="s">
        <v>33</v>
      </c>
      <c r="C1789" t="s">
        <v>95</v>
      </c>
      <c r="E1789" t="s">
        <v>458</v>
      </c>
    </row>
    <row r="1790" spans="1:5" x14ac:dyDescent="0.35">
      <c r="A1790">
        <v>2007</v>
      </c>
      <c r="B1790" t="s">
        <v>35</v>
      </c>
      <c r="C1790" t="s">
        <v>94</v>
      </c>
      <c r="D1790">
        <v>78</v>
      </c>
      <c r="E1790" t="s">
        <v>328</v>
      </c>
    </row>
    <row r="1791" spans="1:5" x14ac:dyDescent="0.35">
      <c r="A1791">
        <v>2007</v>
      </c>
      <c r="B1791" t="s">
        <v>35</v>
      </c>
      <c r="C1791" t="s">
        <v>94</v>
      </c>
      <c r="D1791">
        <v>22</v>
      </c>
      <c r="E1791" t="s">
        <v>458</v>
      </c>
    </row>
    <row r="1792" spans="1:5" x14ac:dyDescent="0.35">
      <c r="A1792">
        <v>2007</v>
      </c>
      <c r="B1792" t="s">
        <v>35</v>
      </c>
      <c r="C1792" t="s">
        <v>93</v>
      </c>
      <c r="E1792" t="s">
        <v>328</v>
      </c>
    </row>
    <row r="1793" spans="1:5" x14ac:dyDescent="0.35">
      <c r="A1793">
        <v>2007</v>
      </c>
      <c r="B1793" t="s">
        <v>37</v>
      </c>
      <c r="C1793" t="s">
        <v>92</v>
      </c>
      <c r="D1793">
        <v>24</v>
      </c>
      <c r="E1793" t="s">
        <v>328</v>
      </c>
    </row>
    <row r="1794" spans="1:5" x14ac:dyDescent="0.35">
      <c r="A1794">
        <v>2007</v>
      </c>
      <c r="B1794" t="s">
        <v>33</v>
      </c>
      <c r="C1794" t="s">
        <v>96</v>
      </c>
      <c r="D1794">
        <v>10</v>
      </c>
      <c r="E1794" t="s">
        <v>458</v>
      </c>
    </row>
    <row r="1795" spans="1:5" x14ac:dyDescent="0.35">
      <c r="A1795">
        <v>2007</v>
      </c>
      <c r="B1795" t="s">
        <v>34</v>
      </c>
      <c r="C1795" t="s">
        <v>40</v>
      </c>
      <c r="D1795">
        <v>28</v>
      </c>
      <c r="E1795" t="s">
        <v>466</v>
      </c>
    </row>
    <row r="1796" spans="1:5" x14ac:dyDescent="0.35">
      <c r="A1796">
        <v>2007</v>
      </c>
      <c r="B1796" t="s">
        <v>35</v>
      </c>
      <c r="C1796" t="s">
        <v>41</v>
      </c>
      <c r="D1796">
        <v>259</v>
      </c>
      <c r="E1796" t="s">
        <v>466</v>
      </c>
    </row>
    <row r="1797" spans="1:5" x14ac:dyDescent="0.35">
      <c r="A1797">
        <v>2007</v>
      </c>
      <c r="B1797" t="s">
        <v>33</v>
      </c>
      <c r="C1797" t="s">
        <v>42</v>
      </c>
      <c r="D1797">
        <v>49</v>
      </c>
      <c r="E1797" t="s">
        <v>466</v>
      </c>
    </row>
    <row r="1798" spans="1:5" x14ac:dyDescent="0.35">
      <c r="A1798">
        <v>2007</v>
      </c>
      <c r="C1798" t="s">
        <v>373</v>
      </c>
      <c r="D1798">
        <v>35</v>
      </c>
      <c r="E1798" t="s">
        <v>466</v>
      </c>
    </row>
    <row r="1799" spans="1:5" x14ac:dyDescent="0.35">
      <c r="A1799">
        <v>2007</v>
      </c>
      <c r="B1799" t="s">
        <v>33</v>
      </c>
      <c r="C1799" t="s">
        <v>43</v>
      </c>
      <c r="D1799">
        <v>13</v>
      </c>
      <c r="E1799" t="s">
        <v>466</v>
      </c>
    </row>
    <row r="1800" spans="1:5" x14ac:dyDescent="0.35">
      <c r="A1800">
        <v>2007</v>
      </c>
      <c r="B1800" t="s">
        <v>36</v>
      </c>
      <c r="C1800" t="s">
        <v>44</v>
      </c>
      <c r="D1800">
        <v>23</v>
      </c>
      <c r="E1800" t="s">
        <v>466</v>
      </c>
    </row>
    <row r="1801" spans="1:5" x14ac:dyDescent="0.35">
      <c r="A1801">
        <v>2007</v>
      </c>
      <c r="B1801" t="s">
        <v>38</v>
      </c>
      <c r="C1801" t="s">
        <v>45</v>
      </c>
      <c r="D1801">
        <v>227</v>
      </c>
      <c r="E1801" t="s">
        <v>466</v>
      </c>
    </row>
    <row r="1802" spans="1:5" x14ac:dyDescent="0.35">
      <c r="A1802">
        <v>2007</v>
      </c>
      <c r="B1802" t="s">
        <v>34</v>
      </c>
      <c r="C1802" t="s">
        <v>46</v>
      </c>
      <c r="D1802">
        <v>60</v>
      </c>
      <c r="E1802" t="s">
        <v>466</v>
      </c>
    </row>
    <row r="1803" spans="1:5" x14ac:dyDescent="0.35">
      <c r="A1803">
        <v>2007</v>
      </c>
      <c r="B1803" t="s">
        <v>37</v>
      </c>
      <c r="C1803" t="s">
        <v>47</v>
      </c>
      <c r="D1803">
        <v>27</v>
      </c>
      <c r="E1803" t="s">
        <v>466</v>
      </c>
    </row>
    <row r="1804" spans="1:5" x14ac:dyDescent="0.35">
      <c r="A1804">
        <v>2007</v>
      </c>
      <c r="B1804" t="s">
        <v>35</v>
      </c>
      <c r="C1804" t="s">
        <v>48</v>
      </c>
      <c r="D1804">
        <v>7</v>
      </c>
      <c r="E1804" t="s">
        <v>466</v>
      </c>
    </row>
    <row r="1805" spans="1:5" x14ac:dyDescent="0.35">
      <c r="A1805">
        <v>2007</v>
      </c>
      <c r="B1805" t="s">
        <v>34</v>
      </c>
      <c r="C1805" t="s">
        <v>49</v>
      </c>
      <c r="D1805">
        <v>15</v>
      </c>
      <c r="E1805" t="s">
        <v>466</v>
      </c>
    </row>
    <row r="1806" spans="1:5" x14ac:dyDescent="0.35">
      <c r="A1806">
        <v>2007</v>
      </c>
      <c r="B1806" t="s">
        <v>36</v>
      </c>
      <c r="C1806" t="s">
        <v>50</v>
      </c>
      <c r="D1806">
        <v>62</v>
      </c>
      <c r="E1806" t="s">
        <v>466</v>
      </c>
    </row>
    <row r="1807" spans="1:5" x14ac:dyDescent="0.35">
      <c r="A1807">
        <v>2007</v>
      </c>
      <c r="B1807" t="s">
        <v>34</v>
      </c>
      <c r="C1807" t="s">
        <v>51</v>
      </c>
      <c r="E1807" t="s">
        <v>466</v>
      </c>
    </row>
    <row r="1808" spans="1:5" x14ac:dyDescent="0.35">
      <c r="A1808">
        <v>2007</v>
      </c>
      <c r="B1808" t="s">
        <v>34</v>
      </c>
      <c r="C1808" t="s">
        <v>52</v>
      </c>
      <c r="D1808">
        <v>182</v>
      </c>
      <c r="E1808" t="s">
        <v>466</v>
      </c>
    </row>
    <row r="1809" spans="1:5" x14ac:dyDescent="0.35">
      <c r="A1809">
        <v>2007</v>
      </c>
      <c r="B1809" t="s">
        <v>36</v>
      </c>
      <c r="C1809" t="s">
        <v>53</v>
      </c>
      <c r="D1809">
        <v>28</v>
      </c>
      <c r="E1809" t="s">
        <v>466</v>
      </c>
    </row>
    <row r="1810" spans="1:5" x14ac:dyDescent="0.35">
      <c r="A1810">
        <v>2007</v>
      </c>
      <c r="B1810" t="s">
        <v>35</v>
      </c>
      <c r="C1810" t="s">
        <v>54</v>
      </c>
      <c r="D1810">
        <v>17</v>
      </c>
      <c r="E1810" t="s">
        <v>466</v>
      </c>
    </row>
    <row r="1811" spans="1:5" x14ac:dyDescent="0.35">
      <c r="A1811">
        <v>2007</v>
      </c>
      <c r="B1811" t="s">
        <v>35</v>
      </c>
      <c r="C1811" t="s">
        <v>55</v>
      </c>
      <c r="D1811">
        <v>8</v>
      </c>
      <c r="E1811" t="s">
        <v>466</v>
      </c>
    </row>
    <row r="1812" spans="1:5" x14ac:dyDescent="0.35">
      <c r="A1812">
        <v>2007</v>
      </c>
      <c r="B1812" t="s">
        <v>36</v>
      </c>
      <c r="C1812" t="s">
        <v>56</v>
      </c>
      <c r="D1812">
        <v>113</v>
      </c>
      <c r="E1812" t="s">
        <v>466</v>
      </c>
    </row>
    <row r="1813" spans="1:5" x14ac:dyDescent="0.35">
      <c r="A1813">
        <v>2007</v>
      </c>
      <c r="B1813" t="s">
        <v>33</v>
      </c>
      <c r="C1813" t="s">
        <v>57</v>
      </c>
      <c r="D1813">
        <v>10</v>
      </c>
      <c r="E1813" t="s">
        <v>466</v>
      </c>
    </row>
    <row r="1814" spans="1:5" x14ac:dyDescent="0.35">
      <c r="A1814">
        <v>2007</v>
      </c>
      <c r="B1814" t="s">
        <v>36</v>
      </c>
      <c r="C1814" t="s">
        <v>363</v>
      </c>
      <c r="D1814">
        <v>3</v>
      </c>
      <c r="E1814" t="s">
        <v>466</v>
      </c>
    </row>
    <row r="1815" spans="1:5" x14ac:dyDescent="0.35">
      <c r="A1815">
        <v>2007</v>
      </c>
      <c r="B1815" t="s">
        <v>38</v>
      </c>
      <c r="C1815" t="s">
        <v>59</v>
      </c>
      <c r="D1815">
        <v>189</v>
      </c>
      <c r="E1815" t="s">
        <v>466</v>
      </c>
    </row>
    <row r="1816" spans="1:5" x14ac:dyDescent="0.35">
      <c r="A1816">
        <v>2007</v>
      </c>
      <c r="B1816" t="s">
        <v>35</v>
      </c>
      <c r="C1816" t="s">
        <v>60</v>
      </c>
      <c r="D1816">
        <v>60</v>
      </c>
      <c r="E1816" t="s">
        <v>466</v>
      </c>
    </row>
    <row r="1817" spans="1:5" x14ac:dyDescent="0.35">
      <c r="A1817">
        <v>2007</v>
      </c>
      <c r="B1817" t="s">
        <v>38</v>
      </c>
      <c r="C1817" t="s">
        <v>21</v>
      </c>
      <c r="D1817">
        <v>2902</v>
      </c>
      <c r="E1817" t="s">
        <v>466</v>
      </c>
    </row>
    <row r="1818" spans="1:5" x14ac:dyDescent="0.35">
      <c r="A1818">
        <v>2007</v>
      </c>
      <c r="B1818" t="s">
        <v>36</v>
      </c>
      <c r="C1818" t="s">
        <v>364</v>
      </c>
      <c r="E1818" t="s">
        <v>466</v>
      </c>
    </row>
    <row r="1819" spans="1:5" x14ac:dyDescent="0.35">
      <c r="A1819">
        <v>2007</v>
      </c>
      <c r="B1819" t="s">
        <v>35</v>
      </c>
      <c r="C1819" t="s">
        <v>62</v>
      </c>
      <c r="D1819">
        <v>71</v>
      </c>
      <c r="E1819" t="s">
        <v>466</v>
      </c>
    </row>
    <row r="1820" spans="1:5" x14ac:dyDescent="0.35">
      <c r="A1820">
        <v>2007</v>
      </c>
      <c r="B1820" t="s">
        <v>33</v>
      </c>
      <c r="C1820" t="s">
        <v>63</v>
      </c>
      <c r="D1820">
        <v>12</v>
      </c>
      <c r="E1820" t="s">
        <v>466</v>
      </c>
    </row>
    <row r="1821" spans="1:5" x14ac:dyDescent="0.35">
      <c r="A1821">
        <v>2007</v>
      </c>
      <c r="B1821" t="s">
        <v>34</v>
      </c>
      <c r="C1821" t="s">
        <v>64</v>
      </c>
      <c r="D1821">
        <v>18</v>
      </c>
      <c r="E1821" t="s">
        <v>466</v>
      </c>
    </row>
    <row r="1822" spans="1:5" x14ac:dyDescent="0.35">
      <c r="A1822">
        <v>2007</v>
      </c>
      <c r="B1822" t="s">
        <v>33</v>
      </c>
      <c r="C1822" t="s">
        <v>65</v>
      </c>
      <c r="D1822">
        <v>3</v>
      </c>
      <c r="E1822" t="s">
        <v>466</v>
      </c>
    </row>
    <row r="1823" spans="1:5" x14ac:dyDescent="0.35">
      <c r="A1823">
        <v>2007</v>
      </c>
      <c r="B1823" t="s">
        <v>33</v>
      </c>
      <c r="C1823" t="s">
        <v>66</v>
      </c>
      <c r="D1823">
        <v>79</v>
      </c>
      <c r="E1823" t="s">
        <v>466</v>
      </c>
    </row>
    <row r="1824" spans="1:5" x14ac:dyDescent="0.35">
      <c r="A1824">
        <v>2007</v>
      </c>
      <c r="B1824" t="s">
        <v>34</v>
      </c>
      <c r="C1824" t="s">
        <v>67</v>
      </c>
      <c r="D1824">
        <v>79</v>
      </c>
      <c r="E1824" t="s">
        <v>466</v>
      </c>
    </row>
    <row r="1825" spans="1:5" x14ac:dyDescent="0.35">
      <c r="A1825">
        <v>2007</v>
      </c>
      <c r="B1825" t="s">
        <v>33</v>
      </c>
      <c r="C1825" t="s">
        <v>68</v>
      </c>
      <c r="D1825">
        <v>767</v>
      </c>
      <c r="E1825" t="s">
        <v>466</v>
      </c>
    </row>
    <row r="1826" spans="1:5" x14ac:dyDescent="0.35">
      <c r="A1826">
        <v>2007</v>
      </c>
      <c r="B1826" t="s">
        <v>36</v>
      </c>
      <c r="C1826" t="s">
        <v>69</v>
      </c>
      <c r="D1826">
        <v>48</v>
      </c>
      <c r="E1826" t="s">
        <v>466</v>
      </c>
    </row>
    <row r="1827" spans="1:5" x14ac:dyDescent="0.35">
      <c r="A1827">
        <v>2007</v>
      </c>
      <c r="B1827" t="s">
        <v>36</v>
      </c>
      <c r="C1827" t="s">
        <v>365</v>
      </c>
      <c r="E1827" t="s">
        <v>466</v>
      </c>
    </row>
    <row r="1828" spans="1:5" x14ac:dyDescent="0.35">
      <c r="A1828">
        <v>2007</v>
      </c>
      <c r="B1828" t="s">
        <v>33</v>
      </c>
      <c r="C1828" t="s">
        <v>70</v>
      </c>
      <c r="D1828">
        <v>6</v>
      </c>
      <c r="E1828" t="s">
        <v>466</v>
      </c>
    </row>
    <row r="1829" spans="1:5" x14ac:dyDescent="0.35">
      <c r="A1829">
        <v>2007</v>
      </c>
      <c r="B1829" t="s">
        <v>33</v>
      </c>
      <c r="C1829" t="s">
        <v>71</v>
      </c>
      <c r="D1829">
        <v>6</v>
      </c>
      <c r="E1829" t="s">
        <v>466</v>
      </c>
    </row>
    <row r="1830" spans="1:5" x14ac:dyDescent="0.35">
      <c r="A1830">
        <v>2007</v>
      </c>
      <c r="B1830" t="s">
        <v>38</v>
      </c>
      <c r="C1830" t="s">
        <v>72</v>
      </c>
      <c r="D1830">
        <v>135</v>
      </c>
      <c r="E1830" t="s">
        <v>466</v>
      </c>
    </row>
    <row r="1831" spans="1:5" x14ac:dyDescent="0.35">
      <c r="A1831">
        <v>2007</v>
      </c>
      <c r="B1831" t="s">
        <v>34</v>
      </c>
      <c r="C1831" t="s">
        <v>73</v>
      </c>
      <c r="D1831">
        <v>1623</v>
      </c>
      <c r="E1831" t="s">
        <v>466</v>
      </c>
    </row>
    <row r="1832" spans="1:5" x14ac:dyDescent="0.35">
      <c r="A1832">
        <v>2007</v>
      </c>
      <c r="B1832" t="s">
        <v>38</v>
      </c>
      <c r="C1832" t="s">
        <v>20</v>
      </c>
      <c r="D1832">
        <v>1893</v>
      </c>
      <c r="E1832" t="s">
        <v>466</v>
      </c>
    </row>
    <row r="1833" spans="1:5" x14ac:dyDescent="0.35">
      <c r="A1833">
        <v>2007</v>
      </c>
      <c r="B1833" t="s">
        <v>33</v>
      </c>
      <c r="C1833" t="s">
        <v>74</v>
      </c>
      <c r="E1833" t="s">
        <v>466</v>
      </c>
    </row>
    <row r="1834" spans="1:5" x14ac:dyDescent="0.35">
      <c r="A1834">
        <v>2007</v>
      </c>
      <c r="B1834" t="s">
        <v>33</v>
      </c>
      <c r="C1834" t="s">
        <v>75</v>
      </c>
      <c r="D1834">
        <v>77</v>
      </c>
      <c r="E1834" t="s">
        <v>466</v>
      </c>
    </row>
    <row r="1835" spans="1:5" x14ac:dyDescent="0.35">
      <c r="A1835">
        <v>2007</v>
      </c>
      <c r="B1835" t="s">
        <v>36</v>
      </c>
      <c r="C1835" t="s">
        <v>76</v>
      </c>
      <c r="D1835">
        <v>377</v>
      </c>
      <c r="E1835" t="s">
        <v>466</v>
      </c>
    </row>
    <row r="1836" spans="1:5" x14ac:dyDescent="0.35">
      <c r="A1836">
        <v>2007</v>
      </c>
      <c r="B1836" t="s">
        <v>33</v>
      </c>
      <c r="C1836" t="s">
        <v>77</v>
      </c>
      <c r="D1836">
        <v>72</v>
      </c>
      <c r="E1836" t="s">
        <v>466</v>
      </c>
    </row>
    <row r="1837" spans="1:5" x14ac:dyDescent="0.35">
      <c r="A1837">
        <v>2007</v>
      </c>
      <c r="B1837" t="s">
        <v>35</v>
      </c>
      <c r="C1837" t="s">
        <v>78</v>
      </c>
      <c r="D1837">
        <v>13</v>
      </c>
      <c r="E1837" t="s">
        <v>466</v>
      </c>
    </row>
    <row r="1838" spans="1:5" x14ac:dyDescent="0.35">
      <c r="A1838">
        <v>2007</v>
      </c>
      <c r="B1838" t="s">
        <v>36</v>
      </c>
      <c r="C1838" t="s">
        <v>79</v>
      </c>
      <c r="D1838">
        <v>4931</v>
      </c>
      <c r="E1838" t="s">
        <v>466</v>
      </c>
    </row>
    <row r="1839" spans="1:5" x14ac:dyDescent="0.35">
      <c r="A1839">
        <v>2007</v>
      </c>
      <c r="B1839" t="s">
        <v>35</v>
      </c>
      <c r="C1839" t="s">
        <v>81</v>
      </c>
      <c r="D1839">
        <v>42</v>
      </c>
      <c r="E1839" t="s">
        <v>466</v>
      </c>
    </row>
    <row r="1840" spans="1:5" x14ac:dyDescent="0.35">
      <c r="A1840">
        <v>2007</v>
      </c>
      <c r="B1840" t="s">
        <v>35</v>
      </c>
      <c r="C1840" t="s">
        <v>214</v>
      </c>
      <c r="D1840">
        <v>42</v>
      </c>
      <c r="E1840" t="s">
        <v>466</v>
      </c>
    </row>
    <row r="1841" spans="1:5" x14ac:dyDescent="0.35">
      <c r="A1841">
        <v>2007</v>
      </c>
      <c r="B1841" t="s">
        <v>35</v>
      </c>
      <c r="C1841" t="s">
        <v>82</v>
      </c>
      <c r="D1841">
        <v>12</v>
      </c>
      <c r="E1841" t="s">
        <v>466</v>
      </c>
    </row>
    <row r="1842" spans="1:5" x14ac:dyDescent="0.35">
      <c r="A1842">
        <v>2007</v>
      </c>
      <c r="B1842" t="s">
        <v>36</v>
      </c>
      <c r="C1842" t="s">
        <v>84</v>
      </c>
      <c r="D1842">
        <v>34</v>
      </c>
      <c r="E1842" t="s">
        <v>466</v>
      </c>
    </row>
    <row r="1843" spans="1:5" x14ac:dyDescent="0.35">
      <c r="A1843">
        <v>2007</v>
      </c>
      <c r="B1843" t="s">
        <v>36</v>
      </c>
      <c r="C1843" t="s">
        <v>85</v>
      </c>
      <c r="D1843">
        <v>2118</v>
      </c>
      <c r="E1843" t="s">
        <v>466</v>
      </c>
    </row>
    <row r="1844" spans="1:5" x14ac:dyDescent="0.35">
      <c r="A1844">
        <v>2007</v>
      </c>
      <c r="B1844" t="s">
        <v>38</v>
      </c>
      <c r="C1844" t="s">
        <v>86</v>
      </c>
      <c r="D1844">
        <v>1771</v>
      </c>
      <c r="E1844" t="s">
        <v>466</v>
      </c>
    </row>
    <row r="1845" spans="1:5" x14ac:dyDescent="0.35">
      <c r="A1845">
        <v>2007</v>
      </c>
      <c r="B1845" t="s">
        <v>33</v>
      </c>
      <c r="C1845" t="s">
        <v>87</v>
      </c>
      <c r="D1845">
        <v>269</v>
      </c>
      <c r="E1845" t="s">
        <v>466</v>
      </c>
    </row>
    <row r="1846" spans="1:5" x14ac:dyDescent="0.35">
      <c r="A1846">
        <v>2007</v>
      </c>
      <c r="B1846" t="s">
        <v>36</v>
      </c>
      <c r="C1846" t="s">
        <v>16</v>
      </c>
      <c r="D1846">
        <v>19699</v>
      </c>
      <c r="E1846" t="s">
        <v>466</v>
      </c>
    </row>
    <row r="1847" spans="1:5" x14ac:dyDescent="0.35">
      <c r="A1847">
        <v>2007</v>
      </c>
      <c r="B1847" t="s">
        <v>33</v>
      </c>
      <c r="C1847" t="s">
        <v>88</v>
      </c>
      <c r="D1847">
        <v>7</v>
      </c>
      <c r="E1847" t="s">
        <v>466</v>
      </c>
    </row>
    <row r="1848" spans="1:5" x14ac:dyDescent="0.35">
      <c r="A1848">
        <v>2007</v>
      </c>
      <c r="B1848" t="s">
        <v>33</v>
      </c>
      <c r="C1848" t="s">
        <v>89</v>
      </c>
      <c r="D1848">
        <v>100</v>
      </c>
      <c r="E1848" t="s">
        <v>466</v>
      </c>
    </row>
    <row r="1849" spans="1:5" x14ac:dyDescent="0.35">
      <c r="A1849">
        <v>2007</v>
      </c>
      <c r="B1849" t="s">
        <v>35</v>
      </c>
      <c r="C1849" t="s">
        <v>90</v>
      </c>
      <c r="D1849">
        <v>13</v>
      </c>
      <c r="E1849" t="s">
        <v>466</v>
      </c>
    </row>
    <row r="1850" spans="1:5" x14ac:dyDescent="0.35">
      <c r="A1850">
        <v>2007</v>
      </c>
      <c r="B1850" t="s">
        <v>33</v>
      </c>
      <c r="C1850" t="s">
        <v>91</v>
      </c>
      <c r="D1850">
        <v>144</v>
      </c>
      <c r="E1850" t="s">
        <v>466</v>
      </c>
    </row>
    <row r="1851" spans="1:5" x14ac:dyDescent="0.35">
      <c r="A1851">
        <v>2007</v>
      </c>
      <c r="B1851" t="s">
        <v>37</v>
      </c>
      <c r="C1851" t="s">
        <v>92</v>
      </c>
      <c r="D1851">
        <v>45</v>
      </c>
      <c r="E1851" t="s">
        <v>466</v>
      </c>
    </row>
    <row r="1852" spans="1:5" x14ac:dyDescent="0.35">
      <c r="A1852">
        <v>2007</v>
      </c>
      <c r="B1852" t="s">
        <v>35</v>
      </c>
      <c r="C1852" t="s">
        <v>94</v>
      </c>
      <c r="D1852">
        <v>69</v>
      </c>
      <c r="E1852" t="s">
        <v>466</v>
      </c>
    </row>
    <row r="1853" spans="1:5" x14ac:dyDescent="0.35">
      <c r="A1853">
        <v>2007</v>
      </c>
      <c r="B1853" t="s">
        <v>33</v>
      </c>
      <c r="C1853" t="s">
        <v>95</v>
      </c>
      <c r="D1853">
        <v>10</v>
      </c>
      <c r="E1853" t="s">
        <v>466</v>
      </c>
    </row>
    <row r="1854" spans="1:5" x14ac:dyDescent="0.35">
      <c r="A1854">
        <v>2007</v>
      </c>
      <c r="B1854" t="s">
        <v>33</v>
      </c>
      <c r="C1854" t="s">
        <v>96</v>
      </c>
      <c r="D1854">
        <v>87</v>
      </c>
      <c r="E1854" t="s">
        <v>466</v>
      </c>
    </row>
    <row r="1855" spans="1:5" x14ac:dyDescent="0.35">
      <c r="A1855">
        <v>2007</v>
      </c>
      <c r="B1855" t="s">
        <v>34</v>
      </c>
      <c r="C1855" t="s">
        <v>8</v>
      </c>
      <c r="D1855">
        <v>59</v>
      </c>
      <c r="E1855" t="s">
        <v>466</v>
      </c>
    </row>
    <row r="1856" spans="1:5" x14ac:dyDescent="0.35">
      <c r="A1856">
        <v>2007</v>
      </c>
      <c r="B1856" t="s">
        <v>35</v>
      </c>
      <c r="C1856" t="s">
        <v>97</v>
      </c>
      <c r="D1856">
        <v>84</v>
      </c>
      <c r="E1856" t="s">
        <v>466</v>
      </c>
    </row>
    <row r="1857" spans="1:5" x14ac:dyDescent="0.35">
      <c r="A1857">
        <v>2007</v>
      </c>
      <c r="B1857" t="s">
        <v>33</v>
      </c>
      <c r="C1857" t="s">
        <v>98</v>
      </c>
      <c r="D1857">
        <v>239</v>
      </c>
      <c r="E1857" t="s">
        <v>466</v>
      </c>
    </row>
    <row r="1858" spans="1:5" x14ac:dyDescent="0.35">
      <c r="A1858">
        <v>2007</v>
      </c>
      <c r="B1858" t="s">
        <v>35</v>
      </c>
      <c r="C1858" t="s">
        <v>99</v>
      </c>
      <c r="D1858">
        <v>16</v>
      </c>
      <c r="E1858" t="s">
        <v>466</v>
      </c>
    </row>
    <row r="1859" spans="1:5" x14ac:dyDescent="0.35">
      <c r="A1859">
        <v>2007</v>
      </c>
      <c r="B1859" t="s">
        <v>36</v>
      </c>
      <c r="C1859" t="s">
        <v>100</v>
      </c>
      <c r="D1859">
        <v>15</v>
      </c>
      <c r="E1859" t="s">
        <v>466</v>
      </c>
    </row>
    <row r="1860" spans="1:5" x14ac:dyDescent="0.35">
      <c r="A1860">
        <v>2007</v>
      </c>
      <c r="B1860" t="s">
        <v>37</v>
      </c>
      <c r="C1860" t="s">
        <v>367</v>
      </c>
      <c r="E1860" t="s">
        <v>466</v>
      </c>
    </row>
    <row r="1861" spans="1:5" x14ac:dyDescent="0.35">
      <c r="A1861">
        <v>2007</v>
      </c>
      <c r="B1861" t="s">
        <v>36</v>
      </c>
      <c r="C1861" t="s">
        <v>15</v>
      </c>
      <c r="D1861">
        <v>23907</v>
      </c>
      <c r="E1861" t="s">
        <v>466</v>
      </c>
    </row>
    <row r="1862" spans="1:5" x14ac:dyDescent="0.35">
      <c r="A1862">
        <v>2007</v>
      </c>
      <c r="B1862" t="s">
        <v>33</v>
      </c>
      <c r="C1862" t="s">
        <v>101</v>
      </c>
      <c r="D1862">
        <v>86</v>
      </c>
      <c r="E1862" t="s">
        <v>466</v>
      </c>
    </row>
    <row r="1863" spans="1:5" x14ac:dyDescent="0.35">
      <c r="A1863">
        <v>2007</v>
      </c>
      <c r="B1863" t="s">
        <v>33</v>
      </c>
      <c r="C1863" t="s">
        <v>102</v>
      </c>
      <c r="E1863" t="s">
        <v>466</v>
      </c>
    </row>
    <row r="1864" spans="1:5" x14ac:dyDescent="0.35">
      <c r="A1864">
        <v>2007</v>
      </c>
      <c r="B1864" t="s">
        <v>38</v>
      </c>
      <c r="C1864" t="s">
        <v>103</v>
      </c>
      <c r="D1864">
        <v>156</v>
      </c>
      <c r="E1864" t="s">
        <v>466</v>
      </c>
    </row>
    <row r="1865" spans="1:5" x14ac:dyDescent="0.35">
      <c r="A1865">
        <v>2007</v>
      </c>
      <c r="B1865" t="s">
        <v>36</v>
      </c>
      <c r="C1865" t="s">
        <v>104</v>
      </c>
      <c r="D1865">
        <v>1004</v>
      </c>
      <c r="E1865" t="s">
        <v>466</v>
      </c>
    </row>
    <row r="1866" spans="1:5" x14ac:dyDescent="0.35">
      <c r="A1866">
        <v>2007</v>
      </c>
      <c r="B1866" t="s">
        <v>36</v>
      </c>
      <c r="C1866" t="s">
        <v>17</v>
      </c>
      <c r="D1866">
        <v>28265</v>
      </c>
      <c r="E1866" t="s">
        <v>466</v>
      </c>
    </row>
    <row r="1867" spans="1:5" x14ac:dyDescent="0.35">
      <c r="A1867">
        <v>2007</v>
      </c>
      <c r="B1867" t="s">
        <v>34</v>
      </c>
      <c r="C1867" t="s">
        <v>368</v>
      </c>
      <c r="D1867">
        <v>21</v>
      </c>
      <c r="E1867" t="s">
        <v>466</v>
      </c>
    </row>
    <row r="1868" spans="1:5" x14ac:dyDescent="0.35">
      <c r="A1868">
        <v>2007</v>
      </c>
      <c r="B1868" t="s">
        <v>35</v>
      </c>
      <c r="C1868" t="s">
        <v>105</v>
      </c>
      <c r="D1868">
        <v>44</v>
      </c>
      <c r="E1868" t="s">
        <v>466</v>
      </c>
    </row>
    <row r="1869" spans="1:5" x14ac:dyDescent="0.35">
      <c r="A1869">
        <v>2007</v>
      </c>
      <c r="B1869" t="s">
        <v>35</v>
      </c>
      <c r="C1869" t="s">
        <v>106</v>
      </c>
      <c r="D1869">
        <v>3</v>
      </c>
      <c r="E1869" t="s">
        <v>466</v>
      </c>
    </row>
    <row r="1870" spans="1:5" x14ac:dyDescent="0.35">
      <c r="A1870">
        <v>2007</v>
      </c>
      <c r="B1870" t="s">
        <v>34</v>
      </c>
      <c r="C1870" t="s">
        <v>22</v>
      </c>
      <c r="D1870">
        <v>795</v>
      </c>
      <c r="E1870" t="s">
        <v>466</v>
      </c>
    </row>
    <row r="1871" spans="1:5" x14ac:dyDescent="0.35">
      <c r="A1871">
        <v>2007</v>
      </c>
      <c r="B1871" t="s">
        <v>34</v>
      </c>
      <c r="C1871" t="s">
        <v>107</v>
      </c>
      <c r="D1871">
        <v>536</v>
      </c>
      <c r="E1871" t="s">
        <v>466</v>
      </c>
    </row>
    <row r="1872" spans="1:5" x14ac:dyDescent="0.35">
      <c r="A1872">
        <v>2007</v>
      </c>
      <c r="B1872" t="s">
        <v>34</v>
      </c>
      <c r="C1872" t="s">
        <v>108</v>
      </c>
      <c r="D1872">
        <v>128</v>
      </c>
      <c r="E1872" t="s">
        <v>466</v>
      </c>
    </row>
    <row r="1873" spans="1:5" x14ac:dyDescent="0.35">
      <c r="A1873">
        <v>2007</v>
      </c>
      <c r="B1873" t="s">
        <v>34</v>
      </c>
      <c r="C1873" t="s">
        <v>109</v>
      </c>
      <c r="D1873">
        <v>138</v>
      </c>
      <c r="E1873" t="s">
        <v>466</v>
      </c>
    </row>
    <row r="1874" spans="1:5" x14ac:dyDescent="0.35">
      <c r="A1874">
        <v>2007</v>
      </c>
      <c r="B1874" t="s">
        <v>35</v>
      </c>
      <c r="C1874" t="s">
        <v>110</v>
      </c>
      <c r="D1874">
        <v>27</v>
      </c>
      <c r="E1874" t="s">
        <v>466</v>
      </c>
    </row>
    <row r="1875" spans="1:5" x14ac:dyDescent="0.35">
      <c r="A1875">
        <v>2007</v>
      </c>
      <c r="B1875" t="s">
        <v>34</v>
      </c>
      <c r="C1875" t="s">
        <v>111</v>
      </c>
      <c r="D1875">
        <v>226</v>
      </c>
      <c r="E1875" t="s">
        <v>466</v>
      </c>
    </row>
    <row r="1876" spans="1:5" x14ac:dyDescent="0.35">
      <c r="A1876">
        <v>2007</v>
      </c>
      <c r="B1876" t="s">
        <v>35</v>
      </c>
      <c r="C1876" t="s">
        <v>112</v>
      </c>
      <c r="D1876">
        <v>60</v>
      </c>
      <c r="E1876" t="s">
        <v>466</v>
      </c>
    </row>
    <row r="1877" spans="1:5" x14ac:dyDescent="0.35">
      <c r="A1877">
        <v>2007</v>
      </c>
      <c r="B1877" t="s">
        <v>36</v>
      </c>
      <c r="C1877" t="s">
        <v>113</v>
      </c>
      <c r="D1877">
        <v>804</v>
      </c>
      <c r="E1877" t="s">
        <v>466</v>
      </c>
    </row>
    <row r="1878" spans="1:5" x14ac:dyDescent="0.35">
      <c r="A1878">
        <v>2007</v>
      </c>
      <c r="B1878" t="s">
        <v>34</v>
      </c>
      <c r="C1878" t="s">
        <v>114</v>
      </c>
      <c r="D1878">
        <v>19</v>
      </c>
      <c r="E1878" t="s">
        <v>466</v>
      </c>
    </row>
    <row r="1879" spans="1:5" x14ac:dyDescent="0.35">
      <c r="A1879">
        <v>2007</v>
      </c>
      <c r="B1879" t="s">
        <v>34</v>
      </c>
      <c r="C1879" t="s">
        <v>115</v>
      </c>
      <c r="D1879">
        <v>318</v>
      </c>
      <c r="E1879" t="s">
        <v>466</v>
      </c>
    </row>
    <row r="1880" spans="1:5" x14ac:dyDescent="0.35">
      <c r="A1880">
        <v>2007</v>
      </c>
      <c r="B1880" t="s">
        <v>34</v>
      </c>
      <c r="C1880" t="s">
        <v>116</v>
      </c>
      <c r="D1880">
        <v>35</v>
      </c>
      <c r="E1880" t="s">
        <v>466</v>
      </c>
    </row>
    <row r="1881" spans="1:5" x14ac:dyDescent="0.35">
      <c r="A1881">
        <v>2007</v>
      </c>
      <c r="B1881" t="s">
        <v>33</v>
      </c>
      <c r="C1881" t="s">
        <v>117</v>
      </c>
      <c r="D1881">
        <v>160</v>
      </c>
      <c r="E1881" t="s">
        <v>466</v>
      </c>
    </row>
    <row r="1882" spans="1:5" x14ac:dyDescent="0.35">
      <c r="A1882">
        <v>2007</v>
      </c>
      <c r="B1882" t="s">
        <v>34</v>
      </c>
      <c r="C1882" t="s">
        <v>118</v>
      </c>
      <c r="D1882">
        <v>307</v>
      </c>
      <c r="E1882" t="s">
        <v>466</v>
      </c>
    </row>
    <row r="1883" spans="1:5" x14ac:dyDescent="0.35">
      <c r="A1883">
        <v>2007</v>
      </c>
      <c r="B1883" t="s">
        <v>35</v>
      </c>
      <c r="C1883" t="s">
        <v>119</v>
      </c>
      <c r="E1883" t="s">
        <v>466</v>
      </c>
    </row>
    <row r="1884" spans="1:5" x14ac:dyDescent="0.35">
      <c r="A1884">
        <v>2007</v>
      </c>
      <c r="B1884" t="s">
        <v>34</v>
      </c>
      <c r="C1884" t="s">
        <v>120</v>
      </c>
      <c r="D1884">
        <v>57</v>
      </c>
      <c r="E1884" t="s">
        <v>466</v>
      </c>
    </row>
    <row r="1885" spans="1:5" x14ac:dyDescent="0.35">
      <c r="A1885">
        <v>2007</v>
      </c>
      <c r="B1885" t="s">
        <v>34</v>
      </c>
      <c r="C1885" t="s">
        <v>121</v>
      </c>
      <c r="E1885" t="s">
        <v>466</v>
      </c>
    </row>
    <row r="1886" spans="1:5" x14ac:dyDescent="0.35">
      <c r="A1886">
        <v>2007</v>
      </c>
      <c r="B1886" t="s">
        <v>34</v>
      </c>
      <c r="C1886" t="s">
        <v>122</v>
      </c>
      <c r="D1886">
        <v>117</v>
      </c>
      <c r="E1886" t="s">
        <v>466</v>
      </c>
    </row>
    <row r="1887" spans="1:5" x14ac:dyDescent="0.35">
      <c r="A1887">
        <v>2007</v>
      </c>
      <c r="B1887" t="s">
        <v>35</v>
      </c>
      <c r="C1887" t="s">
        <v>123</v>
      </c>
      <c r="D1887">
        <v>16</v>
      </c>
      <c r="E1887" t="s">
        <v>466</v>
      </c>
    </row>
    <row r="1888" spans="1:5" x14ac:dyDescent="0.35">
      <c r="A1888">
        <v>2007</v>
      </c>
      <c r="B1888" t="s">
        <v>34</v>
      </c>
      <c r="C1888" t="s">
        <v>124</v>
      </c>
      <c r="D1888">
        <v>195</v>
      </c>
      <c r="E1888" t="s">
        <v>466</v>
      </c>
    </row>
    <row r="1889" spans="1:5" x14ac:dyDescent="0.35">
      <c r="A1889">
        <v>2007</v>
      </c>
      <c r="B1889" t="s">
        <v>33</v>
      </c>
      <c r="C1889" t="s">
        <v>125</v>
      </c>
      <c r="D1889">
        <v>99</v>
      </c>
      <c r="E1889" t="s">
        <v>466</v>
      </c>
    </row>
    <row r="1890" spans="1:5" x14ac:dyDescent="0.35">
      <c r="A1890">
        <v>2007</v>
      </c>
      <c r="B1890" t="s">
        <v>33</v>
      </c>
      <c r="C1890" t="s">
        <v>126</v>
      </c>
      <c r="D1890">
        <v>8</v>
      </c>
      <c r="E1890" t="s">
        <v>466</v>
      </c>
    </row>
    <row r="1891" spans="1:5" x14ac:dyDescent="0.35">
      <c r="A1891">
        <v>2007</v>
      </c>
      <c r="B1891" t="s">
        <v>35</v>
      </c>
      <c r="C1891" t="s">
        <v>127</v>
      </c>
      <c r="D1891">
        <v>55</v>
      </c>
      <c r="E1891" t="s">
        <v>466</v>
      </c>
    </row>
    <row r="1892" spans="1:5" x14ac:dyDescent="0.35">
      <c r="A1892">
        <v>2007</v>
      </c>
      <c r="B1892" t="s">
        <v>34</v>
      </c>
      <c r="C1892" t="s">
        <v>369</v>
      </c>
      <c r="D1892">
        <v>21</v>
      </c>
      <c r="E1892" t="s">
        <v>466</v>
      </c>
    </row>
    <row r="1893" spans="1:5" x14ac:dyDescent="0.35">
      <c r="A1893">
        <v>2007</v>
      </c>
      <c r="B1893" t="s">
        <v>33</v>
      </c>
      <c r="C1893" t="s">
        <v>130</v>
      </c>
      <c r="D1893">
        <v>7</v>
      </c>
      <c r="E1893" t="s">
        <v>466</v>
      </c>
    </row>
    <row r="1894" spans="1:5" x14ac:dyDescent="0.35">
      <c r="A1894">
        <v>2007</v>
      </c>
      <c r="B1894" t="s">
        <v>34</v>
      </c>
      <c r="C1894" t="s">
        <v>131</v>
      </c>
      <c r="D1894">
        <v>58</v>
      </c>
      <c r="E1894" t="s">
        <v>466</v>
      </c>
    </row>
    <row r="1895" spans="1:5" x14ac:dyDescent="0.35">
      <c r="A1895">
        <v>2007</v>
      </c>
      <c r="B1895" t="s">
        <v>33</v>
      </c>
      <c r="C1895" t="s">
        <v>132</v>
      </c>
      <c r="D1895">
        <v>80</v>
      </c>
      <c r="E1895" t="s">
        <v>466</v>
      </c>
    </row>
    <row r="1896" spans="1:5" x14ac:dyDescent="0.35">
      <c r="A1896">
        <v>2007</v>
      </c>
      <c r="B1896" t="s">
        <v>35</v>
      </c>
      <c r="C1896" t="s">
        <v>133</v>
      </c>
      <c r="E1896" t="s">
        <v>466</v>
      </c>
    </row>
    <row r="1897" spans="1:5" x14ac:dyDescent="0.35">
      <c r="A1897">
        <v>2007</v>
      </c>
      <c r="B1897" t="s">
        <v>37</v>
      </c>
      <c r="C1897" t="s">
        <v>134</v>
      </c>
      <c r="D1897">
        <v>3</v>
      </c>
      <c r="E1897" t="s">
        <v>466</v>
      </c>
    </row>
    <row r="1898" spans="1:5" x14ac:dyDescent="0.35">
      <c r="A1898">
        <v>2007</v>
      </c>
      <c r="B1898" t="s">
        <v>33</v>
      </c>
      <c r="C1898" t="s">
        <v>135</v>
      </c>
      <c r="D1898">
        <v>62</v>
      </c>
      <c r="E1898" t="s">
        <v>466</v>
      </c>
    </row>
    <row r="1899" spans="1:5" x14ac:dyDescent="0.35">
      <c r="A1899">
        <v>2007</v>
      </c>
      <c r="B1899" t="s">
        <v>36</v>
      </c>
      <c r="C1899" t="s">
        <v>14</v>
      </c>
      <c r="D1899">
        <v>854275</v>
      </c>
      <c r="E1899" t="s">
        <v>466</v>
      </c>
    </row>
    <row r="1900" spans="1:5" x14ac:dyDescent="0.35">
      <c r="A1900">
        <v>2007</v>
      </c>
      <c r="B1900" t="s">
        <v>37</v>
      </c>
      <c r="C1900" t="s">
        <v>137</v>
      </c>
      <c r="D1900">
        <v>13</v>
      </c>
      <c r="E1900" t="s">
        <v>466</v>
      </c>
    </row>
    <row r="1901" spans="1:5" x14ac:dyDescent="0.35">
      <c r="A1901">
        <v>2007</v>
      </c>
      <c r="B1901" t="s">
        <v>35</v>
      </c>
      <c r="C1901" t="s">
        <v>138</v>
      </c>
      <c r="D1901">
        <v>46</v>
      </c>
      <c r="E1901" t="s">
        <v>466</v>
      </c>
    </row>
    <row r="1902" spans="1:5" x14ac:dyDescent="0.35">
      <c r="A1902">
        <v>2007</v>
      </c>
      <c r="B1902" t="s">
        <v>34</v>
      </c>
      <c r="C1902" t="s">
        <v>139</v>
      </c>
      <c r="D1902">
        <v>54</v>
      </c>
      <c r="E1902" t="s">
        <v>466</v>
      </c>
    </row>
    <row r="1903" spans="1:5" x14ac:dyDescent="0.35">
      <c r="A1903">
        <v>2007</v>
      </c>
      <c r="B1903" t="s">
        <v>35</v>
      </c>
      <c r="C1903" t="s">
        <v>140</v>
      </c>
      <c r="E1903" t="s">
        <v>466</v>
      </c>
    </row>
    <row r="1904" spans="1:5" x14ac:dyDescent="0.35">
      <c r="A1904">
        <v>2007</v>
      </c>
      <c r="B1904" t="s">
        <v>36</v>
      </c>
      <c r="C1904" t="s">
        <v>370</v>
      </c>
      <c r="E1904" t="s">
        <v>466</v>
      </c>
    </row>
    <row r="1905" spans="1:5" x14ac:dyDescent="0.35">
      <c r="A1905">
        <v>2007</v>
      </c>
      <c r="B1905" t="s">
        <v>33</v>
      </c>
      <c r="C1905" t="s">
        <v>141</v>
      </c>
      <c r="D1905">
        <v>183</v>
      </c>
      <c r="E1905" t="s">
        <v>466</v>
      </c>
    </row>
    <row r="1906" spans="1:5" x14ac:dyDescent="0.35">
      <c r="A1906">
        <v>2007</v>
      </c>
      <c r="B1906" t="s">
        <v>34</v>
      </c>
      <c r="C1906" t="s">
        <v>144</v>
      </c>
      <c r="D1906">
        <v>44</v>
      </c>
      <c r="E1906" t="s">
        <v>466</v>
      </c>
    </row>
    <row r="1907" spans="1:5" x14ac:dyDescent="0.35">
      <c r="A1907">
        <v>2007</v>
      </c>
      <c r="B1907" t="s">
        <v>35</v>
      </c>
      <c r="C1907" t="s">
        <v>145</v>
      </c>
      <c r="D1907">
        <v>25</v>
      </c>
      <c r="E1907" t="s">
        <v>466</v>
      </c>
    </row>
    <row r="1908" spans="1:5" x14ac:dyDescent="0.35">
      <c r="A1908">
        <v>2007</v>
      </c>
      <c r="B1908" t="s">
        <v>36</v>
      </c>
      <c r="C1908" t="s">
        <v>371</v>
      </c>
      <c r="E1908" t="s">
        <v>466</v>
      </c>
    </row>
    <row r="1909" spans="1:5" x14ac:dyDescent="0.35">
      <c r="A1909">
        <v>2007</v>
      </c>
      <c r="B1909" t="s">
        <v>37</v>
      </c>
      <c r="C1909" t="s">
        <v>146</v>
      </c>
      <c r="D1909">
        <v>55</v>
      </c>
      <c r="E1909" t="s">
        <v>466</v>
      </c>
    </row>
    <row r="1910" spans="1:5" x14ac:dyDescent="0.35">
      <c r="A1910">
        <v>2007</v>
      </c>
      <c r="B1910" t="s">
        <v>36</v>
      </c>
      <c r="C1910" t="s">
        <v>147</v>
      </c>
      <c r="D1910">
        <v>2119</v>
      </c>
      <c r="E1910" t="s">
        <v>466</v>
      </c>
    </row>
    <row r="1911" spans="1:5" x14ac:dyDescent="0.35">
      <c r="A1911">
        <v>2007</v>
      </c>
      <c r="B1911" t="s">
        <v>33</v>
      </c>
      <c r="C1911" t="s">
        <v>148</v>
      </c>
      <c r="D1911">
        <v>115</v>
      </c>
      <c r="E1911" t="s">
        <v>466</v>
      </c>
    </row>
    <row r="1912" spans="1:5" x14ac:dyDescent="0.35">
      <c r="A1912">
        <v>2007</v>
      </c>
      <c r="B1912" t="s">
        <v>33</v>
      </c>
      <c r="C1912" t="s">
        <v>149</v>
      </c>
      <c r="D1912">
        <v>351</v>
      </c>
      <c r="E1912" t="s">
        <v>466</v>
      </c>
    </row>
    <row r="1913" spans="1:5" x14ac:dyDescent="0.35">
      <c r="A1913">
        <v>2007</v>
      </c>
      <c r="B1913" t="s">
        <v>35</v>
      </c>
      <c r="C1913" t="s">
        <v>322</v>
      </c>
      <c r="D1913">
        <v>40</v>
      </c>
      <c r="E1913" t="s">
        <v>466</v>
      </c>
    </row>
    <row r="1914" spans="1:5" x14ac:dyDescent="0.35">
      <c r="A1914">
        <v>2007</v>
      </c>
      <c r="B1914" t="s">
        <v>35</v>
      </c>
      <c r="C1914" t="s">
        <v>150</v>
      </c>
      <c r="D1914">
        <v>7</v>
      </c>
      <c r="E1914" t="s">
        <v>466</v>
      </c>
    </row>
    <row r="1915" spans="1:5" x14ac:dyDescent="0.35">
      <c r="A1915">
        <v>2007</v>
      </c>
      <c r="B1915" t="s">
        <v>34</v>
      </c>
      <c r="C1915" t="s">
        <v>152</v>
      </c>
      <c r="D1915">
        <v>654</v>
      </c>
      <c r="E1915" t="s">
        <v>466</v>
      </c>
    </row>
    <row r="1916" spans="1:5" x14ac:dyDescent="0.35">
      <c r="A1916">
        <v>2007</v>
      </c>
      <c r="B1916" t="s">
        <v>37</v>
      </c>
      <c r="C1916" t="s">
        <v>153</v>
      </c>
      <c r="D1916">
        <v>3</v>
      </c>
      <c r="E1916" t="s">
        <v>466</v>
      </c>
    </row>
    <row r="1917" spans="1:5" x14ac:dyDescent="0.35">
      <c r="A1917">
        <v>2007</v>
      </c>
      <c r="B1917" t="s">
        <v>36</v>
      </c>
      <c r="C1917" t="s">
        <v>154</v>
      </c>
      <c r="D1917">
        <v>112</v>
      </c>
      <c r="E1917" t="s">
        <v>466</v>
      </c>
    </row>
    <row r="1918" spans="1:5" x14ac:dyDescent="0.35">
      <c r="A1918">
        <v>2007</v>
      </c>
      <c r="B1918" t="s">
        <v>38</v>
      </c>
      <c r="C1918" t="s">
        <v>155</v>
      </c>
      <c r="D1918">
        <v>21</v>
      </c>
      <c r="E1918" t="s">
        <v>466</v>
      </c>
    </row>
    <row r="1919" spans="1:5" x14ac:dyDescent="0.35">
      <c r="A1919">
        <v>2007</v>
      </c>
      <c r="B1919" t="s">
        <v>38</v>
      </c>
      <c r="C1919" t="s">
        <v>156</v>
      </c>
      <c r="D1919">
        <v>944</v>
      </c>
      <c r="E1919" t="s">
        <v>466</v>
      </c>
    </row>
    <row r="1920" spans="1:5" x14ac:dyDescent="0.35">
      <c r="A1920">
        <v>2007</v>
      </c>
      <c r="B1920" t="s">
        <v>34</v>
      </c>
      <c r="C1920" t="s">
        <v>18</v>
      </c>
      <c r="D1920">
        <v>500</v>
      </c>
      <c r="E1920" t="s">
        <v>466</v>
      </c>
    </row>
    <row r="1921" spans="1:5" x14ac:dyDescent="0.35">
      <c r="A1921">
        <v>2007</v>
      </c>
      <c r="B1921" t="s">
        <v>35</v>
      </c>
      <c r="C1921" t="s">
        <v>157</v>
      </c>
      <c r="D1921">
        <v>309</v>
      </c>
      <c r="E1921" t="s">
        <v>466</v>
      </c>
    </row>
    <row r="1922" spans="1:5" x14ac:dyDescent="0.35">
      <c r="A1922">
        <v>2007</v>
      </c>
      <c r="B1922" t="s">
        <v>35</v>
      </c>
      <c r="C1922" t="s">
        <v>158</v>
      </c>
      <c r="D1922">
        <v>70</v>
      </c>
      <c r="E1922" t="s">
        <v>466</v>
      </c>
    </row>
    <row r="1923" spans="1:5" x14ac:dyDescent="0.35">
      <c r="A1923">
        <v>2007</v>
      </c>
      <c r="B1923" t="s">
        <v>35</v>
      </c>
      <c r="C1923" t="s">
        <v>160</v>
      </c>
      <c r="D1923">
        <v>196</v>
      </c>
      <c r="E1923" t="s">
        <v>466</v>
      </c>
    </row>
    <row r="1924" spans="1:5" x14ac:dyDescent="0.35">
      <c r="A1924">
        <v>2007</v>
      </c>
      <c r="B1924" t="s">
        <v>35</v>
      </c>
      <c r="C1924" t="s">
        <v>161</v>
      </c>
      <c r="D1924">
        <v>194</v>
      </c>
      <c r="E1924" t="s">
        <v>466</v>
      </c>
    </row>
    <row r="1925" spans="1:5" x14ac:dyDescent="0.35">
      <c r="A1925">
        <v>2007</v>
      </c>
      <c r="B1925" t="s">
        <v>33</v>
      </c>
      <c r="C1925" t="s">
        <v>162</v>
      </c>
      <c r="D1925">
        <v>8</v>
      </c>
      <c r="E1925" t="s">
        <v>466</v>
      </c>
    </row>
    <row r="1926" spans="1:5" x14ac:dyDescent="0.35">
      <c r="A1926">
        <v>2007</v>
      </c>
      <c r="B1926" t="s">
        <v>36</v>
      </c>
      <c r="C1926" t="s">
        <v>163</v>
      </c>
      <c r="D1926">
        <v>9</v>
      </c>
      <c r="E1926" t="s">
        <v>466</v>
      </c>
    </row>
    <row r="1927" spans="1:5" x14ac:dyDescent="0.35">
      <c r="A1927">
        <v>2007</v>
      </c>
      <c r="B1927" t="s">
        <v>36</v>
      </c>
      <c r="C1927" t="s">
        <v>164</v>
      </c>
      <c r="D1927">
        <v>37</v>
      </c>
      <c r="E1927" t="s">
        <v>466</v>
      </c>
    </row>
    <row r="1928" spans="1:5" x14ac:dyDescent="0.35">
      <c r="A1928">
        <v>2007</v>
      </c>
      <c r="B1928" t="s">
        <v>36</v>
      </c>
      <c r="C1928" t="s">
        <v>165</v>
      </c>
      <c r="D1928">
        <v>9</v>
      </c>
      <c r="E1928" t="s">
        <v>466</v>
      </c>
    </row>
    <row r="1929" spans="1:5" x14ac:dyDescent="0.35">
      <c r="A1929">
        <v>2007</v>
      </c>
      <c r="B1929" t="s">
        <v>37</v>
      </c>
      <c r="C1929" t="s">
        <v>166</v>
      </c>
      <c r="D1929">
        <v>25</v>
      </c>
      <c r="E1929" t="s">
        <v>466</v>
      </c>
    </row>
    <row r="1930" spans="1:5" x14ac:dyDescent="0.35">
      <c r="A1930">
        <v>2007</v>
      </c>
      <c r="B1930" t="s">
        <v>34</v>
      </c>
      <c r="C1930" t="s">
        <v>167</v>
      </c>
      <c r="D1930">
        <v>67</v>
      </c>
      <c r="E1930" t="s">
        <v>466</v>
      </c>
    </row>
    <row r="1931" spans="1:5" x14ac:dyDescent="0.35">
      <c r="A1931">
        <v>2007</v>
      </c>
      <c r="B1931" t="s">
        <v>33</v>
      </c>
      <c r="C1931" t="s">
        <v>168</v>
      </c>
      <c r="D1931">
        <v>92</v>
      </c>
      <c r="E1931" t="s">
        <v>466</v>
      </c>
    </row>
    <row r="1932" spans="1:5" x14ac:dyDescent="0.35">
      <c r="A1932">
        <v>2007</v>
      </c>
      <c r="B1932" t="s">
        <v>35</v>
      </c>
      <c r="C1932" t="s">
        <v>169</v>
      </c>
      <c r="E1932" t="s">
        <v>466</v>
      </c>
    </row>
    <row r="1933" spans="1:5" x14ac:dyDescent="0.35">
      <c r="A1933">
        <v>2007</v>
      </c>
      <c r="B1933" t="s">
        <v>35</v>
      </c>
      <c r="C1933" t="s">
        <v>215</v>
      </c>
      <c r="D1933">
        <v>222</v>
      </c>
      <c r="E1933" t="s">
        <v>466</v>
      </c>
    </row>
    <row r="1934" spans="1:5" x14ac:dyDescent="0.35">
      <c r="A1934">
        <v>2007</v>
      </c>
      <c r="B1934" t="s">
        <v>33</v>
      </c>
      <c r="C1934" t="s">
        <v>170</v>
      </c>
      <c r="D1934">
        <v>98</v>
      </c>
      <c r="E1934" t="s">
        <v>466</v>
      </c>
    </row>
    <row r="1935" spans="1:5" x14ac:dyDescent="0.35">
      <c r="A1935">
        <v>2007</v>
      </c>
      <c r="B1935" t="s">
        <v>34</v>
      </c>
      <c r="C1935" t="s">
        <v>171</v>
      </c>
      <c r="D1935">
        <v>14</v>
      </c>
      <c r="E1935" t="s">
        <v>466</v>
      </c>
    </row>
    <row r="1936" spans="1:5" x14ac:dyDescent="0.35">
      <c r="A1936">
        <v>2007</v>
      </c>
      <c r="B1936" t="s">
        <v>35</v>
      </c>
      <c r="C1936" t="s">
        <v>172</v>
      </c>
      <c r="D1936">
        <v>23</v>
      </c>
      <c r="E1936" t="s">
        <v>466</v>
      </c>
    </row>
    <row r="1937" spans="1:5" x14ac:dyDescent="0.35">
      <c r="A1937">
        <v>2007</v>
      </c>
      <c r="B1937" t="s">
        <v>35</v>
      </c>
      <c r="C1937" t="s">
        <v>173</v>
      </c>
      <c r="E1937" t="s">
        <v>466</v>
      </c>
    </row>
    <row r="1938" spans="1:5" x14ac:dyDescent="0.35">
      <c r="A1938">
        <v>2007</v>
      </c>
      <c r="B1938" t="s">
        <v>33</v>
      </c>
      <c r="C1938" t="s">
        <v>174</v>
      </c>
      <c r="D1938">
        <v>98</v>
      </c>
      <c r="E1938" t="s">
        <v>466</v>
      </c>
    </row>
    <row r="1939" spans="1:5" x14ac:dyDescent="0.35">
      <c r="A1939">
        <v>2007</v>
      </c>
      <c r="B1939" t="s">
        <v>33</v>
      </c>
      <c r="C1939" t="s">
        <v>175</v>
      </c>
      <c r="D1939">
        <v>83</v>
      </c>
      <c r="E1939" t="s">
        <v>466</v>
      </c>
    </row>
    <row r="1940" spans="1:5" x14ac:dyDescent="0.35">
      <c r="A1940">
        <v>2007</v>
      </c>
      <c r="B1940" t="s">
        <v>33</v>
      </c>
      <c r="C1940" t="s">
        <v>176</v>
      </c>
      <c r="E1940" t="s">
        <v>466</v>
      </c>
    </row>
    <row r="1941" spans="1:5" x14ac:dyDescent="0.35">
      <c r="A1941">
        <v>2007</v>
      </c>
      <c r="B1941" t="s">
        <v>35</v>
      </c>
      <c r="C1941" t="s">
        <v>216</v>
      </c>
      <c r="D1941">
        <v>7</v>
      </c>
      <c r="E1941" t="s">
        <v>466</v>
      </c>
    </row>
    <row r="1942" spans="1:5" x14ac:dyDescent="0.35">
      <c r="A1942">
        <v>2007</v>
      </c>
      <c r="B1942" t="s">
        <v>35</v>
      </c>
      <c r="C1942" t="s">
        <v>177</v>
      </c>
      <c r="D1942">
        <v>28</v>
      </c>
      <c r="E1942" t="s">
        <v>466</v>
      </c>
    </row>
    <row r="1943" spans="1:5" x14ac:dyDescent="0.35">
      <c r="A1943">
        <v>2007</v>
      </c>
      <c r="B1943" t="s">
        <v>34</v>
      </c>
      <c r="C1943" t="s">
        <v>178</v>
      </c>
      <c r="D1943">
        <v>47</v>
      </c>
      <c r="E1943" t="s">
        <v>466</v>
      </c>
    </row>
    <row r="1944" spans="1:5" x14ac:dyDescent="0.35">
      <c r="A1944">
        <v>2007</v>
      </c>
      <c r="B1944" t="s">
        <v>33</v>
      </c>
      <c r="C1944" t="s">
        <v>179</v>
      </c>
      <c r="D1944">
        <v>38</v>
      </c>
      <c r="E1944" t="s">
        <v>466</v>
      </c>
    </row>
    <row r="1945" spans="1:5" x14ac:dyDescent="0.35">
      <c r="A1945">
        <v>2007</v>
      </c>
      <c r="B1945" t="s">
        <v>38</v>
      </c>
      <c r="C1945" t="s">
        <v>180</v>
      </c>
      <c r="D1945">
        <v>10</v>
      </c>
      <c r="E1945" t="s">
        <v>466</v>
      </c>
    </row>
    <row r="1946" spans="1:5" x14ac:dyDescent="0.35">
      <c r="A1946">
        <v>2007</v>
      </c>
      <c r="B1946" t="s">
        <v>35</v>
      </c>
      <c r="C1946" t="s">
        <v>182</v>
      </c>
      <c r="D1946">
        <v>19</v>
      </c>
      <c r="E1946" t="s">
        <v>466</v>
      </c>
    </row>
    <row r="1947" spans="1:5" x14ac:dyDescent="0.35">
      <c r="A1947">
        <v>2007</v>
      </c>
      <c r="B1947" t="s">
        <v>35</v>
      </c>
      <c r="C1947" t="s">
        <v>183</v>
      </c>
      <c r="D1947">
        <v>12</v>
      </c>
      <c r="E1947" t="s">
        <v>466</v>
      </c>
    </row>
    <row r="1948" spans="1:5" x14ac:dyDescent="0.35">
      <c r="A1948">
        <v>2007</v>
      </c>
      <c r="B1948" t="s">
        <v>34</v>
      </c>
      <c r="C1948" t="s">
        <v>184</v>
      </c>
      <c r="D1948">
        <v>101</v>
      </c>
      <c r="E1948" t="s">
        <v>466</v>
      </c>
    </row>
    <row r="1949" spans="1:5" x14ac:dyDescent="0.35">
      <c r="A1949">
        <v>2007</v>
      </c>
      <c r="B1949" t="s">
        <v>34</v>
      </c>
      <c r="C1949" t="s">
        <v>185</v>
      </c>
      <c r="D1949">
        <v>34</v>
      </c>
      <c r="E1949" t="s">
        <v>466</v>
      </c>
    </row>
    <row r="1950" spans="1:5" x14ac:dyDescent="0.35">
      <c r="A1950">
        <v>2007</v>
      </c>
      <c r="B1950" t="s">
        <v>34</v>
      </c>
      <c r="C1950" t="s">
        <v>186</v>
      </c>
      <c r="D1950">
        <v>15</v>
      </c>
      <c r="E1950" t="s">
        <v>466</v>
      </c>
    </row>
    <row r="1951" spans="1:5" x14ac:dyDescent="0.35">
      <c r="A1951">
        <v>2007</v>
      </c>
      <c r="B1951" t="s">
        <v>33</v>
      </c>
      <c r="C1951" t="s">
        <v>187</v>
      </c>
      <c r="D1951">
        <v>45</v>
      </c>
      <c r="E1951" t="s">
        <v>466</v>
      </c>
    </row>
    <row r="1952" spans="1:5" x14ac:dyDescent="0.35">
      <c r="A1952">
        <v>2007</v>
      </c>
      <c r="B1952" t="s">
        <v>34</v>
      </c>
      <c r="C1952" t="s">
        <v>188</v>
      </c>
      <c r="D1952">
        <v>117</v>
      </c>
      <c r="E1952" t="s">
        <v>466</v>
      </c>
    </row>
    <row r="1953" spans="1:5" x14ac:dyDescent="0.35">
      <c r="A1953">
        <v>2007</v>
      </c>
      <c r="B1953" t="s">
        <v>33</v>
      </c>
      <c r="C1953" t="s">
        <v>189</v>
      </c>
      <c r="D1953">
        <v>43</v>
      </c>
      <c r="E1953" t="s">
        <v>466</v>
      </c>
    </row>
    <row r="1954" spans="1:5" x14ac:dyDescent="0.35">
      <c r="A1954">
        <v>2007</v>
      </c>
      <c r="B1954" t="s">
        <v>37</v>
      </c>
      <c r="C1954" t="s">
        <v>190</v>
      </c>
      <c r="D1954">
        <v>27</v>
      </c>
      <c r="E1954" t="s">
        <v>466</v>
      </c>
    </row>
    <row r="1955" spans="1:5" x14ac:dyDescent="0.35">
      <c r="A1955">
        <v>2007</v>
      </c>
      <c r="B1955" t="s">
        <v>36</v>
      </c>
      <c r="C1955" t="s">
        <v>191</v>
      </c>
      <c r="D1955">
        <v>210</v>
      </c>
      <c r="E1955" t="s">
        <v>466</v>
      </c>
    </row>
    <row r="1956" spans="1:5" x14ac:dyDescent="0.35">
      <c r="A1956">
        <v>2007</v>
      </c>
      <c r="B1956" t="s">
        <v>33</v>
      </c>
      <c r="C1956" t="s">
        <v>192</v>
      </c>
      <c r="D1956">
        <v>60</v>
      </c>
      <c r="E1956" t="s">
        <v>466</v>
      </c>
    </row>
    <row r="1957" spans="1:5" x14ac:dyDescent="0.35">
      <c r="A1957">
        <v>2007</v>
      </c>
      <c r="B1957" t="s">
        <v>34</v>
      </c>
      <c r="C1957" t="s">
        <v>193</v>
      </c>
      <c r="D1957">
        <v>221</v>
      </c>
      <c r="E1957" t="s">
        <v>466</v>
      </c>
    </row>
    <row r="1958" spans="1:5" x14ac:dyDescent="0.35">
      <c r="A1958">
        <v>2007</v>
      </c>
      <c r="B1958" t="s">
        <v>34</v>
      </c>
      <c r="C1958" t="s">
        <v>194</v>
      </c>
      <c r="D1958">
        <v>9</v>
      </c>
      <c r="E1958" t="s">
        <v>466</v>
      </c>
    </row>
    <row r="1959" spans="1:5" x14ac:dyDescent="0.35">
      <c r="A1959">
        <v>2007</v>
      </c>
      <c r="B1959" t="s">
        <v>36</v>
      </c>
      <c r="C1959" t="s">
        <v>372</v>
      </c>
      <c r="D1959">
        <v>3</v>
      </c>
      <c r="E1959" t="s">
        <v>466</v>
      </c>
    </row>
    <row r="1960" spans="1:5" x14ac:dyDescent="0.35">
      <c r="A1960">
        <v>2007</v>
      </c>
      <c r="B1960" t="s">
        <v>33</v>
      </c>
      <c r="C1960" t="s">
        <v>195</v>
      </c>
      <c r="D1960">
        <v>49</v>
      </c>
      <c r="E1960" t="s">
        <v>466</v>
      </c>
    </row>
    <row r="1961" spans="1:5" x14ac:dyDescent="0.35">
      <c r="A1961">
        <v>2007</v>
      </c>
      <c r="B1961" t="s">
        <v>35</v>
      </c>
      <c r="C1961" t="s">
        <v>196</v>
      </c>
      <c r="D1961">
        <v>177</v>
      </c>
      <c r="E1961" t="s">
        <v>466</v>
      </c>
    </row>
    <row r="1962" spans="1:5" x14ac:dyDescent="0.35">
      <c r="A1962">
        <v>2007</v>
      </c>
      <c r="B1962" t="s">
        <v>34</v>
      </c>
      <c r="C1962" t="s">
        <v>197</v>
      </c>
      <c r="D1962">
        <v>8</v>
      </c>
      <c r="E1962" t="s">
        <v>466</v>
      </c>
    </row>
    <row r="1963" spans="1:5" x14ac:dyDescent="0.35">
      <c r="A1963">
        <v>2007</v>
      </c>
      <c r="B1963" t="s">
        <v>35</v>
      </c>
      <c r="C1963" t="s">
        <v>198</v>
      </c>
      <c r="D1963">
        <v>169</v>
      </c>
      <c r="E1963" t="s">
        <v>466</v>
      </c>
    </row>
    <row r="1964" spans="1:5" x14ac:dyDescent="0.35">
      <c r="A1964">
        <v>2007</v>
      </c>
      <c r="B1964" t="s">
        <v>39</v>
      </c>
      <c r="C1964" t="s">
        <v>39</v>
      </c>
      <c r="D1964">
        <v>68</v>
      </c>
      <c r="E1964" t="s">
        <v>466</v>
      </c>
    </row>
    <row r="1965" spans="1:5" x14ac:dyDescent="0.35">
      <c r="A1965">
        <v>2007</v>
      </c>
      <c r="B1965" t="s">
        <v>38</v>
      </c>
      <c r="C1965" t="s">
        <v>199</v>
      </c>
      <c r="D1965">
        <v>109</v>
      </c>
      <c r="E1965" t="s">
        <v>466</v>
      </c>
    </row>
    <row r="1966" spans="1:5" x14ac:dyDescent="0.35">
      <c r="A1966">
        <v>2007</v>
      </c>
      <c r="B1966" t="s">
        <v>34</v>
      </c>
      <c r="C1966" t="s">
        <v>200</v>
      </c>
      <c r="D1966">
        <v>96</v>
      </c>
      <c r="E1966" t="s">
        <v>466</v>
      </c>
    </row>
    <row r="1967" spans="1:5" x14ac:dyDescent="0.35">
      <c r="A1967">
        <v>2007</v>
      </c>
      <c r="B1967" t="s">
        <v>38</v>
      </c>
      <c r="C1967" t="s">
        <v>19</v>
      </c>
      <c r="D1967">
        <v>314</v>
      </c>
      <c r="E1967" t="s">
        <v>466</v>
      </c>
    </row>
    <row r="1968" spans="1:5" x14ac:dyDescent="0.35">
      <c r="A1968">
        <v>2007</v>
      </c>
      <c r="B1968" t="s">
        <v>34</v>
      </c>
      <c r="C1968" t="s">
        <v>201</v>
      </c>
      <c r="D1968">
        <v>212</v>
      </c>
      <c r="E1968" t="s">
        <v>466</v>
      </c>
    </row>
    <row r="1969" spans="1:5" x14ac:dyDescent="0.35">
      <c r="A1969">
        <v>2007</v>
      </c>
      <c r="B1969" t="s">
        <v>34</v>
      </c>
      <c r="C1969" t="s">
        <v>202</v>
      </c>
      <c r="D1969">
        <v>106</v>
      </c>
      <c r="E1969" t="s">
        <v>466</v>
      </c>
    </row>
    <row r="1970" spans="1:5" x14ac:dyDescent="0.35">
      <c r="A1970">
        <v>2007</v>
      </c>
      <c r="B1970" t="s">
        <v>33</v>
      </c>
      <c r="C1970" t="s">
        <v>203</v>
      </c>
      <c r="D1970">
        <v>25</v>
      </c>
      <c r="E1970" t="s">
        <v>466</v>
      </c>
    </row>
    <row r="1971" spans="1:5" x14ac:dyDescent="0.35">
      <c r="A1971">
        <v>2007</v>
      </c>
      <c r="B1971" t="s">
        <v>33</v>
      </c>
      <c r="C1971" t="s">
        <v>204</v>
      </c>
      <c r="D1971">
        <v>44</v>
      </c>
      <c r="E1971" t="s">
        <v>466</v>
      </c>
    </row>
    <row r="1972" spans="1:5" x14ac:dyDescent="0.35">
      <c r="A1972">
        <v>2008</v>
      </c>
      <c r="B1972" t="s">
        <v>38</v>
      </c>
      <c r="C1972" t="s">
        <v>155</v>
      </c>
      <c r="D1972">
        <v>35</v>
      </c>
      <c r="E1972" t="s">
        <v>328</v>
      </c>
    </row>
    <row r="1973" spans="1:5" x14ac:dyDescent="0.35">
      <c r="A1973">
        <v>2008</v>
      </c>
      <c r="B1973" t="s">
        <v>38</v>
      </c>
      <c r="C1973" t="s">
        <v>155</v>
      </c>
      <c r="D1973">
        <v>5</v>
      </c>
      <c r="E1973" t="s">
        <v>458</v>
      </c>
    </row>
    <row r="1974" spans="1:5" x14ac:dyDescent="0.35">
      <c r="A1974">
        <v>2008</v>
      </c>
      <c r="B1974" t="s">
        <v>36</v>
      </c>
      <c r="C1974" t="s">
        <v>154</v>
      </c>
      <c r="D1974">
        <v>91</v>
      </c>
      <c r="E1974" t="s">
        <v>328</v>
      </c>
    </row>
    <row r="1975" spans="1:5" x14ac:dyDescent="0.35">
      <c r="A1975">
        <v>2008</v>
      </c>
      <c r="B1975" t="s">
        <v>36</v>
      </c>
      <c r="C1975" t="s">
        <v>154</v>
      </c>
      <c r="D1975">
        <v>99</v>
      </c>
      <c r="E1975" t="s">
        <v>458</v>
      </c>
    </row>
    <row r="1976" spans="1:5" x14ac:dyDescent="0.35">
      <c r="A1976">
        <v>2008</v>
      </c>
      <c r="B1976" t="s">
        <v>37</v>
      </c>
      <c r="C1976" t="s">
        <v>153</v>
      </c>
      <c r="D1976">
        <v>4</v>
      </c>
      <c r="E1976" t="s">
        <v>328</v>
      </c>
    </row>
    <row r="1977" spans="1:5" x14ac:dyDescent="0.35">
      <c r="A1977">
        <v>2008</v>
      </c>
      <c r="B1977" t="s">
        <v>37</v>
      </c>
      <c r="C1977" t="s">
        <v>153</v>
      </c>
      <c r="D1977">
        <v>6</v>
      </c>
      <c r="E1977" t="s">
        <v>458</v>
      </c>
    </row>
    <row r="1978" spans="1:5" x14ac:dyDescent="0.35">
      <c r="A1978">
        <v>2008</v>
      </c>
      <c r="B1978" t="s">
        <v>34</v>
      </c>
      <c r="C1978" t="s">
        <v>152</v>
      </c>
      <c r="D1978">
        <v>309</v>
      </c>
      <c r="E1978" t="s">
        <v>328</v>
      </c>
    </row>
    <row r="1979" spans="1:5" x14ac:dyDescent="0.35">
      <c r="A1979">
        <v>2008</v>
      </c>
      <c r="B1979" t="s">
        <v>35</v>
      </c>
      <c r="C1979" t="s">
        <v>322</v>
      </c>
      <c r="D1979">
        <v>52</v>
      </c>
      <c r="E1979" t="s">
        <v>328</v>
      </c>
    </row>
    <row r="1980" spans="1:5" x14ac:dyDescent="0.35">
      <c r="A1980">
        <v>2008</v>
      </c>
      <c r="B1980" t="s">
        <v>35</v>
      </c>
      <c r="C1980" t="s">
        <v>150</v>
      </c>
      <c r="D1980">
        <v>16</v>
      </c>
      <c r="E1980" t="s">
        <v>328</v>
      </c>
    </row>
    <row r="1981" spans="1:5" x14ac:dyDescent="0.35">
      <c r="A1981">
        <v>2008</v>
      </c>
      <c r="B1981" t="s">
        <v>35</v>
      </c>
      <c r="C1981" t="s">
        <v>150</v>
      </c>
      <c r="D1981">
        <v>4</v>
      </c>
      <c r="E1981" t="s">
        <v>458</v>
      </c>
    </row>
    <row r="1982" spans="1:5" x14ac:dyDescent="0.35">
      <c r="A1982">
        <v>2008</v>
      </c>
      <c r="B1982" t="s">
        <v>35</v>
      </c>
      <c r="C1982" t="s">
        <v>322</v>
      </c>
      <c r="D1982">
        <v>8</v>
      </c>
      <c r="E1982" t="s">
        <v>458</v>
      </c>
    </row>
    <row r="1983" spans="1:5" x14ac:dyDescent="0.35">
      <c r="A1983">
        <v>2008</v>
      </c>
      <c r="B1983" t="s">
        <v>33</v>
      </c>
      <c r="C1983" t="s">
        <v>149</v>
      </c>
      <c r="D1983">
        <v>226</v>
      </c>
      <c r="E1983" t="s">
        <v>328</v>
      </c>
    </row>
    <row r="1984" spans="1:5" x14ac:dyDescent="0.35">
      <c r="A1984">
        <v>2008</v>
      </c>
      <c r="B1984" t="s">
        <v>33</v>
      </c>
      <c r="C1984" t="s">
        <v>149</v>
      </c>
      <c r="D1984">
        <v>209</v>
      </c>
      <c r="E1984" t="s">
        <v>458</v>
      </c>
    </row>
    <row r="1985" spans="1:5" x14ac:dyDescent="0.35">
      <c r="A1985">
        <v>2008</v>
      </c>
      <c r="B1985" t="s">
        <v>33</v>
      </c>
      <c r="C1985" t="s">
        <v>148</v>
      </c>
      <c r="D1985">
        <v>32</v>
      </c>
      <c r="E1985" t="s">
        <v>328</v>
      </c>
    </row>
    <row r="1986" spans="1:5" x14ac:dyDescent="0.35">
      <c r="A1986">
        <v>2008</v>
      </c>
      <c r="B1986" t="s">
        <v>38</v>
      </c>
      <c r="C1986" t="s">
        <v>156</v>
      </c>
      <c r="D1986">
        <v>337</v>
      </c>
      <c r="E1986" t="s">
        <v>458</v>
      </c>
    </row>
    <row r="1987" spans="1:5" x14ac:dyDescent="0.35">
      <c r="A1987">
        <v>2008</v>
      </c>
      <c r="B1987" t="s">
        <v>34</v>
      </c>
      <c r="C1987" t="s">
        <v>152</v>
      </c>
      <c r="D1987">
        <v>74</v>
      </c>
      <c r="E1987" t="s">
        <v>458</v>
      </c>
    </row>
    <row r="1988" spans="1:5" x14ac:dyDescent="0.35">
      <c r="A1988">
        <v>2008</v>
      </c>
      <c r="B1988" t="s">
        <v>38</v>
      </c>
      <c r="C1988" t="s">
        <v>156</v>
      </c>
      <c r="D1988">
        <v>938</v>
      </c>
      <c r="E1988" t="s">
        <v>328</v>
      </c>
    </row>
    <row r="1989" spans="1:5" x14ac:dyDescent="0.35">
      <c r="A1989">
        <v>2008</v>
      </c>
      <c r="B1989" t="s">
        <v>36</v>
      </c>
      <c r="C1989" t="s">
        <v>165</v>
      </c>
      <c r="D1989">
        <v>11</v>
      </c>
      <c r="E1989" t="s">
        <v>328</v>
      </c>
    </row>
    <row r="1990" spans="1:5" x14ac:dyDescent="0.35">
      <c r="A1990">
        <v>2008</v>
      </c>
      <c r="B1990" t="s">
        <v>34</v>
      </c>
      <c r="C1990" t="s">
        <v>18</v>
      </c>
      <c r="D1990">
        <v>409</v>
      </c>
      <c r="E1990" t="s">
        <v>328</v>
      </c>
    </row>
    <row r="1991" spans="1:5" x14ac:dyDescent="0.35">
      <c r="A1991">
        <v>2008</v>
      </c>
      <c r="B1991" t="s">
        <v>33</v>
      </c>
      <c r="C1991" t="s">
        <v>148</v>
      </c>
      <c r="D1991">
        <v>7</v>
      </c>
      <c r="E1991" t="s">
        <v>458</v>
      </c>
    </row>
    <row r="1992" spans="1:5" x14ac:dyDescent="0.35">
      <c r="A1992">
        <v>2008</v>
      </c>
      <c r="B1992" t="s">
        <v>36</v>
      </c>
      <c r="C1992" t="s">
        <v>165</v>
      </c>
      <c r="D1992">
        <v>12</v>
      </c>
      <c r="E1992" t="s">
        <v>458</v>
      </c>
    </row>
    <row r="1993" spans="1:5" x14ac:dyDescent="0.35">
      <c r="A1993">
        <v>2008</v>
      </c>
      <c r="B1993" t="s">
        <v>36</v>
      </c>
      <c r="C1993" t="s">
        <v>164</v>
      </c>
      <c r="D1993">
        <v>14</v>
      </c>
      <c r="E1993" t="s">
        <v>328</v>
      </c>
    </row>
    <row r="1994" spans="1:5" x14ac:dyDescent="0.35">
      <c r="A1994">
        <v>2008</v>
      </c>
      <c r="B1994" t="s">
        <v>36</v>
      </c>
      <c r="C1994" t="s">
        <v>164</v>
      </c>
      <c r="D1994">
        <v>16</v>
      </c>
      <c r="E1994" t="s">
        <v>458</v>
      </c>
    </row>
    <row r="1995" spans="1:5" x14ac:dyDescent="0.35">
      <c r="A1995">
        <v>2008</v>
      </c>
      <c r="B1995" t="s">
        <v>36</v>
      </c>
      <c r="C1995" t="s">
        <v>163</v>
      </c>
      <c r="D1995">
        <v>6</v>
      </c>
      <c r="E1995" t="s">
        <v>328</v>
      </c>
    </row>
    <row r="1996" spans="1:5" x14ac:dyDescent="0.35">
      <c r="A1996">
        <v>2008</v>
      </c>
      <c r="B1996" t="s">
        <v>36</v>
      </c>
      <c r="C1996" t="s">
        <v>163</v>
      </c>
      <c r="D1996">
        <v>8</v>
      </c>
      <c r="E1996" t="s">
        <v>458</v>
      </c>
    </row>
    <row r="1997" spans="1:5" x14ac:dyDescent="0.35">
      <c r="A1997">
        <v>2008</v>
      </c>
      <c r="B1997" t="s">
        <v>33</v>
      </c>
      <c r="C1997" t="s">
        <v>162</v>
      </c>
      <c r="D1997">
        <v>4</v>
      </c>
      <c r="E1997" t="s">
        <v>328</v>
      </c>
    </row>
    <row r="1998" spans="1:5" x14ac:dyDescent="0.35">
      <c r="A1998">
        <v>2008</v>
      </c>
      <c r="B1998" t="s">
        <v>34</v>
      </c>
      <c r="C1998" t="s">
        <v>18</v>
      </c>
      <c r="D1998">
        <v>280</v>
      </c>
      <c r="E1998" t="s">
        <v>458</v>
      </c>
    </row>
    <row r="1999" spans="1:5" x14ac:dyDescent="0.35">
      <c r="A1999">
        <v>2008</v>
      </c>
      <c r="B1999" t="s">
        <v>33</v>
      </c>
      <c r="C1999" t="s">
        <v>162</v>
      </c>
      <c r="D1999">
        <v>3</v>
      </c>
      <c r="E1999" t="s">
        <v>458</v>
      </c>
    </row>
    <row r="2000" spans="1:5" x14ac:dyDescent="0.35">
      <c r="A2000">
        <v>2008</v>
      </c>
      <c r="B2000" t="s">
        <v>35</v>
      </c>
      <c r="C2000" t="s">
        <v>161</v>
      </c>
      <c r="D2000">
        <v>68</v>
      </c>
      <c r="E2000" t="s">
        <v>458</v>
      </c>
    </row>
    <row r="2001" spans="1:5" x14ac:dyDescent="0.35">
      <c r="A2001">
        <v>2008</v>
      </c>
      <c r="B2001" t="s">
        <v>35</v>
      </c>
      <c r="C2001" t="s">
        <v>160</v>
      </c>
      <c r="D2001">
        <v>166</v>
      </c>
      <c r="E2001" t="s">
        <v>328</v>
      </c>
    </row>
    <row r="2002" spans="1:5" x14ac:dyDescent="0.35">
      <c r="A2002">
        <v>2008</v>
      </c>
      <c r="B2002" t="s">
        <v>35</v>
      </c>
      <c r="C2002" t="s">
        <v>160</v>
      </c>
      <c r="D2002">
        <v>50</v>
      </c>
      <c r="E2002" t="s">
        <v>458</v>
      </c>
    </row>
    <row r="2003" spans="1:5" x14ac:dyDescent="0.35">
      <c r="A2003">
        <v>2008</v>
      </c>
      <c r="B2003" t="s">
        <v>35</v>
      </c>
      <c r="C2003" t="s">
        <v>158</v>
      </c>
      <c r="D2003">
        <v>71</v>
      </c>
      <c r="E2003" t="s">
        <v>328</v>
      </c>
    </row>
    <row r="2004" spans="1:5" x14ac:dyDescent="0.35">
      <c r="A2004">
        <v>2008</v>
      </c>
      <c r="B2004" t="s">
        <v>35</v>
      </c>
      <c r="C2004" t="s">
        <v>158</v>
      </c>
      <c r="D2004">
        <v>87</v>
      </c>
      <c r="E2004" t="s">
        <v>458</v>
      </c>
    </row>
    <row r="2005" spans="1:5" x14ac:dyDescent="0.35">
      <c r="A2005">
        <v>2008</v>
      </c>
      <c r="B2005" t="s">
        <v>35</v>
      </c>
      <c r="C2005" t="s">
        <v>157</v>
      </c>
      <c r="D2005">
        <v>383</v>
      </c>
      <c r="E2005" t="s">
        <v>328</v>
      </c>
    </row>
    <row r="2006" spans="1:5" x14ac:dyDescent="0.35">
      <c r="A2006">
        <v>2008</v>
      </c>
      <c r="B2006" t="s">
        <v>35</v>
      </c>
      <c r="C2006" t="s">
        <v>157</v>
      </c>
      <c r="D2006">
        <v>115</v>
      </c>
      <c r="E2006" t="s">
        <v>458</v>
      </c>
    </row>
    <row r="2007" spans="1:5" x14ac:dyDescent="0.35">
      <c r="A2007">
        <v>2008</v>
      </c>
      <c r="B2007" t="s">
        <v>35</v>
      </c>
      <c r="C2007" t="s">
        <v>161</v>
      </c>
      <c r="D2007">
        <v>170</v>
      </c>
      <c r="E2007" t="s">
        <v>328</v>
      </c>
    </row>
    <row r="2008" spans="1:5" x14ac:dyDescent="0.35">
      <c r="A2008">
        <v>2008</v>
      </c>
      <c r="B2008" t="s">
        <v>36</v>
      </c>
      <c r="C2008" t="s">
        <v>147</v>
      </c>
      <c r="D2008">
        <v>1724</v>
      </c>
      <c r="E2008" t="s">
        <v>328</v>
      </c>
    </row>
    <row r="2009" spans="1:5" x14ac:dyDescent="0.35">
      <c r="A2009">
        <v>2008</v>
      </c>
      <c r="B2009" t="s">
        <v>34</v>
      </c>
      <c r="C2009" t="s">
        <v>121</v>
      </c>
      <c r="D2009">
        <v>3</v>
      </c>
      <c r="E2009" t="s">
        <v>458</v>
      </c>
    </row>
    <row r="2010" spans="1:5" x14ac:dyDescent="0.35">
      <c r="A2010">
        <v>2008</v>
      </c>
      <c r="B2010" t="s">
        <v>37</v>
      </c>
      <c r="C2010" t="s">
        <v>146</v>
      </c>
      <c r="D2010">
        <v>26</v>
      </c>
      <c r="E2010" t="s">
        <v>328</v>
      </c>
    </row>
    <row r="2011" spans="1:5" x14ac:dyDescent="0.35">
      <c r="A2011">
        <v>2008</v>
      </c>
      <c r="B2011" t="s">
        <v>33</v>
      </c>
      <c r="C2011" t="s">
        <v>132</v>
      </c>
      <c r="D2011">
        <v>7</v>
      </c>
      <c r="E2011" t="s">
        <v>458</v>
      </c>
    </row>
    <row r="2012" spans="1:5" x14ac:dyDescent="0.35">
      <c r="A2012">
        <v>2008</v>
      </c>
      <c r="B2012" t="s">
        <v>34</v>
      </c>
      <c r="C2012" t="s">
        <v>131</v>
      </c>
      <c r="D2012">
        <v>41</v>
      </c>
      <c r="E2012" t="s">
        <v>328</v>
      </c>
    </row>
    <row r="2013" spans="1:5" x14ac:dyDescent="0.35">
      <c r="A2013">
        <v>2008</v>
      </c>
      <c r="B2013" t="s">
        <v>34</v>
      </c>
      <c r="C2013" t="s">
        <v>131</v>
      </c>
      <c r="D2013">
        <v>11</v>
      </c>
      <c r="E2013" t="s">
        <v>458</v>
      </c>
    </row>
    <row r="2014" spans="1:5" x14ac:dyDescent="0.35">
      <c r="A2014">
        <v>2008</v>
      </c>
      <c r="B2014" t="s">
        <v>33</v>
      </c>
      <c r="C2014" t="s">
        <v>130</v>
      </c>
      <c r="E2014" t="s">
        <v>328</v>
      </c>
    </row>
    <row r="2015" spans="1:5" x14ac:dyDescent="0.35">
      <c r="A2015">
        <v>2008</v>
      </c>
      <c r="B2015" t="s">
        <v>33</v>
      </c>
      <c r="C2015" t="s">
        <v>130</v>
      </c>
      <c r="E2015" t="s">
        <v>458</v>
      </c>
    </row>
    <row r="2016" spans="1:5" x14ac:dyDescent="0.35">
      <c r="A2016">
        <v>2008</v>
      </c>
      <c r="B2016" t="s">
        <v>35</v>
      </c>
      <c r="C2016" t="s">
        <v>127</v>
      </c>
      <c r="D2016">
        <v>56</v>
      </c>
      <c r="E2016" t="s">
        <v>328</v>
      </c>
    </row>
    <row r="2017" spans="1:5" x14ac:dyDescent="0.35">
      <c r="A2017">
        <v>2008</v>
      </c>
      <c r="B2017" t="s">
        <v>35</v>
      </c>
      <c r="C2017" t="s">
        <v>127</v>
      </c>
      <c r="D2017">
        <v>13</v>
      </c>
      <c r="E2017" t="s">
        <v>458</v>
      </c>
    </row>
    <row r="2018" spans="1:5" x14ac:dyDescent="0.35">
      <c r="A2018">
        <v>2008</v>
      </c>
      <c r="B2018" t="s">
        <v>33</v>
      </c>
      <c r="C2018" t="s">
        <v>132</v>
      </c>
      <c r="D2018">
        <v>26</v>
      </c>
      <c r="E2018" t="s">
        <v>328</v>
      </c>
    </row>
    <row r="2019" spans="1:5" x14ac:dyDescent="0.35">
      <c r="A2019">
        <v>2008</v>
      </c>
      <c r="B2019" t="s">
        <v>33</v>
      </c>
      <c r="C2019" t="s">
        <v>125</v>
      </c>
      <c r="D2019">
        <v>16</v>
      </c>
      <c r="E2019" t="s">
        <v>328</v>
      </c>
    </row>
    <row r="2020" spans="1:5" x14ac:dyDescent="0.35">
      <c r="A2020">
        <v>2008</v>
      </c>
      <c r="B2020" t="s">
        <v>34</v>
      </c>
      <c r="C2020" t="s">
        <v>124</v>
      </c>
      <c r="D2020">
        <v>84</v>
      </c>
      <c r="E2020" t="s">
        <v>328</v>
      </c>
    </row>
    <row r="2021" spans="1:5" x14ac:dyDescent="0.35">
      <c r="A2021">
        <v>2008</v>
      </c>
      <c r="B2021" t="s">
        <v>34</v>
      </c>
      <c r="C2021" t="s">
        <v>124</v>
      </c>
      <c r="D2021">
        <v>24</v>
      </c>
      <c r="E2021" t="s">
        <v>458</v>
      </c>
    </row>
    <row r="2022" spans="1:5" x14ac:dyDescent="0.35">
      <c r="A2022">
        <v>2008</v>
      </c>
      <c r="B2022" t="s">
        <v>35</v>
      </c>
      <c r="C2022" t="s">
        <v>123</v>
      </c>
      <c r="D2022">
        <v>16</v>
      </c>
      <c r="E2022" t="s">
        <v>328</v>
      </c>
    </row>
    <row r="2023" spans="1:5" x14ac:dyDescent="0.35">
      <c r="A2023">
        <v>2008</v>
      </c>
      <c r="B2023" t="s">
        <v>35</v>
      </c>
      <c r="C2023" t="s">
        <v>123</v>
      </c>
      <c r="D2023">
        <v>7</v>
      </c>
      <c r="E2023" t="s">
        <v>458</v>
      </c>
    </row>
    <row r="2024" spans="1:5" x14ac:dyDescent="0.35">
      <c r="A2024">
        <v>2008</v>
      </c>
      <c r="B2024" t="s">
        <v>34</v>
      </c>
      <c r="C2024" t="s">
        <v>122</v>
      </c>
      <c r="D2024">
        <v>15</v>
      </c>
      <c r="E2024" t="s">
        <v>328</v>
      </c>
    </row>
    <row r="2025" spans="1:5" x14ac:dyDescent="0.35">
      <c r="A2025">
        <v>2008</v>
      </c>
      <c r="B2025" t="s">
        <v>34</v>
      </c>
      <c r="C2025" t="s">
        <v>121</v>
      </c>
      <c r="D2025">
        <v>7</v>
      </c>
      <c r="E2025" t="s">
        <v>328</v>
      </c>
    </row>
    <row r="2026" spans="1:5" x14ac:dyDescent="0.35">
      <c r="A2026">
        <v>2008</v>
      </c>
      <c r="B2026" t="s">
        <v>37</v>
      </c>
      <c r="C2026" t="s">
        <v>166</v>
      </c>
      <c r="D2026">
        <v>12</v>
      </c>
      <c r="E2026" t="s">
        <v>458</v>
      </c>
    </row>
    <row r="2027" spans="1:5" x14ac:dyDescent="0.35">
      <c r="A2027">
        <v>2008</v>
      </c>
      <c r="B2027" t="s">
        <v>33</v>
      </c>
      <c r="C2027" t="s">
        <v>125</v>
      </c>
      <c r="D2027">
        <v>10</v>
      </c>
      <c r="E2027" t="s">
        <v>458</v>
      </c>
    </row>
    <row r="2028" spans="1:5" x14ac:dyDescent="0.35">
      <c r="A2028">
        <v>2008</v>
      </c>
      <c r="B2028" t="s">
        <v>36</v>
      </c>
      <c r="C2028" t="s">
        <v>147</v>
      </c>
      <c r="D2028">
        <v>533</v>
      </c>
      <c r="E2028" t="s">
        <v>458</v>
      </c>
    </row>
    <row r="2029" spans="1:5" x14ac:dyDescent="0.35">
      <c r="A2029">
        <v>2008</v>
      </c>
      <c r="B2029" t="s">
        <v>37</v>
      </c>
      <c r="C2029" t="s">
        <v>134</v>
      </c>
      <c r="D2029">
        <v>11</v>
      </c>
      <c r="E2029" t="s">
        <v>458</v>
      </c>
    </row>
    <row r="2030" spans="1:5" x14ac:dyDescent="0.35">
      <c r="A2030">
        <v>2008</v>
      </c>
      <c r="B2030" t="s">
        <v>33</v>
      </c>
      <c r="C2030" t="s">
        <v>135</v>
      </c>
      <c r="E2030" t="s">
        <v>458</v>
      </c>
    </row>
    <row r="2031" spans="1:5" x14ac:dyDescent="0.35">
      <c r="A2031">
        <v>2008</v>
      </c>
      <c r="B2031" t="s">
        <v>37</v>
      </c>
      <c r="C2031" t="s">
        <v>146</v>
      </c>
      <c r="D2031">
        <v>13</v>
      </c>
      <c r="E2031" t="s">
        <v>458</v>
      </c>
    </row>
    <row r="2032" spans="1:5" x14ac:dyDescent="0.35">
      <c r="A2032">
        <v>2008</v>
      </c>
      <c r="B2032" t="s">
        <v>35</v>
      </c>
      <c r="C2032" t="s">
        <v>145</v>
      </c>
      <c r="D2032">
        <v>64</v>
      </c>
      <c r="E2032" t="s">
        <v>328</v>
      </c>
    </row>
    <row r="2033" spans="1:5" x14ac:dyDescent="0.35">
      <c r="A2033">
        <v>2008</v>
      </c>
      <c r="B2033" t="s">
        <v>35</v>
      </c>
      <c r="C2033" t="s">
        <v>145</v>
      </c>
      <c r="D2033">
        <v>29</v>
      </c>
      <c r="E2033" t="s">
        <v>458</v>
      </c>
    </row>
    <row r="2034" spans="1:5" x14ac:dyDescent="0.35">
      <c r="A2034">
        <v>2008</v>
      </c>
      <c r="B2034" t="s">
        <v>34</v>
      </c>
      <c r="C2034" t="s">
        <v>144</v>
      </c>
      <c r="D2034">
        <v>38</v>
      </c>
      <c r="E2034" t="s">
        <v>328</v>
      </c>
    </row>
    <row r="2035" spans="1:5" x14ac:dyDescent="0.35">
      <c r="A2035">
        <v>2008</v>
      </c>
      <c r="B2035" t="s">
        <v>34</v>
      </c>
      <c r="C2035" t="s">
        <v>144</v>
      </c>
      <c r="D2035">
        <v>8</v>
      </c>
      <c r="E2035" t="s">
        <v>458</v>
      </c>
    </row>
    <row r="2036" spans="1:5" x14ac:dyDescent="0.35">
      <c r="A2036">
        <v>2008</v>
      </c>
      <c r="B2036" t="s">
        <v>33</v>
      </c>
      <c r="C2036" t="s">
        <v>141</v>
      </c>
      <c r="D2036">
        <v>30</v>
      </c>
      <c r="E2036" t="s">
        <v>328</v>
      </c>
    </row>
    <row r="2037" spans="1:5" x14ac:dyDescent="0.35">
      <c r="A2037">
        <v>2008</v>
      </c>
      <c r="B2037" t="s">
        <v>33</v>
      </c>
      <c r="C2037" t="s">
        <v>141</v>
      </c>
      <c r="D2037">
        <v>31</v>
      </c>
      <c r="E2037" t="s">
        <v>458</v>
      </c>
    </row>
    <row r="2038" spans="1:5" x14ac:dyDescent="0.35">
      <c r="A2038">
        <v>2008</v>
      </c>
      <c r="B2038" t="s">
        <v>37</v>
      </c>
      <c r="C2038" t="s">
        <v>134</v>
      </c>
      <c r="D2038">
        <v>4</v>
      </c>
      <c r="E2038" t="s">
        <v>328</v>
      </c>
    </row>
    <row r="2039" spans="1:5" x14ac:dyDescent="0.35">
      <c r="A2039">
        <v>2008</v>
      </c>
      <c r="B2039" t="s">
        <v>34</v>
      </c>
      <c r="C2039" t="s">
        <v>139</v>
      </c>
      <c r="D2039">
        <v>40</v>
      </c>
      <c r="E2039" t="s">
        <v>328</v>
      </c>
    </row>
    <row r="2040" spans="1:5" x14ac:dyDescent="0.35">
      <c r="A2040">
        <v>2008</v>
      </c>
      <c r="B2040" t="s">
        <v>35</v>
      </c>
      <c r="C2040" t="s">
        <v>138</v>
      </c>
      <c r="D2040">
        <v>36</v>
      </c>
      <c r="E2040" t="s">
        <v>328</v>
      </c>
    </row>
    <row r="2041" spans="1:5" x14ac:dyDescent="0.35">
      <c r="A2041">
        <v>2008</v>
      </c>
      <c r="B2041" t="s">
        <v>35</v>
      </c>
      <c r="C2041" t="s">
        <v>138</v>
      </c>
      <c r="D2041">
        <v>9</v>
      </c>
      <c r="E2041" t="s">
        <v>458</v>
      </c>
    </row>
    <row r="2042" spans="1:5" x14ac:dyDescent="0.35">
      <c r="A2042">
        <v>2008</v>
      </c>
      <c r="B2042" t="s">
        <v>37</v>
      </c>
      <c r="C2042" t="s">
        <v>137</v>
      </c>
      <c r="D2042">
        <v>8</v>
      </c>
      <c r="E2042" t="s">
        <v>328</v>
      </c>
    </row>
    <row r="2043" spans="1:5" x14ac:dyDescent="0.35">
      <c r="A2043">
        <v>2008</v>
      </c>
      <c r="B2043" t="s">
        <v>37</v>
      </c>
      <c r="C2043" t="s">
        <v>137</v>
      </c>
      <c r="D2043">
        <v>56</v>
      </c>
      <c r="E2043" t="s">
        <v>458</v>
      </c>
    </row>
    <row r="2044" spans="1:5" x14ac:dyDescent="0.35">
      <c r="A2044">
        <v>2008</v>
      </c>
      <c r="B2044" t="s">
        <v>36</v>
      </c>
      <c r="C2044" t="s">
        <v>14</v>
      </c>
      <c r="D2044">
        <v>169732</v>
      </c>
      <c r="E2044" t="s">
        <v>328</v>
      </c>
    </row>
    <row r="2045" spans="1:5" x14ac:dyDescent="0.35">
      <c r="A2045">
        <v>2008</v>
      </c>
      <c r="B2045" t="s">
        <v>36</v>
      </c>
      <c r="C2045" t="s">
        <v>14</v>
      </c>
      <c r="D2045">
        <v>77531</v>
      </c>
      <c r="E2045" t="s">
        <v>458</v>
      </c>
    </row>
    <row r="2046" spans="1:5" x14ac:dyDescent="0.35">
      <c r="A2046">
        <v>2008</v>
      </c>
      <c r="B2046" t="s">
        <v>33</v>
      </c>
      <c r="C2046" t="s">
        <v>135</v>
      </c>
      <c r="E2046" t="s">
        <v>328</v>
      </c>
    </row>
    <row r="2047" spans="1:5" x14ac:dyDescent="0.35">
      <c r="A2047">
        <v>2008</v>
      </c>
      <c r="B2047" t="s">
        <v>34</v>
      </c>
      <c r="C2047" t="s">
        <v>139</v>
      </c>
      <c r="D2047">
        <v>10</v>
      </c>
      <c r="E2047" t="s">
        <v>458</v>
      </c>
    </row>
    <row r="2048" spans="1:5" x14ac:dyDescent="0.35">
      <c r="A2048">
        <v>2008</v>
      </c>
      <c r="B2048" t="s">
        <v>37</v>
      </c>
      <c r="C2048" t="s">
        <v>166</v>
      </c>
      <c r="D2048">
        <v>8</v>
      </c>
      <c r="E2048" t="s">
        <v>328</v>
      </c>
    </row>
    <row r="2049" spans="1:5" x14ac:dyDescent="0.35">
      <c r="A2049">
        <v>2008</v>
      </c>
      <c r="B2049" t="s">
        <v>33</v>
      </c>
      <c r="C2049" t="s">
        <v>204</v>
      </c>
      <c r="D2049">
        <v>40</v>
      </c>
      <c r="E2049" t="s">
        <v>328</v>
      </c>
    </row>
    <row r="2050" spans="1:5" x14ac:dyDescent="0.35">
      <c r="A2050">
        <v>2008</v>
      </c>
      <c r="B2050" t="s">
        <v>34</v>
      </c>
      <c r="C2050" t="s">
        <v>167</v>
      </c>
      <c r="D2050">
        <v>21</v>
      </c>
      <c r="E2050" t="s">
        <v>328</v>
      </c>
    </row>
    <row r="2051" spans="1:5" x14ac:dyDescent="0.35">
      <c r="A2051">
        <v>2008</v>
      </c>
      <c r="B2051" t="s">
        <v>35</v>
      </c>
      <c r="C2051" t="s">
        <v>196</v>
      </c>
      <c r="D2051">
        <v>62</v>
      </c>
      <c r="E2051" t="s">
        <v>458</v>
      </c>
    </row>
    <row r="2052" spans="1:5" x14ac:dyDescent="0.35">
      <c r="A2052">
        <v>2008</v>
      </c>
      <c r="B2052" t="s">
        <v>33</v>
      </c>
      <c r="C2052" t="s">
        <v>195</v>
      </c>
      <c r="D2052">
        <v>18</v>
      </c>
      <c r="E2052" t="s">
        <v>328</v>
      </c>
    </row>
    <row r="2053" spans="1:5" x14ac:dyDescent="0.35">
      <c r="A2053">
        <v>2008</v>
      </c>
      <c r="B2053" t="s">
        <v>33</v>
      </c>
      <c r="C2053" t="s">
        <v>195</v>
      </c>
      <c r="D2053">
        <v>10</v>
      </c>
      <c r="E2053" t="s">
        <v>458</v>
      </c>
    </row>
    <row r="2054" spans="1:5" x14ac:dyDescent="0.35">
      <c r="A2054">
        <v>2008</v>
      </c>
      <c r="B2054" t="s">
        <v>36</v>
      </c>
      <c r="C2054" t="s">
        <v>372</v>
      </c>
      <c r="D2054">
        <v>5</v>
      </c>
      <c r="E2054" t="s">
        <v>328</v>
      </c>
    </row>
    <row r="2055" spans="1:5" x14ac:dyDescent="0.35">
      <c r="A2055">
        <v>2008</v>
      </c>
      <c r="B2055" t="s">
        <v>36</v>
      </c>
      <c r="C2055" t="s">
        <v>372</v>
      </c>
      <c r="D2055">
        <v>5</v>
      </c>
      <c r="E2055" t="s">
        <v>458</v>
      </c>
    </row>
    <row r="2056" spans="1:5" x14ac:dyDescent="0.35">
      <c r="A2056">
        <v>2008</v>
      </c>
      <c r="B2056" t="s">
        <v>34</v>
      </c>
      <c r="C2056" t="s">
        <v>193</v>
      </c>
      <c r="D2056">
        <v>150</v>
      </c>
      <c r="E2056" t="s">
        <v>328</v>
      </c>
    </row>
    <row r="2057" spans="1:5" x14ac:dyDescent="0.35">
      <c r="A2057">
        <v>2008</v>
      </c>
      <c r="B2057" t="s">
        <v>34</v>
      </c>
      <c r="C2057" t="s">
        <v>193</v>
      </c>
      <c r="D2057">
        <v>33</v>
      </c>
      <c r="E2057" t="s">
        <v>458</v>
      </c>
    </row>
    <row r="2058" spans="1:5" x14ac:dyDescent="0.35">
      <c r="A2058">
        <v>2008</v>
      </c>
      <c r="B2058" t="s">
        <v>35</v>
      </c>
      <c r="C2058" t="s">
        <v>196</v>
      </c>
      <c r="D2058">
        <v>120</v>
      </c>
      <c r="E2058" t="s">
        <v>328</v>
      </c>
    </row>
    <row r="2059" spans="1:5" x14ac:dyDescent="0.35">
      <c r="A2059">
        <v>2008</v>
      </c>
      <c r="B2059" t="s">
        <v>33</v>
      </c>
      <c r="C2059" t="s">
        <v>192</v>
      </c>
      <c r="D2059">
        <v>29</v>
      </c>
      <c r="E2059" t="s">
        <v>328</v>
      </c>
    </row>
    <row r="2060" spans="1:5" x14ac:dyDescent="0.35">
      <c r="A2060">
        <v>2008</v>
      </c>
      <c r="B2060" t="s">
        <v>36</v>
      </c>
      <c r="C2060" t="s">
        <v>191</v>
      </c>
      <c r="D2060">
        <v>205</v>
      </c>
      <c r="E2060" t="s">
        <v>328</v>
      </c>
    </row>
    <row r="2061" spans="1:5" x14ac:dyDescent="0.35">
      <c r="A2061">
        <v>2008</v>
      </c>
      <c r="B2061" t="s">
        <v>36</v>
      </c>
      <c r="C2061" t="s">
        <v>191</v>
      </c>
      <c r="D2061">
        <v>273</v>
      </c>
      <c r="E2061" t="s">
        <v>458</v>
      </c>
    </row>
    <row r="2062" spans="1:5" x14ac:dyDescent="0.35">
      <c r="A2062">
        <v>2008</v>
      </c>
      <c r="B2062" t="s">
        <v>37</v>
      </c>
      <c r="C2062" t="s">
        <v>190</v>
      </c>
      <c r="D2062">
        <v>11</v>
      </c>
      <c r="E2062" t="s">
        <v>328</v>
      </c>
    </row>
    <row r="2063" spans="1:5" x14ac:dyDescent="0.35">
      <c r="A2063">
        <v>2008</v>
      </c>
      <c r="B2063" t="s">
        <v>37</v>
      </c>
      <c r="C2063" t="s">
        <v>190</v>
      </c>
      <c r="D2063">
        <v>27</v>
      </c>
      <c r="E2063" t="s">
        <v>458</v>
      </c>
    </row>
    <row r="2064" spans="1:5" x14ac:dyDescent="0.35">
      <c r="A2064">
        <v>2008</v>
      </c>
      <c r="B2064" t="s">
        <v>33</v>
      </c>
      <c r="C2064" t="s">
        <v>189</v>
      </c>
      <c r="D2064">
        <v>26</v>
      </c>
      <c r="E2064" t="s">
        <v>328</v>
      </c>
    </row>
    <row r="2065" spans="1:5" x14ac:dyDescent="0.35">
      <c r="A2065">
        <v>2008</v>
      </c>
      <c r="B2065" t="s">
        <v>33</v>
      </c>
      <c r="C2065" t="s">
        <v>189</v>
      </c>
      <c r="D2065">
        <v>4</v>
      </c>
      <c r="E2065" t="s">
        <v>458</v>
      </c>
    </row>
    <row r="2066" spans="1:5" x14ac:dyDescent="0.35">
      <c r="A2066">
        <v>2008</v>
      </c>
      <c r="B2066" t="s">
        <v>34</v>
      </c>
      <c r="C2066" t="s">
        <v>188</v>
      </c>
      <c r="D2066">
        <v>82</v>
      </c>
      <c r="E2066" t="s">
        <v>328</v>
      </c>
    </row>
    <row r="2067" spans="1:5" x14ac:dyDescent="0.35">
      <c r="A2067">
        <v>2008</v>
      </c>
      <c r="B2067" t="s">
        <v>33</v>
      </c>
      <c r="C2067" t="s">
        <v>192</v>
      </c>
      <c r="D2067">
        <v>9</v>
      </c>
      <c r="E2067" t="s">
        <v>458</v>
      </c>
    </row>
    <row r="2068" spans="1:5" x14ac:dyDescent="0.35">
      <c r="A2068">
        <v>2008</v>
      </c>
      <c r="B2068" t="s">
        <v>34</v>
      </c>
      <c r="C2068" t="s">
        <v>188</v>
      </c>
      <c r="D2068">
        <v>20</v>
      </c>
      <c r="E2068" t="s">
        <v>458</v>
      </c>
    </row>
    <row r="2069" spans="1:5" x14ac:dyDescent="0.35">
      <c r="A2069">
        <v>2008</v>
      </c>
      <c r="B2069" t="s">
        <v>34</v>
      </c>
      <c r="C2069" t="s">
        <v>197</v>
      </c>
      <c r="D2069">
        <v>5</v>
      </c>
      <c r="E2069" t="s">
        <v>328</v>
      </c>
    </row>
    <row r="2070" spans="1:5" x14ac:dyDescent="0.35">
      <c r="A2070">
        <v>2008</v>
      </c>
      <c r="B2070" t="s">
        <v>35</v>
      </c>
      <c r="C2070" t="s">
        <v>198</v>
      </c>
      <c r="D2070">
        <v>300</v>
      </c>
      <c r="E2070" t="s">
        <v>328</v>
      </c>
    </row>
    <row r="2071" spans="1:5" x14ac:dyDescent="0.35">
      <c r="A2071">
        <v>2008</v>
      </c>
      <c r="B2071" t="s">
        <v>34</v>
      </c>
      <c r="C2071" t="s">
        <v>120</v>
      </c>
      <c r="D2071">
        <v>10</v>
      </c>
      <c r="E2071" t="s">
        <v>328</v>
      </c>
    </row>
    <row r="2072" spans="1:5" x14ac:dyDescent="0.35">
      <c r="A2072">
        <v>2008</v>
      </c>
      <c r="B2072" t="s">
        <v>33</v>
      </c>
      <c r="C2072" t="s">
        <v>204</v>
      </c>
      <c r="D2072">
        <v>3</v>
      </c>
      <c r="E2072" t="s">
        <v>458</v>
      </c>
    </row>
    <row r="2073" spans="1:5" x14ac:dyDescent="0.35">
      <c r="A2073">
        <v>2008</v>
      </c>
      <c r="B2073" t="s">
        <v>33</v>
      </c>
      <c r="C2073" t="s">
        <v>203</v>
      </c>
      <c r="D2073">
        <v>13</v>
      </c>
      <c r="E2073" t="s">
        <v>328</v>
      </c>
    </row>
    <row r="2074" spans="1:5" x14ac:dyDescent="0.35">
      <c r="A2074">
        <v>2008</v>
      </c>
      <c r="B2074" t="s">
        <v>33</v>
      </c>
      <c r="C2074" t="s">
        <v>203</v>
      </c>
      <c r="D2074">
        <v>7</v>
      </c>
      <c r="E2074" t="s">
        <v>458</v>
      </c>
    </row>
    <row r="2075" spans="1:5" x14ac:dyDescent="0.35">
      <c r="A2075">
        <v>2008</v>
      </c>
      <c r="B2075" t="s">
        <v>34</v>
      </c>
      <c r="C2075" t="s">
        <v>202</v>
      </c>
      <c r="D2075">
        <v>34</v>
      </c>
      <c r="E2075" t="s">
        <v>328</v>
      </c>
    </row>
    <row r="2076" spans="1:5" x14ac:dyDescent="0.35">
      <c r="A2076">
        <v>2008</v>
      </c>
      <c r="B2076" t="s">
        <v>34</v>
      </c>
      <c r="C2076" t="s">
        <v>202</v>
      </c>
      <c r="D2076">
        <v>10</v>
      </c>
      <c r="E2076" t="s">
        <v>458</v>
      </c>
    </row>
    <row r="2077" spans="1:5" x14ac:dyDescent="0.35">
      <c r="A2077">
        <v>2008</v>
      </c>
      <c r="B2077" t="s">
        <v>34</v>
      </c>
      <c r="C2077" t="s">
        <v>201</v>
      </c>
      <c r="D2077">
        <v>22</v>
      </c>
      <c r="E2077" t="s">
        <v>328</v>
      </c>
    </row>
    <row r="2078" spans="1:5" x14ac:dyDescent="0.35">
      <c r="A2078">
        <v>2008</v>
      </c>
      <c r="B2078" t="s">
        <v>35</v>
      </c>
      <c r="C2078" t="s">
        <v>198</v>
      </c>
      <c r="D2078">
        <v>179</v>
      </c>
      <c r="E2078" t="s">
        <v>458</v>
      </c>
    </row>
    <row r="2079" spans="1:5" x14ac:dyDescent="0.35">
      <c r="A2079">
        <v>2008</v>
      </c>
      <c r="B2079" t="s">
        <v>34</v>
      </c>
      <c r="C2079" t="s">
        <v>201</v>
      </c>
      <c r="D2079">
        <v>8</v>
      </c>
      <c r="E2079" t="s">
        <v>458</v>
      </c>
    </row>
    <row r="2080" spans="1:5" x14ac:dyDescent="0.35">
      <c r="A2080">
        <v>2008</v>
      </c>
      <c r="B2080" t="s">
        <v>38</v>
      </c>
      <c r="C2080" t="s">
        <v>19</v>
      </c>
      <c r="D2080">
        <v>120</v>
      </c>
      <c r="E2080" t="s">
        <v>458</v>
      </c>
    </row>
    <row r="2081" spans="1:5" x14ac:dyDescent="0.35">
      <c r="A2081">
        <v>2008</v>
      </c>
      <c r="B2081" t="s">
        <v>34</v>
      </c>
      <c r="C2081" t="s">
        <v>200</v>
      </c>
      <c r="D2081">
        <v>47</v>
      </c>
      <c r="E2081" t="s">
        <v>328</v>
      </c>
    </row>
    <row r="2082" spans="1:5" x14ac:dyDescent="0.35">
      <c r="A2082">
        <v>2008</v>
      </c>
      <c r="B2082" t="s">
        <v>34</v>
      </c>
      <c r="C2082" t="s">
        <v>200</v>
      </c>
      <c r="D2082">
        <v>9</v>
      </c>
      <c r="E2082" t="s">
        <v>458</v>
      </c>
    </row>
    <row r="2083" spans="1:5" x14ac:dyDescent="0.35">
      <c r="A2083">
        <v>2008</v>
      </c>
      <c r="B2083" t="s">
        <v>38</v>
      </c>
      <c r="C2083" t="s">
        <v>199</v>
      </c>
      <c r="D2083">
        <v>124</v>
      </c>
      <c r="E2083" t="s">
        <v>328</v>
      </c>
    </row>
    <row r="2084" spans="1:5" x14ac:dyDescent="0.35">
      <c r="A2084">
        <v>2008</v>
      </c>
      <c r="B2084" t="s">
        <v>38</v>
      </c>
      <c r="C2084" t="s">
        <v>199</v>
      </c>
      <c r="D2084">
        <v>49</v>
      </c>
      <c r="E2084" t="s">
        <v>458</v>
      </c>
    </row>
    <row r="2085" spans="1:5" x14ac:dyDescent="0.35">
      <c r="A2085">
        <v>2008</v>
      </c>
      <c r="B2085" t="s">
        <v>39</v>
      </c>
      <c r="C2085" t="s">
        <v>39</v>
      </c>
      <c r="D2085">
        <v>150</v>
      </c>
      <c r="E2085" t="s">
        <v>328</v>
      </c>
    </row>
    <row r="2086" spans="1:5" x14ac:dyDescent="0.35">
      <c r="A2086">
        <v>2008</v>
      </c>
      <c r="B2086" t="s">
        <v>39</v>
      </c>
      <c r="C2086" t="s">
        <v>39</v>
      </c>
      <c r="D2086">
        <v>10</v>
      </c>
      <c r="E2086" t="s">
        <v>458</v>
      </c>
    </row>
    <row r="2087" spans="1:5" x14ac:dyDescent="0.35">
      <c r="A2087">
        <v>2008</v>
      </c>
      <c r="B2087" t="s">
        <v>38</v>
      </c>
      <c r="C2087" t="s">
        <v>19</v>
      </c>
      <c r="D2087">
        <v>292</v>
      </c>
      <c r="E2087" t="s">
        <v>328</v>
      </c>
    </row>
    <row r="2088" spans="1:5" x14ac:dyDescent="0.35">
      <c r="A2088">
        <v>2008</v>
      </c>
      <c r="B2088" t="s">
        <v>34</v>
      </c>
      <c r="C2088" t="s">
        <v>167</v>
      </c>
      <c r="D2088">
        <v>11</v>
      </c>
      <c r="E2088" t="s">
        <v>458</v>
      </c>
    </row>
    <row r="2089" spans="1:5" x14ac:dyDescent="0.35">
      <c r="A2089">
        <v>2008</v>
      </c>
      <c r="B2089" t="s">
        <v>33</v>
      </c>
      <c r="C2089" t="s">
        <v>187</v>
      </c>
      <c r="D2089">
        <v>29</v>
      </c>
      <c r="E2089" t="s">
        <v>328</v>
      </c>
    </row>
    <row r="2090" spans="1:5" x14ac:dyDescent="0.35">
      <c r="A2090">
        <v>2008</v>
      </c>
      <c r="B2090" t="s">
        <v>34</v>
      </c>
      <c r="C2090" t="s">
        <v>186</v>
      </c>
      <c r="D2090">
        <v>7</v>
      </c>
      <c r="E2090" t="s">
        <v>328</v>
      </c>
    </row>
    <row r="2091" spans="1:5" x14ac:dyDescent="0.35">
      <c r="A2091">
        <v>2008</v>
      </c>
      <c r="B2091" t="s">
        <v>33</v>
      </c>
      <c r="C2091" t="s">
        <v>176</v>
      </c>
      <c r="E2091" t="s">
        <v>458</v>
      </c>
    </row>
    <row r="2092" spans="1:5" x14ac:dyDescent="0.35">
      <c r="A2092">
        <v>2008</v>
      </c>
      <c r="B2092" t="s">
        <v>33</v>
      </c>
      <c r="C2092" t="s">
        <v>175</v>
      </c>
      <c r="D2092">
        <v>41</v>
      </c>
      <c r="E2092" t="s">
        <v>328</v>
      </c>
    </row>
    <row r="2093" spans="1:5" x14ac:dyDescent="0.35">
      <c r="A2093">
        <v>2008</v>
      </c>
      <c r="B2093" t="s">
        <v>33</v>
      </c>
      <c r="C2093" t="s">
        <v>175</v>
      </c>
      <c r="D2093">
        <v>18</v>
      </c>
      <c r="E2093" t="s">
        <v>458</v>
      </c>
    </row>
    <row r="2094" spans="1:5" x14ac:dyDescent="0.35">
      <c r="A2094">
        <v>2008</v>
      </c>
      <c r="B2094" t="s">
        <v>33</v>
      </c>
      <c r="C2094" t="s">
        <v>174</v>
      </c>
      <c r="E2094" t="s">
        <v>328</v>
      </c>
    </row>
    <row r="2095" spans="1:5" x14ac:dyDescent="0.35">
      <c r="A2095">
        <v>2008</v>
      </c>
      <c r="B2095" t="s">
        <v>33</v>
      </c>
      <c r="C2095" t="s">
        <v>174</v>
      </c>
      <c r="E2095" t="s">
        <v>458</v>
      </c>
    </row>
    <row r="2096" spans="1:5" x14ac:dyDescent="0.35">
      <c r="A2096">
        <v>2008</v>
      </c>
      <c r="B2096" t="s">
        <v>35</v>
      </c>
      <c r="C2096" t="s">
        <v>173</v>
      </c>
      <c r="D2096">
        <v>4</v>
      </c>
      <c r="E2096" t="s">
        <v>328</v>
      </c>
    </row>
    <row r="2097" spans="1:5" x14ac:dyDescent="0.35">
      <c r="A2097">
        <v>2008</v>
      </c>
      <c r="B2097" t="s">
        <v>35</v>
      </c>
      <c r="C2097" t="s">
        <v>172</v>
      </c>
      <c r="D2097">
        <v>29</v>
      </c>
      <c r="E2097" t="s">
        <v>328</v>
      </c>
    </row>
    <row r="2098" spans="1:5" x14ac:dyDescent="0.35">
      <c r="A2098">
        <v>2008</v>
      </c>
      <c r="B2098" t="s">
        <v>33</v>
      </c>
      <c r="C2098" t="s">
        <v>176</v>
      </c>
      <c r="E2098" t="s">
        <v>328</v>
      </c>
    </row>
    <row r="2099" spans="1:5" x14ac:dyDescent="0.35">
      <c r="A2099">
        <v>2008</v>
      </c>
      <c r="B2099" t="s">
        <v>35</v>
      </c>
      <c r="C2099" t="s">
        <v>172</v>
      </c>
      <c r="D2099">
        <v>6</v>
      </c>
      <c r="E2099" t="s">
        <v>458</v>
      </c>
    </row>
    <row r="2100" spans="1:5" x14ac:dyDescent="0.35">
      <c r="A2100">
        <v>2008</v>
      </c>
      <c r="B2100" t="s">
        <v>34</v>
      </c>
      <c r="C2100" t="s">
        <v>171</v>
      </c>
      <c r="D2100">
        <v>3</v>
      </c>
      <c r="E2100" t="s">
        <v>458</v>
      </c>
    </row>
    <row r="2101" spans="1:5" x14ac:dyDescent="0.35">
      <c r="A2101">
        <v>2008</v>
      </c>
      <c r="B2101" t="s">
        <v>33</v>
      </c>
      <c r="C2101" t="s">
        <v>170</v>
      </c>
      <c r="D2101">
        <v>20</v>
      </c>
      <c r="E2101" t="s">
        <v>328</v>
      </c>
    </row>
    <row r="2102" spans="1:5" x14ac:dyDescent="0.35">
      <c r="A2102">
        <v>2008</v>
      </c>
      <c r="B2102" t="s">
        <v>33</v>
      </c>
      <c r="C2102" t="s">
        <v>170</v>
      </c>
      <c r="D2102">
        <v>7</v>
      </c>
      <c r="E2102" t="s">
        <v>458</v>
      </c>
    </row>
    <row r="2103" spans="1:5" x14ac:dyDescent="0.35">
      <c r="A2103">
        <v>2008</v>
      </c>
      <c r="B2103" t="s">
        <v>35</v>
      </c>
      <c r="C2103" t="s">
        <v>215</v>
      </c>
      <c r="D2103">
        <v>135</v>
      </c>
      <c r="E2103" t="s">
        <v>328</v>
      </c>
    </row>
    <row r="2104" spans="1:5" x14ac:dyDescent="0.35">
      <c r="A2104">
        <v>2008</v>
      </c>
      <c r="B2104" t="s">
        <v>35</v>
      </c>
      <c r="C2104" t="s">
        <v>215</v>
      </c>
      <c r="D2104">
        <v>30</v>
      </c>
      <c r="E2104" t="s">
        <v>458</v>
      </c>
    </row>
    <row r="2105" spans="1:5" x14ac:dyDescent="0.35">
      <c r="A2105">
        <v>2008</v>
      </c>
      <c r="B2105" t="s">
        <v>33</v>
      </c>
      <c r="C2105" t="s">
        <v>168</v>
      </c>
      <c r="D2105">
        <v>67</v>
      </c>
      <c r="E2105" t="s">
        <v>328</v>
      </c>
    </row>
    <row r="2106" spans="1:5" x14ac:dyDescent="0.35">
      <c r="A2106">
        <v>2008</v>
      </c>
      <c r="B2106" t="s">
        <v>33</v>
      </c>
      <c r="C2106" t="s">
        <v>168</v>
      </c>
      <c r="D2106">
        <v>20</v>
      </c>
      <c r="E2106" t="s">
        <v>458</v>
      </c>
    </row>
    <row r="2107" spans="1:5" x14ac:dyDescent="0.35">
      <c r="A2107">
        <v>2008</v>
      </c>
      <c r="B2107" t="s">
        <v>34</v>
      </c>
      <c r="C2107" t="s">
        <v>171</v>
      </c>
      <c r="D2107">
        <v>18</v>
      </c>
      <c r="E2107" t="s">
        <v>328</v>
      </c>
    </row>
    <row r="2108" spans="1:5" x14ac:dyDescent="0.35">
      <c r="A2108">
        <v>2008</v>
      </c>
      <c r="B2108" t="s">
        <v>33</v>
      </c>
      <c r="C2108" t="s">
        <v>187</v>
      </c>
      <c r="D2108">
        <v>12</v>
      </c>
      <c r="E2108" t="s">
        <v>458</v>
      </c>
    </row>
    <row r="2109" spans="1:5" x14ac:dyDescent="0.35">
      <c r="A2109">
        <v>2008</v>
      </c>
      <c r="B2109" t="s">
        <v>35</v>
      </c>
      <c r="C2109" t="s">
        <v>216</v>
      </c>
      <c r="D2109">
        <v>6</v>
      </c>
      <c r="E2109" t="s">
        <v>458</v>
      </c>
    </row>
    <row r="2110" spans="1:5" x14ac:dyDescent="0.35">
      <c r="A2110">
        <v>2008</v>
      </c>
      <c r="B2110" t="s">
        <v>35</v>
      </c>
      <c r="C2110" t="s">
        <v>177</v>
      </c>
      <c r="D2110">
        <v>27</v>
      </c>
      <c r="E2110" t="s">
        <v>458</v>
      </c>
    </row>
    <row r="2111" spans="1:5" x14ac:dyDescent="0.35">
      <c r="A2111">
        <v>2008</v>
      </c>
      <c r="B2111" t="s">
        <v>34</v>
      </c>
      <c r="C2111" t="s">
        <v>186</v>
      </c>
      <c r="D2111">
        <v>3</v>
      </c>
      <c r="E2111" t="s">
        <v>458</v>
      </c>
    </row>
    <row r="2112" spans="1:5" x14ac:dyDescent="0.35">
      <c r="A2112">
        <v>2008</v>
      </c>
      <c r="B2112" t="s">
        <v>34</v>
      </c>
      <c r="C2112" t="s">
        <v>185</v>
      </c>
      <c r="D2112">
        <v>57</v>
      </c>
      <c r="E2112" t="s">
        <v>328</v>
      </c>
    </row>
    <row r="2113" spans="1:5" x14ac:dyDescent="0.35">
      <c r="A2113">
        <v>2008</v>
      </c>
      <c r="B2113" t="s">
        <v>34</v>
      </c>
      <c r="C2113" t="s">
        <v>185</v>
      </c>
      <c r="D2113">
        <v>24</v>
      </c>
      <c r="E2113" t="s">
        <v>458</v>
      </c>
    </row>
    <row r="2114" spans="1:5" x14ac:dyDescent="0.35">
      <c r="A2114">
        <v>2008</v>
      </c>
      <c r="B2114" t="s">
        <v>34</v>
      </c>
      <c r="C2114" t="s">
        <v>184</v>
      </c>
      <c r="D2114">
        <v>37</v>
      </c>
      <c r="E2114" t="s">
        <v>328</v>
      </c>
    </row>
    <row r="2115" spans="1:5" x14ac:dyDescent="0.35">
      <c r="A2115">
        <v>2008</v>
      </c>
      <c r="B2115" t="s">
        <v>34</v>
      </c>
      <c r="C2115" t="s">
        <v>184</v>
      </c>
      <c r="D2115">
        <v>9</v>
      </c>
      <c r="E2115" t="s">
        <v>458</v>
      </c>
    </row>
    <row r="2116" spans="1:5" x14ac:dyDescent="0.35">
      <c r="A2116">
        <v>2008</v>
      </c>
      <c r="B2116" t="s">
        <v>35</v>
      </c>
      <c r="C2116" t="s">
        <v>183</v>
      </c>
      <c r="D2116">
        <v>15</v>
      </c>
      <c r="E2116" t="s">
        <v>328</v>
      </c>
    </row>
    <row r="2117" spans="1:5" x14ac:dyDescent="0.35">
      <c r="A2117">
        <v>2008</v>
      </c>
      <c r="B2117" t="s">
        <v>35</v>
      </c>
      <c r="C2117" t="s">
        <v>183</v>
      </c>
      <c r="D2117">
        <v>5</v>
      </c>
      <c r="E2117" t="s">
        <v>458</v>
      </c>
    </row>
    <row r="2118" spans="1:5" x14ac:dyDescent="0.35">
      <c r="A2118">
        <v>2008</v>
      </c>
      <c r="B2118" t="s">
        <v>35</v>
      </c>
      <c r="C2118" t="s">
        <v>216</v>
      </c>
      <c r="D2118">
        <v>8</v>
      </c>
      <c r="E2118" t="s">
        <v>328</v>
      </c>
    </row>
    <row r="2119" spans="1:5" x14ac:dyDescent="0.35">
      <c r="A2119">
        <v>2008</v>
      </c>
      <c r="B2119" t="s">
        <v>35</v>
      </c>
      <c r="C2119" t="s">
        <v>182</v>
      </c>
      <c r="D2119">
        <v>31</v>
      </c>
      <c r="E2119" t="s">
        <v>328</v>
      </c>
    </row>
    <row r="2120" spans="1:5" x14ac:dyDescent="0.35">
      <c r="A2120">
        <v>2008</v>
      </c>
      <c r="B2120" t="s">
        <v>38</v>
      </c>
      <c r="C2120" t="s">
        <v>180</v>
      </c>
      <c r="D2120">
        <v>10</v>
      </c>
      <c r="E2120" t="s">
        <v>328</v>
      </c>
    </row>
    <row r="2121" spans="1:5" x14ac:dyDescent="0.35">
      <c r="A2121">
        <v>2008</v>
      </c>
      <c r="B2121" t="s">
        <v>38</v>
      </c>
      <c r="C2121" t="s">
        <v>180</v>
      </c>
      <c r="D2121">
        <v>4</v>
      </c>
      <c r="E2121" t="s">
        <v>458</v>
      </c>
    </row>
    <row r="2122" spans="1:5" x14ac:dyDescent="0.35">
      <c r="A2122">
        <v>2008</v>
      </c>
      <c r="B2122" t="s">
        <v>33</v>
      </c>
      <c r="C2122" t="s">
        <v>179</v>
      </c>
      <c r="D2122">
        <v>11</v>
      </c>
      <c r="E2122" t="s">
        <v>328</v>
      </c>
    </row>
    <row r="2123" spans="1:5" x14ac:dyDescent="0.35">
      <c r="A2123">
        <v>2008</v>
      </c>
      <c r="B2123" t="s">
        <v>33</v>
      </c>
      <c r="C2123" t="s">
        <v>179</v>
      </c>
      <c r="D2123">
        <v>4</v>
      </c>
      <c r="E2123" t="s">
        <v>458</v>
      </c>
    </row>
    <row r="2124" spans="1:5" x14ac:dyDescent="0.35">
      <c r="A2124">
        <v>2008</v>
      </c>
      <c r="B2124" t="s">
        <v>34</v>
      </c>
      <c r="C2124" t="s">
        <v>178</v>
      </c>
      <c r="D2124">
        <v>104</v>
      </c>
      <c r="E2124" t="s">
        <v>328</v>
      </c>
    </row>
    <row r="2125" spans="1:5" x14ac:dyDescent="0.35">
      <c r="A2125">
        <v>2008</v>
      </c>
      <c r="B2125" t="s">
        <v>34</v>
      </c>
      <c r="C2125" t="s">
        <v>178</v>
      </c>
      <c r="D2125">
        <v>9</v>
      </c>
      <c r="E2125" t="s">
        <v>458</v>
      </c>
    </row>
    <row r="2126" spans="1:5" x14ac:dyDescent="0.35">
      <c r="A2126">
        <v>2008</v>
      </c>
      <c r="B2126" t="s">
        <v>35</v>
      </c>
      <c r="C2126" t="s">
        <v>177</v>
      </c>
      <c r="D2126">
        <v>67</v>
      </c>
      <c r="E2126" t="s">
        <v>328</v>
      </c>
    </row>
    <row r="2127" spans="1:5" x14ac:dyDescent="0.35">
      <c r="A2127">
        <v>2008</v>
      </c>
      <c r="B2127" t="s">
        <v>35</v>
      </c>
      <c r="C2127" t="s">
        <v>182</v>
      </c>
      <c r="D2127">
        <v>7</v>
      </c>
      <c r="E2127" t="s">
        <v>458</v>
      </c>
    </row>
    <row r="2128" spans="1:5" x14ac:dyDescent="0.35">
      <c r="A2128">
        <v>2008</v>
      </c>
      <c r="B2128" t="s">
        <v>34</v>
      </c>
      <c r="C2128" t="s">
        <v>118</v>
      </c>
      <c r="D2128">
        <v>303</v>
      </c>
      <c r="E2128" t="s">
        <v>328</v>
      </c>
    </row>
    <row r="2129" spans="1:5" x14ac:dyDescent="0.35">
      <c r="A2129">
        <v>2008</v>
      </c>
      <c r="B2129" t="s">
        <v>34</v>
      </c>
      <c r="C2129" t="s">
        <v>122</v>
      </c>
      <c r="D2129">
        <v>5</v>
      </c>
      <c r="E2129" t="s">
        <v>458</v>
      </c>
    </row>
    <row r="2130" spans="1:5" x14ac:dyDescent="0.35">
      <c r="A2130">
        <v>2008</v>
      </c>
      <c r="B2130" t="s">
        <v>33</v>
      </c>
      <c r="C2130" t="s">
        <v>117</v>
      </c>
      <c r="D2130">
        <v>96</v>
      </c>
      <c r="E2130" t="s">
        <v>328</v>
      </c>
    </row>
    <row r="2131" spans="1:5" x14ac:dyDescent="0.35">
      <c r="A2131">
        <v>2008</v>
      </c>
      <c r="B2131" t="s">
        <v>36</v>
      </c>
      <c r="C2131" t="s">
        <v>69</v>
      </c>
      <c r="D2131">
        <v>347</v>
      </c>
      <c r="E2131" t="s">
        <v>458</v>
      </c>
    </row>
    <row r="2132" spans="1:5" x14ac:dyDescent="0.35">
      <c r="A2132">
        <v>2008</v>
      </c>
      <c r="B2132" t="s">
        <v>33</v>
      </c>
      <c r="C2132" t="s">
        <v>68</v>
      </c>
      <c r="D2132">
        <v>54</v>
      </c>
      <c r="E2132" t="s">
        <v>328</v>
      </c>
    </row>
    <row r="2133" spans="1:5" x14ac:dyDescent="0.35">
      <c r="A2133">
        <v>2008</v>
      </c>
      <c r="B2133" t="s">
        <v>33</v>
      </c>
      <c r="C2133" t="s">
        <v>68</v>
      </c>
      <c r="D2133">
        <v>12</v>
      </c>
      <c r="E2133" t="s">
        <v>458</v>
      </c>
    </row>
    <row r="2134" spans="1:5" x14ac:dyDescent="0.35">
      <c r="A2134">
        <v>2008</v>
      </c>
      <c r="B2134" t="s">
        <v>34</v>
      </c>
      <c r="C2134" t="s">
        <v>67</v>
      </c>
      <c r="D2134">
        <v>18</v>
      </c>
      <c r="E2134" t="s">
        <v>328</v>
      </c>
    </row>
    <row r="2135" spans="1:5" x14ac:dyDescent="0.35">
      <c r="A2135">
        <v>2008</v>
      </c>
      <c r="B2135" t="s">
        <v>34</v>
      </c>
      <c r="C2135" t="s">
        <v>67</v>
      </c>
      <c r="D2135">
        <v>22</v>
      </c>
      <c r="E2135" t="s">
        <v>458</v>
      </c>
    </row>
    <row r="2136" spans="1:5" x14ac:dyDescent="0.35">
      <c r="A2136">
        <v>2008</v>
      </c>
      <c r="B2136" t="s">
        <v>33</v>
      </c>
      <c r="C2136" t="s">
        <v>66</v>
      </c>
      <c r="D2136">
        <v>9</v>
      </c>
      <c r="E2136" t="s">
        <v>328</v>
      </c>
    </row>
    <row r="2137" spans="1:5" x14ac:dyDescent="0.35">
      <c r="A2137">
        <v>2008</v>
      </c>
      <c r="B2137" t="s">
        <v>33</v>
      </c>
      <c r="C2137" t="s">
        <v>66</v>
      </c>
      <c r="D2137">
        <v>26</v>
      </c>
      <c r="E2137" t="s">
        <v>458</v>
      </c>
    </row>
    <row r="2138" spans="1:5" x14ac:dyDescent="0.35">
      <c r="A2138">
        <v>2008</v>
      </c>
      <c r="B2138" t="s">
        <v>36</v>
      </c>
      <c r="C2138" t="s">
        <v>69</v>
      </c>
      <c r="D2138">
        <v>955</v>
      </c>
      <c r="E2138" t="s">
        <v>328</v>
      </c>
    </row>
    <row r="2139" spans="1:5" x14ac:dyDescent="0.35">
      <c r="A2139">
        <v>2008</v>
      </c>
      <c r="B2139" t="s">
        <v>34</v>
      </c>
      <c r="C2139" t="s">
        <v>64</v>
      </c>
      <c r="E2139" t="s">
        <v>328</v>
      </c>
    </row>
    <row r="2140" spans="1:5" x14ac:dyDescent="0.35">
      <c r="A2140">
        <v>2008</v>
      </c>
      <c r="B2140" t="s">
        <v>33</v>
      </c>
      <c r="C2140" t="s">
        <v>63</v>
      </c>
      <c r="D2140">
        <v>12</v>
      </c>
      <c r="E2140" t="s">
        <v>328</v>
      </c>
    </row>
    <row r="2141" spans="1:5" x14ac:dyDescent="0.35">
      <c r="A2141">
        <v>2008</v>
      </c>
      <c r="B2141" t="s">
        <v>33</v>
      </c>
      <c r="C2141" t="s">
        <v>63</v>
      </c>
      <c r="D2141">
        <v>6</v>
      </c>
      <c r="E2141" t="s">
        <v>458</v>
      </c>
    </row>
    <row r="2142" spans="1:5" x14ac:dyDescent="0.35">
      <c r="A2142">
        <v>2008</v>
      </c>
      <c r="B2142" t="s">
        <v>35</v>
      </c>
      <c r="C2142" t="s">
        <v>62</v>
      </c>
      <c r="D2142">
        <v>66</v>
      </c>
      <c r="E2142" t="s">
        <v>328</v>
      </c>
    </row>
    <row r="2143" spans="1:5" x14ac:dyDescent="0.35">
      <c r="A2143">
        <v>2008</v>
      </c>
      <c r="B2143" t="s">
        <v>35</v>
      </c>
      <c r="C2143" t="s">
        <v>62</v>
      </c>
      <c r="D2143">
        <v>11</v>
      </c>
      <c r="E2143" t="s">
        <v>458</v>
      </c>
    </row>
    <row r="2144" spans="1:5" x14ac:dyDescent="0.35">
      <c r="A2144">
        <v>2008</v>
      </c>
      <c r="B2144" t="s">
        <v>38</v>
      </c>
      <c r="C2144" t="s">
        <v>21</v>
      </c>
      <c r="D2144">
        <v>3468</v>
      </c>
      <c r="E2144" t="s">
        <v>328</v>
      </c>
    </row>
    <row r="2145" spans="1:5" x14ac:dyDescent="0.35">
      <c r="A2145">
        <v>2008</v>
      </c>
      <c r="B2145" t="s">
        <v>38</v>
      </c>
      <c r="C2145" t="s">
        <v>21</v>
      </c>
      <c r="D2145">
        <v>368</v>
      </c>
      <c r="E2145" t="s">
        <v>458</v>
      </c>
    </row>
    <row r="2146" spans="1:5" x14ac:dyDescent="0.35">
      <c r="A2146">
        <v>2008</v>
      </c>
      <c r="B2146" t="s">
        <v>35</v>
      </c>
      <c r="C2146" t="s">
        <v>60</v>
      </c>
      <c r="D2146">
        <v>14</v>
      </c>
      <c r="E2146" t="s">
        <v>328</v>
      </c>
    </row>
    <row r="2147" spans="1:5" x14ac:dyDescent="0.35">
      <c r="A2147">
        <v>2008</v>
      </c>
      <c r="B2147" t="s">
        <v>34</v>
      </c>
      <c r="C2147" t="s">
        <v>64</v>
      </c>
      <c r="E2147" t="s">
        <v>458</v>
      </c>
    </row>
    <row r="2148" spans="1:5" x14ac:dyDescent="0.35">
      <c r="A2148">
        <v>2008</v>
      </c>
      <c r="B2148" t="s">
        <v>38</v>
      </c>
      <c r="C2148" t="s">
        <v>59</v>
      </c>
      <c r="D2148">
        <v>222</v>
      </c>
      <c r="E2148" t="s">
        <v>328</v>
      </c>
    </row>
    <row r="2149" spans="1:5" x14ac:dyDescent="0.35">
      <c r="A2149">
        <v>2008</v>
      </c>
      <c r="B2149" t="s">
        <v>33</v>
      </c>
      <c r="C2149" t="s">
        <v>71</v>
      </c>
      <c r="D2149">
        <v>7</v>
      </c>
      <c r="E2149" t="s">
        <v>328</v>
      </c>
    </row>
    <row r="2150" spans="1:5" x14ac:dyDescent="0.35">
      <c r="A2150">
        <v>2008</v>
      </c>
      <c r="B2150" t="s">
        <v>38</v>
      </c>
      <c r="C2150" t="s">
        <v>72</v>
      </c>
      <c r="D2150">
        <v>143</v>
      </c>
      <c r="E2150" t="s">
        <v>328</v>
      </c>
    </row>
    <row r="2151" spans="1:5" x14ac:dyDescent="0.35">
      <c r="A2151">
        <v>2008</v>
      </c>
      <c r="B2151" t="s">
        <v>36</v>
      </c>
      <c r="C2151" t="s">
        <v>79</v>
      </c>
      <c r="D2151">
        <v>33</v>
      </c>
      <c r="E2151" t="s">
        <v>328</v>
      </c>
    </row>
    <row r="2152" spans="1:5" x14ac:dyDescent="0.35">
      <c r="A2152">
        <v>2008</v>
      </c>
      <c r="B2152" t="s">
        <v>36</v>
      </c>
      <c r="C2152" t="s">
        <v>79</v>
      </c>
      <c r="D2152">
        <v>32</v>
      </c>
      <c r="E2152" t="s">
        <v>458</v>
      </c>
    </row>
    <row r="2153" spans="1:5" x14ac:dyDescent="0.35">
      <c r="A2153">
        <v>2008</v>
      </c>
      <c r="B2153" t="s">
        <v>35</v>
      </c>
      <c r="C2153" t="s">
        <v>78</v>
      </c>
      <c r="D2153">
        <v>15</v>
      </c>
      <c r="E2153" t="s">
        <v>328</v>
      </c>
    </row>
    <row r="2154" spans="1:5" x14ac:dyDescent="0.35">
      <c r="A2154">
        <v>2008</v>
      </c>
      <c r="B2154" t="s">
        <v>35</v>
      </c>
      <c r="C2154" t="s">
        <v>78</v>
      </c>
      <c r="D2154">
        <v>9</v>
      </c>
      <c r="E2154" t="s">
        <v>458</v>
      </c>
    </row>
    <row r="2155" spans="1:5" x14ac:dyDescent="0.35">
      <c r="A2155">
        <v>2008</v>
      </c>
      <c r="B2155" t="s">
        <v>33</v>
      </c>
      <c r="C2155" t="s">
        <v>77</v>
      </c>
      <c r="D2155">
        <v>33</v>
      </c>
      <c r="E2155" t="s">
        <v>328</v>
      </c>
    </row>
    <row r="2156" spans="1:5" x14ac:dyDescent="0.35">
      <c r="A2156">
        <v>2008</v>
      </c>
      <c r="B2156" t="s">
        <v>33</v>
      </c>
      <c r="C2156" t="s">
        <v>77</v>
      </c>
      <c r="D2156">
        <v>10</v>
      </c>
      <c r="E2156" t="s">
        <v>458</v>
      </c>
    </row>
    <row r="2157" spans="1:5" x14ac:dyDescent="0.35">
      <c r="A2157">
        <v>2008</v>
      </c>
      <c r="B2157" t="s">
        <v>36</v>
      </c>
      <c r="C2157" t="s">
        <v>76</v>
      </c>
      <c r="D2157">
        <v>560</v>
      </c>
      <c r="E2157" t="s">
        <v>328</v>
      </c>
    </row>
    <row r="2158" spans="1:5" x14ac:dyDescent="0.35">
      <c r="A2158">
        <v>2008</v>
      </c>
      <c r="B2158" t="s">
        <v>38</v>
      </c>
      <c r="C2158" t="s">
        <v>72</v>
      </c>
      <c r="D2158">
        <v>68</v>
      </c>
      <c r="E2158" t="s">
        <v>458</v>
      </c>
    </row>
    <row r="2159" spans="1:5" x14ac:dyDescent="0.35">
      <c r="A2159">
        <v>2008</v>
      </c>
      <c r="B2159" t="s">
        <v>36</v>
      </c>
      <c r="C2159" t="s">
        <v>76</v>
      </c>
      <c r="D2159">
        <v>132</v>
      </c>
      <c r="E2159" t="s">
        <v>458</v>
      </c>
    </row>
    <row r="2160" spans="1:5" x14ac:dyDescent="0.35">
      <c r="A2160">
        <v>2008</v>
      </c>
      <c r="B2160" t="s">
        <v>33</v>
      </c>
      <c r="C2160" t="s">
        <v>75</v>
      </c>
      <c r="D2160">
        <v>5</v>
      </c>
      <c r="E2160" t="s">
        <v>458</v>
      </c>
    </row>
    <row r="2161" spans="1:5" x14ac:dyDescent="0.35">
      <c r="A2161">
        <v>2008</v>
      </c>
      <c r="B2161" t="s">
        <v>33</v>
      </c>
      <c r="C2161" t="s">
        <v>74</v>
      </c>
      <c r="D2161">
        <v>27</v>
      </c>
      <c r="E2161" t="s">
        <v>328</v>
      </c>
    </row>
    <row r="2162" spans="1:5" x14ac:dyDescent="0.35">
      <c r="A2162">
        <v>2008</v>
      </c>
      <c r="B2162" t="s">
        <v>33</v>
      </c>
      <c r="C2162" t="s">
        <v>74</v>
      </c>
      <c r="D2162">
        <v>5</v>
      </c>
      <c r="E2162" t="s">
        <v>458</v>
      </c>
    </row>
    <row r="2163" spans="1:5" x14ac:dyDescent="0.35">
      <c r="A2163">
        <v>2008</v>
      </c>
      <c r="B2163" t="s">
        <v>38</v>
      </c>
      <c r="C2163" t="s">
        <v>20</v>
      </c>
      <c r="D2163">
        <v>1509</v>
      </c>
      <c r="E2163" t="s">
        <v>328</v>
      </c>
    </row>
    <row r="2164" spans="1:5" x14ac:dyDescent="0.35">
      <c r="A2164">
        <v>2008</v>
      </c>
      <c r="B2164" t="s">
        <v>38</v>
      </c>
      <c r="C2164" t="s">
        <v>20</v>
      </c>
      <c r="D2164">
        <v>1081</v>
      </c>
      <c r="E2164" t="s">
        <v>458</v>
      </c>
    </row>
    <row r="2165" spans="1:5" x14ac:dyDescent="0.35">
      <c r="A2165">
        <v>2008</v>
      </c>
      <c r="B2165" t="s">
        <v>34</v>
      </c>
      <c r="C2165" t="s">
        <v>73</v>
      </c>
      <c r="D2165">
        <v>689</v>
      </c>
      <c r="E2165" t="s">
        <v>328</v>
      </c>
    </row>
    <row r="2166" spans="1:5" x14ac:dyDescent="0.35">
      <c r="A2166">
        <v>2008</v>
      </c>
      <c r="B2166" t="s">
        <v>34</v>
      </c>
      <c r="C2166" t="s">
        <v>73</v>
      </c>
      <c r="D2166">
        <v>188</v>
      </c>
      <c r="E2166" t="s">
        <v>458</v>
      </c>
    </row>
    <row r="2167" spans="1:5" x14ac:dyDescent="0.35">
      <c r="A2167">
        <v>2008</v>
      </c>
      <c r="B2167" t="s">
        <v>33</v>
      </c>
      <c r="C2167" t="s">
        <v>75</v>
      </c>
      <c r="D2167">
        <v>17</v>
      </c>
      <c r="E2167" t="s">
        <v>328</v>
      </c>
    </row>
    <row r="2168" spans="1:5" x14ac:dyDescent="0.35">
      <c r="A2168">
        <v>2008</v>
      </c>
      <c r="B2168" t="s">
        <v>35</v>
      </c>
      <c r="C2168" t="s">
        <v>81</v>
      </c>
      <c r="D2168">
        <v>13</v>
      </c>
      <c r="E2168" t="s">
        <v>458</v>
      </c>
    </row>
    <row r="2169" spans="1:5" x14ac:dyDescent="0.35">
      <c r="A2169">
        <v>2008</v>
      </c>
      <c r="B2169" t="s">
        <v>38</v>
      </c>
      <c r="C2169" t="s">
        <v>59</v>
      </c>
      <c r="D2169">
        <v>54</v>
      </c>
      <c r="E2169" t="s">
        <v>458</v>
      </c>
    </row>
    <row r="2170" spans="1:5" x14ac:dyDescent="0.35">
      <c r="A2170">
        <v>2008</v>
      </c>
      <c r="B2170" t="s">
        <v>36</v>
      </c>
      <c r="C2170" t="s">
        <v>363</v>
      </c>
      <c r="D2170">
        <v>3</v>
      </c>
      <c r="E2170" t="s">
        <v>458</v>
      </c>
    </row>
    <row r="2171" spans="1:5" x14ac:dyDescent="0.35">
      <c r="A2171">
        <v>2008</v>
      </c>
      <c r="B2171" t="s">
        <v>34</v>
      </c>
      <c r="C2171" t="s">
        <v>46</v>
      </c>
      <c r="D2171">
        <v>43</v>
      </c>
      <c r="E2171" t="s">
        <v>328</v>
      </c>
    </row>
    <row r="2172" spans="1:5" x14ac:dyDescent="0.35">
      <c r="A2172">
        <v>2008</v>
      </c>
      <c r="B2172" t="s">
        <v>34</v>
      </c>
      <c r="C2172" t="s">
        <v>46</v>
      </c>
      <c r="D2172">
        <v>43</v>
      </c>
      <c r="E2172" t="s">
        <v>458</v>
      </c>
    </row>
    <row r="2173" spans="1:5" x14ac:dyDescent="0.35">
      <c r="A2173">
        <v>2008</v>
      </c>
      <c r="B2173" t="s">
        <v>38</v>
      </c>
      <c r="C2173" t="s">
        <v>45</v>
      </c>
      <c r="D2173">
        <v>306</v>
      </c>
      <c r="E2173" t="s">
        <v>328</v>
      </c>
    </row>
    <row r="2174" spans="1:5" x14ac:dyDescent="0.35">
      <c r="A2174">
        <v>2008</v>
      </c>
      <c r="B2174" t="s">
        <v>38</v>
      </c>
      <c r="C2174" t="s">
        <v>45</v>
      </c>
      <c r="D2174">
        <v>84</v>
      </c>
      <c r="E2174" t="s">
        <v>458</v>
      </c>
    </row>
    <row r="2175" spans="1:5" x14ac:dyDescent="0.35">
      <c r="A2175">
        <v>2008</v>
      </c>
      <c r="B2175" t="s">
        <v>36</v>
      </c>
      <c r="C2175" t="s">
        <v>44</v>
      </c>
      <c r="D2175">
        <v>5</v>
      </c>
      <c r="E2175" t="s">
        <v>328</v>
      </c>
    </row>
    <row r="2176" spans="1:5" x14ac:dyDescent="0.35">
      <c r="A2176">
        <v>2008</v>
      </c>
      <c r="B2176" t="s">
        <v>36</v>
      </c>
      <c r="C2176" t="s">
        <v>44</v>
      </c>
      <c r="D2176">
        <v>23</v>
      </c>
      <c r="E2176" t="s">
        <v>458</v>
      </c>
    </row>
    <row r="2177" spans="1:5" x14ac:dyDescent="0.35">
      <c r="A2177">
        <v>2008</v>
      </c>
      <c r="B2177" t="s">
        <v>33</v>
      </c>
      <c r="C2177" t="s">
        <v>43</v>
      </c>
      <c r="E2177" t="s">
        <v>328</v>
      </c>
    </row>
    <row r="2178" spans="1:5" x14ac:dyDescent="0.35">
      <c r="A2178">
        <v>2008</v>
      </c>
      <c r="B2178" t="s">
        <v>37</v>
      </c>
      <c r="C2178" t="s">
        <v>47</v>
      </c>
      <c r="D2178">
        <v>14</v>
      </c>
      <c r="E2178" t="s">
        <v>458</v>
      </c>
    </row>
    <row r="2179" spans="1:5" x14ac:dyDescent="0.35">
      <c r="A2179">
        <v>2008</v>
      </c>
      <c r="B2179" t="s">
        <v>33</v>
      </c>
      <c r="C2179" t="s">
        <v>43</v>
      </c>
      <c r="E2179" t="s">
        <v>458</v>
      </c>
    </row>
    <row r="2180" spans="1:5" x14ac:dyDescent="0.35">
      <c r="A2180">
        <v>2008</v>
      </c>
      <c r="C2180" t="s">
        <v>373</v>
      </c>
      <c r="D2180">
        <v>23</v>
      </c>
      <c r="E2180" t="s">
        <v>458</v>
      </c>
    </row>
    <row r="2181" spans="1:5" x14ac:dyDescent="0.35">
      <c r="A2181">
        <v>2008</v>
      </c>
      <c r="B2181" t="s">
        <v>33</v>
      </c>
      <c r="C2181" t="s">
        <v>42</v>
      </c>
      <c r="D2181">
        <v>17</v>
      </c>
      <c r="E2181" t="s">
        <v>328</v>
      </c>
    </row>
    <row r="2182" spans="1:5" x14ac:dyDescent="0.35">
      <c r="A2182">
        <v>2008</v>
      </c>
      <c r="B2182" t="s">
        <v>33</v>
      </c>
      <c r="C2182" t="s">
        <v>42</v>
      </c>
      <c r="D2182">
        <v>4</v>
      </c>
      <c r="E2182" t="s">
        <v>458</v>
      </c>
    </row>
    <row r="2183" spans="1:5" x14ac:dyDescent="0.35">
      <c r="A2183">
        <v>2008</v>
      </c>
      <c r="B2183" t="s">
        <v>35</v>
      </c>
      <c r="C2183" t="s">
        <v>41</v>
      </c>
      <c r="D2183">
        <v>297</v>
      </c>
      <c r="E2183" t="s">
        <v>328</v>
      </c>
    </row>
    <row r="2184" spans="1:5" x14ac:dyDescent="0.35">
      <c r="A2184">
        <v>2008</v>
      </c>
      <c r="B2184" t="s">
        <v>35</v>
      </c>
      <c r="C2184" t="s">
        <v>41</v>
      </c>
      <c r="D2184">
        <v>34</v>
      </c>
      <c r="E2184" t="s">
        <v>458</v>
      </c>
    </row>
    <row r="2185" spans="1:5" x14ac:dyDescent="0.35">
      <c r="A2185">
        <v>2008</v>
      </c>
      <c r="B2185" t="s">
        <v>34</v>
      </c>
      <c r="C2185" t="s">
        <v>40</v>
      </c>
      <c r="D2185">
        <v>20</v>
      </c>
      <c r="E2185" t="s">
        <v>328</v>
      </c>
    </row>
    <row r="2186" spans="1:5" x14ac:dyDescent="0.35">
      <c r="A2186">
        <v>2008</v>
      </c>
      <c r="B2186" t="s">
        <v>34</v>
      </c>
      <c r="C2186" t="s">
        <v>40</v>
      </c>
      <c r="D2186">
        <v>11</v>
      </c>
      <c r="E2186" t="s">
        <v>458</v>
      </c>
    </row>
    <row r="2187" spans="1:5" x14ac:dyDescent="0.35">
      <c r="A2187">
        <v>2008</v>
      </c>
      <c r="C2187" t="s">
        <v>373</v>
      </c>
      <c r="D2187">
        <v>49</v>
      </c>
      <c r="E2187" t="s">
        <v>328</v>
      </c>
    </row>
    <row r="2188" spans="1:5" x14ac:dyDescent="0.35">
      <c r="A2188">
        <v>2008</v>
      </c>
      <c r="B2188" t="s">
        <v>36</v>
      </c>
      <c r="C2188" t="s">
        <v>363</v>
      </c>
      <c r="D2188">
        <v>6</v>
      </c>
      <c r="E2188" t="s">
        <v>328</v>
      </c>
    </row>
    <row r="2189" spans="1:5" x14ac:dyDescent="0.35">
      <c r="A2189">
        <v>2008</v>
      </c>
      <c r="B2189" t="s">
        <v>37</v>
      </c>
      <c r="C2189" t="s">
        <v>47</v>
      </c>
      <c r="D2189">
        <v>33</v>
      </c>
      <c r="E2189" t="s">
        <v>328</v>
      </c>
    </row>
    <row r="2190" spans="1:5" x14ac:dyDescent="0.35">
      <c r="A2190">
        <v>2008</v>
      </c>
      <c r="B2190" t="s">
        <v>35</v>
      </c>
      <c r="C2190" t="s">
        <v>48</v>
      </c>
      <c r="D2190">
        <v>15</v>
      </c>
      <c r="E2190" t="s">
        <v>328</v>
      </c>
    </row>
    <row r="2191" spans="1:5" x14ac:dyDescent="0.35">
      <c r="A2191">
        <v>2008</v>
      </c>
      <c r="B2191" t="s">
        <v>33</v>
      </c>
      <c r="C2191" t="s">
        <v>57</v>
      </c>
      <c r="D2191">
        <v>11</v>
      </c>
      <c r="E2191" t="s">
        <v>328</v>
      </c>
    </row>
    <row r="2192" spans="1:5" x14ac:dyDescent="0.35">
      <c r="A2192">
        <v>2008</v>
      </c>
      <c r="B2192" t="s">
        <v>33</v>
      </c>
      <c r="C2192" t="s">
        <v>57</v>
      </c>
      <c r="D2192">
        <v>3</v>
      </c>
      <c r="E2192" t="s">
        <v>458</v>
      </c>
    </row>
    <row r="2193" spans="1:5" x14ac:dyDescent="0.35">
      <c r="A2193">
        <v>2008</v>
      </c>
      <c r="B2193" t="s">
        <v>36</v>
      </c>
      <c r="C2193" t="s">
        <v>56</v>
      </c>
      <c r="D2193">
        <v>104</v>
      </c>
      <c r="E2193" t="s">
        <v>328</v>
      </c>
    </row>
    <row r="2194" spans="1:5" x14ac:dyDescent="0.35">
      <c r="A2194">
        <v>2008</v>
      </c>
      <c r="B2194" t="s">
        <v>36</v>
      </c>
      <c r="C2194" t="s">
        <v>56</v>
      </c>
      <c r="D2194">
        <v>109</v>
      </c>
      <c r="E2194" t="s">
        <v>458</v>
      </c>
    </row>
    <row r="2195" spans="1:5" x14ac:dyDescent="0.35">
      <c r="A2195">
        <v>2008</v>
      </c>
      <c r="B2195" t="s">
        <v>35</v>
      </c>
      <c r="C2195" t="s">
        <v>55</v>
      </c>
      <c r="E2195" t="s">
        <v>328</v>
      </c>
    </row>
    <row r="2196" spans="1:5" x14ac:dyDescent="0.35">
      <c r="A2196">
        <v>2008</v>
      </c>
      <c r="B2196" t="s">
        <v>35</v>
      </c>
      <c r="C2196" t="s">
        <v>55</v>
      </c>
      <c r="E2196" t="s">
        <v>458</v>
      </c>
    </row>
    <row r="2197" spans="1:5" x14ac:dyDescent="0.35">
      <c r="A2197">
        <v>2008</v>
      </c>
      <c r="B2197" t="s">
        <v>35</v>
      </c>
      <c r="C2197" t="s">
        <v>54</v>
      </c>
      <c r="D2197">
        <v>16</v>
      </c>
      <c r="E2197" t="s">
        <v>328</v>
      </c>
    </row>
    <row r="2198" spans="1:5" x14ac:dyDescent="0.35">
      <c r="A2198">
        <v>2008</v>
      </c>
      <c r="B2198" t="s">
        <v>35</v>
      </c>
      <c r="C2198" t="s">
        <v>48</v>
      </c>
      <c r="D2198">
        <v>3</v>
      </c>
      <c r="E2198" t="s">
        <v>458</v>
      </c>
    </row>
    <row r="2199" spans="1:5" x14ac:dyDescent="0.35">
      <c r="A2199">
        <v>2008</v>
      </c>
      <c r="B2199" t="s">
        <v>35</v>
      </c>
      <c r="C2199" t="s">
        <v>54</v>
      </c>
      <c r="D2199">
        <v>9</v>
      </c>
      <c r="E2199" t="s">
        <v>458</v>
      </c>
    </row>
    <row r="2200" spans="1:5" x14ac:dyDescent="0.35">
      <c r="A2200">
        <v>2008</v>
      </c>
      <c r="B2200" t="s">
        <v>36</v>
      </c>
      <c r="C2200" t="s">
        <v>53</v>
      </c>
      <c r="D2200">
        <v>39</v>
      </c>
      <c r="E2200" t="s">
        <v>458</v>
      </c>
    </row>
    <row r="2201" spans="1:5" x14ac:dyDescent="0.35">
      <c r="A2201">
        <v>2008</v>
      </c>
      <c r="B2201" t="s">
        <v>34</v>
      </c>
      <c r="C2201" t="s">
        <v>52</v>
      </c>
      <c r="D2201">
        <v>98</v>
      </c>
      <c r="E2201" t="s">
        <v>328</v>
      </c>
    </row>
    <row r="2202" spans="1:5" x14ac:dyDescent="0.35">
      <c r="A2202">
        <v>2008</v>
      </c>
      <c r="B2202" t="s">
        <v>34</v>
      </c>
      <c r="C2202" t="s">
        <v>52</v>
      </c>
      <c r="D2202">
        <v>17</v>
      </c>
      <c r="E2202" t="s">
        <v>458</v>
      </c>
    </row>
    <row r="2203" spans="1:5" x14ac:dyDescent="0.35">
      <c r="A2203">
        <v>2008</v>
      </c>
      <c r="B2203" t="s">
        <v>36</v>
      </c>
      <c r="C2203" t="s">
        <v>50</v>
      </c>
      <c r="D2203">
        <v>23</v>
      </c>
      <c r="E2203" t="s">
        <v>328</v>
      </c>
    </row>
    <row r="2204" spans="1:5" x14ac:dyDescent="0.35">
      <c r="A2204">
        <v>2008</v>
      </c>
      <c r="B2204" t="s">
        <v>36</v>
      </c>
      <c r="C2204" t="s">
        <v>50</v>
      </c>
      <c r="D2204">
        <v>82</v>
      </c>
      <c r="E2204" t="s">
        <v>458</v>
      </c>
    </row>
    <row r="2205" spans="1:5" x14ac:dyDescent="0.35">
      <c r="A2205">
        <v>2008</v>
      </c>
      <c r="B2205" t="s">
        <v>34</v>
      </c>
      <c r="C2205" t="s">
        <v>49</v>
      </c>
      <c r="E2205" t="s">
        <v>328</v>
      </c>
    </row>
    <row r="2206" spans="1:5" x14ac:dyDescent="0.35">
      <c r="A2206">
        <v>2008</v>
      </c>
      <c r="B2206" t="s">
        <v>34</v>
      </c>
      <c r="C2206" t="s">
        <v>49</v>
      </c>
      <c r="E2206" t="s">
        <v>458</v>
      </c>
    </row>
    <row r="2207" spans="1:5" x14ac:dyDescent="0.35">
      <c r="A2207">
        <v>2008</v>
      </c>
      <c r="B2207" t="s">
        <v>36</v>
      </c>
      <c r="C2207" t="s">
        <v>53</v>
      </c>
      <c r="D2207">
        <v>5</v>
      </c>
      <c r="E2207" t="s">
        <v>328</v>
      </c>
    </row>
    <row r="2208" spans="1:5" x14ac:dyDescent="0.35">
      <c r="A2208">
        <v>2008</v>
      </c>
      <c r="B2208" t="s">
        <v>35</v>
      </c>
      <c r="C2208" t="s">
        <v>81</v>
      </c>
      <c r="D2208">
        <v>39</v>
      </c>
      <c r="E2208" t="s">
        <v>328</v>
      </c>
    </row>
    <row r="2209" spans="1:5" x14ac:dyDescent="0.35">
      <c r="A2209">
        <v>2008</v>
      </c>
      <c r="B2209" t="s">
        <v>35</v>
      </c>
      <c r="C2209" t="s">
        <v>60</v>
      </c>
      <c r="D2209">
        <v>31</v>
      </c>
      <c r="E2209" t="s">
        <v>458</v>
      </c>
    </row>
    <row r="2210" spans="1:5" x14ac:dyDescent="0.35">
      <c r="A2210">
        <v>2008</v>
      </c>
      <c r="B2210" t="s">
        <v>35</v>
      </c>
      <c r="C2210" t="s">
        <v>214</v>
      </c>
      <c r="D2210">
        <v>43</v>
      </c>
      <c r="E2210" t="s">
        <v>328</v>
      </c>
    </row>
    <row r="2211" spans="1:5" x14ac:dyDescent="0.35">
      <c r="A2211">
        <v>2008</v>
      </c>
      <c r="B2211" t="s">
        <v>34</v>
      </c>
      <c r="C2211" t="s">
        <v>107</v>
      </c>
      <c r="D2211">
        <v>421</v>
      </c>
      <c r="E2211" t="s">
        <v>328</v>
      </c>
    </row>
    <row r="2212" spans="1:5" x14ac:dyDescent="0.35">
      <c r="A2212">
        <v>2008</v>
      </c>
      <c r="B2212" t="s">
        <v>34</v>
      </c>
      <c r="C2212" t="s">
        <v>107</v>
      </c>
      <c r="D2212">
        <v>68</v>
      </c>
      <c r="E2212" t="s">
        <v>458</v>
      </c>
    </row>
    <row r="2213" spans="1:5" x14ac:dyDescent="0.35">
      <c r="A2213">
        <v>2008</v>
      </c>
      <c r="B2213" t="s">
        <v>34</v>
      </c>
      <c r="C2213" t="s">
        <v>22</v>
      </c>
      <c r="D2213">
        <v>768</v>
      </c>
      <c r="E2213" t="s">
        <v>328</v>
      </c>
    </row>
    <row r="2214" spans="1:5" x14ac:dyDescent="0.35">
      <c r="A2214">
        <v>2008</v>
      </c>
      <c r="B2214" t="s">
        <v>34</v>
      </c>
      <c r="C2214" t="s">
        <v>22</v>
      </c>
      <c r="D2214">
        <v>164</v>
      </c>
      <c r="E2214" t="s">
        <v>458</v>
      </c>
    </row>
    <row r="2215" spans="1:5" x14ac:dyDescent="0.35">
      <c r="A2215">
        <v>2008</v>
      </c>
      <c r="B2215" t="s">
        <v>35</v>
      </c>
      <c r="C2215" t="s">
        <v>105</v>
      </c>
      <c r="D2215">
        <v>76</v>
      </c>
      <c r="E2215" t="s">
        <v>328</v>
      </c>
    </row>
    <row r="2216" spans="1:5" x14ac:dyDescent="0.35">
      <c r="A2216">
        <v>2008</v>
      </c>
      <c r="B2216" t="s">
        <v>35</v>
      </c>
      <c r="C2216" t="s">
        <v>105</v>
      </c>
      <c r="D2216">
        <v>19</v>
      </c>
      <c r="E2216" t="s">
        <v>458</v>
      </c>
    </row>
    <row r="2217" spans="1:5" x14ac:dyDescent="0.35">
      <c r="A2217">
        <v>2008</v>
      </c>
      <c r="B2217" t="s">
        <v>34</v>
      </c>
      <c r="C2217" t="s">
        <v>368</v>
      </c>
      <c r="D2217">
        <v>17</v>
      </c>
      <c r="E2217" t="s">
        <v>328</v>
      </c>
    </row>
    <row r="2218" spans="1:5" x14ac:dyDescent="0.35">
      <c r="A2218">
        <v>2008</v>
      </c>
      <c r="B2218" t="s">
        <v>34</v>
      </c>
      <c r="C2218" t="s">
        <v>108</v>
      </c>
      <c r="D2218">
        <v>11</v>
      </c>
      <c r="E2218" t="s">
        <v>458</v>
      </c>
    </row>
    <row r="2219" spans="1:5" x14ac:dyDescent="0.35">
      <c r="A2219">
        <v>2008</v>
      </c>
      <c r="B2219" t="s">
        <v>34</v>
      </c>
      <c r="C2219" t="s">
        <v>368</v>
      </c>
      <c r="D2219">
        <v>6</v>
      </c>
      <c r="E2219" t="s">
        <v>458</v>
      </c>
    </row>
    <row r="2220" spans="1:5" x14ac:dyDescent="0.35">
      <c r="A2220">
        <v>2008</v>
      </c>
      <c r="B2220" t="s">
        <v>36</v>
      </c>
      <c r="C2220" t="s">
        <v>17</v>
      </c>
      <c r="D2220">
        <v>5476</v>
      </c>
      <c r="E2220" t="s">
        <v>458</v>
      </c>
    </row>
    <row r="2221" spans="1:5" x14ac:dyDescent="0.35">
      <c r="A2221">
        <v>2008</v>
      </c>
      <c r="B2221" t="s">
        <v>36</v>
      </c>
      <c r="C2221" t="s">
        <v>104</v>
      </c>
      <c r="D2221">
        <v>1168</v>
      </c>
      <c r="E2221" t="s">
        <v>328</v>
      </c>
    </row>
    <row r="2222" spans="1:5" x14ac:dyDescent="0.35">
      <c r="A2222">
        <v>2008</v>
      </c>
      <c r="B2222" t="s">
        <v>36</v>
      </c>
      <c r="C2222" t="s">
        <v>104</v>
      </c>
      <c r="D2222">
        <v>416</v>
      </c>
      <c r="E2222" t="s">
        <v>458</v>
      </c>
    </row>
    <row r="2223" spans="1:5" x14ac:dyDescent="0.35">
      <c r="A2223">
        <v>2008</v>
      </c>
      <c r="B2223" t="s">
        <v>38</v>
      </c>
      <c r="C2223" t="s">
        <v>103</v>
      </c>
      <c r="D2223">
        <v>96</v>
      </c>
      <c r="E2223" t="s">
        <v>328</v>
      </c>
    </row>
    <row r="2224" spans="1:5" x14ac:dyDescent="0.35">
      <c r="A2224">
        <v>2008</v>
      </c>
      <c r="B2224" t="s">
        <v>38</v>
      </c>
      <c r="C2224" t="s">
        <v>103</v>
      </c>
      <c r="D2224">
        <v>188</v>
      </c>
      <c r="E2224" t="s">
        <v>458</v>
      </c>
    </row>
    <row r="2225" spans="1:5" x14ac:dyDescent="0.35">
      <c r="A2225">
        <v>2008</v>
      </c>
      <c r="B2225" t="s">
        <v>33</v>
      </c>
      <c r="C2225" t="s">
        <v>101</v>
      </c>
      <c r="D2225">
        <v>58</v>
      </c>
      <c r="E2225" t="s">
        <v>328</v>
      </c>
    </row>
    <row r="2226" spans="1:5" x14ac:dyDescent="0.35">
      <c r="A2226">
        <v>2008</v>
      </c>
      <c r="B2226" t="s">
        <v>33</v>
      </c>
      <c r="C2226" t="s">
        <v>101</v>
      </c>
      <c r="D2226">
        <v>16</v>
      </c>
      <c r="E2226" t="s">
        <v>458</v>
      </c>
    </row>
    <row r="2227" spans="1:5" x14ac:dyDescent="0.35">
      <c r="A2227">
        <v>2008</v>
      </c>
      <c r="B2227" t="s">
        <v>36</v>
      </c>
      <c r="C2227" t="s">
        <v>17</v>
      </c>
      <c r="D2227">
        <v>23409</v>
      </c>
      <c r="E2227" t="s">
        <v>328</v>
      </c>
    </row>
    <row r="2228" spans="1:5" x14ac:dyDescent="0.35">
      <c r="A2228">
        <v>2008</v>
      </c>
      <c r="B2228" t="s">
        <v>36</v>
      </c>
      <c r="C2228" t="s">
        <v>15</v>
      </c>
      <c r="D2228">
        <v>22389</v>
      </c>
      <c r="E2228" t="s">
        <v>328</v>
      </c>
    </row>
    <row r="2229" spans="1:5" x14ac:dyDescent="0.35">
      <c r="A2229">
        <v>2008</v>
      </c>
      <c r="B2229" t="s">
        <v>34</v>
      </c>
      <c r="C2229" t="s">
        <v>108</v>
      </c>
      <c r="D2229">
        <v>29</v>
      </c>
      <c r="E2229" t="s">
        <v>328</v>
      </c>
    </row>
    <row r="2230" spans="1:5" x14ac:dyDescent="0.35">
      <c r="A2230">
        <v>2008</v>
      </c>
      <c r="B2230" t="s">
        <v>34</v>
      </c>
      <c r="C2230" t="s">
        <v>109</v>
      </c>
      <c r="D2230">
        <v>30</v>
      </c>
      <c r="E2230" t="s">
        <v>328</v>
      </c>
    </row>
    <row r="2231" spans="1:5" x14ac:dyDescent="0.35">
      <c r="A2231">
        <v>2008</v>
      </c>
      <c r="B2231" t="s">
        <v>35</v>
      </c>
      <c r="C2231" t="s">
        <v>214</v>
      </c>
      <c r="D2231">
        <v>12</v>
      </c>
      <c r="E2231" t="s">
        <v>458</v>
      </c>
    </row>
    <row r="2232" spans="1:5" x14ac:dyDescent="0.35">
      <c r="A2232">
        <v>2008</v>
      </c>
      <c r="B2232" t="s">
        <v>34</v>
      </c>
      <c r="C2232" t="s">
        <v>116</v>
      </c>
      <c r="D2232">
        <v>18</v>
      </c>
      <c r="E2232" t="s">
        <v>328</v>
      </c>
    </row>
    <row r="2233" spans="1:5" x14ac:dyDescent="0.35">
      <c r="A2233">
        <v>2008</v>
      </c>
      <c r="B2233" t="s">
        <v>34</v>
      </c>
      <c r="C2233" t="s">
        <v>116</v>
      </c>
      <c r="D2233">
        <v>7</v>
      </c>
      <c r="E2233" t="s">
        <v>458</v>
      </c>
    </row>
    <row r="2234" spans="1:5" x14ac:dyDescent="0.35">
      <c r="A2234">
        <v>2008</v>
      </c>
      <c r="B2234" t="s">
        <v>34</v>
      </c>
      <c r="C2234" t="s">
        <v>118</v>
      </c>
      <c r="D2234">
        <v>116</v>
      </c>
      <c r="E2234" t="s">
        <v>458</v>
      </c>
    </row>
    <row r="2235" spans="1:5" x14ac:dyDescent="0.35">
      <c r="A2235">
        <v>2008</v>
      </c>
      <c r="B2235" t="s">
        <v>34</v>
      </c>
      <c r="C2235" t="s">
        <v>115</v>
      </c>
      <c r="D2235">
        <v>116</v>
      </c>
      <c r="E2235" t="s">
        <v>328</v>
      </c>
    </row>
    <row r="2236" spans="1:5" x14ac:dyDescent="0.35">
      <c r="A2236">
        <v>2008</v>
      </c>
      <c r="B2236" t="s">
        <v>34</v>
      </c>
      <c r="C2236" t="s">
        <v>115</v>
      </c>
      <c r="D2236">
        <v>45</v>
      </c>
      <c r="E2236" t="s">
        <v>458</v>
      </c>
    </row>
    <row r="2237" spans="1:5" x14ac:dyDescent="0.35">
      <c r="A2237">
        <v>2008</v>
      </c>
      <c r="B2237" t="s">
        <v>34</v>
      </c>
      <c r="C2237" t="s">
        <v>114</v>
      </c>
      <c r="D2237">
        <v>71</v>
      </c>
      <c r="E2237" t="s">
        <v>328</v>
      </c>
    </row>
    <row r="2238" spans="1:5" x14ac:dyDescent="0.35">
      <c r="A2238">
        <v>2008</v>
      </c>
      <c r="B2238" t="s">
        <v>34</v>
      </c>
      <c r="C2238" t="s">
        <v>109</v>
      </c>
      <c r="D2238">
        <v>7</v>
      </c>
      <c r="E2238" t="s">
        <v>458</v>
      </c>
    </row>
    <row r="2239" spans="1:5" x14ac:dyDescent="0.35">
      <c r="A2239">
        <v>2008</v>
      </c>
      <c r="B2239" t="s">
        <v>34</v>
      </c>
      <c r="C2239" t="s">
        <v>114</v>
      </c>
      <c r="D2239">
        <v>17</v>
      </c>
      <c r="E2239" t="s">
        <v>458</v>
      </c>
    </row>
    <row r="2240" spans="1:5" x14ac:dyDescent="0.35">
      <c r="A2240">
        <v>2008</v>
      </c>
      <c r="B2240" t="s">
        <v>36</v>
      </c>
      <c r="C2240" t="s">
        <v>113</v>
      </c>
      <c r="D2240">
        <v>1214</v>
      </c>
      <c r="E2240" t="s">
        <v>458</v>
      </c>
    </row>
    <row r="2241" spans="1:5" x14ac:dyDescent="0.35">
      <c r="A2241">
        <v>2008</v>
      </c>
      <c r="B2241" t="s">
        <v>35</v>
      </c>
      <c r="C2241" t="s">
        <v>112</v>
      </c>
      <c r="D2241">
        <v>141</v>
      </c>
      <c r="E2241" t="s">
        <v>328</v>
      </c>
    </row>
    <row r="2242" spans="1:5" x14ac:dyDescent="0.35">
      <c r="A2242">
        <v>2008</v>
      </c>
      <c r="B2242" t="s">
        <v>35</v>
      </c>
      <c r="C2242" t="s">
        <v>112</v>
      </c>
      <c r="D2242">
        <v>74</v>
      </c>
      <c r="E2242" t="s">
        <v>458</v>
      </c>
    </row>
    <row r="2243" spans="1:5" x14ac:dyDescent="0.35">
      <c r="A2243">
        <v>2008</v>
      </c>
      <c r="B2243" t="s">
        <v>34</v>
      </c>
      <c r="C2243" t="s">
        <v>111</v>
      </c>
      <c r="D2243">
        <v>217</v>
      </c>
      <c r="E2243" t="s">
        <v>328</v>
      </c>
    </row>
    <row r="2244" spans="1:5" x14ac:dyDescent="0.35">
      <c r="A2244">
        <v>2008</v>
      </c>
      <c r="B2244" t="s">
        <v>34</v>
      </c>
      <c r="C2244" t="s">
        <v>111</v>
      </c>
      <c r="D2244">
        <v>41</v>
      </c>
      <c r="E2244" t="s">
        <v>458</v>
      </c>
    </row>
    <row r="2245" spans="1:5" x14ac:dyDescent="0.35">
      <c r="A2245">
        <v>2008</v>
      </c>
      <c r="B2245" t="s">
        <v>35</v>
      </c>
      <c r="C2245" t="s">
        <v>110</v>
      </c>
      <c r="D2245">
        <v>60</v>
      </c>
      <c r="E2245" t="s">
        <v>328</v>
      </c>
    </row>
    <row r="2246" spans="1:5" x14ac:dyDescent="0.35">
      <c r="A2246">
        <v>2008</v>
      </c>
      <c r="B2246" t="s">
        <v>35</v>
      </c>
      <c r="C2246" t="s">
        <v>110</v>
      </c>
      <c r="D2246">
        <v>19</v>
      </c>
      <c r="E2246" t="s">
        <v>458</v>
      </c>
    </row>
    <row r="2247" spans="1:5" x14ac:dyDescent="0.35">
      <c r="A2247">
        <v>2008</v>
      </c>
      <c r="B2247" t="s">
        <v>36</v>
      </c>
      <c r="C2247" t="s">
        <v>113</v>
      </c>
      <c r="D2247">
        <v>414</v>
      </c>
      <c r="E2247" t="s">
        <v>328</v>
      </c>
    </row>
    <row r="2248" spans="1:5" x14ac:dyDescent="0.35">
      <c r="A2248">
        <v>2008</v>
      </c>
      <c r="B2248" t="s">
        <v>36</v>
      </c>
      <c r="C2248" t="s">
        <v>15</v>
      </c>
      <c r="D2248">
        <v>5138</v>
      </c>
      <c r="E2248" t="s">
        <v>458</v>
      </c>
    </row>
    <row r="2249" spans="1:5" x14ac:dyDescent="0.35">
      <c r="A2249">
        <v>2008</v>
      </c>
      <c r="B2249" t="s">
        <v>33</v>
      </c>
      <c r="C2249" t="s">
        <v>117</v>
      </c>
      <c r="D2249">
        <v>44</v>
      </c>
      <c r="E2249" t="s">
        <v>458</v>
      </c>
    </row>
    <row r="2250" spans="1:5" x14ac:dyDescent="0.35">
      <c r="A2250">
        <v>2008</v>
      </c>
      <c r="B2250" t="s">
        <v>36</v>
      </c>
      <c r="C2250" t="s">
        <v>100</v>
      </c>
      <c r="D2250">
        <v>17</v>
      </c>
      <c r="E2250" t="s">
        <v>458</v>
      </c>
    </row>
    <row r="2251" spans="1:5" x14ac:dyDescent="0.35">
      <c r="A2251">
        <v>2008</v>
      </c>
      <c r="B2251" t="s">
        <v>35</v>
      </c>
      <c r="C2251" t="s">
        <v>90</v>
      </c>
      <c r="D2251">
        <v>20</v>
      </c>
      <c r="E2251" t="s">
        <v>328</v>
      </c>
    </row>
    <row r="2252" spans="1:5" x14ac:dyDescent="0.35">
      <c r="A2252">
        <v>2008</v>
      </c>
      <c r="B2252" t="s">
        <v>35</v>
      </c>
      <c r="C2252" t="s">
        <v>90</v>
      </c>
      <c r="D2252">
        <v>5</v>
      </c>
      <c r="E2252" t="s">
        <v>458</v>
      </c>
    </row>
    <row r="2253" spans="1:5" x14ac:dyDescent="0.35">
      <c r="A2253">
        <v>2008</v>
      </c>
      <c r="B2253" t="s">
        <v>33</v>
      </c>
      <c r="C2253" t="s">
        <v>89</v>
      </c>
      <c r="D2253">
        <v>6</v>
      </c>
      <c r="E2253" t="s">
        <v>328</v>
      </c>
    </row>
    <row r="2254" spans="1:5" x14ac:dyDescent="0.35">
      <c r="A2254">
        <v>2008</v>
      </c>
      <c r="B2254" t="s">
        <v>33</v>
      </c>
      <c r="C2254" t="s">
        <v>89</v>
      </c>
      <c r="D2254">
        <v>4</v>
      </c>
      <c r="E2254" t="s">
        <v>458</v>
      </c>
    </row>
    <row r="2255" spans="1:5" x14ac:dyDescent="0.35">
      <c r="A2255">
        <v>2008</v>
      </c>
      <c r="B2255" t="s">
        <v>36</v>
      </c>
      <c r="C2255" t="s">
        <v>16</v>
      </c>
      <c r="D2255">
        <v>14492</v>
      </c>
      <c r="E2255" t="s">
        <v>328</v>
      </c>
    </row>
    <row r="2256" spans="1:5" x14ac:dyDescent="0.35">
      <c r="A2256">
        <v>2008</v>
      </c>
      <c r="B2256" t="s">
        <v>36</v>
      </c>
      <c r="C2256" t="s">
        <v>16</v>
      </c>
      <c r="D2256">
        <v>5558</v>
      </c>
      <c r="E2256" t="s">
        <v>458</v>
      </c>
    </row>
    <row r="2257" spans="1:5" x14ac:dyDescent="0.35">
      <c r="A2257">
        <v>2008</v>
      </c>
      <c r="B2257" t="s">
        <v>33</v>
      </c>
      <c r="C2257" t="s">
        <v>87</v>
      </c>
      <c r="D2257">
        <v>129</v>
      </c>
      <c r="E2257" t="s">
        <v>328</v>
      </c>
    </row>
    <row r="2258" spans="1:5" x14ac:dyDescent="0.35">
      <c r="A2258">
        <v>2008</v>
      </c>
      <c r="B2258" t="s">
        <v>33</v>
      </c>
      <c r="C2258" t="s">
        <v>91</v>
      </c>
      <c r="D2258">
        <v>32</v>
      </c>
      <c r="E2258" t="s">
        <v>458</v>
      </c>
    </row>
    <row r="2259" spans="1:5" x14ac:dyDescent="0.35">
      <c r="A2259">
        <v>2008</v>
      </c>
      <c r="B2259" t="s">
        <v>33</v>
      </c>
      <c r="C2259" t="s">
        <v>87</v>
      </c>
      <c r="D2259">
        <v>37</v>
      </c>
      <c r="E2259" t="s">
        <v>458</v>
      </c>
    </row>
    <row r="2260" spans="1:5" x14ac:dyDescent="0.35">
      <c r="A2260">
        <v>2008</v>
      </c>
      <c r="B2260" t="s">
        <v>38</v>
      </c>
      <c r="C2260" t="s">
        <v>86</v>
      </c>
      <c r="D2260">
        <v>532</v>
      </c>
      <c r="E2260" t="s">
        <v>458</v>
      </c>
    </row>
    <row r="2261" spans="1:5" x14ac:dyDescent="0.35">
      <c r="A2261">
        <v>2008</v>
      </c>
      <c r="B2261" t="s">
        <v>36</v>
      </c>
      <c r="C2261" t="s">
        <v>85</v>
      </c>
      <c r="D2261">
        <v>1186</v>
      </c>
      <c r="E2261" t="s">
        <v>328</v>
      </c>
    </row>
    <row r="2262" spans="1:5" x14ac:dyDescent="0.35">
      <c r="A2262">
        <v>2008</v>
      </c>
      <c r="B2262" t="s">
        <v>36</v>
      </c>
      <c r="C2262" t="s">
        <v>85</v>
      </c>
      <c r="D2262">
        <v>2046</v>
      </c>
      <c r="E2262" t="s">
        <v>458</v>
      </c>
    </row>
    <row r="2263" spans="1:5" x14ac:dyDescent="0.35">
      <c r="A2263">
        <v>2008</v>
      </c>
      <c r="B2263" t="s">
        <v>36</v>
      </c>
      <c r="C2263" t="s">
        <v>84</v>
      </c>
      <c r="D2263">
        <v>13</v>
      </c>
      <c r="E2263" t="s">
        <v>328</v>
      </c>
    </row>
    <row r="2264" spans="1:5" x14ac:dyDescent="0.35">
      <c r="A2264">
        <v>2008</v>
      </c>
      <c r="B2264" t="s">
        <v>36</v>
      </c>
      <c r="C2264" t="s">
        <v>84</v>
      </c>
      <c r="D2264">
        <v>22</v>
      </c>
      <c r="E2264" t="s">
        <v>458</v>
      </c>
    </row>
    <row r="2265" spans="1:5" x14ac:dyDescent="0.35">
      <c r="A2265">
        <v>2008</v>
      </c>
      <c r="B2265" t="s">
        <v>35</v>
      </c>
      <c r="C2265" t="s">
        <v>82</v>
      </c>
      <c r="E2265" t="s">
        <v>328</v>
      </c>
    </row>
    <row r="2266" spans="1:5" x14ac:dyDescent="0.35">
      <c r="A2266">
        <v>2008</v>
      </c>
      <c r="B2266" t="s">
        <v>36</v>
      </c>
      <c r="C2266" t="s">
        <v>100</v>
      </c>
      <c r="D2266">
        <v>11</v>
      </c>
      <c r="E2266" t="s">
        <v>328</v>
      </c>
    </row>
    <row r="2267" spans="1:5" x14ac:dyDescent="0.35">
      <c r="A2267">
        <v>2008</v>
      </c>
      <c r="B2267" t="s">
        <v>38</v>
      </c>
      <c r="C2267" t="s">
        <v>86</v>
      </c>
      <c r="D2267">
        <v>1798</v>
      </c>
      <c r="E2267" t="s">
        <v>328</v>
      </c>
    </row>
    <row r="2268" spans="1:5" x14ac:dyDescent="0.35">
      <c r="A2268">
        <v>2008</v>
      </c>
      <c r="B2268" t="s">
        <v>33</v>
      </c>
      <c r="C2268" t="s">
        <v>91</v>
      </c>
      <c r="D2268">
        <v>55</v>
      </c>
      <c r="E2268" t="s">
        <v>328</v>
      </c>
    </row>
    <row r="2269" spans="1:5" x14ac:dyDescent="0.35">
      <c r="A2269">
        <v>2008</v>
      </c>
      <c r="B2269" t="s">
        <v>35</v>
      </c>
      <c r="C2269" t="s">
        <v>82</v>
      </c>
      <c r="E2269" t="s">
        <v>458</v>
      </c>
    </row>
    <row r="2270" spans="1:5" x14ac:dyDescent="0.35">
      <c r="A2270">
        <v>2008</v>
      </c>
      <c r="B2270" t="s">
        <v>37</v>
      </c>
      <c r="C2270" t="s">
        <v>92</v>
      </c>
      <c r="D2270">
        <v>45</v>
      </c>
      <c r="E2270" t="s">
        <v>328</v>
      </c>
    </row>
    <row r="2271" spans="1:5" x14ac:dyDescent="0.35">
      <c r="A2271">
        <v>2008</v>
      </c>
      <c r="B2271" t="s">
        <v>35</v>
      </c>
      <c r="C2271" t="s">
        <v>99</v>
      </c>
      <c r="D2271">
        <v>27</v>
      </c>
      <c r="E2271" t="s">
        <v>328</v>
      </c>
    </row>
    <row r="2272" spans="1:5" x14ac:dyDescent="0.35">
      <c r="A2272">
        <v>2008</v>
      </c>
      <c r="B2272" t="s">
        <v>35</v>
      </c>
      <c r="C2272" t="s">
        <v>99</v>
      </c>
      <c r="D2272">
        <v>23</v>
      </c>
      <c r="E2272" t="s">
        <v>458</v>
      </c>
    </row>
    <row r="2273" spans="1:5" x14ac:dyDescent="0.35">
      <c r="A2273">
        <v>2008</v>
      </c>
      <c r="B2273" t="s">
        <v>33</v>
      </c>
      <c r="C2273" t="s">
        <v>98</v>
      </c>
      <c r="D2273">
        <v>141</v>
      </c>
      <c r="E2273" t="s">
        <v>328</v>
      </c>
    </row>
    <row r="2274" spans="1:5" x14ac:dyDescent="0.35">
      <c r="A2274">
        <v>2008</v>
      </c>
      <c r="B2274" t="s">
        <v>33</v>
      </c>
      <c r="C2274" t="s">
        <v>98</v>
      </c>
      <c r="D2274">
        <v>61</v>
      </c>
      <c r="E2274" t="s">
        <v>458</v>
      </c>
    </row>
    <row r="2275" spans="1:5" x14ac:dyDescent="0.35">
      <c r="A2275">
        <v>2008</v>
      </c>
      <c r="B2275" t="s">
        <v>37</v>
      </c>
      <c r="C2275" t="s">
        <v>92</v>
      </c>
      <c r="D2275">
        <v>26</v>
      </c>
      <c r="E2275" t="s">
        <v>458</v>
      </c>
    </row>
    <row r="2276" spans="1:5" x14ac:dyDescent="0.35">
      <c r="A2276">
        <v>2008</v>
      </c>
      <c r="B2276" t="s">
        <v>35</v>
      </c>
      <c r="C2276" t="s">
        <v>97</v>
      </c>
      <c r="D2276">
        <v>63</v>
      </c>
      <c r="E2276" t="s">
        <v>458</v>
      </c>
    </row>
    <row r="2277" spans="1:5" x14ac:dyDescent="0.35">
      <c r="A2277">
        <v>2008</v>
      </c>
      <c r="B2277" t="s">
        <v>34</v>
      </c>
      <c r="C2277" t="s">
        <v>8</v>
      </c>
      <c r="D2277">
        <v>40</v>
      </c>
      <c r="E2277" t="s">
        <v>328</v>
      </c>
    </row>
    <row r="2278" spans="1:5" x14ac:dyDescent="0.35">
      <c r="A2278">
        <v>2008</v>
      </c>
      <c r="B2278" t="s">
        <v>34</v>
      </c>
      <c r="C2278" t="s">
        <v>8</v>
      </c>
      <c r="D2278">
        <v>15</v>
      </c>
      <c r="E2278" t="s">
        <v>458</v>
      </c>
    </row>
    <row r="2279" spans="1:5" x14ac:dyDescent="0.35">
      <c r="A2279">
        <v>2008</v>
      </c>
      <c r="B2279" t="s">
        <v>35</v>
      </c>
      <c r="C2279" t="s">
        <v>97</v>
      </c>
      <c r="D2279">
        <v>115</v>
      </c>
      <c r="E2279" t="s">
        <v>328</v>
      </c>
    </row>
    <row r="2280" spans="1:5" x14ac:dyDescent="0.35">
      <c r="A2280">
        <v>2008</v>
      </c>
      <c r="B2280" t="s">
        <v>33</v>
      </c>
      <c r="C2280" t="s">
        <v>96</v>
      </c>
      <c r="D2280">
        <v>7</v>
      </c>
      <c r="E2280" t="s">
        <v>458</v>
      </c>
    </row>
    <row r="2281" spans="1:5" x14ac:dyDescent="0.35">
      <c r="A2281">
        <v>2008</v>
      </c>
      <c r="B2281" t="s">
        <v>33</v>
      </c>
      <c r="C2281" t="s">
        <v>95</v>
      </c>
      <c r="E2281" t="s">
        <v>328</v>
      </c>
    </row>
    <row r="2282" spans="1:5" x14ac:dyDescent="0.35">
      <c r="A2282">
        <v>2008</v>
      </c>
      <c r="B2282" t="s">
        <v>33</v>
      </c>
      <c r="C2282" t="s">
        <v>95</v>
      </c>
      <c r="E2282" t="s">
        <v>458</v>
      </c>
    </row>
    <row r="2283" spans="1:5" x14ac:dyDescent="0.35">
      <c r="A2283">
        <v>2008</v>
      </c>
      <c r="B2283" t="s">
        <v>35</v>
      </c>
      <c r="C2283" t="s">
        <v>94</v>
      </c>
      <c r="D2283">
        <v>124</v>
      </c>
      <c r="E2283" t="s">
        <v>328</v>
      </c>
    </row>
    <row r="2284" spans="1:5" x14ac:dyDescent="0.35">
      <c r="A2284">
        <v>2008</v>
      </c>
      <c r="B2284" t="s">
        <v>35</v>
      </c>
      <c r="C2284" t="s">
        <v>94</v>
      </c>
      <c r="D2284">
        <v>29</v>
      </c>
      <c r="E2284" t="s">
        <v>458</v>
      </c>
    </row>
    <row r="2285" spans="1:5" x14ac:dyDescent="0.35">
      <c r="A2285">
        <v>2008</v>
      </c>
      <c r="B2285" t="s">
        <v>35</v>
      </c>
      <c r="C2285" t="s">
        <v>93</v>
      </c>
      <c r="D2285">
        <v>7</v>
      </c>
      <c r="E2285" t="s">
        <v>328</v>
      </c>
    </row>
    <row r="2286" spans="1:5" x14ac:dyDescent="0.35">
      <c r="A2286">
        <v>2008</v>
      </c>
      <c r="B2286" t="s">
        <v>35</v>
      </c>
      <c r="C2286" t="s">
        <v>93</v>
      </c>
      <c r="D2286">
        <v>4</v>
      </c>
      <c r="E2286" t="s">
        <v>458</v>
      </c>
    </row>
    <row r="2287" spans="1:5" x14ac:dyDescent="0.35">
      <c r="A2287">
        <v>2008</v>
      </c>
      <c r="B2287" t="s">
        <v>33</v>
      </c>
      <c r="C2287" t="s">
        <v>96</v>
      </c>
      <c r="D2287">
        <v>19</v>
      </c>
      <c r="E2287" t="s">
        <v>328</v>
      </c>
    </row>
    <row r="2288" spans="1:5" x14ac:dyDescent="0.35">
      <c r="A2288">
        <v>2008</v>
      </c>
      <c r="B2288" t="s">
        <v>34</v>
      </c>
      <c r="C2288" t="s">
        <v>40</v>
      </c>
      <c r="D2288">
        <v>74</v>
      </c>
      <c r="E2288" t="s">
        <v>466</v>
      </c>
    </row>
    <row r="2289" spans="1:5" x14ac:dyDescent="0.35">
      <c r="A2289">
        <v>2008</v>
      </c>
      <c r="B2289" t="s">
        <v>35</v>
      </c>
      <c r="C2289" t="s">
        <v>41</v>
      </c>
      <c r="D2289">
        <v>362</v>
      </c>
      <c r="E2289" t="s">
        <v>466</v>
      </c>
    </row>
    <row r="2290" spans="1:5" x14ac:dyDescent="0.35">
      <c r="A2290">
        <v>2008</v>
      </c>
      <c r="B2290" t="s">
        <v>33</v>
      </c>
      <c r="C2290" t="s">
        <v>42</v>
      </c>
      <c r="D2290">
        <v>59</v>
      </c>
      <c r="E2290" t="s">
        <v>466</v>
      </c>
    </row>
    <row r="2291" spans="1:5" x14ac:dyDescent="0.35">
      <c r="A2291">
        <v>2008</v>
      </c>
      <c r="C2291" t="s">
        <v>373</v>
      </c>
      <c r="D2291">
        <v>83</v>
      </c>
      <c r="E2291" t="s">
        <v>466</v>
      </c>
    </row>
    <row r="2292" spans="1:5" x14ac:dyDescent="0.35">
      <c r="A2292">
        <v>2008</v>
      </c>
      <c r="B2292" t="s">
        <v>33</v>
      </c>
      <c r="C2292" t="s">
        <v>43</v>
      </c>
      <c r="D2292">
        <v>31</v>
      </c>
      <c r="E2292" t="s">
        <v>466</v>
      </c>
    </row>
    <row r="2293" spans="1:5" x14ac:dyDescent="0.35">
      <c r="A2293">
        <v>2008</v>
      </c>
      <c r="B2293" t="s">
        <v>36</v>
      </c>
      <c r="C2293" t="s">
        <v>44</v>
      </c>
      <c r="D2293">
        <v>69</v>
      </c>
      <c r="E2293" t="s">
        <v>466</v>
      </c>
    </row>
    <row r="2294" spans="1:5" x14ac:dyDescent="0.35">
      <c r="A2294">
        <v>2008</v>
      </c>
      <c r="B2294" t="s">
        <v>38</v>
      </c>
      <c r="C2294" t="s">
        <v>45</v>
      </c>
      <c r="D2294">
        <v>440</v>
      </c>
      <c r="E2294" t="s">
        <v>466</v>
      </c>
    </row>
    <row r="2295" spans="1:5" x14ac:dyDescent="0.35">
      <c r="A2295">
        <v>2008</v>
      </c>
      <c r="B2295" t="s">
        <v>34</v>
      </c>
      <c r="C2295" t="s">
        <v>46</v>
      </c>
      <c r="D2295">
        <v>235</v>
      </c>
      <c r="E2295" t="s">
        <v>466</v>
      </c>
    </row>
    <row r="2296" spans="1:5" x14ac:dyDescent="0.35">
      <c r="A2296">
        <v>2008</v>
      </c>
      <c r="B2296" t="s">
        <v>37</v>
      </c>
      <c r="C2296" t="s">
        <v>47</v>
      </c>
      <c r="D2296">
        <v>52</v>
      </c>
      <c r="E2296" t="s">
        <v>466</v>
      </c>
    </row>
    <row r="2297" spans="1:5" x14ac:dyDescent="0.35">
      <c r="A2297">
        <v>2008</v>
      </c>
      <c r="B2297" t="s">
        <v>35</v>
      </c>
      <c r="C2297" t="s">
        <v>48</v>
      </c>
      <c r="D2297">
        <v>12</v>
      </c>
      <c r="E2297" t="s">
        <v>466</v>
      </c>
    </row>
    <row r="2298" spans="1:5" x14ac:dyDescent="0.35">
      <c r="A2298">
        <v>2008</v>
      </c>
      <c r="B2298" t="s">
        <v>34</v>
      </c>
      <c r="C2298" t="s">
        <v>49</v>
      </c>
      <c r="D2298">
        <v>30</v>
      </c>
      <c r="E2298" t="s">
        <v>466</v>
      </c>
    </row>
    <row r="2299" spans="1:5" x14ac:dyDescent="0.35">
      <c r="A2299">
        <v>2008</v>
      </c>
      <c r="B2299" t="s">
        <v>36</v>
      </c>
      <c r="C2299" t="s">
        <v>50</v>
      </c>
      <c r="D2299">
        <v>269</v>
      </c>
      <c r="E2299" t="s">
        <v>466</v>
      </c>
    </row>
    <row r="2300" spans="1:5" x14ac:dyDescent="0.35">
      <c r="A2300">
        <v>2008</v>
      </c>
      <c r="B2300" t="s">
        <v>34</v>
      </c>
      <c r="C2300" t="s">
        <v>51</v>
      </c>
      <c r="D2300">
        <v>4</v>
      </c>
      <c r="E2300" t="s">
        <v>466</v>
      </c>
    </row>
    <row r="2301" spans="1:5" x14ac:dyDescent="0.35">
      <c r="A2301">
        <v>2008</v>
      </c>
      <c r="B2301" t="s">
        <v>34</v>
      </c>
      <c r="C2301" t="s">
        <v>52</v>
      </c>
      <c r="D2301">
        <v>278</v>
      </c>
      <c r="E2301" t="s">
        <v>466</v>
      </c>
    </row>
    <row r="2302" spans="1:5" x14ac:dyDescent="0.35">
      <c r="A2302">
        <v>2008</v>
      </c>
      <c r="B2302" t="s">
        <v>36</v>
      </c>
      <c r="C2302" t="s">
        <v>53</v>
      </c>
      <c r="D2302">
        <v>90</v>
      </c>
      <c r="E2302" t="s">
        <v>466</v>
      </c>
    </row>
    <row r="2303" spans="1:5" x14ac:dyDescent="0.35">
      <c r="A2303">
        <v>2008</v>
      </c>
      <c r="B2303" t="s">
        <v>35</v>
      </c>
      <c r="C2303" t="s">
        <v>54</v>
      </c>
      <c r="D2303">
        <v>52</v>
      </c>
      <c r="E2303" t="s">
        <v>466</v>
      </c>
    </row>
    <row r="2304" spans="1:5" x14ac:dyDescent="0.35">
      <c r="A2304">
        <v>2008</v>
      </c>
      <c r="B2304" t="s">
        <v>35</v>
      </c>
      <c r="C2304" t="s">
        <v>55</v>
      </c>
      <c r="D2304">
        <v>16</v>
      </c>
      <c r="E2304" t="s">
        <v>466</v>
      </c>
    </row>
    <row r="2305" spans="1:5" x14ac:dyDescent="0.35">
      <c r="A2305">
        <v>2008</v>
      </c>
      <c r="B2305" t="s">
        <v>36</v>
      </c>
      <c r="C2305" t="s">
        <v>56</v>
      </c>
      <c r="D2305">
        <v>348</v>
      </c>
      <c r="E2305" t="s">
        <v>466</v>
      </c>
    </row>
    <row r="2306" spans="1:5" x14ac:dyDescent="0.35">
      <c r="A2306">
        <v>2008</v>
      </c>
      <c r="B2306" t="s">
        <v>33</v>
      </c>
      <c r="C2306" t="s">
        <v>57</v>
      </c>
      <c r="D2306">
        <v>17</v>
      </c>
      <c r="E2306" t="s">
        <v>466</v>
      </c>
    </row>
    <row r="2307" spans="1:5" x14ac:dyDescent="0.35">
      <c r="A2307">
        <v>2008</v>
      </c>
      <c r="B2307" t="s">
        <v>36</v>
      </c>
      <c r="C2307" t="s">
        <v>363</v>
      </c>
      <c r="D2307">
        <v>14</v>
      </c>
      <c r="E2307" t="s">
        <v>466</v>
      </c>
    </row>
    <row r="2308" spans="1:5" x14ac:dyDescent="0.35">
      <c r="A2308">
        <v>2008</v>
      </c>
      <c r="B2308" t="s">
        <v>38</v>
      </c>
      <c r="C2308" t="s">
        <v>59</v>
      </c>
      <c r="D2308">
        <v>328</v>
      </c>
      <c r="E2308" t="s">
        <v>466</v>
      </c>
    </row>
    <row r="2309" spans="1:5" x14ac:dyDescent="0.35">
      <c r="A2309">
        <v>2008</v>
      </c>
      <c r="B2309" t="s">
        <v>35</v>
      </c>
      <c r="C2309" t="s">
        <v>60</v>
      </c>
      <c r="D2309">
        <v>108</v>
      </c>
      <c r="E2309" t="s">
        <v>466</v>
      </c>
    </row>
    <row r="2310" spans="1:5" x14ac:dyDescent="0.35">
      <c r="A2310">
        <v>2008</v>
      </c>
      <c r="B2310" t="s">
        <v>38</v>
      </c>
      <c r="C2310" t="s">
        <v>21</v>
      </c>
      <c r="D2310">
        <v>3889</v>
      </c>
      <c r="E2310" t="s">
        <v>466</v>
      </c>
    </row>
    <row r="2311" spans="1:5" x14ac:dyDescent="0.35">
      <c r="A2311">
        <v>2008</v>
      </c>
      <c r="B2311" t="s">
        <v>36</v>
      </c>
      <c r="C2311" t="s">
        <v>364</v>
      </c>
      <c r="D2311">
        <v>8</v>
      </c>
      <c r="E2311" t="s">
        <v>466</v>
      </c>
    </row>
    <row r="2312" spans="1:5" x14ac:dyDescent="0.35">
      <c r="A2312">
        <v>2008</v>
      </c>
      <c r="B2312" t="s">
        <v>35</v>
      </c>
      <c r="C2312" t="s">
        <v>62</v>
      </c>
      <c r="D2312">
        <v>121</v>
      </c>
      <c r="E2312" t="s">
        <v>466</v>
      </c>
    </row>
    <row r="2313" spans="1:5" x14ac:dyDescent="0.35">
      <c r="A2313">
        <v>2008</v>
      </c>
      <c r="B2313" t="s">
        <v>33</v>
      </c>
      <c r="C2313" t="s">
        <v>63</v>
      </c>
      <c r="D2313">
        <v>31</v>
      </c>
      <c r="E2313" t="s">
        <v>466</v>
      </c>
    </row>
    <row r="2314" spans="1:5" x14ac:dyDescent="0.35">
      <c r="A2314">
        <v>2008</v>
      </c>
      <c r="B2314" t="s">
        <v>34</v>
      </c>
      <c r="C2314" t="s">
        <v>64</v>
      </c>
      <c r="D2314">
        <v>53</v>
      </c>
      <c r="E2314" t="s">
        <v>466</v>
      </c>
    </row>
    <row r="2315" spans="1:5" x14ac:dyDescent="0.35">
      <c r="A2315">
        <v>2008</v>
      </c>
      <c r="B2315" t="s">
        <v>33</v>
      </c>
      <c r="C2315" t="s">
        <v>65</v>
      </c>
      <c r="D2315">
        <v>12</v>
      </c>
      <c r="E2315" t="s">
        <v>466</v>
      </c>
    </row>
    <row r="2316" spans="1:5" x14ac:dyDescent="0.35">
      <c r="A2316">
        <v>2008</v>
      </c>
      <c r="B2316" t="s">
        <v>33</v>
      </c>
      <c r="C2316" t="s">
        <v>66</v>
      </c>
      <c r="D2316">
        <v>344</v>
      </c>
      <c r="E2316" t="s">
        <v>466</v>
      </c>
    </row>
    <row r="2317" spans="1:5" x14ac:dyDescent="0.35">
      <c r="A2317">
        <v>2008</v>
      </c>
      <c r="B2317" t="s">
        <v>34</v>
      </c>
      <c r="C2317" t="s">
        <v>67</v>
      </c>
      <c r="D2317">
        <v>153</v>
      </c>
      <c r="E2317" t="s">
        <v>466</v>
      </c>
    </row>
    <row r="2318" spans="1:5" x14ac:dyDescent="0.35">
      <c r="A2318">
        <v>2008</v>
      </c>
      <c r="B2318" t="s">
        <v>33</v>
      </c>
      <c r="C2318" t="s">
        <v>68</v>
      </c>
      <c r="D2318">
        <v>1378</v>
      </c>
      <c r="E2318" t="s">
        <v>466</v>
      </c>
    </row>
    <row r="2319" spans="1:5" x14ac:dyDescent="0.35">
      <c r="A2319">
        <v>2008</v>
      </c>
      <c r="B2319" t="s">
        <v>36</v>
      </c>
      <c r="C2319" t="s">
        <v>69</v>
      </c>
      <c r="D2319">
        <v>127</v>
      </c>
      <c r="E2319" t="s">
        <v>466</v>
      </c>
    </row>
    <row r="2320" spans="1:5" x14ac:dyDescent="0.35">
      <c r="A2320">
        <v>2008</v>
      </c>
      <c r="B2320" t="s">
        <v>36</v>
      </c>
      <c r="C2320" t="s">
        <v>365</v>
      </c>
      <c r="D2320">
        <v>6</v>
      </c>
      <c r="E2320" t="s">
        <v>466</v>
      </c>
    </row>
    <row r="2321" spans="1:5" x14ac:dyDescent="0.35">
      <c r="A2321">
        <v>2008</v>
      </c>
      <c r="B2321" t="s">
        <v>33</v>
      </c>
      <c r="C2321" t="s">
        <v>70</v>
      </c>
      <c r="D2321">
        <v>9</v>
      </c>
      <c r="E2321" t="s">
        <v>466</v>
      </c>
    </row>
    <row r="2322" spans="1:5" x14ac:dyDescent="0.35">
      <c r="A2322">
        <v>2008</v>
      </c>
      <c r="B2322" t="s">
        <v>33</v>
      </c>
      <c r="C2322" t="s">
        <v>71</v>
      </c>
      <c r="D2322">
        <v>14</v>
      </c>
      <c r="E2322" t="s">
        <v>466</v>
      </c>
    </row>
    <row r="2323" spans="1:5" x14ac:dyDescent="0.35">
      <c r="A2323">
        <v>2008</v>
      </c>
      <c r="B2323" t="s">
        <v>38</v>
      </c>
      <c r="C2323" t="s">
        <v>72</v>
      </c>
      <c r="D2323">
        <v>255</v>
      </c>
      <c r="E2323" t="s">
        <v>466</v>
      </c>
    </row>
    <row r="2324" spans="1:5" x14ac:dyDescent="0.35">
      <c r="A2324">
        <v>2008</v>
      </c>
      <c r="B2324" t="s">
        <v>34</v>
      </c>
      <c r="C2324" t="s">
        <v>73</v>
      </c>
      <c r="D2324">
        <v>2296</v>
      </c>
      <c r="E2324" t="s">
        <v>466</v>
      </c>
    </row>
    <row r="2325" spans="1:5" x14ac:dyDescent="0.35">
      <c r="A2325">
        <v>2008</v>
      </c>
      <c r="B2325" t="s">
        <v>38</v>
      </c>
      <c r="C2325" t="s">
        <v>20</v>
      </c>
      <c r="D2325">
        <v>3619</v>
      </c>
      <c r="E2325" t="s">
        <v>466</v>
      </c>
    </row>
    <row r="2326" spans="1:5" x14ac:dyDescent="0.35">
      <c r="A2326">
        <v>2008</v>
      </c>
      <c r="B2326" t="s">
        <v>33</v>
      </c>
      <c r="C2326" t="s">
        <v>74</v>
      </c>
      <c r="D2326">
        <v>26</v>
      </c>
      <c r="E2326" t="s">
        <v>466</v>
      </c>
    </row>
    <row r="2327" spans="1:5" x14ac:dyDescent="0.35">
      <c r="A2327">
        <v>2008</v>
      </c>
      <c r="B2327" t="s">
        <v>33</v>
      </c>
      <c r="C2327" t="s">
        <v>75</v>
      </c>
      <c r="D2327">
        <v>59</v>
      </c>
      <c r="E2327" t="s">
        <v>466</v>
      </c>
    </row>
    <row r="2328" spans="1:5" x14ac:dyDescent="0.35">
      <c r="A2328">
        <v>2008</v>
      </c>
      <c r="B2328" t="s">
        <v>36</v>
      </c>
      <c r="C2328" t="s">
        <v>76</v>
      </c>
      <c r="D2328">
        <v>629</v>
      </c>
      <c r="E2328" t="s">
        <v>466</v>
      </c>
    </row>
    <row r="2329" spans="1:5" x14ac:dyDescent="0.35">
      <c r="A2329">
        <v>2008</v>
      </c>
      <c r="B2329" t="s">
        <v>33</v>
      </c>
      <c r="C2329" t="s">
        <v>77</v>
      </c>
      <c r="D2329">
        <v>118</v>
      </c>
      <c r="E2329" t="s">
        <v>466</v>
      </c>
    </row>
    <row r="2330" spans="1:5" x14ac:dyDescent="0.35">
      <c r="A2330">
        <v>2008</v>
      </c>
      <c r="B2330" t="s">
        <v>35</v>
      </c>
      <c r="C2330" t="s">
        <v>78</v>
      </c>
      <c r="D2330">
        <v>23</v>
      </c>
      <c r="E2330" t="s">
        <v>466</v>
      </c>
    </row>
    <row r="2331" spans="1:5" x14ac:dyDescent="0.35">
      <c r="A2331">
        <v>2008</v>
      </c>
      <c r="B2331" t="s">
        <v>36</v>
      </c>
      <c r="C2331" t="s">
        <v>79</v>
      </c>
      <c r="D2331">
        <v>6676</v>
      </c>
      <c r="E2331" t="s">
        <v>466</v>
      </c>
    </row>
    <row r="2332" spans="1:5" x14ac:dyDescent="0.35">
      <c r="A2332">
        <v>2008</v>
      </c>
      <c r="B2332" t="s">
        <v>35</v>
      </c>
      <c r="C2332" t="s">
        <v>81</v>
      </c>
      <c r="D2332">
        <v>96</v>
      </c>
      <c r="E2332" t="s">
        <v>466</v>
      </c>
    </row>
    <row r="2333" spans="1:5" x14ac:dyDescent="0.35">
      <c r="A2333">
        <v>2008</v>
      </c>
      <c r="B2333" t="s">
        <v>35</v>
      </c>
      <c r="C2333" t="s">
        <v>214</v>
      </c>
      <c r="D2333">
        <v>29</v>
      </c>
      <c r="E2333" t="s">
        <v>466</v>
      </c>
    </row>
    <row r="2334" spans="1:5" x14ac:dyDescent="0.35">
      <c r="A2334">
        <v>2008</v>
      </c>
      <c r="B2334" t="s">
        <v>35</v>
      </c>
      <c r="C2334" t="s">
        <v>82</v>
      </c>
      <c r="D2334">
        <v>17</v>
      </c>
      <c r="E2334" t="s">
        <v>466</v>
      </c>
    </row>
    <row r="2335" spans="1:5" x14ac:dyDescent="0.35">
      <c r="A2335">
        <v>2008</v>
      </c>
      <c r="B2335" t="s">
        <v>36</v>
      </c>
      <c r="C2335" t="s">
        <v>84</v>
      </c>
      <c r="D2335">
        <v>72</v>
      </c>
      <c r="E2335" t="s">
        <v>466</v>
      </c>
    </row>
    <row r="2336" spans="1:5" x14ac:dyDescent="0.35">
      <c r="A2336">
        <v>2008</v>
      </c>
      <c r="B2336" t="s">
        <v>36</v>
      </c>
      <c r="C2336" t="s">
        <v>85</v>
      </c>
      <c r="D2336">
        <v>5470</v>
      </c>
      <c r="E2336" t="s">
        <v>466</v>
      </c>
    </row>
    <row r="2337" spans="1:5" x14ac:dyDescent="0.35">
      <c r="A2337">
        <v>2008</v>
      </c>
      <c r="B2337" t="s">
        <v>38</v>
      </c>
      <c r="C2337" t="s">
        <v>86</v>
      </c>
      <c r="D2337">
        <v>3676</v>
      </c>
      <c r="E2337" t="s">
        <v>466</v>
      </c>
    </row>
    <row r="2338" spans="1:5" x14ac:dyDescent="0.35">
      <c r="A2338">
        <v>2008</v>
      </c>
      <c r="B2338" t="s">
        <v>33</v>
      </c>
      <c r="C2338" t="s">
        <v>87</v>
      </c>
      <c r="D2338">
        <v>321</v>
      </c>
      <c r="E2338" t="s">
        <v>466</v>
      </c>
    </row>
    <row r="2339" spans="1:5" x14ac:dyDescent="0.35">
      <c r="A2339">
        <v>2008</v>
      </c>
      <c r="B2339" t="s">
        <v>36</v>
      </c>
      <c r="C2339" t="s">
        <v>16</v>
      </c>
      <c r="D2339">
        <v>27153</v>
      </c>
      <c r="E2339" t="s">
        <v>466</v>
      </c>
    </row>
    <row r="2340" spans="1:5" x14ac:dyDescent="0.35">
      <c r="A2340">
        <v>2008</v>
      </c>
      <c r="B2340" t="s">
        <v>33</v>
      </c>
      <c r="C2340" t="s">
        <v>88</v>
      </c>
      <c r="D2340">
        <v>4</v>
      </c>
      <c r="E2340" t="s">
        <v>466</v>
      </c>
    </row>
    <row r="2341" spans="1:5" x14ac:dyDescent="0.35">
      <c r="A2341">
        <v>2008</v>
      </c>
      <c r="B2341" t="s">
        <v>33</v>
      </c>
      <c r="C2341" t="s">
        <v>89</v>
      </c>
      <c r="D2341">
        <v>217</v>
      </c>
      <c r="E2341" t="s">
        <v>466</v>
      </c>
    </row>
    <row r="2342" spans="1:5" x14ac:dyDescent="0.35">
      <c r="A2342">
        <v>2008</v>
      </c>
      <c r="B2342" t="s">
        <v>35</v>
      </c>
      <c r="C2342" t="s">
        <v>90</v>
      </c>
      <c r="D2342">
        <v>34</v>
      </c>
      <c r="E2342" t="s">
        <v>466</v>
      </c>
    </row>
    <row r="2343" spans="1:5" x14ac:dyDescent="0.35">
      <c r="A2343">
        <v>2008</v>
      </c>
      <c r="B2343" t="s">
        <v>33</v>
      </c>
      <c r="C2343" t="s">
        <v>91</v>
      </c>
      <c r="D2343">
        <v>218</v>
      </c>
      <c r="E2343" t="s">
        <v>466</v>
      </c>
    </row>
    <row r="2344" spans="1:5" x14ac:dyDescent="0.35">
      <c r="A2344">
        <v>2008</v>
      </c>
      <c r="B2344" t="s">
        <v>37</v>
      </c>
      <c r="C2344" t="s">
        <v>92</v>
      </c>
      <c r="D2344">
        <v>128</v>
      </c>
      <c r="E2344" t="s">
        <v>466</v>
      </c>
    </row>
    <row r="2345" spans="1:5" x14ac:dyDescent="0.35">
      <c r="A2345">
        <v>2008</v>
      </c>
      <c r="B2345" t="s">
        <v>35</v>
      </c>
      <c r="C2345" t="s">
        <v>94</v>
      </c>
      <c r="D2345">
        <v>124</v>
      </c>
      <c r="E2345" t="s">
        <v>466</v>
      </c>
    </row>
    <row r="2346" spans="1:5" x14ac:dyDescent="0.35">
      <c r="A2346">
        <v>2008</v>
      </c>
      <c r="B2346" t="s">
        <v>33</v>
      </c>
      <c r="C2346" t="s">
        <v>95</v>
      </c>
      <c r="D2346">
        <v>7</v>
      </c>
      <c r="E2346" t="s">
        <v>466</v>
      </c>
    </row>
    <row r="2347" spans="1:5" x14ac:dyDescent="0.35">
      <c r="A2347">
        <v>2008</v>
      </c>
      <c r="B2347" t="s">
        <v>33</v>
      </c>
      <c r="C2347" t="s">
        <v>96</v>
      </c>
      <c r="D2347">
        <v>126</v>
      </c>
      <c r="E2347" t="s">
        <v>466</v>
      </c>
    </row>
    <row r="2348" spans="1:5" x14ac:dyDescent="0.35">
      <c r="A2348">
        <v>2008</v>
      </c>
      <c r="B2348" t="s">
        <v>34</v>
      </c>
      <c r="C2348" t="s">
        <v>8</v>
      </c>
      <c r="D2348">
        <v>105</v>
      </c>
      <c r="E2348" t="s">
        <v>466</v>
      </c>
    </row>
    <row r="2349" spans="1:5" x14ac:dyDescent="0.35">
      <c r="A2349">
        <v>2008</v>
      </c>
      <c r="B2349" t="s">
        <v>35</v>
      </c>
      <c r="C2349" t="s">
        <v>97</v>
      </c>
      <c r="D2349">
        <v>201</v>
      </c>
      <c r="E2349" t="s">
        <v>466</v>
      </c>
    </row>
    <row r="2350" spans="1:5" x14ac:dyDescent="0.35">
      <c r="A2350">
        <v>2008</v>
      </c>
      <c r="B2350" t="s">
        <v>33</v>
      </c>
      <c r="C2350" t="s">
        <v>98</v>
      </c>
      <c r="D2350">
        <v>414</v>
      </c>
      <c r="E2350" t="s">
        <v>466</v>
      </c>
    </row>
    <row r="2351" spans="1:5" x14ac:dyDescent="0.35">
      <c r="A2351">
        <v>2008</v>
      </c>
      <c r="B2351" t="s">
        <v>35</v>
      </c>
      <c r="C2351" t="s">
        <v>99</v>
      </c>
      <c r="D2351">
        <v>61</v>
      </c>
      <c r="E2351" t="s">
        <v>466</v>
      </c>
    </row>
    <row r="2352" spans="1:5" x14ac:dyDescent="0.35">
      <c r="A2352">
        <v>2008</v>
      </c>
      <c r="B2352" t="s">
        <v>36</v>
      </c>
      <c r="C2352" t="s">
        <v>100</v>
      </c>
      <c r="D2352">
        <v>56</v>
      </c>
      <c r="E2352" t="s">
        <v>466</v>
      </c>
    </row>
    <row r="2353" spans="1:5" x14ac:dyDescent="0.35">
      <c r="A2353">
        <v>2008</v>
      </c>
      <c r="B2353" t="s">
        <v>37</v>
      </c>
      <c r="C2353" t="s">
        <v>367</v>
      </c>
      <c r="D2353">
        <v>24</v>
      </c>
      <c r="E2353" t="s">
        <v>466</v>
      </c>
    </row>
    <row r="2354" spans="1:5" x14ac:dyDescent="0.35">
      <c r="A2354">
        <v>2008</v>
      </c>
      <c r="B2354" t="s">
        <v>36</v>
      </c>
      <c r="C2354" t="s">
        <v>15</v>
      </c>
      <c r="D2354">
        <v>33690</v>
      </c>
      <c r="E2354" t="s">
        <v>466</v>
      </c>
    </row>
    <row r="2355" spans="1:5" x14ac:dyDescent="0.35">
      <c r="A2355">
        <v>2008</v>
      </c>
      <c r="B2355" t="s">
        <v>33</v>
      </c>
      <c r="C2355" t="s">
        <v>101</v>
      </c>
      <c r="D2355">
        <v>163</v>
      </c>
      <c r="E2355" t="s">
        <v>466</v>
      </c>
    </row>
    <row r="2356" spans="1:5" x14ac:dyDescent="0.35">
      <c r="A2356">
        <v>2008</v>
      </c>
      <c r="B2356" t="s">
        <v>33</v>
      </c>
      <c r="C2356" t="s">
        <v>102</v>
      </c>
      <c r="D2356">
        <v>7</v>
      </c>
      <c r="E2356" t="s">
        <v>466</v>
      </c>
    </row>
    <row r="2357" spans="1:5" x14ac:dyDescent="0.35">
      <c r="A2357">
        <v>2008</v>
      </c>
      <c r="B2357" t="s">
        <v>38</v>
      </c>
      <c r="C2357" t="s">
        <v>103</v>
      </c>
      <c r="D2357">
        <v>508</v>
      </c>
      <c r="E2357" t="s">
        <v>466</v>
      </c>
    </row>
    <row r="2358" spans="1:5" x14ac:dyDescent="0.35">
      <c r="A2358">
        <v>2008</v>
      </c>
      <c r="B2358" t="s">
        <v>36</v>
      </c>
      <c r="C2358" t="s">
        <v>104</v>
      </c>
      <c r="D2358">
        <v>2299</v>
      </c>
      <c r="E2358" t="s">
        <v>466</v>
      </c>
    </row>
    <row r="2359" spans="1:5" x14ac:dyDescent="0.35">
      <c r="A2359">
        <v>2008</v>
      </c>
      <c r="B2359" t="s">
        <v>36</v>
      </c>
      <c r="C2359" t="s">
        <v>17</v>
      </c>
      <c r="D2359">
        <v>33777</v>
      </c>
      <c r="E2359" t="s">
        <v>466</v>
      </c>
    </row>
    <row r="2360" spans="1:5" x14ac:dyDescent="0.35">
      <c r="A2360">
        <v>2008</v>
      </c>
      <c r="B2360" t="s">
        <v>34</v>
      </c>
      <c r="C2360" t="s">
        <v>368</v>
      </c>
      <c r="D2360">
        <v>60</v>
      </c>
      <c r="E2360" t="s">
        <v>466</v>
      </c>
    </row>
    <row r="2361" spans="1:5" x14ac:dyDescent="0.35">
      <c r="A2361">
        <v>2008</v>
      </c>
      <c r="B2361" t="s">
        <v>35</v>
      </c>
      <c r="C2361" t="s">
        <v>105</v>
      </c>
      <c r="D2361">
        <v>80</v>
      </c>
      <c r="E2361" t="s">
        <v>466</v>
      </c>
    </row>
    <row r="2362" spans="1:5" x14ac:dyDescent="0.35">
      <c r="A2362">
        <v>2008</v>
      </c>
      <c r="B2362" t="s">
        <v>35</v>
      </c>
      <c r="C2362" t="s">
        <v>106</v>
      </c>
      <c r="D2362">
        <v>8</v>
      </c>
      <c r="E2362" t="s">
        <v>466</v>
      </c>
    </row>
    <row r="2363" spans="1:5" x14ac:dyDescent="0.35">
      <c r="A2363">
        <v>2008</v>
      </c>
      <c r="B2363" t="s">
        <v>34</v>
      </c>
      <c r="C2363" t="s">
        <v>22</v>
      </c>
      <c r="D2363">
        <v>1218</v>
      </c>
      <c r="E2363" t="s">
        <v>466</v>
      </c>
    </row>
    <row r="2364" spans="1:5" x14ac:dyDescent="0.35">
      <c r="A2364">
        <v>2008</v>
      </c>
      <c r="B2364" t="s">
        <v>34</v>
      </c>
      <c r="C2364" t="s">
        <v>107</v>
      </c>
      <c r="D2364">
        <v>632</v>
      </c>
      <c r="E2364" t="s">
        <v>466</v>
      </c>
    </row>
    <row r="2365" spans="1:5" x14ac:dyDescent="0.35">
      <c r="A2365">
        <v>2008</v>
      </c>
      <c r="B2365" t="s">
        <v>34</v>
      </c>
      <c r="C2365" t="s">
        <v>108</v>
      </c>
      <c r="D2365">
        <v>239</v>
      </c>
      <c r="E2365" t="s">
        <v>466</v>
      </c>
    </row>
    <row r="2366" spans="1:5" x14ac:dyDescent="0.35">
      <c r="A2366">
        <v>2008</v>
      </c>
      <c r="B2366" t="s">
        <v>34</v>
      </c>
      <c r="C2366" t="s">
        <v>109</v>
      </c>
      <c r="D2366">
        <v>222</v>
      </c>
      <c r="E2366" t="s">
        <v>466</v>
      </c>
    </row>
    <row r="2367" spans="1:5" x14ac:dyDescent="0.35">
      <c r="A2367">
        <v>2008</v>
      </c>
      <c r="B2367" t="s">
        <v>35</v>
      </c>
      <c r="C2367" t="s">
        <v>110</v>
      </c>
      <c r="D2367">
        <v>94</v>
      </c>
      <c r="E2367" t="s">
        <v>466</v>
      </c>
    </row>
    <row r="2368" spans="1:5" x14ac:dyDescent="0.35">
      <c r="A2368">
        <v>2008</v>
      </c>
      <c r="B2368" t="s">
        <v>34</v>
      </c>
      <c r="C2368" t="s">
        <v>111</v>
      </c>
      <c r="D2368">
        <v>298</v>
      </c>
      <c r="E2368" t="s">
        <v>466</v>
      </c>
    </row>
    <row r="2369" spans="1:5" x14ac:dyDescent="0.35">
      <c r="A2369">
        <v>2008</v>
      </c>
      <c r="B2369" t="s">
        <v>35</v>
      </c>
      <c r="C2369" t="s">
        <v>112</v>
      </c>
      <c r="D2369">
        <v>201</v>
      </c>
      <c r="E2369" t="s">
        <v>466</v>
      </c>
    </row>
    <row r="2370" spans="1:5" x14ac:dyDescent="0.35">
      <c r="A2370">
        <v>2008</v>
      </c>
      <c r="B2370" t="s">
        <v>36</v>
      </c>
      <c r="C2370" t="s">
        <v>113</v>
      </c>
      <c r="D2370">
        <v>3068</v>
      </c>
      <c r="E2370" t="s">
        <v>466</v>
      </c>
    </row>
    <row r="2371" spans="1:5" x14ac:dyDescent="0.35">
      <c r="A2371">
        <v>2008</v>
      </c>
      <c r="B2371" t="s">
        <v>34</v>
      </c>
      <c r="C2371" t="s">
        <v>114</v>
      </c>
      <c r="D2371">
        <v>68</v>
      </c>
      <c r="E2371" t="s">
        <v>466</v>
      </c>
    </row>
    <row r="2372" spans="1:5" x14ac:dyDescent="0.35">
      <c r="A2372">
        <v>2008</v>
      </c>
      <c r="B2372" t="s">
        <v>34</v>
      </c>
      <c r="C2372" t="s">
        <v>115</v>
      </c>
      <c r="D2372">
        <v>437</v>
      </c>
      <c r="E2372" t="s">
        <v>466</v>
      </c>
    </row>
    <row r="2373" spans="1:5" x14ac:dyDescent="0.35">
      <c r="A2373">
        <v>2008</v>
      </c>
      <c r="B2373" t="s">
        <v>34</v>
      </c>
      <c r="C2373" t="s">
        <v>116</v>
      </c>
      <c r="D2373">
        <v>78</v>
      </c>
      <c r="E2373" t="s">
        <v>466</v>
      </c>
    </row>
    <row r="2374" spans="1:5" x14ac:dyDescent="0.35">
      <c r="A2374">
        <v>2008</v>
      </c>
      <c r="B2374" t="s">
        <v>33</v>
      </c>
      <c r="C2374" t="s">
        <v>117</v>
      </c>
      <c r="D2374">
        <v>325</v>
      </c>
      <c r="E2374" t="s">
        <v>466</v>
      </c>
    </row>
    <row r="2375" spans="1:5" x14ac:dyDescent="0.35">
      <c r="A2375">
        <v>2008</v>
      </c>
      <c r="B2375" t="s">
        <v>34</v>
      </c>
      <c r="C2375" t="s">
        <v>118</v>
      </c>
      <c r="D2375">
        <v>545</v>
      </c>
      <c r="E2375" t="s">
        <v>466</v>
      </c>
    </row>
    <row r="2376" spans="1:5" x14ac:dyDescent="0.35">
      <c r="A2376">
        <v>2008</v>
      </c>
      <c r="B2376" t="s">
        <v>35</v>
      </c>
      <c r="C2376" t="s">
        <v>119</v>
      </c>
      <c r="E2376" t="s">
        <v>466</v>
      </c>
    </row>
    <row r="2377" spans="1:5" x14ac:dyDescent="0.35">
      <c r="A2377">
        <v>2008</v>
      </c>
      <c r="B2377" t="s">
        <v>34</v>
      </c>
      <c r="C2377" t="s">
        <v>120</v>
      </c>
      <c r="D2377">
        <v>27</v>
      </c>
      <c r="E2377" t="s">
        <v>466</v>
      </c>
    </row>
    <row r="2378" spans="1:5" x14ac:dyDescent="0.35">
      <c r="A2378">
        <v>2008</v>
      </c>
      <c r="B2378" t="s">
        <v>34</v>
      </c>
      <c r="C2378" t="s">
        <v>121</v>
      </c>
      <c r="D2378">
        <v>20</v>
      </c>
      <c r="E2378" t="s">
        <v>466</v>
      </c>
    </row>
    <row r="2379" spans="1:5" x14ac:dyDescent="0.35">
      <c r="A2379">
        <v>2008</v>
      </c>
      <c r="B2379" t="s">
        <v>34</v>
      </c>
      <c r="C2379" t="s">
        <v>122</v>
      </c>
      <c r="D2379">
        <v>712</v>
      </c>
      <c r="E2379" t="s">
        <v>466</v>
      </c>
    </row>
    <row r="2380" spans="1:5" x14ac:dyDescent="0.35">
      <c r="A2380">
        <v>2008</v>
      </c>
      <c r="B2380" t="s">
        <v>35</v>
      </c>
      <c r="C2380" t="s">
        <v>123</v>
      </c>
      <c r="D2380">
        <v>29</v>
      </c>
      <c r="E2380" t="s">
        <v>466</v>
      </c>
    </row>
    <row r="2381" spans="1:5" x14ac:dyDescent="0.35">
      <c r="A2381">
        <v>2008</v>
      </c>
      <c r="B2381" t="s">
        <v>34</v>
      </c>
      <c r="C2381" t="s">
        <v>124</v>
      </c>
      <c r="D2381">
        <v>236</v>
      </c>
      <c r="E2381" t="s">
        <v>466</v>
      </c>
    </row>
    <row r="2382" spans="1:5" x14ac:dyDescent="0.35">
      <c r="A2382">
        <v>2008</v>
      </c>
      <c r="B2382" t="s">
        <v>33</v>
      </c>
      <c r="C2382" t="s">
        <v>125</v>
      </c>
      <c r="D2382">
        <v>271</v>
      </c>
      <c r="E2382" t="s">
        <v>466</v>
      </c>
    </row>
    <row r="2383" spans="1:5" x14ac:dyDescent="0.35">
      <c r="A2383">
        <v>2008</v>
      </c>
      <c r="B2383" t="s">
        <v>33</v>
      </c>
      <c r="C2383" t="s">
        <v>126</v>
      </c>
      <c r="D2383">
        <v>21</v>
      </c>
      <c r="E2383" t="s">
        <v>466</v>
      </c>
    </row>
    <row r="2384" spans="1:5" x14ac:dyDescent="0.35">
      <c r="A2384">
        <v>2008</v>
      </c>
      <c r="B2384" t="s">
        <v>35</v>
      </c>
      <c r="C2384" t="s">
        <v>127</v>
      </c>
      <c r="D2384">
        <v>100</v>
      </c>
      <c r="E2384" t="s">
        <v>466</v>
      </c>
    </row>
    <row r="2385" spans="1:5" x14ac:dyDescent="0.35">
      <c r="A2385">
        <v>2008</v>
      </c>
      <c r="B2385" t="s">
        <v>34</v>
      </c>
      <c r="C2385" t="s">
        <v>369</v>
      </c>
      <c r="E2385" t="s">
        <v>466</v>
      </c>
    </row>
    <row r="2386" spans="1:5" x14ac:dyDescent="0.35">
      <c r="A2386">
        <v>2008</v>
      </c>
      <c r="B2386" t="s">
        <v>33</v>
      </c>
      <c r="C2386" t="s">
        <v>130</v>
      </c>
      <c r="D2386">
        <v>16</v>
      </c>
      <c r="E2386" t="s">
        <v>466</v>
      </c>
    </row>
    <row r="2387" spans="1:5" x14ac:dyDescent="0.35">
      <c r="A2387">
        <v>2008</v>
      </c>
      <c r="B2387" t="s">
        <v>34</v>
      </c>
      <c r="C2387" t="s">
        <v>131</v>
      </c>
      <c r="D2387">
        <v>91</v>
      </c>
      <c r="E2387" t="s">
        <v>466</v>
      </c>
    </row>
    <row r="2388" spans="1:5" x14ac:dyDescent="0.35">
      <c r="A2388">
        <v>2008</v>
      </c>
      <c r="B2388" t="s">
        <v>33</v>
      </c>
      <c r="C2388" t="s">
        <v>132</v>
      </c>
      <c r="D2388">
        <v>127</v>
      </c>
      <c r="E2388" t="s">
        <v>466</v>
      </c>
    </row>
    <row r="2389" spans="1:5" x14ac:dyDescent="0.35">
      <c r="A2389">
        <v>2008</v>
      </c>
      <c r="B2389" t="s">
        <v>35</v>
      </c>
      <c r="C2389" t="s">
        <v>133</v>
      </c>
      <c r="E2389" t="s">
        <v>466</v>
      </c>
    </row>
    <row r="2390" spans="1:5" x14ac:dyDescent="0.35">
      <c r="A2390">
        <v>2008</v>
      </c>
      <c r="B2390" t="s">
        <v>37</v>
      </c>
      <c r="C2390" t="s">
        <v>134</v>
      </c>
      <c r="D2390">
        <v>15</v>
      </c>
      <c r="E2390" t="s">
        <v>466</v>
      </c>
    </row>
    <row r="2391" spans="1:5" x14ac:dyDescent="0.35">
      <c r="A2391">
        <v>2008</v>
      </c>
      <c r="B2391" t="s">
        <v>33</v>
      </c>
      <c r="C2391" t="s">
        <v>135</v>
      </c>
      <c r="D2391">
        <v>128</v>
      </c>
      <c r="E2391" t="s">
        <v>466</v>
      </c>
    </row>
    <row r="2392" spans="1:5" x14ac:dyDescent="0.35">
      <c r="A2392">
        <v>2008</v>
      </c>
      <c r="B2392" t="s">
        <v>36</v>
      </c>
      <c r="C2392" t="s">
        <v>14</v>
      </c>
      <c r="D2392">
        <v>884043</v>
      </c>
      <c r="E2392" t="s">
        <v>466</v>
      </c>
    </row>
    <row r="2393" spans="1:5" x14ac:dyDescent="0.35">
      <c r="A2393">
        <v>2008</v>
      </c>
      <c r="B2393" t="s">
        <v>37</v>
      </c>
      <c r="C2393" t="s">
        <v>137</v>
      </c>
      <c r="D2393">
        <v>83</v>
      </c>
      <c r="E2393" t="s">
        <v>466</v>
      </c>
    </row>
    <row r="2394" spans="1:5" x14ac:dyDescent="0.35">
      <c r="A2394">
        <v>2008</v>
      </c>
      <c r="B2394" t="s">
        <v>35</v>
      </c>
      <c r="C2394" t="s">
        <v>138</v>
      </c>
      <c r="D2394">
        <v>82</v>
      </c>
      <c r="E2394" t="s">
        <v>466</v>
      </c>
    </row>
    <row r="2395" spans="1:5" x14ac:dyDescent="0.35">
      <c r="A2395">
        <v>2008</v>
      </c>
      <c r="B2395" t="s">
        <v>34</v>
      </c>
      <c r="C2395" t="s">
        <v>139</v>
      </c>
      <c r="D2395">
        <v>80</v>
      </c>
      <c r="E2395" t="s">
        <v>466</v>
      </c>
    </row>
    <row r="2396" spans="1:5" x14ac:dyDescent="0.35">
      <c r="A2396">
        <v>2008</v>
      </c>
      <c r="B2396" t="s">
        <v>35</v>
      </c>
      <c r="C2396" t="s">
        <v>140</v>
      </c>
      <c r="E2396" t="s">
        <v>466</v>
      </c>
    </row>
    <row r="2397" spans="1:5" x14ac:dyDescent="0.35">
      <c r="A2397">
        <v>2008</v>
      </c>
      <c r="B2397" t="s">
        <v>36</v>
      </c>
      <c r="C2397" t="s">
        <v>370</v>
      </c>
      <c r="D2397">
        <v>10</v>
      </c>
      <c r="E2397" t="s">
        <v>466</v>
      </c>
    </row>
    <row r="2398" spans="1:5" x14ac:dyDescent="0.35">
      <c r="A2398">
        <v>2008</v>
      </c>
      <c r="B2398" t="s">
        <v>33</v>
      </c>
      <c r="C2398" t="s">
        <v>141</v>
      </c>
      <c r="D2398">
        <v>227</v>
      </c>
      <c r="E2398" t="s">
        <v>466</v>
      </c>
    </row>
    <row r="2399" spans="1:5" x14ac:dyDescent="0.35">
      <c r="A2399">
        <v>2008</v>
      </c>
      <c r="B2399" t="s">
        <v>34</v>
      </c>
      <c r="C2399" t="s">
        <v>144</v>
      </c>
      <c r="D2399">
        <v>102</v>
      </c>
      <c r="E2399" t="s">
        <v>466</v>
      </c>
    </row>
    <row r="2400" spans="1:5" x14ac:dyDescent="0.35">
      <c r="A2400">
        <v>2008</v>
      </c>
      <c r="B2400" t="s">
        <v>35</v>
      </c>
      <c r="C2400" t="s">
        <v>145</v>
      </c>
      <c r="D2400">
        <v>59</v>
      </c>
      <c r="E2400" t="s">
        <v>466</v>
      </c>
    </row>
    <row r="2401" spans="1:5" x14ac:dyDescent="0.35">
      <c r="A2401">
        <v>2008</v>
      </c>
      <c r="B2401" t="s">
        <v>36</v>
      </c>
      <c r="C2401" t="s">
        <v>371</v>
      </c>
      <c r="D2401">
        <v>15</v>
      </c>
      <c r="E2401" t="s">
        <v>466</v>
      </c>
    </row>
    <row r="2402" spans="1:5" x14ac:dyDescent="0.35">
      <c r="A2402">
        <v>2008</v>
      </c>
      <c r="B2402" t="s">
        <v>37</v>
      </c>
      <c r="C2402" t="s">
        <v>146</v>
      </c>
      <c r="D2402">
        <v>45</v>
      </c>
      <c r="E2402" t="s">
        <v>466</v>
      </c>
    </row>
    <row r="2403" spans="1:5" x14ac:dyDescent="0.35">
      <c r="A2403">
        <v>2008</v>
      </c>
      <c r="B2403" t="s">
        <v>36</v>
      </c>
      <c r="C2403" t="s">
        <v>147</v>
      </c>
      <c r="D2403">
        <v>2801</v>
      </c>
      <c r="E2403" t="s">
        <v>466</v>
      </c>
    </row>
    <row r="2404" spans="1:5" x14ac:dyDescent="0.35">
      <c r="A2404">
        <v>2008</v>
      </c>
      <c r="B2404" t="s">
        <v>33</v>
      </c>
      <c r="C2404" t="s">
        <v>148</v>
      </c>
      <c r="D2404">
        <v>87</v>
      </c>
      <c r="E2404" t="s">
        <v>466</v>
      </c>
    </row>
    <row r="2405" spans="1:5" x14ac:dyDescent="0.35">
      <c r="A2405">
        <v>2008</v>
      </c>
      <c r="B2405" t="s">
        <v>33</v>
      </c>
      <c r="C2405" t="s">
        <v>149</v>
      </c>
      <c r="D2405">
        <v>680</v>
      </c>
      <c r="E2405" t="s">
        <v>466</v>
      </c>
    </row>
    <row r="2406" spans="1:5" x14ac:dyDescent="0.35">
      <c r="A2406">
        <v>2008</v>
      </c>
      <c r="B2406" t="s">
        <v>35</v>
      </c>
      <c r="C2406" t="s">
        <v>322</v>
      </c>
      <c r="D2406">
        <v>93</v>
      </c>
      <c r="E2406" t="s">
        <v>466</v>
      </c>
    </row>
    <row r="2407" spans="1:5" x14ac:dyDescent="0.35">
      <c r="A2407">
        <v>2008</v>
      </c>
      <c r="B2407" t="s">
        <v>35</v>
      </c>
      <c r="C2407" t="s">
        <v>150</v>
      </c>
      <c r="D2407">
        <v>13</v>
      </c>
      <c r="E2407" t="s">
        <v>466</v>
      </c>
    </row>
    <row r="2408" spans="1:5" x14ac:dyDescent="0.35">
      <c r="A2408">
        <v>2008</v>
      </c>
      <c r="B2408" t="s">
        <v>34</v>
      </c>
      <c r="C2408" t="s">
        <v>152</v>
      </c>
      <c r="D2408">
        <v>654</v>
      </c>
      <c r="E2408" t="s">
        <v>466</v>
      </c>
    </row>
    <row r="2409" spans="1:5" x14ac:dyDescent="0.35">
      <c r="A2409">
        <v>2008</v>
      </c>
      <c r="B2409" t="s">
        <v>37</v>
      </c>
      <c r="C2409" t="s">
        <v>153</v>
      </c>
      <c r="D2409">
        <v>20</v>
      </c>
      <c r="E2409" t="s">
        <v>466</v>
      </c>
    </row>
    <row r="2410" spans="1:5" x14ac:dyDescent="0.35">
      <c r="A2410">
        <v>2008</v>
      </c>
      <c r="B2410" t="s">
        <v>36</v>
      </c>
      <c r="C2410" t="s">
        <v>154</v>
      </c>
      <c r="D2410">
        <v>326</v>
      </c>
      <c r="E2410" t="s">
        <v>466</v>
      </c>
    </row>
    <row r="2411" spans="1:5" x14ac:dyDescent="0.35">
      <c r="A2411">
        <v>2008</v>
      </c>
      <c r="B2411" t="s">
        <v>38</v>
      </c>
      <c r="C2411" t="s">
        <v>155</v>
      </c>
      <c r="D2411">
        <v>26</v>
      </c>
      <c r="E2411" t="s">
        <v>466</v>
      </c>
    </row>
    <row r="2412" spans="1:5" x14ac:dyDescent="0.35">
      <c r="A2412">
        <v>2008</v>
      </c>
      <c r="B2412" t="s">
        <v>38</v>
      </c>
      <c r="C2412" t="s">
        <v>156</v>
      </c>
      <c r="D2412">
        <v>1807</v>
      </c>
      <c r="E2412" t="s">
        <v>466</v>
      </c>
    </row>
    <row r="2413" spans="1:5" x14ac:dyDescent="0.35">
      <c r="A2413">
        <v>2008</v>
      </c>
      <c r="B2413" t="s">
        <v>34</v>
      </c>
      <c r="C2413" t="s">
        <v>18</v>
      </c>
      <c r="D2413">
        <v>1340</v>
      </c>
      <c r="E2413" t="s">
        <v>466</v>
      </c>
    </row>
    <row r="2414" spans="1:5" x14ac:dyDescent="0.35">
      <c r="A2414">
        <v>2008</v>
      </c>
      <c r="B2414" t="s">
        <v>35</v>
      </c>
      <c r="C2414" t="s">
        <v>157</v>
      </c>
      <c r="D2414">
        <v>602</v>
      </c>
      <c r="E2414" t="s">
        <v>466</v>
      </c>
    </row>
    <row r="2415" spans="1:5" x14ac:dyDescent="0.35">
      <c r="A2415">
        <v>2008</v>
      </c>
      <c r="B2415" t="s">
        <v>35</v>
      </c>
      <c r="C2415" t="s">
        <v>158</v>
      </c>
      <c r="D2415">
        <v>234</v>
      </c>
      <c r="E2415" t="s">
        <v>466</v>
      </c>
    </row>
    <row r="2416" spans="1:5" x14ac:dyDescent="0.35">
      <c r="A2416">
        <v>2008</v>
      </c>
      <c r="B2416" t="s">
        <v>35</v>
      </c>
      <c r="C2416" t="s">
        <v>160</v>
      </c>
      <c r="D2416">
        <v>287</v>
      </c>
      <c r="E2416" t="s">
        <v>466</v>
      </c>
    </row>
    <row r="2417" spans="1:5" x14ac:dyDescent="0.35">
      <c r="A2417">
        <v>2008</v>
      </c>
      <c r="B2417" t="s">
        <v>35</v>
      </c>
      <c r="C2417" t="s">
        <v>161</v>
      </c>
      <c r="D2417">
        <v>470</v>
      </c>
      <c r="E2417" t="s">
        <v>466</v>
      </c>
    </row>
    <row r="2418" spans="1:5" x14ac:dyDescent="0.35">
      <c r="A2418">
        <v>2008</v>
      </c>
      <c r="B2418" t="s">
        <v>33</v>
      </c>
      <c r="C2418" t="s">
        <v>162</v>
      </c>
      <c r="D2418">
        <v>19</v>
      </c>
      <c r="E2418" t="s">
        <v>466</v>
      </c>
    </row>
    <row r="2419" spans="1:5" x14ac:dyDescent="0.35">
      <c r="A2419">
        <v>2008</v>
      </c>
      <c r="B2419" t="s">
        <v>36</v>
      </c>
      <c r="C2419" t="s">
        <v>163</v>
      </c>
      <c r="D2419">
        <v>41</v>
      </c>
      <c r="E2419" t="s">
        <v>466</v>
      </c>
    </row>
    <row r="2420" spans="1:5" x14ac:dyDescent="0.35">
      <c r="A2420">
        <v>2008</v>
      </c>
      <c r="B2420" t="s">
        <v>36</v>
      </c>
      <c r="C2420" t="s">
        <v>164</v>
      </c>
      <c r="D2420">
        <v>79</v>
      </c>
      <c r="E2420" t="s">
        <v>466</v>
      </c>
    </row>
    <row r="2421" spans="1:5" x14ac:dyDescent="0.35">
      <c r="A2421">
        <v>2008</v>
      </c>
      <c r="B2421" t="s">
        <v>36</v>
      </c>
      <c r="C2421" t="s">
        <v>165</v>
      </c>
      <c r="D2421">
        <v>69</v>
      </c>
      <c r="E2421" t="s">
        <v>466</v>
      </c>
    </row>
    <row r="2422" spans="1:5" x14ac:dyDescent="0.35">
      <c r="A2422">
        <v>2008</v>
      </c>
      <c r="B2422" t="s">
        <v>37</v>
      </c>
      <c r="C2422" t="s">
        <v>166</v>
      </c>
      <c r="D2422">
        <v>33</v>
      </c>
      <c r="E2422" t="s">
        <v>466</v>
      </c>
    </row>
    <row r="2423" spans="1:5" x14ac:dyDescent="0.35">
      <c r="A2423">
        <v>2008</v>
      </c>
      <c r="B2423" t="s">
        <v>34</v>
      </c>
      <c r="C2423" t="s">
        <v>167</v>
      </c>
      <c r="D2423">
        <v>87</v>
      </c>
      <c r="E2423" t="s">
        <v>466</v>
      </c>
    </row>
    <row r="2424" spans="1:5" x14ac:dyDescent="0.35">
      <c r="A2424">
        <v>2008</v>
      </c>
      <c r="B2424" t="s">
        <v>33</v>
      </c>
      <c r="C2424" t="s">
        <v>168</v>
      </c>
      <c r="D2424">
        <v>158</v>
      </c>
      <c r="E2424" t="s">
        <v>466</v>
      </c>
    </row>
    <row r="2425" spans="1:5" x14ac:dyDescent="0.35">
      <c r="A2425">
        <v>2008</v>
      </c>
      <c r="B2425" t="s">
        <v>35</v>
      </c>
      <c r="C2425" t="s">
        <v>169</v>
      </c>
      <c r="D2425">
        <v>4</v>
      </c>
      <c r="E2425" t="s">
        <v>466</v>
      </c>
    </row>
    <row r="2426" spans="1:5" x14ac:dyDescent="0.35">
      <c r="A2426">
        <v>2008</v>
      </c>
      <c r="B2426" t="s">
        <v>35</v>
      </c>
      <c r="C2426" t="s">
        <v>215</v>
      </c>
      <c r="D2426">
        <v>302</v>
      </c>
      <c r="E2426" t="s">
        <v>466</v>
      </c>
    </row>
    <row r="2427" spans="1:5" x14ac:dyDescent="0.35">
      <c r="A2427">
        <v>2008</v>
      </c>
      <c r="B2427" t="s">
        <v>33</v>
      </c>
      <c r="C2427" t="s">
        <v>170</v>
      </c>
      <c r="D2427">
        <v>158</v>
      </c>
      <c r="E2427" t="s">
        <v>466</v>
      </c>
    </row>
    <row r="2428" spans="1:5" x14ac:dyDescent="0.35">
      <c r="A2428">
        <v>2008</v>
      </c>
      <c r="B2428" t="s">
        <v>34</v>
      </c>
      <c r="C2428" t="s">
        <v>171</v>
      </c>
      <c r="D2428">
        <v>21</v>
      </c>
      <c r="E2428" t="s">
        <v>466</v>
      </c>
    </row>
    <row r="2429" spans="1:5" x14ac:dyDescent="0.35">
      <c r="A2429">
        <v>2008</v>
      </c>
      <c r="B2429" t="s">
        <v>35</v>
      </c>
      <c r="C2429" t="s">
        <v>172</v>
      </c>
      <c r="D2429">
        <v>45</v>
      </c>
      <c r="E2429" t="s">
        <v>466</v>
      </c>
    </row>
    <row r="2430" spans="1:5" x14ac:dyDescent="0.35">
      <c r="A2430">
        <v>2008</v>
      </c>
      <c r="B2430" t="s">
        <v>35</v>
      </c>
      <c r="C2430" t="s">
        <v>173</v>
      </c>
      <c r="D2430">
        <v>4</v>
      </c>
      <c r="E2430" t="s">
        <v>466</v>
      </c>
    </row>
    <row r="2431" spans="1:5" x14ac:dyDescent="0.35">
      <c r="A2431">
        <v>2008</v>
      </c>
      <c r="B2431" t="s">
        <v>33</v>
      </c>
      <c r="C2431" t="s">
        <v>174</v>
      </c>
      <c r="D2431">
        <v>201</v>
      </c>
      <c r="E2431" t="s">
        <v>466</v>
      </c>
    </row>
    <row r="2432" spans="1:5" x14ac:dyDescent="0.35">
      <c r="A2432">
        <v>2008</v>
      </c>
      <c r="B2432" t="s">
        <v>33</v>
      </c>
      <c r="C2432" t="s">
        <v>175</v>
      </c>
      <c r="D2432">
        <v>124</v>
      </c>
      <c r="E2432" t="s">
        <v>466</v>
      </c>
    </row>
    <row r="2433" spans="1:5" x14ac:dyDescent="0.35">
      <c r="A2433">
        <v>2008</v>
      </c>
      <c r="B2433" t="s">
        <v>33</v>
      </c>
      <c r="C2433" t="s">
        <v>176</v>
      </c>
      <c r="E2433" t="s">
        <v>466</v>
      </c>
    </row>
    <row r="2434" spans="1:5" x14ac:dyDescent="0.35">
      <c r="A2434">
        <v>2008</v>
      </c>
      <c r="B2434" t="s">
        <v>35</v>
      </c>
      <c r="C2434" t="s">
        <v>216</v>
      </c>
      <c r="D2434">
        <v>110</v>
      </c>
      <c r="E2434" t="s">
        <v>466</v>
      </c>
    </row>
    <row r="2435" spans="1:5" x14ac:dyDescent="0.35">
      <c r="A2435">
        <v>2008</v>
      </c>
      <c r="B2435" t="s">
        <v>35</v>
      </c>
      <c r="C2435" t="s">
        <v>177</v>
      </c>
      <c r="D2435">
        <v>91</v>
      </c>
      <c r="E2435" t="s">
        <v>466</v>
      </c>
    </row>
    <row r="2436" spans="1:5" x14ac:dyDescent="0.35">
      <c r="A2436">
        <v>2008</v>
      </c>
      <c r="B2436" t="s">
        <v>34</v>
      </c>
      <c r="C2436" t="s">
        <v>178</v>
      </c>
      <c r="D2436">
        <v>107</v>
      </c>
      <c r="E2436" t="s">
        <v>466</v>
      </c>
    </row>
    <row r="2437" spans="1:5" x14ac:dyDescent="0.35">
      <c r="A2437">
        <v>2008</v>
      </c>
      <c r="B2437" t="s">
        <v>33</v>
      </c>
      <c r="C2437" t="s">
        <v>179</v>
      </c>
      <c r="D2437">
        <v>164</v>
      </c>
      <c r="E2437" t="s">
        <v>466</v>
      </c>
    </row>
    <row r="2438" spans="1:5" x14ac:dyDescent="0.35">
      <c r="A2438">
        <v>2008</v>
      </c>
      <c r="B2438" t="s">
        <v>38</v>
      </c>
      <c r="C2438" t="s">
        <v>180</v>
      </c>
      <c r="D2438">
        <v>28</v>
      </c>
      <c r="E2438" t="s">
        <v>466</v>
      </c>
    </row>
    <row r="2439" spans="1:5" x14ac:dyDescent="0.35">
      <c r="A2439">
        <v>2008</v>
      </c>
      <c r="B2439" t="s">
        <v>35</v>
      </c>
      <c r="C2439" t="s">
        <v>182</v>
      </c>
      <c r="D2439">
        <v>30</v>
      </c>
      <c r="E2439" t="s">
        <v>466</v>
      </c>
    </row>
    <row r="2440" spans="1:5" x14ac:dyDescent="0.35">
      <c r="A2440">
        <v>2008</v>
      </c>
      <c r="B2440" t="s">
        <v>35</v>
      </c>
      <c r="C2440" t="s">
        <v>183</v>
      </c>
      <c r="D2440">
        <v>22</v>
      </c>
      <c r="E2440" t="s">
        <v>466</v>
      </c>
    </row>
    <row r="2441" spans="1:5" x14ac:dyDescent="0.35">
      <c r="A2441">
        <v>2008</v>
      </c>
      <c r="B2441" t="s">
        <v>34</v>
      </c>
      <c r="C2441" t="s">
        <v>184</v>
      </c>
      <c r="D2441">
        <v>101</v>
      </c>
      <c r="E2441" t="s">
        <v>466</v>
      </c>
    </row>
    <row r="2442" spans="1:5" x14ac:dyDescent="0.35">
      <c r="A2442">
        <v>2008</v>
      </c>
      <c r="B2442" t="s">
        <v>34</v>
      </c>
      <c r="C2442" t="s">
        <v>185</v>
      </c>
      <c r="D2442">
        <v>52</v>
      </c>
      <c r="E2442" t="s">
        <v>466</v>
      </c>
    </row>
    <row r="2443" spans="1:5" x14ac:dyDescent="0.35">
      <c r="A2443">
        <v>2008</v>
      </c>
      <c r="B2443" t="s">
        <v>34</v>
      </c>
      <c r="C2443" t="s">
        <v>186</v>
      </c>
      <c r="D2443">
        <v>43</v>
      </c>
      <c r="E2443" t="s">
        <v>466</v>
      </c>
    </row>
    <row r="2444" spans="1:5" x14ac:dyDescent="0.35">
      <c r="A2444">
        <v>2008</v>
      </c>
      <c r="B2444" t="s">
        <v>33</v>
      </c>
      <c r="C2444" t="s">
        <v>187</v>
      </c>
      <c r="D2444">
        <v>64</v>
      </c>
      <c r="E2444" t="s">
        <v>466</v>
      </c>
    </row>
    <row r="2445" spans="1:5" x14ac:dyDescent="0.35">
      <c r="A2445">
        <v>2008</v>
      </c>
      <c r="B2445" t="s">
        <v>34</v>
      </c>
      <c r="C2445" t="s">
        <v>188</v>
      </c>
      <c r="D2445">
        <v>381</v>
      </c>
      <c r="E2445" t="s">
        <v>466</v>
      </c>
    </row>
    <row r="2446" spans="1:5" x14ac:dyDescent="0.35">
      <c r="A2446">
        <v>2008</v>
      </c>
      <c r="B2446" t="s">
        <v>33</v>
      </c>
      <c r="C2446" t="s">
        <v>189</v>
      </c>
      <c r="D2446">
        <v>53</v>
      </c>
      <c r="E2446" t="s">
        <v>466</v>
      </c>
    </row>
    <row r="2447" spans="1:5" x14ac:dyDescent="0.35">
      <c r="A2447">
        <v>2008</v>
      </c>
      <c r="B2447" t="s">
        <v>37</v>
      </c>
      <c r="C2447" t="s">
        <v>190</v>
      </c>
      <c r="D2447">
        <v>99</v>
      </c>
      <c r="E2447" t="s">
        <v>466</v>
      </c>
    </row>
    <row r="2448" spans="1:5" x14ac:dyDescent="0.35">
      <c r="A2448">
        <v>2008</v>
      </c>
      <c r="B2448" t="s">
        <v>36</v>
      </c>
      <c r="C2448" t="s">
        <v>191</v>
      </c>
      <c r="D2448">
        <v>691</v>
      </c>
      <c r="E2448" t="s">
        <v>466</v>
      </c>
    </row>
    <row r="2449" spans="1:5" x14ac:dyDescent="0.35">
      <c r="A2449">
        <v>2008</v>
      </c>
      <c r="B2449" t="s">
        <v>33</v>
      </c>
      <c r="C2449" t="s">
        <v>192</v>
      </c>
      <c r="D2449">
        <v>53</v>
      </c>
      <c r="E2449" t="s">
        <v>466</v>
      </c>
    </row>
    <row r="2450" spans="1:5" x14ac:dyDescent="0.35">
      <c r="A2450">
        <v>2008</v>
      </c>
      <c r="B2450" t="s">
        <v>34</v>
      </c>
      <c r="C2450" t="s">
        <v>193</v>
      </c>
      <c r="D2450">
        <v>310</v>
      </c>
      <c r="E2450" t="s">
        <v>466</v>
      </c>
    </row>
    <row r="2451" spans="1:5" x14ac:dyDescent="0.35">
      <c r="A2451">
        <v>2008</v>
      </c>
      <c r="B2451" t="s">
        <v>34</v>
      </c>
      <c r="C2451" t="s">
        <v>194</v>
      </c>
      <c r="D2451">
        <v>11</v>
      </c>
      <c r="E2451" t="s">
        <v>466</v>
      </c>
    </row>
    <row r="2452" spans="1:5" x14ac:dyDescent="0.35">
      <c r="A2452">
        <v>2008</v>
      </c>
      <c r="B2452" t="s">
        <v>36</v>
      </c>
      <c r="C2452" t="s">
        <v>372</v>
      </c>
      <c r="D2452">
        <v>17</v>
      </c>
      <c r="E2452" t="s">
        <v>466</v>
      </c>
    </row>
    <row r="2453" spans="1:5" x14ac:dyDescent="0.35">
      <c r="A2453">
        <v>2008</v>
      </c>
      <c r="B2453" t="s">
        <v>33</v>
      </c>
      <c r="C2453" t="s">
        <v>195</v>
      </c>
      <c r="D2453">
        <v>59</v>
      </c>
      <c r="E2453" t="s">
        <v>466</v>
      </c>
    </row>
    <row r="2454" spans="1:5" x14ac:dyDescent="0.35">
      <c r="A2454">
        <v>2008</v>
      </c>
      <c r="B2454" t="s">
        <v>35</v>
      </c>
      <c r="C2454" t="s">
        <v>196</v>
      </c>
      <c r="D2454">
        <v>403</v>
      </c>
      <c r="E2454" t="s">
        <v>466</v>
      </c>
    </row>
    <row r="2455" spans="1:5" x14ac:dyDescent="0.35">
      <c r="A2455">
        <v>2008</v>
      </c>
      <c r="B2455" t="s">
        <v>34</v>
      </c>
      <c r="C2455" t="s">
        <v>197</v>
      </c>
      <c r="D2455">
        <v>4</v>
      </c>
      <c r="E2455" t="s">
        <v>466</v>
      </c>
    </row>
    <row r="2456" spans="1:5" x14ac:dyDescent="0.35">
      <c r="A2456">
        <v>2008</v>
      </c>
      <c r="B2456" t="s">
        <v>35</v>
      </c>
      <c r="C2456" t="s">
        <v>198</v>
      </c>
      <c r="D2456">
        <v>510</v>
      </c>
      <c r="E2456" t="s">
        <v>466</v>
      </c>
    </row>
    <row r="2457" spans="1:5" x14ac:dyDescent="0.35">
      <c r="A2457">
        <v>2008</v>
      </c>
      <c r="B2457" t="s">
        <v>39</v>
      </c>
      <c r="C2457" t="s">
        <v>39</v>
      </c>
      <c r="D2457">
        <v>1022</v>
      </c>
      <c r="E2457" t="s">
        <v>466</v>
      </c>
    </row>
    <row r="2458" spans="1:5" x14ac:dyDescent="0.35">
      <c r="A2458">
        <v>2008</v>
      </c>
      <c r="B2458" t="s">
        <v>38</v>
      </c>
      <c r="C2458" t="s">
        <v>199</v>
      </c>
      <c r="D2458">
        <v>200</v>
      </c>
      <c r="E2458" t="s">
        <v>466</v>
      </c>
    </row>
    <row r="2459" spans="1:5" x14ac:dyDescent="0.35">
      <c r="A2459">
        <v>2008</v>
      </c>
      <c r="B2459" t="s">
        <v>34</v>
      </c>
      <c r="C2459" t="s">
        <v>200</v>
      </c>
      <c r="D2459">
        <v>157</v>
      </c>
      <c r="E2459" t="s">
        <v>466</v>
      </c>
    </row>
    <row r="2460" spans="1:5" x14ac:dyDescent="0.35">
      <c r="A2460">
        <v>2008</v>
      </c>
      <c r="B2460" t="s">
        <v>38</v>
      </c>
      <c r="C2460" t="s">
        <v>19</v>
      </c>
      <c r="D2460">
        <v>750</v>
      </c>
      <c r="E2460" t="s">
        <v>466</v>
      </c>
    </row>
    <row r="2461" spans="1:5" x14ac:dyDescent="0.35">
      <c r="A2461">
        <v>2008</v>
      </c>
      <c r="B2461" t="s">
        <v>34</v>
      </c>
      <c r="C2461" t="s">
        <v>201</v>
      </c>
      <c r="D2461">
        <v>1342</v>
      </c>
      <c r="E2461" t="s">
        <v>466</v>
      </c>
    </row>
    <row r="2462" spans="1:5" x14ac:dyDescent="0.35">
      <c r="A2462">
        <v>2008</v>
      </c>
      <c r="B2462" t="s">
        <v>34</v>
      </c>
      <c r="C2462" t="s">
        <v>202</v>
      </c>
      <c r="D2462">
        <v>90</v>
      </c>
      <c r="E2462" t="s">
        <v>466</v>
      </c>
    </row>
    <row r="2463" spans="1:5" x14ac:dyDescent="0.35">
      <c r="A2463">
        <v>2008</v>
      </c>
      <c r="B2463" t="s">
        <v>33</v>
      </c>
      <c r="C2463" t="s">
        <v>203</v>
      </c>
      <c r="D2463">
        <v>45</v>
      </c>
      <c r="E2463" t="s">
        <v>466</v>
      </c>
    </row>
    <row r="2464" spans="1:5" x14ac:dyDescent="0.35">
      <c r="A2464">
        <v>2008</v>
      </c>
      <c r="B2464" t="s">
        <v>33</v>
      </c>
      <c r="C2464" t="s">
        <v>204</v>
      </c>
      <c r="D2464">
        <v>72</v>
      </c>
      <c r="E2464" t="s">
        <v>466</v>
      </c>
    </row>
    <row r="2465" spans="1:5" x14ac:dyDescent="0.35">
      <c r="A2465">
        <v>2009</v>
      </c>
      <c r="B2465" t="s">
        <v>38</v>
      </c>
      <c r="C2465" t="s">
        <v>155</v>
      </c>
      <c r="D2465">
        <v>43</v>
      </c>
      <c r="E2465" t="s">
        <v>328</v>
      </c>
    </row>
    <row r="2466" spans="1:5" x14ac:dyDescent="0.35">
      <c r="A2466">
        <v>2009</v>
      </c>
      <c r="B2466" t="s">
        <v>38</v>
      </c>
      <c r="C2466" t="s">
        <v>155</v>
      </c>
      <c r="D2466">
        <v>4</v>
      </c>
      <c r="E2466" t="s">
        <v>458</v>
      </c>
    </row>
    <row r="2467" spans="1:5" x14ac:dyDescent="0.35">
      <c r="A2467">
        <v>2009</v>
      </c>
      <c r="B2467" t="s">
        <v>36</v>
      </c>
      <c r="C2467" t="s">
        <v>154</v>
      </c>
      <c r="D2467">
        <v>118</v>
      </c>
      <c r="E2467" t="s">
        <v>328</v>
      </c>
    </row>
    <row r="2468" spans="1:5" x14ac:dyDescent="0.35">
      <c r="A2468">
        <v>2009</v>
      </c>
      <c r="B2468" t="s">
        <v>36</v>
      </c>
      <c r="C2468" t="s">
        <v>154</v>
      </c>
      <c r="D2468">
        <v>81</v>
      </c>
      <c r="E2468" t="s">
        <v>458</v>
      </c>
    </row>
    <row r="2469" spans="1:5" x14ac:dyDescent="0.35">
      <c r="A2469">
        <v>2009</v>
      </c>
      <c r="B2469" t="s">
        <v>37</v>
      </c>
      <c r="C2469" t="s">
        <v>153</v>
      </c>
      <c r="D2469">
        <v>4</v>
      </c>
      <c r="E2469" t="s">
        <v>328</v>
      </c>
    </row>
    <row r="2470" spans="1:5" x14ac:dyDescent="0.35">
      <c r="A2470">
        <v>2009</v>
      </c>
      <c r="B2470" t="s">
        <v>37</v>
      </c>
      <c r="C2470" t="s">
        <v>153</v>
      </c>
      <c r="D2470">
        <v>10</v>
      </c>
      <c r="E2470" t="s">
        <v>458</v>
      </c>
    </row>
    <row r="2471" spans="1:5" x14ac:dyDescent="0.35">
      <c r="A2471">
        <v>2009</v>
      </c>
      <c r="B2471" t="s">
        <v>34</v>
      </c>
      <c r="C2471" t="s">
        <v>152</v>
      </c>
      <c r="D2471">
        <v>285</v>
      </c>
      <c r="E2471" t="s">
        <v>328</v>
      </c>
    </row>
    <row r="2472" spans="1:5" x14ac:dyDescent="0.35">
      <c r="A2472">
        <v>2009</v>
      </c>
      <c r="B2472" t="s">
        <v>33</v>
      </c>
      <c r="C2472" t="s">
        <v>148</v>
      </c>
      <c r="D2472">
        <v>9</v>
      </c>
      <c r="E2472" t="s">
        <v>458</v>
      </c>
    </row>
    <row r="2473" spans="1:5" x14ac:dyDescent="0.35">
      <c r="A2473">
        <v>2009</v>
      </c>
      <c r="B2473" t="s">
        <v>35</v>
      </c>
      <c r="C2473" t="s">
        <v>150</v>
      </c>
      <c r="E2473" t="s">
        <v>328</v>
      </c>
    </row>
    <row r="2474" spans="1:5" x14ac:dyDescent="0.35">
      <c r="A2474">
        <v>2009</v>
      </c>
      <c r="B2474" t="s">
        <v>35</v>
      </c>
      <c r="C2474" t="s">
        <v>150</v>
      </c>
      <c r="E2474" t="s">
        <v>458</v>
      </c>
    </row>
    <row r="2475" spans="1:5" x14ac:dyDescent="0.35">
      <c r="A2475">
        <v>2009</v>
      </c>
      <c r="B2475" t="s">
        <v>35</v>
      </c>
      <c r="C2475" t="s">
        <v>322</v>
      </c>
      <c r="D2475">
        <v>38</v>
      </c>
      <c r="E2475" t="s">
        <v>328</v>
      </c>
    </row>
    <row r="2476" spans="1:5" x14ac:dyDescent="0.35">
      <c r="A2476">
        <v>2009</v>
      </c>
      <c r="B2476" t="s">
        <v>35</v>
      </c>
      <c r="C2476" t="s">
        <v>322</v>
      </c>
      <c r="D2476">
        <v>11</v>
      </c>
      <c r="E2476" t="s">
        <v>458</v>
      </c>
    </row>
    <row r="2477" spans="1:5" x14ac:dyDescent="0.35">
      <c r="A2477">
        <v>2009</v>
      </c>
      <c r="B2477" t="s">
        <v>33</v>
      </c>
      <c r="C2477" t="s">
        <v>149</v>
      </c>
      <c r="D2477">
        <v>202</v>
      </c>
      <c r="E2477" t="s">
        <v>328</v>
      </c>
    </row>
    <row r="2478" spans="1:5" x14ac:dyDescent="0.35">
      <c r="A2478">
        <v>2009</v>
      </c>
      <c r="B2478" t="s">
        <v>33</v>
      </c>
      <c r="C2478" t="s">
        <v>149</v>
      </c>
      <c r="D2478">
        <v>222</v>
      </c>
      <c r="E2478" t="s">
        <v>458</v>
      </c>
    </row>
    <row r="2479" spans="1:5" x14ac:dyDescent="0.35">
      <c r="A2479">
        <v>2009</v>
      </c>
      <c r="B2479" t="s">
        <v>33</v>
      </c>
      <c r="C2479" t="s">
        <v>148</v>
      </c>
      <c r="D2479">
        <v>22</v>
      </c>
      <c r="E2479" t="s">
        <v>328</v>
      </c>
    </row>
    <row r="2480" spans="1:5" x14ac:dyDescent="0.35">
      <c r="A2480">
        <v>2009</v>
      </c>
      <c r="B2480" t="s">
        <v>36</v>
      </c>
      <c r="C2480" t="s">
        <v>165</v>
      </c>
      <c r="D2480">
        <v>16</v>
      </c>
      <c r="E2480" t="s">
        <v>328</v>
      </c>
    </row>
    <row r="2481" spans="1:5" x14ac:dyDescent="0.35">
      <c r="A2481">
        <v>2009</v>
      </c>
      <c r="B2481" t="s">
        <v>34</v>
      </c>
      <c r="C2481" t="s">
        <v>152</v>
      </c>
      <c r="D2481">
        <v>73</v>
      </c>
      <c r="E2481" t="s">
        <v>458</v>
      </c>
    </row>
    <row r="2482" spans="1:5" x14ac:dyDescent="0.35">
      <c r="A2482">
        <v>2009</v>
      </c>
      <c r="B2482" t="s">
        <v>38</v>
      </c>
      <c r="C2482" t="s">
        <v>156</v>
      </c>
      <c r="D2482">
        <v>365</v>
      </c>
      <c r="E2482" t="s">
        <v>458</v>
      </c>
    </row>
    <row r="2483" spans="1:5" x14ac:dyDescent="0.35">
      <c r="A2483">
        <v>2009</v>
      </c>
      <c r="B2483" t="s">
        <v>35</v>
      </c>
      <c r="C2483" t="s">
        <v>160</v>
      </c>
      <c r="D2483">
        <v>119</v>
      </c>
      <c r="E2483" t="s">
        <v>328</v>
      </c>
    </row>
    <row r="2484" spans="1:5" x14ac:dyDescent="0.35">
      <c r="A2484">
        <v>2009</v>
      </c>
      <c r="B2484" t="s">
        <v>34</v>
      </c>
      <c r="C2484" t="s">
        <v>18</v>
      </c>
      <c r="D2484">
        <v>269</v>
      </c>
      <c r="E2484" t="s">
        <v>458</v>
      </c>
    </row>
    <row r="2485" spans="1:5" x14ac:dyDescent="0.35">
      <c r="A2485">
        <v>2009</v>
      </c>
      <c r="B2485" t="s">
        <v>36</v>
      </c>
      <c r="C2485" t="s">
        <v>147</v>
      </c>
      <c r="D2485">
        <v>1552</v>
      </c>
      <c r="E2485" t="s">
        <v>328</v>
      </c>
    </row>
    <row r="2486" spans="1:5" x14ac:dyDescent="0.35">
      <c r="A2486">
        <v>2009</v>
      </c>
      <c r="B2486" t="s">
        <v>36</v>
      </c>
      <c r="C2486" t="s">
        <v>165</v>
      </c>
      <c r="D2486">
        <v>16</v>
      </c>
      <c r="E2486" t="s">
        <v>458</v>
      </c>
    </row>
    <row r="2487" spans="1:5" x14ac:dyDescent="0.35">
      <c r="A2487">
        <v>2009</v>
      </c>
      <c r="B2487" t="s">
        <v>36</v>
      </c>
      <c r="C2487" t="s">
        <v>164</v>
      </c>
      <c r="D2487">
        <v>17</v>
      </c>
      <c r="E2487" t="s">
        <v>328</v>
      </c>
    </row>
    <row r="2488" spans="1:5" x14ac:dyDescent="0.35">
      <c r="A2488">
        <v>2009</v>
      </c>
      <c r="B2488" t="s">
        <v>36</v>
      </c>
      <c r="C2488" t="s">
        <v>164</v>
      </c>
      <c r="D2488">
        <v>20</v>
      </c>
      <c r="E2488" t="s">
        <v>458</v>
      </c>
    </row>
    <row r="2489" spans="1:5" x14ac:dyDescent="0.35">
      <c r="A2489">
        <v>2009</v>
      </c>
      <c r="B2489" t="s">
        <v>36</v>
      </c>
      <c r="C2489" t="s">
        <v>163</v>
      </c>
      <c r="D2489">
        <v>4</v>
      </c>
      <c r="E2489" t="s">
        <v>328</v>
      </c>
    </row>
    <row r="2490" spans="1:5" x14ac:dyDescent="0.35">
      <c r="A2490">
        <v>2009</v>
      </c>
      <c r="B2490" t="s">
        <v>36</v>
      </c>
      <c r="C2490" t="s">
        <v>163</v>
      </c>
      <c r="D2490">
        <v>8</v>
      </c>
      <c r="E2490" t="s">
        <v>458</v>
      </c>
    </row>
    <row r="2491" spans="1:5" x14ac:dyDescent="0.35">
      <c r="A2491">
        <v>2009</v>
      </c>
      <c r="B2491" t="s">
        <v>33</v>
      </c>
      <c r="C2491" t="s">
        <v>162</v>
      </c>
      <c r="E2491" t="s">
        <v>328</v>
      </c>
    </row>
    <row r="2492" spans="1:5" x14ac:dyDescent="0.35">
      <c r="A2492">
        <v>2009</v>
      </c>
      <c r="B2492" t="s">
        <v>38</v>
      </c>
      <c r="C2492" t="s">
        <v>156</v>
      </c>
      <c r="D2492">
        <v>917</v>
      </c>
      <c r="E2492" t="s">
        <v>328</v>
      </c>
    </row>
    <row r="2493" spans="1:5" x14ac:dyDescent="0.35">
      <c r="A2493">
        <v>2009</v>
      </c>
      <c r="B2493" t="s">
        <v>33</v>
      </c>
      <c r="C2493" t="s">
        <v>162</v>
      </c>
      <c r="E2493" t="s">
        <v>458</v>
      </c>
    </row>
    <row r="2494" spans="1:5" x14ac:dyDescent="0.35">
      <c r="A2494">
        <v>2009</v>
      </c>
      <c r="B2494" t="s">
        <v>35</v>
      </c>
      <c r="C2494" t="s">
        <v>161</v>
      </c>
      <c r="D2494">
        <v>61</v>
      </c>
      <c r="E2494" t="s">
        <v>458</v>
      </c>
    </row>
    <row r="2495" spans="1:5" x14ac:dyDescent="0.35">
      <c r="A2495">
        <v>2009</v>
      </c>
      <c r="B2495" t="s">
        <v>35</v>
      </c>
      <c r="C2495" t="s">
        <v>160</v>
      </c>
      <c r="D2495">
        <v>34</v>
      </c>
      <c r="E2495" t="s">
        <v>458</v>
      </c>
    </row>
    <row r="2496" spans="1:5" x14ac:dyDescent="0.35">
      <c r="A2496">
        <v>2009</v>
      </c>
      <c r="B2496" t="s">
        <v>35</v>
      </c>
      <c r="C2496" t="s">
        <v>158</v>
      </c>
      <c r="D2496">
        <v>114</v>
      </c>
      <c r="E2496" t="s">
        <v>328</v>
      </c>
    </row>
    <row r="2497" spans="1:5" x14ac:dyDescent="0.35">
      <c r="A2497">
        <v>2009</v>
      </c>
      <c r="B2497" t="s">
        <v>35</v>
      </c>
      <c r="C2497" t="s">
        <v>158</v>
      </c>
      <c r="D2497">
        <v>92</v>
      </c>
      <c r="E2497" t="s">
        <v>458</v>
      </c>
    </row>
    <row r="2498" spans="1:5" x14ac:dyDescent="0.35">
      <c r="A2498">
        <v>2009</v>
      </c>
      <c r="B2498" t="s">
        <v>35</v>
      </c>
      <c r="C2498" t="s">
        <v>157</v>
      </c>
      <c r="D2498">
        <v>460</v>
      </c>
      <c r="E2498" t="s">
        <v>328</v>
      </c>
    </row>
    <row r="2499" spans="1:5" x14ac:dyDescent="0.35">
      <c r="A2499">
        <v>2009</v>
      </c>
      <c r="B2499" t="s">
        <v>35</v>
      </c>
      <c r="C2499" t="s">
        <v>157</v>
      </c>
      <c r="D2499">
        <v>135</v>
      </c>
      <c r="E2499" t="s">
        <v>458</v>
      </c>
    </row>
    <row r="2500" spans="1:5" x14ac:dyDescent="0.35">
      <c r="A2500">
        <v>2009</v>
      </c>
      <c r="B2500" t="s">
        <v>34</v>
      </c>
      <c r="C2500" t="s">
        <v>18</v>
      </c>
      <c r="D2500">
        <v>478</v>
      </c>
      <c r="E2500" t="s">
        <v>328</v>
      </c>
    </row>
    <row r="2501" spans="1:5" x14ac:dyDescent="0.35">
      <c r="A2501">
        <v>2009</v>
      </c>
      <c r="B2501" t="s">
        <v>35</v>
      </c>
      <c r="C2501" t="s">
        <v>161</v>
      </c>
      <c r="D2501">
        <v>202</v>
      </c>
      <c r="E2501" t="s">
        <v>328</v>
      </c>
    </row>
    <row r="2502" spans="1:5" x14ac:dyDescent="0.35">
      <c r="A2502">
        <v>2009</v>
      </c>
      <c r="B2502" t="s">
        <v>36</v>
      </c>
      <c r="C2502" t="s">
        <v>147</v>
      </c>
      <c r="D2502">
        <v>620</v>
      </c>
      <c r="E2502" t="s">
        <v>458</v>
      </c>
    </row>
    <row r="2503" spans="1:5" x14ac:dyDescent="0.35">
      <c r="A2503">
        <v>2009</v>
      </c>
      <c r="B2503" t="s">
        <v>37</v>
      </c>
      <c r="C2503" t="s">
        <v>134</v>
      </c>
      <c r="E2503" t="s">
        <v>328</v>
      </c>
    </row>
    <row r="2504" spans="1:5" x14ac:dyDescent="0.35">
      <c r="A2504">
        <v>2009</v>
      </c>
      <c r="B2504" t="s">
        <v>37</v>
      </c>
      <c r="C2504" t="s">
        <v>146</v>
      </c>
      <c r="D2504">
        <v>6</v>
      </c>
      <c r="E2504" t="s">
        <v>458</v>
      </c>
    </row>
    <row r="2505" spans="1:5" x14ac:dyDescent="0.35">
      <c r="A2505">
        <v>2009</v>
      </c>
      <c r="B2505" t="s">
        <v>34</v>
      </c>
      <c r="C2505" t="s">
        <v>131</v>
      </c>
      <c r="D2505">
        <v>15</v>
      </c>
      <c r="E2505" t="s">
        <v>458</v>
      </c>
    </row>
    <row r="2506" spans="1:5" x14ac:dyDescent="0.35">
      <c r="A2506">
        <v>2009</v>
      </c>
      <c r="B2506" t="s">
        <v>33</v>
      </c>
      <c r="C2506" t="s">
        <v>130</v>
      </c>
      <c r="E2506" t="s">
        <v>328</v>
      </c>
    </row>
    <row r="2507" spans="1:5" x14ac:dyDescent="0.35">
      <c r="A2507">
        <v>2009</v>
      </c>
      <c r="B2507" t="s">
        <v>33</v>
      </c>
      <c r="C2507" t="s">
        <v>130</v>
      </c>
      <c r="E2507" t="s">
        <v>458</v>
      </c>
    </row>
    <row r="2508" spans="1:5" x14ac:dyDescent="0.35">
      <c r="A2508">
        <v>2009</v>
      </c>
      <c r="B2508" t="s">
        <v>35</v>
      </c>
      <c r="C2508" t="s">
        <v>127</v>
      </c>
      <c r="D2508">
        <v>58</v>
      </c>
      <c r="E2508" t="s">
        <v>328</v>
      </c>
    </row>
    <row r="2509" spans="1:5" x14ac:dyDescent="0.35">
      <c r="A2509">
        <v>2009</v>
      </c>
      <c r="B2509" t="s">
        <v>35</v>
      </c>
      <c r="C2509" t="s">
        <v>127</v>
      </c>
      <c r="D2509">
        <v>14</v>
      </c>
      <c r="E2509" t="s">
        <v>458</v>
      </c>
    </row>
    <row r="2510" spans="1:5" x14ac:dyDescent="0.35">
      <c r="A2510">
        <v>2009</v>
      </c>
      <c r="B2510" t="s">
        <v>33</v>
      </c>
      <c r="C2510" t="s">
        <v>125</v>
      </c>
      <c r="D2510">
        <v>29</v>
      </c>
      <c r="E2510" t="s">
        <v>328</v>
      </c>
    </row>
    <row r="2511" spans="1:5" x14ac:dyDescent="0.35">
      <c r="A2511">
        <v>2009</v>
      </c>
      <c r="B2511" t="s">
        <v>33</v>
      </c>
      <c r="C2511" t="s">
        <v>125</v>
      </c>
      <c r="D2511">
        <v>22</v>
      </c>
      <c r="E2511" t="s">
        <v>458</v>
      </c>
    </row>
    <row r="2512" spans="1:5" x14ac:dyDescent="0.35">
      <c r="A2512">
        <v>2009</v>
      </c>
      <c r="B2512" t="s">
        <v>34</v>
      </c>
      <c r="C2512" t="s">
        <v>131</v>
      </c>
      <c r="D2512">
        <v>44</v>
      </c>
      <c r="E2512" t="s">
        <v>328</v>
      </c>
    </row>
    <row r="2513" spans="1:5" x14ac:dyDescent="0.35">
      <c r="A2513">
        <v>2009</v>
      </c>
      <c r="B2513" t="s">
        <v>34</v>
      </c>
      <c r="C2513" t="s">
        <v>124</v>
      </c>
      <c r="D2513">
        <v>109</v>
      </c>
      <c r="E2513" t="s">
        <v>328</v>
      </c>
    </row>
    <row r="2514" spans="1:5" x14ac:dyDescent="0.35">
      <c r="A2514">
        <v>2009</v>
      </c>
      <c r="B2514" t="s">
        <v>35</v>
      </c>
      <c r="C2514" t="s">
        <v>123</v>
      </c>
      <c r="D2514">
        <v>26</v>
      </c>
      <c r="E2514" t="s">
        <v>328</v>
      </c>
    </row>
    <row r="2515" spans="1:5" x14ac:dyDescent="0.35">
      <c r="A2515">
        <v>2009</v>
      </c>
      <c r="B2515" t="s">
        <v>35</v>
      </c>
      <c r="C2515" t="s">
        <v>123</v>
      </c>
      <c r="D2515">
        <v>4</v>
      </c>
      <c r="E2515" t="s">
        <v>458</v>
      </c>
    </row>
    <row r="2516" spans="1:5" x14ac:dyDescent="0.35">
      <c r="A2516">
        <v>2009</v>
      </c>
      <c r="B2516" t="s">
        <v>34</v>
      </c>
      <c r="C2516" t="s">
        <v>122</v>
      </c>
      <c r="E2516" t="s">
        <v>328</v>
      </c>
    </row>
    <row r="2517" spans="1:5" x14ac:dyDescent="0.35">
      <c r="A2517">
        <v>2009</v>
      </c>
      <c r="B2517" t="s">
        <v>34</v>
      </c>
      <c r="C2517" t="s">
        <v>122</v>
      </c>
      <c r="E2517" t="s">
        <v>458</v>
      </c>
    </row>
    <row r="2518" spans="1:5" x14ac:dyDescent="0.35">
      <c r="A2518">
        <v>2009</v>
      </c>
      <c r="B2518" t="s">
        <v>34</v>
      </c>
      <c r="C2518" t="s">
        <v>121</v>
      </c>
      <c r="E2518" t="s">
        <v>328</v>
      </c>
    </row>
    <row r="2519" spans="1:5" x14ac:dyDescent="0.35">
      <c r="A2519">
        <v>2009</v>
      </c>
      <c r="B2519" t="s">
        <v>34</v>
      </c>
      <c r="C2519" t="s">
        <v>121</v>
      </c>
      <c r="E2519" t="s">
        <v>458</v>
      </c>
    </row>
    <row r="2520" spans="1:5" x14ac:dyDescent="0.35">
      <c r="A2520">
        <v>2009</v>
      </c>
      <c r="B2520" t="s">
        <v>37</v>
      </c>
      <c r="C2520" t="s">
        <v>166</v>
      </c>
      <c r="D2520">
        <v>13</v>
      </c>
      <c r="E2520" t="s">
        <v>458</v>
      </c>
    </row>
    <row r="2521" spans="1:5" x14ac:dyDescent="0.35">
      <c r="A2521">
        <v>2009</v>
      </c>
      <c r="B2521" t="s">
        <v>34</v>
      </c>
      <c r="C2521" t="s">
        <v>124</v>
      </c>
      <c r="D2521">
        <v>35</v>
      </c>
      <c r="E2521" t="s">
        <v>458</v>
      </c>
    </row>
    <row r="2522" spans="1:5" x14ac:dyDescent="0.35">
      <c r="A2522">
        <v>2009</v>
      </c>
      <c r="B2522" t="s">
        <v>37</v>
      </c>
      <c r="C2522" t="s">
        <v>146</v>
      </c>
      <c r="D2522">
        <v>29</v>
      </c>
      <c r="E2522" t="s">
        <v>328</v>
      </c>
    </row>
    <row r="2523" spans="1:5" x14ac:dyDescent="0.35">
      <c r="A2523">
        <v>2009</v>
      </c>
      <c r="B2523" t="s">
        <v>33</v>
      </c>
      <c r="C2523" t="s">
        <v>132</v>
      </c>
      <c r="D2523">
        <v>3</v>
      </c>
      <c r="E2523" t="s">
        <v>458</v>
      </c>
    </row>
    <row r="2524" spans="1:5" x14ac:dyDescent="0.35">
      <c r="A2524">
        <v>2009</v>
      </c>
      <c r="B2524" t="s">
        <v>37</v>
      </c>
      <c r="C2524" t="s">
        <v>134</v>
      </c>
      <c r="E2524" t="s">
        <v>458</v>
      </c>
    </row>
    <row r="2525" spans="1:5" x14ac:dyDescent="0.35">
      <c r="A2525">
        <v>2009</v>
      </c>
      <c r="B2525" t="s">
        <v>35</v>
      </c>
      <c r="C2525" t="s">
        <v>145</v>
      </c>
      <c r="D2525">
        <v>100</v>
      </c>
      <c r="E2525" t="s">
        <v>328</v>
      </c>
    </row>
    <row r="2526" spans="1:5" x14ac:dyDescent="0.35">
      <c r="A2526">
        <v>2009</v>
      </c>
      <c r="B2526" t="s">
        <v>35</v>
      </c>
      <c r="C2526" t="s">
        <v>145</v>
      </c>
      <c r="D2526">
        <v>29</v>
      </c>
      <c r="E2526" t="s">
        <v>458</v>
      </c>
    </row>
    <row r="2527" spans="1:5" x14ac:dyDescent="0.35">
      <c r="A2527">
        <v>2009</v>
      </c>
      <c r="B2527" t="s">
        <v>34</v>
      </c>
      <c r="C2527" t="s">
        <v>144</v>
      </c>
      <c r="D2527">
        <v>44</v>
      </c>
      <c r="E2527" t="s">
        <v>328</v>
      </c>
    </row>
    <row r="2528" spans="1:5" x14ac:dyDescent="0.35">
      <c r="A2528">
        <v>2009</v>
      </c>
      <c r="B2528" t="s">
        <v>34</v>
      </c>
      <c r="C2528" t="s">
        <v>144</v>
      </c>
      <c r="D2528">
        <v>11</v>
      </c>
      <c r="E2528" t="s">
        <v>458</v>
      </c>
    </row>
    <row r="2529" spans="1:5" x14ac:dyDescent="0.35">
      <c r="A2529">
        <v>2009</v>
      </c>
      <c r="B2529" t="s">
        <v>33</v>
      </c>
      <c r="C2529" t="s">
        <v>141</v>
      </c>
      <c r="D2529">
        <v>47</v>
      </c>
      <c r="E2529" t="s">
        <v>328</v>
      </c>
    </row>
    <row r="2530" spans="1:5" x14ac:dyDescent="0.35">
      <c r="A2530">
        <v>2009</v>
      </c>
      <c r="B2530" t="s">
        <v>33</v>
      </c>
      <c r="C2530" t="s">
        <v>141</v>
      </c>
      <c r="D2530">
        <v>48</v>
      </c>
      <c r="E2530" t="s">
        <v>458</v>
      </c>
    </row>
    <row r="2531" spans="1:5" x14ac:dyDescent="0.35">
      <c r="A2531">
        <v>2009</v>
      </c>
      <c r="B2531" t="s">
        <v>34</v>
      </c>
      <c r="C2531" t="s">
        <v>139</v>
      </c>
      <c r="D2531">
        <v>39</v>
      </c>
      <c r="E2531" t="s">
        <v>328</v>
      </c>
    </row>
    <row r="2532" spans="1:5" x14ac:dyDescent="0.35">
      <c r="A2532">
        <v>2009</v>
      </c>
      <c r="B2532" t="s">
        <v>33</v>
      </c>
      <c r="C2532" t="s">
        <v>132</v>
      </c>
      <c r="D2532">
        <v>20</v>
      </c>
      <c r="E2532" t="s">
        <v>328</v>
      </c>
    </row>
    <row r="2533" spans="1:5" x14ac:dyDescent="0.35">
      <c r="A2533">
        <v>2009</v>
      </c>
      <c r="B2533" t="s">
        <v>34</v>
      </c>
      <c r="C2533" t="s">
        <v>139</v>
      </c>
      <c r="D2533">
        <v>9</v>
      </c>
      <c r="E2533" t="s">
        <v>458</v>
      </c>
    </row>
    <row r="2534" spans="1:5" x14ac:dyDescent="0.35">
      <c r="A2534">
        <v>2009</v>
      </c>
      <c r="B2534" t="s">
        <v>35</v>
      </c>
      <c r="C2534" t="s">
        <v>138</v>
      </c>
      <c r="D2534">
        <v>14</v>
      </c>
      <c r="E2534" t="s">
        <v>458</v>
      </c>
    </row>
    <row r="2535" spans="1:5" x14ac:dyDescent="0.35">
      <c r="A2535">
        <v>2009</v>
      </c>
      <c r="B2535" t="s">
        <v>37</v>
      </c>
      <c r="C2535" t="s">
        <v>137</v>
      </c>
      <c r="D2535">
        <v>14</v>
      </c>
      <c r="E2535" t="s">
        <v>328</v>
      </c>
    </row>
    <row r="2536" spans="1:5" x14ac:dyDescent="0.35">
      <c r="A2536">
        <v>2009</v>
      </c>
      <c r="B2536" t="s">
        <v>37</v>
      </c>
      <c r="C2536" t="s">
        <v>137</v>
      </c>
      <c r="D2536">
        <v>52</v>
      </c>
      <c r="E2536" t="s">
        <v>458</v>
      </c>
    </row>
    <row r="2537" spans="1:5" x14ac:dyDescent="0.35">
      <c r="A2537">
        <v>2009</v>
      </c>
      <c r="B2537" t="s">
        <v>36</v>
      </c>
      <c r="C2537" t="s">
        <v>14</v>
      </c>
      <c r="D2537">
        <v>177234</v>
      </c>
      <c r="E2537" t="s">
        <v>328</v>
      </c>
    </row>
    <row r="2538" spans="1:5" x14ac:dyDescent="0.35">
      <c r="A2538">
        <v>2009</v>
      </c>
      <c r="B2538" t="s">
        <v>36</v>
      </c>
      <c r="C2538" t="s">
        <v>14</v>
      </c>
      <c r="D2538">
        <v>99616</v>
      </c>
      <c r="E2538" t="s">
        <v>458</v>
      </c>
    </row>
    <row r="2539" spans="1:5" x14ac:dyDescent="0.35">
      <c r="A2539">
        <v>2009</v>
      </c>
      <c r="B2539" t="s">
        <v>33</v>
      </c>
      <c r="C2539" t="s">
        <v>135</v>
      </c>
      <c r="E2539" t="s">
        <v>328</v>
      </c>
    </row>
    <row r="2540" spans="1:5" x14ac:dyDescent="0.35">
      <c r="A2540">
        <v>2009</v>
      </c>
      <c r="B2540" t="s">
        <v>33</v>
      </c>
      <c r="C2540" t="s">
        <v>135</v>
      </c>
      <c r="E2540" t="s">
        <v>458</v>
      </c>
    </row>
    <row r="2541" spans="1:5" x14ac:dyDescent="0.35">
      <c r="A2541">
        <v>2009</v>
      </c>
      <c r="B2541" t="s">
        <v>35</v>
      </c>
      <c r="C2541" t="s">
        <v>138</v>
      </c>
      <c r="D2541">
        <v>30</v>
      </c>
      <c r="E2541" t="s">
        <v>328</v>
      </c>
    </row>
    <row r="2542" spans="1:5" x14ac:dyDescent="0.35">
      <c r="A2542">
        <v>2009</v>
      </c>
      <c r="B2542" t="s">
        <v>37</v>
      </c>
      <c r="C2542" t="s">
        <v>166</v>
      </c>
      <c r="D2542">
        <v>6</v>
      </c>
      <c r="E2542" t="s">
        <v>328</v>
      </c>
    </row>
    <row r="2543" spans="1:5" x14ac:dyDescent="0.35">
      <c r="A2543">
        <v>2009</v>
      </c>
      <c r="B2543" t="s">
        <v>33</v>
      </c>
      <c r="C2543" t="s">
        <v>204</v>
      </c>
      <c r="D2543">
        <v>24</v>
      </c>
      <c r="E2543" t="s">
        <v>328</v>
      </c>
    </row>
    <row r="2544" spans="1:5" x14ac:dyDescent="0.35">
      <c r="A2544">
        <v>2009</v>
      </c>
      <c r="B2544" t="s">
        <v>34</v>
      </c>
      <c r="C2544" t="s">
        <v>167</v>
      </c>
      <c r="D2544">
        <v>12</v>
      </c>
      <c r="E2544" t="s">
        <v>328</v>
      </c>
    </row>
    <row r="2545" spans="1:5" x14ac:dyDescent="0.35">
      <c r="A2545">
        <v>2009</v>
      </c>
      <c r="B2545" t="s">
        <v>35</v>
      </c>
      <c r="C2545" t="s">
        <v>196</v>
      </c>
      <c r="D2545">
        <v>55</v>
      </c>
      <c r="E2545" t="s">
        <v>458</v>
      </c>
    </row>
    <row r="2546" spans="1:5" x14ac:dyDescent="0.35">
      <c r="A2546">
        <v>2009</v>
      </c>
      <c r="B2546" t="s">
        <v>33</v>
      </c>
      <c r="C2546" t="s">
        <v>195</v>
      </c>
      <c r="D2546">
        <v>18</v>
      </c>
      <c r="E2546" t="s">
        <v>328</v>
      </c>
    </row>
    <row r="2547" spans="1:5" x14ac:dyDescent="0.35">
      <c r="A2547">
        <v>2009</v>
      </c>
      <c r="B2547" t="s">
        <v>33</v>
      </c>
      <c r="C2547" t="s">
        <v>195</v>
      </c>
      <c r="D2547">
        <v>13</v>
      </c>
      <c r="E2547" t="s">
        <v>458</v>
      </c>
    </row>
    <row r="2548" spans="1:5" x14ac:dyDescent="0.35">
      <c r="A2548">
        <v>2009</v>
      </c>
      <c r="B2548" t="s">
        <v>36</v>
      </c>
      <c r="C2548" t="s">
        <v>372</v>
      </c>
      <c r="D2548">
        <v>7</v>
      </c>
      <c r="E2548" t="s">
        <v>328</v>
      </c>
    </row>
    <row r="2549" spans="1:5" x14ac:dyDescent="0.35">
      <c r="A2549">
        <v>2009</v>
      </c>
      <c r="B2549" t="s">
        <v>36</v>
      </c>
      <c r="C2549" t="s">
        <v>372</v>
      </c>
      <c r="D2549">
        <v>4</v>
      </c>
      <c r="E2549" t="s">
        <v>458</v>
      </c>
    </row>
    <row r="2550" spans="1:5" x14ac:dyDescent="0.35">
      <c r="A2550">
        <v>2009</v>
      </c>
      <c r="B2550" t="s">
        <v>34</v>
      </c>
      <c r="C2550" t="s">
        <v>193</v>
      </c>
      <c r="D2550">
        <v>131</v>
      </c>
      <c r="E2550" t="s">
        <v>328</v>
      </c>
    </row>
    <row r="2551" spans="1:5" x14ac:dyDescent="0.35">
      <c r="A2551">
        <v>2009</v>
      </c>
      <c r="B2551" t="s">
        <v>34</v>
      </c>
      <c r="C2551" t="s">
        <v>193</v>
      </c>
      <c r="D2551">
        <v>18</v>
      </c>
      <c r="E2551" t="s">
        <v>458</v>
      </c>
    </row>
    <row r="2552" spans="1:5" x14ac:dyDescent="0.35">
      <c r="A2552">
        <v>2009</v>
      </c>
      <c r="B2552" t="s">
        <v>35</v>
      </c>
      <c r="C2552" t="s">
        <v>196</v>
      </c>
      <c r="D2552">
        <v>137</v>
      </c>
      <c r="E2552" t="s">
        <v>328</v>
      </c>
    </row>
    <row r="2553" spans="1:5" x14ac:dyDescent="0.35">
      <c r="A2553">
        <v>2009</v>
      </c>
      <c r="B2553" t="s">
        <v>33</v>
      </c>
      <c r="C2553" t="s">
        <v>192</v>
      </c>
      <c r="D2553">
        <v>12</v>
      </c>
      <c r="E2553" t="s">
        <v>328</v>
      </c>
    </row>
    <row r="2554" spans="1:5" x14ac:dyDescent="0.35">
      <c r="A2554">
        <v>2009</v>
      </c>
      <c r="B2554" t="s">
        <v>36</v>
      </c>
      <c r="C2554" t="s">
        <v>191</v>
      </c>
      <c r="D2554">
        <v>226</v>
      </c>
      <c r="E2554" t="s">
        <v>328</v>
      </c>
    </row>
    <row r="2555" spans="1:5" x14ac:dyDescent="0.35">
      <c r="A2555">
        <v>2009</v>
      </c>
      <c r="B2555" t="s">
        <v>36</v>
      </c>
      <c r="C2555" t="s">
        <v>191</v>
      </c>
      <c r="D2555">
        <v>258</v>
      </c>
      <c r="E2555" t="s">
        <v>458</v>
      </c>
    </row>
    <row r="2556" spans="1:5" x14ac:dyDescent="0.35">
      <c r="A2556">
        <v>2009</v>
      </c>
      <c r="B2556" t="s">
        <v>37</v>
      </c>
      <c r="C2556" t="s">
        <v>190</v>
      </c>
      <c r="D2556">
        <v>8</v>
      </c>
      <c r="E2556" t="s">
        <v>328</v>
      </c>
    </row>
    <row r="2557" spans="1:5" x14ac:dyDescent="0.35">
      <c r="A2557">
        <v>2009</v>
      </c>
      <c r="B2557" t="s">
        <v>37</v>
      </c>
      <c r="C2557" t="s">
        <v>190</v>
      </c>
      <c r="D2557">
        <v>23</v>
      </c>
      <c r="E2557" t="s">
        <v>458</v>
      </c>
    </row>
    <row r="2558" spans="1:5" x14ac:dyDescent="0.35">
      <c r="A2558">
        <v>2009</v>
      </c>
      <c r="B2558" t="s">
        <v>33</v>
      </c>
      <c r="C2558" t="s">
        <v>189</v>
      </c>
      <c r="D2558">
        <v>14</v>
      </c>
      <c r="E2558" t="s">
        <v>328</v>
      </c>
    </row>
    <row r="2559" spans="1:5" x14ac:dyDescent="0.35">
      <c r="A2559">
        <v>2009</v>
      </c>
      <c r="B2559" t="s">
        <v>33</v>
      </c>
      <c r="C2559" t="s">
        <v>189</v>
      </c>
      <c r="D2559">
        <v>14</v>
      </c>
      <c r="E2559" t="s">
        <v>458</v>
      </c>
    </row>
    <row r="2560" spans="1:5" x14ac:dyDescent="0.35">
      <c r="A2560">
        <v>2009</v>
      </c>
      <c r="B2560" t="s">
        <v>34</v>
      </c>
      <c r="C2560" t="s">
        <v>188</v>
      </c>
      <c r="D2560">
        <v>80</v>
      </c>
      <c r="E2560" t="s">
        <v>328</v>
      </c>
    </row>
    <row r="2561" spans="1:5" x14ac:dyDescent="0.35">
      <c r="A2561">
        <v>2009</v>
      </c>
      <c r="B2561" t="s">
        <v>33</v>
      </c>
      <c r="C2561" t="s">
        <v>192</v>
      </c>
      <c r="D2561">
        <v>3</v>
      </c>
      <c r="E2561" t="s">
        <v>458</v>
      </c>
    </row>
    <row r="2562" spans="1:5" x14ac:dyDescent="0.35">
      <c r="A2562">
        <v>2009</v>
      </c>
      <c r="B2562" t="s">
        <v>34</v>
      </c>
      <c r="C2562" t="s">
        <v>188</v>
      </c>
      <c r="D2562">
        <v>25</v>
      </c>
      <c r="E2562" t="s">
        <v>458</v>
      </c>
    </row>
    <row r="2563" spans="1:5" x14ac:dyDescent="0.35">
      <c r="A2563">
        <v>2009</v>
      </c>
      <c r="B2563" t="s">
        <v>34</v>
      </c>
      <c r="C2563" t="s">
        <v>197</v>
      </c>
      <c r="E2563" t="s">
        <v>328</v>
      </c>
    </row>
    <row r="2564" spans="1:5" x14ac:dyDescent="0.35">
      <c r="A2564">
        <v>2009</v>
      </c>
      <c r="B2564" t="s">
        <v>35</v>
      </c>
      <c r="C2564" t="s">
        <v>198</v>
      </c>
      <c r="D2564">
        <v>518</v>
      </c>
      <c r="E2564" t="s">
        <v>328</v>
      </c>
    </row>
    <row r="2565" spans="1:5" x14ac:dyDescent="0.35">
      <c r="A2565">
        <v>2009</v>
      </c>
      <c r="B2565" t="s">
        <v>34</v>
      </c>
      <c r="C2565" t="s">
        <v>120</v>
      </c>
      <c r="E2565" t="s">
        <v>328</v>
      </c>
    </row>
    <row r="2566" spans="1:5" x14ac:dyDescent="0.35">
      <c r="A2566">
        <v>2009</v>
      </c>
      <c r="B2566" t="s">
        <v>33</v>
      </c>
      <c r="C2566" t="s">
        <v>204</v>
      </c>
      <c r="D2566">
        <v>3</v>
      </c>
      <c r="E2566" t="s">
        <v>458</v>
      </c>
    </row>
    <row r="2567" spans="1:5" x14ac:dyDescent="0.35">
      <c r="A2567">
        <v>2009</v>
      </c>
      <c r="B2567" t="s">
        <v>33</v>
      </c>
      <c r="C2567" t="s">
        <v>203</v>
      </c>
      <c r="D2567">
        <v>9</v>
      </c>
      <c r="E2567" t="s">
        <v>328</v>
      </c>
    </row>
    <row r="2568" spans="1:5" x14ac:dyDescent="0.35">
      <c r="A2568">
        <v>2009</v>
      </c>
      <c r="B2568" t="s">
        <v>33</v>
      </c>
      <c r="C2568" t="s">
        <v>203</v>
      </c>
      <c r="D2568">
        <v>7</v>
      </c>
      <c r="E2568" t="s">
        <v>458</v>
      </c>
    </row>
    <row r="2569" spans="1:5" x14ac:dyDescent="0.35">
      <c r="A2569">
        <v>2009</v>
      </c>
      <c r="B2569" t="s">
        <v>34</v>
      </c>
      <c r="C2569" t="s">
        <v>202</v>
      </c>
      <c r="D2569">
        <v>39</v>
      </c>
      <c r="E2569" t="s">
        <v>328</v>
      </c>
    </row>
    <row r="2570" spans="1:5" x14ac:dyDescent="0.35">
      <c r="A2570">
        <v>2009</v>
      </c>
      <c r="B2570" t="s">
        <v>34</v>
      </c>
      <c r="C2570" t="s">
        <v>202</v>
      </c>
      <c r="D2570">
        <v>14</v>
      </c>
      <c r="E2570" t="s">
        <v>458</v>
      </c>
    </row>
    <row r="2571" spans="1:5" x14ac:dyDescent="0.35">
      <c r="A2571">
        <v>2009</v>
      </c>
      <c r="B2571" t="s">
        <v>34</v>
      </c>
      <c r="C2571" t="s">
        <v>201</v>
      </c>
      <c r="D2571">
        <v>23</v>
      </c>
      <c r="E2571" t="s">
        <v>328</v>
      </c>
    </row>
    <row r="2572" spans="1:5" x14ac:dyDescent="0.35">
      <c r="A2572">
        <v>2009</v>
      </c>
      <c r="B2572" t="s">
        <v>35</v>
      </c>
      <c r="C2572" t="s">
        <v>198</v>
      </c>
      <c r="D2572">
        <v>201</v>
      </c>
      <c r="E2572" t="s">
        <v>458</v>
      </c>
    </row>
    <row r="2573" spans="1:5" x14ac:dyDescent="0.35">
      <c r="A2573">
        <v>2009</v>
      </c>
      <c r="B2573" t="s">
        <v>34</v>
      </c>
      <c r="C2573" t="s">
        <v>201</v>
      </c>
      <c r="D2573">
        <v>29</v>
      </c>
      <c r="E2573" t="s">
        <v>458</v>
      </c>
    </row>
    <row r="2574" spans="1:5" x14ac:dyDescent="0.35">
      <c r="A2574">
        <v>2009</v>
      </c>
      <c r="B2574" t="s">
        <v>38</v>
      </c>
      <c r="C2574" t="s">
        <v>19</v>
      </c>
      <c r="D2574">
        <v>130</v>
      </c>
      <c r="E2574" t="s">
        <v>458</v>
      </c>
    </row>
    <row r="2575" spans="1:5" x14ac:dyDescent="0.35">
      <c r="A2575">
        <v>2009</v>
      </c>
      <c r="B2575" t="s">
        <v>34</v>
      </c>
      <c r="C2575" t="s">
        <v>200</v>
      </c>
      <c r="D2575">
        <v>84</v>
      </c>
      <c r="E2575" t="s">
        <v>328</v>
      </c>
    </row>
    <row r="2576" spans="1:5" x14ac:dyDescent="0.35">
      <c r="A2576">
        <v>2009</v>
      </c>
      <c r="B2576" t="s">
        <v>34</v>
      </c>
      <c r="C2576" t="s">
        <v>200</v>
      </c>
      <c r="D2576">
        <v>5</v>
      </c>
      <c r="E2576" t="s">
        <v>458</v>
      </c>
    </row>
    <row r="2577" spans="1:5" x14ac:dyDescent="0.35">
      <c r="A2577">
        <v>2009</v>
      </c>
      <c r="B2577" t="s">
        <v>38</v>
      </c>
      <c r="C2577" t="s">
        <v>199</v>
      </c>
      <c r="D2577">
        <v>118</v>
      </c>
      <c r="E2577" t="s">
        <v>328</v>
      </c>
    </row>
    <row r="2578" spans="1:5" x14ac:dyDescent="0.35">
      <c r="A2578">
        <v>2009</v>
      </c>
      <c r="B2578" t="s">
        <v>38</v>
      </c>
      <c r="C2578" t="s">
        <v>199</v>
      </c>
      <c r="D2578">
        <v>52</v>
      </c>
      <c r="E2578" t="s">
        <v>458</v>
      </c>
    </row>
    <row r="2579" spans="1:5" x14ac:dyDescent="0.35">
      <c r="A2579">
        <v>2009</v>
      </c>
      <c r="B2579" t="s">
        <v>39</v>
      </c>
      <c r="C2579" t="s">
        <v>39</v>
      </c>
      <c r="D2579">
        <v>60</v>
      </c>
      <c r="E2579" t="s">
        <v>328</v>
      </c>
    </row>
    <row r="2580" spans="1:5" x14ac:dyDescent="0.35">
      <c r="A2580">
        <v>2009</v>
      </c>
      <c r="B2580" t="s">
        <v>39</v>
      </c>
      <c r="C2580" t="s">
        <v>39</v>
      </c>
      <c r="D2580">
        <v>13</v>
      </c>
      <c r="E2580" t="s">
        <v>458</v>
      </c>
    </row>
    <row r="2581" spans="1:5" x14ac:dyDescent="0.35">
      <c r="A2581">
        <v>2009</v>
      </c>
      <c r="B2581" t="s">
        <v>38</v>
      </c>
      <c r="C2581" t="s">
        <v>19</v>
      </c>
      <c r="D2581">
        <v>369</v>
      </c>
      <c r="E2581" t="s">
        <v>328</v>
      </c>
    </row>
    <row r="2582" spans="1:5" x14ac:dyDescent="0.35">
      <c r="A2582">
        <v>2009</v>
      </c>
      <c r="B2582" t="s">
        <v>33</v>
      </c>
      <c r="C2582" t="s">
        <v>187</v>
      </c>
      <c r="D2582">
        <v>27</v>
      </c>
      <c r="E2582" t="s">
        <v>328</v>
      </c>
    </row>
    <row r="2583" spans="1:5" x14ac:dyDescent="0.35">
      <c r="A2583">
        <v>2009</v>
      </c>
      <c r="B2583" t="s">
        <v>33</v>
      </c>
      <c r="C2583" t="s">
        <v>187</v>
      </c>
      <c r="D2583">
        <v>15</v>
      </c>
      <c r="E2583" t="s">
        <v>458</v>
      </c>
    </row>
    <row r="2584" spans="1:5" x14ac:dyDescent="0.35">
      <c r="A2584">
        <v>2009</v>
      </c>
      <c r="B2584" t="s">
        <v>34</v>
      </c>
      <c r="C2584" t="s">
        <v>186</v>
      </c>
      <c r="E2584" t="s">
        <v>328</v>
      </c>
    </row>
    <row r="2585" spans="1:5" x14ac:dyDescent="0.35">
      <c r="A2585">
        <v>2009</v>
      </c>
      <c r="B2585" t="s">
        <v>33</v>
      </c>
      <c r="C2585" t="s">
        <v>175</v>
      </c>
      <c r="D2585">
        <v>36</v>
      </c>
      <c r="E2585" t="s">
        <v>328</v>
      </c>
    </row>
    <row r="2586" spans="1:5" x14ac:dyDescent="0.35">
      <c r="A2586">
        <v>2009</v>
      </c>
      <c r="B2586" t="s">
        <v>33</v>
      </c>
      <c r="C2586" t="s">
        <v>175</v>
      </c>
      <c r="D2586">
        <v>15</v>
      </c>
      <c r="E2586" t="s">
        <v>458</v>
      </c>
    </row>
    <row r="2587" spans="1:5" x14ac:dyDescent="0.35">
      <c r="A2587">
        <v>2009</v>
      </c>
      <c r="B2587" t="s">
        <v>33</v>
      </c>
      <c r="C2587" t="s">
        <v>174</v>
      </c>
      <c r="D2587">
        <v>20</v>
      </c>
      <c r="E2587" t="s">
        <v>328</v>
      </c>
    </row>
    <row r="2588" spans="1:5" x14ac:dyDescent="0.35">
      <c r="A2588">
        <v>2009</v>
      </c>
      <c r="B2588" t="s">
        <v>33</v>
      </c>
      <c r="C2588" t="s">
        <v>174</v>
      </c>
      <c r="D2588">
        <v>6</v>
      </c>
      <c r="E2588" t="s">
        <v>458</v>
      </c>
    </row>
    <row r="2589" spans="1:5" x14ac:dyDescent="0.35">
      <c r="A2589">
        <v>2009</v>
      </c>
      <c r="B2589" t="s">
        <v>35</v>
      </c>
      <c r="C2589" t="s">
        <v>173</v>
      </c>
      <c r="E2589" t="s">
        <v>328</v>
      </c>
    </row>
    <row r="2590" spans="1:5" x14ac:dyDescent="0.35">
      <c r="A2590">
        <v>2009</v>
      </c>
      <c r="B2590" t="s">
        <v>35</v>
      </c>
      <c r="C2590" t="s">
        <v>173</v>
      </c>
      <c r="E2590" t="s">
        <v>458</v>
      </c>
    </row>
    <row r="2591" spans="1:5" x14ac:dyDescent="0.35">
      <c r="A2591">
        <v>2009</v>
      </c>
      <c r="B2591" t="s">
        <v>35</v>
      </c>
      <c r="C2591" t="s">
        <v>172</v>
      </c>
      <c r="D2591">
        <v>35</v>
      </c>
      <c r="E2591" t="s">
        <v>328</v>
      </c>
    </row>
    <row r="2592" spans="1:5" x14ac:dyDescent="0.35">
      <c r="A2592">
        <v>2009</v>
      </c>
      <c r="B2592" t="s">
        <v>33</v>
      </c>
      <c r="C2592" t="s">
        <v>176</v>
      </c>
      <c r="E2592" t="s">
        <v>458</v>
      </c>
    </row>
    <row r="2593" spans="1:5" x14ac:dyDescent="0.35">
      <c r="A2593">
        <v>2009</v>
      </c>
      <c r="B2593" t="s">
        <v>35</v>
      </c>
      <c r="C2593" t="s">
        <v>172</v>
      </c>
      <c r="D2593">
        <v>7</v>
      </c>
      <c r="E2593" t="s">
        <v>458</v>
      </c>
    </row>
    <row r="2594" spans="1:5" x14ac:dyDescent="0.35">
      <c r="A2594">
        <v>2009</v>
      </c>
      <c r="B2594" t="s">
        <v>34</v>
      </c>
      <c r="C2594" t="s">
        <v>171</v>
      </c>
      <c r="D2594">
        <v>8</v>
      </c>
      <c r="E2594" t="s">
        <v>458</v>
      </c>
    </row>
    <row r="2595" spans="1:5" x14ac:dyDescent="0.35">
      <c r="A2595">
        <v>2009</v>
      </c>
      <c r="B2595" t="s">
        <v>33</v>
      </c>
      <c r="C2595" t="s">
        <v>170</v>
      </c>
      <c r="D2595">
        <v>13</v>
      </c>
      <c r="E2595" t="s">
        <v>328</v>
      </c>
    </row>
    <row r="2596" spans="1:5" x14ac:dyDescent="0.35">
      <c r="A2596">
        <v>2009</v>
      </c>
      <c r="B2596" t="s">
        <v>33</v>
      </c>
      <c r="C2596" t="s">
        <v>170</v>
      </c>
      <c r="D2596">
        <v>4</v>
      </c>
      <c r="E2596" t="s">
        <v>458</v>
      </c>
    </row>
    <row r="2597" spans="1:5" x14ac:dyDescent="0.35">
      <c r="A2597">
        <v>2009</v>
      </c>
      <c r="B2597" t="s">
        <v>35</v>
      </c>
      <c r="C2597" t="s">
        <v>215</v>
      </c>
      <c r="D2597">
        <v>77</v>
      </c>
      <c r="E2597" t="s">
        <v>328</v>
      </c>
    </row>
    <row r="2598" spans="1:5" x14ac:dyDescent="0.35">
      <c r="A2598">
        <v>2009</v>
      </c>
      <c r="B2598" t="s">
        <v>35</v>
      </c>
      <c r="C2598" t="s">
        <v>215</v>
      </c>
      <c r="D2598">
        <v>24</v>
      </c>
      <c r="E2598" t="s">
        <v>458</v>
      </c>
    </row>
    <row r="2599" spans="1:5" x14ac:dyDescent="0.35">
      <c r="A2599">
        <v>2009</v>
      </c>
      <c r="B2599" t="s">
        <v>33</v>
      </c>
      <c r="C2599" t="s">
        <v>168</v>
      </c>
      <c r="D2599">
        <v>64</v>
      </c>
      <c r="E2599" t="s">
        <v>328</v>
      </c>
    </row>
    <row r="2600" spans="1:5" x14ac:dyDescent="0.35">
      <c r="A2600">
        <v>2009</v>
      </c>
      <c r="B2600" t="s">
        <v>33</v>
      </c>
      <c r="C2600" t="s">
        <v>168</v>
      </c>
      <c r="D2600">
        <v>24</v>
      </c>
      <c r="E2600" t="s">
        <v>458</v>
      </c>
    </row>
    <row r="2601" spans="1:5" x14ac:dyDescent="0.35">
      <c r="A2601">
        <v>2009</v>
      </c>
      <c r="B2601" t="s">
        <v>34</v>
      </c>
      <c r="C2601" t="s">
        <v>171</v>
      </c>
      <c r="D2601">
        <v>15</v>
      </c>
      <c r="E2601" t="s">
        <v>328</v>
      </c>
    </row>
    <row r="2602" spans="1:5" x14ac:dyDescent="0.35">
      <c r="A2602">
        <v>2009</v>
      </c>
      <c r="B2602" t="s">
        <v>33</v>
      </c>
      <c r="C2602" t="s">
        <v>176</v>
      </c>
      <c r="E2602" t="s">
        <v>328</v>
      </c>
    </row>
    <row r="2603" spans="1:5" x14ac:dyDescent="0.35">
      <c r="A2603">
        <v>2009</v>
      </c>
      <c r="B2603" t="s">
        <v>35</v>
      </c>
      <c r="C2603" t="s">
        <v>216</v>
      </c>
      <c r="E2603" t="s">
        <v>458</v>
      </c>
    </row>
    <row r="2604" spans="1:5" x14ac:dyDescent="0.35">
      <c r="A2604">
        <v>2009</v>
      </c>
      <c r="B2604" t="s">
        <v>35</v>
      </c>
      <c r="C2604" t="s">
        <v>216</v>
      </c>
      <c r="E2604" t="s">
        <v>328</v>
      </c>
    </row>
    <row r="2605" spans="1:5" x14ac:dyDescent="0.35">
      <c r="A2605">
        <v>2009</v>
      </c>
      <c r="B2605" t="s">
        <v>34</v>
      </c>
      <c r="C2605" t="s">
        <v>186</v>
      </c>
      <c r="E2605" t="s">
        <v>458</v>
      </c>
    </row>
    <row r="2606" spans="1:5" x14ac:dyDescent="0.35">
      <c r="A2606">
        <v>2009</v>
      </c>
      <c r="B2606" t="s">
        <v>34</v>
      </c>
      <c r="C2606" t="s">
        <v>185</v>
      </c>
      <c r="D2606">
        <v>71</v>
      </c>
      <c r="E2606" t="s">
        <v>328</v>
      </c>
    </row>
    <row r="2607" spans="1:5" x14ac:dyDescent="0.35">
      <c r="A2607">
        <v>2009</v>
      </c>
      <c r="B2607" t="s">
        <v>34</v>
      </c>
      <c r="C2607" t="s">
        <v>185</v>
      </c>
      <c r="D2607">
        <v>14</v>
      </c>
      <c r="E2607" t="s">
        <v>458</v>
      </c>
    </row>
    <row r="2608" spans="1:5" x14ac:dyDescent="0.35">
      <c r="A2608">
        <v>2009</v>
      </c>
      <c r="B2608" t="s">
        <v>34</v>
      </c>
      <c r="C2608" t="s">
        <v>184</v>
      </c>
      <c r="D2608">
        <v>22</v>
      </c>
      <c r="E2608" t="s">
        <v>328</v>
      </c>
    </row>
    <row r="2609" spans="1:5" x14ac:dyDescent="0.35">
      <c r="A2609">
        <v>2009</v>
      </c>
      <c r="B2609" t="s">
        <v>34</v>
      </c>
      <c r="C2609" t="s">
        <v>184</v>
      </c>
      <c r="D2609">
        <v>12</v>
      </c>
      <c r="E2609" t="s">
        <v>458</v>
      </c>
    </row>
    <row r="2610" spans="1:5" x14ac:dyDescent="0.35">
      <c r="A2610">
        <v>2009</v>
      </c>
      <c r="B2610" t="s">
        <v>35</v>
      </c>
      <c r="C2610" t="s">
        <v>183</v>
      </c>
      <c r="E2610" t="s">
        <v>328</v>
      </c>
    </row>
    <row r="2611" spans="1:5" x14ac:dyDescent="0.35">
      <c r="A2611">
        <v>2009</v>
      </c>
      <c r="B2611" t="s">
        <v>35</v>
      </c>
      <c r="C2611" t="s">
        <v>183</v>
      </c>
      <c r="E2611" t="s">
        <v>458</v>
      </c>
    </row>
    <row r="2612" spans="1:5" x14ac:dyDescent="0.35">
      <c r="A2612">
        <v>2009</v>
      </c>
      <c r="B2612" t="s">
        <v>35</v>
      </c>
      <c r="C2612" t="s">
        <v>182</v>
      </c>
      <c r="D2612">
        <v>56</v>
      </c>
      <c r="E2612" t="s">
        <v>328</v>
      </c>
    </row>
    <row r="2613" spans="1:5" x14ac:dyDescent="0.35">
      <c r="A2613">
        <v>2009</v>
      </c>
      <c r="B2613" t="s">
        <v>35</v>
      </c>
      <c r="C2613" t="s">
        <v>182</v>
      </c>
      <c r="D2613">
        <v>8</v>
      </c>
      <c r="E2613" t="s">
        <v>458</v>
      </c>
    </row>
    <row r="2614" spans="1:5" x14ac:dyDescent="0.35">
      <c r="A2614">
        <v>2009</v>
      </c>
      <c r="B2614" t="s">
        <v>38</v>
      </c>
      <c r="C2614" t="s">
        <v>180</v>
      </c>
      <c r="D2614">
        <v>10</v>
      </c>
      <c r="E2614" t="s">
        <v>328</v>
      </c>
    </row>
    <row r="2615" spans="1:5" x14ac:dyDescent="0.35">
      <c r="A2615">
        <v>2009</v>
      </c>
      <c r="B2615" t="s">
        <v>38</v>
      </c>
      <c r="C2615" t="s">
        <v>180</v>
      </c>
      <c r="D2615">
        <v>7</v>
      </c>
      <c r="E2615" t="s">
        <v>458</v>
      </c>
    </row>
    <row r="2616" spans="1:5" x14ac:dyDescent="0.35">
      <c r="A2616">
        <v>2009</v>
      </c>
      <c r="B2616" t="s">
        <v>33</v>
      </c>
      <c r="C2616" t="s">
        <v>179</v>
      </c>
      <c r="D2616">
        <v>9</v>
      </c>
      <c r="E2616" t="s">
        <v>328</v>
      </c>
    </row>
    <row r="2617" spans="1:5" x14ac:dyDescent="0.35">
      <c r="A2617">
        <v>2009</v>
      </c>
      <c r="B2617" t="s">
        <v>33</v>
      </c>
      <c r="C2617" t="s">
        <v>179</v>
      </c>
      <c r="D2617">
        <v>10</v>
      </c>
      <c r="E2617" t="s">
        <v>458</v>
      </c>
    </row>
    <row r="2618" spans="1:5" x14ac:dyDescent="0.35">
      <c r="A2618">
        <v>2009</v>
      </c>
      <c r="B2618" t="s">
        <v>34</v>
      </c>
      <c r="C2618" t="s">
        <v>178</v>
      </c>
      <c r="D2618">
        <v>96</v>
      </c>
      <c r="E2618" t="s">
        <v>328</v>
      </c>
    </row>
    <row r="2619" spans="1:5" x14ac:dyDescent="0.35">
      <c r="A2619">
        <v>2009</v>
      </c>
      <c r="B2619" t="s">
        <v>34</v>
      </c>
      <c r="C2619" t="s">
        <v>178</v>
      </c>
      <c r="D2619">
        <v>4</v>
      </c>
      <c r="E2619" t="s">
        <v>458</v>
      </c>
    </row>
    <row r="2620" spans="1:5" x14ac:dyDescent="0.35">
      <c r="A2620">
        <v>2009</v>
      </c>
      <c r="B2620" t="s">
        <v>35</v>
      </c>
      <c r="C2620" t="s">
        <v>177</v>
      </c>
      <c r="D2620">
        <v>135</v>
      </c>
      <c r="E2620" t="s">
        <v>328</v>
      </c>
    </row>
    <row r="2621" spans="1:5" x14ac:dyDescent="0.35">
      <c r="A2621">
        <v>2009</v>
      </c>
      <c r="B2621" t="s">
        <v>35</v>
      </c>
      <c r="C2621" t="s">
        <v>177</v>
      </c>
      <c r="D2621">
        <v>21</v>
      </c>
      <c r="E2621" t="s">
        <v>458</v>
      </c>
    </row>
    <row r="2622" spans="1:5" x14ac:dyDescent="0.35">
      <c r="A2622">
        <v>2009</v>
      </c>
      <c r="B2622" t="s">
        <v>34</v>
      </c>
      <c r="C2622" t="s">
        <v>167</v>
      </c>
      <c r="D2622">
        <v>6</v>
      </c>
      <c r="E2622" t="s">
        <v>458</v>
      </c>
    </row>
    <row r="2623" spans="1:5" x14ac:dyDescent="0.35">
      <c r="A2623">
        <v>2009</v>
      </c>
      <c r="B2623" t="s">
        <v>34</v>
      </c>
      <c r="C2623" t="s">
        <v>120</v>
      </c>
      <c r="E2623" t="s">
        <v>458</v>
      </c>
    </row>
    <row r="2624" spans="1:5" x14ac:dyDescent="0.35">
      <c r="A2624">
        <v>2009</v>
      </c>
      <c r="B2624" t="s">
        <v>35</v>
      </c>
      <c r="C2624" t="s">
        <v>119</v>
      </c>
      <c r="D2624">
        <v>10</v>
      </c>
      <c r="E2624" t="s">
        <v>328</v>
      </c>
    </row>
    <row r="2625" spans="1:5" x14ac:dyDescent="0.35">
      <c r="A2625">
        <v>2009</v>
      </c>
      <c r="B2625" t="s">
        <v>35</v>
      </c>
      <c r="C2625" t="s">
        <v>119</v>
      </c>
      <c r="D2625">
        <v>4</v>
      </c>
      <c r="E2625" t="s">
        <v>458</v>
      </c>
    </row>
    <row r="2626" spans="1:5" x14ac:dyDescent="0.35">
      <c r="A2626">
        <v>2009</v>
      </c>
      <c r="B2626" t="s">
        <v>36</v>
      </c>
      <c r="C2626" t="s">
        <v>69</v>
      </c>
      <c r="D2626">
        <v>418</v>
      </c>
      <c r="E2626" t="s">
        <v>458</v>
      </c>
    </row>
    <row r="2627" spans="1:5" x14ac:dyDescent="0.35">
      <c r="A2627">
        <v>2009</v>
      </c>
      <c r="B2627" t="s">
        <v>33</v>
      </c>
      <c r="C2627" t="s">
        <v>68</v>
      </c>
      <c r="D2627">
        <v>45</v>
      </c>
      <c r="E2627" t="s">
        <v>328</v>
      </c>
    </row>
    <row r="2628" spans="1:5" x14ac:dyDescent="0.35">
      <c r="A2628">
        <v>2009</v>
      </c>
      <c r="B2628" t="s">
        <v>33</v>
      </c>
      <c r="C2628" t="s">
        <v>68</v>
      </c>
      <c r="D2628">
        <v>10</v>
      </c>
      <c r="E2628" t="s">
        <v>458</v>
      </c>
    </row>
    <row r="2629" spans="1:5" x14ac:dyDescent="0.35">
      <c r="A2629">
        <v>2009</v>
      </c>
      <c r="B2629" t="s">
        <v>34</v>
      </c>
      <c r="C2629" t="s">
        <v>67</v>
      </c>
      <c r="D2629">
        <v>18</v>
      </c>
      <c r="E2629" t="s">
        <v>328</v>
      </c>
    </row>
    <row r="2630" spans="1:5" x14ac:dyDescent="0.35">
      <c r="A2630">
        <v>2009</v>
      </c>
      <c r="B2630" t="s">
        <v>34</v>
      </c>
      <c r="C2630" t="s">
        <v>67</v>
      </c>
      <c r="D2630">
        <v>28</v>
      </c>
      <c r="E2630" t="s">
        <v>458</v>
      </c>
    </row>
    <row r="2631" spans="1:5" x14ac:dyDescent="0.35">
      <c r="A2631">
        <v>2009</v>
      </c>
      <c r="B2631" t="s">
        <v>33</v>
      </c>
      <c r="C2631" t="s">
        <v>66</v>
      </c>
      <c r="D2631">
        <v>7</v>
      </c>
      <c r="E2631" t="s">
        <v>328</v>
      </c>
    </row>
    <row r="2632" spans="1:5" x14ac:dyDescent="0.35">
      <c r="A2632">
        <v>2009</v>
      </c>
      <c r="B2632" t="s">
        <v>33</v>
      </c>
      <c r="C2632" t="s">
        <v>66</v>
      </c>
      <c r="D2632">
        <v>42</v>
      </c>
      <c r="E2632" t="s">
        <v>458</v>
      </c>
    </row>
    <row r="2633" spans="1:5" x14ac:dyDescent="0.35">
      <c r="A2633">
        <v>2009</v>
      </c>
      <c r="B2633" t="s">
        <v>36</v>
      </c>
      <c r="C2633" t="s">
        <v>69</v>
      </c>
      <c r="D2633">
        <v>908</v>
      </c>
      <c r="E2633" t="s">
        <v>328</v>
      </c>
    </row>
    <row r="2634" spans="1:5" x14ac:dyDescent="0.35">
      <c r="A2634">
        <v>2009</v>
      </c>
      <c r="B2634" t="s">
        <v>34</v>
      </c>
      <c r="C2634" t="s">
        <v>64</v>
      </c>
      <c r="E2634" t="s">
        <v>328</v>
      </c>
    </row>
    <row r="2635" spans="1:5" x14ac:dyDescent="0.35">
      <c r="A2635">
        <v>2009</v>
      </c>
      <c r="B2635" t="s">
        <v>33</v>
      </c>
      <c r="C2635" t="s">
        <v>63</v>
      </c>
      <c r="D2635">
        <v>6</v>
      </c>
      <c r="E2635" t="s">
        <v>328</v>
      </c>
    </row>
    <row r="2636" spans="1:5" x14ac:dyDescent="0.35">
      <c r="A2636">
        <v>2009</v>
      </c>
      <c r="B2636" t="s">
        <v>33</v>
      </c>
      <c r="C2636" t="s">
        <v>63</v>
      </c>
      <c r="D2636">
        <v>5</v>
      </c>
      <c r="E2636" t="s">
        <v>458</v>
      </c>
    </row>
    <row r="2637" spans="1:5" x14ac:dyDescent="0.35">
      <c r="A2637">
        <v>2009</v>
      </c>
      <c r="B2637" t="s">
        <v>35</v>
      </c>
      <c r="C2637" t="s">
        <v>62</v>
      </c>
      <c r="D2637">
        <v>68</v>
      </c>
      <c r="E2637" t="s">
        <v>328</v>
      </c>
    </row>
    <row r="2638" spans="1:5" x14ac:dyDescent="0.35">
      <c r="A2638">
        <v>2009</v>
      </c>
      <c r="B2638" t="s">
        <v>35</v>
      </c>
      <c r="C2638" t="s">
        <v>62</v>
      </c>
      <c r="D2638">
        <v>14</v>
      </c>
      <c r="E2638" t="s">
        <v>458</v>
      </c>
    </row>
    <row r="2639" spans="1:5" x14ac:dyDescent="0.35">
      <c r="A2639">
        <v>2009</v>
      </c>
      <c r="B2639" t="s">
        <v>38</v>
      </c>
      <c r="C2639" t="s">
        <v>21</v>
      </c>
      <c r="D2639">
        <v>3336</v>
      </c>
      <c r="E2639" t="s">
        <v>328</v>
      </c>
    </row>
    <row r="2640" spans="1:5" x14ac:dyDescent="0.35">
      <c r="A2640">
        <v>2009</v>
      </c>
      <c r="B2640" t="s">
        <v>38</v>
      </c>
      <c r="C2640" t="s">
        <v>21</v>
      </c>
      <c r="D2640">
        <v>388</v>
      </c>
      <c r="E2640" t="s">
        <v>458</v>
      </c>
    </row>
    <row r="2641" spans="1:5" x14ac:dyDescent="0.35">
      <c r="A2641">
        <v>2009</v>
      </c>
      <c r="B2641" t="s">
        <v>35</v>
      </c>
      <c r="C2641" t="s">
        <v>60</v>
      </c>
      <c r="D2641">
        <v>8</v>
      </c>
      <c r="E2641" t="s">
        <v>328</v>
      </c>
    </row>
    <row r="2642" spans="1:5" x14ac:dyDescent="0.35">
      <c r="A2642">
        <v>2009</v>
      </c>
      <c r="B2642" t="s">
        <v>34</v>
      </c>
      <c r="C2642" t="s">
        <v>64</v>
      </c>
      <c r="E2642" t="s">
        <v>458</v>
      </c>
    </row>
    <row r="2643" spans="1:5" x14ac:dyDescent="0.35">
      <c r="A2643">
        <v>2009</v>
      </c>
      <c r="B2643" t="s">
        <v>35</v>
      </c>
      <c r="C2643" t="s">
        <v>60</v>
      </c>
      <c r="D2643">
        <v>49</v>
      </c>
      <c r="E2643" t="s">
        <v>458</v>
      </c>
    </row>
    <row r="2644" spans="1:5" x14ac:dyDescent="0.35">
      <c r="A2644">
        <v>2009</v>
      </c>
      <c r="B2644" t="s">
        <v>33</v>
      </c>
      <c r="C2644" t="s">
        <v>71</v>
      </c>
      <c r="D2644">
        <v>6</v>
      </c>
      <c r="E2644" t="s">
        <v>328</v>
      </c>
    </row>
    <row r="2645" spans="1:5" x14ac:dyDescent="0.35">
      <c r="A2645">
        <v>2009</v>
      </c>
      <c r="B2645" t="s">
        <v>38</v>
      </c>
      <c r="C2645" t="s">
        <v>72</v>
      </c>
      <c r="D2645">
        <v>135</v>
      </c>
      <c r="E2645" t="s">
        <v>328</v>
      </c>
    </row>
    <row r="2646" spans="1:5" x14ac:dyDescent="0.35">
      <c r="A2646">
        <v>2009</v>
      </c>
      <c r="B2646" t="s">
        <v>36</v>
      </c>
      <c r="C2646" t="s">
        <v>79</v>
      </c>
      <c r="D2646">
        <v>44</v>
      </c>
      <c r="E2646" t="s">
        <v>328</v>
      </c>
    </row>
    <row r="2647" spans="1:5" x14ac:dyDescent="0.35">
      <c r="A2647">
        <v>2009</v>
      </c>
      <c r="B2647" t="s">
        <v>36</v>
      </c>
      <c r="C2647" t="s">
        <v>79</v>
      </c>
      <c r="D2647">
        <v>86</v>
      </c>
      <c r="E2647" t="s">
        <v>458</v>
      </c>
    </row>
    <row r="2648" spans="1:5" x14ac:dyDescent="0.35">
      <c r="A2648">
        <v>2009</v>
      </c>
      <c r="B2648" t="s">
        <v>35</v>
      </c>
      <c r="C2648" t="s">
        <v>78</v>
      </c>
      <c r="D2648">
        <v>16</v>
      </c>
      <c r="E2648" t="s">
        <v>328</v>
      </c>
    </row>
    <row r="2649" spans="1:5" x14ac:dyDescent="0.35">
      <c r="A2649">
        <v>2009</v>
      </c>
      <c r="B2649" t="s">
        <v>35</v>
      </c>
      <c r="C2649" t="s">
        <v>78</v>
      </c>
      <c r="D2649">
        <v>7</v>
      </c>
      <c r="E2649" t="s">
        <v>458</v>
      </c>
    </row>
    <row r="2650" spans="1:5" x14ac:dyDescent="0.35">
      <c r="A2650">
        <v>2009</v>
      </c>
      <c r="B2650" t="s">
        <v>33</v>
      </c>
      <c r="C2650" t="s">
        <v>77</v>
      </c>
      <c r="D2650">
        <v>20</v>
      </c>
      <c r="E2650" t="s">
        <v>328</v>
      </c>
    </row>
    <row r="2651" spans="1:5" x14ac:dyDescent="0.35">
      <c r="A2651">
        <v>2009</v>
      </c>
      <c r="B2651" t="s">
        <v>33</v>
      </c>
      <c r="C2651" t="s">
        <v>77</v>
      </c>
      <c r="D2651">
        <v>4</v>
      </c>
      <c r="E2651" t="s">
        <v>458</v>
      </c>
    </row>
    <row r="2652" spans="1:5" x14ac:dyDescent="0.35">
      <c r="A2652">
        <v>2009</v>
      </c>
      <c r="B2652" t="s">
        <v>36</v>
      </c>
      <c r="C2652" t="s">
        <v>76</v>
      </c>
      <c r="D2652">
        <v>572</v>
      </c>
      <c r="E2652" t="s">
        <v>328</v>
      </c>
    </row>
    <row r="2653" spans="1:5" x14ac:dyDescent="0.35">
      <c r="A2653">
        <v>2009</v>
      </c>
      <c r="B2653" t="s">
        <v>38</v>
      </c>
      <c r="C2653" t="s">
        <v>72</v>
      </c>
      <c r="D2653">
        <v>70</v>
      </c>
      <c r="E2653" t="s">
        <v>458</v>
      </c>
    </row>
    <row r="2654" spans="1:5" x14ac:dyDescent="0.35">
      <c r="A2654">
        <v>2009</v>
      </c>
      <c r="B2654" t="s">
        <v>36</v>
      </c>
      <c r="C2654" t="s">
        <v>76</v>
      </c>
      <c r="D2654">
        <v>123</v>
      </c>
      <c r="E2654" t="s">
        <v>458</v>
      </c>
    </row>
    <row r="2655" spans="1:5" x14ac:dyDescent="0.35">
      <c r="A2655">
        <v>2009</v>
      </c>
      <c r="B2655" t="s">
        <v>33</v>
      </c>
      <c r="C2655" t="s">
        <v>75</v>
      </c>
      <c r="D2655">
        <v>4</v>
      </c>
      <c r="E2655" t="s">
        <v>458</v>
      </c>
    </row>
    <row r="2656" spans="1:5" x14ac:dyDescent="0.35">
      <c r="A2656">
        <v>2009</v>
      </c>
      <c r="B2656" t="s">
        <v>33</v>
      </c>
      <c r="C2656" t="s">
        <v>74</v>
      </c>
      <c r="D2656">
        <v>11</v>
      </c>
      <c r="E2656" t="s">
        <v>328</v>
      </c>
    </row>
    <row r="2657" spans="1:5" x14ac:dyDescent="0.35">
      <c r="A2657">
        <v>2009</v>
      </c>
      <c r="B2657" t="s">
        <v>33</v>
      </c>
      <c r="C2657" t="s">
        <v>74</v>
      </c>
      <c r="D2657">
        <v>6</v>
      </c>
      <c r="E2657" t="s">
        <v>458</v>
      </c>
    </row>
    <row r="2658" spans="1:5" x14ac:dyDescent="0.35">
      <c r="A2658">
        <v>2009</v>
      </c>
      <c r="B2658" t="s">
        <v>38</v>
      </c>
      <c r="C2658" t="s">
        <v>20</v>
      </c>
      <c r="D2658">
        <v>1590</v>
      </c>
      <c r="E2658" t="s">
        <v>328</v>
      </c>
    </row>
    <row r="2659" spans="1:5" x14ac:dyDescent="0.35">
      <c r="A2659">
        <v>2009</v>
      </c>
      <c r="B2659" t="s">
        <v>38</v>
      </c>
      <c r="C2659" t="s">
        <v>20</v>
      </c>
      <c r="D2659">
        <v>1124</v>
      </c>
      <c r="E2659" t="s">
        <v>458</v>
      </c>
    </row>
    <row r="2660" spans="1:5" x14ac:dyDescent="0.35">
      <c r="A2660">
        <v>2009</v>
      </c>
      <c r="B2660" t="s">
        <v>34</v>
      </c>
      <c r="C2660" t="s">
        <v>73</v>
      </c>
      <c r="D2660">
        <v>831</v>
      </c>
      <c r="E2660" t="s">
        <v>328</v>
      </c>
    </row>
    <row r="2661" spans="1:5" x14ac:dyDescent="0.35">
      <c r="A2661">
        <v>2009</v>
      </c>
      <c r="B2661" t="s">
        <v>34</v>
      </c>
      <c r="C2661" t="s">
        <v>73</v>
      </c>
      <c r="D2661">
        <v>135</v>
      </c>
      <c r="E2661" t="s">
        <v>458</v>
      </c>
    </row>
    <row r="2662" spans="1:5" x14ac:dyDescent="0.35">
      <c r="A2662">
        <v>2009</v>
      </c>
      <c r="B2662" t="s">
        <v>33</v>
      </c>
      <c r="C2662" t="s">
        <v>75</v>
      </c>
      <c r="D2662">
        <v>17</v>
      </c>
      <c r="E2662" t="s">
        <v>328</v>
      </c>
    </row>
    <row r="2663" spans="1:5" x14ac:dyDescent="0.35">
      <c r="A2663">
        <v>2009</v>
      </c>
      <c r="B2663" t="s">
        <v>35</v>
      </c>
      <c r="C2663" t="s">
        <v>81</v>
      </c>
      <c r="D2663">
        <v>17</v>
      </c>
      <c r="E2663" t="s">
        <v>458</v>
      </c>
    </row>
    <row r="2664" spans="1:5" x14ac:dyDescent="0.35">
      <c r="A2664">
        <v>2009</v>
      </c>
      <c r="B2664" t="s">
        <v>38</v>
      </c>
      <c r="C2664" t="s">
        <v>59</v>
      </c>
      <c r="D2664">
        <v>224</v>
      </c>
      <c r="E2664" t="s">
        <v>328</v>
      </c>
    </row>
    <row r="2665" spans="1:5" x14ac:dyDescent="0.35">
      <c r="A2665">
        <v>2009</v>
      </c>
      <c r="B2665" t="s">
        <v>36</v>
      </c>
      <c r="C2665" t="s">
        <v>363</v>
      </c>
      <c r="D2665">
        <v>6</v>
      </c>
      <c r="E2665" t="s">
        <v>328</v>
      </c>
    </row>
    <row r="2666" spans="1:5" x14ac:dyDescent="0.35">
      <c r="A2666">
        <v>2009</v>
      </c>
      <c r="B2666" t="s">
        <v>37</v>
      </c>
      <c r="C2666" t="s">
        <v>47</v>
      </c>
      <c r="D2666">
        <v>19</v>
      </c>
      <c r="E2666" t="s">
        <v>458</v>
      </c>
    </row>
    <row r="2667" spans="1:5" x14ac:dyDescent="0.35">
      <c r="A2667">
        <v>2009</v>
      </c>
      <c r="B2667" t="s">
        <v>34</v>
      </c>
      <c r="C2667" t="s">
        <v>46</v>
      </c>
      <c r="D2667">
        <v>66</v>
      </c>
      <c r="E2667" t="s">
        <v>328</v>
      </c>
    </row>
    <row r="2668" spans="1:5" x14ac:dyDescent="0.35">
      <c r="A2668">
        <v>2009</v>
      </c>
      <c r="B2668" t="s">
        <v>34</v>
      </c>
      <c r="C2668" t="s">
        <v>46</v>
      </c>
      <c r="D2668">
        <v>29</v>
      </c>
      <c r="E2668" t="s">
        <v>458</v>
      </c>
    </row>
    <row r="2669" spans="1:5" x14ac:dyDescent="0.35">
      <c r="A2669">
        <v>2009</v>
      </c>
      <c r="B2669" t="s">
        <v>38</v>
      </c>
      <c r="C2669" t="s">
        <v>45</v>
      </c>
      <c r="D2669">
        <v>342</v>
      </c>
      <c r="E2669" t="s">
        <v>328</v>
      </c>
    </row>
    <row r="2670" spans="1:5" x14ac:dyDescent="0.35">
      <c r="A2670">
        <v>2009</v>
      </c>
      <c r="B2670" t="s">
        <v>38</v>
      </c>
      <c r="C2670" t="s">
        <v>45</v>
      </c>
      <c r="D2670">
        <v>106</v>
      </c>
      <c r="E2670" t="s">
        <v>458</v>
      </c>
    </row>
    <row r="2671" spans="1:5" x14ac:dyDescent="0.35">
      <c r="A2671">
        <v>2009</v>
      </c>
      <c r="B2671" t="s">
        <v>36</v>
      </c>
      <c r="C2671" t="s">
        <v>44</v>
      </c>
      <c r="D2671">
        <v>15</v>
      </c>
      <c r="E2671" t="s">
        <v>328</v>
      </c>
    </row>
    <row r="2672" spans="1:5" x14ac:dyDescent="0.35">
      <c r="A2672">
        <v>2009</v>
      </c>
      <c r="B2672" t="s">
        <v>36</v>
      </c>
      <c r="C2672" t="s">
        <v>44</v>
      </c>
      <c r="D2672">
        <v>28</v>
      </c>
      <c r="E2672" t="s">
        <v>458</v>
      </c>
    </row>
    <row r="2673" spans="1:5" x14ac:dyDescent="0.35">
      <c r="A2673">
        <v>2009</v>
      </c>
      <c r="B2673" t="s">
        <v>37</v>
      </c>
      <c r="C2673" t="s">
        <v>47</v>
      </c>
      <c r="D2673">
        <v>64</v>
      </c>
      <c r="E2673" t="s">
        <v>328</v>
      </c>
    </row>
    <row r="2674" spans="1:5" x14ac:dyDescent="0.35">
      <c r="A2674">
        <v>2009</v>
      </c>
      <c r="B2674" t="s">
        <v>33</v>
      </c>
      <c r="C2674" t="s">
        <v>43</v>
      </c>
      <c r="E2674" t="s">
        <v>328</v>
      </c>
    </row>
    <row r="2675" spans="1:5" x14ac:dyDescent="0.35">
      <c r="A2675">
        <v>2009</v>
      </c>
      <c r="C2675" t="s">
        <v>373</v>
      </c>
      <c r="D2675">
        <v>51</v>
      </c>
      <c r="E2675" t="s">
        <v>328</v>
      </c>
    </row>
    <row r="2676" spans="1:5" x14ac:dyDescent="0.35">
      <c r="A2676">
        <v>2009</v>
      </c>
      <c r="C2676" t="s">
        <v>373</v>
      </c>
      <c r="D2676">
        <v>34</v>
      </c>
      <c r="E2676" t="s">
        <v>458</v>
      </c>
    </row>
    <row r="2677" spans="1:5" x14ac:dyDescent="0.35">
      <c r="A2677">
        <v>2009</v>
      </c>
      <c r="B2677" t="s">
        <v>33</v>
      </c>
      <c r="C2677" t="s">
        <v>42</v>
      </c>
      <c r="D2677">
        <v>24</v>
      </c>
      <c r="E2677" t="s">
        <v>328</v>
      </c>
    </row>
    <row r="2678" spans="1:5" x14ac:dyDescent="0.35">
      <c r="A2678">
        <v>2009</v>
      </c>
      <c r="B2678" t="s">
        <v>33</v>
      </c>
      <c r="C2678" t="s">
        <v>42</v>
      </c>
      <c r="D2678">
        <v>3</v>
      </c>
      <c r="E2678" t="s">
        <v>458</v>
      </c>
    </row>
    <row r="2679" spans="1:5" x14ac:dyDescent="0.35">
      <c r="A2679">
        <v>2009</v>
      </c>
      <c r="B2679" t="s">
        <v>35</v>
      </c>
      <c r="C2679" t="s">
        <v>41</v>
      </c>
      <c r="D2679">
        <v>254</v>
      </c>
      <c r="E2679" t="s">
        <v>328</v>
      </c>
    </row>
    <row r="2680" spans="1:5" x14ac:dyDescent="0.35">
      <c r="A2680">
        <v>2009</v>
      </c>
      <c r="B2680" t="s">
        <v>35</v>
      </c>
      <c r="C2680" t="s">
        <v>41</v>
      </c>
      <c r="D2680">
        <v>42</v>
      </c>
      <c r="E2680" t="s">
        <v>458</v>
      </c>
    </row>
    <row r="2681" spans="1:5" x14ac:dyDescent="0.35">
      <c r="A2681">
        <v>2009</v>
      </c>
      <c r="B2681" t="s">
        <v>34</v>
      </c>
      <c r="C2681" t="s">
        <v>40</v>
      </c>
      <c r="D2681">
        <v>12</v>
      </c>
      <c r="E2681" t="s">
        <v>328</v>
      </c>
    </row>
    <row r="2682" spans="1:5" x14ac:dyDescent="0.35">
      <c r="A2682">
        <v>2009</v>
      </c>
      <c r="B2682" t="s">
        <v>33</v>
      </c>
      <c r="C2682" t="s">
        <v>43</v>
      </c>
      <c r="E2682" t="s">
        <v>458</v>
      </c>
    </row>
    <row r="2683" spans="1:5" x14ac:dyDescent="0.35">
      <c r="A2683">
        <v>2009</v>
      </c>
      <c r="B2683" t="s">
        <v>38</v>
      </c>
      <c r="C2683" t="s">
        <v>59</v>
      </c>
      <c r="D2683">
        <v>54</v>
      </c>
      <c r="E2683" t="s">
        <v>458</v>
      </c>
    </row>
    <row r="2684" spans="1:5" x14ac:dyDescent="0.35">
      <c r="A2684">
        <v>2009</v>
      </c>
      <c r="B2684" t="s">
        <v>35</v>
      </c>
      <c r="C2684" t="s">
        <v>48</v>
      </c>
      <c r="E2684" t="s">
        <v>458</v>
      </c>
    </row>
    <row r="2685" spans="1:5" x14ac:dyDescent="0.35">
      <c r="A2685">
        <v>2009</v>
      </c>
      <c r="B2685" t="s">
        <v>34</v>
      </c>
      <c r="C2685" t="s">
        <v>49</v>
      </c>
      <c r="E2685" t="s">
        <v>458</v>
      </c>
    </row>
    <row r="2686" spans="1:5" x14ac:dyDescent="0.35">
      <c r="A2686">
        <v>2009</v>
      </c>
      <c r="B2686" t="s">
        <v>36</v>
      </c>
      <c r="C2686" t="s">
        <v>363</v>
      </c>
      <c r="D2686">
        <v>9</v>
      </c>
      <c r="E2686" t="s">
        <v>458</v>
      </c>
    </row>
    <row r="2687" spans="1:5" x14ac:dyDescent="0.35">
      <c r="A2687">
        <v>2009</v>
      </c>
      <c r="B2687" t="s">
        <v>33</v>
      </c>
      <c r="C2687" t="s">
        <v>57</v>
      </c>
      <c r="D2687">
        <v>5</v>
      </c>
      <c r="E2687" t="s">
        <v>328</v>
      </c>
    </row>
    <row r="2688" spans="1:5" x14ac:dyDescent="0.35">
      <c r="A2688">
        <v>2009</v>
      </c>
      <c r="B2688" t="s">
        <v>33</v>
      </c>
      <c r="C2688" t="s">
        <v>57</v>
      </c>
      <c r="D2688">
        <v>4</v>
      </c>
      <c r="E2688" t="s">
        <v>458</v>
      </c>
    </row>
    <row r="2689" spans="1:5" x14ac:dyDescent="0.35">
      <c r="A2689">
        <v>2009</v>
      </c>
      <c r="B2689" t="s">
        <v>36</v>
      </c>
      <c r="C2689" t="s">
        <v>56</v>
      </c>
      <c r="D2689">
        <v>116</v>
      </c>
      <c r="E2689" t="s">
        <v>328</v>
      </c>
    </row>
    <row r="2690" spans="1:5" x14ac:dyDescent="0.35">
      <c r="A2690">
        <v>2009</v>
      </c>
      <c r="B2690" t="s">
        <v>36</v>
      </c>
      <c r="C2690" t="s">
        <v>56</v>
      </c>
      <c r="D2690">
        <v>126</v>
      </c>
      <c r="E2690" t="s">
        <v>458</v>
      </c>
    </row>
    <row r="2691" spans="1:5" x14ac:dyDescent="0.35">
      <c r="A2691">
        <v>2009</v>
      </c>
      <c r="B2691" t="s">
        <v>35</v>
      </c>
      <c r="C2691" t="s">
        <v>55</v>
      </c>
      <c r="D2691">
        <v>24</v>
      </c>
      <c r="E2691" t="s">
        <v>328</v>
      </c>
    </row>
    <row r="2692" spans="1:5" x14ac:dyDescent="0.35">
      <c r="A2692">
        <v>2009</v>
      </c>
      <c r="B2692" t="s">
        <v>35</v>
      </c>
      <c r="C2692" t="s">
        <v>55</v>
      </c>
      <c r="D2692">
        <v>3</v>
      </c>
      <c r="E2692" t="s">
        <v>458</v>
      </c>
    </row>
    <row r="2693" spans="1:5" x14ac:dyDescent="0.35">
      <c r="A2693">
        <v>2009</v>
      </c>
      <c r="B2693" t="s">
        <v>35</v>
      </c>
      <c r="C2693" t="s">
        <v>48</v>
      </c>
      <c r="E2693" t="s">
        <v>328</v>
      </c>
    </row>
    <row r="2694" spans="1:5" x14ac:dyDescent="0.35">
      <c r="A2694">
        <v>2009</v>
      </c>
      <c r="B2694" t="s">
        <v>35</v>
      </c>
      <c r="C2694" t="s">
        <v>54</v>
      </c>
      <c r="D2694">
        <v>25</v>
      </c>
      <c r="E2694" t="s">
        <v>328</v>
      </c>
    </row>
    <row r="2695" spans="1:5" x14ac:dyDescent="0.35">
      <c r="A2695">
        <v>2009</v>
      </c>
      <c r="B2695" t="s">
        <v>36</v>
      </c>
      <c r="C2695" t="s">
        <v>53</v>
      </c>
      <c r="D2695">
        <v>12</v>
      </c>
      <c r="E2695" t="s">
        <v>328</v>
      </c>
    </row>
    <row r="2696" spans="1:5" x14ac:dyDescent="0.35">
      <c r="A2696">
        <v>2009</v>
      </c>
      <c r="B2696" t="s">
        <v>36</v>
      </c>
      <c r="C2696" t="s">
        <v>53</v>
      </c>
      <c r="D2696">
        <v>36</v>
      </c>
      <c r="E2696" t="s">
        <v>458</v>
      </c>
    </row>
    <row r="2697" spans="1:5" x14ac:dyDescent="0.35">
      <c r="A2697">
        <v>2009</v>
      </c>
      <c r="B2697" t="s">
        <v>34</v>
      </c>
      <c r="C2697" t="s">
        <v>52</v>
      </c>
      <c r="D2697">
        <v>87</v>
      </c>
      <c r="E2697" t="s">
        <v>328</v>
      </c>
    </row>
    <row r="2698" spans="1:5" x14ac:dyDescent="0.35">
      <c r="A2698">
        <v>2009</v>
      </c>
      <c r="B2698" t="s">
        <v>34</v>
      </c>
      <c r="C2698" t="s">
        <v>52</v>
      </c>
      <c r="D2698">
        <v>17</v>
      </c>
      <c r="E2698" t="s">
        <v>458</v>
      </c>
    </row>
    <row r="2699" spans="1:5" x14ac:dyDescent="0.35">
      <c r="A2699">
        <v>2009</v>
      </c>
      <c r="B2699" t="s">
        <v>36</v>
      </c>
      <c r="C2699" t="s">
        <v>50</v>
      </c>
      <c r="D2699">
        <v>44</v>
      </c>
      <c r="E2699" t="s">
        <v>328</v>
      </c>
    </row>
    <row r="2700" spans="1:5" x14ac:dyDescent="0.35">
      <c r="A2700">
        <v>2009</v>
      </c>
      <c r="B2700" t="s">
        <v>36</v>
      </c>
      <c r="C2700" t="s">
        <v>50</v>
      </c>
      <c r="D2700">
        <v>99</v>
      </c>
      <c r="E2700" t="s">
        <v>458</v>
      </c>
    </row>
    <row r="2701" spans="1:5" x14ac:dyDescent="0.35">
      <c r="A2701">
        <v>2009</v>
      </c>
      <c r="B2701" t="s">
        <v>34</v>
      </c>
      <c r="C2701" t="s">
        <v>49</v>
      </c>
      <c r="E2701" t="s">
        <v>328</v>
      </c>
    </row>
    <row r="2702" spans="1:5" x14ac:dyDescent="0.35">
      <c r="A2702">
        <v>2009</v>
      </c>
      <c r="B2702" t="s">
        <v>35</v>
      </c>
      <c r="C2702" t="s">
        <v>54</v>
      </c>
      <c r="D2702">
        <v>11</v>
      </c>
      <c r="E2702" t="s">
        <v>458</v>
      </c>
    </row>
    <row r="2703" spans="1:5" x14ac:dyDescent="0.35">
      <c r="A2703">
        <v>2009</v>
      </c>
      <c r="B2703" t="s">
        <v>35</v>
      </c>
      <c r="C2703" t="s">
        <v>81</v>
      </c>
      <c r="D2703">
        <v>49</v>
      </c>
      <c r="E2703" t="s">
        <v>328</v>
      </c>
    </row>
    <row r="2704" spans="1:5" x14ac:dyDescent="0.35">
      <c r="A2704">
        <v>2009</v>
      </c>
      <c r="B2704" t="s">
        <v>34</v>
      </c>
      <c r="C2704" t="s">
        <v>40</v>
      </c>
      <c r="D2704">
        <v>6</v>
      </c>
      <c r="E2704" t="s">
        <v>458</v>
      </c>
    </row>
    <row r="2705" spans="1:5" x14ac:dyDescent="0.35">
      <c r="A2705">
        <v>2009</v>
      </c>
      <c r="B2705" t="s">
        <v>35</v>
      </c>
      <c r="C2705" t="s">
        <v>214</v>
      </c>
      <c r="D2705">
        <v>43</v>
      </c>
      <c r="E2705" t="s">
        <v>328</v>
      </c>
    </row>
    <row r="2706" spans="1:5" x14ac:dyDescent="0.35">
      <c r="A2706">
        <v>2009</v>
      </c>
      <c r="B2706" t="s">
        <v>35</v>
      </c>
      <c r="C2706" t="s">
        <v>214</v>
      </c>
      <c r="D2706">
        <v>5</v>
      </c>
      <c r="E2706" t="s">
        <v>458</v>
      </c>
    </row>
    <row r="2707" spans="1:5" x14ac:dyDescent="0.35">
      <c r="A2707">
        <v>2009</v>
      </c>
      <c r="B2707" t="s">
        <v>34</v>
      </c>
      <c r="C2707" t="s">
        <v>108</v>
      </c>
      <c r="D2707">
        <v>15</v>
      </c>
      <c r="E2707" t="s">
        <v>458</v>
      </c>
    </row>
    <row r="2708" spans="1:5" x14ac:dyDescent="0.35">
      <c r="A2708">
        <v>2009</v>
      </c>
      <c r="B2708" t="s">
        <v>34</v>
      </c>
      <c r="C2708" t="s">
        <v>107</v>
      </c>
      <c r="D2708">
        <v>389</v>
      </c>
      <c r="E2708" t="s">
        <v>328</v>
      </c>
    </row>
    <row r="2709" spans="1:5" x14ac:dyDescent="0.35">
      <c r="A2709">
        <v>2009</v>
      </c>
      <c r="B2709" t="s">
        <v>34</v>
      </c>
      <c r="C2709" t="s">
        <v>107</v>
      </c>
      <c r="D2709">
        <v>42</v>
      </c>
      <c r="E2709" t="s">
        <v>458</v>
      </c>
    </row>
    <row r="2710" spans="1:5" x14ac:dyDescent="0.35">
      <c r="A2710">
        <v>2009</v>
      </c>
      <c r="B2710" t="s">
        <v>34</v>
      </c>
      <c r="C2710" t="s">
        <v>22</v>
      </c>
      <c r="D2710">
        <v>860</v>
      </c>
      <c r="E2710" t="s">
        <v>328</v>
      </c>
    </row>
    <row r="2711" spans="1:5" x14ac:dyDescent="0.35">
      <c r="A2711">
        <v>2009</v>
      </c>
      <c r="B2711" t="s">
        <v>34</v>
      </c>
      <c r="C2711" t="s">
        <v>22</v>
      </c>
      <c r="D2711">
        <v>186</v>
      </c>
      <c r="E2711" t="s">
        <v>458</v>
      </c>
    </row>
    <row r="2712" spans="1:5" x14ac:dyDescent="0.35">
      <c r="A2712">
        <v>2009</v>
      </c>
      <c r="B2712" t="s">
        <v>35</v>
      </c>
      <c r="C2712" t="s">
        <v>105</v>
      </c>
      <c r="D2712">
        <v>112</v>
      </c>
      <c r="E2712" t="s">
        <v>328</v>
      </c>
    </row>
    <row r="2713" spans="1:5" x14ac:dyDescent="0.35">
      <c r="A2713">
        <v>2009</v>
      </c>
      <c r="B2713" t="s">
        <v>34</v>
      </c>
      <c r="C2713" t="s">
        <v>109</v>
      </c>
      <c r="D2713">
        <v>16</v>
      </c>
      <c r="E2713" t="s">
        <v>458</v>
      </c>
    </row>
    <row r="2714" spans="1:5" x14ac:dyDescent="0.35">
      <c r="A2714">
        <v>2009</v>
      </c>
      <c r="B2714" t="s">
        <v>35</v>
      </c>
      <c r="C2714" t="s">
        <v>105</v>
      </c>
      <c r="D2714">
        <v>19</v>
      </c>
      <c r="E2714" t="s">
        <v>458</v>
      </c>
    </row>
    <row r="2715" spans="1:5" x14ac:dyDescent="0.35">
      <c r="A2715">
        <v>2009</v>
      </c>
      <c r="B2715" t="s">
        <v>34</v>
      </c>
      <c r="C2715" t="s">
        <v>368</v>
      </c>
      <c r="D2715">
        <v>9</v>
      </c>
      <c r="E2715" t="s">
        <v>458</v>
      </c>
    </row>
    <row r="2716" spans="1:5" x14ac:dyDescent="0.35">
      <c r="A2716">
        <v>2009</v>
      </c>
      <c r="B2716" t="s">
        <v>36</v>
      </c>
      <c r="C2716" t="s">
        <v>17</v>
      </c>
      <c r="D2716">
        <v>20285</v>
      </c>
      <c r="E2716" t="s">
        <v>328</v>
      </c>
    </row>
    <row r="2717" spans="1:5" x14ac:dyDescent="0.35">
      <c r="A2717">
        <v>2009</v>
      </c>
      <c r="B2717" t="s">
        <v>36</v>
      </c>
      <c r="C2717" t="s">
        <v>17</v>
      </c>
      <c r="D2717">
        <v>6998</v>
      </c>
      <c r="E2717" t="s">
        <v>458</v>
      </c>
    </row>
    <row r="2718" spans="1:5" x14ac:dyDescent="0.35">
      <c r="A2718">
        <v>2009</v>
      </c>
      <c r="B2718" t="s">
        <v>36</v>
      </c>
      <c r="C2718" t="s">
        <v>104</v>
      </c>
      <c r="D2718">
        <v>257</v>
      </c>
      <c r="E2718" t="s">
        <v>328</v>
      </c>
    </row>
    <row r="2719" spans="1:5" x14ac:dyDescent="0.35">
      <c r="A2719">
        <v>2009</v>
      </c>
      <c r="B2719" t="s">
        <v>36</v>
      </c>
      <c r="C2719" t="s">
        <v>104</v>
      </c>
      <c r="D2719">
        <v>473</v>
      </c>
      <c r="E2719" t="s">
        <v>458</v>
      </c>
    </row>
    <row r="2720" spans="1:5" x14ac:dyDescent="0.35">
      <c r="A2720">
        <v>2009</v>
      </c>
      <c r="B2720" t="s">
        <v>38</v>
      </c>
      <c r="C2720" t="s">
        <v>103</v>
      </c>
      <c r="D2720">
        <v>86</v>
      </c>
      <c r="E2720" t="s">
        <v>328</v>
      </c>
    </row>
    <row r="2721" spans="1:5" x14ac:dyDescent="0.35">
      <c r="A2721">
        <v>2009</v>
      </c>
      <c r="B2721" t="s">
        <v>38</v>
      </c>
      <c r="C2721" t="s">
        <v>103</v>
      </c>
      <c r="D2721">
        <v>216</v>
      </c>
      <c r="E2721" t="s">
        <v>458</v>
      </c>
    </row>
    <row r="2722" spans="1:5" x14ac:dyDescent="0.35">
      <c r="A2722">
        <v>2009</v>
      </c>
      <c r="B2722" t="s">
        <v>34</v>
      </c>
      <c r="C2722" t="s">
        <v>368</v>
      </c>
      <c r="D2722">
        <v>16</v>
      </c>
      <c r="E2722" t="s">
        <v>328</v>
      </c>
    </row>
    <row r="2723" spans="1:5" x14ac:dyDescent="0.35">
      <c r="A2723">
        <v>2009</v>
      </c>
      <c r="B2723" t="s">
        <v>33</v>
      </c>
      <c r="C2723" t="s">
        <v>101</v>
      </c>
      <c r="D2723">
        <v>47</v>
      </c>
      <c r="E2723" t="s">
        <v>328</v>
      </c>
    </row>
    <row r="2724" spans="1:5" x14ac:dyDescent="0.35">
      <c r="A2724">
        <v>2009</v>
      </c>
      <c r="B2724" t="s">
        <v>34</v>
      </c>
      <c r="C2724" t="s">
        <v>109</v>
      </c>
      <c r="D2724">
        <v>17</v>
      </c>
      <c r="E2724" t="s">
        <v>328</v>
      </c>
    </row>
    <row r="2725" spans="1:5" x14ac:dyDescent="0.35">
      <c r="A2725">
        <v>2009</v>
      </c>
      <c r="B2725" t="s">
        <v>35</v>
      </c>
      <c r="C2725" t="s">
        <v>110</v>
      </c>
      <c r="D2725">
        <v>110</v>
      </c>
      <c r="E2725" t="s">
        <v>328</v>
      </c>
    </row>
    <row r="2726" spans="1:5" x14ac:dyDescent="0.35">
      <c r="A2726">
        <v>2009</v>
      </c>
      <c r="B2726" t="s">
        <v>34</v>
      </c>
      <c r="C2726" t="s">
        <v>118</v>
      </c>
      <c r="D2726">
        <v>265</v>
      </c>
      <c r="E2726" t="s">
        <v>328</v>
      </c>
    </row>
    <row r="2727" spans="1:5" x14ac:dyDescent="0.35">
      <c r="A2727">
        <v>2009</v>
      </c>
      <c r="B2727" t="s">
        <v>34</v>
      </c>
      <c r="C2727" t="s">
        <v>118</v>
      </c>
      <c r="D2727">
        <v>129</v>
      </c>
      <c r="E2727" t="s">
        <v>458</v>
      </c>
    </row>
    <row r="2728" spans="1:5" x14ac:dyDescent="0.35">
      <c r="A2728">
        <v>2009</v>
      </c>
      <c r="B2728" t="s">
        <v>33</v>
      </c>
      <c r="C2728" t="s">
        <v>117</v>
      </c>
      <c r="D2728">
        <v>105</v>
      </c>
      <c r="E2728" t="s">
        <v>328</v>
      </c>
    </row>
    <row r="2729" spans="1:5" x14ac:dyDescent="0.35">
      <c r="A2729">
        <v>2009</v>
      </c>
      <c r="B2729" t="s">
        <v>33</v>
      </c>
      <c r="C2729" t="s">
        <v>117</v>
      </c>
      <c r="D2729">
        <v>70</v>
      </c>
      <c r="E2729" t="s">
        <v>458</v>
      </c>
    </row>
    <row r="2730" spans="1:5" x14ac:dyDescent="0.35">
      <c r="A2730">
        <v>2009</v>
      </c>
      <c r="B2730" t="s">
        <v>34</v>
      </c>
      <c r="C2730" t="s">
        <v>116</v>
      </c>
      <c r="D2730">
        <v>25</v>
      </c>
      <c r="E2730" t="s">
        <v>328</v>
      </c>
    </row>
    <row r="2731" spans="1:5" x14ac:dyDescent="0.35">
      <c r="A2731">
        <v>2009</v>
      </c>
      <c r="B2731" t="s">
        <v>34</v>
      </c>
      <c r="C2731" t="s">
        <v>116</v>
      </c>
      <c r="D2731">
        <v>9</v>
      </c>
      <c r="E2731" t="s">
        <v>458</v>
      </c>
    </row>
    <row r="2732" spans="1:5" x14ac:dyDescent="0.35">
      <c r="A2732">
        <v>2009</v>
      </c>
      <c r="B2732" t="s">
        <v>34</v>
      </c>
      <c r="C2732" t="s">
        <v>115</v>
      </c>
      <c r="D2732">
        <v>148</v>
      </c>
      <c r="E2732" t="s">
        <v>328</v>
      </c>
    </row>
    <row r="2733" spans="1:5" x14ac:dyDescent="0.35">
      <c r="A2733">
        <v>2009</v>
      </c>
      <c r="B2733" t="s">
        <v>35</v>
      </c>
      <c r="C2733" t="s">
        <v>110</v>
      </c>
      <c r="D2733">
        <v>19</v>
      </c>
      <c r="E2733" t="s">
        <v>458</v>
      </c>
    </row>
    <row r="2734" spans="1:5" x14ac:dyDescent="0.35">
      <c r="A2734">
        <v>2009</v>
      </c>
      <c r="B2734" t="s">
        <v>34</v>
      </c>
      <c r="C2734" t="s">
        <v>115</v>
      </c>
      <c r="D2734">
        <v>66</v>
      </c>
      <c r="E2734" t="s">
        <v>458</v>
      </c>
    </row>
    <row r="2735" spans="1:5" x14ac:dyDescent="0.35">
      <c r="A2735">
        <v>2009</v>
      </c>
      <c r="B2735" t="s">
        <v>34</v>
      </c>
      <c r="C2735" t="s">
        <v>114</v>
      </c>
      <c r="D2735">
        <v>12</v>
      </c>
      <c r="E2735" t="s">
        <v>458</v>
      </c>
    </row>
    <row r="2736" spans="1:5" x14ac:dyDescent="0.35">
      <c r="A2736">
        <v>2009</v>
      </c>
      <c r="B2736" t="s">
        <v>36</v>
      </c>
      <c r="C2736" t="s">
        <v>113</v>
      </c>
      <c r="D2736">
        <v>416</v>
      </c>
      <c r="E2736" t="s">
        <v>328</v>
      </c>
    </row>
    <row r="2737" spans="1:5" x14ac:dyDescent="0.35">
      <c r="A2737">
        <v>2009</v>
      </c>
      <c r="B2737" t="s">
        <v>36</v>
      </c>
      <c r="C2737" t="s">
        <v>113</v>
      </c>
      <c r="D2737">
        <v>1246</v>
      </c>
      <c r="E2737" t="s">
        <v>458</v>
      </c>
    </row>
    <row r="2738" spans="1:5" x14ac:dyDescent="0.35">
      <c r="A2738">
        <v>2009</v>
      </c>
      <c r="B2738" t="s">
        <v>35</v>
      </c>
      <c r="C2738" t="s">
        <v>112</v>
      </c>
      <c r="D2738">
        <v>183</v>
      </c>
      <c r="E2738" t="s">
        <v>328</v>
      </c>
    </row>
    <row r="2739" spans="1:5" x14ac:dyDescent="0.35">
      <c r="A2739">
        <v>2009</v>
      </c>
      <c r="B2739" t="s">
        <v>35</v>
      </c>
      <c r="C2739" t="s">
        <v>112</v>
      </c>
      <c r="D2739">
        <v>61</v>
      </c>
      <c r="E2739" t="s">
        <v>458</v>
      </c>
    </row>
    <row r="2740" spans="1:5" x14ac:dyDescent="0.35">
      <c r="A2740">
        <v>2009</v>
      </c>
      <c r="B2740" t="s">
        <v>34</v>
      </c>
      <c r="C2740" t="s">
        <v>111</v>
      </c>
      <c r="D2740">
        <v>363</v>
      </c>
      <c r="E2740" t="s">
        <v>328</v>
      </c>
    </row>
    <row r="2741" spans="1:5" x14ac:dyDescent="0.35">
      <c r="A2741">
        <v>2009</v>
      </c>
      <c r="B2741" t="s">
        <v>34</v>
      </c>
      <c r="C2741" t="s">
        <v>111</v>
      </c>
      <c r="D2741">
        <v>50</v>
      </c>
      <c r="E2741" t="s">
        <v>458</v>
      </c>
    </row>
    <row r="2742" spans="1:5" x14ac:dyDescent="0.35">
      <c r="A2742">
        <v>2009</v>
      </c>
      <c r="B2742" t="s">
        <v>34</v>
      </c>
      <c r="C2742" t="s">
        <v>114</v>
      </c>
      <c r="D2742">
        <v>75</v>
      </c>
      <c r="E2742" t="s">
        <v>328</v>
      </c>
    </row>
    <row r="2743" spans="1:5" x14ac:dyDescent="0.35">
      <c r="A2743">
        <v>2009</v>
      </c>
      <c r="B2743" t="s">
        <v>33</v>
      </c>
      <c r="C2743" t="s">
        <v>101</v>
      </c>
      <c r="D2743">
        <v>14</v>
      </c>
      <c r="E2743" t="s">
        <v>458</v>
      </c>
    </row>
    <row r="2744" spans="1:5" x14ac:dyDescent="0.35">
      <c r="A2744">
        <v>2009</v>
      </c>
      <c r="B2744" t="s">
        <v>34</v>
      </c>
      <c r="C2744" t="s">
        <v>108</v>
      </c>
      <c r="D2744">
        <v>40</v>
      </c>
      <c r="E2744" t="s">
        <v>328</v>
      </c>
    </row>
    <row r="2745" spans="1:5" x14ac:dyDescent="0.35">
      <c r="A2745">
        <v>2009</v>
      </c>
      <c r="B2745" t="s">
        <v>36</v>
      </c>
      <c r="C2745" t="s">
        <v>15</v>
      </c>
      <c r="D2745">
        <v>6547</v>
      </c>
      <c r="E2745" t="s">
        <v>458</v>
      </c>
    </row>
    <row r="2746" spans="1:5" x14ac:dyDescent="0.35">
      <c r="A2746">
        <v>2009</v>
      </c>
      <c r="B2746" t="s">
        <v>35</v>
      </c>
      <c r="C2746" t="s">
        <v>90</v>
      </c>
      <c r="D2746">
        <v>18</v>
      </c>
      <c r="E2746" t="s">
        <v>328</v>
      </c>
    </row>
    <row r="2747" spans="1:5" x14ac:dyDescent="0.35">
      <c r="A2747">
        <v>2009</v>
      </c>
      <c r="B2747" t="s">
        <v>35</v>
      </c>
      <c r="C2747" t="s">
        <v>90</v>
      </c>
      <c r="D2747">
        <v>8</v>
      </c>
      <c r="E2747" t="s">
        <v>458</v>
      </c>
    </row>
    <row r="2748" spans="1:5" x14ac:dyDescent="0.35">
      <c r="A2748">
        <v>2009</v>
      </c>
      <c r="B2748" t="s">
        <v>33</v>
      </c>
      <c r="C2748" t="s">
        <v>89</v>
      </c>
      <c r="E2748" t="s">
        <v>328</v>
      </c>
    </row>
    <row r="2749" spans="1:5" x14ac:dyDescent="0.35">
      <c r="A2749">
        <v>2009</v>
      </c>
      <c r="B2749" t="s">
        <v>33</v>
      </c>
      <c r="C2749" t="s">
        <v>89</v>
      </c>
      <c r="E2749" t="s">
        <v>458</v>
      </c>
    </row>
    <row r="2750" spans="1:5" x14ac:dyDescent="0.35">
      <c r="A2750">
        <v>2009</v>
      </c>
      <c r="B2750" t="s">
        <v>36</v>
      </c>
      <c r="C2750" t="s">
        <v>16</v>
      </c>
      <c r="D2750">
        <v>14500</v>
      </c>
      <c r="E2750" t="s">
        <v>328</v>
      </c>
    </row>
    <row r="2751" spans="1:5" x14ac:dyDescent="0.35">
      <c r="A2751">
        <v>2009</v>
      </c>
      <c r="B2751" t="s">
        <v>36</v>
      </c>
      <c r="C2751" t="s">
        <v>16</v>
      </c>
      <c r="D2751">
        <v>6344</v>
      </c>
      <c r="E2751" t="s">
        <v>458</v>
      </c>
    </row>
    <row r="2752" spans="1:5" x14ac:dyDescent="0.35">
      <c r="A2752">
        <v>2009</v>
      </c>
      <c r="B2752" t="s">
        <v>33</v>
      </c>
      <c r="C2752" t="s">
        <v>87</v>
      </c>
      <c r="D2752">
        <v>121</v>
      </c>
      <c r="E2752" t="s">
        <v>328</v>
      </c>
    </row>
    <row r="2753" spans="1:5" x14ac:dyDescent="0.35">
      <c r="A2753">
        <v>2009</v>
      </c>
      <c r="B2753" t="s">
        <v>33</v>
      </c>
      <c r="C2753" t="s">
        <v>91</v>
      </c>
      <c r="D2753">
        <v>18</v>
      </c>
      <c r="E2753" t="s">
        <v>458</v>
      </c>
    </row>
    <row r="2754" spans="1:5" x14ac:dyDescent="0.35">
      <c r="A2754">
        <v>2009</v>
      </c>
      <c r="B2754" t="s">
        <v>33</v>
      </c>
      <c r="C2754" t="s">
        <v>87</v>
      </c>
      <c r="D2754">
        <v>36</v>
      </c>
      <c r="E2754" t="s">
        <v>458</v>
      </c>
    </row>
    <row r="2755" spans="1:5" x14ac:dyDescent="0.35">
      <c r="A2755">
        <v>2009</v>
      </c>
      <c r="B2755" t="s">
        <v>38</v>
      </c>
      <c r="C2755" t="s">
        <v>86</v>
      </c>
      <c r="D2755">
        <v>602</v>
      </c>
      <c r="E2755" t="s">
        <v>458</v>
      </c>
    </row>
    <row r="2756" spans="1:5" x14ac:dyDescent="0.35">
      <c r="A2756">
        <v>2009</v>
      </c>
      <c r="B2756" t="s">
        <v>36</v>
      </c>
      <c r="C2756" t="s">
        <v>85</v>
      </c>
      <c r="D2756">
        <v>1369</v>
      </c>
      <c r="E2756" t="s">
        <v>328</v>
      </c>
    </row>
    <row r="2757" spans="1:5" x14ac:dyDescent="0.35">
      <c r="A2757">
        <v>2009</v>
      </c>
      <c r="B2757" t="s">
        <v>36</v>
      </c>
      <c r="C2757" t="s">
        <v>85</v>
      </c>
      <c r="D2757">
        <v>2207</v>
      </c>
      <c r="E2757" t="s">
        <v>458</v>
      </c>
    </row>
    <row r="2758" spans="1:5" x14ac:dyDescent="0.35">
      <c r="A2758">
        <v>2009</v>
      </c>
      <c r="B2758" t="s">
        <v>36</v>
      </c>
      <c r="C2758" t="s">
        <v>84</v>
      </c>
      <c r="D2758">
        <v>17</v>
      </c>
      <c r="E2758" t="s">
        <v>328</v>
      </c>
    </row>
    <row r="2759" spans="1:5" x14ac:dyDescent="0.35">
      <c r="A2759">
        <v>2009</v>
      </c>
      <c r="B2759" t="s">
        <v>36</v>
      </c>
      <c r="C2759" t="s">
        <v>84</v>
      </c>
      <c r="D2759">
        <v>18</v>
      </c>
      <c r="E2759" t="s">
        <v>458</v>
      </c>
    </row>
    <row r="2760" spans="1:5" x14ac:dyDescent="0.35">
      <c r="A2760">
        <v>2009</v>
      </c>
      <c r="B2760" t="s">
        <v>35</v>
      </c>
      <c r="C2760" t="s">
        <v>82</v>
      </c>
      <c r="D2760">
        <v>26</v>
      </c>
      <c r="E2760" t="s">
        <v>328</v>
      </c>
    </row>
    <row r="2761" spans="1:5" x14ac:dyDescent="0.35">
      <c r="A2761">
        <v>2009</v>
      </c>
      <c r="B2761" t="s">
        <v>36</v>
      </c>
      <c r="C2761" t="s">
        <v>15</v>
      </c>
      <c r="D2761">
        <v>23094</v>
      </c>
      <c r="E2761" t="s">
        <v>328</v>
      </c>
    </row>
    <row r="2762" spans="1:5" x14ac:dyDescent="0.35">
      <c r="A2762">
        <v>2009</v>
      </c>
      <c r="B2762" t="s">
        <v>38</v>
      </c>
      <c r="C2762" t="s">
        <v>86</v>
      </c>
      <c r="D2762">
        <v>1781</v>
      </c>
      <c r="E2762" t="s">
        <v>328</v>
      </c>
    </row>
    <row r="2763" spans="1:5" x14ac:dyDescent="0.35">
      <c r="A2763">
        <v>2009</v>
      </c>
      <c r="B2763" t="s">
        <v>33</v>
      </c>
      <c r="C2763" t="s">
        <v>91</v>
      </c>
      <c r="D2763">
        <v>58</v>
      </c>
      <c r="E2763" t="s">
        <v>328</v>
      </c>
    </row>
    <row r="2764" spans="1:5" x14ac:dyDescent="0.35">
      <c r="A2764">
        <v>2009</v>
      </c>
      <c r="B2764" t="s">
        <v>35</v>
      </c>
      <c r="C2764" t="s">
        <v>82</v>
      </c>
      <c r="D2764">
        <v>5</v>
      </c>
      <c r="E2764" t="s">
        <v>458</v>
      </c>
    </row>
    <row r="2765" spans="1:5" x14ac:dyDescent="0.35">
      <c r="A2765">
        <v>2009</v>
      </c>
      <c r="B2765" t="s">
        <v>37</v>
      </c>
      <c r="C2765" t="s">
        <v>92</v>
      </c>
      <c r="D2765">
        <v>30</v>
      </c>
      <c r="E2765" t="s">
        <v>328</v>
      </c>
    </row>
    <row r="2766" spans="1:5" x14ac:dyDescent="0.35">
      <c r="A2766">
        <v>2009</v>
      </c>
      <c r="B2766" t="s">
        <v>37</v>
      </c>
      <c r="C2766" t="s">
        <v>92</v>
      </c>
      <c r="D2766">
        <v>24</v>
      </c>
      <c r="E2766" t="s">
        <v>458</v>
      </c>
    </row>
    <row r="2767" spans="1:5" x14ac:dyDescent="0.35">
      <c r="A2767">
        <v>2009</v>
      </c>
      <c r="B2767" t="s">
        <v>36</v>
      </c>
      <c r="C2767" t="s">
        <v>100</v>
      </c>
      <c r="D2767">
        <v>21</v>
      </c>
      <c r="E2767" t="s">
        <v>458</v>
      </c>
    </row>
    <row r="2768" spans="1:5" x14ac:dyDescent="0.35">
      <c r="A2768">
        <v>2009</v>
      </c>
      <c r="B2768" t="s">
        <v>35</v>
      </c>
      <c r="C2768" t="s">
        <v>99</v>
      </c>
      <c r="D2768">
        <v>30</v>
      </c>
      <c r="E2768" t="s">
        <v>328</v>
      </c>
    </row>
    <row r="2769" spans="1:5" x14ac:dyDescent="0.35">
      <c r="A2769">
        <v>2009</v>
      </c>
      <c r="B2769" t="s">
        <v>35</v>
      </c>
      <c r="C2769" t="s">
        <v>99</v>
      </c>
      <c r="D2769">
        <v>18</v>
      </c>
      <c r="E2769" t="s">
        <v>458</v>
      </c>
    </row>
    <row r="2770" spans="1:5" x14ac:dyDescent="0.35">
      <c r="A2770">
        <v>2009</v>
      </c>
      <c r="B2770" t="s">
        <v>33</v>
      </c>
      <c r="C2770" t="s">
        <v>98</v>
      </c>
      <c r="D2770">
        <v>169</v>
      </c>
      <c r="E2770" t="s">
        <v>328</v>
      </c>
    </row>
    <row r="2771" spans="1:5" x14ac:dyDescent="0.35">
      <c r="A2771">
        <v>2009</v>
      </c>
      <c r="B2771" t="s">
        <v>33</v>
      </c>
      <c r="C2771" t="s">
        <v>98</v>
      </c>
      <c r="D2771">
        <v>60</v>
      </c>
      <c r="E2771" t="s">
        <v>458</v>
      </c>
    </row>
    <row r="2772" spans="1:5" x14ac:dyDescent="0.35">
      <c r="A2772">
        <v>2009</v>
      </c>
      <c r="B2772" t="s">
        <v>35</v>
      </c>
      <c r="C2772" t="s">
        <v>97</v>
      </c>
      <c r="D2772">
        <v>151</v>
      </c>
      <c r="E2772" t="s">
        <v>328</v>
      </c>
    </row>
    <row r="2773" spans="1:5" x14ac:dyDescent="0.35">
      <c r="A2773">
        <v>2009</v>
      </c>
      <c r="B2773" t="s">
        <v>35</v>
      </c>
      <c r="C2773" t="s">
        <v>97</v>
      </c>
      <c r="D2773">
        <v>53</v>
      </c>
      <c r="E2773" t="s">
        <v>458</v>
      </c>
    </row>
    <row r="2774" spans="1:5" x14ac:dyDescent="0.35">
      <c r="A2774">
        <v>2009</v>
      </c>
      <c r="B2774" t="s">
        <v>36</v>
      </c>
      <c r="C2774" t="s">
        <v>100</v>
      </c>
      <c r="D2774">
        <v>8</v>
      </c>
      <c r="E2774" t="s">
        <v>328</v>
      </c>
    </row>
    <row r="2775" spans="1:5" x14ac:dyDescent="0.35">
      <c r="A2775">
        <v>2009</v>
      </c>
      <c r="B2775" t="s">
        <v>34</v>
      </c>
      <c r="C2775" t="s">
        <v>8</v>
      </c>
      <c r="D2775">
        <v>23</v>
      </c>
      <c r="E2775" t="s">
        <v>458</v>
      </c>
    </row>
    <row r="2776" spans="1:5" x14ac:dyDescent="0.35">
      <c r="A2776">
        <v>2009</v>
      </c>
      <c r="B2776" t="s">
        <v>33</v>
      </c>
      <c r="C2776" t="s">
        <v>96</v>
      </c>
      <c r="D2776">
        <v>20</v>
      </c>
      <c r="E2776" t="s">
        <v>328</v>
      </c>
    </row>
    <row r="2777" spans="1:5" x14ac:dyDescent="0.35">
      <c r="A2777">
        <v>2009</v>
      </c>
      <c r="B2777" t="s">
        <v>33</v>
      </c>
      <c r="C2777" t="s">
        <v>96</v>
      </c>
      <c r="D2777">
        <v>7</v>
      </c>
      <c r="E2777" t="s">
        <v>458</v>
      </c>
    </row>
    <row r="2778" spans="1:5" x14ac:dyDescent="0.35">
      <c r="A2778">
        <v>2009</v>
      </c>
      <c r="B2778" t="s">
        <v>33</v>
      </c>
      <c r="C2778" t="s">
        <v>95</v>
      </c>
      <c r="E2778" t="s">
        <v>328</v>
      </c>
    </row>
    <row r="2779" spans="1:5" x14ac:dyDescent="0.35">
      <c r="A2779">
        <v>2009</v>
      </c>
      <c r="B2779" t="s">
        <v>33</v>
      </c>
      <c r="C2779" t="s">
        <v>95</v>
      </c>
      <c r="E2779" t="s">
        <v>458</v>
      </c>
    </row>
    <row r="2780" spans="1:5" x14ac:dyDescent="0.35">
      <c r="A2780">
        <v>2009</v>
      </c>
      <c r="B2780" t="s">
        <v>35</v>
      </c>
      <c r="C2780" t="s">
        <v>94</v>
      </c>
      <c r="D2780">
        <v>212</v>
      </c>
      <c r="E2780" t="s">
        <v>328</v>
      </c>
    </row>
    <row r="2781" spans="1:5" x14ac:dyDescent="0.35">
      <c r="A2781">
        <v>2009</v>
      </c>
      <c r="B2781" t="s">
        <v>35</v>
      </c>
      <c r="C2781" t="s">
        <v>94</v>
      </c>
      <c r="D2781">
        <v>24</v>
      </c>
      <c r="E2781" t="s">
        <v>458</v>
      </c>
    </row>
    <row r="2782" spans="1:5" x14ac:dyDescent="0.35">
      <c r="A2782">
        <v>2009</v>
      </c>
      <c r="B2782" t="s">
        <v>34</v>
      </c>
      <c r="C2782" t="s">
        <v>8</v>
      </c>
      <c r="D2782">
        <v>48</v>
      </c>
      <c r="E2782" t="s">
        <v>328</v>
      </c>
    </row>
    <row r="2783" spans="1:5" x14ac:dyDescent="0.35">
      <c r="A2783">
        <v>2009</v>
      </c>
      <c r="B2783" t="s">
        <v>35</v>
      </c>
      <c r="C2783" t="s">
        <v>93</v>
      </c>
      <c r="D2783">
        <v>10</v>
      </c>
      <c r="E2783" t="s">
        <v>328</v>
      </c>
    </row>
    <row r="2784" spans="1:5" x14ac:dyDescent="0.35">
      <c r="A2784">
        <v>2009</v>
      </c>
      <c r="B2784" t="s">
        <v>34</v>
      </c>
      <c r="C2784" t="s">
        <v>40</v>
      </c>
      <c r="D2784">
        <v>98</v>
      </c>
      <c r="E2784" t="s">
        <v>467</v>
      </c>
    </row>
    <row r="2785" spans="1:5" x14ac:dyDescent="0.35">
      <c r="A2785">
        <v>2009</v>
      </c>
      <c r="B2785" t="s">
        <v>35</v>
      </c>
      <c r="C2785" t="s">
        <v>41</v>
      </c>
      <c r="D2785">
        <v>87</v>
      </c>
      <c r="E2785" t="s">
        <v>467</v>
      </c>
    </row>
    <row r="2786" spans="1:5" x14ac:dyDescent="0.35">
      <c r="A2786">
        <v>2009</v>
      </c>
      <c r="B2786" t="s">
        <v>33</v>
      </c>
      <c r="C2786" t="s">
        <v>42</v>
      </c>
      <c r="D2786">
        <v>141</v>
      </c>
      <c r="E2786" t="s">
        <v>467</v>
      </c>
    </row>
    <row r="2787" spans="1:5" x14ac:dyDescent="0.35">
      <c r="A2787">
        <v>2009</v>
      </c>
      <c r="C2787" t="s">
        <v>373</v>
      </c>
      <c r="D2787">
        <v>87</v>
      </c>
      <c r="E2787" t="s">
        <v>467</v>
      </c>
    </row>
    <row r="2788" spans="1:5" x14ac:dyDescent="0.35">
      <c r="A2788">
        <v>2009</v>
      </c>
      <c r="B2788" t="s">
        <v>37</v>
      </c>
      <c r="C2788" t="s">
        <v>386</v>
      </c>
      <c r="E2788" t="s">
        <v>467</v>
      </c>
    </row>
    <row r="2789" spans="1:5" x14ac:dyDescent="0.35">
      <c r="A2789">
        <v>2009</v>
      </c>
      <c r="B2789" t="s">
        <v>33</v>
      </c>
      <c r="C2789" t="s">
        <v>43</v>
      </c>
      <c r="D2789">
        <v>13</v>
      </c>
      <c r="E2789" t="s">
        <v>467</v>
      </c>
    </row>
    <row r="2790" spans="1:5" x14ac:dyDescent="0.35">
      <c r="A2790">
        <v>2009</v>
      </c>
      <c r="B2790" t="s">
        <v>36</v>
      </c>
      <c r="C2790" t="s">
        <v>44</v>
      </c>
      <c r="D2790">
        <v>11</v>
      </c>
      <c r="E2790" t="s">
        <v>467</v>
      </c>
    </row>
    <row r="2791" spans="1:5" x14ac:dyDescent="0.35">
      <c r="A2791">
        <v>2009</v>
      </c>
      <c r="B2791" t="s">
        <v>38</v>
      </c>
      <c r="C2791" t="s">
        <v>45</v>
      </c>
      <c r="D2791">
        <v>120</v>
      </c>
      <c r="E2791" t="s">
        <v>467</v>
      </c>
    </row>
    <row r="2792" spans="1:5" x14ac:dyDescent="0.35">
      <c r="A2792">
        <v>2009</v>
      </c>
      <c r="B2792" t="s">
        <v>34</v>
      </c>
      <c r="C2792" t="s">
        <v>46</v>
      </c>
      <c r="D2792">
        <v>18</v>
      </c>
      <c r="E2792" t="s">
        <v>467</v>
      </c>
    </row>
    <row r="2793" spans="1:5" x14ac:dyDescent="0.35">
      <c r="A2793">
        <v>2009</v>
      </c>
      <c r="B2793" t="s">
        <v>37</v>
      </c>
      <c r="C2793" t="s">
        <v>47</v>
      </c>
      <c r="D2793">
        <v>423</v>
      </c>
      <c r="E2793" t="s">
        <v>467</v>
      </c>
    </row>
    <row r="2794" spans="1:5" x14ac:dyDescent="0.35">
      <c r="A2794">
        <v>2009</v>
      </c>
      <c r="B2794" t="s">
        <v>35</v>
      </c>
      <c r="C2794" t="s">
        <v>48</v>
      </c>
      <c r="D2794">
        <v>82</v>
      </c>
      <c r="E2794" t="s">
        <v>467</v>
      </c>
    </row>
    <row r="2795" spans="1:5" x14ac:dyDescent="0.35">
      <c r="A2795">
        <v>2009</v>
      </c>
      <c r="B2795" t="s">
        <v>34</v>
      </c>
      <c r="C2795" t="s">
        <v>49</v>
      </c>
      <c r="D2795">
        <v>40</v>
      </c>
      <c r="E2795" t="s">
        <v>467</v>
      </c>
    </row>
    <row r="2796" spans="1:5" x14ac:dyDescent="0.35">
      <c r="A2796">
        <v>2009</v>
      </c>
      <c r="B2796" t="s">
        <v>36</v>
      </c>
      <c r="C2796" t="s">
        <v>50</v>
      </c>
      <c r="D2796">
        <v>314</v>
      </c>
      <c r="E2796" t="s">
        <v>467</v>
      </c>
    </row>
    <row r="2797" spans="1:5" x14ac:dyDescent="0.35">
      <c r="A2797">
        <v>2009</v>
      </c>
      <c r="B2797" t="s">
        <v>34</v>
      </c>
      <c r="C2797" t="s">
        <v>51</v>
      </c>
      <c r="E2797" t="s">
        <v>467</v>
      </c>
    </row>
    <row r="2798" spans="1:5" x14ac:dyDescent="0.35">
      <c r="A2798">
        <v>2009</v>
      </c>
      <c r="B2798" t="s">
        <v>34</v>
      </c>
      <c r="C2798" t="s">
        <v>52</v>
      </c>
      <c r="D2798">
        <v>310</v>
      </c>
      <c r="E2798" t="s">
        <v>467</v>
      </c>
    </row>
    <row r="2799" spans="1:5" x14ac:dyDescent="0.35">
      <c r="A2799">
        <v>2009</v>
      </c>
      <c r="B2799" t="s">
        <v>36</v>
      </c>
      <c r="C2799" t="s">
        <v>53</v>
      </c>
      <c r="D2799">
        <v>47</v>
      </c>
      <c r="E2799" t="s">
        <v>467</v>
      </c>
    </row>
    <row r="2800" spans="1:5" x14ac:dyDescent="0.35">
      <c r="A2800">
        <v>2009</v>
      </c>
      <c r="B2800" t="s">
        <v>35</v>
      </c>
      <c r="C2800" t="s">
        <v>54</v>
      </c>
      <c r="D2800">
        <v>91</v>
      </c>
      <c r="E2800" t="s">
        <v>467</v>
      </c>
    </row>
    <row r="2801" spans="1:5" x14ac:dyDescent="0.35">
      <c r="A2801">
        <v>2009</v>
      </c>
      <c r="B2801" t="s">
        <v>35</v>
      </c>
      <c r="C2801" t="s">
        <v>55</v>
      </c>
      <c r="D2801">
        <v>124</v>
      </c>
      <c r="E2801" t="s">
        <v>467</v>
      </c>
    </row>
    <row r="2802" spans="1:5" x14ac:dyDescent="0.35">
      <c r="A2802">
        <v>2009</v>
      </c>
      <c r="B2802" t="s">
        <v>36</v>
      </c>
      <c r="C2802" t="s">
        <v>56</v>
      </c>
      <c r="D2802">
        <v>65</v>
      </c>
      <c r="E2802" t="s">
        <v>467</v>
      </c>
    </row>
    <row r="2803" spans="1:5" x14ac:dyDescent="0.35">
      <c r="A2803">
        <v>2009</v>
      </c>
      <c r="B2803" t="s">
        <v>33</v>
      </c>
      <c r="C2803" t="s">
        <v>57</v>
      </c>
      <c r="D2803">
        <v>43</v>
      </c>
      <c r="E2803" t="s">
        <v>467</v>
      </c>
    </row>
    <row r="2804" spans="1:5" x14ac:dyDescent="0.35">
      <c r="A2804">
        <v>2009</v>
      </c>
      <c r="B2804" t="s">
        <v>36</v>
      </c>
      <c r="C2804" t="s">
        <v>363</v>
      </c>
      <c r="D2804">
        <v>78</v>
      </c>
      <c r="E2804" t="s">
        <v>467</v>
      </c>
    </row>
    <row r="2805" spans="1:5" x14ac:dyDescent="0.35">
      <c r="A2805">
        <v>2009</v>
      </c>
      <c r="B2805" t="s">
        <v>38</v>
      </c>
      <c r="C2805" t="s">
        <v>59</v>
      </c>
      <c r="D2805">
        <v>90</v>
      </c>
      <c r="E2805" t="s">
        <v>467</v>
      </c>
    </row>
    <row r="2806" spans="1:5" x14ac:dyDescent="0.35">
      <c r="A2806">
        <v>2009</v>
      </c>
      <c r="B2806" t="s">
        <v>35</v>
      </c>
      <c r="C2806" t="s">
        <v>60</v>
      </c>
      <c r="D2806">
        <v>32</v>
      </c>
      <c r="E2806" t="s">
        <v>467</v>
      </c>
    </row>
    <row r="2807" spans="1:5" x14ac:dyDescent="0.35">
      <c r="A2807">
        <v>2009</v>
      </c>
      <c r="B2807" t="s">
        <v>38</v>
      </c>
      <c r="C2807" t="s">
        <v>21</v>
      </c>
      <c r="D2807">
        <v>773</v>
      </c>
      <c r="E2807" t="s">
        <v>467</v>
      </c>
    </row>
    <row r="2808" spans="1:5" x14ac:dyDescent="0.35">
      <c r="A2808">
        <v>2009</v>
      </c>
      <c r="B2808" t="s">
        <v>36</v>
      </c>
      <c r="C2808" t="s">
        <v>364</v>
      </c>
      <c r="D2808">
        <v>42</v>
      </c>
      <c r="E2808" t="s">
        <v>467</v>
      </c>
    </row>
    <row r="2809" spans="1:5" x14ac:dyDescent="0.35">
      <c r="A2809">
        <v>2009</v>
      </c>
      <c r="B2809" t="s">
        <v>35</v>
      </c>
      <c r="C2809" t="s">
        <v>62</v>
      </c>
      <c r="D2809">
        <v>296</v>
      </c>
      <c r="E2809" t="s">
        <v>467</v>
      </c>
    </row>
    <row r="2810" spans="1:5" x14ac:dyDescent="0.35">
      <c r="A2810">
        <v>2009</v>
      </c>
      <c r="B2810" t="s">
        <v>33</v>
      </c>
      <c r="C2810" t="s">
        <v>63</v>
      </c>
      <c r="D2810">
        <v>15</v>
      </c>
      <c r="E2810" t="s">
        <v>467</v>
      </c>
    </row>
    <row r="2811" spans="1:5" x14ac:dyDescent="0.35">
      <c r="A2811">
        <v>2009</v>
      </c>
      <c r="B2811" t="s">
        <v>34</v>
      </c>
      <c r="C2811" t="s">
        <v>64</v>
      </c>
      <c r="D2811">
        <v>3783</v>
      </c>
      <c r="E2811" t="s">
        <v>467</v>
      </c>
    </row>
    <row r="2812" spans="1:5" x14ac:dyDescent="0.35">
      <c r="A2812">
        <v>2009</v>
      </c>
      <c r="B2812" t="s">
        <v>33</v>
      </c>
      <c r="C2812" t="s">
        <v>65</v>
      </c>
      <c r="D2812">
        <v>9</v>
      </c>
      <c r="E2812" t="s">
        <v>467</v>
      </c>
    </row>
    <row r="2813" spans="1:5" x14ac:dyDescent="0.35">
      <c r="A2813">
        <v>2009</v>
      </c>
      <c r="B2813" t="s">
        <v>34</v>
      </c>
      <c r="C2813" t="s">
        <v>67</v>
      </c>
      <c r="D2813">
        <v>21</v>
      </c>
      <c r="E2813" t="s">
        <v>467</v>
      </c>
    </row>
    <row r="2814" spans="1:5" x14ac:dyDescent="0.35">
      <c r="A2814">
        <v>2009</v>
      </c>
      <c r="B2814" t="s">
        <v>33</v>
      </c>
      <c r="C2814" t="s">
        <v>68</v>
      </c>
      <c r="D2814">
        <v>54</v>
      </c>
      <c r="E2814" t="s">
        <v>467</v>
      </c>
    </row>
    <row r="2815" spans="1:5" x14ac:dyDescent="0.35">
      <c r="A2815">
        <v>2009</v>
      </c>
      <c r="B2815" t="s">
        <v>36</v>
      </c>
      <c r="C2815" t="s">
        <v>69</v>
      </c>
      <c r="D2815">
        <v>25373</v>
      </c>
      <c r="E2815" t="s">
        <v>467</v>
      </c>
    </row>
    <row r="2816" spans="1:5" x14ac:dyDescent="0.35">
      <c r="A2816">
        <v>2009</v>
      </c>
      <c r="B2816" t="s">
        <v>33</v>
      </c>
      <c r="C2816" t="s">
        <v>66</v>
      </c>
      <c r="D2816">
        <v>35</v>
      </c>
      <c r="E2816" t="s">
        <v>467</v>
      </c>
    </row>
    <row r="2817" spans="1:5" x14ac:dyDescent="0.35">
      <c r="A2817">
        <v>2009</v>
      </c>
      <c r="B2817" t="s">
        <v>36</v>
      </c>
      <c r="C2817" t="s">
        <v>365</v>
      </c>
      <c r="D2817">
        <v>15</v>
      </c>
      <c r="E2817" t="s">
        <v>467</v>
      </c>
    </row>
    <row r="2818" spans="1:5" x14ac:dyDescent="0.35">
      <c r="A2818">
        <v>2009</v>
      </c>
      <c r="B2818" t="s">
        <v>38</v>
      </c>
      <c r="C2818" t="s">
        <v>72</v>
      </c>
      <c r="D2818">
        <v>140</v>
      </c>
      <c r="E2818" t="s">
        <v>467</v>
      </c>
    </row>
    <row r="2819" spans="1:5" x14ac:dyDescent="0.35">
      <c r="A2819">
        <v>2009</v>
      </c>
      <c r="B2819" t="s">
        <v>34</v>
      </c>
      <c r="C2819" t="s">
        <v>73</v>
      </c>
      <c r="D2819">
        <v>15155</v>
      </c>
      <c r="E2819" t="s">
        <v>467</v>
      </c>
    </row>
    <row r="2820" spans="1:5" x14ac:dyDescent="0.35">
      <c r="A2820">
        <v>2009</v>
      </c>
      <c r="B2820" t="s">
        <v>38</v>
      </c>
      <c r="C2820" t="s">
        <v>20</v>
      </c>
      <c r="D2820">
        <v>893</v>
      </c>
      <c r="E2820" t="s">
        <v>467</v>
      </c>
    </row>
    <row r="2821" spans="1:5" x14ac:dyDescent="0.35">
      <c r="A2821">
        <v>2009</v>
      </c>
      <c r="B2821" t="s">
        <v>33</v>
      </c>
      <c r="C2821" t="s">
        <v>74</v>
      </c>
      <c r="E2821" t="s">
        <v>467</v>
      </c>
    </row>
    <row r="2822" spans="1:5" x14ac:dyDescent="0.35">
      <c r="A2822">
        <v>2009</v>
      </c>
      <c r="B2822" t="s">
        <v>33</v>
      </c>
      <c r="C2822" t="s">
        <v>75</v>
      </c>
      <c r="D2822">
        <v>50</v>
      </c>
      <c r="E2822" t="s">
        <v>467</v>
      </c>
    </row>
    <row r="2823" spans="1:5" x14ac:dyDescent="0.35">
      <c r="A2823">
        <v>2009</v>
      </c>
      <c r="B2823" t="s">
        <v>36</v>
      </c>
      <c r="C2823" t="s">
        <v>76</v>
      </c>
      <c r="D2823">
        <v>163</v>
      </c>
      <c r="E2823" t="s">
        <v>467</v>
      </c>
    </row>
    <row r="2824" spans="1:5" x14ac:dyDescent="0.35">
      <c r="A2824">
        <v>2009</v>
      </c>
      <c r="B2824" t="s">
        <v>33</v>
      </c>
      <c r="C2824" t="s">
        <v>77</v>
      </c>
      <c r="D2824">
        <v>45</v>
      </c>
      <c r="E2824" t="s">
        <v>467</v>
      </c>
    </row>
    <row r="2825" spans="1:5" x14ac:dyDescent="0.35">
      <c r="A2825">
        <v>2009</v>
      </c>
      <c r="B2825" t="s">
        <v>35</v>
      </c>
      <c r="C2825" t="s">
        <v>78</v>
      </c>
      <c r="D2825">
        <v>121</v>
      </c>
      <c r="E2825" t="s">
        <v>467</v>
      </c>
    </row>
    <row r="2826" spans="1:5" x14ac:dyDescent="0.35">
      <c r="A2826">
        <v>2009</v>
      </c>
      <c r="B2826" t="s">
        <v>36</v>
      </c>
      <c r="C2826" t="s">
        <v>79</v>
      </c>
      <c r="D2826">
        <v>85</v>
      </c>
      <c r="E2826" t="s">
        <v>467</v>
      </c>
    </row>
    <row r="2827" spans="1:5" x14ac:dyDescent="0.35">
      <c r="A2827">
        <v>2009</v>
      </c>
      <c r="B2827" t="s">
        <v>34</v>
      </c>
      <c r="C2827" t="s">
        <v>80</v>
      </c>
      <c r="D2827">
        <v>16</v>
      </c>
      <c r="E2827" t="s">
        <v>467</v>
      </c>
    </row>
    <row r="2828" spans="1:5" x14ac:dyDescent="0.35">
      <c r="A2828">
        <v>2009</v>
      </c>
      <c r="B2828" t="s">
        <v>35</v>
      </c>
      <c r="C2828" t="s">
        <v>81</v>
      </c>
      <c r="D2828">
        <v>100</v>
      </c>
      <c r="E2828" t="s">
        <v>467</v>
      </c>
    </row>
    <row r="2829" spans="1:5" x14ac:dyDescent="0.35">
      <c r="A2829">
        <v>2009</v>
      </c>
      <c r="B2829" t="s">
        <v>35</v>
      </c>
      <c r="C2829" t="s">
        <v>214</v>
      </c>
      <c r="D2829">
        <v>82</v>
      </c>
      <c r="E2829" t="s">
        <v>467</v>
      </c>
    </row>
    <row r="2830" spans="1:5" x14ac:dyDescent="0.35">
      <c r="A2830">
        <v>2009</v>
      </c>
      <c r="B2830" t="s">
        <v>35</v>
      </c>
      <c r="C2830" t="s">
        <v>82</v>
      </c>
      <c r="D2830">
        <v>97</v>
      </c>
      <c r="E2830" t="s">
        <v>467</v>
      </c>
    </row>
    <row r="2831" spans="1:5" x14ac:dyDescent="0.35">
      <c r="A2831">
        <v>2009</v>
      </c>
      <c r="B2831" t="s">
        <v>36</v>
      </c>
      <c r="C2831" t="s">
        <v>84</v>
      </c>
      <c r="D2831">
        <v>59</v>
      </c>
      <c r="E2831" t="s">
        <v>467</v>
      </c>
    </row>
    <row r="2832" spans="1:5" x14ac:dyDescent="0.35">
      <c r="A2832">
        <v>2009</v>
      </c>
      <c r="B2832" t="s">
        <v>36</v>
      </c>
      <c r="C2832" t="s">
        <v>85</v>
      </c>
      <c r="D2832">
        <v>786</v>
      </c>
      <c r="E2832" t="s">
        <v>467</v>
      </c>
    </row>
    <row r="2833" spans="1:5" x14ac:dyDescent="0.35">
      <c r="A2833">
        <v>2009</v>
      </c>
      <c r="B2833" t="s">
        <v>38</v>
      </c>
      <c r="C2833" t="s">
        <v>86</v>
      </c>
      <c r="D2833">
        <v>411</v>
      </c>
      <c r="E2833" t="s">
        <v>467</v>
      </c>
    </row>
    <row r="2834" spans="1:5" x14ac:dyDescent="0.35">
      <c r="A2834">
        <v>2009</v>
      </c>
      <c r="B2834" t="s">
        <v>33</v>
      </c>
      <c r="C2834" t="s">
        <v>87</v>
      </c>
      <c r="D2834">
        <v>454</v>
      </c>
      <c r="E2834" t="s">
        <v>467</v>
      </c>
    </row>
    <row r="2835" spans="1:5" x14ac:dyDescent="0.35">
      <c r="A2835">
        <v>2009</v>
      </c>
      <c r="B2835" t="s">
        <v>36</v>
      </c>
      <c r="C2835" t="s">
        <v>16</v>
      </c>
      <c r="D2835">
        <v>1072</v>
      </c>
      <c r="E2835" t="s">
        <v>467</v>
      </c>
    </row>
    <row r="2836" spans="1:5" x14ac:dyDescent="0.35">
      <c r="A2836">
        <v>2009</v>
      </c>
      <c r="B2836" t="s">
        <v>33</v>
      </c>
      <c r="C2836" t="s">
        <v>89</v>
      </c>
      <c r="D2836">
        <v>10</v>
      </c>
      <c r="E2836" t="s">
        <v>467</v>
      </c>
    </row>
    <row r="2837" spans="1:5" x14ac:dyDescent="0.35">
      <c r="A2837">
        <v>2009</v>
      </c>
      <c r="B2837" t="s">
        <v>35</v>
      </c>
      <c r="C2837" t="s">
        <v>90</v>
      </c>
      <c r="D2837">
        <v>70</v>
      </c>
      <c r="E2837" t="s">
        <v>467</v>
      </c>
    </row>
    <row r="2838" spans="1:5" x14ac:dyDescent="0.35">
      <c r="A2838">
        <v>2009</v>
      </c>
      <c r="B2838" t="s">
        <v>33</v>
      </c>
      <c r="C2838" t="s">
        <v>91</v>
      </c>
      <c r="D2838">
        <v>73</v>
      </c>
      <c r="E2838" t="s">
        <v>467</v>
      </c>
    </row>
    <row r="2839" spans="1:5" x14ac:dyDescent="0.35">
      <c r="A2839">
        <v>2009</v>
      </c>
      <c r="B2839" t="s">
        <v>37</v>
      </c>
      <c r="C2839" t="s">
        <v>92</v>
      </c>
      <c r="D2839">
        <v>333</v>
      </c>
      <c r="E2839" t="s">
        <v>467</v>
      </c>
    </row>
    <row r="2840" spans="1:5" x14ac:dyDescent="0.35">
      <c r="A2840">
        <v>2009</v>
      </c>
      <c r="B2840" t="s">
        <v>35</v>
      </c>
      <c r="C2840" t="s">
        <v>93</v>
      </c>
      <c r="D2840">
        <v>79</v>
      </c>
      <c r="E2840" t="s">
        <v>467</v>
      </c>
    </row>
    <row r="2841" spans="1:5" x14ac:dyDescent="0.35">
      <c r="A2841">
        <v>2009</v>
      </c>
      <c r="B2841" t="s">
        <v>35</v>
      </c>
      <c r="C2841" t="s">
        <v>94</v>
      </c>
      <c r="D2841">
        <v>917</v>
      </c>
      <c r="E2841" t="s">
        <v>467</v>
      </c>
    </row>
    <row r="2842" spans="1:5" x14ac:dyDescent="0.35">
      <c r="A2842">
        <v>2009</v>
      </c>
      <c r="B2842" t="s">
        <v>33</v>
      </c>
      <c r="C2842" t="s">
        <v>95</v>
      </c>
      <c r="D2842">
        <v>11</v>
      </c>
      <c r="E2842" t="s">
        <v>467</v>
      </c>
    </row>
    <row r="2843" spans="1:5" x14ac:dyDescent="0.35">
      <c r="A2843">
        <v>2009</v>
      </c>
      <c r="B2843" t="s">
        <v>33</v>
      </c>
      <c r="C2843" t="s">
        <v>96</v>
      </c>
      <c r="D2843">
        <v>14</v>
      </c>
      <c r="E2843" t="s">
        <v>467</v>
      </c>
    </row>
    <row r="2844" spans="1:5" x14ac:dyDescent="0.35">
      <c r="A2844">
        <v>2009</v>
      </c>
      <c r="B2844" t="s">
        <v>34</v>
      </c>
      <c r="C2844" t="s">
        <v>8</v>
      </c>
      <c r="D2844">
        <v>378</v>
      </c>
      <c r="E2844" t="s">
        <v>467</v>
      </c>
    </row>
    <row r="2845" spans="1:5" x14ac:dyDescent="0.35">
      <c r="A2845">
        <v>2009</v>
      </c>
      <c r="B2845" t="s">
        <v>35</v>
      </c>
      <c r="C2845" t="s">
        <v>97</v>
      </c>
      <c r="D2845">
        <v>690</v>
      </c>
      <c r="E2845" t="s">
        <v>467</v>
      </c>
    </row>
    <row r="2846" spans="1:5" x14ac:dyDescent="0.35">
      <c r="A2846">
        <v>2009</v>
      </c>
      <c r="B2846" t="s">
        <v>33</v>
      </c>
      <c r="C2846" t="s">
        <v>98</v>
      </c>
      <c r="D2846">
        <v>231</v>
      </c>
      <c r="E2846" t="s">
        <v>467</v>
      </c>
    </row>
    <row r="2847" spans="1:5" x14ac:dyDescent="0.35">
      <c r="A2847">
        <v>2009</v>
      </c>
      <c r="B2847" t="s">
        <v>35</v>
      </c>
      <c r="C2847" t="s">
        <v>99</v>
      </c>
      <c r="D2847">
        <v>311</v>
      </c>
      <c r="E2847" t="s">
        <v>467</v>
      </c>
    </row>
    <row r="2848" spans="1:5" x14ac:dyDescent="0.35">
      <c r="A2848">
        <v>2009</v>
      </c>
      <c r="B2848" t="s">
        <v>36</v>
      </c>
      <c r="C2848" t="s">
        <v>100</v>
      </c>
      <c r="D2848">
        <v>36</v>
      </c>
      <c r="E2848" t="s">
        <v>467</v>
      </c>
    </row>
    <row r="2849" spans="1:5" x14ac:dyDescent="0.35">
      <c r="A2849">
        <v>2009</v>
      </c>
      <c r="B2849" t="s">
        <v>36</v>
      </c>
      <c r="C2849" t="s">
        <v>15</v>
      </c>
      <c r="D2849">
        <v>1860</v>
      </c>
      <c r="E2849" t="s">
        <v>467</v>
      </c>
    </row>
    <row r="2850" spans="1:5" x14ac:dyDescent="0.35">
      <c r="A2850">
        <v>2009</v>
      </c>
      <c r="B2850" t="s">
        <v>33</v>
      </c>
      <c r="C2850" t="s">
        <v>101</v>
      </c>
      <c r="D2850">
        <v>29</v>
      </c>
      <c r="E2850" t="s">
        <v>467</v>
      </c>
    </row>
    <row r="2851" spans="1:5" x14ac:dyDescent="0.35">
      <c r="A2851">
        <v>2009</v>
      </c>
      <c r="B2851" t="s">
        <v>38</v>
      </c>
      <c r="C2851" t="s">
        <v>103</v>
      </c>
      <c r="D2851">
        <v>192</v>
      </c>
      <c r="E2851" t="s">
        <v>467</v>
      </c>
    </row>
    <row r="2852" spans="1:5" x14ac:dyDescent="0.35">
      <c r="A2852">
        <v>2009</v>
      </c>
      <c r="B2852" t="s">
        <v>36</v>
      </c>
      <c r="C2852" t="s">
        <v>104</v>
      </c>
      <c r="D2852">
        <v>272</v>
      </c>
      <c r="E2852" t="s">
        <v>467</v>
      </c>
    </row>
    <row r="2853" spans="1:5" x14ac:dyDescent="0.35">
      <c r="A2853">
        <v>2009</v>
      </c>
      <c r="B2853" t="s">
        <v>36</v>
      </c>
      <c r="C2853" t="s">
        <v>17</v>
      </c>
      <c r="D2853">
        <v>1354</v>
      </c>
      <c r="E2853" t="s">
        <v>467</v>
      </c>
    </row>
    <row r="2854" spans="1:5" x14ac:dyDescent="0.35">
      <c r="A2854">
        <v>2009</v>
      </c>
      <c r="B2854" t="s">
        <v>34</v>
      </c>
      <c r="C2854" t="s">
        <v>368</v>
      </c>
      <c r="D2854">
        <v>137</v>
      </c>
      <c r="E2854" t="s">
        <v>467</v>
      </c>
    </row>
    <row r="2855" spans="1:5" x14ac:dyDescent="0.35">
      <c r="A2855">
        <v>2009</v>
      </c>
      <c r="B2855" t="s">
        <v>35</v>
      </c>
      <c r="C2855" t="s">
        <v>105</v>
      </c>
      <c r="D2855">
        <v>176</v>
      </c>
      <c r="E2855" t="s">
        <v>467</v>
      </c>
    </row>
    <row r="2856" spans="1:5" x14ac:dyDescent="0.35">
      <c r="A2856">
        <v>2009</v>
      </c>
      <c r="B2856" t="s">
        <v>35</v>
      </c>
      <c r="C2856" t="s">
        <v>106</v>
      </c>
      <c r="D2856">
        <v>17</v>
      </c>
      <c r="E2856" t="s">
        <v>467</v>
      </c>
    </row>
    <row r="2857" spans="1:5" x14ac:dyDescent="0.35">
      <c r="A2857">
        <v>2009</v>
      </c>
      <c r="B2857" t="s">
        <v>34</v>
      </c>
      <c r="C2857" t="s">
        <v>22</v>
      </c>
      <c r="D2857">
        <v>4233</v>
      </c>
      <c r="E2857" t="s">
        <v>467</v>
      </c>
    </row>
    <row r="2858" spans="1:5" x14ac:dyDescent="0.35">
      <c r="A2858">
        <v>2009</v>
      </c>
      <c r="B2858" t="s">
        <v>34</v>
      </c>
      <c r="C2858" t="s">
        <v>107</v>
      </c>
      <c r="D2858">
        <v>2685</v>
      </c>
      <c r="E2858" t="s">
        <v>467</v>
      </c>
    </row>
    <row r="2859" spans="1:5" x14ac:dyDescent="0.35">
      <c r="A2859">
        <v>2009</v>
      </c>
      <c r="B2859" t="s">
        <v>34</v>
      </c>
      <c r="C2859" t="s">
        <v>108</v>
      </c>
      <c r="D2859">
        <v>304</v>
      </c>
      <c r="E2859" t="s">
        <v>467</v>
      </c>
    </row>
    <row r="2860" spans="1:5" x14ac:dyDescent="0.35">
      <c r="A2860">
        <v>2009</v>
      </c>
      <c r="B2860" t="s">
        <v>34</v>
      </c>
      <c r="C2860" t="s">
        <v>109</v>
      </c>
      <c r="D2860">
        <v>71</v>
      </c>
      <c r="E2860" t="s">
        <v>467</v>
      </c>
    </row>
    <row r="2861" spans="1:5" x14ac:dyDescent="0.35">
      <c r="A2861">
        <v>2009</v>
      </c>
      <c r="B2861" t="s">
        <v>35</v>
      </c>
      <c r="C2861" t="s">
        <v>110</v>
      </c>
      <c r="D2861">
        <v>300</v>
      </c>
      <c r="E2861" t="s">
        <v>467</v>
      </c>
    </row>
    <row r="2862" spans="1:5" x14ac:dyDescent="0.35">
      <c r="A2862">
        <v>2009</v>
      </c>
      <c r="B2862" t="s">
        <v>34</v>
      </c>
      <c r="C2862" t="s">
        <v>111</v>
      </c>
      <c r="D2862">
        <v>495</v>
      </c>
      <c r="E2862" t="s">
        <v>467</v>
      </c>
    </row>
    <row r="2863" spans="1:5" x14ac:dyDescent="0.35">
      <c r="A2863">
        <v>2009</v>
      </c>
      <c r="B2863" t="s">
        <v>35</v>
      </c>
      <c r="C2863" t="s">
        <v>112</v>
      </c>
      <c r="D2863">
        <v>790</v>
      </c>
      <c r="E2863" t="s">
        <v>467</v>
      </c>
    </row>
    <row r="2864" spans="1:5" x14ac:dyDescent="0.35">
      <c r="A2864">
        <v>2009</v>
      </c>
      <c r="B2864" t="s">
        <v>36</v>
      </c>
      <c r="C2864" t="s">
        <v>113</v>
      </c>
      <c r="D2864">
        <v>555</v>
      </c>
      <c r="E2864" t="s">
        <v>467</v>
      </c>
    </row>
    <row r="2865" spans="1:5" x14ac:dyDescent="0.35">
      <c r="A2865">
        <v>2009</v>
      </c>
      <c r="B2865" t="s">
        <v>34</v>
      </c>
      <c r="C2865" t="s">
        <v>114</v>
      </c>
      <c r="D2865">
        <v>461</v>
      </c>
      <c r="E2865" t="s">
        <v>467</v>
      </c>
    </row>
    <row r="2866" spans="1:5" x14ac:dyDescent="0.35">
      <c r="A2866">
        <v>2009</v>
      </c>
      <c r="B2866" t="s">
        <v>34</v>
      </c>
      <c r="C2866" t="s">
        <v>115</v>
      </c>
      <c r="D2866">
        <v>197</v>
      </c>
      <c r="E2866" t="s">
        <v>467</v>
      </c>
    </row>
    <row r="2867" spans="1:5" x14ac:dyDescent="0.35">
      <c r="A2867">
        <v>2009</v>
      </c>
      <c r="B2867" t="s">
        <v>34</v>
      </c>
      <c r="C2867" t="s">
        <v>116</v>
      </c>
      <c r="D2867">
        <v>31</v>
      </c>
      <c r="E2867" t="s">
        <v>467</v>
      </c>
    </row>
    <row r="2868" spans="1:5" x14ac:dyDescent="0.35">
      <c r="A2868">
        <v>2009</v>
      </c>
      <c r="B2868" t="s">
        <v>33</v>
      </c>
      <c r="C2868" t="s">
        <v>117</v>
      </c>
      <c r="D2868">
        <v>96</v>
      </c>
      <c r="E2868" t="s">
        <v>467</v>
      </c>
    </row>
    <row r="2869" spans="1:5" x14ac:dyDescent="0.35">
      <c r="A2869">
        <v>2009</v>
      </c>
      <c r="B2869" t="s">
        <v>37</v>
      </c>
      <c r="C2869" t="s">
        <v>390</v>
      </c>
      <c r="D2869">
        <v>63</v>
      </c>
      <c r="E2869" t="s">
        <v>467</v>
      </c>
    </row>
    <row r="2870" spans="1:5" x14ac:dyDescent="0.35">
      <c r="A2870">
        <v>2009</v>
      </c>
      <c r="B2870" t="s">
        <v>34</v>
      </c>
      <c r="C2870" t="s">
        <v>118</v>
      </c>
      <c r="D2870">
        <v>1634</v>
      </c>
      <c r="E2870" t="s">
        <v>467</v>
      </c>
    </row>
    <row r="2871" spans="1:5" x14ac:dyDescent="0.35">
      <c r="A2871">
        <v>2009</v>
      </c>
      <c r="B2871" t="s">
        <v>35</v>
      </c>
      <c r="C2871" t="s">
        <v>119</v>
      </c>
      <c r="D2871">
        <v>8</v>
      </c>
      <c r="E2871" t="s">
        <v>467</v>
      </c>
    </row>
    <row r="2872" spans="1:5" x14ac:dyDescent="0.35">
      <c r="A2872">
        <v>2009</v>
      </c>
      <c r="B2872" t="s">
        <v>34</v>
      </c>
      <c r="C2872" t="s">
        <v>120</v>
      </c>
      <c r="D2872">
        <v>36</v>
      </c>
      <c r="E2872" t="s">
        <v>467</v>
      </c>
    </row>
    <row r="2873" spans="1:5" x14ac:dyDescent="0.35">
      <c r="A2873">
        <v>2009</v>
      </c>
      <c r="B2873" t="s">
        <v>34</v>
      </c>
      <c r="C2873" t="s">
        <v>121</v>
      </c>
      <c r="D2873">
        <v>13</v>
      </c>
      <c r="E2873" t="s">
        <v>467</v>
      </c>
    </row>
    <row r="2874" spans="1:5" x14ac:dyDescent="0.35">
      <c r="A2874">
        <v>2009</v>
      </c>
      <c r="B2874" t="s">
        <v>34</v>
      </c>
      <c r="C2874" t="s">
        <v>122</v>
      </c>
      <c r="D2874">
        <v>21</v>
      </c>
      <c r="E2874" t="s">
        <v>467</v>
      </c>
    </row>
    <row r="2875" spans="1:5" x14ac:dyDescent="0.35">
      <c r="A2875">
        <v>2009</v>
      </c>
      <c r="B2875" t="s">
        <v>35</v>
      </c>
      <c r="C2875" t="s">
        <v>123</v>
      </c>
      <c r="D2875">
        <v>322</v>
      </c>
      <c r="E2875" t="s">
        <v>467</v>
      </c>
    </row>
    <row r="2876" spans="1:5" x14ac:dyDescent="0.35">
      <c r="A2876">
        <v>2009</v>
      </c>
      <c r="B2876" t="s">
        <v>34</v>
      </c>
      <c r="C2876" t="s">
        <v>124</v>
      </c>
      <c r="D2876">
        <v>204</v>
      </c>
      <c r="E2876" t="s">
        <v>467</v>
      </c>
    </row>
    <row r="2877" spans="1:5" x14ac:dyDescent="0.35">
      <c r="A2877">
        <v>2009</v>
      </c>
      <c r="B2877" t="s">
        <v>33</v>
      </c>
      <c r="C2877" t="s">
        <v>125</v>
      </c>
      <c r="D2877">
        <v>39</v>
      </c>
      <c r="E2877" t="s">
        <v>467</v>
      </c>
    </row>
    <row r="2878" spans="1:5" x14ac:dyDescent="0.35">
      <c r="A2878">
        <v>2009</v>
      </c>
      <c r="B2878" t="s">
        <v>33</v>
      </c>
      <c r="C2878" t="s">
        <v>126</v>
      </c>
      <c r="D2878">
        <v>59</v>
      </c>
      <c r="E2878" t="s">
        <v>467</v>
      </c>
    </row>
    <row r="2879" spans="1:5" x14ac:dyDescent="0.35">
      <c r="A2879">
        <v>2009</v>
      </c>
      <c r="B2879" t="s">
        <v>35</v>
      </c>
      <c r="C2879" t="s">
        <v>127</v>
      </c>
      <c r="D2879">
        <v>703</v>
      </c>
      <c r="E2879" t="s">
        <v>467</v>
      </c>
    </row>
    <row r="2880" spans="1:5" x14ac:dyDescent="0.35">
      <c r="A2880">
        <v>2009</v>
      </c>
      <c r="B2880" t="s">
        <v>35</v>
      </c>
      <c r="C2880" t="s">
        <v>322</v>
      </c>
      <c r="D2880">
        <v>39</v>
      </c>
      <c r="E2880" t="s">
        <v>467</v>
      </c>
    </row>
    <row r="2881" spans="1:5" x14ac:dyDescent="0.35">
      <c r="A2881">
        <v>2009</v>
      </c>
      <c r="B2881" t="s">
        <v>33</v>
      </c>
      <c r="C2881" t="s">
        <v>129</v>
      </c>
      <c r="D2881">
        <v>7</v>
      </c>
      <c r="E2881" t="s">
        <v>467</v>
      </c>
    </row>
    <row r="2882" spans="1:5" x14ac:dyDescent="0.35">
      <c r="A2882">
        <v>2009</v>
      </c>
      <c r="B2882" t="s">
        <v>34</v>
      </c>
      <c r="C2882" t="s">
        <v>131</v>
      </c>
      <c r="D2882">
        <v>267</v>
      </c>
      <c r="E2882" t="s">
        <v>467</v>
      </c>
    </row>
    <row r="2883" spans="1:5" x14ac:dyDescent="0.35">
      <c r="A2883">
        <v>2009</v>
      </c>
      <c r="B2883" t="s">
        <v>34</v>
      </c>
      <c r="C2883" t="s">
        <v>389</v>
      </c>
      <c r="D2883">
        <v>125</v>
      </c>
      <c r="E2883" t="s">
        <v>467</v>
      </c>
    </row>
    <row r="2884" spans="1:5" x14ac:dyDescent="0.35">
      <c r="A2884">
        <v>2009</v>
      </c>
      <c r="B2884" t="s">
        <v>33</v>
      </c>
      <c r="C2884" t="s">
        <v>132</v>
      </c>
      <c r="D2884">
        <v>25</v>
      </c>
      <c r="E2884" t="s">
        <v>467</v>
      </c>
    </row>
    <row r="2885" spans="1:5" x14ac:dyDescent="0.35">
      <c r="A2885">
        <v>2009</v>
      </c>
      <c r="B2885" t="s">
        <v>35</v>
      </c>
      <c r="C2885" t="s">
        <v>133</v>
      </c>
      <c r="D2885">
        <v>9</v>
      </c>
      <c r="E2885" t="s">
        <v>467</v>
      </c>
    </row>
    <row r="2886" spans="1:5" x14ac:dyDescent="0.35">
      <c r="A2886">
        <v>2009</v>
      </c>
      <c r="B2886" t="s">
        <v>37</v>
      </c>
      <c r="C2886" t="s">
        <v>134</v>
      </c>
      <c r="D2886">
        <v>27</v>
      </c>
      <c r="E2886" t="s">
        <v>467</v>
      </c>
    </row>
    <row r="2887" spans="1:5" x14ac:dyDescent="0.35">
      <c r="A2887">
        <v>2009</v>
      </c>
      <c r="B2887" t="s">
        <v>33</v>
      </c>
      <c r="C2887" t="s">
        <v>136</v>
      </c>
      <c r="D2887">
        <v>158</v>
      </c>
      <c r="E2887" t="s">
        <v>467</v>
      </c>
    </row>
    <row r="2888" spans="1:5" x14ac:dyDescent="0.35">
      <c r="A2888">
        <v>2009</v>
      </c>
      <c r="B2888" t="s">
        <v>36</v>
      </c>
      <c r="C2888" t="s">
        <v>14</v>
      </c>
      <c r="D2888">
        <v>468699</v>
      </c>
      <c r="E2888" t="s">
        <v>467</v>
      </c>
    </row>
    <row r="2889" spans="1:5" x14ac:dyDescent="0.35">
      <c r="A2889">
        <v>2009</v>
      </c>
      <c r="B2889" t="s">
        <v>37</v>
      </c>
      <c r="C2889" t="s">
        <v>137</v>
      </c>
      <c r="D2889">
        <v>13</v>
      </c>
      <c r="E2889" t="s">
        <v>467</v>
      </c>
    </row>
    <row r="2890" spans="1:5" x14ac:dyDescent="0.35">
      <c r="A2890">
        <v>2009</v>
      </c>
      <c r="B2890" t="s">
        <v>35</v>
      </c>
      <c r="C2890" t="s">
        <v>138</v>
      </c>
      <c r="D2890">
        <v>53</v>
      </c>
      <c r="E2890" t="s">
        <v>467</v>
      </c>
    </row>
    <row r="2891" spans="1:5" x14ac:dyDescent="0.35">
      <c r="A2891">
        <v>2009</v>
      </c>
      <c r="B2891" t="s">
        <v>34</v>
      </c>
      <c r="C2891" t="s">
        <v>139</v>
      </c>
      <c r="D2891">
        <v>39</v>
      </c>
      <c r="E2891" t="s">
        <v>467</v>
      </c>
    </row>
    <row r="2892" spans="1:5" x14ac:dyDescent="0.35">
      <c r="A2892">
        <v>2009</v>
      </c>
      <c r="B2892" t="s">
        <v>35</v>
      </c>
      <c r="C2892" t="s">
        <v>140</v>
      </c>
      <c r="E2892" t="s">
        <v>467</v>
      </c>
    </row>
    <row r="2893" spans="1:5" x14ac:dyDescent="0.35">
      <c r="A2893">
        <v>2009</v>
      </c>
      <c r="B2893" t="s">
        <v>33</v>
      </c>
      <c r="C2893" t="s">
        <v>141</v>
      </c>
      <c r="D2893">
        <v>156</v>
      </c>
      <c r="E2893" t="s">
        <v>467</v>
      </c>
    </row>
    <row r="2894" spans="1:5" x14ac:dyDescent="0.35">
      <c r="A2894">
        <v>2009</v>
      </c>
      <c r="B2894" t="s">
        <v>34</v>
      </c>
      <c r="C2894" t="s">
        <v>144</v>
      </c>
      <c r="D2894">
        <v>52</v>
      </c>
      <c r="E2894" t="s">
        <v>467</v>
      </c>
    </row>
    <row r="2895" spans="1:5" x14ac:dyDescent="0.35">
      <c r="A2895">
        <v>2009</v>
      </c>
      <c r="B2895" t="s">
        <v>35</v>
      </c>
      <c r="C2895" t="s">
        <v>145</v>
      </c>
      <c r="D2895">
        <v>392</v>
      </c>
      <c r="E2895" t="s">
        <v>467</v>
      </c>
    </row>
    <row r="2896" spans="1:5" x14ac:dyDescent="0.35">
      <c r="A2896">
        <v>2009</v>
      </c>
      <c r="B2896" t="s">
        <v>36</v>
      </c>
      <c r="C2896" t="s">
        <v>371</v>
      </c>
      <c r="D2896">
        <v>6</v>
      </c>
      <c r="E2896" t="s">
        <v>467</v>
      </c>
    </row>
    <row r="2897" spans="1:5" x14ac:dyDescent="0.35">
      <c r="A2897">
        <v>2009</v>
      </c>
      <c r="B2897" t="s">
        <v>37</v>
      </c>
      <c r="C2897" t="s">
        <v>146</v>
      </c>
      <c r="D2897">
        <v>128</v>
      </c>
      <c r="E2897" t="s">
        <v>467</v>
      </c>
    </row>
    <row r="2898" spans="1:5" x14ac:dyDescent="0.35">
      <c r="A2898">
        <v>2009</v>
      </c>
      <c r="B2898" t="s">
        <v>36</v>
      </c>
      <c r="C2898" t="s">
        <v>147</v>
      </c>
      <c r="D2898">
        <v>175</v>
      </c>
      <c r="E2898" t="s">
        <v>467</v>
      </c>
    </row>
    <row r="2899" spans="1:5" x14ac:dyDescent="0.35">
      <c r="A2899">
        <v>2009</v>
      </c>
      <c r="B2899" t="s">
        <v>33</v>
      </c>
      <c r="C2899" t="s">
        <v>148</v>
      </c>
      <c r="D2899">
        <v>21</v>
      </c>
      <c r="E2899" t="s">
        <v>467</v>
      </c>
    </row>
    <row r="2900" spans="1:5" x14ac:dyDescent="0.35">
      <c r="A2900">
        <v>2009</v>
      </c>
      <c r="B2900" t="s">
        <v>33</v>
      </c>
      <c r="C2900" t="s">
        <v>149</v>
      </c>
      <c r="D2900">
        <v>298</v>
      </c>
      <c r="E2900" t="s">
        <v>467</v>
      </c>
    </row>
    <row r="2901" spans="1:5" x14ac:dyDescent="0.35">
      <c r="A2901">
        <v>2009</v>
      </c>
      <c r="B2901" t="s">
        <v>35</v>
      </c>
      <c r="C2901" t="s">
        <v>150</v>
      </c>
      <c r="D2901">
        <v>124</v>
      </c>
      <c r="E2901" t="s">
        <v>467</v>
      </c>
    </row>
    <row r="2902" spans="1:5" x14ac:dyDescent="0.35">
      <c r="A2902">
        <v>2009</v>
      </c>
      <c r="B2902" t="s">
        <v>34</v>
      </c>
      <c r="C2902" t="s">
        <v>152</v>
      </c>
      <c r="D2902">
        <v>658</v>
      </c>
      <c r="E2902" t="s">
        <v>467</v>
      </c>
    </row>
    <row r="2903" spans="1:5" x14ac:dyDescent="0.35">
      <c r="A2903">
        <v>2009</v>
      </c>
      <c r="B2903" t="s">
        <v>37</v>
      </c>
      <c r="C2903" t="s">
        <v>153</v>
      </c>
      <c r="D2903">
        <v>19</v>
      </c>
      <c r="E2903" t="s">
        <v>467</v>
      </c>
    </row>
    <row r="2904" spans="1:5" x14ac:dyDescent="0.35">
      <c r="A2904">
        <v>2009</v>
      </c>
      <c r="B2904" t="s">
        <v>36</v>
      </c>
      <c r="C2904" t="s">
        <v>154</v>
      </c>
      <c r="D2904">
        <v>119</v>
      </c>
      <c r="E2904" t="s">
        <v>467</v>
      </c>
    </row>
    <row r="2905" spans="1:5" x14ac:dyDescent="0.35">
      <c r="A2905">
        <v>2009</v>
      </c>
      <c r="B2905" t="s">
        <v>38</v>
      </c>
      <c r="C2905" t="s">
        <v>155</v>
      </c>
      <c r="D2905">
        <v>20</v>
      </c>
      <c r="E2905" t="s">
        <v>467</v>
      </c>
    </row>
    <row r="2906" spans="1:5" x14ac:dyDescent="0.35">
      <c r="A2906">
        <v>2009</v>
      </c>
      <c r="B2906" t="s">
        <v>38</v>
      </c>
      <c r="C2906" t="s">
        <v>156</v>
      </c>
      <c r="D2906">
        <v>659</v>
      </c>
      <c r="E2906" t="s">
        <v>467</v>
      </c>
    </row>
    <row r="2907" spans="1:5" x14ac:dyDescent="0.35">
      <c r="A2907">
        <v>2009</v>
      </c>
      <c r="B2907" t="s">
        <v>34</v>
      </c>
      <c r="C2907" t="s">
        <v>18</v>
      </c>
      <c r="D2907">
        <v>18823</v>
      </c>
      <c r="E2907" t="s">
        <v>467</v>
      </c>
    </row>
    <row r="2908" spans="1:5" x14ac:dyDescent="0.35">
      <c r="A2908">
        <v>2009</v>
      </c>
      <c r="B2908" t="s">
        <v>35</v>
      </c>
      <c r="C2908" t="s">
        <v>157</v>
      </c>
      <c r="D2908">
        <v>920</v>
      </c>
      <c r="E2908" t="s">
        <v>467</v>
      </c>
    </row>
    <row r="2909" spans="1:5" x14ac:dyDescent="0.35">
      <c r="A2909">
        <v>2009</v>
      </c>
      <c r="B2909" t="s">
        <v>35</v>
      </c>
      <c r="C2909" t="s">
        <v>158</v>
      </c>
      <c r="D2909">
        <v>211</v>
      </c>
      <c r="E2909" t="s">
        <v>467</v>
      </c>
    </row>
    <row r="2910" spans="1:5" x14ac:dyDescent="0.35">
      <c r="A2910">
        <v>2009</v>
      </c>
      <c r="B2910" t="s">
        <v>34</v>
      </c>
      <c r="C2910" t="s">
        <v>159</v>
      </c>
      <c r="D2910">
        <v>5</v>
      </c>
      <c r="E2910" t="s">
        <v>467</v>
      </c>
    </row>
    <row r="2911" spans="1:5" x14ac:dyDescent="0.35">
      <c r="A2911">
        <v>2009</v>
      </c>
      <c r="B2911" t="s">
        <v>35</v>
      </c>
      <c r="C2911" t="s">
        <v>160</v>
      </c>
      <c r="D2911">
        <v>893</v>
      </c>
      <c r="E2911" t="s">
        <v>467</v>
      </c>
    </row>
    <row r="2912" spans="1:5" x14ac:dyDescent="0.35">
      <c r="A2912">
        <v>2009</v>
      </c>
      <c r="B2912" t="s">
        <v>35</v>
      </c>
      <c r="C2912" t="s">
        <v>161</v>
      </c>
      <c r="D2912">
        <v>3522</v>
      </c>
      <c r="E2912" t="s">
        <v>467</v>
      </c>
    </row>
    <row r="2913" spans="1:5" x14ac:dyDescent="0.35">
      <c r="A2913">
        <v>2009</v>
      </c>
      <c r="B2913" t="s">
        <v>33</v>
      </c>
      <c r="C2913" t="s">
        <v>162</v>
      </c>
      <c r="D2913">
        <v>27</v>
      </c>
      <c r="E2913" t="s">
        <v>467</v>
      </c>
    </row>
    <row r="2914" spans="1:5" x14ac:dyDescent="0.35">
      <c r="A2914">
        <v>2009</v>
      </c>
      <c r="B2914" t="s">
        <v>36</v>
      </c>
      <c r="C2914" t="s">
        <v>163</v>
      </c>
      <c r="D2914">
        <v>12</v>
      </c>
      <c r="E2914" t="s">
        <v>467</v>
      </c>
    </row>
    <row r="2915" spans="1:5" x14ac:dyDescent="0.35">
      <c r="A2915">
        <v>2009</v>
      </c>
      <c r="B2915" t="s">
        <v>36</v>
      </c>
      <c r="C2915" t="s">
        <v>164</v>
      </c>
      <c r="D2915">
        <v>41</v>
      </c>
      <c r="E2915" t="s">
        <v>467</v>
      </c>
    </row>
    <row r="2916" spans="1:5" x14ac:dyDescent="0.35">
      <c r="A2916">
        <v>2009</v>
      </c>
      <c r="B2916" t="s">
        <v>36</v>
      </c>
      <c r="C2916" t="s">
        <v>165</v>
      </c>
      <c r="D2916">
        <v>52</v>
      </c>
      <c r="E2916" t="s">
        <v>467</v>
      </c>
    </row>
    <row r="2917" spans="1:5" x14ac:dyDescent="0.35">
      <c r="A2917">
        <v>2009</v>
      </c>
      <c r="B2917" t="s">
        <v>37</v>
      </c>
      <c r="C2917" t="s">
        <v>166</v>
      </c>
      <c r="D2917">
        <v>24</v>
      </c>
      <c r="E2917" t="s">
        <v>467</v>
      </c>
    </row>
    <row r="2918" spans="1:5" x14ac:dyDescent="0.35">
      <c r="A2918">
        <v>2009</v>
      </c>
      <c r="B2918" t="s">
        <v>34</v>
      </c>
      <c r="C2918" t="s">
        <v>167</v>
      </c>
      <c r="D2918">
        <v>153</v>
      </c>
      <c r="E2918" t="s">
        <v>467</v>
      </c>
    </row>
    <row r="2919" spans="1:5" x14ac:dyDescent="0.35">
      <c r="A2919">
        <v>2009</v>
      </c>
      <c r="B2919" t="s">
        <v>33</v>
      </c>
      <c r="C2919" t="s">
        <v>168</v>
      </c>
      <c r="D2919">
        <v>106</v>
      </c>
      <c r="E2919" t="s">
        <v>467</v>
      </c>
    </row>
    <row r="2920" spans="1:5" x14ac:dyDescent="0.35">
      <c r="A2920">
        <v>2009</v>
      </c>
      <c r="B2920" t="s">
        <v>35</v>
      </c>
      <c r="C2920" t="s">
        <v>169</v>
      </c>
      <c r="E2920" t="s">
        <v>467</v>
      </c>
    </row>
    <row r="2921" spans="1:5" x14ac:dyDescent="0.35">
      <c r="A2921">
        <v>2009</v>
      </c>
      <c r="B2921" t="s">
        <v>35</v>
      </c>
      <c r="C2921" t="s">
        <v>215</v>
      </c>
      <c r="D2921">
        <v>135</v>
      </c>
      <c r="E2921" t="s">
        <v>467</v>
      </c>
    </row>
    <row r="2922" spans="1:5" x14ac:dyDescent="0.35">
      <c r="A2922">
        <v>2009</v>
      </c>
      <c r="B2922" t="s">
        <v>33</v>
      </c>
      <c r="C2922" t="s">
        <v>170</v>
      </c>
      <c r="D2922">
        <v>16</v>
      </c>
      <c r="E2922" t="s">
        <v>467</v>
      </c>
    </row>
    <row r="2923" spans="1:5" x14ac:dyDescent="0.35">
      <c r="A2923">
        <v>2009</v>
      </c>
      <c r="B2923" t="s">
        <v>34</v>
      </c>
      <c r="C2923" t="s">
        <v>171</v>
      </c>
      <c r="D2923">
        <v>91</v>
      </c>
      <c r="E2923" t="s">
        <v>467</v>
      </c>
    </row>
    <row r="2924" spans="1:5" x14ac:dyDescent="0.35">
      <c r="A2924">
        <v>2009</v>
      </c>
      <c r="B2924" t="s">
        <v>35</v>
      </c>
      <c r="C2924" t="s">
        <v>172</v>
      </c>
      <c r="D2924">
        <v>98</v>
      </c>
      <c r="E2924" t="s">
        <v>467</v>
      </c>
    </row>
    <row r="2925" spans="1:5" x14ac:dyDescent="0.35">
      <c r="A2925">
        <v>2009</v>
      </c>
      <c r="B2925" t="s">
        <v>35</v>
      </c>
      <c r="C2925" t="s">
        <v>173</v>
      </c>
      <c r="D2925">
        <v>21</v>
      </c>
      <c r="E2925" t="s">
        <v>467</v>
      </c>
    </row>
    <row r="2926" spans="1:5" x14ac:dyDescent="0.35">
      <c r="A2926">
        <v>2009</v>
      </c>
      <c r="B2926" t="s">
        <v>37</v>
      </c>
      <c r="C2926" t="s">
        <v>388</v>
      </c>
      <c r="D2926">
        <v>12</v>
      </c>
      <c r="E2926" t="s">
        <v>467</v>
      </c>
    </row>
    <row r="2927" spans="1:5" x14ac:dyDescent="0.35">
      <c r="A2927">
        <v>2009</v>
      </c>
      <c r="B2927" t="s">
        <v>33</v>
      </c>
      <c r="C2927" t="s">
        <v>174</v>
      </c>
      <c r="D2927">
        <v>23</v>
      </c>
      <c r="E2927" t="s">
        <v>467</v>
      </c>
    </row>
    <row r="2928" spans="1:5" x14ac:dyDescent="0.35">
      <c r="A2928">
        <v>2009</v>
      </c>
      <c r="B2928" t="s">
        <v>33</v>
      </c>
      <c r="C2928" t="s">
        <v>175</v>
      </c>
      <c r="D2928">
        <v>223</v>
      </c>
      <c r="E2928" t="s">
        <v>467</v>
      </c>
    </row>
    <row r="2929" spans="1:5" x14ac:dyDescent="0.35">
      <c r="A2929">
        <v>2009</v>
      </c>
      <c r="B2929" t="s">
        <v>35</v>
      </c>
      <c r="C2929" t="s">
        <v>216</v>
      </c>
      <c r="D2929">
        <v>94</v>
      </c>
      <c r="E2929" t="s">
        <v>467</v>
      </c>
    </row>
    <row r="2930" spans="1:5" x14ac:dyDescent="0.35">
      <c r="A2930">
        <v>2009</v>
      </c>
      <c r="B2930" t="s">
        <v>35</v>
      </c>
      <c r="C2930" t="s">
        <v>177</v>
      </c>
      <c r="D2930">
        <v>348</v>
      </c>
      <c r="E2930" t="s">
        <v>467</v>
      </c>
    </row>
    <row r="2931" spans="1:5" x14ac:dyDescent="0.35">
      <c r="A2931">
        <v>2009</v>
      </c>
      <c r="B2931" t="s">
        <v>34</v>
      </c>
      <c r="C2931" t="s">
        <v>178</v>
      </c>
      <c r="D2931">
        <v>342</v>
      </c>
      <c r="E2931" t="s">
        <v>467</v>
      </c>
    </row>
    <row r="2932" spans="1:5" x14ac:dyDescent="0.35">
      <c r="A2932">
        <v>2009</v>
      </c>
      <c r="B2932" t="s">
        <v>33</v>
      </c>
      <c r="C2932" t="s">
        <v>179</v>
      </c>
      <c r="D2932">
        <v>23</v>
      </c>
      <c r="E2932" t="s">
        <v>467</v>
      </c>
    </row>
    <row r="2933" spans="1:5" x14ac:dyDescent="0.35">
      <c r="A2933">
        <v>2009</v>
      </c>
      <c r="B2933" t="s">
        <v>35</v>
      </c>
      <c r="C2933" t="s">
        <v>182</v>
      </c>
      <c r="D2933">
        <v>157</v>
      </c>
      <c r="E2933" t="s">
        <v>467</v>
      </c>
    </row>
    <row r="2934" spans="1:5" x14ac:dyDescent="0.35">
      <c r="A2934">
        <v>2009</v>
      </c>
      <c r="B2934" t="s">
        <v>35</v>
      </c>
      <c r="C2934" t="s">
        <v>183</v>
      </c>
      <c r="D2934">
        <v>94</v>
      </c>
      <c r="E2934" t="s">
        <v>467</v>
      </c>
    </row>
    <row r="2935" spans="1:5" x14ac:dyDescent="0.35">
      <c r="A2935">
        <v>2009</v>
      </c>
      <c r="B2935" t="s">
        <v>34</v>
      </c>
      <c r="C2935" t="s">
        <v>184</v>
      </c>
      <c r="D2935">
        <v>56</v>
      </c>
      <c r="E2935" t="s">
        <v>467</v>
      </c>
    </row>
    <row r="2936" spans="1:5" x14ac:dyDescent="0.35">
      <c r="A2936">
        <v>2009</v>
      </c>
      <c r="B2936" t="s">
        <v>34</v>
      </c>
      <c r="C2936" t="s">
        <v>185</v>
      </c>
      <c r="D2936">
        <v>325</v>
      </c>
      <c r="E2936" t="s">
        <v>467</v>
      </c>
    </row>
    <row r="2937" spans="1:5" x14ac:dyDescent="0.35">
      <c r="A2937">
        <v>2009</v>
      </c>
      <c r="B2937" t="s">
        <v>34</v>
      </c>
      <c r="C2937" t="s">
        <v>186</v>
      </c>
      <c r="D2937">
        <v>27</v>
      </c>
      <c r="E2937" t="s">
        <v>467</v>
      </c>
    </row>
    <row r="2938" spans="1:5" x14ac:dyDescent="0.35">
      <c r="A2938">
        <v>2009</v>
      </c>
      <c r="B2938" t="s">
        <v>33</v>
      </c>
      <c r="C2938" t="s">
        <v>187</v>
      </c>
      <c r="D2938">
        <v>351</v>
      </c>
      <c r="E2938" t="s">
        <v>467</v>
      </c>
    </row>
    <row r="2939" spans="1:5" x14ac:dyDescent="0.35">
      <c r="A2939">
        <v>2009</v>
      </c>
      <c r="B2939" t="s">
        <v>34</v>
      </c>
      <c r="C2939" t="s">
        <v>188</v>
      </c>
      <c r="D2939">
        <v>394</v>
      </c>
      <c r="E2939" t="s">
        <v>467</v>
      </c>
    </row>
    <row r="2940" spans="1:5" x14ac:dyDescent="0.35">
      <c r="A2940">
        <v>2009</v>
      </c>
      <c r="B2940" t="s">
        <v>33</v>
      </c>
      <c r="C2940" t="s">
        <v>189</v>
      </c>
      <c r="D2940">
        <v>40</v>
      </c>
      <c r="E2940" t="s">
        <v>467</v>
      </c>
    </row>
    <row r="2941" spans="1:5" x14ac:dyDescent="0.35">
      <c r="A2941">
        <v>2009</v>
      </c>
      <c r="B2941" t="s">
        <v>37</v>
      </c>
      <c r="C2941" t="s">
        <v>190</v>
      </c>
      <c r="D2941">
        <v>16</v>
      </c>
      <c r="E2941" t="s">
        <v>467</v>
      </c>
    </row>
    <row r="2942" spans="1:5" x14ac:dyDescent="0.35">
      <c r="A2942">
        <v>2009</v>
      </c>
      <c r="B2942" t="s">
        <v>36</v>
      </c>
      <c r="C2942" t="s">
        <v>191</v>
      </c>
      <c r="D2942">
        <v>267</v>
      </c>
      <c r="E2942" t="s">
        <v>467</v>
      </c>
    </row>
    <row r="2943" spans="1:5" x14ac:dyDescent="0.35">
      <c r="A2943">
        <v>2009</v>
      </c>
      <c r="B2943" t="s">
        <v>33</v>
      </c>
      <c r="C2943" t="s">
        <v>192</v>
      </c>
      <c r="D2943">
        <v>37</v>
      </c>
      <c r="E2943" t="s">
        <v>467</v>
      </c>
    </row>
    <row r="2944" spans="1:5" x14ac:dyDescent="0.35">
      <c r="A2944">
        <v>2009</v>
      </c>
      <c r="B2944" t="s">
        <v>34</v>
      </c>
      <c r="C2944" t="s">
        <v>193</v>
      </c>
      <c r="D2944">
        <v>1534</v>
      </c>
      <c r="E2944" t="s">
        <v>467</v>
      </c>
    </row>
    <row r="2945" spans="1:5" x14ac:dyDescent="0.35">
      <c r="A2945">
        <v>2009</v>
      </c>
      <c r="B2945" t="s">
        <v>36</v>
      </c>
      <c r="C2945" t="s">
        <v>372</v>
      </c>
      <c r="D2945">
        <v>9</v>
      </c>
      <c r="E2945" t="s">
        <v>467</v>
      </c>
    </row>
    <row r="2946" spans="1:5" x14ac:dyDescent="0.35">
      <c r="A2946">
        <v>2009</v>
      </c>
      <c r="B2946" t="s">
        <v>37</v>
      </c>
      <c r="C2946" t="s">
        <v>387</v>
      </c>
      <c r="D2946">
        <v>5</v>
      </c>
      <c r="E2946" t="s">
        <v>467</v>
      </c>
    </row>
    <row r="2947" spans="1:5" x14ac:dyDescent="0.35">
      <c r="A2947">
        <v>2009</v>
      </c>
      <c r="B2947" t="s">
        <v>33</v>
      </c>
      <c r="C2947" t="s">
        <v>195</v>
      </c>
      <c r="D2947">
        <v>24</v>
      </c>
      <c r="E2947" t="s">
        <v>467</v>
      </c>
    </row>
    <row r="2948" spans="1:5" x14ac:dyDescent="0.35">
      <c r="A2948">
        <v>2009</v>
      </c>
      <c r="B2948" t="s">
        <v>35</v>
      </c>
      <c r="C2948" t="s">
        <v>196</v>
      </c>
      <c r="D2948">
        <v>4664</v>
      </c>
      <c r="E2948" t="s">
        <v>467</v>
      </c>
    </row>
    <row r="2949" spans="1:5" x14ac:dyDescent="0.35">
      <c r="A2949">
        <v>2009</v>
      </c>
      <c r="B2949" t="s">
        <v>34</v>
      </c>
      <c r="C2949" t="s">
        <v>197</v>
      </c>
      <c r="D2949">
        <v>10</v>
      </c>
      <c r="E2949" t="s">
        <v>467</v>
      </c>
    </row>
    <row r="2950" spans="1:5" x14ac:dyDescent="0.35">
      <c r="A2950">
        <v>2009</v>
      </c>
      <c r="B2950" t="s">
        <v>35</v>
      </c>
      <c r="C2950" t="s">
        <v>198</v>
      </c>
      <c r="D2950">
        <v>1984</v>
      </c>
      <c r="E2950" t="s">
        <v>467</v>
      </c>
    </row>
    <row r="2951" spans="1:5" x14ac:dyDescent="0.35">
      <c r="A2951">
        <v>2009</v>
      </c>
      <c r="B2951" t="s">
        <v>39</v>
      </c>
      <c r="C2951" t="s">
        <v>39</v>
      </c>
      <c r="D2951">
        <v>182</v>
      </c>
      <c r="E2951" t="s">
        <v>467</v>
      </c>
    </row>
    <row r="2952" spans="1:5" x14ac:dyDescent="0.35">
      <c r="A2952">
        <v>2009</v>
      </c>
      <c r="B2952" t="s">
        <v>38</v>
      </c>
      <c r="C2952" t="s">
        <v>199</v>
      </c>
      <c r="D2952">
        <v>39</v>
      </c>
      <c r="E2952" t="s">
        <v>467</v>
      </c>
    </row>
    <row r="2953" spans="1:5" x14ac:dyDescent="0.35">
      <c r="A2953">
        <v>2009</v>
      </c>
      <c r="B2953" t="s">
        <v>34</v>
      </c>
      <c r="C2953" t="s">
        <v>200</v>
      </c>
      <c r="D2953">
        <v>34</v>
      </c>
      <c r="E2953" t="s">
        <v>467</v>
      </c>
    </row>
    <row r="2954" spans="1:5" x14ac:dyDescent="0.35">
      <c r="A2954">
        <v>2009</v>
      </c>
      <c r="B2954" t="s">
        <v>38</v>
      </c>
      <c r="C2954" t="s">
        <v>19</v>
      </c>
      <c r="D2954">
        <v>297</v>
      </c>
      <c r="E2954" t="s">
        <v>467</v>
      </c>
    </row>
    <row r="2955" spans="1:5" x14ac:dyDescent="0.35">
      <c r="A2955">
        <v>2009</v>
      </c>
      <c r="B2955" t="s">
        <v>34</v>
      </c>
      <c r="C2955" t="s">
        <v>201</v>
      </c>
      <c r="D2955">
        <v>513</v>
      </c>
      <c r="E2955" t="s">
        <v>467</v>
      </c>
    </row>
    <row r="2956" spans="1:5" x14ac:dyDescent="0.35">
      <c r="A2956">
        <v>2009</v>
      </c>
      <c r="B2956" t="s">
        <v>34</v>
      </c>
      <c r="C2956" t="s">
        <v>202</v>
      </c>
      <c r="D2956">
        <v>19</v>
      </c>
      <c r="E2956" t="s">
        <v>467</v>
      </c>
    </row>
    <row r="2957" spans="1:5" x14ac:dyDescent="0.35">
      <c r="A2957">
        <v>2009</v>
      </c>
      <c r="B2957" t="s">
        <v>33</v>
      </c>
      <c r="C2957" t="s">
        <v>203</v>
      </c>
      <c r="D2957">
        <v>22</v>
      </c>
      <c r="E2957" t="s">
        <v>467</v>
      </c>
    </row>
    <row r="2958" spans="1:5" x14ac:dyDescent="0.35">
      <c r="A2958">
        <v>2009</v>
      </c>
      <c r="B2958" t="s">
        <v>33</v>
      </c>
      <c r="C2958" t="s">
        <v>204</v>
      </c>
      <c r="D2958">
        <v>46</v>
      </c>
      <c r="E2958" t="s">
        <v>467</v>
      </c>
    </row>
    <row r="2959" spans="1:5" x14ac:dyDescent="0.35">
      <c r="A2959">
        <v>2009</v>
      </c>
      <c r="B2959" t="s">
        <v>34</v>
      </c>
      <c r="C2959" t="s">
        <v>40</v>
      </c>
      <c r="D2959">
        <v>76</v>
      </c>
      <c r="E2959" t="s">
        <v>466</v>
      </c>
    </row>
    <row r="2960" spans="1:5" x14ac:dyDescent="0.35">
      <c r="A2960">
        <v>2009</v>
      </c>
      <c r="B2960" t="s">
        <v>35</v>
      </c>
      <c r="C2960" t="s">
        <v>41</v>
      </c>
      <c r="D2960">
        <v>331</v>
      </c>
      <c r="E2960" t="s">
        <v>466</v>
      </c>
    </row>
    <row r="2961" spans="1:5" x14ac:dyDescent="0.35">
      <c r="A2961">
        <v>2009</v>
      </c>
      <c r="B2961" t="s">
        <v>33</v>
      </c>
      <c r="C2961" t="s">
        <v>42</v>
      </c>
      <c r="D2961">
        <v>53</v>
      </c>
      <c r="E2961" t="s">
        <v>466</v>
      </c>
    </row>
    <row r="2962" spans="1:5" x14ac:dyDescent="0.35">
      <c r="A2962">
        <v>2009</v>
      </c>
      <c r="C2962" t="s">
        <v>373</v>
      </c>
      <c r="D2962">
        <v>80</v>
      </c>
      <c r="E2962" t="s">
        <v>466</v>
      </c>
    </row>
    <row r="2963" spans="1:5" x14ac:dyDescent="0.35">
      <c r="A2963">
        <v>2009</v>
      </c>
      <c r="B2963" t="s">
        <v>33</v>
      </c>
      <c r="C2963" t="s">
        <v>43</v>
      </c>
      <c r="D2963">
        <v>24</v>
      </c>
      <c r="E2963" t="s">
        <v>466</v>
      </c>
    </row>
    <row r="2964" spans="1:5" x14ac:dyDescent="0.35">
      <c r="A2964">
        <v>2009</v>
      </c>
      <c r="B2964" t="s">
        <v>36</v>
      </c>
      <c r="C2964" t="s">
        <v>44</v>
      </c>
      <c r="D2964">
        <v>59</v>
      </c>
      <c r="E2964" t="s">
        <v>466</v>
      </c>
    </row>
    <row r="2965" spans="1:5" x14ac:dyDescent="0.35">
      <c r="A2965">
        <v>2009</v>
      </c>
      <c r="B2965" t="s">
        <v>38</v>
      </c>
      <c r="C2965" t="s">
        <v>45</v>
      </c>
      <c r="D2965">
        <v>507</v>
      </c>
      <c r="E2965" t="s">
        <v>466</v>
      </c>
    </row>
    <row r="2966" spans="1:5" x14ac:dyDescent="0.35">
      <c r="A2966">
        <v>2009</v>
      </c>
      <c r="B2966" t="s">
        <v>34</v>
      </c>
      <c r="C2966" t="s">
        <v>46</v>
      </c>
      <c r="D2966">
        <v>181</v>
      </c>
      <c r="E2966" t="s">
        <v>466</v>
      </c>
    </row>
    <row r="2967" spans="1:5" x14ac:dyDescent="0.35">
      <c r="A2967">
        <v>2009</v>
      </c>
      <c r="B2967" t="s">
        <v>37</v>
      </c>
      <c r="C2967" t="s">
        <v>47</v>
      </c>
      <c r="D2967">
        <v>65</v>
      </c>
      <c r="E2967" t="s">
        <v>466</v>
      </c>
    </row>
    <row r="2968" spans="1:5" x14ac:dyDescent="0.35">
      <c r="A2968">
        <v>2009</v>
      </c>
      <c r="B2968" t="s">
        <v>35</v>
      </c>
      <c r="C2968" t="s">
        <v>48</v>
      </c>
      <c r="D2968">
        <v>12</v>
      </c>
      <c r="E2968" t="s">
        <v>466</v>
      </c>
    </row>
    <row r="2969" spans="1:5" x14ac:dyDescent="0.35">
      <c r="A2969">
        <v>2009</v>
      </c>
      <c r="B2969" t="s">
        <v>34</v>
      </c>
      <c r="C2969" t="s">
        <v>49</v>
      </c>
      <c r="D2969">
        <v>40</v>
      </c>
      <c r="E2969" t="s">
        <v>466</v>
      </c>
    </row>
    <row r="2970" spans="1:5" x14ac:dyDescent="0.35">
      <c r="A2970">
        <v>2009</v>
      </c>
      <c r="B2970" t="s">
        <v>36</v>
      </c>
      <c r="C2970" t="s">
        <v>50</v>
      </c>
      <c r="D2970">
        <v>288</v>
      </c>
      <c r="E2970" t="s">
        <v>466</v>
      </c>
    </row>
    <row r="2971" spans="1:5" x14ac:dyDescent="0.35">
      <c r="A2971">
        <v>2009</v>
      </c>
      <c r="B2971" t="s">
        <v>34</v>
      </c>
      <c r="C2971" t="s">
        <v>51</v>
      </c>
      <c r="D2971">
        <v>4</v>
      </c>
      <c r="E2971" t="s">
        <v>466</v>
      </c>
    </row>
    <row r="2972" spans="1:5" x14ac:dyDescent="0.35">
      <c r="A2972">
        <v>2009</v>
      </c>
      <c r="B2972" t="s">
        <v>34</v>
      </c>
      <c r="C2972" t="s">
        <v>52</v>
      </c>
      <c r="D2972">
        <v>223</v>
      </c>
      <c r="E2972" t="s">
        <v>466</v>
      </c>
    </row>
    <row r="2973" spans="1:5" x14ac:dyDescent="0.35">
      <c r="A2973">
        <v>2009</v>
      </c>
      <c r="B2973" t="s">
        <v>36</v>
      </c>
      <c r="C2973" t="s">
        <v>53</v>
      </c>
      <c r="D2973">
        <v>105</v>
      </c>
      <c r="E2973" t="s">
        <v>466</v>
      </c>
    </row>
    <row r="2974" spans="1:5" x14ac:dyDescent="0.35">
      <c r="A2974">
        <v>2009</v>
      </c>
      <c r="B2974" t="s">
        <v>35</v>
      </c>
      <c r="C2974" t="s">
        <v>54</v>
      </c>
      <c r="D2974">
        <v>72</v>
      </c>
      <c r="E2974" t="s">
        <v>466</v>
      </c>
    </row>
    <row r="2975" spans="1:5" x14ac:dyDescent="0.35">
      <c r="A2975">
        <v>2009</v>
      </c>
      <c r="B2975" t="s">
        <v>35</v>
      </c>
      <c r="C2975" t="s">
        <v>55</v>
      </c>
      <c r="D2975">
        <v>26</v>
      </c>
      <c r="E2975" t="s">
        <v>466</v>
      </c>
    </row>
    <row r="2976" spans="1:5" x14ac:dyDescent="0.35">
      <c r="A2976">
        <v>2009</v>
      </c>
      <c r="B2976" t="s">
        <v>36</v>
      </c>
      <c r="C2976" t="s">
        <v>56</v>
      </c>
      <c r="D2976">
        <v>345</v>
      </c>
      <c r="E2976" t="s">
        <v>466</v>
      </c>
    </row>
    <row r="2977" spans="1:5" x14ac:dyDescent="0.35">
      <c r="A2977">
        <v>2009</v>
      </c>
      <c r="B2977" t="s">
        <v>33</v>
      </c>
      <c r="C2977" t="s">
        <v>57</v>
      </c>
      <c r="D2977">
        <v>11</v>
      </c>
      <c r="E2977" t="s">
        <v>466</v>
      </c>
    </row>
    <row r="2978" spans="1:5" x14ac:dyDescent="0.35">
      <c r="A2978">
        <v>2009</v>
      </c>
      <c r="B2978" t="s">
        <v>36</v>
      </c>
      <c r="C2978" t="s">
        <v>363</v>
      </c>
      <c r="D2978">
        <v>20</v>
      </c>
      <c r="E2978" t="s">
        <v>466</v>
      </c>
    </row>
    <row r="2979" spans="1:5" x14ac:dyDescent="0.35">
      <c r="A2979">
        <v>2009</v>
      </c>
      <c r="B2979" t="s">
        <v>38</v>
      </c>
      <c r="C2979" t="s">
        <v>59</v>
      </c>
      <c r="D2979">
        <v>351</v>
      </c>
      <c r="E2979" t="s">
        <v>466</v>
      </c>
    </row>
    <row r="2980" spans="1:5" x14ac:dyDescent="0.35">
      <c r="A2980">
        <v>2009</v>
      </c>
      <c r="B2980" t="s">
        <v>35</v>
      </c>
      <c r="C2980" t="s">
        <v>60</v>
      </c>
      <c r="D2980">
        <v>175</v>
      </c>
      <c r="E2980" t="s">
        <v>466</v>
      </c>
    </row>
    <row r="2981" spans="1:5" x14ac:dyDescent="0.35">
      <c r="A2981">
        <v>2009</v>
      </c>
      <c r="B2981" t="s">
        <v>38</v>
      </c>
      <c r="C2981" t="s">
        <v>21</v>
      </c>
      <c r="D2981">
        <v>3392</v>
      </c>
      <c r="E2981" t="s">
        <v>466</v>
      </c>
    </row>
    <row r="2982" spans="1:5" x14ac:dyDescent="0.35">
      <c r="A2982">
        <v>2009</v>
      </c>
      <c r="B2982" t="s">
        <v>36</v>
      </c>
      <c r="C2982" t="s">
        <v>364</v>
      </c>
      <c r="D2982">
        <v>8</v>
      </c>
      <c r="E2982" t="s">
        <v>466</v>
      </c>
    </row>
    <row r="2983" spans="1:5" x14ac:dyDescent="0.35">
      <c r="A2983">
        <v>2009</v>
      </c>
      <c r="B2983" t="s">
        <v>35</v>
      </c>
      <c r="C2983" t="s">
        <v>62</v>
      </c>
      <c r="D2983">
        <v>102</v>
      </c>
      <c r="E2983" t="s">
        <v>466</v>
      </c>
    </row>
    <row r="2984" spans="1:5" x14ac:dyDescent="0.35">
      <c r="A2984">
        <v>2009</v>
      </c>
      <c r="B2984" t="s">
        <v>33</v>
      </c>
      <c r="C2984" t="s">
        <v>63</v>
      </c>
      <c r="D2984">
        <v>24</v>
      </c>
      <c r="E2984" t="s">
        <v>466</v>
      </c>
    </row>
    <row r="2985" spans="1:5" x14ac:dyDescent="0.35">
      <c r="A2985">
        <v>2009</v>
      </c>
      <c r="B2985" t="s">
        <v>34</v>
      </c>
      <c r="C2985" t="s">
        <v>64</v>
      </c>
      <c r="D2985">
        <v>36</v>
      </c>
      <c r="E2985" t="s">
        <v>466</v>
      </c>
    </row>
    <row r="2986" spans="1:5" x14ac:dyDescent="0.35">
      <c r="A2986">
        <v>2009</v>
      </c>
      <c r="B2986" t="s">
        <v>33</v>
      </c>
      <c r="C2986" t="s">
        <v>65</v>
      </c>
      <c r="D2986">
        <v>13</v>
      </c>
      <c r="E2986" t="s">
        <v>466</v>
      </c>
    </row>
    <row r="2987" spans="1:5" x14ac:dyDescent="0.35">
      <c r="A2987">
        <v>2009</v>
      </c>
      <c r="B2987" t="s">
        <v>33</v>
      </c>
      <c r="C2987" t="s">
        <v>66</v>
      </c>
      <c r="D2987">
        <v>330</v>
      </c>
      <c r="E2987" t="s">
        <v>466</v>
      </c>
    </row>
    <row r="2988" spans="1:5" x14ac:dyDescent="0.35">
      <c r="A2988">
        <v>2009</v>
      </c>
      <c r="B2988" t="s">
        <v>34</v>
      </c>
      <c r="C2988" t="s">
        <v>67</v>
      </c>
      <c r="D2988">
        <v>149</v>
      </c>
      <c r="E2988" t="s">
        <v>466</v>
      </c>
    </row>
    <row r="2989" spans="1:5" x14ac:dyDescent="0.35">
      <c r="A2989">
        <v>2009</v>
      </c>
      <c r="B2989" t="s">
        <v>33</v>
      </c>
      <c r="C2989" t="s">
        <v>68</v>
      </c>
      <c r="D2989">
        <v>1306</v>
      </c>
      <c r="E2989" t="s">
        <v>466</v>
      </c>
    </row>
    <row r="2990" spans="1:5" x14ac:dyDescent="0.35">
      <c r="A2990">
        <v>2009</v>
      </c>
      <c r="B2990" t="s">
        <v>36</v>
      </c>
      <c r="C2990" t="s">
        <v>69</v>
      </c>
      <c r="D2990">
        <v>116</v>
      </c>
      <c r="E2990" t="s">
        <v>466</v>
      </c>
    </row>
    <row r="2991" spans="1:5" x14ac:dyDescent="0.35">
      <c r="A2991">
        <v>2009</v>
      </c>
      <c r="B2991" t="s">
        <v>36</v>
      </c>
      <c r="C2991" t="s">
        <v>365</v>
      </c>
      <c r="D2991">
        <v>9</v>
      </c>
      <c r="E2991" t="s">
        <v>466</v>
      </c>
    </row>
    <row r="2992" spans="1:5" x14ac:dyDescent="0.35">
      <c r="A2992">
        <v>2009</v>
      </c>
      <c r="B2992" t="s">
        <v>33</v>
      </c>
      <c r="C2992" t="s">
        <v>70</v>
      </c>
      <c r="D2992">
        <v>12</v>
      </c>
      <c r="E2992" t="s">
        <v>466</v>
      </c>
    </row>
    <row r="2993" spans="1:5" x14ac:dyDescent="0.35">
      <c r="A2993">
        <v>2009</v>
      </c>
      <c r="B2993" t="s">
        <v>33</v>
      </c>
      <c r="C2993" t="s">
        <v>71</v>
      </c>
      <c r="D2993">
        <v>9</v>
      </c>
      <c r="E2993" t="s">
        <v>466</v>
      </c>
    </row>
    <row r="2994" spans="1:5" x14ac:dyDescent="0.35">
      <c r="A2994">
        <v>2009</v>
      </c>
      <c r="B2994" t="s">
        <v>38</v>
      </c>
      <c r="C2994" t="s">
        <v>72</v>
      </c>
      <c r="D2994">
        <v>284</v>
      </c>
      <c r="E2994" t="s">
        <v>466</v>
      </c>
    </row>
    <row r="2995" spans="1:5" x14ac:dyDescent="0.35">
      <c r="A2995">
        <v>2009</v>
      </c>
      <c r="B2995" t="s">
        <v>34</v>
      </c>
      <c r="C2995" t="s">
        <v>73</v>
      </c>
      <c r="D2995">
        <v>2928</v>
      </c>
      <c r="E2995" t="s">
        <v>466</v>
      </c>
    </row>
    <row r="2996" spans="1:5" x14ac:dyDescent="0.35">
      <c r="A2996">
        <v>2009</v>
      </c>
      <c r="B2996" t="s">
        <v>38</v>
      </c>
      <c r="C2996" t="s">
        <v>20</v>
      </c>
      <c r="D2996">
        <v>3468</v>
      </c>
      <c r="E2996" t="s">
        <v>466</v>
      </c>
    </row>
    <row r="2997" spans="1:5" x14ac:dyDescent="0.35">
      <c r="A2997">
        <v>2009</v>
      </c>
      <c r="B2997" t="s">
        <v>33</v>
      </c>
      <c r="C2997" t="s">
        <v>74</v>
      </c>
      <c r="D2997">
        <v>35</v>
      </c>
      <c r="E2997" t="s">
        <v>466</v>
      </c>
    </row>
    <row r="2998" spans="1:5" x14ac:dyDescent="0.35">
      <c r="A2998">
        <v>2009</v>
      </c>
      <c r="B2998" t="s">
        <v>33</v>
      </c>
      <c r="C2998" t="s">
        <v>75</v>
      </c>
      <c r="D2998">
        <v>77</v>
      </c>
      <c r="E2998" t="s">
        <v>466</v>
      </c>
    </row>
    <row r="2999" spans="1:5" x14ac:dyDescent="0.35">
      <c r="A2999">
        <v>2009</v>
      </c>
      <c r="B2999" t="s">
        <v>36</v>
      </c>
      <c r="C2999" t="s">
        <v>76</v>
      </c>
      <c r="D2999">
        <v>582</v>
      </c>
      <c r="E2999" t="s">
        <v>466</v>
      </c>
    </row>
    <row r="3000" spans="1:5" x14ac:dyDescent="0.35">
      <c r="A3000">
        <v>2009</v>
      </c>
      <c r="B3000" t="s">
        <v>33</v>
      </c>
      <c r="C3000" t="s">
        <v>77</v>
      </c>
      <c r="D3000">
        <v>116</v>
      </c>
      <c r="E3000" t="s">
        <v>466</v>
      </c>
    </row>
    <row r="3001" spans="1:5" x14ac:dyDescent="0.35">
      <c r="A3001">
        <v>2009</v>
      </c>
      <c r="B3001" t="s">
        <v>35</v>
      </c>
      <c r="C3001" t="s">
        <v>78</v>
      </c>
      <c r="D3001">
        <v>25</v>
      </c>
      <c r="E3001" t="s">
        <v>466</v>
      </c>
    </row>
    <row r="3002" spans="1:5" x14ac:dyDescent="0.35">
      <c r="A3002">
        <v>2009</v>
      </c>
      <c r="B3002" t="s">
        <v>36</v>
      </c>
      <c r="C3002" t="s">
        <v>79</v>
      </c>
      <c r="D3002">
        <v>4742</v>
      </c>
      <c r="E3002" t="s">
        <v>466</v>
      </c>
    </row>
    <row r="3003" spans="1:5" x14ac:dyDescent="0.35">
      <c r="A3003">
        <v>2009</v>
      </c>
      <c r="B3003" t="s">
        <v>35</v>
      </c>
      <c r="C3003" t="s">
        <v>81</v>
      </c>
      <c r="D3003">
        <v>66</v>
      </c>
      <c r="E3003" t="s">
        <v>466</v>
      </c>
    </row>
    <row r="3004" spans="1:5" x14ac:dyDescent="0.35">
      <c r="A3004">
        <v>2009</v>
      </c>
      <c r="B3004" t="s">
        <v>35</v>
      </c>
      <c r="C3004" t="s">
        <v>214</v>
      </c>
      <c r="D3004">
        <v>24</v>
      </c>
      <c r="E3004" t="s">
        <v>466</v>
      </c>
    </row>
    <row r="3005" spans="1:5" x14ac:dyDescent="0.35">
      <c r="A3005">
        <v>2009</v>
      </c>
      <c r="B3005" t="s">
        <v>35</v>
      </c>
      <c r="C3005" t="s">
        <v>82</v>
      </c>
      <c r="D3005">
        <v>21</v>
      </c>
      <c r="E3005" t="s">
        <v>466</v>
      </c>
    </row>
    <row r="3006" spans="1:5" x14ac:dyDescent="0.35">
      <c r="A3006">
        <v>2009</v>
      </c>
      <c r="B3006" t="s">
        <v>36</v>
      </c>
      <c r="C3006" t="s">
        <v>84</v>
      </c>
      <c r="D3006">
        <v>57</v>
      </c>
      <c r="E3006" t="s">
        <v>466</v>
      </c>
    </row>
    <row r="3007" spans="1:5" x14ac:dyDescent="0.35">
      <c r="A3007">
        <v>2009</v>
      </c>
      <c r="B3007" t="s">
        <v>36</v>
      </c>
      <c r="C3007" t="s">
        <v>85</v>
      </c>
      <c r="D3007">
        <v>5106</v>
      </c>
      <c r="E3007" t="s">
        <v>466</v>
      </c>
    </row>
    <row r="3008" spans="1:5" x14ac:dyDescent="0.35">
      <c r="A3008">
        <v>2009</v>
      </c>
      <c r="B3008" t="s">
        <v>38</v>
      </c>
      <c r="C3008" t="s">
        <v>86</v>
      </c>
      <c r="D3008">
        <v>3483</v>
      </c>
      <c r="E3008" t="s">
        <v>466</v>
      </c>
    </row>
    <row r="3009" spans="1:5" x14ac:dyDescent="0.35">
      <c r="A3009">
        <v>2009</v>
      </c>
      <c r="B3009" t="s">
        <v>33</v>
      </c>
      <c r="C3009" t="s">
        <v>87</v>
      </c>
      <c r="D3009">
        <v>313</v>
      </c>
      <c r="E3009" t="s">
        <v>466</v>
      </c>
    </row>
    <row r="3010" spans="1:5" x14ac:dyDescent="0.35">
      <c r="A3010">
        <v>2009</v>
      </c>
      <c r="B3010" t="s">
        <v>36</v>
      </c>
      <c r="C3010" t="s">
        <v>16</v>
      </c>
      <c r="D3010">
        <v>27741</v>
      </c>
      <c r="E3010" t="s">
        <v>466</v>
      </c>
    </row>
    <row r="3011" spans="1:5" x14ac:dyDescent="0.35">
      <c r="A3011">
        <v>2009</v>
      </c>
      <c r="B3011" t="s">
        <v>33</v>
      </c>
      <c r="C3011" t="s">
        <v>88</v>
      </c>
      <c r="D3011">
        <v>7</v>
      </c>
      <c r="E3011" t="s">
        <v>466</v>
      </c>
    </row>
    <row r="3012" spans="1:5" x14ac:dyDescent="0.35">
      <c r="A3012">
        <v>2009</v>
      </c>
      <c r="B3012" t="s">
        <v>33</v>
      </c>
      <c r="C3012" t="s">
        <v>89</v>
      </c>
      <c r="D3012">
        <v>212</v>
      </c>
      <c r="E3012" t="s">
        <v>466</v>
      </c>
    </row>
    <row r="3013" spans="1:5" x14ac:dyDescent="0.35">
      <c r="A3013">
        <v>2009</v>
      </c>
      <c r="B3013" t="s">
        <v>35</v>
      </c>
      <c r="C3013" t="s">
        <v>90</v>
      </c>
      <c r="D3013">
        <v>32</v>
      </c>
      <c r="E3013" t="s">
        <v>466</v>
      </c>
    </row>
    <row r="3014" spans="1:5" x14ac:dyDescent="0.35">
      <c r="A3014">
        <v>2009</v>
      </c>
      <c r="B3014" t="s">
        <v>33</v>
      </c>
      <c r="C3014" t="s">
        <v>91</v>
      </c>
      <c r="D3014">
        <v>262</v>
      </c>
      <c r="E3014" t="s">
        <v>466</v>
      </c>
    </row>
    <row r="3015" spans="1:5" x14ac:dyDescent="0.35">
      <c r="A3015">
        <v>2009</v>
      </c>
      <c r="B3015" t="s">
        <v>37</v>
      </c>
      <c r="C3015" t="s">
        <v>92</v>
      </c>
      <c r="D3015">
        <v>101</v>
      </c>
      <c r="E3015" t="s">
        <v>466</v>
      </c>
    </row>
    <row r="3016" spans="1:5" x14ac:dyDescent="0.35">
      <c r="A3016">
        <v>2009</v>
      </c>
      <c r="B3016" t="s">
        <v>35</v>
      </c>
      <c r="C3016" t="s">
        <v>94</v>
      </c>
      <c r="D3016">
        <v>136</v>
      </c>
      <c r="E3016" t="s">
        <v>466</v>
      </c>
    </row>
    <row r="3017" spans="1:5" x14ac:dyDescent="0.35">
      <c r="A3017">
        <v>2009</v>
      </c>
      <c r="B3017" t="s">
        <v>33</v>
      </c>
      <c r="C3017" t="s">
        <v>95</v>
      </c>
      <c r="D3017">
        <v>17</v>
      </c>
      <c r="E3017" t="s">
        <v>466</v>
      </c>
    </row>
    <row r="3018" spans="1:5" x14ac:dyDescent="0.35">
      <c r="A3018">
        <v>2009</v>
      </c>
      <c r="B3018" t="s">
        <v>33</v>
      </c>
      <c r="C3018" t="s">
        <v>96</v>
      </c>
      <c r="D3018">
        <v>131</v>
      </c>
      <c r="E3018" t="s">
        <v>466</v>
      </c>
    </row>
    <row r="3019" spans="1:5" x14ac:dyDescent="0.35">
      <c r="A3019">
        <v>2009</v>
      </c>
      <c r="B3019" t="s">
        <v>34</v>
      </c>
      <c r="C3019" t="s">
        <v>8</v>
      </c>
      <c r="D3019">
        <v>157</v>
      </c>
      <c r="E3019" t="s">
        <v>466</v>
      </c>
    </row>
    <row r="3020" spans="1:5" x14ac:dyDescent="0.35">
      <c r="A3020">
        <v>2009</v>
      </c>
      <c r="B3020" t="s">
        <v>35</v>
      </c>
      <c r="C3020" t="s">
        <v>97</v>
      </c>
      <c r="D3020">
        <v>228</v>
      </c>
      <c r="E3020" t="s">
        <v>466</v>
      </c>
    </row>
    <row r="3021" spans="1:5" x14ac:dyDescent="0.35">
      <c r="A3021">
        <v>2009</v>
      </c>
      <c r="B3021" t="s">
        <v>33</v>
      </c>
      <c r="C3021" t="s">
        <v>98</v>
      </c>
      <c r="D3021">
        <v>422</v>
      </c>
      <c r="E3021" t="s">
        <v>466</v>
      </c>
    </row>
    <row r="3022" spans="1:5" x14ac:dyDescent="0.35">
      <c r="A3022">
        <v>2009</v>
      </c>
      <c r="B3022" t="s">
        <v>35</v>
      </c>
      <c r="C3022" t="s">
        <v>99</v>
      </c>
      <c r="D3022">
        <v>58</v>
      </c>
      <c r="E3022" t="s">
        <v>466</v>
      </c>
    </row>
    <row r="3023" spans="1:5" x14ac:dyDescent="0.35">
      <c r="A3023">
        <v>2009</v>
      </c>
      <c r="B3023" t="s">
        <v>36</v>
      </c>
      <c r="C3023" t="s">
        <v>100</v>
      </c>
      <c r="D3023">
        <v>63</v>
      </c>
      <c r="E3023" t="s">
        <v>466</v>
      </c>
    </row>
    <row r="3024" spans="1:5" x14ac:dyDescent="0.35">
      <c r="A3024">
        <v>2009</v>
      </c>
      <c r="B3024" t="s">
        <v>37</v>
      </c>
      <c r="C3024" t="s">
        <v>367</v>
      </c>
      <c r="D3024">
        <v>15</v>
      </c>
      <c r="E3024" t="s">
        <v>466</v>
      </c>
    </row>
    <row r="3025" spans="1:5" x14ac:dyDescent="0.35">
      <c r="A3025">
        <v>2009</v>
      </c>
      <c r="B3025" t="s">
        <v>36</v>
      </c>
      <c r="C3025" t="s">
        <v>15</v>
      </c>
      <c r="D3025">
        <v>34992</v>
      </c>
      <c r="E3025" t="s">
        <v>466</v>
      </c>
    </row>
    <row r="3026" spans="1:5" x14ac:dyDescent="0.35">
      <c r="A3026">
        <v>2009</v>
      </c>
      <c r="B3026" t="s">
        <v>33</v>
      </c>
      <c r="C3026" t="s">
        <v>101</v>
      </c>
      <c r="D3026">
        <v>185</v>
      </c>
      <c r="E3026" t="s">
        <v>466</v>
      </c>
    </row>
    <row r="3027" spans="1:5" x14ac:dyDescent="0.35">
      <c r="A3027">
        <v>2009</v>
      </c>
      <c r="B3027" t="s">
        <v>33</v>
      </c>
      <c r="C3027" t="s">
        <v>102</v>
      </c>
      <c r="D3027">
        <v>13</v>
      </c>
      <c r="E3027" t="s">
        <v>466</v>
      </c>
    </row>
    <row r="3028" spans="1:5" x14ac:dyDescent="0.35">
      <c r="A3028">
        <v>2009</v>
      </c>
      <c r="B3028" t="s">
        <v>38</v>
      </c>
      <c r="C3028" t="s">
        <v>103</v>
      </c>
      <c r="D3028">
        <v>492</v>
      </c>
      <c r="E3028" t="s">
        <v>466</v>
      </c>
    </row>
    <row r="3029" spans="1:5" x14ac:dyDescent="0.35">
      <c r="A3029">
        <v>2009</v>
      </c>
      <c r="B3029" t="s">
        <v>36</v>
      </c>
      <c r="C3029" t="s">
        <v>104</v>
      </c>
      <c r="D3029">
        <v>2220</v>
      </c>
      <c r="E3029" t="s">
        <v>466</v>
      </c>
    </row>
    <row r="3030" spans="1:5" x14ac:dyDescent="0.35">
      <c r="A3030">
        <v>2009</v>
      </c>
      <c r="B3030" t="s">
        <v>36</v>
      </c>
      <c r="C3030" t="s">
        <v>17</v>
      </c>
      <c r="D3030">
        <v>32901</v>
      </c>
      <c r="E3030" t="s">
        <v>466</v>
      </c>
    </row>
    <row r="3031" spans="1:5" x14ac:dyDescent="0.35">
      <c r="A3031">
        <v>2009</v>
      </c>
      <c r="B3031" t="s">
        <v>34</v>
      </c>
      <c r="C3031" t="s">
        <v>368</v>
      </c>
      <c r="D3031">
        <v>58</v>
      </c>
      <c r="E3031" t="s">
        <v>466</v>
      </c>
    </row>
    <row r="3032" spans="1:5" x14ac:dyDescent="0.35">
      <c r="A3032">
        <v>2009</v>
      </c>
      <c r="B3032" t="s">
        <v>35</v>
      </c>
      <c r="C3032" t="s">
        <v>105</v>
      </c>
      <c r="D3032">
        <v>95</v>
      </c>
      <c r="E3032" t="s">
        <v>466</v>
      </c>
    </row>
    <row r="3033" spans="1:5" x14ac:dyDescent="0.35">
      <c r="A3033">
        <v>2009</v>
      </c>
      <c r="B3033" t="s">
        <v>35</v>
      </c>
      <c r="C3033" t="s">
        <v>106</v>
      </c>
      <c r="D3033">
        <v>6</v>
      </c>
      <c r="E3033" t="s">
        <v>466</v>
      </c>
    </row>
    <row r="3034" spans="1:5" x14ac:dyDescent="0.35">
      <c r="A3034">
        <v>2009</v>
      </c>
      <c r="B3034" t="s">
        <v>34</v>
      </c>
      <c r="C3034" t="s">
        <v>22</v>
      </c>
      <c r="D3034">
        <v>1155</v>
      </c>
      <c r="E3034" t="s">
        <v>466</v>
      </c>
    </row>
    <row r="3035" spans="1:5" x14ac:dyDescent="0.35">
      <c r="A3035">
        <v>2009</v>
      </c>
      <c r="B3035" t="s">
        <v>34</v>
      </c>
      <c r="C3035" t="s">
        <v>107</v>
      </c>
      <c r="D3035">
        <v>371</v>
      </c>
      <c r="E3035" t="s">
        <v>466</v>
      </c>
    </row>
    <row r="3036" spans="1:5" x14ac:dyDescent="0.35">
      <c r="A3036">
        <v>2009</v>
      </c>
      <c r="B3036" t="s">
        <v>34</v>
      </c>
      <c r="C3036" t="s">
        <v>108</v>
      </c>
      <c r="D3036">
        <v>291</v>
      </c>
      <c r="E3036" t="s">
        <v>466</v>
      </c>
    </row>
    <row r="3037" spans="1:5" x14ac:dyDescent="0.35">
      <c r="A3037">
        <v>2009</v>
      </c>
      <c r="B3037" t="s">
        <v>34</v>
      </c>
      <c r="C3037" t="s">
        <v>109</v>
      </c>
      <c r="D3037">
        <v>291</v>
      </c>
      <c r="E3037" t="s">
        <v>466</v>
      </c>
    </row>
    <row r="3038" spans="1:5" x14ac:dyDescent="0.35">
      <c r="A3038">
        <v>2009</v>
      </c>
      <c r="B3038" t="s">
        <v>35</v>
      </c>
      <c r="C3038" t="s">
        <v>110</v>
      </c>
      <c r="D3038">
        <v>94</v>
      </c>
      <c r="E3038" t="s">
        <v>466</v>
      </c>
    </row>
    <row r="3039" spans="1:5" x14ac:dyDescent="0.35">
      <c r="A3039">
        <v>2009</v>
      </c>
      <c r="B3039" t="s">
        <v>34</v>
      </c>
      <c r="C3039" t="s">
        <v>111</v>
      </c>
      <c r="D3039">
        <v>345</v>
      </c>
      <c r="E3039" t="s">
        <v>466</v>
      </c>
    </row>
    <row r="3040" spans="1:5" x14ac:dyDescent="0.35">
      <c r="A3040">
        <v>2009</v>
      </c>
      <c r="B3040" t="s">
        <v>35</v>
      </c>
      <c r="C3040" t="s">
        <v>112</v>
      </c>
      <c r="D3040">
        <v>205</v>
      </c>
      <c r="E3040" t="s">
        <v>466</v>
      </c>
    </row>
    <row r="3041" spans="1:5" x14ac:dyDescent="0.35">
      <c r="A3041">
        <v>2009</v>
      </c>
      <c r="B3041" t="s">
        <v>36</v>
      </c>
      <c r="C3041" t="s">
        <v>113</v>
      </c>
      <c r="D3041">
        <v>3075</v>
      </c>
      <c r="E3041" t="s">
        <v>466</v>
      </c>
    </row>
    <row r="3042" spans="1:5" x14ac:dyDescent="0.35">
      <c r="A3042">
        <v>2009</v>
      </c>
      <c r="B3042" t="s">
        <v>34</v>
      </c>
      <c r="C3042" t="s">
        <v>114</v>
      </c>
      <c r="D3042">
        <v>68</v>
      </c>
      <c r="E3042" t="s">
        <v>466</v>
      </c>
    </row>
    <row r="3043" spans="1:5" x14ac:dyDescent="0.35">
      <c r="A3043">
        <v>2009</v>
      </c>
      <c r="B3043" t="s">
        <v>34</v>
      </c>
      <c r="C3043" t="s">
        <v>115</v>
      </c>
      <c r="D3043">
        <v>359</v>
      </c>
      <c r="E3043" t="s">
        <v>466</v>
      </c>
    </row>
    <row r="3044" spans="1:5" x14ac:dyDescent="0.35">
      <c r="A3044">
        <v>2009</v>
      </c>
      <c r="B3044" t="s">
        <v>34</v>
      </c>
      <c r="C3044" t="s">
        <v>116</v>
      </c>
      <c r="D3044">
        <v>101</v>
      </c>
      <c r="E3044" t="s">
        <v>466</v>
      </c>
    </row>
    <row r="3045" spans="1:5" x14ac:dyDescent="0.35">
      <c r="A3045">
        <v>2009</v>
      </c>
      <c r="B3045" t="s">
        <v>33</v>
      </c>
      <c r="C3045" t="s">
        <v>117</v>
      </c>
      <c r="D3045">
        <v>537</v>
      </c>
      <c r="E3045" t="s">
        <v>466</v>
      </c>
    </row>
    <row r="3046" spans="1:5" x14ac:dyDescent="0.35">
      <c r="A3046">
        <v>2009</v>
      </c>
      <c r="B3046" t="s">
        <v>34</v>
      </c>
      <c r="C3046" t="s">
        <v>118</v>
      </c>
      <c r="D3046">
        <v>580</v>
      </c>
      <c r="E3046" t="s">
        <v>466</v>
      </c>
    </row>
    <row r="3047" spans="1:5" x14ac:dyDescent="0.35">
      <c r="A3047">
        <v>2009</v>
      </c>
      <c r="B3047" t="s">
        <v>35</v>
      </c>
      <c r="C3047" t="s">
        <v>119</v>
      </c>
      <c r="D3047">
        <v>26</v>
      </c>
      <c r="E3047" t="s">
        <v>466</v>
      </c>
    </row>
    <row r="3048" spans="1:5" x14ac:dyDescent="0.35">
      <c r="A3048">
        <v>2009</v>
      </c>
      <c r="B3048" t="s">
        <v>34</v>
      </c>
      <c r="C3048" t="s">
        <v>120</v>
      </c>
      <c r="D3048">
        <v>29</v>
      </c>
      <c r="E3048" t="s">
        <v>466</v>
      </c>
    </row>
    <row r="3049" spans="1:5" x14ac:dyDescent="0.35">
      <c r="A3049">
        <v>2009</v>
      </c>
      <c r="B3049" t="s">
        <v>34</v>
      </c>
      <c r="C3049" t="s">
        <v>121</v>
      </c>
      <c r="D3049">
        <v>59</v>
      </c>
      <c r="E3049" t="s">
        <v>466</v>
      </c>
    </row>
    <row r="3050" spans="1:5" x14ac:dyDescent="0.35">
      <c r="A3050">
        <v>2009</v>
      </c>
      <c r="B3050" t="s">
        <v>34</v>
      </c>
      <c r="C3050" t="s">
        <v>122</v>
      </c>
      <c r="D3050">
        <v>657</v>
      </c>
      <c r="E3050" t="s">
        <v>466</v>
      </c>
    </row>
    <row r="3051" spans="1:5" x14ac:dyDescent="0.35">
      <c r="A3051">
        <v>2009</v>
      </c>
      <c r="B3051" t="s">
        <v>35</v>
      </c>
      <c r="C3051" t="s">
        <v>123</v>
      </c>
      <c r="D3051">
        <v>30</v>
      </c>
      <c r="E3051" t="s">
        <v>466</v>
      </c>
    </row>
    <row r="3052" spans="1:5" x14ac:dyDescent="0.35">
      <c r="A3052">
        <v>2009</v>
      </c>
      <c r="B3052" t="s">
        <v>34</v>
      </c>
      <c r="C3052" t="s">
        <v>124</v>
      </c>
      <c r="D3052">
        <v>216</v>
      </c>
      <c r="E3052" t="s">
        <v>466</v>
      </c>
    </row>
    <row r="3053" spans="1:5" x14ac:dyDescent="0.35">
      <c r="A3053">
        <v>2009</v>
      </c>
      <c r="B3053" t="s">
        <v>33</v>
      </c>
      <c r="C3053" t="s">
        <v>125</v>
      </c>
      <c r="D3053">
        <v>338</v>
      </c>
      <c r="E3053" t="s">
        <v>466</v>
      </c>
    </row>
    <row r="3054" spans="1:5" x14ac:dyDescent="0.35">
      <c r="A3054">
        <v>2009</v>
      </c>
      <c r="B3054" t="s">
        <v>33</v>
      </c>
      <c r="C3054" t="s">
        <v>126</v>
      </c>
      <c r="D3054">
        <v>14</v>
      </c>
      <c r="E3054" t="s">
        <v>466</v>
      </c>
    </row>
    <row r="3055" spans="1:5" x14ac:dyDescent="0.35">
      <c r="A3055">
        <v>2009</v>
      </c>
      <c r="B3055" t="s">
        <v>35</v>
      </c>
      <c r="C3055" t="s">
        <v>127</v>
      </c>
      <c r="D3055">
        <v>94</v>
      </c>
      <c r="E3055" t="s">
        <v>466</v>
      </c>
    </row>
    <row r="3056" spans="1:5" x14ac:dyDescent="0.35">
      <c r="A3056">
        <v>2009</v>
      </c>
      <c r="B3056" t="s">
        <v>34</v>
      </c>
      <c r="C3056" t="s">
        <v>369</v>
      </c>
      <c r="E3056" t="s">
        <v>466</v>
      </c>
    </row>
    <row r="3057" spans="1:5" x14ac:dyDescent="0.35">
      <c r="A3057">
        <v>2009</v>
      </c>
      <c r="B3057" t="s">
        <v>33</v>
      </c>
      <c r="C3057" t="s">
        <v>130</v>
      </c>
      <c r="D3057">
        <v>10</v>
      </c>
      <c r="E3057" t="s">
        <v>466</v>
      </c>
    </row>
    <row r="3058" spans="1:5" x14ac:dyDescent="0.35">
      <c r="A3058">
        <v>2009</v>
      </c>
      <c r="B3058" t="s">
        <v>34</v>
      </c>
      <c r="C3058" t="s">
        <v>131</v>
      </c>
      <c r="D3058">
        <v>60</v>
      </c>
      <c r="E3058" t="s">
        <v>466</v>
      </c>
    </row>
    <row r="3059" spans="1:5" x14ac:dyDescent="0.35">
      <c r="A3059">
        <v>2009</v>
      </c>
      <c r="B3059" t="s">
        <v>33</v>
      </c>
      <c r="C3059" t="s">
        <v>132</v>
      </c>
      <c r="D3059">
        <v>140</v>
      </c>
      <c r="E3059" t="s">
        <v>466</v>
      </c>
    </row>
    <row r="3060" spans="1:5" x14ac:dyDescent="0.35">
      <c r="A3060">
        <v>2009</v>
      </c>
      <c r="B3060" t="s">
        <v>35</v>
      </c>
      <c r="C3060" t="s">
        <v>133</v>
      </c>
      <c r="E3060" t="s">
        <v>466</v>
      </c>
    </row>
    <row r="3061" spans="1:5" x14ac:dyDescent="0.35">
      <c r="A3061">
        <v>2009</v>
      </c>
      <c r="B3061" t="s">
        <v>37</v>
      </c>
      <c r="C3061" t="s">
        <v>134</v>
      </c>
      <c r="D3061">
        <v>20</v>
      </c>
      <c r="E3061" t="s">
        <v>466</v>
      </c>
    </row>
    <row r="3062" spans="1:5" x14ac:dyDescent="0.35">
      <c r="A3062">
        <v>2009</v>
      </c>
      <c r="B3062" t="s">
        <v>33</v>
      </c>
      <c r="C3062" t="s">
        <v>135</v>
      </c>
      <c r="D3062">
        <v>141</v>
      </c>
      <c r="E3062" t="s">
        <v>466</v>
      </c>
    </row>
    <row r="3063" spans="1:5" x14ac:dyDescent="0.35">
      <c r="A3063">
        <v>2009</v>
      </c>
      <c r="B3063" t="s">
        <v>36</v>
      </c>
      <c r="C3063" t="s">
        <v>14</v>
      </c>
      <c r="D3063">
        <v>731218</v>
      </c>
      <c r="E3063" t="s">
        <v>466</v>
      </c>
    </row>
    <row r="3064" spans="1:5" x14ac:dyDescent="0.35">
      <c r="A3064">
        <v>2009</v>
      </c>
      <c r="B3064" t="s">
        <v>37</v>
      </c>
      <c r="C3064" t="s">
        <v>137</v>
      </c>
      <c r="D3064">
        <v>88</v>
      </c>
      <c r="E3064" t="s">
        <v>466</v>
      </c>
    </row>
    <row r="3065" spans="1:5" x14ac:dyDescent="0.35">
      <c r="A3065">
        <v>2009</v>
      </c>
      <c r="B3065" t="s">
        <v>35</v>
      </c>
      <c r="C3065" t="s">
        <v>138</v>
      </c>
      <c r="D3065">
        <v>98</v>
      </c>
      <c r="E3065" t="s">
        <v>466</v>
      </c>
    </row>
    <row r="3066" spans="1:5" x14ac:dyDescent="0.35">
      <c r="A3066">
        <v>2009</v>
      </c>
      <c r="B3066" t="s">
        <v>34</v>
      </c>
      <c r="C3066" t="s">
        <v>139</v>
      </c>
      <c r="D3066">
        <v>142</v>
      </c>
      <c r="E3066" t="s">
        <v>466</v>
      </c>
    </row>
    <row r="3067" spans="1:5" x14ac:dyDescent="0.35">
      <c r="A3067">
        <v>2009</v>
      </c>
      <c r="B3067" t="s">
        <v>35</v>
      </c>
      <c r="C3067" t="s">
        <v>140</v>
      </c>
      <c r="D3067">
        <v>4</v>
      </c>
      <c r="E3067" t="s">
        <v>466</v>
      </c>
    </row>
    <row r="3068" spans="1:5" x14ac:dyDescent="0.35">
      <c r="A3068">
        <v>2009</v>
      </c>
      <c r="B3068" t="s">
        <v>36</v>
      </c>
      <c r="C3068" t="s">
        <v>370</v>
      </c>
      <c r="D3068">
        <v>9</v>
      </c>
      <c r="E3068" t="s">
        <v>466</v>
      </c>
    </row>
    <row r="3069" spans="1:5" x14ac:dyDescent="0.35">
      <c r="A3069">
        <v>2009</v>
      </c>
      <c r="B3069" t="s">
        <v>33</v>
      </c>
      <c r="C3069" t="s">
        <v>141</v>
      </c>
      <c r="D3069">
        <v>232</v>
      </c>
      <c r="E3069" t="s">
        <v>466</v>
      </c>
    </row>
    <row r="3070" spans="1:5" x14ac:dyDescent="0.35">
      <c r="A3070">
        <v>2009</v>
      </c>
      <c r="B3070" t="s">
        <v>34</v>
      </c>
      <c r="C3070" t="s">
        <v>144</v>
      </c>
      <c r="D3070">
        <v>148</v>
      </c>
      <c r="E3070" t="s">
        <v>466</v>
      </c>
    </row>
    <row r="3071" spans="1:5" x14ac:dyDescent="0.35">
      <c r="A3071">
        <v>2009</v>
      </c>
      <c r="B3071" t="s">
        <v>35</v>
      </c>
      <c r="C3071" t="s">
        <v>145</v>
      </c>
      <c r="D3071">
        <v>92</v>
      </c>
      <c r="E3071" t="s">
        <v>466</v>
      </c>
    </row>
    <row r="3072" spans="1:5" x14ac:dyDescent="0.35">
      <c r="A3072">
        <v>2009</v>
      </c>
      <c r="B3072" t="s">
        <v>36</v>
      </c>
      <c r="C3072" t="s">
        <v>371</v>
      </c>
      <c r="D3072">
        <v>4</v>
      </c>
      <c r="E3072" t="s">
        <v>466</v>
      </c>
    </row>
    <row r="3073" spans="1:5" x14ac:dyDescent="0.35">
      <c r="A3073">
        <v>2009</v>
      </c>
      <c r="B3073" t="s">
        <v>37</v>
      </c>
      <c r="C3073" t="s">
        <v>146</v>
      </c>
      <c r="D3073">
        <v>38</v>
      </c>
      <c r="E3073" t="s">
        <v>466</v>
      </c>
    </row>
    <row r="3074" spans="1:5" x14ac:dyDescent="0.35">
      <c r="A3074">
        <v>2009</v>
      </c>
      <c r="B3074" t="s">
        <v>36</v>
      </c>
      <c r="C3074" t="s">
        <v>147</v>
      </c>
      <c r="D3074">
        <v>2739</v>
      </c>
      <c r="E3074" t="s">
        <v>466</v>
      </c>
    </row>
    <row r="3075" spans="1:5" x14ac:dyDescent="0.35">
      <c r="A3075">
        <v>2009</v>
      </c>
      <c r="B3075" t="s">
        <v>33</v>
      </c>
      <c r="C3075" t="s">
        <v>148</v>
      </c>
      <c r="D3075">
        <v>54</v>
      </c>
      <c r="E3075" t="s">
        <v>466</v>
      </c>
    </row>
    <row r="3076" spans="1:5" x14ac:dyDescent="0.35">
      <c r="A3076">
        <v>2009</v>
      </c>
      <c r="B3076" t="s">
        <v>33</v>
      </c>
      <c r="C3076" t="s">
        <v>149</v>
      </c>
      <c r="D3076">
        <v>624</v>
      </c>
      <c r="E3076" t="s">
        <v>466</v>
      </c>
    </row>
    <row r="3077" spans="1:5" x14ac:dyDescent="0.35">
      <c r="A3077">
        <v>2009</v>
      </c>
      <c r="B3077" t="s">
        <v>35</v>
      </c>
      <c r="C3077" t="s">
        <v>322</v>
      </c>
      <c r="D3077">
        <v>62</v>
      </c>
      <c r="E3077" t="s">
        <v>466</v>
      </c>
    </row>
    <row r="3078" spans="1:5" x14ac:dyDescent="0.35">
      <c r="A3078">
        <v>2009</v>
      </c>
      <c r="B3078" t="s">
        <v>35</v>
      </c>
      <c r="C3078" t="s">
        <v>150</v>
      </c>
      <c r="D3078">
        <v>8</v>
      </c>
      <c r="E3078" t="s">
        <v>466</v>
      </c>
    </row>
    <row r="3079" spans="1:5" x14ac:dyDescent="0.35">
      <c r="A3079">
        <v>2009</v>
      </c>
      <c r="B3079" t="s">
        <v>34</v>
      </c>
      <c r="C3079" t="s">
        <v>152</v>
      </c>
      <c r="D3079">
        <v>578</v>
      </c>
      <c r="E3079" t="s">
        <v>466</v>
      </c>
    </row>
    <row r="3080" spans="1:5" x14ac:dyDescent="0.35">
      <c r="A3080">
        <v>2009</v>
      </c>
      <c r="B3080" t="s">
        <v>37</v>
      </c>
      <c r="C3080" t="s">
        <v>153</v>
      </c>
      <c r="D3080">
        <v>19</v>
      </c>
      <c r="E3080" t="s">
        <v>466</v>
      </c>
    </row>
    <row r="3081" spans="1:5" x14ac:dyDescent="0.35">
      <c r="A3081">
        <v>2009</v>
      </c>
      <c r="B3081" t="s">
        <v>36</v>
      </c>
      <c r="C3081" t="s">
        <v>154</v>
      </c>
      <c r="D3081">
        <v>268</v>
      </c>
      <c r="E3081" t="s">
        <v>466</v>
      </c>
    </row>
    <row r="3082" spans="1:5" x14ac:dyDescent="0.35">
      <c r="A3082">
        <v>2009</v>
      </c>
      <c r="B3082" t="s">
        <v>38</v>
      </c>
      <c r="C3082" t="s">
        <v>155</v>
      </c>
      <c r="D3082">
        <v>47</v>
      </c>
      <c r="E3082" t="s">
        <v>466</v>
      </c>
    </row>
    <row r="3083" spans="1:5" x14ac:dyDescent="0.35">
      <c r="A3083">
        <v>2009</v>
      </c>
      <c r="B3083" t="s">
        <v>38</v>
      </c>
      <c r="C3083" t="s">
        <v>156</v>
      </c>
      <c r="D3083">
        <v>2079</v>
      </c>
      <c r="E3083" t="s">
        <v>466</v>
      </c>
    </row>
    <row r="3084" spans="1:5" x14ac:dyDescent="0.35">
      <c r="A3084">
        <v>2009</v>
      </c>
      <c r="B3084" t="s">
        <v>34</v>
      </c>
      <c r="C3084" t="s">
        <v>18</v>
      </c>
      <c r="D3084">
        <v>1080</v>
      </c>
      <c r="E3084" t="s">
        <v>466</v>
      </c>
    </row>
    <row r="3085" spans="1:5" x14ac:dyDescent="0.35">
      <c r="A3085">
        <v>2009</v>
      </c>
      <c r="B3085" t="s">
        <v>35</v>
      </c>
      <c r="C3085" t="s">
        <v>157</v>
      </c>
      <c r="D3085">
        <v>571</v>
      </c>
      <c r="E3085" t="s">
        <v>466</v>
      </c>
    </row>
    <row r="3086" spans="1:5" x14ac:dyDescent="0.35">
      <c r="A3086">
        <v>2009</v>
      </c>
      <c r="B3086" t="s">
        <v>35</v>
      </c>
      <c r="C3086" t="s">
        <v>158</v>
      </c>
      <c r="D3086">
        <v>220</v>
      </c>
      <c r="E3086" t="s">
        <v>466</v>
      </c>
    </row>
    <row r="3087" spans="1:5" x14ac:dyDescent="0.35">
      <c r="A3087">
        <v>2009</v>
      </c>
      <c r="B3087" t="s">
        <v>35</v>
      </c>
      <c r="C3087" t="s">
        <v>160</v>
      </c>
      <c r="D3087">
        <v>255</v>
      </c>
      <c r="E3087" t="s">
        <v>466</v>
      </c>
    </row>
    <row r="3088" spans="1:5" x14ac:dyDescent="0.35">
      <c r="A3088">
        <v>2009</v>
      </c>
      <c r="B3088" t="s">
        <v>35</v>
      </c>
      <c r="C3088" t="s">
        <v>161</v>
      </c>
      <c r="D3088">
        <v>565</v>
      </c>
      <c r="E3088" t="s">
        <v>466</v>
      </c>
    </row>
    <row r="3089" spans="1:5" x14ac:dyDescent="0.35">
      <c r="A3089">
        <v>2009</v>
      </c>
      <c r="B3089" t="s">
        <v>33</v>
      </c>
      <c r="C3089" t="s">
        <v>162</v>
      </c>
      <c r="D3089">
        <v>23</v>
      </c>
      <c r="E3089" t="s">
        <v>466</v>
      </c>
    </row>
    <row r="3090" spans="1:5" x14ac:dyDescent="0.35">
      <c r="A3090">
        <v>2009</v>
      </c>
      <c r="B3090" t="s">
        <v>36</v>
      </c>
      <c r="C3090" t="s">
        <v>163</v>
      </c>
      <c r="D3090">
        <v>45</v>
      </c>
      <c r="E3090" t="s">
        <v>466</v>
      </c>
    </row>
    <row r="3091" spans="1:5" x14ac:dyDescent="0.35">
      <c r="A3091">
        <v>2009</v>
      </c>
      <c r="B3091" t="s">
        <v>36</v>
      </c>
      <c r="C3091" t="s">
        <v>164</v>
      </c>
      <c r="D3091">
        <v>71</v>
      </c>
      <c r="E3091" t="s">
        <v>466</v>
      </c>
    </row>
    <row r="3092" spans="1:5" x14ac:dyDescent="0.35">
      <c r="A3092">
        <v>2009</v>
      </c>
      <c r="B3092" t="s">
        <v>36</v>
      </c>
      <c r="C3092" t="s">
        <v>165</v>
      </c>
      <c r="D3092">
        <v>63</v>
      </c>
      <c r="E3092" t="s">
        <v>466</v>
      </c>
    </row>
    <row r="3093" spans="1:5" x14ac:dyDescent="0.35">
      <c r="A3093">
        <v>2009</v>
      </c>
      <c r="B3093" t="s">
        <v>37</v>
      </c>
      <c r="C3093" t="s">
        <v>166</v>
      </c>
      <c r="D3093">
        <v>57</v>
      </c>
      <c r="E3093" t="s">
        <v>466</v>
      </c>
    </row>
    <row r="3094" spans="1:5" x14ac:dyDescent="0.35">
      <c r="A3094">
        <v>2009</v>
      </c>
      <c r="B3094" t="s">
        <v>34</v>
      </c>
      <c r="C3094" t="s">
        <v>167</v>
      </c>
      <c r="D3094">
        <v>70</v>
      </c>
      <c r="E3094" t="s">
        <v>466</v>
      </c>
    </row>
    <row r="3095" spans="1:5" x14ac:dyDescent="0.35">
      <c r="A3095">
        <v>2009</v>
      </c>
      <c r="B3095" t="s">
        <v>33</v>
      </c>
      <c r="C3095" t="s">
        <v>168</v>
      </c>
      <c r="D3095">
        <v>157</v>
      </c>
      <c r="E3095" t="s">
        <v>466</v>
      </c>
    </row>
    <row r="3096" spans="1:5" x14ac:dyDescent="0.35">
      <c r="A3096">
        <v>2009</v>
      </c>
      <c r="B3096" t="s">
        <v>35</v>
      </c>
      <c r="C3096" t="s">
        <v>169</v>
      </c>
      <c r="D3096">
        <v>6</v>
      </c>
      <c r="E3096" t="s">
        <v>466</v>
      </c>
    </row>
    <row r="3097" spans="1:5" x14ac:dyDescent="0.35">
      <c r="A3097">
        <v>2009</v>
      </c>
      <c r="B3097" t="s">
        <v>35</v>
      </c>
      <c r="C3097" t="s">
        <v>215</v>
      </c>
      <c r="D3097">
        <v>219</v>
      </c>
      <c r="E3097" t="s">
        <v>466</v>
      </c>
    </row>
    <row r="3098" spans="1:5" x14ac:dyDescent="0.35">
      <c r="A3098">
        <v>2009</v>
      </c>
      <c r="B3098" t="s">
        <v>33</v>
      </c>
      <c r="C3098" t="s">
        <v>170</v>
      </c>
      <c r="D3098">
        <v>192</v>
      </c>
      <c r="E3098" t="s">
        <v>466</v>
      </c>
    </row>
    <row r="3099" spans="1:5" x14ac:dyDescent="0.35">
      <c r="A3099">
        <v>2009</v>
      </c>
      <c r="B3099" t="s">
        <v>34</v>
      </c>
      <c r="C3099" t="s">
        <v>171</v>
      </c>
      <c r="D3099">
        <v>21</v>
      </c>
      <c r="E3099" t="s">
        <v>466</v>
      </c>
    </row>
    <row r="3100" spans="1:5" x14ac:dyDescent="0.35">
      <c r="A3100">
        <v>2009</v>
      </c>
      <c r="B3100" t="s">
        <v>35</v>
      </c>
      <c r="C3100" t="s">
        <v>172</v>
      </c>
      <c r="D3100">
        <v>40</v>
      </c>
      <c r="E3100" t="s">
        <v>466</v>
      </c>
    </row>
    <row r="3101" spans="1:5" x14ac:dyDescent="0.35">
      <c r="A3101">
        <v>2009</v>
      </c>
      <c r="B3101" t="s">
        <v>35</v>
      </c>
      <c r="C3101" t="s">
        <v>173</v>
      </c>
      <c r="D3101">
        <v>11</v>
      </c>
      <c r="E3101" t="s">
        <v>466</v>
      </c>
    </row>
    <row r="3102" spans="1:5" x14ac:dyDescent="0.35">
      <c r="A3102">
        <v>2009</v>
      </c>
      <c r="B3102" t="s">
        <v>33</v>
      </c>
      <c r="C3102" t="s">
        <v>174</v>
      </c>
      <c r="D3102">
        <v>237</v>
      </c>
      <c r="E3102" t="s">
        <v>466</v>
      </c>
    </row>
    <row r="3103" spans="1:5" x14ac:dyDescent="0.35">
      <c r="A3103">
        <v>2009</v>
      </c>
      <c r="B3103" t="s">
        <v>33</v>
      </c>
      <c r="C3103" t="s">
        <v>175</v>
      </c>
      <c r="D3103">
        <v>149</v>
      </c>
      <c r="E3103" t="s">
        <v>466</v>
      </c>
    </row>
    <row r="3104" spans="1:5" x14ac:dyDescent="0.35">
      <c r="A3104">
        <v>2009</v>
      </c>
      <c r="B3104" t="s">
        <v>33</v>
      </c>
      <c r="C3104" t="s">
        <v>176</v>
      </c>
      <c r="E3104" t="s">
        <v>466</v>
      </c>
    </row>
    <row r="3105" spans="1:5" x14ac:dyDescent="0.35">
      <c r="A3105">
        <v>2009</v>
      </c>
      <c r="B3105" t="s">
        <v>35</v>
      </c>
      <c r="C3105" t="s">
        <v>216</v>
      </c>
      <c r="D3105">
        <v>62</v>
      </c>
      <c r="E3105" t="s">
        <v>466</v>
      </c>
    </row>
    <row r="3106" spans="1:5" x14ac:dyDescent="0.35">
      <c r="A3106">
        <v>2009</v>
      </c>
      <c r="B3106" t="s">
        <v>35</v>
      </c>
      <c r="C3106" t="s">
        <v>177</v>
      </c>
      <c r="D3106">
        <v>92</v>
      </c>
      <c r="E3106" t="s">
        <v>466</v>
      </c>
    </row>
    <row r="3107" spans="1:5" x14ac:dyDescent="0.35">
      <c r="A3107">
        <v>2009</v>
      </c>
      <c r="B3107" t="s">
        <v>34</v>
      </c>
      <c r="C3107" t="s">
        <v>178</v>
      </c>
      <c r="D3107">
        <v>135</v>
      </c>
      <c r="E3107" t="s">
        <v>466</v>
      </c>
    </row>
    <row r="3108" spans="1:5" x14ac:dyDescent="0.35">
      <c r="A3108">
        <v>2009</v>
      </c>
      <c r="B3108" t="s">
        <v>33</v>
      </c>
      <c r="C3108" t="s">
        <v>179</v>
      </c>
      <c r="D3108">
        <v>202</v>
      </c>
      <c r="E3108" t="s">
        <v>466</v>
      </c>
    </row>
    <row r="3109" spans="1:5" x14ac:dyDescent="0.35">
      <c r="A3109">
        <v>2009</v>
      </c>
      <c r="B3109" t="s">
        <v>38</v>
      </c>
      <c r="C3109" t="s">
        <v>180</v>
      </c>
      <c r="D3109">
        <v>28</v>
      </c>
      <c r="E3109" t="s">
        <v>466</v>
      </c>
    </row>
    <row r="3110" spans="1:5" x14ac:dyDescent="0.35">
      <c r="A3110">
        <v>2009</v>
      </c>
      <c r="B3110" t="s">
        <v>35</v>
      </c>
      <c r="C3110" t="s">
        <v>182</v>
      </c>
      <c r="D3110">
        <v>44</v>
      </c>
      <c r="E3110" t="s">
        <v>466</v>
      </c>
    </row>
    <row r="3111" spans="1:5" x14ac:dyDescent="0.35">
      <c r="A3111">
        <v>2009</v>
      </c>
      <c r="B3111" t="s">
        <v>35</v>
      </c>
      <c r="C3111" t="s">
        <v>183</v>
      </c>
      <c r="D3111">
        <v>19</v>
      </c>
      <c r="E3111" t="s">
        <v>466</v>
      </c>
    </row>
    <row r="3112" spans="1:5" x14ac:dyDescent="0.35">
      <c r="A3112">
        <v>2009</v>
      </c>
      <c r="B3112" t="s">
        <v>34</v>
      </c>
      <c r="C3112" t="s">
        <v>184</v>
      </c>
      <c r="D3112">
        <v>91</v>
      </c>
      <c r="E3112" t="s">
        <v>466</v>
      </c>
    </row>
    <row r="3113" spans="1:5" x14ac:dyDescent="0.35">
      <c r="A3113">
        <v>2009</v>
      </c>
      <c r="B3113" t="s">
        <v>34</v>
      </c>
      <c r="C3113" t="s">
        <v>185</v>
      </c>
      <c r="D3113">
        <v>61</v>
      </c>
      <c r="E3113" t="s">
        <v>466</v>
      </c>
    </row>
    <row r="3114" spans="1:5" x14ac:dyDescent="0.35">
      <c r="A3114">
        <v>2009</v>
      </c>
      <c r="B3114" t="s">
        <v>34</v>
      </c>
      <c r="C3114" t="s">
        <v>186</v>
      </c>
      <c r="D3114">
        <v>90</v>
      </c>
      <c r="E3114" t="s">
        <v>466</v>
      </c>
    </row>
    <row r="3115" spans="1:5" x14ac:dyDescent="0.35">
      <c r="A3115">
        <v>2009</v>
      </c>
      <c r="B3115" t="s">
        <v>33</v>
      </c>
      <c r="C3115" t="s">
        <v>187</v>
      </c>
      <c r="D3115">
        <v>81</v>
      </c>
      <c r="E3115" t="s">
        <v>466</v>
      </c>
    </row>
    <row r="3116" spans="1:5" x14ac:dyDescent="0.35">
      <c r="A3116">
        <v>2009</v>
      </c>
      <c r="B3116" t="s">
        <v>34</v>
      </c>
      <c r="C3116" t="s">
        <v>188</v>
      </c>
      <c r="D3116">
        <v>304</v>
      </c>
      <c r="E3116" t="s">
        <v>466</v>
      </c>
    </row>
    <row r="3117" spans="1:5" x14ac:dyDescent="0.35">
      <c r="A3117">
        <v>2009</v>
      </c>
      <c r="B3117" t="s">
        <v>33</v>
      </c>
      <c r="C3117" t="s">
        <v>189</v>
      </c>
      <c r="D3117">
        <v>44</v>
      </c>
      <c r="E3117" t="s">
        <v>466</v>
      </c>
    </row>
    <row r="3118" spans="1:5" x14ac:dyDescent="0.35">
      <c r="A3118">
        <v>2009</v>
      </c>
      <c r="B3118" t="s">
        <v>37</v>
      </c>
      <c r="C3118" t="s">
        <v>190</v>
      </c>
      <c r="D3118">
        <v>76</v>
      </c>
      <c r="E3118" t="s">
        <v>466</v>
      </c>
    </row>
    <row r="3119" spans="1:5" x14ac:dyDescent="0.35">
      <c r="A3119">
        <v>2009</v>
      </c>
      <c r="B3119" t="s">
        <v>36</v>
      </c>
      <c r="C3119" t="s">
        <v>191</v>
      </c>
      <c r="D3119">
        <v>729</v>
      </c>
      <c r="E3119" t="s">
        <v>466</v>
      </c>
    </row>
    <row r="3120" spans="1:5" x14ac:dyDescent="0.35">
      <c r="A3120">
        <v>2009</v>
      </c>
      <c r="B3120" t="s">
        <v>33</v>
      </c>
      <c r="C3120" t="s">
        <v>192</v>
      </c>
      <c r="D3120">
        <v>47</v>
      </c>
      <c r="E3120" t="s">
        <v>466</v>
      </c>
    </row>
    <row r="3121" spans="1:5" x14ac:dyDescent="0.35">
      <c r="A3121">
        <v>2009</v>
      </c>
      <c r="B3121" t="s">
        <v>34</v>
      </c>
      <c r="C3121" t="s">
        <v>193</v>
      </c>
      <c r="D3121">
        <v>317</v>
      </c>
      <c r="E3121" t="s">
        <v>466</v>
      </c>
    </row>
    <row r="3122" spans="1:5" x14ac:dyDescent="0.35">
      <c r="A3122">
        <v>2009</v>
      </c>
      <c r="B3122" t="s">
        <v>34</v>
      </c>
      <c r="C3122" t="s">
        <v>194</v>
      </c>
      <c r="D3122">
        <v>20</v>
      </c>
      <c r="E3122" t="s">
        <v>466</v>
      </c>
    </row>
    <row r="3123" spans="1:5" x14ac:dyDescent="0.35">
      <c r="A3123">
        <v>2009</v>
      </c>
      <c r="B3123" t="s">
        <v>36</v>
      </c>
      <c r="C3123" t="s">
        <v>372</v>
      </c>
      <c r="D3123">
        <v>11</v>
      </c>
      <c r="E3123" t="s">
        <v>466</v>
      </c>
    </row>
    <row r="3124" spans="1:5" x14ac:dyDescent="0.35">
      <c r="A3124">
        <v>2009</v>
      </c>
      <c r="B3124" t="s">
        <v>33</v>
      </c>
      <c r="C3124" t="s">
        <v>195</v>
      </c>
      <c r="D3124">
        <v>65</v>
      </c>
      <c r="E3124" t="s">
        <v>466</v>
      </c>
    </row>
    <row r="3125" spans="1:5" x14ac:dyDescent="0.35">
      <c r="A3125">
        <v>2009</v>
      </c>
      <c r="B3125" t="s">
        <v>35</v>
      </c>
      <c r="C3125" t="s">
        <v>196</v>
      </c>
      <c r="D3125">
        <v>374</v>
      </c>
      <c r="E3125" t="s">
        <v>466</v>
      </c>
    </row>
    <row r="3126" spans="1:5" x14ac:dyDescent="0.35">
      <c r="A3126">
        <v>2009</v>
      </c>
      <c r="B3126" t="s">
        <v>34</v>
      </c>
      <c r="C3126" t="s">
        <v>197</v>
      </c>
      <c r="D3126">
        <v>7</v>
      </c>
      <c r="E3126" t="s">
        <v>466</v>
      </c>
    </row>
    <row r="3127" spans="1:5" x14ac:dyDescent="0.35">
      <c r="A3127">
        <v>2009</v>
      </c>
      <c r="B3127" t="s">
        <v>35</v>
      </c>
      <c r="C3127" t="s">
        <v>198</v>
      </c>
      <c r="D3127">
        <v>486</v>
      </c>
      <c r="E3127" t="s">
        <v>466</v>
      </c>
    </row>
    <row r="3128" spans="1:5" x14ac:dyDescent="0.35">
      <c r="A3128">
        <v>2009</v>
      </c>
      <c r="B3128" t="s">
        <v>39</v>
      </c>
      <c r="C3128" t="s">
        <v>39</v>
      </c>
      <c r="D3128">
        <v>600</v>
      </c>
      <c r="E3128" t="s">
        <v>466</v>
      </c>
    </row>
    <row r="3129" spans="1:5" x14ac:dyDescent="0.35">
      <c r="A3129">
        <v>2009</v>
      </c>
      <c r="B3129" t="s">
        <v>38</v>
      </c>
      <c r="C3129" t="s">
        <v>199</v>
      </c>
      <c r="D3129">
        <v>221</v>
      </c>
      <c r="E3129" t="s">
        <v>466</v>
      </c>
    </row>
    <row r="3130" spans="1:5" x14ac:dyDescent="0.35">
      <c r="A3130">
        <v>2009</v>
      </c>
      <c r="B3130" t="s">
        <v>34</v>
      </c>
      <c r="C3130" t="s">
        <v>200</v>
      </c>
      <c r="D3130">
        <v>198</v>
      </c>
      <c r="E3130" t="s">
        <v>466</v>
      </c>
    </row>
    <row r="3131" spans="1:5" x14ac:dyDescent="0.35">
      <c r="A3131">
        <v>2009</v>
      </c>
      <c r="B3131" t="s">
        <v>38</v>
      </c>
      <c r="C3131" t="s">
        <v>19</v>
      </c>
      <c r="D3131">
        <v>862</v>
      </c>
      <c r="E3131" t="s">
        <v>466</v>
      </c>
    </row>
    <row r="3132" spans="1:5" x14ac:dyDescent="0.35">
      <c r="A3132">
        <v>2009</v>
      </c>
      <c r="B3132" t="s">
        <v>34</v>
      </c>
      <c r="C3132" t="s">
        <v>201</v>
      </c>
      <c r="D3132">
        <v>1374</v>
      </c>
      <c r="E3132" t="s">
        <v>466</v>
      </c>
    </row>
    <row r="3133" spans="1:5" x14ac:dyDescent="0.35">
      <c r="A3133">
        <v>2009</v>
      </c>
      <c r="B3133" t="s">
        <v>34</v>
      </c>
      <c r="C3133" t="s">
        <v>202</v>
      </c>
      <c r="D3133">
        <v>82</v>
      </c>
      <c r="E3133" t="s">
        <v>466</v>
      </c>
    </row>
    <row r="3134" spans="1:5" x14ac:dyDescent="0.35">
      <c r="A3134">
        <v>2009</v>
      </c>
      <c r="B3134" t="s">
        <v>33</v>
      </c>
      <c r="C3134" t="s">
        <v>203</v>
      </c>
      <c r="D3134">
        <v>63</v>
      </c>
      <c r="E3134" t="s">
        <v>466</v>
      </c>
    </row>
    <row r="3135" spans="1:5" x14ac:dyDescent="0.35">
      <c r="A3135">
        <v>2009</v>
      </c>
      <c r="B3135" t="s">
        <v>33</v>
      </c>
      <c r="C3135" t="s">
        <v>204</v>
      </c>
      <c r="D3135">
        <v>80</v>
      </c>
      <c r="E3135" t="s">
        <v>466</v>
      </c>
    </row>
    <row r="3136" spans="1:5" x14ac:dyDescent="0.35">
      <c r="A3136">
        <v>2010</v>
      </c>
      <c r="B3136" t="s">
        <v>38</v>
      </c>
      <c r="C3136" t="s">
        <v>155</v>
      </c>
      <c r="D3136">
        <v>32</v>
      </c>
      <c r="E3136" t="s">
        <v>328</v>
      </c>
    </row>
    <row r="3137" spans="1:5" x14ac:dyDescent="0.35">
      <c r="A3137">
        <v>2010</v>
      </c>
      <c r="B3137" t="s">
        <v>38</v>
      </c>
      <c r="C3137" t="s">
        <v>155</v>
      </c>
      <c r="D3137">
        <v>8</v>
      </c>
      <c r="E3137" t="s">
        <v>458</v>
      </c>
    </row>
    <row r="3138" spans="1:5" x14ac:dyDescent="0.35">
      <c r="A3138">
        <v>2010</v>
      </c>
      <c r="B3138" t="s">
        <v>36</v>
      </c>
      <c r="C3138" t="s">
        <v>154</v>
      </c>
      <c r="D3138">
        <v>65</v>
      </c>
      <c r="E3138" t="s">
        <v>328</v>
      </c>
    </row>
    <row r="3139" spans="1:5" x14ac:dyDescent="0.35">
      <c r="A3139">
        <v>2010</v>
      </c>
      <c r="B3139" t="s">
        <v>36</v>
      </c>
      <c r="C3139" t="s">
        <v>154</v>
      </c>
      <c r="D3139">
        <v>123</v>
      </c>
      <c r="E3139" t="s">
        <v>458</v>
      </c>
    </row>
    <row r="3140" spans="1:5" x14ac:dyDescent="0.35">
      <c r="A3140">
        <v>2010</v>
      </c>
      <c r="B3140" t="s">
        <v>37</v>
      </c>
      <c r="C3140" t="s">
        <v>153</v>
      </c>
      <c r="D3140">
        <v>11</v>
      </c>
      <c r="E3140" t="s">
        <v>458</v>
      </c>
    </row>
    <row r="3141" spans="1:5" x14ac:dyDescent="0.35">
      <c r="A3141">
        <v>2010</v>
      </c>
      <c r="B3141" t="s">
        <v>34</v>
      </c>
      <c r="C3141" t="s">
        <v>152</v>
      </c>
      <c r="D3141">
        <v>253</v>
      </c>
      <c r="E3141" t="s">
        <v>328</v>
      </c>
    </row>
    <row r="3142" spans="1:5" x14ac:dyDescent="0.35">
      <c r="A3142">
        <v>2010</v>
      </c>
      <c r="B3142" t="s">
        <v>34</v>
      </c>
      <c r="C3142" t="s">
        <v>152</v>
      </c>
      <c r="D3142">
        <v>78</v>
      </c>
      <c r="E3142" t="s">
        <v>458</v>
      </c>
    </row>
    <row r="3143" spans="1:5" x14ac:dyDescent="0.35">
      <c r="A3143">
        <v>2010</v>
      </c>
      <c r="B3143" t="s">
        <v>35</v>
      </c>
      <c r="C3143" t="s">
        <v>322</v>
      </c>
      <c r="D3143">
        <v>13</v>
      </c>
      <c r="E3143" t="s">
        <v>458</v>
      </c>
    </row>
    <row r="3144" spans="1:5" x14ac:dyDescent="0.35">
      <c r="A3144">
        <v>2010</v>
      </c>
      <c r="B3144" t="s">
        <v>35</v>
      </c>
      <c r="C3144" t="s">
        <v>150</v>
      </c>
      <c r="D3144">
        <v>4</v>
      </c>
      <c r="E3144" t="s">
        <v>458</v>
      </c>
    </row>
    <row r="3145" spans="1:5" x14ac:dyDescent="0.35">
      <c r="A3145">
        <v>2010</v>
      </c>
      <c r="B3145" t="s">
        <v>35</v>
      </c>
      <c r="C3145" t="s">
        <v>322</v>
      </c>
      <c r="D3145">
        <v>32</v>
      </c>
      <c r="E3145" t="s">
        <v>328</v>
      </c>
    </row>
    <row r="3146" spans="1:5" x14ac:dyDescent="0.35">
      <c r="A3146">
        <v>2010</v>
      </c>
      <c r="B3146" t="s">
        <v>33</v>
      </c>
      <c r="C3146" t="s">
        <v>149</v>
      </c>
      <c r="D3146">
        <v>186</v>
      </c>
      <c r="E3146" t="s">
        <v>328</v>
      </c>
    </row>
    <row r="3147" spans="1:5" x14ac:dyDescent="0.35">
      <c r="A3147">
        <v>2010</v>
      </c>
      <c r="B3147" t="s">
        <v>33</v>
      </c>
      <c r="C3147" t="s">
        <v>149</v>
      </c>
      <c r="D3147">
        <v>184</v>
      </c>
      <c r="E3147" t="s">
        <v>458</v>
      </c>
    </row>
    <row r="3148" spans="1:5" x14ac:dyDescent="0.35">
      <c r="A3148">
        <v>2010</v>
      </c>
      <c r="B3148" t="s">
        <v>33</v>
      </c>
      <c r="C3148" t="s">
        <v>148</v>
      </c>
      <c r="D3148">
        <v>18</v>
      </c>
      <c r="E3148" t="s">
        <v>328</v>
      </c>
    </row>
    <row r="3149" spans="1:5" x14ac:dyDescent="0.35">
      <c r="A3149">
        <v>2010</v>
      </c>
      <c r="B3149" t="s">
        <v>33</v>
      </c>
      <c r="C3149" t="s">
        <v>148</v>
      </c>
      <c r="D3149">
        <v>6</v>
      </c>
      <c r="E3149" t="s">
        <v>458</v>
      </c>
    </row>
    <row r="3150" spans="1:5" x14ac:dyDescent="0.35">
      <c r="A3150">
        <v>2010</v>
      </c>
      <c r="B3150" t="s">
        <v>38</v>
      </c>
      <c r="C3150" t="s">
        <v>156</v>
      </c>
      <c r="D3150">
        <v>419</v>
      </c>
      <c r="E3150" t="s">
        <v>458</v>
      </c>
    </row>
    <row r="3151" spans="1:5" x14ac:dyDescent="0.35">
      <c r="A3151">
        <v>2010</v>
      </c>
      <c r="B3151" t="s">
        <v>35</v>
      </c>
      <c r="C3151" t="s">
        <v>150</v>
      </c>
      <c r="D3151">
        <v>11</v>
      </c>
      <c r="E3151" t="s">
        <v>328</v>
      </c>
    </row>
    <row r="3152" spans="1:5" x14ac:dyDescent="0.35">
      <c r="A3152">
        <v>2010</v>
      </c>
      <c r="B3152" t="s">
        <v>38</v>
      </c>
      <c r="C3152" t="s">
        <v>156</v>
      </c>
      <c r="D3152">
        <v>689</v>
      </c>
      <c r="E3152" t="s">
        <v>328</v>
      </c>
    </row>
    <row r="3153" spans="1:5" x14ac:dyDescent="0.35">
      <c r="A3153">
        <v>2010</v>
      </c>
      <c r="B3153" t="s">
        <v>35</v>
      </c>
      <c r="C3153" t="s">
        <v>161</v>
      </c>
      <c r="D3153">
        <v>148</v>
      </c>
      <c r="E3153" t="s">
        <v>328</v>
      </c>
    </row>
    <row r="3154" spans="1:5" x14ac:dyDescent="0.35">
      <c r="A3154">
        <v>2010</v>
      </c>
      <c r="B3154" t="s">
        <v>34</v>
      </c>
      <c r="C3154" t="s">
        <v>18</v>
      </c>
      <c r="D3154">
        <v>421</v>
      </c>
      <c r="E3154" t="s">
        <v>328</v>
      </c>
    </row>
    <row r="3155" spans="1:5" x14ac:dyDescent="0.35">
      <c r="A3155">
        <v>2010</v>
      </c>
      <c r="B3155" t="s">
        <v>37</v>
      </c>
      <c r="C3155" t="s">
        <v>166</v>
      </c>
      <c r="E3155" t="s">
        <v>458</v>
      </c>
    </row>
    <row r="3156" spans="1:5" x14ac:dyDescent="0.35">
      <c r="A3156">
        <v>2010</v>
      </c>
      <c r="B3156" t="s">
        <v>36</v>
      </c>
      <c r="C3156" t="s">
        <v>165</v>
      </c>
      <c r="D3156">
        <v>8</v>
      </c>
      <c r="E3156" t="s">
        <v>328</v>
      </c>
    </row>
    <row r="3157" spans="1:5" x14ac:dyDescent="0.35">
      <c r="A3157">
        <v>2010</v>
      </c>
      <c r="B3157" t="s">
        <v>36</v>
      </c>
      <c r="C3157" t="s">
        <v>165</v>
      </c>
      <c r="D3157">
        <v>18</v>
      </c>
      <c r="E3157" t="s">
        <v>458</v>
      </c>
    </row>
    <row r="3158" spans="1:5" x14ac:dyDescent="0.35">
      <c r="A3158">
        <v>2010</v>
      </c>
      <c r="B3158" t="s">
        <v>36</v>
      </c>
      <c r="C3158" t="s">
        <v>164</v>
      </c>
      <c r="D3158">
        <v>22</v>
      </c>
      <c r="E3158" t="s">
        <v>328</v>
      </c>
    </row>
    <row r="3159" spans="1:5" x14ac:dyDescent="0.35">
      <c r="A3159">
        <v>2010</v>
      </c>
      <c r="B3159" t="s">
        <v>36</v>
      </c>
      <c r="C3159" t="s">
        <v>164</v>
      </c>
      <c r="D3159">
        <v>13</v>
      </c>
      <c r="E3159" t="s">
        <v>458</v>
      </c>
    </row>
    <row r="3160" spans="1:5" x14ac:dyDescent="0.35">
      <c r="A3160">
        <v>2010</v>
      </c>
      <c r="B3160" t="s">
        <v>36</v>
      </c>
      <c r="C3160" t="s">
        <v>163</v>
      </c>
      <c r="D3160">
        <v>8</v>
      </c>
      <c r="E3160" t="s">
        <v>328</v>
      </c>
    </row>
    <row r="3161" spans="1:5" x14ac:dyDescent="0.35">
      <c r="A3161">
        <v>2010</v>
      </c>
      <c r="B3161" t="s">
        <v>36</v>
      </c>
      <c r="C3161" t="s">
        <v>163</v>
      </c>
      <c r="D3161">
        <v>7</v>
      </c>
      <c r="E3161" t="s">
        <v>458</v>
      </c>
    </row>
    <row r="3162" spans="1:5" x14ac:dyDescent="0.35">
      <c r="A3162">
        <v>2010</v>
      </c>
      <c r="B3162" t="s">
        <v>34</v>
      </c>
      <c r="C3162" t="s">
        <v>18</v>
      </c>
      <c r="D3162">
        <v>326</v>
      </c>
      <c r="E3162" t="s">
        <v>458</v>
      </c>
    </row>
    <row r="3163" spans="1:5" x14ac:dyDescent="0.35">
      <c r="A3163">
        <v>2010</v>
      </c>
      <c r="B3163" t="s">
        <v>33</v>
      </c>
      <c r="C3163" t="s">
        <v>162</v>
      </c>
      <c r="E3163" t="s">
        <v>328</v>
      </c>
    </row>
    <row r="3164" spans="1:5" x14ac:dyDescent="0.35">
      <c r="A3164">
        <v>2010</v>
      </c>
      <c r="B3164" t="s">
        <v>35</v>
      </c>
      <c r="C3164" t="s">
        <v>161</v>
      </c>
      <c r="D3164">
        <v>89</v>
      </c>
      <c r="E3164" t="s">
        <v>458</v>
      </c>
    </row>
    <row r="3165" spans="1:5" x14ac:dyDescent="0.35">
      <c r="A3165">
        <v>2010</v>
      </c>
      <c r="B3165" t="s">
        <v>35</v>
      </c>
      <c r="C3165" t="s">
        <v>160</v>
      </c>
      <c r="D3165">
        <v>112</v>
      </c>
      <c r="E3165" t="s">
        <v>328</v>
      </c>
    </row>
    <row r="3166" spans="1:5" x14ac:dyDescent="0.35">
      <c r="A3166">
        <v>2010</v>
      </c>
      <c r="B3166" t="s">
        <v>35</v>
      </c>
      <c r="C3166" t="s">
        <v>160</v>
      </c>
      <c r="D3166">
        <v>56</v>
      </c>
      <c r="E3166" t="s">
        <v>458</v>
      </c>
    </row>
    <row r="3167" spans="1:5" x14ac:dyDescent="0.35">
      <c r="A3167">
        <v>2010</v>
      </c>
      <c r="B3167" t="s">
        <v>35</v>
      </c>
      <c r="C3167" t="s">
        <v>158</v>
      </c>
      <c r="D3167">
        <v>100</v>
      </c>
      <c r="E3167" t="s">
        <v>328</v>
      </c>
    </row>
    <row r="3168" spans="1:5" x14ac:dyDescent="0.35">
      <c r="A3168">
        <v>2010</v>
      </c>
      <c r="B3168" t="s">
        <v>35</v>
      </c>
      <c r="C3168" t="s">
        <v>158</v>
      </c>
      <c r="D3168">
        <v>84</v>
      </c>
      <c r="E3168" t="s">
        <v>458</v>
      </c>
    </row>
    <row r="3169" spans="1:5" x14ac:dyDescent="0.35">
      <c r="A3169">
        <v>2010</v>
      </c>
      <c r="B3169" t="s">
        <v>35</v>
      </c>
      <c r="C3169" t="s">
        <v>157</v>
      </c>
      <c r="D3169">
        <v>381</v>
      </c>
      <c r="E3169" t="s">
        <v>328</v>
      </c>
    </row>
    <row r="3170" spans="1:5" x14ac:dyDescent="0.35">
      <c r="A3170">
        <v>2010</v>
      </c>
      <c r="B3170" t="s">
        <v>35</v>
      </c>
      <c r="C3170" t="s">
        <v>157</v>
      </c>
      <c r="D3170">
        <v>169</v>
      </c>
      <c r="E3170" t="s">
        <v>458</v>
      </c>
    </row>
    <row r="3171" spans="1:5" x14ac:dyDescent="0.35">
      <c r="A3171">
        <v>2010</v>
      </c>
      <c r="B3171" t="s">
        <v>33</v>
      </c>
      <c r="C3171" t="s">
        <v>162</v>
      </c>
      <c r="E3171" t="s">
        <v>458</v>
      </c>
    </row>
    <row r="3172" spans="1:5" x14ac:dyDescent="0.35">
      <c r="A3172">
        <v>2010</v>
      </c>
      <c r="B3172" t="s">
        <v>36</v>
      </c>
      <c r="C3172" t="s">
        <v>147</v>
      </c>
      <c r="D3172">
        <v>1099</v>
      </c>
      <c r="E3172" t="s">
        <v>328</v>
      </c>
    </row>
    <row r="3173" spans="1:5" x14ac:dyDescent="0.35">
      <c r="A3173">
        <v>2010</v>
      </c>
      <c r="B3173" t="s">
        <v>35</v>
      </c>
      <c r="C3173" t="s">
        <v>119</v>
      </c>
      <c r="D3173">
        <v>14</v>
      </c>
      <c r="E3173" t="s">
        <v>328</v>
      </c>
    </row>
    <row r="3174" spans="1:5" x14ac:dyDescent="0.35">
      <c r="A3174">
        <v>2010</v>
      </c>
      <c r="B3174" t="s">
        <v>37</v>
      </c>
      <c r="C3174" t="s">
        <v>146</v>
      </c>
      <c r="D3174">
        <v>18</v>
      </c>
      <c r="E3174" t="s">
        <v>328</v>
      </c>
    </row>
    <row r="3175" spans="1:5" x14ac:dyDescent="0.35">
      <c r="A3175">
        <v>2010</v>
      </c>
      <c r="B3175" t="s">
        <v>33</v>
      </c>
      <c r="C3175" t="s">
        <v>130</v>
      </c>
      <c r="D3175">
        <v>5</v>
      </c>
      <c r="E3175" t="s">
        <v>328</v>
      </c>
    </row>
    <row r="3176" spans="1:5" x14ac:dyDescent="0.35">
      <c r="A3176">
        <v>2010</v>
      </c>
      <c r="B3176" t="s">
        <v>35</v>
      </c>
      <c r="C3176" t="s">
        <v>127</v>
      </c>
      <c r="D3176">
        <v>49</v>
      </c>
      <c r="E3176" t="s">
        <v>328</v>
      </c>
    </row>
    <row r="3177" spans="1:5" x14ac:dyDescent="0.35">
      <c r="A3177">
        <v>2010</v>
      </c>
      <c r="B3177" t="s">
        <v>35</v>
      </c>
      <c r="C3177" t="s">
        <v>127</v>
      </c>
      <c r="D3177">
        <v>17</v>
      </c>
      <c r="E3177" t="s">
        <v>458</v>
      </c>
    </row>
    <row r="3178" spans="1:5" x14ac:dyDescent="0.35">
      <c r="A3178">
        <v>2010</v>
      </c>
      <c r="B3178" t="s">
        <v>33</v>
      </c>
      <c r="C3178" t="s">
        <v>125</v>
      </c>
      <c r="D3178">
        <v>21</v>
      </c>
      <c r="E3178" t="s">
        <v>328</v>
      </c>
    </row>
    <row r="3179" spans="1:5" x14ac:dyDescent="0.35">
      <c r="A3179">
        <v>2010</v>
      </c>
      <c r="B3179" t="s">
        <v>33</v>
      </c>
      <c r="C3179" t="s">
        <v>125</v>
      </c>
      <c r="D3179">
        <v>26</v>
      </c>
      <c r="E3179" t="s">
        <v>458</v>
      </c>
    </row>
    <row r="3180" spans="1:5" x14ac:dyDescent="0.35">
      <c r="A3180">
        <v>2010</v>
      </c>
      <c r="B3180" t="s">
        <v>34</v>
      </c>
      <c r="C3180" t="s">
        <v>124</v>
      </c>
      <c r="D3180">
        <v>107</v>
      </c>
      <c r="E3180" t="s">
        <v>328</v>
      </c>
    </row>
    <row r="3181" spans="1:5" x14ac:dyDescent="0.35">
      <c r="A3181">
        <v>2010</v>
      </c>
      <c r="B3181" t="s">
        <v>34</v>
      </c>
      <c r="C3181" t="s">
        <v>124</v>
      </c>
      <c r="D3181">
        <v>60</v>
      </c>
      <c r="E3181" t="s">
        <v>458</v>
      </c>
    </row>
    <row r="3182" spans="1:5" x14ac:dyDescent="0.35">
      <c r="A3182">
        <v>2010</v>
      </c>
      <c r="B3182" t="s">
        <v>34</v>
      </c>
      <c r="C3182" t="s">
        <v>131</v>
      </c>
      <c r="D3182">
        <v>18</v>
      </c>
      <c r="E3182" t="s">
        <v>458</v>
      </c>
    </row>
    <row r="3183" spans="1:5" x14ac:dyDescent="0.35">
      <c r="A3183">
        <v>2010</v>
      </c>
      <c r="B3183" t="s">
        <v>35</v>
      </c>
      <c r="C3183" t="s">
        <v>123</v>
      </c>
      <c r="D3183">
        <v>28</v>
      </c>
      <c r="E3183" t="s">
        <v>328</v>
      </c>
    </row>
    <row r="3184" spans="1:5" x14ac:dyDescent="0.35">
      <c r="A3184">
        <v>2010</v>
      </c>
      <c r="B3184" t="s">
        <v>34</v>
      </c>
      <c r="C3184" t="s">
        <v>122</v>
      </c>
      <c r="E3184" t="s">
        <v>328</v>
      </c>
    </row>
    <row r="3185" spans="1:5" x14ac:dyDescent="0.35">
      <c r="A3185">
        <v>2010</v>
      </c>
      <c r="B3185" t="s">
        <v>34</v>
      </c>
      <c r="C3185" t="s">
        <v>122</v>
      </c>
      <c r="E3185" t="s">
        <v>458</v>
      </c>
    </row>
    <row r="3186" spans="1:5" x14ac:dyDescent="0.35">
      <c r="A3186">
        <v>2010</v>
      </c>
      <c r="B3186" t="s">
        <v>34</v>
      </c>
      <c r="C3186" t="s">
        <v>121</v>
      </c>
      <c r="D3186">
        <v>9</v>
      </c>
      <c r="E3186" t="s">
        <v>328</v>
      </c>
    </row>
    <row r="3187" spans="1:5" x14ac:dyDescent="0.35">
      <c r="A3187">
        <v>2010</v>
      </c>
      <c r="B3187" t="s">
        <v>34</v>
      </c>
      <c r="C3187" t="s">
        <v>121</v>
      </c>
      <c r="D3187">
        <v>4</v>
      </c>
      <c r="E3187" t="s">
        <v>458</v>
      </c>
    </row>
    <row r="3188" spans="1:5" x14ac:dyDescent="0.35">
      <c r="A3188">
        <v>2010</v>
      </c>
      <c r="B3188" t="s">
        <v>34</v>
      </c>
      <c r="C3188" t="s">
        <v>120</v>
      </c>
      <c r="E3188" t="s">
        <v>328</v>
      </c>
    </row>
    <row r="3189" spans="1:5" x14ac:dyDescent="0.35">
      <c r="A3189">
        <v>2010</v>
      </c>
      <c r="B3189" t="s">
        <v>34</v>
      </c>
      <c r="C3189" t="s">
        <v>120</v>
      </c>
      <c r="E3189" t="s">
        <v>458</v>
      </c>
    </row>
    <row r="3190" spans="1:5" x14ac:dyDescent="0.35">
      <c r="A3190">
        <v>2010</v>
      </c>
      <c r="B3190" t="s">
        <v>37</v>
      </c>
      <c r="C3190" t="s">
        <v>166</v>
      </c>
      <c r="E3190" t="s">
        <v>328</v>
      </c>
    </row>
    <row r="3191" spans="1:5" x14ac:dyDescent="0.35">
      <c r="A3191">
        <v>2010</v>
      </c>
      <c r="B3191" t="s">
        <v>35</v>
      </c>
      <c r="C3191" t="s">
        <v>123</v>
      </c>
      <c r="D3191">
        <v>5</v>
      </c>
      <c r="E3191" t="s">
        <v>458</v>
      </c>
    </row>
    <row r="3192" spans="1:5" x14ac:dyDescent="0.35">
      <c r="A3192">
        <v>2010</v>
      </c>
      <c r="B3192" t="s">
        <v>34</v>
      </c>
      <c r="C3192" t="s">
        <v>131</v>
      </c>
      <c r="D3192">
        <v>35</v>
      </c>
      <c r="E3192" t="s">
        <v>328</v>
      </c>
    </row>
    <row r="3193" spans="1:5" x14ac:dyDescent="0.35">
      <c r="A3193">
        <v>2010</v>
      </c>
      <c r="B3193" t="s">
        <v>33</v>
      </c>
      <c r="C3193" t="s">
        <v>132</v>
      </c>
      <c r="D3193">
        <v>4</v>
      </c>
      <c r="E3193" t="s">
        <v>458</v>
      </c>
    </row>
    <row r="3194" spans="1:5" x14ac:dyDescent="0.35">
      <c r="A3194">
        <v>2010</v>
      </c>
      <c r="B3194" t="s">
        <v>33</v>
      </c>
      <c r="C3194" t="s">
        <v>132</v>
      </c>
      <c r="D3194">
        <v>31</v>
      </c>
      <c r="E3194" t="s">
        <v>328</v>
      </c>
    </row>
    <row r="3195" spans="1:5" x14ac:dyDescent="0.35">
      <c r="A3195">
        <v>2010</v>
      </c>
      <c r="B3195" t="s">
        <v>37</v>
      </c>
      <c r="C3195" t="s">
        <v>146</v>
      </c>
      <c r="D3195">
        <v>17</v>
      </c>
      <c r="E3195" t="s">
        <v>458</v>
      </c>
    </row>
    <row r="3196" spans="1:5" x14ac:dyDescent="0.35">
      <c r="A3196">
        <v>2010</v>
      </c>
      <c r="B3196" t="s">
        <v>35</v>
      </c>
      <c r="C3196" t="s">
        <v>145</v>
      </c>
      <c r="D3196">
        <v>68</v>
      </c>
      <c r="E3196" t="s">
        <v>328</v>
      </c>
    </row>
    <row r="3197" spans="1:5" x14ac:dyDescent="0.35">
      <c r="A3197">
        <v>2010</v>
      </c>
      <c r="B3197" t="s">
        <v>35</v>
      </c>
      <c r="C3197" t="s">
        <v>145</v>
      </c>
      <c r="D3197">
        <v>27</v>
      </c>
      <c r="E3197" t="s">
        <v>458</v>
      </c>
    </row>
    <row r="3198" spans="1:5" x14ac:dyDescent="0.35">
      <c r="A3198">
        <v>2010</v>
      </c>
      <c r="B3198" t="s">
        <v>34</v>
      </c>
      <c r="C3198" t="s">
        <v>144</v>
      </c>
      <c r="D3198">
        <v>49</v>
      </c>
      <c r="E3198" t="s">
        <v>328</v>
      </c>
    </row>
    <row r="3199" spans="1:5" x14ac:dyDescent="0.35">
      <c r="A3199">
        <v>2010</v>
      </c>
      <c r="B3199" t="s">
        <v>34</v>
      </c>
      <c r="C3199" t="s">
        <v>144</v>
      </c>
      <c r="D3199">
        <v>8</v>
      </c>
      <c r="E3199" t="s">
        <v>458</v>
      </c>
    </row>
    <row r="3200" spans="1:5" x14ac:dyDescent="0.35">
      <c r="A3200">
        <v>2010</v>
      </c>
      <c r="B3200" t="s">
        <v>33</v>
      </c>
      <c r="C3200" t="s">
        <v>141</v>
      </c>
      <c r="D3200">
        <v>36</v>
      </c>
      <c r="E3200" t="s">
        <v>328</v>
      </c>
    </row>
    <row r="3201" spans="1:5" x14ac:dyDescent="0.35">
      <c r="A3201">
        <v>2010</v>
      </c>
      <c r="B3201" t="s">
        <v>33</v>
      </c>
      <c r="C3201" t="s">
        <v>141</v>
      </c>
      <c r="D3201">
        <v>41</v>
      </c>
      <c r="E3201" t="s">
        <v>458</v>
      </c>
    </row>
    <row r="3202" spans="1:5" x14ac:dyDescent="0.35">
      <c r="A3202">
        <v>2010</v>
      </c>
      <c r="B3202" t="s">
        <v>34</v>
      </c>
      <c r="C3202" t="s">
        <v>139</v>
      </c>
      <c r="D3202">
        <v>36</v>
      </c>
      <c r="E3202" t="s">
        <v>328</v>
      </c>
    </row>
    <row r="3203" spans="1:5" x14ac:dyDescent="0.35">
      <c r="A3203">
        <v>2010</v>
      </c>
      <c r="B3203" t="s">
        <v>34</v>
      </c>
      <c r="C3203" t="s">
        <v>139</v>
      </c>
      <c r="D3203">
        <v>17</v>
      </c>
      <c r="E3203" t="s">
        <v>458</v>
      </c>
    </row>
    <row r="3204" spans="1:5" x14ac:dyDescent="0.35">
      <c r="A3204">
        <v>2010</v>
      </c>
      <c r="B3204" t="s">
        <v>35</v>
      </c>
      <c r="C3204" t="s">
        <v>138</v>
      </c>
      <c r="D3204">
        <v>35</v>
      </c>
      <c r="E3204" t="s">
        <v>328</v>
      </c>
    </row>
    <row r="3205" spans="1:5" x14ac:dyDescent="0.35">
      <c r="A3205">
        <v>2010</v>
      </c>
      <c r="B3205" t="s">
        <v>35</v>
      </c>
      <c r="C3205" t="s">
        <v>138</v>
      </c>
      <c r="D3205">
        <v>9</v>
      </c>
      <c r="E3205" t="s">
        <v>458</v>
      </c>
    </row>
    <row r="3206" spans="1:5" x14ac:dyDescent="0.35">
      <c r="A3206">
        <v>2010</v>
      </c>
      <c r="B3206" t="s">
        <v>37</v>
      </c>
      <c r="C3206" t="s">
        <v>137</v>
      </c>
      <c r="D3206">
        <v>4</v>
      </c>
      <c r="E3206" t="s">
        <v>328</v>
      </c>
    </row>
    <row r="3207" spans="1:5" x14ac:dyDescent="0.35">
      <c r="A3207">
        <v>2010</v>
      </c>
      <c r="B3207" t="s">
        <v>37</v>
      </c>
      <c r="C3207" t="s">
        <v>137</v>
      </c>
      <c r="D3207">
        <v>60</v>
      </c>
      <c r="E3207" t="s">
        <v>458</v>
      </c>
    </row>
    <row r="3208" spans="1:5" x14ac:dyDescent="0.35">
      <c r="A3208">
        <v>2010</v>
      </c>
      <c r="B3208" t="s">
        <v>36</v>
      </c>
      <c r="C3208" t="s">
        <v>14</v>
      </c>
      <c r="D3208">
        <v>144754</v>
      </c>
      <c r="E3208" t="s">
        <v>328</v>
      </c>
    </row>
    <row r="3209" spans="1:5" x14ac:dyDescent="0.35">
      <c r="A3209">
        <v>2010</v>
      </c>
      <c r="B3209" t="s">
        <v>36</v>
      </c>
      <c r="C3209" t="s">
        <v>14</v>
      </c>
      <c r="D3209">
        <v>128396</v>
      </c>
      <c r="E3209" t="s">
        <v>458</v>
      </c>
    </row>
    <row r="3210" spans="1:5" x14ac:dyDescent="0.35">
      <c r="A3210">
        <v>2010</v>
      </c>
      <c r="B3210" t="s">
        <v>33</v>
      </c>
      <c r="C3210" t="s">
        <v>135</v>
      </c>
      <c r="D3210">
        <v>19</v>
      </c>
      <c r="E3210" t="s">
        <v>328</v>
      </c>
    </row>
    <row r="3211" spans="1:5" x14ac:dyDescent="0.35">
      <c r="A3211">
        <v>2010</v>
      </c>
      <c r="B3211" t="s">
        <v>37</v>
      </c>
      <c r="C3211" t="s">
        <v>134</v>
      </c>
      <c r="D3211">
        <v>16</v>
      </c>
      <c r="E3211" t="s">
        <v>458</v>
      </c>
    </row>
    <row r="3212" spans="1:5" x14ac:dyDescent="0.35">
      <c r="A3212">
        <v>2010</v>
      </c>
      <c r="B3212" t="s">
        <v>36</v>
      </c>
      <c r="C3212" t="s">
        <v>147</v>
      </c>
      <c r="D3212">
        <v>804</v>
      </c>
      <c r="E3212" t="s">
        <v>458</v>
      </c>
    </row>
    <row r="3213" spans="1:5" x14ac:dyDescent="0.35">
      <c r="A3213">
        <v>2010</v>
      </c>
      <c r="B3213" t="s">
        <v>33</v>
      </c>
      <c r="C3213" t="s">
        <v>204</v>
      </c>
      <c r="D3213">
        <v>27</v>
      </c>
      <c r="E3213" t="s">
        <v>328</v>
      </c>
    </row>
    <row r="3214" spans="1:5" x14ac:dyDescent="0.35">
      <c r="A3214">
        <v>2010</v>
      </c>
      <c r="B3214" t="s">
        <v>34</v>
      </c>
      <c r="C3214" t="s">
        <v>186</v>
      </c>
      <c r="E3214" t="s">
        <v>328</v>
      </c>
    </row>
    <row r="3215" spans="1:5" x14ac:dyDescent="0.35">
      <c r="A3215">
        <v>2010</v>
      </c>
      <c r="B3215" t="s">
        <v>33</v>
      </c>
      <c r="C3215" t="s">
        <v>168</v>
      </c>
      <c r="D3215">
        <v>13</v>
      </c>
      <c r="E3215" t="s">
        <v>458</v>
      </c>
    </row>
    <row r="3216" spans="1:5" x14ac:dyDescent="0.35">
      <c r="A3216">
        <v>2010</v>
      </c>
      <c r="B3216" t="s">
        <v>35</v>
      </c>
      <c r="C3216" t="s">
        <v>196</v>
      </c>
      <c r="D3216">
        <v>111</v>
      </c>
      <c r="E3216" t="s">
        <v>328</v>
      </c>
    </row>
    <row r="3217" spans="1:5" x14ac:dyDescent="0.35">
      <c r="A3217">
        <v>2010</v>
      </c>
      <c r="B3217" t="s">
        <v>35</v>
      </c>
      <c r="C3217" t="s">
        <v>196</v>
      </c>
      <c r="D3217">
        <v>61</v>
      </c>
      <c r="E3217" t="s">
        <v>458</v>
      </c>
    </row>
    <row r="3218" spans="1:5" x14ac:dyDescent="0.35">
      <c r="A3218">
        <v>2010</v>
      </c>
      <c r="B3218" t="s">
        <v>33</v>
      </c>
      <c r="C3218" t="s">
        <v>195</v>
      </c>
      <c r="D3218">
        <v>18</v>
      </c>
      <c r="E3218" t="s">
        <v>328</v>
      </c>
    </row>
    <row r="3219" spans="1:5" x14ac:dyDescent="0.35">
      <c r="A3219">
        <v>2010</v>
      </c>
      <c r="B3219" t="s">
        <v>33</v>
      </c>
      <c r="C3219" t="s">
        <v>195</v>
      </c>
      <c r="D3219">
        <v>10</v>
      </c>
      <c r="E3219" t="s">
        <v>458</v>
      </c>
    </row>
    <row r="3220" spans="1:5" x14ac:dyDescent="0.35">
      <c r="A3220">
        <v>2010</v>
      </c>
      <c r="B3220" t="s">
        <v>36</v>
      </c>
      <c r="C3220" t="s">
        <v>372</v>
      </c>
      <c r="D3220">
        <v>5</v>
      </c>
      <c r="E3220" t="s">
        <v>328</v>
      </c>
    </row>
    <row r="3221" spans="1:5" x14ac:dyDescent="0.35">
      <c r="A3221">
        <v>2010</v>
      </c>
      <c r="B3221" t="s">
        <v>36</v>
      </c>
      <c r="C3221" t="s">
        <v>372</v>
      </c>
      <c r="D3221">
        <v>6</v>
      </c>
      <c r="E3221" t="s">
        <v>458</v>
      </c>
    </row>
    <row r="3222" spans="1:5" x14ac:dyDescent="0.35">
      <c r="A3222">
        <v>2010</v>
      </c>
      <c r="B3222" t="s">
        <v>34</v>
      </c>
      <c r="C3222" t="s">
        <v>193</v>
      </c>
      <c r="D3222">
        <v>127</v>
      </c>
      <c r="E3222" t="s">
        <v>328</v>
      </c>
    </row>
    <row r="3223" spans="1:5" x14ac:dyDescent="0.35">
      <c r="A3223">
        <v>2010</v>
      </c>
      <c r="B3223" t="s">
        <v>34</v>
      </c>
      <c r="C3223" t="s">
        <v>197</v>
      </c>
      <c r="E3223" t="s">
        <v>458</v>
      </c>
    </row>
    <row r="3224" spans="1:5" x14ac:dyDescent="0.35">
      <c r="A3224">
        <v>2010</v>
      </c>
      <c r="B3224" t="s">
        <v>34</v>
      </c>
      <c r="C3224" t="s">
        <v>193</v>
      </c>
      <c r="D3224">
        <v>51</v>
      </c>
      <c r="E3224" t="s">
        <v>458</v>
      </c>
    </row>
    <row r="3225" spans="1:5" x14ac:dyDescent="0.35">
      <c r="A3225">
        <v>2010</v>
      </c>
      <c r="B3225" t="s">
        <v>33</v>
      </c>
      <c r="C3225" t="s">
        <v>192</v>
      </c>
      <c r="D3225">
        <v>10</v>
      </c>
      <c r="E3225" t="s">
        <v>458</v>
      </c>
    </row>
    <row r="3226" spans="1:5" x14ac:dyDescent="0.35">
      <c r="A3226">
        <v>2010</v>
      </c>
      <c r="B3226" t="s">
        <v>36</v>
      </c>
      <c r="C3226" t="s">
        <v>191</v>
      </c>
      <c r="D3226">
        <v>116</v>
      </c>
      <c r="E3226" t="s">
        <v>328</v>
      </c>
    </row>
    <row r="3227" spans="1:5" x14ac:dyDescent="0.35">
      <c r="A3227">
        <v>2010</v>
      </c>
      <c r="B3227" t="s">
        <v>36</v>
      </c>
      <c r="C3227" t="s">
        <v>191</v>
      </c>
      <c r="D3227">
        <v>264</v>
      </c>
      <c r="E3227" t="s">
        <v>458</v>
      </c>
    </row>
    <row r="3228" spans="1:5" x14ac:dyDescent="0.35">
      <c r="A3228">
        <v>2010</v>
      </c>
      <c r="B3228" t="s">
        <v>37</v>
      </c>
      <c r="C3228" t="s">
        <v>190</v>
      </c>
      <c r="D3228">
        <v>12</v>
      </c>
      <c r="E3228" t="s">
        <v>328</v>
      </c>
    </row>
    <row r="3229" spans="1:5" x14ac:dyDescent="0.35">
      <c r="A3229">
        <v>2010</v>
      </c>
      <c r="B3229" t="s">
        <v>37</v>
      </c>
      <c r="C3229" t="s">
        <v>190</v>
      </c>
      <c r="D3229">
        <v>22</v>
      </c>
      <c r="E3229" t="s">
        <v>458</v>
      </c>
    </row>
    <row r="3230" spans="1:5" x14ac:dyDescent="0.35">
      <c r="A3230">
        <v>2010</v>
      </c>
      <c r="B3230" t="s">
        <v>33</v>
      </c>
      <c r="C3230" t="s">
        <v>189</v>
      </c>
      <c r="D3230">
        <v>12</v>
      </c>
      <c r="E3230" t="s">
        <v>328</v>
      </c>
    </row>
    <row r="3231" spans="1:5" x14ac:dyDescent="0.35">
      <c r="A3231">
        <v>2010</v>
      </c>
      <c r="B3231" t="s">
        <v>33</v>
      </c>
      <c r="C3231" t="s">
        <v>189</v>
      </c>
      <c r="D3231">
        <v>6</v>
      </c>
      <c r="E3231" t="s">
        <v>458</v>
      </c>
    </row>
    <row r="3232" spans="1:5" x14ac:dyDescent="0.35">
      <c r="A3232">
        <v>2010</v>
      </c>
      <c r="B3232" t="s">
        <v>33</v>
      </c>
      <c r="C3232" t="s">
        <v>192</v>
      </c>
      <c r="D3232">
        <v>20</v>
      </c>
      <c r="E3232" t="s">
        <v>328</v>
      </c>
    </row>
    <row r="3233" spans="1:5" x14ac:dyDescent="0.35">
      <c r="A3233">
        <v>2010</v>
      </c>
      <c r="B3233" t="s">
        <v>34</v>
      </c>
      <c r="C3233" t="s">
        <v>188</v>
      </c>
      <c r="D3233">
        <v>89</v>
      </c>
      <c r="E3233" t="s">
        <v>328</v>
      </c>
    </row>
    <row r="3234" spans="1:5" x14ac:dyDescent="0.35">
      <c r="A3234">
        <v>2010</v>
      </c>
      <c r="B3234" t="s">
        <v>34</v>
      </c>
      <c r="C3234" t="s">
        <v>197</v>
      </c>
      <c r="E3234" t="s">
        <v>328</v>
      </c>
    </row>
    <row r="3235" spans="1:5" x14ac:dyDescent="0.35">
      <c r="A3235">
        <v>2010</v>
      </c>
      <c r="B3235" t="s">
        <v>35</v>
      </c>
      <c r="C3235" t="s">
        <v>198</v>
      </c>
      <c r="D3235">
        <v>294</v>
      </c>
      <c r="E3235" t="s">
        <v>328</v>
      </c>
    </row>
    <row r="3236" spans="1:5" x14ac:dyDescent="0.35">
      <c r="A3236">
        <v>2010</v>
      </c>
      <c r="B3236" t="s">
        <v>35</v>
      </c>
      <c r="C3236" t="s">
        <v>119</v>
      </c>
      <c r="D3236">
        <v>8</v>
      </c>
      <c r="E3236" t="s">
        <v>458</v>
      </c>
    </row>
    <row r="3237" spans="1:5" x14ac:dyDescent="0.35">
      <c r="A3237">
        <v>2010</v>
      </c>
      <c r="B3237" t="s">
        <v>33</v>
      </c>
      <c r="C3237" t="s">
        <v>204</v>
      </c>
      <c r="D3237">
        <v>6</v>
      </c>
      <c r="E3237" t="s">
        <v>458</v>
      </c>
    </row>
    <row r="3238" spans="1:5" x14ac:dyDescent="0.35">
      <c r="A3238">
        <v>2010</v>
      </c>
      <c r="B3238" t="s">
        <v>33</v>
      </c>
      <c r="C3238" t="s">
        <v>203</v>
      </c>
      <c r="D3238">
        <v>18</v>
      </c>
      <c r="E3238" t="s">
        <v>328</v>
      </c>
    </row>
    <row r="3239" spans="1:5" x14ac:dyDescent="0.35">
      <c r="A3239">
        <v>2010</v>
      </c>
      <c r="B3239" t="s">
        <v>33</v>
      </c>
      <c r="C3239" t="s">
        <v>203</v>
      </c>
      <c r="D3239">
        <v>5</v>
      </c>
      <c r="E3239" t="s">
        <v>458</v>
      </c>
    </row>
    <row r="3240" spans="1:5" x14ac:dyDescent="0.35">
      <c r="A3240">
        <v>2010</v>
      </c>
      <c r="B3240" t="s">
        <v>34</v>
      </c>
      <c r="C3240" t="s">
        <v>202</v>
      </c>
      <c r="D3240">
        <v>30</v>
      </c>
      <c r="E3240" t="s">
        <v>328</v>
      </c>
    </row>
    <row r="3241" spans="1:5" x14ac:dyDescent="0.35">
      <c r="A3241">
        <v>2010</v>
      </c>
      <c r="B3241" t="s">
        <v>34</v>
      </c>
      <c r="C3241" t="s">
        <v>202</v>
      </c>
      <c r="D3241">
        <v>10</v>
      </c>
      <c r="E3241" t="s">
        <v>458</v>
      </c>
    </row>
    <row r="3242" spans="1:5" x14ac:dyDescent="0.35">
      <c r="A3242">
        <v>2010</v>
      </c>
      <c r="B3242" t="s">
        <v>34</v>
      </c>
      <c r="C3242" t="s">
        <v>201</v>
      </c>
      <c r="D3242">
        <v>29</v>
      </c>
      <c r="E3242" t="s">
        <v>328</v>
      </c>
    </row>
    <row r="3243" spans="1:5" x14ac:dyDescent="0.35">
      <c r="A3243">
        <v>2010</v>
      </c>
      <c r="B3243" t="s">
        <v>35</v>
      </c>
      <c r="C3243" t="s">
        <v>198</v>
      </c>
      <c r="D3243">
        <v>207</v>
      </c>
      <c r="E3243" t="s">
        <v>458</v>
      </c>
    </row>
    <row r="3244" spans="1:5" x14ac:dyDescent="0.35">
      <c r="A3244">
        <v>2010</v>
      </c>
      <c r="B3244" t="s">
        <v>34</v>
      </c>
      <c r="C3244" t="s">
        <v>201</v>
      </c>
      <c r="D3244">
        <v>9</v>
      </c>
      <c r="E3244" t="s">
        <v>458</v>
      </c>
    </row>
    <row r="3245" spans="1:5" x14ac:dyDescent="0.35">
      <c r="A3245">
        <v>2010</v>
      </c>
      <c r="B3245" t="s">
        <v>38</v>
      </c>
      <c r="C3245" t="s">
        <v>19</v>
      </c>
      <c r="D3245">
        <v>133</v>
      </c>
      <c r="E3245" t="s">
        <v>458</v>
      </c>
    </row>
    <row r="3246" spans="1:5" x14ac:dyDescent="0.35">
      <c r="A3246">
        <v>2010</v>
      </c>
      <c r="B3246" t="s">
        <v>34</v>
      </c>
      <c r="C3246" t="s">
        <v>200</v>
      </c>
      <c r="D3246">
        <v>64</v>
      </c>
      <c r="E3246" t="s">
        <v>328</v>
      </c>
    </row>
    <row r="3247" spans="1:5" x14ac:dyDescent="0.35">
      <c r="A3247">
        <v>2010</v>
      </c>
      <c r="B3247" t="s">
        <v>34</v>
      </c>
      <c r="C3247" t="s">
        <v>200</v>
      </c>
      <c r="D3247">
        <v>17</v>
      </c>
      <c r="E3247" t="s">
        <v>458</v>
      </c>
    </row>
    <row r="3248" spans="1:5" x14ac:dyDescent="0.35">
      <c r="A3248">
        <v>2010</v>
      </c>
      <c r="B3248" t="s">
        <v>38</v>
      </c>
      <c r="C3248" t="s">
        <v>199</v>
      </c>
      <c r="D3248">
        <v>104</v>
      </c>
      <c r="E3248" t="s">
        <v>328</v>
      </c>
    </row>
    <row r="3249" spans="1:5" x14ac:dyDescent="0.35">
      <c r="A3249">
        <v>2010</v>
      </c>
      <c r="B3249" t="s">
        <v>38</v>
      </c>
      <c r="C3249" t="s">
        <v>199</v>
      </c>
      <c r="D3249">
        <v>65</v>
      </c>
      <c r="E3249" t="s">
        <v>458</v>
      </c>
    </row>
    <row r="3250" spans="1:5" x14ac:dyDescent="0.35">
      <c r="A3250">
        <v>2010</v>
      </c>
      <c r="B3250" t="s">
        <v>39</v>
      </c>
      <c r="C3250" t="s">
        <v>39</v>
      </c>
      <c r="D3250">
        <v>40</v>
      </c>
      <c r="E3250" t="s">
        <v>328</v>
      </c>
    </row>
    <row r="3251" spans="1:5" x14ac:dyDescent="0.35">
      <c r="A3251">
        <v>2010</v>
      </c>
      <c r="B3251" t="s">
        <v>39</v>
      </c>
      <c r="C3251" t="s">
        <v>39</v>
      </c>
      <c r="D3251">
        <v>19</v>
      </c>
      <c r="E3251" t="s">
        <v>458</v>
      </c>
    </row>
    <row r="3252" spans="1:5" x14ac:dyDescent="0.35">
      <c r="A3252">
        <v>2010</v>
      </c>
      <c r="B3252" t="s">
        <v>38</v>
      </c>
      <c r="C3252" t="s">
        <v>19</v>
      </c>
      <c r="D3252">
        <v>258</v>
      </c>
      <c r="E3252" t="s">
        <v>328</v>
      </c>
    </row>
    <row r="3253" spans="1:5" x14ac:dyDescent="0.35">
      <c r="A3253">
        <v>2010</v>
      </c>
      <c r="B3253" t="s">
        <v>34</v>
      </c>
      <c r="C3253" t="s">
        <v>167</v>
      </c>
      <c r="D3253">
        <v>27</v>
      </c>
      <c r="E3253" t="s">
        <v>328</v>
      </c>
    </row>
    <row r="3254" spans="1:5" x14ac:dyDescent="0.35">
      <c r="A3254">
        <v>2010</v>
      </c>
      <c r="B3254" t="s">
        <v>34</v>
      </c>
      <c r="C3254" t="s">
        <v>188</v>
      </c>
      <c r="D3254">
        <v>26</v>
      </c>
      <c r="E3254" t="s">
        <v>458</v>
      </c>
    </row>
    <row r="3255" spans="1:5" x14ac:dyDescent="0.35">
      <c r="A3255">
        <v>2010</v>
      </c>
      <c r="B3255" t="s">
        <v>33</v>
      </c>
      <c r="C3255" t="s">
        <v>187</v>
      </c>
      <c r="D3255">
        <v>14</v>
      </c>
      <c r="E3255" t="s">
        <v>458</v>
      </c>
    </row>
    <row r="3256" spans="1:5" x14ac:dyDescent="0.35">
      <c r="A3256">
        <v>2010</v>
      </c>
      <c r="B3256" t="s">
        <v>33</v>
      </c>
      <c r="C3256" t="s">
        <v>176</v>
      </c>
      <c r="E3256" t="s">
        <v>458</v>
      </c>
    </row>
    <row r="3257" spans="1:5" x14ac:dyDescent="0.35">
      <c r="A3257">
        <v>2010</v>
      </c>
      <c r="B3257" t="s">
        <v>33</v>
      </c>
      <c r="C3257" t="s">
        <v>175</v>
      </c>
      <c r="D3257">
        <v>49</v>
      </c>
      <c r="E3257" t="s">
        <v>328</v>
      </c>
    </row>
    <row r="3258" spans="1:5" x14ac:dyDescent="0.35">
      <c r="A3258">
        <v>2010</v>
      </c>
      <c r="B3258" t="s">
        <v>33</v>
      </c>
      <c r="C3258" t="s">
        <v>175</v>
      </c>
      <c r="D3258">
        <v>12</v>
      </c>
      <c r="E3258" t="s">
        <v>458</v>
      </c>
    </row>
    <row r="3259" spans="1:5" x14ac:dyDescent="0.35">
      <c r="A3259">
        <v>2010</v>
      </c>
      <c r="B3259" t="s">
        <v>33</v>
      </c>
      <c r="C3259" t="s">
        <v>174</v>
      </c>
      <c r="D3259">
        <v>30</v>
      </c>
      <c r="E3259" t="s">
        <v>328</v>
      </c>
    </row>
    <row r="3260" spans="1:5" x14ac:dyDescent="0.35">
      <c r="A3260">
        <v>2010</v>
      </c>
      <c r="B3260" t="s">
        <v>33</v>
      </c>
      <c r="C3260" t="s">
        <v>174</v>
      </c>
      <c r="D3260">
        <v>9</v>
      </c>
      <c r="E3260" t="s">
        <v>458</v>
      </c>
    </row>
    <row r="3261" spans="1:5" x14ac:dyDescent="0.35">
      <c r="A3261">
        <v>2010</v>
      </c>
      <c r="B3261" t="s">
        <v>35</v>
      </c>
      <c r="C3261" t="s">
        <v>173</v>
      </c>
      <c r="D3261">
        <v>7</v>
      </c>
      <c r="E3261" t="s">
        <v>328</v>
      </c>
    </row>
    <row r="3262" spans="1:5" x14ac:dyDescent="0.35">
      <c r="A3262">
        <v>2010</v>
      </c>
      <c r="B3262" t="s">
        <v>35</v>
      </c>
      <c r="C3262" t="s">
        <v>173</v>
      </c>
      <c r="D3262">
        <v>3</v>
      </c>
      <c r="E3262" t="s">
        <v>458</v>
      </c>
    </row>
    <row r="3263" spans="1:5" x14ac:dyDescent="0.35">
      <c r="A3263">
        <v>2010</v>
      </c>
      <c r="B3263" t="s">
        <v>33</v>
      </c>
      <c r="C3263" t="s">
        <v>176</v>
      </c>
      <c r="E3263" t="s">
        <v>328</v>
      </c>
    </row>
    <row r="3264" spans="1:5" x14ac:dyDescent="0.35">
      <c r="A3264">
        <v>2010</v>
      </c>
      <c r="B3264" t="s">
        <v>35</v>
      </c>
      <c r="C3264" t="s">
        <v>172</v>
      </c>
      <c r="D3264">
        <v>48</v>
      </c>
      <c r="E3264" t="s">
        <v>328</v>
      </c>
    </row>
    <row r="3265" spans="1:5" x14ac:dyDescent="0.35">
      <c r="A3265">
        <v>2010</v>
      </c>
      <c r="B3265" t="s">
        <v>34</v>
      </c>
      <c r="C3265" t="s">
        <v>171</v>
      </c>
      <c r="D3265">
        <v>9</v>
      </c>
      <c r="E3265" t="s">
        <v>328</v>
      </c>
    </row>
    <row r="3266" spans="1:5" x14ac:dyDescent="0.35">
      <c r="A3266">
        <v>2010</v>
      </c>
      <c r="B3266" t="s">
        <v>34</v>
      </c>
      <c r="C3266" t="s">
        <v>171</v>
      </c>
      <c r="D3266">
        <v>8</v>
      </c>
      <c r="E3266" t="s">
        <v>458</v>
      </c>
    </row>
    <row r="3267" spans="1:5" x14ac:dyDescent="0.35">
      <c r="A3267">
        <v>2010</v>
      </c>
      <c r="B3267" t="s">
        <v>33</v>
      </c>
      <c r="C3267" t="s">
        <v>170</v>
      </c>
      <c r="D3267">
        <v>25</v>
      </c>
      <c r="E3267" t="s">
        <v>328</v>
      </c>
    </row>
    <row r="3268" spans="1:5" x14ac:dyDescent="0.35">
      <c r="A3268">
        <v>2010</v>
      </c>
      <c r="B3268" t="s">
        <v>33</v>
      </c>
      <c r="C3268" t="s">
        <v>170</v>
      </c>
      <c r="D3268">
        <v>11</v>
      </c>
      <c r="E3268" t="s">
        <v>458</v>
      </c>
    </row>
    <row r="3269" spans="1:5" x14ac:dyDescent="0.35">
      <c r="A3269">
        <v>2010</v>
      </c>
      <c r="B3269" t="s">
        <v>35</v>
      </c>
      <c r="C3269" t="s">
        <v>215</v>
      </c>
      <c r="D3269">
        <v>82</v>
      </c>
      <c r="E3269" t="s">
        <v>328</v>
      </c>
    </row>
    <row r="3270" spans="1:5" x14ac:dyDescent="0.35">
      <c r="A3270">
        <v>2010</v>
      </c>
      <c r="B3270" t="s">
        <v>35</v>
      </c>
      <c r="C3270" t="s">
        <v>215</v>
      </c>
      <c r="D3270">
        <v>27</v>
      </c>
      <c r="E3270" t="s">
        <v>458</v>
      </c>
    </row>
    <row r="3271" spans="1:5" x14ac:dyDescent="0.35">
      <c r="A3271">
        <v>2010</v>
      </c>
      <c r="B3271" t="s">
        <v>33</v>
      </c>
      <c r="C3271" t="s">
        <v>168</v>
      </c>
      <c r="D3271">
        <v>52</v>
      </c>
      <c r="E3271" t="s">
        <v>328</v>
      </c>
    </row>
    <row r="3272" spans="1:5" x14ac:dyDescent="0.35">
      <c r="A3272">
        <v>2010</v>
      </c>
      <c r="B3272" t="s">
        <v>35</v>
      </c>
      <c r="C3272" t="s">
        <v>172</v>
      </c>
      <c r="D3272">
        <v>19</v>
      </c>
      <c r="E3272" t="s">
        <v>458</v>
      </c>
    </row>
    <row r="3273" spans="1:5" x14ac:dyDescent="0.35">
      <c r="A3273">
        <v>2010</v>
      </c>
      <c r="B3273" t="s">
        <v>33</v>
      </c>
      <c r="C3273" t="s">
        <v>187</v>
      </c>
      <c r="D3273">
        <v>17</v>
      </c>
      <c r="E3273" t="s">
        <v>328</v>
      </c>
    </row>
    <row r="3274" spans="1:5" x14ac:dyDescent="0.35">
      <c r="A3274">
        <v>2010</v>
      </c>
      <c r="B3274" t="s">
        <v>35</v>
      </c>
      <c r="C3274" t="s">
        <v>216</v>
      </c>
      <c r="E3274" t="s">
        <v>458</v>
      </c>
    </row>
    <row r="3275" spans="1:5" x14ac:dyDescent="0.35">
      <c r="A3275">
        <v>2010</v>
      </c>
      <c r="B3275" t="s">
        <v>35</v>
      </c>
      <c r="C3275" t="s">
        <v>177</v>
      </c>
      <c r="D3275">
        <v>30</v>
      </c>
      <c r="E3275" t="s">
        <v>458</v>
      </c>
    </row>
    <row r="3276" spans="1:5" x14ac:dyDescent="0.35">
      <c r="A3276">
        <v>2010</v>
      </c>
      <c r="B3276" t="s">
        <v>34</v>
      </c>
      <c r="C3276" t="s">
        <v>186</v>
      </c>
      <c r="E3276" t="s">
        <v>458</v>
      </c>
    </row>
    <row r="3277" spans="1:5" x14ac:dyDescent="0.35">
      <c r="A3277">
        <v>2010</v>
      </c>
      <c r="B3277" t="s">
        <v>34</v>
      </c>
      <c r="C3277" t="s">
        <v>185</v>
      </c>
      <c r="D3277">
        <v>44</v>
      </c>
      <c r="E3277" t="s">
        <v>328</v>
      </c>
    </row>
    <row r="3278" spans="1:5" x14ac:dyDescent="0.35">
      <c r="A3278">
        <v>2010</v>
      </c>
      <c r="B3278" t="s">
        <v>34</v>
      </c>
      <c r="C3278" t="s">
        <v>185</v>
      </c>
      <c r="D3278">
        <v>18</v>
      </c>
      <c r="E3278" t="s">
        <v>458</v>
      </c>
    </row>
    <row r="3279" spans="1:5" x14ac:dyDescent="0.35">
      <c r="A3279">
        <v>2010</v>
      </c>
      <c r="B3279" t="s">
        <v>34</v>
      </c>
      <c r="C3279" t="s">
        <v>184</v>
      </c>
      <c r="D3279">
        <v>37</v>
      </c>
      <c r="E3279" t="s">
        <v>328</v>
      </c>
    </row>
    <row r="3280" spans="1:5" x14ac:dyDescent="0.35">
      <c r="A3280">
        <v>2010</v>
      </c>
      <c r="B3280" t="s">
        <v>34</v>
      </c>
      <c r="C3280" t="s">
        <v>184</v>
      </c>
      <c r="D3280">
        <v>17</v>
      </c>
      <c r="E3280" t="s">
        <v>458</v>
      </c>
    </row>
    <row r="3281" spans="1:5" x14ac:dyDescent="0.35">
      <c r="A3281">
        <v>2010</v>
      </c>
      <c r="B3281" t="s">
        <v>35</v>
      </c>
      <c r="C3281" t="s">
        <v>183</v>
      </c>
      <c r="E3281" t="s">
        <v>328</v>
      </c>
    </row>
    <row r="3282" spans="1:5" x14ac:dyDescent="0.35">
      <c r="A3282">
        <v>2010</v>
      </c>
      <c r="B3282" t="s">
        <v>35</v>
      </c>
      <c r="C3282" t="s">
        <v>183</v>
      </c>
      <c r="E3282" t="s">
        <v>458</v>
      </c>
    </row>
    <row r="3283" spans="1:5" x14ac:dyDescent="0.35">
      <c r="A3283">
        <v>2010</v>
      </c>
      <c r="B3283" t="s">
        <v>35</v>
      </c>
      <c r="C3283" t="s">
        <v>216</v>
      </c>
      <c r="E3283" t="s">
        <v>328</v>
      </c>
    </row>
    <row r="3284" spans="1:5" x14ac:dyDescent="0.35">
      <c r="A3284">
        <v>2010</v>
      </c>
      <c r="B3284" t="s">
        <v>35</v>
      </c>
      <c r="C3284" t="s">
        <v>182</v>
      </c>
      <c r="D3284">
        <v>40</v>
      </c>
      <c r="E3284" t="s">
        <v>328</v>
      </c>
    </row>
    <row r="3285" spans="1:5" x14ac:dyDescent="0.35">
      <c r="A3285">
        <v>2010</v>
      </c>
      <c r="B3285" t="s">
        <v>38</v>
      </c>
      <c r="C3285" t="s">
        <v>180</v>
      </c>
      <c r="D3285">
        <v>6</v>
      </c>
      <c r="E3285" t="s">
        <v>328</v>
      </c>
    </row>
    <row r="3286" spans="1:5" x14ac:dyDescent="0.35">
      <c r="A3286">
        <v>2010</v>
      </c>
      <c r="B3286" t="s">
        <v>38</v>
      </c>
      <c r="C3286" t="s">
        <v>180</v>
      </c>
      <c r="D3286">
        <v>5</v>
      </c>
      <c r="E3286" t="s">
        <v>458</v>
      </c>
    </row>
    <row r="3287" spans="1:5" x14ac:dyDescent="0.35">
      <c r="A3287">
        <v>2010</v>
      </c>
      <c r="B3287" t="s">
        <v>33</v>
      </c>
      <c r="C3287" t="s">
        <v>179</v>
      </c>
      <c r="D3287">
        <v>11</v>
      </c>
      <c r="E3287" t="s">
        <v>328</v>
      </c>
    </row>
    <row r="3288" spans="1:5" x14ac:dyDescent="0.35">
      <c r="A3288">
        <v>2010</v>
      </c>
      <c r="B3288" t="s">
        <v>33</v>
      </c>
      <c r="C3288" t="s">
        <v>179</v>
      </c>
      <c r="D3288">
        <v>16</v>
      </c>
      <c r="E3288" t="s">
        <v>458</v>
      </c>
    </row>
    <row r="3289" spans="1:5" x14ac:dyDescent="0.35">
      <c r="A3289">
        <v>2010</v>
      </c>
      <c r="B3289" t="s">
        <v>34</v>
      </c>
      <c r="C3289" t="s">
        <v>178</v>
      </c>
      <c r="D3289">
        <v>336</v>
      </c>
      <c r="E3289" t="s">
        <v>328</v>
      </c>
    </row>
    <row r="3290" spans="1:5" x14ac:dyDescent="0.35">
      <c r="A3290">
        <v>2010</v>
      </c>
      <c r="B3290" t="s">
        <v>34</v>
      </c>
      <c r="C3290" t="s">
        <v>178</v>
      </c>
      <c r="D3290">
        <v>19</v>
      </c>
      <c r="E3290" t="s">
        <v>458</v>
      </c>
    </row>
    <row r="3291" spans="1:5" x14ac:dyDescent="0.35">
      <c r="A3291">
        <v>2010</v>
      </c>
      <c r="B3291" t="s">
        <v>35</v>
      </c>
      <c r="C3291" t="s">
        <v>177</v>
      </c>
      <c r="D3291">
        <v>107</v>
      </c>
      <c r="E3291" t="s">
        <v>328</v>
      </c>
    </row>
    <row r="3292" spans="1:5" x14ac:dyDescent="0.35">
      <c r="A3292">
        <v>2010</v>
      </c>
      <c r="B3292" t="s">
        <v>35</v>
      </c>
      <c r="C3292" t="s">
        <v>182</v>
      </c>
      <c r="D3292">
        <v>8</v>
      </c>
      <c r="E3292" t="s">
        <v>458</v>
      </c>
    </row>
    <row r="3293" spans="1:5" x14ac:dyDescent="0.35">
      <c r="A3293">
        <v>2010</v>
      </c>
      <c r="B3293" t="s">
        <v>34</v>
      </c>
      <c r="C3293" t="s">
        <v>118</v>
      </c>
      <c r="D3293">
        <v>200</v>
      </c>
      <c r="E3293" t="s">
        <v>328</v>
      </c>
    </row>
    <row r="3294" spans="1:5" x14ac:dyDescent="0.35">
      <c r="A3294">
        <v>2010</v>
      </c>
      <c r="B3294" t="s">
        <v>34</v>
      </c>
      <c r="C3294" t="s">
        <v>167</v>
      </c>
      <c r="D3294">
        <v>11</v>
      </c>
      <c r="E3294" t="s">
        <v>458</v>
      </c>
    </row>
    <row r="3295" spans="1:5" x14ac:dyDescent="0.35">
      <c r="A3295">
        <v>2010</v>
      </c>
      <c r="B3295" t="s">
        <v>33</v>
      </c>
      <c r="C3295" t="s">
        <v>117</v>
      </c>
      <c r="D3295">
        <v>115</v>
      </c>
      <c r="E3295" t="s">
        <v>328</v>
      </c>
    </row>
    <row r="3296" spans="1:5" x14ac:dyDescent="0.35">
      <c r="A3296">
        <v>2010</v>
      </c>
      <c r="B3296" t="s">
        <v>33</v>
      </c>
      <c r="C3296" t="s">
        <v>68</v>
      </c>
      <c r="D3296">
        <v>52</v>
      </c>
      <c r="E3296" t="s">
        <v>328</v>
      </c>
    </row>
    <row r="3297" spans="1:5" x14ac:dyDescent="0.35">
      <c r="A3297">
        <v>2010</v>
      </c>
      <c r="B3297" t="s">
        <v>33</v>
      </c>
      <c r="C3297" t="s">
        <v>68</v>
      </c>
      <c r="D3297">
        <v>19</v>
      </c>
      <c r="E3297" t="s">
        <v>458</v>
      </c>
    </row>
    <row r="3298" spans="1:5" x14ac:dyDescent="0.35">
      <c r="A3298">
        <v>2010</v>
      </c>
      <c r="B3298" t="s">
        <v>34</v>
      </c>
      <c r="C3298" t="s">
        <v>67</v>
      </c>
      <c r="D3298">
        <v>18</v>
      </c>
      <c r="E3298" t="s">
        <v>328</v>
      </c>
    </row>
    <row r="3299" spans="1:5" x14ac:dyDescent="0.35">
      <c r="A3299">
        <v>2010</v>
      </c>
      <c r="B3299" t="s">
        <v>34</v>
      </c>
      <c r="C3299" t="s">
        <v>67</v>
      </c>
      <c r="D3299">
        <v>25</v>
      </c>
      <c r="E3299" t="s">
        <v>458</v>
      </c>
    </row>
    <row r="3300" spans="1:5" x14ac:dyDescent="0.35">
      <c r="A3300">
        <v>2010</v>
      </c>
      <c r="B3300" t="s">
        <v>33</v>
      </c>
      <c r="C3300" t="s">
        <v>66</v>
      </c>
      <c r="D3300">
        <v>11</v>
      </c>
      <c r="E3300" t="s">
        <v>328</v>
      </c>
    </row>
    <row r="3301" spans="1:5" x14ac:dyDescent="0.35">
      <c r="A3301">
        <v>2010</v>
      </c>
      <c r="B3301" t="s">
        <v>33</v>
      </c>
      <c r="C3301" t="s">
        <v>66</v>
      </c>
      <c r="D3301">
        <v>36</v>
      </c>
      <c r="E3301" t="s">
        <v>458</v>
      </c>
    </row>
    <row r="3302" spans="1:5" x14ac:dyDescent="0.35">
      <c r="A3302">
        <v>2010</v>
      </c>
      <c r="B3302" t="s">
        <v>34</v>
      </c>
      <c r="C3302" t="s">
        <v>64</v>
      </c>
      <c r="E3302" t="s">
        <v>328</v>
      </c>
    </row>
    <row r="3303" spans="1:5" x14ac:dyDescent="0.35">
      <c r="A3303">
        <v>2010</v>
      </c>
      <c r="B3303" t="s">
        <v>36</v>
      </c>
      <c r="C3303" t="s">
        <v>69</v>
      </c>
      <c r="D3303">
        <v>457</v>
      </c>
      <c r="E3303" t="s">
        <v>458</v>
      </c>
    </row>
    <row r="3304" spans="1:5" x14ac:dyDescent="0.35">
      <c r="A3304">
        <v>2010</v>
      </c>
      <c r="B3304" t="s">
        <v>34</v>
      </c>
      <c r="C3304" t="s">
        <v>64</v>
      </c>
      <c r="E3304" t="s">
        <v>458</v>
      </c>
    </row>
    <row r="3305" spans="1:5" x14ac:dyDescent="0.35">
      <c r="A3305">
        <v>2010</v>
      </c>
      <c r="B3305" t="s">
        <v>33</v>
      </c>
      <c r="C3305" t="s">
        <v>63</v>
      </c>
      <c r="D3305">
        <v>3</v>
      </c>
      <c r="E3305" t="s">
        <v>458</v>
      </c>
    </row>
    <row r="3306" spans="1:5" x14ac:dyDescent="0.35">
      <c r="A3306">
        <v>2010</v>
      </c>
      <c r="B3306" t="s">
        <v>35</v>
      </c>
      <c r="C3306" t="s">
        <v>62</v>
      </c>
      <c r="D3306">
        <v>56</v>
      </c>
      <c r="E3306" t="s">
        <v>328</v>
      </c>
    </row>
    <row r="3307" spans="1:5" x14ac:dyDescent="0.35">
      <c r="A3307">
        <v>2010</v>
      </c>
      <c r="B3307" t="s">
        <v>35</v>
      </c>
      <c r="C3307" t="s">
        <v>62</v>
      </c>
      <c r="D3307">
        <v>17</v>
      </c>
      <c r="E3307" t="s">
        <v>458</v>
      </c>
    </row>
    <row r="3308" spans="1:5" x14ac:dyDescent="0.35">
      <c r="A3308">
        <v>2010</v>
      </c>
      <c r="B3308" t="s">
        <v>38</v>
      </c>
      <c r="C3308" t="s">
        <v>21</v>
      </c>
      <c r="D3308">
        <v>3046</v>
      </c>
      <c r="E3308" t="s">
        <v>328</v>
      </c>
    </row>
    <row r="3309" spans="1:5" x14ac:dyDescent="0.35">
      <c r="A3309">
        <v>2010</v>
      </c>
      <c r="B3309" t="s">
        <v>38</v>
      </c>
      <c r="C3309" t="s">
        <v>21</v>
      </c>
      <c r="D3309">
        <v>487</v>
      </c>
      <c r="E3309" t="s">
        <v>458</v>
      </c>
    </row>
    <row r="3310" spans="1:5" x14ac:dyDescent="0.35">
      <c r="A3310">
        <v>2010</v>
      </c>
      <c r="B3310" t="s">
        <v>35</v>
      </c>
      <c r="C3310" t="s">
        <v>60</v>
      </c>
      <c r="D3310">
        <v>11</v>
      </c>
      <c r="E3310" t="s">
        <v>328</v>
      </c>
    </row>
    <row r="3311" spans="1:5" x14ac:dyDescent="0.35">
      <c r="A3311">
        <v>2010</v>
      </c>
      <c r="B3311" t="s">
        <v>35</v>
      </c>
      <c r="C3311" t="s">
        <v>60</v>
      </c>
      <c r="D3311">
        <v>50</v>
      </c>
      <c r="E3311" t="s">
        <v>458</v>
      </c>
    </row>
    <row r="3312" spans="1:5" x14ac:dyDescent="0.35">
      <c r="A3312">
        <v>2010</v>
      </c>
      <c r="B3312" t="s">
        <v>33</v>
      </c>
      <c r="C3312" t="s">
        <v>63</v>
      </c>
      <c r="D3312">
        <v>5</v>
      </c>
      <c r="E3312" t="s">
        <v>328</v>
      </c>
    </row>
    <row r="3313" spans="1:5" x14ac:dyDescent="0.35">
      <c r="A3313">
        <v>2010</v>
      </c>
      <c r="B3313" t="s">
        <v>38</v>
      </c>
      <c r="C3313" t="s">
        <v>59</v>
      </c>
      <c r="D3313">
        <v>67</v>
      </c>
      <c r="E3313" t="s">
        <v>458</v>
      </c>
    </row>
    <row r="3314" spans="1:5" x14ac:dyDescent="0.35">
      <c r="A3314">
        <v>2010</v>
      </c>
      <c r="B3314" t="s">
        <v>36</v>
      </c>
      <c r="C3314" t="s">
        <v>69</v>
      </c>
      <c r="D3314">
        <v>884</v>
      </c>
      <c r="E3314" t="s">
        <v>328</v>
      </c>
    </row>
    <row r="3315" spans="1:5" x14ac:dyDescent="0.35">
      <c r="A3315">
        <v>2010</v>
      </c>
      <c r="B3315" t="s">
        <v>33</v>
      </c>
      <c r="C3315" t="s">
        <v>71</v>
      </c>
      <c r="E3315" t="s">
        <v>328</v>
      </c>
    </row>
    <row r="3316" spans="1:5" x14ac:dyDescent="0.35">
      <c r="A3316">
        <v>2010</v>
      </c>
      <c r="B3316" t="s">
        <v>35</v>
      </c>
      <c r="C3316" t="s">
        <v>78</v>
      </c>
      <c r="D3316">
        <v>16</v>
      </c>
      <c r="E3316" t="s">
        <v>328</v>
      </c>
    </row>
    <row r="3317" spans="1:5" x14ac:dyDescent="0.35">
      <c r="A3317">
        <v>2010</v>
      </c>
      <c r="B3317" t="s">
        <v>35</v>
      </c>
      <c r="C3317" t="s">
        <v>78</v>
      </c>
      <c r="D3317">
        <v>7</v>
      </c>
      <c r="E3317" t="s">
        <v>458</v>
      </c>
    </row>
    <row r="3318" spans="1:5" x14ac:dyDescent="0.35">
      <c r="A3318">
        <v>2010</v>
      </c>
      <c r="B3318" t="s">
        <v>33</v>
      </c>
      <c r="C3318" t="s">
        <v>77</v>
      </c>
      <c r="D3318">
        <v>26</v>
      </c>
      <c r="E3318" t="s">
        <v>328</v>
      </c>
    </row>
    <row r="3319" spans="1:5" x14ac:dyDescent="0.35">
      <c r="A3319">
        <v>2010</v>
      </c>
      <c r="B3319" t="s">
        <v>33</v>
      </c>
      <c r="C3319" t="s">
        <v>77</v>
      </c>
      <c r="D3319">
        <v>4</v>
      </c>
      <c r="E3319" t="s">
        <v>458</v>
      </c>
    </row>
    <row r="3320" spans="1:5" x14ac:dyDescent="0.35">
      <c r="A3320">
        <v>2010</v>
      </c>
      <c r="B3320" t="s">
        <v>36</v>
      </c>
      <c r="C3320" t="s">
        <v>76</v>
      </c>
      <c r="D3320">
        <v>396</v>
      </c>
      <c r="E3320" t="s">
        <v>328</v>
      </c>
    </row>
    <row r="3321" spans="1:5" x14ac:dyDescent="0.35">
      <c r="A3321">
        <v>2010</v>
      </c>
      <c r="B3321" t="s">
        <v>36</v>
      </c>
      <c r="C3321" t="s">
        <v>76</v>
      </c>
      <c r="D3321">
        <v>157</v>
      </c>
      <c r="E3321" t="s">
        <v>458</v>
      </c>
    </row>
    <row r="3322" spans="1:5" x14ac:dyDescent="0.35">
      <c r="A3322">
        <v>2010</v>
      </c>
      <c r="B3322" t="s">
        <v>33</v>
      </c>
      <c r="C3322" t="s">
        <v>75</v>
      </c>
      <c r="E3322" t="s">
        <v>328</v>
      </c>
    </row>
    <row r="3323" spans="1:5" x14ac:dyDescent="0.35">
      <c r="A3323">
        <v>2010</v>
      </c>
      <c r="B3323" t="s">
        <v>33</v>
      </c>
      <c r="C3323" t="s">
        <v>71</v>
      </c>
      <c r="E3323" t="s">
        <v>458</v>
      </c>
    </row>
    <row r="3324" spans="1:5" x14ac:dyDescent="0.35">
      <c r="A3324">
        <v>2010</v>
      </c>
      <c r="B3324" t="s">
        <v>33</v>
      </c>
      <c r="C3324" t="s">
        <v>75</v>
      </c>
      <c r="E3324" t="s">
        <v>458</v>
      </c>
    </row>
    <row r="3325" spans="1:5" x14ac:dyDescent="0.35">
      <c r="A3325">
        <v>2010</v>
      </c>
      <c r="B3325" t="s">
        <v>33</v>
      </c>
      <c r="C3325" t="s">
        <v>74</v>
      </c>
      <c r="D3325">
        <v>4</v>
      </c>
      <c r="E3325" t="s">
        <v>458</v>
      </c>
    </row>
    <row r="3326" spans="1:5" x14ac:dyDescent="0.35">
      <c r="A3326">
        <v>2010</v>
      </c>
      <c r="B3326" t="s">
        <v>38</v>
      </c>
      <c r="C3326" t="s">
        <v>20</v>
      </c>
      <c r="D3326">
        <v>1162</v>
      </c>
      <c r="E3326" t="s">
        <v>328</v>
      </c>
    </row>
    <row r="3327" spans="1:5" x14ac:dyDescent="0.35">
      <c r="A3327">
        <v>2010</v>
      </c>
      <c r="B3327" t="s">
        <v>38</v>
      </c>
      <c r="C3327" t="s">
        <v>20</v>
      </c>
      <c r="D3327">
        <v>1241</v>
      </c>
      <c r="E3327" t="s">
        <v>458</v>
      </c>
    </row>
    <row r="3328" spans="1:5" x14ac:dyDescent="0.35">
      <c r="A3328">
        <v>2010</v>
      </c>
      <c r="B3328" t="s">
        <v>34</v>
      </c>
      <c r="C3328" t="s">
        <v>73</v>
      </c>
      <c r="D3328">
        <v>894</v>
      </c>
      <c r="E3328" t="s">
        <v>328</v>
      </c>
    </row>
    <row r="3329" spans="1:5" x14ac:dyDescent="0.35">
      <c r="A3329">
        <v>2010</v>
      </c>
      <c r="B3329" t="s">
        <v>34</v>
      </c>
      <c r="C3329" t="s">
        <v>73</v>
      </c>
      <c r="D3329">
        <v>166</v>
      </c>
      <c r="E3329" t="s">
        <v>458</v>
      </c>
    </row>
    <row r="3330" spans="1:5" x14ac:dyDescent="0.35">
      <c r="A3330">
        <v>2010</v>
      </c>
      <c r="B3330" t="s">
        <v>38</v>
      </c>
      <c r="C3330" t="s">
        <v>72</v>
      </c>
      <c r="D3330">
        <v>90</v>
      </c>
      <c r="E3330" t="s">
        <v>328</v>
      </c>
    </row>
    <row r="3331" spans="1:5" x14ac:dyDescent="0.35">
      <c r="A3331">
        <v>2010</v>
      </c>
      <c r="B3331" t="s">
        <v>38</v>
      </c>
      <c r="C3331" t="s">
        <v>72</v>
      </c>
      <c r="D3331">
        <v>95</v>
      </c>
      <c r="E3331" t="s">
        <v>458</v>
      </c>
    </row>
    <row r="3332" spans="1:5" x14ac:dyDescent="0.35">
      <c r="A3332">
        <v>2010</v>
      </c>
      <c r="B3332" t="s">
        <v>33</v>
      </c>
      <c r="C3332" t="s">
        <v>74</v>
      </c>
      <c r="D3332">
        <v>7</v>
      </c>
      <c r="E3332" t="s">
        <v>328</v>
      </c>
    </row>
    <row r="3333" spans="1:5" x14ac:dyDescent="0.35">
      <c r="A3333">
        <v>2010</v>
      </c>
      <c r="B3333" t="s">
        <v>36</v>
      </c>
      <c r="C3333" t="s">
        <v>79</v>
      </c>
      <c r="D3333">
        <v>73</v>
      </c>
      <c r="E3333" t="s">
        <v>458</v>
      </c>
    </row>
    <row r="3334" spans="1:5" x14ac:dyDescent="0.35">
      <c r="A3334">
        <v>2010</v>
      </c>
      <c r="B3334" t="s">
        <v>36</v>
      </c>
      <c r="C3334" t="s">
        <v>363</v>
      </c>
      <c r="D3334">
        <v>5</v>
      </c>
      <c r="E3334" t="s">
        <v>328</v>
      </c>
    </row>
    <row r="3335" spans="1:5" x14ac:dyDescent="0.35">
      <c r="A3335">
        <v>2010</v>
      </c>
      <c r="B3335" t="s">
        <v>33</v>
      </c>
      <c r="C3335" t="s">
        <v>57</v>
      </c>
      <c r="D3335">
        <v>4</v>
      </c>
      <c r="E3335" t="s">
        <v>328</v>
      </c>
    </row>
    <row r="3336" spans="1:5" x14ac:dyDescent="0.35">
      <c r="A3336">
        <v>2010</v>
      </c>
      <c r="B3336" t="s">
        <v>34</v>
      </c>
      <c r="C3336" t="s">
        <v>46</v>
      </c>
      <c r="D3336">
        <v>31</v>
      </c>
      <c r="E3336" t="s">
        <v>458</v>
      </c>
    </row>
    <row r="3337" spans="1:5" x14ac:dyDescent="0.35">
      <c r="A3337">
        <v>2010</v>
      </c>
      <c r="B3337" t="s">
        <v>38</v>
      </c>
      <c r="C3337" t="s">
        <v>45</v>
      </c>
      <c r="D3337">
        <v>230</v>
      </c>
      <c r="E3337" t="s">
        <v>328</v>
      </c>
    </row>
    <row r="3338" spans="1:5" x14ac:dyDescent="0.35">
      <c r="A3338">
        <v>2010</v>
      </c>
      <c r="B3338" t="s">
        <v>38</v>
      </c>
      <c r="C3338" t="s">
        <v>45</v>
      </c>
      <c r="D3338">
        <v>121</v>
      </c>
      <c r="E3338" t="s">
        <v>458</v>
      </c>
    </row>
    <row r="3339" spans="1:5" x14ac:dyDescent="0.35">
      <c r="A3339">
        <v>2010</v>
      </c>
      <c r="B3339" t="s">
        <v>36</v>
      </c>
      <c r="C3339" t="s">
        <v>44</v>
      </c>
      <c r="D3339">
        <v>6</v>
      </c>
      <c r="E3339" t="s">
        <v>328</v>
      </c>
    </row>
    <row r="3340" spans="1:5" x14ac:dyDescent="0.35">
      <c r="A3340">
        <v>2010</v>
      </c>
      <c r="B3340" t="s">
        <v>36</v>
      </c>
      <c r="C3340" t="s">
        <v>44</v>
      </c>
      <c r="D3340">
        <v>18</v>
      </c>
      <c r="E3340" t="s">
        <v>458</v>
      </c>
    </row>
    <row r="3341" spans="1:5" x14ac:dyDescent="0.35">
      <c r="A3341">
        <v>2010</v>
      </c>
      <c r="B3341" t="s">
        <v>33</v>
      </c>
      <c r="C3341" t="s">
        <v>43</v>
      </c>
      <c r="E3341" t="s">
        <v>328</v>
      </c>
    </row>
    <row r="3342" spans="1:5" x14ac:dyDescent="0.35">
      <c r="A3342">
        <v>2010</v>
      </c>
      <c r="B3342" t="s">
        <v>33</v>
      </c>
      <c r="C3342" t="s">
        <v>43</v>
      </c>
      <c r="E3342" t="s">
        <v>458</v>
      </c>
    </row>
    <row r="3343" spans="1:5" x14ac:dyDescent="0.35">
      <c r="A3343">
        <v>2010</v>
      </c>
      <c r="B3343" t="s">
        <v>34</v>
      </c>
      <c r="C3343" t="s">
        <v>46</v>
      </c>
      <c r="D3343">
        <v>52</v>
      </c>
      <c r="E3343" t="s">
        <v>328</v>
      </c>
    </row>
    <row r="3344" spans="1:5" x14ac:dyDescent="0.35">
      <c r="A3344">
        <v>2010</v>
      </c>
      <c r="C3344" t="s">
        <v>373</v>
      </c>
      <c r="D3344">
        <v>57</v>
      </c>
      <c r="E3344" t="s">
        <v>328</v>
      </c>
    </row>
    <row r="3345" spans="1:5" x14ac:dyDescent="0.35">
      <c r="A3345">
        <v>2010</v>
      </c>
      <c r="B3345" t="s">
        <v>33</v>
      </c>
      <c r="C3345" t="s">
        <v>42</v>
      </c>
      <c r="E3345" t="s">
        <v>328</v>
      </c>
    </row>
    <row r="3346" spans="1:5" x14ac:dyDescent="0.35">
      <c r="A3346">
        <v>2010</v>
      </c>
      <c r="B3346" t="s">
        <v>33</v>
      </c>
      <c r="C3346" t="s">
        <v>42</v>
      </c>
      <c r="E3346" t="s">
        <v>458</v>
      </c>
    </row>
    <row r="3347" spans="1:5" x14ac:dyDescent="0.35">
      <c r="A3347">
        <v>2010</v>
      </c>
      <c r="B3347" t="s">
        <v>35</v>
      </c>
      <c r="C3347" t="s">
        <v>41</v>
      </c>
      <c r="D3347">
        <v>187</v>
      </c>
      <c r="E3347" t="s">
        <v>328</v>
      </c>
    </row>
    <row r="3348" spans="1:5" x14ac:dyDescent="0.35">
      <c r="A3348">
        <v>2010</v>
      </c>
      <c r="B3348" t="s">
        <v>35</v>
      </c>
      <c r="C3348" t="s">
        <v>41</v>
      </c>
      <c r="D3348">
        <v>51</v>
      </c>
      <c r="E3348" t="s">
        <v>458</v>
      </c>
    </row>
    <row r="3349" spans="1:5" x14ac:dyDescent="0.35">
      <c r="A3349">
        <v>2010</v>
      </c>
      <c r="B3349" t="s">
        <v>34</v>
      </c>
      <c r="C3349" t="s">
        <v>40</v>
      </c>
      <c r="D3349">
        <v>12</v>
      </c>
      <c r="E3349" t="s">
        <v>328</v>
      </c>
    </row>
    <row r="3350" spans="1:5" x14ac:dyDescent="0.35">
      <c r="A3350">
        <v>2010</v>
      </c>
      <c r="B3350" t="s">
        <v>34</v>
      </c>
      <c r="C3350" t="s">
        <v>40</v>
      </c>
      <c r="D3350">
        <v>5</v>
      </c>
      <c r="E3350" t="s">
        <v>458</v>
      </c>
    </row>
    <row r="3351" spans="1:5" x14ac:dyDescent="0.35">
      <c r="A3351">
        <v>2010</v>
      </c>
      <c r="B3351" t="s">
        <v>34</v>
      </c>
      <c r="C3351" t="s">
        <v>118</v>
      </c>
      <c r="D3351">
        <v>156</v>
      </c>
      <c r="E3351" t="s">
        <v>458</v>
      </c>
    </row>
    <row r="3352" spans="1:5" x14ac:dyDescent="0.35">
      <c r="A3352">
        <v>2010</v>
      </c>
      <c r="C3352" t="s">
        <v>373</v>
      </c>
      <c r="D3352">
        <v>38</v>
      </c>
      <c r="E3352" t="s">
        <v>458</v>
      </c>
    </row>
    <row r="3353" spans="1:5" x14ac:dyDescent="0.35">
      <c r="A3353">
        <v>2010</v>
      </c>
      <c r="B3353" t="s">
        <v>36</v>
      </c>
      <c r="C3353" t="s">
        <v>363</v>
      </c>
      <c r="D3353">
        <v>8</v>
      </c>
      <c r="E3353" t="s">
        <v>458</v>
      </c>
    </row>
    <row r="3354" spans="1:5" x14ac:dyDescent="0.35">
      <c r="A3354">
        <v>2010</v>
      </c>
      <c r="B3354" t="s">
        <v>37</v>
      </c>
      <c r="C3354" t="s">
        <v>47</v>
      </c>
      <c r="D3354">
        <v>30</v>
      </c>
      <c r="E3354" t="s">
        <v>458</v>
      </c>
    </row>
    <row r="3355" spans="1:5" x14ac:dyDescent="0.35">
      <c r="A3355">
        <v>2010</v>
      </c>
      <c r="B3355" t="s">
        <v>35</v>
      </c>
      <c r="C3355" t="s">
        <v>48</v>
      </c>
      <c r="D3355">
        <v>7</v>
      </c>
      <c r="E3355" t="s">
        <v>458</v>
      </c>
    </row>
    <row r="3356" spans="1:5" x14ac:dyDescent="0.35">
      <c r="A3356">
        <v>2010</v>
      </c>
      <c r="B3356" t="s">
        <v>33</v>
      </c>
      <c r="C3356" t="s">
        <v>57</v>
      </c>
      <c r="D3356">
        <v>4</v>
      </c>
      <c r="E3356" t="s">
        <v>458</v>
      </c>
    </row>
    <row r="3357" spans="1:5" x14ac:dyDescent="0.35">
      <c r="A3357">
        <v>2010</v>
      </c>
      <c r="B3357" t="s">
        <v>36</v>
      </c>
      <c r="C3357" t="s">
        <v>56</v>
      </c>
      <c r="D3357">
        <v>96</v>
      </c>
      <c r="E3357" t="s">
        <v>328</v>
      </c>
    </row>
    <row r="3358" spans="1:5" x14ac:dyDescent="0.35">
      <c r="A3358">
        <v>2010</v>
      </c>
      <c r="B3358" t="s">
        <v>36</v>
      </c>
      <c r="C3358" t="s">
        <v>56</v>
      </c>
      <c r="D3358">
        <v>157</v>
      </c>
      <c r="E3358" t="s">
        <v>458</v>
      </c>
    </row>
    <row r="3359" spans="1:5" x14ac:dyDescent="0.35">
      <c r="A3359">
        <v>2010</v>
      </c>
      <c r="B3359" t="s">
        <v>35</v>
      </c>
      <c r="C3359" t="s">
        <v>55</v>
      </c>
      <c r="D3359">
        <v>24</v>
      </c>
      <c r="E3359" t="s">
        <v>328</v>
      </c>
    </row>
    <row r="3360" spans="1:5" x14ac:dyDescent="0.35">
      <c r="A3360">
        <v>2010</v>
      </c>
      <c r="B3360" t="s">
        <v>35</v>
      </c>
      <c r="C3360" t="s">
        <v>55</v>
      </c>
      <c r="D3360">
        <v>7</v>
      </c>
      <c r="E3360" t="s">
        <v>458</v>
      </c>
    </row>
    <row r="3361" spans="1:5" x14ac:dyDescent="0.35">
      <c r="A3361">
        <v>2010</v>
      </c>
      <c r="B3361" t="s">
        <v>35</v>
      </c>
      <c r="C3361" t="s">
        <v>54</v>
      </c>
      <c r="D3361">
        <v>16</v>
      </c>
      <c r="E3361" t="s">
        <v>328</v>
      </c>
    </row>
    <row r="3362" spans="1:5" x14ac:dyDescent="0.35">
      <c r="A3362">
        <v>2010</v>
      </c>
      <c r="B3362" t="s">
        <v>35</v>
      </c>
      <c r="C3362" t="s">
        <v>54</v>
      </c>
      <c r="D3362">
        <v>10</v>
      </c>
      <c r="E3362" t="s">
        <v>458</v>
      </c>
    </row>
    <row r="3363" spans="1:5" x14ac:dyDescent="0.35">
      <c r="A3363">
        <v>2010</v>
      </c>
      <c r="B3363" t="s">
        <v>37</v>
      </c>
      <c r="C3363" t="s">
        <v>47</v>
      </c>
      <c r="D3363">
        <v>39</v>
      </c>
      <c r="E3363" t="s">
        <v>328</v>
      </c>
    </row>
    <row r="3364" spans="1:5" x14ac:dyDescent="0.35">
      <c r="A3364">
        <v>2010</v>
      </c>
      <c r="B3364" t="s">
        <v>36</v>
      </c>
      <c r="C3364" t="s">
        <v>53</v>
      </c>
      <c r="D3364">
        <v>10</v>
      </c>
      <c r="E3364" t="s">
        <v>328</v>
      </c>
    </row>
    <row r="3365" spans="1:5" x14ac:dyDescent="0.35">
      <c r="A3365">
        <v>2010</v>
      </c>
      <c r="B3365" t="s">
        <v>34</v>
      </c>
      <c r="C3365" t="s">
        <v>52</v>
      </c>
      <c r="D3365">
        <v>72</v>
      </c>
      <c r="E3365" t="s">
        <v>328</v>
      </c>
    </row>
    <row r="3366" spans="1:5" x14ac:dyDescent="0.35">
      <c r="A3366">
        <v>2010</v>
      </c>
      <c r="B3366" t="s">
        <v>34</v>
      </c>
      <c r="C3366" t="s">
        <v>52</v>
      </c>
      <c r="D3366">
        <v>24</v>
      </c>
      <c r="E3366" t="s">
        <v>458</v>
      </c>
    </row>
    <row r="3367" spans="1:5" x14ac:dyDescent="0.35">
      <c r="A3367">
        <v>2010</v>
      </c>
      <c r="B3367" t="s">
        <v>36</v>
      </c>
      <c r="C3367" t="s">
        <v>50</v>
      </c>
      <c r="D3367">
        <v>17</v>
      </c>
      <c r="E3367" t="s">
        <v>328</v>
      </c>
    </row>
    <row r="3368" spans="1:5" x14ac:dyDescent="0.35">
      <c r="A3368">
        <v>2010</v>
      </c>
      <c r="B3368" t="s">
        <v>36</v>
      </c>
      <c r="C3368" t="s">
        <v>50</v>
      </c>
      <c r="D3368">
        <v>89</v>
      </c>
      <c r="E3368" t="s">
        <v>458</v>
      </c>
    </row>
    <row r="3369" spans="1:5" x14ac:dyDescent="0.35">
      <c r="A3369">
        <v>2010</v>
      </c>
      <c r="B3369" t="s">
        <v>34</v>
      </c>
      <c r="C3369" t="s">
        <v>49</v>
      </c>
      <c r="E3369" t="s">
        <v>328</v>
      </c>
    </row>
    <row r="3370" spans="1:5" x14ac:dyDescent="0.35">
      <c r="A3370">
        <v>2010</v>
      </c>
      <c r="B3370" t="s">
        <v>34</v>
      </c>
      <c r="C3370" t="s">
        <v>49</v>
      </c>
      <c r="E3370" t="s">
        <v>458</v>
      </c>
    </row>
    <row r="3371" spans="1:5" x14ac:dyDescent="0.35">
      <c r="A3371">
        <v>2010</v>
      </c>
      <c r="B3371" t="s">
        <v>35</v>
      </c>
      <c r="C3371" t="s">
        <v>48</v>
      </c>
      <c r="D3371">
        <v>12</v>
      </c>
      <c r="E3371" t="s">
        <v>328</v>
      </c>
    </row>
    <row r="3372" spans="1:5" x14ac:dyDescent="0.35">
      <c r="A3372">
        <v>2010</v>
      </c>
      <c r="B3372" t="s">
        <v>36</v>
      </c>
      <c r="C3372" t="s">
        <v>53</v>
      </c>
      <c r="D3372">
        <v>34</v>
      </c>
      <c r="E3372" t="s">
        <v>458</v>
      </c>
    </row>
    <row r="3373" spans="1:5" x14ac:dyDescent="0.35">
      <c r="A3373">
        <v>2010</v>
      </c>
      <c r="B3373" t="s">
        <v>36</v>
      </c>
      <c r="C3373" t="s">
        <v>79</v>
      </c>
      <c r="D3373">
        <v>33</v>
      </c>
      <c r="E3373" t="s">
        <v>328</v>
      </c>
    </row>
    <row r="3374" spans="1:5" x14ac:dyDescent="0.35">
      <c r="A3374">
        <v>2010</v>
      </c>
      <c r="B3374" t="s">
        <v>38</v>
      </c>
      <c r="C3374" t="s">
        <v>59</v>
      </c>
      <c r="D3374">
        <v>148</v>
      </c>
      <c r="E3374" t="s">
        <v>328</v>
      </c>
    </row>
    <row r="3375" spans="1:5" x14ac:dyDescent="0.35">
      <c r="A3375">
        <v>2010</v>
      </c>
      <c r="B3375" t="s">
        <v>35</v>
      </c>
      <c r="C3375" t="s">
        <v>81</v>
      </c>
      <c r="D3375">
        <v>59</v>
      </c>
      <c r="E3375" t="s">
        <v>328</v>
      </c>
    </row>
    <row r="3376" spans="1:5" x14ac:dyDescent="0.35">
      <c r="A3376">
        <v>2010</v>
      </c>
      <c r="B3376" t="s">
        <v>34</v>
      </c>
      <c r="C3376" t="s">
        <v>22</v>
      </c>
      <c r="D3376">
        <v>782</v>
      </c>
      <c r="E3376" t="s">
        <v>328</v>
      </c>
    </row>
    <row r="3377" spans="1:5" x14ac:dyDescent="0.35">
      <c r="A3377">
        <v>2010</v>
      </c>
      <c r="B3377" t="s">
        <v>34</v>
      </c>
      <c r="C3377" t="s">
        <v>22</v>
      </c>
      <c r="D3377">
        <v>177</v>
      </c>
      <c r="E3377" t="s">
        <v>458</v>
      </c>
    </row>
    <row r="3378" spans="1:5" x14ac:dyDescent="0.35">
      <c r="A3378">
        <v>2010</v>
      </c>
      <c r="B3378" t="s">
        <v>35</v>
      </c>
      <c r="C3378" t="s">
        <v>105</v>
      </c>
      <c r="D3378">
        <v>79</v>
      </c>
      <c r="E3378" t="s">
        <v>328</v>
      </c>
    </row>
    <row r="3379" spans="1:5" x14ac:dyDescent="0.35">
      <c r="A3379">
        <v>2010</v>
      </c>
      <c r="B3379" t="s">
        <v>35</v>
      </c>
      <c r="C3379" t="s">
        <v>105</v>
      </c>
      <c r="D3379">
        <v>10</v>
      </c>
      <c r="E3379" t="s">
        <v>458</v>
      </c>
    </row>
    <row r="3380" spans="1:5" x14ac:dyDescent="0.35">
      <c r="A3380">
        <v>2010</v>
      </c>
      <c r="B3380" t="s">
        <v>34</v>
      </c>
      <c r="C3380" t="s">
        <v>368</v>
      </c>
      <c r="D3380">
        <v>21</v>
      </c>
      <c r="E3380" t="s">
        <v>328</v>
      </c>
    </row>
    <row r="3381" spans="1:5" x14ac:dyDescent="0.35">
      <c r="A3381">
        <v>2010</v>
      </c>
      <c r="B3381" t="s">
        <v>34</v>
      </c>
      <c r="C3381" t="s">
        <v>368</v>
      </c>
      <c r="D3381">
        <v>12</v>
      </c>
      <c r="E3381" t="s">
        <v>458</v>
      </c>
    </row>
    <row r="3382" spans="1:5" x14ac:dyDescent="0.35">
      <c r="A3382">
        <v>2010</v>
      </c>
      <c r="B3382" t="s">
        <v>36</v>
      </c>
      <c r="C3382" t="s">
        <v>17</v>
      </c>
      <c r="D3382">
        <v>14701</v>
      </c>
      <c r="E3382" t="s">
        <v>328</v>
      </c>
    </row>
    <row r="3383" spans="1:5" x14ac:dyDescent="0.35">
      <c r="A3383">
        <v>2010</v>
      </c>
      <c r="B3383" t="s">
        <v>34</v>
      </c>
      <c r="C3383" t="s">
        <v>107</v>
      </c>
      <c r="D3383">
        <v>318</v>
      </c>
      <c r="E3383" t="s">
        <v>328</v>
      </c>
    </row>
    <row r="3384" spans="1:5" x14ac:dyDescent="0.35">
      <c r="A3384">
        <v>2010</v>
      </c>
      <c r="B3384" t="s">
        <v>36</v>
      </c>
      <c r="C3384" t="s">
        <v>17</v>
      </c>
      <c r="D3384">
        <v>10420</v>
      </c>
      <c r="E3384" t="s">
        <v>458</v>
      </c>
    </row>
    <row r="3385" spans="1:5" x14ac:dyDescent="0.35">
      <c r="A3385">
        <v>2010</v>
      </c>
      <c r="B3385" t="s">
        <v>36</v>
      </c>
      <c r="C3385" t="s">
        <v>104</v>
      </c>
      <c r="D3385">
        <v>126</v>
      </c>
      <c r="E3385" t="s">
        <v>458</v>
      </c>
    </row>
    <row r="3386" spans="1:5" x14ac:dyDescent="0.35">
      <c r="A3386">
        <v>2010</v>
      </c>
      <c r="B3386" t="s">
        <v>38</v>
      </c>
      <c r="C3386" t="s">
        <v>103</v>
      </c>
      <c r="D3386">
        <v>54</v>
      </c>
      <c r="E3386" t="s">
        <v>328</v>
      </c>
    </row>
    <row r="3387" spans="1:5" x14ac:dyDescent="0.35">
      <c r="A3387">
        <v>2010</v>
      </c>
      <c r="B3387" t="s">
        <v>38</v>
      </c>
      <c r="C3387" t="s">
        <v>103</v>
      </c>
      <c r="D3387">
        <v>167</v>
      </c>
      <c r="E3387" t="s">
        <v>458</v>
      </c>
    </row>
    <row r="3388" spans="1:5" x14ac:dyDescent="0.35">
      <c r="A3388">
        <v>2010</v>
      </c>
      <c r="B3388" t="s">
        <v>33</v>
      </c>
      <c r="C3388" t="s">
        <v>101</v>
      </c>
      <c r="D3388">
        <v>20</v>
      </c>
      <c r="E3388" t="s">
        <v>328</v>
      </c>
    </row>
    <row r="3389" spans="1:5" x14ac:dyDescent="0.35">
      <c r="A3389">
        <v>2010</v>
      </c>
      <c r="B3389" t="s">
        <v>33</v>
      </c>
      <c r="C3389" t="s">
        <v>101</v>
      </c>
      <c r="D3389">
        <v>6</v>
      </c>
      <c r="E3389" t="s">
        <v>458</v>
      </c>
    </row>
    <row r="3390" spans="1:5" x14ac:dyDescent="0.35">
      <c r="A3390">
        <v>2010</v>
      </c>
      <c r="B3390" t="s">
        <v>36</v>
      </c>
      <c r="C3390" t="s">
        <v>15</v>
      </c>
      <c r="D3390">
        <v>20277</v>
      </c>
      <c r="E3390" t="s">
        <v>328</v>
      </c>
    </row>
    <row r="3391" spans="1:5" x14ac:dyDescent="0.35">
      <c r="A3391">
        <v>2010</v>
      </c>
      <c r="B3391" t="s">
        <v>36</v>
      </c>
      <c r="C3391" t="s">
        <v>15</v>
      </c>
      <c r="D3391">
        <v>9432</v>
      </c>
      <c r="E3391" t="s">
        <v>458</v>
      </c>
    </row>
    <row r="3392" spans="1:5" x14ac:dyDescent="0.35">
      <c r="A3392">
        <v>2010</v>
      </c>
      <c r="B3392" t="s">
        <v>36</v>
      </c>
      <c r="C3392" t="s">
        <v>104</v>
      </c>
      <c r="D3392">
        <v>351</v>
      </c>
      <c r="E3392" t="s">
        <v>328</v>
      </c>
    </row>
    <row r="3393" spans="1:5" x14ac:dyDescent="0.35">
      <c r="A3393">
        <v>2010</v>
      </c>
      <c r="B3393" t="s">
        <v>36</v>
      </c>
      <c r="C3393" t="s">
        <v>100</v>
      </c>
      <c r="D3393">
        <v>18</v>
      </c>
      <c r="E3393" t="s">
        <v>328</v>
      </c>
    </row>
    <row r="3394" spans="1:5" x14ac:dyDescent="0.35">
      <c r="A3394">
        <v>2010</v>
      </c>
      <c r="B3394" t="s">
        <v>34</v>
      </c>
      <c r="C3394" t="s">
        <v>108</v>
      </c>
      <c r="D3394">
        <v>15</v>
      </c>
      <c r="E3394" t="s">
        <v>458</v>
      </c>
    </row>
    <row r="3395" spans="1:5" x14ac:dyDescent="0.35">
      <c r="A3395">
        <v>2010</v>
      </c>
      <c r="B3395" t="s">
        <v>34</v>
      </c>
      <c r="C3395" t="s">
        <v>109</v>
      </c>
      <c r="D3395">
        <v>35</v>
      </c>
      <c r="E3395" t="s">
        <v>458</v>
      </c>
    </row>
    <row r="3396" spans="1:5" x14ac:dyDescent="0.35">
      <c r="A3396">
        <v>2010</v>
      </c>
      <c r="B3396" t="s">
        <v>35</v>
      </c>
      <c r="C3396" t="s">
        <v>81</v>
      </c>
      <c r="D3396">
        <v>19</v>
      </c>
      <c r="E3396" t="s">
        <v>458</v>
      </c>
    </row>
    <row r="3397" spans="1:5" x14ac:dyDescent="0.35">
      <c r="A3397">
        <v>2010</v>
      </c>
      <c r="B3397" t="s">
        <v>34</v>
      </c>
      <c r="C3397" t="s">
        <v>116</v>
      </c>
      <c r="D3397">
        <v>35</v>
      </c>
      <c r="E3397" t="s">
        <v>328</v>
      </c>
    </row>
    <row r="3398" spans="1:5" x14ac:dyDescent="0.35">
      <c r="A3398">
        <v>2010</v>
      </c>
      <c r="B3398" t="s">
        <v>34</v>
      </c>
      <c r="C3398" t="s">
        <v>116</v>
      </c>
      <c r="D3398">
        <v>6</v>
      </c>
      <c r="E3398" t="s">
        <v>458</v>
      </c>
    </row>
    <row r="3399" spans="1:5" x14ac:dyDescent="0.35">
      <c r="A3399">
        <v>2010</v>
      </c>
      <c r="B3399" t="s">
        <v>34</v>
      </c>
      <c r="C3399" t="s">
        <v>115</v>
      </c>
      <c r="D3399">
        <v>79</v>
      </c>
      <c r="E3399" t="s">
        <v>328</v>
      </c>
    </row>
    <row r="3400" spans="1:5" x14ac:dyDescent="0.35">
      <c r="A3400">
        <v>2010</v>
      </c>
      <c r="B3400" t="s">
        <v>34</v>
      </c>
      <c r="C3400" t="s">
        <v>115</v>
      </c>
      <c r="D3400">
        <v>58</v>
      </c>
      <c r="E3400" t="s">
        <v>458</v>
      </c>
    </row>
    <row r="3401" spans="1:5" x14ac:dyDescent="0.35">
      <c r="A3401">
        <v>2010</v>
      </c>
      <c r="B3401" t="s">
        <v>34</v>
      </c>
      <c r="C3401" t="s">
        <v>114</v>
      </c>
      <c r="D3401">
        <v>30</v>
      </c>
      <c r="E3401" t="s">
        <v>328</v>
      </c>
    </row>
    <row r="3402" spans="1:5" x14ac:dyDescent="0.35">
      <c r="A3402">
        <v>2010</v>
      </c>
      <c r="B3402" t="s">
        <v>34</v>
      </c>
      <c r="C3402" t="s">
        <v>114</v>
      </c>
      <c r="D3402">
        <v>16</v>
      </c>
      <c r="E3402" t="s">
        <v>458</v>
      </c>
    </row>
    <row r="3403" spans="1:5" x14ac:dyDescent="0.35">
      <c r="A3403">
        <v>2010</v>
      </c>
      <c r="B3403" t="s">
        <v>34</v>
      </c>
      <c r="C3403" t="s">
        <v>108</v>
      </c>
      <c r="D3403">
        <v>59</v>
      </c>
      <c r="E3403" t="s">
        <v>328</v>
      </c>
    </row>
    <row r="3404" spans="1:5" x14ac:dyDescent="0.35">
      <c r="A3404">
        <v>2010</v>
      </c>
      <c r="B3404" t="s">
        <v>36</v>
      </c>
      <c r="C3404" t="s">
        <v>113</v>
      </c>
      <c r="D3404">
        <v>314</v>
      </c>
      <c r="E3404" t="s">
        <v>328</v>
      </c>
    </row>
    <row r="3405" spans="1:5" x14ac:dyDescent="0.35">
      <c r="A3405">
        <v>2010</v>
      </c>
      <c r="B3405" t="s">
        <v>35</v>
      </c>
      <c r="C3405" t="s">
        <v>112</v>
      </c>
      <c r="D3405">
        <v>139</v>
      </c>
      <c r="E3405" t="s">
        <v>328</v>
      </c>
    </row>
    <row r="3406" spans="1:5" x14ac:dyDescent="0.35">
      <c r="A3406">
        <v>2010</v>
      </c>
      <c r="B3406" t="s">
        <v>35</v>
      </c>
      <c r="C3406" t="s">
        <v>112</v>
      </c>
      <c r="D3406">
        <v>62</v>
      </c>
      <c r="E3406" t="s">
        <v>458</v>
      </c>
    </row>
    <row r="3407" spans="1:5" x14ac:dyDescent="0.35">
      <c r="A3407">
        <v>2010</v>
      </c>
      <c r="B3407" t="s">
        <v>34</v>
      </c>
      <c r="C3407" t="s">
        <v>111</v>
      </c>
      <c r="D3407">
        <v>272</v>
      </c>
      <c r="E3407" t="s">
        <v>328</v>
      </c>
    </row>
    <row r="3408" spans="1:5" x14ac:dyDescent="0.35">
      <c r="A3408">
        <v>2010</v>
      </c>
      <c r="B3408" t="s">
        <v>34</v>
      </c>
      <c r="C3408" t="s">
        <v>111</v>
      </c>
      <c r="D3408">
        <v>55</v>
      </c>
      <c r="E3408" t="s">
        <v>458</v>
      </c>
    </row>
    <row r="3409" spans="1:5" x14ac:dyDescent="0.35">
      <c r="A3409">
        <v>2010</v>
      </c>
      <c r="B3409" t="s">
        <v>35</v>
      </c>
      <c r="C3409" t="s">
        <v>110</v>
      </c>
      <c r="D3409">
        <v>86</v>
      </c>
      <c r="E3409" t="s">
        <v>328</v>
      </c>
    </row>
    <row r="3410" spans="1:5" x14ac:dyDescent="0.35">
      <c r="A3410">
        <v>2010</v>
      </c>
      <c r="B3410" t="s">
        <v>35</v>
      </c>
      <c r="C3410" t="s">
        <v>110</v>
      </c>
      <c r="D3410">
        <v>21</v>
      </c>
      <c r="E3410" t="s">
        <v>458</v>
      </c>
    </row>
    <row r="3411" spans="1:5" x14ac:dyDescent="0.35">
      <c r="A3411">
        <v>2010</v>
      </c>
      <c r="B3411" t="s">
        <v>34</v>
      </c>
      <c r="C3411" t="s">
        <v>109</v>
      </c>
      <c r="D3411">
        <v>24</v>
      </c>
      <c r="E3411" t="s">
        <v>328</v>
      </c>
    </row>
    <row r="3412" spans="1:5" x14ac:dyDescent="0.35">
      <c r="A3412">
        <v>2010</v>
      </c>
      <c r="B3412" t="s">
        <v>36</v>
      </c>
      <c r="C3412" t="s">
        <v>113</v>
      </c>
      <c r="D3412">
        <v>1169</v>
      </c>
      <c r="E3412" t="s">
        <v>458</v>
      </c>
    </row>
    <row r="3413" spans="1:5" x14ac:dyDescent="0.35">
      <c r="A3413">
        <v>2010</v>
      </c>
      <c r="B3413" t="s">
        <v>36</v>
      </c>
      <c r="C3413" t="s">
        <v>100</v>
      </c>
      <c r="D3413">
        <v>29</v>
      </c>
      <c r="E3413" t="s">
        <v>458</v>
      </c>
    </row>
    <row r="3414" spans="1:5" x14ac:dyDescent="0.35">
      <c r="A3414">
        <v>2010</v>
      </c>
      <c r="B3414" t="s">
        <v>34</v>
      </c>
      <c r="C3414" t="s">
        <v>107</v>
      </c>
      <c r="D3414">
        <v>43</v>
      </c>
      <c r="E3414" t="s">
        <v>458</v>
      </c>
    </row>
    <row r="3415" spans="1:5" x14ac:dyDescent="0.35">
      <c r="A3415">
        <v>2010</v>
      </c>
      <c r="B3415" t="s">
        <v>33</v>
      </c>
      <c r="C3415" t="s">
        <v>117</v>
      </c>
      <c r="D3415">
        <v>56</v>
      </c>
      <c r="E3415" t="s">
        <v>458</v>
      </c>
    </row>
    <row r="3416" spans="1:5" x14ac:dyDescent="0.35">
      <c r="A3416">
        <v>2010</v>
      </c>
      <c r="B3416" t="s">
        <v>35</v>
      </c>
      <c r="C3416" t="s">
        <v>90</v>
      </c>
      <c r="D3416">
        <v>3</v>
      </c>
      <c r="E3416" t="s">
        <v>458</v>
      </c>
    </row>
    <row r="3417" spans="1:5" x14ac:dyDescent="0.35">
      <c r="A3417">
        <v>2010</v>
      </c>
      <c r="B3417" t="s">
        <v>33</v>
      </c>
      <c r="C3417" t="s">
        <v>89</v>
      </c>
      <c r="D3417">
        <v>7</v>
      </c>
      <c r="E3417" t="s">
        <v>328</v>
      </c>
    </row>
    <row r="3418" spans="1:5" x14ac:dyDescent="0.35">
      <c r="A3418">
        <v>2010</v>
      </c>
      <c r="B3418" t="s">
        <v>36</v>
      </c>
      <c r="C3418" t="s">
        <v>16</v>
      </c>
      <c r="D3418">
        <v>11979</v>
      </c>
      <c r="E3418" t="s">
        <v>328</v>
      </c>
    </row>
    <row r="3419" spans="1:5" x14ac:dyDescent="0.35">
      <c r="A3419">
        <v>2010</v>
      </c>
      <c r="B3419" t="s">
        <v>36</v>
      </c>
      <c r="C3419" t="s">
        <v>16</v>
      </c>
      <c r="D3419">
        <v>8368</v>
      </c>
      <c r="E3419" t="s">
        <v>458</v>
      </c>
    </row>
    <row r="3420" spans="1:5" x14ac:dyDescent="0.35">
      <c r="A3420">
        <v>2010</v>
      </c>
      <c r="B3420" t="s">
        <v>33</v>
      </c>
      <c r="C3420" t="s">
        <v>87</v>
      </c>
      <c r="D3420">
        <v>83</v>
      </c>
      <c r="E3420" t="s">
        <v>328</v>
      </c>
    </row>
    <row r="3421" spans="1:5" x14ac:dyDescent="0.35">
      <c r="A3421">
        <v>2010</v>
      </c>
      <c r="B3421" t="s">
        <v>33</v>
      </c>
      <c r="C3421" t="s">
        <v>87</v>
      </c>
      <c r="D3421">
        <v>40</v>
      </c>
      <c r="E3421" t="s">
        <v>458</v>
      </c>
    </row>
    <row r="3422" spans="1:5" x14ac:dyDescent="0.35">
      <c r="A3422">
        <v>2010</v>
      </c>
      <c r="B3422" t="s">
        <v>38</v>
      </c>
      <c r="C3422" t="s">
        <v>86</v>
      </c>
      <c r="D3422">
        <v>1693</v>
      </c>
      <c r="E3422" t="s">
        <v>328</v>
      </c>
    </row>
    <row r="3423" spans="1:5" x14ac:dyDescent="0.35">
      <c r="A3423">
        <v>2010</v>
      </c>
      <c r="B3423" t="s">
        <v>35</v>
      </c>
      <c r="C3423" t="s">
        <v>90</v>
      </c>
      <c r="D3423">
        <v>21</v>
      </c>
      <c r="E3423" t="s">
        <v>328</v>
      </c>
    </row>
    <row r="3424" spans="1:5" x14ac:dyDescent="0.35">
      <c r="A3424">
        <v>2010</v>
      </c>
      <c r="B3424" t="s">
        <v>38</v>
      </c>
      <c r="C3424" t="s">
        <v>86</v>
      </c>
      <c r="D3424">
        <v>692</v>
      </c>
      <c r="E3424" t="s">
        <v>458</v>
      </c>
    </row>
    <row r="3425" spans="1:5" x14ac:dyDescent="0.35">
      <c r="A3425">
        <v>2010</v>
      </c>
      <c r="B3425" t="s">
        <v>36</v>
      </c>
      <c r="C3425" t="s">
        <v>85</v>
      </c>
      <c r="D3425">
        <v>2241</v>
      </c>
      <c r="E3425" t="s">
        <v>458</v>
      </c>
    </row>
    <row r="3426" spans="1:5" x14ac:dyDescent="0.35">
      <c r="A3426">
        <v>2010</v>
      </c>
      <c r="B3426" t="s">
        <v>36</v>
      </c>
      <c r="C3426" t="s">
        <v>84</v>
      </c>
      <c r="D3426">
        <v>15</v>
      </c>
      <c r="E3426" t="s">
        <v>328</v>
      </c>
    </row>
    <row r="3427" spans="1:5" x14ac:dyDescent="0.35">
      <c r="A3427">
        <v>2010</v>
      </c>
      <c r="B3427" t="s">
        <v>36</v>
      </c>
      <c r="C3427" t="s">
        <v>84</v>
      </c>
      <c r="D3427">
        <v>23</v>
      </c>
      <c r="E3427" t="s">
        <v>458</v>
      </c>
    </row>
    <row r="3428" spans="1:5" x14ac:dyDescent="0.35">
      <c r="A3428">
        <v>2010</v>
      </c>
      <c r="B3428" t="s">
        <v>35</v>
      </c>
      <c r="C3428" t="s">
        <v>82</v>
      </c>
      <c r="D3428">
        <v>23</v>
      </c>
      <c r="E3428" t="s">
        <v>328</v>
      </c>
    </row>
    <row r="3429" spans="1:5" x14ac:dyDescent="0.35">
      <c r="A3429">
        <v>2010</v>
      </c>
      <c r="B3429" t="s">
        <v>35</v>
      </c>
      <c r="C3429" t="s">
        <v>82</v>
      </c>
      <c r="D3429">
        <v>4</v>
      </c>
      <c r="E3429" t="s">
        <v>458</v>
      </c>
    </row>
    <row r="3430" spans="1:5" x14ac:dyDescent="0.35">
      <c r="A3430">
        <v>2010</v>
      </c>
      <c r="B3430" t="s">
        <v>35</v>
      </c>
      <c r="C3430" t="s">
        <v>214</v>
      </c>
      <c r="D3430">
        <v>23</v>
      </c>
      <c r="E3430" t="s">
        <v>328</v>
      </c>
    </row>
    <row r="3431" spans="1:5" x14ac:dyDescent="0.35">
      <c r="A3431">
        <v>2010</v>
      </c>
      <c r="B3431" t="s">
        <v>35</v>
      </c>
      <c r="C3431" t="s">
        <v>99</v>
      </c>
      <c r="D3431">
        <v>19</v>
      </c>
      <c r="E3431" t="s">
        <v>328</v>
      </c>
    </row>
    <row r="3432" spans="1:5" x14ac:dyDescent="0.35">
      <c r="A3432">
        <v>2010</v>
      </c>
      <c r="B3432" t="s">
        <v>36</v>
      </c>
      <c r="C3432" t="s">
        <v>85</v>
      </c>
      <c r="D3432">
        <v>1130</v>
      </c>
      <c r="E3432" t="s">
        <v>328</v>
      </c>
    </row>
    <row r="3433" spans="1:5" x14ac:dyDescent="0.35">
      <c r="A3433">
        <v>2010</v>
      </c>
      <c r="B3433" t="s">
        <v>33</v>
      </c>
      <c r="C3433" t="s">
        <v>91</v>
      </c>
      <c r="D3433">
        <v>30</v>
      </c>
      <c r="E3433" t="s">
        <v>458</v>
      </c>
    </row>
    <row r="3434" spans="1:5" x14ac:dyDescent="0.35">
      <c r="A3434">
        <v>2010</v>
      </c>
      <c r="B3434" t="s">
        <v>35</v>
      </c>
      <c r="C3434" t="s">
        <v>214</v>
      </c>
      <c r="D3434">
        <v>6</v>
      </c>
      <c r="E3434" t="s">
        <v>458</v>
      </c>
    </row>
    <row r="3435" spans="1:5" x14ac:dyDescent="0.35">
      <c r="A3435">
        <v>2010</v>
      </c>
      <c r="B3435" t="s">
        <v>37</v>
      </c>
      <c r="C3435" t="s">
        <v>92</v>
      </c>
      <c r="D3435">
        <v>29</v>
      </c>
      <c r="E3435" t="s">
        <v>458</v>
      </c>
    </row>
    <row r="3436" spans="1:5" x14ac:dyDescent="0.35">
      <c r="A3436">
        <v>2010</v>
      </c>
      <c r="B3436" t="s">
        <v>33</v>
      </c>
      <c r="C3436" t="s">
        <v>91</v>
      </c>
      <c r="D3436">
        <v>49</v>
      </c>
      <c r="E3436" t="s">
        <v>328</v>
      </c>
    </row>
    <row r="3437" spans="1:5" x14ac:dyDescent="0.35">
      <c r="A3437">
        <v>2010</v>
      </c>
      <c r="B3437" t="s">
        <v>33</v>
      </c>
      <c r="C3437" t="s">
        <v>98</v>
      </c>
      <c r="D3437">
        <v>134</v>
      </c>
      <c r="E3437" t="s">
        <v>328</v>
      </c>
    </row>
    <row r="3438" spans="1:5" x14ac:dyDescent="0.35">
      <c r="A3438">
        <v>2010</v>
      </c>
      <c r="B3438" t="s">
        <v>33</v>
      </c>
      <c r="C3438" t="s">
        <v>98</v>
      </c>
      <c r="D3438">
        <v>65</v>
      </c>
      <c r="E3438" t="s">
        <v>458</v>
      </c>
    </row>
    <row r="3439" spans="1:5" x14ac:dyDescent="0.35">
      <c r="A3439">
        <v>2010</v>
      </c>
      <c r="B3439" t="s">
        <v>35</v>
      </c>
      <c r="C3439" t="s">
        <v>97</v>
      </c>
      <c r="D3439">
        <v>117</v>
      </c>
      <c r="E3439" t="s">
        <v>328</v>
      </c>
    </row>
    <row r="3440" spans="1:5" x14ac:dyDescent="0.35">
      <c r="A3440">
        <v>2010</v>
      </c>
      <c r="B3440" t="s">
        <v>35</v>
      </c>
      <c r="C3440" t="s">
        <v>97</v>
      </c>
      <c r="D3440">
        <v>84</v>
      </c>
      <c r="E3440" t="s">
        <v>458</v>
      </c>
    </row>
    <row r="3441" spans="1:5" x14ac:dyDescent="0.35">
      <c r="A3441">
        <v>2010</v>
      </c>
      <c r="B3441" t="s">
        <v>34</v>
      </c>
      <c r="C3441" t="s">
        <v>8</v>
      </c>
      <c r="D3441">
        <v>38</v>
      </c>
      <c r="E3441" t="s">
        <v>328</v>
      </c>
    </row>
    <row r="3442" spans="1:5" x14ac:dyDescent="0.35">
      <c r="A3442">
        <v>2010</v>
      </c>
      <c r="B3442" t="s">
        <v>34</v>
      </c>
      <c r="C3442" t="s">
        <v>8</v>
      </c>
      <c r="D3442">
        <v>21</v>
      </c>
      <c r="E3442" t="s">
        <v>458</v>
      </c>
    </row>
    <row r="3443" spans="1:5" x14ac:dyDescent="0.35">
      <c r="A3443">
        <v>2010</v>
      </c>
      <c r="B3443" t="s">
        <v>33</v>
      </c>
      <c r="C3443" t="s">
        <v>96</v>
      </c>
      <c r="D3443">
        <v>19</v>
      </c>
      <c r="E3443" t="s">
        <v>328</v>
      </c>
    </row>
    <row r="3444" spans="1:5" x14ac:dyDescent="0.35">
      <c r="A3444">
        <v>2010</v>
      </c>
      <c r="B3444" t="s">
        <v>35</v>
      </c>
      <c r="C3444" t="s">
        <v>99</v>
      </c>
      <c r="D3444">
        <v>22</v>
      </c>
      <c r="E3444" t="s">
        <v>458</v>
      </c>
    </row>
    <row r="3445" spans="1:5" x14ac:dyDescent="0.35">
      <c r="A3445">
        <v>2010</v>
      </c>
      <c r="B3445" t="s">
        <v>33</v>
      </c>
      <c r="C3445" t="s">
        <v>95</v>
      </c>
      <c r="E3445" t="s">
        <v>328</v>
      </c>
    </row>
    <row r="3446" spans="1:5" x14ac:dyDescent="0.35">
      <c r="A3446">
        <v>2010</v>
      </c>
      <c r="B3446" t="s">
        <v>33</v>
      </c>
      <c r="C3446" t="s">
        <v>95</v>
      </c>
      <c r="E3446" t="s">
        <v>458</v>
      </c>
    </row>
    <row r="3447" spans="1:5" x14ac:dyDescent="0.35">
      <c r="A3447">
        <v>2010</v>
      </c>
      <c r="B3447" t="s">
        <v>35</v>
      </c>
      <c r="C3447" t="s">
        <v>94</v>
      </c>
      <c r="D3447">
        <v>153</v>
      </c>
      <c r="E3447" t="s">
        <v>328</v>
      </c>
    </row>
    <row r="3448" spans="1:5" x14ac:dyDescent="0.35">
      <c r="A3448">
        <v>2010</v>
      </c>
      <c r="B3448" t="s">
        <v>35</v>
      </c>
      <c r="C3448" t="s">
        <v>94</v>
      </c>
      <c r="D3448">
        <v>41</v>
      </c>
      <c r="E3448" t="s">
        <v>458</v>
      </c>
    </row>
    <row r="3449" spans="1:5" x14ac:dyDescent="0.35">
      <c r="A3449">
        <v>2010</v>
      </c>
      <c r="B3449" t="s">
        <v>35</v>
      </c>
      <c r="C3449" t="s">
        <v>93</v>
      </c>
      <c r="E3449" t="s">
        <v>328</v>
      </c>
    </row>
    <row r="3450" spans="1:5" x14ac:dyDescent="0.35">
      <c r="A3450">
        <v>2010</v>
      </c>
      <c r="B3450" t="s">
        <v>35</v>
      </c>
      <c r="C3450" t="s">
        <v>93</v>
      </c>
      <c r="E3450" t="s">
        <v>458</v>
      </c>
    </row>
    <row r="3451" spans="1:5" x14ac:dyDescent="0.35">
      <c r="A3451">
        <v>2010</v>
      </c>
      <c r="B3451" t="s">
        <v>37</v>
      </c>
      <c r="C3451" t="s">
        <v>92</v>
      </c>
      <c r="D3451">
        <v>34</v>
      </c>
      <c r="E3451" t="s">
        <v>328</v>
      </c>
    </row>
    <row r="3452" spans="1:5" x14ac:dyDescent="0.35">
      <c r="A3452">
        <v>2010</v>
      </c>
      <c r="B3452" t="s">
        <v>33</v>
      </c>
      <c r="C3452" t="s">
        <v>96</v>
      </c>
      <c r="D3452">
        <v>8</v>
      </c>
      <c r="E3452" t="s">
        <v>458</v>
      </c>
    </row>
    <row r="3453" spans="1:5" x14ac:dyDescent="0.35">
      <c r="A3453">
        <v>2010</v>
      </c>
      <c r="B3453" t="s">
        <v>34</v>
      </c>
      <c r="C3453" t="s">
        <v>40</v>
      </c>
      <c r="D3453">
        <v>85</v>
      </c>
      <c r="E3453" t="s">
        <v>467</v>
      </c>
    </row>
    <row r="3454" spans="1:5" x14ac:dyDescent="0.35">
      <c r="A3454">
        <v>2010</v>
      </c>
      <c r="B3454" t="s">
        <v>35</v>
      </c>
      <c r="C3454" t="s">
        <v>41</v>
      </c>
      <c r="D3454">
        <v>47</v>
      </c>
      <c r="E3454" t="s">
        <v>467</v>
      </c>
    </row>
    <row r="3455" spans="1:5" x14ac:dyDescent="0.35">
      <c r="A3455">
        <v>2010</v>
      </c>
      <c r="B3455" t="s">
        <v>33</v>
      </c>
      <c r="C3455" t="s">
        <v>42</v>
      </c>
      <c r="D3455">
        <v>131</v>
      </c>
      <c r="E3455" t="s">
        <v>467</v>
      </c>
    </row>
    <row r="3456" spans="1:5" x14ac:dyDescent="0.35">
      <c r="A3456">
        <v>2010</v>
      </c>
      <c r="C3456" t="s">
        <v>373</v>
      </c>
      <c r="D3456">
        <v>89</v>
      </c>
      <c r="E3456" t="s">
        <v>467</v>
      </c>
    </row>
    <row r="3457" spans="1:5" x14ac:dyDescent="0.35">
      <c r="A3457">
        <v>2010</v>
      </c>
      <c r="B3457" t="s">
        <v>37</v>
      </c>
      <c r="C3457" t="s">
        <v>386</v>
      </c>
      <c r="E3457" t="s">
        <v>467</v>
      </c>
    </row>
    <row r="3458" spans="1:5" x14ac:dyDescent="0.35">
      <c r="A3458">
        <v>2010</v>
      </c>
      <c r="B3458" t="s">
        <v>33</v>
      </c>
      <c r="C3458" t="s">
        <v>43</v>
      </c>
      <c r="D3458">
        <v>7</v>
      </c>
      <c r="E3458" t="s">
        <v>467</v>
      </c>
    </row>
    <row r="3459" spans="1:5" x14ac:dyDescent="0.35">
      <c r="A3459">
        <v>2010</v>
      </c>
      <c r="B3459" t="s">
        <v>36</v>
      </c>
      <c r="C3459" t="s">
        <v>44</v>
      </c>
      <c r="D3459">
        <v>18</v>
      </c>
      <c r="E3459" t="s">
        <v>467</v>
      </c>
    </row>
    <row r="3460" spans="1:5" x14ac:dyDescent="0.35">
      <c r="A3460">
        <v>2010</v>
      </c>
      <c r="B3460" t="s">
        <v>38</v>
      </c>
      <c r="C3460" t="s">
        <v>45</v>
      </c>
      <c r="D3460">
        <v>98</v>
      </c>
      <c r="E3460" t="s">
        <v>467</v>
      </c>
    </row>
    <row r="3461" spans="1:5" x14ac:dyDescent="0.35">
      <c r="A3461">
        <v>2010</v>
      </c>
      <c r="B3461" t="s">
        <v>34</v>
      </c>
      <c r="C3461" t="s">
        <v>46</v>
      </c>
      <c r="D3461">
        <v>15</v>
      </c>
      <c r="E3461" t="s">
        <v>467</v>
      </c>
    </row>
    <row r="3462" spans="1:5" x14ac:dyDescent="0.35">
      <c r="A3462">
        <v>2010</v>
      </c>
      <c r="B3462" t="s">
        <v>37</v>
      </c>
      <c r="C3462" t="s">
        <v>47</v>
      </c>
      <c r="D3462">
        <v>431</v>
      </c>
      <c r="E3462" t="s">
        <v>467</v>
      </c>
    </row>
    <row r="3463" spans="1:5" x14ac:dyDescent="0.35">
      <c r="A3463">
        <v>2010</v>
      </c>
      <c r="B3463" t="s">
        <v>35</v>
      </c>
      <c r="C3463" t="s">
        <v>48</v>
      </c>
      <c r="D3463">
        <v>76</v>
      </c>
      <c r="E3463" t="s">
        <v>467</v>
      </c>
    </row>
    <row r="3464" spans="1:5" x14ac:dyDescent="0.35">
      <c r="A3464">
        <v>2010</v>
      </c>
      <c r="B3464" t="s">
        <v>34</v>
      </c>
      <c r="C3464" t="s">
        <v>49</v>
      </c>
      <c r="D3464">
        <v>33</v>
      </c>
      <c r="E3464" t="s">
        <v>467</v>
      </c>
    </row>
    <row r="3465" spans="1:5" x14ac:dyDescent="0.35">
      <c r="A3465">
        <v>2010</v>
      </c>
      <c r="B3465" t="s">
        <v>36</v>
      </c>
      <c r="C3465" t="s">
        <v>50</v>
      </c>
      <c r="D3465">
        <v>474</v>
      </c>
      <c r="E3465" t="s">
        <v>467</v>
      </c>
    </row>
    <row r="3466" spans="1:5" x14ac:dyDescent="0.35">
      <c r="A3466">
        <v>2010</v>
      </c>
      <c r="B3466" t="s">
        <v>34</v>
      </c>
      <c r="C3466" t="s">
        <v>51</v>
      </c>
      <c r="D3466">
        <v>11</v>
      </c>
      <c r="E3466" t="s">
        <v>467</v>
      </c>
    </row>
    <row r="3467" spans="1:5" x14ac:dyDescent="0.35">
      <c r="A3467">
        <v>2010</v>
      </c>
      <c r="B3467" t="s">
        <v>34</v>
      </c>
      <c r="C3467" t="s">
        <v>52</v>
      </c>
      <c r="D3467">
        <v>281</v>
      </c>
      <c r="E3467" t="s">
        <v>467</v>
      </c>
    </row>
    <row r="3468" spans="1:5" x14ac:dyDescent="0.35">
      <c r="A3468">
        <v>2010</v>
      </c>
      <c r="B3468" t="s">
        <v>36</v>
      </c>
      <c r="C3468" t="s">
        <v>53</v>
      </c>
      <c r="D3468">
        <v>44</v>
      </c>
      <c r="E3468" t="s">
        <v>467</v>
      </c>
    </row>
    <row r="3469" spans="1:5" x14ac:dyDescent="0.35">
      <c r="A3469">
        <v>2010</v>
      </c>
      <c r="B3469" t="s">
        <v>35</v>
      </c>
      <c r="C3469" t="s">
        <v>54</v>
      </c>
      <c r="D3469">
        <v>52</v>
      </c>
      <c r="E3469" t="s">
        <v>467</v>
      </c>
    </row>
    <row r="3470" spans="1:5" x14ac:dyDescent="0.35">
      <c r="A3470">
        <v>2010</v>
      </c>
      <c r="B3470" t="s">
        <v>35</v>
      </c>
      <c r="C3470" t="s">
        <v>55</v>
      </c>
      <c r="D3470">
        <v>115</v>
      </c>
      <c r="E3470" t="s">
        <v>467</v>
      </c>
    </row>
    <row r="3471" spans="1:5" x14ac:dyDescent="0.35">
      <c r="A3471">
        <v>2010</v>
      </c>
      <c r="B3471" t="s">
        <v>36</v>
      </c>
      <c r="C3471" t="s">
        <v>56</v>
      </c>
      <c r="D3471">
        <v>51</v>
      </c>
      <c r="E3471" t="s">
        <v>467</v>
      </c>
    </row>
    <row r="3472" spans="1:5" x14ac:dyDescent="0.35">
      <c r="A3472">
        <v>2010</v>
      </c>
      <c r="B3472" t="s">
        <v>33</v>
      </c>
      <c r="C3472" t="s">
        <v>57</v>
      </c>
      <c r="D3472">
        <v>59</v>
      </c>
      <c r="E3472" t="s">
        <v>467</v>
      </c>
    </row>
    <row r="3473" spans="1:5" x14ac:dyDescent="0.35">
      <c r="A3473">
        <v>2010</v>
      </c>
      <c r="B3473" t="s">
        <v>36</v>
      </c>
      <c r="C3473" t="s">
        <v>363</v>
      </c>
      <c r="D3473">
        <v>88</v>
      </c>
      <c r="E3473" t="s">
        <v>467</v>
      </c>
    </row>
    <row r="3474" spans="1:5" x14ac:dyDescent="0.35">
      <c r="A3474">
        <v>2010</v>
      </c>
      <c r="B3474" t="s">
        <v>38</v>
      </c>
      <c r="C3474" t="s">
        <v>59</v>
      </c>
      <c r="D3474">
        <v>59</v>
      </c>
      <c r="E3474" t="s">
        <v>467</v>
      </c>
    </row>
    <row r="3475" spans="1:5" x14ac:dyDescent="0.35">
      <c r="A3475">
        <v>2010</v>
      </c>
      <c r="B3475" t="s">
        <v>35</v>
      </c>
      <c r="C3475" t="s">
        <v>60</v>
      </c>
      <c r="D3475">
        <v>26</v>
      </c>
      <c r="E3475" t="s">
        <v>467</v>
      </c>
    </row>
    <row r="3476" spans="1:5" x14ac:dyDescent="0.35">
      <c r="A3476">
        <v>2010</v>
      </c>
      <c r="B3476" t="s">
        <v>38</v>
      </c>
      <c r="C3476" t="s">
        <v>21</v>
      </c>
      <c r="D3476">
        <v>766</v>
      </c>
      <c r="E3476" t="s">
        <v>467</v>
      </c>
    </row>
    <row r="3477" spans="1:5" x14ac:dyDescent="0.35">
      <c r="A3477">
        <v>2010</v>
      </c>
      <c r="B3477" t="s">
        <v>36</v>
      </c>
      <c r="C3477" t="s">
        <v>364</v>
      </c>
      <c r="D3477">
        <v>5</v>
      </c>
      <c r="E3477" t="s">
        <v>467</v>
      </c>
    </row>
    <row r="3478" spans="1:5" x14ac:dyDescent="0.35">
      <c r="A3478">
        <v>2010</v>
      </c>
      <c r="B3478" t="s">
        <v>35</v>
      </c>
      <c r="C3478" t="s">
        <v>62</v>
      </c>
      <c r="D3478">
        <v>271</v>
      </c>
      <c r="E3478" t="s">
        <v>467</v>
      </c>
    </row>
    <row r="3479" spans="1:5" x14ac:dyDescent="0.35">
      <c r="A3479">
        <v>2010</v>
      </c>
      <c r="B3479" t="s">
        <v>33</v>
      </c>
      <c r="C3479" t="s">
        <v>63</v>
      </c>
      <c r="D3479">
        <v>16</v>
      </c>
      <c r="E3479" t="s">
        <v>467</v>
      </c>
    </row>
    <row r="3480" spans="1:5" x14ac:dyDescent="0.35">
      <c r="A3480">
        <v>2010</v>
      </c>
      <c r="B3480" t="s">
        <v>34</v>
      </c>
      <c r="C3480" t="s">
        <v>64</v>
      </c>
      <c r="D3480">
        <v>3951</v>
      </c>
      <c r="E3480" t="s">
        <v>467</v>
      </c>
    </row>
    <row r="3481" spans="1:5" x14ac:dyDescent="0.35">
      <c r="A3481">
        <v>2010</v>
      </c>
      <c r="B3481" t="s">
        <v>33</v>
      </c>
      <c r="C3481" t="s">
        <v>65</v>
      </c>
      <c r="D3481">
        <v>19</v>
      </c>
      <c r="E3481" t="s">
        <v>467</v>
      </c>
    </row>
    <row r="3482" spans="1:5" x14ac:dyDescent="0.35">
      <c r="A3482">
        <v>2010</v>
      </c>
      <c r="B3482" t="s">
        <v>34</v>
      </c>
      <c r="C3482" t="s">
        <v>67</v>
      </c>
      <c r="D3482">
        <v>28</v>
      </c>
      <c r="E3482" t="s">
        <v>467</v>
      </c>
    </row>
    <row r="3483" spans="1:5" x14ac:dyDescent="0.35">
      <c r="A3483">
        <v>2010</v>
      </c>
      <c r="B3483" t="s">
        <v>33</v>
      </c>
      <c r="C3483" t="s">
        <v>68</v>
      </c>
      <c r="D3483">
        <v>55</v>
      </c>
      <c r="E3483" t="s">
        <v>467</v>
      </c>
    </row>
    <row r="3484" spans="1:5" x14ac:dyDescent="0.35">
      <c r="A3484">
        <v>2010</v>
      </c>
      <c r="B3484" t="s">
        <v>36</v>
      </c>
      <c r="C3484" t="s">
        <v>69</v>
      </c>
      <c r="D3484">
        <v>29144</v>
      </c>
      <c r="E3484" t="s">
        <v>467</v>
      </c>
    </row>
    <row r="3485" spans="1:5" x14ac:dyDescent="0.35">
      <c r="A3485">
        <v>2010</v>
      </c>
      <c r="B3485" t="s">
        <v>33</v>
      </c>
      <c r="C3485" t="s">
        <v>66</v>
      </c>
      <c r="D3485">
        <v>41</v>
      </c>
      <c r="E3485" t="s">
        <v>467</v>
      </c>
    </row>
    <row r="3486" spans="1:5" x14ac:dyDescent="0.35">
      <c r="A3486">
        <v>2010</v>
      </c>
      <c r="B3486" t="s">
        <v>36</v>
      </c>
      <c r="C3486" t="s">
        <v>365</v>
      </c>
      <c r="D3486">
        <v>11</v>
      </c>
      <c r="E3486" t="s">
        <v>467</v>
      </c>
    </row>
    <row r="3487" spans="1:5" x14ac:dyDescent="0.35">
      <c r="A3487">
        <v>2010</v>
      </c>
      <c r="B3487" t="s">
        <v>38</v>
      </c>
      <c r="C3487" t="s">
        <v>72</v>
      </c>
      <c r="D3487">
        <v>133</v>
      </c>
      <c r="E3487" t="s">
        <v>467</v>
      </c>
    </row>
    <row r="3488" spans="1:5" x14ac:dyDescent="0.35">
      <c r="A3488">
        <v>2010</v>
      </c>
      <c r="B3488" t="s">
        <v>34</v>
      </c>
      <c r="C3488" t="s">
        <v>73</v>
      </c>
      <c r="D3488">
        <v>16449</v>
      </c>
      <c r="E3488" t="s">
        <v>467</v>
      </c>
    </row>
    <row r="3489" spans="1:5" x14ac:dyDescent="0.35">
      <c r="A3489">
        <v>2010</v>
      </c>
      <c r="B3489" t="s">
        <v>38</v>
      </c>
      <c r="C3489" t="s">
        <v>20</v>
      </c>
      <c r="D3489">
        <v>777</v>
      </c>
      <c r="E3489" t="s">
        <v>467</v>
      </c>
    </row>
    <row r="3490" spans="1:5" x14ac:dyDescent="0.35">
      <c r="A3490">
        <v>2010</v>
      </c>
      <c r="B3490" t="s">
        <v>33</v>
      </c>
      <c r="C3490" t="s">
        <v>74</v>
      </c>
      <c r="D3490">
        <v>7</v>
      </c>
      <c r="E3490" t="s">
        <v>467</v>
      </c>
    </row>
    <row r="3491" spans="1:5" x14ac:dyDescent="0.35">
      <c r="A3491">
        <v>2010</v>
      </c>
      <c r="B3491" t="s">
        <v>33</v>
      </c>
      <c r="C3491" t="s">
        <v>75</v>
      </c>
      <c r="D3491">
        <v>47</v>
      </c>
      <c r="E3491" t="s">
        <v>467</v>
      </c>
    </row>
    <row r="3492" spans="1:5" x14ac:dyDescent="0.35">
      <c r="A3492">
        <v>2010</v>
      </c>
      <c r="B3492" t="s">
        <v>36</v>
      </c>
      <c r="C3492" t="s">
        <v>76</v>
      </c>
      <c r="D3492">
        <v>122</v>
      </c>
      <c r="E3492" t="s">
        <v>467</v>
      </c>
    </row>
    <row r="3493" spans="1:5" x14ac:dyDescent="0.35">
      <c r="A3493">
        <v>2010</v>
      </c>
      <c r="B3493" t="s">
        <v>33</v>
      </c>
      <c r="C3493" t="s">
        <v>77</v>
      </c>
      <c r="D3493">
        <v>120</v>
      </c>
      <c r="E3493" t="s">
        <v>467</v>
      </c>
    </row>
    <row r="3494" spans="1:5" x14ac:dyDescent="0.35">
      <c r="A3494">
        <v>2010</v>
      </c>
      <c r="B3494" t="s">
        <v>35</v>
      </c>
      <c r="C3494" t="s">
        <v>78</v>
      </c>
      <c r="D3494">
        <v>192</v>
      </c>
      <c r="E3494" t="s">
        <v>467</v>
      </c>
    </row>
    <row r="3495" spans="1:5" x14ac:dyDescent="0.35">
      <c r="A3495">
        <v>2010</v>
      </c>
      <c r="B3495" t="s">
        <v>36</v>
      </c>
      <c r="C3495" t="s">
        <v>79</v>
      </c>
      <c r="D3495">
        <v>108</v>
      </c>
      <c r="E3495" t="s">
        <v>467</v>
      </c>
    </row>
    <row r="3496" spans="1:5" x14ac:dyDescent="0.35">
      <c r="A3496">
        <v>2010</v>
      </c>
      <c r="B3496" t="s">
        <v>34</v>
      </c>
      <c r="C3496" t="s">
        <v>80</v>
      </c>
      <c r="D3496">
        <v>10</v>
      </c>
      <c r="E3496" t="s">
        <v>467</v>
      </c>
    </row>
    <row r="3497" spans="1:5" x14ac:dyDescent="0.35">
      <c r="A3497">
        <v>2010</v>
      </c>
      <c r="B3497" t="s">
        <v>35</v>
      </c>
      <c r="C3497" t="s">
        <v>81</v>
      </c>
      <c r="D3497">
        <v>101</v>
      </c>
      <c r="E3497" t="s">
        <v>467</v>
      </c>
    </row>
    <row r="3498" spans="1:5" x14ac:dyDescent="0.35">
      <c r="A3498">
        <v>2010</v>
      </c>
      <c r="B3498" t="s">
        <v>35</v>
      </c>
      <c r="C3498" t="s">
        <v>214</v>
      </c>
      <c r="D3498">
        <v>54</v>
      </c>
      <c r="E3498" t="s">
        <v>467</v>
      </c>
    </row>
    <row r="3499" spans="1:5" x14ac:dyDescent="0.35">
      <c r="A3499">
        <v>2010</v>
      </c>
      <c r="B3499" t="s">
        <v>35</v>
      </c>
      <c r="C3499" t="s">
        <v>82</v>
      </c>
      <c r="D3499">
        <v>88</v>
      </c>
      <c r="E3499" t="s">
        <v>467</v>
      </c>
    </row>
    <row r="3500" spans="1:5" x14ac:dyDescent="0.35">
      <c r="A3500">
        <v>2010</v>
      </c>
      <c r="B3500" t="s">
        <v>36</v>
      </c>
      <c r="C3500" t="s">
        <v>84</v>
      </c>
      <c r="D3500">
        <v>30</v>
      </c>
      <c r="E3500" t="s">
        <v>467</v>
      </c>
    </row>
    <row r="3501" spans="1:5" x14ac:dyDescent="0.35">
      <c r="A3501">
        <v>2010</v>
      </c>
      <c r="B3501" t="s">
        <v>36</v>
      </c>
      <c r="C3501" t="s">
        <v>85</v>
      </c>
      <c r="D3501">
        <v>741</v>
      </c>
      <c r="E3501" t="s">
        <v>467</v>
      </c>
    </row>
    <row r="3502" spans="1:5" x14ac:dyDescent="0.35">
      <c r="A3502">
        <v>2010</v>
      </c>
      <c r="B3502" t="s">
        <v>38</v>
      </c>
      <c r="C3502" t="s">
        <v>86</v>
      </c>
      <c r="D3502">
        <v>328</v>
      </c>
      <c r="E3502" t="s">
        <v>467</v>
      </c>
    </row>
    <row r="3503" spans="1:5" x14ac:dyDescent="0.35">
      <c r="A3503">
        <v>2010</v>
      </c>
      <c r="B3503" t="s">
        <v>33</v>
      </c>
      <c r="C3503" t="s">
        <v>87</v>
      </c>
      <c r="D3503">
        <v>520</v>
      </c>
      <c r="E3503" t="s">
        <v>467</v>
      </c>
    </row>
    <row r="3504" spans="1:5" x14ac:dyDescent="0.35">
      <c r="A3504">
        <v>2010</v>
      </c>
      <c r="B3504" t="s">
        <v>36</v>
      </c>
      <c r="C3504" t="s">
        <v>16</v>
      </c>
      <c r="D3504">
        <v>949</v>
      </c>
      <c r="E3504" t="s">
        <v>467</v>
      </c>
    </row>
    <row r="3505" spans="1:5" x14ac:dyDescent="0.35">
      <c r="A3505">
        <v>2010</v>
      </c>
      <c r="B3505" t="s">
        <v>33</v>
      </c>
      <c r="C3505" t="s">
        <v>89</v>
      </c>
      <c r="D3505">
        <v>9</v>
      </c>
      <c r="E3505" t="s">
        <v>467</v>
      </c>
    </row>
    <row r="3506" spans="1:5" x14ac:dyDescent="0.35">
      <c r="A3506">
        <v>2010</v>
      </c>
      <c r="B3506" t="s">
        <v>35</v>
      </c>
      <c r="C3506" t="s">
        <v>90</v>
      </c>
      <c r="D3506">
        <v>55</v>
      </c>
      <c r="E3506" t="s">
        <v>467</v>
      </c>
    </row>
    <row r="3507" spans="1:5" x14ac:dyDescent="0.35">
      <c r="A3507">
        <v>2010</v>
      </c>
      <c r="B3507" t="s">
        <v>33</v>
      </c>
      <c r="C3507" t="s">
        <v>91</v>
      </c>
      <c r="D3507">
        <v>73</v>
      </c>
      <c r="E3507" t="s">
        <v>467</v>
      </c>
    </row>
    <row r="3508" spans="1:5" x14ac:dyDescent="0.35">
      <c r="A3508">
        <v>2010</v>
      </c>
      <c r="B3508" t="s">
        <v>37</v>
      </c>
      <c r="C3508" t="s">
        <v>92</v>
      </c>
      <c r="D3508">
        <v>109</v>
      </c>
      <c r="E3508" t="s">
        <v>467</v>
      </c>
    </row>
    <row r="3509" spans="1:5" x14ac:dyDescent="0.35">
      <c r="A3509">
        <v>2010</v>
      </c>
      <c r="B3509" t="s">
        <v>35</v>
      </c>
      <c r="C3509" t="s">
        <v>93</v>
      </c>
      <c r="D3509">
        <v>39</v>
      </c>
      <c r="E3509" t="s">
        <v>467</v>
      </c>
    </row>
    <row r="3510" spans="1:5" x14ac:dyDescent="0.35">
      <c r="A3510">
        <v>2010</v>
      </c>
      <c r="B3510" t="s">
        <v>35</v>
      </c>
      <c r="C3510" t="s">
        <v>94</v>
      </c>
      <c r="D3510">
        <v>970</v>
      </c>
      <c r="E3510" t="s">
        <v>467</v>
      </c>
    </row>
    <row r="3511" spans="1:5" x14ac:dyDescent="0.35">
      <c r="A3511">
        <v>2010</v>
      </c>
      <c r="B3511" t="s">
        <v>33</v>
      </c>
      <c r="C3511" t="s">
        <v>95</v>
      </c>
      <c r="D3511">
        <v>4</v>
      </c>
      <c r="E3511" t="s">
        <v>467</v>
      </c>
    </row>
    <row r="3512" spans="1:5" x14ac:dyDescent="0.35">
      <c r="A3512">
        <v>2010</v>
      </c>
      <c r="B3512" t="s">
        <v>33</v>
      </c>
      <c r="C3512" t="s">
        <v>96</v>
      </c>
      <c r="D3512">
        <v>9</v>
      </c>
      <c r="E3512" t="s">
        <v>467</v>
      </c>
    </row>
    <row r="3513" spans="1:5" x14ac:dyDescent="0.35">
      <c r="A3513">
        <v>2010</v>
      </c>
      <c r="B3513" t="s">
        <v>34</v>
      </c>
      <c r="C3513" t="s">
        <v>8</v>
      </c>
      <c r="D3513">
        <v>309</v>
      </c>
      <c r="E3513" t="s">
        <v>467</v>
      </c>
    </row>
    <row r="3514" spans="1:5" x14ac:dyDescent="0.35">
      <c r="A3514">
        <v>2010</v>
      </c>
      <c r="B3514" t="s">
        <v>35</v>
      </c>
      <c r="C3514" t="s">
        <v>97</v>
      </c>
      <c r="D3514">
        <v>670</v>
      </c>
      <c r="E3514" t="s">
        <v>467</v>
      </c>
    </row>
    <row r="3515" spans="1:5" x14ac:dyDescent="0.35">
      <c r="A3515">
        <v>2010</v>
      </c>
      <c r="B3515" t="s">
        <v>33</v>
      </c>
      <c r="C3515" t="s">
        <v>98</v>
      </c>
      <c r="D3515">
        <v>159</v>
      </c>
      <c r="E3515" t="s">
        <v>467</v>
      </c>
    </row>
    <row r="3516" spans="1:5" x14ac:dyDescent="0.35">
      <c r="A3516">
        <v>2010</v>
      </c>
      <c r="B3516" t="s">
        <v>35</v>
      </c>
      <c r="C3516" t="s">
        <v>99</v>
      </c>
      <c r="D3516">
        <v>365</v>
      </c>
      <c r="E3516" t="s">
        <v>467</v>
      </c>
    </row>
    <row r="3517" spans="1:5" x14ac:dyDescent="0.35">
      <c r="A3517">
        <v>2010</v>
      </c>
      <c r="B3517" t="s">
        <v>36</v>
      </c>
      <c r="C3517" t="s">
        <v>100</v>
      </c>
      <c r="D3517">
        <v>37</v>
      </c>
      <c r="E3517" t="s">
        <v>467</v>
      </c>
    </row>
    <row r="3518" spans="1:5" x14ac:dyDescent="0.35">
      <c r="A3518">
        <v>2010</v>
      </c>
      <c r="B3518" t="s">
        <v>36</v>
      </c>
      <c r="C3518" t="s">
        <v>15</v>
      </c>
      <c r="D3518">
        <v>2314</v>
      </c>
      <c r="E3518" t="s">
        <v>467</v>
      </c>
    </row>
    <row r="3519" spans="1:5" x14ac:dyDescent="0.35">
      <c r="A3519">
        <v>2010</v>
      </c>
      <c r="B3519" t="s">
        <v>33</v>
      </c>
      <c r="C3519" t="s">
        <v>101</v>
      </c>
      <c r="D3519">
        <v>17</v>
      </c>
      <c r="E3519" t="s">
        <v>467</v>
      </c>
    </row>
    <row r="3520" spans="1:5" x14ac:dyDescent="0.35">
      <c r="A3520">
        <v>2010</v>
      </c>
      <c r="B3520" t="s">
        <v>38</v>
      </c>
      <c r="C3520" t="s">
        <v>103</v>
      </c>
      <c r="D3520">
        <v>183</v>
      </c>
      <c r="E3520" t="s">
        <v>467</v>
      </c>
    </row>
    <row r="3521" spans="1:5" x14ac:dyDescent="0.35">
      <c r="A3521">
        <v>2010</v>
      </c>
      <c r="B3521" t="s">
        <v>36</v>
      </c>
      <c r="C3521" t="s">
        <v>104</v>
      </c>
      <c r="D3521">
        <v>297</v>
      </c>
      <c r="E3521" t="s">
        <v>467</v>
      </c>
    </row>
    <row r="3522" spans="1:5" x14ac:dyDescent="0.35">
      <c r="A3522">
        <v>2010</v>
      </c>
      <c r="B3522" t="s">
        <v>36</v>
      </c>
      <c r="C3522" t="s">
        <v>17</v>
      </c>
      <c r="D3522">
        <v>1382</v>
      </c>
      <c r="E3522" t="s">
        <v>467</v>
      </c>
    </row>
    <row r="3523" spans="1:5" x14ac:dyDescent="0.35">
      <c r="A3523">
        <v>2010</v>
      </c>
      <c r="B3523" t="s">
        <v>34</v>
      </c>
      <c r="C3523" t="s">
        <v>368</v>
      </c>
      <c r="D3523">
        <v>102</v>
      </c>
      <c r="E3523" t="s">
        <v>467</v>
      </c>
    </row>
    <row r="3524" spans="1:5" x14ac:dyDescent="0.35">
      <c r="A3524">
        <v>2010</v>
      </c>
      <c r="B3524" t="s">
        <v>35</v>
      </c>
      <c r="C3524" t="s">
        <v>105</v>
      </c>
      <c r="D3524">
        <v>126</v>
      </c>
      <c r="E3524" t="s">
        <v>467</v>
      </c>
    </row>
    <row r="3525" spans="1:5" x14ac:dyDescent="0.35">
      <c r="A3525">
        <v>2010</v>
      </c>
      <c r="B3525" t="s">
        <v>35</v>
      </c>
      <c r="C3525" t="s">
        <v>106</v>
      </c>
      <c r="D3525">
        <v>13</v>
      </c>
      <c r="E3525" t="s">
        <v>467</v>
      </c>
    </row>
    <row r="3526" spans="1:5" x14ac:dyDescent="0.35">
      <c r="A3526">
        <v>2010</v>
      </c>
      <c r="B3526" t="s">
        <v>34</v>
      </c>
      <c r="C3526" t="s">
        <v>22</v>
      </c>
      <c r="D3526">
        <v>4695</v>
      </c>
      <c r="E3526" t="s">
        <v>467</v>
      </c>
    </row>
    <row r="3527" spans="1:5" x14ac:dyDescent="0.35">
      <c r="A3527">
        <v>2010</v>
      </c>
      <c r="B3527" t="s">
        <v>34</v>
      </c>
      <c r="C3527" t="s">
        <v>107</v>
      </c>
      <c r="D3527">
        <v>1907</v>
      </c>
      <c r="E3527" t="s">
        <v>467</v>
      </c>
    </row>
    <row r="3528" spans="1:5" x14ac:dyDescent="0.35">
      <c r="A3528">
        <v>2010</v>
      </c>
      <c r="B3528" t="s">
        <v>34</v>
      </c>
      <c r="C3528" t="s">
        <v>108</v>
      </c>
      <c r="D3528">
        <v>433</v>
      </c>
      <c r="E3528" t="s">
        <v>467</v>
      </c>
    </row>
    <row r="3529" spans="1:5" x14ac:dyDescent="0.35">
      <c r="A3529">
        <v>2010</v>
      </c>
      <c r="B3529" t="s">
        <v>34</v>
      </c>
      <c r="C3529" t="s">
        <v>109</v>
      </c>
      <c r="D3529">
        <v>93</v>
      </c>
      <c r="E3529" t="s">
        <v>467</v>
      </c>
    </row>
    <row r="3530" spans="1:5" x14ac:dyDescent="0.35">
      <c r="A3530">
        <v>2010</v>
      </c>
      <c r="B3530" t="s">
        <v>35</v>
      </c>
      <c r="C3530" t="s">
        <v>110</v>
      </c>
      <c r="D3530">
        <v>202</v>
      </c>
      <c r="E3530" t="s">
        <v>467</v>
      </c>
    </row>
    <row r="3531" spans="1:5" x14ac:dyDescent="0.35">
      <c r="A3531">
        <v>2010</v>
      </c>
      <c r="B3531" t="s">
        <v>34</v>
      </c>
      <c r="C3531" t="s">
        <v>111</v>
      </c>
      <c r="D3531">
        <v>429</v>
      </c>
      <c r="E3531" t="s">
        <v>467</v>
      </c>
    </row>
    <row r="3532" spans="1:5" x14ac:dyDescent="0.35">
      <c r="A3532">
        <v>2010</v>
      </c>
      <c r="B3532" t="s">
        <v>35</v>
      </c>
      <c r="C3532" t="s">
        <v>112</v>
      </c>
      <c r="D3532">
        <v>771</v>
      </c>
      <c r="E3532" t="s">
        <v>467</v>
      </c>
    </row>
    <row r="3533" spans="1:5" x14ac:dyDescent="0.35">
      <c r="A3533">
        <v>2010</v>
      </c>
      <c r="B3533" t="s">
        <v>36</v>
      </c>
      <c r="C3533" t="s">
        <v>113</v>
      </c>
      <c r="D3533">
        <v>508</v>
      </c>
      <c r="E3533" t="s">
        <v>467</v>
      </c>
    </row>
    <row r="3534" spans="1:5" x14ac:dyDescent="0.35">
      <c r="A3534">
        <v>2010</v>
      </c>
      <c r="B3534" t="s">
        <v>34</v>
      </c>
      <c r="C3534" t="s">
        <v>114</v>
      </c>
      <c r="D3534">
        <v>482</v>
      </c>
      <c r="E3534" t="s">
        <v>467</v>
      </c>
    </row>
    <row r="3535" spans="1:5" x14ac:dyDescent="0.35">
      <c r="A3535">
        <v>2010</v>
      </c>
      <c r="B3535" t="s">
        <v>34</v>
      </c>
      <c r="C3535" t="s">
        <v>115</v>
      </c>
      <c r="D3535">
        <v>165</v>
      </c>
      <c r="E3535" t="s">
        <v>467</v>
      </c>
    </row>
    <row r="3536" spans="1:5" x14ac:dyDescent="0.35">
      <c r="A3536">
        <v>2010</v>
      </c>
      <c r="B3536" t="s">
        <v>34</v>
      </c>
      <c r="C3536" t="s">
        <v>116</v>
      </c>
      <c r="D3536">
        <v>38</v>
      </c>
      <c r="E3536" t="s">
        <v>467</v>
      </c>
    </row>
    <row r="3537" spans="1:5" x14ac:dyDescent="0.35">
      <c r="A3537">
        <v>2010</v>
      </c>
      <c r="B3537" t="s">
        <v>33</v>
      </c>
      <c r="C3537" t="s">
        <v>117</v>
      </c>
      <c r="D3537">
        <v>127</v>
      </c>
      <c r="E3537" t="s">
        <v>467</v>
      </c>
    </row>
    <row r="3538" spans="1:5" x14ac:dyDescent="0.35">
      <c r="A3538">
        <v>2010</v>
      </c>
      <c r="B3538" t="s">
        <v>37</v>
      </c>
      <c r="C3538" t="s">
        <v>390</v>
      </c>
      <c r="D3538">
        <v>37</v>
      </c>
      <c r="E3538" t="s">
        <v>467</v>
      </c>
    </row>
    <row r="3539" spans="1:5" x14ac:dyDescent="0.35">
      <c r="A3539">
        <v>2010</v>
      </c>
      <c r="B3539" t="s">
        <v>34</v>
      </c>
      <c r="C3539" t="s">
        <v>118</v>
      </c>
      <c r="D3539">
        <v>1561</v>
      </c>
      <c r="E3539" t="s">
        <v>467</v>
      </c>
    </row>
    <row r="3540" spans="1:5" x14ac:dyDescent="0.35">
      <c r="A3540">
        <v>2010</v>
      </c>
      <c r="B3540" t="s">
        <v>35</v>
      </c>
      <c r="C3540" t="s">
        <v>119</v>
      </c>
      <c r="E3540" t="s">
        <v>467</v>
      </c>
    </row>
    <row r="3541" spans="1:5" x14ac:dyDescent="0.35">
      <c r="A3541">
        <v>2010</v>
      </c>
      <c r="B3541" t="s">
        <v>34</v>
      </c>
      <c r="C3541" t="s">
        <v>120</v>
      </c>
      <c r="D3541">
        <v>26</v>
      </c>
      <c r="E3541" t="s">
        <v>467</v>
      </c>
    </row>
    <row r="3542" spans="1:5" x14ac:dyDescent="0.35">
      <c r="A3542">
        <v>2010</v>
      </c>
      <c r="B3542" t="s">
        <v>34</v>
      </c>
      <c r="C3542" t="s">
        <v>121</v>
      </c>
      <c r="D3542">
        <v>18</v>
      </c>
      <c r="E3542" t="s">
        <v>467</v>
      </c>
    </row>
    <row r="3543" spans="1:5" x14ac:dyDescent="0.35">
      <c r="A3543">
        <v>2010</v>
      </c>
      <c r="B3543" t="s">
        <v>34</v>
      </c>
      <c r="C3543" t="s">
        <v>122</v>
      </c>
      <c r="D3543">
        <v>12</v>
      </c>
      <c r="E3543" t="s">
        <v>467</v>
      </c>
    </row>
    <row r="3544" spans="1:5" x14ac:dyDescent="0.35">
      <c r="A3544">
        <v>2010</v>
      </c>
      <c r="B3544" t="s">
        <v>35</v>
      </c>
      <c r="C3544" t="s">
        <v>123</v>
      </c>
      <c r="D3544">
        <v>222</v>
      </c>
      <c r="E3544" t="s">
        <v>467</v>
      </c>
    </row>
    <row r="3545" spans="1:5" x14ac:dyDescent="0.35">
      <c r="A3545">
        <v>2010</v>
      </c>
      <c r="B3545" t="s">
        <v>34</v>
      </c>
      <c r="C3545" t="s">
        <v>124</v>
      </c>
      <c r="D3545">
        <v>194</v>
      </c>
      <c r="E3545" t="s">
        <v>467</v>
      </c>
    </row>
    <row r="3546" spans="1:5" x14ac:dyDescent="0.35">
      <c r="A3546">
        <v>2010</v>
      </c>
      <c r="B3546" t="s">
        <v>33</v>
      </c>
      <c r="C3546" t="s">
        <v>125</v>
      </c>
      <c r="D3546">
        <v>16</v>
      </c>
      <c r="E3546" t="s">
        <v>467</v>
      </c>
    </row>
    <row r="3547" spans="1:5" x14ac:dyDescent="0.35">
      <c r="A3547">
        <v>2010</v>
      </c>
      <c r="B3547" t="s">
        <v>33</v>
      </c>
      <c r="C3547" t="s">
        <v>126</v>
      </c>
      <c r="D3547">
        <v>49</v>
      </c>
      <c r="E3547" t="s">
        <v>467</v>
      </c>
    </row>
    <row r="3548" spans="1:5" x14ac:dyDescent="0.35">
      <c r="A3548">
        <v>2010</v>
      </c>
      <c r="B3548" t="s">
        <v>35</v>
      </c>
      <c r="C3548" t="s">
        <v>127</v>
      </c>
      <c r="D3548">
        <v>638</v>
      </c>
      <c r="E3548" t="s">
        <v>467</v>
      </c>
    </row>
    <row r="3549" spans="1:5" x14ac:dyDescent="0.35">
      <c r="A3549">
        <v>2010</v>
      </c>
      <c r="B3549" t="s">
        <v>35</v>
      </c>
      <c r="C3549" t="s">
        <v>322</v>
      </c>
      <c r="D3549">
        <v>28</v>
      </c>
      <c r="E3549" t="s">
        <v>467</v>
      </c>
    </row>
    <row r="3550" spans="1:5" x14ac:dyDescent="0.35">
      <c r="A3550">
        <v>2010</v>
      </c>
      <c r="B3550" t="s">
        <v>33</v>
      </c>
      <c r="C3550" t="s">
        <v>129</v>
      </c>
      <c r="D3550">
        <v>10</v>
      </c>
      <c r="E3550" t="s">
        <v>467</v>
      </c>
    </row>
    <row r="3551" spans="1:5" x14ac:dyDescent="0.35">
      <c r="A3551">
        <v>2010</v>
      </c>
      <c r="B3551" t="s">
        <v>34</v>
      </c>
      <c r="C3551" t="s">
        <v>131</v>
      </c>
      <c r="D3551">
        <v>231</v>
      </c>
      <c r="E3551" t="s">
        <v>467</v>
      </c>
    </row>
    <row r="3552" spans="1:5" x14ac:dyDescent="0.35">
      <c r="A3552">
        <v>2010</v>
      </c>
      <c r="B3552" t="s">
        <v>34</v>
      </c>
      <c r="C3552" t="s">
        <v>389</v>
      </c>
      <c r="D3552">
        <v>61</v>
      </c>
      <c r="E3552" t="s">
        <v>467</v>
      </c>
    </row>
    <row r="3553" spans="1:5" x14ac:dyDescent="0.35">
      <c r="A3553">
        <v>2010</v>
      </c>
      <c r="B3553" t="s">
        <v>33</v>
      </c>
      <c r="C3553" t="s">
        <v>132</v>
      </c>
      <c r="D3553">
        <v>29</v>
      </c>
      <c r="E3553" t="s">
        <v>467</v>
      </c>
    </row>
    <row r="3554" spans="1:5" x14ac:dyDescent="0.35">
      <c r="A3554">
        <v>2010</v>
      </c>
      <c r="B3554" t="s">
        <v>35</v>
      </c>
      <c r="C3554" t="s">
        <v>133</v>
      </c>
      <c r="D3554">
        <v>6</v>
      </c>
      <c r="E3554" t="s">
        <v>467</v>
      </c>
    </row>
    <row r="3555" spans="1:5" x14ac:dyDescent="0.35">
      <c r="A3555">
        <v>2010</v>
      </c>
      <c r="B3555" t="s">
        <v>37</v>
      </c>
      <c r="C3555" t="s">
        <v>134</v>
      </c>
      <c r="D3555">
        <v>5</v>
      </c>
      <c r="E3555" t="s">
        <v>467</v>
      </c>
    </row>
    <row r="3556" spans="1:5" x14ac:dyDescent="0.35">
      <c r="A3556">
        <v>2010</v>
      </c>
      <c r="B3556" t="s">
        <v>33</v>
      </c>
      <c r="C3556" t="s">
        <v>136</v>
      </c>
      <c r="D3556">
        <v>270</v>
      </c>
      <c r="E3556" t="s">
        <v>467</v>
      </c>
    </row>
    <row r="3557" spans="1:5" x14ac:dyDescent="0.35">
      <c r="A3557">
        <v>2010</v>
      </c>
      <c r="B3557" t="s">
        <v>36</v>
      </c>
      <c r="C3557" t="s">
        <v>14</v>
      </c>
      <c r="D3557">
        <v>353850</v>
      </c>
      <c r="E3557" t="s">
        <v>467</v>
      </c>
    </row>
    <row r="3558" spans="1:5" x14ac:dyDescent="0.35">
      <c r="A3558">
        <v>2010</v>
      </c>
      <c r="B3558" t="s">
        <v>37</v>
      </c>
      <c r="C3558" t="s">
        <v>137</v>
      </c>
      <c r="D3558">
        <v>10</v>
      </c>
      <c r="E3558" t="s">
        <v>467</v>
      </c>
    </row>
    <row r="3559" spans="1:5" x14ac:dyDescent="0.35">
      <c r="A3559">
        <v>2010</v>
      </c>
      <c r="B3559" t="s">
        <v>35</v>
      </c>
      <c r="C3559" t="s">
        <v>138</v>
      </c>
      <c r="D3559">
        <v>56</v>
      </c>
      <c r="E3559" t="s">
        <v>467</v>
      </c>
    </row>
    <row r="3560" spans="1:5" x14ac:dyDescent="0.35">
      <c r="A3560">
        <v>2010</v>
      </c>
      <c r="B3560" t="s">
        <v>34</v>
      </c>
      <c r="C3560" t="s">
        <v>139</v>
      </c>
      <c r="D3560">
        <v>36</v>
      </c>
      <c r="E3560" t="s">
        <v>467</v>
      </c>
    </row>
    <row r="3561" spans="1:5" x14ac:dyDescent="0.35">
      <c r="A3561">
        <v>2010</v>
      </c>
      <c r="B3561" t="s">
        <v>35</v>
      </c>
      <c r="C3561" t="s">
        <v>140</v>
      </c>
      <c r="E3561" t="s">
        <v>467</v>
      </c>
    </row>
    <row r="3562" spans="1:5" x14ac:dyDescent="0.35">
      <c r="A3562">
        <v>2010</v>
      </c>
      <c r="B3562" t="s">
        <v>33</v>
      </c>
      <c r="C3562" t="s">
        <v>141</v>
      </c>
      <c r="D3562">
        <v>214</v>
      </c>
      <c r="E3562" t="s">
        <v>467</v>
      </c>
    </row>
    <row r="3563" spans="1:5" x14ac:dyDescent="0.35">
      <c r="A3563">
        <v>2010</v>
      </c>
      <c r="B3563" t="s">
        <v>34</v>
      </c>
      <c r="C3563" t="s">
        <v>144</v>
      </c>
      <c r="D3563">
        <v>43</v>
      </c>
      <c r="E3563" t="s">
        <v>467</v>
      </c>
    </row>
    <row r="3564" spans="1:5" x14ac:dyDescent="0.35">
      <c r="A3564">
        <v>2010</v>
      </c>
      <c r="B3564" t="s">
        <v>35</v>
      </c>
      <c r="C3564" t="s">
        <v>145</v>
      </c>
      <c r="D3564">
        <v>393</v>
      </c>
      <c r="E3564" t="s">
        <v>467</v>
      </c>
    </row>
    <row r="3565" spans="1:5" x14ac:dyDescent="0.35">
      <c r="A3565">
        <v>2010</v>
      </c>
      <c r="B3565" t="s">
        <v>36</v>
      </c>
      <c r="C3565" t="s">
        <v>371</v>
      </c>
      <c r="D3565">
        <v>11</v>
      </c>
      <c r="E3565" t="s">
        <v>467</v>
      </c>
    </row>
    <row r="3566" spans="1:5" x14ac:dyDescent="0.35">
      <c r="A3566">
        <v>2010</v>
      </c>
      <c r="B3566" t="s">
        <v>37</v>
      </c>
      <c r="C3566" t="s">
        <v>146</v>
      </c>
      <c r="D3566">
        <v>136</v>
      </c>
      <c r="E3566" t="s">
        <v>467</v>
      </c>
    </row>
    <row r="3567" spans="1:5" x14ac:dyDescent="0.35">
      <c r="A3567">
        <v>2010</v>
      </c>
      <c r="B3567" t="s">
        <v>36</v>
      </c>
      <c r="C3567" t="s">
        <v>147</v>
      </c>
      <c r="D3567">
        <v>170</v>
      </c>
      <c r="E3567" t="s">
        <v>467</v>
      </c>
    </row>
    <row r="3568" spans="1:5" x14ac:dyDescent="0.35">
      <c r="A3568">
        <v>2010</v>
      </c>
      <c r="B3568" t="s">
        <v>33</v>
      </c>
      <c r="C3568" t="s">
        <v>148</v>
      </c>
      <c r="D3568">
        <v>28</v>
      </c>
      <c r="E3568" t="s">
        <v>467</v>
      </c>
    </row>
    <row r="3569" spans="1:5" x14ac:dyDescent="0.35">
      <c r="A3569">
        <v>2010</v>
      </c>
      <c r="B3569" t="s">
        <v>33</v>
      </c>
      <c r="C3569" t="s">
        <v>149</v>
      </c>
      <c r="D3569">
        <v>461</v>
      </c>
      <c r="E3569" t="s">
        <v>467</v>
      </c>
    </row>
    <row r="3570" spans="1:5" x14ac:dyDescent="0.35">
      <c r="A3570">
        <v>2010</v>
      </c>
      <c r="B3570" t="s">
        <v>35</v>
      </c>
      <c r="C3570" t="s">
        <v>150</v>
      </c>
      <c r="D3570">
        <v>117</v>
      </c>
      <c r="E3570" t="s">
        <v>467</v>
      </c>
    </row>
    <row r="3571" spans="1:5" x14ac:dyDescent="0.35">
      <c r="A3571">
        <v>2010</v>
      </c>
      <c r="B3571" t="s">
        <v>34</v>
      </c>
      <c r="C3571" t="s">
        <v>152</v>
      </c>
      <c r="D3571">
        <v>647</v>
      </c>
      <c r="E3571" t="s">
        <v>467</v>
      </c>
    </row>
    <row r="3572" spans="1:5" x14ac:dyDescent="0.35">
      <c r="A3572">
        <v>2010</v>
      </c>
      <c r="B3572" t="s">
        <v>37</v>
      </c>
      <c r="C3572" t="s">
        <v>153</v>
      </c>
      <c r="D3572">
        <v>23</v>
      </c>
      <c r="E3572" t="s">
        <v>467</v>
      </c>
    </row>
    <row r="3573" spans="1:5" x14ac:dyDescent="0.35">
      <c r="A3573">
        <v>2010</v>
      </c>
      <c r="B3573" t="s">
        <v>36</v>
      </c>
      <c r="C3573" t="s">
        <v>154</v>
      </c>
      <c r="D3573">
        <v>73</v>
      </c>
      <c r="E3573" t="s">
        <v>467</v>
      </c>
    </row>
    <row r="3574" spans="1:5" x14ac:dyDescent="0.35">
      <c r="A3574">
        <v>2010</v>
      </c>
      <c r="B3574" t="s">
        <v>38</v>
      </c>
      <c r="C3574" t="s">
        <v>155</v>
      </c>
      <c r="D3574">
        <v>21</v>
      </c>
      <c r="E3574" t="s">
        <v>467</v>
      </c>
    </row>
    <row r="3575" spans="1:5" x14ac:dyDescent="0.35">
      <c r="A3575">
        <v>2010</v>
      </c>
      <c r="B3575" t="s">
        <v>38</v>
      </c>
      <c r="C3575" t="s">
        <v>156</v>
      </c>
      <c r="D3575">
        <v>460</v>
      </c>
      <c r="E3575" t="s">
        <v>467</v>
      </c>
    </row>
    <row r="3576" spans="1:5" x14ac:dyDescent="0.35">
      <c r="A3576">
        <v>2010</v>
      </c>
      <c r="B3576" t="s">
        <v>34</v>
      </c>
      <c r="C3576" t="s">
        <v>18</v>
      </c>
      <c r="D3576">
        <v>21413</v>
      </c>
      <c r="E3576" t="s">
        <v>467</v>
      </c>
    </row>
    <row r="3577" spans="1:5" x14ac:dyDescent="0.35">
      <c r="A3577">
        <v>2010</v>
      </c>
      <c r="B3577" t="s">
        <v>35</v>
      </c>
      <c r="C3577" t="s">
        <v>157</v>
      </c>
      <c r="D3577">
        <v>846</v>
      </c>
      <c r="E3577" t="s">
        <v>467</v>
      </c>
    </row>
    <row r="3578" spans="1:5" x14ac:dyDescent="0.35">
      <c r="A3578">
        <v>2010</v>
      </c>
      <c r="B3578" t="s">
        <v>35</v>
      </c>
      <c r="C3578" t="s">
        <v>158</v>
      </c>
      <c r="D3578">
        <v>169</v>
      </c>
      <c r="E3578" t="s">
        <v>467</v>
      </c>
    </row>
    <row r="3579" spans="1:5" x14ac:dyDescent="0.35">
      <c r="A3579">
        <v>2010</v>
      </c>
      <c r="B3579" t="s">
        <v>34</v>
      </c>
      <c r="C3579" t="s">
        <v>159</v>
      </c>
      <c r="D3579">
        <v>7</v>
      </c>
      <c r="E3579" t="s">
        <v>467</v>
      </c>
    </row>
    <row r="3580" spans="1:5" x14ac:dyDescent="0.35">
      <c r="A3580">
        <v>2010</v>
      </c>
      <c r="B3580" t="s">
        <v>35</v>
      </c>
      <c r="C3580" t="s">
        <v>160</v>
      </c>
      <c r="D3580">
        <v>1012</v>
      </c>
      <c r="E3580" t="s">
        <v>467</v>
      </c>
    </row>
    <row r="3581" spans="1:5" x14ac:dyDescent="0.35">
      <c r="A3581">
        <v>2010</v>
      </c>
      <c r="B3581" t="s">
        <v>35</v>
      </c>
      <c r="C3581" t="s">
        <v>161</v>
      </c>
      <c r="D3581">
        <v>3189</v>
      </c>
      <c r="E3581" t="s">
        <v>467</v>
      </c>
    </row>
    <row r="3582" spans="1:5" x14ac:dyDescent="0.35">
      <c r="A3582">
        <v>2010</v>
      </c>
      <c r="B3582" t="s">
        <v>33</v>
      </c>
      <c r="C3582" t="s">
        <v>162</v>
      </c>
      <c r="D3582">
        <v>15</v>
      </c>
      <c r="E3582" t="s">
        <v>467</v>
      </c>
    </row>
    <row r="3583" spans="1:5" x14ac:dyDescent="0.35">
      <c r="A3583">
        <v>2010</v>
      </c>
      <c r="B3583" t="s">
        <v>36</v>
      </c>
      <c r="C3583" t="s">
        <v>163</v>
      </c>
      <c r="D3583">
        <v>13</v>
      </c>
      <c r="E3583" t="s">
        <v>467</v>
      </c>
    </row>
    <row r="3584" spans="1:5" x14ac:dyDescent="0.35">
      <c r="A3584">
        <v>2010</v>
      </c>
      <c r="B3584" t="s">
        <v>36</v>
      </c>
      <c r="C3584" t="s">
        <v>164</v>
      </c>
      <c r="D3584">
        <v>31</v>
      </c>
      <c r="E3584" t="s">
        <v>467</v>
      </c>
    </row>
    <row r="3585" spans="1:5" x14ac:dyDescent="0.35">
      <c r="A3585">
        <v>2010</v>
      </c>
      <c r="B3585" t="s">
        <v>36</v>
      </c>
      <c r="C3585" t="s">
        <v>165</v>
      </c>
      <c r="D3585">
        <v>53</v>
      </c>
      <c r="E3585" t="s">
        <v>467</v>
      </c>
    </row>
    <row r="3586" spans="1:5" x14ac:dyDescent="0.35">
      <c r="A3586">
        <v>2010</v>
      </c>
      <c r="B3586" t="s">
        <v>37</v>
      </c>
      <c r="C3586" t="s">
        <v>166</v>
      </c>
      <c r="D3586">
        <v>20</v>
      </c>
      <c r="E3586" t="s">
        <v>467</v>
      </c>
    </row>
    <row r="3587" spans="1:5" x14ac:dyDescent="0.35">
      <c r="A3587">
        <v>2010</v>
      </c>
      <c r="B3587" t="s">
        <v>34</v>
      </c>
      <c r="C3587" t="s">
        <v>167</v>
      </c>
      <c r="D3587">
        <v>220</v>
      </c>
      <c r="E3587" t="s">
        <v>467</v>
      </c>
    </row>
    <row r="3588" spans="1:5" x14ac:dyDescent="0.35">
      <c r="A3588">
        <v>2010</v>
      </c>
      <c r="B3588" t="s">
        <v>33</v>
      </c>
      <c r="C3588" t="s">
        <v>168</v>
      </c>
      <c r="D3588">
        <v>127</v>
      </c>
      <c r="E3588" t="s">
        <v>467</v>
      </c>
    </row>
    <row r="3589" spans="1:5" x14ac:dyDescent="0.35">
      <c r="A3589">
        <v>2010</v>
      </c>
      <c r="B3589" t="s">
        <v>35</v>
      </c>
      <c r="C3589" t="s">
        <v>169</v>
      </c>
      <c r="E3589" t="s">
        <v>467</v>
      </c>
    </row>
    <row r="3590" spans="1:5" x14ac:dyDescent="0.35">
      <c r="A3590">
        <v>2010</v>
      </c>
      <c r="B3590" t="s">
        <v>35</v>
      </c>
      <c r="C3590" t="s">
        <v>215</v>
      </c>
      <c r="D3590">
        <v>119</v>
      </c>
      <c r="E3590" t="s">
        <v>467</v>
      </c>
    </row>
    <row r="3591" spans="1:5" x14ac:dyDescent="0.35">
      <c r="A3591">
        <v>2010</v>
      </c>
      <c r="B3591" t="s">
        <v>33</v>
      </c>
      <c r="C3591" t="s">
        <v>170</v>
      </c>
      <c r="D3591">
        <v>19</v>
      </c>
      <c r="E3591" t="s">
        <v>467</v>
      </c>
    </row>
    <row r="3592" spans="1:5" x14ac:dyDescent="0.35">
      <c r="A3592">
        <v>2010</v>
      </c>
      <c r="B3592" t="s">
        <v>34</v>
      </c>
      <c r="C3592" t="s">
        <v>171</v>
      </c>
      <c r="D3592">
        <v>65</v>
      </c>
      <c r="E3592" t="s">
        <v>467</v>
      </c>
    </row>
    <row r="3593" spans="1:5" x14ac:dyDescent="0.35">
      <c r="A3593">
        <v>2010</v>
      </c>
      <c r="B3593" t="s">
        <v>35</v>
      </c>
      <c r="C3593" t="s">
        <v>172</v>
      </c>
      <c r="D3593">
        <v>80</v>
      </c>
      <c r="E3593" t="s">
        <v>467</v>
      </c>
    </row>
    <row r="3594" spans="1:5" x14ac:dyDescent="0.35">
      <c r="A3594">
        <v>2010</v>
      </c>
      <c r="B3594" t="s">
        <v>35</v>
      </c>
      <c r="C3594" t="s">
        <v>173</v>
      </c>
      <c r="D3594">
        <v>26</v>
      </c>
      <c r="E3594" t="s">
        <v>467</v>
      </c>
    </row>
    <row r="3595" spans="1:5" x14ac:dyDescent="0.35">
      <c r="A3595">
        <v>2010</v>
      </c>
      <c r="B3595" t="s">
        <v>37</v>
      </c>
      <c r="C3595" t="s">
        <v>388</v>
      </c>
      <c r="E3595" t="s">
        <v>467</v>
      </c>
    </row>
    <row r="3596" spans="1:5" x14ac:dyDescent="0.35">
      <c r="A3596">
        <v>2010</v>
      </c>
      <c r="B3596" t="s">
        <v>33</v>
      </c>
      <c r="C3596" t="s">
        <v>174</v>
      </c>
      <c r="D3596">
        <v>25</v>
      </c>
      <c r="E3596" t="s">
        <v>467</v>
      </c>
    </row>
    <row r="3597" spans="1:5" x14ac:dyDescent="0.35">
      <c r="A3597">
        <v>2010</v>
      </c>
      <c r="B3597" t="s">
        <v>33</v>
      </c>
      <c r="C3597" t="s">
        <v>175</v>
      </c>
      <c r="D3597">
        <v>160</v>
      </c>
      <c r="E3597" t="s">
        <v>467</v>
      </c>
    </row>
    <row r="3598" spans="1:5" x14ac:dyDescent="0.35">
      <c r="A3598">
        <v>2010</v>
      </c>
      <c r="B3598" t="s">
        <v>35</v>
      </c>
      <c r="C3598" t="s">
        <v>216</v>
      </c>
      <c r="D3598">
        <v>150</v>
      </c>
      <c r="E3598" t="s">
        <v>467</v>
      </c>
    </row>
    <row r="3599" spans="1:5" x14ac:dyDescent="0.35">
      <c r="A3599">
        <v>2010</v>
      </c>
      <c r="B3599" t="s">
        <v>35</v>
      </c>
      <c r="C3599" t="s">
        <v>177</v>
      </c>
      <c r="D3599">
        <v>461</v>
      </c>
      <c r="E3599" t="s">
        <v>467</v>
      </c>
    </row>
    <row r="3600" spans="1:5" x14ac:dyDescent="0.35">
      <c r="A3600">
        <v>2010</v>
      </c>
      <c r="B3600" t="s">
        <v>34</v>
      </c>
      <c r="C3600" t="s">
        <v>178</v>
      </c>
      <c r="D3600">
        <v>254</v>
      </c>
      <c r="E3600" t="s">
        <v>467</v>
      </c>
    </row>
    <row r="3601" spans="1:5" x14ac:dyDescent="0.35">
      <c r="A3601">
        <v>2010</v>
      </c>
      <c r="B3601" t="s">
        <v>33</v>
      </c>
      <c r="C3601" t="s">
        <v>179</v>
      </c>
      <c r="D3601">
        <v>21</v>
      </c>
      <c r="E3601" t="s">
        <v>467</v>
      </c>
    </row>
    <row r="3602" spans="1:5" x14ac:dyDescent="0.35">
      <c r="A3602">
        <v>2010</v>
      </c>
      <c r="B3602" t="s">
        <v>35</v>
      </c>
      <c r="C3602" t="s">
        <v>182</v>
      </c>
      <c r="D3602">
        <v>152</v>
      </c>
      <c r="E3602" t="s">
        <v>467</v>
      </c>
    </row>
    <row r="3603" spans="1:5" x14ac:dyDescent="0.35">
      <c r="A3603">
        <v>2010</v>
      </c>
      <c r="B3603" t="s">
        <v>35</v>
      </c>
      <c r="C3603" t="s">
        <v>183</v>
      </c>
      <c r="D3603">
        <v>108</v>
      </c>
      <c r="E3603" t="s">
        <v>467</v>
      </c>
    </row>
    <row r="3604" spans="1:5" x14ac:dyDescent="0.35">
      <c r="A3604">
        <v>2010</v>
      </c>
      <c r="B3604" t="s">
        <v>34</v>
      </c>
      <c r="C3604" t="s">
        <v>184</v>
      </c>
      <c r="D3604">
        <v>89</v>
      </c>
      <c r="E3604" t="s">
        <v>467</v>
      </c>
    </row>
    <row r="3605" spans="1:5" x14ac:dyDescent="0.35">
      <c r="A3605">
        <v>2010</v>
      </c>
      <c r="B3605" t="s">
        <v>34</v>
      </c>
      <c r="C3605" t="s">
        <v>185</v>
      </c>
      <c r="D3605">
        <v>293</v>
      </c>
      <c r="E3605" t="s">
        <v>467</v>
      </c>
    </row>
    <row r="3606" spans="1:5" x14ac:dyDescent="0.35">
      <c r="A3606">
        <v>2010</v>
      </c>
      <c r="B3606" t="s">
        <v>34</v>
      </c>
      <c r="C3606" t="s">
        <v>186</v>
      </c>
      <c r="D3606">
        <v>14</v>
      </c>
      <c r="E3606" t="s">
        <v>467</v>
      </c>
    </row>
    <row r="3607" spans="1:5" x14ac:dyDescent="0.35">
      <c r="A3607">
        <v>2010</v>
      </c>
      <c r="B3607" t="s">
        <v>33</v>
      </c>
      <c r="C3607" t="s">
        <v>187</v>
      </c>
      <c r="D3607">
        <v>320</v>
      </c>
      <c r="E3607" t="s">
        <v>467</v>
      </c>
    </row>
    <row r="3608" spans="1:5" x14ac:dyDescent="0.35">
      <c r="A3608">
        <v>2010</v>
      </c>
      <c r="B3608" t="s">
        <v>34</v>
      </c>
      <c r="C3608" t="s">
        <v>188</v>
      </c>
      <c r="D3608">
        <v>463</v>
      </c>
      <c r="E3608" t="s">
        <v>467</v>
      </c>
    </row>
    <row r="3609" spans="1:5" x14ac:dyDescent="0.35">
      <c r="A3609">
        <v>2010</v>
      </c>
      <c r="B3609" t="s">
        <v>33</v>
      </c>
      <c r="C3609" t="s">
        <v>189</v>
      </c>
      <c r="D3609">
        <v>75</v>
      </c>
      <c r="E3609" t="s">
        <v>467</v>
      </c>
    </row>
    <row r="3610" spans="1:5" x14ac:dyDescent="0.35">
      <c r="A3610">
        <v>2010</v>
      </c>
      <c r="B3610" t="s">
        <v>37</v>
      </c>
      <c r="C3610" t="s">
        <v>190</v>
      </c>
      <c r="D3610">
        <v>9</v>
      </c>
      <c r="E3610" t="s">
        <v>467</v>
      </c>
    </row>
    <row r="3611" spans="1:5" x14ac:dyDescent="0.35">
      <c r="A3611">
        <v>2010</v>
      </c>
      <c r="B3611" t="s">
        <v>36</v>
      </c>
      <c r="C3611" t="s">
        <v>191</v>
      </c>
      <c r="D3611">
        <v>199</v>
      </c>
      <c r="E3611" t="s">
        <v>467</v>
      </c>
    </row>
    <row r="3612" spans="1:5" x14ac:dyDescent="0.35">
      <c r="A3612">
        <v>2010</v>
      </c>
      <c r="B3612" t="s">
        <v>33</v>
      </c>
      <c r="C3612" t="s">
        <v>192</v>
      </c>
      <c r="D3612">
        <v>57</v>
      </c>
      <c r="E3612" t="s">
        <v>467</v>
      </c>
    </row>
    <row r="3613" spans="1:5" x14ac:dyDescent="0.35">
      <c r="A3613">
        <v>2010</v>
      </c>
      <c r="B3613" t="s">
        <v>34</v>
      </c>
      <c r="C3613" t="s">
        <v>193</v>
      </c>
      <c r="D3613">
        <v>1802</v>
      </c>
      <c r="E3613" t="s">
        <v>467</v>
      </c>
    </row>
    <row r="3614" spans="1:5" x14ac:dyDescent="0.35">
      <c r="A3614">
        <v>2010</v>
      </c>
      <c r="B3614" t="s">
        <v>36</v>
      </c>
      <c r="C3614" t="s">
        <v>372</v>
      </c>
      <c r="D3614">
        <v>11</v>
      </c>
      <c r="E3614" t="s">
        <v>467</v>
      </c>
    </row>
    <row r="3615" spans="1:5" x14ac:dyDescent="0.35">
      <c r="A3615">
        <v>2010</v>
      </c>
      <c r="B3615" t="s">
        <v>37</v>
      </c>
      <c r="C3615" t="s">
        <v>387</v>
      </c>
      <c r="E3615" t="s">
        <v>467</v>
      </c>
    </row>
    <row r="3616" spans="1:5" x14ac:dyDescent="0.35">
      <c r="A3616">
        <v>2010</v>
      </c>
      <c r="B3616" t="s">
        <v>33</v>
      </c>
      <c r="C3616" t="s">
        <v>195</v>
      </c>
      <c r="D3616">
        <v>20</v>
      </c>
      <c r="E3616" t="s">
        <v>467</v>
      </c>
    </row>
    <row r="3617" spans="1:5" x14ac:dyDescent="0.35">
      <c r="A3617">
        <v>2010</v>
      </c>
      <c r="B3617" t="s">
        <v>35</v>
      </c>
      <c r="C3617" t="s">
        <v>196</v>
      </c>
      <c r="D3617">
        <v>4415</v>
      </c>
      <c r="E3617" t="s">
        <v>467</v>
      </c>
    </row>
    <row r="3618" spans="1:5" x14ac:dyDescent="0.35">
      <c r="A3618">
        <v>2010</v>
      </c>
      <c r="B3618" t="s">
        <v>34</v>
      </c>
      <c r="C3618" t="s">
        <v>197</v>
      </c>
      <c r="D3618">
        <v>18</v>
      </c>
      <c r="E3618" t="s">
        <v>467</v>
      </c>
    </row>
    <row r="3619" spans="1:5" x14ac:dyDescent="0.35">
      <c r="A3619">
        <v>2010</v>
      </c>
      <c r="B3619" t="s">
        <v>35</v>
      </c>
      <c r="C3619" t="s">
        <v>198</v>
      </c>
      <c r="D3619">
        <v>1774</v>
      </c>
      <c r="E3619" t="s">
        <v>467</v>
      </c>
    </row>
    <row r="3620" spans="1:5" x14ac:dyDescent="0.35">
      <c r="A3620">
        <v>2010</v>
      </c>
      <c r="B3620" t="s">
        <v>39</v>
      </c>
      <c r="C3620" t="s">
        <v>39</v>
      </c>
      <c r="D3620">
        <v>132</v>
      </c>
      <c r="E3620" t="s">
        <v>467</v>
      </c>
    </row>
    <row r="3621" spans="1:5" x14ac:dyDescent="0.35">
      <c r="A3621">
        <v>2010</v>
      </c>
      <c r="B3621" t="s">
        <v>38</v>
      </c>
      <c r="C3621" t="s">
        <v>199</v>
      </c>
      <c r="D3621">
        <v>32</v>
      </c>
      <c r="E3621" t="s">
        <v>467</v>
      </c>
    </row>
    <row r="3622" spans="1:5" x14ac:dyDescent="0.35">
      <c r="A3622">
        <v>2010</v>
      </c>
      <c r="B3622" t="s">
        <v>34</v>
      </c>
      <c r="C3622" t="s">
        <v>200</v>
      </c>
      <c r="D3622">
        <v>46</v>
      </c>
      <c r="E3622" t="s">
        <v>467</v>
      </c>
    </row>
    <row r="3623" spans="1:5" x14ac:dyDescent="0.35">
      <c r="A3623">
        <v>2010</v>
      </c>
      <c r="B3623" t="s">
        <v>38</v>
      </c>
      <c r="C3623" t="s">
        <v>19</v>
      </c>
      <c r="D3623">
        <v>274</v>
      </c>
      <c r="E3623" t="s">
        <v>467</v>
      </c>
    </row>
    <row r="3624" spans="1:5" x14ac:dyDescent="0.35">
      <c r="A3624">
        <v>2010</v>
      </c>
      <c r="B3624" t="s">
        <v>34</v>
      </c>
      <c r="C3624" t="s">
        <v>201</v>
      </c>
      <c r="D3624">
        <v>722</v>
      </c>
      <c r="E3624" t="s">
        <v>467</v>
      </c>
    </row>
    <row r="3625" spans="1:5" x14ac:dyDescent="0.35">
      <c r="A3625">
        <v>2010</v>
      </c>
      <c r="B3625" t="s">
        <v>34</v>
      </c>
      <c r="C3625" t="s">
        <v>202</v>
      </c>
      <c r="D3625">
        <v>23</v>
      </c>
      <c r="E3625" t="s">
        <v>467</v>
      </c>
    </row>
    <row r="3626" spans="1:5" x14ac:dyDescent="0.35">
      <c r="A3626">
        <v>2010</v>
      </c>
      <c r="B3626" t="s">
        <v>33</v>
      </c>
      <c r="C3626" t="s">
        <v>203</v>
      </c>
      <c r="D3626">
        <v>16</v>
      </c>
      <c r="E3626" t="s">
        <v>467</v>
      </c>
    </row>
    <row r="3627" spans="1:5" x14ac:dyDescent="0.35">
      <c r="A3627">
        <v>2010</v>
      </c>
      <c r="B3627" t="s">
        <v>33</v>
      </c>
      <c r="C3627" t="s">
        <v>204</v>
      </c>
      <c r="D3627">
        <v>42</v>
      </c>
      <c r="E3627" t="s">
        <v>467</v>
      </c>
    </row>
    <row r="3628" spans="1:5" x14ac:dyDescent="0.35">
      <c r="A3628">
        <v>2010</v>
      </c>
      <c r="B3628" t="s">
        <v>34</v>
      </c>
      <c r="C3628" t="s">
        <v>40</v>
      </c>
      <c r="D3628">
        <v>92</v>
      </c>
      <c r="E3628" t="s">
        <v>466</v>
      </c>
    </row>
    <row r="3629" spans="1:5" x14ac:dyDescent="0.35">
      <c r="A3629">
        <v>2010</v>
      </c>
      <c r="B3629" t="s">
        <v>35</v>
      </c>
      <c r="C3629" t="s">
        <v>41</v>
      </c>
      <c r="D3629">
        <v>321</v>
      </c>
      <c r="E3629" t="s">
        <v>466</v>
      </c>
    </row>
    <row r="3630" spans="1:5" x14ac:dyDescent="0.35">
      <c r="A3630">
        <v>2010</v>
      </c>
      <c r="B3630" t="s">
        <v>33</v>
      </c>
      <c r="C3630" t="s">
        <v>42</v>
      </c>
      <c r="D3630">
        <v>62</v>
      </c>
      <c r="E3630" t="s">
        <v>466</v>
      </c>
    </row>
    <row r="3631" spans="1:5" x14ac:dyDescent="0.35">
      <c r="A3631">
        <v>2010</v>
      </c>
      <c r="C3631" t="s">
        <v>373</v>
      </c>
      <c r="D3631">
        <v>95</v>
      </c>
      <c r="E3631" t="s">
        <v>466</v>
      </c>
    </row>
    <row r="3632" spans="1:5" x14ac:dyDescent="0.35">
      <c r="A3632">
        <v>2010</v>
      </c>
      <c r="B3632" t="s">
        <v>33</v>
      </c>
      <c r="C3632" t="s">
        <v>43</v>
      </c>
      <c r="D3632">
        <v>22</v>
      </c>
      <c r="E3632" t="s">
        <v>466</v>
      </c>
    </row>
    <row r="3633" spans="1:5" x14ac:dyDescent="0.35">
      <c r="A3633">
        <v>2010</v>
      </c>
      <c r="B3633" t="s">
        <v>36</v>
      </c>
      <c r="C3633" t="s">
        <v>44</v>
      </c>
      <c r="D3633">
        <v>57</v>
      </c>
      <c r="E3633" t="s">
        <v>466</v>
      </c>
    </row>
    <row r="3634" spans="1:5" x14ac:dyDescent="0.35">
      <c r="A3634">
        <v>2010</v>
      </c>
      <c r="B3634" t="s">
        <v>38</v>
      </c>
      <c r="C3634" t="s">
        <v>45</v>
      </c>
      <c r="D3634">
        <v>431</v>
      </c>
      <c r="E3634" t="s">
        <v>466</v>
      </c>
    </row>
    <row r="3635" spans="1:5" x14ac:dyDescent="0.35">
      <c r="A3635">
        <v>2010</v>
      </c>
      <c r="B3635" t="s">
        <v>34</v>
      </c>
      <c r="C3635" t="s">
        <v>46</v>
      </c>
      <c r="D3635">
        <v>239</v>
      </c>
      <c r="E3635" t="s">
        <v>466</v>
      </c>
    </row>
    <row r="3636" spans="1:5" x14ac:dyDescent="0.35">
      <c r="A3636">
        <v>2010</v>
      </c>
      <c r="B3636" t="s">
        <v>37</v>
      </c>
      <c r="C3636" t="s">
        <v>47</v>
      </c>
      <c r="D3636">
        <v>76</v>
      </c>
      <c r="E3636" t="s">
        <v>466</v>
      </c>
    </row>
    <row r="3637" spans="1:5" x14ac:dyDescent="0.35">
      <c r="A3637">
        <v>2010</v>
      </c>
      <c r="B3637" t="s">
        <v>35</v>
      </c>
      <c r="C3637" t="s">
        <v>48</v>
      </c>
      <c r="D3637">
        <v>22</v>
      </c>
      <c r="E3637" t="s">
        <v>466</v>
      </c>
    </row>
    <row r="3638" spans="1:5" x14ac:dyDescent="0.35">
      <c r="A3638">
        <v>2010</v>
      </c>
      <c r="B3638" t="s">
        <v>34</v>
      </c>
      <c r="C3638" t="s">
        <v>49</v>
      </c>
      <c r="D3638">
        <v>30</v>
      </c>
      <c r="E3638" t="s">
        <v>466</v>
      </c>
    </row>
    <row r="3639" spans="1:5" x14ac:dyDescent="0.35">
      <c r="A3639">
        <v>2010</v>
      </c>
      <c r="B3639" t="s">
        <v>36</v>
      </c>
      <c r="C3639" t="s">
        <v>50</v>
      </c>
      <c r="D3639">
        <v>279</v>
      </c>
      <c r="E3639" t="s">
        <v>466</v>
      </c>
    </row>
    <row r="3640" spans="1:5" x14ac:dyDescent="0.35">
      <c r="A3640">
        <v>2010</v>
      </c>
      <c r="B3640" t="s">
        <v>34</v>
      </c>
      <c r="C3640" t="s">
        <v>51</v>
      </c>
      <c r="D3640">
        <v>5</v>
      </c>
      <c r="E3640" t="s">
        <v>466</v>
      </c>
    </row>
    <row r="3641" spans="1:5" x14ac:dyDescent="0.35">
      <c r="A3641">
        <v>2010</v>
      </c>
      <c r="B3641" t="s">
        <v>34</v>
      </c>
      <c r="C3641" t="s">
        <v>52</v>
      </c>
      <c r="D3641">
        <v>325</v>
      </c>
      <c r="E3641" t="s">
        <v>466</v>
      </c>
    </row>
    <row r="3642" spans="1:5" x14ac:dyDescent="0.35">
      <c r="A3642">
        <v>2010</v>
      </c>
      <c r="B3642" t="s">
        <v>36</v>
      </c>
      <c r="C3642" t="s">
        <v>53</v>
      </c>
      <c r="D3642">
        <v>82</v>
      </c>
      <c r="E3642" t="s">
        <v>466</v>
      </c>
    </row>
    <row r="3643" spans="1:5" x14ac:dyDescent="0.35">
      <c r="A3643">
        <v>2010</v>
      </c>
      <c r="B3643" t="s">
        <v>35</v>
      </c>
      <c r="C3643" t="s">
        <v>54</v>
      </c>
      <c r="D3643">
        <v>66</v>
      </c>
      <c r="E3643" t="s">
        <v>466</v>
      </c>
    </row>
    <row r="3644" spans="1:5" x14ac:dyDescent="0.35">
      <c r="A3644">
        <v>2010</v>
      </c>
      <c r="B3644" t="s">
        <v>35</v>
      </c>
      <c r="C3644" t="s">
        <v>55</v>
      </c>
      <c r="D3644">
        <v>24</v>
      </c>
      <c r="E3644" t="s">
        <v>466</v>
      </c>
    </row>
    <row r="3645" spans="1:5" x14ac:dyDescent="0.35">
      <c r="A3645">
        <v>2010</v>
      </c>
      <c r="B3645" t="s">
        <v>36</v>
      </c>
      <c r="C3645" t="s">
        <v>56</v>
      </c>
      <c r="D3645">
        <v>338</v>
      </c>
      <c r="E3645" t="s">
        <v>466</v>
      </c>
    </row>
    <row r="3646" spans="1:5" x14ac:dyDescent="0.35">
      <c r="A3646">
        <v>2010</v>
      </c>
      <c r="B3646" t="s">
        <v>33</v>
      </c>
      <c r="C3646" t="s">
        <v>57</v>
      </c>
      <c r="D3646">
        <v>12</v>
      </c>
      <c r="E3646" t="s">
        <v>466</v>
      </c>
    </row>
    <row r="3647" spans="1:5" x14ac:dyDescent="0.35">
      <c r="A3647">
        <v>2010</v>
      </c>
      <c r="B3647" t="s">
        <v>36</v>
      </c>
      <c r="C3647" t="s">
        <v>363</v>
      </c>
      <c r="D3647">
        <v>18</v>
      </c>
      <c r="E3647" t="s">
        <v>466</v>
      </c>
    </row>
    <row r="3648" spans="1:5" x14ac:dyDescent="0.35">
      <c r="A3648">
        <v>2010</v>
      </c>
      <c r="B3648" t="s">
        <v>38</v>
      </c>
      <c r="C3648" t="s">
        <v>59</v>
      </c>
      <c r="D3648">
        <v>307</v>
      </c>
      <c r="E3648" t="s">
        <v>466</v>
      </c>
    </row>
    <row r="3649" spans="1:5" x14ac:dyDescent="0.35">
      <c r="A3649">
        <v>2010</v>
      </c>
      <c r="B3649" t="s">
        <v>35</v>
      </c>
      <c r="C3649" t="s">
        <v>60</v>
      </c>
      <c r="D3649">
        <v>202</v>
      </c>
      <c r="E3649" t="s">
        <v>466</v>
      </c>
    </row>
    <row r="3650" spans="1:5" x14ac:dyDescent="0.35">
      <c r="A3650">
        <v>2010</v>
      </c>
      <c r="B3650" t="s">
        <v>38</v>
      </c>
      <c r="C3650" t="s">
        <v>21</v>
      </c>
      <c r="D3650">
        <v>3532</v>
      </c>
      <c r="E3650" t="s">
        <v>466</v>
      </c>
    </row>
    <row r="3651" spans="1:5" x14ac:dyDescent="0.35">
      <c r="A3651">
        <v>2010</v>
      </c>
      <c r="B3651" t="s">
        <v>36</v>
      </c>
      <c r="C3651" t="s">
        <v>364</v>
      </c>
      <c r="D3651">
        <v>10</v>
      </c>
      <c r="E3651" t="s">
        <v>466</v>
      </c>
    </row>
    <row r="3652" spans="1:5" x14ac:dyDescent="0.35">
      <c r="A3652">
        <v>2010</v>
      </c>
      <c r="B3652" t="s">
        <v>35</v>
      </c>
      <c r="C3652" t="s">
        <v>62</v>
      </c>
      <c r="D3652">
        <v>103</v>
      </c>
      <c r="E3652" t="s">
        <v>466</v>
      </c>
    </row>
    <row r="3653" spans="1:5" x14ac:dyDescent="0.35">
      <c r="A3653">
        <v>2010</v>
      </c>
      <c r="B3653" t="s">
        <v>33</v>
      </c>
      <c r="C3653" t="s">
        <v>63</v>
      </c>
      <c r="D3653">
        <v>29</v>
      </c>
      <c r="E3653" t="s">
        <v>466</v>
      </c>
    </row>
    <row r="3654" spans="1:5" x14ac:dyDescent="0.35">
      <c r="A3654">
        <v>2010</v>
      </c>
      <c r="B3654" t="s">
        <v>34</v>
      </c>
      <c r="C3654" t="s">
        <v>64</v>
      </c>
      <c r="D3654">
        <v>54</v>
      </c>
      <c r="E3654" t="s">
        <v>466</v>
      </c>
    </row>
    <row r="3655" spans="1:5" x14ac:dyDescent="0.35">
      <c r="A3655">
        <v>2010</v>
      </c>
      <c r="B3655" t="s">
        <v>33</v>
      </c>
      <c r="C3655" t="s">
        <v>65</v>
      </c>
      <c r="D3655">
        <v>17</v>
      </c>
      <c r="E3655" t="s">
        <v>466</v>
      </c>
    </row>
    <row r="3656" spans="1:5" x14ac:dyDescent="0.35">
      <c r="A3656">
        <v>2010</v>
      </c>
      <c r="B3656" t="s">
        <v>33</v>
      </c>
      <c r="C3656" t="s">
        <v>66</v>
      </c>
      <c r="D3656">
        <v>384</v>
      </c>
      <c r="E3656" t="s">
        <v>466</v>
      </c>
    </row>
    <row r="3657" spans="1:5" x14ac:dyDescent="0.35">
      <c r="A3657">
        <v>2010</v>
      </c>
      <c r="B3657" t="s">
        <v>34</v>
      </c>
      <c r="C3657" t="s">
        <v>67</v>
      </c>
      <c r="D3657">
        <v>152</v>
      </c>
      <c r="E3657" t="s">
        <v>466</v>
      </c>
    </row>
    <row r="3658" spans="1:5" x14ac:dyDescent="0.35">
      <c r="A3658">
        <v>2010</v>
      </c>
      <c r="B3658" t="s">
        <v>33</v>
      </c>
      <c r="C3658" t="s">
        <v>68</v>
      </c>
      <c r="D3658">
        <v>1486</v>
      </c>
      <c r="E3658" t="s">
        <v>466</v>
      </c>
    </row>
    <row r="3659" spans="1:5" x14ac:dyDescent="0.35">
      <c r="A3659">
        <v>2010</v>
      </c>
      <c r="B3659" t="s">
        <v>36</v>
      </c>
      <c r="C3659" t="s">
        <v>69</v>
      </c>
      <c r="D3659">
        <v>118</v>
      </c>
      <c r="E3659" t="s">
        <v>466</v>
      </c>
    </row>
    <row r="3660" spans="1:5" x14ac:dyDescent="0.35">
      <c r="A3660">
        <v>2010</v>
      </c>
      <c r="B3660" t="s">
        <v>36</v>
      </c>
      <c r="C3660" t="s">
        <v>365</v>
      </c>
      <c r="D3660">
        <v>10</v>
      </c>
      <c r="E3660" t="s">
        <v>466</v>
      </c>
    </row>
    <row r="3661" spans="1:5" x14ac:dyDescent="0.35">
      <c r="A3661">
        <v>2010</v>
      </c>
      <c r="B3661" t="s">
        <v>33</v>
      </c>
      <c r="C3661" t="s">
        <v>70</v>
      </c>
      <c r="D3661">
        <v>12</v>
      </c>
      <c r="E3661" t="s">
        <v>466</v>
      </c>
    </row>
    <row r="3662" spans="1:5" x14ac:dyDescent="0.35">
      <c r="A3662">
        <v>2010</v>
      </c>
      <c r="B3662" t="s">
        <v>33</v>
      </c>
      <c r="C3662" t="s">
        <v>71</v>
      </c>
      <c r="D3662">
        <v>5</v>
      </c>
      <c r="E3662" t="s">
        <v>466</v>
      </c>
    </row>
    <row r="3663" spans="1:5" x14ac:dyDescent="0.35">
      <c r="A3663">
        <v>2010</v>
      </c>
      <c r="B3663" t="s">
        <v>38</v>
      </c>
      <c r="C3663" t="s">
        <v>72</v>
      </c>
      <c r="D3663">
        <v>285</v>
      </c>
      <c r="E3663" t="s">
        <v>466</v>
      </c>
    </row>
    <row r="3664" spans="1:5" x14ac:dyDescent="0.35">
      <c r="A3664">
        <v>2010</v>
      </c>
      <c r="B3664" t="s">
        <v>34</v>
      </c>
      <c r="C3664" t="s">
        <v>73</v>
      </c>
      <c r="D3664">
        <v>2714</v>
      </c>
      <c r="E3664" t="s">
        <v>466</v>
      </c>
    </row>
    <row r="3665" spans="1:5" x14ac:dyDescent="0.35">
      <c r="A3665">
        <v>2010</v>
      </c>
      <c r="B3665" t="s">
        <v>38</v>
      </c>
      <c r="C3665" t="s">
        <v>20</v>
      </c>
      <c r="D3665">
        <v>3006</v>
      </c>
      <c r="E3665" t="s">
        <v>466</v>
      </c>
    </row>
    <row r="3666" spans="1:5" x14ac:dyDescent="0.35">
      <c r="A3666">
        <v>2010</v>
      </c>
      <c r="B3666" t="s">
        <v>33</v>
      </c>
      <c r="C3666" t="s">
        <v>74</v>
      </c>
      <c r="D3666">
        <v>24</v>
      </c>
      <c r="E3666" t="s">
        <v>466</v>
      </c>
    </row>
    <row r="3667" spans="1:5" x14ac:dyDescent="0.35">
      <c r="A3667">
        <v>2010</v>
      </c>
      <c r="B3667" t="s">
        <v>33</v>
      </c>
      <c r="C3667" t="s">
        <v>75</v>
      </c>
      <c r="D3667">
        <v>72</v>
      </c>
      <c r="E3667" t="s">
        <v>466</v>
      </c>
    </row>
    <row r="3668" spans="1:5" x14ac:dyDescent="0.35">
      <c r="A3668">
        <v>2010</v>
      </c>
      <c r="B3668" t="s">
        <v>36</v>
      </c>
      <c r="C3668" t="s">
        <v>76</v>
      </c>
      <c r="D3668">
        <v>548</v>
      </c>
      <c r="E3668" t="s">
        <v>466</v>
      </c>
    </row>
    <row r="3669" spans="1:5" x14ac:dyDescent="0.35">
      <c r="A3669">
        <v>2010</v>
      </c>
      <c r="B3669" t="s">
        <v>33</v>
      </c>
      <c r="C3669" t="s">
        <v>77</v>
      </c>
      <c r="D3669">
        <v>119</v>
      </c>
      <c r="E3669" t="s">
        <v>466</v>
      </c>
    </row>
    <row r="3670" spans="1:5" x14ac:dyDescent="0.35">
      <c r="A3670">
        <v>2010</v>
      </c>
      <c r="B3670" t="s">
        <v>35</v>
      </c>
      <c r="C3670" t="s">
        <v>78</v>
      </c>
      <c r="D3670">
        <v>34</v>
      </c>
      <c r="E3670" t="s">
        <v>466</v>
      </c>
    </row>
    <row r="3671" spans="1:5" x14ac:dyDescent="0.35">
      <c r="A3671">
        <v>2010</v>
      </c>
      <c r="B3671" t="s">
        <v>36</v>
      </c>
      <c r="C3671" t="s">
        <v>79</v>
      </c>
      <c r="D3671">
        <v>4030</v>
      </c>
      <c r="E3671" t="s">
        <v>466</v>
      </c>
    </row>
    <row r="3672" spans="1:5" x14ac:dyDescent="0.35">
      <c r="A3672">
        <v>2010</v>
      </c>
      <c r="B3672" t="s">
        <v>35</v>
      </c>
      <c r="C3672" t="s">
        <v>81</v>
      </c>
      <c r="D3672">
        <v>107</v>
      </c>
      <c r="E3672" t="s">
        <v>466</v>
      </c>
    </row>
    <row r="3673" spans="1:5" x14ac:dyDescent="0.35">
      <c r="A3673">
        <v>2010</v>
      </c>
      <c r="B3673" t="s">
        <v>35</v>
      </c>
      <c r="C3673" t="s">
        <v>214</v>
      </c>
      <c r="D3673">
        <v>19</v>
      </c>
      <c r="E3673" t="s">
        <v>466</v>
      </c>
    </row>
    <row r="3674" spans="1:5" x14ac:dyDescent="0.35">
      <c r="A3674">
        <v>2010</v>
      </c>
      <c r="B3674" t="s">
        <v>35</v>
      </c>
      <c r="C3674" t="s">
        <v>82</v>
      </c>
      <c r="D3674">
        <v>14</v>
      </c>
      <c r="E3674" t="s">
        <v>466</v>
      </c>
    </row>
    <row r="3675" spans="1:5" x14ac:dyDescent="0.35">
      <c r="A3675">
        <v>2010</v>
      </c>
      <c r="B3675" t="s">
        <v>36</v>
      </c>
      <c r="C3675" t="s">
        <v>84</v>
      </c>
      <c r="D3675">
        <v>64</v>
      </c>
      <c r="E3675" t="s">
        <v>466</v>
      </c>
    </row>
    <row r="3676" spans="1:5" x14ac:dyDescent="0.35">
      <c r="A3676">
        <v>2010</v>
      </c>
      <c r="B3676" t="s">
        <v>36</v>
      </c>
      <c r="C3676" t="s">
        <v>85</v>
      </c>
      <c r="D3676">
        <v>5274</v>
      </c>
      <c r="E3676" t="s">
        <v>466</v>
      </c>
    </row>
    <row r="3677" spans="1:5" x14ac:dyDescent="0.35">
      <c r="A3677">
        <v>2010</v>
      </c>
      <c r="B3677" t="s">
        <v>38</v>
      </c>
      <c r="C3677" t="s">
        <v>86</v>
      </c>
      <c r="D3677">
        <v>3890</v>
      </c>
      <c r="E3677" t="s">
        <v>466</v>
      </c>
    </row>
    <row r="3678" spans="1:5" x14ac:dyDescent="0.35">
      <c r="A3678">
        <v>2010</v>
      </c>
      <c r="B3678" t="s">
        <v>33</v>
      </c>
      <c r="C3678" t="s">
        <v>87</v>
      </c>
      <c r="D3678">
        <v>275</v>
      </c>
      <c r="E3678" t="s">
        <v>466</v>
      </c>
    </row>
    <row r="3679" spans="1:5" x14ac:dyDescent="0.35">
      <c r="A3679">
        <v>2010</v>
      </c>
      <c r="B3679" t="s">
        <v>36</v>
      </c>
      <c r="C3679" t="s">
        <v>16</v>
      </c>
      <c r="D3679">
        <v>29911</v>
      </c>
      <c r="E3679" t="s">
        <v>466</v>
      </c>
    </row>
    <row r="3680" spans="1:5" x14ac:dyDescent="0.35">
      <c r="A3680">
        <v>2010</v>
      </c>
      <c r="B3680" t="s">
        <v>33</v>
      </c>
      <c r="C3680" t="s">
        <v>88</v>
      </c>
      <c r="D3680">
        <v>14</v>
      </c>
      <c r="E3680" t="s">
        <v>466</v>
      </c>
    </row>
    <row r="3681" spans="1:5" x14ac:dyDescent="0.35">
      <c r="A3681">
        <v>2010</v>
      </c>
      <c r="B3681" t="s">
        <v>33</v>
      </c>
      <c r="C3681" t="s">
        <v>89</v>
      </c>
      <c r="D3681">
        <v>231</v>
      </c>
      <c r="E3681" t="s">
        <v>466</v>
      </c>
    </row>
    <row r="3682" spans="1:5" x14ac:dyDescent="0.35">
      <c r="A3682">
        <v>2010</v>
      </c>
      <c r="B3682" t="s">
        <v>35</v>
      </c>
      <c r="C3682" t="s">
        <v>90</v>
      </c>
      <c r="D3682">
        <v>22</v>
      </c>
      <c r="E3682" t="s">
        <v>466</v>
      </c>
    </row>
    <row r="3683" spans="1:5" x14ac:dyDescent="0.35">
      <c r="A3683">
        <v>2010</v>
      </c>
      <c r="B3683" t="s">
        <v>33</v>
      </c>
      <c r="C3683" t="s">
        <v>91</v>
      </c>
      <c r="D3683">
        <v>274</v>
      </c>
      <c r="E3683" t="s">
        <v>466</v>
      </c>
    </row>
    <row r="3684" spans="1:5" x14ac:dyDescent="0.35">
      <c r="A3684">
        <v>2010</v>
      </c>
      <c r="B3684" t="s">
        <v>37</v>
      </c>
      <c r="C3684" t="s">
        <v>92</v>
      </c>
      <c r="D3684">
        <v>99</v>
      </c>
      <c r="E3684" t="s">
        <v>466</v>
      </c>
    </row>
    <row r="3685" spans="1:5" x14ac:dyDescent="0.35">
      <c r="A3685">
        <v>2010</v>
      </c>
      <c r="B3685" t="s">
        <v>35</v>
      </c>
      <c r="C3685" t="s">
        <v>94</v>
      </c>
      <c r="D3685">
        <v>151</v>
      </c>
      <c r="E3685" t="s">
        <v>466</v>
      </c>
    </row>
    <row r="3686" spans="1:5" x14ac:dyDescent="0.35">
      <c r="A3686">
        <v>2010</v>
      </c>
      <c r="B3686" t="s">
        <v>33</v>
      </c>
      <c r="C3686" t="s">
        <v>95</v>
      </c>
      <c r="D3686">
        <v>28</v>
      </c>
      <c r="E3686" t="s">
        <v>466</v>
      </c>
    </row>
    <row r="3687" spans="1:5" x14ac:dyDescent="0.35">
      <c r="A3687">
        <v>2010</v>
      </c>
      <c r="B3687" t="s">
        <v>33</v>
      </c>
      <c r="C3687" t="s">
        <v>96</v>
      </c>
      <c r="D3687">
        <v>130</v>
      </c>
      <c r="E3687" t="s">
        <v>466</v>
      </c>
    </row>
    <row r="3688" spans="1:5" x14ac:dyDescent="0.35">
      <c r="A3688">
        <v>2010</v>
      </c>
      <c r="B3688" t="s">
        <v>34</v>
      </c>
      <c r="C3688" t="s">
        <v>8</v>
      </c>
      <c r="D3688">
        <v>121</v>
      </c>
      <c r="E3688" t="s">
        <v>466</v>
      </c>
    </row>
    <row r="3689" spans="1:5" x14ac:dyDescent="0.35">
      <c r="A3689">
        <v>2010</v>
      </c>
      <c r="B3689" t="s">
        <v>35</v>
      </c>
      <c r="C3689" t="s">
        <v>97</v>
      </c>
      <c r="D3689">
        <v>227</v>
      </c>
      <c r="E3689" t="s">
        <v>466</v>
      </c>
    </row>
    <row r="3690" spans="1:5" x14ac:dyDescent="0.35">
      <c r="A3690">
        <v>2010</v>
      </c>
      <c r="B3690" t="s">
        <v>33</v>
      </c>
      <c r="C3690" t="s">
        <v>98</v>
      </c>
      <c r="D3690">
        <v>414</v>
      </c>
      <c r="E3690" t="s">
        <v>466</v>
      </c>
    </row>
    <row r="3691" spans="1:5" x14ac:dyDescent="0.35">
      <c r="A3691">
        <v>2010</v>
      </c>
      <c r="B3691" t="s">
        <v>35</v>
      </c>
      <c r="C3691" t="s">
        <v>99</v>
      </c>
      <c r="D3691">
        <v>53</v>
      </c>
      <c r="E3691" t="s">
        <v>466</v>
      </c>
    </row>
    <row r="3692" spans="1:5" x14ac:dyDescent="0.35">
      <c r="A3692">
        <v>2010</v>
      </c>
      <c r="B3692" t="s">
        <v>36</v>
      </c>
      <c r="C3692" t="s">
        <v>100</v>
      </c>
      <c r="D3692">
        <v>76</v>
      </c>
      <c r="E3692" t="s">
        <v>466</v>
      </c>
    </row>
    <row r="3693" spans="1:5" x14ac:dyDescent="0.35">
      <c r="A3693">
        <v>2010</v>
      </c>
      <c r="B3693" t="s">
        <v>37</v>
      </c>
      <c r="C3693" t="s">
        <v>367</v>
      </c>
      <c r="D3693">
        <v>21</v>
      </c>
      <c r="E3693" t="s">
        <v>466</v>
      </c>
    </row>
    <row r="3694" spans="1:5" x14ac:dyDescent="0.35">
      <c r="A3694">
        <v>2010</v>
      </c>
      <c r="B3694" t="s">
        <v>36</v>
      </c>
      <c r="C3694" t="s">
        <v>15</v>
      </c>
      <c r="D3694">
        <v>39050</v>
      </c>
      <c r="E3694" t="s">
        <v>466</v>
      </c>
    </row>
    <row r="3695" spans="1:5" x14ac:dyDescent="0.35">
      <c r="A3695">
        <v>2010</v>
      </c>
      <c r="B3695" t="s">
        <v>33</v>
      </c>
      <c r="C3695" t="s">
        <v>101</v>
      </c>
      <c r="D3695">
        <v>154</v>
      </c>
      <c r="E3695" t="s">
        <v>466</v>
      </c>
    </row>
    <row r="3696" spans="1:5" x14ac:dyDescent="0.35">
      <c r="A3696">
        <v>2010</v>
      </c>
      <c r="B3696" t="s">
        <v>33</v>
      </c>
      <c r="C3696" t="s">
        <v>102</v>
      </c>
      <c r="D3696">
        <v>5</v>
      </c>
      <c r="E3696" t="s">
        <v>466</v>
      </c>
    </row>
    <row r="3697" spans="1:5" x14ac:dyDescent="0.35">
      <c r="A3697">
        <v>2010</v>
      </c>
      <c r="B3697" t="s">
        <v>38</v>
      </c>
      <c r="C3697" t="s">
        <v>103</v>
      </c>
      <c r="D3697">
        <v>428</v>
      </c>
      <c r="E3697" t="s">
        <v>466</v>
      </c>
    </row>
    <row r="3698" spans="1:5" x14ac:dyDescent="0.35">
      <c r="A3698">
        <v>2010</v>
      </c>
      <c r="B3698" t="s">
        <v>36</v>
      </c>
      <c r="C3698" t="s">
        <v>104</v>
      </c>
      <c r="D3698">
        <v>1768</v>
      </c>
      <c r="E3698" t="s">
        <v>466</v>
      </c>
    </row>
    <row r="3699" spans="1:5" x14ac:dyDescent="0.35">
      <c r="A3699">
        <v>2010</v>
      </c>
      <c r="B3699" t="s">
        <v>36</v>
      </c>
      <c r="C3699" t="s">
        <v>17</v>
      </c>
      <c r="D3699">
        <v>32501</v>
      </c>
      <c r="E3699" t="s">
        <v>466</v>
      </c>
    </row>
    <row r="3700" spans="1:5" x14ac:dyDescent="0.35">
      <c r="A3700">
        <v>2010</v>
      </c>
      <c r="B3700" t="s">
        <v>34</v>
      </c>
      <c r="C3700" t="s">
        <v>368</v>
      </c>
      <c r="D3700">
        <v>53</v>
      </c>
      <c r="E3700" t="s">
        <v>466</v>
      </c>
    </row>
    <row r="3701" spans="1:5" x14ac:dyDescent="0.35">
      <c r="A3701">
        <v>2010</v>
      </c>
      <c r="B3701" t="s">
        <v>35</v>
      </c>
      <c r="C3701" t="s">
        <v>105</v>
      </c>
      <c r="D3701">
        <v>69</v>
      </c>
      <c r="E3701" t="s">
        <v>466</v>
      </c>
    </row>
    <row r="3702" spans="1:5" x14ac:dyDescent="0.35">
      <c r="A3702">
        <v>2010</v>
      </c>
      <c r="B3702" t="s">
        <v>35</v>
      </c>
      <c r="C3702" t="s">
        <v>106</v>
      </c>
      <c r="D3702">
        <v>10</v>
      </c>
      <c r="E3702" t="s">
        <v>466</v>
      </c>
    </row>
    <row r="3703" spans="1:5" x14ac:dyDescent="0.35">
      <c r="A3703">
        <v>2010</v>
      </c>
      <c r="B3703" t="s">
        <v>34</v>
      </c>
      <c r="C3703" t="s">
        <v>22</v>
      </c>
      <c r="D3703">
        <v>2175</v>
      </c>
      <c r="E3703" t="s">
        <v>466</v>
      </c>
    </row>
    <row r="3704" spans="1:5" x14ac:dyDescent="0.35">
      <c r="A3704">
        <v>2010</v>
      </c>
      <c r="B3704" t="s">
        <v>34</v>
      </c>
      <c r="C3704" t="s">
        <v>107</v>
      </c>
      <c r="D3704">
        <v>486</v>
      </c>
      <c r="E3704" t="s">
        <v>466</v>
      </c>
    </row>
    <row r="3705" spans="1:5" x14ac:dyDescent="0.35">
      <c r="A3705">
        <v>2010</v>
      </c>
      <c r="B3705" t="s">
        <v>34</v>
      </c>
      <c r="C3705" t="s">
        <v>108</v>
      </c>
      <c r="D3705">
        <v>297</v>
      </c>
      <c r="E3705" t="s">
        <v>466</v>
      </c>
    </row>
    <row r="3706" spans="1:5" x14ac:dyDescent="0.35">
      <c r="A3706">
        <v>2010</v>
      </c>
      <c r="B3706" t="s">
        <v>34</v>
      </c>
      <c r="C3706" t="s">
        <v>109</v>
      </c>
      <c r="D3706">
        <v>280</v>
      </c>
      <c r="E3706" t="s">
        <v>466</v>
      </c>
    </row>
    <row r="3707" spans="1:5" x14ac:dyDescent="0.35">
      <c r="A3707">
        <v>2010</v>
      </c>
      <c r="B3707" t="s">
        <v>35</v>
      </c>
      <c r="C3707" t="s">
        <v>110</v>
      </c>
      <c r="D3707">
        <v>72</v>
      </c>
      <c r="E3707" t="s">
        <v>466</v>
      </c>
    </row>
    <row r="3708" spans="1:5" x14ac:dyDescent="0.35">
      <c r="A3708">
        <v>2010</v>
      </c>
      <c r="B3708" t="s">
        <v>34</v>
      </c>
      <c r="C3708" t="s">
        <v>111</v>
      </c>
      <c r="D3708">
        <v>311</v>
      </c>
      <c r="E3708" t="s">
        <v>466</v>
      </c>
    </row>
    <row r="3709" spans="1:5" x14ac:dyDescent="0.35">
      <c r="A3709">
        <v>2010</v>
      </c>
      <c r="B3709" t="s">
        <v>35</v>
      </c>
      <c r="C3709" t="s">
        <v>112</v>
      </c>
      <c r="D3709">
        <v>174</v>
      </c>
      <c r="E3709" t="s">
        <v>466</v>
      </c>
    </row>
    <row r="3710" spans="1:5" x14ac:dyDescent="0.35">
      <c r="A3710">
        <v>2010</v>
      </c>
      <c r="B3710" t="s">
        <v>36</v>
      </c>
      <c r="C3710" t="s">
        <v>113</v>
      </c>
      <c r="D3710">
        <v>3064</v>
      </c>
      <c r="E3710" t="s">
        <v>466</v>
      </c>
    </row>
    <row r="3711" spans="1:5" x14ac:dyDescent="0.35">
      <c r="A3711">
        <v>2010</v>
      </c>
      <c r="B3711" t="s">
        <v>34</v>
      </c>
      <c r="C3711" t="s">
        <v>114</v>
      </c>
      <c r="D3711">
        <v>72</v>
      </c>
      <c r="E3711" t="s">
        <v>466</v>
      </c>
    </row>
    <row r="3712" spans="1:5" x14ac:dyDescent="0.35">
      <c r="A3712">
        <v>2010</v>
      </c>
      <c r="B3712" t="s">
        <v>34</v>
      </c>
      <c r="C3712" t="s">
        <v>115</v>
      </c>
      <c r="D3712">
        <v>368</v>
      </c>
      <c r="E3712" t="s">
        <v>466</v>
      </c>
    </row>
    <row r="3713" spans="1:5" x14ac:dyDescent="0.35">
      <c r="A3713">
        <v>2010</v>
      </c>
      <c r="B3713" t="s">
        <v>34</v>
      </c>
      <c r="C3713" t="s">
        <v>116</v>
      </c>
      <c r="D3713">
        <v>118</v>
      </c>
      <c r="E3713" t="s">
        <v>466</v>
      </c>
    </row>
    <row r="3714" spans="1:5" x14ac:dyDescent="0.35">
      <c r="A3714">
        <v>2010</v>
      </c>
      <c r="B3714" t="s">
        <v>33</v>
      </c>
      <c r="C3714" t="s">
        <v>117</v>
      </c>
      <c r="D3714">
        <v>716</v>
      </c>
      <c r="E3714" t="s">
        <v>466</v>
      </c>
    </row>
    <row r="3715" spans="1:5" x14ac:dyDescent="0.35">
      <c r="A3715">
        <v>2010</v>
      </c>
      <c r="B3715" t="s">
        <v>34</v>
      </c>
      <c r="C3715" t="s">
        <v>118</v>
      </c>
      <c r="D3715">
        <v>594</v>
      </c>
      <c r="E3715" t="s">
        <v>466</v>
      </c>
    </row>
    <row r="3716" spans="1:5" x14ac:dyDescent="0.35">
      <c r="A3716">
        <v>2010</v>
      </c>
      <c r="B3716" t="s">
        <v>35</v>
      </c>
      <c r="C3716" t="s">
        <v>119</v>
      </c>
      <c r="D3716">
        <v>24</v>
      </c>
      <c r="E3716" t="s">
        <v>466</v>
      </c>
    </row>
    <row r="3717" spans="1:5" x14ac:dyDescent="0.35">
      <c r="A3717">
        <v>2010</v>
      </c>
      <c r="B3717" t="s">
        <v>34</v>
      </c>
      <c r="C3717" t="s">
        <v>120</v>
      </c>
      <c r="D3717">
        <v>27</v>
      </c>
      <c r="E3717" t="s">
        <v>466</v>
      </c>
    </row>
    <row r="3718" spans="1:5" x14ac:dyDescent="0.35">
      <c r="A3718">
        <v>2010</v>
      </c>
      <c r="B3718" t="s">
        <v>34</v>
      </c>
      <c r="C3718" t="s">
        <v>121</v>
      </c>
      <c r="D3718">
        <v>56</v>
      </c>
      <c r="E3718" t="s">
        <v>466</v>
      </c>
    </row>
    <row r="3719" spans="1:5" x14ac:dyDescent="0.35">
      <c r="A3719">
        <v>2010</v>
      </c>
      <c r="B3719" t="s">
        <v>34</v>
      </c>
      <c r="C3719" t="s">
        <v>122</v>
      </c>
      <c r="D3719">
        <v>703</v>
      </c>
      <c r="E3719" t="s">
        <v>466</v>
      </c>
    </row>
    <row r="3720" spans="1:5" x14ac:dyDescent="0.35">
      <c r="A3720">
        <v>2010</v>
      </c>
      <c r="B3720" t="s">
        <v>35</v>
      </c>
      <c r="C3720" t="s">
        <v>123</v>
      </c>
      <c r="D3720">
        <v>44</v>
      </c>
      <c r="E3720" t="s">
        <v>466</v>
      </c>
    </row>
    <row r="3721" spans="1:5" x14ac:dyDescent="0.35">
      <c r="A3721">
        <v>2010</v>
      </c>
      <c r="B3721" t="s">
        <v>34</v>
      </c>
      <c r="C3721" t="s">
        <v>124</v>
      </c>
      <c r="D3721">
        <v>220</v>
      </c>
      <c r="E3721" t="s">
        <v>466</v>
      </c>
    </row>
    <row r="3722" spans="1:5" x14ac:dyDescent="0.35">
      <c r="A3722">
        <v>2010</v>
      </c>
      <c r="B3722" t="s">
        <v>33</v>
      </c>
      <c r="C3722" t="s">
        <v>125</v>
      </c>
      <c r="D3722">
        <v>309</v>
      </c>
      <c r="E3722" t="s">
        <v>466</v>
      </c>
    </row>
    <row r="3723" spans="1:5" x14ac:dyDescent="0.35">
      <c r="A3723">
        <v>2010</v>
      </c>
      <c r="B3723" t="s">
        <v>33</v>
      </c>
      <c r="C3723" t="s">
        <v>126</v>
      </c>
      <c r="D3723">
        <v>16</v>
      </c>
      <c r="E3723" t="s">
        <v>466</v>
      </c>
    </row>
    <row r="3724" spans="1:5" x14ac:dyDescent="0.35">
      <c r="A3724">
        <v>2010</v>
      </c>
      <c r="B3724" t="s">
        <v>35</v>
      </c>
      <c r="C3724" t="s">
        <v>127</v>
      </c>
      <c r="D3724">
        <v>81</v>
      </c>
      <c r="E3724" t="s">
        <v>466</v>
      </c>
    </row>
    <row r="3725" spans="1:5" x14ac:dyDescent="0.35">
      <c r="A3725">
        <v>2010</v>
      </c>
      <c r="B3725" t="s">
        <v>34</v>
      </c>
      <c r="C3725" t="s">
        <v>369</v>
      </c>
      <c r="D3725">
        <v>5</v>
      </c>
      <c r="E3725" t="s">
        <v>466</v>
      </c>
    </row>
    <row r="3726" spans="1:5" x14ac:dyDescent="0.35">
      <c r="A3726">
        <v>2010</v>
      </c>
      <c r="B3726" t="s">
        <v>33</v>
      </c>
      <c r="C3726" t="s">
        <v>130</v>
      </c>
      <c r="D3726">
        <v>14</v>
      </c>
      <c r="E3726" t="s">
        <v>466</v>
      </c>
    </row>
    <row r="3727" spans="1:5" x14ac:dyDescent="0.35">
      <c r="A3727">
        <v>2010</v>
      </c>
      <c r="B3727" t="s">
        <v>34</v>
      </c>
      <c r="C3727" t="s">
        <v>131</v>
      </c>
      <c r="D3727">
        <v>73</v>
      </c>
      <c r="E3727" t="s">
        <v>466</v>
      </c>
    </row>
    <row r="3728" spans="1:5" x14ac:dyDescent="0.35">
      <c r="A3728">
        <v>2010</v>
      </c>
      <c r="B3728" t="s">
        <v>33</v>
      </c>
      <c r="C3728" t="s">
        <v>132</v>
      </c>
      <c r="D3728">
        <v>163</v>
      </c>
      <c r="E3728" t="s">
        <v>466</v>
      </c>
    </row>
    <row r="3729" spans="1:5" x14ac:dyDescent="0.35">
      <c r="A3729">
        <v>2010</v>
      </c>
      <c r="B3729" t="s">
        <v>35</v>
      </c>
      <c r="C3729" t="s">
        <v>133</v>
      </c>
      <c r="E3729" t="s">
        <v>466</v>
      </c>
    </row>
    <row r="3730" spans="1:5" x14ac:dyDescent="0.35">
      <c r="A3730">
        <v>2010</v>
      </c>
      <c r="B3730" t="s">
        <v>37</v>
      </c>
      <c r="C3730" t="s">
        <v>134</v>
      </c>
      <c r="D3730">
        <v>19</v>
      </c>
      <c r="E3730" t="s">
        <v>466</v>
      </c>
    </row>
    <row r="3731" spans="1:5" x14ac:dyDescent="0.35">
      <c r="A3731">
        <v>2010</v>
      </c>
      <c r="B3731" t="s">
        <v>33</v>
      </c>
      <c r="C3731" t="s">
        <v>135</v>
      </c>
      <c r="D3731">
        <v>81</v>
      </c>
      <c r="E3731" t="s">
        <v>466</v>
      </c>
    </row>
    <row r="3732" spans="1:5" x14ac:dyDescent="0.35">
      <c r="A3732">
        <v>2010</v>
      </c>
      <c r="B3732" t="s">
        <v>36</v>
      </c>
      <c r="C3732" t="s">
        <v>14</v>
      </c>
      <c r="D3732">
        <v>632034</v>
      </c>
      <c r="E3732" t="s">
        <v>466</v>
      </c>
    </row>
    <row r="3733" spans="1:5" x14ac:dyDescent="0.35">
      <c r="A3733">
        <v>2010</v>
      </c>
      <c r="B3733" t="s">
        <v>37</v>
      </c>
      <c r="C3733" t="s">
        <v>137</v>
      </c>
      <c r="D3733">
        <v>110</v>
      </c>
      <c r="E3733" t="s">
        <v>466</v>
      </c>
    </row>
    <row r="3734" spans="1:5" x14ac:dyDescent="0.35">
      <c r="A3734">
        <v>2010</v>
      </c>
      <c r="B3734" t="s">
        <v>35</v>
      </c>
      <c r="C3734" t="s">
        <v>138</v>
      </c>
      <c r="D3734">
        <v>129</v>
      </c>
      <c r="E3734" t="s">
        <v>466</v>
      </c>
    </row>
    <row r="3735" spans="1:5" x14ac:dyDescent="0.35">
      <c r="A3735">
        <v>2010</v>
      </c>
      <c r="B3735" t="s">
        <v>34</v>
      </c>
      <c r="C3735" t="s">
        <v>139</v>
      </c>
      <c r="D3735">
        <v>124</v>
      </c>
      <c r="E3735" t="s">
        <v>466</v>
      </c>
    </row>
    <row r="3736" spans="1:5" x14ac:dyDescent="0.35">
      <c r="A3736">
        <v>2010</v>
      </c>
      <c r="B3736" t="s">
        <v>35</v>
      </c>
      <c r="C3736" t="s">
        <v>140</v>
      </c>
      <c r="E3736" t="s">
        <v>466</v>
      </c>
    </row>
    <row r="3737" spans="1:5" x14ac:dyDescent="0.35">
      <c r="A3737">
        <v>2010</v>
      </c>
      <c r="B3737" t="s">
        <v>36</v>
      </c>
      <c r="C3737" t="s">
        <v>370</v>
      </c>
      <c r="D3737">
        <v>9</v>
      </c>
      <c r="E3737" t="s">
        <v>466</v>
      </c>
    </row>
    <row r="3738" spans="1:5" x14ac:dyDescent="0.35">
      <c r="A3738">
        <v>2010</v>
      </c>
      <c r="B3738" t="s">
        <v>33</v>
      </c>
      <c r="C3738" t="s">
        <v>141</v>
      </c>
      <c r="D3738">
        <v>226</v>
      </c>
      <c r="E3738" t="s">
        <v>466</v>
      </c>
    </row>
    <row r="3739" spans="1:5" x14ac:dyDescent="0.35">
      <c r="A3739">
        <v>2010</v>
      </c>
      <c r="B3739" t="s">
        <v>34</v>
      </c>
      <c r="C3739" t="s">
        <v>144</v>
      </c>
      <c r="D3739">
        <v>230</v>
      </c>
      <c r="E3739" t="s">
        <v>466</v>
      </c>
    </row>
    <row r="3740" spans="1:5" x14ac:dyDescent="0.35">
      <c r="A3740">
        <v>2010</v>
      </c>
      <c r="B3740" t="s">
        <v>35</v>
      </c>
      <c r="C3740" t="s">
        <v>145</v>
      </c>
      <c r="D3740">
        <v>76</v>
      </c>
      <c r="E3740" t="s">
        <v>466</v>
      </c>
    </row>
    <row r="3741" spans="1:5" x14ac:dyDescent="0.35">
      <c r="A3741">
        <v>2010</v>
      </c>
      <c r="B3741" t="s">
        <v>36</v>
      </c>
      <c r="C3741" t="s">
        <v>371</v>
      </c>
      <c r="D3741">
        <v>9</v>
      </c>
      <c r="E3741" t="s">
        <v>466</v>
      </c>
    </row>
    <row r="3742" spans="1:5" x14ac:dyDescent="0.35">
      <c r="A3742">
        <v>2010</v>
      </c>
      <c r="B3742" t="s">
        <v>37</v>
      </c>
      <c r="C3742" t="s">
        <v>146</v>
      </c>
      <c r="D3742">
        <v>55</v>
      </c>
      <c r="E3742" t="s">
        <v>466</v>
      </c>
    </row>
    <row r="3743" spans="1:5" x14ac:dyDescent="0.35">
      <c r="A3743">
        <v>2010</v>
      </c>
      <c r="B3743" t="s">
        <v>36</v>
      </c>
      <c r="C3743" t="s">
        <v>147</v>
      </c>
      <c r="D3743">
        <v>2587</v>
      </c>
      <c r="E3743" t="s">
        <v>466</v>
      </c>
    </row>
    <row r="3744" spans="1:5" x14ac:dyDescent="0.35">
      <c r="A3744">
        <v>2010</v>
      </c>
      <c r="B3744" t="s">
        <v>33</v>
      </c>
      <c r="C3744" t="s">
        <v>148</v>
      </c>
      <c r="D3744">
        <v>68</v>
      </c>
      <c r="E3744" t="s">
        <v>466</v>
      </c>
    </row>
    <row r="3745" spans="1:5" x14ac:dyDescent="0.35">
      <c r="A3745">
        <v>2010</v>
      </c>
      <c r="B3745" t="s">
        <v>33</v>
      </c>
      <c r="C3745" t="s">
        <v>149</v>
      </c>
      <c r="D3745">
        <v>599</v>
      </c>
      <c r="E3745" t="s">
        <v>466</v>
      </c>
    </row>
    <row r="3746" spans="1:5" x14ac:dyDescent="0.35">
      <c r="A3746">
        <v>2010</v>
      </c>
      <c r="B3746" t="s">
        <v>35</v>
      </c>
      <c r="C3746" t="s">
        <v>322</v>
      </c>
      <c r="D3746">
        <v>57</v>
      </c>
      <c r="E3746" t="s">
        <v>466</v>
      </c>
    </row>
    <row r="3747" spans="1:5" x14ac:dyDescent="0.35">
      <c r="A3747">
        <v>2010</v>
      </c>
      <c r="B3747" t="s">
        <v>35</v>
      </c>
      <c r="C3747" t="s">
        <v>150</v>
      </c>
      <c r="D3747">
        <v>12</v>
      </c>
      <c r="E3747" t="s">
        <v>466</v>
      </c>
    </row>
    <row r="3748" spans="1:5" x14ac:dyDescent="0.35">
      <c r="A3748">
        <v>2010</v>
      </c>
      <c r="B3748" t="s">
        <v>34</v>
      </c>
      <c r="C3748" t="s">
        <v>152</v>
      </c>
      <c r="D3748">
        <v>612</v>
      </c>
      <c r="E3748" t="s">
        <v>466</v>
      </c>
    </row>
    <row r="3749" spans="1:5" x14ac:dyDescent="0.35">
      <c r="A3749">
        <v>2010</v>
      </c>
      <c r="B3749" t="s">
        <v>37</v>
      </c>
      <c r="C3749" t="s">
        <v>153</v>
      </c>
      <c r="D3749">
        <v>20</v>
      </c>
      <c r="E3749" t="s">
        <v>466</v>
      </c>
    </row>
    <row r="3750" spans="1:5" x14ac:dyDescent="0.35">
      <c r="A3750">
        <v>2010</v>
      </c>
      <c r="B3750" t="s">
        <v>36</v>
      </c>
      <c r="C3750" t="s">
        <v>154</v>
      </c>
      <c r="D3750">
        <v>283</v>
      </c>
      <c r="E3750" t="s">
        <v>466</v>
      </c>
    </row>
    <row r="3751" spans="1:5" x14ac:dyDescent="0.35">
      <c r="A3751">
        <v>2010</v>
      </c>
      <c r="B3751" t="s">
        <v>38</v>
      </c>
      <c r="C3751" t="s">
        <v>155</v>
      </c>
      <c r="D3751">
        <v>32</v>
      </c>
      <c r="E3751" t="s">
        <v>466</v>
      </c>
    </row>
    <row r="3752" spans="1:5" x14ac:dyDescent="0.35">
      <c r="A3752">
        <v>2010</v>
      </c>
      <c r="B3752" t="s">
        <v>38</v>
      </c>
      <c r="C3752" t="s">
        <v>156</v>
      </c>
      <c r="D3752">
        <v>1729</v>
      </c>
      <c r="E3752" t="s">
        <v>466</v>
      </c>
    </row>
    <row r="3753" spans="1:5" x14ac:dyDescent="0.35">
      <c r="A3753">
        <v>2010</v>
      </c>
      <c r="B3753" t="s">
        <v>34</v>
      </c>
      <c r="C3753" t="s">
        <v>18</v>
      </c>
      <c r="D3753">
        <v>1079</v>
      </c>
      <c r="E3753" t="s">
        <v>466</v>
      </c>
    </row>
    <row r="3754" spans="1:5" x14ac:dyDescent="0.35">
      <c r="A3754">
        <v>2010</v>
      </c>
      <c r="B3754" t="s">
        <v>35</v>
      </c>
      <c r="C3754" t="s">
        <v>157</v>
      </c>
      <c r="D3754">
        <v>635</v>
      </c>
      <c r="E3754" t="s">
        <v>466</v>
      </c>
    </row>
    <row r="3755" spans="1:5" x14ac:dyDescent="0.35">
      <c r="A3755">
        <v>2010</v>
      </c>
      <c r="B3755" t="s">
        <v>35</v>
      </c>
      <c r="C3755" t="s">
        <v>158</v>
      </c>
      <c r="D3755">
        <v>205</v>
      </c>
      <c r="E3755" t="s">
        <v>466</v>
      </c>
    </row>
    <row r="3756" spans="1:5" x14ac:dyDescent="0.35">
      <c r="A3756">
        <v>2010</v>
      </c>
      <c r="B3756" t="s">
        <v>35</v>
      </c>
      <c r="C3756" t="s">
        <v>160</v>
      </c>
      <c r="D3756">
        <v>630</v>
      </c>
      <c r="E3756" t="s">
        <v>466</v>
      </c>
    </row>
    <row r="3757" spans="1:5" x14ac:dyDescent="0.35">
      <c r="A3757">
        <v>2010</v>
      </c>
      <c r="B3757" t="s">
        <v>35</v>
      </c>
      <c r="C3757" t="s">
        <v>161</v>
      </c>
      <c r="D3757">
        <v>564</v>
      </c>
      <c r="E3757" t="s">
        <v>466</v>
      </c>
    </row>
    <row r="3758" spans="1:5" x14ac:dyDescent="0.35">
      <c r="A3758">
        <v>2010</v>
      </c>
      <c r="B3758" t="s">
        <v>33</v>
      </c>
      <c r="C3758" t="s">
        <v>162</v>
      </c>
      <c r="D3758">
        <v>12</v>
      </c>
      <c r="E3758" t="s">
        <v>466</v>
      </c>
    </row>
    <row r="3759" spans="1:5" x14ac:dyDescent="0.35">
      <c r="A3759">
        <v>2010</v>
      </c>
      <c r="B3759" t="s">
        <v>36</v>
      </c>
      <c r="C3759" t="s">
        <v>163</v>
      </c>
      <c r="D3759">
        <v>30</v>
      </c>
      <c r="E3759" t="s">
        <v>466</v>
      </c>
    </row>
    <row r="3760" spans="1:5" x14ac:dyDescent="0.35">
      <c r="A3760">
        <v>2010</v>
      </c>
      <c r="B3760" t="s">
        <v>36</v>
      </c>
      <c r="C3760" t="s">
        <v>164</v>
      </c>
      <c r="D3760">
        <v>82</v>
      </c>
      <c r="E3760" t="s">
        <v>466</v>
      </c>
    </row>
    <row r="3761" spans="1:5" x14ac:dyDescent="0.35">
      <c r="A3761">
        <v>2010</v>
      </c>
      <c r="B3761" t="s">
        <v>36</v>
      </c>
      <c r="C3761" t="s">
        <v>165</v>
      </c>
      <c r="D3761">
        <v>57</v>
      </c>
      <c r="E3761" t="s">
        <v>466</v>
      </c>
    </row>
    <row r="3762" spans="1:5" x14ac:dyDescent="0.35">
      <c r="A3762">
        <v>2010</v>
      </c>
      <c r="B3762" t="s">
        <v>37</v>
      </c>
      <c r="C3762" t="s">
        <v>166</v>
      </c>
      <c r="D3762">
        <v>26</v>
      </c>
      <c r="E3762" t="s">
        <v>466</v>
      </c>
    </row>
    <row r="3763" spans="1:5" x14ac:dyDescent="0.35">
      <c r="A3763">
        <v>2010</v>
      </c>
      <c r="B3763" t="s">
        <v>34</v>
      </c>
      <c r="C3763" t="s">
        <v>167</v>
      </c>
      <c r="D3763">
        <v>148</v>
      </c>
      <c r="E3763" t="s">
        <v>466</v>
      </c>
    </row>
    <row r="3764" spans="1:5" x14ac:dyDescent="0.35">
      <c r="A3764">
        <v>2010</v>
      </c>
      <c r="B3764" t="s">
        <v>33</v>
      </c>
      <c r="C3764" t="s">
        <v>168</v>
      </c>
      <c r="D3764">
        <v>170</v>
      </c>
      <c r="E3764" t="s">
        <v>466</v>
      </c>
    </row>
    <row r="3765" spans="1:5" x14ac:dyDescent="0.35">
      <c r="A3765">
        <v>2010</v>
      </c>
      <c r="B3765" t="s">
        <v>35</v>
      </c>
      <c r="C3765" t="s">
        <v>169</v>
      </c>
      <c r="E3765" t="s">
        <v>466</v>
      </c>
    </row>
    <row r="3766" spans="1:5" x14ac:dyDescent="0.35">
      <c r="A3766">
        <v>2010</v>
      </c>
      <c r="B3766" t="s">
        <v>35</v>
      </c>
      <c r="C3766" t="s">
        <v>215</v>
      </c>
      <c r="D3766">
        <v>174</v>
      </c>
      <c r="E3766" t="s">
        <v>466</v>
      </c>
    </row>
    <row r="3767" spans="1:5" x14ac:dyDescent="0.35">
      <c r="A3767">
        <v>2010</v>
      </c>
      <c r="B3767" t="s">
        <v>33</v>
      </c>
      <c r="C3767" t="s">
        <v>170</v>
      </c>
      <c r="D3767">
        <v>147</v>
      </c>
      <c r="E3767" t="s">
        <v>466</v>
      </c>
    </row>
    <row r="3768" spans="1:5" x14ac:dyDescent="0.35">
      <c r="A3768">
        <v>2010</v>
      </c>
      <c r="B3768" t="s">
        <v>34</v>
      </c>
      <c r="C3768" t="s">
        <v>171</v>
      </c>
      <c r="D3768">
        <v>21</v>
      </c>
      <c r="E3768" t="s">
        <v>466</v>
      </c>
    </row>
    <row r="3769" spans="1:5" x14ac:dyDescent="0.35">
      <c r="A3769">
        <v>2010</v>
      </c>
      <c r="B3769" t="s">
        <v>35</v>
      </c>
      <c r="C3769" t="s">
        <v>172</v>
      </c>
      <c r="D3769">
        <v>51</v>
      </c>
      <c r="E3769" t="s">
        <v>466</v>
      </c>
    </row>
    <row r="3770" spans="1:5" x14ac:dyDescent="0.35">
      <c r="A3770">
        <v>2010</v>
      </c>
      <c r="B3770" t="s">
        <v>35</v>
      </c>
      <c r="C3770" t="s">
        <v>173</v>
      </c>
      <c r="D3770">
        <v>9</v>
      </c>
      <c r="E3770" t="s">
        <v>466</v>
      </c>
    </row>
    <row r="3771" spans="1:5" x14ac:dyDescent="0.35">
      <c r="A3771">
        <v>2010</v>
      </c>
      <c r="B3771" t="s">
        <v>33</v>
      </c>
      <c r="C3771" t="s">
        <v>174</v>
      </c>
      <c r="D3771">
        <v>277</v>
      </c>
      <c r="E3771" t="s">
        <v>466</v>
      </c>
    </row>
    <row r="3772" spans="1:5" x14ac:dyDescent="0.35">
      <c r="A3772">
        <v>2010</v>
      </c>
      <c r="B3772" t="s">
        <v>33</v>
      </c>
      <c r="C3772" t="s">
        <v>175</v>
      </c>
      <c r="D3772">
        <v>144</v>
      </c>
      <c r="E3772" t="s">
        <v>466</v>
      </c>
    </row>
    <row r="3773" spans="1:5" x14ac:dyDescent="0.35">
      <c r="A3773">
        <v>2010</v>
      </c>
      <c r="B3773" t="s">
        <v>33</v>
      </c>
      <c r="C3773" t="s">
        <v>176</v>
      </c>
      <c r="E3773" t="s">
        <v>466</v>
      </c>
    </row>
    <row r="3774" spans="1:5" x14ac:dyDescent="0.35">
      <c r="A3774">
        <v>2010</v>
      </c>
      <c r="B3774" t="s">
        <v>35</v>
      </c>
      <c r="C3774" t="s">
        <v>216</v>
      </c>
      <c r="D3774">
        <v>91</v>
      </c>
      <c r="E3774" t="s">
        <v>466</v>
      </c>
    </row>
    <row r="3775" spans="1:5" x14ac:dyDescent="0.35">
      <c r="A3775">
        <v>2010</v>
      </c>
      <c r="B3775" t="s">
        <v>35</v>
      </c>
      <c r="C3775" t="s">
        <v>177</v>
      </c>
      <c r="D3775">
        <v>99</v>
      </c>
      <c r="E3775" t="s">
        <v>466</v>
      </c>
    </row>
    <row r="3776" spans="1:5" x14ac:dyDescent="0.35">
      <c r="A3776">
        <v>2010</v>
      </c>
      <c r="B3776" t="s">
        <v>34</v>
      </c>
      <c r="C3776" t="s">
        <v>178</v>
      </c>
      <c r="D3776">
        <v>284</v>
      </c>
      <c r="E3776" t="s">
        <v>466</v>
      </c>
    </row>
    <row r="3777" spans="1:5" x14ac:dyDescent="0.35">
      <c r="A3777">
        <v>2010</v>
      </c>
      <c r="B3777" t="s">
        <v>33</v>
      </c>
      <c r="C3777" t="s">
        <v>179</v>
      </c>
      <c r="D3777">
        <v>252</v>
      </c>
      <c r="E3777" t="s">
        <v>466</v>
      </c>
    </row>
    <row r="3778" spans="1:5" x14ac:dyDescent="0.35">
      <c r="A3778">
        <v>2010</v>
      </c>
      <c r="B3778" t="s">
        <v>38</v>
      </c>
      <c r="C3778" t="s">
        <v>180</v>
      </c>
      <c r="D3778">
        <v>18</v>
      </c>
      <c r="E3778" t="s">
        <v>466</v>
      </c>
    </row>
    <row r="3779" spans="1:5" x14ac:dyDescent="0.35">
      <c r="A3779">
        <v>2010</v>
      </c>
      <c r="B3779" t="s">
        <v>35</v>
      </c>
      <c r="C3779" t="s">
        <v>182</v>
      </c>
      <c r="D3779">
        <v>37</v>
      </c>
      <c r="E3779" t="s">
        <v>466</v>
      </c>
    </row>
    <row r="3780" spans="1:5" x14ac:dyDescent="0.35">
      <c r="A3780">
        <v>2010</v>
      </c>
      <c r="B3780" t="s">
        <v>35</v>
      </c>
      <c r="C3780" t="s">
        <v>183</v>
      </c>
      <c r="D3780">
        <v>22</v>
      </c>
      <c r="E3780" t="s">
        <v>466</v>
      </c>
    </row>
    <row r="3781" spans="1:5" x14ac:dyDescent="0.35">
      <c r="A3781">
        <v>2010</v>
      </c>
      <c r="B3781" t="s">
        <v>34</v>
      </c>
      <c r="C3781" t="s">
        <v>184</v>
      </c>
      <c r="D3781">
        <v>99</v>
      </c>
      <c r="E3781" t="s">
        <v>466</v>
      </c>
    </row>
    <row r="3782" spans="1:5" x14ac:dyDescent="0.35">
      <c r="A3782">
        <v>2010</v>
      </c>
      <c r="B3782" t="s">
        <v>34</v>
      </c>
      <c r="C3782" t="s">
        <v>185</v>
      </c>
      <c r="D3782">
        <v>55</v>
      </c>
      <c r="E3782" t="s">
        <v>466</v>
      </c>
    </row>
    <row r="3783" spans="1:5" x14ac:dyDescent="0.35">
      <c r="A3783">
        <v>2010</v>
      </c>
      <c r="B3783" t="s">
        <v>34</v>
      </c>
      <c r="C3783" t="s">
        <v>186</v>
      </c>
      <c r="D3783">
        <v>80</v>
      </c>
      <c r="E3783" t="s">
        <v>466</v>
      </c>
    </row>
    <row r="3784" spans="1:5" x14ac:dyDescent="0.35">
      <c r="A3784">
        <v>2010</v>
      </c>
      <c r="B3784" t="s">
        <v>33</v>
      </c>
      <c r="C3784" t="s">
        <v>187</v>
      </c>
      <c r="D3784">
        <v>82</v>
      </c>
      <c r="E3784" t="s">
        <v>466</v>
      </c>
    </row>
    <row r="3785" spans="1:5" x14ac:dyDescent="0.35">
      <c r="A3785">
        <v>2010</v>
      </c>
      <c r="B3785" t="s">
        <v>34</v>
      </c>
      <c r="C3785" t="s">
        <v>188</v>
      </c>
      <c r="D3785">
        <v>300</v>
      </c>
      <c r="E3785" t="s">
        <v>466</v>
      </c>
    </row>
    <row r="3786" spans="1:5" x14ac:dyDescent="0.35">
      <c r="A3786">
        <v>2010</v>
      </c>
      <c r="B3786" t="s">
        <v>33</v>
      </c>
      <c r="C3786" t="s">
        <v>189</v>
      </c>
      <c r="D3786">
        <v>40</v>
      </c>
      <c r="E3786" t="s">
        <v>466</v>
      </c>
    </row>
    <row r="3787" spans="1:5" x14ac:dyDescent="0.35">
      <c r="A3787">
        <v>2010</v>
      </c>
      <c r="B3787" t="s">
        <v>37</v>
      </c>
      <c r="C3787" t="s">
        <v>190</v>
      </c>
      <c r="D3787">
        <v>100</v>
      </c>
      <c r="E3787" t="s">
        <v>466</v>
      </c>
    </row>
    <row r="3788" spans="1:5" x14ac:dyDescent="0.35">
      <c r="A3788">
        <v>2010</v>
      </c>
      <c r="B3788" t="s">
        <v>36</v>
      </c>
      <c r="C3788" t="s">
        <v>191</v>
      </c>
      <c r="D3788">
        <v>624</v>
      </c>
      <c r="E3788" t="s">
        <v>466</v>
      </c>
    </row>
    <row r="3789" spans="1:5" x14ac:dyDescent="0.35">
      <c r="A3789">
        <v>2010</v>
      </c>
      <c r="B3789" t="s">
        <v>33</v>
      </c>
      <c r="C3789" t="s">
        <v>192</v>
      </c>
      <c r="D3789">
        <v>61</v>
      </c>
      <c r="E3789" t="s">
        <v>466</v>
      </c>
    </row>
    <row r="3790" spans="1:5" x14ac:dyDescent="0.35">
      <c r="A3790">
        <v>2010</v>
      </c>
      <c r="B3790" t="s">
        <v>34</v>
      </c>
      <c r="C3790" t="s">
        <v>193</v>
      </c>
      <c r="D3790">
        <v>326</v>
      </c>
      <c r="E3790" t="s">
        <v>466</v>
      </c>
    </row>
    <row r="3791" spans="1:5" x14ac:dyDescent="0.35">
      <c r="A3791">
        <v>2010</v>
      </c>
      <c r="B3791" t="s">
        <v>34</v>
      </c>
      <c r="C3791" t="s">
        <v>194</v>
      </c>
      <c r="D3791">
        <v>29</v>
      </c>
      <c r="E3791" t="s">
        <v>466</v>
      </c>
    </row>
    <row r="3792" spans="1:5" x14ac:dyDescent="0.35">
      <c r="A3792">
        <v>2010</v>
      </c>
      <c r="B3792" t="s">
        <v>36</v>
      </c>
      <c r="C3792" t="s">
        <v>372</v>
      </c>
      <c r="D3792">
        <v>19</v>
      </c>
      <c r="E3792" t="s">
        <v>466</v>
      </c>
    </row>
    <row r="3793" spans="1:5" x14ac:dyDescent="0.35">
      <c r="A3793">
        <v>2010</v>
      </c>
      <c r="B3793" t="s">
        <v>33</v>
      </c>
      <c r="C3793" t="s">
        <v>195</v>
      </c>
      <c r="D3793">
        <v>54</v>
      </c>
      <c r="E3793" t="s">
        <v>466</v>
      </c>
    </row>
    <row r="3794" spans="1:5" x14ac:dyDescent="0.35">
      <c r="A3794">
        <v>2010</v>
      </c>
      <c r="B3794" t="s">
        <v>35</v>
      </c>
      <c r="C3794" t="s">
        <v>196</v>
      </c>
      <c r="D3794">
        <v>392</v>
      </c>
      <c r="E3794" t="s">
        <v>466</v>
      </c>
    </row>
    <row r="3795" spans="1:5" x14ac:dyDescent="0.35">
      <c r="A3795">
        <v>2010</v>
      </c>
      <c r="B3795" t="s">
        <v>34</v>
      </c>
      <c r="C3795" t="s">
        <v>197</v>
      </c>
      <c r="D3795">
        <v>15</v>
      </c>
      <c r="E3795" t="s">
        <v>466</v>
      </c>
    </row>
    <row r="3796" spans="1:5" x14ac:dyDescent="0.35">
      <c r="A3796">
        <v>2010</v>
      </c>
      <c r="B3796" t="s">
        <v>35</v>
      </c>
      <c r="C3796" t="s">
        <v>198</v>
      </c>
      <c r="D3796">
        <v>533</v>
      </c>
      <c r="E3796" t="s">
        <v>466</v>
      </c>
    </row>
    <row r="3797" spans="1:5" x14ac:dyDescent="0.35">
      <c r="A3797">
        <v>2010</v>
      </c>
      <c r="B3797" t="s">
        <v>39</v>
      </c>
      <c r="C3797" t="s">
        <v>39</v>
      </c>
      <c r="D3797">
        <v>937</v>
      </c>
      <c r="E3797" t="s">
        <v>466</v>
      </c>
    </row>
    <row r="3798" spans="1:5" x14ac:dyDescent="0.35">
      <c r="A3798">
        <v>2010</v>
      </c>
      <c r="B3798" t="s">
        <v>38</v>
      </c>
      <c r="C3798" t="s">
        <v>199</v>
      </c>
      <c r="D3798">
        <v>190</v>
      </c>
      <c r="E3798" t="s">
        <v>466</v>
      </c>
    </row>
    <row r="3799" spans="1:5" x14ac:dyDescent="0.35">
      <c r="A3799">
        <v>2010</v>
      </c>
      <c r="B3799" t="s">
        <v>34</v>
      </c>
      <c r="C3799" t="s">
        <v>200</v>
      </c>
      <c r="D3799">
        <v>210</v>
      </c>
      <c r="E3799" t="s">
        <v>466</v>
      </c>
    </row>
    <row r="3800" spans="1:5" x14ac:dyDescent="0.35">
      <c r="A3800">
        <v>2010</v>
      </c>
      <c r="B3800" t="s">
        <v>38</v>
      </c>
      <c r="C3800" t="s">
        <v>19</v>
      </c>
      <c r="D3800">
        <v>741</v>
      </c>
      <c r="E3800" t="s">
        <v>466</v>
      </c>
    </row>
    <row r="3801" spans="1:5" x14ac:dyDescent="0.35">
      <c r="A3801">
        <v>2010</v>
      </c>
      <c r="B3801" t="s">
        <v>34</v>
      </c>
      <c r="C3801" t="s">
        <v>201</v>
      </c>
      <c r="D3801">
        <v>1313</v>
      </c>
      <c r="E3801" t="s">
        <v>466</v>
      </c>
    </row>
    <row r="3802" spans="1:5" x14ac:dyDescent="0.35">
      <c r="A3802">
        <v>2010</v>
      </c>
      <c r="B3802" t="s">
        <v>34</v>
      </c>
      <c r="C3802" t="s">
        <v>202</v>
      </c>
      <c r="D3802">
        <v>130</v>
      </c>
      <c r="E3802" t="s">
        <v>466</v>
      </c>
    </row>
    <row r="3803" spans="1:5" x14ac:dyDescent="0.35">
      <c r="A3803">
        <v>2010</v>
      </c>
      <c r="B3803" t="s">
        <v>33</v>
      </c>
      <c r="C3803" t="s">
        <v>203</v>
      </c>
      <c r="D3803">
        <v>49</v>
      </c>
      <c r="E3803" t="s">
        <v>466</v>
      </c>
    </row>
    <row r="3804" spans="1:5" x14ac:dyDescent="0.35">
      <c r="A3804">
        <v>2010</v>
      </c>
      <c r="B3804" t="s">
        <v>33</v>
      </c>
      <c r="C3804" t="s">
        <v>204</v>
      </c>
      <c r="D3804">
        <v>74</v>
      </c>
      <c r="E3804" t="s">
        <v>466</v>
      </c>
    </row>
    <row r="3805" spans="1:5" x14ac:dyDescent="0.35">
      <c r="A3805">
        <v>2011</v>
      </c>
      <c r="B3805" t="s">
        <v>36</v>
      </c>
      <c r="C3805" t="s">
        <v>154</v>
      </c>
      <c r="D3805">
        <v>50</v>
      </c>
      <c r="E3805" t="s">
        <v>328</v>
      </c>
    </row>
    <row r="3806" spans="1:5" x14ac:dyDescent="0.35">
      <c r="A3806">
        <v>2011</v>
      </c>
      <c r="B3806" t="s">
        <v>36</v>
      </c>
      <c r="C3806" t="s">
        <v>154</v>
      </c>
      <c r="D3806">
        <v>99</v>
      </c>
      <c r="E3806" t="s">
        <v>458</v>
      </c>
    </row>
    <row r="3807" spans="1:5" x14ac:dyDescent="0.35">
      <c r="A3807">
        <v>2011</v>
      </c>
      <c r="B3807" t="s">
        <v>37</v>
      </c>
      <c r="C3807" t="s">
        <v>153</v>
      </c>
      <c r="D3807">
        <v>13</v>
      </c>
      <c r="E3807" t="s">
        <v>458</v>
      </c>
    </row>
    <row r="3808" spans="1:5" x14ac:dyDescent="0.35">
      <c r="A3808">
        <v>2011</v>
      </c>
      <c r="B3808" t="s">
        <v>34</v>
      </c>
      <c r="C3808" t="s">
        <v>152</v>
      </c>
      <c r="D3808">
        <v>154</v>
      </c>
      <c r="E3808" t="s">
        <v>328</v>
      </c>
    </row>
    <row r="3809" spans="1:5" x14ac:dyDescent="0.35">
      <c r="A3809">
        <v>2011</v>
      </c>
      <c r="B3809" t="s">
        <v>34</v>
      </c>
      <c r="C3809" t="s">
        <v>152</v>
      </c>
      <c r="D3809">
        <v>75</v>
      </c>
      <c r="E3809" t="s">
        <v>458</v>
      </c>
    </row>
    <row r="3810" spans="1:5" x14ac:dyDescent="0.35">
      <c r="A3810">
        <v>2011</v>
      </c>
      <c r="B3810" t="s">
        <v>36</v>
      </c>
      <c r="C3810" t="s">
        <v>147</v>
      </c>
      <c r="D3810">
        <v>696</v>
      </c>
      <c r="E3810" t="s">
        <v>458</v>
      </c>
    </row>
    <row r="3811" spans="1:5" x14ac:dyDescent="0.35">
      <c r="A3811">
        <v>2011</v>
      </c>
      <c r="B3811" t="s">
        <v>35</v>
      </c>
      <c r="C3811" t="s">
        <v>150</v>
      </c>
      <c r="E3811" t="s">
        <v>328</v>
      </c>
    </row>
    <row r="3812" spans="1:5" x14ac:dyDescent="0.35">
      <c r="A3812">
        <v>2011</v>
      </c>
      <c r="B3812" t="s">
        <v>33</v>
      </c>
      <c r="C3812" t="s">
        <v>149</v>
      </c>
      <c r="D3812">
        <v>194</v>
      </c>
      <c r="E3812" t="s">
        <v>328</v>
      </c>
    </row>
    <row r="3813" spans="1:5" x14ac:dyDescent="0.35">
      <c r="A3813">
        <v>2011</v>
      </c>
      <c r="B3813" t="s">
        <v>35</v>
      </c>
      <c r="C3813" t="s">
        <v>322</v>
      </c>
      <c r="D3813">
        <v>22</v>
      </c>
      <c r="E3813" t="s">
        <v>328</v>
      </c>
    </row>
    <row r="3814" spans="1:5" x14ac:dyDescent="0.35">
      <c r="A3814">
        <v>2011</v>
      </c>
      <c r="B3814" t="s">
        <v>35</v>
      </c>
      <c r="C3814" t="s">
        <v>322</v>
      </c>
      <c r="D3814">
        <v>11</v>
      </c>
      <c r="E3814" t="s">
        <v>458</v>
      </c>
    </row>
    <row r="3815" spans="1:5" x14ac:dyDescent="0.35">
      <c r="A3815">
        <v>2011</v>
      </c>
      <c r="B3815" t="s">
        <v>33</v>
      </c>
      <c r="C3815" t="s">
        <v>149</v>
      </c>
      <c r="D3815">
        <v>167</v>
      </c>
      <c r="E3815" t="s">
        <v>458</v>
      </c>
    </row>
    <row r="3816" spans="1:5" x14ac:dyDescent="0.35">
      <c r="A3816">
        <v>2011</v>
      </c>
      <c r="B3816" t="s">
        <v>33</v>
      </c>
      <c r="C3816" t="s">
        <v>148</v>
      </c>
      <c r="D3816">
        <v>8</v>
      </c>
      <c r="E3816" t="s">
        <v>328</v>
      </c>
    </row>
    <row r="3817" spans="1:5" x14ac:dyDescent="0.35">
      <c r="A3817">
        <v>2011</v>
      </c>
      <c r="B3817" t="s">
        <v>33</v>
      </c>
      <c r="C3817" t="s">
        <v>148</v>
      </c>
      <c r="D3817">
        <v>3</v>
      </c>
      <c r="E3817" t="s">
        <v>458</v>
      </c>
    </row>
    <row r="3818" spans="1:5" x14ac:dyDescent="0.35">
      <c r="A3818">
        <v>2011</v>
      </c>
      <c r="B3818" t="s">
        <v>36</v>
      </c>
      <c r="C3818" t="s">
        <v>147</v>
      </c>
      <c r="D3818">
        <v>806</v>
      </c>
      <c r="E3818" t="s">
        <v>328</v>
      </c>
    </row>
    <row r="3819" spans="1:5" x14ac:dyDescent="0.35">
      <c r="A3819">
        <v>2011</v>
      </c>
      <c r="B3819" t="s">
        <v>38</v>
      </c>
      <c r="C3819" t="s">
        <v>155</v>
      </c>
      <c r="D3819">
        <v>8</v>
      </c>
      <c r="E3819" t="s">
        <v>458</v>
      </c>
    </row>
    <row r="3820" spans="1:5" x14ac:dyDescent="0.35">
      <c r="A3820">
        <v>2011</v>
      </c>
      <c r="B3820" t="s">
        <v>35</v>
      </c>
      <c r="C3820" t="s">
        <v>150</v>
      </c>
      <c r="E3820" t="s">
        <v>458</v>
      </c>
    </row>
    <row r="3821" spans="1:5" x14ac:dyDescent="0.35">
      <c r="A3821">
        <v>2011</v>
      </c>
      <c r="B3821" t="s">
        <v>38</v>
      </c>
      <c r="C3821" t="s">
        <v>155</v>
      </c>
      <c r="D3821">
        <v>17</v>
      </c>
      <c r="E3821" t="s">
        <v>328</v>
      </c>
    </row>
    <row r="3822" spans="1:5" x14ac:dyDescent="0.35">
      <c r="A3822">
        <v>2011</v>
      </c>
      <c r="B3822" t="s">
        <v>35</v>
      </c>
      <c r="C3822" t="s">
        <v>160</v>
      </c>
      <c r="D3822">
        <v>78</v>
      </c>
      <c r="E3822" t="s">
        <v>458</v>
      </c>
    </row>
    <row r="3823" spans="1:5" x14ac:dyDescent="0.35">
      <c r="A3823">
        <v>2011</v>
      </c>
      <c r="B3823" t="s">
        <v>38</v>
      </c>
      <c r="C3823" t="s">
        <v>156</v>
      </c>
      <c r="D3823">
        <v>523</v>
      </c>
      <c r="E3823" t="s">
        <v>328</v>
      </c>
    </row>
    <row r="3824" spans="1:5" x14ac:dyDescent="0.35">
      <c r="A3824">
        <v>2011</v>
      </c>
      <c r="B3824" t="s">
        <v>37</v>
      </c>
      <c r="C3824" t="s">
        <v>146</v>
      </c>
      <c r="D3824">
        <v>24</v>
      </c>
      <c r="E3824" t="s">
        <v>328</v>
      </c>
    </row>
    <row r="3825" spans="1:5" x14ac:dyDescent="0.35">
      <c r="A3825">
        <v>2011</v>
      </c>
      <c r="B3825" t="s">
        <v>36</v>
      </c>
      <c r="C3825" t="s">
        <v>164</v>
      </c>
      <c r="D3825">
        <v>13</v>
      </c>
      <c r="E3825" t="s">
        <v>328</v>
      </c>
    </row>
    <row r="3826" spans="1:5" x14ac:dyDescent="0.35">
      <c r="A3826">
        <v>2011</v>
      </c>
      <c r="B3826" t="s">
        <v>36</v>
      </c>
      <c r="C3826" t="s">
        <v>164</v>
      </c>
      <c r="D3826">
        <v>10</v>
      </c>
      <c r="E3826" t="s">
        <v>458</v>
      </c>
    </row>
    <row r="3827" spans="1:5" x14ac:dyDescent="0.35">
      <c r="A3827">
        <v>2011</v>
      </c>
      <c r="B3827" t="s">
        <v>36</v>
      </c>
      <c r="C3827" t="s">
        <v>163</v>
      </c>
      <c r="D3827">
        <v>9</v>
      </c>
      <c r="E3827" t="s">
        <v>328</v>
      </c>
    </row>
    <row r="3828" spans="1:5" x14ac:dyDescent="0.35">
      <c r="A3828">
        <v>2011</v>
      </c>
      <c r="B3828" t="s">
        <v>36</v>
      </c>
      <c r="C3828" t="s">
        <v>163</v>
      </c>
      <c r="D3828">
        <v>11</v>
      </c>
      <c r="E3828" t="s">
        <v>458</v>
      </c>
    </row>
    <row r="3829" spans="1:5" x14ac:dyDescent="0.35">
      <c r="A3829">
        <v>2011</v>
      </c>
      <c r="B3829" t="s">
        <v>33</v>
      </c>
      <c r="C3829" t="s">
        <v>162</v>
      </c>
      <c r="D3829">
        <v>5</v>
      </c>
      <c r="E3829" t="s">
        <v>328</v>
      </c>
    </row>
    <row r="3830" spans="1:5" x14ac:dyDescent="0.35">
      <c r="A3830">
        <v>2011</v>
      </c>
      <c r="B3830" t="s">
        <v>33</v>
      </c>
      <c r="C3830" t="s">
        <v>162</v>
      </c>
      <c r="D3830">
        <v>3</v>
      </c>
      <c r="E3830" t="s">
        <v>458</v>
      </c>
    </row>
    <row r="3831" spans="1:5" x14ac:dyDescent="0.35">
      <c r="A3831">
        <v>2011</v>
      </c>
      <c r="B3831" t="s">
        <v>38</v>
      </c>
      <c r="C3831" t="s">
        <v>156</v>
      </c>
      <c r="D3831">
        <v>459</v>
      </c>
      <c r="E3831" t="s">
        <v>458</v>
      </c>
    </row>
    <row r="3832" spans="1:5" x14ac:dyDescent="0.35">
      <c r="A3832">
        <v>2011</v>
      </c>
      <c r="B3832" t="s">
        <v>35</v>
      </c>
      <c r="C3832" t="s">
        <v>161</v>
      </c>
      <c r="D3832">
        <v>142</v>
      </c>
      <c r="E3832" t="s">
        <v>328</v>
      </c>
    </row>
    <row r="3833" spans="1:5" x14ac:dyDescent="0.35">
      <c r="A3833">
        <v>2011</v>
      </c>
      <c r="B3833" t="s">
        <v>35</v>
      </c>
      <c r="C3833" t="s">
        <v>160</v>
      </c>
      <c r="D3833">
        <v>126</v>
      </c>
      <c r="E3833" t="s">
        <v>328</v>
      </c>
    </row>
    <row r="3834" spans="1:5" x14ac:dyDescent="0.35">
      <c r="A3834">
        <v>2011</v>
      </c>
      <c r="B3834" t="s">
        <v>35</v>
      </c>
      <c r="C3834" t="s">
        <v>158</v>
      </c>
      <c r="D3834">
        <v>72</v>
      </c>
      <c r="E3834" t="s">
        <v>328</v>
      </c>
    </row>
    <row r="3835" spans="1:5" x14ac:dyDescent="0.35">
      <c r="A3835">
        <v>2011</v>
      </c>
      <c r="B3835" t="s">
        <v>35</v>
      </c>
      <c r="C3835" t="s">
        <v>158</v>
      </c>
      <c r="D3835">
        <v>76</v>
      </c>
      <c r="E3835" t="s">
        <v>458</v>
      </c>
    </row>
    <row r="3836" spans="1:5" x14ac:dyDescent="0.35">
      <c r="A3836">
        <v>2011</v>
      </c>
      <c r="B3836" t="s">
        <v>35</v>
      </c>
      <c r="C3836" t="s">
        <v>157</v>
      </c>
      <c r="D3836">
        <v>286</v>
      </c>
      <c r="E3836" t="s">
        <v>328</v>
      </c>
    </row>
    <row r="3837" spans="1:5" x14ac:dyDescent="0.35">
      <c r="A3837">
        <v>2011</v>
      </c>
      <c r="B3837" t="s">
        <v>35</v>
      </c>
      <c r="C3837" t="s">
        <v>157</v>
      </c>
      <c r="D3837">
        <v>140</v>
      </c>
      <c r="E3837" t="s">
        <v>458</v>
      </c>
    </row>
    <row r="3838" spans="1:5" x14ac:dyDescent="0.35">
      <c r="A3838">
        <v>2011</v>
      </c>
      <c r="B3838" t="s">
        <v>34</v>
      </c>
      <c r="C3838" t="s">
        <v>18</v>
      </c>
      <c r="D3838">
        <v>355</v>
      </c>
      <c r="E3838" t="s">
        <v>328</v>
      </c>
    </row>
    <row r="3839" spans="1:5" x14ac:dyDescent="0.35">
      <c r="A3839">
        <v>2011</v>
      </c>
      <c r="B3839" t="s">
        <v>34</v>
      </c>
      <c r="C3839" t="s">
        <v>18</v>
      </c>
      <c r="D3839">
        <v>340</v>
      </c>
      <c r="E3839" t="s">
        <v>458</v>
      </c>
    </row>
    <row r="3840" spans="1:5" x14ac:dyDescent="0.35">
      <c r="A3840">
        <v>2011</v>
      </c>
      <c r="B3840" t="s">
        <v>35</v>
      </c>
      <c r="C3840" t="s">
        <v>161</v>
      </c>
      <c r="D3840">
        <v>100</v>
      </c>
      <c r="E3840" t="s">
        <v>458</v>
      </c>
    </row>
    <row r="3841" spans="1:5" x14ac:dyDescent="0.35">
      <c r="A3841">
        <v>2011</v>
      </c>
      <c r="B3841" t="s">
        <v>37</v>
      </c>
      <c r="C3841" t="s">
        <v>146</v>
      </c>
      <c r="D3841">
        <v>20</v>
      </c>
      <c r="E3841" t="s">
        <v>458</v>
      </c>
    </row>
    <row r="3842" spans="1:5" x14ac:dyDescent="0.35">
      <c r="A3842">
        <v>2011</v>
      </c>
      <c r="B3842" t="s">
        <v>34</v>
      </c>
      <c r="C3842" t="s">
        <v>120</v>
      </c>
      <c r="D3842">
        <v>3</v>
      </c>
      <c r="E3842" t="s">
        <v>328</v>
      </c>
    </row>
    <row r="3843" spans="1:5" x14ac:dyDescent="0.35">
      <c r="A3843">
        <v>2011</v>
      </c>
      <c r="B3843" t="s">
        <v>35</v>
      </c>
      <c r="C3843" t="s">
        <v>145</v>
      </c>
      <c r="D3843">
        <v>24</v>
      </c>
      <c r="E3843" t="s">
        <v>458</v>
      </c>
    </row>
    <row r="3844" spans="1:5" x14ac:dyDescent="0.35">
      <c r="A3844">
        <v>2011</v>
      </c>
      <c r="B3844" t="s">
        <v>34</v>
      </c>
      <c r="C3844" t="s">
        <v>131</v>
      </c>
      <c r="D3844">
        <v>9</v>
      </c>
      <c r="E3844" t="s">
        <v>458</v>
      </c>
    </row>
    <row r="3845" spans="1:5" x14ac:dyDescent="0.35">
      <c r="A3845">
        <v>2011</v>
      </c>
      <c r="B3845" t="s">
        <v>33</v>
      </c>
      <c r="C3845" t="s">
        <v>130</v>
      </c>
      <c r="E3845" t="s">
        <v>328</v>
      </c>
    </row>
    <row r="3846" spans="1:5" x14ac:dyDescent="0.35">
      <c r="A3846">
        <v>2011</v>
      </c>
      <c r="B3846" t="s">
        <v>33</v>
      </c>
      <c r="C3846" t="s">
        <v>130</v>
      </c>
      <c r="E3846" t="s">
        <v>458</v>
      </c>
    </row>
    <row r="3847" spans="1:5" x14ac:dyDescent="0.35">
      <c r="A3847">
        <v>2011</v>
      </c>
      <c r="B3847" t="s">
        <v>35</v>
      </c>
      <c r="C3847" t="s">
        <v>127</v>
      </c>
      <c r="D3847">
        <v>27</v>
      </c>
      <c r="E3847" t="s">
        <v>328</v>
      </c>
    </row>
    <row r="3848" spans="1:5" x14ac:dyDescent="0.35">
      <c r="A3848">
        <v>2011</v>
      </c>
      <c r="B3848" t="s">
        <v>35</v>
      </c>
      <c r="C3848" t="s">
        <v>127</v>
      </c>
      <c r="D3848">
        <v>20</v>
      </c>
      <c r="E3848" t="s">
        <v>458</v>
      </c>
    </row>
    <row r="3849" spans="1:5" x14ac:dyDescent="0.35">
      <c r="A3849">
        <v>2011</v>
      </c>
      <c r="B3849" t="s">
        <v>33</v>
      </c>
      <c r="C3849" t="s">
        <v>125</v>
      </c>
      <c r="D3849">
        <v>12</v>
      </c>
      <c r="E3849" t="s">
        <v>328</v>
      </c>
    </row>
    <row r="3850" spans="1:5" x14ac:dyDescent="0.35">
      <c r="A3850">
        <v>2011</v>
      </c>
      <c r="B3850" t="s">
        <v>33</v>
      </c>
      <c r="C3850" t="s">
        <v>125</v>
      </c>
      <c r="D3850">
        <v>28</v>
      </c>
      <c r="E3850" t="s">
        <v>458</v>
      </c>
    </row>
    <row r="3851" spans="1:5" x14ac:dyDescent="0.35">
      <c r="A3851">
        <v>2011</v>
      </c>
      <c r="B3851" t="s">
        <v>34</v>
      </c>
      <c r="C3851" t="s">
        <v>131</v>
      </c>
      <c r="D3851">
        <v>29</v>
      </c>
      <c r="E3851" t="s">
        <v>328</v>
      </c>
    </row>
    <row r="3852" spans="1:5" x14ac:dyDescent="0.35">
      <c r="A3852">
        <v>2011</v>
      </c>
      <c r="B3852" t="s">
        <v>34</v>
      </c>
      <c r="C3852" t="s">
        <v>124</v>
      </c>
      <c r="D3852">
        <v>56</v>
      </c>
      <c r="E3852" t="s">
        <v>328</v>
      </c>
    </row>
    <row r="3853" spans="1:5" x14ac:dyDescent="0.35">
      <c r="A3853">
        <v>2011</v>
      </c>
      <c r="B3853" t="s">
        <v>35</v>
      </c>
      <c r="C3853" t="s">
        <v>123</v>
      </c>
      <c r="D3853">
        <v>27</v>
      </c>
      <c r="E3853" t="s">
        <v>328</v>
      </c>
    </row>
    <row r="3854" spans="1:5" x14ac:dyDescent="0.35">
      <c r="A3854">
        <v>2011</v>
      </c>
      <c r="B3854" t="s">
        <v>35</v>
      </c>
      <c r="C3854" t="s">
        <v>123</v>
      </c>
      <c r="D3854">
        <v>14</v>
      </c>
      <c r="E3854" t="s">
        <v>458</v>
      </c>
    </row>
    <row r="3855" spans="1:5" x14ac:dyDescent="0.35">
      <c r="A3855">
        <v>2011</v>
      </c>
      <c r="B3855" t="s">
        <v>34</v>
      </c>
      <c r="C3855" t="s">
        <v>122</v>
      </c>
      <c r="D3855">
        <v>13</v>
      </c>
      <c r="E3855" t="s">
        <v>328</v>
      </c>
    </row>
    <row r="3856" spans="1:5" x14ac:dyDescent="0.35">
      <c r="A3856">
        <v>2011</v>
      </c>
      <c r="B3856" t="s">
        <v>34</v>
      </c>
      <c r="C3856" t="s">
        <v>122</v>
      </c>
      <c r="D3856">
        <v>4</v>
      </c>
      <c r="E3856" t="s">
        <v>458</v>
      </c>
    </row>
    <row r="3857" spans="1:5" x14ac:dyDescent="0.35">
      <c r="A3857">
        <v>2011</v>
      </c>
      <c r="B3857" t="s">
        <v>34</v>
      </c>
      <c r="C3857" t="s">
        <v>121</v>
      </c>
      <c r="E3857" t="s">
        <v>328</v>
      </c>
    </row>
    <row r="3858" spans="1:5" x14ac:dyDescent="0.35">
      <c r="A3858">
        <v>2011</v>
      </c>
      <c r="B3858" t="s">
        <v>34</v>
      </c>
      <c r="C3858" t="s">
        <v>121</v>
      </c>
      <c r="E3858" t="s">
        <v>458</v>
      </c>
    </row>
    <row r="3859" spans="1:5" x14ac:dyDescent="0.35">
      <c r="A3859">
        <v>2011</v>
      </c>
      <c r="B3859" t="s">
        <v>36</v>
      </c>
      <c r="C3859" t="s">
        <v>165</v>
      </c>
      <c r="D3859">
        <v>3</v>
      </c>
      <c r="E3859" t="s">
        <v>328</v>
      </c>
    </row>
    <row r="3860" spans="1:5" x14ac:dyDescent="0.35">
      <c r="A3860">
        <v>2011</v>
      </c>
      <c r="B3860" t="s">
        <v>34</v>
      </c>
      <c r="C3860" t="s">
        <v>124</v>
      </c>
      <c r="D3860">
        <v>37</v>
      </c>
      <c r="E3860" t="s">
        <v>458</v>
      </c>
    </row>
    <row r="3861" spans="1:5" x14ac:dyDescent="0.35">
      <c r="A3861">
        <v>2011</v>
      </c>
      <c r="B3861" t="s">
        <v>33</v>
      </c>
      <c r="C3861" t="s">
        <v>132</v>
      </c>
      <c r="D3861">
        <v>4</v>
      </c>
      <c r="E3861" t="s">
        <v>458</v>
      </c>
    </row>
    <row r="3862" spans="1:5" x14ac:dyDescent="0.35">
      <c r="A3862">
        <v>2011</v>
      </c>
      <c r="B3862" t="s">
        <v>33</v>
      </c>
      <c r="C3862" t="s">
        <v>132</v>
      </c>
      <c r="D3862">
        <v>19</v>
      </c>
      <c r="E3862" t="s">
        <v>328</v>
      </c>
    </row>
    <row r="3863" spans="1:5" x14ac:dyDescent="0.35">
      <c r="A3863">
        <v>2011</v>
      </c>
      <c r="B3863" t="s">
        <v>37</v>
      </c>
      <c r="C3863" t="s">
        <v>134</v>
      </c>
      <c r="E3863" t="s">
        <v>458</v>
      </c>
    </row>
    <row r="3864" spans="1:5" x14ac:dyDescent="0.35">
      <c r="A3864">
        <v>2011</v>
      </c>
      <c r="B3864" t="s">
        <v>34</v>
      </c>
      <c r="C3864" t="s">
        <v>144</v>
      </c>
      <c r="D3864">
        <v>41</v>
      </c>
      <c r="E3864" t="s">
        <v>328</v>
      </c>
    </row>
    <row r="3865" spans="1:5" x14ac:dyDescent="0.35">
      <c r="A3865">
        <v>2011</v>
      </c>
      <c r="B3865" t="s">
        <v>34</v>
      </c>
      <c r="C3865" t="s">
        <v>144</v>
      </c>
      <c r="D3865">
        <v>9</v>
      </c>
      <c r="E3865" t="s">
        <v>458</v>
      </c>
    </row>
    <row r="3866" spans="1:5" x14ac:dyDescent="0.35">
      <c r="A3866">
        <v>2011</v>
      </c>
      <c r="B3866" t="s">
        <v>33</v>
      </c>
      <c r="C3866" t="s">
        <v>141</v>
      </c>
      <c r="D3866">
        <v>26</v>
      </c>
      <c r="E3866" t="s">
        <v>328</v>
      </c>
    </row>
    <row r="3867" spans="1:5" x14ac:dyDescent="0.35">
      <c r="A3867">
        <v>2011</v>
      </c>
      <c r="B3867" t="s">
        <v>33</v>
      </c>
      <c r="C3867" t="s">
        <v>141</v>
      </c>
      <c r="D3867">
        <v>37</v>
      </c>
      <c r="E3867" t="s">
        <v>458</v>
      </c>
    </row>
    <row r="3868" spans="1:5" x14ac:dyDescent="0.35">
      <c r="A3868">
        <v>2011</v>
      </c>
      <c r="B3868" t="s">
        <v>35</v>
      </c>
      <c r="C3868" t="s">
        <v>140</v>
      </c>
      <c r="D3868">
        <v>5</v>
      </c>
      <c r="E3868" t="s">
        <v>328</v>
      </c>
    </row>
    <row r="3869" spans="1:5" x14ac:dyDescent="0.35">
      <c r="A3869">
        <v>2011</v>
      </c>
      <c r="B3869" t="s">
        <v>35</v>
      </c>
      <c r="C3869" t="s">
        <v>140</v>
      </c>
      <c r="D3869">
        <v>5</v>
      </c>
      <c r="E3869" t="s">
        <v>458</v>
      </c>
    </row>
    <row r="3870" spans="1:5" x14ac:dyDescent="0.35">
      <c r="A3870">
        <v>2011</v>
      </c>
      <c r="B3870" t="s">
        <v>34</v>
      </c>
      <c r="C3870" t="s">
        <v>139</v>
      </c>
      <c r="D3870">
        <v>51</v>
      </c>
      <c r="E3870" t="s">
        <v>328</v>
      </c>
    </row>
    <row r="3871" spans="1:5" x14ac:dyDescent="0.35">
      <c r="A3871">
        <v>2011</v>
      </c>
      <c r="B3871" t="s">
        <v>34</v>
      </c>
      <c r="C3871" t="s">
        <v>139</v>
      </c>
      <c r="D3871">
        <v>26</v>
      </c>
      <c r="E3871" t="s">
        <v>458</v>
      </c>
    </row>
    <row r="3872" spans="1:5" x14ac:dyDescent="0.35">
      <c r="A3872">
        <v>2011</v>
      </c>
      <c r="B3872" t="s">
        <v>35</v>
      </c>
      <c r="C3872" t="s">
        <v>138</v>
      </c>
      <c r="D3872">
        <v>42</v>
      </c>
      <c r="E3872" t="s">
        <v>328</v>
      </c>
    </row>
    <row r="3873" spans="1:5" x14ac:dyDescent="0.35">
      <c r="A3873">
        <v>2011</v>
      </c>
      <c r="B3873" t="s">
        <v>35</v>
      </c>
      <c r="C3873" t="s">
        <v>138</v>
      </c>
      <c r="D3873">
        <v>19</v>
      </c>
      <c r="E3873" t="s">
        <v>458</v>
      </c>
    </row>
    <row r="3874" spans="1:5" x14ac:dyDescent="0.35">
      <c r="A3874">
        <v>2011</v>
      </c>
      <c r="B3874" t="s">
        <v>37</v>
      </c>
      <c r="C3874" t="s">
        <v>137</v>
      </c>
      <c r="E3874" t="s">
        <v>328</v>
      </c>
    </row>
    <row r="3875" spans="1:5" x14ac:dyDescent="0.35">
      <c r="A3875">
        <v>2011</v>
      </c>
      <c r="B3875" t="s">
        <v>37</v>
      </c>
      <c r="C3875" t="s">
        <v>137</v>
      </c>
      <c r="E3875" t="s">
        <v>458</v>
      </c>
    </row>
    <row r="3876" spans="1:5" x14ac:dyDescent="0.35">
      <c r="A3876">
        <v>2011</v>
      </c>
      <c r="B3876" t="s">
        <v>36</v>
      </c>
      <c r="C3876" t="s">
        <v>14</v>
      </c>
      <c r="D3876">
        <v>142945</v>
      </c>
      <c r="E3876" t="s">
        <v>328</v>
      </c>
    </row>
    <row r="3877" spans="1:5" x14ac:dyDescent="0.35">
      <c r="A3877">
        <v>2011</v>
      </c>
      <c r="B3877" t="s">
        <v>36</v>
      </c>
      <c r="C3877" t="s">
        <v>14</v>
      </c>
      <c r="D3877">
        <v>145133</v>
      </c>
      <c r="E3877" t="s">
        <v>458</v>
      </c>
    </row>
    <row r="3878" spans="1:5" x14ac:dyDescent="0.35">
      <c r="A3878">
        <v>2011</v>
      </c>
      <c r="B3878" t="s">
        <v>33</v>
      </c>
      <c r="C3878" t="s">
        <v>135</v>
      </c>
      <c r="E3878" t="s">
        <v>328</v>
      </c>
    </row>
    <row r="3879" spans="1:5" x14ac:dyDescent="0.35">
      <c r="A3879">
        <v>2011</v>
      </c>
      <c r="B3879" t="s">
        <v>33</v>
      </c>
      <c r="C3879" t="s">
        <v>135</v>
      </c>
      <c r="E3879" t="s">
        <v>458</v>
      </c>
    </row>
    <row r="3880" spans="1:5" x14ac:dyDescent="0.35">
      <c r="A3880">
        <v>2011</v>
      </c>
      <c r="B3880" t="s">
        <v>37</v>
      </c>
      <c r="C3880" t="s">
        <v>134</v>
      </c>
      <c r="E3880" t="s">
        <v>328</v>
      </c>
    </row>
    <row r="3881" spans="1:5" x14ac:dyDescent="0.35">
      <c r="A3881">
        <v>2011</v>
      </c>
      <c r="B3881" t="s">
        <v>35</v>
      </c>
      <c r="C3881" t="s">
        <v>145</v>
      </c>
      <c r="D3881">
        <v>41</v>
      </c>
      <c r="E3881" t="s">
        <v>328</v>
      </c>
    </row>
    <row r="3882" spans="1:5" x14ac:dyDescent="0.35">
      <c r="A3882">
        <v>2011</v>
      </c>
      <c r="B3882" t="s">
        <v>37</v>
      </c>
      <c r="C3882" t="s">
        <v>166</v>
      </c>
      <c r="D3882">
        <v>5</v>
      </c>
      <c r="E3882" t="s">
        <v>458</v>
      </c>
    </row>
    <row r="3883" spans="1:5" x14ac:dyDescent="0.35">
      <c r="A3883">
        <v>2011</v>
      </c>
      <c r="B3883" t="s">
        <v>33</v>
      </c>
      <c r="C3883" t="s">
        <v>204</v>
      </c>
      <c r="D3883">
        <v>16</v>
      </c>
      <c r="E3883" t="s">
        <v>458</v>
      </c>
    </row>
    <row r="3884" spans="1:5" x14ac:dyDescent="0.35">
      <c r="A3884">
        <v>2011</v>
      </c>
      <c r="B3884" t="s">
        <v>34</v>
      </c>
      <c r="C3884" t="s">
        <v>167</v>
      </c>
      <c r="D3884">
        <v>4</v>
      </c>
      <c r="E3884" t="s">
        <v>458</v>
      </c>
    </row>
    <row r="3885" spans="1:5" x14ac:dyDescent="0.35">
      <c r="A3885">
        <v>2011</v>
      </c>
      <c r="B3885" t="s">
        <v>33</v>
      </c>
      <c r="C3885" t="s">
        <v>195</v>
      </c>
      <c r="D3885">
        <v>22</v>
      </c>
      <c r="E3885" t="s">
        <v>328</v>
      </c>
    </row>
    <row r="3886" spans="1:5" x14ac:dyDescent="0.35">
      <c r="A3886">
        <v>2011</v>
      </c>
      <c r="B3886" t="s">
        <v>33</v>
      </c>
      <c r="C3886" t="s">
        <v>195</v>
      </c>
      <c r="D3886">
        <v>6</v>
      </c>
      <c r="E3886" t="s">
        <v>458</v>
      </c>
    </row>
    <row r="3887" spans="1:5" x14ac:dyDescent="0.35">
      <c r="A3887">
        <v>2011</v>
      </c>
      <c r="B3887" t="s">
        <v>36</v>
      </c>
      <c r="C3887" t="s">
        <v>372</v>
      </c>
      <c r="D3887">
        <v>9</v>
      </c>
      <c r="E3887" t="s">
        <v>328</v>
      </c>
    </row>
    <row r="3888" spans="1:5" x14ac:dyDescent="0.35">
      <c r="A3888">
        <v>2011</v>
      </c>
      <c r="B3888" t="s">
        <v>36</v>
      </c>
      <c r="C3888" t="s">
        <v>372</v>
      </c>
      <c r="D3888">
        <v>3</v>
      </c>
      <c r="E3888" t="s">
        <v>458</v>
      </c>
    </row>
    <row r="3889" spans="1:5" x14ac:dyDescent="0.35">
      <c r="A3889">
        <v>2011</v>
      </c>
      <c r="B3889" t="s">
        <v>34</v>
      </c>
      <c r="C3889" t="s">
        <v>193</v>
      </c>
      <c r="D3889">
        <v>85</v>
      </c>
      <c r="E3889" t="s">
        <v>328</v>
      </c>
    </row>
    <row r="3890" spans="1:5" x14ac:dyDescent="0.35">
      <c r="A3890">
        <v>2011</v>
      </c>
      <c r="B3890" t="s">
        <v>34</v>
      </c>
      <c r="C3890" t="s">
        <v>193</v>
      </c>
      <c r="D3890">
        <v>41</v>
      </c>
      <c r="E3890" t="s">
        <v>458</v>
      </c>
    </row>
    <row r="3891" spans="1:5" x14ac:dyDescent="0.35">
      <c r="A3891">
        <v>2011</v>
      </c>
      <c r="B3891" t="s">
        <v>33</v>
      </c>
      <c r="C3891" t="s">
        <v>192</v>
      </c>
      <c r="D3891">
        <v>8</v>
      </c>
      <c r="E3891" t="s">
        <v>328</v>
      </c>
    </row>
    <row r="3892" spans="1:5" x14ac:dyDescent="0.35">
      <c r="A3892">
        <v>2011</v>
      </c>
      <c r="B3892" t="s">
        <v>35</v>
      </c>
      <c r="C3892" t="s">
        <v>196</v>
      </c>
      <c r="D3892">
        <v>81</v>
      </c>
      <c r="E3892" t="s">
        <v>458</v>
      </c>
    </row>
    <row r="3893" spans="1:5" x14ac:dyDescent="0.35">
      <c r="A3893">
        <v>2011</v>
      </c>
      <c r="B3893" t="s">
        <v>33</v>
      </c>
      <c r="C3893" t="s">
        <v>192</v>
      </c>
      <c r="D3893">
        <v>6</v>
      </c>
      <c r="E3893" t="s">
        <v>458</v>
      </c>
    </row>
    <row r="3894" spans="1:5" x14ac:dyDescent="0.35">
      <c r="A3894">
        <v>2011</v>
      </c>
      <c r="B3894" t="s">
        <v>36</v>
      </c>
      <c r="C3894" t="s">
        <v>191</v>
      </c>
      <c r="D3894">
        <v>236</v>
      </c>
      <c r="E3894" t="s">
        <v>458</v>
      </c>
    </row>
    <row r="3895" spans="1:5" x14ac:dyDescent="0.35">
      <c r="A3895">
        <v>2011</v>
      </c>
      <c r="B3895" t="s">
        <v>37</v>
      </c>
      <c r="C3895" t="s">
        <v>190</v>
      </c>
      <c r="D3895">
        <v>8</v>
      </c>
      <c r="E3895" t="s">
        <v>328</v>
      </c>
    </row>
    <row r="3896" spans="1:5" x14ac:dyDescent="0.35">
      <c r="A3896">
        <v>2011</v>
      </c>
      <c r="B3896" t="s">
        <v>37</v>
      </c>
      <c r="C3896" t="s">
        <v>190</v>
      </c>
      <c r="D3896">
        <v>37</v>
      </c>
      <c r="E3896" t="s">
        <v>458</v>
      </c>
    </row>
    <row r="3897" spans="1:5" x14ac:dyDescent="0.35">
      <c r="A3897">
        <v>2011</v>
      </c>
      <c r="B3897" t="s">
        <v>33</v>
      </c>
      <c r="C3897" t="s">
        <v>189</v>
      </c>
      <c r="D3897">
        <v>11</v>
      </c>
      <c r="E3897" t="s">
        <v>328</v>
      </c>
    </row>
    <row r="3898" spans="1:5" x14ac:dyDescent="0.35">
      <c r="A3898">
        <v>2011</v>
      </c>
      <c r="B3898" t="s">
        <v>33</v>
      </c>
      <c r="C3898" t="s">
        <v>189</v>
      </c>
      <c r="D3898">
        <v>5</v>
      </c>
      <c r="E3898" t="s">
        <v>458</v>
      </c>
    </row>
    <row r="3899" spans="1:5" x14ac:dyDescent="0.35">
      <c r="A3899">
        <v>2011</v>
      </c>
      <c r="B3899" t="s">
        <v>34</v>
      </c>
      <c r="C3899" t="s">
        <v>188</v>
      </c>
      <c r="D3899">
        <v>72</v>
      </c>
      <c r="E3899" t="s">
        <v>328</v>
      </c>
    </row>
    <row r="3900" spans="1:5" x14ac:dyDescent="0.35">
      <c r="A3900">
        <v>2011</v>
      </c>
      <c r="B3900" t="s">
        <v>34</v>
      </c>
      <c r="C3900" t="s">
        <v>188</v>
      </c>
      <c r="D3900">
        <v>15</v>
      </c>
      <c r="E3900" t="s">
        <v>458</v>
      </c>
    </row>
    <row r="3901" spans="1:5" x14ac:dyDescent="0.35">
      <c r="A3901">
        <v>2011</v>
      </c>
      <c r="B3901" t="s">
        <v>36</v>
      </c>
      <c r="C3901" t="s">
        <v>191</v>
      </c>
      <c r="D3901">
        <v>90</v>
      </c>
      <c r="E3901" t="s">
        <v>328</v>
      </c>
    </row>
    <row r="3902" spans="1:5" x14ac:dyDescent="0.35">
      <c r="A3902">
        <v>2011</v>
      </c>
      <c r="B3902" t="s">
        <v>35</v>
      </c>
      <c r="C3902" t="s">
        <v>196</v>
      </c>
      <c r="D3902">
        <v>127</v>
      </c>
      <c r="E3902" t="s">
        <v>328</v>
      </c>
    </row>
    <row r="3903" spans="1:5" x14ac:dyDescent="0.35">
      <c r="A3903">
        <v>2011</v>
      </c>
      <c r="B3903" t="s">
        <v>34</v>
      </c>
      <c r="C3903" t="s">
        <v>197</v>
      </c>
      <c r="D3903">
        <v>4</v>
      </c>
      <c r="E3903" t="s">
        <v>328</v>
      </c>
    </row>
    <row r="3904" spans="1:5" x14ac:dyDescent="0.35">
      <c r="A3904">
        <v>2011</v>
      </c>
      <c r="B3904" t="s">
        <v>35</v>
      </c>
      <c r="C3904" t="s">
        <v>198</v>
      </c>
      <c r="D3904">
        <v>164</v>
      </c>
      <c r="E3904" t="s">
        <v>458</v>
      </c>
    </row>
    <row r="3905" spans="1:5" x14ac:dyDescent="0.35">
      <c r="A3905">
        <v>2011</v>
      </c>
      <c r="B3905" t="s">
        <v>33</v>
      </c>
      <c r="C3905" t="s">
        <v>204</v>
      </c>
      <c r="D3905">
        <v>18</v>
      </c>
      <c r="E3905" t="s">
        <v>328</v>
      </c>
    </row>
    <row r="3906" spans="1:5" x14ac:dyDescent="0.35">
      <c r="A3906">
        <v>2011</v>
      </c>
      <c r="B3906" t="s">
        <v>34</v>
      </c>
      <c r="C3906" t="s">
        <v>120</v>
      </c>
      <c r="D3906">
        <v>4</v>
      </c>
      <c r="E3906" t="s">
        <v>458</v>
      </c>
    </row>
    <row r="3907" spans="1:5" x14ac:dyDescent="0.35">
      <c r="A3907">
        <v>2011</v>
      </c>
      <c r="B3907" t="s">
        <v>33</v>
      </c>
      <c r="C3907" t="s">
        <v>203</v>
      </c>
      <c r="E3907" t="s">
        <v>328</v>
      </c>
    </row>
    <row r="3908" spans="1:5" x14ac:dyDescent="0.35">
      <c r="A3908">
        <v>2011</v>
      </c>
      <c r="B3908" t="s">
        <v>33</v>
      </c>
      <c r="C3908" t="s">
        <v>203</v>
      </c>
      <c r="E3908" t="s">
        <v>458</v>
      </c>
    </row>
    <row r="3909" spans="1:5" x14ac:dyDescent="0.35">
      <c r="A3909">
        <v>2011</v>
      </c>
      <c r="B3909" t="s">
        <v>34</v>
      </c>
      <c r="C3909" t="s">
        <v>202</v>
      </c>
      <c r="D3909">
        <v>25</v>
      </c>
      <c r="E3909" t="s">
        <v>328</v>
      </c>
    </row>
    <row r="3910" spans="1:5" x14ac:dyDescent="0.35">
      <c r="A3910">
        <v>2011</v>
      </c>
      <c r="B3910" t="s">
        <v>34</v>
      </c>
      <c r="C3910" t="s">
        <v>202</v>
      </c>
      <c r="D3910">
        <v>14</v>
      </c>
      <c r="E3910" t="s">
        <v>458</v>
      </c>
    </row>
    <row r="3911" spans="1:5" x14ac:dyDescent="0.35">
      <c r="A3911">
        <v>2011</v>
      </c>
      <c r="B3911" t="s">
        <v>34</v>
      </c>
      <c r="C3911" t="s">
        <v>201</v>
      </c>
      <c r="D3911">
        <v>27</v>
      </c>
      <c r="E3911" t="s">
        <v>328</v>
      </c>
    </row>
    <row r="3912" spans="1:5" x14ac:dyDescent="0.35">
      <c r="A3912">
        <v>2011</v>
      </c>
      <c r="B3912" t="s">
        <v>34</v>
      </c>
      <c r="C3912" t="s">
        <v>201</v>
      </c>
      <c r="D3912">
        <v>26</v>
      </c>
      <c r="E3912" t="s">
        <v>458</v>
      </c>
    </row>
    <row r="3913" spans="1:5" x14ac:dyDescent="0.35">
      <c r="A3913">
        <v>2011</v>
      </c>
      <c r="B3913" t="s">
        <v>38</v>
      </c>
      <c r="C3913" t="s">
        <v>19</v>
      </c>
      <c r="D3913">
        <v>190</v>
      </c>
      <c r="E3913" t="s">
        <v>328</v>
      </c>
    </row>
    <row r="3914" spans="1:5" x14ac:dyDescent="0.35">
      <c r="A3914">
        <v>2011</v>
      </c>
      <c r="B3914" t="s">
        <v>38</v>
      </c>
      <c r="C3914" t="s">
        <v>19</v>
      </c>
      <c r="D3914">
        <v>118</v>
      </c>
      <c r="E3914" t="s">
        <v>458</v>
      </c>
    </row>
    <row r="3915" spans="1:5" x14ac:dyDescent="0.35">
      <c r="A3915">
        <v>2011</v>
      </c>
      <c r="B3915" t="s">
        <v>34</v>
      </c>
      <c r="C3915" t="s">
        <v>200</v>
      </c>
      <c r="D3915">
        <v>50</v>
      </c>
      <c r="E3915" t="s">
        <v>328</v>
      </c>
    </row>
    <row r="3916" spans="1:5" x14ac:dyDescent="0.35">
      <c r="A3916">
        <v>2011</v>
      </c>
      <c r="B3916" t="s">
        <v>34</v>
      </c>
      <c r="C3916" t="s">
        <v>200</v>
      </c>
      <c r="D3916">
        <v>12</v>
      </c>
      <c r="E3916" t="s">
        <v>458</v>
      </c>
    </row>
    <row r="3917" spans="1:5" x14ac:dyDescent="0.35">
      <c r="A3917">
        <v>2011</v>
      </c>
      <c r="B3917" t="s">
        <v>38</v>
      </c>
      <c r="C3917" t="s">
        <v>199</v>
      </c>
      <c r="D3917">
        <v>103</v>
      </c>
      <c r="E3917" t="s">
        <v>328</v>
      </c>
    </row>
    <row r="3918" spans="1:5" x14ac:dyDescent="0.35">
      <c r="A3918">
        <v>2011</v>
      </c>
      <c r="B3918" t="s">
        <v>38</v>
      </c>
      <c r="C3918" t="s">
        <v>199</v>
      </c>
      <c r="D3918">
        <v>69</v>
      </c>
      <c r="E3918" t="s">
        <v>458</v>
      </c>
    </row>
    <row r="3919" spans="1:5" x14ac:dyDescent="0.35">
      <c r="A3919">
        <v>2011</v>
      </c>
      <c r="B3919" t="s">
        <v>39</v>
      </c>
      <c r="C3919" t="s">
        <v>39</v>
      </c>
      <c r="D3919">
        <v>65</v>
      </c>
      <c r="E3919" t="s">
        <v>328</v>
      </c>
    </row>
    <row r="3920" spans="1:5" x14ac:dyDescent="0.35">
      <c r="A3920">
        <v>2011</v>
      </c>
      <c r="B3920" t="s">
        <v>39</v>
      </c>
      <c r="C3920" t="s">
        <v>39</v>
      </c>
      <c r="D3920">
        <v>13</v>
      </c>
      <c r="E3920" t="s">
        <v>458</v>
      </c>
    </row>
    <row r="3921" spans="1:5" x14ac:dyDescent="0.35">
      <c r="A3921">
        <v>2011</v>
      </c>
      <c r="B3921" t="s">
        <v>35</v>
      </c>
      <c r="C3921" t="s">
        <v>198</v>
      </c>
      <c r="D3921">
        <v>163</v>
      </c>
      <c r="E3921" t="s">
        <v>328</v>
      </c>
    </row>
    <row r="3922" spans="1:5" x14ac:dyDescent="0.35">
      <c r="A3922">
        <v>2011</v>
      </c>
      <c r="B3922" t="s">
        <v>33</v>
      </c>
      <c r="C3922" t="s">
        <v>187</v>
      </c>
      <c r="D3922">
        <v>18</v>
      </c>
      <c r="E3922" t="s">
        <v>328</v>
      </c>
    </row>
    <row r="3923" spans="1:5" x14ac:dyDescent="0.35">
      <c r="A3923">
        <v>2011</v>
      </c>
      <c r="B3923" t="s">
        <v>37</v>
      </c>
      <c r="C3923" t="s">
        <v>166</v>
      </c>
      <c r="D3923">
        <v>4</v>
      </c>
      <c r="E3923" t="s">
        <v>328</v>
      </c>
    </row>
    <row r="3924" spans="1:5" x14ac:dyDescent="0.35">
      <c r="A3924">
        <v>2011</v>
      </c>
      <c r="B3924" t="s">
        <v>33</v>
      </c>
      <c r="C3924" t="s">
        <v>187</v>
      </c>
      <c r="D3924">
        <v>9</v>
      </c>
      <c r="E3924" t="s">
        <v>458</v>
      </c>
    </row>
    <row r="3925" spans="1:5" x14ac:dyDescent="0.35">
      <c r="A3925">
        <v>2011</v>
      </c>
      <c r="B3925" t="s">
        <v>34</v>
      </c>
      <c r="C3925" t="s">
        <v>186</v>
      </c>
      <c r="D3925">
        <v>10</v>
      </c>
      <c r="E3925" t="s">
        <v>458</v>
      </c>
    </row>
    <row r="3926" spans="1:5" x14ac:dyDescent="0.35">
      <c r="A3926">
        <v>2011</v>
      </c>
      <c r="B3926" t="s">
        <v>33</v>
      </c>
      <c r="C3926" t="s">
        <v>174</v>
      </c>
      <c r="D3926">
        <v>5</v>
      </c>
      <c r="E3926" t="s">
        <v>458</v>
      </c>
    </row>
    <row r="3927" spans="1:5" x14ac:dyDescent="0.35">
      <c r="A3927">
        <v>2011</v>
      </c>
      <c r="B3927" t="s">
        <v>35</v>
      </c>
      <c r="C3927" t="s">
        <v>173</v>
      </c>
      <c r="D3927">
        <v>4</v>
      </c>
      <c r="E3927" t="s">
        <v>328</v>
      </c>
    </row>
    <row r="3928" spans="1:5" x14ac:dyDescent="0.35">
      <c r="A3928">
        <v>2011</v>
      </c>
      <c r="B3928" t="s">
        <v>35</v>
      </c>
      <c r="C3928" t="s">
        <v>173</v>
      </c>
      <c r="D3928">
        <v>3</v>
      </c>
      <c r="E3928" t="s">
        <v>458</v>
      </c>
    </row>
    <row r="3929" spans="1:5" x14ac:dyDescent="0.35">
      <c r="A3929">
        <v>2011</v>
      </c>
      <c r="B3929" t="s">
        <v>35</v>
      </c>
      <c r="C3929" t="s">
        <v>172</v>
      </c>
      <c r="D3929">
        <v>27</v>
      </c>
      <c r="E3929" t="s">
        <v>328</v>
      </c>
    </row>
    <row r="3930" spans="1:5" x14ac:dyDescent="0.35">
      <c r="A3930">
        <v>2011</v>
      </c>
      <c r="B3930" t="s">
        <v>35</v>
      </c>
      <c r="C3930" t="s">
        <v>172</v>
      </c>
      <c r="D3930">
        <v>10</v>
      </c>
      <c r="E3930" t="s">
        <v>458</v>
      </c>
    </row>
    <row r="3931" spans="1:5" x14ac:dyDescent="0.35">
      <c r="A3931">
        <v>2011</v>
      </c>
      <c r="B3931" t="s">
        <v>34</v>
      </c>
      <c r="C3931" t="s">
        <v>171</v>
      </c>
      <c r="D3931">
        <v>8</v>
      </c>
      <c r="E3931" t="s">
        <v>328</v>
      </c>
    </row>
    <row r="3932" spans="1:5" x14ac:dyDescent="0.35">
      <c r="A3932">
        <v>2011</v>
      </c>
      <c r="B3932" t="s">
        <v>34</v>
      </c>
      <c r="C3932" t="s">
        <v>171</v>
      </c>
      <c r="D3932">
        <v>6</v>
      </c>
      <c r="E3932" t="s">
        <v>458</v>
      </c>
    </row>
    <row r="3933" spans="1:5" x14ac:dyDescent="0.35">
      <c r="A3933">
        <v>2011</v>
      </c>
      <c r="B3933" t="s">
        <v>33</v>
      </c>
      <c r="C3933" t="s">
        <v>174</v>
      </c>
      <c r="D3933">
        <v>26</v>
      </c>
      <c r="E3933" t="s">
        <v>328</v>
      </c>
    </row>
    <row r="3934" spans="1:5" x14ac:dyDescent="0.35">
      <c r="A3934">
        <v>2011</v>
      </c>
      <c r="B3934" t="s">
        <v>33</v>
      </c>
      <c r="C3934" t="s">
        <v>170</v>
      </c>
      <c r="D3934">
        <v>19</v>
      </c>
      <c r="E3934" t="s">
        <v>328</v>
      </c>
    </row>
    <row r="3935" spans="1:5" x14ac:dyDescent="0.35">
      <c r="A3935">
        <v>2011</v>
      </c>
      <c r="B3935" t="s">
        <v>35</v>
      </c>
      <c r="C3935" t="s">
        <v>215</v>
      </c>
      <c r="D3935">
        <v>61</v>
      </c>
      <c r="E3935" t="s">
        <v>328</v>
      </c>
    </row>
    <row r="3936" spans="1:5" x14ac:dyDescent="0.35">
      <c r="A3936">
        <v>2011</v>
      </c>
      <c r="B3936" t="s">
        <v>35</v>
      </c>
      <c r="C3936" t="s">
        <v>215</v>
      </c>
      <c r="D3936">
        <v>18</v>
      </c>
      <c r="E3936" t="s">
        <v>458</v>
      </c>
    </row>
    <row r="3937" spans="1:5" x14ac:dyDescent="0.35">
      <c r="A3937">
        <v>2011</v>
      </c>
      <c r="B3937" t="s">
        <v>35</v>
      </c>
      <c r="C3937" t="s">
        <v>169</v>
      </c>
      <c r="D3937">
        <v>8</v>
      </c>
      <c r="E3937" t="s">
        <v>328</v>
      </c>
    </row>
    <row r="3938" spans="1:5" x14ac:dyDescent="0.35">
      <c r="A3938">
        <v>2011</v>
      </c>
      <c r="B3938" t="s">
        <v>35</v>
      </c>
      <c r="C3938" t="s">
        <v>169</v>
      </c>
      <c r="D3938">
        <v>3</v>
      </c>
      <c r="E3938" t="s">
        <v>458</v>
      </c>
    </row>
    <row r="3939" spans="1:5" x14ac:dyDescent="0.35">
      <c r="A3939">
        <v>2011</v>
      </c>
      <c r="B3939" t="s">
        <v>33</v>
      </c>
      <c r="C3939" t="s">
        <v>168</v>
      </c>
      <c r="D3939">
        <v>30</v>
      </c>
      <c r="E3939" t="s">
        <v>328</v>
      </c>
    </row>
    <row r="3940" spans="1:5" x14ac:dyDescent="0.35">
      <c r="A3940">
        <v>2011</v>
      </c>
      <c r="B3940" t="s">
        <v>33</v>
      </c>
      <c r="C3940" t="s">
        <v>168</v>
      </c>
      <c r="D3940">
        <v>21</v>
      </c>
      <c r="E3940" t="s">
        <v>458</v>
      </c>
    </row>
    <row r="3941" spans="1:5" x14ac:dyDescent="0.35">
      <c r="A3941">
        <v>2011</v>
      </c>
      <c r="B3941" t="s">
        <v>34</v>
      </c>
      <c r="C3941" t="s">
        <v>167</v>
      </c>
      <c r="D3941">
        <v>12</v>
      </c>
      <c r="E3941" t="s">
        <v>328</v>
      </c>
    </row>
    <row r="3942" spans="1:5" x14ac:dyDescent="0.35">
      <c r="A3942">
        <v>2011</v>
      </c>
      <c r="B3942" t="s">
        <v>33</v>
      </c>
      <c r="C3942" t="s">
        <v>170</v>
      </c>
      <c r="D3942">
        <v>25</v>
      </c>
      <c r="E3942" t="s">
        <v>458</v>
      </c>
    </row>
    <row r="3943" spans="1:5" x14ac:dyDescent="0.35">
      <c r="A3943">
        <v>2011</v>
      </c>
      <c r="B3943" t="s">
        <v>33</v>
      </c>
      <c r="C3943" t="s">
        <v>175</v>
      </c>
      <c r="D3943">
        <v>23</v>
      </c>
      <c r="E3943" t="s">
        <v>458</v>
      </c>
    </row>
    <row r="3944" spans="1:5" x14ac:dyDescent="0.35">
      <c r="A3944">
        <v>2011</v>
      </c>
      <c r="B3944" t="s">
        <v>33</v>
      </c>
      <c r="C3944" t="s">
        <v>175</v>
      </c>
      <c r="D3944">
        <v>29</v>
      </c>
      <c r="E3944" t="s">
        <v>328</v>
      </c>
    </row>
    <row r="3945" spans="1:5" x14ac:dyDescent="0.35">
      <c r="A3945">
        <v>2011</v>
      </c>
      <c r="B3945" t="s">
        <v>35</v>
      </c>
      <c r="C3945" t="s">
        <v>216</v>
      </c>
      <c r="E3945" t="s">
        <v>458</v>
      </c>
    </row>
    <row r="3946" spans="1:5" x14ac:dyDescent="0.35">
      <c r="A3946">
        <v>2011</v>
      </c>
      <c r="B3946" t="s">
        <v>34</v>
      </c>
      <c r="C3946" t="s">
        <v>185</v>
      </c>
      <c r="D3946">
        <v>55</v>
      </c>
      <c r="E3946" t="s">
        <v>328</v>
      </c>
    </row>
    <row r="3947" spans="1:5" x14ac:dyDescent="0.35">
      <c r="A3947">
        <v>2011</v>
      </c>
      <c r="B3947" t="s">
        <v>34</v>
      </c>
      <c r="C3947" t="s">
        <v>185</v>
      </c>
      <c r="D3947">
        <v>14</v>
      </c>
      <c r="E3947" t="s">
        <v>458</v>
      </c>
    </row>
    <row r="3948" spans="1:5" x14ac:dyDescent="0.35">
      <c r="A3948">
        <v>2011</v>
      </c>
      <c r="B3948" t="s">
        <v>34</v>
      </c>
      <c r="C3948" t="s">
        <v>184</v>
      </c>
      <c r="D3948">
        <v>24</v>
      </c>
      <c r="E3948" t="s">
        <v>328</v>
      </c>
    </row>
    <row r="3949" spans="1:5" x14ac:dyDescent="0.35">
      <c r="A3949">
        <v>2011</v>
      </c>
      <c r="B3949" t="s">
        <v>34</v>
      </c>
      <c r="C3949" t="s">
        <v>184</v>
      </c>
      <c r="D3949">
        <v>12</v>
      </c>
      <c r="E3949" t="s">
        <v>458</v>
      </c>
    </row>
    <row r="3950" spans="1:5" x14ac:dyDescent="0.35">
      <c r="A3950">
        <v>2011</v>
      </c>
      <c r="B3950" t="s">
        <v>35</v>
      </c>
      <c r="C3950" t="s">
        <v>183</v>
      </c>
      <c r="D3950">
        <v>6</v>
      </c>
      <c r="E3950" t="s">
        <v>328</v>
      </c>
    </row>
    <row r="3951" spans="1:5" x14ac:dyDescent="0.35">
      <c r="A3951">
        <v>2011</v>
      </c>
      <c r="B3951" t="s">
        <v>35</v>
      </c>
      <c r="C3951" t="s">
        <v>183</v>
      </c>
      <c r="D3951">
        <v>6</v>
      </c>
      <c r="E3951" t="s">
        <v>458</v>
      </c>
    </row>
    <row r="3952" spans="1:5" x14ac:dyDescent="0.35">
      <c r="A3952">
        <v>2011</v>
      </c>
      <c r="B3952" t="s">
        <v>35</v>
      </c>
      <c r="C3952" t="s">
        <v>182</v>
      </c>
      <c r="D3952">
        <v>22</v>
      </c>
      <c r="E3952" t="s">
        <v>328</v>
      </c>
    </row>
    <row r="3953" spans="1:5" x14ac:dyDescent="0.35">
      <c r="A3953">
        <v>2011</v>
      </c>
      <c r="B3953" t="s">
        <v>35</v>
      </c>
      <c r="C3953" t="s">
        <v>182</v>
      </c>
      <c r="D3953">
        <v>7</v>
      </c>
      <c r="E3953" t="s">
        <v>458</v>
      </c>
    </row>
    <row r="3954" spans="1:5" x14ac:dyDescent="0.35">
      <c r="A3954">
        <v>2011</v>
      </c>
      <c r="B3954" t="s">
        <v>38</v>
      </c>
      <c r="C3954" t="s">
        <v>180</v>
      </c>
      <c r="D3954">
        <v>6</v>
      </c>
      <c r="E3954" t="s">
        <v>328</v>
      </c>
    </row>
    <row r="3955" spans="1:5" x14ac:dyDescent="0.35">
      <c r="A3955">
        <v>2011</v>
      </c>
      <c r="B3955" t="s">
        <v>38</v>
      </c>
      <c r="C3955" t="s">
        <v>180</v>
      </c>
      <c r="D3955">
        <v>7</v>
      </c>
      <c r="E3955" t="s">
        <v>458</v>
      </c>
    </row>
    <row r="3956" spans="1:5" x14ac:dyDescent="0.35">
      <c r="A3956">
        <v>2011</v>
      </c>
      <c r="B3956" t="s">
        <v>33</v>
      </c>
      <c r="C3956" t="s">
        <v>179</v>
      </c>
      <c r="D3956">
        <v>8</v>
      </c>
      <c r="E3956" t="s">
        <v>328</v>
      </c>
    </row>
    <row r="3957" spans="1:5" x14ac:dyDescent="0.35">
      <c r="A3957">
        <v>2011</v>
      </c>
      <c r="B3957" t="s">
        <v>33</v>
      </c>
      <c r="C3957" t="s">
        <v>179</v>
      </c>
      <c r="D3957">
        <v>9</v>
      </c>
      <c r="E3957" t="s">
        <v>458</v>
      </c>
    </row>
    <row r="3958" spans="1:5" x14ac:dyDescent="0.35">
      <c r="A3958">
        <v>2011</v>
      </c>
      <c r="B3958" t="s">
        <v>34</v>
      </c>
      <c r="C3958" t="s">
        <v>178</v>
      </c>
      <c r="D3958">
        <v>221</v>
      </c>
      <c r="E3958" t="s">
        <v>328</v>
      </c>
    </row>
    <row r="3959" spans="1:5" x14ac:dyDescent="0.35">
      <c r="A3959">
        <v>2011</v>
      </c>
      <c r="B3959" t="s">
        <v>34</v>
      </c>
      <c r="C3959" t="s">
        <v>178</v>
      </c>
      <c r="D3959">
        <v>15</v>
      </c>
      <c r="E3959" t="s">
        <v>458</v>
      </c>
    </row>
    <row r="3960" spans="1:5" x14ac:dyDescent="0.35">
      <c r="A3960">
        <v>2011</v>
      </c>
      <c r="B3960" t="s">
        <v>35</v>
      </c>
      <c r="C3960" t="s">
        <v>177</v>
      </c>
      <c r="D3960">
        <v>84</v>
      </c>
      <c r="E3960" t="s">
        <v>328</v>
      </c>
    </row>
    <row r="3961" spans="1:5" x14ac:dyDescent="0.35">
      <c r="A3961">
        <v>2011</v>
      </c>
      <c r="B3961" t="s">
        <v>35</v>
      </c>
      <c r="C3961" t="s">
        <v>177</v>
      </c>
      <c r="D3961">
        <v>38</v>
      </c>
      <c r="E3961" t="s">
        <v>458</v>
      </c>
    </row>
    <row r="3962" spans="1:5" x14ac:dyDescent="0.35">
      <c r="A3962">
        <v>2011</v>
      </c>
      <c r="B3962" t="s">
        <v>35</v>
      </c>
      <c r="C3962" t="s">
        <v>216</v>
      </c>
      <c r="E3962" t="s">
        <v>328</v>
      </c>
    </row>
    <row r="3963" spans="1:5" x14ac:dyDescent="0.35">
      <c r="A3963">
        <v>2011</v>
      </c>
      <c r="B3963" t="s">
        <v>34</v>
      </c>
      <c r="C3963" t="s">
        <v>186</v>
      </c>
      <c r="D3963">
        <v>23</v>
      </c>
      <c r="E3963" t="s">
        <v>328</v>
      </c>
    </row>
    <row r="3964" spans="1:5" x14ac:dyDescent="0.35">
      <c r="A3964">
        <v>2011</v>
      </c>
      <c r="B3964" t="s">
        <v>35</v>
      </c>
      <c r="C3964" t="s">
        <v>119</v>
      </c>
      <c r="D3964">
        <v>14</v>
      </c>
      <c r="E3964" t="s">
        <v>328</v>
      </c>
    </row>
    <row r="3965" spans="1:5" x14ac:dyDescent="0.35">
      <c r="A3965">
        <v>2011</v>
      </c>
      <c r="B3965" t="s">
        <v>36</v>
      </c>
      <c r="C3965" t="s">
        <v>165</v>
      </c>
      <c r="D3965">
        <v>17</v>
      </c>
      <c r="E3965" t="s">
        <v>458</v>
      </c>
    </row>
    <row r="3966" spans="1:5" x14ac:dyDescent="0.35">
      <c r="A3966">
        <v>2011</v>
      </c>
      <c r="B3966" t="s">
        <v>34</v>
      </c>
      <c r="C3966" t="s">
        <v>118</v>
      </c>
      <c r="D3966">
        <v>268</v>
      </c>
      <c r="E3966" t="s">
        <v>328</v>
      </c>
    </row>
    <row r="3967" spans="1:5" x14ac:dyDescent="0.35">
      <c r="A3967">
        <v>2011</v>
      </c>
      <c r="B3967" t="s">
        <v>36</v>
      </c>
      <c r="C3967" t="s">
        <v>69</v>
      </c>
      <c r="D3967">
        <v>874</v>
      </c>
      <c r="E3967" t="s">
        <v>328</v>
      </c>
    </row>
    <row r="3968" spans="1:5" x14ac:dyDescent="0.35">
      <c r="A3968">
        <v>2011</v>
      </c>
      <c r="B3968" t="s">
        <v>36</v>
      </c>
      <c r="C3968" t="s">
        <v>69</v>
      </c>
      <c r="D3968">
        <v>417</v>
      </c>
      <c r="E3968" t="s">
        <v>458</v>
      </c>
    </row>
    <row r="3969" spans="1:5" x14ac:dyDescent="0.35">
      <c r="A3969">
        <v>2011</v>
      </c>
      <c r="B3969" t="s">
        <v>33</v>
      </c>
      <c r="C3969" t="s">
        <v>68</v>
      </c>
      <c r="D3969">
        <v>60</v>
      </c>
      <c r="E3969" t="s">
        <v>328</v>
      </c>
    </row>
    <row r="3970" spans="1:5" x14ac:dyDescent="0.35">
      <c r="A3970">
        <v>2011</v>
      </c>
      <c r="B3970" t="s">
        <v>33</v>
      </c>
      <c r="C3970" t="s">
        <v>68</v>
      </c>
      <c r="D3970">
        <v>15</v>
      </c>
      <c r="E3970" t="s">
        <v>458</v>
      </c>
    </row>
    <row r="3971" spans="1:5" x14ac:dyDescent="0.35">
      <c r="A3971">
        <v>2011</v>
      </c>
      <c r="B3971" t="s">
        <v>34</v>
      </c>
      <c r="C3971" t="s">
        <v>67</v>
      </c>
      <c r="D3971">
        <v>15</v>
      </c>
      <c r="E3971" t="s">
        <v>328</v>
      </c>
    </row>
    <row r="3972" spans="1:5" x14ac:dyDescent="0.35">
      <c r="A3972">
        <v>2011</v>
      </c>
      <c r="B3972" t="s">
        <v>34</v>
      </c>
      <c r="C3972" t="s">
        <v>67</v>
      </c>
      <c r="D3972">
        <v>74</v>
      </c>
      <c r="E3972" t="s">
        <v>458</v>
      </c>
    </row>
    <row r="3973" spans="1:5" x14ac:dyDescent="0.35">
      <c r="A3973">
        <v>2011</v>
      </c>
      <c r="B3973" t="s">
        <v>33</v>
      </c>
      <c r="C3973" t="s">
        <v>66</v>
      </c>
      <c r="D3973">
        <v>17</v>
      </c>
      <c r="E3973" t="s">
        <v>328</v>
      </c>
    </row>
    <row r="3974" spans="1:5" x14ac:dyDescent="0.35">
      <c r="A3974">
        <v>2011</v>
      </c>
      <c r="B3974" t="s">
        <v>33</v>
      </c>
      <c r="C3974" t="s">
        <v>71</v>
      </c>
      <c r="E3974" t="s">
        <v>458</v>
      </c>
    </row>
    <row r="3975" spans="1:5" x14ac:dyDescent="0.35">
      <c r="A3975">
        <v>2011</v>
      </c>
      <c r="B3975" t="s">
        <v>33</v>
      </c>
      <c r="C3975" t="s">
        <v>66</v>
      </c>
      <c r="D3975">
        <v>10</v>
      </c>
      <c r="E3975" t="s">
        <v>458</v>
      </c>
    </row>
    <row r="3976" spans="1:5" x14ac:dyDescent="0.35">
      <c r="A3976">
        <v>2011</v>
      </c>
      <c r="B3976" t="s">
        <v>34</v>
      </c>
      <c r="C3976" t="s">
        <v>64</v>
      </c>
      <c r="E3976" t="s">
        <v>458</v>
      </c>
    </row>
    <row r="3977" spans="1:5" x14ac:dyDescent="0.35">
      <c r="A3977">
        <v>2011</v>
      </c>
      <c r="B3977" t="s">
        <v>33</v>
      </c>
      <c r="C3977" t="s">
        <v>63</v>
      </c>
      <c r="D3977">
        <v>4</v>
      </c>
      <c r="E3977" t="s">
        <v>328</v>
      </c>
    </row>
    <row r="3978" spans="1:5" x14ac:dyDescent="0.35">
      <c r="A3978">
        <v>2011</v>
      </c>
      <c r="B3978" t="s">
        <v>35</v>
      </c>
      <c r="C3978" t="s">
        <v>62</v>
      </c>
      <c r="D3978">
        <v>51</v>
      </c>
      <c r="E3978" t="s">
        <v>328</v>
      </c>
    </row>
    <row r="3979" spans="1:5" x14ac:dyDescent="0.35">
      <c r="A3979">
        <v>2011</v>
      </c>
      <c r="B3979" t="s">
        <v>35</v>
      </c>
      <c r="C3979" t="s">
        <v>62</v>
      </c>
      <c r="D3979">
        <v>17</v>
      </c>
      <c r="E3979" t="s">
        <v>458</v>
      </c>
    </row>
    <row r="3980" spans="1:5" x14ac:dyDescent="0.35">
      <c r="A3980">
        <v>2011</v>
      </c>
      <c r="B3980" t="s">
        <v>38</v>
      </c>
      <c r="C3980" t="s">
        <v>21</v>
      </c>
      <c r="D3980">
        <v>2800</v>
      </c>
      <c r="E3980" t="s">
        <v>328</v>
      </c>
    </row>
    <row r="3981" spans="1:5" x14ac:dyDescent="0.35">
      <c r="A3981">
        <v>2011</v>
      </c>
      <c r="B3981" t="s">
        <v>38</v>
      </c>
      <c r="C3981" t="s">
        <v>21</v>
      </c>
      <c r="D3981">
        <v>550</v>
      </c>
      <c r="E3981" t="s">
        <v>458</v>
      </c>
    </row>
    <row r="3982" spans="1:5" x14ac:dyDescent="0.35">
      <c r="A3982">
        <v>2011</v>
      </c>
      <c r="B3982" t="s">
        <v>35</v>
      </c>
      <c r="C3982" t="s">
        <v>60</v>
      </c>
      <c r="D3982">
        <v>10</v>
      </c>
      <c r="E3982" t="s">
        <v>328</v>
      </c>
    </row>
    <row r="3983" spans="1:5" x14ac:dyDescent="0.35">
      <c r="A3983">
        <v>2011</v>
      </c>
      <c r="B3983" t="s">
        <v>34</v>
      </c>
      <c r="C3983" t="s">
        <v>64</v>
      </c>
      <c r="E3983" t="s">
        <v>328</v>
      </c>
    </row>
    <row r="3984" spans="1:5" x14ac:dyDescent="0.35">
      <c r="A3984">
        <v>2011</v>
      </c>
      <c r="B3984" t="s">
        <v>35</v>
      </c>
      <c r="C3984" t="s">
        <v>60</v>
      </c>
      <c r="D3984">
        <v>53</v>
      </c>
      <c r="E3984" t="s">
        <v>458</v>
      </c>
    </row>
    <row r="3985" spans="1:5" x14ac:dyDescent="0.35">
      <c r="A3985">
        <v>2011</v>
      </c>
      <c r="B3985" t="s">
        <v>33</v>
      </c>
      <c r="C3985" t="s">
        <v>71</v>
      </c>
      <c r="E3985" t="s">
        <v>328</v>
      </c>
    </row>
    <row r="3986" spans="1:5" x14ac:dyDescent="0.35">
      <c r="A3986">
        <v>2011</v>
      </c>
      <c r="B3986" t="s">
        <v>38</v>
      </c>
      <c r="C3986" t="s">
        <v>72</v>
      </c>
      <c r="D3986">
        <v>68</v>
      </c>
      <c r="E3986" t="s">
        <v>328</v>
      </c>
    </row>
    <row r="3987" spans="1:5" x14ac:dyDescent="0.35">
      <c r="A3987">
        <v>2011</v>
      </c>
      <c r="B3987" t="s">
        <v>36</v>
      </c>
      <c r="C3987" t="s">
        <v>79</v>
      </c>
      <c r="D3987">
        <v>23</v>
      </c>
      <c r="E3987" t="s">
        <v>328</v>
      </c>
    </row>
    <row r="3988" spans="1:5" x14ac:dyDescent="0.35">
      <c r="A3988">
        <v>2011</v>
      </c>
      <c r="B3988" t="s">
        <v>36</v>
      </c>
      <c r="C3988" t="s">
        <v>79</v>
      </c>
      <c r="D3988">
        <v>56</v>
      </c>
      <c r="E3988" t="s">
        <v>458</v>
      </c>
    </row>
    <row r="3989" spans="1:5" x14ac:dyDescent="0.35">
      <c r="A3989">
        <v>2011</v>
      </c>
      <c r="B3989" t="s">
        <v>35</v>
      </c>
      <c r="C3989" t="s">
        <v>78</v>
      </c>
      <c r="D3989">
        <v>10</v>
      </c>
      <c r="E3989" t="s">
        <v>328</v>
      </c>
    </row>
    <row r="3990" spans="1:5" x14ac:dyDescent="0.35">
      <c r="A3990">
        <v>2011</v>
      </c>
      <c r="B3990" t="s">
        <v>35</v>
      </c>
      <c r="C3990" t="s">
        <v>78</v>
      </c>
      <c r="D3990">
        <v>8</v>
      </c>
      <c r="E3990" t="s">
        <v>458</v>
      </c>
    </row>
    <row r="3991" spans="1:5" x14ac:dyDescent="0.35">
      <c r="A3991">
        <v>2011</v>
      </c>
      <c r="B3991" t="s">
        <v>33</v>
      </c>
      <c r="C3991" t="s">
        <v>77</v>
      </c>
      <c r="D3991">
        <v>15</v>
      </c>
      <c r="E3991" t="s">
        <v>328</v>
      </c>
    </row>
    <row r="3992" spans="1:5" x14ac:dyDescent="0.35">
      <c r="A3992">
        <v>2011</v>
      </c>
      <c r="B3992" t="s">
        <v>33</v>
      </c>
      <c r="C3992" t="s">
        <v>77</v>
      </c>
      <c r="D3992">
        <v>11</v>
      </c>
      <c r="E3992" t="s">
        <v>458</v>
      </c>
    </row>
    <row r="3993" spans="1:5" x14ac:dyDescent="0.35">
      <c r="A3993">
        <v>2011</v>
      </c>
      <c r="B3993" t="s">
        <v>36</v>
      </c>
      <c r="C3993" t="s">
        <v>76</v>
      </c>
      <c r="D3993">
        <v>221</v>
      </c>
      <c r="E3993" t="s">
        <v>328</v>
      </c>
    </row>
    <row r="3994" spans="1:5" x14ac:dyDescent="0.35">
      <c r="A3994">
        <v>2011</v>
      </c>
      <c r="B3994" t="s">
        <v>38</v>
      </c>
      <c r="C3994" t="s">
        <v>72</v>
      </c>
      <c r="D3994">
        <v>87</v>
      </c>
      <c r="E3994" t="s">
        <v>458</v>
      </c>
    </row>
    <row r="3995" spans="1:5" x14ac:dyDescent="0.35">
      <c r="A3995">
        <v>2011</v>
      </c>
      <c r="B3995" t="s">
        <v>36</v>
      </c>
      <c r="C3995" t="s">
        <v>76</v>
      </c>
      <c r="D3995">
        <v>157</v>
      </c>
      <c r="E3995" t="s">
        <v>458</v>
      </c>
    </row>
    <row r="3996" spans="1:5" x14ac:dyDescent="0.35">
      <c r="A3996">
        <v>2011</v>
      </c>
      <c r="B3996" t="s">
        <v>33</v>
      </c>
      <c r="C3996" t="s">
        <v>75</v>
      </c>
      <c r="D3996">
        <v>6</v>
      </c>
      <c r="E3996" t="s">
        <v>458</v>
      </c>
    </row>
    <row r="3997" spans="1:5" x14ac:dyDescent="0.35">
      <c r="A3997">
        <v>2011</v>
      </c>
      <c r="B3997" t="s">
        <v>33</v>
      </c>
      <c r="C3997" t="s">
        <v>74</v>
      </c>
      <c r="E3997" t="s">
        <v>328</v>
      </c>
    </row>
    <row r="3998" spans="1:5" x14ac:dyDescent="0.35">
      <c r="A3998">
        <v>2011</v>
      </c>
      <c r="B3998" t="s">
        <v>33</v>
      </c>
      <c r="C3998" t="s">
        <v>74</v>
      </c>
      <c r="E3998" t="s">
        <v>458</v>
      </c>
    </row>
    <row r="3999" spans="1:5" x14ac:dyDescent="0.35">
      <c r="A3999">
        <v>2011</v>
      </c>
      <c r="B3999" t="s">
        <v>38</v>
      </c>
      <c r="C3999" t="s">
        <v>20</v>
      </c>
      <c r="D3999">
        <v>851</v>
      </c>
      <c r="E3999" t="s">
        <v>328</v>
      </c>
    </row>
    <row r="4000" spans="1:5" x14ac:dyDescent="0.35">
      <c r="A4000">
        <v>2011</v>
      </c>
      <c r="B4000" t="s">
        <v>38</v>
      </c>
      <c r="C4000" t="s">
        <v>20</v>
      </c>
      <c r="D4000">
        <v>1048</v>
      </c>
      <c r="E4000" t="s">
        <v>458</v>
      </c>
    </row>
    <row r="4001" spans="1:5" x14ac:dyDescent="0.35">
      <c r="A4001">
        <v>2011</v>
      </c>
      <c r="B4001" t="s">
        <v>34</v>
      </c>
      <c r="C4001" t="s">
        <v>73</v>
      </c>
      <c r="D4001">
        <v>808</v>
      </c>
      <c r="E4001" t="s">
        <v>328</v>
      </c>
    </row>
    <row r="4002" spans="1:5" x14ac:dyDescent="0.35">
      <c r="A4002">
        <v>2011</v>
      </c>
      <c r="B4002" t="s">
        <v>34</v>
      </c>
      <c r="C4002" t="s">
        <v>73</v>
      </c>
      <c r="D4002">
        <v>217</v>
      </c>
      <c r="E4002" t="s">
        <v>458</v>
      </c>
    </row>
    <row r="4003" spans="1:5" x14ac:dyDescent="0.35">
      <c r="A4003">
        <v>2011</v>
      </c>
      <c r="B4003" t="s">
        <v>33</v>
      </c>
      <c r="C4003" t="s">
        <v>75</v>
      </c>
      <c r="D4003">
        <v>15</v>
      </c>
      <c r="E4003" t="s">
        <v>328</v>
      </c>
    </row>
    <row r="4004" spans="1:5" x14ac:dyDescent="0.35">
      <c r="A4004">
        <v>2011</v>
      </c>
      <c r="B4004" t="s">
        <v>38</v>
      </c>
      <c r="C4004" t="s">
        <v>59</v>
      </c>
      <c r="D4004">
        <v>102</v>
      </c>
      <c r="E4004" t="s">
        <v>328</v>
      </c>
    </row>
    <row r="4005" spans="1:5" x14ac:dyDescent="0.35">
      <c r="A4005">
        <v>2011</v>
      </c>
      <c r="B4005" t="s">
        <v>38</v>
      </c>
      <c r="C4005" t="s">
        <v>59</v>
      </c>
      <c r="D4005">
        <v>93</v>
      </c>
      <c r="E4005" t="s">
        <v>458</v>
      </c>
    </row>
    <row r="4006" spans="1:5" x14ac:dyDescent="0.35">
      <c r="A4006">
        <v>2011</v>
      </c>
      <c r="B4006" t="s">
        <v>36</v>
      </c>
      <c r="C4006" t="s">
        <v>363</v>
      </c>
      <c r="D4006">
        <v>3</v>
      </c>
      <c r="E4006" t="s">
        <v>328</v>
      </c>
    </row>
    <row r="4007" spans="1:5" x14ac:dyDescent="0.35">
      <c r="A4007">
        <v>2011</v>
      </c>
      <c r="B4007" t="s">
        <v>34</v>
      </c>
      <c r="C4007" t="s">
        <v>46</v>
      </c>
      <c r="D4007">
        <v>27</v>
      </c>
      <c r="E4007" t="s">
        <v>328</v>
      </c>
    </row>
    <row r="4008" spans="1:5" x14ac:dyDescent="0.35">
      <c r="A4008">
        <v>2011</v>
      </c>
      <c r="B4008" t="s">
        <v>34</v>
      </c>
      <c r="C4008" t="s">
        <v>46</v>
      </c>
      <c r="D4008">
        <v>31</v>
      </c>
      <c r="E4008" t="s">
        <v>458</v>
      </c>
    </row>
    <row r="4009" spans="1:5" x14ac:dyDescent="0.35">
      <c r="A4009">
        <v>2011</v>
      </c>
      <c r="B4009" t="s">
        <v>38</v>
      </c>
      <c r="C4009" t="s">
        <v>45</v>
      </c>
      <c r="D4009">
        <v>172</v>
      </c>
      <c r="E4009" t="s">
        <v>328</v>
      </c>
    </row>
    <row r="4010" spans="1:5" x14ac:dyDescent="0.35">
      <c r="A4010">
        <v>2011</v>
      </c>
      <c r="B4010" t="s">
        <v>38</v>
      </c>
      <c r="C4010" t="s">
        <v>45</v>
      </c>
      <c r="D4010">
        <v>114</v>
      </c>
      <c r="E4010" t="s">
        <v>458</v>
      </c>
    </row>
    <row r="4011" spans="1:5" x14ac:dyDescent="0.35">
      <c r="A4011">
        <v>2011</v>
      </c>
      <c r="B4011" t="s">
        <v>36</v>
      </c>
      <c r="C4011" t="s">
        <v>44</v>
      </c>
      <c r="D4011">
        <v>7</v>
      </c>
      <c r="E4011" t="s">
        <v>328</v>
      </c>
    </row>
    <row r="4012" spans="1:5" x14ac:dyDescent="0.35">
      <c r="A4012">
        <v>2011</v>
      </c>
      <c r="B4012" t="s">
        <v>36</v>
      </c>
      <c r="C4012" t="s">
        <v>44</v>
      </c>
      <c r="D4012">
        <v>12</v>
      </c>
      <c r="E4012" t="s">
        <v>458</v>
      </c>
    </row>
    <row r="4013" spans="1:5" x14ac:dyDescent="0.35">
      <c r="A4013">
        <v>2011</v>
      </c>
      <c r="B4013" t="s">
        <v>33</v>
      </c>
      <c r="C4013" t="s">
        <v>43</v>
      </c>
      <c r="D4013">
        <v>9</v>
      </c>
      <c r="E4013" t="s">
        <v>328</v>
      </c>
    </row>
    <row r="4014" spans="1:5" x14ac:dyDescent="0.35">
      <c r="A4014">
        <v>2011</v>
      </c>
      <c r="B4014" t="s">
        <v>37</v>
      </c>
      <c r="C4014" t="s">
        <v>47</v>
      </c>
      <c r="D4014">
        <v>21</v>
      </c>
      <c r="E4014" t="s">
        <v>458</v>
      </c>
    </row>
    <row r="4015" spans="1:5" x14ac:dyDescent="0.35">
      <c r="A4015">
        <v>2011</v>
      </c>
      <c r="B4015" t="s">
        <v>33</v>
      </c>
      <c r="C4015" t="s">
        <v>43</v>
      </c>
      <c r="D4015">
        <v>4</v>
      </c>
      <c r="E4015" t="s">
        <v>458</v>
      </c>
    </row>
    <row r="4016" spans="1:5" x14ac:dyDescent="0.35">
      <c r="A4016">
        <v>2011</v>
      </c>
      <c r="C4016" t="s">
        <v>373</v>
      </c>
      <c r="D4016">
        <v>30</v>
      </c>
      <c r="E4016" t="s">
        <v>458</v>
      </c>
    </row>
    <row r="4017" spans="1:5" x14ac:dyDescent="0.35">
      <c r="A4017">
        <v>2011</v>
      </c>
      <c r="B4017" t="s">
        <v>33</v>
      </c>
      <c r="C4017" t="s">
        <v>42</v>
      </c>
      <c r="D4017">
        <v>9</v>
      </c>
      <c r="E4017" t="s">
        <v>328</v>
      </c>
    </row>
    <row r="4018" spans="1:5" x14ac:dyDescent="0.35">
      <c r="A4018">
        <v>2011</v>
      </c>
      <c r="B4018" t="s">
        <v>33</v>
      </c>
      <c r="C4018" t="s">
        <v>42</v>
      </c>
      <c r="D4018">
        <v>4</v>
      </c>
      <c r="E4018" t="s">
        <v>458</v>
      </c>
    </row>
    <row r="4019" spans="1:5" x14ac:dyDescent="0.35">
      <c r="A4019">
        <v>2011</v>
      </c>
      <c r="B4019" t="s">
        <v>35</v>
      </c>
      <c r="C4019" t="s">
        <v>41</v>
      </c>
      <c r="D4019">
        <v>134</v>
      </c>
      <c r="E4019" t="s">
        <v>328</v>
      </c>
    </row>
    <row r="4020" spans="1:5" x14ac:dyDescent="0.35">
      <c r="A4020">
        <v>2011</v>
      </c>
      <c r="B4020" t="s">
        <v>35</v>
      </c>
      <c r="C4020" t="s">
        <v>41</v>
      </c>
      <c r="D4020">
        <v>37</v>
      </c>
      <c r="E4020" t="s">
        <v>458</v>
      </c>
    </row>
    <row r="4021" spans="1:5" x14ac:dyDescent="0.35">
      <c r="A4021">
        <v>2011</v>
      </c>
      <c r="B4021" t="s">
        <v>34</v>
      </c>
      <c r="C4021" t="s">
        <v>40</v>
      </c>
      <c r="D4021">
        <v>9</v>
      </c>
      <c r="E4021" t="s">
        <v>458</v>
      </c>
    </row>
    <row r="4022" spans="1:5" x14ac:dyDescent="0.35">
      <c r="A4022">
        <v>2011</v>
      </c>
      <c r="B4022" t="s">
        <v>35</v>
      </c>
      <c r="C4022" t="s">
        <v>119</v>
      </c>
      <c r="D4022">
        <v>14</v>
      </c>
      <c r="E4022" t="s">
        <v>458</v>
      </c>
    </row>
    <row r="4023" spans="1:5" x14ac:dyDescent="0.35">
      <c r="A4023">
        <v>2011</v>
      </c>
      <c r="C4023" t="s">
        <v>373</v>
      </c>
      <c r="D4023">
        <v>37</v>
      </c>
      <c r="E4023" t="s">
        <v>328</v>
      </c>
    </row>
    <row r="4024" spans="1:5" x14ac:dyDescent="0.35">
      <c r="A4024">
        <v>2011</v>
      </c>
      <c r="B4024" t="s">
        <v>37</v>
      </c>
      <c r="C4024" t="s">
        <v>47</v>
      </c>
      <c r="D4024">
        <v>31</v>
      </c>
      <c r="E4024" t="s">
        <v>328</v>
      </c>
    </row>
    <row r="4025" spans="1:5" x14ac:dyDescent="0.35">
      <c r="A4025">
        <v>2011</v>
      </c>
      <c r="B4025" t="s">
        <v>35</v>
      </c>
      <c r="C4025" t="s">
        <v>48</v>
      </c>
      <c r="D4025">
        <v>5</v>
      </c>
      <c r="E4025" t="s">
        <v>458</v>
      </c>
    </row>
    <row r="4026" spans="1:5" x14ac:dyDescent="0.35">
      <c r="A4026">
        <v>2011</v>
      </c>
      <c r="B4026" t="s">
        <v>35</v>
      </c>
      <c r="C4026" t="s">
        <v>48</v>
      </c>
      <c r="D4026">
        <v>20</v>
      </c>
      <c r="E4026" t="s">
        <v>328</v>
      </c>
    </row>
    <row r="4027" spans="1:5" x14ac:dyDescent="0.35">
      <c r="A4027">
        <v>2011</v>
      </c>
      <c r="B4027" t="s">
        <v>36</v>
      </c>
      <c r="C4027" t="s">
        <v>363</v>
      </c>
      <c r="D4027">
        <v>12</v>
      </c>
      <c r="E4027" t="s">
        <v>458</v>
      </c>
    </row>
    <row r="4028" spans="1:5" x14ac:dyDescent="0.35">
      <c r="A4028">
        <v>2011</v>
      </c>
      <c r="B4028" t="s">
        <v>33</v>
      </c>
      <c r="C4028" t="s">
        <v>57</v>
      </c>
      <c r="E4028" t="s">
        <v>328</v>
      </c>
    </row>
    <row r="4029" spans="1:5" x14ac:dyDescent="0.35">
      <c r="A4029">
        <v>2011</v>
      </c>
      <c r="B4029" t="s">
        <v>33</v>
      </c>
      <c r="C4029" t="s">
        <v>57</v>
      </c>
      <c r="E4029" t="s">
        <v>458</v>
      </c>
    </row>
    <row r="4030" spans="1:5" x14ac:dyDescent="0.35">
      <c r="A4030">
        <v>2011</v>
      </c>
      <c r="B4030" t="s">
        <v>36</v>
      </c>
      <c r="C4030" t="s">
        <v>56</v>
      </c>
      <c r="D4030">
        <v>60</v>
      </c>
      <c r="E4030" t="s">
        <v>328</v>
      </c>
    </row>
    <row r="4031" spans="1:5" x14ac:dyDescent="0.35">
      <c r="A4031">
        <v>2011</v>
      </c>
      <c r="B4031" t="s">
        <v>36</v>
      </c>
      <c r="C4031" t="s">
        <v>56</v>
      </c>
      <c r="D4031">
        <v>155</v>
      </c>
      <c r="E4031" t="s">
        <v>458</v>
      </c>
    </row>
    <row r="4032" spans="1:5" x14ac:dyDescent="0.35">
      <c r="A4032">
        <v>2011</v>
      </c>
      <c r="B4032" t="s">
        <v>35</v>
      </c>
      <c r="C4032" t="s">
        <v>55</v>
      </c>
      <c r="D4032">
        <v>10</v>
      </c>
      <c r="E4032" t="s">
        <v>328</v>
      </c>
    </row>
    <row r="4033" spans="1:5" x14ac:dyDescent="0.35">
      <c r="A4033">
        <v>2011</v>
      </c>
      <c r="B4033" t="s">
        <v>35</v>
      </c>
      <c r="C4033" t="s">
        <v>55</v>
      </c>
      <c r="D4033">
        <v>7</v>
      </c>
      <c r="E4033" t="s">
        <v>458</v>
      </c>
    </row>
    <row r="4034" spans="1:5" x14ac:dyDescent="0.35">
      <c r="A4034">
        <v>2011</v>
      </c>
      <c r="B4034" t="s">
        <v>35</v>
      </c>
      <c r="C4034" t="s">
        <v>54</v>
      </c>
      <c r="D4034">
        <v>11</v>
      </c>
      <c r="E4034" t="s">
        <v>328</v>
      </c>
    </row>
    <row r="4035" spans="1:5" x14ac:dyDescent="0.35">
      <c r="A4035">
        <v>2011</v>
      </c>
      <c r="B4035" t="s">
        <v>35</v>
      </c>
      <c r="C4035" t="s">
        <v>54</v>
      </c>
      <c r="D4035">
        <v>11</v>
      </c>
      <c r="E4035" t="s">
        <v>458</v>
      </c>
    </row>
    <row r="4036" spans="1:5" x14ac:dyDescent="0.35">
      <c r="A4036">
        <v>2011</v>
      </c>
      <c r="B4036" t="s">
        <v>36</v>
      </c>
      <c r="C4036" t="s">
        <v>53</v>
      </c>
      <c r="D4036">
        <v>9</v>
      </c>
      <c r="E4036" t="s">
        <v>328</v>
      </c>
    </row>
    <row r="4037" spans="1:5" x14ac:dyDescent="0.35">
      <c r="A4037">
        <v>2011</v>
      </c>
      <c r="B4037" t="s">
        <v>36</v>
      </c>
      <c r="C4037" t="s">
        <v>53</v>
      </c>
      <c r="D4037">
        <v>32</v>
      </c>
      <c r="E4037" t="s">
        <v>458</v>
      </c>
    </row>
    <row r="4038" spans="1:5" x14ac:dyDescent="0.35">
      <c r="A4038">
        <v>2011</v>
      </c>
      <c r="B4038" t="s">
        <v>34</v>
      </c>
      <c r="C4038" t="s">
        <v>52</v>
      </c>
      <c r="D4038">
        <v>60</v>
      </c>
      <c r="E4038" t="s">
        <v>328</v>
      </c>
    </row>
    <row r="4039" spans="1:5" x14ac:dyDescent="0.35">
      <c r="A4039">
        <v>2011</v>
      </c>
      <c r="B4039" t="s">
        <v>34</v>
      </c>
      <c r="C4039" t="s">
        <v>52</v>
      </c>
      <c r="D4039">
        <v>28</v>
      </c>
      <c r="E4039" t="s">
        <v>458</v>
      </c>
    </row>
    <row r="4040" spans="1:5" x14ac:dyDescent="0.35">
      <c r="A4040">
        <v>2011</v>
      </c>
      <c r="B4040" t="s">
        <v>36</v>
      </c>
      <c r="C4040" t="s">
        <v>50</v>
      </c>
      <c r="D4040">
        <v>24</v>
      </c>
      <c r="E4040" t="s">
        <v>328</v>
      </c>
    </row>
    <row r="4041" spans="1:5" x14ac:dyDescent="0.35">
      <c r="A4041">
        <v>2011</v>
      </c>
      <c r="B4041" t="s">
        <v>36</v>
      </c>
      <c r="C4041" t="s">
        <v>50</v>
      </c>
      <c r="D4041">
        <v>110</v>
      </c>
      <c r="E4041" t="s">
        <v>458</v>
      </c>
    </row>
    <row r="4042" spans="1:5" x14ac:dyDescent="0.35">
      <c r="A4042">
        <v>2011</v>
      </c>
      <c r="B4042" t="s">
        <v>34</v>
      </c>
      <c r="C4042" t="s">
        <v>49</v>
      </c>
      <c r="E4042" t="s">
        <v>328</v>
      </c>
    </row>
    <row r="4043" spans="1:5" x14ac:dyDescent="0.35">
      <c r="A4043">
        <v>2011</v>
      </c>
      <c r="B4043" t="s">
        <v>34</v>
      </c>
      <c r="C4043" t="s">
        <v>49</v>
      </c>
      <c r="E4043" t="s">
        <v>458</v>
      </c>
    </row>
    <row r="4044" spans="1:5" x14ac:dyDescent="0.35">
      <c r="A4044">
        <v>2011</v>
      </c>
      <c r="B4044" t="s">
        <v>35</v>
      </c>
      <c r="C4044" t="s">
        <v>81</v>
      </c>
      <c r="D4044">
        <v>18</v>
      </c>
      <c r="E4044" t="s">
        <v>458</v>
      </c>
    </row>
    <row r="4045" spans="1:5" x14ac:dyDescent="0.35">
      <c r="A4045">
        <v>2011</v>
      </c>
      <c r="B4045" t="s">
        <v>35</v>
      </c>
      <c r="C4045" t="s">
        <v>81</v>
      </c>
      <c r="D4045">
        <v>28</v>
      </c>
      <c r="E4045" t="s">
        <v>328</v>
      </c>
    </row>
    <row r="4046" spans="1:5" x14ac:dyDescent="0.35">
      <c r="A4046">
        <v>2011</v>
      </c>
      <c r="B4046" t="s">
        <v>34</v>
      </c>
      <c r="C4046" t="s">
        <v>40</v>
      </c>
      <c r="D4046">
        <v>8</v>
      </c>
      <c r="E4046" t="s">
        <v>328</v>
      </c>
    </row>
    <row r="4047" spans="1:5" x14ac:dyDescent="0.35">
      <c r="A4047">
        <v>2011</v>
      </c>
      <c r="B4047" t="s">
        <v>35</v>
      </c>
      <c r="C4047" t="s">
        <v>214</v>
      </c>
      <c r="E4047" t="s">
        <v>328</v>
      </c>
    </row>
    <row r="4048" spans="1:5" x14ac:dyDescent="0.35">
      <c r="A4048">
        <v>2011</v>
      </c>
      <c r="B4048" t="s">
        <v>34</v>
      </c>
      <c r="C4048" t="s">
        <v>107</v>
      </c>
      <c r="D4048">
        <v>293</v>
      </c>
      <c r="E4048" t="s">
        <v>328</v>
      </c>
    </row>
    <row r="4049" spans="1:5" x14ac:dyDescent="0.35">
      <c r="A4049">
        <v>2011</v>
      </c>
      <c r="B4049" t="s">
        <v>34</v>
      </c>
      <c r="C4049" t="s">
        <v>107</v>
      </c>
      <c r="D4049">
        <v>31</v>
      </c>
      <c r="E4049" t="s">
        <v>458</v>
      </c>
    </row>
    <row r="4050" spans="1:5" x14ac:dyDescent="0.35">
      <c r="A4050">
        <v>2011</v>
      </c>
      <c r="B4050" t="s">
        <v>34</v>
      </c>
      <c r="C4050" t="s">
        <v>22</v>
      </c>
      <c r="D4050">
        <v>562</v>
      </c>
      <c r="E4050" t="s">
        <v>328</v>
      </c>
    </row>
    <row r="4051" spans="1:5" x14ac:dyDescent="0.35">
      <c r="A4051">
        <v>2011</v>
      </c>
      <c r="B4051" t="s">
        <v>34</v>
      </c>
      <c r="C4051" t="s">
        <v>22</v>
      </c>
      <c r="D4051">
        <v>161</v>
      </c>
      <c r="E4051" t="s">
        <v>458</v>
      </c>
    </row>
    <row r="4052" spans="1:5" x14ac:dyDescent="0.35">
      <c r="A4052">
        <v>2011</v>
      </c>
      <c r="B4052" t="s">
        <v>35</v>
      </c>
      <c r="C4052" t="s">
        <v>105</v>
      </c>
      <c r="D4052">
        <v>65</v>
      </c>
      <c r="E4052" t="s">
        <v>328</v>
      </c>
    </row>
    <row r="4053" spans="1:5" x14ac:dyDescent="0.35">
      <c r="A4053">
        <v>2011</v>
      </c>
      <c r="B4053" t="s">
        <v>35</v>
      </c>
      <c r="C4053" t="s">
        <v>105</v>
      </c>
      <c r="D4053">
        <v>19</v>
      </c>
      <c r="E4053" t="s">
        <v>458</v>
      </c>
    </row>
    <row r="4054" spans="1:5" x14ac:dyDescent="0.35">
      <c r="A4054">
        <v>2011</v>
      </c>
      <c r="B4054" t="s">
        <v>34</v>
      </c>
      <c r="C4054" t="s">
        <v>368</v>
      </c>
      <c r="D4054">
        <v>9</v>
      </c>
      <c r="E4054" t="s">
        <v>328</v>
      </c>
    </row>
    <row r="4055" spans="1:5" x14ac:dyDescent="0.35">
      <c r="A4055">
        <v>2011</v>
      </c>
      <c r="B4055" t="s">
        <v>34</v>
      </c>
      <c r="C4055" t="s">
        <v>108</v>
      </c>
      <c r="D4055">
        <v>14</v>
      </c>
      <c r="E4055" t="s">
        <v>458</v>
      </c>
    </row>
    <row r="4056" spans="1:5" x14ac:dyDescent="0.35">
      <c r="A4056">
        <v>2011</v>
      </c>
      <c r="B4056" t="s">
        <v>34</v>
      </c>
      <c r="C4056" t="s">
        <v>368</v>
      </c>
      <c r="D4056">
        <v>12</v>
      </c>
      <c r="E4056" t="s">
        <v>458</v>
      </c>
    </row>
    <row r="4057" spans="1:5" x14ac:dyDescent="0.35">
      <c r="A4057">
        <v>2011</v>
      </c>
      <c r="B4057" t="s">
        <v>36</v>
      </c>
      <c r="C4057" t="s">
        <v>17</v>
      </c>
      <c r="D4057">
        <v>10825</v>
      </c>
      <c r="E4057" t="s">
        <v>458</v>
      </c>
    </row>
    <row r="4058" spans="1:5" x14ac:dyDescent="0.35">
      <c r="A4058">
        <v>2011</v>
      </c>
      <c r="B4058" t="s">
        <v>36</v>
      </c>
      <c r="C4058" t="s">
        <v>104</v>
      </c>
      <c r="D4058">
        <v>478</v>
      </c>
      <c r="E4058" t="s">
        <v>328</v>
      </c>
    </row>
    <row r="4059" spans="1:5" x14ac:dyDescent="0.35">
      <c r="A4059">
        <v>2011</v>
      </c>
      <c r="B4059" t="s">
        <v>36</v>
      </c>
      <c r="C4059" t="s">
        <v>104</v>
      </c>
      <c r="D4059">
        <v>251</v>
      </c>
      <c r="E4059" t="s">
        <v>458</v>
      </c>
    </row>
    <row r="4060" spans="1:5" x14ac:dyDescent="0.35">
      <c r="A4060">
        <v>2011</v>
      </c>
      <c r="B4060" t="s">
        <v>38</v>
      </c>
      <c r="C4060" t="s">
        <v>103</v>
      </c>
      <c r="D4060">
        <v>48</v>
      </c>
      <c r="E4060" t="s">
        <v>328</v>
      </c>
    </row>
    <row r="4061" spans="1:5" x14ac:dyDescent="0.35">
      <c r="A4061">
        <v>2011</v>
      </c>
      <c r="B4061" t="s">
        <v>38</v>
      </c>
      <c r="C4061" t="s">
        <v>103</v>
      </c>
      <c r="D4061">
        <v>139</v>
      </c>
      <c r="E4061" t="s">
        <v>458</v>
      </c>
    </row>
    <row r="4062" spans="1:5" x14ac:dyDescent="0.35">
      <c r="A4062">
        <v>2011</v>
      </c>
      <c r="B4062" t="s">
        <v>33</v>
      </c>
      <c r="C4062" t="s">
        <v>101</v>
      </c>
      <c r="D4062">
        <v>24</v>
      </c>
      <c r="E4062" t="s">
        <v>328</v>
      </c>
    </row>
    <row r="4063" spans="1:5" x14ac:dyDescent="0.35">
      <c r="A4063">
        <v>2011</v>
      </c>
      <c r="B4063" t="s">
        <v>33</v>
      </c>
      <c r="C4063" t="s">
        <v>101</v>
      </c>
      <c r="D4063">
        <v>11</v>
      </c>
      <c r="E4063" t="s">
        <v>458</v>
      </c>
    </row>
    <row r="4064" spans="1:5" x14ac:dyDescent="0.35">
      <c r="A4064">
        <v>2011</v>
      </c>
      <c r="B4064" t="s">
        <v>36</v>
      </c>
      <c r="C4064" t="s">
        <v>17</v>
      </c>
      <c r="D4064">
        <v>11202</v>
      </c>
      <c r="E4064" t="s">
        <v>328</v>
      </c>
    </row>
    <row r="4065" spans="1:5" x14ac:dyDescent="0.35">
      <c r="A4065">
        <v>2011</v>
      </c>
      <c r="B4065" t="s">
        <v>36</v>
      </c>
      <c r="C4065" t="s">
        <v>15</v>
      </c>
      <c r="D4065">
        <v>18625</v>
      </c>
      <c r="E4065" t="s">
        <v>328</v>
      </c>
    </row>
    <row r="4066" spans="1:5" x14ac:dyDescent="0.35">
      <c r="A4066">
        <v>2011</v>
      </c>
      <c r="B4066" t="s">
        <v>34</v>
      </c>
      <c r="C4066" t="s">
        <v>108</v>
      </c>
      <c r="D4066">
        <v>43</v>
      </c>
      <c r="E4066" t="s">
        <v>328</v>
      </c>
    </row>
    <row r="4067" spans="1:5" x14ac:dyDescent="0.35">
      <c r="A4067">
        <v>2011</v>
      </c>
      <c r="B4067" t="s">
        <v>34</v>
      </c>
      <c r="C4067" t="s">
        <v>109</v>
      </c>
      <c r="D4067">
        <v>8</v>
      </c>
      <c r="E4067" t="s">
        <v>328</v>
      </c>
    </row>
    <row r="4068" spans="1:5" x14ac:dyDescent="0.35">
      <c r="A4068">
        <v>2011</v>
      </c>
      <c r="B4068" t="s">
        <v>35</v>
      </c>
      <c r="C4068" t="s">
        <v>214</v>
      </c>
      <c r="E4068" t="s">
        <v>458</v>
      </c>
    </row>
    <row r="4069" spans="1:5" x14ac:dyDescent="0.35">
      <c r="A4069">
        <v>2011</v>
      </c>
      <c r="B4069" t="s">
        <v>33</v>
      </c>
      <c r="C4069" t="s">
        <v>117</v>
      </c>
      <c r="D4069">
        <v>56</v>
      </c>
      <c r="E4069" t="s">
        <v>458</v>
      </c>
    </row>
    <row r="4070" spans="1:5" x14ac:dyDescent="0.35">
      <c r="A4070">
        <v>2011</v>
      </c>
      <c r="B4070" t="s">
        <v>34</v>
      </c>
      <c r="C4070" t="s">
        <v>116</v>
      </c>
      <c r="D4070">
        <v>23</v>
      </c>
      <c r="E4070" t="s">
        <v>328</v>
      </c>
    </row>
    <row r="4071" spans="1:5" x14ac:dyDescent="0.35">
      <c r="A4071">
        <v>2011</v>
      </c>
      <c r="B4071" t="s">
        <v>34</v>
      </c>
      <c r="C4071" t="s">
        <v>116</v>
      </c>
      <c r="D4071">
        <v>8</v>
      </c>
      <c r="E4071" t="s">
        <v>458</v>
      </c>
    </row>
    <row r="4072" spans="1:5" x14ac:dyDescent="0.35">
      <c r="A4072">
        <v>2011</v>
      </c>
      <c r="B4072" t="s">
        <v>34</v>
      </c>
      <c r="C4072" t="s">
        <v>115</v>
      </c>
      <c r="D4072">
        <v>60</v>
      </c>
      <c r="E4072" t="s">
        <v>328</v>
      </c>
    </row>
    <row r="4073" spans="1:5" x14ac:dyDescent="0.35">
      <c r="A4073">
        <v>2011</v>
      </c>
      <c r="B4073" t="s">
        <v>34</v>
      </c>
      <c r="C4073" t="s">
        <v>115</v>
      </c>
      <c r="D4073">
        <v>52</v>
      </c>
      <c r="E4073" t="s">
        <v>458</v>
      </c>
    </row>
    <row r="4074" spans="1:5" x14ac:dyDescent="0.35">
      <c r="A4074">
        <v>2011</v>
      </c>
      <c r="B4074" t="s">
        <v>34</v>
      </c>
      <c r="C4074" t="s">
        <v>114</v>
      </c>
      <c r="D4074">
        <v>23</v>
      </c>
      <c r="E4074" t="s">
        <v>328</v>
      </c>
    </row>
    <row r="4075" spans="1:5" x14ac:dyDescent="0.35">
      <c r="A4075">
        <v>2011</v>
      </c>
      <c r="B4075" t="s">
        <v>34</v>
      </c>
      <c r="C4075" t="s">
        <v>109</v>
      </c>
      <c r="D4075">
        <v>18</v>
      </c>
      <c r="E4075" t="s">
        <v>458</v>
      </c>
    </row>
    <row r="4076" spans="1:5" x14ac:dyDescent="0.35">
      <c r="A4076">
        <v>2011</v>
      </c>
      <c r="B4076" t="s">
        <v>34</v>
      </c>
      <c r="C4076" t="s">
        <v>114</v>
      </c>
      <c r="D4076">
        <v>14</v>
      </c>
      <c r="E4076" t="s">
        <v>458</v>
      </c>
    </row>
    <row r="4077" spans="1:5" x14ac:dyDescent="0.35">
      <c r="A4077">
        <v>2011</v>
      </c>
      <c r="B4077" t="s">
        <v>36</v>
      </c>
      <c r="C4077" t="s">
        <v>113</v>
      </c>
      <c r="D4077">
        <v>1225</v>
      </c>
      <c r="E4077" t="s">
        <v>458</v>
      </c>
    </row>
    <row r="4078" spans="1:5" x14ac:dyDescent="0.35">
      <c r="A4078">
        <v>2011</v>
      </c>
      <c r="B4078" t="s">
        <v>35</v>
      </c>
      <c r="C4078" t="s">
        <v>112</v>
      </c>
      <c r="D4078">
        <v>80</v>
      </c>
      <c r="E4078" t="s">
        <v>328</v>
      </c>
    </row>
    <row r="4079" spans="1:5" x14ac:dyDescent="0.35">
      <c r="A4079">
        <v>2011</v>
      </c>
      <c r="B4079" t="s">
        <v>35</v>
      </c>
      <c r="C4079" t="s">
        <v>112</v>
      </c>
      <c r="D4079">
        <v>44</v>
      </c>
      <c r="E4079" t="s">
        <v>458</v>
      </c>
    </row>
    <row r="4080" spans="1:5" x14ac:dyDescent="0.35">
      <c r="A4080">
        <v>2011</v>
      </c>
      <c r="B4080" t="s">
        <v>34</v>
      </c>
      <c r="C4080" t="s">
        <v>111</v>
      </c>
      <c r="D4080">
        <v>167</v>
      </c>
      <c r="E4080" t="s">
        <v>328</v>
      </c>
    </row>
    <row r="4081" spans="1:5" x14ac:dyDescent="0.35">
      <c r="A4081">
        <v>2011</v>
      </c>
      <c r="B4081" t="s">
        <v>34</v>
      </c>
      <c r="C4081" t="s">
        <v>111</v>
      </c>
      <c r="D4081">
        <v>38</v>
      </c>
      <c r="E4081" t="s">
        <v>458</v>
      </c>
    </row>
    <row r="4082" spans="1:5" x14ac:dyDescent="0.35">
      <c r="A4082">
        <v>2011</v>
      </c>
      <c r="B4082" t="s">
        <v>35</v>
      </c>
      <c r="C4082" t="s">
        <v>110</v>
      </c>
      <c r="D4082">
        <v>31</v>
      </c>
      <c r="E4082" t="s">
        <v>328</v>
      </c>
    </row>
    <row r="4083" spans="1:5" x14ac:dyDescent="0.35">
      <c r="A4083">
        <v>2011</v>
      </c>
      <c r="B4083" t="s">
        <v>35</v>
      </c>
      <c r="C4083" t="s">
        <v>110</v>
      </c>
      <c r="D4083">
        <v>28</v>
      </c>
      <c r="E4083" t="s">
        <v>458</v>
      </c>
    </row>
    <row r="4084" spans="1:5" x14ac:dyDescent="0.35">
      <c r="A4084">
        <v>2011</v>
      </c>
      <c r="B4084" t="s">
        <v>36</v>
      </c>
      <c r="C4084" t="s">
        <v>113</v>
      </c>
      <c r="D4084">
        <v>249</v>
      </c>
      <c r="E4084" t="s">
        <v>328</v>
      </c>
    </row>
    <row r="4085" spans="1:5" x14ac:dyDescent="0.35">
      <c r="A4085">
        <v>2011</v>
      </c>
      <c r="B4085" t="s">
        <v>36</v>
      </c>
      <c r="C4085" t="s">
        <v>15</v>
      </c>
      <c r="D4085">
        <v>11718</v>
      </c>
      <c r="E4085" t="s">
        <v>458</v>
      </c>
    </row>
    <row r="4086" spans="1:5" x14ac:dyDescent="0.35">
      <c r="A4086">
        <v>2011</v>
      </c>
      <c r="B4086" t="s">
        <v>33</v>
      </c>
      <c r="C4086" t="s">
        <v>117</v>
      </c>
      <c r="D4086">
        <v>83</v>
      </c>
      <c r="E4086" t="s">
        <v>328</v>
      </c>
    </row>
    <row r="4087" spans="1:5" x14ac:dyDescent="0.35">
      <c r="A4087">
        <v>2011</v>
      </c>
      <c r="B4087" t="s">
        <v>36</v>
      </c>
      <c r="C4087" t="s">
        <v>100</v>
      </c>
      <c r="D4087">
        <v>26</v>
      </c>
      <c r="E4087" t="s">
        <v>458</v>
      </c>
    </row>
    <row r="4088" spans="1:5" x14ac:dyDescent="0.35">
      <c r="A4088">
        <v>2011</v>
      </c>
      <c r="B4088" t="s">
        <v>35</v>
      </c>
      <c r="C4088" t="s">
        <v>90</v>
      </c>
      <c r="D4088">
        <v>12</v>
      </c>
      <c r="E4088" t="s">
        <v>458</v>
      </c>
    </row>
    <row r="4089" spans="1:5" x14ac:dyDescent="0.35">
      <c r="A4089">
        <v>2011</v>
      </c>
      <c r="B4089" t="s">
        <v>33</v>
      </c>
      <c r="C4089" t="s">
        <v>89</v>
      </c>
      <c r="D4089">
        <v>6</v>
      </c>
      <c r="E4089" t="s">
        <v>328</v>
      </c>
    </row>
    <row r="4090" spans="1:5" x14ac:dyDescent="0.35">
      <c r="A4090">
        <v>2011</v>
      </c>
      <c r="B4090" t="s">
        <v>33</v>
      </c>
      <c r="C4090" t="s">
        <v>89</v>
      </c>
      <c r="D4090">
        <v>3</v>
      </c>
      <c r="E4090" t="s">
        <v>458</v>
      </c>
    </row>
    <row r="4091" spans="1:5" x14ac:dyDescent="0.35">
      <c r="A4091">
        <v>2011</v>
      </c>
      <c r="B4091" t="s">
        <v>36</v>
      </c>
      <c r="C4091" t="s">
        <v>16</v>
      </c>
      <c r="D4091">
        <v>8874</v>
      </c>
      <c r="E4091" t="s">
        <v>328</v>
      </c>
    </row>
    <row r="4092" spans="1:5" x14ac:dyDescent="0.35">
      <c r="A4092">
        <v>2011</v>
      </c>
      <c r="B4092" t="s">
        <v>36</v>
      </c>
      <c r="C4092" t="s">
        <v>16</v>
      </c>
      <c r="D4092">
        <v>8507</v>
      </c>
      <c r="E4092" t="s">
        <v>458</v>
      </c>
    </row>
    <row r="4093" spans="1:5" x14ac:dyDescent="0.35">
      <c r="A4093">
        <v>2011</v>
      </c>
      <c r="B4093" t="s">
        <v>33</v>
      </c>
      <c r="C4093" t="s">
        <v>87</v>
      </c>
      <c r="D4093">
        <v>80</v>
      </c>
      <c r="E4093" t="s">
        <v>328</v>
      </c>
    </row>
    <row r="4094" spans="1:5" x14ac:dyDescent="0.35">
      <c r="A4094">
        <v>2011</v>
      </c>
      <c r="B4094" t="s">
        <v>33</v>
      </c>
      <c r="C4094" t="s">
        <v>87</v>
      </c>
      <c r="D4094">
        <v>29</v>
      </c>
      <c r="E4094" t="s">
        <v>458</v>
      </c>
    </row>
    <row r="4095" spans="1:5" x14ac:dyDescent="0.35">
      <c r="A4095">
        <v>2011</v>
      </c>
      <c r="B4095" t="s">
        <v>35</v>
      </c>
      <c r="C4095" t="s">
        <v>90</v>
      </c>
      <c r="D4095">
        <v>16</v>
      </c>
      <c r="E4095" t="s">
        <v>328</v>
      </c>
    </row>
    <row r="4096" spans="1:5" x14ac:dyDescent="0.35">
      <c r="A4096">
        <v>2011</v>
      </c>
      <c r="B4096" t="s">
        <v>38</v>
      </c>
      <c r="C4096" t="s">
        <v>86</v>
      </c>
      <c r="D4096">
        <v>1012</v>
      </c>
      <c r="E4096" t="s">
        <v>328</v>
      </c>
    </row>
    <row r="4097" spans="1:5" x14ac:dyDescent="0.35">
      <c r="A4097">
        <v>2011</v>
      </c>
      <c r="B4097" t="s">
        <v>36</v>
      </c>
      <c r="C4097" t="s">
        <v>85</v>
      </c>
      <c r="D4097">
        <v>751</v>
      </c>
      <c r="E4097" t="s">
        <v>328</v>
      </c>
    </row>
    <row r="4098" spans="1:5" x14ac:dyDescent="0.35">
      <c r="A4098">
        <v>2011</v>
      </c>
      <c r="B4098" t="s">
        <v>36</v>
      </c>
      <c r="C4098" t="s">
        <v>85</v>
      </c>
      <c r="D4098">
        <v>2142</v>
      </c>
      <c r="E4098" t="s">
        <v>458</v>
      </c>
    </row>
    <row r="4099" spans="1:5" x14ac:dyDescent="0.35">
      <c r="A4099">
        <v>2011</v>
      </c>
      <c r="B4099" t="s">
        <v>36</v>
      </c>
      <c r="C4099" t="s">
        <v>84</v>
      </c>
      <c r="D4099">
        <v>13</v>
      </c>
      <c r="E4099" t="s">
        <v>328</v>
      </c>
    </row>
    <row r="4100" spans="1:5" x14ac:dyDescent="0.35">
      <c r="A4100">
        <v>2011</v>
      </c>
      <c r="B4100" t="s">
        <v>36</v>
      </c>
      <c r="C4100" t="s">
        <v>84</v>
      </c>
      <c r="D4100">
        <v>21</v>
      </c>
      <c r="E4100" t="s">
        <v>458</v>
      </c>
    </row>
    <row r="4101" spans="1:5" x14ac:dyDescent="0.35">
      <c r="A4101">
        <v>2011</v>
      </c>
      <c r="B4101" t="s">
        <v>35</v>
      </c>
      <c r="C4101" t="s">
        <v>82</v>
      </c>
      <c r="D4101">
        <v>4</v>
      </c>
      <c r="E4101" t="s">
        <v>328</v>
      </c>
    </row>
    <row r="4102" spans="1:5" x14ac:dyDescent="0.35">
      <c r="A4102">
        <v>2011</v>
      </c>
      <c r="B4102" t="s">
        <v>36</v>
      </c>
      <c r="C4102" t="s">
        <v>100</v>
      </c>
      <c r="D4102">
        <v>20</v>
      </c>
      <c r="E4102" t="s">
        <v>328</v>
      </c>
    </row>
    <row r="4103" spans="1:5" x14ac:dyDescent="0.35">
      <c r="A4103">
        <v>2011</v>
      </c>
      <c r="B4103" t="s">
        <v>35</v>
      </c>
      <c r="C4103" t="s">
        <v>82</v>
      </c>
      <c r="D4103">
        <v>5</v>
      </c>
      <c r="E4103" t="s">
        <v>458</v>
      </c>
    </row>
    <row r="4104" spans="1:5" x14ac:dyDescent="0.35">
      <c r="A4104">
        <v>2011</v>
      </c>
      <c r="B4104" t="s">
        <v>38</v>
      </c>
      <c r="C4104" t="s">
        <v>86</v>
      </c>
      <c r="D4104">
        <v>704</v>
      </c>
      <c r="E4104" t="s">
        <v>458</v>
      </c>
    </row>
    <row r="4105" spans="1:5" x14ac:dyDescent="0.35">
      <c r="A4105">
        <v>2011</v>
      </c>
      <c r="B4105" t="s">
        <v>33</v>
      </c>
      <c r="C4105" t="s">
        <v>91</v>
      </c>
      <c r="D4105">
        <v>28</v>
      </c>
      <c r="E4105" t="s">
        <v>458</v>
      </c>
    </row>
    <row r="4106" spans="1:5" x14ac:dyDescent="0.35">
      <c r="A4106">
        <v>2011</v>
      </c>
      <c r="B4106" t="s">
        <v>34</v>
      </c>
      <c r="C4106" t="s">
        <v>118</v>
      </c>
      <c r="D4106">
        <v>156</v>
      </c>
      <c r="E4106" t="s">
        <v>458</v>
      </c>
    </row>
    <row r="4107" spans="1:5" x14ac:dyDescent="0.35">
      <c r="A4107">
        <v>2011</v>
      </c>
      <c r="B4107" t="s">
        <v>37</v>
      </c>
      <c r="C4107" t="s">
        <v>92</v>
      </c>
      <c r="D4107">
        <v>34</v>
      </c>
      <c r="E4107" t="s">
        <v>458</v>
      </c>
    </row>
    <row r="4108" spans="1:5" x14ac:dyDescent="0.35">
      <c r="A4108">
        <v>2011</v>
      </c>
      <c r="B4108" t="s">
        <v>33</v>
      </c>
      <c r="C4108" t="s">
        <v>91</v>
      </c>
      <c r="D4108">
        <v>25</v>
      </c>
      <c r="E4108" t="s">
        <v>328</v>
      </c>
    </row>
    <row r="4109" spans="1:5" x14ac:dyDescent="0.35">
      <c r="A4109">
        <v>2011</v>
      </c>
      <c r="B4109" t="s">
        <v>35</v>
      </c>
      <c r="C4109" t="s">
        <v>99</v>
      </c>
      <c r="D4109">
        <v>23</v>
      </c>
      <c r="E4109" t="s">
        <v>458</v>
      </c>
    </row>
    <row r="4110" spans="1:5" x14ac:dyDescent="0.35">
      <c r="A4110">
        <v>2011</v>
      </c>
      <c r="B4110" t="s">
        <v>33</v>
      </c>
      <c r="C4110" t="s">
        <v>98</v>
      </c>
      <c r="D4110">
        <v>112</v>
      </c>
      <c r="E4110" t="s">
        <v>328</v>
      </c>
    </row>
    <row r="4111" spans="1:5" x14ac:dyDescent="0.35">
      <c r="A4111">
        <v>2011</v>
      </c>
      <c r="B4111" t="s">
        <v>33</v>
      </c>
      <c r="C4111" t="s">
        <v>98</v>
      </c>
      <c r="D4111">
        <v>76</v>
      </c>
      <c r="E4111" t="s">
        <v>458</v>
      </c>
    </row>
    <row r="4112" spans="1:5" x14ac:dyDescent="0.35">
      <c r="A4112">
        <v>2011</v>
      </c>
      <c r="B4112" t="s">
        <v>35</v>
      </c>
      <c r="C4112" t="s">
        <v>97</v>
      </c>
      <c r="D4112">
        <v>89</v>
      </c>
      <c r="E4112" t="s">
        <v>328</v>
      </c>
    </row>
    <row r="4113" spans="1:5" x14ac:dyDescent="0.35">
      <c r="A4113">
        <v>2011</v>
      </c>
      <c r="B4113" t="s">
        <v>35</v>
      </c>
      <c r="C4113" t="s">
        <v>99</v>
      </c>
      <c r="D4113">
        <v>23</v>
      </c>
      <c r="E4113" t="s">
        <v>328</v>
      </c>
    </row>
    <row r="4114" spans="1:5" x14ac:dyDescent="0.35">
      <c r="A4114">
        <v>2011</v>
      </c>
      <c r="B4114" t="s">
        <v>34</v>
      </c>
      <c r="C4114" t="s">
        <v>8</v>
      </c>
      <c r="D4114">
        <v>21</v>
      </c>
      <c r="E4114" t="s">
        <v>328</v>
      </c>
    </row>
    <row r="4115" spans="1:5" x14ac:dyDescent="0.35">
      <c r="A4115">
        <v>2011</v>
      </c>
      <c r="B4115" t="s">
        <v>34</v>
      </c>
      <c r="C4115" t="s">
        <v>8</v>
      </c>
      <c r="D4115">
        <v>24</v>
      </c>
      <c r="E4115" t="s">
        <v>458</v>
      </c>
    </row>
    <row r="4116" spans="1:5" x14ac:dyDescent="0.35">
      <c r="A4116">
        <v>2011</v>
      </c>
      <c r="B4116" t="s">
        <v>35</v>
      </c>
      <c r="C4116" t="s">
        <v>97</v>
      </c>
      <c r="D4116">
        <v>65</v>
      </c>
      <c r="E4116" t="s">
        <v>458</v>
      </c>
    </row>
    <row r="4117" spans="1:5" x14ac:dyDescent="0.35">
      <c r="A4117">
        <v>2011</v>
      </c>
      <c r="B4117" t="s">
        <v>33</v>
      </c>
      <c r="C4117" t="s">
        <v>96</v>
      </c>
      <c r="D4117">
        <v>5</v>
      </c>
      <c r="E4117" t="s">
        <v>458</v>
      </c>
    </row>
    <row r="4118" spans="1:5" x14ac:dyDescent="0.35">
      <c r="A4118">
        <v>2011</v>
      </c>
      <c r="B4118" t="s">
        <v>33</v>
      </c>
      <c r="C4118" t="s">
        <v>95</v>
      </c>
      <c r="D4118">
        <v>11</v>
      </c>
      <c r="E4118" t="s">
        <v>328</v>
      </c>
    </row>
    <row r="4119" spans="1:5" x14ac:dyDescent="0.35">
      <c r="A4119">
        <v>2011</v>
      </c>
      <c r="B4119" t="s">
        <v>33</v>
      </c>
      <c r="C4119" t="s">
        <v>95</v>
      </c>
      <c r="D4119">
        <v>3</v>
      </c>
      <c r="E4119" t="s">
        <v>458</v>
      </c>
    </row>
    <row r="4120" spans="1:5" x14ac:dyDescent="0.35">
      <c r="A4120">
        <v>2011</v>
      </c>
      <c r="B4120" t="s">
        <v>35</v>
      </c>
      <c r="C4120" t="s">
        <v>94</v>
      </c>
      <c r="D4120">
        <v>83</v>
      </c>
      <c r="E4120" t="s">
        <v>328</v>
      </c>
    </row>
    <row r="4121" spans="1:5" x14ac:dyDescent="0.35">
      <c r="A4121">
        <v>2011</v>
      </c>
      <c r="B4121" t="s">
        <v>35</v>
      </c>
      <c r="C4121" t="s">
        <v>94</v>
      </c>
      <c r="D4121">
        <v>44</v>
      </c>
      <c r="E4121" t="s">
        <v>458</v>
      </c>
    </row>
    <row r="4122" spans="1:5" x14ac:dyDescent="0.35">
      <c r="A4122">
        <v>2011</v>
      </c>
      <c r="B4122" t="s">
        <v>35</v>
      </c>
      <c r="C4122" t="s">
        <v>93</v>
      </c>
      <c r="D4122">
        <v>4</v>
      </c>
      <c r="E4122" t="s">
        <v>328</v>
      </c>
    </row>
    <row r="4123" spans="1:5" x14ac:dyDescent="0.35">
      <c r="A4123">
        <v>2011</v>
      </c>
      <c r="B4123" t="s">
        <v>35</v>
      </c>
      <c r="C4123" t="s">
        <v>93</v>
      </c>
      <c r="D4123">
        <v>3</v>
      </c>
      <c r="E4123" t="s">
        <v>458</v>
      </c>
    </row>
    <row r="4124" spans="1:5" x14ac:dyDescent="0.35">
      <c r="A4124">
        <v>2011</v>
      </c>
      <c r="B4124" t="s">
        <v>37</v>
      </c>
      <c r="C4124" t="s">
        <v>92</v>
      </c>
      <c r="D4124">
        <v>27</v>
      </c>
      <c r="E4124" t="s">
        <v>328</v>
      </c>
    </row>
    <row r="4125" spans="1:5" x14ac:dyDescent="0.35">
      <c r="A4125">
        <v>2011</v>
      </c>
      <c r="B4125" t="s">
        <v>33</v>
      </c>
      <c r="C4125" t="s">
        <v>96</v>
      </c>
      <c r="D4125">
        <v>21</v>
      </c>
      <c r="E4125" t="s">
        <v>328</v>
      </c>
    </row>
    <row r="4126" spans="1:5" x14ac:dyDescent="0.35">
      <c r="A4126">
        <v>2011</v>
      </c>
      <c r="B4126" t="s">
        <v>34</v>
      </c>
      <c r="C4126" t="s">
        <v>40</v>
      </c>
      <c r="D4126">
        <v>93</v>
      </c>
      <c r="E4126" t="s">
        <v>467</v>
      </c>
    </row>
    <row r="4127" spans="1:5" x14ac:dyDescent="0.35">
      <c r="A4127">
        <v>2011</v>
      </c>
      <c r="B4127" t="s">
        <v>35</v>
      </c>
      <c r="C4127" t="s">
        <v>41</v>
      </c>
      <c r="D4127">
        <v>36</v>
      </c>
      <c r="E4127" t="s">
        <v>467</v>
      </c>
    </row>
    <row r="4128" spans="1:5" x14ac:dyDescent="0.35">
      <c r="A4128">
        <v>2011</v>
      </c>
      <c r="B4128" t="s">
        <v>33</v>
      </c>
      <c r="C4128" t="s">
        <v>42</v>
      </c>
      <c r="D4128">
        <v>56</v>
      </c>
      <c r="E4128" t="s">
        <v>467</v>
      </c>
    </row>
    <row r="4129" spans="1:5" x14ac:dyDescent="0.35">
      <c r="A4129">
        <v>2011</v>
      </c>
      <c r="C4129" t="s">
        <v>373</v>
      </c>
      <c r="D4129">
        <v>70</v>
      </c>
      <c r="E4129" t="s">
        <v>467</v>
      </c>
    </row>
    <row r="4130" spans="1:5" x14ac:dyDescent="0.35">
      <c r="A4130">
        <v>2011</v>
      </c>
      <c r="B4130" t="s">
        <v>37</v>
      </c>
      <c r="C4130" t="s">
        <v>386</v>
      </c>
      <c r="D4130">
        <v>4</v>
      </c>
      <c r="E4130" t="s">
        <v>467</v>
      </c>
    </row>
    <row r="4131" spans="1:5" x14ac:dyDescent="0.35">
      <c r="A4131">
        <v>2011</v>
      </c>
      <c r="B4131" t="s">
        <v>33</v>
      </c>
      <c r="C4131" t="s">
        <v>43</v>
      </c>
      <c r="D4131">
        <v>11</v>
      </c>
      <c r="E4131" t="s">
        <v>467</v>
      </c>
    </row>
    <row r="4132" spans="1:5" x14ac:dyDescent="0.35">
      <c r="A4132">
        <v>2011</v>
      </c>
      <c r="B4132" t="s">
        <v>36</v>
      </c>
      <c r="C4132" t="s">
        <v>44</v>
      </c>
      <c r="D4132">
        <v>9</v>
      </c>
      <c r="E4132" t="s">
        <v>467</v>
      </c>
    </row>
    <row r="4133" spans="1:5" x14ac:dyDescent="0.35">
      <c r="A4133">
        <v>2011</v>
      </c>
      <c r="B4133" t="s">
        <v>38</v>
      </c>
      <c r="C4133" t="s">
        <v>45</v>
      </c>
      <c r="D4133">
        <v>89</v>
      </c>
      <c r="E4133" t="s">
        <v>467</v>
      </c>
    </row>
    <row r="4134" spans="1:5" x14ac:dyDescent="0.35">
      <c r="A4134">
        <v>2011</v>
      </c>
      <c r="B4134" t="s">
        <v>34</v>
      </c>
      <c r="C4134" t="s">
        <v>46</v>
      </c>
      <c r="D4134">
        <v>6</v>
      </c>
      <c r="E4134" t="s">
        <v>467</v>
      </c>
    </row>
    <row r="4135" spans="1:5" x14ac:dyDescent="0.35">
      <c r="A4135">
        <v>2011</v>
      </c>
      <c r="B4135" t="s">
        <v>37</v>
      </c>
      <c r="C4135" t="s">
        <v>47</v>
      </c>
      <c r="D4135">
        <v>351</v>
      </c>
      <c r="E4135" t="s">
        <v>467</v>
      </c>
    </row>
    <row r="4136" spans="1:5" x14ac:dyDescent="0.35">
      <c r="A4136">
        <v>2011</v>
      </c>
      <c r="B4136" t="s">
        <v>35</v>
      </c>
      <c r="C4136" t="s">
        <v>48</v>
      </c>
      <c r="D4136">
        <v>57</v>
      </c>
      <c r="E4136" t="s">
        <v>467</v>
      </c>
    </row>
    <row r="4137" spans="1:5" x14ac:dyDescent="0.35">
      <c r="A4137">
        <v>2011</v>
      </c>
      <c r="B4137" t="s">
        <v>34</v>
      </c>
      <c r="C4137" t="s">
        <v>49</v>
      </c>
      <c r="D4137">
        <v>52</v>
      </c>
      <c r="E4137" t="s">
        <v>467</v>
      </c>
    </row>
    <row r="4138" spans="1:5" x14ac:dyDescent="0.35">
      <c r="A4138">
        <v>2011</v>
      </c>
      <c r="B4138" t="s">
        <v>36</v>
      </c>
      <c r="C4138" t="s">
        <v>50</v>
      </c>
      <c r="D4138">
        <v>433</v>
      </c>
      <c r="E4138" t="s">
        <v>467</v>
      </c>
    </row>
    <row r="4139" spans="1:5" x14ac:dyDescent="0.35">
      <c r="A4139">
        <v>2011</v>
      </c>
      <c r="B4139" t="s">
        <v>34</v>
      </c>
      <c r="C4139" t="s">
        <v>51</v>
      </c>
      <c r="D4139">
        <v>4</v>
      </c>
      <c r="E4139" t="s">
        <v>467</v>
      </c>
    </row>
    <row r="4140" spans="1:5" x14ac:dyDescent="0.35">
      <c r="A4140">
        <v>2011</v>
      </c>
      <c r="B4140" t="s">
        <v>34</v>
      </c>
      <c r="C4140" t="s">
        <v>52</v>
      </c>
      <c r="D4140">
        <v>248</v>
      </c>
      <c r="E4140" t="s">
        <v>467</v>
      </c>
    </row>
    <row r="4141" spans="1:5" x14ac:dyDescent="0.35">
      <c r="A4141">
        <v>2011</v>
      </c>
      <c r="B4141" t="s">
        <v>36</v>
      </c>
      <c r="C4141" t="s">
        <v>53</v>
      </c>
      <c r="D4141">
        <v>43</v>
      </c>
      <c r="E4141" t="s">
        <v>467</v>
      </c>
    </row>
    <row r="4142" spans="1:5" x14ac:dyDescent="0.35">
      <c r="A4142">
        <v>2011</v>
      </c>
      <c r="B4142" t="s">
        <v>35</v>
      </c>
      <c r="C4142" t="s">
        <v>54</v>
      </c>
      <c r="D4142">
        <v>71</v>
      </c>
      <c r="E4142" t="s">
        <v>467</v>
      </c>
    </row>
    <row r="4143" spans="1:5" x14ac:dyDescent="0.35">
      <c r="A4143">
        <v>2011</v>
      </c>
      <c r="B4143" t="s">
        <v>35</v>
      </c>
      <c r="C4143" t="s">
        <v>55</v>
      </c>
      <c r="D4143">
        <v>111</v>
      </c>
      <c r="E4143" t="s">
        <v>467</v>
      </c>
    </row>
    <row r="4144" spans="1:5" x14ac:dyDescent="0.35">
      <c r="A4144">
        <v>2011</v>
      </c>
      <c r="B4144" t="s">
        <v>36</v>
      </c>
      <c r="C4144" t="s">
        <v>56</v>
      </c>
      <c r="D4144">
        <v>39</v>
      </c>
      <c r="E4144" t="s">
        <v>467</v>
      </c>
    </row>
    <row r="4145" spans="1:5" x14ac:dyDescent="0.35">
      <c r="A4145">
        <v>2011</v>
      </c>
      <c r="B4145" t="s">
        <v>33</v>
      </c>
      <c r="C4145" t="s">
        <v>57</v>
      </c>
      <c r="D4145">
        <v>21</v>
      </c>
      <c r="E4145" t="s">
        <v>467</v>
      </c>
    </row>
    <row r="4146" spans="1:5" x14ac:dyDescent="0.35">
      <c r="A4146">
        <v>2011</v>
      </c>
      <c r="B4146" t="s">
        <v>36</v>
      </c>
      <c r="C4146" t="s">
        <v>363</v>
      </c>
      <c r="D4146">
        <v>115</v>
      </c>
      <c r="E4146" t="s">
        <v>467</v>
      </c>
    </row>
    <row r="4147" spans="1:5" x14ac:dyDescent="0.35">
      <c r="A4147">
        <v>2011</v>
      </c>
      <c r="B4147" t="s">
        <v>38</v>
      </c>
      <c r="C4147" t="s">
        <v>59</v>
      </c>
      <c r="D4147">
        <v>99</v>
      </c>
      <c r="E4147" t="s">
        <v>467</v>
      </c>
    </row>
    <row r="4148" spans="1:5" x14ac:dyDescent="0.35">
      <c r="A4148">
        <v>2011</v>
      </c>
      <c r="B4148" t="s">
        <v>35</v>
      </c>
      <c r="C4148" t="s">
        <v>60</v>
      </c>
      <c r="D4148">
        <v>24</v>
      </c>
      <c r="E4148" t="s">
        <v>467</v>
      </c>
    </row>
    <row r="4149" spans="1:5" x14ac:dyDescent="0.35">
      <c r="A4149">
        <v>2011</v>
      </c>
      <c r="B4149" t="s">
        <v>38</v>
      </c>
      <c r="C4149" t="s">
        <v>21</v>
      </c>
      <c r="D4149">
        <v>721</v>
      </c>
      <c r="E4149" t="s">
        <v>467</v>
      </c>
    </row>
    <row r="4150" spans="1:5" x14ac:dyDescent="0.35">
      <c r="A4150">
        <v>2011</v>
      </c>
      <c r="B4150" t="s">
        <v>36</v>
      </c>
      <c r="C4150" t="s">
        <v>364</v>
      </c>
      <c r="D4150">
        <v>5</v>
      </c>
      <c r="E4150" t="s">
        <v>467</v>
      </c>
    </row>
    <row r="4151" spans="1:5" x14ac:dyDescent="0.35">
      <c r="A4151">
        <v>2011</v>
      </c>
      <c r="B4151" t="s">
        <v>35</v>
      </c>
      <c r="C4151" t="s">
        <v>62</v>
      </c>
      <c r="D4151">
        <v>199</v>
      </c>
      <c r="E4151" t="s">
        <v>467</v>
      </c>
    </row>
    <row r="4152" spans="1:5" x14ac:dyDescent="0.35">
      <c r="A4152">
        <v>2011</v>
      </c>
      <c r="B4152" t="s">
        <v>33</v>
      </c>
      <c r="C4152" t="s">
        <v>63</v>
      </c>
      <c r="D4152">
        <v>8</v>
      </c>
      <c r="E4152" t="s">
        <v>467</v>
      </c>
    </row>
    <row r="4153" spans="1:5" x14ac:dyDescent="0.35">
      <c r="A4153">
        <v>2011</v>
      </c>
      <c r="B4153" t="s">
        <v>34</v>
      </c>
      <c r="C4153" t="s">
        <v>64</v>
      </c>
      <c r="D4153">
        <v>2582</v>
      </c>
      <c r="E4153" t="s">
        <v>467</v>
      </c>
    </row>
    <row r="4154" spans="1:5" x14ac:dyDescent="0.35">
      <c r="A4154">
        <v>2011</v>
      </c>
      <c r="B4154" t="s">
        <v>33</v>
      </c>
      <c r="C4154" t="s">
        <v>65</v>
      </c>
      <c r="D4154">
        <v>11</v>
      </c>
      <c r="E4154" t="s">
        <v>467</v>
      </c>
    </row>
    <row r="4155" spans="1:5" x14ac:dyDescent="0.35">
      <c r="A4155">
        <v>2011</v>
      </c>
      <c r="B4155" t="s">
        <v>34</v>
      </c>
      <c r="C4155" t="s">
        <v>67</v>
      </c>
      <c r="D4155">
        <v>15</v>
      </c>
      <c r="E4155" t="s">
        <v>467</v>
      </c>
    </row>
    <row r="4156" spans="1:5" x14ac:dyDescent="0.35">
      <c r="A4156">
        <v>2011</v>
      </c>
      <c r="B4156" t="s">
        <v>33</v>
      </c>
      <c r="C4156" t="s">
        <v>68</v>
      </c>
      <c r="D4156">
        <v>66</v>
      </c>
      <c r="E4156" t="s">
        <v>467</v>
      </c>
    </row>
    <row r="4157" spans="1:5" x14ac:dyDescent="0.35">
      <c r="A4157">
        <v>2011</v>
      </c>
      <c r="B4157" t="s">
        <v>36</v>
      </c>
      <c r="C4157" t="s">
        <v>69</v>
      </c>
      <c r="D4157">
        <v>28274</v>
      </c>
      <c r="E4157" t="s">
        <v>467</v>
      </c>
    </row>
    <row r="4158" spans="1:5" x14ac:dyDescent="0.35">
      <c r="A4158">
        <v>2011</v>
      </c>
      <c r="B4158" t="s">
        <v>33</v>
      </c>
      <c r="C4158" t="s">
        <v>66</v>
      </c>
      <c r="D4158">
        <v>26</v>
      </c>
      <c r="E4158" t="s">
        <v>467</v>
      </c>
    </row>
    <row r="4159" spans="1:5" x14ac:dyDescent="0.35">
      <c r="A4159">
        <v>2011</v>
      </c>
      <c r="B4159" t="s">
        <v>36</v>
      </c>
      <c r="C4159" t="s">
        <v>365</v>
      </c>
      <c r="D4159">
        <v>6</v>
      </c>
      <c r="E4159" t="s">
        <v>467</v>
      </c>
    </row>
    <row r="4160" spans="1:5" x14ac:dyDescent="0.35">
      <c r="A4160">
        <v>2011</v>
      </c>
      <c r="B4160" t="s">
        <v>38</v>
      </c>
      <c r="C4160" t="s">
        <v>72</v>
      </c>
      <c r="D4160">
        <v>125</v>
      </c>
      <c r="E4160" t="s">
        <v>467</v>
      </c>
    </row>
    <row r="4161" spans="1:5" x14ac:dyDescent="0.35">
      <c r="A4161">
        <v>2011</v>
      </c>
      <c r="B4161" t="s">
        <v>34</v>
      </c>
      <c r="C4161" t="s">
        <v>73</v>
      </c>
      <c r="D4161">
        <v>16234</v>
      </c>
      <c r="E4161" t="s">
        <v>467</v>
      </c>
    </row>
    <row r="4162" spans="1:5" x14ac:dyDescent="0.35">
      <c r="A4162">
        <v>2011</v>
      </c>
      <c r="B4162" t="s">
        <v>38</v>
      </c>
      <c r="C4162" t="s">
        <v>20</v>
      </c>
      <c r="D4162">
        <v>645</v>
      </c>
      <c r="E4162" t="s">
        <v>467</v>
      </c>
    </row>
    <row r="4163" spans="1:5" x14ac:dyDescent="0.35">
      <c r="A4163">
        <v>2011</v>
      </c>
      <c r="B4163" t="s">
        <v>33</v>
      </c>
      <c r="C4163" t="s">
        <v>74</v>
      </c>
      <c r="D4163">
        <v>10</v>
      </c>
      <c r="E4163" t="s">
        <v>467</v>
      </c>
    </row>
    <row r="4164" spans="1:5" x14ac:dyDescent="0.35">
      <c r="A4164">
        <v>2011</v>
      </c>
      <c r="B4164" t="s">
        <v>33</v>
      </c>
      <c r="C4164" t="s">
        <v>75</v>
      </c>
      <c r="D4164">
        <v>33</v>
      </c>
      <c r="E4164" t="s">
        <v>467</v>
      </c>
    </row>
    <row r="4165" spans="1:5" x14ac:dyDescent="0.35">
      <c r="A4165">
        <v>2011</v>
      </c>
      <c r="B4165" t="s">
        <v>36</v>
      </c>
      <c r="C4165" t="s">
        <v>76</v>
      </c>
      <c r="D4165">
        <v>132</v>
      </c>
      <c r="E4165" t="s">
        <v>467</v>
      </c>
    </row>
    <row r="4166" spans="1:5" x14ac:dyDescent="0.35">
      <c r="A4166">
        <v>2011</v>
      </c>
      <c r="B4166" t="s">
        <v>33</v>
      </c>
      <c r="C4166" t="s">
        <v>77</v>
      </c>
      <c r="D4166">
        <v>43</v>
      </c>
      <c r="E4166" t="s">
        <v>467</v>
      </c>
    </row>
    <row r="4167" spans="1:5" x14ac:dyDescent="0.35">
      <c r="A4167">
        <v>2011</v>
      </c>
      <c r="B4167" t="s">
        <v>35</v>
      </c>
      <c r="C4167" t="s">
        <v>78</v>
      </c>
      <c r="D4167">
        <v>158</v>
      </c>
      <c r="E4167" t="s">
        <v>467</v>
      </c>
    </row>
    <row r="4168" spans="1:5" x14ac:dyDescent="0.35">
      <c r="A4168">
        <v>2011</v>
      </c>
      <c r="B4168" t="s">
        <v>36</v>
      </c>
      <c r="C4168" t="s">
        <v>79</v>
      </c>
      <c r="D4168">
        <v>105</v>
      </c>
      <c r="E4168" t="s">
        <v>467</v>
      </c>
    </row>
    <row r="4169" spans="1:5" x14ac:dyDescent="0.35">
      <c r="A4169">
        <v>2011</v>
      </c>
      <c r="B4169" t="s">
        <v>34</v>
      </c>
      <c r="C4169" t="s">
        <v>80</v>
      </c>
      <c r="D4169">
        <v>5</v>
      </c>
      <c r="E4169" t="s">
        <v>467</v>
      </c>
    </row>
    <row r="4170" spans="1:5" x14ac:dyDescent="0.35">
      <c r="A4170">
        <v>2011</v>
      </c>
      <c r="B4170" t="s">
        <v>35</v>
      </c>
      <c r="C4170" t="s">
        <v>81</v>
      </c>
      <c r="D4170">
        <v>105</v>
      </c>
      <c r="E4170" t="s">
        <v>467</v>
      </c>
    </row>
    <row r="4171" spans="1:5" x14ac:dyDescent="0.35">
      <c r="A4171">
        <v>2011</v>
      </c>
      <c r="B4171" t="s">
        <v>35</v>
      </c>
      <c r="C4171" t="s">
        <v>214</v>
      </c>
      <c r="D4171">
        <v>23</v>
      </c>
      <c r="E4171" t="s">
        <v>467</v>
      </c>
    </row>
    <row r="4172" spans="1:5" x14ac:dyDescent="0.35">
      <c r="A4172">
        <v>2011</v>
      </c>
      <c r="B4172" t="s">
        <v>35</v>
      </c>
      <c r="C4172" t="s">
        <v>82</v>
      </c>
      <c r="D4172">
        <v>72</v>
      </c>
      <c r="E4172" t="s">
        <v>467</v>
      </c>
    </row>
    <row r="4173" spans="1:5" x14ac:dyDescent="0.35">
      <c r="A4173">
        <v>2011</v>
      </c>
      <c r="B4173" t="s">
        <v>36</v>
      </c>
      <c r="C4173" t="s">
        <v>84</v>
      </c>
      <c r="D4173">
        <v>37</v>
      </c>
      <c r="E4173" t="s">
        <v>467</v>
      </c>
    </row>
    <row r="4174" spans="1:5" x14ac:dyDescent="0.35">
      <c r="A4174">
        <v>2011</v>
      </c>
      <c r="B4174" t="s">
        <v>36</v>
      </c>
      <c r="C4174" t="s">
        <v>85</v>
      </c>
      <c r="D4174">
        <v>763</v>
      </c>
      <c r="E4174" t="s">
        <v>467</v>
      </c>
    </row>
    <row r="4175" spans="1:5" x14ac:dyDescent="0.35">
      <c r="A4175">
        <v>2011</v>
      </c>
      <c r="B4175" t="s">
        <v>38</v>
      </c>
      <c r="C4175" t="s">
        <v>86</v>
      </c>
      <c r="D4175">
        <v>336</v>
      </c>
      <c r="E4175" t="s">
        <v>467</v>
      </c>
    </row>
    <row r="4176" spans="1:5" x14ac:dyDescent="0.35">
      <c r="A4176">
        <v>2011</v>
      </c>
      <c r="B4176" t="s">
        <v>33</v>
      </c>
      <c r="C4176" t="s">
        <v>87</v>
      </c>
      <c r="D4176">
        <v>326</v>
      </c>
      <c r="E4176" t="s">
        <v>467</v>
      </c>
    </row>
    <row r="4177" spans="1:5" x14ac:dyDescent="0.35">
      <c r="A4177">
        <v>2011</v>
      </c>
      <c r="B4177" t="s">
        <v>36</v>
      </c>
      <c r="C4177" t="s">
        <v>16</v>
      </c>
      <c r="D4177">
        <v>1021</v>
      </c>
      <c r="E4177" t="s">
        <v>467</v>
      </c>
    </row>
    <row r="4178" spans="1:5" x14ac:dyDescent="0.35">
      <c r="A4178">
        <v>2011</v>
      </c>
      <c r="B4178" t="s">
        <v>33</v>
      </c>
      <c r="C4178" t="s">
        <v>89</v>
      </c>
      <c r="D4178">
        <v>11</v>
      </c>
      <c r="E4178" t="s">
        <v>467</v>
      </c>
    </row>
    <row r="4179" spans="1:5" x14ac:dyDescent="0.35">
      <c r="A4179">
        <v>2011</v>
      </c>
      <c r="B4179" t="s">
        <v>35</v>
      </c>
      <c r="C4179" t="s">
        <v>90</v>
      </c>
      <c r="D4179">
        <v>42</v>
      </c>
      <c r="E4179" t="s">
        <v>467</v>
      </c>
    </row>
    <row r="4180" spans="1:5" x14ac:dyDescent="0.35">
      <c r="A4180">
        <v>2011</v>
      </c>
      <c r="B4180" t="s">
        <v>33</v>
      </c>
      <c r="C4180" t="s">
        <v>91</v>
      </c>
      <c r="D4180">
        <v>54</v>
      </c>
      <c r="E4180" t="s">
        <v>467</v>
      </c>
    </row>
    <row r="4181" spans="1:5" x14ac:dyDescent="0.35">
      <c r="A4181">
        <v>2011</v>
      </c>
      <c r="B4181" t="s">
        <v>37</v>
      </c>
      <c r="C4181" t="s">
        <v>92</v>
      </c>
      <c r="D4181">
        <v>72</v>
      </c>
      <c r="E4181" t="s">
        <v>467</v>
      </c>
    </row>
    <row r="4182" spans="1:5" x14ac:dyDescent="0.35">
      <c r="A4182">
        <v>2011</v>
      </c>
      <c r="B4182" t="s">
        <v>35</v>
      </c>
      <c r="C4182" t="s">
        <v>93</v>
      </c>
      <c r="D4182">
        <v>50</v>
      </c>
      <c r="E4182" t="s">
        <v>467</v>
      </c>
    </row>
    <row r="4183" spans="1:5" x14ac:dyDescent="0.35">
      <c r="A4183">
        <v>2011</v>
      </c>
      <c r="B4183" t="s">
        <v>35</v>
      </c>
      <c r="C4183" t="s">
        <v>94</v>
      </c>
      <c r="D4183">
        <v>842</v>
      </c>
      <c r="E4183" t="s">
        <v>467</v>
      </c>
    </row>
    <row r="4184" spans="1:5" x14ac:dyDescent="0.35">
      <c r="A4184">
        <v>2011</v>
      </c>
      <c r="B4184" t="s">
        <v>33</v>
      </c>
      <c r="C4184" t="s">
        <v>95</v>
      </c>
      <c r="D4184">
        <v>10</v>
      </c>
      <c r="E4184" t="s">
        <v>467</v>
      </c>
    </row>
    <row r="4185" spans="1:5" x14ac:dyDescent="0.35">
      <c r="A4185">
        <v>2011</v>
      </c>
      <c r="B4185" t="s">
        <v>33</v>
      </c>
      <c r="C4185" t="s">
        <v>96</v>
      </c>
      <c r="D4185">
        <v>14</v>
      </c>
      <c r="E4185" t="s">
        <v>467</v>
      </c>
    </row>
    <row r="4186" spans="1:5" x14ac:dyDescent="0.35">
      <c r="A4186">
        <v>2011</v>
      </c>
      <c r="B4186" t="s">
        <v>34</v>
      </c>
      <c r="C4186" t="s">
        <v>8</v>
      </c>
      <c r="D4186">
        <v>107</v>
      </c>
      <c r="E4186" t="s">
        <v>467</v>
      </c>
    </row>
    <row r="4187" spans="1:5" x14ac:dyDescent="0.35">
      <c r="A4187">
        <v>2011</v>
      </c>
      <c r="B4187" t="s">
        <v>35</v>
      </c>
      <c r="C4187" t="s">
        <v>97</v>
      </c>
      <c r="D4187">
        <v>627</v>
      </c>
      <c r="E4187" t="s">
        <v>467</v>
      </c>
    </row>
    <row r="4188" spans="1:5" x14ac:dyDescent="0.35">
      <c r="A4188">
        <v>2011</v>
      </c>
      <c r="B4188" t="s">
        <v>33</v>
      </c>
      <c r="C4188" t="s">
        <v>98</v>
      </c>
      <c r="D4188">
        <v>150</v>
      </c>
      <c r="E4188" t="s">
        <v>467</v>
      </c>
    </row>
    <row r="4189" spans="1:5" x14ac:dyDescent="0.35">
      <c r="A4189">
        <v>2011</v>
      </c>
      <c r="B4189" t="s">
        <v>35</v>
      </c>
      <c r="C4189" t="s">
        <v>99</v>
      </c>
      <c r="D4189">
        <v>291</v>
      </c>
      <c r="E4189" t="s">
        <v>467</v>
      </c>
    </row>
    <row r="4190" spans="1:5" x14ac:dyDescent="0.35">
      <c r="A4190">
        <v>2011</v>
      </c>
      <c r="B4190" t="s">
        <v>36</v>
      </c>
      <c r="C4190" t="s">
        <v>100</v>
      </c>
      <c r="D4190">
        <v>16</v>
      </c>
      <c r="E4190" t="s">
        <v>467</v>
      </c>
    </row>
    <row r="4191" spans="1:5" x14ac:dyDescent="0.35">
      <c r="A4191">
        <v>2011</v>
      </c>
      <c r="B4191" t="s">
        <v>36</v>
      </c>
      <c r="C4191" t="s">
        <v>15</v>
      </c>
      <c r="D4191">
        <v>3026</v>
      </c>
      <c r="E4191" t="s">
        <v>467</v>
      </c>
    </row>
    <row r="4192" spans="1:5" x14ac:dyDescent="0.35">
      <c r="A4192">
        <v>2011</v>
      </c>
      <c r="B4192" t="s">
        <v>33</v>
      </c>
      <c r="C4192" t="s">
        <v>101</v>
      </c>
      <c r="D4192">
        <v>25</v>
      </c>
      <c r="E4192" t="s">
        <v>467</v>
      </c>
    </row>
    <row r="4193" spans="1:5" x14ac:dyDescent="0.35">
      <c r="A4193">
        <v>2011</v>
      </c>
      <c r="B4193" t="s">
        <v>38</v>
      </c>
      <c r="C4193" t="s">
        <v>103</v>
      </c>
      <c r="D4193">
        <v>167</v>
      </c>
      <c r="E4193" t="s">
        <v>467</v>
      </c>
    </row>
    <row r="4194" spans="1:5" x14ac:dyDescent="0.35">
      <c r="A4194">
        <v>2011</v>
      </c>
      <c r="B4194" t="s">
        <v>36</v>
      </c>
      <c r="C4194" t="s">
        <v>104</v>
      </c>
      <c r="D4194">
        <v>210</v>
      </c>
      <c r="E4194" t="s">
        <v>467</v>
      </c>
    </row>
    <row r="4195" spans="1:5" x14ac:dyDescent="0.35">
      <c r="A4195">
        <v>2011</v>
      </c>
      <c r="B4195" t="s">
        <v>36</v>
      </c>
      <c r="C4195" t="s">
        <v>17</v>
      </c>
      <c r="D4195">
        <v>1553</v>
      </c>
      <c r="E4195" t="s">
        <v>467</v>
      </c>
    </row>
    <row r="4196" spans="1:5" x14ac:dyDescent="0.35">
      <c r="A4196">
        <v>2011</v>
      </c>
      <c r="B4196" t="s">
        <v>34</v>
      </c>
      <c r="C4196" t="s">
        <v>368</v>
      </c>
      <c r="D4196">
        <v>92</v>
      </c>
      <c r="E4196" t="s">
        <v>467</v>
      </c>
    </row>
    <row r="4197" spans="1:5" x14ac:dyDescent="0.35">
      <c r="A4197">
        <v>2011</v>
      </c>
      <c r="B4197" t="s">
        <v>35</v>
      </c>
      <c r="C4197" t="s">
        <v>105</v>
      </c>
      <c r="D4197">
        <v>152</v>
      </c>
      <c r="E4197" t="s">
        <v>467</v>
      </c>
    </row>
    <row r="4198" spans="1:5" x14ac:dyDescent="0.35">
      <c r="A4198">
        <v>2011</v>
      </c>
      <c r="B4198" t="s">
        <v>35</v>
      </c>
      <c r="C4198" t="s">
        <v>106</v>
      </c>
      <c r="D4198">
        <v>9</v>
      </c>
      <c r="E4198" t="s">
        <v>467</v>
      </c>
    </row>
    <row r="4199" spans="1:5" x14ac:dyDescent="0.35">
      <c r="A4199">
        <v>2011</v>
      </c>
      <c r="B4199" t="s">
        <v>34</v>
      </c>
      <c r="C4199" t="s">
        <v>22</v>
      </c>
      <c r="D4199">
        <v>4136</v>
      </c>
      <c r="E4199" t="s">
        <v>467</v>
      </c>
    </row>
    <row r="4200" spans="1:5" x14ac:dyDescent="0.35">
      <c r="A4200">
        <v>2011</v>
      </c>
      <c r="B4200" t="s">
        <v>34</v>
      </c>
      <c r="C4200" t="s">
        <v>107</v>
      </c>
      <c r="D4200">
        <v>1587</v>
      </c>
      <c r="E4200" t="s">
        <v>467</v>
      </c>
    </row>
    <row r="4201" spans="1:5" x14ac:dyDescent="0.35">
      <c r="A4201">
        <v>2011</v>
      </c>
      <c r="B4201" t="s">
        <v>34</v>
      </c>
      <c r="C4201" t="s">
        <v>108</v>
      </c>
      <c r="D4201">
        <v>315</v>
      </c>
      <c r="E4201" t="s">
        <v>467</v>
      </c>
    </row>
    <row r="4202" spans="1:5" x14ac:dyDescent="0.35">
      <c r="A4202">
        <v>2011</v>
      </c>
      <c r="B4202" t="s">
        <v>34</v>
      </c>
      <c r="C4202" t="s">
        <v>109</v>
      </c>
      <c r="D4202">
        <v>107</v>
      </c>
      <c r="E4202" t="s">
        <v>467</v>
      </c>
    </row>
    <row r="4203" spans="1:5" x14ac:dyDescent="0.35">
      <c r="A4203">
        <v>2011</v>
      </c>
      <c r="B4203" t="s">
        <v>35</v>
      </c>
      <c r="C4203" t="s">
        <v>110</v>
      </c>
      <c r="D4203">
        <v>182</v>
      </c>
      <c r="E4203" t="s">
        <v>467</v>
      </c>
    </row>
    <row r="4204" spans="1:5" x14ac:dyDescent="0.35">
      <c r="A4204">
        <v>2011</v>
      </c>
      <c r="B4204" t="s">
        <v>34</v>
      </c>
      <c r="C4204" t="s">
        <v>111</v>
      </c>
      <c r="D4204">
        <v>341</v>
      </c>
      <c r="E4204" t="s">
        <v>467</v>
      </c>
    </row>
    <row r="4205" spans="1:5" x14ac:dyDescent="0.35">
      <c r="A4205">
        <v>2011</v>
      </c>
      <c r="B4205" t="s">
        <v>35</v>
      </c>
      <c r="C4205" t="s">
        <v>112</v>
      </c>
      <c r="D4205">
        <v>739</v>
      </c>
      <c r="E4205" t="s">
        <v>467</v>
      </c>
    </row>
    <row r="4206" spans="1:5" x14ac:dyDescent="0.35">
      <c r="A4206">
        <v>2011</v>
      </c>
      <c r="B4206" t="s">
        <v>36</v>
      </c>
      <c r="C4206" t="s">
        <v>113</v>
      </c>
      <c r="D4206">
        <v>458</v>
      </c>
      <c r="E4206" t="s">
        <v>467</v>
      </c>
    </row>
    <row r="4207" spans="1:5" x14ac:dyDescent="0.35">
      <c r="A4207">
        <v>2011</v>
      </c>
      <c r="B4207" t="s">
        <v>34</v>
      </c>
      <c r="C4207" t="s">
        <v>114</v>
      </c>
      <c r="D4207">
        <v>461</v>
      </c>
      <c r="E4207" t="s">
        <v>467</v>
      </c>
    </row>
    <row r="4208" spans="1:5" x14ac:dyDescent="0.35">
      <c r="A4208">
        <v>2011</v>
      </c>
      <c r="B4208" t="s">
        <v>34</v>
      </c>
      <c r="C4208" t="s">
        <v>115</v>
      </c>
      <c r="D4208">
        <v>138</v>
      </c>
      <c r="E4208" t="s">
        <v>467</v>
      </c>
    </row>
    <row r="4209" spans="1:5" x14ac:dyDescent="0.35">
      <c r="A4209">
        <v>2011</v>
      </c>
      <c r="B4209" t="s">
        <v>34</v>
      </c>
      <c r="C4209" t="s">
        <v>116</v>
      </c>
      <c r="D4209">
        <v>37</v>
      </c>
      <c r="E4209" t="s">
        <v>467</v>
      </c>
    </row>
    <row r="4210" spans="1:5" x14ac:dyDescent="0.35">
      <c r="A4210">
        <v>2011</v>
      </c>
      <c r="B4210" t="s">
        <v>33</v>
      </c>
      <c r="C4210" t="s">
        <v>117</v>
      </c>
      <c r="D4210">
        <v>124</v>
      </c>
      <c r="E4210" t="s">
        <v>467</v>
      </c>
    </row>
    <row r="4211" spans="1:5" x14ac:dyDescent="0.35">
      <c r="A4211">
        <v>2011</v>
      </c>
      <c r="B4211" t="s">
        <v>37</v>
      </c>
      <c r="C4211" t="s">
        <v>390</v>
      </c>
      <c r="D4211">
        <v>46</v>
      </c>
      <c r="E4211" t="s">
        <v>467</v>
      </c>
    </row>
    <row r="4212" spans="1:5" x14ac:dyDescent="0.35">
      <c r="A4212">
        <v>2011</v>
      </c>
      <c r="B4212" t="s">
        <v>34</v>
      </c>
      <c r="C4212" t="s">
        <v>118</v>
      </c>
      <c r="D4212">
        <v>1619</v>
      </c>
      <c r="E4212" t="s">
        <v>467</v>
      </c>
    </row>
    <row r="4213" spans="1:5" x14ac:dyDescent="0.35">
      <c r="A4213">
        <v>2011</v>
      </c>
      <c r="B4213" t="s">
        <v>35</v>
      </c>
      <c r="C4213" t="s">
        <v>119</v>
      </c>
      <c r="E4213" t="s">
        <v>467</v>
      </c>
    </row>
    <row r="4214" spans="1:5" x14ac:dyDescent="0.35">
      <c r="A4214">
        <v>2011</v>
      </c>
      <c r="B4214" t="s">
        <v>34</v>
      </c>
      <c r="C4214" t="s">
        <v>120</v>
      </c>
      <c r="D4214">
        <v>40</v>
      </c>
      <c r="E4214" t="s">
        <v>467</v>
      </c>
    </row>
    <row r="4215" spans="1:5" x14ac:dyDescent="0.35">
      <c r="A4215">
        <v>2011</v>
      </c>
      <c r="B4215" t="s">
        <v>34</v>
      </c>
      <c r="C4215" t="s">
        <v>121</v>
      </c>
      <c r="D4215">
        <v>15</v>
      </c>
      <c r="E4215" t="s">
        <v>467</v>
      </c>
    </row>
    <row r="4216" spans="1:5" x14ac:dyDescent="0.35">
      <c r="A4216">
        <v>2011</v>
      </c>
      <c r="B4216" t="s">
        <v>34</v>
      </c>
      <c r="C4216" t="s">
        <v>122</v>
      </c>
      <c r="D4216">
        <v>6</v>
      </c>
      <c r="E4216" t="s">
        <v>467</v>
      </c>
    </row>
    <row r="4217" spans="1:5" x14ac:dyDescent="0.35">
      <c r="A4217">
        <v>2011</v>
      </c>
      <c r="B4217" t="s">
        <v>35</v>
      </c>
      <c r="C4217" t="s">
        <v>123</v>
      </c>
      <c r="D4217">
        <v>167</v>
      </c>
      <c r="E4217" t="s">
        <v>467</v>
      </c>
    </row>
    <row r="4218" spans="1:5" x14ac:dyDescent="0.35">
      <c r="A4218">
        <v>2011</v>
      </c>
      <c r="B4218" t="s">
        <v>34</v>
      </c>
      <c r="C4218" t="s">
        <v>124</v>
      </c>
      <c r="D4218">
        <v>126</v>
      </c>
      <c r="E4218" t="s">
        <v>467</v>
      </c>
    </row>
    <row r="4219" spans="1:5" x14ac:dyDescent="0.35">
      <c r="A4219">
        <v>2011</v>
      </c>
      <c r="B4219" t="s">
        <v>33</v>
      </c>
      <c r="C4219" t="s">
        <v>125</v>
      </c>
      <c r="D4219">
        <v>25</v>
      </c>
      <c r="E4219" t="s">
        <v>467</v>
      </c>
    </row>
    <row r="4220" spans="1:5" x14ac:dyDescent="0.35">
      <c r="A4220">
        <v>2011</v>
      </c>
      <c r="B4220" t="s">
        <v>33</v>
      </c>
      <c r="C4220" t="s">
        <v>126</v>
      </c>
      <c r="D4220">
        <v>41</v>
      </c>
      <c r="E4220" t="s">
        <v>467</v>
      </c>
    </row>
    <row r="4221" spans="1:5" x14ac:dyDescent="0.35">
      <c r="A4221">
        <v>2011</v>
      </c>
      <c r="B4221" t="s">
        <v>35</v>
      </c>
      <c r="C4221" t="s">
        <v>127</v>
      </c>
      <c r="D4221">
        <v>470</v>
      </c>
      <c r="E4221" t="s">
        <v>467</v>
      </c>
    </row>
    <row r="4222" spans="1:5" x14ac:dyDescent="0.35">
      <c r="A4222">
        <v>2011</v>
      </c>
      <c r="B4222" t="s">
        <v>35</v>
      </c>
      <c r="C4222" t="s">
        <v>322</v>
      </c>
      <c r="D4222">
        <v>37</v>
      </c>
      <c r="E4222" t="s">
        <v>467</v>
      </c>
    </row>
    <row r="4223" spans="1:5" x14ac:dyDescent="0.35">
      <c r="A4223">
        <v>2011</v>
      </c>
      <c r="B4223" t="s">
        <v>33</v>
      </c>
      <c r="C4223" t="s">
        <v>129</v>
      </c>
      <c r="D4223">
        <v>40</v>
      </c>
      <c r="E4223" t="s">
        <v>467</v>
      </c>
    </row>
    <row r="4224" spans="1:5" x14ac:dyDescent="0.35">
      <c r="A4224">
        <v>2011</v>
      </c>
      <c r="B4224" t="s">
        <v>34</v>
      </c>
      <c r="C4224" t="s">
        <v>131</v>
      </c>
      <c r="D4224">
        <v>156</v>
      </c>
      <c r="E4224" t="s">
        <v>467</v>
      </c>
    </row>
    <row r="4225" spans="1:5" x14ac:dyDescent="0.35">
      <c r="A4225">
        <v>2011</v>
      </c>
      <c r="B4225" t="s">
        <v>34</v>
      </c>
      <c r="C4225" t="s">
        <v>389</v>
      </c>
      <c r="D4225">
        <v>58</v>
      </c>
      <c r="E4225" t="s">
        <v>467</v>
      </c>
    </row>
    <row r="4226" spans="1:5" x14ac:dyDescent="0.35">
      <c r="A4226">
        <v>2011</v>
      </c>
      <c r="B4226" t="s">
        <v>33</v>
      </c>
      <c r="C4226" t="s">
        <v>132</v>
      </c>
      <c r="D4226">
        <v>21</v>
      </c>
      <c r="E4226" t="s">
        <v>467</v>
      </c>
    </row>
    <row r="4227" spans="1:5" x14ac:dyDescent="0.35">
      <c r="A4227">
        <v>2011</v>
      </c>
      <c r="B4227" t="s">
        <v>35</v>
      </c>
      <c r="C4227" t="s">
        <v>133</v>
      </c>
      <c r="D4227">
        <v>14</v>
      </c>
      <c r="E4227" t="s">
        <v>467</v>
      </c>
    </row>
    <row r="4228" spans="1:5" x14ac:dyDescent="0.35">
      <c r="A4228">
        <v>2011</v>
      </c>
      <c r="B4228" t="s">
        <v>37</v>
      </c>
      <c r="C4228" t="s">
        <v>134</v>
      </c>
      <c r="E4228" t="s">
        <v>467</v>
      </c>
    </row>
    <row r="4229" spans="1:5" x14ac:dyDescent="0.35">
      <c r="A4229">
        <v>2011</v>
      </c>
      <c r="B4229" t="s">
        <v>33</v>
      </c>
      <c r="C4229" t="s">
        <v>136</v>
      </c>
      <c r="D4229">
        <v>246</v>
      </c>
      <c r="E4229" t="s">
        <v>467</v>
      </c>
    </row>
    <row r="4230" spans="1:5" x14ac:dyDescent="0.35">
      <c r="A4230">
        <v>2011</v>
      </c>
      <c r="B4230" t="s">
        <v>36</v>
      </c>
      <c r="C4230" t="s">
        <v>14</v>
      </c>
      <c r="D4230">
        <v>205158</v>
      </c>
      <c r="E4230" t="s">
        <v>467</v>
      </c>
    </row>
    <row r="4231" spans="1:5" x14ac:dyDescent="0.35">
      <c r="A4231">
        <v>2011</v>
      </c>
      <c r="B4231" t="s">
        <v>37</v>
      </c>
      <c r="C4231" t="s">
        <v>137</v>
      </c>
      <c r="D4231">
        <v>6</v>
      </c>
      <c r="E4231" t="s">
        <v>467</v>
      </c>
    </row>
    <row r="4232" spans="1:5" x14ac:dyDescent="0.35">
      <c r="A4232">
        <v>2011</v>
      </c>
      <c r="B4232" t="s">
        <v>35</v>
      </c>
      <c r="C4232" t="s">
        <v>138</v>
      </c>
      <c r="D4232">
        <v>64</v>
      </c>
      <c r="E4232" t="s">
        <v>467</v>
      </c>
    </row>
    <row r="4233" spans="1:5" x14ac:dyDescent="0.35">
      <c r="A4233">
        <v>2011</v>
      </c>
      <c r="B4233" t="s">
        <v>34</v>
      </c>
      <c r="C4233" t="s">
        <v>139</v>
      </c>
      <c r="D4233">
        <v>54</v>
      </c>
      <c r="E4233" t="s">
        <v>467</v>
      </c>
    </row>
    <row r="4234" spans="1:5" x14ac:dyDescent="0.35">
      <c r="A4234">
        <v>2011</v>
      </c>
      <c r="B4234" t="s">
        <v>35</v>
      </c>
      <c r="C4234" t="s">
        <v>140</v>
      </c>
      <c r="D4234">
        <v>13</v>
      </c>
      <c r="E4234" t="s">
        <v>467</v>
      </c>
    </row>
    <row r="4235" spans="1:5" x14ac:dyDescent="0.35">
      <c r="A4235">
        <v>2011</v>
      </c>
      <c r="B4235" t="s">
        <v>33</v>
      </c>
      <c r="C4235" t="s">
        <v>141</v>
      </c>
      <c r="D4235">
        <v>142</v>
      </c>
      <c r="E4235" t="s">
        <v>467</v>
      </c>
    </row>
    <row r="4236" spans="1:5" x14ac:dyDescent="0.35">
      <c r="A4236">
        <v>2011</v>
      </c>
      <c r="B4236" t="s">
        <v>34</v>
      </c>
      <c r="C4236" t="s">
        <v>144</v>
      </c>
      <c r="D4236">
        <v>63</v>
      </c>
      <c r="E4236" t="s">
        <v>467</v>
      </c>
    </row>
    <row r="4237" spans="1:5" x14ac:dyDescent="0.35">
      <c r="A4237">
        <v>2011</v>
      </c>
      <c r="B4237" t="s">
        <v>35</v>
      </c>
      <c r="C4237" t="s">
        <v>145</v>
      </c>
      <c r="D4237">
        <v>295</v>
      </c>
      <c r="E4237" t="s">
        <v>467</v>
      </c>
    </row>
    <row r="4238" spans="1:5" x14ac:dyDescent="0.35">
      <c r="A4238">
        <v>2011</v>
      </c>
      <c r="B4238" t="s">
        <v>36</v>
      </c>
      <c r="C4238" t="s">
        <v>371</v>
      </c>
      <c r="D4238">
        <v>7</v>
      </c>
      <c r="E4238" t="s">
        <v>467</v>
      </c>
    </row>
    <row r="4239" spans="1:5" x14ac:dyDescent="0.35">
      <c r="A4239">
        <v>2011</v>
      </c>
      <c r="B4239" t="s">
        <v>37</v>
      </c>
      <c r="C4239" t="s">
        <v>146</v>
      </c>
      <c r="D4239">
        <v>104</v>
      </c>
      <c r="E4239" t="s">
        <v>467</v>
      </c>
    </row>
    <row r="4240" spans="1:5" x14ac:dyDescent="0.35">
      <c r="A4240">
        <v>2011</v>
      </c>
      <c r="B4240" t="s">
        <v>36</v>
      </c>
      <c r="C4240" t="s">
        <v>147</v>
      </c>
      <c r="D4240">
        <v>217</v>
      </c>
      <c r="E4240" t="s">
        <v>467</v>
      </c>
    </row>
    <row r="4241" spans="1:5" x14ac:dyDescent="0.35">
      <c r="A4241">
        <v>2011</v>
      </c>
      <c r="B4241" t="s">
        <v>33</v>
      </c>
      <c r="C4241" t="s">
        <v>148</v>
      </c>
      <c r="D4241">
        <v>10</v>
      </c>
      <c r="E4241" t="s">
        <v>467</v>
      </c>
    </row>
    <row r="4242" spans="1:5" x14ac:dyDescent="0.35">
      <c r="A4242">
        <v>2011</v>
      </c>
      <c r="B4242" t="s">
        <v>33</v>
      </c>
      <c r="C4242" t="s">
        <v>149</v>
      </c>
      <c r="D4242">
        <v>292</v>
      </c>
      <c r="E4242" t="s">
        <v>467</v>
      </c>
    </row>
    <row r="4243" spans="1:5" x14ac:dyDescent="0.35">
      <c r="A4243">
        <v>2011</v>
      </c>
      <c r="B4243" t="s">
        <v>35</v>
      </c>
      <c r="C4243" t="s">
        <v>150</v>
      </c>
      <c r="D4243">
        <v>79</v>
      </c>
      <c r="E4243" t="s">
        <v>467</v>
      </c>
    </row>
    <row r="4244" spans="1:5" x14ac:dyDescent="0.35">
      <c r="A4244">
        <v>2011</v>
      </c>
      <c r="B4244" t="s">
        <v>34</v>
      </c>
      <c r="C4244" t="s">
        <v>152</v>
      </c>
      <c r="D4244">
        <v>586</v>
      </c>
      <c r="E4244" t="s">
        <v>467</v>
      </c>
    </row>
    <row r="4245" spans="1:5" x14ac:dyDescent="0.35">
      <c r="A4245">
        <v>2011</v>
      </c>
      <c r="B4245" t="s">
        <v>37</v>
      </c>
      <c r="C4245" t="s">
        <v>153</v>
      </c>
      <c r="D4245">
        <v>7</v>
      </c>
      <c r="E4245" t="s">
        <v>467</v>
      </c>
    </row>
    <row r="4246" spans="1:5" x14ac:dyDescent="0.35">
      <c r="A4246">
        <v>2011</v>
      </c>
      <c r="B4246" t="s">
        <v>36</v>
      </c>
      <c r="C4246" t="s">
        <v>154</v>
      </c>
      <c r="D4246">
        <v>98</v>
      </c>
      <c r="E4246" t="s">
        <v>467</v>
      </c>
    </row>
    <row r="4247" spans="1:5" x14ac:dyDescent="0.35">
      <c r="A4247">
        <v>2011</v>
      </c>
      <c r="B4247" t="s">
        <v>38</v>
      </c>
      <c r="C4247" t="s">
        <v>155</v>
      </c>
      <c r="D4247">
        <v>9</v>
      </c>
      <c r="E4247" t="s">
        <v>467</v>
      </c>
    </row>
    <row r="4248" spans="1:5" x14ac:dyDescent="0.35">
      <c r="A4248">
        <v>2011</v>
      </c>
      <c r="B4248" t="s">
        <v>38</v>
      </c>
      <c r="C4248" t="s">
        <v>156</v>
      </c>
      <c r="D4248">
        <v>521</v>
      </c>
      <c r="E4248" t="s">
        <v>467</v>
      </c>
    </row>
    <row r="4249" spans="1:5" x14ac:dyDescent="0.35">
      <c r="A4249">
        <v>2011</v>
      </c>
      <c r="B4249" t="s">
        <v>34</v>
      </c>
      <c r="C4249" t="s">
        <v>18</v>
      </c>
      <c r="D4249">
        <v>23150</v>
      </c>
      <c r="E4249" t="s">
        <v>467</v>
      </c>
    </row>
    <row r="4250" spans="1:5" x14ac:dyDescent="0.35">
      <c r="A4250">
        <v>2011</v>
      </c>
      <c r="B4250" t="s">
        <v>35</v>
      </c>
      <c r="C4250" t="s">
        <v>157</v>
      </c>
      <c r="D4250">
        <v>888</v>
      </c>
      <c r="E4250" t="s">
        <v>467</v>
      </c>
    </row>
    <row r="4251" spans="1:5" x14ac:dyDescent="0.35">
      <c r="A4251">
        <v>2011</v>
      </c>
      <c r="B4251" t="s">
        <v>35</v>
      </c>
      <c r="C4251" t="s">
        <v>158</v>
      </c>
      <c r="D4251">
        <v>205</v>
      </c>
      <c r="E4251" t="s">
        <v>467</v>
      </c>
    </row>
    <row r="4252" spans="1:5" x14ac:dyDescent="0.35">
      <c r="A4252">
        <v>2011</v>
      </c>
      <c r="B4252" t="s">
        <v>34</v>
      </c>
      <c r="C4252" t="s">
        <v>159</v>
      </c>
      <c r="D4252">
        <v>3</v>
      </c>
      <c r="E4252" t="s">
        <v>467</v>
      </c>
    </row>
    <row r="4253" spans="1:5" x14ac:dyDescent="0.35">
      <c r="A4253">
        <v>2011</v>
      </c>
      <c r="B4253" t="s">
        <v>35</v>
      </c>
      <c r="C4253" t="s">
        <v>160</v>
      </c>
      <c r="D4253">
        <v>808</v>
      </c>
      <c r="E4253" t="s">
        <v>467</v>
      </c>
    </row>
    <row r="4254" spans="1:5" x14ac:dyDescent="0.35">
      <c r="A4254">
        <v>2011</v>
      </c>
      <c r="B4254" t="s">
        <v>35</v>
      </c>
      <c r="C4254" t="s">
        <v>161</v>
      </c>
      <c r="D4254">
        <v>3512</v>
      </c>
      <c r="E4254" t="s">
        <v>467</v>
      </c>
    </row>
    <row r="4255" spans="1:5" x14ac:dyDescent="0.35">
      <c r="A4255">
        <v>2011</v>
      </c>
      <c r="B4255" t="s">
        <v>33</v>
      </c>
      <c r="C4255" t="s">
        <v>162</v>
      </c>
      <c r="D4255">
        <v>18</v>
      </c>
      <c r="E4255" t="s">
        <v>467</v>
      </c>
    </row>
    <row r="4256" spans="1:5" x14ac:dyDescent="0.35">
      <c r="A4256">
        <v>2011</v>
      </c>
      <c r="B4256" t="s">
        <v>36</v>
      </c>
      <c r="C4256" t="s">
        <v>163</v>
      </c>
      <c r="D4256">
        <v>22</v>
      </c>
      <c r="E4256" t="s">
        <v>467</v>
      </c>
    </row>
    <row r="4257" spans="1:5" x14ac:dyDescent="0.35">
      <c r="A4257">
        <v>2011</v>
      </c>
      <c r="B4257" t="s">
        <v>36</v>
      </c>
      <c r="C4257" t="s">
        <v>164</v>
      </c>
      <c r="D4257">
        <v>39</v>
      </c>
      <c r="E4257" t="s">
        <v>467</v>
      </c>
    </row>
    <row r="4258" spans="1:5" x14ac:dyDescent="0.35">
      <c r="A4258">
        <v>2011</v>
      </c>
      <c r="B4258" t="s">
        <v>36</v>
      </c>
      <c r="C4258" t="s">
        <v>165</v>
      </c>
      <c r="D4258">
        <v>44</v>
      </c>
      <c r="E4258" t="s">
        <v>467</v>
      </c>
    </row>
    <row r="4259" spans="1:5" x14ac:dyDescent="0.35">
      <c r="A4259">
        <v>2011</v>
      </c>
      <c r="B4259" t="s">
        <v>37</v>
      </c>
      <c r="C4259" t="s">
        <v>166</v>
      </c>
      <c r="D4259">
        <v>10</v>
      </c>
      <c r="E4259" t="s">
        <v>467</v>
      </c>
    </row>
    <row r="4260" spans="1:5" x14ac:dyDescent="0.35">
      <c r="A4260">
        <v>2011</v>
      </c>
      <c r="B4260" t="s">
        <v>34</v>
      </c>
      <c r="C4260" t="s">
        <v>167</v>
      </c>
      <c r="D4260">
        <v>291</v>
      </c>
      <c r="E4260" t="s">
        <v>467</v>
      </c>
    </row>
    <row r="4261" spans="1:5" x14ac:dyDescent="0.35">
      <c r="A4261">
        <v>2011</v>
      </c>
      <c r="B4261" t="s">
        <v>33</v>
      </c>
      <c r="C4261" t="s">
        <v>168</v>
      </c>
      <c r="D4261">
        <v>56</v>
      </c>
      <c r="E4261" t="s">
        <v>467</v>
      </c>
    </row>
    <row r="4262" spans="1:5" x14ac:dyDescent="0.35">
      <c r="A4262">
        <v>2011</v>
      </c>
      <c r="B4262" t="s">
        <v>35</v>
      </c>
      <c r="C4262" t="s">
        <v>169</v>
      </c>
      <c r="D4262">
        <v>33</v>
      </c>
      <c r="E4262" t="s">
        <v>467</v>
      </c>
    </row>
    <row r="4263" spans="1:5" x14ac:dyDescent="0.35">
      <c r="A4263">
        <v>2011</v>
      </c>
      <c r="B4263" t="s">
        <v>35</v>
      </c>
      <c r="C4263" t="s">
        <v>215</v>
      </c>
      <c r="D4263">
        <v>48</v>
      </c>
      <c r="E4263" t="s">
        <v>467</v>
      </c>
    </row>
    <row r="4264" spans="1:5" x14ac:dyDescent="0.35">
      <c r="A4264">
        <v>2011</v>
      </c>
      <c r="B4264" t="s">
        <v>33</v>
      </c>
      <c r="C4264" t="s">
        <v>170</v>
      </c>
      <c r="D4264">
        <v>28</v>
      </c>
      <c r="E4264" t="s">
        <v>467</v>
      </c>
    </row>
    <row r="4265" spans="1:5" x14ac:dyDescent="0.35">
      <c r="A4265">
        <v>2011</v>
      </c>
      <c r="B4265" t="s">
        <v>34</v>
      </c>
      <c r="C4265" t="s">
        <v>171</v>
      </c>
      <c r="D4265">
        <v>68</v>
      </c>
      <c r="E4265" t="s">
        <v>467</v>
      </c>
    </row>
    <row r="4266" spans="1:5" x14ac:dyDescent="0.35">
      <c r="A4266">
        <v>2011</v>
      </c>
      <c r="B4266" t="s">
        <v>35</v>
      </c>
      <c r="C4266" t="s">
        <v>172</v>
      </c>
      <c r="D4266">
        <v>83</v>
      </c>
      <c r="E4266" t="s">
        <v>467</v>
      </c>
    </row>
    <row r="4267" spans="1:5" x14ac:dyDescent="0.35">
      <c r="A4267">
        <v>2011</v>
      </c>
      <c r="B4267" t="s">
        <v>35</v>
      </c>
      <c r="C4267" t="s">
        <v>173</v>
      </c>
      <c r="D4267">
        <v>15</v>
      </c>
      <c r="E4267" t="s">
        <v>467</v>
      </c>
    </row>
    <row r="4268" spans="1:5" x14ac:dyDescent="0.35">
      <c r="A4268">
        <v>2011</v>
      </c>
      <c r="B4268" t="s">
        <v>37</v>
      </c>
      <c r="C4268" t="s">
        <v>388</v>
      </c>
      <c r="D4268">
        <v>5</v>
      </c>
      <c r="E4268" t="s">
        <v>467</v>
      </c>
    </row>
    <row r="4269" spans="1:5" x14ac:dyDescent="0.35">
      <c r="A4269">
        <v>2011</v>
      </c>
      <c r="B4269" t="s">
        <v>33</v>
      </c>
      <c r="C4269" t="s">
        <v>174</v>
      </c>
      <c r="D4269">
        <v>10</v>
      </c>
      <c r="E4269" t="s">
        <v>467</v>
      </c>
    </row>
    <row r="4270" spans="1:5" x14ac:dyDescent="0.35">
      <c r="A4270">
        <v>2011</v>
      </c>
      <c r="B4270" t="s">
        <v>33</v>
      </c>
      <c r="C4270" t="s">
        <v>175</v>
      </c>
      <c r="D4270">
        <v>101</v>
      </c>
      <c r="E4270" t="s">
        <v>467</v>
      </c>
    </row>
    <row r="4271" spans="1:5" x14ac:dyDescent="0.35">
      <c r="A4271">
        <v>2011</v>
      </c>
      <c r="B4271" t="s">
        <v>35</v>
      </c>
      <c r="C4271" t="s">
        <v>216</v>
      </c>
      <c r="D4271">
        <v>61</v>
      </c>
      <c r="E4271" t="s">
        <v>467</v>
      </c>
    </row>
    <row r="4272" spans="1:5" x14ac:dyDescent="0.35">
      <c r="A4272">
        <v>2011</v>
      </c>
      <c r="B4272" t="s">
        <v>35</v>
      </c>
      <c r="C4272" t="s">
        <v>177</v>
      </c>
      <c r="D4272">
        <v>649</v>
      </c>
      <c r="E4272" t="s">
        <v>467</v>
      </c>
    </row>
    <row r="4273" spans="1:5" x14ac:dyDescent="0.35">
      <c r="A4273">
        <v>2011</v>
      </c>
      <c r="B4273" t="s">
        <v>34</v>
      </c>
      <c r="C4273" t="s">
        <v>178</v>
      </c>
      <c r="D4273">
        <v>182</v>
      </c>
      <c r="E4273" t="s">
        <v>467</v>
      </c>
    </row>
    <row r="4274" spans="1:5" x14ac:dyDescent="0.35">
      <c r="A4274">
        <v>2011</v>
      </c>
      <c r="B4274" t="s">
        <v>33</v>
      </c>
      <c r="C4274" t="s">
        <v>179</v>
      </c>
      <c r="D4274">
        <v>33</v>
      </c>
      <c r="E4274" t="s">
        <v>467</v>
      </c>
    </row>
    <row r="4275" spans="1:5" x14ac:dyDescent="0.35">
      <c r="A4275">
        <v>2011</v>
      </c>
      <c r="B4275" t="s">
        <v>35</v>
      </c>
      <c r="C4275" t="s">
        <v>182</v>
      </c>
      <c r="D4275">
        <v>145</v>
      </c>
      <c r="E4275" t="s">
        <v>467</v>
      </c>
    </row>
    <row r="4276" spans="1:5" x14ac:dyDescent="0.35">
      <c r="A4276">
        <v>2011</v>
      </c>
      <c r="B4276" t="s">
        <v>35</v>
      </c>
      <c r="C4276" t="s">
        <v>183</v>
      </c>
      <c r="D4276">
        <v>87</v>
      </c>
      <c r="E4276" t="s">
        <v>467</v>
      </c>
    </row>
    <row r="4277" spans="1:5" x14ac:dyDescent="0.35">
      <c r="A4277">
        <v>2011</v>
      </c>
      <c r="B4277" t="s">
        <v>34</v>
      </c>
      <c r="C4277" t="s">
        <v>184</v>
      </c>
      <c r="D4277">
        <v>71</v>
      </c>
      <c r="E4277" t="s">
        <v>467</v>
      </c>
    </row>
    <row r="4278" spans="1:5" x14ac:dyDescent="0.35">
      <c r="A4278">
        <v>2011</v>
      </c>
      <c r="B4278" t="s">
        <v>34</v>
      </c>
      <c r="C4278" t="s">
        <v>185</v>
      </c>
      <c r="D4278">
        <v>286</v>
      </c>
      <c r="E4278" t="s">
        <v>467</v>
      </c>
    </row>
    <row r="4279" spans="1:5" x14ac:dyDescent="0.35">
      <c r="A4279">
        <v>2011</v>
      </c>
      <c r="B4279" t="s">
        <v>34</v>
      </c>
      <c r="C4279" t="s">
        <v>186</v>
      </c>
      <c r="D4279">
        <v>22</v>
      </c>
      <c r="E4279" t="s">
        <v>467</v>
      </c>
    </row>
    <row r="4280" spans="1:5" x14ac:dyDescent="0.35">
      <c r="A4280">
        <v>2011</v>
      </c>
      <c r="B4280" t="s">
        <v>33</v>
      </c>
      <c r="C4280" t="s">
        <v>187</v>
      </c>
      <c r="D4280">
        <v>149</v>
      </c>
      <c r="E4280" t="s">
        <v>467</v>
      </c>
    </row>
    <row r="4281" spans="1:5" x14ac:dyDescent="0.35">
      <c r="A4281">
        <v>2011</v>
      </c>
      <c r="B4281" t="s">
        <v>34</v>
      </c>
      <c r="C4281" t="s">
        <v>188</v>
      </c>
      <c r="D4281">
        <v>530</v>
      </c>
      <c r="E4281" t="s">
        <v>467</v>
      </c>
    </row>
    <row r="4282" spans="1:5" x14ac:dyDescent="0.35">
      <c r="A4282">
        <v>2011</v>
      </c>
      <c r="B4282" t="s">
        <v>33</v>
      </c>
      <c r="C4282" t="s">
        <v>189</v>
      </c>
      <c r="D4282">
        <v>19</v>
      </c>
      <c r="E4282" t="s">
        <v>467</v>
      </c>
    </row>
    <row r="4283" spans="1:5" x14ac:dyDescent="0.35">
      <c r="A4283">
        <v>2011</v>
      </c>
      <c r="B4283" t="s">
        <v>37</v>
      </c>
      <c r="C4283" t="s">
        <v>190</v>
      </c>
      <c r="D4283">
        <v>12</v>
      </c>
      <c r="E4283" t="s">
        <v>467</v>
      </c>
    </row>
    <row r="4284" spans="1:5" x14ac:dyDescent="0.35">
      <c r="A4284">
        <v>2011</v>
      </c>
      <c r="B4284" t="s">
        <v>36</v>
      </c>
      <c r="C4284" t="s">
        <v>191</v>
      </c>
      <c r="D4284">
        <v>130</v>
      </c>
      <c r="E4284" t="s">
        <v>467</v>
      </c>
    </row>
    <row r="4285" spans="1:5" x14ac:dyDescent="0.35">
      <c r="A4285">
        <v>2011</v>
      </c>
      <c r="B4285" t="s">
        <v>33</v>
      </c>
      <c r="C4285" t="s">
        <v>192</v>
      </c>
      <c r="D4285">
        <v>35</v>
      </c>
      <c r="E4285" t="s">
        <v>467</v>
      </c>
    </row>
    <row r="4286" spans="1:5" x14ac:dyDescent="0.35">
      <c r="A4286">
        <v>2011</v>
      </c>
      <c r="B4286" t="s">
        <v>34</v>
      </c>
      <c r="C4286" t="s">
        <v>193</v>
      </c>
      <c r="D4286">
        <v>1879</v>
      </c>
      <c r="E4286" t="s">
        <v>467</v>
      </c>
    </row>
    <row r="4287" spans="1:5" x14ac:dyDescent="0.35">
      <c r="A4287">
        <v>2011</v>
      </c>
      <c r="B4287" t="s">
        <v>36</v>
      </c>
      <c r="C4287" t="s">
        <v>372</v>
      </c>
      <c r="D4287">
        <v>14</v>
      </c>
      <c r="E4287" t="s">
        <v>467</v>
      </c>
    </row>
    <row r="4288" spans="1:5" x14ac:dyDescent="0.35">
      <c r="A4288">
        <v>2011</v>
      </c>
      <c r="B4288" t="s">
        <v>37</v>
      </c>
      <c r="C4288" t="s">
        <v>387</v>
      </c>
      <c r="D4288">
        <v>5</v>
      </c>
      <c r="E4288" t="s">
        <v>467</v>
      </c>
    </row>
    <row r="4289" spans="1:5" x14ac:dyDescent="0.35">
      <c r="A4289">
        <v>2011</v>
      </c>
      <c r="B4289" t="s">
        <v>33</v>
      </c>
      <c r="C4289" t="s">
        <v>195</v>
      </c>
      <c r="D4289">
        <v>42</v>
      </c>
      <c r="E4289" t="s">
        <v>467</v>
      </c>
    </row>
    <row r="4290" spans="1:5" x14ac:dyDescent="0.35">
      <c r="A4290">
        <v>2011</v>
      </c>
      <c r="B4290" t="s">
        <v>35</v>
      </c>
      <c r="C4290" t="s">
        <v>196</v>
      </c>
      <c r="D4290">
        <v>4111</v>
      </c>
      <c r="E4290" t="s">
        <v>467</v>
      </c>
    </row>
    <row r="4291" spans="1:5" x14ac:dyDescent="0.35">
      <c r="A4291">
        <v>2011</v>
      </c>
      <c r="B4291" t="s">
        <v>34</v>
      </c>
      <c r="C4291" t="s">
        <v>197</v>
      </c>
      <c r="D4291">
        <v>8</v>
      </c>
      <c r="E4291" t="s">
        <v>467</v>
      </c>
    </row>
    <row r="4292" spans="1:5" x14ac:dyDescent="0.35">
      <c r="A4292">
        <v>2011</v>
      </c>
      <c r="B4292" t="s">
        <v>35</v>
      </c>
      <c r="C4292" t="s">
        <v>198</v>
      </c>
      <c r="D4292">
        <v>1604</v>
      </c>
      <c r="E4292" t="s">
        <v>467</v>
      </c>
    </row>
    <row r="4293" spans="1:5" x14ac:dyDescent="0.35">
      <c r="A4293">
        <v>2011</v>
      </c>
      <c r="B4293" t="s">
        <v>39</v>
      </c>
      <c r="C4293" t="s">
        <v>39</v>
      </c>
      <c r="D4293">
        <v>290</v>
      </c>
      <c r="E4293" t="s">
        <v>467</v>
      </c>
    </row>
    <row r="4294" spans="1:5" x14ac:dyDescent="0.35">
      <c r="A4294">
        <v>2011</v>
      </c>
      <c r="B4294" t="s">
        <v>38</v>
      </c>
      <c r="C4294" t="s">
        <v>199</v>
      </c>
      <c r="D4294">
        <v>30</v>
      </c>
      <c r="E4294" t="s">
        <v>467</v>
      </c>
    </row>
    <row r="4295" spans="1:5" x14ac:dyDescent="0.35">
      <c r="A4295">
        <v>2011</v>
      </c>
      <c r="B4295" t="s">
        <v>34</v>
      </c>
      <c r="C4295" t="s">
        <v>200</v>
      </c>
      <c r="D4295">
        <v>39</v>
      </c>
      <c r="E4295" t="s">
        <v>467</v>
      </c>
    </row>
    <row r="4296" spans="1:5" x14ac:dyDescent="0.35">
      <c r="A4296">
        <v>2011</v>
      </c>
      <c r="B4296" t="s">
        <v>38</v>
      </c>
      <c r="C4296" t="s">
        <v>19</v>
      </c>
      <c r="D4296">
        <v>216</v>
      </c>
      <c r="E4296" t="s">
        <v>467</v>
      </c>
    </row>
    <row r="4297" spans="1:5" x14ac:dyDescent="0.35">
      <c r="A4297">
        <v>2011</v>
      </c>
      <c r="B4297" t="s">
        <v>34</v>
      </c>
      <c r="C4297" t="s">
        <v>201</v>
      </c>
      <c r="D4297">
        <v>839</v>
      </c>
      <c r="E4297" t="s">
        <v>467</v>
      </c>
    </row>
    <row r="4298" spans="1:5" x14ac:dyDescent="0.35">
      <c r="A4298">
        <v>2011</v>
      </c>
      <c r="B4298" t="s">
        <v>34</v>
      </c>
      <c r="C4298" t="s">
        <v>202</v>
      </c>
      <c r="D4298">
        <v>23</v>
      </c>
      <c r="E4298" t="s">
        <v>467</v>
      </c>
    </row>
    <row r="4299" spans="1:5" x14ac:dyDescent="0.35">
      <c r="A4299">
        <v>2011</v>
      </c>
      <c r="B4299" t="s">
        <v>33</v>
      </c>
      <c r="C4299" t="s">
        <v>203</v>
      </c>
      <c r="D4299">
        <v>15</v>
      </c>
      <c r="E4299" t="s">
        <v>467</v>
      </c>
    </row>
    <row r="4300" spans="1:5" x14ac:dyDescent="0.35">
      <c r="A4300">
        <v>2011</v>
      </c>
      <c r="B4300" t="s">
        <v>33</v>
      </c>
      <c r="C4300" t="s">
        <v>204</v>
      </c>
      <c r="D4300">
        <v>33</v>
      </c>
      <c r="E4300" t="s">
        <v>467</v>
      </c>
    </row>
    <row r="4301" spans="1:5" x14ac:dyDescent="0.35">
      <c r="A4301">
        <v>2011</v>
      </c>
      <c r="B4301" t="s">
        <v>34</v>
      </c>
      <c r="C4301" t="s">
        <v>40</v>
      </c>
      <c r="D4301">
        <v>111</v>
      </c>
      <c r="E4301" t="s">
        <v>466</v>
      </c>
    </row>
    <row r="4302" spans="1:5" x14ac:dyDescent="0.35">
      <c r="A4302">
        <v>2011</v>
      </c>
      <c r="B4302" t="s">
        <v>35</v>
      </c>
      <c r="C4302" t="s">
        <v>41</v>
      </c>
      <c r="D4302">
        <v>258</v>
      </c>
      <c r="E4302" t="s">
        <v>466</v>
      </c>
    </row>
    <row r="4303" spans="1:5" x14ac:dyDescent="0.35">
      <c r="A4303">
        <v>2011</v>
      </c>
      <c r="B4303" t="s">
        <v>33</v>
      </c>
      <c r="C4303" t="s">
        <v>42</v>
      </c>
      <c r="D4303">
        <v>36</v>
      </c>
      <c r="E4303" t="s">
        <v>466</v>
      </c>
    </row>
    <row r="4304" spans="1:5" x14ac:dyDescent="0.35">
      <c r="A4304">
        <v>2011</v>
      </c>
      <c r="C4304" t="s">
        <v>373</v>
      </c>
      <c r="D4304">
        <v>68</v>
      </c>
      <c r="E4304" t="s">
        <v>466</v>
      </c>
    </row>
    <row r="4305" spans="1:5" x14ac:dyDescent="0.35">
      <c r="A4305">
        <v>2011</v>
      </c>
      <c r="B4305" t="s">
        <v>33</v>
      </c>
      <c r="C4305" t="s">
        <v>43</v>
      </c>
      <c r="D4305">
        <v>28</v>
      </c>
      <c r="E4305" t="s">
        <v>466</v>
      </c>
    </row>
    <row r="4306" spans="1:5" x14ac:dyDescent="0.35">
      <c r="A4306">
        <v>2011</v>
      </c>
      <c r="B4306" t="s">
        <v>36</v>
      </c>
      <c r="C4306" t="s">
        <v>44</v>
      </c>
      <c r="D4306">
        <v>47</v>
      </c>
      <c r="E4306" t="s">
        <v>466</v>
      </c>
    </row>
    <row r="4307" spans="1:5" x14ac:dyDescent="0.35">
      <c r="A4307">
        <v>2011</v>
      </c>
      <c r="B4307" t="s">
        <v>38</v>
      </c>
      <c r="C4307" t="s">
        <v>45</v>
      </c>
      <c r="D4307">
        <v>421</v>
      </c>
      <c r="E4307" t="s">
        <v>466</v>
      </c>
    </row>
    <row r="4308" spans="1:5" x14ac:dyDescent="0.35">
      <c r="A4308">
        <v>2011</v>
      </c>
      <c r="B4308" t="s">
        <v>34</v>
      </c>
      <c r="C4308" t="s">
        <v>46</v>
      </c>
      <c r="D4308">
        <v>232</v>
      </c>
      <c r="E4308" t="s">
        <v>466</v>
      </c>
    </row>
    <row r="4309" spans="1:5" x14ac:dyDescent="0.35">
      <c r="A4309">
        <v>2011</v>
      </c>
      <c r="B4309" t="s">
        <v>37</v>
      </c>
      <c r="C4309" t="s">
        <v>47</v>
      </c>
      <c r="D4309">
        <v>75</v>
      </c>
      <c r="E4309" t="s">
        <v>466</v>
      </c>
    </row>
    <row r="4310" spans="1:5" x14ac:dyDescent="0.35">
      <c r="A4310">
        <v>2011</v>
      </c>
      <c r="B4310" t="s">
        <v>35</v>
      </c>
      <c r="C4310" t="s">
        <v>48</v>
      </c>
      <c r="D4310">
        <v>23</v>
      </c>
      <c r="E4310" t="s">
        <v>466</v>
      </c>
    </row>
    <row r="4311" spans="1:5" x14ac:dyDescent="0.35">
      <c r="A4311">
        <v>2011</v>
      </c>
      <c r="B4311" t="s">
        <v>34</v>
      </c>
      <c r="C4311" t="s">
        <v>49</v>
      </c>
      <c r="D4311">
        <v>37</v>
      </c>
      <c r="E4311" t="s">
        <v>466</v>
      </c>
    </row>
    <row r="4312" spans="1:5" x14ac:dyDescent="0.35">
      <c r="A4312">
        <v>2011</v>
      </c>
      <c r="B4312" t="s">
        <v>36</v>
      </c>
      <c r="C4312" t="s">
        <v>50</v>
      </c>
      <c r="D4312">
        <v>311</v>
      </c>
      <c r="E4312" t="s">
        <v>466</v>
      </c>
    </row>
    <row r="4313" spans="1:5" x14ac:dyDescent="0.35">
      <c r="A4313">
        <v>2011</v>
      </c>
      <c r="B4313" t="s">
        <v>34</v>
      </c>
      <c r="C4313" t="s">
        <v>51</v>
      </c>
      <c r="D4313">
        <v>3</v>
      </c>
      <c r="E4313" t="s">
        <v>466</v>
      </c>
    </row>
    <row r="4314" spans="1:5" x14ac:dyDescent="0.35">
      <c r="A4314">
        <v>2011</v>
      </c>
      <c r="B4314" t="s">
        <v>34</v>
      </c>
      <c r="C4314" t="s">
        <v>52</v>
      </c>
      <c r="D4314">
        <v>272</v>
      </c>
      <c r="E4314" t="s">
        <v>466</v>
      </c>
    </row>
    <row r="4315" spans="1:5" x14ac:dyDescent="0.35">
      <c r="A4315">
        <v>2011</v>
      </c>
      <c r="B4315" t="s">
        <v>36</v>
      </c>
      <c r="C4315" t="s">
        <v>53</v>
      </c>
      <c r="D4315">
        <v>77</v>
      </c>
      <c r="E4315" t="s">
        <v>466</v>
      </c>
    </row>
    <row r="4316" spans="1:5" x14ac:dyDescent="0.35">
      <c r="A4316">
        <v>2011</v>
      </c>
      <c r="B4316" t="s">
        <v>35</v>
      </c>
      <c r="C4316" t="s">
        <v>54</v>
      </c>
      <c r="D4316">
        <v>58</v>
      </c>
      <c r="E4316" t="s">
        <v>466</v>
      </c>
    </row>
    <row r="4317" spans="1:5" x14ac:dyDescent="0.35">
      <c r="A4317">
        <v>2011</v>
      </c>
      <c r="B4317" t="s">
        <v>35</v>
      </c>
      <c r="C4317" t="s">
        <v>55</v>
      </c>
      <c r="D4317">
        <v>35</v>
      </c>
      <c r="E4317" t="s">
        <v>466</v>
      </c>
    </row>
    <row r="4318" spans="1:5" x14ac:dyDescent="0.35">
      <c r="A4318">
        <v>2011</v>
      </c>
      <c r="B4318" t="s">
        <v>36</v>
      </c>
      <c r="C4318" t="s">
        <v>56</v>
      </c>
      <c r="D4318">
        <v>361</v>
      </c>
      <c r="E4318" t="s">
        <v>466</v>
      </c>
    </row>
    <row r="4319" spans="1:5" x14ac:dyDescent="0.35">
      <c r="A4319">
        <v>2011</v>
      </c>
      <c r="B4319" t="s">
        <v>33</v>
      </c>
      <c r="C4319" t="s">
        <v>57</v>
      </c>
      <c r="D4319">
        <v>18</v>
      </c>
      <c r="E4319" t="s">
        <v>466</v>
      </c>
    </row>
    <row r="4320" spans="1:5" x14ac:dyDescent="0.35">
      <c r="A4320">
        <v>2011</v>
      </c>
      <c r="B4320" t="s">
        <v>36</v>
      </c>
      <c r="C4320" t="s">
        <v>363</v>
      </c>
      <c r="D4320">
        <v>23</v>
      </c>
      <c r="E4320" t="s">
        <v>466</v>
      </c>
    </row>
    <row r="4321" spans="1:5" x14ac:dyDescent="0.35">
      <c r="A4321">
        <v>2011</v>
      </c>
      <c r="B4321" t="s">
        <v>38</v>
      </c>
      <c r="C4321" t="s">
        <v>59</v>
      </c>
      <c r="D4321">
        <v>387</v>
      </c>
      <c r="E4321" t="s">
        <v>466</v>
      </c>
    </row>
    <row r="4322" spans="1:5" x14ac:dyDescent="0.35">
      <c r="A4322">
        <v>2011</v>
      </c>
      <c r="B4322" t="s">
        <v>35</v>
      </c>
      <c r="C4322" t="s">
        <v>60</v>
      </c>
      <c r="D4322">
        <v>201</v>
      </c>
      <c r="E4322" t="s">
        <v>466</v>
      </c>
    </row>
    <row r="4323" spans="1:5" x14ac:dyDescent="0.35">
      <c r="A4323">
        <v>2011</v>
      </c>
      <c r="B4323" t="s">
        <v>38</v>
      </c>
      <c r="C4323" t="s">
        <v>21</v>
      </c>
      <c r="D4323">
        <v>3228</v>
      </c>
      <c r="E4323" t="s">
        <v>466</v>
      </c>
    </row>
    <row r="4324" spans="1:5" x14ac:dyDescent="0.35">
      <c r="A4324">
        <v>2011</v>
      </c>
      <c r="B4324" t="s">
        <v>36</v>
      </c>
      <c r="C4324" t="s">
        <v>364</v>
      </c>
      <c r="D4324">
        <v>12</v>
      </c>
      <c r="E4324" t="s">
        <v>466</v>
      </c>
    </row>
    <row r="4325" spans="1:5" x14ac:dyDescent="0.35">
      <c r="A4325">
        <v>2011</v>
      </c>
      <c r="B4325" t="s">
        <v>35</v>
      </c>
      <c r="C4325" t="s">
        <v>62</v>
      </c>
      <c r="D4325">
        <v>95</v>
      </c>
      <c r="E4325" t="s">
        <v>466</v>
      </c>
    </row>
    <row r="4326" spans="1:5" x14ac:dyDescent="0.35">
      <c r="A4326">
        <v>2011</v>
      </c>
      <c r="B4326" t="s">
        <v>33</v>
      </c>
      <c r="C4326" t="s">
        <v>63</v>
      </c>
      <c r="D4326">
        <v>20</v>
      </c>
      <c r="E4326" t="s">
        <v>466</v>
      </c>
    </row>
    <row r="4327" spans="1:5" x14ac:dyDescent="0.35">
      <c r="A4327">
        <v>2011</v>
      </c>
      <c r="B4327" t="s">
        <v>34</v>
      </c>
      <c r="C4327" t="s">
        <v>64</v>
      </c>
      <c r="D4327">
        <v>35</v>
      </c>
      <c r="E4327" t="s">
        <v>466</v>
      </c>
    </row>
    <row r="4328" spans="1:5" x14ac:dyDescent="0.35">
      <c r="A4328">
        <v>2011</v>
      </c>
      <c r="B4328" t="s">
        <v>33</v>
      </c>
      <c r="C4328" t="s">
        <v>65</v>
      </c>
      <c r="D4328">
        <v>17</v>
      </c>
      <c r="E4328" t="s">
        <v>466</v>
      </c>
    </row>
    <row r="4329" spans="1:5" x14ac:dyDescent="0.35">
      <c r="A4329">
        <v>2011</v>
      </c>
      <c r="B4329" t="s">
        <v>33</v>
      </c>
      <c r="C4329" t="s">
        <v>66</v>
      </c>
      <c r="D4329">
        <v>347</v>
      </c>
      <c r="E4329" t="s">
        <v>466</v>
      </c>
    </row>
    <row r="4330" spans="1:5" x14ac:dyDescent="0.35">
      <c r="A4330">
        <v>2011</v>
      </c>
      <c r="B4330" t="s">
        <v>34</v>
      </c>
      <c r="C4330" t="s">
        <v>67</v>
      </c>
      <c r="D4330">
        <v>164</v>
      </c>
      <c r="E4330" t="s">
        <v>466</v>
      </c>
    </row>
    <row r="4331" spans="1:5" x14ac:dyDescent="0.35">
      <c r="A4331">
        <v>2011</v>
      </c>
      <c r="B4331" t="s">
        <v>33</v>
      </c>
      <c r="C4331" t="s">
        <v>68</v>
      </c>
      <c r="D4331">
        <v>1131</v>
      </c>
      <c r="E4331" t="s">
        <v>466</v>
      </c>
    </row>
    <row r="4332" spans="1:5" x14ac:dyDescent="0.35">
      <c r="A4332">
        <v>2011</v>
      </c>
      <c r="B4332" t="s">
        <v>36</v>
      </c>
      <c r="C4332" t="s">
        <v>69</v>
      </c>
      <c r="D4332">
        <v>105</v>
      </c>
      <c r="E4332" t="s">
        <v>466</v>
      </c>
    </row>
    <row r="4333" spans="1:5" x14ac:dyDescent="0.35">
      <c r="A4333">
        <v>2011</v>
      </c>
      <c r="B4333" t="s">
        <v>36</v>
      </c>
      <c r="C4333" t="s">
        <v>365</v>
      </c>
      <c r="D4333">
        <v>6</v>
      </c>
      <c r="E4333" t="s">
        <v>466</v>
      </c>
    </row>
    <row r="4334" spans="1:5" x14ac:dyDescent="0.35">
      <c r="A4334">
        <v>2011</v>
      </c>
      <c r="B4334" t="s">
        <v>33</v>
      </c>
      <c r="C4334" t="s">
        <v>70</v>
      </c>
      <c r="D4334">
        <v>10</v>
      </c>
      <c r="E4334" t="s">
        <v>466</v>
      </c>
    </row>
    <row r="4335" spans="1:5" x14ac:dyDescent="0.35">
      <c r="A4335">
        <v>2011</v>
      </c>
      <c r="B4335" t="s">
        <v>33</v>
      </c>
      <c r="C4335" t="s">
        <v>71</v>
      </c>
      <c r="D4335">
        <v>8</v>
      </c>
      <c r="E4335" t="s">
        <v>466</v>
      </c>
    </row>
    <row r="4336" spans="1:5" x14ac:dyDescent="0.35">
      <c r="A4336">
        <v>2011</v>
      </c>
      <c r="B4336" t="s">
        <v>38</v>
      </c>
      <c r="C4336" t="s">
        <v>72</v>
      </c>
      <c r="D4336">
        <v>248</v>
      </c>
      <c r="E4336" t="s">
        <v>466</v>
      </c>
    </row>
    <row r="4337" spans="1:5" x14ac:dyDescent="0.35">
      <c r="A4337">
        <v>2011</v>
      </c>
      <c r="B4337" t="s">
        <v>34</v>
      </c>
      <c r="C4337" t="s">
        <v>73</v>
      </c>
      <c r="D4337">
        <v>2563</v>
      </c>
      <c r="E4337" t="s">
        <v>466</v>
      </c>
    </row>
    <row r="4338" spans="1:5" x14ac:dyDescent="0.35">
      <c r="A4338">
        <v>2011</v>
      </c>
      <c r="B4338" t="s">
        <v>38</v>
      </c>
      <c r="C4338" t="s">
        <v>20</v>
      </c>
      <c r="D4338">
        <v>2755</v>
      </c>
      <c r="E4338" t="s">
        <v>466</v>
      </c>
    </row>
    <row r="4339" spans="1:5" x14ac:dyDescent="0.35">
      <c r="A4339">
        <v>2011</v>
      </c>
      <c r="B4339" t="s">
        <v>33</v>
      </c>
      <c r="C4339" t="s">
        <v>74</v>
      </c>
      <c r="D4339">
        <v>26</v>
      </c>
      <c r="E4339" t="s">
        <v>466</v>
      </c>
    </row>
    <row r="4340" spans="1:5" x14ac:dyDescent="0.35">
      <c r="A4340">
        <v>2011</v>
      </c>
      <c r="B4340" t="s">
        <v>33</v>
      </c>
      <c r="C4340" t="s">
        <v>75</v>
      </c>
      <c r="D4340">
        <v>63</v>
      </c>
      <c r="E4340" t="s">
        <v>466</v>
      </c>
    </row>
    <row r="4341" spans="1:5" x14ac:dyDescent="0.35">
      <c r="A4341">
        <v>2011</v>
      </c>
      <c r="B4341" t="s">
        <v>36</v>
      </c>
      <c r="C4341" t="s">
        <v>76</v>
      </c>
      <c r="D4341">
        <v>503</v>
      </c>
      <c r="E4341" t="s">
        <v>466</v>
      </c>
    </row>
    <row r="4342" spans="1:5" x14ac:dyDescent="0.35">
      <c r="A4342">
        <v>2011</v>
      </c>
      <c r="B4342" t="s">
        <v>33</v>
      </c>
      <c r="C4342" t="s">
        <v>77</v>
      </c>
      <c r="D4342">
        <v>102</v>
      </c>
      <c r="E4342" t="s">
        <v>466</v>
      </c>
    </row>
    <row r="4343" spans="1:5" x14ac:dyDescent="0.35">
      <c r="A4343">
        <v>2011</v>
      </c>
      <c r="B4343" t="s">
        <v>35</v>
      </c>
      <c r="C4343" t="s">
        <v>78</v>
      </c>
      <c r="D4343">
        <v>31</v>
      </c>
      <c r="E4343" t="s">
        <v>466</v>
      </c>
    </row>
    <row r="4344" spans="1:5" x14ac:dyDescent="0.35">
      <c r="A4344">
        <v>2011</v>
      </c>
      <c r="B4344" t="s">
        <v>36</v>
      </c>
      <c r="C4344" t="s">
        <v>79</v>
      </c>
      <c r="D4344">
        <v>4801</v>
      </c>
      <c r="E4344" t="s">
        <v>466</v>
      </c>
    </row>
    <row r="4345" spans="1:5" x14ac:dyDescent="0.35">
      <c r="A4345">
        <v>2011</v>
      </c>
      <c r="B4345" t="s">
        <v>35</v>
      </c>
      <c r="C4345" t="s">
        <v>81</v>
      </c>
      <c r="D4345">
        <v>71</v>
      </c>
      <c r="E4345" t="s">
        <v>466</v>
      </c>
    </row>
    <row r="4346" spans="1:5" x14ac:dyDescent="0.35">
      <c r="A4346">
        <v>2011</v>
      </c>
      <c r="B4346" t="s">
        <v>35</v>
      </c>
      <c r="C4346" t="s">
        <v>214</v>
      </c>
      <c r="D4346">
        <v>21</v>
      </c>
      <c r="E4346" t="s">
        <v>466</v>
      </c>
    </row>
    <row r="4347" spans="1:5" x14ac:dyDescent="0.35">
      <c r="A4347">
        <v>2011</v>
      </c>
      <c r="B4347" t="s">
        <v>35</v>
      </c>
      <c r="C4347" t="s">
        <v>82</v>
      </c>
      <c r="D4347">
        <v>9</v>
      </c>
      <c r="E4347" t="s">
        <v>466</v>
      </c>
    </row>
    <row r="4348" spans="1:5" x14ac:dyDescent="0.35">
      <c r="A4348">
        <v>2011</v>
      </c>
      <c r="B4348" t="s">
        <v>36</v>
      </c>
      <c r="C4348" t="s">
        <v>84</v>
      </c>
      <c r="D4348">
        <v>65</v>
      </c>
      <c r="E4348" t="s">
        <v>466</v>
      </c>
    </row>
    <row r="4349" spans="1:5" x14ac:dyDescent="0.35">
      <c r="A4349">
        <v>2011</v>
      </c>
      <c r="B4349" t="s">
        <v>36</v>
      </c>
      <c r="C4349" t="s">
        <v>85</v>
      </c>
      <c r="D4349">
        <v>4433</v>
      </c>
      <c r="E4349" t="s">
        <v>466</v>
      </c>
    </row>
    <row r="4350" spans="1:5" x14ac:dyDescent="0.35">
      <c r="A4350">
        <v>2011</v>
      </c>
      <c r="B4350" t="s">
        <v>38</v>
      </c>
      <c r="C4350" t="s">
        <v>86</v>
      </c>
      <c r="D4350">
        <v>3298</v>
      </c>
      <c r="E4350" t="s">
        <v>466</v>
      </c>
    </row>
    <row r="4351" spans="1:5" x14ac:dyDescent="0.35">
      <c r="A4351">
        <v>2011</v>
      </c>
      <c r="B4351" t="s">
        <v>33</v>
      </c>
      <c r="C4351" t="s">
        <v>87</v>
      </c>
      <c r="D4351">
        <v>237</v>
      </c>
      <c r="E4351" t="s">
        <v>466</v>
      </c>
    </row>
    <row r="4352" spans="1:5" x14ac:dyDescent="0.35">
      <c r="A4352">
        <v>2011</v>
      </c>
      <c r="B4352" t="s">
        <v>36</v>
      </c>
      <c r="C4352" t="s">
        <v>16</v>
      </c>
      <c r="D4352">
        <v>27652</v>
      </c>
      <c r="E4352" t="s">
        <v>466</v>
      </c>
    </row>
    <row r="4353" spans="1:5" x14ac:dyDescent="0.35">
      <c r="A4353">
        <v>2011</v>
      </c>
      <c r="B4353" t="s">
        <v>33</v>
      </c>
      <c r="C4353" t="s">
        <v>88</v>
      </c>
      <c r="D4353">
        <v>4</v>
      </c>
      <c r="E4353" t="s">
        <v>466</v>
      </c>
    </row>
    <row r="4354" spans="1:5" x14ac:dyDescent="0.35">
      <c r="A4354">
        <v>2011</v>
      </c>
      <c r="B4354" t="s">
        <v>33</v>
      </c>
      <c r="C4354" t="s">
        <v>89</v>
      </c>
      <c r="D4354">
        <v>63</v>
      </c>
      <c r="E4354" t="s">
        <v>466</v>
      </c>
    </row>
    <row r="4355" spans="1:5" x14ac:dyDescent="0.35">
      <c r="A4355">
        <v>2011</v>
      </c>
      <c r="B4355" t="s">
        <v>35</v>
      </c>
      <c r="C4355" t="s">
        <v>90</v>
      </c>
      <c r="D4355">
        <v>35</v>
      </c>
      <c r="E4355" t="s">
        <v>466</v>
      </c>
    </row>
    <row r="4356" spans="1:5" x14ac:dyDescent="0.35">
      <c r="A4356">
        <v>2011</v>
      </c>
      <c r="B4356" t="s">
        <v>33</v>
      </c>
      <c r="C4356" t="s">
        <v>91</v>
      </c>
      <c r="D4356">
        <v>219</v>
      </c>
      <c r="E4356" t="s">
        <v>466</v>
      </c>
    </row>
    <row r="4357" spans="1:5" x14ac:dyDescent="0.35">
      <c r="A4357">
        <v>2011</v>
      </c>
      <c r="B4357" t="s">
        <v>37</v>
      </c>
      <c r="C4357" t="s">
        <v>92</v>
      </c>
      <c r="D4357">
        <v>87</v>
      </c>
      <c r="E4357" t="s">
        <v>466</v>
      </c>
    </row>
    <row r="4358" spans="1:5" x14ac:dyDescent="0.35">
      <c r="A4358">
        <v>2011</v>
      </c>
      <c r="B4358" t="s">
        <v>35</v>
      </c>
      <c r="C4358" t="s">
        <v>94</v>
      </c>
      <c r="D4358">
        <v>145</v>
      </c>
      <c r="E4358" t="s">
        <v>466</v>
      </c>
    </row>
    <row r="4359" spans="1:5" x14ac:dyDescent="0.35">
      <c r="A4359">
        <v>2011</v>
      </c>
      <c r="B4359" t="s">
        <v>33</v>
      </c>
      <c r="C4359" t="s">
        <v>95</v>
      </c>
      <c r="D4359">
        <v>13</v>
      </c>
      <c r="E4359" t="s">
        <v>466</v>
      </c>
    </row>
    <row r="4360" spans="1:5" x14ac:dyDescent="0.35">
      <c r="A4360">
        <v>2011</v>
      </c>
      <c r="B4360" t="s">
        <v>33</v>
      </c>
      <c r="C4360" t="s">
        <v>96</v>
      </c>
      <c r="D4360">
        <v>148</v>
      </c>
      <c r="E4360" t="s">
        <v>466</v>
      </c>
    </row>
    <row r="4361" spans="1:5" x14ac:dyDescent="0.35">
      <c r="A4361">
        <v>2011</v>
      </c>
      <c r="B4361" t="s">
        <v>34</v>
      </c>
      <c r="C4361" t="s">
        <v>8</v>
      </c>
      <c r="D4361">
        <v>101</v>
      </c>
      <c r="E4361" t="s">
        <v>466</v>
      </c>
    </row>
    <row r="4362" spans="1:5" x14ac:dyDescent="0.35">
      <c r="A4362">
        <v>2011</v>
      </c>
      <c r="B4362" t="s">
        <v>35</v>
      </c>
      <c r="C4362" t="s">
        <v>97</v>
      </c>
      <c r="D4362">
        <v>198</v>
      </c>
      <c r="E4362" t="s">
        <v>466</v>
      </c>
    </row>
    <row r="4363" spans="1:5" x14ac:dyDescent="0.35">
      <c r="A4363">
        <v>2011</v>
      </c>
      <c r="B4363" t="s">
        <v>33</v>
      </c>
      <c r="C4363" t="s">
        <v>98</v>
      </c>
      <c r="D4363">
        <v>435</v>
      </c>
      <c r="E4363" t="s">
        <v>466</v>
      </c>
    </row>
    <row r="4364" spans="1:5" x14ac:dyDescent="0.35">
      <c r="A4364">
        <v>2011</v>
      </c>
      <c r="B4364" t="s">
        <v>35</v>
      </c>
      <c r="C4364" t="s">
        <v>99</v>
      </c>
      <c r="D4364">
        <v>48</v>
      </c>
      <c r="E4364" t="s">
        <v>466</v>
      </c>
    </row>
    <row r="4365" spans="1:5" x14ac:dyDescent="0.35">
      <c r="A4365">
        <v>2011</v>
      </c>
      <c r="B4365" t="s">
        <v>36</v>
      </c>
      <c r="C4365" t="s">
        <v>100</v>
      </c>
      <c r="D4365">
        <v>61</v>
      </c>
      <c r="E4365" t="s">
        <v>466</v>
      </c>
    </row>
    <row r="4366" spans="1:5" x14ac:dyDescent="0.35">
      <c r="A4366">
        <v>2011</v>
      </c>
      <c r="B4366" t="s">
        <v>37</v>
      </c>
      <c r="C4366" t="s">
        <v>367</v>
      </c>
      <c r="D4366">
        <v>16</v>
      </c>
      <c r="E4366" t="s">
        <v>466</v>
      </c>
    </row>
    <row r="4367" spans="1:5" x14ac:dyDescent="0.35">
      <c r="A4367">
        <v>2011</v>
      </c>
      <c r="B4367" t="s">
        <v>36</v>
      </c>
      <c r="C4367" t="s">
        <v>15</v>
      </c>
      <c r="D4367">
        <v>41708</v>
      </c>
      <c r="E4367" t="s">
        <v>466</v>
      </c>
    </row>
    <row r="4368" spans="1:5" x14ac:dyDescent="0.35">
      <c r="A4368">
        <v>2011</v>
      </c>
      <c r="B4368" t="s">
        <v>33</v>
      </c>
      <c r="C4368" t="s">
        <v>101</v>
      </c>
      <c r="D4368">
        <v>147</v>
      </c>
      <c r="E4368" t="s">
        <v>466</v>
      </c>
    </row>
    <row r="4369" spans="1:5" x14ac:dyDescent="0.35">
      <c r="A4369">
        <v>2011</v>
      </c>
      <c r="B4369" t="s">
        <v>33</v>
      </c>
      <c r="C4369" t="s">
        <v>102</v>
      </c>
      <c r="D4369">
        <v>6</v>
      </c>
      <c r="E4369" t="s">
        <v>466</v>
      </c>
    </row>
    <row r="4370" spans="1:5" x14ac:dyDescent="0.35">
      <c r="A4370">
        <v>2011</v>
      </c>
      <c r="B4370" t="s">
        <v>38</v>
      </c>
      <c r="C4370" t="s">
        <v>103</v>
      </c>
      <c r="D4370">
        <v>411</v>
      </c>
      <c r="E4370" t="s">
        <v>466</v>
      </c>
    </row>
    <row r="4371" spans="1:5" x14ac:dyDescent="0.35">
      <c r="A4371">
        <v>2011</v>
      </c>
      <c r="B4371" t="s">
        <v>36</v>
      </c>
      <c r="C4371" t="s">
        <v>104</v>
      </c>
      <c r="D4371">
        <v>1351</v>
      </c>
      <c r="E4371" t="s">
        <v>466</v>
      </c>
    </row>
    <row r="4372" spans="1:5" x14ac:dyDescent="0.35">
      <c r="A4372">
        <v>2011</v>
      </c>
      <c r="B4372" t="s">
        <v>36</v>
      </c>
      <c r="C4372" t="s">
        <v>17</v>
      </c>
      <c r="D4372">
        <v>31189</v>
      </c>
      <c r="E4372" t="s">
        <v>466</v>
      </c>
    </row>
    <row r="4373" spans="1:5" x14ac:dyDescent="0.35">
      <c r="A4373">
        <v>2011</v>
      </c>
      <c r="B4373" t="s">
        <v>34</v>
      </c>
      <c r="C4373" t="s">
        <v>368</v>
      </c>
      <c r="D4373">
        <v>56</v>
      </c>
      <c r="E4373" t="s">
        <v>466</v>
      </c>
    </row>
    <row r="4374" spans="1:5" x14ac:dyDescent="0.35">
      <c r="A4374">
        <v>2011</v>
      </c>
      <c r="B4374" t="s">
        <v>35</v>
      </c>
      <c r="C4374" t="s">
        <v>105</v>
      </c>
      <c r="D4374">
        <v>106</v>
      </c>
      <c r="E4374" t="s">
        <v>466</v>
      </c>
    </row>
    <row r="4375" spans="1:5" x14ac:dyDescent="0.35">
      <c r="A4375">
        <v>2011</v>
      </c>
      <c r="B4375" t="s">
        <v>35</v>
      </c>
      <c r="C4375" t="s">
        <v>106</v>
      </c>
      <c r="D4375">
        <v>7</v>
      </c>
      <c r="E4375" t="s">
        <v>466</v>
      </c>
    </row>
    <row r="4376" spans="1:5" x14ac:dyDescent="0.35">
      <c r="A4376">
        <v>2011</v>
      </c>
      <c r="B4376" t="s">
        <v>34</v>
      </c>
      <c r="C4376" t="s">
        <v>22</v>
      </c>
      <c r="D4376">
        <v>3859</v>
      </c>
      <c r="E4376" t="s">
        <v>466</v>
      </c>
    </row>
    <row r="4377" spans="1:5" x14ac:dyDescent="0.35">
      <c r="A4377">
        <v>2011</v>
      </c>
      <c r="B4377" t="s">
        <v>34</v>
      </c>
      <c r="C4377" t="s">
        <v>107</v>
      </c>
      <c r="D4377">
        <v>327</v>
      </c>
      <c r="E4377" t="s">
        <v>466</v>
      </c>
    </row>
    <row r="4378" spans="1:5" x14ac:dyDescent="0.35">
      <c r="A4378">
        <v>2011</v>
      </c>
      <c r="B4378" t="s">
        <v>34</v>
      </c>
      <c r="C4378" t="s">
        <v>108</v>
      </c>
      <c r="D4378">
        <v>305</v>
      </c>
      <c r="E4378" t="s">
        <v>466</v>
      </c>
    </row>
    <row r="4379" spans="1:5" x14ac:dyDescent="0.35">
      <c r="A4379">
        <v>2011</v>
      </c>
      <c r="B4379" t="s">
        <v>34</v>
      </c>
      <c r="C4379" t="s">
        <v>109</v>
      </c>
      <c r="D4379">
        <v>285</v>
      </c>
      <c r="E4379" t="s">
        <v>466</v>
      </c>
    </row>
    <row r="4380" spans="1:5" x14ac:dyDescent="0.35">
      <c r="A4380">
        <v>2011</v>
      </c>
      <c r="B4380" t="s">
        <v>35</v>
      </c>
      <c r="C4380" t="s">
        <v>110</v>
      </c>
      <c r="D4380">
        <v>88</v>
      </c>
      <c r="E4380" t="s">
        <v>466</v>
      </c>
    </row>
    <row r="4381" spans="1:5" x14ac:dyDescent="0.35">
      <c r="A4381">
        <v>2011</v>
      </c>
      <c r="B4381" t="s">
        <v>34</v>
      </c>
      <c r="C4381" t="s">
        <v>111</v>
      </c>
      <c r="D4381">
        <v>254</v>
      </c>
      <c r="E4381" t="s">
        <v>466</v>
      </c>
    </row>
    <row r="4382" spans="1:5" x14ac:dyDescent="0.35">
      <c r="A4382">
        <v>2011</v>
      </c>
      <c r="B4382" t="s">
        <v>35</v>
      </c>
      <c r="C4382" t="s">
        <v>112</v>
      </c>
      <c r="D4382">
        <v>149</v>
      </c>
      <c r="E4382" t="s">
        <v>466</v>
      </c>
    </row>
    <row r="4383" spans="1:5" x14ac:dyDescent="0.35">
      <c r="A4383">
        <v>2011</v>
      </c>
      <c r="B4383" t="s">
        <v>36</v>
      </c>
      <c r="C4383" t="s">
        <v>113</v>
      </c>
      <c r="D4383">
        <v>2862</v>
      </c>
      <c r="E4383" t="s">
        <v>466</v>
      </c>
    </row>
    <row r="4384" spans="1:5" x14ac:dyDescent="0.35">
      <c r="A4384">
        <v>2011</v>
      </c>
      <c r="B4384" t="s">
        <v>34</v>
      </c>
      <c r="C4384" t="s">
        <v>114</v>
      </c>
      <c r="D4384">
        <v>63</v>
      </c>
      <c r="E4384" t="s">
        <v>466</v>
      </c>
    </row>
    <row r="4385" spans="1:5" x14ac:dyDescent="0.35">
      <c r="A4385">
        <v>2011</v>
      </c>
      <c r="B4385" t="s">
        <v>34</v>
      </c>
      <c r="C4385" t="s">
        <v>115</v>
      </c>
      <c r="D4385">
        <v>305</v>
      </c>
      <c r="E4385" t="s">
        <v>466</v>
      </c>
    </row>
    <row r="4386" spans="1:5" x14ac:dyDescent="0.35">
      <c r="A4386">
        <v>2011</v>
      </c>
      <c r="B4386" t="s">
        <v>34</v>
      </c>
      <c r="C4386" t="s">
        <v>116</v>
      </c>
      <c r="D4386">
        <v>117</v>
      </c>
      <c r="E4386" t="s">
        <v>466</v>
      </c>
    </row>
    <row r="4387" spans="1:5" x14ac:dyDescent="0.35">
      <c r="A4387">
        <v>2011</v>
      </c>
      <c r="B4387" t="s">
        <v>33</v>
      </c>
      <c r="C4387" t="s">
        <v>117</v>
      </c>
      <c r="D4387">
        <v>539</v>
      </c>
      <c r="E4387" t="s">
        <v>466</v>
      </c>
    </row>
    <row r="4388" spans="1:5" x14ac:dyDescent="0.35">
      <c r="A4388">
        <v>2011</v>
      </c>
      <c r="B4388" t="s">
        <v>34</v>
      </c>
      <c r="C4388" t="s">
        <v>118</v>
      </c>
      <c r="D4388">
        <v>714</v>
      </c>
      <c r="E4388" t="s">
        <v>466</v>
      </c>
    </row>
    <row r="4389" spans="1:5" x14ac:dyDescent="0.35">
      <c r="A4389">
        <v>2011</v>
      </c>
      <c r="B4389" t="s">
        <v>35</v>
      </c>
      <c r="C4389" t="s">
        <v>119</v>
      </c>
      <c r="D4389">
        <v>36</v>
      </c>
      <c r="E4389" t="s">
        <v>466</v>
      </c>
    </row>
    <row r="4390" spans="1:5" x14ac:dyDescent="0.35">
      <c r="A4390">
        <v>2011</v>
      </c>
      <c r="B4390" t="s">
        <v>34</v>
      </c>
      <c r="C4390" t="s">
        <v>120</v>
      </c>
      <c r="D4390">
        <v>23</v>
      </c>
      <c r="E4390" t="s">
        <v>466</v>
      </c>
    </row>
    <row r="4391" spans="1:5" x14ac:dyDescent="0.35">
      <c r="A4391">
        <v>2011</v>
      </c>
      <c r="B4391" t="s">
        <v>34</v>
      </c>
      <c r="C4391" t="s">
        <v>121</v>
      </c>
      <c r="D4391">
        <v>44</v>
      </c>
      <c r="E4391" t="s">
        <v>466</v>
      </c>
    </row>
    <row r="4392" spans="1:5" x14ac:dyDescent="0.35">
      <c r="A4392">
        <v>2011</v>
      </c>
      <c r="B4392" t="s">
        <v>34</v>
      </c>
      <c r="C4392" t="s">
        <v>122</v>
      </c>
      <c r="D4392">
        <v>758</v>
      </c>
      <c r="E4392" t="s">
        <v>466</v>
      </c>
    </row>
    <row r="4393" spans="1:5" x14ac:dyDescent="0.35">
      <c r="A4393">
        <v>2011</v>
      </c>
      <c r="B4393" t="s">
        <v>35</v>
      </c>
      <c r="C4393" t="s">
        <v>123</v>
      </c>
      <c r="D4393">
        <v>38</v>
      </c>
      <c r="E4393" t="s">
        <v>466</v>
      </c>
    </row>
    <row r="4394" spans="1:5" x14ac:dyDescent="0.35">
      <c r="A4394">
        <v>2011</v>
      </c>
      <c r="B4394" t="s">
        <v>34</v>
      </c>
      <c r="C4394" t="s">
        <v>124</v>
      </c>
      <c r="D4394">
        <v>171</v>
      </c>
      <c r="E4394" t="s">
        <v>466</v>
      </c>
    </row>
    <row r="4395" spans="1:5" x14ac:dyDescent="0.35">
      <c r="A4395">
        <v>2011</v>
      </c>
      <c r="B4395" t="s">
        <v>33</v>
      </c>
      <c r="C4395" t="s">
        <v>125</v>
      </c>
      <c r="D4395">
        <v>309</v>
      </c>
      <c r="E4395" t="s">
        <v>466</v>
      </c>
    </row>
    <row r="4396" spans="1:5" x14ac:dyDescent="0.35">
      <c r="A4396">
        <v>2011</v>
      </c>
      <c r="B4396" t="s">
        <v>33</v>
      </c>
      <c r="C4396" t="s">
        <v>126</v>
      </c>
      <c r="D4396">
        <v>24</v>
      </c>
      <c r="E4396" t="s">
        <v>466</v>
      </c>
    </row>
    <row r="4397" spans="1:5" x14ac:dyDescent="0.35">
      <c r="A4397">
        <v>2011</v>
      </c>
      <c r="B4397" t="s">
        <v>35</v>
      </c>
      <c r="C4397" t="s">
        <v>127</v>
      </c>
      <c r="D4397">
        <v>77</v>
      </c>
      <c r="E4397" t="s">
        <v>466</v>
      </c>
    </row>
    <row r="4398" spans="1:5" x14ac:dyDescent="0.35">
      <c r="A4398">
        <v>2011</v>
      </c>
      <c r="B4398" t="s">
        <v>34</v>
      </c>
      <c r="C4398" t="s">
        <v>369</v>
      </c>
      <c r="E4398" t="s">
        <v>466</v>
      </c>
    </row>
    <row r="4399" spans="1:5" x14ac:dyDescent="0.35">
      <c r="A4399">
        <v>2011</v>
      </c>
      <c r="B4399" t="s">
        <v>33</v>
      </c>
      <c r="C4399" t="s">
        <v>130</v>
      </c>
      <c r="D4399">
        <v>21</v>
      </c>
      <c r="E4399" t="s">
        <v>466</v>
      </c>
    </row>
    <row r="4400" spans="1:5" x14ac:dyDescent="0.35">
      <c r="A4400">
        <v>2011</v>
      </c>
      <c r="B4400" t="s">
        <v>34</v>
      </c>
      <c r="C4400" t="s">
        <v>131</v>
      </c>
      <c r="D4400">
        <v>53</v>
      </c>
      <c r="E4400" t="s">
        <v>466</v>
      </c>
    </row>
    <row r="4401" spans="1:5" x14ac:dyDescent="0.35">
      <c r="A4401">
        <v>2011</v>
      </c>
      <c r="B4401" t="s">
        <v>33</v>
      </c>
      <c r="C4401" t="s">
        <v>132</v>
      </c>
      <c r="D4401">
        <v>112</v>
      </c>
      <c r="E4401" t="s">
        <v>466</v>
      </c>
    </row>
    <row r="4402" spans="1:5" x14ac:dyDescent="0.35">
      <c r="A4402">
        <v>2011</v>
      </c>
      <c r="B4402" t="s">
        <v>35</v>
      </c>
      <c r="C4402" t="s">
        <v>133</v>
      </c>
      <c r="E4402" t="s">
        <v>466</v>
      </c>
    </row>
    <row r="4403" spans="1:5" x14ac:dyDescent="0.35">
      <c r="A4403">
        <v>2011</v>
      </c>
      <c r="B4403" t="s">
        <v>37</v>
      </c>
      <c r="C4403" t="s">
        <v>134</v>
      </c>
      <c r="D4403">
        <v>21</v>
      </c>
      <c r="E4403" t="s">
        <v>466</v>
      </c>
    </row>
    <row r="4404" spans="1:5" x14ac:dyDescent="0.35">
      <c r="A4404">
        <v>2011</v>
      </c>
      <c r="B4404" t="s">
        <v>33</v>
      </c>
      <c r="C4404" t="s">
        <v>135</v>
      </c>
      <c r="D4404">
        <v>70</v>
      </c>
      <c r="E4404" t="s">
        <v>466</v>
      </c>
    </row>
    <row r="4405" spans="1:5" x14ac:dyDescent="0.35">
      <c r="A4405">
        <v>2011</v>
      </c>
      <c r="B4405" t="s">
        <v>36</v>
      </c>
      <c r="C4405" t="s">
        <v>14</v>
      </c>
      <c r="D4405">
        <v>517472</v>
      </c>
      <c r="E4405" t="s">
        <v>466</v>
      </c>
    </row>
    <row r="4406" spans="1:5" x14ac:dyDescent="0.35">
      <c r="A4406">
        <v>2011</v>
      </c>
      <c r="B4406" t="s">
        <v>37</v>
      </c>
      <c r="C4406" t="s">
        <v>137</v>
      </c>
      <c r="D4406">
        <v>106</v>
      </c>
      <c r="E4406" t="s">
        <v>466</v>
      </c>
    </row>
    <row r="4407" spans="1:5" x14ac:dyDescent="0.35">
      <c r="A4407">
        <v>2011</v>
      </c>
      <c r="B4407" t="s">
        <v>35</v>
      </c>
      <c r="C4407" t="s">
        <v>138</v>
      </c>
      <c r="D4407">
        <v>144</v>
      </c>
      <c r="E4407" t="s">
        <v>466</v>
      </c>
    </row>
    <row r="4408" spans="1:5" x14ac:dyDescent="0.35">
      <c r="A4408">
        <v>2011</v>
      </c>
      <c r="B4408" t="s">
        <v>34</v>
      </c>
      <c r="C4408" t="s">
        <v>139</v>
      </c>
      <c r="D4408">
        <v>129</v>
      </c>
      <c r="E4408" t="s">
        <v>466</v>
      </c>
    </row>
    <row r="4409" spans="1:5" x14ac:dyDescent="0.35">
      <c r="A4409">
        <v>2011</v>
      </c>
      <c r="B4409" t="s">
        <v>35</v>
      </c>
      <c r="C4409" t="s">
        <v>140</v>
      </c>
      <c r="D4409">
        <v>11</v>
      </c>
      <c r="E4409" t="s">
        <v>466</v>
      </c>
    </row>
    <row r="4410" spans="1:5" x14ac:dyDescent="0.35">
      <c r="A4410">
        <v>2011</v>
      </c>
      <c r="B4410" t="s">
        <v>36</v>
      </c>
      <c r="C4410" t="s">
        <v>370</v>
      </c>
      <c r="D4410">
        <v>9</v>
      </c>
      <c r="E4410" t="s">
        <v>466</v>
      </c>
    </row>
    <row r="4411" spans="1:5" x14ac:dyDescent="0.35">
      <c r="A4411">
        <v>2011</v>
      </c>
      <c r="B4411" t="s">
        <v>33</v>
      </c>
      <c r="C4411" t="s">
        <v>141</v>
      </c>
      <c r="D4411">
        <v>173</v>
      </c>
      <c r="E4411" t="s">
        <v>466</v>
      </c>
    </row>
    <row r="4412" spans="1:5" x14ac:dyDescent="0.35">
      <c r="A4412">
        <v>2011</v>
      </c>
      <c r="B4412" t="s">
        <v>34</v>
      </c>
      <c r="C4412" t="s">
        <v>144</v>
      </c>
      <c r="D4412">
        <v>180</v>
      </c>
      <c r="E4412" t="s">
        <v>466</v>
      </c>
    </row>
    <row r="4413" spans="1:5" x14ac:dyDescent="0.35">
      <c r="A4413">
        <v>2011</v>
      </c>
      <c r="B4413" t="s">
        <v>35</v>
      </c>
      <c r="C4413" t="s">
        <v>145</v>
      </c>
      <c r="D4413">
        <v>72</v>
      </c>
      <c r="E4413" t="s">
        <v>466</v>
      </c>
    </row>
    <row r="4414" spans="1:5" x14ac:dyDescent="0.35">
      <c r="A4414">
        <v>2011</v>
      </c>
      <c r="B4414" t="s">
        <v>36</v>
      </c>
      <c r="C4414" t="s">
        <v>371</v>
      </c>
      <c r="D4414">
        <v>11</v>
      </c>
      <c r="E4414" t="s">
        <v>466</v>
      </c>
    </row>
    <row r="4415" spans="1:5" x14ac:dyDescent="0.35">
      <c r="A4415">
        <v>2011</v>
      </c>
      <c r="B4415" t="s">
        <v>37</v>
      </c>
      <c r="C4415" t="s">
        <v>146</v>
      </c>
      <c r="D4415">
        <v>63</v>
      </c>
      <c r="E4415" t="s">
        <v>466</v>
      </c>
    </row>
    <row r="4416" spans="1:5" x14ac:dyDescent="0.35">
      <c r="A4416">
        <v>2011</v>
      </c>
      <c r="B4416" t="s">
        <v>36</v>
      </c>
      <c r="C4416" t="s">
        <v>147</v>
      </c>
      <c r="D4416">
        <v>2278</v>
      </c>
      <c r="E4416" t="s">
        <v>466</v>
      </c>
    </row>
    <row r="4417" spans="1:5" x14ac:dyDescent="0.35">
      <c r="A4417">
        <v>2011</v>
      </c>
      <c r="B4417" t="s">
        <v>33</v>
      </c>
      <c r="C4417" t="s">
        <v>148</v>
      </c>
      <c r="D4417">
        <v>48</v>
      </c>
      <c r="E4417" t="s">
        <v>466</v>
      </c>
    </row>
    <row r="4418" spans="1:5" x14ac:dyDescent="0.35">
      <c r="A4418">
        <v>2011</v>
      </c>
      <c r="B4418" t="s">
        <v>33</v>
      </c>
      <c r="C4418" t="s">
        <v>149</v>
      </c>
      <c r="D4418">
        <v>633</v>
      </c>
      <c r="E4418" t="s">
        <v>466</v>
      </c>
    </row>
    <row r="4419" spans="1:5" x14ac:dyDescent="0.35">
      <c r="A4419">
        <v>2011</v>
      </c>
      <c r="B4419" t="s">
        <v>35</v>
      </c>
      <c r="C4419" t="s">
        <v>322</v>
      </c>
      <c r="D4419">
        <v>51</v>
      </c>
      <c r="E4419" t="s">
        <v>466</v>
      </c>
    </row>
    <row r="4420" spans="1:5" x14ac:dyDescent="0.35">
      <c r="A4420">
        <v>2011</v>
      </c>
      <c r="B4420" t="s">
        <v>35</v>
      </c>
      <c r="C4420" t="s">
        <v>150</v>
      </c>
      <c r="D4420">
        <v>7</v>
      </c>
      <c r="E4420" t="s">
        <v>466</v>
      </c>
    </row>
    <row r="4421" spans="1:5" x14ac:dyDescent="0.35">
      <c r="A4421">
        <v>2011</v>
      </c>
      <c r="B4421" t="s">
        <v>34</v>
      </c>
      <c r="C4421" t="s">
        <v>152</v>
      </c>
      <c r="D4421">
        <v>538</v>
      </c>
      <c r="E4421" t="s">
        <v>466</v>
      </c>
    </row>
    <row r="4422" spans="1:5" x14ac:dyDescent="0.35">
      <c r="A4422">
        <v>2011</v>
      </c>
      <c r="B4422" t="s">
        <v>37</v>
      </c>
      <c r="C4422" t="s">
        <v>153</v>
      </c>
      <c r="D4422">
        <v>20</v>
      </c>
      <c r="E4422" t="s">
        <v>466</v>
      </c>
    </row>
    <row r="4423" spans="1:5" x14ac:dyDescent="0.35">
      <c r="A4423">
        <v>2011</v>
      </c>
      <c r="B4423" t="s">
        <v>36</v>
      </c>
      <c r="C4423" t="s">
        <v>154</v>
      </c>
      <c r="D4423">
        <v>226</v>
      </c>
      <c r="E4423" t="s">
        <v>466</v>
      </c>
    </row>
    <row r="4424" spans="1:5" x14ac:dyDescent="0.35">
      <c r="A4424">
        <v>2011</v>
      </c>
      <c r="B4424" t="s">
        <v>38</v>
      </c>
      <c r="C4424" t="s">
        <v>155</v>
      </c>
      <c r="D4424">
        <v>35</v>
      </c>
      <c r="E4424" t="s">
        <v>466</v>
      </c>
    </row>
    <row r="4425" spans="1:5" x14ac:dyDescent="0.35">
      <c r="A4425">
        <v>2011</v>
      </c>
      <c r="B4425" t="s">
        <v>38</v>
      </c>
      <c r="C4425" t="s">
        <v>156</v>
      </c>
      <c r="D4425">
        <v>1741</v>
      </c>
      <c r="E4425" t="s">
        <v>466</v>
      </c>
    </row>
    <row r="4426" spans="1:5" x14ac:dyDescent="0.35">
      <c r="A4426">
        <v>2011</v>
      </c>
      <c r="B4426" t="s">
        <v>34</v>
      </c>
      <c r="C4426" t="s">
        <v>18</v>
      </c>
      <c r="D4426">
        <v>1135</v>
      </c>
      <c r="E4426" t="s">
        <v>466</v>
      </c>
    </row>
    <row r="4427" spans="1:5" x14ac:dyDescent="0.35">
      <c r="A4427">
        <v>2011</v>
      </c>
      <c r="B4427" t="s">
        <v>35</v>
      </c>
      <c r="C4427" t="s">
        <v>157</v>
      </c>
      <c r="D4427">
        <v>519</v>
      </c>
      <c r="E4427" t="s">
        <v>466</v>
      </c>
    </row>
    <row r="4428" spans="1:5" x14ac:dyDescent="0.35">
      <c r="A4428">
        <v>2011</v>
      </c>
      <c r="B4428" t="s">
        <v>35</v>
      </c>
      <c r="C4428" t="s">
        <v>158</v>
      </c>
      <c r="D4428">
        <v>194</v>
      </c>
      <c r="E4428" t="s">
        <v>466</v>
      </c>
    </row>
    <row r="4429" spans="1:5" x14ac:dyDescent="0.35">
      <c r="A4429">
        <v>2011</v>
      </c>
      <c r="B4429" t="s">
        <v>35</v>
      </c>
      <c r="C4429" t="s">
        <v>160</v>
      </c>
      <c r="D4429">
        <v>869</v>
      </c>
      <c r="E4429" t="s">
        <v>466</v>
      </c>
    </row>
    <row r="4430" spans="1:5" x14ac:dyDescent="0.35">
      <c r="A4430">
        <v>2011</v>
      </c>
      <c r="B4430" t="s">
        <v>35</v>
      </c>
      <c r="C4430" t="s">
        <v>161</v>
      </c>
      <c r="D4430">
        <v>526</v>
      </c>
      <c r="E4430" t="s">
        <v>466</v>
      </c>
    </row>
    <row r="4431" spans="1:5" x14ac:dyDescent="0.35">
      <c r="A4431">
        <v>2011</v>
      </c>
      <c r="B4431" t="s">
        <v>33</v>
      </c>
      <c r="C4431" t="s">
        <v>162</v>
      </c>
      <c r="D4431">
        <v>19</v>
      </c>
      <c r="E4431" t="s">
        <v>466</v>
      </c>
    </row>
    <row r="4432" spans="1:5" x14ac:dyDescent="0.35">
      <c r="A4432">
        <v>2011</v>
      </c>
      <c r="B4432" t="s">
        <v>36</v>
      </c>
      <c r="C4432" t="s">
        <v>163</v>
      </c>
      <c r="D4432">
        <v>46</v>
      </c>
      <c r="E4432" t="s">
        <v>466</v>
      </c>
    </row>
    <row r="4433" spans="1:5" x14ac:dyDescent="0.35">
      <c r="A4433">
        <v>2011</v>
      </c>
      <c r="B4433" t="s">
        <v>36</v>
      </c>
      <c r="C4433" t="s">
        <v>164</v>
      </c>
      <c r="D4433">
        <v>58</v>
      </c>
      <c r="E4433" t="s">
        <v>466</v>
      </c>
    </row>
    <row r="4434" spans="1:5" x14ac:dyDescent="0.35">
      <c r="A4434">
        <v>2011</v>
      </c>
      <c r="B4434" t="s">
        <v>36</v>
      </c>
      <c r="C4434" t="s">
        <v>165</v>
      </c>
      <c r="D4434">
        <v>50</v>
      </c>
      <c r="E4434" t="s">
        <v>466</v>
      </c>
    </row>
    <row r="4435" spans="1:5" x14ac:dyDescent="0.35">
      <c r="A4435">
        <v>2011</v>
      </c>
      <c r="B4435" t="s">
        <v>37</v>
      </c>
      <c r="C4435" t="s">
        <v>166</v>
      </c>
      <c r="D4435">
        <v>36</v>
      </c>
      <c r="E4435" t="s">
        <v>466</v>
      </c>
    </row>
    <row r="4436" spans="1:5" x14ac:dyDescent="0.35">
      <c r="A4436">
        <v>2011</v>
      </c>
      <c r="B4436" t="s">
        <v>34</v>
      </c>
      <c r="C4436" t="s">
        <v>167</v>
      </c>
      <c r="D4436">
        <v>127</v>
      </c>
      <c r="E4436" t="s">
        <v>466</v>
      </c>
    </row>
    <row r="4437" spans="1:5" x14ac:dyDescent="0.35">
      <c r="A4437">
        <v>2011</v>
      </c>
      <c r="B4437" t="s">
        <v>33</v>
      </c>
      <c r="C4437" t="s">
        <v>168</v>
      </c>
      <c r="D4437">
        <v>158</v>
      </c>
      <c r="E4437" t="s">
        <v>466</v>
      </c>
    </row>
    <row r="4438" spans="1:5" x14ac:dyDescent="0.35">
      <c r="A4438">
        <v>2011</v>
      </c>
      <c r="B4438" t="s">
        <v>35</v>
      </c>
      <c r="C4438" t="s">
        <v>169</v>
      </c>
      <c r="D4438">
        <v>22</v>
      </c>
      <c r="E4438" t="s">
        <v>466</v>
      </c>
    </row>
    <row r="4439" spans="1:5" x14ac:dyDescent="0.35">
      <c r="A4439">
        <v>2011</v>
      </c>
      <c r="B4439" t="s">
        <v>35</v>
      </c>
      <c r="C4439" t="s">
        <v>215</v>
      </c>
      <c r="D4439">
        <v>142</v>
      </c>
      <c r="E4439" t="s">
        <v>466</v>
      </c>
    </row>
    <row r="4440" spans="1:5" x14ac:dyDescent="0.35">
      <c r="A4440">
        <v>2011</v>
      </c>
      <c r="B4440" t="s">
        <v>33</v>
      </c>
      <c r="C4440" t="s">
        <v>170</v>
      </c>
      <c r="D4440">
        <v>171</v>
      </c>
      <c r="E4440" t="s">
        <v>466</v>
      </c>
    </row>
    <row r="4441" spans="1:5" x14ac:dyDescent="0.35">
      <c r="A4441">
        <v>2011</v>
      </c>
      <c r="B4441" t="s">
        <v>34</v>
      </c>
      <c r="C4441" t="s">
        <v>171</v>
      </c>
      <c r="D4441">
        <v>12</v>
      </c>
      <c r="E4441" t="s">
        <v>466</v>
      </c>
    </row>
    <row r="4442" spans="1:5" x14ac:dyDescent="0.35">
      <c r="A4442">
        <v>2011</v>
      </c>
      <c r="B4442" t="s">
        <v>35</v>
      </c>
      <c r="C4442" t="s">
        <v>172</v>
      </c>
      <c r="D4442">
        <v>29</v>
      </c>
      <c r="E4442" t="s">
        <v>466</v>
      </c>
    </row>
    <row r="4443" spans="1:5" x14ac:dyDescent="0.35">
      <c r="A4443">
        <v>2011</v>
      </c>
      <c r="B4443" t="s">
        <v>35</v>
      </c>
      <c r="C4443" t="s">
        <v>173</v>
      </c>
      <c r="D4443">
        <v>5</v>
      </c>
      <c r="E4443" t="s">
        <v>466</v>
      </c>
    </row>
    <row r="4444" spans="1:5" x14ac:dyDescent="0.35">
      <c r="A4444">
        <v>2011</v>
      </c>
      <c r="B4444" t="s">
        <v>33</v>
      </c>
      <c r="C4444" t="s">
        <v>174</v>
      </c>
      <c r="D4444">
        <v>336</v>
      </c>
      <c r="E4444" t="s">
        <v>466</v>
      </c>
    </row>
    <row r="4445" spans="1:5" x14ac:dyDescent="0.35">
      <c r="A4445">
        <v>2011</v>
      </c>
      <c r="B4445" t="s">
        <v>33</v>
      </c>
      <c r="C4445" t="s">
        <v>175</v>
      </c>
      <c r="D4445">
        <v>123</v>
      </c>
      <c r="E4445" t="s">
        <v>466</v>
      </c>
    </row>
    <row r="4446" spans="1:5" x14ac:dyDescent="0.35">
      <c r="A4446">
        <v>2011</v>
      </c>
      <c r="B4446" t="s">
        <v>33</v>
      </c>
      <c r="C4446" t="s">
        <v>176</v>
      </c>
      <c r="E4446" t="s">
        <v>466</v>
      </c>
    </row>
    <row r="4447" spans="1:5" x14ac:dyDescent="0.35">
      <c r="A4447">
        <v>2011</v>
      </c>
      <c r="B4447" t="s">
        <v>35</v>
      </c>
      <c r="C4447" t="s">
        <v>216</v>
      </c>
      <c r="D4447">
        <v>92</v>
      </c>
      <c r="E4447" t="s">
        <v>466</v>
      </c>
    </row>
    <row r="4448" spans="1:5" x14ac:dyDescent="0.35">
      <c r="A4448">
        <v>2011</v>
      </c>
      <c r="B4448" t="s">
        <v>35</v>
      </c>
      <c r="C4448" t="s">
        <v>177</v>
      </c>
      <c r="D4448">
        <v>126</v>
      </c>
      <c r="E4448" t="s">
        <v>466</v>
      </c>
    </row>
    <row r="4449" spans="1:5" x14ac:dyDescent="0.35">
      <c r="A4449">
        <v>2011</v>
      </c>
      <c r="B4449" t="s">
        <v>34</v>
      </c>
      <c r="C4449" t="s">
        <v>178</v>
      </c>
      <c r="D4449">
        <v>316</v>
      </c>
      <c r="E4449" t="s">
        <v>466</v>
      </c>
    </row>
    <row r="4450" spans="1:5" x14ac:dyDescent="0.35">
      <c r="A4450">
        <v>2011</v>
      </c>
      <c r="B4450" t="s">
        <v>33</v>
      </c>
      <c r="C4450" t="s">
        <v>179</v>
      </c>
      <c r="D4450">
        <v>226</v>
      </c>
      <c r="E4450" t="s">
        <v>466</v>
      </c>
    </row>
    <row r="4451" spans="1:5" x14ac:dyDescent="0.35">
      <c r="A4451">
        <v>2011</v>
      </c>
      <c r="B4451" t="s">
        <v>38</v>
      </c>
      <c r="C4451" t="s">
        <v>180</v>
      </c>
      <c r="D4451">
        <v>19</v>
      </c>
      <c r="E4451" t="s">
        <v>466</v>
      </c>
    </row>
    <row r="4452" spans="1:5" x14ac:dyDescent="0.35">
      <c r="A4452">
        <v>2011</v>
      </c>
      <c r="B4452" t="s">
        <v>35</v>
      </c>
      <c r="C4452" t="s">
        <v>182</v>
      </c>
      <c r="D4452">
        <v>42</v>
      </c>
      <c r="E4452" t="s">
        <v>466</v>
      </c>
    </row>
    <row r="4453" spans="1:5" x14ac:dyDescent="0.35">
      <c r="A4453">
        <v>2011</v>
      </c>
      <c r="B4453" t="s">
        <v>35</v>
      </c>
      <c r="C4453" t="s">
        <v>183</v>
      </c>
      <c r="D4453">
        <v>19</v>
      </c>
      <c r="E4453" t="s">
        <v>466</v>
      </c>
    </row>
    <row r="4454" spans="1:5" x14ac:dyDescent="0.35">
      <c r="A4454">
        <v>2011</v>
      </c>
      <c r="B4454" t="s">
        <v>34</v>
      </c>
      <c r="C4454" t="s">
        <v>184</v>
      </c>
      <c r="D4454">
        <v>114</v>
      </c>
      <c r="E4454" t="s">
        <v>466</v>
      </c>
    </row>
    <row r="4455" spans="1:5" x14ac:dyDescent="0.35">
      <c r="A4455">
        <v>2011</v>
      </c>
      <c r="B4455" t="s">
        <v>34</v>
      </c>
      <c r="C4455" t="s">
        <v>185</v>
      </c>
      <c r="D4455">
        <v>58</v>
      </c>
      <c r="E4455" t="s">
        <v>466</v>
      </c>
    </row>
    <row r="4456" spans="1:5" x14ac:dyDescent="0.35">
      <c r="A4456">
        <v>2011</v>
      </c>
      <c r="B4456" t="s">
        <v>34</v>
      </c>
      <c r="C4456" t="s">
        <v>186</v>
      </c>
      <c r="D4456">
        <v>82</v>
      </c>
      <c r="E4456" t="s">
        <v>466</v>
      </c>
    </row>
    <row r="4457" spans="1:5" x14ac:dyDescent="0.35">
      <c r="A4457">
        <v>2011</v>
      </c>
      <c r="B4457" t="s">
        <v>33</v>
      </c>
      <c r="C4457" t="s">
        <v>187</v>
      </c>
      <c r="D4457">
        <v>64</v>
      </c>
      <c r="E4457" t="s">
        <v>466</v>
      </c>
    </row>
    <row r="4458" spans="1:5" x14ac:dyDescent="0.35">
      <c r="A4458">
        <v>2011</v>
      </c>
      <c r="B4458" t="s">
        <v>34</v>
      </c>
      <c r="C4458" t="s">
        <v>188</v>
      </c>
      <c r="D4458">
        <v>257</v>
      </c>
      <c r="E4458" t="s">
        <v>466</v>
      </c>
    </row>
    <row r="4459" spans="1:5" x14ac:dyDescent="0.35">
      <c r="A4459">
        <v>2011</v>
      </c>
      <c r="B4459" t="s">
        <v>33</v>
      </c>
      <c r="C4459" t="s">
        <v>189</v>
      </c>
      <c r="D4459">
        <v>43</v>
      </c>
      <c r="E4459" t="s">
        <v>466</v>
      </c>
    </row>
    <row r="4460" spans="1:5" x14ac:dyDescent="0.35">
      <c r="A4460">
        <v>2011</v>
      </c>
      <c r="B4460" t="s">
        <v>37</v>
      </c>
      <c r="C4460" t="s">
        <v>190</v>
      </c>
      <c r="D4460">
        <v>82</v>
      </c>
      <c r="E4460" t="s">
        <v>466</v>
      </c>
    </row>
    <row r="4461" spans="1:5" x14ac:dyDescent="0.35">
      <c r="A4461">
        <v>2011</v>
      </c>
      <c r="B4461" t="s">
        <v>36</v>
      </c>
      <c r="C4461" t="s">
        <v>191</v>
      </c>
      <c r="D4461">
        <v>596</v>
      </c>
      <c r="E4461" t="s">
        <v>466</v>
      </c>
    </row>
    <row r="4462" spans="1:5" x14ac:dyDescent="0.35">
      <c r="A4462">
        <v>2011</v>
      </c>
      <c r="B4462" t="s">
        <v>33</v>
      </c>
      <c r="C4462" t="s">
        <v>192</v>
      </c>
      <c r="D4462">
        <v>43</v>
      </c>
      <c r="E4462" t="s">
        <v>466</v>
      </c>
    </row>
    <row r="4463" spans="1:5" x14ac:dyDescent="0.35">
      <c r="A4463">
        <v>2011</v>
      </c>
      <c r="B4463" t="s">
        <v>34</v>
      </c>
      <c r="C4463" t="s">
        <v>193</v>
      </c>
      <c r="D4463">
        <v>224</v>
      </c>
      <c r="E4463" t="s">
        <v>466</v>
      </c>
    </row>
    <row r="4464" spans="1:5" x14ac:dyDescent="0.35">
      <c r="A4464">
        <v>2011</v>
      </c>
      <c r="B4464" t="s">
        <v>34</v>
      </c>
      <c r="C4464" t="s">
        <v>194</v>
      </c>
      <c r="D4464">
        <v>8</v>
      </c>
      <c r="E4464" t="s">
        <v>466</v>
      </c>
    </row>
    <row r="4465" spans="1:5" x14ac:dyDescent="0.35">
      <c r="A4465">
        <v>2011</v>
      </c>
      <c r="B4465" t="s">
        <v>36</v>
      </c>
      <c r="C4465" t="s">
        <v>372</v>
      </c>
      <c r="D4465">
        <v>11</v>
      </c>
      <c r="E4465" t="s">
        <v>466</v>
      </c>
    </row>
    <row r="4466" spans="1:5" x14ac:dyDescent="0.35">
      <c r="A4466">
        <v>2011</v>
      </c>
      <c r="B4466" t="s">
        <v>33</v>
      </c>
      <c r="C4466" t="s">
        <v>195</v>
      </c>
      <c r="D4466">
        <v>66</v>
      </c>
      <c r="E4466" t="s">
        <v>466</v>
      </c>
    </row>
    <row r="4467" spans="1:5" x14ac:dyDescent="0.35">
      <c r="A4467">
        <v>2011</v>
      </c>
      <c r="B4467" t="s">
        <v>35</v>
      </c>
      <c r="C4467" t="s">
        <v>196</v>
      </c>
      <c r="D4467">
        <v>393</v>
      </c>
      <c r="E4467" t="s">
        <v>466</v>
      </c>
    </row>
    <row r="4468" spans="1:5" x14ac:dyDescent="0.35">
      <c r="A4468">
        <v>2011</v>
      </c>
      <c r="B4468" t="s">
        <v>34</v>
      </c>
      <c r="C4468" t="s">
        <v>197</v>
      </c>
      <c r="D4468">
        <v>3</v>
      </c>
      <c r="E4468" t="s">
        <v>466</v>
      </c>
    </row>
    <row r="4469" spans="1:5" x14ac:dyDescent="0.35">
      <c r="A4469">
        <v>2011</v>
      </c>
      <c r="B4469" t="s">
        <v>35</v>
      </c>
      <c r="C4469" t="s">
        <v>198</v>
      </c>
      <c r="D4469">
        <v>518</v>
      </c>
      <c r="E4469" t="s">
        <v>466</v>
      </c>
    </row>
    <row r="4470" spans="1:5" x14ac:dyDescent="0.35">
      <c r="A4470">
        <v>2011</v>
      </c>
      <c r="B4470" t="s">
        <v>39</v>
      </c>
      <c r="C4470" t="s">
        <v>39</v>
      </c>
      <c r="D4470">
        <v>775</v>
      </c>
      <c r="E4470" t="s">
        <v>466</v>
      </c>
    </row>
    <row r="4471" spans="1:5" x14ac:dyDescent="0.35">
      <c r="A4471">
        <v>2011</v>
      </c>
      <c r="B4471" t="s">
        <v>38</v>
      </c>
      <c r="C4471" t="s">
        <v>199</v>
      </c>
      <c r="D4471">
        <v>239</v>
      </c>
      <c r="E4471" t="s">
        <v>466</v>
      </c>
    </row>
    <row r="4472" spans="1:5" x14ac:dyDescent="0.35">
      <c r="A4472">
        <v>2011</v>
      </c>
      <c r="B4472" t="s">
        <v>34</v>
      </c>
      <c r="C4472" t="s">
        <v>200</v>
      </c>
      <c r="D4472">
        <v>135</v>
      </c>
      <c r="E4472" t="s">
        <v>466</v>
      </c>
    </row>
    <row r="4473" spans="1:5" x14ac:dyDescent="0.35">
      <c r="A4473">
        <v>2011</v>
      </c>
      <c r="B4473" t="s">
        <v>38</v>
      </c>
      <c r="C4473" t="s">
        <v>19</v>
      </c>
      <c r="D4473">
        <v>575</v>
      </c>
      <c r="E4473" t="s">
        <v>466</v>
      </c>
    </row>
    <row r="4474" spans="1:5" x14ac:dyDescent="0.35">
      <c r="A4474">
        <v>2011</v>
      </c>
      <c r="B4474" t="s">
        <v>34</v>
      </c>
      <c r="C4474" t="s">
        <v>201</v>
      </c>
      <c r="D4474">
        <v>1413</v>
      </c>
      <c r="E4474" t="s">
        <v>466</v>
      </c>
    </row>
    <row r="4475" spans="1:5" x14ac:dyDescent="0.35">
      <c r="A4475">
        <v>2011</v>
      </c>
      <c r="B4475" t="s">
        <v>34</v>
      </c>
      <c r="C4475" t="s">
        <v>202</v>
      </c>
      <c r="D4475">
        <v>86</v>
      </c>
      <c r="E4475" t="s">
        <v>466</v>
      </c>
    </row>
    <row r="4476" spans="1:5" x14ac:dyDescent="0.35">
      <c r="A4476">
        <v>2011</v>
      </c>
      <c r="B4476" t="s">
        <v>33</v>
      </c>
      <c r="C4476" t="s">
        <v>203</v>
      </c>
      <c r="D4476">
        <v>49</v>
      </c>
      <c r="E4476" t="s">
        <v>466</v>
      </c>
    </row>
    <row r="4477" spans="1:5" x14ac:dyDescent="0.35">
      <c r="A4477">
        <v>2011</v>
      </c>
      <c r="B4477" t="s">
        <v>33</v>
      </c>
      <c r="C4477" t="s">
        <v>204</v>
      </c>
      <c r="D4477">
        <v>88</v>
      </c>
      <c r="E4477" t="s">
        <v>466</v>
      </c>
    </row>
    <row r="4478" spans="1:5" x14ac:dyDescent="0.35">
      <c r="A4478">
        <v>2012</v>
      </c>
      <c r="B4478" t="s">
        <v>37</v>
      </c>
      <c r="C4478" t="s">
        <v>153</v>
      </c>
      <c r="D4478">
        <v>15</v>
      </c>
      <c r="E4478" t="s">
        <v>458</v>
      </c>
    </row>
    <row r="4479" spans="1:5" x14ac:dyDescent="0.35">
      <c r="A4479">
        <v>2012</v>
      </c>
      <c r="B4479" t="s">
        <v>34</v>
      </c>
      <c r="C4479" t="s">
        <v>152</v>
      </c>
      <c r="D4479">
        <v>112</v>
      </c>
      <c r="E4479" t="s">
        <v>328</v>
      </c>
    </row>
    <row r="4480" spans="1:5" x14ac:dyDescent="0.35">
      <c r="A4480">
        <v>2012</v>
      </c>
      <c r="B4480" t="s">
        <v>34</v>
      </c>
      <c r="C4480" t="s">
        <v>152</v>
      </c>
      <c r="D4480">
        <v>61</v>
      </c>
      <c r="E4480" t="s">
        <v>458</v>
      </c>
    </row>
    <row r="4481" spans="1:5" x14ac:dyDescent="0.35">
      <c r="A4481">
        <v>2012</v>
      </c>
      <c r="B4481" t="s">
        <v>35</v>
      </c>
      <c r="C4481" t="s">
        <v>150</v>
      </c>
      <c r="E4481" t="s">
        <v>328</v>
      </c>
    </row>
    <row r="4482" spans="1:5" x14ac:dyDescent="0.35">
      <c r="A4482">
        <v>2012</v>
      </c>
      <c r="B4482" t="s">
        <v>35</v>
      </c>
      <c r="C4482" t="s">
        <v>150</v>
      </c>
      <c r="E4482" t="s">
        <v>458</v>
      </c>
    </row>
    <row r="4483" spans="1:5" x14ac:dyDescent="0.35">
      <c r="A4483">
        <v>2012</v>
      </c>
      <c r="B4483" t="s">
        <v>35</v>
      </c>
      <c r="C4483" t="s">
        <v>322</v>
      </c>
      <c r="D4483">
        <v>21</v>
      </c>
      <c r="E4483" t="s">
        <v>328</v>
      </c>
    </row>
    <row r="4484" spans="1:5" x14ac:dyDescent="0.35">
      <c r="A4484">
        <v>2012</v>
      </c>
      <c r="B4484" t="s">
        <v>37</v>
      </c>
      <c r="C4484" t="s">
        <v>146</v>
      </c>
      <c r="D4484">
        <v>17</v>
      </c>
      <c r="E4484" t="s">
        <v>328</v>
      </c>
    </row>
    <row r="4485" spans="1:5" x14ac:dyDescent="0.35">
      <c r="A4485">
        <v>2012</v>
      </c>
      <c r="B4485" t="s">
        <v>33</v>
      </c>
      <c r="C4485" t="s">
        <v>149</v>
      </c>
      <c r="D4485">
        <v>141</v>
      </c>
      <c r="E4485" t="s">
        <v>328</v>
      </c>
    </row>
    <row r="4486" spans="1:5" x14ac:dyDescent="0.35">
      <c r="A4486">
        <v>2012</v>
      </c>
      <c r="B4486" t="s">
        <v>33</v>
      </c>
      <c r="C4486" t="s">
        <v>149</v>
      </c>
      <c r="D4486">
        <v>162</v>
      </c>
      <c r="E4486" t="s">
        <v>458</v>
      </c>
    </row>
    <row r="4487" spans="1:5" x14ac:dyDescent="0.35">
      <c r="A4487">
        <v>2012</v>
      </c>
      <c r="B4487" t="s">
        <v>33</v>
      </c>
      <c r="C4487" t="s">
        <v>148</v>
      </c>
      <c r="D4487">
        <v>9</v>
      </c>
      <c r="E4487" t="s">
        <v>328</v>
      </c>
    </row>
    <row r="4488" spans="1:5" x14ac:dyDescent="0.35">
      <c r="A4488">
        <v>2012</v>
      </c>
      <c r="B4488" t="s">
        <v>33</v>
      </c>
      <c r="C4488" t="s">
        <v>148</v>
      </c>
      <c r="D4488">
        <v>7</v>
      </c>
      <c r="E4488" t="s">
        <v>458</v>
      </c>
    </row>
    <row r="4489" spans="1:5" x14ac:dyDescent="0.35">
      <c r="A4489">
        <v>2012</v>
      </c>
      <c r="B4489" t="s">
        <v>36</v>
      </c>
      <c r="C4489" t="s">
        <v>147</v>
      </c>
      <c r="D4489">
        <v>669</v>
      </c>
      <c r="E4489" t="s">
        <v>328</v>
      </c>
    </row>
    <row r="4490" spans="1:5" x14ac:dyDescent="0.35">
      <c r="A4490">
        <v>2012</v>
      </c>
      <c r="B4490" t="s">
        <v>36</v>
      </c>
      <c r="C4490" t="s">
        <v>147</v>
      </c>
      <c r="D4490">
        <v>731</v>
      </c>
      <c r="E4490" t="s">
        <v>458</v>
      </c>
    </row>
    <row r="4491" spans="1:5" x14ac:dyDescent="0.35">
      <c r="A4491">
        <v>2012</v>
      </c>
      <c r="B4491" t="s">
        <v>37</v>
      </c>
      <c r="C4491" t="s">
        <v>146</v>
      </c>
      <c r="D4491">
        <v>17</v>
      </c>
      <c r="E4491" t="s">
        <v>458</v>
      </c>
    </row>
    <row r="4492" spans="1:5" x14ac:dyDescent="0.35">
      <c r="A4492">
        <v>2012</v>
      </c>
      <c r="B4492" t="s">
        <v>35</v>
      </c>
      <c r="C4492" t="s">
        <v>322</v>
      </c>
      <c r="D4492">
        <v>9</v>
      </c>
      <c r="E4492" t="s">
        <v>458</v>
      </c>
    </row>
    <row r="4493" spans="1:5" x14ac:dyDescent="0.35">
      <c r="A4493">
        <v>2012</v>
      </c>
      <c r="B4493" t="s">
        <v>36</v>
      </c>
      <c r="C4493" t="s">
        <v>154</v>
      </c>
      <c r="D4493">
        <v>92</v>
      </c>
      <c r="E4493" t="s">
        <v>458</v>
      </c>
    </row>
    <row r="4494" spans="1:5" x14ac:dyDescent="0.35">
      <c r="A4494">
        <v>2012</v>
      </c>
      <c r="B4494" t="s">
        <v>35</v>
      </c>
      <c r="C4494" t="s">
        <v>157</v>
      </c>
      <c r="D4494">
        <v>251</v>
      </c>
      <c r="E4494" t="s">
        <v>328</v>
      </c>
    </row>
    <row r="4495" spans="1:5" x14ac:dyDescent="0.35">
      <c r="A4495">
        <v>2012</v>
      </c>
      <c r="B4495" t="s">
        <v>38</v>
      </c>
      <c r="C4495" t="s">
        <v>155</v>
      </c>
      <c r="D4495">
        <v>6</v>
      </c>
      <c r="E4495" t="s">
        <v>458</v>
      </c>
    </row>
    <row r="4496" spans="1:5" x14ac:dyDescent="0.35">
      <c r="A4496">
        <v>2012</v>
      </c>
      <c r="B4496" t="s">
        <v>36</v>
      </c>
      <c r="C4496" t="s">
        <v>164</v>
      </c>
      <c r="D4496">
        <v>12</v>
      </c>
      <c r="E4496" t="s">
        <v>458</v>
      </c>
    </row>
    <row r="4497" spans="1:5" x14ac:dyDescent="0.35">
      <c r="A4497">
        <v>2012</v>
      </c>
      <c r="B4497" t="s">
        <v>36</v>
      </c>
      <c r="C4497" t="s">
        <v>163</v>
      </c>
      <c r="D4497">
        <v>4</v>
      </c>
      <c r="E4497" t="s">
        <v>328</v>
      </c>
    </row>
    <row r="4498" spans="1:5" x14ac:dyDescent="0.35">
      <c r="A4498">
        <v>2012</v>
      </c>
      <c r="B4498" t="s">
        <v>36</v>
      </c>
      <c r="C4498" t="s">
        <v>163</v>
      </c>
      <c r="D4498">
        <v>33</v>
      </c>
      <c r="E4498" t="s">
        <v>458</v>
      </c>
    </row>
    <row r="4499" spans="1:5" x14ac:dyDescent="0.35">
      <c r="A4499">
        <v>2012</v>
      </c>
      <c r="B4499" t="s">
        <v>33</v>
      </c>
      <c r="C4499" t="s">
        <v>162</v>
      </c>
      <c r="E4499" t="s">
        <v>328</v>
      </c>
    </row>
    <row r="4500" spans="1:5" x14ac:dyDescent="0.35">
      <c r="A4500">
        <v>2012</v>
      </c>
      <c r="B4500" t="s">
        <v>33</v>
      </c>
      <c r="C4500" t="s">
        <v>162</v>
      </c>
      <c r="E4500" t="s">
        <v>458</v>
      </c>
    </row>
    <row r="4501" spans="1:5" x14ac:dyDescent="0.35">
      <c r="A4501">
        <v>2012</v>
      </c>
      <c r="B4501" t="s">
        <v>35</v>
      </c>
      <c r="C4501" t="s">
        <v>161</v>
      </c>
      <c r="D4501">
        <v>96</v>
      </c>
      <c r="E4501" t="s">
        <v>328</v>
      </c>
    </row>
    <row r="4502" spans="1:5" x14ac:dyDescent="0.35">
      <c r="A4502">
        <v>2012</v>
      </c>
      <c r="B4502" t="s">
        <v>35</v>
      </c>
      <c r="C4502" t="s">
        <v>161</v>
      </c>
      <c r="D4502">
        <v>81</v>
      </c>
      <c r="E4502" t="s">
        <v>458</v>
      </c>
    </row>
    <row r="4503" spans="1:5" x14ac:dyDescent="0.35">
      <c r="A4503">
        <v>2012</v>
      </c>
      <c r="B4503" t="s">
        <v>35</v>
      </c>
      <c r="C4503" t="s">
        <v>160</v>
      </c>
      <c r="D4503">
        <v>112</v>
      </c>
      <c r="E4503" t="s">
        <v>328</v>
      </c>
    </row>
    <row r="4504" spans="1:5" x14ac:dyDescent="0.35">
      <c r="A4504">
        <v>2012</v>
      </c>
      <c r="B4504" t="s">
        <v>35</v>
      </c>
      <c r="C4504" t="s">
        <v>160</v>
      </c>
      <c r="D4504">
        <v>85</v>
      </c>
      <c r="E4504" t="s">
        <v>458</v>
      </c>
    </row>
    <row r="4505" spans="1:5" x14ac:dyDescent="0.35">
      <c r="A4505">
        <v>2012</v>
      </c>
      <c r="B4505" t="s">
        <v>35</v>
      </c>
      <c r="C4505" t="s">
        <v>158</v>
      </c>
      <c r="D4505">
        <v>50</v>
      </c>
      <c r="E4505" t="s">
        <v>328</v>
      </c>
    </row>
    <row r="4506" spans="1:5" x14ac:dyDescent="0.35">
      <c r="A4506">
        <v>2012</v>
      </c>
      <c r="B4506" t="s">
        <v>35</v>
      </c>
      <c r="C4506" t="s">
        <v>158</v>
      </c>
      <c r="D4506">
        <v>86</v>
      </c>
      <c r="E4506" t="s">
        <v>458</v>
      </c>
    </row>
    <row r="4507" spans="1:5" x14ac:dyDescent="0.35">
      <c r="A4507">
        <v>2012</v>
      </c>
      <c r="B4507" t="s">
        <v>35</v>
      </c>
      <c r="C4507" t="s">
        <v>157</v>
      </c>
      <c r="D4507">
        <v>162</v>
      </c>
      <c r="E4507" t="s">
        <v>458</v>
      </c>
    </row>
    <row r="4508" spans="1:5" x14ac:dyDescent="0.35">
      <c r="A4508">
        <v>2012</v>
      </c>
      <c r="B4508" t="s">
        <v>34</v>
      </c>
      <c r="C4508" t="s">
        <v>18</v>
      </c>
      <c r="D4508">
        <v>188</v>
      </c>
      <c r="E4508" t="s">
        <v>328</v>
      </c>
    </row>
    <row r="4509" spans="1:5" x14ac:dyDescent="0.35">
      <c r="A4509">
        <v>2012</v>
      </c>
      <c r="B4509" t="s">
        <v>34</v>
      </c>
      <c r="C4509" t="s">
        <v>18</v>
      </c>
      <c r="D4509">
        <v>292</v>
      </c>
      <c r="E4509" t="s">
        <v>458</v>
      </c>
    </row>
    <row r="4510" spans="1:5" x14ac:dyDescent="0.35">
      <c r="A4510">
        <v>2012</v>
      </c>
      <c r="B4510" t="s">
        <v>38</v>
      </c>
      <c r="C4510" t="s">
        <v>156</v>
      </c>
      <c r="D4510">
        <v>358</v>
      </c>
      <c r="E4510" t="s">
        <v>328</v>
      </c>
    </row>
    <row r="4511" spans="1:5" x14ac:dyDescent="0.35">
      <c r="A4511">
        <v>2012</v>
      </c>
      <c r="B4511" t="s">
        <v>38</v>
      </c>
      <c r="C4511" t="s">
        <v>156</v>
      </c>
      <c r="D4511">
        <v>414</v>
      </c>
      <c r="E4511" t="s">
        <v>458</v>
      </c>
    </row>
    <row r="4512" spans="1:5" x14ac:dyDescent="0.35">
      <c r="A4512">
        <v>2012</v>
      </c>
      <c r="B4512" t="s">
        <v>38</v>
      </c>
      <c r="C4512" t="s">
        <v>155</v>
      </c>
      <c r="D4512">
        <v>13</v>
      </c>
      <c r="E4512" t="s">
        <v>328</v>
      </c>
    </row>
    <row r="4513" spans="1:5" x14ac:dyDescent="0.35">
      <c r="A4513">
        <v>2012</v>
      </c>
      <c r="B4513" t="s">
        <v>36</v>
      </c>
      <c r="C4513" t="s">
        <v>154</v>
      </c>
      <c r="D4513">
        <v>27</v>
      </c>
      <c r="E4513" t="s">
        <v>328</v>
      </c>
    </row>
    <row r="4514" spans="1:5" x14ac:dyDescent="0.35">
      <c r="A4514">
        <v>2012</v>
      </c>
      <c r="B4514" t="s">
        <v>35</v>
      </c>
      <c r="C4514" t="s">
        <v>145</v>
      </c>
      <c r="D4514">
        <v>15</v>
      </c>
      <c r="E4514" t="s">
        <v>328</v>
      </c>
    </row>
    <row r="4515" spans="1:5" x14ac:dyDescent="0.35">
      <c r="A4515">
        <v>2012</v>
      </c>
      <c r="B4515" t="s">
        <v>34</v>
      </c>
      <c r="C4515" t="s">
        <v>139</v>
      </c>
      <c r="D4515">
        <v>22</v>
      </c>
      <c r="E4515" t="s">
        <v>458</v>
      </c>
    </row>
    <row r="4516" spans="1:5" x14ac:dyDescent="0.35">
      <c r="A4516">
        <v>2012</v>
      </c>
      <c r="B4516" t="s">
        <v>34</v>
      </c>
      <c r="C4516" t="s">
        <v>144</v>
      </c>
      <c r="D4516">
        <v>29</v>
      </c>
      <c r="E4516" t="s">
        <v>328</v>
      </c>
    </row>
    <row r="4517" spans="1:5" x14ac:dyDescent="0.35">
      <c r="A4517">
        <v>2012</v>
      </c>
      <c r="B4517" t="s">
        <v>33</v>
      </c>
      <c r="C4517" t="s">
        <v>130</v>
      </c>
      <c r="E4517" t="s">
        <v>458</v>
      </c>
    </row>
    <row r="4518" spans="1:5" x14ac:dyDescent="0.35">
      <c r="A4518">
        <v>2012</v>
      </c>
      <c r="B4518" t="s">
        <v>35</v>
      </c>
      <c r="C4518" t="s">
        <v>127</v>
      </c>
      <c r="D4518">
        <v>17</v>
      </c>
      <c r="E4518" t="s">
        <v>328</v>
      </c>
    </row>
    <row r="4519" spans="1:5" x14ac:dyDescent="0.35">
      <c r="A4519">
        <v>2012</v>
      </c>
      <c r="B4519" t="s">
        <v>35</v>
      </c>
      <c r="C4519" t="s">
        <v>127</v>
      </c>
      <c r="D4519">
        <v>23</v>
      </c>
      <c r="E4519" t="s">
        <v>458</v>
      </c>
    </row>
    <row r="4520" spans="1:5" x14ac:dyDescent="0.35">
      <c r="A4520">
        <v>2012</v>
      </c>
      <c r="B4520" t="s">
        <v>33</v>
      </c>
      <c r="C4520" t="s">
        <v>125</v>
      </c>
      <c r="D4520">
        <v>16</v>
      </c>
      <c r="E4520" t="s">
        <v>328</v>
      </c>
    </row>
    <row r="4521" spans="1:5" x14ac:dyDescent="0.35">
      <c r="A4521">
        <v>2012</v>
      </c>
      <c r="B4521" t="s">
        <v>33</v>
      </c>
      <c r="C4521" t="s">
        <v>125</v>
      </c>
      <c r="D4521">
        <v>10</v>
      </c>
      <c r="E4521" t="s">
        <v>458</v>
      </c>
    </row>
    <row r="4522" spans="1:5" x14ac:dyDescent="0.35">
      <c r="A4522">
        <v>2012</v>
      </c>
      <c r="B4522" t="s">
        <v>34</v>
      </c>
      <c r="C4522" t="s">
        <v>124</v>
      </c>
      <c r="D4522">
        <v>37</v>
      </c>
      <c r="E4522" t="s">
        <v>328</v>
      </c>
    </row>
    <row r="4523" spans="1:5" x14ac:dyDescent="0.35">
      <c r="A4523">
        <v>2012</v>
      </c>
      <c r="B4523" t="s">
        <v>34</v>
      </c>
      <c r="C4523" t="s">
        <v>124</v>
      </c>
      <c r="D4523">
        <v>29</v>
      </c>
      <c r="E4523" t="s">
        <v>458</v>
      </c>
    </row>
    <row r="4524" spans="1:5" x14ac:dyDescent="0.35">
      <c r="A4524">
        <v>2012</v>
      </c>
      <c r="B4524" t="s">
        <v>33</v>
      </c>
      <c r="C4524" t="s">
        <v>130</v>
      </c>
      <c r="E4524" t="s">
        <v>328</v>
      </c>
    </row>
    <row r="4525" spans="1:5" x14ac:dyDescent="0.35">
      <c r="A4525">
        <v>2012</v>
      </c>
      <c r="B4525" t="s">
        <v>35</v>
      </c>
      <c r="C4525" t="s">
        <v>123</v>
      </c>
      <c r="D4525">
        <v>10</v>
      </c>
      <c r="E4525" t="s">
        <v>328</v>
      </c>
    </row>
    <row r="4526" spans="1:5" x14ac:dyDescent="0.35">
      <c r="A4526">
        <v>2012</v>
      </c>
      <c r="B4526" t="s">
        <v>34</v>
      </c>
      <c r="C4526" t="s">
        <v>122</v>
      </c>
      <c r="D4526">
        <v>8</v>
      </c>
      <c r="E4526" t="s">
        <v>328</v>
      </c>
    </row>
    <row r="4527" spans="1:5" x14ac:dyDescent="0.35">
      <c r="A4527">
        <v>2012</v>
      </c>
      <c r="B4527" t="s">
        <v>34</v>
      </c>
      <c r="C4527" t="s">
        <v>122</v>
      </c>
      <c r="D4527">
        <v>3</v>
      </c>
      <c r="E4527" t="s">
        <v>458</v>
      </c>
    </row>
    <row r="4528" spans="1:5" x14ac:dyDescent="0.35">
      <c r="A4528">
        <v>2012</v>
      </c>
      <c r="B4528" t="s">
        <v>34</v>
      </c>
      <c r="C4528" t="s">
        <v>121</v>
      </c>
      <c r="E4528" t="s">
        <v>328</v>
      </c>
    </row>
    <row r="4529" spans="1:5" x14ac:dyDescent="0.35">
      <c r="A4529">
        <v>2012</v>
      </c>
      <c r="B4529" t="s">
        <v>34</v>
      </c>
      <c r="C4529" t="s">
        <v>121</v>
      </c>
      <c r="E4529" t="s">
        <v>458</v>
      </c>
    </row>
    <row r="4530" spans="1:5" x14ac:dyDescent="0.35">
      <c r="A4530">
        <v>2012</v>
      </c>
      <c r="B4530" t="s">
        <v>34</v>
      </c>
      <c r="C4530" t="s">
        <v>120</v>
      </c>
      <c r="D4530">
        <v>5</v>
      </c>
      <c r="E4530" t="s">
        <v>328</v>
      </c>
    </row>
    <row r="4531" spans="1:5" x14ac:dyDescent="0.35">
      <c r="A4531">
        <v>2012</v>
      </c>
      <c r="B4531" t="s">
        <v>36</v>
      </c>
      <c r="C4531" t="s">
        <v>164</v>
      </c>
      <c r="D4531">
        <v>11</v>
      </c>
      <c r="E4531" t="s">
        <v>328</v>
      </c>
    </row>
    <row r="4532" spans="1:5" x14ac:dyDescent="0.35">
      <c r="A4532">
        <v>2012</v>
      </c>
      <c r="B4532" t="s">
        <v>35</v>
      </c>
      <c r="C4532" t="s">
        <v>119</v>
      </c>
      <c r="D4532">
        <v>10</v>
      </c>
      <c r="E4532" t="s">
        <v>328</v>
      </c>
    </row>
    <row r="4533" spans="1:5" x14ac:dyDescent="0.35">
      <c r="A4533">
        <v>2012</v>
      </c>
      <c r="B4533" t="s">
        <v>35</v>
      </c>
      <c r="C4533" t="s">
        <v>123</v>
      </c>
      <c r="D4533">
        <v>11</v>
      </c>
      <c r="E4533" t="s">
        <v>458</v>
      </c>
    </row>
    <row r="4534" spans="1:5" x14ac:dyDescent="0.35">
      <c r="A4534">
        <v>2012</v>
      </c>
      <c r="B4534" t="s">
        <v>35</v>
      </c>
      <c r="C4534" t="s">
        <v>145</v>
      </c>
      <c r="D4534">
        <v>27</v>
      </c>
      <c r="E4534" t="s">
        <v>458</v>
      </c>
    </row>
    <row r="4535" spans="1:5" x14ac:dyDescent="0.35">
      <c r="A4535">
        <v>2012</v>
      </c>
      <c r="B4535" t="s">
        <v>34</v>
      </c>
      <c r="C4535" t="s">
        <v>131</v>
      </c>
      <c r="D4535">
        <v>12</v>
      </c>
      <c r="E4535" t="s">
        <v>458</v>
      </c>
    </row>
    <row r="4536" spans="1:5" x14ac:dyDescent="0.35">
      <c r="A4536">
        <v>2012</v>
      </c>
      <c r="B4536" t="s">
        <v>33</v>
      </c>
      <c r="C4536" t="s">
        <v>132</v>
      </c>
      <c r="D4536">
        <v>5</v>
      </c>
      <c r="E4536" t="s">
        <v>458</v>
      </c>
    </row>
    <row r="4537" spans="1:5" x14ac:dyDescent="0.35">
      <c r="A4537">
        <v>2012</v>
      </c>
      <c r="B4537" t="s">
        <v>34</v>
      </c>
      <c r="C4537" t="s">
        <v>144</v>
      </c>
      <c r="D4537">
        <v>9</v>
      </c>
      <c r="E4537" t="s">
        <v>458</v>
      </c>
    </row>
    <row r="4538" spans="1:5" x14ac:dyDescent="0.35">
      <c r="A4538">
        <v>2012</v>
      </c>
      <c r="B4538" t="s">
        <v>33</v>
      </c>
      <c r="C4538" t="s">
        <v>141</v>
      </c>
      <c r="D4538">
        <v>21</v>
      </c>
      <c r="E4538" t="s">
        <v>328</v>
      </c>
    </row>
    <row r="4539" spans="1:5" x14ac:dyDescent="0.35">
      <c r="A4539">
        <v>2012</v>
      </c>
      <c r="B4539" t="s">
        <v>33</v>
      </c>
      <c r="C4539" t="s">
        <v>141</v>
      </c>
      <c r="D4539">
        <v>37</v>
      </c>
      <c r="E4539" t="s">
        <v>458</v>
      </c>
    </row>
    <row r="4540" spans="1:5" x14ac:dyDescent="0.35">
      <c r="A4540">
        <v>2012</v>
      </c>
      <c r="B4540" t="s">
        <v>35</v>
      </c>
      <c r="C4540" t="s">
        <v>140</v>
      </c>
      <c r="D4540">
        <v>4</v>
      </c>
      <c r="E4540" t="s">
        <v>328</v>
      </c>
    </row>
    <row r="4541" spans="1:5" x14ac:dyDescent="0.35">
      <c r="A4541">
        <v>2012</v>
      </c>
      <c r="B4541" t="s">
        <v>35</v>
      </c>
      <c r="C4541" t="s">
        <v>140</v>
      </c>
      <c r="D4541">
        <v>8</v>
      </c>
      <c r="E4541" t="s">
        <v>458</v>
      </c>
    </row>
    <row r="4542" spans="1:5" x14ac:dyDescent="0.35">
      <c r="A4542">
        <v>2012</v>
      </c>
      <c r="B4542" t="s">
        <v>34</v>
      </c>
      <c r="C4542" t="s">
        <v>139</v>
      </c>
      <c r="D4542">
        <v>33</v>
      </c>
      <c r="E4542" t="s">
        <v>328</v>
      </c>
    </row>
    <row r="4543" spans="1:5" x14ac:dyDescent="0.35">
      <c r="A4543">
        <v>2012</v>
      </c>
      <c r="B4543" t="s">
        <v>35</v>
      </c>
      <c r="C4543" t="s">
        <v>138</v>
      </c>
      <c r="D4543">
        <v>34</v>
      </c>
      <c r="E4543" t="s">
        <v>328</v>
      </c>
    </row>
    <row r="4544" spans="1:5" x14ac:dyDescent="0.35">
      <c r="A4544">
        <v>2012</v>
      </c>
      <c r="B4544" t="s">
        <v>34</v>
      </c>
      <c r="C4544" t="s">
        <v>131</v>
      </c>
      <c r="D4544">
        <v>18</v>
      </c>
      <c r="E4544" t="s">
        <v>328</v>
      </c>
    </row>
    <row r="4545" spans="1:5" x14ac:dyDescent="0.35">
      <c r="A4545">
        <v>2012</v>
      </c>
      <c r="B4545" t="s">
        <v>35</v>
      </c>
      <c r="C4545" t="s">
        <v>138</v>
      </c>
      <c r="D4545">
        <v>24</v>
      </c>
      <c r="E4545" t="s">
        <v>458</v>
      </c>
    </row>
    <row r="4546" spans="1:5" x14ac:dyDescent="0.35">
      <c r="A4546">
        <v>2012</v>
      </c>
      <c r="B4546" t="s">
        <v>37</v>
      </c>
      <c r="C4546" t="s">
        <v>137</v>
      </c>
      <c r="E4546" t="s">
        <v>458</v>
      </c>
    </row>
    <row r="4547" spans="1:5" x14ac:dyDescent="0.35">
      <c r="A4547">
        <v>2012</v>
      </c>
      <c r="B4547" t="s">
        <v>36</v>
      </c>
      <c r="C4547" t="s">
        <v>14</v>
      </c>
      <c r="D4547">
        <v>152301</v>
      </c>
      <c r="E4547" t="s">
        <v>328</v>
      </c>
    </row>
    <row r="4548" spans="1:5" x14ac:dyDescent="0.35">
      <c r="A4548">
        <v>2012</v>
      </c>
      <c r="B4548" t="s">
        <v>36</v>
      </c>
      <c r="C4548" t="s">
        <v>14</v>
      </c>
      <c r="D4548">
        <v>151444</v>
      </c>
      <c r="E4548" t="s">
        <v>458</v>
      </c>
    </row>
    <row r="4549" spans="1:5" x14ac:dyDescent="0.35">
      <c r="A4549">
        <v>2012</v>
      </c>
      <c r="B4549" t="s">
        <v>33</v>
      </c>
      <c r="C4549" t="s">
        <v>135</v>
      </c>
      <c r="E4549" t="s">
        <v>328</v>
      </c>
    </row>
    <row r="4550" spans="1:5" x14ac:dyDescent="0.35">
      <c r="A4550">
        <v>2012</v>
      </c>
      <c r="B4550" t="s">
        <v>33</v>
      </c>
      <c r="C4550" t="s">
        <v>135</v>
      </c>
      <c r="E4550" t="s">
        <v>458</v>
      </c>
    </row>
    <row r="4551" spans="1:5" x14ac:dyDescent="0.35">
      <c r="A4551">
        <v>2012</v>
      </c>
      <c r="B4551" t="s">
        <v>37</v>
      </c>
      <c r="C4551" t="s">
        <v>134</v>
      </c>
      <c r="E4551" t="s">
        <v>328</v>
      </c>
    </row>
    <row r="4552" spans="1:5" x14ac:dyDescent="0.35">
      <c r="A4552">
        <v>2012</v>
      </c>
      <c r="B4552" t="s">
        <v>33</v>
      </c>
      <c r="C4552" t="s">
        <v>132</v>
      </c>
      <c r="D4552">
        <v>9</v>
      </c>
      <c r="E4552" t="s">
        <v>328</v>
      </c>
    </row>
    <row r="4553" spans="1:5" x14ac:dyDescent="0.35">
      <c r="A4553">
        <v>2012</v>
      </c>
      <c r="B4553" t="s">
        <v>37</v>
      </c>
      <c r="C4553" t="s">
        <v>137</v>
      </c>
      <c r="E4553" t="s">
        <v>328</v>
      </c>
    </row>
    <row r="4554" spans="1:5" x14ac:dyDescent="0.35">
      <c r="A4554">
        <v>2012</v>
      </c>
      <c r="B4554" t="s">
        <v>37</v>
      </c>
      <c r="C4554" t="s">
        <v>134</v>
      </c>
      <c r="E4554" t="s">
        <v>458</v>
      </c>
    </row>
    <row r="4555" spans="1:5" x14ac:dyDescent="0.35">
      <c r="A4555">
        <v>2012</v>
      </c>
      <c r="B4555" t="s">
        <v>34</v>
      </c>
      <c r="C4555" t="s">
        <v>185</v>
      </c>
      <c r="D4555">
        <v>32</v>
      </c>
      <c r="E4555" t="s">
        <v>328</v>
      </c>
    </row>
    <row r="4556" spans="1:5" x14ac:dyDescent="0.35">
      <c r="A4556">
        <v>2012</v>
      </c>
      <c r="B4556" t="s">
        <v>36</v>
      </c>
      <c r="C4556" t="s">
        <v>165</v>
      </c>
      <c r="D4556">
        <v>3</v>
      </c>
      <c r="E4556" t="s">
        <v>328</v>
      </c>
    </row>
    <row r="4557" spans="1:5" x14ac:dyDescent="0.35">
      <c r="A4557">
        <v>2012</v>
      </c>
      <c r="B4557" t="s">
        <v>33</v>
      </c>
      <c r="C4557" t="s">
        <v>195</v>
      </c>
      <c r="D4557">
        <v>7</v>
      </c>
      <c r="E4557" t="s">
        <v>328</v>
      </c>
    </row>
    <row r="4558" spans="1:5" x14ac:dyDescent="0.35">
      <c r="A4558">
        <v>2012</v>
      </c>
      <c r="B4558" t="s">
        <v>33</v>
      </c>
      <c r="C4558" t="s">
        <v>195</v>
      </c>
      <c r="D4558">
        <v>3</v>
      </c>
      <c r="E4558" t="s">
        <v>458</v>
      </c>
    </row>
    <row r="4559" spans="1:5" x14ac:dyDescent="0.35">
      <c r="A4559">
        <v>2012</v>
      </c>
      <c r="B4559" t="s">
        <v>36</v>
      </c>
      <c r="C4559" t="s">
        <v>372</v>
      </c>
      <c r="D4559">
        <v>5</v>
      </c>
      <c r="E4559" t="s">
        <v>328</v>
      </c>
    </row>
    <row r="4560" spans="1:5" x14ac:dyDescent="0.35">
      <c r="A4560">
        <v>2012</v>
      </c>
      <c r="B4560" t="s">
        <v>36</v>
      </c>
      <c r="C4560" t="s">
        <v>372</v>
      </c>
      <c r="D4560">
        <v>5</v>
      </c>
      <c r="E4560" t="s">
        <v>458</v>
      </c>
    </row>
    <row r="4561" spans="1:5" x14ac:dyDescent="0.35">
      <c r="A4561">
        <v>2012</v>
      </c>
      <c r="B4561" t="s">
        <v>34</v>
      </c>
      <c r="C4561" t="s">
        <v>193</v>
      </c>
      <c r="D4561">
        <v>88</v>
      </c>
      <c r="E4561" t="s">
        <v>328</v>
      </c>
    </row>
    <row r="4562" spans="1:5" x14ac:dyDescent="0.35">
      <c r="A4562">
        <v>2012</v>
      </c>
      <c r="B4562" t="s">
        <v>34</v>
      </c>
      <c r="C4562" t="s">
        <v>193</v>
      </c>
      <c r="D4562">
        <v>33</v>
      </c>
      <c r="E4562" t="s">
        <v>458</v>
      </c>
    </row>
    <row r="4563" spans="1:5" x14ac:dyDescent="0.35">
      <c r="A4563">
        <v>2012</v>
      </c>
      <c r="B4563" t="s">
        <v>33</v>
      </c>
      <c r="C4563" t="s">
        <v>192</v>
      </c>
      <c r="D4563">
        <v>5</v>
      </c>
      <c r="E4563" t="s">
        <v>328</v>
      </c>
    </row>
    <row r="4564" spans="1:5" x14ac:dyDescent="0.35">
      <c r="A4564">
        <v>2012</v>
      </c>
      <c r="B4564" t="s">
        <v>33</v>
      </c>
      <c r="C4564" t="s">
        <v>192</v>
      </c>
      <c r="D4564">
        <v>12</v>
      </c>
      <c r="E4564" t="s">
        <v>458</v>
      </c>
    </row>
    <row r="4565" spans="1:5" x14ac:dyDescent="0.35">
      <c r="A4565">
        <v>2012</v>
      </c>
      <c r="B4565" t="s">
        <v>36</v>
      </c>
      <c r="C4565" t="s">
        <v>191</v>
      </c>
      <c r="D4565">
        <v>56</v>
      </c>
      <c r="E4565" t="s">
        <v>328</v>
      </c>
    </row>
    <row r="4566" spans="1:5" x14ac:dyDescent="0.35">
      <c r="A4566">
        <v>2012</v>
      </c>
      <c r="B4566" t="s">
        <v>36</v>
      </c>
      <c r="C4566" t="s">
        <v>191</v>
      </c>
      <c r="D4566">
        <v>177</v>
      </c>
      <c r="E4566" t="s">
        <v>458</v>
      </c>
    </row>
    <row r="4567" spans="1:5" x14ac:dyDescent="0.35">
      <c r="A4567">
        <v>2012</v>
      </c>
      <c r="B4567" t="s">
        <v>37</v>
      </c>
      <c r="C4567" t="s">
        <v>190</v>
      </c>
      <c r="D4567">
        <v>6</v>
      </c>
      <c r="E4567" t="s">
        <v>328</v>
      </c>
    </row>
    <row r="4568" spans="1:5" x14ac:dyDescent="0.35">
      <c r="A4568">
        <v>2012</v>
      </c>
      <c r="B4568" t="s">
        <v>37</v>
      </c>
      <c r="C4568" t="s">
        <v>190</v>
      </c>
      <c r="D4568">
        <v>27</v>
      </c>
      <c r="E4568" t="s">
        <v>458</v>
      </c>
    </row>
    <row r="4569" spans="1:5" x14ac:dyDescent="0.35">
      <c r="A4569">
        <v>2012</v>
      </c>
      <c r="B4569" t="s">
        <v>33</v>
      </c>
      <c r="C4569" t="s">
        <v>189</v>
      </c>
      <c r="D4569">
        <v>9</v>
      </c>
      <c r="E4569" t="s">
        <v>328</v>
      </c>
    </row>
    <row r="4570" spans="1:5" x14ac:dyDescent="0.35">
      <c r="A4570">
        <v>2012</v>
      </c>
      <c r="B4570" t="s">
        <v>33</v>
      </c>
      <c r="C4570" t="s">
        <v>189</v>
      </c>
      <c r="D4570">
        <v>7</v>
      </c>
      <c r="E4570" t="s">
        <v>458</v>
      </c>
    </row>
    <row r="4571" spans="1:5" x14ac:dyDescent="0.35">
      <c r="A4571">
        <v>2012</v>
      </c>
      <c r="B4571" t="s">
        <v>34</v>
      </c>
      <c r="C4571" t="s">
        <v>188</v>
      </c>
      <c r="D4571">
        <v>45</v>
      </c>
      <c r="E4571" t="s">
        <v>328</v>
      </c>
    </row>
    <row r="4572" spans="1:5" x14ac:dyDescent="0.35">
      <c r="A4572">
        <v>2012</v>
      </c>
      <c r="B4572" t="s">
        <v>35</v>
      </c>
      <c r="C4572" t="s">
        <v>196</v>
      </c>
      <c r="D4572">
        <v>84</v>
      </c>
      <c r="E4572" t="s">
        <v>458</v>
      </c>
    </row>
    <row r="4573" spans="1:5" x14ac:dyDescent="0.35">
      <c r="A4573">
        <v>2012</v>
      </c>
      <c r="B4573" t="s">
        <v>35</v>
      </c>
      <c r="C4573" t="s">
        <v>196</v>
      </c>
      <c r="D4573">
        <v>85</v>
      </c>
      <c r="E4573" t="s">
        <v>328</v>
      </c>
    </row>
    <row r="4574" spans="1:5" x14ac:dyDescent="0.35">
      <c r="A4574">
        <v>2012</v>
      </c>
      <c r="B4574" t="s">
        <v>34</v>
      </c>
      <c r="C4574" t="s">
        <v>197</v>
      </c>
      <c r="E4574" t="s">
        <v>328</v>
      </c>
    </row>
    <row r="4575" spans="1:5" x14ac:dyDescent="0.35">
      <c r="A4575">
        <v>2012</v>
      </c>
      <c r="B4575" t="s">
        <v>35</v>
      </c>
      <c r="C4575" t="s">
        <v>198</v>
      </c>
      <c r="D4575">
        <v>183</v>
      </c>
      <c r="E4575" t="s">
        <v>458</v>
      </c>
    </row>
    <row r="4576" spans="1:5" x14ac:dyDescent="0.35">
      <c r="A4576">
        <v>2012</v>
      </c>
      <c r="B4576" t="s">
        <v>35</v>
      </c>
      <c r="C4576" t="s">
        <v>119</v>
      </c>
      <c r="D4576">
        <v>15</v>
      </c>
      <c r="E4576" t="s">
        <v>458</v>
      </c>
    </row>
    <row r="4577" spans="1:5" x14ac:dyDescent="0.35">
      <c r="A4577">
        <v>2012</v>
      </c>
      <c r="B4577" t="s">
        <v>33</v>
      </c>
      <c r="C4577" t="s">
        <v>203</v>
      </c>
      <c r="D4577">
        <v>7</v>
      </c>
      <c r="E4577" t="s">
        <v>328</v>
      </c>
    </row>
    <row r="4578" spans="1:5" x14ac:dyDescent="0.35">
      <c r="A4578">
        <v>2012</v>
      </c>
      <c r="B4578" t="s">
        <v>33</v>
      </c>
      <c r="C4578" t="s">
        <v>203</v>
      </c>
      <c r="D4578">
        <v>13</v>
      </c>
      <c r="E4578" t="s">
        <v>458</v>
      </c>
    </row>
    <row r="4579" spans="1:5" x14ac:dyDescent="0.35">
      <c r="A4579">
        <v>2012</v>
      </c>
      <c r="B4579" t="s">
        <v>34</v>
      </c>
      <c r="C4579" t="s">
        <v>202</v>
      </c>
      <c r="D4579">
        <v>26</v>
      </c>
      <c r="E4579" t="s">
        <v>328</v>
      </c>
    </row>
    <row r="4580" spans="1:5" x14ac:dyDescent="0.35">
      <c r="A4580">
        <v>2012</v>
      </c>
      <c r="B4580" t="s">
        <v>34</v>
      </c>
      <c r="C4580" t="s">
        <v>202</v>
      </c>
      <c r="D4580">
        <v>11</v>
      </c>
      <c r="E4580" t="s">
        <v>458</v>
      </c>
    </row>
    <row r="4581" spans="1:5" x14ac:dyDescent="0.35">
      <c r="A4581">
        <v>2012</v>
      </c>
      <c r="B4581" t="s">
        <v>34</v>
      </c>
      <c r="C4581" t="s">
        <v>201</v>
      </c>
      <c r="D4581">
        <v>34</v>
      </c>
      <c r="E4581" t="s">
        <v>328</v>
      </c>
    </row>
    <row r="4582" spans="1:5" x14ac:dyDescent="0.35">
      <c r="A4582">
        <v>2012</v>
      </c>
      <c r="B4582" t="s">
        <v>34</v>
      </c>
      <c r="C4582" t="s">
        <v>201</v>
      </c>
      <c r="D4582">
        <v>28</v>
      </c>
      <c r="E4582" t="s">
        <v>458</v>
      </c>
    </row>
    <row r="4583" spans="1:5" x14ac:dyDescent="0.35">
      <c r="A4583">
        <v>2012</v>
      </c>
      <c r="B4583" t="s">
        <v>34</v>
      </c>
      <c r="C4583" t="s">
        <v>188</v>
      </c>
      <c r="D4583">
        <v>25</v>
      </c>
      <c r="E4583" t="s">
        <v>458</v>
      </c>
    </row>
    <row r="4584" spans="1:5" x14ac:dyDescent="0.35">
      <c r="A4584">
        <v>2012</v>
      </c>
      <c r="B4584" t="s">
        <v>38</v>
      </c>
      <c r="C4584" t="s">
        <v>19</v>
      </c>
      <c r="D4584">
        <v>149</v>
      </c>
      <c r="E4584" t="s">
        <v>328</v>
      </c>
    </row>
    <row r="4585" spans="1:5" x14ac:dyDescent="0.35">
      <c r="A4585">
        <v>2012</v>
      </c>
      <c r="B4585" t="s">
        <v>34</v>
      </c>
      <c r="C4585" t="s">
        <v>200</v>
      </c>
      <c r="D4585">
        <v>18</v>
      </c>
      <c r="E4585" t="s">
        <v>328</v>
      </c>
    </row>
    <row r="4586" spans="1:5" x14ac:dyDescent="0.35">
      <c r="A4586">
        <v>2012</v>
      </c>
      <c r="B4586" t="s">
        <v>34</v>
      </c>
      <c r="C4586" t="s">
        <v>200</v>
      </c>
      <c r="D4586">
        <v>8</v>
      </c>
      <c r="E4586" t="s">
        <v>458</v>
      </c>
    </row>
    <row r="4587" spans="1:5" x14ac:dyDescent="0.35">
      <c r="A4587">
        <v>2012</v>
      </c>
      <c r="B4587" t="s">
        <v>38</v>
      </c>
      <c r="C4587" t="s">
        <v>199</v>
      </c>
      <c r="D4587">
        <v>52</v>
      </c>
      <c r="E4587" t="s">
        <v>328</v>
      </c>
    </row>
    <row r="4588" spans="1:5" x14ac:dyDescent="0.35">
      <c r="A4588">
        <v>2012</v>
      </c>
      <c r="B4588" t="s">
        <v>38</v>
      </c>
      <c r="C4588" t="s">
        <v>199</v>
      </c>
      <c r="D4588">
        <v>59</v>
      </c>
      <c r="E4588" t="s">
        <v>458</v>
      </c>
    </row>
    <row r="4589" spans="1:5" x14ac:dyDescent="0.35">
      <c r="A4589">
        <v>2012</v>
      </c>
      <c r="B4589" t="s">
        <v>39</v>
      </c>
      <c r="C4589" t="s">
        <v>39</v>
      </c>
      <c r="D4589">
        <v>21</v>
      </c>
      <c r="E4589" t="s">
        <v>328</v>
      </c>
    </row>
    <row r="4590" spans="1:5" x14ac:dyDescent="0.35">
      <c r="A4590">
        <v>2012</v>
      </c>
      <c r="B4590" t="s">
        <v>39</v>
      </c>
      <c r="C4590" t="s">
        <v>39</v>
      </c>
      <c r="D4590">
        <v>13</v>
      </c>
      <c r="E4590" t="s">
        <v>458</v>
      </c>
    </row>
    <row r="4591" spans="1:5" x14ac:dyDescent="0.35">
      <c r="A4591">
        <v>2012</v>
      </c>
      <c r="B4591" t="s">
        <v>35</v>
      </c>
      <c r="C4591" t="s">
        <v>198</v>
      </c>
      <c r="D4591">
        <v>140</v>
      </c>
      <c r="E4591" t="s">
        <v>328</v>
      </c>
    </row>
    <row r="4592" spans="1:5" x14ac:dyDescent="0.35">
      <c r="A4592">
        <v>2012</v>
      </c>
      <c r="B4592" t="s">
        <v>38</v>
      </c>
      <c r="C4592" t="s">
        <v>19</v>
      </c>
      <c r="D4592">
        <v>122</v>
      </c>
      <c r="E4592" t="s">
        <v>458</v>
      </c>
    </row>
    <row r="4593" spans="1:5" x14ac:dyDescent="0.35">
      <c r="A4593">
        <v>2012</v>
      </c>
      <c r="B4593" t="s">
        <v>33</v>
      </c>
      <c r="C4593" t="s">
        <v>187</v>
      </c>
      <c r="D4593">
        <v>6</v>
      </c>
      <c r="E4593" t="s">
        <v>328</v>
      </c>
    </row>
    <row r="4594" spans="1:5" x14ac:dyDescent="0.35">
      <c r="A4594">
        <v>2012</v>
      </c>
      <c r="B4594" t="s">
        <v>33</v>
      </c>
      <c r="C4594" t="s">
        <v>187</v>
      </c>
      <c r="D4594">
        <v>9</v>
      </c>
      <c r="E4594" t="s">
        <v>458</v>
      </c>
    </row>
    <row r="4595" spans="1:5" x14ac:dyDescent="0.35">
      <c r="A4595">
        <v>2012</v>
      </c>
      <c r="B4595" t="s">
        <v>34</v>
      </c>
      <c r="C4595" t="s">
        <v>186</v>
      </c>
      <c r="D4595">
        <v>10</v>
      </c>
      <c r="E4595" t="s">
        <v>328</v>
      </c>
    </row>
    <row r="4596" spans="1:5" x14ac:dyDescent="0.35">
      <c r="A4596">
        <v>2012</v>
      </c>
      <c r="B4596" t="s">
        <v>35</v>
      </c>
      <c r="C4596" t="s">
        <v>173</v>
      </c>
      <c r="D4596">
        <v>4</v>
      </c>
      <c r="E4596" t="s">
        <v>328</v>
      </c>
    </row>
    <row r="4597" spans="1:5" x14ac:dyDescent="0.35">
      <c r="A4597">
        <v>2012</v>
      </c>
      <c r="B4597" t="s">
        <v>35</v>
      </c>
      <c r="C4597" t="s">
        <v>172</v>
      </c>
      <c r="D4597">
        <v>19</v>
      </c>
      <c r="E4597" t="s">
        <v>328</v>
      </c>
    </row>
    <row r="4598" spans="1:5" x14ac:dyDescent="0.35">
      <c r="A4598">
        <v>2012</v>
      </c>
      <c r="B4598" t="s">
        <v>35</v>
      </c>
      <c r="C4598" t="s">
        <v>172</v>
      </c>
      <c r="D4598">
        <v>7</v>
      </c>
      <c r="E4598" t="s">
        <v>458</v>
      </c>
    </row>
    <row r="4599" spans="1:5" x14ac:dyDescent="0.35">
      <c r="A4599">
        <v>2012</v>
      </c>
      <c r="B4599" t="s">
        <v>34</v>
      </c>
      <c r="C4599" t="s">
        <v>171</v>
      </c>
      <c r="E4599" t="s">
        <v>458</v>
      </c>
    </row>
    <row r="4600" spans="1:5" x14ac:dyDescent="0.35">
      <c r="A4600">
        <v>2012</v>
      </c>
      <c r="B4600" t="s">
        <v>33</v>
      </c>
      <c r="C4600" t="s">
        <v>170</v>
      </c>
      <c r="D4600">
        <v>7</v>
      </c>
      <c r="E4600" t="s">
        <v>328</v>
      </c>
    </row>
    <row r="4601" spans="1:5" x14ac:dyDescent="0.35">
      <c r="A4601">
        <v>2012</v>
      </c>
      <c r="B4601" t="s">
        <v>33</v>
      </c>
      <c r="C4601" t="s">
        <v>170</v>
      </c>
      <c r="D4601">
        <v>28</v>
      </c>
      <c r="E4601" t="s">
        <v>458</v>
      </c>
    </row>
    <row r="4602" spans="1:5" x14ac:dyDescent="0.35">
      <c r="A4602">
        <v>2012</v>
      </c>
      <c r="B4602" t="s">
        <v>35</v>
      </c>
      <c r="C4602" t="s">
        <v>215</v>
      </c>
      <c r="D4602">
        <v>19</v>
      </c>
      <c r="E4602" t="s">
        <v>328</v>
      </c>
    </row>
    <row r="4603" spans="1:5" x14ac:dyDescent="0.35">
      <c r="A4603">
        <v>2012</v>
      </c>
      <c r="B4603" t="s">
        <v>33</v>
      </c>
      <c r="C4603" t="s">
        <v>174</v>
      </c>
      <c r="D4603">
        <v>5</v>
      </c>
      <c r="E4603" t="s">
        <v>458</v>
      </c>
    </row>
    <row r="4604" spans="1:5" x14ac:dyDescent="0.35">
      <c r="A4604">
        <v>2012</v>
      </c>
      <c r="B4604" t="s">
        <v>35</v>
      </c>
      <c r="C4604" t="s">
        <v>215</v>
      </c>
      <c r="D4604">
        <v>4</v>
      </c>
      <c r="E4604" t="s">
        <v>458</v>
      </c>
    </row>
    <row r="4605" spans="1:5" x14ac:dyDescent="0.35">
      <c r="A4605">
        <v>2012</v>
      </c>
      <c r="B4605" t="s">
        <v>35</v>
      </c>
      <c r="C4605" t="s">
        <v>169</v>
      </c>
      <c r="D4605">
        <v>12</v>
      </c>
      <c r="E4605" t="s">
        <v>458</v>
      </c>
    </row>
    <row r="4606" spans="1:5" x14ac:dyDescent="0.35">
      <c r="A4606">
        <v>2012</v>
      </c>
      <c r="B4606" t="s">
        <v>33</v>
      </c>
      <c r="C4606" t="s">
        <v>168</v>
      </c>
      <c r="D4606">
        <v>25</v>
      </c>
      <c r="E4606" t="s">
        <v>328</v>
      </c>
    </row>
    <row r="4607" spans="1:5" x14ac:dyDescent="0.35">
      <c r="A4607">
        <v>2012</v>
      </c>
      <c r="B4607" t="s">
        <v>33</v>
      </c>
      <c r="C4607" t="s">
        <v>168</v>
      </c>
      <c r="D4607">
        <v>9</v>
      </c>
      <c r="E4607" t="s">
        <v>458</v>
      </c>
    </row>
    <row r="4608" spans="1:5" x14ac:dyDescent="0.35">
      <c r="A4608">
        <v>2012</v>
      </c>
      <c r="B4608" t="s">
        <v>34</v>
      </c>
      <c r="C4608" t="s">
        <v>167</v>
      </c>
      <c r="D4608">
        <v>19</v>
      </c>
      <c r="E4608" t="s">
        <v>328</v>
      </c>
    </row>
    <row r="4609" spans="1:5" x14ac:dyDescent="0.35">
      <c r="A4609">
        <v>2012</v>
      </c>
      <c r="B4609" t="s">
        <v>34</v>
      </c>
      <c r="C4609" t="s">
        <v>167</v>
      </c>
      <c r="D4609">
        <v>17</v>
      </c>
      <c r="E4609" t="s">
        <v>458</v>
      </c>
    </row>
    <row r="4610" spans="1:5" x14ac:dyDescent="0.35">
      <c r="A4610">
        <v>2012</v>
      </c>
      <c r="B4610" t="s">
        <v>37</v>
      </c>
      <c r="C4610" t="s">
        <v>166</v>
      </c>
      <c r="E4610" t="s">
        <v>328</v>
      </c>
    </row>
    <row r="4611" spans="1:5" x14ac:dyDescent="0.35">
      <c r="A4611">
        <v>2012</v>
      </c>
      <c r="B4611" t="s">
        <v>37</v>
      </c>
      <c r="C4611" t="s">
        <v>166</v>
      </c>
      <c r="E4611" t="s">
        <v>458</v>
      </c>
    </row>
    <row r="4612" spans="1:5" x14ac:dyDescent="0.35">
      <c r="A4612">
        <v>2012</v>
      </c>
      <c r="B4612" t="s">
        <v>35</v>
      </c>
      <c r="C4612" t="s">
        <v>169</v>
      </c>
      <c r="D4612">
        <v>5</v>
      </c>
      <c r="E4612" t="s">
        <v>328</v>
      </c>
    </row>
    <row r="4613" spans="1:5" x14ac:dyDescent="0.35">
      <c r="A4613">
        <v>2012</v>
      </c>
      <c r="B4613" t="s">
        <v>36</v>
      </c>
      <c r="C4613" t="s">
        <v>165</v>
      </c>
      <c r="D4613">
        <v>25</v>
      </c>
      <c r="E4613" t="s">
        <v>458</v>
      </c>
    </row>
    <row r="4614" spans="1:5" x14ac:dyDescent="0.35">
      <c r="A4614">
        <v>2012</v>
      </c>
      <c r="B4614" t="s">
        <v>33</v>
      </c>
      <c r="C4614" t="s">
        <v>174</v>
      </c>
      <c r="D4614">
        <v>36</v>
      </c>
      <c r="E4614" t="s">
        <v>328</v>
      </c>
    </row>
    <row r="4615" spans="1:5" x14ac:dyDescent="0.35">
      <c r="A4615">
        <v>2012</v>
      </c>
      <c r="B4615" t="s">
        <v>33</v>
      </c>
      <c r="C4615" t="s">
        <v>175</v>
      </c>
      <c r="D4615">
        <v>18</v>
      </c>
      <c r="E4615" t="s">
        <v>328</v>
      </c>
    </row>
    <row r="4616" spans="1:5" x14ac:dyDescent="0.35">
      <c r="A4616">
        <v>2012</v>
      </c>
      <c r="B4616" t="s">
        <v>34</v>
      </c>
      <c r="C4616" t="s">
        <v>186</v>
      </c>
      <c r="D4616">
        <v>6</v>
      </c>
      <c r="E4616" t="s">
        <v>458</v>
      </c>
    </row>
    <row r="4617" spans="1:5" x14ac:dyDescent="0.35">
      <c r="A4617">
        <v>2012</v>
      </c>
      <c r="B4617" t="s">
        <v>34</v>
      </c>
      <c r="C4617" t="s">
        <v>185</v>
      </c>
      <c r="D4617">
        <v>15</v>
      </c>
      <c r="E4617" t="s">
        <v>458</v>
      </c>
    </row>
    <row r="4618" spans="1:5" x14ac:dyDescent="0.35">
      <c r="A4618">
        <v>2012</v>
      </c>
      <c r="B4618" t="s">
        <v>34</v>
      </c>
      <c r="C4618" t="s">
        <v>184</v>
      </c>
      <c r="E4618" t="s">
        <v>328</v>
      </c>
    </row>
    <row r="4619" spans="1:5" x14ac:dyDescent="0.35">
      <c r="A4619">
        <v>2012</v>
      </c>
      <c r="B4619" t="s">
        <v>34</v>
      </c>
      <c r="C4619" t="s">
        <v>184</v>
      </c>
      <c r="E4619" t="s">
        <v>458</v>
      </c>
    </row>
    <row r="4620" spans="1:5" x14ac:dyDescent="0.35">
      <c r="A4620">
        <v>2012</v>
      </c>
      <c r="B4620" t="s">
        <v>35</v>
      </c>
      <c r="C4620" t="s">
        <v>183</v>
      </c>
      <c r="D4620">
        <v>9</v>
      </c>
      <c r="E4620" t="s">
        <v>328</v>
      </c>
    </row>
    <row r="4621" spans="1:5" x14ac:dyDescent="0.35">
      <c r="A4621">
        <v>2012</v>
      </c>
      <c r="B4621" t="s">
        <v>35</v>
      </c>
      <c r="C4621" t="s">
        <v>183</v>
      </c>
      <c r="D4621">
        <v>4</v>
      </c>
      <c r="E4621" t="s">
        <v>458</v>
      </c>
    </row>
    <row r="4622" spans="1:5" x14ac:dyDescent="0.35">
      <c r="A4622">
        <v>2012</v>
      </c>
      <c r="B4622" t="s">
        <v>35</v>
      </c>
      <c r="C4622" t="s">
        <v>182</v>
      </c>
      <c r="D4622">
        <v>17</v>
      </c>
      <c r="E4622" t="s">
        <v>328</v>
      </c>
    </row>
    <row r="4623" spans="1:5" x14ac:dyDescent="0.35">
      <c r="A4623">
        <v>2012</v>
      </c>
      <c r="B4623" t="s">
        <v>33</v>
      </c>
      <c r="C4623" t="s">
        <v>175</v>
      </c>
      <c r="D4623">
        <v>25</v>
      </c>
      <c r="E4623" t="s">
        <v>458</v>
      </c>
    </row>
    <row r="4624" spans="1:5" x14ac:dyDescent="0.35">
      <c r="A4624">
        <v>2012</v>
      </c>
      <c r="B4624" t="s">
        <v>35</v>
      </c>
      <c r="C4624" t="s">
        <v>182</v>
      </c>
      <c r="D4624">
        <v>16</v>
      </c>
      <c r="E4624" t="s">
        <v>458</v>
      </c>
    </row>
    <row r="4625" spans="1:5" x14ac:dyDescent="0.35">
      <c r="A4625">
        <v>2012</v>
      </c>
      <c r="B4625" t="s">
        <v>33</v>
      </c>
      <c r="C4625" t="s">
        <v>179</v>
      </c>
      <c r="D4625">
        <v>11</v>
      </c>
      <c r="E4625" t="s">
        <v>328</v>
      </c>
    </row>
    <row r="4626" spans="1:5" x14ac:dyDescent="0.35">
      <c r="A4626">
        <v>2012</v>
      </c>
      <c r="B4626" t="s">
        <v>33</v>
      </c>
      <c r="C4626" t="s">
        <v>179</v>
      </c>
      <c r="D4626">
        <v>18</v>
      </c>
      <c r="E4626" t="s">
        <v>458</v>
      </c>
    </row>
    <row r="4627" spans="1:5" x14ac:dyDescent="0.35">
      <c r="A4627">
        <v>2012</v>
      </c>
      <c r="B4627" t="s">
        <v>34</v>
      </c>
      <c r="C4627" t="s">
        <v>178</v>
      </c>
      <c r="D4627">
        <v>90</v>
      </c>
      <c r="E4627" t="s">
        <v>328</v>
      </c>
    </row>
    <row r="4628" spans="1:5" x14ac:dyDescent="0.35">
      <c r="A4628">
        <v>2012</v>
      </c>
      <c r="B4628" t="s">
        <v>34</v>
      </c>
      <c r="C4628" t="s">
        <v>178</v>
      </c>
      <c r="D4628">
        <v>10</v>
      </c>
      <c r="E4628" t="s">
        <v>458</v>
      </c>
    </row>
    <row r="4629" spans="1:5" x14ac:dyDescent="0.35">
      <c r="A4629">
        <v>2012</v>
      </c>
      <c r="B4629" t="s">
        <v>35</v>
      </c>
      <c r="C4629" t="s">
        <v>177</v>
      </c>
      <c r="D4629">
        <v>56</v>
      </c>
      <c r="E4629" t="s">
        <v>328</v>
      </c>
    </row>
    <row r="4630" spans="1:5" x14ac:dyDescent="0.35">
      <c r="A4630">
        <v>2012</v>
      </c>
      <c r="B4630" t="s">
        <v>35</v>
      </c>
      <c r="C4630" t="s">
        <v>177</v>
      </c>
      <c r="D4630">
        <v>37</v>
      </c>
      <c r="E4630" t="s">
        <v>458</v>
      </c>
    </row>
    <row r="4631" spans="1:5" x14ac:dyDescent="0.35">
      <c r="A4631">
        <v>2012</v>
      </c>
      <c r="B4631" t="s">
        <v>35</v>
      </c>
      <c r="C4631" t="s">
        <v>216</v>
      </c>
      <c r="E4631" t="s">
        <v>458</v>
      </c>
    </row>
    <row r="4632" spans="1:5" x14ac:dyDescent="0.35">
      <c r="A4632">
        <v>2012</v>
      </c>
      <c r="B4632" t="s">
        <v>38</v>
      </c>
      <c r="C4632" t="s">
        <v>180</v>
      </c>
      <c r="D4632">
        <v>5</v>
      </c>
      <c r="E4632" t="s">
        <v>458</v>
      </c>
    </row>
    <row r="4633" spans="1:5" x14ac:dyDescent="0.35">
      <c r="A4633">
        <v>2012</v>
      </c>
      <c r="B4633" t="s">
        <v>34</v>
      </c>
      <c r="C4633" t="s">
        <v>118</v>
      </c>
      <c r="D4633">
        <v>162</v>
      </c>
      <c r="E4633" t="s">
        <v>328</v>
      </c>
    </row>
    <row r="4634" spans="1:5" x14ac:dyDescent="0.35">
      <c r="A4634">
        <v>2012</v>
      </c>
      <c r="B4634" t="s">
        <v>36</v>
      </c>
      <c r="C4634" t="s">
        <v>79</v>
      </c>
      <c r="D4634">
        <v>8</v>
      </c>
      <c r="E4634" t="s">
        <v>328</v>
      </c>
    </row>
    <row r="4635" spans="1:5" x14ac:dyDescent="0.35">
      <c r="A4635">
        <v>2012</v>
      </c>
      <c r="B4635" t="s">
        <v>33</v>
      </c>
      <c r="C4635" t="s">
        <v>117</v>
      </c>
      <c r="D4635">
        <v>51</v>
      </c>
      <c r="E4635" t="s">
        <v>328</v>
      </c>
    </row>
    <row r="4636" spans="1:5" x14ac:dyDescent="0.35">
      <c r="A4636">
        <v>2012</v>
      </c>
      <c r="B4636" t="s">
        <v>33</v>
      </c>
      <c r="C4636" t="s">
        <v>68</v>
      </c>
      <c r="D4636">
        <v>25</v>
      </c>
      <c r="E4636" t="s">
        <v>458</v>
      </c>
    </row>
    <row r="4637" spans="1:5" x14ac:dyDescent="0.35">
      <c r="A4637">
        <v>2012</v>
      </c>
      <c r="B4637" t="s">
        <v>34</v>
      </c>
      <c r="C4637" t="s">
        <v>67</v>
      </c>
      <c r="D4637">
        <v>8</v>
      </c>
      <c r="E4637" t="s">
        <v>328</v>
      </c>
    </row>
    <row r="4638" spans="1:5" x14ac:dyDescent="0.35">
      <c r="A4638">
        <v>2012</v>
      </c>
      <c r="B4638" t="s">
        <v>34</v>
      </c>
      <c r="C4638" t="s">
        <v>67</v>
      </c>
      <c r="D4638">
        <v>81</v>
      </c>
      <c r="E4638" t="s">
        <v>458</v>
      </c>
    </row>
    <row r="4639" spans="1:5" x14ac:dyDescent="0.35">
      <c r="A4639">
        <v>2012</v>
      </c>
      <c r="B4639" t="s">
        <v>33</v>
      </c>
      <c r="C4639" t="s">
        <v>66</v>
      </c>
      <c r="D4639">
        <v>6</v>
      </c>
      <c r="E4639" t="s">
        <v>328</v>
      </c>
    </row>
    <row r="4640" spans="1:5" x14ac:dyDescent="0.35">
      <c r="A4640">
        <v>2012</v>
      </c>
      <c r="B4640" t="s">
        <v>33</v>
      </c>
      <c r="C4640" t="s">
        <v>66</v>
      </c>
      <c r="D4640">
        <v>4</v>
      </c>
      <c r="E4640" t="s">
        <v>458</v>
      </c>
    </row>
    <row r="4641" spans="1:5" x14ac:dyDescent="0.35">
      <c r="A4641">
        <v>2012</v>
      </c>
      <c r="B4641" t="s">
        <v>34</v>
      </c>
      <c r="C4641" t="s">
        <v>64</v>
      </c>
      <c r="E4641" t="s">
        <v>328</v>
      </c>
    </row>
    <row r="4642" spans="1:5" x14ac:dyDescent="0.35">
      <c r="A4642">
        <v>2012</v>
      </c>
      <c r="B4642" t="s">
        <v>34</v>
      </c>
      <c r="C4642" t="s">
        <v>64</v>
      </c>
      <c r="E4642" t="s">
        <v>458</v>
      </c>
    </row>
    <row r="4643" spans="1:5" x14ac:dyDescent="0.35">
      <c r="A4643">
        <v>2012</v>
      </c>
      <c r="B4643" t="s">
        <v>33</v>
      </c>
      <c r="C4643" t="s">
        <v>63</v>
      </c>
      <c r="D4643">
        <v>6</v>
      </c>
      <c r="E4643" t="s">
        <v>328</v>
      </c>
    </row>
    <row r="4644" spans="1:5" x14ac:dyDescent="0.35">
      <c r="A4644">
        <v>2012</v>
      </c>
      <c r="B4644" t="s">
        <v>33</v>
      </c>
      <c r="C4644" t="s">
        <v>63</v>
      </c>
      <c r="D4644">
        <v>3</v>
      </c>
      <c r="E4644" t="s">
        <v>458</v>
      </c>
    </row>
    <row r="4645" spans="1:5" x14ac:dyDescent="0.35">
      <c r="A4645">
        <v>2012</v>
      </c>
      <c r="B4645" t="s">
        <v>35</v>
      </c>
      <c r="C4645" t="s">
        <v>62</v>
      </c>
      <c r="D4645">
        <v>29</v>
      </c>
      <c r="E4645" t="s">
        <v>328</v>
      </c>
    </row>
    <row r="4646" spans="1:5" x14ac:dyDescent="0.35">
      <c r="A4646">
        <v>2012</v>
      </c>
      <c r="B4646" t="s">
        <v>35</v>
      </c>
      <c r="C4646" t="s">
        <v>62</v>
      </c>
      <c r="D4646">
        <v>23</v>
      </c>
      <c r="E4646" t="s">
        <v>458</v>
      </c>
    </row>
    <row r="4647" spans="1:5" x14ac:dyDescent="0.35">
      <c r="A4647">
        <v>2012</v>
      </c>
      <c r="B4647" t="s">
        <v>38</v>
      </c>
      <c r="C4647" t="s">
        <v>21</v>
      </c>
      <c r="D4647">
        <v>1973</v>
      </c>
      <c r="E4647" t="s">
        <v>328</v>
      </c>
    </row>
    <row r="4648" spans="1:5" x14ac:dyDescent="0.35">
      <c r="A4648">
        <v>2012</v>
      </c>
      <c r="B4648" t="s">
        <v>38</v>
      </c>
      <c r="C4648" t="s">
        <v>21</v>
      </c>
      <c r="D4648">
        <v>424</v>
      </c>
      <c r="E4648" t="s">
        <v>458</v>
      </c>
    </row>
    <row r="4649" spans="1:5" x14ac:dyDescent="0.35">
      <c r="A4649">
        <v>2012</v>
      </c>
      <c r="B4649" t="s">
        <v>35</v>
      </c>
      <c r="C4649" t="s">
        <v>60</v>
      </c>
      <c r="D4649">
        <v>4</v>
      </c>
      <c r="E4649" t="s">
        <v>328</v>
      </c>
    </row>
    <row r="4650" spans="1:5" x14ac:dyDescent="0.35">
      <c r="A4650">
        <v>2012</v>
      </c>
      <c r="B4650" t="s">
        <v>35</v>
      </c>
      <c r="C4650" t="s">
        <v>60</v>
      </c>
      <c r="D4650">
        <v>49</v>
      </c>
      <c r="E4650" t="s">
        <v>458</v>
      </c>
    </row>
    <row r="4651" spans="1:5" x14ac:dyDescent="0.35">
      <c r="A4651">
        <v>2012</v>
      </c>
      <c r="B4651" t="s">
        <v>33</v>
      </c>
      <c r="C4651" t="s">
        <v>68</v>
      </c>
      <c r="D4651">
        <v>22</v>
      </c>
      <c r="E4651" t="s">
        <v>328</v>
      </c>
    </row>
    <row r="4652" spans="1:5" x14ac:dyDescent="0.35">
      <c r="A4652">
        <v>2012</v>
      </c>
      <c r="B4652" t="s">
        <v>36</v>
      </c>
      <c r="C4652" t="s">
        <v>69</v>
      </c>
      <c r="D4652">
        <v>383</v>
      </c>
      <c r="E4652" t="s">
        <v>458</v>
      </c>
    </row>
    <row r="4653" spans="1:5" x14ac:dyDescent="0.35">
      <c r="A4653">
        <v>2012</v>
      </c>
      <c r="B4653" t="s">
        <v>36</v>
      </c>
      <c r="C4653" t="s">
        <v>69</v>
      </c>
      <c r="D4653">
        <v>582</v>
      </c>
      <c r="E4653" t="s">
        <v>328</v>
      </c>
    </row>
    <row r="4654" spans="1:5" x14ac:dyDescent="0.35">
      <c r="A4654">
        <v>2012</v>
      </c>
      <c r="B4654" t="s">
        <v>33</v>
      </c>
      <c r="C4654" t="s">
        <v>71</v>
      </c>
      <c r="E4654" t="s">
        <v>458</v>
      </c>
    </row>
    <row r="4655" spans="1:5" x14ac:dyDescent="0.35">
      <c r="A4655">
        <v>2012</v>
      </c>
      <c r="B4655" t="s">
        <v>35</v>
      </c>
      <c r="C4655" t="s">
        <v>78</v>
      </c>
      <c r="D4655">
        <v>11</v>
      </c>
      <c r="E4655" t="s">
        <v>458</v>
      </c>
    </row>
    <row r="4656" spans="1:5" x14ac:dyDescent="0.35">
      <c r="A4656">
        <v>2012</v>
      </c>
      <c r="B4656" t="s">
        <v>33</v>
      </c>
      <c r="C4656" t="s">
        <v>77</v>
      </c>
      <c r="D4656">
        <v>18</v>
      </c>
      <c r="E4656" t="s">
        <v>328</v>
      </c>
    </row>
    <row r="4657" spans="1:5" x14ac:dyDescent="0.35">
      <c r="A4657">
        <v>2012</v>
      </c>
      <c r="B4657" t="s">
        <v>33</v>
      </c>
      <c r="C4657" t="s">
        <v>77</v>
      </c>
      <c r="D4657">
        <v>8</v>
      </c>
      <c r="E4657" t="s">
        <v>458</v>
      </c>
    </row>
    <row r="4658" spans="1:5" x14ac:dyDescent="0.35">
      <c r="A4658">
        <v>2012</v>
      </c>
      <c r="B4658" t="s">
        <v>36</v>
      </c>
      <c r="C4658" t="s">
        <v>76</v>
      </c>
      <c r="D4658">
        <v>268</v>
      </c>
      <c r="E4658" t="s">
        <v>328</v>
      </c>
    </row>
    <row r="4659" spans="1:5" x14ac:dyDescent="0.35">
      <c r="A4659">
        <v>2012</v>
      </c>
      <c r="B4659" t="s">
        <v>36</v>
      </c>
      <c r="C4659" t="s">
        <v>76</v>
      </c>
      <c r="D4659">
        <v>132</v>
      </c>
      <c r="E4659" t="s">
        <v>458</v>
      </c>
    </row>
    <row r="4660" spans="1:5" x14ac:dyDescent="0.35">
      <c r="A4660">
        <v>2012</v>
      </c>
      <c r="B4660" t="s">
        <v>33</v>
      </c>
      <c r="C4660" t="s">
        <v>75</v>
      </c>
      <c r="D4660">
        <v>6</v>
      </c>
      <c r="E4660" t="s">
        <v>328</v>
      </c>
    </row>
    <row r="4661" spans="1:5" x14ac:dyDescent="0.35">
      <c r="A4661">
        <v>2012</v>
      </c>
      <c r="B4661" t="s">
        <v>33</v>
      </c>
      <c r="C4661" t="s">
        <v>75</v>
      </c>
      <c r="D4661">
        <v>4</v>
      </c>
      <c r="E4661" t="s">
        <v>458</v>
      </c>
    </row>
    <row r="4662" spans="1:5" x14ac:dyDescent="0.35">
      <c r="A4662">
        <v>2012</v>
      </c>
      <c r="B4662" t="s">
        <v>38</v>
      </c>
      <c r="C4662" t="s">
        <v>59</v>
      </c>
      <c r="D4662">
        <v>57</v>
      </c>
      <c r="E4662" t="s">
        <v>328</v>
      </c>
    </row>
    <row r="4663" spans="1:5" x14ac:dyDescent="0.35">
      <c r="A4663">
        <v>2012</v>
      </c>
      <c r="B4663" t="s">
        <v>33</v>
      </c>
      <c r="C4663" t="s">
        <v>74</v>
      </c>
      <c r="D4663">
        <v>9</v>
      </c>
      <c r="E4663" t="s">
        <v>328</v>
      </c>
    </row>
    <row r="4664" spans="1:5" x14ac:dyDescent="0.35">
      <c r="A4664">
        <v>2012</v>
      </c>
      <c r="B4664" t="s">
        <v>38</v>
      </c>
      <c r="C4664" t="s">
        <v>20</v>
      </c>
      <c r="D4664">
        <v>536</v>
      </c>
      <c r="E4664" t="s">
        <v>328</v>
      </c>
    </row>
    <row r="4665" spans="1:5" x14ac:dyDescent="0.35">
      <c r="A4665">
        <v>2012</v>
      </c>
      <c r="B4665" t="s">
        <v>38</v>
      </c>
      <c r="C4665" t="s">
        <v>20</v>
      </c>
      <c r="D4665">
        <v>1055</v>
      </c>
      <c r="E4665" t="s">
        <v>458</v>
      </c>
    </row>
    <row r="4666" spans="1:5" x14ac:dyDescent="0.35">
      <c r="A4666">
        <v>2012</v>
      </c>
      <c r="B4666" t="s">
        <v>34</v>
      </c>
      <c r="C4666" t="s">
        <v>73</v>
      </c>
      <c r="D4666">
        <v>831</v>
      </c>
      <c r="E4666" t="s">
        <v>328</v>
      </c>
    </row>
    <row r="4667" spans="1:5" x14ac:dyDescent="0.35">
      <c r="A4667">
        <v>2012</v>
      </c>
      <c r="B4667" t="s">
        <v>34</v>
      </c>
      <c r="C4667" t="s">
        <v>73</v>
      </c>
      <c r="D4667">
        <v>208</v>
      </c>
      <c r="E4667" t="s">
        <v>458</v>
      </c>
    </row>
    <row r="4668" spans="1:5" x14ac:dyDescent="0.35">
      <c r="A4668">
        <v>2012</v>
      </c>
      <c r="B4668" t="s">
        <v>38</v>
      </c>
      <c r="C4668" t="s">
        <v>72</v>
      </c>
      <c r="D4668">
        <v>43</v>
      </c>
      <c r="E4668" t="s">
        <v>328</v>
      </c>
    </row>
    <row r="4669" spans="1:5" x14ac:dyDescent="0.35">
      <c r="A4669">
        <v>2012</v>
      </c>
      <c r="B4669" t="s">
        <v>38</v>
      </c>
      <c r="C4669" t="s">
        <v>72</v>
      </c>
      <c r="D4669">
        <v>62</v>
      </c>
      <c r="E4669" t="s">
        <v>458</v>
      </c>
    </row>
    <row r="4670" spans="1:5" x14ac:dyDescent="0.35">
      <c r="A4670">
        <v>2012</v>
      </c>
      <c r="B4670" t="s">
        <v>33</v>
      </c>
      <c r="C4670" t="s">
        <v>71</v>
      </c>
      <c r="E4670" t="s">
        <v>328</v>
      </c>
    </row>
    <row r="4671" spans="1:5" x14ac:dyDescent="0.35">
      <c r="A4671">
        <v>2012</v>
      </c>
      <c r="B4671" t="s">
        <v>33</v>
      </c>
      <c r="C4671" t="s">
        <v>74</v>
      </c>
      <c r="D4671">
        <v>4</v>
      </c>
      <c r="E4671" t="s">
        <v>458</v>
      </c>
    </row>
    <row r="4672" spans="1:5" x14ac:dyDescent="0.35">
      <c r="A4672">
        <v>2012</v>
      </c>
      <c r="B4672" t="s">
        <v>38</v>
      </c>
      <c r="C4672" t="s">
        <v>59</v>
      </c>
      <c r="D4672">
        <v>94</v>
      </c>
      <c r="E4672" t="s">
        <v>458</v>
      </c>
    </row>
    <row r="4673" spans="1:5" x14ac:dyDescent="0.35">
      <c r="A4673">
        <v>2012</v>
      </c>
      <c r="B4673" t="s">
        <v>36</v>
      </c>
      <c r="C4673" t="s">
        <v>363</v>
      </c>
      <c r="D4673">
        <v>4</v>
      </c>
      <c r="E4673" t="s">
        <v>328</v>
      </c>
    </row>
    <row r="4674" spans="1:5" x14ac:dyDescent="0.35">
      <c r="A4674">
        <v>2012</v>
      </c>
      <c r="B4674" t="s">
        <v>36</v>
      </c>
      <c r="C4674" t="s">
        <v>363</v>
      </c>
      <c r="D4674">
        <v>4</v>
      </c>
      <c r="E4674" t="s">
        <v>458</v>
      </c>
    </row>
    <row r="4675" spans="1:5" x14ac:dyDescent="0.35">
      <c r="A4675">
        <v>2012</v>
      </c>
      <c r="B4675" t="s">
        <v>34</v>
      </c>
      <c r="C4675" t="s">
        <v>46</v>
      </c>
      <c r="D4675">
        <v>37</v>
      </c>
      <c r="E4675" t="s">
        <v>458</v>
      </c>
    </row>
    <row r="4676" spans="1:5" x14ac:dyDescent="0.35">
      <c r="A4676">
        <v>2012</v>
      </c>
      <c r="B4676" t="s">
        <v>38</v>
      </c>
      <c r="C4676" t="s">
        <v>45</v>
      </c>
      <c r="D4676">
        <v>107</v>
      </c>
      <c r="E4676" t="s">
        <v>328</v>
      </c>
    </row>
    <row r="4677" spans="1:5" x14ac:dyDescent="0.35">
      <c r="A4677">
        <v>2012</v>
      </c>
      <c r="B4677" t="s">
        <v>38</v>
      </c>
      <c r="C4677" t="s">
        <v>45</v>
      </c>
      <c r="D4677">
        <v>110</v>
      </c>
      <c r="E4677" t="s">
        <v>458</v>
      </c>
    </row>
    <row r="4678" spans="1:5" x14ac:dyDescent="0.35">
      <c r="A4678">
        <v>2012</v>
      </c>
      <c r="B4678" t="s">
        <v>36</v>
      </c>
      <c r="C4678" t="s">
        <v>44</v>
      </c>
      <c r="D4678">
        <v>15</v>
      </c>
      <c r="E4678" t="s">
        <v>328</v>
      </c>
    </row>
    <row r="4679" spans="1:5" x14ac:dyDescent="0.35">
      <c r="A4679">
        <v>2012</v>
      </c>
      <c r="B4679" t="s">
        <v>36</v>
      </c>
      <c r="C4679" t="s">
        <v>44</v>
      </c>
      <c r="D4679">
        <v>24</v>
      </c>
      <c r="E4679" t="s">
        <v>458</v>
      </c>
    </row>
    <row r="4680" spans="1:5" x14ac:dyDescent="0.35">
      <c r="A4680">
        <v>2012</v>
      </c>
      <c r="B4680" t="s">
        <v>33</v>
      </c>
      <c r="C4680" t="s">
        <v>43</v>
      </c>
      <c r="E4680" t="s">
        <v>328</v>
      </c>
    </row>
    <row r="4681" spans="1:5" x14ac:dyDescent="0.35">
      <c r="A4681">
        <v>2012</v>
      </c>
      <c r="B4681" t="s">
        <v>33</v>
      </c>
      <c r="C4681" t="s">
        <v>43</v>
      </c>
      <c r="E4681" t="s">
        <v>458</v>
      </c>
    </row>
    <row r="4682" spans="1:5" x14ac:dyDescent="0.35">
      <c r="A4682">
        <v>2012</v>
      </c>
      <c r="B4682" t="s">
        <v>34</v>
      </c>
      <c r="C4682" t="s">
        <v>46</v>
      </c>
      <c r="D4682">
        <v>19</v>
      </c>
      <c r="E4682" t="s">
        <v>328</v>
      </c>
    </row>
    <row r="4683" spans="1:5" x14ac:dyDescent="0.35">
      <c r="A4683">
        <v>2012</v>
      </c>
      <c r="C4683" t="s">
        <v>373</v>
      </c>
      <c r="D4683">
        <v>33</v>
      </c>
      <c r="E4683" t="s">
        <v>328</v>
      </c>
    </row>
    <row r="4684" spans="1:5" x14ac:dyDescent="0.35">
      <c r="A4684">
        <v>2012</v>
      </c>
      <c r="B4684" t="s">
        <v>33</v>
      </c>
      <c r="C4684" t="s">
        <v>42</v>
      </c>
      <c r="D4684">
        <v>10</v>
      </c>
      <c r="E4684" t="s">
        <v>328</v>
      </c>
    </row>
    <row r="4685" spans="1:5" x14ac:dyDescent="0.35">
      <c r="A4685">
        <v>2012</v>
      </c>
      <c r="B4685" t="s">
        <v>33</v>
      </c>
      <c r="C4685" t="s">
        <v>42</v>
      </c>
      <c r="D4685">
        <v>9</v>
      </c>
      <c r="E4685" t="s">
        <v>458</v>
      </c>
    </row>
    <row r="4686" spans="1:5" x14ac:dyDescent="0.35">
      <c r="A4686">
        <v>2012</v>
      </c>
      <c r="B4686" t="s">
        <v>35</v>
      </c>
      <c r="C4686" t="s">
        <v>41</v>
      </c>
      <c r="D4686">
        <v>75</v>
      </c>
      <c r="E4686" t="s">
        <v>328</v>
      </c>
    </row>
    <row r="4687" spans="1:5" x14ac:dyDescent="0.35">
      <c r="A4687">
        <v>2012</v>
      </c>
      <c r="B4687" t="s">
        <v>35</v>
      </c>
      <c r="C4687" t="s">
        <v>41</v>
      </c>
      <c r="D4687">
        <v>37</v>
      </c>
      <c r="E4687" t="s">
        <v>458</v>
      </c>
    </row>
    <row r="4688" spans="1:5" x14ac:dyDescent="0.35">
      <c r="A4688">
        <v>2012</v>
      </c>
      <c r="B4688" t="s">
        <v>34</v>
      </c>
      <c r="C4688" t="s">
        <v>40</v>
      </c>
      <c r="E4688" t="s">
        <v>328</v>
      </c>
    </row>
    <row r="4689" spans="1:5" x14ac:dyDescent="0.35">
      <c r="A4689">
        <v>2012</v>
      </c>
      <c r="B4689" t="s">
        <v>34</v>
      </c>
      <c r="C4689" t="s">
        <v>40</v>
      </c>
      <c r="E4689" t="s">
        <v>458</v>
      </c>
    </row>
    <row r="4690" spans="1:5" x14ac:dyDescent="0.35">
      <c r="A4690">
        <v>2012</v>
      </c>
      <c r="B4690" t="s">
        <v>33</v>
      </c>
      <c r="C4690" t="s">
        <v>204</v>
      </c>
      <c r="D4690">
        <v>5</v>
      </c>
      <c r="E4690" t="s">
        <v>458</v>
      </c>
    </row>
    <row r="4691" spans="1:5" x14ac:dyDescent="0.35">
      <c r="A4691">
        <v>2012</v>
      </c>
      <c r="C4691" t="s">
        <v>373</v>
      </c>
      <c r="D4691">
        <v>27</v>
      </c>
      <c r="E4691" t="s">
        <v>458</v>
      </c>
    </row>
    <row r="4692" spans="1:5" x14ac:dyDescent="0.35">
      <c r="A4692">
        <v>2012</v>
      </c>
      <c r="B4692" t="s">
        <v>35</v>
      </c>
      <c r="C4692" t="s">
        <v>78</v>
      </c>
      <c r="D4692">
        <v>7</v>
      </c>
      <c r="E4692" t="s">
        <v>328</v>
      </c>
    </row>
    <row r="4693" spans="1:5" x14ac:dyDescent="0.35">
      <c r="A4693">
        <v>2012</v>
      </c>
      <c r="B4693" t="s">
        <v>37</v>
      </c>
      <c r="C4693" t="s">
        <v>47</v>
      </c>
      <c r="D4693">
        <v>14</v>
      </c>
      <c r="E4693" t="s">
        <v>458</v>
      </c>
    </row>
    <row r="4694" spans="1:5" x14ac:dyDescent="0.35">
      <c r="A4694">
        <v>2012</v>
      </c>
      <c r="B4694" t="s">
        <v>35</v>
      </c>
      <c r="C4694" t="s">
        <v>48</v>
      </c>
      <c r="D4694">
        <v>4</v>
      </c>
      <c r="E4694" t="s">
        <v>458</v>
      </c>
    </row>
    <row r="4695" spans="1:5" x14ac:dyDescent="0.35">
      <c r="A4695">
        <v>2012</v>
      </c>
      <c r="B4695" t="s">
        <v>33</v>
      </c>
      <c r="C4695" t="s">
        <v>57</v>
      </c>
      <c r="D4695">
        <v>4</v>
      </c>
      <c r="E4695" t="s">
        <v>328</v>
      </c>
    </row>
    <row r="4696" spans="1:5" x14ac:dyDescent="0.35">
      <c r="A4696">
        <v>2012</v>
      </c>
      <c r="B4696" t="s">
        <v>33</v>
      </c>
      <c r="C4696" t="s">
        <v>57</v>
      </c>
      <c r="D4696">
        <v>4</v>
      </c>
      <c r="E4696" t="s">
        <v>458</v>
      </c>
    </row>
    <row r="4697" spans="1:5" x14ac:dyDescent="0.35">
      <c r="A4697">
        <v>2012</v>
      </c>
      <c r="B4697" t="s">
        <v>36</v>
      </c>
      <c r="C4697" t="s">
        <v>56</v>
      </c>
      <c r="D4697">
        <v>61</v>
      </c>
      <c r="E4697" t="s">
        <v>328</v>
      </c>
    </row>
    <row r="4698" spans="1:5" x14ac:dyDescent="0.35">
      <c r="A4698">
        <v>2012</v>
      </c>
      <c r="B4698" t="s">
        <v>36</v>
      </c>
      <c r="C4698" t="s">
        <v>56</v>
      </c>
      <c r="D4698">
        <v>148</v>
      </c>
      <c r="E4698" t="s">
        <v>458</v>
      </c>
    </row>
    <row r="4699" spans="1:5" x14ac:dyDescent="0.35">
      <c r="A4699">
        <v>2012</v>
      </c>
      <c r="B4699" t="s">
        <v>35</v>
      </c>
      <c r="C4699" t="s">
        <v>55</v>
      </c>
      <c r="D4699">
        <v>6</v>
      </c>
      <c r="E4699" t="s">
        <v>328</v>
      </c>
    </row>
    <row r="4700" spans="1:5" x14ac:dyDescent="0.35">
      <c r="A4700">
        <v>2012</v>
      </c>
      <c r="B4700" t="s">
        <v>35</v>
      </c>
      <c r="C4700" t="s">
        <v>55</v>
      </c>
      <c r="D4700">
        <v>9</v>
      </c>
      <c r="E4700" t="s">
        <v>458</v>
      </c>
    </row>
    <row r="4701" spans="1:5" x14ac:dyDescent="0.35">
      <c r="A4701">
        <v>2012</v>
      </c>
      <c r="B4701" t="s">
        <v>35</v>
      </c>
      <c r="C4701" t="s">
        <v>54</v>
      </c>
      <c r="D4701">
        <v>17</v>
      </c>
      <c r="E4701" t="s">
        <v>328</v>
      </c>
    </row>
    <row r="4702" spans="1:5" x14ac:dyDescent="0.35">
      <c r="A4702">
        <v>2012</v>
      </c>
      <c r="B4702" t="s">
        <v>37</v>
      </c>
      <c r="C4702" t="s">
        <v>47</v>
      </c>
      <c r="D4702">
        <v>23</v>
      </c>
      <c r="E4702" t="s">
        <v>328</v>
      </c>
    </row>
    <row r="4703" spans="1:5" x14ac:dyDescent="0.35">
      <c r="A4703">
        <v>2012</v>
      </c>
      <c r="B4703" t="s">
        <v>35</v>
      </c>
      <c r="C4703" t="s">
        <v>54</v>
      </c>
      <c r="D4703">
        <v>12</v>
      </c>
      <c r="E4703" t="s">
        <v>458</v>
      </c>
    </row>
    <row r="4704" spans="1:5" x14ac:dyDescent="0.35">
      <c r="A4704">
        <v>2012</v>
      </c>
      <c r="B4704" t="s">
        <v>36</v>
      </c>
      <c r="C4704" t="s">
        <v>53</v>
      </c>
      <c r="D4704">
        <v>42</v>
      </c>
      <c r="E4704" t="s">
        <v>458</v>
      </c>
    </row>
    <row r="4705" spans="1:5" x14ac:dyDescent="0.35">
      <c r="A4705">
        <v>2012</v>
      </c>
      <c r="B4705" t="s">
        <v>34</v>
      </c>
      <c r="C4705" t="s">
        <v>52</v>
      </c>
      <c r="D4705">
        <v>53</v>
      </c>
      <c r="E4705" t="s">
        <v>328</v>
      </c>
    </row>
    <row r="4706" spans="1:5" x14ac:dyDescent="0.35">
      <c r="A4706">
        <v>2012</v>
      </c>
      <c r="B4706" t="s">
        <v>34</v>
      </c>
      <c r="C4706" t="s">
        <v>52</v>
      </c>
      <c r="D4706">
        <v>20</v>
      </c>
      <c r="E4706" t="s">
        <v>458</v>
      </c>
    </row>
    <row r="4707" spans="1:5" x14ac:dyDescent="0.35">
      <c r="A4707">
        <v>2012</v>
      </c>
      <c r="B4707" t="s">
        <v>36</v>
      </c>
      <c r="C4707" t="s">
        <v>50</v>
      </c>
      <c r="D4707">
        <v>18</v>
      </c>
      <c r="E4707" t="s">
        <v>328</v>
      </c>
    </row>
    <row r="4708" spans="1:5" x14ac:dyDescent="0.35">
      <c r="A4708">
        <v>2012</v>
      </c>
      <c r="B4708" t="s">
        <v>36</v>
      </c>
      <c r="C4708" t="s">
        <v>50</v>
      </c>
      <c r="D4708">
        <v>90</v>
      </c>
      <c r="E4708" t="s">
        <v>458</v>
      </c>
    </row>
    <row r="4709" spans="1:5" x14ac:dyDescent="0.35">
      <c r="A4709">
        <v>2012</v>
      </c>
      <c r="B4709" t="s">
        <v>34</v>
      </c>
      <c r="C4709" t="s">
        <v>49</v>
      </c>
      <c r="D4709">
        <v>7</v>
      </c>
      <c r="E4709" t="s">
        <v>328</v>
      </c>
    </row>
    <row r="4710" spans="1:5" x14ac:dyDescent="0.35">
      <c r="A4710">
        <v>2012</v>
      </c>
      <c r="B4710" t="s">
        <v>35</v>
      </c>
      <c r="C4710" t="s">
        <v>48</v>
      </c>
      <c r="D4710">
        <v>4</v>
      </c>
      <c r="E4710" t="s">
        <v>328</v>
      </c>
    </row>
    <row r="4711" spans="1:5" x14ac:dyDescent="0.35">
      <c r="A4711">
        <v>2012</v>
      </c>
      <c r="B4711" t="s">
        <v>36</v>
      </c>
      <c r="C4711" t="s">
        <v>53</v>
      </c>
      <c r="D4711">
        <v>8</v>
      </c>
      <c r="E4711" t="s">
        <v>328</v>
      </c>
    </row>
    <row r="4712" spans="1:5" x14ac:dyDescent="0.35">
      <c r="A4712">
        <v>2012</v>
      </c>
      <c r="B4712" t="s">
        <v>34</v>
      </c>
      <c r="C4712" t="s">
        <v>118</v>
      </c>
      <c r="D4712">
        <v>181</v>
      </c>
      <c r="E4712" t="s">
        <v>458</v>
      </c>
    </row>
    <row r="4713" spans="1:5" x14ac:dyDescent="0.35">
      <c r="A4713">
        <v>2012</v>
      </c>
      <c r="B4713" t="s">
        <v>36</v>
      </c>
      <c r="C4713" t="s">
        <v>79</v>
      </c>
      <c r="D4713">
        <v>54</v>
      </c>
      <c r="E4713" t="s">
        <v>458</v>
      </c>
    </row>
    <row r="4714" spans="1:5" x14ac:dyDescent="0.35">
      <c r="A4714">
        <v>2012</v>
      </c>
      <c r="B4714" t="s">
        <v>35</v>
      </c>
      <c r="C4714" t="s">
        <v>81</v>
      </c>
      <c r="D4714">
        <v>28</v>
      </c>
      <c r="E4714" t="s">
        <v>328</v>
      </c>
    </row>
    <row r="4715" spans="1:5" x14ac:dyDescent="0.35">
      <c r="A4715">
        <v>2012</v>
      </c>
      <c r="B4715" t="s">
        <v>34</v>
      </c>
      <c r="C4715" t="s">
        <v>107</v>
      </c>
      <c r="D4715">
        <v>20</v>
      </c>
      <c r="E4715" t="s">
        <v>458</v>
      </c>
    </row>
    <row r="4716" spans="1:5" x14ac:dyDescent="0.35">
      <c r="A4716">
        <v>2012</v>
      </c>
      <c r="B4716" t="s">
        <v>34</v>
      </c>
      <c r="C4716" t="s">
        <v>22</v>
      </c>
      <c r="D4716">
        <v>417</v>
      </c>
      <c r="E4716" t="s">
        <v>328</v>
      </c>
    </row>
    <row r="4717" spans="1:5" x14ac:dyDescent="0.35">
      <c r="A4717">
        <v>2012</v>
      </c>
      <c r="B4717" t="s">
        <v>34</v>
      </c>
      <c r="C4717" t="s">
        <v>22</v>
      </c>
      <c r="D4717">
        <v>160</v>
      </c>
      <c r="E4717" t="s">
        <v>458</v>
      </c>
    </row>
    <row r="4718" spans="1:5" x14ac:dyDescent="0.35">
      <c r="A4718">
        <v>2012</v>
      </c>
      <c r="B4718" t="s">
        <v>35</v>
      </c>
      <c r="C4718" t="s">
        <v>105</v>
      </c>
      <c r="D4718">
        <v>48</v>
      </c>
      <c r="E4718" t="s">
        <v>328</v>
      </c>
    </row>
    <row r="4719" spans="1:5" x14ac:dyDescent="0.35">
      <c r="A4719">
        <v>2012</v>
      </c>
      <c r="B4719" t="s">
        <v>35</v>
      </c>
      <c r="C4719" t="s">
        <v>105</v>
      </c>
      <c r="D4719">
        <v>24</v>
      </c>
      <c r="E4719" t="s">
        <v>458</v>
      </c>
    </row>
    <row r="4720" spans="1:5" x14ac:dyDescent="0.35">
      <c r="A4720">
        <v>2012</v>
      </c>
      <c r="B4720" t="s">
        <v>34</v>
      </c>
      <c r="C4720" t="s">
        <v>368</v>
      </c>
      <c r="D4720">
        <v>10</v>
      </c>
      <c r="E4720" t="s">
        <v>328</v>
      </c>
    </row>
    <row r="4721" spans="1:5" x14ac:dyDescent="0.35">
      <c r="A4721">
        <v>2012</v>
      </c>
      <c r="B4721" t="s">
        <v>34</v>
      </c>
      <c r="C4721" t="s">
        <v>368</v>
      </c>
      <c r="D4721">
        <v>15</v>
      </c>
      <c r="E4721" t="s">
        <v>458</v>
      </c>
    </row>
    <row r="4722" spans="1:5" x14ac:dyDescent="0.35">
      <c r="A4722">
        <v>2012</v>
      </c>
      <c r="B4722" t="s">
        <v>36</v>
      </c>
      <c r="C4722" t="s">
        <v>17</v>
      </c>
      <c r="D4722">
        <v>17925</v>
      </c>
      <c r="E4722" t="s">
        <v>328</v>
      </c>
    </row>
    <row r="4723" spans="1:5" x14ac:dyDescent="0.35">
      <c r="A4723">
        <v>2012</v>
      </c>
      <c r="B4723" t="s">
        <v>36</v>
      </c>
      <c r="C4723" t="s">
        <v>17</v>
      </c>
      <c r="D4723">
        <v>13815</v>
      </c>
      <c r="E4723" t="s">
        <v>458</v>
      </c>
    </row>
    <row r="4724" spans="1:5" x14ac:dyDescent="0.35">
      <c r="A4724">
        <v>2012</v>
      </c>
      <c r="B4724" t="s">
        <v>36</v>
      </c>
      <c r="C4724" t="s">
        <v>104</v>
      </c>
      <c r="D4724">
        <v>135</v>
      </c>
      <c r="E4724" t="s">
        <v>328</v>
      </c>
    </row>
    <row r="4725" spans="1:5" x14ac:dyDescent="0.35">
      <c r="A4725">
        <v>2012</v>
      </c>
      <c r="B4725" t="s">
        <v>36</v>
      </c>
      <c r="C4725" t="s">
        <v>104</v>
      </c>
      <c r="D4725">
        <v>568</v>
      </c>
      <c r="E4725" t="s">
        <v>458</v>
      </c>
    </row>
    <row r="4726" spans="1:5" x14ac:dyDescent="0.35">
      <c r="A4726">
        <v>2012</v>
      </c>
      <c r="B4726" t="s">
        <v>38</v>
      </c>
      <c r="C4726" t="s">
        <v>103</v>
      </c>
      <c r="D4726">
        <v>28</v>
      </c>
      <c r="E4726" t="s">
        <v>328</v>
      </c>
    </row>
    <row r="4727" spans="1:5" x14ac:dyDescent="0.35">
      <c r="A4727">
        <v>2012</v>
      </c>
      <c r="B4727" t="s">
        <v>38</v>
      </c>
      <c r="C4727" t="s">
        <v>103</v>
      </c>
      <c r="D4727">
        <v>147</v>
      </c>
      <c r="E4727" t="s">
        <v>458</v>
      </c>
    </row>
    <row r="4728" spans="1:5" x14ac:dyDescent="0.35">
      <c r="A4728">
        <v>2012</v>
      </c>
      <c r="B4728" t="s">
        <v>33</v>
      </c>
      <c r="C4728" t="s">
        <v>101</v>
      </c>
      <c r="D4728">
        <v>23</v>
      </c>
      <c r="E4728" t="s">
        <v>328</v>
      </c>
    </row>
    <row r="4729" spans="1:5" x14ac:dyDescent="0.35">
      <c r="A4729">
        <v>2012</v>
      </c>
      <c r="B4729" t="s">
        <v>33</v>
      </c>
      <c r="C4729" t="s">
        <v>101</v>
      </c>
      <c r="D4729">
        <v>4</v>
      </c>
      <c r="E4729" t="s">
        <v>458</v>
      </c>
    </row>
    <row r="4730" spans="1:5" x14ac:dyDescent="0.35">
      <c r="A4730">
        <v>2012</v>
      </c>
      <c r="B4730" t="s">
        <v>34</v>
      </c>
      <c r="C4730" t="s">
        <v>107</v>
      </c>
      <c r="D4730">
        <v>204</v>
      </c>
      <c r="E4730" t="s">
        <v>328</v>
      </c>
    </row>
    <row r="4731" spans="1:5" x14ac:dyDescent="0.35">
      <c r="A4731">
        <v>2012</v>
      </c>
      <c r="B4731" t="s">
        <v>34</v>
      </c>
      <c r="C4731" t="s">
        <v>108</v>
      </c>
      <c r="D4731">
        <v>13</v>
      </c>
      <c r="E4731" t="s">
        <v>458</v>
      </c>
    </row>
    <row r="4732" spans="1:5" x14ac:dyDescent="0.35">
      <c r="A4732">
        <v>2012</v>
      </c>
      <c r="B4732" t="s">
        <v>34</v>
      </c>
      <c r="C4732" t="s">
        <v>108</v>
      </c>
      <c r="D4732">
        <v>23</v>
      </c>
      <c r="E4732" t="s">
        <v>328</v>
      </c>
    </row>
    <row r="4733" spans="1:5" x14ac:dyDescent="0.35">
      <c r="A4733">
        <v>2012</v>
      </c>
      <c r="B4733" t="s">
        <v>34</v>
      </c>
      <c r="C4733" t="s">
        <v>109</v>
      </c>
      <c r="D4733">
        <v>15</v>
      </c>
      <c r="E4733" t="s">
        <v>458</v>
      </c>
    </row>
    <row r="4734" spans="1:5" x14ac:dyDescent="0.35">
      <c r="A4734">
        <v>2012</v>
      </c>
      <c r="B4734" t="s">
        <v>33</v>
      </c>
      <c r="C4734" t="s">
        <v>117</v>
      </c>
      <c r="D4734">
        <v>94</v>
      </c>
      <c r="E4734" t="s">
        <v>458</v>
      </c>
    </row>
    <row r="4735" spans="1:5" x14ac:dyDescent="0.35">
      <c r="A4735">
        <v>2012</v>
      </c>
      <c r="B4735" t="s">
        <v>34</v>
      </c>
      <c r="C4735" t="s">
        <v>116</v>
      </c>
      <c r="D4735">
        <v>25</v>
      </c>
      <c r="E4735" t="s">
        <v>328</v>
      </c>
    </row>
    <row r="4736" spans="1:5" x14ac:dyDescent="0.35">
      <c r="A4736">
        <v>2012</v>
      </c>
      <c r="B4736" t="s">
        <v>34</v>
      </c>
      <c r="C4736" t="s">
        <v>116</v>
      </c>
      <c r="D4736">
        <v>13</v>
      </c>
      <c r="E4736" t="s">
        <v>458</v>
      </c>
    </row>
    <row r="4737" spans="1:5" x14ac:dyDescent="0.35">
      <c r="A4737">
        <v>2012</v>
      </c>
      <c r="B4737" t="s">
        <v>34</v>
      </c>
      <c r="C4737" t="s">
        <v>115</v>
      </c>
      <c r="D4737">
        <v>58</v>
      </c>
      <c r="E4737" t="s">
        <v>328</v>
      </c>
    </row>
    <row r="4738" spans="1:5" x14ac:dyDescent="0.35">
      <c r="A4738">
        <v>2012</v>
      </c>
      <c r="B4738" t="s">
        <v>34</v>
      </c>
      <c r="C4738" t="s">
        <v>115</v>
      </c>
      <c r="D4738">
        <v>37</v>
      </c>
      <c r="E4738" t="s">
        <v>458</v>
      </c>
    </row>
    <row r="4739" spans="1:5" x14ac:dyDescent="0.35">
      <c r="A4739">
        <v>2012</v>
      </c>
      <c r="B4739" t="s">
        <v>34</v>
      </c>
      <c r="C4739" t="s">
        <v>114</v>
      </c>
      <c r="D4739">
        <v>22</v>
      </c>
      <c r="E4739" t="s">
        <v>328</v>
      </c>
    </row>
    <row r="4740" spans="1:5" x14ac:dyDescent="0.35">
      <c r="A4740">
        <v>2012</v>
      </c>
      <c r="B4740" t="s">
        <v>34</v>
      </c>
      <c r="C4740" t="s">
        <v>114</v>
      </c>
      <c r="D4740">
        <v>17</v>
      </c>
      <c r="E4740" t="s">
        <v>458</v>
      </c>
    </row>
    <row r="4741" spans="1:5" x14ac:dyDescent="0.35">
      <c r="A4741">
        <v>2012</v>
      </c>
      <c r="B4741" t="s">
        <v>36</v>
      </c>
      <c r="C4741" t="s">
        <v>15</v>
      </c>
      <c r="D4741">
        <v>25406</v>
      </c>
      <c r="E4741" t="s">
        <v>328</v>
      </c>
    </row>
    <row r="4742" spans="1:5" x14ac:dyDescent="0.35">
      <c r="A4742">
        <v>2012</v>
      </c>
      <c r="B4742" t="s">
        <v>36</v>
      </c>
      <c r="C4742" t="s">
        <v>113</v>
      </c>
      <c r="D4742">
        <v>169</v>
      </c>
      <c r="E4742" t="s">
        <v>328</v>
      </c>
    </row>
    <row r="4743" spans="1:5" x14ac:dyDescent="0.35">
      <c r="A4743">
        <v>2012</v>
      </c>
      <c r="B4743" t="s">
        <v>35</v>
      </c>
      <c r="C4743" t="s">
        <v>112</v>
      </c>
      <c r="D4743">
        <v>70</v>
      </c>
      <c r="E4743" t="s">
        <v>328</v>
      </c>
    </row>
    <row r="4744" spans="1:5" x14ac:dyDescent="0.35">
      <c r="A4744">
        <v>2012</v>
      </c>
      <c r="B4744" t="s">
        <v>35</v>
      </c>
      <c r="C4744" t="s">
        <v>112</v>
      </c>
      <c r="D4744">
        <v>49</v>
      </c>
      <c r="E4744" t="s">
        <v>458</v>
      </c>
    </row>
    <row r="4745" spans="1:5" x14ac:dyDescent="0.35">
      <c r="A4745">
        <v>2012</v>
      </c>
      <c r="B4745" t="s">
        <v>34</v>
      </c>
      <c r="C4745" t="s">
        <v>111</v>
      </c>
      <c r="D4745">
        <v>148</v>
      </c>
      <c r="E4745" t="s">
        <v>328</v>
      </c>
    </row>
    <row r="4746" spans="1:5" x14ac:dyDescent="0.35">
      <c r="A4746">
        <v>2012</v>
      </c>
      <c r="B4746" t="s">
        <v>34</v>
      </c>
      <c r="C4746" t="s">
        <v>111</v>
      </c>
      <c r="D4746">
        <v>43</v>
      </c>
      <c r="E4746" t="s">
        <v>458</v>
      </c>
    </row>
    <row r="4747" spans="1:5" x14ac:dyDescent="0.35">
      <c r="A4747">
        <v>2012</v>
      </c>
      <c r="B4747" t="s">
        <v>35</v>
      </c>
      <c r="C4747" t="s">
        <v>110</v>
      </c>
      <c r="D4747">
        <v>21</v>
      </c>
      <c r="E4747" t="s">
        <v>328</v>
      </c>
    </row>
    <row r="4748" spans="1:5" x14ac:dyDescent="0.35">
      <c r="A4748">
        <v>2012</v>
      </c>
      <c r="B4748" t="s">
        <v>35</v>
      </c>
      <c r="C4748" t="s">
        <v>110</v>
      </c>
      <c r="D4748">
        <v>24</v>
      </c>
      <c r="E4748" t="s">
        <v>458</v>
      </c>
    </row>
    <row r="4749" spans="1:5" x14ac:dyDescent="0.35">
      <c r="A4749">
        <v>2012</v>
      </c>
      <c r="B4749" t="s">
        <v>34</v>
      </c>
      <c r="C4749" t="s">
        <v>109</v>
      </c>
      <c r="D4749">
        <v>11</v>
      </c>
      <c r="E4749" t="s">
        <v>328</v>
      </c>
    </row>
    <row r="4750" spans="1:5" x14ac:dyDescent="0.35">
      <c r="A4750">
        <v>2012</v>
      </c>
      <c r="B4750" t="s">
        <v>36</v>
      </c>
      <c r="C4750" t="s">
        <v>113</v>
      </c>
      <c r="D4750">
        <v>1150</v>
      </c>
      <c r="E4750" t="s">
        <v>458</v>
      </c>
    </row>
    <row r="4751" spans="1:5" x14ac:dyDescent="0.35">
      <c r="A4751">
        <v>2012</v>
      </c>
      <c r="B4751" t="s">
        <v>36</v>
      </c>
      <c r="C4751" t="s">
        <v>15</v>
      </c>
      <c r="D4751">
        <v>13494</v>
      </c>
      <c r="E4751" t="s">
        <v>458</v>
      </c>
    </row>
    <row r="4752" spans="1:5" x14ac:dyDescent="0.35">
      <c r="A4752">
        <v>2012</v>
      </c>
      <c r="B4752" t="s">
        <v>36</v>
      </c>
      <c r="C4752" t="s">
        <v>100</v>
      </c>
      <c r="D4752">
        <v>13</v>
      </c>
      <c r="E4752" t="s">
        <v>328</v>
      </c>
    </row>
    <row r="4753" spans="1:5" x14ac:dyDescent="0.35">
      <c r="A4753">
        <v>2012</v>
      </c>
      <c r="B4753" t="s">
        <v>36</v>
      </c>
      <c r="C4753" t="s">
        <v>100</v>
      </c>
      <c r="D4753">
        <v>15</v>
      </c>
      <c r="E4753" t="s">
        <v>458</v>
      </c>
    </row>
    <row r="4754" spans="1:5" x14ac:dyDescent="0.35">
      <c r="A4754">
        <v>2012</v>
      </c>
      <c r="B4754" t="s">
        <v>35</v>
      </c>
      <c r="C4754" t="s">
        <v>90</v>
      </c>
      <c r="D4754">
        <v>8</v>
      </c>
      <c r="E4754" t="s">
        <v>458</v>
      </c>
    </row>
    <row r="4755" spans="1:5" x14ac:dyDescent="0.35">
      <c r="A4755">
        <v>2012</v>
      </c>
      <c r="B4755" t="s">
        <v>33</v>
      </c>
      <c r="C4755" t="s">
        <v>89</v>
      </c>
      <c r="D4755">
        <v>10</v>
      </c>
      <c r="E4755" t="s">
        <v>328</v>
      </c>
    </row>
    <row r="4756" spans="1:5" x14ac:dyDescent="0.35">
      <c r="A4756">
        <v>2012</v>
      </c>
      <c r="B4756" t="s">
        <v>36</v>
      </c>
      <c r="C4756" t="s">
        <v>16</v>
      </c>
      <c r="D4756">
        <v>10319</v>
      </c>
      <c r="E4756" t="s">
        <v>328</v>
      </c>
    </row>
    <row r="4757" spans="1:5" x14ac:dyDescent="0.35">
      <c r="A4757">
        <v>2012</v>
      </c>
      <c r="B4757" t="s">
        <v>36</v>
      </c>
      <c r="C4757" t="s">
        <v>16</v>
      </c>
      <c r="D4757">
        <v>8674</v>
      </c>
      <c r="E4757" t="s">
        <v>458</v>
      </c>
    </row>
    <row r="4758" spans="1:5" x14ac:dyDescent="0.35">
      <c r="A4758">
        <v>2012</v>
      </c>
      <c r="B4758" t="s">
        <v>33</v>
      </c>
      <c r="C4758" t="s">
        <v>87</v>
      </c>
      <c r="D4758">
        <v>72</v>
      </c>
      <c r="E4758" t="s">
        <v>328</v>
      </c>
    </row>
    <row r="4759" spans="1:5" x14ac:dyDescent="0.35">
      <c r="A4759">
        <v>2012</v>
      </c>
      <c r="B4759" t="s">
        <v>33</v>
      </c>
      <c r="C4759" t="s">
        <v>87</v>
      </c>
      <c r="D4759">
        <v>28</v>
      </c>
      <c r="E4759" t="s">
        <v>458</v>
      </c>
    </row>
    <row r="4760" spans="1:5" x14ac:dyDescent="0.35">
      <c r="A4760">
        <v>2012</v>
      </c>
      <c r="B4760" t="s">
        <v>38</v>
      </c>
      <c r="C4760" t="s">
        <v>86</v>
      </c>
      <c r="D4760">
        <v>1057</v>
      </c>
      <c r="E4760" t="s">
        <v>328</v>
      </c>
    </row>
    <row r="4761" spans="1:5" x14ac:dyDescent="0.35">
      <c r="A4761">
        <v>2012</v>
      </c>
      <c r="B4761" t="s">
        <v>35</v>
      </c>
      <c r="C4761" t="s">
        <v>90</v>
      </c>
      <c r="D4761">
        <v>8</v>
      </c>
      <c r="E4761" t="s">
        <v>328</v>
      </c>
    </row>
    <row r="4762" spans="1:5" x14ac:dyDescent="0.35">
      <c r="A4762">
        <v>2012</v>
      </c>
      <c r="B4762" t="s">
        <v>38</v>
      </c>
      <c r="C4762" t="s">
        <v>86</v>
      </c>
      <c r="D4762">
        <v>706</v>
      </c>
      <c r="E4762" t="s">
        <v>458</v>
      </c>
    </row>
    <row r="4763" spans="1:5" x14ac:dyDescent="0.35">
      <c r="A4763">
        <v>2012</v>
      </c>
      <c r="B4763" t="s">
        <v>36</v>
      </c>
      <c r="C4763" t="s">
        <v>85</v>
      </c>
      <c r="D4763">
        <v>2182</v>
      </c>
      <c r="E4763" t="s">
        <v>458</v>
      </c>
    </row>
    <row r="4764" spans="1:5" x14ac:dyDescent="0.35">
      <c r="A4764">
        <v>2012</v>
      </c>
      <c r="B4764" t="s">
        <v>36</v>
      </c>
      <c r="C4764" t="s">
        <v>84</v>
      </c>
      <c r="D4764">
        <v>5</v>
      </c>
      <c r="E4764" t="s">
        <v>328</v>
      </c>
    </row>
    <row r="4765" spans="1:5" x14ac:dyDescent="0.35">
      <c r="A4765">
        <v>2012</v>
      </c>
      <c r="B4765" t="s">
        <v>36</v>
      </c>
      <c r="C4765" t="s">
        <v>84</v>
      </c>
      <c r="D4765">
        <v>17</v>
      </c>
      <c r="E4765" t="s">
        <v>458</v>
      </c>
    </row>
    <row r="4766" spans="1:5" x14ac:dyDescent="0.35">
      <c r="A4766">
        <v>2012</v>
      </c>
      <c r="B4766" t="s">
        <v>35</v>
      </c>
      <c r="C4766" t="s">
        <v>82</v>
      </c>
      <c r="D4766">
        <v>12</v>
      </c>
      <c r="E4766" t="s">
        <v>328</v>
      </c>
    </row>
    <row r="4767" spans="1:5" x14ac:dyDescent="0.35">
      <c r="A4767">
        <v>2012</v>
      </c>
      <c r="B4767" t="s">
        <v>35</v>
      </c>
      <c r="C4767" t="s">
        <v>82</v>
      </c>
      <c r="D4767">
        <v>3</v>
      </c>
      <c r="E4767" t="s">
        <v>458</v>
      </c>
    </row>
    <row r="4768" spans="1:5" x14ac:dyDescent="0.35">
      <c r="A4768">
        <v>2012</v>
      </c>
      <c r="B4768" t="s">
        <v>35</v>
      </c>
      <c r="C4768" t="s">
        <v>214</v>
      </c>
      <c r="D4768">
        <v>13</v>
      </c>
      <c r="E4768" t="s">
        <v>328</v>
      </c>
    </row>
    <row r="4769" spans="1:5" x14ac:dyDescent="0.35">
      <c r="A4769">
        <v>2012</v>
      </c>
      <c r="B4769" t="s">
        <v>35</v>
      </c>
      <c r="C4769" t="s">
        <v>214</v>
      </c>
      <c r="D4769">
        <v>6</v>
      </c>
      <c r="E4769" t="s">
        <v>458</v>
      </c>
    </row>
    <row r="4770" spans="1:5" x14ac:dyDescent="0.35">
      <c r="A4770">
        <v>2012</v>
      </c>
      <c r="B4770" t="s">
        <v>36</v>
      </c>
      <c r="C4770" t="s">
        <v>85</v>
      </c>
      <c r="D4770">
        <v>686</v>
      </c>
      <c r="E4770" t="s">
        <v>328</v>
      </c>
    </row>
    <row r="4771" spans="1:5" x14ac:dyDescent="0.35">
      <c r="A4771">
        <v>2012</v>
      </c>
      <c r="B4771" t="s">
        <v>35</v>
      </c>
      <c r="C4771" t="s">
        <v>81</v>
      </c>
      <c r="D4771">
        <v>20</v>
      </c>
      <c r="E4771" t="s">
        <v>458</v>
      </c>
    </row>
    <row r="4772" spans="1:5" x14ac:dyDescent="0.35">
      <c r="A4772">
        <v>2012</v>
      </c>
      <c r="B4772" t="s">
        <v>33</v>
      </c>
      <c r="C4772" t="s">
        <v>91</v>
      </c>
      <c r="D4772">
        <v>30</v>
      </c>
      <c r="E4772" t="s">
        <v>458</v>
      </c>
    </row>
    <row r="4773" spans="1:5" x14ac:dyDescent="0.35">
      <c r="A4773">
        <v>2012</v>
      </c>
      <c r="B4773" t="s">
        <v>37</v>
      </c>
      <c r="C4773" t="s">
        <v>92</v>
      </c>
      <c r="D4773">
        <v>15</v>
      </c>
      <c r="E4773" t="s">
        <v>458</v>
      </c>
    </row>
    <row r="4774" spans="1:5" x14ac:dyDescent="0.35">
      <c r="A4774">
        <v>2012</v>
      </c>
      <c r="B4774" t="s">
        <v>35</v>
      </c>
      <c r="C4774" t="s">
        <v>99</v>
      </c>
      <c r="D4774">
        <v>13</v>
      </c>
      <c r="E4774" t="s">
        <v>328</v>
      </c>
    </row>
    <row r="4775" spans="1:5" x14ac:dyDescent="0.35">
      <c r="A4775">
        <v>2012</v>
      </c>
      <c r="B4775" t="s">
        <v>35</v>
      </c>
      <c r="C4775" t="s">
        <v>99</v>
      </c>
      <c r="D4775">
        <v>14</v>
      </c>
      <c r="E4775" t="s">
        <v>458</v>
      </c>
    </row>
    <row r="4776" spans="1:5" x14ac:dyDescent="0.35">
      <c r="A4776">
        <v>2012</v>
      </c>
      <c r="B4776" t="s">
        <v>33</v>
      </c>
      <c r="C4776" t="s">
        <v>98</v>
      </c>
      <c r="D4776">
        <v>100</v>
      </c>
      <c r="E4776" t="s">
        <v>328</v>
      </c>
    </row>
    <row r="4777" spans="1:5" x14ac:dyDescent="0.35">
      <c r="A4777">
        <v>2012</v>
      </c>
      <c r="B4777" t="s">
        <v>33</v>
      </c>
      <c r="C4777" t="s">
        <v>98</v>
      </c>
      <c r="D4777">
        <v>79</v>
      </c>
      <c r="E4777" t="s">
        <v>458</v>
      </c>
    </row>
    <row r="4778" spans="1:5" x14ac:dyDescent="0.35">
      <c r="A4778">
        <v>2012</v>
      </c>
      <c r="B4778" t="s">
        <v>35</v>
      </c>
      <c r="C4778" t="s">
        <v>97</v>
      </c>
      <c r="D4778">
        <v>55</v>
      </c>
      <c r="E4778" t="s">
        <v>328</v>
      </c>
    </row>
    <row r="4779" spans="1:5" x14ac:dyDescent="0.35">
      <c r="A4779">
        <v>2012</v>
      </c>
      <c r="B4779" t="s">
        <v>35</v>
      </c>
      <c r="C4779" t="s">
        <v>97</v>
      </c>
      <c r="D4779">
        <v>58</v>
      </c>
      <c r="E4779" t="s">
        <v>458</v>
      </c>
    </row>
    <row r="4780" spans="1:5" x14ac:dyDescent="0.35">
      <c r="A4780">
        <v>2012</v>
      </c>
      <c r="B4780" t="s">
        <v>34</v>
      </c>
      <c r="C4780" t="s">
        <v>8</v>
      </c>
      <c r="D4780">
        <v>13</v>
      </c>
      <c r="E4780" t="s">
        <v>328</v>
      </c>
    </row>
    <row r="4781" spans="1:5" x14ac:dyDescent="0.35">
      <c r="A4781">
        <v>2012</v>
      </c>
      <c r="B4781" t="s">
        <v>33</v>
      </c>
      <c r="C4781" t="s">
        <v>91</v>
      </c>
      <c r="D4781">
        <v>28</v>
      </c>
      <c r="E4781" t="s">
        <v>328</v>
      </c>
    </row>
    <row r="4782" spans="1:5" x14ac:dyDescent="0.35">
      <c r="A4782">
        <v>2012</v>
      </c>
      <c r="B4782" t="s">
        <v>34</v>
      </c>
      <c r="C4782" t="s">
        <v>8</v>
      </c>
      <c r="D4782">
        <v>15</v>
      </c>
      <c r="E4782" t="s">
        <v>458</v>
      </c>
    </row>
    <row r="4783" spans="1:5" x14ac:dyDescent="0.35">
      <c r="A4783">
        <v>2012</v>
      </c>
      <c r="B4783" t="s">
        <v>33</v>
      </c>
      <c r="C4783" t="s">
        <v>96</v>
      </c>
      <c r="D4783">
        <v>4</v>
      </c>
      <c r="E4783" t="s">
        <v>458</v>
      </c>
    </row>
    <row r="4784" spans="1:5" x14ac:dyDescent="0.35">
      <c r="A4784">
        <v>2012</v>
      </c>
      <c r="B4784" t="s">
        <v>33</v>
      </c>
      <c r="C4784" t="s">
        <v>95</v>
      </c>
      <c r="D4784">
        <v>7</v>
      </c>
      <c r="E4784" t="s">
        <v>328</v>
      </c>
    </row>
    <row r="4785" spans="1:5" x14ac:dyDescent="0.35">
      <c r="A4785">
        <v>2012</v>
      </c>
      <c r="B4785" t="s">
        <v>35</v>
      </c>
      <c r="C4785" t="s">
        <v>94</v>
      </c>
      <c r="D4785">
        <v>65</v>
      </c>
      <c r="E4785" t="s">
        <v>328</v>
      </c>
    </row>
    <row r="4786" spans="1:5" x14ac:dyDescent="0.35">
      <c r="A4786">
        <v>2012</v>
      </c>
      <c r="B4786" t="s">
        <v>35</v>
      </c>
      <c r="C4786" t="s">
        <v>94</v>
      </c>
      <c r="D4786">
        <v>42</v>
      </c>
      <c r="E4786" t="s">
        <v>458</v>
      </c>
    </row>
    <row r="4787" spans="1:5" x14ac:dyDescent="0.35">
      <c r="A4787">
        <v>2012</v>
      </c>
      <c r="B4787" t="s">
        <v>35</v>
      </c>
      <c r="C4787" t="s">
        <v>93</v>
      </c>
      <c r="E4787" t="s">
        <v>328</v>
      </c>
    </row>
    <row r="4788" spans="1:5" x14ac:dyDescent="0.35">
      <c r="A4788">
        <v>2012</v>
      </c>
      <c r="B4788" t="s">
        <v>35</v>
      </c>
      <c r="C4788" t="s">
        <v>93</v>
      </c>
      <c r="E4788" t="s">
        <v>458</v>
      </c>
    </row>
    <row r="4789" spans="1:5" x14ac:dyDescent="0.35">
      <c r="A4789">
        <v>2012</v>
      </c>
      <c r="B4789" t="s">
        <v>37</v>
      </c>
      <c r="C4789" t="s">
        <v>92</v>
      </c>
      <c r="D4789">
        <v>15</v>
      </c>
      <c r="E4789" t="s">
        <v>328</v>
      </c>
    </row>
    <row r="4790" spans="1:5" x14ac:dyDescent="0.35">
      <c r="A4790">
        <v>2012</v>
      </c>
      <c r="B4790" t="s">
        <v>33</v>
      </c>
      <c r="C4790" t="s">
        <v>96</v>
      </c>
      <c r="D4790">
        <v>17</v>
      </c>
      <c r="E4790" t="s">
        <v>328</v>
      </c>
    </row>
    <row r="4791" spans="1:5" x14ac:dyDescent="0.35">
      <c r="A4791">
        <v>2012</v>
      </c>
      <c r="B4791" t="s">
        <v>33</v>
      </c>
      <c r="C4791" t="s">
        <v>204</v>
      </c>
      <c r="D4791">
        <v>7</v>
      </c>
      <c r="E4791" t="s">
        <v>328</v>
      </c>
    </row>
    <row r="4792" spans="1:5" x14ac:dyDescent="0.35">
      <c r="A4792">
        <v>2012</v>
      </c>
      <c r="B4792" t="s">
        <v>34</v>
      </c>
      <c r="C4792" t="s">
        <v>40</v>
      </c>
      <c r="D4792">
        <v>56</v>
      </c>
      <c r="E4792" t="s">
        <v>467</v>
      </c>
    </row>
    <row r="4793" spans="1:5" x14ac:dyDescent="0.35">
      <c r="A4793">
        <v>2012</v>
      </c>
      <c r="B4793" t="s">
        <v>35</v>
      </c>
      <c r="C4793" t="s">
        <v>41</v>
      </c>
      <c r="D4793">
        <v>47</v>
      </c>
      <c r="E4793" t="s">
        <v>467</v>
      </c>
    </row>
    <row r="4794" spans="1:5" x14ac:dyDescent="0.35">
      <c r="A4794">
        <v>2012</v>
      </c>
      <c r="B4794" t="s">
        <v>33</v>
      </c>
      <c r="C4794" t="s">
        <v>42</v>
      </c>
      <c r="D4794">
        <v>57</v>
      </c>
      <c r="E4794" t="s">
        <v>467</v>
      </c>
    </row>
    <row r="4795" spans="1:5" x14ac:dyDescent="0.35">
      <c r="A4795">
        <v>2012</v>
      </c>
      <c r="C4795" t="s">
        <v>373</v>
      </c>
      <c r="D4795">
        <v>73</v>
      </c>
      <c r="E4795" t="s">
        <v>467</v>
      </c>
    </row>
    <row r="4796" spans="1:5" x14ac:dyDescent="0.35">
      <c r="A4796">
        <v>2012</v>
      </c>
      <c r="B4796" t="s">
        <v>37</v>
      </c>
      <c r="C4796" t="s">
        <v>386</v>
      </c>
      <c r="D4796">
        <v>11</v>
      </c>
      <c r="E4796" t="s">
        <v>467</v>
      </c>
    </row>
    <row r="4797" spans="1:5" x14ac:dyDescent="0.35">
      <c r="A4797">
        <v>2012</v>
      </c>
      <c r="B4797" t="s">
        <v>33</v>
      </c>
      <c r="C4797" t="s">
        <v>43</v>
      </c>
      <c r="D4797">
        <v>20</v>
      </c>
      <c r="E4797" t="s">
        <v>467</v>
      </c>
    </row>
    <row r="4798" spans="1:5" x14ac:dyDescent="0.35">
      <c r="A4798">
        <v>2012</v>
      </c>
      <c r="B4798" t="s">
        <v>36</v>
      </c>
      <c r="C4798" t="s">
        <v>44</v>
      </c>
      <c r="D4798">
        <v>14</v>
      </c>
      <c r="E4798" t="s">
        <v>467</v>
      </c>
    </row>
    <row r="4799" spans="1:5" x14ac:dyDescent="0.35">
      <c r="A4799">
        <v>2012</v>
      </c>
      <c r="B4799" t="s">
        <v>38</v>
      </c>
      <c r="C4799" t="s">
        <v>45</v>
      </c>
      <c r="D4799">
        <v>62</v>
      </c>
      <c r="E4799" t="s">
        <v>467</v>
      </c>
    </row>
    <row r="4800" spans="1:5" x14ac:dyDescent="0.35">
      <c r="A4800">
        <v>2012</v>
      </c>
      <c r="B4800" t="s">
        <v>34</v>
      </c>
      <c r="C4800" t="s">
        <v>46</v>
      </c>
      <c r="D4800">
        <v>12</v>
      </c>
      <c r="E4800" t="s">
        <v>467</v>
      </c>
    </row>
    <row r="4801" spans="1:5" x14ac:dyDescent="0.35">
      <c r="A4801">
        <v>2012</v>
      </c>
      <c r="B4801" t="s">
        <v>37</v>
      </c>
      <c r="C4801" t="s">
        <v>47</v>
      </c>
      <c r="D4801">
        <v>335</v>
      </c>
      <c r="E4801" t="s">
        <v>467</v>
      </c>
    </row>
    <row r="4802" spans="1:5" x14ac:dyDescent="0.35">
      <c r="A4802">
        <v>2012</v>
      </c>
      <c r="B4802" t="s">
        <v>35</v>
      </c>
      <c r="C4802" t="s">
        <v>48</v>
      </c>
      <c r="D4802">
        <v>53</v>
      </c>
      <c r="E4802" t="s">
        <v>467</v>
      </c>
    </row>
    <row r="4803" spans="1:5" x14ac:dyDescent="0.35">
      <c r="A4803">
        <v>2012</v>
      </c>
      <c r="B4803" t="s">
        <v>34</v>
      </c>
      <c r="C4803" t="s">
        <v>49</v>
      </c>
      <c r="D4803">
        <v>14</v>
      </c>
      <c r="E4803" t="s">
        <v>467</v>
      </c>
    </row>
    <row r="4804" spans="1:5" x14ac:dyDescent="0.35">
      <c r="A4804">
        <v>2012</v>
      </c>
      <c r="B4804" t="s">
        <v>36</v>
      </c>
      <c r="C4804" t="s">
        <v>50</v>
      </c>
      <c r="D4804">
        <v>416</v>
      </c>
      <c r="E4804" t="s">
        <v>467</v>
      </c>
    </row>
    <row r="4805" spans="1:5" x14ac:dyDescent="0.35">
      <c r="A4805">
        <v>2012</v>
      </c>
      <c r="B4805" t="s">
        <v>34</v>
      </c>
      <c r="C4805" t="s">
        <v>51</v>
      </c>
      <c r="D4805">
        <v>8</v>
      </c>
      <c r="E4805" t="s">
        <v>467</v>
      </c>
    </row>
    <row r="4806" spans="1:5" x14ac:dyDescent="0.35">
      <c r="A4806">
        <v>2012</v>
      </c>
      <c r="B4806" t="s">
        <v>34</v>
      </c>
      <c r="C4806" t="s">
        <v>52</v>
      </c>
      <c r="D4806">
        <v>238</v>
      </c>
      <c r="E4806" t="s">
        <v>467</v>
      </c>
    </row>
    <row r="4807" spans="1:5" x14ac:dyDescent="0.35">
      <c r="A4807">
        <v>2012</v>
      </c>
      <c r="B4807" t="s">
        <v>36</v>
      </c>
      <c r="C4807" t="s">
        <v>53</v>
      </c>
      <c r="D4807">
        <v>37</v>
      </c>
      <c r="E4807" t="s">
        <v>467</v>
      </c>
    </row>
    <row r="4808" spans="1:5" x14ac:dyDescent="0.35">
      <c r="A4808">
        <v>2012</v>
      </c>
      <c r="B4808" t="s">
        <v>35</v>
      </c>
      <c r="C4808" t="s">
        <v>54</v>
      </c>
      <c r="D4808">
        <v>44</v>
      </c>
      <c r="E4808" t="s">
        <v>467</v>
      </c>
    </row>
    <row r="4809" spans="1:5" x14ac:dyDescent="0.35">
      <c r="A4809">
        <v>2012</v>
      </c>
      <c r="B4809" t="s">
        <v>35</v>
      </c>
      <c r="C4809" t="s">
        <v>55</v>
      </c>
      <c r="D4809">
        <v>105</v>
      </c>
      <c r="E4809" t="s">
        <v>467</v>
      </c>
    </row>
    <row r="4810" spans="1:5" x14ac:dyDescent="0.35">
      <c r="A4810">
        <v>2012</v>
      </c>
      <c r="B4810" t="s">
        <v>36</v>
      </c>
      <c r="C4810" t="s">
        <v>56</v>
      </c>
      <c r="D4810">
        <v>38</v>
      </c>
      <c r="E4810" t="s">
        <v>467</v>
      </c>
    </row>
    <row r="4811" spans="1:5" x14ac:dyDescent="0.35">
      <c r="A4811">
        <v>2012</v>
      </c>
      <c r="B4811" t="s">
        <v>33</v>
      </c>
      <c r="C4811" t="s">
        <v>57</v>
      </c>
      <c r="D4811">
        <v>11</v>
      </c>
      <c r="E4811" t="s">
        <v>467</v>
      </c>
    </row>
    <row r="4812" spans="1:5" x14ac:dyDescent="0.35">
      <c r="A4812">
        <v>2012</v>
      </c>
      <c r="B4812" t="s">
        <v>36</v>
      </c>
      <c r="C4812" t="s">
        <v>363</v>
      </c>
      <c r="D4812">
        <v>79</v>
      </c>
      <c r="E4812" t="s">
        <v>467</v>
      </c>
    </row>
    <row r="4813" spans="1:5" x14ac:dyDescent="0.35">
      <c r="A4813">
        <v>2012</v>
      </c>
      <c r="B4813" t="s">
        <v>38</v>
      </c>
      <c r="C4813" t="s">
        <v>59</v>
      </c>
      <c r="D4813">
        <v>85</v>
      </c>
      <c r="E4813" t="s">
        <v>467</v>
      </c>
    </row>
    <row r="4814" spans="1:5" x14ac:dyDescent="0.35">
      <c r="A4814">
        <v>2012</v>
      </c>
      <c r="B4814" t="s">
        <v>35</v>
      </c>
      <c r="C4814" t="s">
        <v>60</v>
      </c>
      <c r="D4814">
        <v>22</v>
      </c>
      <c r="E4814" t="s">
        <v>467</v>
      </c>
    </row>
    <row r="4815" spans="1:5" x14ac:dyDescent="0.35">
      <c r="A4815">
        <v>2012</v>
      </c>
      <c r="B4815" t="s">
        <v>38</v>
      </c>
      <c r="C4815" t="s">
        <v>21</v>
      </c>
      <c r="D4815">
        <v>542</v>
      </c>
      <c r="E4815" t="s">
        <v>467</v>
      </c>
    </row>
    <row r="4816" spans="1:5" x14ac:dyDescent="0.35">
      <c r="A4816">
        <v>2012</v>
      </c>
      <c r="B4816" t="s">
        <v>36</v>
      </c>
      <c r="C4816" t="s">
        <v>364</v>
      </c>
      <c r="D4816">
        <v>11</v>
      </c>
      <c r="E4816" t="s">
        <v>467</v>
      </c>
    </row>
    <row r="4817" spans="1:5" x14ac:dyDescent="0.35">
      <c r="A4817">
        <v>2012</v>
      </c>
      <c r="B4817" t="s">
        <v>35</v>
      </c>
      <c r="C4817" t="s">
        <v>62</v>
      </c>
      <c r="D4817">
        <v>186</v>
      </c>
      <c r="E4817" t="s">
        <v>467</v>
      </c>
    </row>
    <row r="4818" spans="1:5" x14ac:dyDescent="0.35">
      <c r="A4818">
        <v>2012</v>
      </c>
      <c r="B4818" t="s">
        <v>33</v>
      </c>
      <c r="C4818" t="s">
        <v>63</v>
      </c>
      <c r="D4818">
        <v>18</v>
      </c>
      <c r="E4818" t="s">
        <v>467</v>
      </c>
    </row>
    <row r="4819" spans="1:5" x14ac:dyDescent="0.35">
      <c r="A4819">
        <v>2012</v>
      </c>
      <c r="B4819" t="s">
        <v>34</v>
      </c>
      <c r="C4819" t="s">
        <v>64</v>
      </c>
      <c r="D4819">
        <v>2337</v>
      </c>
      <c r="E4819" t="s">
        <v>467</v>
      </c>
    </row>
    <row r="4820" spans="1:5" x14ac:dyDescent="0.35">
      <c r="A4820">
        <v>2012</v>
      </c>
      <c r="B4820" t="s">
        <v>33</v>
      </c>
      <c r="C4820" t="s">
        <v>65</v>
      </c>
      <c r="D4820">
        <v>12</v>
      </c>
      <c r="E4820" t="s">
        <v>467</v>
      </c>
    </row>
    <row r="4821" spans="1:5" x14ac:dyDescent="0.35">
      <c r="A4821">
        <v>2012</v>
      </c>
      <c r="B4821" t="s">
        <v>34</v>
      </c>
      <c r="C4821" t="s">
        <v>67</v>
      </c>
      <c r="D4821">
        <v>16</v>
      </c>
      <c r="E4821" t="s">
        <v>467</v>
      </c>
    </row>
    <row r="4822" spans="1:5" x14ac:dyDescent="0.35">
      <c r="A4822">
        <v>2012</v>
      </c>
      <c r="B4822" t="s">
        <v>33</v>
      </c>
      <c r="C4822" t="s">
        <v>68</v>
      </c>
      <c r="D4822">
        <v>49</v>
      </c>
      <c r="E4822" t="s">
        <v>467</v>
      </c>
    </row>
    <row r="4823" spans="1:5" x14ac:dyDescent="0.35">
      <c r="A4823">
        <v>2012</v>
      </c>
      <c r="B4823" t="s">
        <v>36</v>
      </c>
      <c r="C4823" t="s">
        <v>69</v>
      </c>
      <c r="D4823">
        <v>27039</v>
      </c>
      <c r="E4823" t="s">
        <v>467</v>
      </c>
    </row>
    <row r="4824" spans="1:5" x14ac:dyDescent="0.35">
      <c r="A4824">
        <v>2012</v>
      </c>
      <c r="B4824" t="s">
        <v>33</v>
      </c>
      <c r="C4824" t="s">
        <v>66</v>
      </c>
      <c r="D4824">
        <v>30</v>
      </c>
      <c r="E4824" t="s">
        <v>467</v>
      </c>
    </row>
    <row r="4825" spans="1:5" x14ac:dyDescent="0.35">
      <c r="A4825">
        <v>2012</v>
      </c>
      <c r="B4825" t="s">
        <v>36</v>
      </c>
      <c r="C4825" t="s">
        <v>365</v>
      </c>
      <c r="D4825">
        <v>10</v>
      </c>
      <c r="E4825" t="s">
        <v>467</v>
      </c>
    </row>
    <row r="4826" spans="1:5" x14ac:dyDescent="0.35">
      <c r="A4826">
        <v>2012</v>
      </c>
      <c r="B4826" t="s">
        <v>38</v>
      </c>
      <c r="C4826" t="s">
        <v>72</v>
      </c>
      <c r="D4826">
        <v>81</v>
      </c>
      <c r="E4826" t="s">
        <v>467</v>
      </c>
    </row>
    <row r="4827" spans="1:5" x14ac:dyDescent="0.35">
      <c r="A4827">
        <v>2012</v>
      </c>
      <c r="B4827" t="s">
        <v>34</v>
      </c>
      <c r="C4827" t="s">
        <v>73</v>
      </c>
      <c r="D4827">
        <v>11780</v>
      </c>
      <c r="E4827" t="s">
        <v>467</v>
      </c>
    </row>
    <row r="4828" spans="1:5" x14ac:dyDescent="0.35">
      <c r="A4828">
        <v>2012</v>
      </c>
      <c r="B4828" t="s">
        <v>38</v>
      </c>
      <c r="C4828" t="s">
        <v>20</v>
      </c>
      <c r="D4828">
        <v>435</v>
      </c>
      <c r="E4828" t="s">
        <v>467</v>
      </c>
    </row>
    <row r="4829" spans="1:5" x14ac:dyDescent="0.35">
      <c r="A4829">
        <v>2012</v>
      </c>
      <c r="B4829" t="s">
        <v>33</v>
      </c>
      <c r="C4829" t="s">
        <v>74</v>
      </c>
      <c r="D4829">
        <v>29</v>
      </c>
      <c r="E4829" t="s">
        <v>467</v>
      </c>
    </row>
    <row r="4830" spans="1:5" x14ac:dyDescent="0.35">
      <c r="A4830">
        <v>2012</v>
      </c>
      <c r="B4830" t="s">
        <v>33</v>
      </c>
      <c r="C4830" t="s">
        <v>75</v>
      </c>
      <c r="D4830">
        <v>14</v>
      </c>
      <c r="E4830" t="s">
        <v>467</v>
      </c>
    </row>
    <row r="4831" spans="1:5" x14ac:dyDescent="0.35">
      <c r="A4831">
        <v>2012</v>
      </c>
      <c r="B4831" t="s">
        <v>36</v>
      </c>
      <c r="C4831" t="s">
        <v>76</v>
      </c>
      <c r="D4831">
        <v>94</v>
      </c>
      <c r="E4831" t="s">
        <v>467</v>
      </c>
    </row>
    <row r="4832" spans="1:5" x14ac:dyDescent="0.35">
      <c r="A4832">
        <v>2012</v>
      </c>
      <c r="B4832" t="s">
        <v>33</v>
      </c>
      <c r="C4832" t="s">
        <v>77</v>
      </c>
      <c r="D4832">
        <v>18</v>
      </c>
      <c r="E4832" t="s">
        <v>467</v>
      </c>
    </row>
    <row r="4833" spans="1:5" x14ac:dyDescent="0.35">
      <c r="A4833">
        <v>2012</v>
      </c>
      <c r="B4833" t="s">
        <v>35</v>
      </c>
      <c r="C4833" t="s">
        <v>78</v>
      </c>
      <c r="D4833">
        <v>87</v>
      </c>
      <c r="E4833" t="s">
        <v>467</v>
      </c>
    </row>
    <row r="4834" spans="1:5" x14ac:dyDescent="0.35">
      <c r="A4834">
        <v>2012</v>
      </c>
      <c r="B4834" t="s">
        <v>36</v>
      </c>
      <c r="C4834" t="s">
        <v>79</v>
      </c>
      <c r="D4834">
        <v>90</v>
      </c>
      <c r="E4834" t="s">
        <v>467</v>
      </c>
    </row>
    <row r="4835" spans="1:5" x14ac:dyDescent="0.35">
      <c r="A4835">
        <v>2012</v>
      </c>
      <c r="B4835" t="s">
        <v>34</v>
      </c>
      <c r="C4835" t="s">
        <v>80</v>
      </c>
      <c r="D4835">
        <v>10</v>
      </c>
      <c r="E4835" t="s">
        <v>467</v>
      </c>
    </row>
    <row r="4836" spans="1:5" x14ac:dyDescent="0.35">
      <c r="A4836">
        <v>2012</v>
      </c>
      <c r="B4836" t="s">
        <v>35</v>
      </c>
      <c r="C4836" t="s">
        <v>81</v>
      </c>
      <c r="D4836">
        <v>144</v>
      </c>
      <c r="E4836" t="s">
        <v>467</v>
      </c>
    </row>
    <row r="4837" spans="1:5" x14ac:dyDescent="0.35">
      <c r="A4837">
        <v>2012</v>
      </c>
      <c r="B4837" t="s">
        <v>35</v>
      </c>
      <c r="C4837" t="s">
        <v>214</v>
      </c>
      <c r="D4837">
        <v>4</v>
      </c>
      <c r="E4837" t="s">
        <v>467</v>
      </c>
    </row>
    <row r="4838" spans="1:5" x14ac:dyDescent="0.35">
      <c r="A4838">
        <v>2012</v>
      </c>
      <c r="B4838" t="s">
        <v>35</v>
      </c>
      <c r="C4838" t="s">
        <v>82</v>
      </c>
      <c r="D4838">
        <v>74</v>
      </c>
      <c r="E4838" t="s">
        <v>467</v>
      </c>
    </row>
    <row r="4839" spans="1:5" x14ac:dyDescent="0.35">
      <c r="A4839">
        <v>2012</v>
      </c>
      <c r="B4839" t="s">
        <v>36</v>
      </c>
      <c r="C4839" t="s">
        <v>84</v>
      </c>
      <c r="D4839">
        <v>24</v>
      </c>
      <c r="E4839" t="s">
        <v>467</v>
      </c>
    </row>
    <row r="4840" spans="1:5" x14ac:dyDescent="0.35">
      <c r="A4840">
        <v>2012</v>
      </c>
      <c r="B4840" t="s">
        <v>36</v>
      </c>
      <c r="C4840" t="s">
        <v>85</v>
      </c>
      <c r="D4840">
        <v>764</v>
      </c>
      <c r="E4840" t="s">
        <v>467</v>
      </c>
    </row>
    <row r="4841" spans="1:5" x14ac:dyDescent="0.35">
      <c r="A4841">
        <v>2012</v>
      </c>
      <c r="B4841" t="s">
        <v>38</v>
      </c>
      <c r="C4841" t="s">
        <v>86</v>
      </c>
      <c r="D4841">
        <v>303</v>
      </c>
      <c r="E4841" t="s">
        <v>467</v>
      </c>
    </row>
    <row r="4842" spans="1:5" x14ac:dyDescent="0.35">
      <c r="A4842">
        <v>2012</v>
      </c>
      <c r="B4842" t="s">
        <v>33</v>
      </c>
      <c r="C4842" t="s">
        <v>87</v>
      </c>
      <c r="D4842">
        <v>299</v>
      </c>
      <c r="E4842" t="s">
        <v>467</v>
      </c>
    </row>
    <row r="4843" spans="1:5" x14ac:dyDescent="0.35">
      <c r="A4843">
        <v>2012</v>
      </c>
      <c r="B4843" t="s">
        <v>36</v>
      </c>
      <c r="C4843" t="s">
        <v>16</v>
      </c>
      <c r="D4843">
        <v>921</v>
      </c>
      <c r="E4843" t="s">
        <v>467</v>
      </c>
    </row>
    <row r="4844" spans="1:5" x14ac:dyDescent="0.35">
      <c r="A4844">
        <v>2012</v>
      </c>
      <c r="B4844" t="s">
        <v>33</v>
      </c>
      <c r="C4844" t="s">
        <v>89</v>
      </c>
      <c r="D4844">
        <v>9</v>
      </c>
      <c r="E4844" t="s">
        <v>467</v>
      </c>
    </row>
    <row r="4845" spans="1:5" x14ac:dyDescent="0.35">
      <c r="A4845">
        <v>2012</v>
      </c>
      <c r="B4845" t="s">
        <v>35</v>
      </c>
      <c r="C4845" t="s">
        <v>90</v>
      </c>
      <c r="D4845">
        <v>28</v>
      </c>
      <c r="E4845" t="s">
        <v>467</v>
      </c>
    </row>
    <row r="4846" spans="1:5" x14ac:dyDescent="0.35">
      <c r="A4846">
        <v>2012</v>
      </c>
      <c r="B4846" t="s">
        <v>33</v>
      </c>
      <c r="C4846" t="s">
        <v>91</v>
      </c>
      <c r="D4846">
        <v>33</v>
      </c>
      <c r="E4846" t="s">
        <v>467</v>
      </c>
    </row>
    <row r="4847" spans="1:5" x14ac:dyDescent="0.35">
      <c r="A4847">
        <v>2012</v>
      </c>
      <c r="B4847" t="s">
        <v>37</v>
      </c>
      <c r="C4847" t="s">
        <v>92</v>
      </c>
      <c r="D4847">
        <v>51</v>
      </c>
      <c r="E4847" t="s">
        <v>467</v>
      </c>
    </row>
    <row r="4848" spans="1:5" x14ac:dyDescent="0.35">
      <c r="A4848">
        <v>2012</v>
      </c>
      <c r="B4848" t="s">
        <v>35</v>
      </c>
      <c r="C4848" t="s">
        <v>93</v>
      </c>
      <c r="D4848">
        <v>39</v>
      </c>
      <c r="E4848" t="s">
        <v>467</v>
      </c>
    </row>
    <row r="4849" spans="1:5" x14ac:dyDescent="0.35">
      <c r="A4849">
        <v>2012</v>
      </c>
      <c r="B4849" t="s">
        <v>35</v>
      </c>
      <c r="C4849" t="s">
        <v>94</v>
      </c>
      <c r="D4849">
        <v>661</v>
      </c>
      <c r="E4849" t="s">
        <v>467</v>
      </c>
    </row>
    <row r="4850" spans="1:5" x14ac:dyDescent="0.35">
      <c r="A4850">
        <v>2012</v>
      </c>
      <c r="B4850" t="s">
        <v>33</v>
      </c>
      <c r="C4850" t="s">
        <v>95</v>
      </c>
      <c r="D4850">
        <v>6</v>
      </c>
      <c r="E4850" t="s">
        <v>467</v>
      </c>
    </row>
    <row r="4851" spans="1:5" x14ac:dyDescent="0.35">
      <c r="A4851">
        <v>2012</v>
      </c>
      <c r="B4851" t="s">
        <v>33</v>
      </c>
      <c r="C4851" t="s">
        <v>96</v>
      </c>
      <c r="D4851">
        <v>11</v>
      </c>
      <c r="E4851" t="s">
        <v>467</v>
      </c>
    </row>
    <row r="4852" spans="1:5" x14ac:dyDescent="0.35">
      <c r="A4852">
        <v>2012</v>
      </c>
      <c r="B4852" t="s">
        <v>34</v>
      </c>
      <c r="C4852" t="s">
        <v>8</v>
      </c>
      <c r="D4852">
        <v>82</v>
      </c>
      <c r="E4852" t="s">
        <v>467</v>
      </c>
    </row>
    <row r="4853" spans="1:5" x14ac:dyDescent="0.35">
      <c r="A4853">
        <v>2012</v>
      </c>
      <c r="B4853" t="s">
        <v>35</v>
      </c>
      <c r="C4853" t="s">
        <v>97</v>
      </c>
      <c r="D4853">
        <v>552</v>
      </c>
      <c r="E4853" t="s">
        <v>467</v>
      </c>
    </row>
    <row r="4854" spans="1:5" x14ac:dyDescent="0.35">
      <c r="A4854">
        <v>2012</v>
      </c>
      <c r="B4854" t="s">
        <v>33</v>
      </c>
      <c r="C4854" t="s">
        <v>98</v>
      </c>
      <c r="D4854">
        <v>128</v>
      </c>
      <c r="E4854" t="s">
        <v>467</v>
      </c>
    </row>
    <row r="4855" spans="1:5" x14ac:dyDescent="0.35">
      <c r="A4855">
        <v>2012</v>
      </c>
      <c r="B4855" t="s">
        <v>35</v>
      </c>
      <c r="C4855" t="s">
        <v>99</v>
      </c>
      <c r="D4855">
        <v>294</v>
      </c>
      <c r="E4855" t="s">
        <v>467</v>
      </c>
    </row>
    <row r="4856" spans="1:5" x14ac:dyDescent="0.35">
      <c r="A4856">
        <v>2012</v>
      </c>
      <c r="B4856" t="s">
        <v>36</v>
      </c>
      <c r="C4856" t="s">
        <v>100</v>
      </c>
      <c r="D4856">
        <v>22</v>
      </c>
      <c r="E4856" t="s">
        <v>467</v>
      </c>
    </row>
    <row r="4857" spans="1:5" x14ac:dyDescent="0.35">
      <c r="A4857">
        <v>2012</v>
      </c>
      <c r="B4857" t="s">
        <v>36</v>
      </c>
      <c r="C4857" t="s">
        <v>15</v>
      </c>
      <c r="D4857">
        <v>2332</v>
      </c>
      <c r="E4857" t="s">
        <v>467</v>
      </c>
    </row>
    <row r="4858" spans="1:5" x14ac:dyDescent="0.35">
      <c r="A4858">
        <v>2012</v>
      </c>
      <c r="B4858" t="s">
        <v>33</v>
      </c>
      <c r="C4858" t="s">
        <v>101</v>
      </c>
      <c r="D4858">
        <v>16</v>
      </c>
      <c r="E4858" t="s">
        <v>467</v>
      </c>
    </row>
    <row r="4859" spans="1:5" x14ac:dyDescent="0.35">
      <c r="A4859">
        <v>2012</v>
      </c>
      <c r="B4859" t="s">
        <v>38</v>
      </c>
      <c r="C4859" t="s">
        <v>103</v>
      </c>
      <c r="D4859">
        <v>88</v>
      </c>
      <c r="E4859" t="s">
        <v>467</v>
      </c>
    </row>
    <row r="4860" spans="1:5" x14ac:dyDescent="0.35">
      <c r="A4860">
        <v>2012</v>
      </c>
      <c r="B4860" t="s">
        <v>36</v>
      </c>
      <c r="C4860" t="s">
        <v>104</v>
      </c>
      <c r="D4860">
        <v>163</v>
      </c>
      <c r="E4860" t="s">
        <v>467</v>
      </c>
    </row>
    <row r="4861" spans="1:5" x14ac:dyDescent="0.35">
      <c r="A4861">
        <v>2012</v>
      </c>
      <c r="B4861" t="s">
        <v>36</v>
      </c>
      <c r="C4861" t="s">
        <v>17</v>
      </c>
      <c r="D4861">
        <v>1282</v>
      </c>
      <c r="E4861" t="s">
        <v>467</v>
      </c>
    </row>
    <row r="4862" spans="1:5" x14ac:dyDescent="0.35">
      <c r="A4862">
        <v>2012</v>
      </c>
      <c r="B4862" t="s">
        <v>34</v>
      </c>
      <c r="C4862" t="s">
        <v>368</v>
      </c>
      <c r="D4862">
        <v>75</v>
      </c>
      <c r="E4862" t="s">
        <v>467</v>
      </c>
    </row>
    <row r="4863" spans="1:5" x14ac:dyDescent="0.35">
      <c r="A4863">
        <v>2012</v>
      </c>
      <c r="B4863" t="s">
        <v>35</v>
      </c>
      <c r="C4863" t="s">
        <v>105</v>
      </c>
      <c r="D4863">
        <v>209</v>
      </c>
      <c r="E4863" t="s">
        <v>467</v>
      </c>
    </row>
    <row r="4864" spans="1:5" x14ac:dyDescent="0.35">
      <c r="A4864">
        <v>2012</v>
      </c>
      <c r="B4864" t="s">
        <v>35</v>
      </c>
      <c r="C4864" t="s">
        <v>106</v>
      </c>
      <c r="D4864">
        <v>19</v>
      </c>
      <c r="E4864" t="s">
        <v>467</v>
      </c>
    </row>
    <row r="4865" spans="1:5" x14ac:dyDescent="0.35">
      <c r="A4865">
        <v>2012</v>
      </c>
      <c r="B4865" t="s">
        <v>34</v>
      </c>
      <c r="C4865" t="s">
        <v>22</v>
      </c>
      <c r="D4865">
        <v>3273</v>
      </c>
      <c r="E4865" t="s">
        <v>467</v>
      </c>
    </row>
    <row r="4866" spans="1:5" x14ac:dyDescent="0.35">
      <c r="A4866">
        <v>2012</v>
      </c>
      <c r="B4866" t="s">
        <v>34</v>
      </c>
      <c r="C4866" t="s">
        <v>107</v>
      </c>
      <c r="D4866">
        <v>1171</v>
      </c>
      <c r="E4866" t="s">
        <v>467</v>
      </c>
    </row>
    <row r="4867" spans="1:5" x14ac:dyDescent="0.35">
      <c r="A4867">
        <v>2012</v>
      </c>
      <c r="B4867" t="s">
        <v>34</v>
      </c>
      <c r="C4867" t="s">
        <v>108</v>
      </c>
      <c r="D4867">
        <v>306</v>
      </c>
      <c r="E4867" t="s">
        <v>467</v>
      </c>
    </row>
    <row r="4868" spans="1:5" x14ac:dyDescent="0.35">
      <c r="A4868">
        <v>2012</v>
      </c>
      <c r="B4868" t="s">
        <v>34</v>
      </c>
      <c r="C4868" t="s">
        <v>109</v>
      </c>
      <c r="D4868">
        <v>120</v>
      </c>
      <c r="E4868" t="s">
        <v>467</v>
      </c>
    </row>
    <row r="4869" spans="1:5" x14ac:dyDescent="0.35">
      <c r="A4869">
        <v>2012</v>
      </c>
      <c r="B4869" t="s">
        <v>35</v>
      </c>
      <c r="C4869" t="s">
        <v>110</v>
      </c>
      <c r="D4869">
        <v>180</v>
      </c>
      <c r="E4869" t="s">
        <v>467</v>
      </c>
    </row>
    <row r="4870" spans="1:5" x14ac:dyDescent="0.35">
      <c r="A4870">
        <v>2012</v>
      </c>
      <c r="B4870" t="s">
        <v>34</v>
      </c>
      <c r="C4870" t="s">
        <v>111</v>
      </c>
      <c r="D4870">
        <v>275</v>
      </c>
      <c r="E4870" t="s">
        <v>467</v>
      </c>
    </row>
    <row r="4871" spans="1:5" x14ac:dyDescent="0.35">
      <c r="A4871">
        <v>2012</v>
      </c>
      <c r="B4871" t="s">
        <v>35</v>
      </c>
      <c r="C4871" t="s">
        <v>112</v>
      </c>
      <c r="D4871">
        <v>692</v>
      </c>
      <c r="E4871" t="s">
        <v>467</v>
      </c>
    </row>
    <row r="4872" spans="1:5" x14ac:dyDescent="0.35">
      <c r="A4872">
        <v>2012</v>
      </c>
      <c r="B4872" t="s">
        <v>36</v>
      </c>
      <c r="C4872" t="s">
        <v>113</v>
      </c>
      <c r="D4872">
        <v>344</v>
      </c>
      <c r="E4872" t="s">
        <v>467</v>
      </c>
    </row>
    <row r="4873" spans="1:5" x14ac:dyDescent="0.35">
      <c r="A4873">
        <v>2012</v>
      </c>
      <c r="B4873" t="s">
        <v>34</v>
      </c>
      <c r="C4873" t="s">
        <v>114</v>
      </c>
      <c r="D4873">
        <v>354</v>
      </c>
      <c r="E4873" t="s">
        <v>467</v>
      </c>
    </row>
    <row r="4874" spans="1:5" x14ac:dyDescent="0.35">
      <c r="A4874">
        <v>2012</v>
      </c>
      <c r="B4874" t="s">
        <v>34</v>
      </c>
      <c r="C4874" t="s">
        <v>115</v>
      </c>
      <c r="D4874">
        <v>123</v>
      </c>
      <c r="E4874" t="s">
        <v>467</v>
      </c>
    </row>
    <row r="4875" spans="1:5" x14ac:dyDescent="0.35">
      <c r="A4875">
        <v>2012</v>
      </c>
      <c r="B4875" t="s">
        <v>34</v>
      </c>
      <c r="C4875" t="s">
        <v>116</v>
      </c>
      <c r="D4875">
        <v>42</v>
      </c>
      <c r="E4875" t="s">
        <v>467</v>
      </c>
    </row>
    <row r="4876" spans="1:5" x14ac:dyDescent="0.35">
      <c r="A4876">
        <v>2012</v>
      </c>
      <c r="B4876" t="s">
        <v>33</v>
      </c>
      <c r="C4876" t="s">
        <v>117</v>
      </c>
      <c r="D4876">
        <v>92</v>
      </c>
      <c r="E4876" t="s">
        <v>467</v>
      </c>
    </row>
    <row r="4877" spans="1:5" x14ac:dyDescent="0.35">
      <c r="A4877">
        <v>2012</v>
      </c>
      <c r="B4877" t="s">
        <v>37</v>
      </c>
      <c r="C4877" t="s">
        <v>390</v>
      </c>
      <c r="D4877">
        <v>40</v>
      </c>
      <c r="E4877" t="s">
        <v>467</v>
      </c>
    </row>
    <row r="4878" spans="1:5" x14ac:dyDescent="0.35">
      <c r="A4878">
        <v>2012</v>
      </c>
      <c r="B4878" t="s">
        <v>34</v>
      </c>
      <c r="C4878" t="s">
        <v>118</v>
      </c>
      <c r="D4878">
        <v>1191</v>
      </c>
      <c r="E4878" t="s">
        <v>467</v>
      </c>
    </row>
    <row r="4879" spans="1:5" x14ac:dyDescent="0.35">
      <c r="A4879">
        <v>2012</v>
      </c>
      <c r="B4879" t="s">
        <v>35</v>
      </c>
      <c r="C4879" t="s">
        <v>119</v>
      </c>
      <c r="D4879">
        <v>9</v>
      </c>
      <c r="E4879" t="s">
        <v>467</v>
      </c>
    </row>
    <row r="4880" spans="1:5" x14ac:dyDescent="0.35">
      <c r="A4880">
        <v>2012</v>
      </c>
      <c r="B4880" t="s">
        <v>34</v>
      </c>
      <c r="C4880" t="s">
        <v>120</v>
      </c>
      <c r="D4880">
        <v>22</v>
      </c>
      <c r="E4880" t="s">
        <v>467</v>
      </c>
    </row>
    <row r="4881" spans="1:5" x14ac:dyDescent="0.35">
      <c r="A4881">
        <v>2012</v>
      </c>
      <c r="B4881" t="s">
        <v>34</v>
      </c>
      <c r="C4881" t="s">
        <v>121</v>
      </c>
      <c r="D4881">
        <v>5</v>
      </c>
      <c r="E4881" t="s">
        <v>467</v>
      </c>
    </row>
    <row r="4882" spans="1:5" x14ac:dyDescent="0.35">
      <c r="A4882">
        <v>2012</v>
      </c>
      <c r="B4882" t="s">
        <v>34</v>
      </c>
      <c r="C4882" t="s">
        <v>122</v>
      </c>
      <c r="D4882">
        <v>12</v>
      </c>
      <c r="E4882" t="s">
        <v>467</v>
      </c>
    </row>
    <row r="4883" spans="1:5" x14ac:dyDescent="0.35">
      <c r="A4883">
        <v>2012</v>
      </c>
      <c r="B4883" t="s">
        <v>35</v>
      </c>
      <c r="C4883" t="s">
        <v>123</v>
      </c>
      <c r="D4883">
        <v>112</v>
      </c>
      <c r="E4883" t="s">
        <v>467</v>
      </c>
    </row>
    <row r="4884" spans="1:5" x14ac:dyDescent="0.35">
      <c r="A4884">
        <v>2012</v>
      </c>
      <c r="B4884" t="s">
        <v>34</v>
      </c>
      <c r="C4884" t="s">
        <v>124</v>
      </c>
      <c r="D4884">
        <v>89</v>
      </c>
      <c r="E4884" t="s">
        <v>467</v>
      </c>
    </row>
    <row r="4885" spans="1:5" x14ac:dyDescent="0.35">
      <c r="A4885">
        <v>2012</v>
      </c>
      <c r="B4885" t="s">
        <v>33</v>
      </c>
      <c r="C4885" t="s">
        <v>125</v>
      </c>
      <c r="D4885">
        <v>24</v>
      </c>
      <c r="E4885" t="s">
        <v>467</v>
      </c>
    </row>
    <row r="4886" spans="1:5" x14ac:dyDescent="0.35">
      <c r="A4886">
        <v>2012</v>
      </c>
      <c r="B4886" t="s">
        <v>33</v>
      </c>
      <c r="C4886" t="s">
        <v>126</v>
      </c>
      <c r="D4886">
        <v>34</v>
      </c>
      <c r="E4886" t="s">
        <v>467</v>
      </c>
    </row>
    <row r="4887" spans="1:5" x14ac:dyDescent="0.35">
      <c r="A4887">
        <v>2012</v>
      </c>
      <c r="B4887" t="s">
        <v>35</v>
      </c>
      <c r="C4887" t="s">
        <v>127</v>
      </c>
      <c r="D4887">
        <v>371</v>
      </c>
      <c r="E4887" t="s">
        <v>467</v>
      </c>
    </row>
    <row r="4888" spans="1:5" x14ac:dyDescent="0.35">
      <c r="A4888">
        <v>2012</v>
      </c>
      <c r="B4888" t="s">
        <v>35</v>
      </c>
      <c r="C4888" t="s">
        <v>322</v>
      </c>
      <c r="D4888">
        <v>15</v>
      </c>
      <c r="E4888" t="s">
        <v>467</v>
      </c>
    </row>
    <row r="4889" spans="1:5" x14ac:dyDescent="0.35">
      <c r="A4889">
        <v>2012</v>
      </c>
      <c r="B4889" t="s">
        <v>33</v>
      </c>
      <c r="C4889" t="s">
        <v>129</v>
      </c>
      <c r="D4889">
        <v>9</v>
      </c>
      <c r="E4889" t="s">
        <v>467</v>
      </c>
    </row>
    <row r="4890" spans="1:5" x14ac:dyDescent="0.35">
      <c r="A4890">
        <v>2012</v>
      </c>
      <c r="B4890" t="s">
        <v>34</v>
      </c>
      <c r="C4890" t="s">
        <v>131</v>
      </c>
      <c r="D4890">
        <v>124</v>
      </c>
      <c r="E4890" t="s">
        <v>467</v>
      </c>
    </row>
    <row r="4891" spans="1:5" x14ac:dyDescent="0.35">
      <c r="A4891">
        <v>2012</v>
      </c>
      <c r="B4891" t="s">
        <v>34</v>
      </c>
      <c r="C4891" t="s">
        <v>389</v>
      </c>
      <c r="D4891">
        <v>92</v>
      </c>
      <c r="E4891" t="s">
        <v>467</v>
      </c>
    </row>
    <row r="4892" spans="1:5" x14ac:dyDescent="0.35">
      <c r="A4892">
        <v>2012</v>
      </c>
      <c r="B4892" t="s">
        <v>33</v>
      </c>
      <c r="C4892" t="s">
        <v>132</v>
      </c>
      <c r="D4892">
        <v>18</v>
      </c>
      <c r="E4892" t="s">
        <v>467</v>
      </c>
    </row>
    <row r="4893" spans="1:5" x14ac:dyDescent="0.35">
      <c r="A4893">
        <v>2012</v>
      </c>
      <c r="B4893" t="s">
        <v>35</v>
      </c>
      <c r="C4893" t="s">
        <v>133</v>
      </c>
      <c r="D4893">
        <v>5</v>
      </c>
      <c r="E4893" t="s">
        <v>467</v>
      </c>
    </row>
    <row r="4894" spans="1:5" x14ac:dyDescent="0.35">
      <c r="A4894">
        <v>2012</v>
      </c>
      <c r="B4894" t="s">
        <v>37</v>
      </c>
      <c r="C4894" t="s">
        <v>134</v>
      </c>
      <c r="E4894" t="s">
        <v>467</v>
      </c>
    </row>
    <row r="4895" spans="1:5" x14ac:dyDescent="0.35">
      <c r="A4895">
        <v>2012</v>
      </c>
      <c r="B4895" t="s">
        <v>33</v>
      </c>
      <c r="C4895" t="s">
        <v>136</v>
      </c>
      <c r="D4895">
        <v>33</v>
      </c>
      <c r="E4895" t="s">
        <v>467</v>
      </c>
    </row>
    <row r="4896" spans="1:5" x14ac:dyDescent="0.35">
      <c r="A4896">
        <v>2012</v>
      </c>
      <c r="B4896" t="s">
        <v>36</v>
      </c>
      <c r="C4896" t="s">
        <v>14</v>
      </c>
      <c r="D4896">
        <v>131983</v>
      </c>
      <c r="E4896" t="s">
        <v>467</v>
      </c>
    </row>
    <row r="4897" spans="1:5" x14ac:dyDescent="0.35">
      <c r="A4897">
        <v>2012</v>
      </c>
      <c r="B4897" t="s">
        <v>37</v>
      </c>
      <c r="C4897" t="s">
        <v>137</v>
      </c>
      <c r="D4897">
        <v>9</v>
      </c>
      <c r="E4897" t="s">
        <v>467</v>
      </c>
    </row>
    <row r="4898" spans="1:5" x14ac:dyDescent="0.35">
      <c r="A4898">
        <v>2012</v>
      </c>
      <c r="B4898" t="s">
        <v>35</v>
      </c>
      <c r="C4898" t="s">
        <v>138</v>
      </c>
      <c r="D4898">
        <v>41</v>
      </c>
      <c r="E4898" t="s">
        <v>467</v>
      </c>
    </row>
    <row r="4899" spans="1:5" x14ac:dyDescent="0.35">
      <c r="A4899">
        <v>2012</v>
      </c>
      <c r="B4899" t="s">
        <v>34</v>
      </c>
      <c r="C4899" t="s">
        <v>139</v>
      </c>
      <c r="D4899">
        <v>35</v>
      </c>
      <c r="E4899" t="s">
        <v>467</v>
      </c>
    </row>
    <row r="4900" spans="1:5" x14ac:dyDescent="0.35">
      <c r="A4900">
        <v>2012</v>
      </c>
      <c r="B4900" t="s">
        <v>35</v>
      </c>
      <c r="C4900" t="s">
        <v>140</v>
      </c>
      <c r="D4900">
        <v>22</v>
      </c>
      <c r="E4900" t="s">
        <v>467</v>
      </c>
    </row>
    <row r="4901" spans="1:5" x14ac:dyDescent="0.35">
      <c r="A4901">
        <v>2012</v>
      </c>
      <c r="B4901" t="s">
        <v>33</v>
      </c>
      <c r="C4901" t="s">
        <v>141</v>
      </c>
      <c r="D4901">
        <v>101</v>
      </c>
      <c r="E4901" t="s">
        <v>467</v>
      </c>
    </row>
    <row r="4902" spans="1:5" x14ac:dyDescent="0.35">
      <c r="A4902">
        <v>2012</v>
      </c>
      <c r="B4902" t="s">
        <v>34</v>
      </c>
      <c r="C4902" t="s">
        <v>144</v>
      </c>
      <c r="D4902">
        <v>36</v>
      </c>
      <c r="E4902" t="s">
        <v>467</v>
      </c>
    </row>
    <row r="4903" spans="1:5" x14ac:dyDescent="0.35">
      <c r="A4903">
        <v>2012</v>
      </c>
      <c r="B4903" t="s">
        <v>35</v>
      </c>
      <c r="C4903" t="s">
        <v>145</v>
      </c>
      <c r="D4903">
        <v>287</v>
      </c>
      <c r="E4903" t="s">
        <v>467</v>
      </c>
    </row>
    <row r="4904" spans="1:5" x14ac:dyDescent="0.35">
      <c r="A4904">
        <v>2012</v>
      </c>
      <c r="B4904" t="s">
        <v>36</v>
      </c>
      <c r="C4904" t="s">
        <v>371</v>
      </c>
      <c r="E4904" t="s">
        <v>467</v>
      </c>
    </row>
    <row r="4905" spans="1:5" x14ac:dyDescent="0.35">
      <c r="A4905">
        <v>2012</v>
      </c>
      <c r="B4905" t="s">
        <v>37</v>
      </c>
      <c r="C4905" t="s">
        <v>146</v>
      </c>
      <c r="D4905">
        <v>97</v>
      </c>
      <c r="E4905" t="s">
        <v>467</v>
      </c>
    </row>
    <row r="4906" spans="1:5" x14ac:dyDescent="0.35">
      <c r="A4906">
        <v>2012</v>
      </c>
      <c r="B4906" t="s">
        <v>36</v>
      </c>
      <c r="C4906" t="s">
        <v>147</v>
      </c>
      <c r="D4906">
        <v>172</v>
      </c>
      <c r="E4906" t="s">
        <v>467</v>
      </c>
    </row>
    <row r="4907" spans="1:5" x14ac:dyDescent="0.35">
      <c r="A4907">
        <v>2012</v>
      </c>
      <c r="B4907" t="s">
        <v>33</v>
      </c>
      <c r="C4907" t="s">
        <v>148</v>
      </c>
      <c r="D4907">
        <v>10</v>
      </c>
      <c r="E4907" t="s">
        <v>467</v>
      </c>
    </row>
    <row r="4908" spans="1:5" x14ac:dyDescent="0.35">
      <c r="A4908">
        <v>2012</v>
      </c>
      <c r="B4908" t="s">
        <v>33</v>
      </c>
      <c r="C4908" t="s">
        <v>149</v>
      </c>
      <c r="D4908">
        <v>265</v>
      </c>
      <c r="E4908" t="s">
        <v>467</v>
      </c>
    </row>
    <row r="4909" spans="1:5" x14ac:dyDescent="0.35">
      <c r="A4909">
        <v>2012</v>
      </c>
      <c r="B4909" t="s">
        <v>35</v>
      </c>
      <c r="C4909" t="s">
        <v>150</v>
      </c>
      <c r="D4909">
        <v>88</v>
      </c>
      <c r="E4909" t="s">
        <v>467</v>
      </c>
    </row>
    <row r="4910" spans="1:5" x14ac:dyDescent="0.35">
      <c r="A4910">
        <v>2012</v>
      </c>
      <c r="B4910" t="s">
        <v>34</v>
      </c>
      <c r="C4910" t="s">
        <v>152</v>
      </c>
      <c r="D4910">
        <v>477</v>
      </c>
      <c r="E4910" t="s">
        <v>467</v>
      </c>
    </row>
    <row r="4911" spans="1:5" x14ac:dyDescent="0.35">
      <c r="A4911">
        <v>2012</v>
      </c>
      <c r="B4911" t="s">
        <v>37</v>
      </c>
      <c r="C4911" t="s">
        <v>153</v>
      </c>
      <c r="D4911">
        <v>10</v>
      </c>
      <c r="E4911" t="s">
        <v>467</v>
      </c>
    </row>
    <row r="4912" spans="1:5" x14ac:dyDescent="0.35">
      <c r="A4912">
        <v>2012</v>
      </c>
      <c r="B4912" t="s">
        <v>36</v>
      </c>
      <c r="C4912" t="s">
        <v>154</v>
      </c>
      <c r="D4912">
        <v>53</v>
      </c>
      <c r="E4912" t="s">
        <v>467</v>
      </c>
    </row>
    <row r="4913" spans="1:5" x14ac:dyDescent="0.35">
      <c r="A4913">
        <v>2012</v>
      </c>
      <c r="B4913" t="s">
        <v>38</v>
      </c>
      <c r="C4913" t="s">
        <v>155</v>
      </c>
      <c r="D4913">
        <v>14</v>
      </c>
      <c r="E4913" t="s">
        <v>467</v>
      </c>
    </row>
    <row r="4914" spans="1:5" x14ac:dyDescent="0.35">
      <c r="A4914">
        <v>2012</v>
      </c>
      <c r="B4914" t="s">
        <v>38</v>
      </c>
      <c r="C4914" t="s">
        <v>156</v>
      </c>
      <c r="D4914">
        <v>356</v>
      </c>
      <c r="E4914" t="s">
        <v>467</v>
      </c>
    </row>
    <row r="4915" spans="1:5" x14ac:dyDescent="0.35">
      <c r="A4915">
        <v>2012</v>
      </c>
      <c r="B4915" t="s">
        <v>34</v>
      </c>
      <c r="C4915" t="s">
        <v>18</v>
      </c>
      <c r="D4915">
        <v>20903</v>
      </c>
      <c r="E4915" t="s">
        <v>467</v>
      </c>
    </row>
    <row r="4916" spans="1:5" x14ac:dyDescent="0.35">
      <c r="A4916">
        <v>2012</v>
      </c>
      <c r="B4916" t="s">
        <v>35</v>
      </c>
      <c r="C4916" t="s">
        <v>157</v>
      </c>
      <c r="D4916">
        <v>516</v>
      </c>
      <c r="E4916" t="s">
        <v>467</v>
      </c>
    </row>
    <row r="4917" spans="1:5" x14ac:dyDescent="0.35">
      <c r="A4917">
        <v>2012</v>
      </c>
      <c r="B4917" t="s">
        <v>35</v>
      </c>
      <c r="C4917" t="s">
        <v>158</v>
      </c>
      <c r="D4917">
        <v>294</v>
      </c>
      <c r="E4917" t="s">
        <v>467</v>
      </c>
    </row>
    <row r="4918" spans="1:5" x14ac:dyDescent="0.35">
      <c r="A4918">
        <v>2012</v>
      </c>
      <c r="B4918" t="s">
        <v>34</v>
      </c>
      <c r="C4918" t="s">
        <v>159</v>
      </c>
      <c r="D4918">
        <v>6</v>
      </c>
      <c r="E4918" t="s">
        <v>467</v>
      </c>
    </row>
    <row r="4919" spans="1:5" x14ac:dyDescent="0.35">
      <c r="A4919">
        <v>2012</v>
      </c>
      <c r="B4919" t="s">
        <v>35</v>
      </c>
      <c r="C4919" t="s">
        <v>160</v>
      </c>
      <c r="D4919">
        <v>478</v>
      </c>
      <c r="E4919" t="s">
        <v>467</v>
      </c>
    </row>
    <row r="4920" spans="1:5" x14ac:dyDescent="0.35">
      <c r="A4920">
        <v>2012</v>
      </c>
      <c r="B4920" t="s">
        <v>35</v>
      </c>
      <c r="C4920" t="s">
        <v>161</v>
      </c>
      <c r="D4920">
        <v>2464</v>
      </c>
      <c r="E4920" t="s">
        <v>467</v>
      </c>
    </row>
    <row r="4921" spans="1:5" x14ac:dyDescent="0.35">
      <c r="A4921">
        <v>2012</v>
      </c>
      <c r="B4921" t="s">
        <v>33</v>
      </c>
      <c r="C4921" t="s">
        <v>162</v>
      </c>
      <c r="D4921">
        <v>13</v>
      </c>
      <c r="E4921" t="s">
        <v>467</v>
      </c>
    </row>
    <row r="4922" spans="1:5" x14ac:dyDescent="0.35">
      <c r="A4922">
        <v>2012</v>
      </c>
      <c r="B4922" t="s">
        <v>36</v>
      </c>
      <c r="C4922" t="s">
        <v>163</v>
      </c>
      <c r="D4922">
        <v>6</v>
      </c>
      <c r="E4922" t="s">
        <v>467</v>
      </c>
    </row>
    <row r="4923" spans="1:5" x14ac:dyDescent="0.35">
      <c r="A4923">
        <v>2012</v>
      </c>
      <c r="B4923" t="s">
        <v>36</v>
      </c>
      <c r="C4923" t="s">
        <v>164</v>
      </c>
      <c r="D4923">
        <v>21</v>
      </c>
      <c r="E4923" t="s">
        <v>467</v>
      </c>
    </row>
    <row r="4924" spans="1:5" x14ac:dyDescent="0.35">
      <c r="A4924">
        <v>2012</v>
      </c>
      <c r="B4924" t="s">
        <v>36</v>
      </c>
      <c r="C4924" t="s">
        <v>165</v>
      </c>
      <c r="D4924">
        <v>39</v>
      </c>
      <c r="E4924" t="s">
        <v>467</v>
      </c>
    </row>
    <row r="4925" spans="1:5" x14ac:dyDescent="0.35">
      <c r="A4925">
        <v>2012</v>
      </c>
      <c r="B4925" t="s">
        <v>37</v>
      </c>
      <c r="C4925" t="s">
        <v>166</v>
      </c>
      <c r="D4925">
        <v>9</v>
      </c>
      <c r="E4925" t="s">
        <v>467</v>
      </c>
    </row>
    <row r="4926" spans="1:5" x14ac:dyDescent="0.35">
      <c r="A4926">
        <v>2012</v>
      </c>
      <c r="B4926" t="s">
        <v>34</v>
      </c>
      <c r="C4926" t="s">
        <v>167</v>
      </c>
      <c r="D4926">
        <v>296</v>
      </c>
      <c r="E4926" t="s">
        <v>467</v>
      </c>
    </row>
    <row r="4927" spans="1:5" x14ac:dyDescent="0.35">
      <c r="A4927">
        <v>2012</v>
      </c>
      <c r="B4927" t="s">
        <v>33</v>
      </c>
      <c r="C4927" t="s">
        <v>168</v>
      </c>
      <c r="D4927">
        <v>38</v>
      </c>
      <c r="E4927" t="s">
        <v>467</v>
      </c>
    </row>
    <row r="4928" spans="1:5" x14ac:dyDescent="0.35">
      <c r="A4928">
        <v>2012</v>
      </c>
      <c r="B4928" t="s">
        <v>35</v>
      </c>
      <c r="C4928" t="s">
        <v>169</v>
      </c>
      <c r="E4928" t="s">
        <v>467</v>
      </c>
    </row>
    <row r="4929" spans="1:5" x14ac:dyDescent="0.35">
      <c r="A4929">
        <v>2012</v>
      </c>
      <c r="B4929" t="s">
        <v>35</v>
      </c>
      <c r="C4929" t="s">
        <v>215</v>
      </c>
      <c r="D4929">
        <v>9</v>
      </c>
      <c r="E4929" t="s">
        <v>467</v>
      </c>
    </row>
    <row r="4930" spans="1:5" x14ac:dyDescent="0.35">
      <c r="A4930">
        <v>2012</v>
      </c>
      <c r="B4930" t="s">
        <v>33</v>
      </c>
      <c r="C4930" t="s">
        <v>170</v>
      </c>
      <c r="D4930">
        <v>18</v>
      </c>
      <c r="E4930" t="s">
        <v>467</v>
      </c>
    </row>
    <row r="4931" spans="1:5" x14ac:dyDescent="0.35">
      <c r="A4931">
        <v>2012</v>
      </c>
      <c r="B4931" t="s">
        <v>34</v>
      </c>
      <c r="C4931" t="s">
        <v>171</v>
      </c>
      <c r="D4931">
        <v>74</v>
      </c>
      <c r="E4931" t="s">
        <v>467</v>
      </c>
    </row>
    <row r="4932" spans="1:5" x14ac:dyDescent="0.35">
      <c r="A4932">
        <v>2012</v>
      </c>
      <c r="B4932" t="s">
        <v>35</v>
      </c>
      <c r="C4932" t="s">
        <v>172</v>
      </c>
      <c r="D4932">
        <v>76</v>
      </c>
      <c r="E4932" t="s">
        <v>467</v>
      </c>
    </row>
    <row r="4933" spans="1:5" x14ac:dyDescent="0.35">
      <c r="A4933">
        <v>2012</v>
      </c>
      <c r="B4933" t="s">
        <v>35</v>
      </c>
      <c r="C4933" t="s">
        <v>173</v>
      </c>
      <c r="D4933">
        <v>16</v>
      </c>
      <c r="E4933" t="s">
        <v>467</v>
      </c>
    </row>
    <row r="4934" spans="1:5" x14ac:dyDescent="0.35">
      <c r="A4934">
        <v>2012</v>
      </c>
      <c r="B4934" t="s">
        <v>37</v>
      </c>
      <c r="C4934" t="s">
        <v>388</v>
      </c>
      <c r="E4934" t="s">
        <v>467</v>
      </c>
    </row>
    <row r="4935" spans="1:5" x14ac:dyDescent="0.35">
      <c r="A4935">
        <v>2012</v>
      </c>
      <c r="B4935" t="s">
        <v>33</v>
      </c>
      <c r="C4935" t="s">
        <v>174</v>
      </c>
      <c r="D4935">
        <v>5</v>
      </c>
      <c r="E4935" t="s">
        <v>467</v>
      </c>
    </row>
    <row r="4936" spans="1:5" x14ac:dyDescent="0.35">
      <c r="A4936">
        <v>2012</v>
      </c>
      <c r="B4936" t="s">
        <v>33</v>
      </c>
      <c r="C4936" t="s">
        <v>175</v>
      </c>
      <c r="D4936">
        <v>119</v>
      </c>
      <c r="E4936" t="s">
        <v>467</v>
      </c>
    </row>
    <row r="4937" spans="1:5" x14ac:dyDescent="0.35">
      <c r="A4937">
        <v>2012</v>
      </c>
      <c r="B4937" t="s">
        <v>35</v>
      </c>
      <c r="C4937" t="s">
        <v>216</v>
      </c>
      <c r="E4937" t="s">
        <v>467</v>
      </c>
    </row>
    <row r="4938" spans="1:5" x14ac:dyDescent="0.35">
      <c r="A4938">
        <v>2012</v>
      </c>
      <c r="B4938" t="s">
        <v>35</v>
      </c>
      <c r="C4938" t="s">
        <v>177</v>
      </c>
      <c r="D4938">
        <v>874</v>
      </c>
      <c r="E4938" t="s">
        <v>467</v>
      </c>
    </row>
    <row r="4939" spans="1:5" x14ac:dyDescent="0.35">
      <c r="A4939">
        <v>2012</v>
      </c>
      <c r="B4939" t="s">
        <v>34</v>
      </c>
      <c r="C4939" t="s">
        <v>178</v>
      </c>
      <c r="D4939">
        <v>151</v>
      </c>
      <c r="E4939" t="s">
        <v>467</v>
      </c>
    </row>
    <row r="4940" spans="1:5" x14ac:dyDescent="0.35">
      <c r="A4940">
        <v>2012</v>
      </c>
      <c r="B4940" t="s">
        <v>33</v>
      </c>
      <c r="C4940" t="s">
        <v>179</v>
      </c>
      <c r="D4940">
        <v>29</v>
      </c>
      <c r="E4940" t="s">
        <v>467</v>
      </c>
    </row>
    <row r="4941" spans="1:5" x14ac:dyDescent="0.35">
      <c r="A4941">
        <v>2012</v>
      </c>
      <c r="B4941" t="s">
        <v>35</v>
      </c>
      <c r="C4941" t="s">
        <v>182</v>
      </c>
      <c r="D4941">
        <v>119</v>
      </c>
      <c r="E4941" t="s">
        <v>467</v>
      </c>
    </row>
    <row r="4942" spans="1:5" x14ac:dyDescent="0.35">
      <c r="A4942">
        <v>2012</v>
      </c>
      <c r="B4942" t="s">
        <v>35</v>
      </c>
      <c r="C4942" t="s">
        <v>183</v>
      </c>
      <c r="D4942">
        <v>104</v>
      </c>
      <c r="E4942" t="s">
        <v>467</v>
      </c>
    </row>
    <row r="4943" spans="1:5" x14ac:dyDescent="0.35">
      <c r="A4943">
        <v>2012</v>
      </c>
      <c r="B4943" t="s">
        <v>34</v>
      </c>
      <c r="C4943" t="s">
        <v>184</v>
      </c>
      <c r="D4943">
        <v>72</v>
      </c>
      <c r="E4943" t="s">
        <v>467</v>
      </c>
    </row>
    <row r="4944" spans="1:5" x14ac:dyDescent="0.35">
      <c r="A4944">
        <v>2012</v>
      </c>
      <c r="B4944" t="s">
        <v>34</v>
      </c>
      <c r="C4944" t="s">
        <v>185</v>
      </c>
      <c r="D4944">
        <v>374</v>
      </c>
      <c r="E4944" t="s">
        <v>467</v>
      </c>
    </row>
    <row r="4945" spans="1:5" x14ac:dyDescent="0.35">
      <c r="A4945">
        <v>2012</v>
      </c>
      <c r="B4945" t="s">
        <v>34</v>
      </c>
      <c r="C4945" t="s">
        <v>186</v>
      </c>
      <c r="D4945">
        <v>17</v>
      </c>
      <c r="E4945" t="s">
        <v>467</v>
      </c>
    </row>
    <row r="4946" spans="1:5" x14ac:dyDescent="0.35">
      <c r="A4946">
        <v>2012</v>
      </c>
      <c r="B4946" t="s">
        <v>33</v>
      </c>
      <c r="C4946" t="s">
        <v>187</v>
      </c>
      <c r="D4946">
        <v>38</v>
      </c>
      <c r="E4946" t="s">
        <v>467</v>
      </c>
    </row>
    <row r="4947" spans="1:5" x14ac:dyDescent="0.35">
      <c r="A4947">
        <v>2012</v>
      </c>
      <c r="B4947" t="s">
        <v>34</v>
      </c>
      <c r="C4947" t="s">
        <v>188</v>
      </c>
      <c r="D4947">
        <v>231</v>
      </c>
      <c r="E4947" t="s">
        <v>467</v>
      </c>
    </row>
    <row r="4948" spans="1:5" x14ac:dyDescent="0.35">
      <c r="A4948">
        <v>2012</v>
      </c>
      <c r="B4948" t="s">
        <v>33</v>
      </c>
      <c r="C4948" t="s">
        <v>189</v>
      </c>
      <c r="D4948">
        <v>11</v>
      </c>
      <c r="E4948" t="s">
        <v>467</v>
      </c>
    </row>
    <row r="4949" spans="1:5" x14ac:dyDescent="0.35">
      <c r="A4949">
        <v>2012</v>
      </c>
      <c r="B4949" t="s">
        <v>37</v>
      </c>
      <c r="C4949" t="s">
        <v>190</v>
      </c>
      <c r="D4949">
        <v>7</v>
      </c>
      <c r="E4949" t="s">
        <v>467</v>
      </c>
    </row>
    <row r="4950" spans="1:5" x14ac:dyDescent="0.35">
      <c r="A4950">
        <v>2012</v>
      </c>
      <c r="B4950" t="s">
        <v>36</v>
      </c>
      <c r="C4950" t="s">
        <v>191</v>
      </c>
      <c r="D4950">
        <v>117</v>
      </c>
      <c r="E4950" t="s">
        <v>467</v>
      </c>
    </row>
    <row r="4951" spans="1:5" x14ac:dyDescent="0.35">
      <c r="A4951">
        <v>2012</v>
      </c>
      <c r="B4951" t="s">
        <v>33</v>
      </c>
      <c r="C4951" t="s">
        <v>192</v>
      </c>
      <c r="D4951">
        <v>21</v>
      </c>
      <c r="E4951" t="s">
        <v>467</v>
      </c>
    </row>
    <row r="4952" spans="1:5" x14ac:dyDescent="0.35">
      <c r="A4952">
        <v>2012</v>
      </c>
      <c r="B4952" t="s">
        <v>34</v>
      </c>
      <c r="C4952" t="s">
        <v>193</v>
      </c>
      <c r="D4952">
        <v>1226</v>
      </c>
      <c r="E4952" t="s">
        <v>467</v>
      </c>
    </row>
    <row r="4953" spans="1:5" x14ac:dyDescent="0.35">
      <c r="A4953">
        <v>2012</v>
      </c>
      <c r="B4953" t="s">
        <v>36</v>
      </c>
      <c r="C4953" t="s">
        <v>372</v>
      </c>
      <c r="D4953">
        <v>16</v>
      </c>
      <c r="E4953" t="s">
        <v>467</v>
      </c>
    </row>
    <row r="4954" spans="1:5" x14ac:dyDescent="0.35">
      <c r="A4954">
        <v>2012</v>
      </c>
      <c r="B4954" t="s">
        <v>37</v>
      </c>
      <c r="C4954" t="s">
        <v>387</v>
      </c>
      <c r="D4954">
        <v>20</v>
      </c>
      <c r="E4954" t="s">
        <v>467</v>
      </c>
    </row>
    <row r="4955" spans="1:5" x14ac:dyDescent="0.35">
      <c r="A4955">
        <v>2012</v>
      </c>
      <c r="B4955" t="s">
        <v>33</v>
      </c>
      <c r="C4955" t="s">
        <v>195</v>
      </c>
      <c r="D4955">
        <v>22</v>
      </c>
      <c r="E4955" t="s">
        <v>467</v>
      </c>
    </row>
    <row r="4956" spans="1:5" x14ac:dyDescent="0.35">
      <c r="A4956">
        <v>2012</v>
      </c>
      <c r="B4956" t="s">
        <v>35</v>
      </c>
      <c r="C4956" t="s">
        <v>196</v>
      </c>
      <c r="D4956">
        <v>2589</v>
      </c>
      <c r="E4956" t="s">
        <v>467</v>
      </c>
    </row>
    <row r="4957" spans="1:5" x14ac:dyDescent="0.35">
      <c r="A4957">
        <v>2012</v>
      </c>
      <c r="B4957" t="s">
        <v>34</v>
      </c>
      <c r="C4957" t="s">
        <v>197</v>
      </c>
      <c r="D4957">
        <v>13</v>
      </c>
      <c r="E4957" t="s">
        <v>467</v>
      </c>
    </row>
    <row r="4958" spans="1:5" x14ac:dyDescent="0.35">
      <c r="A4958">
        <v>2012</v>
      </c>
      <c r="B4958" t="s">
        <v>35</v>
      </c>
      <c r="C4958" t="s">
        <v>198</v>
      </c>
      <c r="D4958">
        <v>1353</v>
      </c>
      <c r="E4958" t="s">
        <v>467</v>
      </c>
    </row>
    <row r="4959" spans="1:5" x14ac:dyDescent="0.35">
      <c r="A4959">
        <v>2012</v>
      </c>
      <c r="B4959" t="s">
        <v>39</v>
      </c>
      <c r="C4959" t="s">
        <v>39</v>
      </c>
      <c r="D4959">
        <v>137</v>
      </c>
      <c r="E4959" t="s">
        <v>467</v>
      </c>
    </row>
    <row r="4960" spans="1:5" x14ac:dyDescent="0.35">
      <c r="A4960">
        <v>2012</v>
      </c>
      <c r="B4960" t="s">
        <v>38</v>
      </c>
      <c r="C4960" t="s">
        <v>199</v>
      </c>
      <c r="D4960">
        <v>18</v>
      </c>
      <c r="E4960" t="s">
        <v>467</v>
      </c>
    </row>
    <row r="4961" spans="1:5" x14ac:dyDescent="0.35">
      <c r="A4961">
        <v>2012</v>
      </c>
      <c r="B4961" t="s">
        <v>34</v>
      </c>
      <c r="C4961" t="s">
        <v>200</v>
      </c>
      <c r="D4961">
        <v>22</v>
      </c>
      <c r="E4961" t="s">
        <v>467</v>
      </c>
    </row>
    <row r="4962" spans="1:5" x14ac:dyDescent="0.35">
      <c r="A4962">
        <v>2012</v>
      </c>
      <c r="B4962" t="s">
        <v>38</v>
      </c>
      <c r="C4962" t="s">
        <v>19</v>
      </c>
      <c r="D4962">
        <v>188</v>
      </c>
      <c r="E4962" t="s">
        <v>467</v>
      </c>
    </row>
    <row r="4963" spans="1:5" x14ac:dyDescent="0.35">
      <c r="A4963">
        <v>2012</v>
      </c>
      <c r="B4963" t="s">
        <v>34</v>
      </c>
      <c r="C4963" t="s">
        <v>201</v>
      </c>
      <c r="D4963">
        <v>565</v>
      </c>
      <c r="E4963" t="s">
        <v>467</v>
      </c>
    </row>
    <row r="4964" spans="1:5" x14ac:dyDescent="0.35">
      <c r="A4964">
        <v>2012</v>
      </c>
      <c r="B4964" t="s">
        <v>34</v>
      </c>
      <c r="C4964" t="s">
        <v>202</v>
      </c>
      <c r="D4964">
        <v>26</v>
      </c>
      <c r="E4964" t="s">
        <v>467</v>
      </c>
    </row>
    <row r="4965" spans="1:5" x14ac:dyDescent="0.35">
      <c r="A4965">
        <v>2012</v>
      </c>
      <c r="B4965" t="s">
        <v>33</v>
      </c>
      <c r="C4965" t="s">
        <v>203</v>
      </c>
      <c r="D4965">
        <v>10</v>
      </c>
      <c r="E4965" t="s">
        <v>467</v>
      </c>
    </row>
    <row r="4966" spans="1:5" x14ac:dyDescent="0.35">
      <c r="A4966">
        <v>2012</v>
      </c>
      <c r="B4966" t="s">
        <v>33</v>
      </c>
      <c r="C4966" t="s">
        <v>204</v>
      </c>
      <c r="D4966">
        <v>19</v>
      </c>
      <c r="E4966" t="s">
        <v>467</v>
      </c>
    </row>
    <row r="4967" spans="1:5" x14ac:dyDescent="0.35">
      <c r="A4967">
        <v>2012</v>
      </c>
      <c r="B4967" t="s">
        <v>34</v>
      </c>
      <c r="C4967" t="s">
        <v>40</v>
      </c>
      <c r="D4967">
        <v>98</v>
      </c>
      <c r="E4967" t="s">
        <v>466</v>
      </c>
    </row>
    <row r="4968" spans="1:5" x14ac:dyDescent="0.35">
      <c r="A4968">
        <v>2012</v>
      </c>
      <c r="B4968" t="s">
        <v>35</v>
      </c>
      <c r="C4968" t="s">
        <v>41</v>
      </c>
      <c r="D4968">
        <v>277</v>
      </c>
      <c r="E4968" t="s">
        <v>466</v>
      </c>
    </row>
    <row r="4969" spans="1:5" x14ac:dyDescent="0.35">
      <c r="A4969">
        <v>2012</v>
      </c>
      <c r="B4969" t="s">
        <v>33</v>
      </c>
      <c r="C4969" t="s">
        <v>42</v>
      </c>
      <c r="D4969">
        <v>42</v>
      </c>
      <c r="E4969" t="s">
        <v>466</v>
      </c>
    </row>
    <row r="4970" spans="1:5" x14ac:dyDescent="0.35">
      <c r="A4970">
        <v>2012</v>
      </c>
      <c r="C4970" t="s">
        <v>373</v>
      </c>
      <c r="D4970">
        <v>73</v>
      </c>
      <c r="E4970" t="s">
        <v>466</v>
      </c>
    </row>
    <row r="4971" spans="1:5" x14ac:dyDescent="0.35">
      <c r="A4971">
        <v>2012</v>
      </c>
      <c r="B4971" t="s">
        <v>33</v>
      </c>
      <c r="C4971" t="s">
        <v>43</v>
      </c>
      <c r="D4971">
        <v>22</v>
      </c>
      <c r="E4971" t="s">
        <v>466</v>
      </c>
    </row>
    <row r="4972" spans="1:5" x14ac:dyDescent="0.35">
      <c r="A4972">
        <v>2012</v>
      </c>
      <c r="B4972" t="s">
        <v>36</v>
      </c>
      <c r="C4972" t="s">
        <v>44</v>
      </c>
      <c r="D4972">
        <v>56</v>
      </c>
      <c r="E4972" t="s">
        <v>466</v>
      </c>
    </row>
    <row r="4973" spans="1:5" x14ac:dyDescent="0.35">
      <c r="A4973">
        <v>2012</v>
      </c>
      <c r="B4973" t="s">
        <v>38</v>
      </c>
      <c r="C4973" t="s">
        <v>45</v>
      </c>
      <c r="D4973">
        <v>324</v>
      </c>
      <c r="E4973" t="s">
        <v>466</v>
      </c>
    </row>
    <row r="4974" spans="1:5" x14ac:dyDescent="0.35">
      <c r="A4974">
        <v>2012</v>
      </c>
      <c r="B4974" t="s">
        <v>34</v>
      </c>
      <c r="C4974" t="s">
        <v>46</v>
      </c>
      <c r="D4974">
        <v>217</v>
      </c>
      <c r="E4974" t="s">
        <v>466</v>
      </c>
    </row>
    <row r="4975" spans="1:5" x14ac:dyDescent="0.35">
      <c r="A4975">
        <v>2012</v>
      </c>
      <c r="B4975" t="s">
        <v>37</v>
      </c>
      <c r="C4975" t="s">
        <v>47</v>
      </c>
      <c r="D4975">
        <v>55</v>
      </c>
      <c r="E4975" t="s">
        <v>466</v>
      </c>
    </row>
    <row r="4976" spans="1:5" x14ac:dyDescent="0.35">
      <c r="A4976">
        <v>2012</v>
      </c>
      <c r="B4976" t="s">
        <v>35</v>
      </c>
      <c r="C4976" t="s">
        <v>48</v>
      </c>
      <c r="D4976">
        <v>12</v>
      </c>
      <c r="E4976" t="s">
        <v>466</v>
      </c>
    </row>
    <row r="4977" spans="1:5" x14ac:dyDescent="0.35">
      <c r="A4977">
        <v>2012</v>
      </c>
      <c r="B4977" t="s">
        <v>34</v>
      </c>
      <c r="C4977" t="s">
        <v>49</v>
      </c>
      <c r="D4977">
        <v>29</v>
      </c>
      <c r="E4977" t="s">
        <v>466</v>
      </c>
    </row>
    <row r="4978" spans="1:5" x14ac:dyDescent="0.35">
      <c r="A4978">
        <v>2012</v>
      </c>
      <c r="B4978" t="s">
        <v>36</v>
      </c>
      <c r="C4978" t="s">
        <v>50</v>
      </c>
      <c r="D4978">
        <v>275</v>
      </c>
      <c r="E4978" t="s">
        <v>466</v>
      </c>
    </row>
    <row r="4979" spans="1:5" x14ac:dyDescent="0.35">
      <c r="A4979">
        <v>2012</v>
      </c>
      <c r="B4979" t="s">
        <v>34</v>
      </c>
      <c r="C4979" t="s">
        <v>51</v>
      </c>
      <c r="E4979" t="s">
        <v>466</v>
      </c>
    </row>
    <row r="4980" spans="1:5" x14ac:dyDescent="0.35">
      <c r="A4980">
        <v>2012</v>
      </c>
      <c r="B4980" t="s">
        <v>34</v>
      </c>
      <c r="C4980" t="s">
        <v>52</v>
      </c>
      <c r="D4980">
        <v>262</v>
      </c>
      <c r="E4980" t="s">
        <v>466</v>
      </c>
    </row>
    <row r="4981" spans="1:5" x14ac:dyDescent="0.35">
      <c r="A4981">
        <v>2012</v>
      </c>
      <c r="B4981" t="s">
        <v>36</v>
      </c>
      <c r="C4981" t="s">
        <v>53</v>
      </c>
      <c r="D4981">
        <v>80</v>
      </c>
      <c r="E4981" t="s">
        <v>466</v>
      </c>
    </row>
    <row r="4982" spans="1:5" x14ac:dyDescent="0.35">
      <c r="A4982">
        <v>2012</v>
      </c>
      <c r="B4982" t="s">
        <v>35</v>
      </c>
      <c r="C4982" t="s">
        <v>54</v>
      </c>
      <c r="D4982">
        <v>51</v>
      </c>
      <c r="E4982" t="s">
        <v>466</v>
      </c>
    </row>
    <row r="4983" spans="1:5" x14ac:dyDescent="0.35">
      <c r="A4983">
        <v>2012</v>
      </c>
      <c r="B4983" t="s">
        <v>35</v>
      </c>
      <c r="C4983" t="s">
        <v>55</v>
      </c>
      <c r="D4983">
        <v>17</v>
      </c>
      <c r="E4983" t="s">
        <v>466</v>
      </c>
    </row>
    <row r="4984" spans="1:5" x14ac:dyDescent="0.35">
      <c r="A4984">
        <v>2012</v>
      </c>
      <c r="B4984" t="s">
        <v>36</v>
      </c>
      <c r="C4984" t="s">
        <v>56</v>
      </c>
      <c r="D4984">
        <v>316</v>
      </c>
      <c r="E4984" t="s">
        <v>466</v>
      </c>
    </row>
    <row r="4985" spans="1:5" x14ac:dyDescent="0.35">
      <c r="A4985">
        <v>2012</v>
      </c>
      <c r="B4985" t="s">
        <v>33</v>
      </c>
      <c r="C4985" t="s">
        <v>57</v>
      </c>
      <c r="D4985">
        <v>11</v>
      </c>
      <c r="E4985" t="s">
        <v>466</v>
      </c>
    </row>
    <row r="4986" spans="1:5" x14ac:dyDescent="0.35">
      <c r="A4986">
        <v>2012</v>
      </c>
      <c r="B4986" t="s">
        <v>36</v>
      </c>
      <c r="C4986" t="s">
        <v>363</v>
      </c>
      <c r="D4986">
        <v>21</v>
      </c>
      <c r="E4986" t="s">
        <v>466</v>
      </c>
    </row>
    <row r="4987" spans="1:5" x14ac:dyDescent="0.35">
      <c r="A4987">
        <v>2012</v>
      </c>
      <c r="B4987" t="s">
        <v>38</v>
      </c>
      <c r="C4987" t="s">
        <v>59</v>
      </c>
      <c r="D4987">
        <v>290</v>
      </c>
      <c r="E4987" t="s">
        <v>466</v>
      </c>
    </row>
    <row r="4988" spans="1:5" x14ac:dyDescent="0.35">
      <c r="A4988">
        <v>2012</v>
      </c>
      <c r="B4988" t="s">
        <v>35</v>
      </c>
      <c r="C4988" t="s">
        <v>60</v>
      </c>
      <c r="D4988">
        <v>198</v>
      </c>
      <c r="E4988" t="s">
        <v>466</v>
      </c>
    </row>
    <row r="4989" spans="1:5" x14ac:dyDescent="0.35">
      <c r="A4989">
        <v>2012</v>
      </c>
      <c r="B4989" t="s">
        <v>38</v>
      </c>
      <c r="C4989" t="s">
        <v>21</v>
      </c>
      <c r="D4989">
        <v>2433</v>
      </c>
      <c r="E4989" t="s">
        <v>466</v>
      </c>
    </row>
    <row r="4990" spans="1:5" x14ac:dyDescent="0.35">
      <c r="A4990">
        <v>2012</v>
      </c>
      <c r="B4990" t="s">
        <v>36</v>
      </c>
      <c r="C4990" t="s">
        <v>364</v>
      </c>
      <c r="D4990">
        <v>12</v>
      </c>
      <c r="E4990" t="s">
        <v>466</v>
      </c>
    </row>
    <row r="4991" spans="1:5" x14ac:dyDescent="0.35">
      <c r="A4991">
        <v>2012</v>
      </c>
      <c r="B4991" t="s">
        <v>35</v>
      </c>
      <c r="C4991" t="s">
        <v>62</v>
      </c>
      <c r="D4991">
        <v>110</v>
      </c>
      <c r="E4991" t="s">
        <v>466</v>
      </c>
    </row>
    <row r="4992" spans="1:5" x14ac:dyDescent="0.35">
      <c r="A4992">
        <v>2012</v>
      </c>
      <c r="B4992" t="s">
        <v>33</v>
      </c>
      <c r="C4992" t="s">
        <v>63</v>
      </c>
      <c r="D4992">
        <v>29</v>
      </c>
      <c r="E4992" t="s">
        <v>466</v>
      </c>
    </row>
    <row r="4993" spans="1:5" x14ac:dyDescent="0.35">
      <c r="A4993">
        <v>2012</v>
      </c>
      <c r="B4993" t="s">
        <v>34</v>
      </c>
      <c r="C4993" t="s">
        <v>64</v>
      </c>
      <c r="D4993">
        <v>54</v>
      </c>
      <c r="E4993" t="s">
        <v>466</v>
      </c>
    </row>
    <row r="4994" spans="1:5" x14ac:dyDescent="0.35">
      <c r="A4994">
        <v>2012</v>
      </c>
      <c r="B4994" t="s">
        <v>33</v>
      </c>
      <c r="C4994" t="s">
        <v>65</v>
      </c>
      <c r="D4994">
        <v>27</v>
      </c>
      <c r="E4994" t="s">
        <v>466</v>
      </c>
    </row>
    <row r="4995" spans="1:5" x14ac:dyDescent="0.35">
      <c r="A4995">
        <v>2012</v>
      </c>
      <c r="B4995" t="s">
        <v>33</v>
      </c>
      <c r="C4995" t="s">
        <v>66</v>
      </c>
      <c r="D4995">
        <v>268</v>
      </c>
      <c r="E4995" t="s">
        <v>466</v>
      </c>
    </row>
    <row r="4996" spans="1:5" x14ac:dyDescent="0.35">
      <c r="A4996">
        <v>2012</v>
      </c>
      <c r="B4996" t="s">
        <v>34</v>
      </c>
      <c r="C4996" t="s">
        <v>67</v>
      </c>
      <c r="D4996">
        <v>130</v>
      </c>
      <c r="E4996" t="s">
        <v>466</v>
      </c>
    </row>
    <row r="4997" spans="1:5" x14ac:dyDescent="0.35">
      <c r="A4997">
        <v>2012</v>
      </c>
      <c r="B4997" t="s">
        <v>33</v>
      </c>
      <c r="C4997" t="s">
        <v>68</v>
      </c>
      <c r="D4997">
        <v>1172</v>
      </c>
      <c r="E4997" t="s">
        <v>466</v>
      </c>
    </row>
    <row r="4998" spans="1:5" x14ac:dyDescent="0.35">
      <c r="A4998">
        <v>2012</v>
      </c>
      <c r="B4998" t="s">
        <v>36</v>
      </c>
      <c r="C4998" t="s">
        <v>69</v>
      </c>
      <c r="D4998">
        <v>110</v>
      </c>
      <c r="E4998" t="s">
        <v>466</v>
      </c>
    </row>
    <row r="4999" spans="1:5" x14ac:dyDescent="0.35">
      <c r="A4999">
        <v>2012</v>
      </c>
      <c r="B4999" t="s">
        <v>36</v>
      </c>
      <c r="C4999" t="s">
        <v>365</v>
      </c>
      <c r="D4999">
        <v>6</v>
      </c>
      <c r="E4999" t="s">
        <v>466</v>
      </c>
    </row>
    <row r="5000" spans="1:5" x14ac:dyDescent="0.35">
      <c r="A5000">
        <v>2012</v>
      </c>
      <c r="B5000" t="s">
        <v>33</v>
      </c>
      <c r="C5000" t="s">
        <v>70</v>
      </c>
      <c r="D5000">
        <v>9</v>
      </c>
      <c r="E5000" t="s">
        <v>466</v>
      </c>
    </row>
    <row r="5001" spans="1:5" x14ac:dyDescent="0.35">
      <c r="A5001">
        <v>2012</v>
      </c>
      <c r="B5001" t="s">
        <v>33</v>
      </c>
      <c r="C5001" t="s">
        <v>71</v>
      </c>
      <c r="D5001">
        <v>7</v>
      </c>
      <c r="E5001" t="s">
        <v>466</v>
      </c>
    </row>
    <row r="5002" spans="1:5" x14ac:dyDescent="0.35">
      <c r="A5002">
        <v>2012</v>
      </c>
      <c r="B5002" t="s">
        <v>38</v>
      </c>
      <c r="C5002" t="s">
        <v>72</v>
      </c>
      <c r="D5002">
        <v>193</v>
      </c>
      <c r="E5002" t="s">
        <v>466</v>
      </c>
    </row>
    <row r="5003" spans="1:5" x14ac:dyDescent="0.35">
      <c r="A5003">
        <v>2012</v>
      </c>
      <c r="B5003" t="s">
        <v>34</v>
      </c>
      <c r="C5003" t="s">
        <v>73</v>
      </c>
      <c r="D5003">
        <v>2350</v>
      </c>
      <c r="E5003" t="s">
        <v>466</v>
      </c>
    </row>
    <row r="5004" spans="1:5" x14ac:dyDescent="0.35">
      <c r="A5004">
        <v>2012</v>
      </c>
      <c r="B5004" t="s">
        <v>38</v>
      </c>
      <c r="C5004" t="s">
        <v>20</v>
      </c>
      <c r="D5004">
        <v>2201</v>
      </c>
      <c r="E5004" t="s">
        <v>466</v>
      </c>
    </row>
    <row r="5005" spans="1:5" x14ac:dyDescent="0.35">
      <c r="A5005">
        <v>2012</v>
      </c>
      <c r="B5005" t="s">
        <v>33</v>
      </c>
      <c r="C5005" t="s">
        <v>74</v>
      </c>
      <c r="D5005">
        <v>28</v>
      </c>
      <c r="E5005" t="s">
        <v>466</v>
      </c>
    </row>
    <row r="5006" spans="1:5" x14ac:dyDescent="0.35">
      <c r="A5006">
        <v>2012</v>
      </c>
      <c r="B5006" t="s">
        <v>33</v>
      </c>
      <c r="C5006" t="s">
        <v>75</v>
      </c>
      <c r="D5006">
        <v>75</v>
      </c>
      <c r="E5006" t="s">
        <v>466</v>
      </c>
    </row>
    <row r="5007" spans="1:5" x14ac:dyDescent="0.35">
      <c r="A5007">
        <v>2012</v>
      </c>
      <c r="B5007" t="s">
        <v>36</v>
      </c>
      <c r="C5007" t="s">
        <v>76</v>
      </c>
      <c r="D5007">
        <v>518</v>
      </c>
      <c r="E5007" t="s">
        <v>466</v>
      </c>
    </row>
    <row r="5008" spans="1:5" x14ac:dyDescent="0.35">
      <c r="A5008">
        <v>2012</v>
      </c>
      <c r="B5008" t="s">
        <v>33</v>
      </c>
      <c r="C5008" t="s">
        <v>77</v>
      </c>
      <c r="D5008">
        <v>112</v>
      </c>
      <c r="E5008" t="s">
        <v>466</v>
      </c>
    </row>
    <row r="5009" spans="1:5" x14ac:dyDescent="0.35">
      <c r="A5009">
        <v>2012</v>
      </c>
      <c r="B5009" t="s">
        <v>35</v>
      </c>
      <c r="C5009" t="s">
        <v>78</v>
      </c>
      <c r="D5009">
        <v>31</v>
      </c>
      <c r="E5009" t="s">
        <v>466</v>
      </c>
    </row>
    <row r="5010" spans="1:5" x14ac:dyDescent="0.35">
      <c r="A5010">
        <v>2012</v>
      </c>
      <c r="B5010" t="s">
        <v>36</v>
      </c>
      <c r="C5010" t="s">
        <v>79</v>
      </c>
      <c r="D5010">
        <v>4121</v>
      </c>
      <c r="E5010" t="s">
        <v>466</v>
      </c>
    </row>
    <row r="5011" spans="1:5" x14ac:dyDescent="0.35">
      <c r="A5011">
        <v>2012</v>
      </c>
      <c r="B5011" t="s">
        <v>35</v>
      </c>
      <c r="C5011" t="s">
        <v>81</v>
      </c>
      <c r="D5011">
        <v>68</v>
      </c>
      <c r="E5011" t="s">
        <v>466</v>
      </c>
    </row>
    <row r="5012" spans="1:5" x14ac:dyDescent="0.35">
      <c r="A5012">
        <v>2012</v>
      </c>
      <c r="B5012" t="s">
        <v>35</v>
      </c>
      <c r="C5012" t="s">
        <v>214</v>
      </c>
      <c r="D5012">
        <v>20</v>
      </c>
      <c r="E5012" t="s">
        <v>466</v>
      </c>
    </row>
    <row r="5013" spans="1:5" x14ac:dyDescent="0.35">
      <c r="A5013">
        <v>2012</v>
      </c>
      <c r="B5013" t="s">
        <v>35</v>
      </c>
      <c r="C5013" t="s">
        <v>82</v>
      </c>
      <c r="D5013">
        <v>8</v>
      </c>
      <c r="E5013" t="s">
        <v>466</v>
      </c>
    </row>
    <row r="5014" spans="1:5" x14ac:dyDescent="0.35">
      <c r="A5014">
        <v>2012</v>
      </c>
      <c r="B5014" t="s">
        <v>36</v>
      </c>
      <c r="C5014" t="s">
        <v>84</v>
      </c>
      <c r="D5014">
        <v>41</v>
      </c>
      <c r="E5014" t="s">
        <v>466</v>
      </c>
    </row>
    <row r="5015" spans="1:5" x14ac:dyDescent="0.35">
      <c r="A5015">
        <v>2012</v>
      </c>
      <c r="B5015" t="s">
        <v>36</v>
      </c>
      <c r="C5015" t="s">
        <v>85</v>
      </c>
      <c r="D5015">
        <v>4506</v>
      </c>
      <c r="E5015" t="s">
        <v>466</v>
      </c>
    </row>
    <row r="5016" spans="1:5" x14ac:dyDescent="0.35">
      <c r="A5016">
        <v>2012</v>
      </c>
      <c r="B5016" t="s">
        <v>38</v>
      </c>
      <c r="C5016" t="s">
        <v>86</v>
      </c>
      <c r="D5016">
        <v>4374</v>
      </c>
      <c r="E5016" t="s">
        <v>466</v>
      </c>
    </row>
    <row r="5017" spans="1:5" x14ac:dyDescent="0.35">
      <c r="A5017">
        <v>2012</v>
      </c>
      <c r="B5017" t="s">
        <v>33</v>
      </c>
      <c r="C5017" t="s">
        <v>87</v>
      </c>
      <c r="D5017">
        <v>190</v>
      </c>
      <c r="E5017" t="s">
        <v>466</v>
      </c>
    </row>
    <row r="5018" spans="1:5" x14ac:dyDescent="0.35">
      <c r="A5018">
        <v>2012</v>
      </c>
      <c r="B5018" t="s">
        <v>36</v>
      </c>
      <c r="C5018" t="s">
        <v>16</v>
      </c>
      <c r="D5018">
        <v>38976</v>
      </c>
      <c r="E5018" t="s">
        <v>466</v>
      </c>
    </row>
    <row r="5019" spans="1:5" x14ac:dyDescent="0.35">
      <c r="A5019">
        <v>2012</v>
      </c>
      <c r="B5019" t="s">
        <v>33</v>
      </c>
      <c r="C5019" t="s">
        <v>88</v>
      </c>
      <c r="D5019">
        <v>7</v>
      </c>
      <c r="E5019" t="s">
        <v>466</v>
      </c>
    </row>
    <row r="5020" spans="1:5" x14ac:dyDescent="0.35">
      <c r="A5020">
        <v>2012</v>
      </c>
      <c r="B5020" t="s">
        <v>33</v>
      </c>
      <c r="C5020" t="s">
        <v>89</v>
      </c>
      <c r="D5020">
        <v>37</v>
      </c>
      <c r="E5020" t="s">
        <v>466</v>
      </c>
    </row>
    <row r="5021" spans="1:5" x14ac:dyDescent="0.35">
      <c r="A5021">
        <v>2012</v>
      </c>
      <c r="B5021" t="s">
        <v>35</v>
      </c>
      <c r="C5021" t="s">
        <v>90</v>
      </c>
      <c r="D5021">
        <v>30</v>
      </c>
      <c r="E5021" t="s">
        <v>466</v>
      </c>
    </row>
    <row r="5022" spans="1:5" x14ac:dyDescent="0.35">
      <c r="A5022">
        <v>2012</v>
      </c>
      <c r="B5022" t="s">
        <v>33</v>
      </c>
      <c r="C5022" t="s">
        <v>91</v>
      </c>
      <c r="D5022">
        <v>220</v>
      </c>
      <c r="E5022" t="s">
        <v>466</v>
      </c>
    </row>
    <row r="5023" spans="1:5" x14ac:dyDescent="0.35">
      <c r="A5023">
        <v>2012</v>
      </c>
      <c r="B5023" t="s">
        <v>37</v>
      </c>
      <c r="C5023" t="s">
        <v>92</v>
      </c>
      <c r="D5023">
        <v>79</v>
      </c>
      <c r="E5023" t="s">
        <v>466</v>
      </c>
    </row>
    <row r="5024" spans="1:5" x14ac:dyDescent="0.35">
      <c r="A5024">
        <v>2012</v>
      </c>
      <c r="B5024" t="s">
        <v>35</v>
      </c>
      <c r="C5024" t="s">
        <v>94</v>
      </c>
      <c r="D5024">
        <v>131</v>
      </c>
      <c r="E5024" t="s">
        <v>466</v>
      </c>
    </row>
    <row r="5025" spans="1:5" x14ac:dyDescent="0.35">
      <c r="A5025">
        <v>2012</v>
      </c>
      <c r="B5025" t="s">
        <v>33</v>
      </c>
      <c r="C5025" t="s">
        <v>95</v>
      </c>
      <c r="D5025">
        <v>13</v>
      </c>
      <c r="E5025" t="s">
        <v>466</v>
      </c>
    </row>
    <row r="5026" spans="1:5" x14ac:dyDescent="0.35">
      <c r="A5026">
        <v>2012</v>
      </c>
      <c r="B5026" t="s">
        <v>33</v>
      </c>
      <c r="C5026" t="s">
        <v>96</v>
      </c>
      <c r="D5026">
        <v>119</v>
      </c>
      <c r="E5026" t="s">
        <v>466</v>
      </c>
    </row>
    <row r="5027" spans="1:5" x14ac:dyDescent="0.35">
      <c r="A5027">
        <v>2012</v>
      </c>
      <c r="B5027" t="s">
        <v>34</v>
      </c>
      <c r="C5027" t="s">
        <v>8</v>
      </c>
      <c r="D5027">
        <v>58</v>
      </c>
      <c r="E5027" t="s">
        <v>466</v>
      </c>
    </row>
    <row r="5028" spans="1:5" x14ac:dyDescent="0.35">
      <c r="A5028">
        <v>2012</v>
      </c>
      <c r="B5028" t="s">
        <v>35</v>
      </c>
      <c r="C5028" t="s">
        <v>97</v>
      </c>
      <c r="D5028">
        <v>186</v>
      </c>
      <c r="E5028" t="s">
        <v>466</v>
      </c>
    </row>
    <row r="5029" spans="1:5" x14ac:dyDescent="0.35">
      <c r="A5029">
        <v>2012</v>
      </c>
      <c r="B5029" t="s">
        <v>33</v>
      </c>
      <c r="C5029" t="s">
        <v>98</v>
      </c>
      <c r="D5029">
        <v>340</v>
      </c>
      <c r="E5029" t="s">
        <v>466</v>
      </c>
    </row>
    <row r="5030" spans="1:5" x14ac:dyDescent="0.35">
      <c r="A5030">
        <v>2012</v>
      </c>
      <c r="B5030" t="s">
        <v>35</v>
      </c>
      <c r="C5030" t="s">
        <v>99</v>
      </c>
      <c r="D5030">
        <v>34</v>
      </c>
      <c r="E5030" t="s">
        <v>466</v>
      </c>
    </row>
    <row r="5031" spans="1:5" x14ac:dyDescent="0.35">
      <c r="A5031">
        <v>2012</v>
      </c>
      <c r="B5031" t="s">
        <v>36</v>
      </c>
      <c r="C5031" t="s">
        <v>100</v>
      </c>
      <c r="D5031">
        <v>35</v>
      </c>
      <c r="E5031" t="s">
        <v>466</v>
      </c>
    </row>
    <row r="5032" spans="1:5" x14ac:dyDescent="0.35">
      <c r="A5032">
        <v>2012</v>
      </c>
      <c r="B5032" t="s">
        <v>37</v>
      </c>
      <c r="C5032" t="s">
        <v>367</v>
      </c>
      <c r="D5032">
        <v>8</v>
      </c>
      <c r="E5032" t="s">
        <v>466</v>
      </c>
    </row>
    <row r="5033" spans="1:5" x14ac:dyDescent="0.35">
      <c r="A5033">
        <v>2012</v>
      </c>
      <c r="B5033" t="s">
        <v>36</v>
      </c>
      <c r="C5033" t="s">
        <v>15</v>
      </c>
      <c r="D5033">
        <v>57486</v>
      </c>
      <c r="E5033" t="s">
        <v>466</v>
      </c>
    </row>
    <row r="5034" spans="1:5" x14ac:dyDescent="0.35">
      <c r="A5034">
        <v>2012</v>
      </c>
      <c r="B5034" t="s">
        <v>33</v>
      </c>
      <c r="C5034" t="s">
        <v>101</v>
      </c>
      <c r="D5034">
        <v>142</v>
      </c>
      <c r="E5034" t="s">
        <v>466</v>
      </c>
    </row>
    <row r="5035" spans="1:5" x14ac:dyDescent="0.35">
      <c r="A5035">
        <v>2012</v>
      </c>
      <c r="B5035" t="s">
        <v>33</v>
      </c>
      <c r="C5035" t="s">
        <v>102</v>
      </c>
      <c r="D5035">
        <v>3</v>
      </c>
      <c r="E5035" t="s">
        <v>466</v>
      </c>
    </row>
    <row r="5036" spans="1:5" x14ac:dyDescent="0.35">
      <c r="A5036">
        <v>2012</v>
      </c>
      <c r="B5036" t="s">
        <v>38</v>
      </c>
      <c r="C5036" t="s">
        <v>103</v>
      </c>
      <c r="D5036">
        <v>360</v>
      </c>
      <c r="E5036" t="s">
        <v>466</v>
      </c>
    </row>
    <row r="5037" spans="1:5" x14ac:dyDescent="0.35">
      <c r="A5037">
        <v>2012</v>
      </c>
      <c r="B5037" t="s">
        <v>36</v>
      </c>
      <c r="C5037" t="s">
        <v>104</v>
      </c>
      <c r="D5037">
        <v>1492</v>
      </c>
      <c r="E5037" t="s">
        <v>466</v>
      </c>
    </row>
    <row r="5038" spans="1:5" x14ac:dyDescent="0.35">
      <c r="A5038">
        <v>2012</v>
      </c>
      <c r="B5038" t="s">
        <v>36</v>
      </c>
      <c r="C5038" t="s">
        <v>17</v>
      </c>
      <c r="D5038">
        <v>50771</v>
      </c>
      <c r="E5038" t="s">
        <v>466</v>
      </c>
    </row>
    <row r="5039" spans="1:5" x14ac:dyDescent="0.35">
      <c r="A5039">
        <v>2012</v>
      </c>
      <c r="B5039" t="s">
        <v>34</v>
      </c>
      <c r="C5039" t="s">
        <v>368</v>
      </c>
      <c r="D5039">
        <v>85</v>
      </c>
      <c r="E5039" t="s">
        <v>466</v>
      </c>
    </row>
    <row r="5040" spans="1:5" x14ac:dyDescent="0.35">
      <c r="A5040">
        <v>2012</v>
      </c>
      <c r="B5040" t="s">
        <v>35</v>
      </c>
      <c r="C5040" t="s">
        <v>105</v>
      </c>
      <c r="D5040">
        <v>111</v>
      </c>
      <c r="E5040" t="s">
        <v>466</v>
      </c>
    </row>
    <row r="5041" spans="1:5" x14ac:dyDescent="0.35">
      <c r="A5041">
        <v>2012</v>
      </c>
      <c r="B5041" t="s">
        <v>35</v>
      </c>
      <c r="C5041" t="s">
        <v>106</v>
      </c>
      <c r="D5041">
        <v>3</v>
      </c>
      <c r="E5041" t="s">
        <v>466</v>
      </c>
    </row>
    <row r="5042" spans="1:5" x14ac:dyDescent="0.35">
      <c r="A5042">
        <v>2012</v>
      </c>
      <c r="B5042" t="s">
        <v>34</v>
      </c>
      <c r="C5042" t="s">
        <v>22</v>
      </c>
      <c r="D5042">
        <v>1566</v>
      </c>
      <c r="E5042" t="s">
        <v>466</v>
      </c>
    </row>
    <row r="5043" spans="1:5" x14ac:dyDescent="0.35">
      <c r="A5043">
        <v>2012</v>
      </c>
      <c r="B5043" t="s">
        <v>34</v>
      </c>
      <c r="C5043" t="s">
        <v>107</v>
      </c>
      <c r="D5043">
        <v>219</v>
      </c>
      <c r="E5043" t="s">
        <v>466</v>
      </c>
    </row>
    <row r="5044" spans="1:5" x14ac:dyDescent="0.35">
      <c r="A5044">
        <v>2012</v>
      </c>
      <c r="B5044" t="s">
        <v>34</v>
      </c>
      <c r="C5044" t="s">
        <v>108</v>
      </c>
      <c r="D5044">
        <v>301</v>
      </c>
      <c r="E5044" t="s">
        <v>466</v>
      </c>
    </row>
    <row r="5045" spans="1:5" x14ac:dyDescent="0.35">
      <c r="A5045">
        <v>2012</v>
      </c>
      <c r="B5045" t="s">
        <v>34</v>
      </c>
      <c r="C5045" t="s">
        <v>109</v>
      </c>
      <c r="D5045">
        <v>244</v>
      </c>
      <c r="E5045" t="s">
        <v>466</v>
      </c>
    </row>
    <row r="5046" spans="1:5" x14ac:dyDescent="0.35">
      <c r="A5046">
        <v>2012</v>
      </c>
      <c r="B5046" t="s">
        <v>35</v>
      </c>
      <c r="C5046" t="s">
        <v>110</v>
      </c>
      <c r="D5046">
        <v>89</v>
      </c>
      <c r="E5046" t="s">
        <v>466</v>
      </c>
    </row>
    <row r="5047" spans="1:5" x14ac:dyDescent="0.35">
      <c r="A5047">
        <v>2012</v>
      </c>
      <c r="B5047" t="s">
        <v>34</v>
      </c>
      <c r="C5047" t="s">
        <v>111</v>
      </c>
      <c r="D5047">
        <v>192</v>
      </c>
      <c r="E5047" t="s">
        <v>466</v>
      </c>
    </row>
    <row r="5048" spans="1:5" x14ac:dyDescent="0.35">
      <c r="A5048">
        <v>2012</v>
      </c>
      <c r="B5048" t="s">
        <v>35</v>
      </c>
      <c r="C5048" t="s">
        <v>112</v>
      </c>
      <c r="D5048">
        <v>153</v>
      </c>
      <c r="E5048" t="s">
        <v>466</v>
      </c>
    </row>
    <row r="5049" spans="1:5" x14ac:dyDescent="0.35">
      <c r="A5049">
        <v>2012</v>
      </c>
      <c r="B5049" t="s">
        <v>36</v>
      </c>
      <c r="C5049" t="s">
        <v>113</v>
      </c>
      <c r="D5049">
        <v>2655</v>
      </c>
      <c r="E5049" t="s">
        <v>466</v>
      </c>
    </row>
    <row r="5050" spans="1:5" x14ac:dyDescent="0.35">
      <c r="A5050">
        <v>2012</v>
      </c>
      <c r="B5050" t="s">
        <v>34</v>
      </c>
      <c r="C5050" t="s">
        <v>114</v>
      </c>
      <c r="D5050">
        <v>59</v>
      </c>
      <c r="E5050" t="s">
        <v>466</v>
      </c>
    </row>
    <row r="5051" spans="1:5" x14ac:dyDescent="0.35">
      <c r="A5051">
        <v>2012</v>
      </c>
      <c r="B5051" t="s">
        <v>34</v>
      </c>
      <c r="C5051" t="s">
        <v>115</v>
      </c>
      <c r="D5051">
        <v>281</v>
      </c>
      <c r="E5051" t="s">
        <v>466</v>
      </c>
    </row>
    <row r="5052" spans="1:5" x14ac:dyDescent="0.35">
      <c r="A5052">
        <v>2012</v>
      </c>
      <c r="B5052" t="s">
        <v>34</v>
      </c>
      <c r="C5052" t="s">
        <v>116</v>
      </c>
      <c r="D5052">
        <v>108</v>
      </c>
      <c r="E5052" t="s">
        <v>466</v>
      </c>
    </row>
    <row r="5053" spans="1:5" x14ac:dyDescent="0.35">
      <c r="A5053">
        <v>2012</v>
      </c>
      <c r="B5053" t="s">
        <v>33</v>
      </c>
      <c r="C5053" t="s">
        <v>117</v>
      </c>
      <c r="D5053">
        <v>494</v>
      </c>
      <c r="E5053" t="s">
        <v>466</v>
      </c>
    </row>
    <row r="5054" spans="1:5" x14ac:dyDescent="0.35">
      <c r="A5054">
        <v>2012</v>
      </c>
      <c r="B5054" t="s">
        <v>34</v>
      </c>
      <c r="C5054" t="s">
        <v>118</v>
      </c>
      <c r="D5054">
        <v>627</v>
      </c>
      <c r="E5054" t="s">
        <v>466</v>
      </c>
    </row>
    <row r="5055" spans="1:5" x14ac:dyDescent="0.35">
      <c r="A5055">
        <v>2012</v>
      </c>
      <c r="B5055" t="s">
        <v>35</v>
      </c>
      <c r="C5055" t="s">
        <v>119</v>
      </c>
      <c r="D5055">
        <v>26</v>
      </c>
      <c r="E5055" t="s">
        <v>466</v>
      </c>
    </row>
    <row r="5056" spans="1:5" x14ac:dyDescent="0.35">
      <c r="A5056">
        <v>2012</v>
      </c>
      <c r="B5056" t="s">
        <v>34</v>
      </c>
      <c r="C5056" t="s">
        <v>120</v>
      </c>
      <c r="D5056">
        <v>22</v>
      </c>
      <c r="E5056" t="s">
        <v>466</v>
      </c>
    </row>
    <row r="5057" spans="1:5" x14ac:dyDescent="0.35">
      <c r="A5057">
        <v>2012</v>
      </c>
      <c r="B5057" t="s">
        <v>34</v>
      </c>
      <c r="C5057" t="s">
        <v>121</v>
      </c>
      <c r="D5057">
        <v>40</v>
      </c>
      <c r="E5057" t="s">
        <v>466</v>
      </c>
    </row>
    <row r="5058" spans="1:5" x14ac:dyDescent="0.35">
      <c r="A5058">
        <v>2012</v>
      </c>
      <c r="B5058" t="s">
        <v>34</v>
      </c>
      <c r="C5058" t="s">
        <v>122</v>
      </c>
      <c r="D5058">
        <v>754</v>
      </c>
      <c r="E5058" t="s">
        <v>466</v>
      </c>
    </row>
    <row r="5059" spans="1:5" x14ac:dyDescent="0.35">
      <c r="A5059">
        <v>2012</v>
      </c>
      <c r="B5059" t="s">
        <v>35</v>
      </c>
      <c r="C5059" t="s">
        <v>123</v>
      </c>
      <c r="D5059">
        <v>35</v>
      </c>
      <c r="E5059" t="s">
        <v>466</v>
      </c>
    </row>
    <row r="5060" spans="1:5" x14ac:dyDescent="0.35">
      <c r="A5060">
        <v>2012</v>
      </c>
      <c r="B5060" t="s">
        <v>34</v>
      </c>
      <c r="C5060" t="s">
        <v>124</v>
      </c>
      <c r="D5060">
        <v>128</v>
      </c>
      <c r="E5060" t="s">
        <v>466</v>
      </c>
    </row>
    <row r="5061" spans="1:5" x14ac:dyDescent="0.35">
      <c r="A5061">
        <v>2012</v>
      </c>
      <c r="B5061" t="s">
        <v>33</v>
      </c>
      <c r="C5061" t="s">
        <v>125</v>
      </c>
      <c r="D5061">
        <v>314</v>
      </c>
      <c r="E5061" t="s">
        <v>466</v>
      </c>
    </row>
    <row r="5062" spans="1:5" x14ac:dyDescent="0.35">
      <c r="A5062">
        <v>2012</v>
      </c>
      <c r="B5062" t="s">
        <v>33</v>
      </c>
      <c r="C5062" t="s">
        <v>126</v>
      </c>
      <c r="D5062">
        <v>23</v>
      </c>
      <c r="E5062" t="s">
        <v>466</v>
      </c>
    </row>
    <row r="5063" spans="1:5" x14ac:dyDescent="0.35">
      <c r="A5063">
        <v>2012</v>
      </c>
      <c r="B5063" t="s">
        <v>35</v>
      </c>
      <c r="C5063" t="s">
        <v>127</v>
      </c>
      <c r="D5063">
        <v>84</v>
      </c>
      <c r="E5063" t="s">
        <v>466</v>
      </c>
    </row>
    <row r="5064" spans="1:5" x14ac:dyDescent="0.35">
      <c r="A5064">
        <v>2012</v>
      </c>
      <c r="B5064" t="s">
        <v>34</v>
      </c>
      <c r="C5064" t="s">
        <v>369</v>
      </c>
      <c r="E5064" t="s">
        <v>466</v>
      </c>
    </row>
    <row r="5065" spans="1:5" x14ac:dyDescent="0.35">
      <c r="A5065">
        <v>2012</v>
      </c>
      <c r="B5065" t="s">
        <v>33</v>
      </c>
      <c r="C5065" t="s">
        <v>130</v>
      </c>
      <c r="D5065">
        <v>14</v>
      </c>
      <c r="E5065" t="s">
        <v>466</v>
      </c>
    </row>
    <row r="5066" spans="1:5" x14ac:dyDescent="0.35">
      <c r="A5066">
        <v>2012</v>
      </c>
      <c r="B5066" t="s">
        <v>34</v>
      </c>
      <c r="C5066" t="s">
        <v>131</v>
      </c>
      <c r="D5066">
        <v>49</v>
      </c>
      <c r="E5066" t="s">
        <v>466</v>
      </c>
    </row>
    <row r="5067" spans="1:5" x14ac:dyDescent="0.35">
      <c r="A5067">
        <v>2012</v>
      </c>
      <c r="B5067" t="s">
        <v>33</v>
      </c>
      <c r="C5067" t="s">
        <v>132</v>
      </c>
      <c r="D5067">
        <v>100</v>
      </c>
      <c r="E5067" t="s">
        <v>466</v>
      </c>
    </row>
    <row r="5068" spans="1:5" x14ac:dyDescent="0.35">
      <c r="A5068">
        <v>2012</v>
      </c>
      <c r="B5068" t="s">
        <v>35</v>
      </c>
      <c r="C5068" t="s">
        <v>133</v>
      </c>
      <c r="E5068" t="s">
        <v>466</v>
      </c>
    </row>
    <row r="5069" spans="1:5" x14ac:dyDescent="0.35">
      <c r="A5069">
        <v>2012</v>
      </c>
      <c r="B5069" t="s">
        <v>37</v>
      </c>
      <c r="C5069" t="s">
        <v>134</v>
      </c>
      <c r="D5069">
        <v>28</v>
      </c>
      <c r="E5069" t="s">
        <v>466</v>
      </c>
    </row>
    <row r="5070" spans="1:5" x14ac:dyDescent="0.35">
      <c r="A5070">
        <v>2012</v>
      </c>
      <c r="B5070" t="s">
        <v>33</v>
      </c>
      <c r="C5070" t="s">
        <v>135</v>
      </c>
      <c r="D5070">
        <v>55</v>
      </c>
      <c r="E5070" t="s">
        <v>466</v>
      </c>
    </row>
    <row r="5071" spans="1:5" x14ac:dyDescent="0.35">
      <c r="A5071">
        <v>2012</v>
      </c>
      <c r="B5071" t="s">
        <v>36</v>
      </c>
      <c r="C5071" t="s">
        <v>14</v>
      </c>
      <c r="D5071">
        <v>468766</v>
      </c>
      <c r="E5071" t="s">
        <v>466</v>
      </c>
    </row>
    <row r="5072" spans="1:5" x14ac:dyDescent="0.35">
      <c r="A5072">
        <v>2012</v>
      </c>
      <c r="B5072" t="s">
        <v>37</v>
      </c>
      <c r="C5072" t="s">
        <v>137</v>
      </c>
      <c r="D5072">
        <v>106</v>
      </c>
      <c r="E5072" t="s">
        <v>466</v>
      </c>
    </row>
    <row r="5073" spans="1:5" x14ac:dyDescent="0.35">
      <c r="A5073">
        <v>2012</v>
      </c>
      <c r="B5073" t="s">
        <v>35</v>
      </c>
      <c r="C5073" t="s">
        <v>138</v>
      </c>
      <c r="D5073">
        <v>93</v>
      </c>
      <c r="E5073" t="s">
        <v>466</v>
      </c>
    </row>
    <row r="5074" spans="1:5" x14ac:dyDescent="0.35">
      <c r="A5074">
        <v>2012</v>
      </c>
      <c r="B5074" t="s">
        <v>34</v>
      </c>
      <c r="C5074" t="s">
        <v>139</v>
      </c>
      <c r="D5074">
        <v>95</v>
      </c>
      <c r="E5074" t="s">
        <v>466</v>
      </c>
    </row>
    <row r="5075" spans="1:5" x14ac:dyDescent="0.35">
      <c r="A5075">
        <v>2012</v>
      </c>
      <c r="B5075" t="s">
        <v>35</v>
      </c>
      <c r="C5075" t="s">
        <v>140</v>
      </c>
      <c r="D5075">
        <v>18</v>
      </c>
      <c r="E5075" t="s">
        <v>466</v>
      </c>
    </row>
    <row r="5076" spans="1:5" x14ac:dyDescent="0.35">
      <c r="A5076">
        <v>2012</v>
      </c>
      <c r="B5076" t="s">
        <v>36</v>
      </c>
      <c r="C5076" t="s">
        <v>370</v>
      </c>
      <c r="D5076">
        <v>4</v>
      </c>
      <c r="E5076" t="s">
        <v>466</v>
      </c>
    </row>
    <row r="5077" spans="1:5" x14ac:dyDescent="0.35">
      <c r="A5077">
        <v>2012</v>
      </c>
      <c r="B5077" t="s">
        <v>33</v>
      </c>
      <c r="C5077" t="s">
        <v>141</v>
      </c>
      <c r="D5077">
        <v>149</v>
      </c>
      <c r="E5077" t="s">
        <v>466</v>
      </c>
    </row>
    <row r="5078" spans="1:5" x14ac:dyDescent="0.35">
      <c r="A5078">
        <v>2012</v>
      </c>
      <c r="B5078" t="s">
        <v>34</v>
      </c>
      <c r="C5078" t="s">
        <v>144</v>
      </c>
      <c r="D5078">
        <v>248</v>
      </c>
      <c r="E5078" t="s">
        <v>466</v>
      </c>
    </row>
    <row r="5079" spans="1:5" x14ac:dyDescent="0.35">
      <c r="A5079">
        <v>2012</v>
      </c>
      <c r="B5079" t="s">
        <v>35</v>
      </c>
      <c r="C5079" t="s">
        <v>145</v>
      </c>
      <c r="D5079">
        <v>64</v>
      </c>
      <c r="E5079" t="s">
        <v>466</v>
      </c>
    </row>
    <row r="5080" spans="1:5" x14ac:dyDescent="0.35">
      <c r="A5080">
        <v>2012</v>
      </c>
      <c r="B5080" t="s">
        <v>36</v>
      </c>
      <c r="C5080" t="s">
        <v>371</v>
      </c>
      <c r="E5080" t="s">
        <v>466</v>
      </c>
    </row>
    <row r="5081" spans="1:5" x14ac:dyDescent="0.35">
      <c r="A5081">
        <v>2012</v>
      </c>
      <c r="B5081" t="s">
        <v>37</v>
      </c>
      <c r="C5081" t="s">
        <v>146</v>
      </c>
      <c r="D5081">
        <v>35</v>
      </c>
      <c r="E5081" t="s">
        <v>466</v>
      </c>
    </row>
    <row r="5082" spans="1:5" x14ac:dyDescent="0.35">
      <c r="A5082">
        <v>2012</v>
      </c>
      <c r="B5082" t="s">
        <v>36</v>
      </c>
      <c r="C5082" t="s">
        <v>147</v>
      </c>
      <c r="D5082">
        <v>2532</v>
      </c>
      <c r="E5082" t="s">
        <v>466</v>
      </c>
    </row>
    <row r="5083" spans="1:5" x14ac:dyDescent="0.35">
      <c r="A5083">
        <v>2012</v>
      </c>
      <c r="B5083" t="s">
        <v>33</v>
      </c>
      <c r="C5083" t="s">
        <v>148</v>
      </c>
      <c r="D5083">
        <v>50</v>
      </c>
      <c r="E5083" t="s">
        <v>466</v>
      </c>
    </row>
    <row r="5084" spans="1:5" x14ac:dyDescent="0.35">
      <c r="A5084">
        <v>2012</v>
      </c>
      <c r="B5084" t="s">
        <v>33</v>
      </c>
      <c r="C5084" t="s">
        <v>149</v>
      </c>
      <c r="D5084">
        <v>543</v>
      </c>
      <c r="E5084" t="s">
        <v>466</v>
      </c>
    </row>
    <row r="5085" spans="1:5" x14ac:dyDescent="0.35">
      <c r="A5085">
        <v>2012</v>
      </c>
      <c r="B5085" t="s">
        <v>35</v>
      </c>
      <c r="C5085" t="s">
        <v>322</v>
      </c>
      <c r="D5085">
        <v>43</v>
      </c>
      <c r="E5085" t="s">
        <v>466</v>
      </c>
    </row>
    <row r="5086" spans="1:5" x14ac:dyDescent="0.35">
      <c r="A5086">
        <v>2012</v>
      </c>
      <c r="B5086" t="s">
        <v>35</v>
      </c>
      <c r="C5086" t="s">
        <v>150</v>
      </c>
      <c r="D5086">
        <v>8</v>
      </c>
      <c r="E5086" t="s">
        <v>466</v>
      </c>
    </row>
    <row r="5087" spans="1:5" x14ac:dyDescent="0.35">
      <c r="A5087">
        <v>2012</v>
      </c>
      <c r="B5087" t="s">
        <v>34</v>
      </c>
      <c r="C5087" t="s">
        <v>152</v>
      </c>
      <c r="D5087">
        <v>470</v>
      </c>
      <c r="E5087" t="s">
        <v>466</v>
      </c>
    </row>
    <row r="5088" spans="1:5" x14ac:dyDescent="0.35">
      <c r="A5088">
        <v>2012</v>
      </c>
      <c r="B5088" t="s">
        <v>37</v>
      </c>
      <c r="C5088" t="s">
        <v>153</v>
      </c>
      <c r="D5088">
        <v>26</v>
      </c>
      <c r="E5088" t="s">
        <v>466</v>
      </c>
    </row>
    <row r="5089" spans="1:5" x14ac:dyDescent="0.35">
      <c r="A5089">
        <v>2012</v>
      </c>
      <c r="B5089" t="s">
        <v>36</v>
      </c>
      <c r="C5089" t="s">
        <v>154</v>
      </c>
      <c r="D5089">
        <v>197</v>
      </c>
      <c r="E5089" t="s">
        <v>466</v>
      </c>
    </row>
    <row r="5090" spans="1:5" x14ac:dyDescent="0.35">
      <c r="A5090">
        <v>2012</v>
      </c>
      <c r="B5090" t="s">
        <v>38</v>
      </c>
      <c r="C5090" t="s">
        <v>155</v>
      </c>
      <c r="D5090">
        <v>33</v>
      </c>
      <c r="E5090" t="s">
        <v>466</v>
      </c>
    </row>
    <row r="5091" spans="1:5" x14ac:dyDescent="0.35">
      <c r="A5091">
        <v>2012</v>
      </c>
      <c r="B5091" t="s">
        <v>38</v>
      </c>
      <c r="C5091" t="s">
        <v>156</v>
      </c>
      <c r="D5091">
        <v>1588</v>
      </c>
      <c r="E5091" t="s">
        <v>466</v>
      </c>
    </row>
    <row r="5092" spans="1:5" x14ac:dyDescent="0.35">
      <c r="A5092">
        <v>2012</v>
      </c>
      <c r="B5092" t="s">
        <v>34</v>
      </c>
      <c r="C5092" t="s">
        <v>18</v>
      </c>
      <c r="D5092">
        <v>927</v>
      </c>
      <c r="E5092" t="s">
        <v>466</v>
      </c>
    </row>
    <row r="5093" spans="1:5" x14ac:dyDescent="0.35">
      <c r="A5093">
        <v>2012</v>
      </c>
      <c r="B5093" t="s">
        <v>35</v>
      </c>
      <c r="C5093" t="s">
        <v>157</v>
      </c>
      <c r="D5093">
        <v>494</v>
      </c>
      <c r="E5093" t="s">
        <v>466</v>
      </c>
    </row>
    <row r="5094" spans="1:5" x14ac:dyDescent="0.35">
      <c r="A5094">
        <v>2012</v>
      </c>
      <c r="B5094" t="s">
        <v>35</v>
      </c>
      <c r="C5094" t="s">
        <v>158</v>
      </c>
      <c r="D5094">
        <v>215</v>
      </c>
      <c r="E5094" t="s">
        <v>466</v>
      </c>
    </row>
    <row r="5095" spans="1:5" x14ac:dyDescent="0.35">
      <c r="A5095">
        <v>2012</v>
      </c>
      <c r="B5095" t="s">
        <v>35</v>
      </c>
      <c r="C5095" t="s">
        <v>160</v>
      </c>
      <c r="D5095">
        <v>1220</v>
      </c>
      <c r="E5095" t="s">
        <v>466</v>
      </c>
    </row>
    <row r="5096" spans="1:5" x14ac:dyDescent="0.35">
      <c r="A5096">
        <v>2012</v>
      </c>
      <c r="B5096" t="s">
        <v>35</v>
      </c>
      <c r="C5096" t="s">
        <v>161</v>
      </c>
      <c r="D5096">
        <v>414</v>
      </c>
      <c r="E5096" t="s">
        <v>466</v>
      </c>
    </row>
    <row r="5097" spans="1:5" x14ac:dyDescent="0.35">
      <c r="A5097">
        <v>2012</v>
      </c>
      <c r="B5097" t="s">
        <v>33</v>
      </c>
      <c r="C5097" t="s">
        <v>162</v>
      </c>
      <c r="D5097">
        <v>13</v>
      </c>
      <c r="E5097" t="s">
        <v>466</v>
      </c>
    </row>
    <row r="5098" spans="1:5" x14ac:dyDescent="0.35">
      <c r="A5098">
        <v>2012</v>
      </c>
      <c r="B5098" t="s">
        <v>36</v>
      </c>
      <c r="C5098" t="s">
        <v>163</v>
      </c>
      <c r="D5098">
        <v>49</v>
      </c>
      <c r="E5098" t="s">
        <v>466</v>
      </c>
    </row>
    <row r="5099" spans="1:5" x14ac:dyDescent="0.35">
      <c r="A5099">
        <v>2012</v>
      </c>
      <c r="B5099" t="s">
        <v>36</v>
      </c>
      <c r="C5099" t="s">
        <v>164</v>
      </c>
      <c r="D5099">
        <v>57</v>
      </c>
      <c r="E5099" t="s">
        <v>466</v>
      </c>
    </row>
    <row r="5100" spans="1:5" x14ac:dyDescent="0.35">
      <c r="A5100">
        <v>2012</v>
      </c>
      <c r="B5100" t="s">
        <v>36</v>
      </c>
      <c r="C5100" t="s">
        <v>165</v>
      </c>
      <c r="D5100">
        <v>41</v>
      </c>
      <c r="E5100" t="s">
        <v>466</v>
      </c>
    </row>
    <row r="5101" spans="1:5" x14ac:dyDescent="0.35">
      <c r="A5101">
        <v>2012</v>
      </c>
      <c r="B5101" t="s">
        <v>37</v>
      </c>
      <c r="C5101" t="s">
        <v>166</v>
      </c>
      <c r="D5101">
        <v>32</v>
      </c>
      <c r="E5101" t="s">
        <v>466</v>
      </c>
    </row>
    <row r="5102" spans="1:5" x14ac:dyDescent="0.35">
      <c r="A5102">
        <v>2012</v>
      </c>
      <c r="B5102" t="s">
        <v>34</v>
      </c>
      <c r="C5102" t="s">
        <v>167</v>
      </c>
      <c r="D5102">
        <v>198</v>
      </c>
      <c r="E5102" t="s">
        <v>466</v>
      </c>
    </row>
    <row r="5103" spans="1:5" x14ac:dyDescent="0.35">
      <c r="A5103">
        <v>2012</v>
      </c>
      <c r="B5103" t="s">
        <v>33</v>
      </c>
      <c r="C5103" t="s">
        <v>168</v>
      </c>
      <c r="D5103">
        <v>164</v>
      </c>
      <c r="E5103" t="s">
        <v>466</v>
      </c>
    </row>
    <row r="5104" spans="1:5" x14ac:dyDescent="0.35">
      <c r="A5104">
        <v>2012</v>
      </c>
      <c r="B5104" t="s">
        <v>35</v>
      </c>
      <c r="C5104" t="s">
        <v>169</v>
      </c>
      <c r="D5104">
        <v>13</v>
      </c>
      <c r="E5104" t="s">
        <v>466</v>
      </c>
    </row>
    <row r="5105" spans="1:5" x14ac:dyDescent="0.35">
      <c r="A5105">
        <v>2012</v>
      </c>
      <c r="B5105" t="s">
        <v>35</v>
      </c>
      <c r="C5105" t="s">
        <v>215</v>
      </c>
      <c r="D5105">
        <v>86</v>
      </c>
      <c r="E5105" t="s">
        <v>466</v>
      </c>
    </row>
    <row r="5106" spans="1:5" x14ac:dyDescent="0.35">
      <c r="A5106">
        <v>2012</v>
      </c>
      <c r="B5106" t="s">
        <v>33</v>
      </c>
      <c r="C5106" t="s">
        <v>170</v>
      </c>
      <c r="D5106">
        <v>162</v>
      </c>
      <c r="E5106" t="s">
        <v>466</v>
      </c>
    </row>
    <row r="5107" spans="1:5" x14ac:dyDescent="0.35">
      <c r="A5107">
        <v>2012</v>
      </c>
      <c r="B5107" t="s">
        <v>34</v>
      </c>
      <c r="C5107" t="s">
        <v>171</v>
      </c>
      <c r="D5107">
        <v>7</v>
      </c>
      <c r="E5107" t="s">
        <v>466</v>
      </c>
    </row>
    <row r="5108" spans="1:5" x14ac:dyDescent="0.35">
      <c r="A5108">
        <v>2012</v>
      </c>
      <c r="B5108" t="s">
        <v>35</v>
      </c>
      <c r="C5108" t="s">
        <v>172</v>
      </c>
      <c r="D5108">
        <v>44</v>
      </c>
      <c r="E5108" t="s">
        <v>466</v>
      </c>
    </row>
    <row r="5109" spans="1:5" x14ac:dyDescent="0.35">
      <c r="A5109">
        <v>2012</v>
      </c>
      <c r="B5109" t="s">
        <v>35</v>
      </c>
      <c r="C5109" t="s">
        <v>173</v>
      </c>
      <c r="D5109">
        <v>7</v>
      </c>
      <c r="E5109" t="s">
        <v>466</v>
      </c>
    </row>
    <row r="5110" spans="1:5" x14ac:dyDescent="0.35">
      <c r="A5110">
        <v>2012</v>
      </c>
      <c r="B5110" t="s">
        <v>33</v>
      </c>
      <c r="C5110" t="s">
        <v>174</v>
      </c>
      <c r="D5110">
        <v>316</v>
      </c>
      <c r="E5110" t="s">
        <v>466</v>
      </c>
    </row>
    <row r="5111" spans="1:5" x14ac:dyDescent="0.35">
      <c r="A5111">
        <v>2012</v>
      </c>
      <c r="B5111" t="s">
        <v>33</v>
      </c>
      <c r="C5111" t="s">
        <v>175</v>
      </c>
      <c r="D5111">
        <v>95</v>
      </c>
      <c r="E5111" t="s">
        <v>466</v>
      </c>
    </row>
    <row r="5112" spans="1:5" x14ac:dyDescent="0.35">
      <c r="A5112">
        <v>2012</v>
      </c>
      <c r="B5112" t="s">
        <v>33</v>
      </c>
      <c r="C5112" t="s">
        <v>176</v>
      </c>
      <c r="D5112">
        <v>3</v>
      </c>
      <c r="E5112" t="s">
        <v>466</v>
      </c>
    </row>
    <row r="5113" spans="1:5" x14ac:dyDescent="0.35">
      <c r="A5113">
        <v>2012</v>
      </c>
      <c r="B5113" t="s">
        <v>35</v>
      </c>
      <c r="C5113" t="s">
        <v>216</v>
      </c>
      <c r="D5113">
        <v>115</v>
      </c>
      <c r="E5113" t="s">
        <v>466</v>
      </c>
    </row>
    <row r="5114" spans="1:5" x14ac:dyDescent="0.35">
      <c r="A5114">
        <v>2012</v>
      </c>
      <c r="B5114" t="s">
        <v>35</v>
      </c>
      <c r="C5114" t="s">
        <v>177</v>
      </c>
      <c r="D5114">
        <v>139</v>
      </c>
      <c r="E5114" t="s">
        <v>466</v>
      </c>
    </row>
    <row r="5115" spans="1:5" x14ac:dyDescent="0.35">
      <c r="A5115">
        <v>2012</v>
      </c>
      <c r="B5115" t="s">
        <v>34</v>
      </c>
      <c r="C5115" t="s">
        <v>178</v>
      </c>
      <c r="D5115">
        <v>223</v>
      </c>
      <c r="E5115" t="s">
        <v>466</v>
      </c>
    </row>
    <row r="5116" spans="1:5" x14ac:dyDescent="0.35">
      <c r="A5116">
        <v>2012</v>
      </c>
      <c r="B5116" t="s">
        <v>33</v>
      </c>
      <c r="C5116" t="s">
        <v>179</v>
      </c>
      <c r="D5116">
        <v>253</v>
      </c>
      <c r="E5116" t="s">
        <v>466</v>
      </c>
    </row>
    <row r="5117" spans="1:5" x14ac:dyDescent="0.35">
      <c r="A5117">
        <v>2012</v>
      </c>
      <c r="B5117" t="s">
        <v>38</v>
      </c>
      <c r="C5117" t="s">
        <v>180</v>
      </c>
      <c r="D5117">
        <v>20</v>
      </c>
      <c r="E5117" t="s">
        <v>466</v>
      </c>
    </row>
    <row r="5118" spans="1:5" x14ac:dyDescent="0.35">
      <c r="A5118">
        <v>2012</v>
      </c>
      <c r="B5118" t="s">
        <v>35</v>
      </c>
      <c r="C5118" t="s">
        <v>182</v>
      </c>
      <c r="D5118">
        <v>33</v>
      </c>
      <c r="E5118" t="s">
        <v>466</v>
      </c>
    </row>
    <row r="5119" spans="1:5" x14ac:dyDescent="0.35">
      <c r="A5119">
        <v>2012</v>
      </c>
      <c r="B5119" t="s">
        <v>35</v>
      </c>
      <c r="C5119" t="s">
        <v>183</v>
      </c>
      <c r="D5119">
        <v>14</v>
      </c>
      <c r="E5119" t="s">
        <v>466</v>
      </c>
    </row>
    <row r="5120" spans="1:5" x14ac:dyDescent="0.35">
      <c r="A5120">
        <v>2012</v>
      </c>
      <c r="B5120" t="s">
        <v>34</v>
      </c>
      <c r="C5120" t="s">
        <v>184</v>
      </c>
      <c r="D5120">
        <v>57</v>
      </c>
      <c r="E5120" t="s">
        <v>466</v>
      </c>
    </row>
    <row r="5121" spans="1:5" x14ac:dyDescent="0.35">
      <c r="A5121">
        <v>2012</v>
      </c>
      <c r="B5121" t="s">
        <v>34</v>
      </c>
      <c r="C5121" t="s">
        <v>185</v>
      </c>
      <c r="D5121">
        <v>46</v>
      </c>
      <c r="E5121" t="s">
        <v>466</v>
      </c>
    </row>
    <row r="5122" spans="1:5" x14ac:dyDescent="0.35">
      <c r="A5122">
        <v>2012</v>
      </c>
      <c r="B5122" t="s">
        <v>34</v>
      </c>
      <c r="C5122" t="s">
        <v>186</v>
      </c>
      <c r="D5122">
        <v>51</v>
      </c>
      <c r="E5122" t="s">
        <v>466</v>
      </c>
    </row>
    <row r="5123" spans="1:5" x14ac:dyDescent="0.35">
      <c r="A5123">
        <v>2012</v>
      </c>
      <c r="B5123" t="s">
        <v>33</v>
      </c>
      <c r="C5123" t="s">
        <v>187</v>
      </c>
      <c r="D5123">
        <v>73</v>
      </c>
      <c r="E5123" t="s">
        <v>466</v>
      </c>
    </row>
    <row r="5124" spans="1:5" x14ac:dyDescent="0.35">
      <c r="A5124">
        <v>2012</v>
      </c>
      <c r="B5124" t="s">
        <v>34</v>
      </c>
      <c r="C5124" t="s">
        <v>188</v>
      </c>
      <c r="D5124">
        <v>276</v>
      </c>
      <c r="E5124" t="s">
        <v>466</v>
      </c>
    </row>
    <row r="5125" spans="1:5" x14ac:dyDescent="0.35">
      <c r="A5125">
        <v>2012</v>
      </c>
      <c r="B5125" t="s">
        <v>33</v>
      </c>
      <c r="C5125" t="s">
        <v>189</v>
      </c>
      <c r="D5125">
        <v>46</v>
      </c>
      <c r="E5125" t="s">
        <v>466</v>
      </c>
    </row>
    <row r="5126" spans="1:5" x14ac:dyDescent="0.35">
      <c r="A5126">
        <v>2012</v>
      </c>
      <c r="B5126" t="s">
        <v>37</v>
      </c>
      <c r="C5126" t="s">
        <v>190</v>
      </c>
      <c r="D5126">
        <v>86</v>
      </c>
      <c r="E5126" t="s">
        <v>466</v>
      </c>
    </row>
    <row r="5127" spans="1:5" x14ac:dyDescent="0.35">
      <c r="A5127">
        <v>2012</v>
      </c>
      <c r="B5127" t="s">
        <v>36</v>
      </c>
      <c r="C5127" t="s">
        <v>191</v>
      </c>
      <c r="D5127">
        <v>498</v>
      </c>
      <c r="E5127" t="s">
        <v>466</v>
      </c>
    </row>
    <row r="5128" spans="1:5" x14ac:dyDescent="0.35">
      <c r="A5128">
        <v>2012</v>
      </c>
      <c r="B5128" t="s">
        <v>33</v>
      </c>
      <c r="C5128" t="s">
        <v>192</v>
      </c>
      <c r="D5128">
        <v>33</v>
      </c>
      <c r="E5128" t="s">
        <v>466</v>
      </c>
    </row>
    <row r="5129" spans="1:5" x14ac:dyDescent="0.35">
      <c r="A5129">
        <v>2012</v>
      </c>
      <c r="B5129" t="s">
        <v>34</v>
      </c>
      <c r="C5129" t="s">
        <v>193</v>
      </c>
      <c r="D5129">
        <v>265</v>
      </c>
      <c r="E5129" t="s">
        <v>466</v>
      </c>
    </row>
    <row r="5130" spans="1:5" x14ac:dyDescent="0.35">
      <c r="A5130">
        <v>2012</v>
      </c>
      <c r="B5130" t="s">
        <v>34</v>
      </c>
      <c r="C5130" t="s">
        <v>194</v>
      </c>
      <c r="D5130">
        <v>10</v>
      </c>
      <c r="E5130" t="s">
        <v>466</v>
      </c>
    </row>
    <row r="5131" spans="1:5" x14ac:dyDescent="0.35">
      <c r="A5131">
        <v>2012</v>
      </c>
      <c r="B5131" t="s">
        <v>36</v>
      </c>
      <c r="C5131" t="s">
        <v>372</v>
      </c>
      <c r="D5131">
        <v>19</v>
      </c>
      <c r="E5131" t="s">
        <v>466</v>
      </c>
    </row>
    <row r="5132" spans="1:5" x14ac:dyDescent="0.35">
      <c r="A5132">
        <v>2012</v>
      </c>
      <c r="B5132" t="s">
        <v>33</v>
      </c>
      <c r="C5132" t="s">
        <v>195</v>
      </c>
      <c r="D5132">
        <v>44</v>
      </c>
      <c r="E5132" t="s">
        <v>466</v>
      </c>
    </row>
    <row r="5133" spans="1:5" x14ac:dyDescent="0.35">
      <c r="A5133">
        <v>2012</v>
      </c>
      <c r="B5133" t="s">
        <v>35</v>
      </c>
      <c r="C5133" t="s">
        <v>196</v>
      </c>
      <c r="D5133">
        <v>394</v>
      </c>
      <c r="E5133" t="s">
        <v>466</v>
      </c>
    </row>
    <row r="5134" spans="1:5" x14ac:dyDescent="0.35">
      <c r="A5134">
        <v>2012</v>
      </c>
      <c r="B5134" t="s">
        <v>34</v>
      </c>
      <c r="C5134" t="s">
        <v>197</v>
      </c>
      <c r="D5134">
        <v>10</v>
      </c>
      <c r="E5134" t="s">
        <v>466</v>
      </c>
    </row>
    <row r="5135" spans="1:5" x14ac:dyDescent="0.35">
      <c r="A5135">
        <v>2012</v>
      </c>
      <c r="B5135" t="s">
        <v>35</v>
      </c>
      <c r="C5135" t="s">
        <v>198</v>
      </c>
      <c r="D5135">
        <v>448</v>
      </c>
      <c r="E5135" t="s">
        <v>466</v>
      </c>
    </row>
    <row r="5136" spans="1:5" x14ac:dyDescent="0.35">
      <c r="A5136">
        <v>2012</v>
      </c>
      <c r="B5136" t="s">
        <v>39</v>
      </c>
      <c r="C5136" t="s">
        <v>39</v>
      </c>
      <c r="D5136">
        <v>914</v>
      </c>
      <c r="E5136" t="s">
        <v>466</v>
      </c>
    </row>
    <row r="5137" spans="1:5" x14ac:dyDescent="0.35">
      <c r="A5137">
        <v>2012</v>
      </c>
      <c r="B5137" t="s">
        <v>38</v>
      </c>
      <c r="C5137" t="s">
        <v>199</v>
      </c>
      <c r="D5137">
        <v>144</v>
      </c>
      <c r="E5137" t="s">
        <v>466</v>
      </c>
    </row>
    <row r="5138" spans="1:5" x14ac:dyDescent="0.35">
      <c r="A5138">
        <v>2012</v>
      </c>
      <c r="B5138" t="s">
        <v>34</v>
      </c>
      <c r="C5138" t="s">
        <v>200</v>
      </c>
      <c r="D5138">
        <v>129</v>
      </c>
      <c r="E5138" t="s">
        <v>466</v>
      </c>
    </row>
    <row r="5139" spans="1:5" x14ac:dyDescent="0.35">
      <c r="A5139">
        <v>2012</v>
      </c>
      <c r="B5139" t="s">
        <v>38</v>
      </c>
      <c r="C5139" t="s">
        <v>19</v>
      </c>
      <c r="D5139">
        <v>547</v>
      </c>
      <c r="E5139" t="s">
        <v>466</v>
      </c>
    </row>
    <row r="5140" spans="1:5" x14ac:dyDescent="0.35">
      <c r="A5140">
        <v>2012</v>
      </c>
      <c r="B5140" t="s">
        <v>34</v>
      </c>
      <c r="C5140" t="s">
        <v>201</v>
      </c>
      <c r="D5140">
        <v>1313</v>
      </c>
      <c r="E5140" t="s">
        <v>466</v>
      </c>
    </row>
    <row r="5141" spans="1:5" x14ac:dyDescent="0.35">
      <c r="A5141">
        <v>2012</v>
      </c>
      <c r="B5141" t="s">
        <v>34</v>
      </c>
      <c r="C5141" t="s">
        <v>202</v>
      </c>
      <c r="D5141">
        <v>69</v>
      </c>
      <c r="E5141" t="s">
        <v>466</v>
      </c>
    </row>
    <row r="5142" spans="1:5" x14ac:dyDescent="0.35">
      <c r="A5142">
        <v>2012</v>
      </c>
      <c r="B5142" t="s">
        <v>33</v>
      </c>
      <c r="C5142" t="s">
        <v>203</v>
      </c>
      <c r="D5142">
        <v>50</v>
      </c>
      <c r="E5142" t="s">
        <v>466</v>
      </c>
    </row>
    <row r="5143" spans="1:5" x14ac:dyDescent="0.35">
      <c r="A5143">
        <v>2012</v>
      </c>
      <c r="B5143" t="s">
        <v>33</v>
      </c>
      <c r="C5143" t="s">
        <v>204</v>
      </c>
      <c r="D5143">
        <v>63</v>
      </c>
      <c r="E5143" t="s">
        <v>466</v>
      </c>
    </row>
    <row r="5144" spans="1:5" x14ac:dyDescent="0.35">
      <c r="A5144">
        <v>2013</v>
      </c>
      <c r="B5144" t="s">
        <v>38</v>
      </c>
      <c r="C5144" t="s">
        <v>155</v>
      </c>
      <c r="D5144">
        <v>55</v>
      </c>
      <c r="E5144" t="s">
        <v>466</v>
      </c>
    </row>
    <row r="5145" spans="1:5" x14ac:dyDescent="0.35">
      <c r="A5145">
        <v>2013</v>
      </c>
      <c r="B5145" t="s">
        <v>35</v>
      </c>
      <c r="C5145" t="s">
        <v>173</v>
      </c>
      <c r="D5145">
        <v>16</v>
      </c>
      <c r="E5145" t="s">
        <v>467</v>
      </c>
    </row>
    <row r="5146" spans="1:5" x14ac:dyDescent="0.35">
      <c r="A5146">
        <v>2013</v>
      </c>
      <c r="B5146" t="s">
        <v>35</v>
      </c>
      <c r="C5146" t="s">
        <v>322</v>
      </c>
      <c r="D5146">
        <v>53</v>
      </c>
      <c r="E5146" t="s">
        <v>466</v>
      </c>
    </row>
    <row r="5147" spans="1:5" x14ac:dyDescent="0.35">
      <c r="A5147">
        <v>2013</v>
      </c>
      <c r="B5147" t="s">
        <v>34</v>
      </c>
      <c r="C5147" t="s">
        <v>40</v>
      </c>
      <c r="D5147">
        <v>5</v>
      </c>
      <c r="E5147" t="s">
        <v>355</v>
      </c>
    </row>
    <row r="5148" spans="1:5" x14ac:dyDescent="0.35">
      <c r="A5148">
        <v>2013</v>
      </c>
      <c r="B5148" t="s">
        <v>35</v>
      </c>
      <c r="C5148" t="s">
        <v>150</v>
      </c>
      <c r="D5148">
        <v>71</v>
      </c>
      <c r="E5148" t="s">
        <v>466</v>
      </c>
    </row>
    <row r="5149" spans="1:5" x14ac:dyDescent="0.35">
      <c r="A5149">
        <v>2013</v>
      </c>
      <c r="B5149" t="s">
        <v>36</v>
      </c>
      <c r="C5149" t="s">
        <v>164</v>
      </c>
      <c r="D5149">
        <v>26</v>
      </c>
      <c r="E5149" t="s">
        <v>467</v>
      </c>
    </row>
    <row r="5150" spans="1:5" x14ac:dyDescent="0.35">
      <c r="A5150">
        <v>2013</v>
      </c>
      <c r="B5150" t="s">
        <v>34</v>
      </c>
      <c r="C5150" t="s">
        <v>151</v>
      </c>
      <c r="D5150">
        <v>4</v>
      </c>
      <c r="E5150" t="s">
        <v>466</v>
      </c>
    </row>
    <row r="5151" spans="1:5" x14ac:dyDescent="0.35">
      <c r="A5151">
        <v>2013</v>
      </c>
      <c r="B5151" t="s">
        <v>36</v>
      </c>
      <c r="C5151" t="s">
        <v>154</v>
      </c>
      <c r="D5151">
        <v>82</v>
      </c>
      <c r="E5151" t="s">
        <v>355</v>
      </c>
    </row>
    <row r="5152" spans="1:5" x14ac:dyDescent="0.35">
      <c r="A5152">
        <v>2013</v>
      </c>
      <c r="B5152" t="s">
        <v>34</v>
      </c>
      <c r="C5152" t="s">
        <v>152</v>
      </c>
      <c r="D5152">
        <v>647</v>
      </c>
      <c r="E5152" t="s">
        <v>466</v>
      </c>
    </row>
    <row r="5153" spans="1:5" x14ac:dyDescent="0.35">
      <c r="A5153">
        <v>2013</v>
      </c>
      <c r="B5153" t="s">
        <v>36</v>
      </c>
      <c r="C5153" t="s">
        <v>165</v>
      </c>
      <c r="D5153">
        <v>17</v>
      </c>
      <c r="E5153" t="s">
        <v>467</v>
      </c>
    </row>
    <row r="5154" spans="1:5" x14ac:dyDescent="0.35">
      <c r="A5154">
        <v>2013</v>
      </c>
      <c r="B5154" t="s">
        <v>37</v>
      </c>
      <c r="C5154" t="s">
        <v>153</v>
      </c>
      <c r="D5154">
        <v>26</v>
      </c>
      <c r="E5154" t="s">
        <v>466</v>
      </c>
    </row>
    <row r="5155" spans="1:5" x14ac:dyDescent="0.35">
      <c r="A5155">
        <v>2013</v>
      </c>
      <c r="B5155" t="s">
        <v>37</v>
      </c>
      <c r="C5155" t="s">
        <v>153</v>
      </c>
      <c r="D5155">
        <v>16</v>
      </c>
      <c r="E5155" t="s">
        <v>355</v>
      </c>
    </row>
    <row r="5156" spans="1:5" x14ac:dyDescent="0.35">
      <c r="A5156">
        <v>2013</v>
      </c>
      <c r="B5156" t="s">
        <v>36</v>
      </c>
      <c r="C5156" t="s">
        <v>154</v>
      </c>
      <c r="D5156">
        <v>311</v>
      </c>
      <c r="E5156" t="s">
        <v>466</v>
      </c>
    </row>
    <row r="5157" spans="1:5" x14ac:dyDescent="0.35">
      <c r="A5157">
        <v>2013</v>
      </c>
      <c r="B5157" t="s">
        <v>37</v>
      </c>
      <c r="C5157" t="s">
        <v>166</v>
      </c>
      <c r="E5157" t="s">
        <v>467</v>
      </c>
    </row>
    <row r="5158" spans="1:5" x14ac:dyDescent="0.35">
      <c r="A5158">
        <v>2013</v>
      </c>
      <c r="B5158" t="s">
        <v>38</v>
      </c>
      <c r="C5158" t="s">
        <v>156</v>
      </c>
      <c r="D5158">
        <v>2054</v>
      </c>
      <c r="E5158" t="s">
        <v>466</v>
      </c>
    </row>
    <row r="5159" spans="1:5" x14ac:dyDescent="0.35">
      <c r="A5159">
        <v>2013</v>
      </c>
      <c r="B5159" t="s">
        <v>34</v>
      </c>
      <c r="C5159" t="s">
        <v>152</v>
      </c>
      <c r="D5159">
        <v>95</v>
      </c>
      <c r="E5159" t="s">
        <v>328</v>
      </c>
    </row>
    <row r="5160" spans="1:5" x14ac:dyDescent="0.35">
      <c r="A5160">
        <v>2013</v>
      </c>
      <c r="B5160" t="s">
        <v>33</v>
      </c>
      <c r="C5160" t="s">
        <v>162</v>
      </c>
      <c r="D5160">
        <v>75</v>
      </c>
      <c r="E5160" t="s">
        <v>466</v>
      </c>
    </row>
    <row r="5161" spans="1:5" x14ac:dyDescent="0.35">
      <c r="A5161">
        <v>2013</v>
      </c>
      <c r="B5161" t="s">
        <v>34</v>
      </c>
      <c r="C5161" t="s">
        <v>167</v>
      </c>
      <c r="D5161">
        <v>345</v>
      </c>
      <c r="E5161" t="s">
        <v>467</v>
      </c>
    </row>
    <row r="5162" spans="1:5" x14ac:dyDescent="0.35">
      <c r="A5162">
        <v>2013</v>
      </c>
      <c r="B5162" t="s">
        <v>35</v>
      </c>
      <c r="C5162" t="s">
        <v>157</v>
      </c>
      <c r="D5162">
        <v>633</v>
      </c>
      <c r="E5162" t="s">
        <v>466</v>
      </c>
    </row>
    <row r="5163" spans="1:5" x14ac:dyDescent="0.35">
      <c r="A5163">
        <v>2013</v>
      </c>
      <c r="B5163" t="s">
        <v>34</v>
      </c>
      <c r="C5163" t="s">
        <v>152</v>
      </c>
      <c r="D5163">
        <v>40</v>
      </c>
      <c r="E5163" t="s">
        <v>355</v>
      </c>
    </row>
    <row r="5164" spans="1:5" x14ac:dyDescent="0.35">
      <c r="A5164">
        <v>2013</v>
      </c>
      <c r="B5164" t="s">
        <v>35</v>
      </c>
      <c r="C5164" t="s">
        <v>158</v>
      </c>
      <c r="D5164">
        <v>463</v>
      </c>
      <c r="E5164" t="s">
        <v>466</v>
      </c>
    </row>
    <row r="5165" spans="1:5" x14ac:dyDescent="0.35">
      <c r="A5165">
        <v>2013</v>
      </c>
      <c r="B5165" t="s">
        <v>35</v>
      </c>
      <c r="C5165" t="s">
        <v>172</v>
      </c>
      <c r="D5165">
        <v>59</v>
      </c>
      <c r="E5165" t="s">
        <v>467</v>
      </c>
    </row>
    <row r="5166" spans="1:5" x14ac:dyDescent="0.35">
      <c r="A5166">
        <v>2013</v>
      </c>
      <c r="B5166" t="s">
        <v>34</v>
      </c>
      <c r="C5166" t="s">
        <v>159</v>
      </c>
      <c r="D5166">
        <v>22</v>
      </c>
      <c r="E5166" t="s">
        <v>466</v>
      </c>
    </row>
    <row r="5167" spans="1:5" x14ac:dyDescent="0.35">
      <c r="A5167">
        <v>2013</v>
      </c>
      <c r="B5167" t="s">
        <v>35</v>
      </c>
      <c r="C5167" t="s">
        <v>150</v>
      </c>
      <c r="E5167" t="s">
        <v>328</v>
      </c>
    </row>
    <row r="5168" spans="1:5" x14ac:dyDescent="0.35">
      <c r="A5168">
        <v>2013</v>
      </c>
      <c r="B5168" t="s">
        <v>35</v>
      </c>
      <c r="C5168" t="s">
        <v>160</v>
      </c>
      <c r="D5168">
        <v>1070</v>
      </c>
      <c r="E5168" t="s">
        <v>466</v>
      </c>
    </row>
    <row r="5169" spans="1:5" x14ac:dyDescent="0.35">
      <c r="A5169">
        <v>2013</v>
      </c>
      <c r="B5169" t="s">
        <v>35</v>
      </c>
      <c r="C5169" t="s">
        <v>169</v>
      </c>
      <c r="D5169">
        <v>31</v>
      </c>
      <c r="E5169" t="s">
        <v>467</v>
      </c>
    </row>
    <row r="5170" spans="1:5" x14ac:dyDescent="0.35">
      <c r="A5170">
        <v>2013</v>
      </c>
      <c r="B5170" t="s">
        <v>35</v>
      </c>
      <c r="C5170" t="s">
        <v>161</v>
      </c>
      <c r="D5170">
        <v>572</v>
      </c>
      <c r="E5170" t="s">
        <v>466</v>
      </c>
    </row>
    <row r="5171" spans="1:5" x14ac:dyDescent="0.35">
      <c r="A5171">
        <v>2013</v>
      </c>
      <c r="B5171" t="s">
        <v>35</v>
      </c>
      <c r="C5171" t="s">
        <v>150</v>
      </c>
      <c r="D5171">
        <v>0</v>
      </c>
      <c r="E5171" t="s">
        <v>355</v>
      </c>
    </row>
    <row r="5172" spans="1:5" x14ac:dyDescent="0.35">
      <c r="A5172">
        <v>2013</v>
      </c>
      <c r="B5172" t="s">
        <v>33</v>
      </c>
      <c r="C5172" t="s">
        <v>149</v>
      </c>
      <c r="D5172">
        <v>1311</v>
      </c>
      <c r="E5172" t="s">
        <v>466</v>
      </c>
    </row>
    <row r="5173" spans="1:5" x14ac:dyDescent="0.35">
      <c r="A5173">
        <v>2013</v>
      </c>
      <c r="B5173" t="s">
        <v>33</v>
      </c>
      <c r="C5173" t="s">
        <v>170</v>
      </c>
      <c r="D5173">
        <v>11</v>
      </c>
      <c r="E5173" t="s">
        <v>467</v>
      </c>
    </row>
    <row r="5174" spans="1:5" x14ac:dyDescent="0.35">
      <c r="A5174">
        <v>2013</v>
      </c>
      <c r="B5174" t="s">
        <v>36</v>
      </c>
      <c r="C5174" t="s">
        <v>163</v>
      </c>
      <c r="D5174">
        <v>65</v>
      </c>
      <c r="E5174" t="s">
        <v>466</v>
      </c>
    </row>
    <row r="5175" spans="1:5" x14ac:dyDescent="0.35">
      <c r="A5175">
        <v>2013</v>
      </c>
      <c r="B5175" t="s">
        <v>35</v>
      </c>
      <c r="C5175" t="s">
        <v>322</v>
      </c>
      <c r="D5175">
        <v>11</v>
      </c>
      <c r="E5175" t="s">
        <v>328</v>
      </c>
    </row>
    <row r="5176" spans="1:5" x14ac:dyDescent="0.35">
      <c r="A5176">
        <v>2013</v>
      </c>
      <c r="B5176" t="s">
        <v>36</v>
      </c>
      <c r="C5176" t="s">
        <v>164</v>
      </c>
      <c r="D5176">
        <v>90</v>
      </c>
      <c r="E5176" t="s">
        <v>466</v>
      </c>
    </row>
    <row r="5177" spans="1:5" x14ac:dyDescent="0.35">
      <c r="A5177">
        <v>2013</v>
      </c>
      <c r="B5177" t="s">
        <v>34</v>
      </c>
      <c r="C5177" t="s">
        <v>171</v>
      </c>
      <c r="D5177">
        <v>50</v>
      </c>
      <c r="E5177" t="s">
        <v>467</v>
      </c>
    </row>
    <row r="5178" spans="1:5" x14ac:dyDescent="0.35">
      <c r="A5178">
        <v>2013</v>
      </c>
      <c r="B5178" t="s">
        <v>34</v>
      </c>
      <c r="C5178" t="s">
        <v>18</v>
      </c>
      <c r="D5178">
        <v>1571</v>
      </c>
      <c r="E5178" t="s">
        <v>466</v>
      </c>
    </row>
    <row r="5179" spans="1:5" x14ac:dyDescent="0.35">
      <c r="A5179">
        <v>2013</v>
      </c>
      <c r="B5179" t="s">
        <v>35</v>
      </c>
      <c r="C5179" t="s">
        <v>322</v>
      </c>
      <c r="D5179">
        <v>7</v>
      </c>
      <c r="E5179" t="s">
        <v>355</v>
      </c>
    </row>
    <row r="5180" spans="1:5" x14ac:dyDescent="0.35">
      <c r="A5180">
        <v>2013</v>
      </c>
      <c r="B5180" t="s">
        <v>33</v>
      </c>
      <c r="C5180" t="s">
        <v>148</v>
      </c>
      <c r="D5180">
        <v>43</v>
      </c>
      <c r="E5180" t="s">
        <v>466</v>
      </c>
    </row>
    <row r="5181" spans="1:5" x14ac:dyDescent="0.35">
      <c r="A5181">
        <v>2013</v>
      </c>
      <c r="B5181" t="s">
        <v>36</v>
      </c>
      <c r="C5181" t="s">
        <v>163</v>
      </c>
      <c r="D5181">
        <v>15</v>
      </c>
      <c r="E5181" t="s">
        <v>467</v>
      </c>
    </row>
    <row r="5182" spans="1:5" x14ac:dyDescent="0.35">
      <c r="A5182">
        <v>2013</v>
      </c>
      <c r="B5182" t="s">
        <v>33</v>
      </c>
      <c r="C5182" t="s">
        <v>141</v>
      </c>
      <c r="D5182">
        <v>263</v>
      </c>
      <c r="E5182" t="s">
        <v>466</v>
      </c>
    </row>
    <row r="5183" spans="1:5" x14ac:dyDescent="0.35">
      <c r="A5183">
        <v>2013</v>
      </c>
      <c r="B5183" t="s">
        <v>33</v>
      </c>
      <c r="C5183" t="s">
        <v>149</v>
      </c>
      <c r="D5183">
        <v>212</v>
      </c>
      <c r="E5183" t="s">
        <v>328</v>
      </c>
    </row>
    <row r="5184" spans="1:5" x14ac:dyDescent="0.35">
      <c r="A5184">
        <v>2013</v>
      </c>
      <c r="B5184" t="s">
        <v>37</v>
      </c>
      <c r="C5184" t="s">
        <v>146</v>
      </c>
      <c r="D5184">
        <v>137</v>
      </c>
      <c r="E5184" t="s">
        <v>466</v>
      </c>
    </row>
    <row r="5185" spans="1:5" x14ac:dyDescent="0.35">
      <c r="A5185">
        <v>2013</v>
      </c>
      <c r="B5185" t="s">
        <v>33</v>
      </c>
      <c r="C5185" t="s">
        <v>168</v>
      </c>
      <c r="D5185">
        <v>86</v>
      </c>
      <c r="E5185" t="s">
        <v>467</v>
      </c>
    </row>
    <row r="5186" spans="1:5" x14ac:dyDescent="0.35">
      <c r="A5186">
        <v>2013</v>
      </c>
      <c r="B5186" t="s">
        <v>33</v>
      </c>
      <c r="C5186" t="s">
        <v>129</v>
      </c>
      <c r="D5186">
        <v>4</v>
      </c>
      <c r="E5186" t="s">
        <v>466</v>
      </c>
    </row>
    <row r="5187" spans="1:5" x14ac:dyDescent="0.35">
      <c r="A5187">
        <v>2013</v>
      </c>
      <c r="B5187" t="s">
        <v>33</v>
      </c>
      <c r="C5187" t="s">
        <v>149</v>
      </c>
      <c r="D5187">
        <v>135</v>
      </c>
      <c r="E5187" t="s">
        <v>355</v>
      </c>
    </row>
    <row r="5188" spans="1:5" x14ac:dyDescent="0.35">
      <c r="A5188">
        <v>2013</v>
      </c>
      <c r="B5188" t="s">
        <v>33</v>
      </c>
      <c r="C5188" t="s">
        <v>130</v>
      </c>
      <c r="D5188">
        <v>12</v>
      </c>
      <c r="E5188" t="s">
        <v>466</v>
      </c>
    </row>
    <row r="5189" spans="1:5" x14ac:dyDescent="0.35">
      <c r="A5189">
        <v>2013</v>
      </c>
      <c r="B5189" t="s">
        <v>33</v>
      </c>
      <c r="C5189" t="s">
        <v>162</v>
      </c>
      <c r="D5189">
        <v>14</v>
      </c>
      <c r="E5189" t="s">
        <v>467</v>
      </c>
    </row>
    <row r="5190" spans="1:5" x14ac:dyDescent="0.35">
      <c r="A5190">
        <v>2013</v>
      </c>
      <c r="B5190" t="s">
        <v>34</v>
      </c>
      <c r="C5190" t="s">
        <v>131</v>
      </c>
      <c r="D5190">
        <v>86</v>
      </c>
      <c r="E5190" t="s">
        <v>466</v>
      </c>
    </row>
    <row r="5191" spans="1:5" x14ac:dyDescent="0.35">
      <c r="A5191">
        <v>2013</v>
      </c>
      <c r="B5191" t="s">
        <v>33</v>
      </c>
      <c r="C5191" t="s">
        <v>148</v>
      </c>
      <c r="E5191" t="s">
        <v>328</v>
      </c>
    </row>
    <row r="5192" spans="1:5" x14ac:dyDescent="0.35">
      <c r="A5192">
        <v>2013</v>
      </c>
      <c r="B5192" t="s">
        <v>33</v>
      </c>
      <c r="C5192" t="s">
        <v>132</v>
      </c>
      <c r="D5192">
        <v>105</v>
      </c>
      <c r="E5192" t="s">
        <v>466</v>
      </c>
    </row>
    <row r="5193" spans="1:5" x14ac:dyDescent="0.35">
      <c r="A5193">
        <v>2013</v>
      </c>
      <c r="B5193" t="s">
        <v>35</v>
      </c>
      <c r="C5193" t="s">
        <v>150</v>
      </c>
      <c r="D5193">
        <v>58</v>
      </c>
      <c r="E5193" t="s">
        <v>467</v>
      </c>
    </row>
    <row r="5194" spans="1:5" x14ac:dyDescent="0.35">
      <c r="A5194">
        <v>2013</v>
      </c>
      <c r="B5194" t="s">
        <v>35</v>
      </c>
      <c r="C5194" t="s">
        <v>133</v>
      </c>
      <c r="D5194">
        <v>13</v>
      </c>
      <c r="E5194" t="s">
        <v>466</v>
      </c>
    </row>
    <row r="5195" spans="1:5" x14ac:dyDescent="0.35">
      <c r="A5195">
        <v>2013</v>
      </c>
      <c r="B5195" t="s">
        <v>33</v>
      </c>
      <c r="C5195" t="s">
        <v>148</v>
      </c>
      <c r="E5195" t="s">
        <v>355</v>
      </c>
    </row>
    <row r="5196" spans="1:5" x14ac:dyDescent="0.35">
      <c r="A5196">
        <v>2013</v>
      </c>
      <c r="B5196" t="s">
        <v>37</v>
      </c>
      <c r="C5196" t="s">
        <v>134</v>
      </c>
      <c r="D5196">
        <v>39</v>
      </c>
      <c r="E5196" t="s">
        <v>466</v>
      </c>
    </row>
    <row r="5197" spans="1:5" x14ac:dyDescent="0.35">
      <c r="A5197">
        <v>2013</v>
      </c>
      <c r="B5197" t="s">
        <v>35</v>
      </c>
      <c r="C5197" t="s">
        <v>160</v>
      </c>
      <c r="D5197">
        <v>116</v>
      </c>
      <c r="E5197" t="s">
        <v>467</v>
      </c>
    </row>
    <row r="5198" spans="1:5" x14ac:dyDescent="0.35">
      <c r="A5198">
        <v>2013</v>
      </c>
      <c r="B5198" t="s">
        <v>33</v>
      </c>
      <c r="C5198" t="s">
        <v>135</v>
      </c>
      <c r="D5198">
        <v>70</v>
      </c>
      <c r="E5198" t="s">
        <v>466</v>
      </c>
    </row>
    <row r="5199" spans="1:5" x14ac:dyDescent="0.35">
      <c r="A5199">
        <v>2013</v>
      </c>
      <c r="B5199" t="s">
        <v>36</v>
      </c>
      <c r="C5199" t="s">
        <v>147</v>
      </c>
      <c r="D5199">
        <v>648</v>
      </c>
      <c r="E5199" t="s">
        <v>328</v>
      </c>
    </row>
    <row r="5200" spans="1:5" x14ac:dyDescent="0.35">
      <c r="A5200">
        <v>2013</v>
      </c>
      <c r="B5200" t="s">
        <v>33</v>
      </c>
      <c r="C5200" t="s">
        <v>136</v>
      </c>
      <c r="D5200">
        <v>18</v>
      </c>
      <c r="E5200" t="s">
        <v>466</v>
      </c>
    </row>
    <row r="5201" spans="1:5" x14ac:dyDescent="0.35">
      <c r="A5201">
        <v>2013</v>
      </c>
      <c r="B5201" t="s">
        <v>34</v>
      </c>
      <c r="C5201" t="s">
        <v>159</v>
      </c>
      <c r="D5201">
        <v>12</v>
      </c>
      <c r="E5201" t="s">
        <v>467</v>
      </c>
    </row>
    <row r="5202" spans="1:5" x14ac:dyDescent="0.35">
      <c r="A5202">
        <v>2013</v>
      </c>
      <c r="B5202" t="s">
        <v>36</v>
      </c>
      <c r="C5202" t="s">
        <v>147</v>
      </c>
      <c r="D5202">
        <v>2968</v>
      </c>
      <c r="E5202" t="s">
        <v>466</v>
      </c>
    </row>
    <row r="5203" spans="1:5" x14ac:dyDescent="0.35">
      <c r="A5203">
        <v>2013</v>
      </c>
      <c r="B5203" t="s">
        <v>36</v>
      </c>
      <c r="C5203" t="s">
        <v>147</v>
      </c>
      <c r="D5203">
        <v>692</v>
      </c>
      <c r="E5203" t="s">
        <v>355</v>
      </c>
    </row>
    <row r="5204" spans="1:5" x14ac:dyDescent="0.35">
      <c r="A5204">
        <v>2013</v>
      </c>
      <c r="B5204" t="s">
        <v>36</v>
      </c>
      <c r="C5204" t="s">
        <v>14</v>
      </c>
      <c r="D5204">
        <v>472720</v>
      </c>
      <c r="E5204" t="s">
        <v>466</v>
      </c>
    </row>
    <row r="5205" spans="1:5" x14ac:dyDescent="0.35">
      <c r="A5205">
        <v>2013</v>
      </c>
      <c r="B5205" t="s">
        <v>35</v>
      </c>
      <c r="C5205" t="s">
        <v>158</v>
      </c>
      <c r="D5205">
        <v>262</v>
      </c>
      <c r="E5205" t="s">
        <v>467</v>
      </c>
    </row>
    <row r="5206" spans="1:5" x14ac:dyDescent="0.35">
      <c r="A5206">
        <v>2013</v>
      </c>
      <c r="B5206" t="s">
        <v>35</v>
      </c>
      <c r="C5206" t="s">
        <v>138</v>
      </c>
      <c r="D5206">
        <v>137</v>
      </c>
      <c r="E5206" t="s">
        <v>466</v>
      </c>
    </row>
    <row r="5207" spans="1:5" x14ac:dyDescent="0.35">
      <c r="A5207">
        <v>2013</v>
      </c>
      <c r="B5207" t="s">
        <v>37</v>
      </c>
      <c r="C5207" t="s">
        <v>146</v>
      </c>
      <c r="D5207">
        <v>10</v>
      </c>
      <c r="E5207" t="s">
        <v>328</v>
      </c>
    </row>
    <row r="5208" spans="1:5" x14ac:dyDescent="0.35">
      <c r="A5208">
        <v>2013</v>
      </c>
      <c r="B5208" t="s">
        <v>34</v>
      </c>
      <c r="C5208" t="s">
        <v>139</v>
      </c>
      <c r="D5208">
        <v>106</v>
      </c>
      <c r="E5208" t="s">
        <v>466</v>
      </c>
    </row>
    <row r="5209" spans="1:5" x14ac:dyDescent="0.35">
      <c r="A5209">
        <v>2013</v>
      </c>
      <c r="B5209" t="s">
        <v>35</v>
      </c>
      <c r="C5209" t="s">
        <v>157</v>
      </c>
      <c r="D5209">
        <v>179</v>
      </c>
      <c r="E5209" t="s">
        <v>467</v>
      </c>
    </row>
    <row r="5210" spans="1:5" x14ac:dyDescent="0.35">
      <c r="A5210">
        <v>2013</v>
      </c>
      <c r="B5210" t="s">
        <v>35</v>
      </c>
      <c r="C5210" t="s">
        <v>140</v>
      </c>
      <c r="D5210">
        <v>19</v>
      </c>
      <c r="E5210" t="s">
        <v>466</v>
      </c>
    </row>
    <row r="5211" spans="1:5" x14ac:dyDescent="0.35">
      <c r="A5211">
        <v>2013</v>
      </c>
      <c r="B5211" t="s">
        <v>36</v>
      </c>
      <c r="C5211" t="s">
        <v>154</v>
      </c>
      <c r="D5211">
        <v>41</v>
      </c>
      <c r="E5211" t="s">
        <v>328</v>
      </c>
    </row>
    <row r="5212" spans="1:5" x14ac:dyDescent="0.35">
      <c r="A5212">
        <v>2013</v>
      </c>
      <c r="B5212" t="s">
        <v>37</v>
      </c>
      <c r="C5212" t="s">
        <v>166</v>
      </c>
      <c r="D5212">
        <v>43</v>
      </c>
      <c r="E5212" t="s">
        <v>466</v>
      </c>
    </row>
    <row r="5213" spans="1:5" x14ac:dyDescent="0.35">
      <c r="A5213">
        <v>2013</v>
      </c>
      <c r="B5213" t="s">
        <v>34</v>
      </c>
      <c r="C5213" t="s">
        <v>18</v>
      </c>
      <c r="D5213">
        <v>658</v>
      </c>
      <c r="E5213" t="s">
        <v>467</v>
      </c>
    </row>
    <row r="5214" spans="1:5" x14ac:dyDescent="0.35">
      <c r="A5214">
        <v>2013</v>
      </c>
      <c r="B5214" t="s">
        <v>33</v>
      </c>
      <c r="C5214" t="s">
        <v>142</v>
      </c>
      <c r="D5214">
        <v>5</v>
      </c>
      <c r="E5214" t="s">
        <v>466</v>
      </c>
    </row>
    <row r="5215" spans="1:5" x14ac:dyDescent="0.35">
      <c r="A5215">
        <v>2013</v>
      </c>
      <c r="B5215" t="s">
        <v>37</v>
      </c>
      <c r="C5215" t="s">
        <v>146</v>
      </c>
      <c r="D5215">
        <v>8</v>
      </c>
      <c r="E5215" t="s">
        <v>355</v>
      </c>
    </row>
    <row r="5216" spans="1:5" x14ac:dyDescent="0.35">
      <c r="A5216">
        <v>2013</v>
      </c>
      <c r="B5216" t="s">
        <v>33</v>
      </c>
      <c r="C5216" t="s">
        <v>143</v>
      </c>
      <c r="D5216">
        <v>3</v>
      </c>
      <c r="E5216" t="s">
        <v>466</v>
      </c>
    </row>
    <row r="5217" spans="1:5" x14ac:dyDescent="0.35">
      <c r="A5217">
        <v>2013</v>
      </c>
      <c r="B5217" t="s">
        <v>38</v>
      </c>
      <c r="C5217" t="s">
        <v>156</v>
      </c>
      <c r="D5217">
        <v>206</v>
      </c>
      <c r="E5217" t="s">
        <v>467</v>
      </c>
    </row>
    <row r="5218" spans="1:5" x14ac:dyDescent="0.35">
      <c r="A5218">
        <v>2013</v>
      </c>
      <c r="B5218" t="s">
        <v>34</v>
      </c>
      <c r="C5218" t="s">
        <v>144</v>
      </c>
      <c r="D5218">
        <v>505</v>
      </c>
      <c r="E5218" t="s">
        <v>466</v>
      </c>
    </row>
    <row r="5219" spans="1:5" x14ac:dyDescent="0.35">
      <c r="A5219">
        <v>2013</v>
      </c>
      <c r="B5219" t="s">
        <v>38</v>
      </c>
      <c r="C5219" t="s">
        <v>155</v>
      </c>
      <c r="D5219">
        <v>6</v>
      </c>
      <c r="E5219" t="s">
        <v>355</v>
      </c>
    </row>
    <row r="5220" spans="1:5" x14ac:dyDescent="0.35">
      <c r="A5220">
        <v>2013</v>
      </c>
      <c r="B5220" t="s">
        <v>35</v>
      </c>
      <c r="C5220" t="s">
        <v>145</v>
      </c>
      <c r="D5220">
        <v>376</v>
      </c>
      <c r="E5220" t="s">
        <v>466</v>
      </c>
    </row>
    <row r="5221" spans="1:5" x14ac:dyDescent="0.35">
      <c r="A5221">
        <v>2013</v>
      </c>
      <c r="B5221" t="s">
        <v>38</v>
      </c>
      <c r="C5221" t="s">
        <v>155</v>
      </c>
      <c r="D5221">
        <v>16</v>
      </c>
      <c r="E5221" t="s">
        <v>467</v>
      </c>
    </row>
    <row r="5222" spans="1:5" x14ac:dyDescent="0.35">
      <c r="A5222">
        <v>2013</v>
      </c>
      <c r="B5222" t="s">
        <v>37</v>
      </c>
      <c r="C5222" t="s">
        <v>137</v>
      </c>
      <c r="D5222">
        <v>123</v>
      </c>
      <c r="E5222" t="s">
        <v>466</v>
      </c>
    </row>
    <row r="5223" spans="1:5" x14ac:dyDescent="0.35">
      <c r="A5223">
        <v>2013</v>
      </c>
      <c r="B5223" t="s">
        <v>38</v>
      </c>
      <c r="C5223" t="s">
        <v>156</v>
      </c>
      <c r="D5223">
        <v>327</v>
      </c>
      <c r="E5223" t="s">
        <v>355</v>
      </c>
    </row>
    <row r="5224" spans="1:5" x14ac:dyDescent="0.35">
      <c r="A5224">
        <v>2013</v>
      </c>
      <c r="B5224" t="s">
        <v>34</v>
      </c>
      <c r="C5224" t="s">
        <v>167</v>
      </c>
      <c r="D5224">
        <v>622</v>
      </c>
      <c r="E5224" t="s">
        <v>466</v>
      </c>
    </row>
    <row r="5225" spans="1:5" x14ac:dyDescent="0.35">
      <c r="A5225">
        <v>2013</v>
      </c>
      <c r="B5225" t="s">
        <v>36</v>
      </c>
      <c r="C5225" t="s">
        <v>154</v>
      </c>
      <c r="D5225">
        <v>44</v>
      </c>
      <c r="E5225" t="s">
        <v>467</v>
      </c>
    </row>
    <row r="5226" spans="1:5" x14ac:dyDescent="0.35">
      <c r="A5226">
        <v>2013</v>
      </c>
      <c r="B5226" t="s">
        <v>35</v>
      </c>
      <c r="C5226" t="s">
        <v>173</v>
      </c>
      <c r="D5226">
        <v>20</v>
      </c>
      <c r="E5226" t="s">
        <v>466</v>
      </c>
    </row>
    <row r="5227" spans="1:5" x14ac:dyDescent="0.35">
      <c r="A5227">
        <v>2013</v>
      </c>
      <c r="B5227" t="s">
        <v>36</v>
      </c>
      <c r="C5227" t="s">
        <v>163</v>
      </c>
      <c r="D5227">
        <v>4</v>
      </c>
      <c r="E5227" t="s">
        <v>328</v>
      </c>
    </row>
    <row r="5228" spans="1:5" x14ac:dyDescent="0.35">
      <c r="A5228">
        <v>2013</v>
      </c>
      <c r="B5228" t="s">
        <v>35</v>
      </c>
      <c r="C5228" t="s">
        <v>169</v>
      </c>
      <c r="D5228">
        <v>85</v>
      </c>
      <c r="E5228" t="s">
        <v>466</v>
      </c>
    </row>
    <row r="5229" spans="1:5" x14ac:dyDescent="0.35">
      <c r="A5229">
        <v>2013</v>
      </c>
      <c r="B5229" t="s">
        <v>34</v>
      </c>
      <c r="C5229" t="s">
        <v>152</v>
      </c>
      <c r="D5229">
        <v>192</v>
      </c>
      <c r="E5229" t="s">
        <v>467</v>
      </c>
    </row>
    <row r="5230" spans="1:5" x14ac:dyDescent="0.35">
      <c r="A5230">
        <v>2013</v>
      </c>
      <c r="B5230" t="s">
        <v>37</v>
      </c>
      <c r="C5230" t="s">
        <v>190</v>
      </c>
      <c r="D5230">
        <v>59</v>
      </c>
      <c r="E5230" t="s">
        <v>466</v>
      </c>
    </row>
    <row r="5231" spans="1:5" x14ac:dyDescent="0.35">
      <c r="A5231">
        <v>2013</v>
      </c>
      <c r="B5231" t="s">
        <v>36</v>
      </c>
      <c r="C5231" t="s">
        <v>163</v>
      </c>
      <c r="D5231">
        <v>11</v>
      </c>
      <c r="E5231" t="s">
        <v>355</v>
      </c>
    </row>
    <row r="5232" spans="1:5" x14ac:dyDescent="0.35">
      <c r="A5232">
        <v>2013</v>
      </c>
      <c r="B5232" t="s">
        <v>36</v>
      </c>
      <c r="C5232" t="s">
        <v>191</v>
      </c>
      <c r="D5232">
        <v>567</v>
      </c>
      <c r="E5232" t="s">
        <v>466</v>
      </c>
    </row>
    <row r="5233" spans="1:5" x14ac:dyDescent="0.35">
      <c r="A5233">
        <v>2013</v>
      </c>
      <c r="B5233" t="s">
        <v>34</v>
      </c>
      <c r="C5233" t="s">
        <v>151</v>
      </c>
      <c r="E5233" t="s">
        <v>467</v>
      </c>
    </row>
    <row r="5234" spans="1:5" x14ac:dyDescent="0.35">
      <c r="A5234">
        <v>2013</v>
      </c>
      <c r="B5234" t="s">
        <v>33</v>
      </c>
      <c r="C5234" t="s">
        <v>192</v>
      </c>
      <c r="D5234">
        <v>58</v>
      </c>
      <c r="E5234" t="s">
        <v>466</v>
      </c>
    </row>
    <row r="5235" spans="1:5" x14ac:dyDescent="0.35">
      <c r="A5235">
        <v>2013</v>
      </c>
      <c r="B5235" t="s">
        <v>33</v>
      </c>
      <c r="C5235" t="s">
        <v>162</v>
      </c>
      <c r="D5235">
        <v>5</v>
      </c>
      <c r="E5235" t="s">
        <v>328</v>
      </c>
    </row>
    <row r="5236" spans="1:5" x14ac:dyDescent="0.35">
      <c r="A5236">
        <v>2013</v>
      </c>
      <c r="B5236" t="s">
        <v>34</v>
      </c>
      <c r="C5236" t="s">
        <v>193</v>
      </c>
      <c r="D5236">
        <v>371</v>
      </c>
      <c r="E5236" t="s">
        <v>466</v>
      </c>
    </row>
    <row r="5237" spans="1:5" x14ac:dyDescent="0.35">
      <c r="A5237">
        <v>2013</v>
      </c>
      <c r="B5237" t="s">
        <v>35</v>
      </c>
      <c r="C5237" t="s">
        <v>322</v>
      </c>
      <c r="D5237">
        <v>11</v>
      </c>
      <c r="E5237" t="s">
        <v>467</v>
      </c>
    </row>
    <row r="5238" spans="1:5" x14ac:dyDescent="0.35">
      <c r="A5238">
        <v>2013</v>
      </c>
      <c r="B5238" t="s">
        <v>34</v>
      </c>
      <c r="C5238" t="s">
        <v>194</v>
      </c>
      <c r="D5238">
        <v>13</v>
      </c>
      <c r="E5238" t="s">
        <v>466</v>
      </c>
    </row>
    <row r="5239" spans="1:5" x14ac:dyDescent="0.35">
      <c r="A5239">
        <v>2013</v>
      </c>
      <c r="B5239" t="s">
        <v>33</v>
      </c>
      <c r="C5239" t="s">
        <v>162</v>
      </c>
      <c r="D5239">
        <v>0</v>
      </c>
      <c r="E5239" t="s">
        <v>355</v>
      </c>
    </row>
    <row r="5240" spans="1:5" x14ac:dyDescent="0.35">
      <c r="A5240">
        <v>2013</v>
      </c>
      <c r="B5240" t="s">
        <v>33</v>
      </c>
      <c r="C5240" t="s">
        <v>195</v>
      </c>
      <c r="D5240">
        <v>81</v>
      </c>
      <c r="E5240" t="s">
        <v>466</v>
      </c>
    </row>
    <row r="5241" spans="1:5" x14ac:dyDescent="0.35">
      <c r="A5241">
        <v>2013</v>
      </c>
      <c r="B5241" t="s">
        <v>33</v>
      </c>
      <c r="C5241" t="s">
        <v>174</v>
      </c>
      <c r="D5241">
        <v>10</v>
      </c>
      <c r="E5241" t="s">
        <v>467</v>
      </c>
    </row>
    <row r="5242" spans="1:5" x14ac:dyDescent="0.35">
      <c r="A5242">
        <v>2013</v>
      </c>
      <c r="B5242" t="s">
        <v>35</v>
      </c>
      <c r="C5242" t="s">
        <v>196</v>
      </c>
      <c r="D5242">
        <v>453</v>
      </c>
      <c r="E5242" t="s">
        <v>466</v>
      </c>
    </row>
    <row r="5243" spans="1:5" x14ac:dyDescent="0.35">
      <c r="A5243">
        <v>2013</v>
      </c>
      <c r="B5243" t="s">
        <v>35</v>
      </c>
      <c r="C5243" t="s">
        <v>161</v>
      </c>
      <c r="D5243">
        <v>71</v>
      </c>
      <c r="E5243" t="s">
        <v>328</v>
      </c>
    </row>
    <row r="5244" spans="1:5" x14ac:dyDescent="0.35">
      <c r="A5244">
        <v>2013</v>
      </c>
      <c r="B5244" t="s">
        <v>34</v>
      </c>
      <c r="C5244" t="s">
        <v>197</v>
      </c>
      <c r="D5244">
        <v>28</v>
      </c>
      <c r="E5244" t="s">
        <v>466</v>
      </c>
    </row>
    <row r="5245" spans="1:5" x14ac:dyDescent="0.35">
      <c r="A5245">
        <v>2013</v>
      </c>
      <c r="B5245" t="s">
        <v>35</v>
      </c>
      <c r="C5245" t="s">
        <v>161</v>
      </c>
      <c r="D5245">
        <v>134</v>
      </c>
      <c r="E5245" t="s">
        <v>467</v>
      </c>
    </row>
    <row r="5246" spans="1:5" x14ac:dyDescent="0.35">
      <c r="A5246">
        <v>2013</v>
      </c>
      <c r="B5246" t="s">
        <v>35</v>
      </c>
      <c r="C5246" t="s">
        <v>198</v>
      </c>
      <c r="D5246">
        <v>1977</v>
      </c>
      <c r="E5246" t="s">
        <v>466</v>
      </c>
    </row>
    <row r="5247" spans="1:5" x14ac:dyDescent="0.35">
      <c r="A5247">
        <v>2013</v>
      </c>
      <c r="B5247" t="s">
        <v>35</v>
      </c>
      <c r="C5247" t="s">
        <v>161</v>
      </c>
      <c r="D5247">
        <v>70</v>
      </c>
      <c r="E5247" t="s">
        <v>355</v>
      </c>
    </row>
    <row r="5248" spans="1:5" x14ac:dyDescent="0.35">
      <c r="A5248">
        <v>2013</v>
      </c>
      <c r="B5248" t="s">
        <v>39</v>
      </c>
      <c r="C5248" t="s">
        <v>39</v>
      </c>
      <c r="D5248">
        <v>842</v>
      </c>
      <c r="E5248" t="s">
        <v>466</v>
      </c>
    </row>
    <row r="5249" spans="1:5" x14ac:dyDescent="0.35">
      <c r="A5249">
        <v>2013</v>
      </c>
      <c r="B5249" t="s">
        <v>33</v>
      </c>
      <c r="C5249" t="s">
        <v>175</v>
      </c>
      <c r="D5249">
        <v>95</v>
      </c>
      <c r="E5249" t="s">
        <v>467</v>
      </c>
    </row>
    <row r="5250" spans="1:5" x14ac:dyDescent="0.35">
      <c r="A5250">
        <v>2013</v>
      </c>
      <c r="B5250" t="s">
        <v>38</v>
      </c>
      <c r="C5250" t="s">
        <v>199</v>
      </c>
      <c r="D5250">
        <v>164</v>
      </c>
      <c r="E5250" t="s">
        <v>466</v>
      </c>
    </row>
    <row r="5251" spans="1:5" x14ac:dyDescent="0.35">
      <c r="A5251">
        <v>2013</v>
      </c>
      <c r="B5251" t="s">
        <v>35</v>
      </c>
      <c r="C5251" t="s">
        <v>160</v>
      </c>
      <c r="D5251">
        <v>112</v>
      </c>
      <c r="E5251" t="s">
        <v>328</v>
      </c>
    </row>
    <row r="5252" spans="1:5" x14ac:dyDescent="0.35">
      <c r="A5252">
        <v>2013</v>
      </c>
      <c r="B5252" t="s">
        <v>34</v>
      </c>
      <c r="C5252" t="s">
        <v>200</v>
      </c>
      <c r="D5252">
        <v>142</v>
      </c>
      <c r="E5252" t="s">
        <v>466</v>
      </c>
    </row>
    <row r="5253" spans="1:5" x14ac:dyDescent="0.35">
      <c r="A5253">
        <v>2013</v>
      </c>
      <c r="B5253" t="s">
        <v>34</v>
      </c>
      <c r="C5253" t="s">
        <v>201</v>
      </c>
      <c r="D5253">
        <v>78</v>
      </c>
      <c r="E5253" t="s">
        <v>467</v>
      </c>
    </row>
    <row r="5254" spans="1:5" x14ac:dyDescent="0.35">
      <c r="A5254">
        <v>2013</v>
      </c>
      <c r="B5254" t="s">
        <v>38</v>
      </c>
      <c r="C5254" t="s">
        <v>19</v>
      </c>
      <c r="D5254">
        <v>679</v>
      </c>
      <c r="E5254" t="s">
        <v>466</v>
      </c>
    </row>
    <row r="5255" spans="1:5" x14ac:dyDescent="0.35">
      <c r="A5255">
        <v>2013</v>
      </c>
      <c r="B5255" t="s">
        <v>35</v>
      </c>
      <c r="C5255" t="s">
        <v>160</v>
      </c>
      <c r="D5255">
        <v>87</v>
      </c>
      <c r="E5255" t="s">
        <v>355</v>
      </c>
    </row>
    <row r="5256" spans="1:5" x14ac:dyDescent="0.35">
      <c r="A5256">
        <v>2013</v>
      </c>
      <c r="B5256" t="s">
        <v>34</v>
      </c>
      <c r="C5256" t="s">
        <v>201</v>
      </c>
      <c r="D5256">
        <v>1077</v>
      </c>
      <c r="E5256" t="s">
        <v>466</v>
      </c>
    </row>
    <row r="5257" spans="1:5" x14ac:dyDescent="0.35">
      <c r="A5257">
        <v>2013</v>
      </c>
      <c r="B5257" t="s">
        <v>34</v>
      </c>
      <c r="C5257" t="s">
        <v>178</v>
      </c>
      <c r="D5257">
        <v>58</v>
      </c>
      <c r="E5257" t="s">
        <v>467</v>
      </c>
    </row>
    <row r="5258" spans="1:5" x14ac:dyDescent="0.35">
      <c r="A5258">
        <v>2013</v>
      </c>
      <c r="B5258" t="s">
        <v>34</v>
      </c>
      <c r="C5258" t="s">
        <v>202</v>
      </c>
      <c r="D5258">
        <v>112</v>
      </c>
      <c r="E5258" t="s">
        <v>466</v>
      </c>
    </row>
    <row r="5259" spans="1:5" x14ac:dyDescent="0.35">
      <c r="A5259">
        <v>2013</v>
      </c>
      <c r="B5259" t="s">
        <v>35</v>
      </c>
      <c r="C5259" t="s">
        <v>158</v>
      </c>
      <c r="D5259">
        <v>24</v>
      </c>
      <c r="E5259" t="s">
        <v>328</v>
      </c>
    </row>
    <row r="5260" spans="1:5" x14ac:dyDescent="0.35">
      <c r="A5260">
        <v>2013</v>
      </c>
      <c r="B5260" t="s">
        <v>33</v>
      </c>
      <c r="C5260" t="s">
        <v>203</v>
      </c>
      <c r="D5260">
        <v>42</v>
      </c>
      <c r="E5260" t="s">
        <v>466</v>
      </c>
    </row>
    <row r="5261" spans="1:5" x14ac:dyDescent="0.35">
      <c r="A5261">
        <v>2013</v>
      </c>
      <c r="B5261" t="s">
        <v>39</v>
      </c>
      <c r="C5261" t="s">
        <v>39</v>
      </c>
      <c r="D5261">
        <v>75</v>
      </c>
      <c r="E5261" t="s">
        <v>467</v>
      </c>
    </row>
    <row r="5262" spans="1:5" x14ac:dyDescent="0.35">
      <c r="A5262">
        <v>2013</v>
      </c>
      <c r="B5262" t="s">
        <v>33</v>
      </c>
      <c r="C5262" t="s">
        <v>204</v>
      </c>
      <c r="D5262">
        <v>72</v>
      </c>
      <c r="E5262" t="s">
        <v>466</v>
      </c>
    </row>
    <row r="5263" spans="1:5" x14ac:dyDescent="0.35">
      <c r="A5263">
        <v>2013</v>
      </c>
      <c r="B5263" t="s">
        <v>35</v>
      </c>
      <c r="C5263" t="s">
        <v>158</v>
      </c>
      <c r="D5263">
        <v>57</v>
      </c>
      <c r="E5263" t="s">
        <v>355</v>
      </c>
    </row>
    <row r="5264" spans="1:5" x14ac:dyDescent="0.35">
      <c r="A5264">
        <v>2013</v>
      </c>
      <c r="B5264" t="s">
        <v>33</v>
      </c>
      <c r="C5264" t="s">
        <v>189</v>
      </c>
      <c r="D5264">
        <v>42</v>
      </c>
      <c r="E5264" t="s">
        <v>466</v>
      </c>
    </row>
    <row r="5265" spans="1:5" x14ac:dyDescent="0.35">
      <c r="A5265">
        <v>2013</v>
      </c>
      <c r="B5265" t="s">
        <v>33</v>
      </c>
      <c r="C5265" t="s">
        <v>204</v>
      </c>
      <c r="D5265">
        <v>21</v>
      </c>
      <c r="E5265" t="s">
        <v>467</v>
      </c>
    </row>
    <row r="5266" spans="1:5" x14ac:dyDescent="0.35">
      <c r="A5266">
        <v>2013</v>
      </c>
      <c r="B5266" t="s">
        <v>34</v>
      </c>
      <c r="C5266" t="s">
        <v>188</v>
      </c>
      <c r="D5266">
        <v>381</v>
      </c>
      <c r="E5266" t="s">
        <v>466</v>
      </c>
    </row>
    <row r="5267" spans="1:5" x14ac:dyDescent="0.35">
      <c r="A5267">
        <v>2013</v>
      </c>
      <c r="B5267" t="s">
        <v>35</v>
      </c>
      <c r="C5267" t="s">
        <v>157</v>
      </c>
      <c r="D5267">
        <v>136</v>
      </c>
      <c r="E5267" t="s">
        <v>328</v>
      </c>
    </row>
    <row r="5268" spans="1:5" x14ac:dyDescent="0.35">
      <c r="A5268">
        <v>2013</v>
      </c>
      <c r="B5268" t="s">
        <v>33</v>
      </c>
      <c r="C5268" t="s">
        <v>187</v>
      </c>
      <c r="D5268">
        <v>104</v>
      </c>
      <c r="E5268" t="s">
        <v>466</v>
      </c>
    </row>
    <row r="5269" spans="1:5" x14ac:dyDescent="0.35">
      <c r="A5269">
        <v>2013</v>
      </c>
      <c r="B5269" t="s">
        <v>33</v>
      </c>
      <c r="C5269" t="s">
        <v>203</v>
      </c>
      <c r="D5269">
        <v>7</v>
      </c>
      <c r="E5269" t="s">
        <v>467</v>
      </c>
    </row>
    <row r="5270" spans="1:5" x14ac:dyDescent="0.35">
      <c r="A5270">
        <v>2013</v>
      </c>
      <c r="B5270" t="s">
        <v>34</v>
      </c>
      <c r="C5270" t="s">
        <v>186</v>
      </c>
      <c r="D5270">
        <v>36</v>
      </c>
      <c r="E5270" t="s">
        <v>466</v>
      </c>
    </row>
    <row r="5271" spans="1:5" x14ac:dyDescent="0.35">
      <c r="A5271">
        <v>2013</v>
      </c>
      <c r="B5271" t="s">
        <v>35</v>
      </c>
      <c r="C5271" t="s">
        <v>157</v>
      </c>
      <c r="D5271">
        <v>110</v>
      </c>
      <c r="E5271" t="s">
        <v>355</v>
      </c>
    </row>
    <row r="5272" spans="1:5" x14ac:dyDescent="0.35">
      <c r="A5272">
        <v>2013</v>
      </c>
      <c r="B5272" t="s">
        <v>35</v>
      </c>
      <c r="C5272" t="s">
        <v>215</v>
      </c>
      <c r="D5272">
        <v>66</v>
      </c>
      <c r="E5272" t="s">
        <v>466</v>
      </c>
    </row>
    <row r="5273" spans="1:5" x14ac:dyDescent="0.35">
      <c r="A5273">
        <v>2013</v>
      </c>
      <c r="B5273" t="s">
        <v>34</v>
      </c>
      <c r="C5273" t="s">
        <v>202</v>
      </c>
      <c r="D5273">
        <v>12</v>
      </c>
      <c r="E5273" t="s">
        <v>467</v>
      </c>
    </row>
    <row r="5274" spans="1:5" x14ac:dyDescent="0.35">
      <c r="A5274">
        <v>2013</v>
      </c>
      <c r="B5274" t="s">
        <v>33</v>
      </c>
      <c r="C5274" t="s">
        <v>170</v>
      </c>
      <c r="D5274">
        <v>173</v>
      </c>
      <c r="E5274" t="s">
        <v>466</v>
      </c>
    </row>
    <row r="5275" spans="1:5" x14ac:dyDescent="0.35">
      <c r="A5275">
        <v>2013</v>
      </c>
      <c r="B5275" t="s">
        <v>34</v>
      </c>
      <c r="C5275" t="s">
        <v>18</v>
      </c>
      <c r="D5275">
        <v>149</v>
      </c>
      <c r="E5275" t="s">
        <v>328</v>
      </c>
    </row>
    <row r="5276" spans="1:5" x14ac:dyDescent="0.35">
      <c r="A5276">
        <v>2013</v>
      </c>
      <c r="B5276" t="s">
        <v>34</v>
      </c>
      <c r="C5276" t="s">
        <v>171</v>
      </c>
      <c r="D5276">
        <v>74</v>
      </c>
      <c r="E5276" t="s">
        <v>466</v>
      </c>
    </row>
    <row r="5277" spans="1:5" x14ac:dyDescent="0.35">
      <c r="A5277">
        <v>2013</v>
      </c>
      <c r="B5277" t="s">
        <v>33</v>
      </c>
      <c r="C5277" t="s">
        <v>149</v>
      </c>
      <c r="D5277">
        <v>287</v>
      </c>
      <c r="E5277" t="s">
        <v>467</v>
      </c>
    </row>
    <row r="5278" spans="1:5" x14ac:dyDescent="0.35">
      <c r="A5278">
        <v>2013</v>
      </c>
      <c r="B5278" t="s">
        <v>35</v>
      </c>
      <c r="C5278" t="s">
        <v>172</v>
      </c>
      <c r="D5278">
        <v>100</v>
      </c>
      <c r="E5278" t="s">
        <v>466</v>
      </c>
    </row>
    <row r="5279" spans="1:5" x14ac:dyDescent="0.35">
      <c r="A5279">
        <v>2013</v>
      </c>
      <c r="B5279" t="s">
        <v>34</v>
      </c>
      <c r="C5279" t="s">
        <v>18</v>
      </c>
      <c r="D5279">
        <v>218</v>
      </c>
      <c r="E5279" t="s">
        <v>355</v>
      </c>
    </row>
    <row r="5280" spans="1:5" x14ac:dyDescent="0.35">
      <c r="A5280">
        <v>2013</v>
      </c>
      <c r="B5280" t="s">
        <v>35</v>
      </c>
      <c r="C5280" t="s">
        <v>128</v>
      </c>
      <c r="E5280" t="s">
        <v>466</v>
      </c>
    </row>
    <row r="5281" spans="1:5" x14ac:dyDescent="0.35">
      <c r="A5281">
        <v>2013</v>
      </c>
      <c r="B5281" t="s">
        <v>38</v>
      </c>
      <c r="C5281" t="s">
        <v>19</v>
      </c>
      <c r="D5281">
        <v>173</v>
      </c>
      <c r="E5281" t="s">
        <v>467</v>
      </c>
    </row>
    <row r="5282" spans="1:5" x14ac:dyDescent="0.35">
      <c r="A5282">
        <v>2013</v>
      </c>
      <c r="B5282" t="s">
        <v>33</v>
      </c>
      <c r="C5282" t="s">
        <v>174</v>
      </c>
      <c r="D5282">
        <v>475</v>
      </c>
      <c r="E5282" t="s">
        <v>466</v>
      </c>
    </row>
    <row r="5283" spans="1:5" x14ac:dyDescent="0.35">
      <c r="A5283">
        <v>2013</v>
      </c>
      <c r="B5283" t="s">
        <v>38</v>
      </c>
      <c r="C5283" t="s">
        <v>156</v>
      </c>
      <c r="D5283">
        <v>352</v>
      </c>
      <c r="E5283" t="s">
        <v>328</v>
      </c>
    </row>
    <row r="5284" spans="1:5" x14ac:dyDescent="0.35">
      <c r="A5284">
        <v>2013</v>
      </c>
      <c r="B5284" t="s">
        <v>33</v>
      </c>
      <c r="C5284" t="s">
        <v>175</v>
      </c>
      <c r="D5284">
        <v>197</v>
      </c>
      <c r="E5284" t="s">
        <v>466</v>
      </c>
    </row>
    <row r="5285" spans="1:5" x14ac:dyDescent="0.35">
      <c r="A5285">
        <v>2013</v>
      </c>
      <c r="B5285" t="s">
        <v>34</v>
      </c>
      <c r="C5285" t="s">
        <v>200</v>
      </c>
      <c r="D5285">
        <v>22</v>
      </c>
      <c r="E5285" t="s">
        <v>467</v>
      </c>
    </row>
    <row r="5286" spans="1:5" x14ac:dyDescent="0.35">
      <c r="A5286">
        <v>2013</v>
      </c>
      <c r="B5286" t="s">
        <v>33</v>
      </c>
      <c r="C5286" t="s">
        <v>176</v>
      </c>
      <c r="D5286">
        <v>42</v>
      </c>
      <c r="E5286" t="s">
        <v>466</v>
      </c>
    </row>
    <row r="5287" spans="1:5" x14ac:dyDescent="0.35">
      <c r="A5287">
        <v>2013</v>
      </c>
      <c r="B5287" t="s">
        <v>38</v>
      </c>
      <c r="C5287" t="s">
        <v>155</v>
      </c>
      <c r="D5287">
        <v>17</v>
      </c>
      <c r="E5287" t="s">
        <v>328</v>
      </c>
    </row>
    <row r="5288" spans="1:5" x14ac:dyDescent="0.35">
      <c r="A5288">
        <v>2013</v>
      </c>
      <c r="B5288" t="s">
        <v>33</v>
      </c>
      <c r="C5288" t="s">
        <v>168</v>
      </c>
      <c r="D5288">
        <v>243</v>
      </c>
      <c r="E5288" t="s">
        <v>466</v>
      </c>
    </row>
    <row r="5289" spans="1:5" x14ac:dyDescent="0.35">
      <c r="A5289">
        <v>2013</v>
      </c>
      <c r="B5289" t="s">
        <v>38</v>
      </c>
      <c r="C5289" t="s">
        <v>199</v>
      </c>
      <c r="D5289">
        <v>22</v>
      </c>
      <c r="E5289" t="s">
        <v>467</v>
      </c>
    </row>
    <row r="5290" spans="1:5" x14ac:dyDescent="0.35">
      <c r="A5290">
        <v>2013</v>
      </c>
      <c r="B5290" t="s">
        <v>35</v>
      </c>
      <c r="C5290" t="s">
        <v>216</v>
      </c>
      <c r="D5290">
        <v>91</v>
      </c>
      <c r="E5290" t="s">
        <v>466</v>
      </c>
    </row>
    <row r="5291" spans="1:5" x14ac:dyDescent="0.35">
      <c r="A5291">
        <v>2013</v>
      </c>
      <c r="B5291" t="s">
        <v>35</v>
      </c>
      <c r="C5291" t="s">
        <v>145</v>
      </c>
      <c r="D5291">
        <v>21</v>
      </c>
      <c r="E5291" t="s">
        <v>328</v>
      </c>
    </row>
    <row r="5292" spans="1:5" x14ac:dyDescent="0.35">
      <c r="A5292">
        <v>2013</v>
      </c>
      <c r="B5292" t="s">
        <v>34</v>
      </c>
      <c r="C5292" t="s">
        <v>178</v>
      </c>
      <c r="D5292">
        <v>227</v>
      </c>
      <c r="E5292" t="s">
        <v>466</v>
      </c>
    </row>
    <row r="5293" spans="1:5" x14ac:dyDescent="0.35">
      <c r="A5293">
        <v>2013</v>
      </c>
      <c r="B5293" t="s">
        <v>35</v>
      </c>
      <c r="C5293" t="s">
        <v>198</v>
      </c>
      <c r="D5293">
        <v>1291</v>
      </c>
      <c r="E5293" t="s">
        <v>467</v>
      </c>
    </row>
    <row r="5294" spans="1:5" x14ac:dyDescent="0.35">
      <c r="A5294">
        <v>2013</v>
      </c>
      <c r="B5294" t="s">
        <v>33</v>
      </c>
      <c r="C5294" t="s">
        <v>179</v>
      </c>
      <c r="D5294">
        <v>206</v>
      </c>
      <c r="E5294" t="s">
        <v>466</v>
      </c>
    </row>
    <row r="5295" spans="1:5" x14ac:dyDescent="0.35">
      <c r="A5295">
        <v>2013</v>
      </c>
      <c r="B5295" t="s">
        <v>35</v>
      </c>
      <c r="C5295" t="s">
        <v>145</v>
      </c>
      <c r="D5295">
        <v>23</v>
      </c>
      <c r="E5295" t="s">
        <v>355</v>
      </c>
    </row>
    <row r="5296" spans="1:5" x14ac:dyDescent="0.35">
      <c r="A5296">
        <v>2013</v>
      </c>
      <c r="B5296" t="s">
        <v>38</v>
      </c>
      <c r="C5296" t="s">
        <v>180</v>
      </c>
      <c r="D5296">
        <v>18</v>
      </c>
      <c r="E5296" t="s">
        <v>466</v>
      </c>
    </row>
    <row r="5297" spans="1:5" x14ac:dyDescent="0.35">
      <c r="A5297">
        <v>2013</v>
      </c>
      <c r="B5297" t="s">
        <v>34</v>
      </c>
      <c r="C5297" t="s">
        <v>197</v>
      </c>
      <c r="D5297">
        <v>13</v>
      </c>
      <c r="E5297" t="s">
        <v>467</v>
      </c>
    </row>
    <row r="5298" spans="1:5" x14ac:dyDescent="0.35">
      <c r="A5298">
        <v>2013</v>
      </c>
      <c r="B5298" t="s">
        <v>33</v>
      </c>
      <c r="C5298" t="s">
        <v>181</v>
      </c>
      <c r="D5298">
        <v>3</v>
      </c>
      <c r="E5298" t="s">
        <v>466</v>
      </c>
    </row>
    <row r="5299" spans="1:5" x14ac:dyDescent="0.35">
      <c r="A5299">
        <v>2013</v>
      </c>
      <c r="B5299" t="s">
        <v>34</v>
      </c>
      <c r="C5299" t="s">
        <v>144</v>
      </c>
      <c r="D5299">
        <v>34</v>
      </c>
      <c r="E5299" t="s">
        <v>328</v>
      </c>
    </row>
    <row r="5300" spans="1:5" x14ac:dyDescent="0.35">
      <c r="A5300">
        <v>2013</v>
      </c>
      <c r="B5300" t="s">
        <v>35</v>
      </c>
      <c r="C5300" t="s">
        <v>182</v>
      </c>
      <c r="D5300">
        <v>207</v>
      </c>
      <c r="E5300" t="s">
        <v>466</v>
      </c>
    </row>
    <row r="5301" spans="1:5" x14ac:dyDescent="0.35">
      <c r="A5301">
        <v>2013</v>
      </c>
      <c r="B5301" t="s">
        <v>35</v>
      </c>
      <c r="C5301" t="s">
        <v>196</v>
      </c>
      <c r="D5301">
        <v>98</v>
      </c>
      <c r="E5301" t="s">
        <v>467</v>
      </c>
    </row>
    <row r="5302" spans="1:5" x14ac:dyDescent="0.35">
      <c r="A5302">
        <v>2013</v>
      </c>
      <c r="B5302" t="s">
        <v>35</v>
      </c>
      <c r="C5302" t="s">
        <v>183</v>
      </c>
      <c r="D5302">
        <v>108</v>
      </c>
      <c r="E5302" t="s">
        <v>466</v>
      </c>
    </row>
    <row r="5303" spans="1:5" x14ac:dyDescent="0.35">
      <c r="A5303">
        <v>2013</v>
      </c>
      <c r="B5303" t="s">
        <v>35</v>
      </c>
      <c r="C5303" t="s">
        <v>127</v>
      </c>
      <c r="D5303">
        <v>13</v>
      </c>
      <c r="E5303" t="s">
        <v>328</v>
      </c>
    </row>
    <row r="5304" spans="1:5" x14ac:dyDescent="0.35">
      <c r="A5304">
        <v>2013</v>
      </c>
      <c r="B5304" t="s">
        <v>34</v>
      </c>
      <c r="C5304" t="s">
        <v>184</v>
      </c>
      <c r="D5304">
        <v>476</v>
      </c>
      <c r="E5304" t="s">
        <v>466</v>
      </c>
    </row>
    <row r="5305" spans="1:5" x14ac:dyDescent="0.35">
      <c r="A5305">
        <v>2013</v>
      </c>
      <c r="B5305" t="s">
        <v>33</v>
      </c>
      <c r="C5305" t="s">
        <v>195</v>
      </c>
      <c r="D5305">
        <v>20</v>
      </c>
      <c r="E5305" t="s">
        <v>467</v>
      </c>
    </row>
    <row r="5306" spans="1:5" x14ac:dyDescent="0.35">
      <c r="A5306">
        <v>2013</v>
      </c>
      <c r="B5306" t="s">
        <v>34</v>
      </c>
      <c r="C5306" t="s">
        <v>185</v>
      </c>
      <c r="D5306">
        <v>470</v>
      </c>
      <c r="E5306" t="s">
        <v>466</v>
      </c>
    </row>
    <row r="5307" spans="1:5" x14ac:dyDescent="0.35">
      <c r="A5307">
        <v>2013</v>
      </c>
      <c r="B5307" t="s">
        <v>35</v>
      </c>
      <c r="C5307" t="s">
        <v>127</v>
      </c>
      <c r="D5307">
        <v>27</v>
      </c>
      <c r="E5307" t="s">
        <v>355</v>
      </c>
    </row>
    <row r="5308" spans="1:5" x14ac:dyDescent="0.35">
      <c r="A5308">
        <v>2013</v>
      </c>
      <c r="B5308" t="s">
        <v>35</v>
      </c>
      <c r="C5308" t="s">
        <v>177</v>
      </c>
      <c r="D5308">
        <v>2140</v>
      </c>
      <c r="E5308" t="s">
        <v>466</v>
      </c>
    </row>
    <row r="5309" spans="1:5" x14ac:dyDescent="0.35">
      <c r="A5309">
        <v>2013</v>
      </c>
      <c r="B5309" t="s">
        <v>34</v>
      </c>
      <c r="C5309" t="s">
        <v>194</v>
      </c>
      <c r="D5309">
        <v>5</v>
      </c>
      <c r="E5309" t="s">
        <v>467</v>
      </c>
    </row>
    <row r="5310" spans="1:5" x14ac:dyDescent="0.35">
      <c r="A5310">
        <v>2013</v>
      </c>
      <c r="B5310" t="s">
        <v>35</v>
      </c>
      <c r="C5310" t="s">
        <v>127</v>
      </c>
      <c r="D5310">
        <v>131</v>
      </c>
      <c r="E5310" t="s">
        <v>466</v>
      </c>
    </row>
    <row r="5311" spans="1:5" x14ac:dyDescent="0.35">
      <c r="A5311">
        <v>2013</v>
      </c>
      <c r="B5311" t="s">
        <v>33</v>
      </c>
      <c r="C5311" t="s">
        <v>125</v>
      </c>
      <c r="D5311">
        <v>5</v>
      </c>
      <c r="E5311" t="s">
        <v>328</v>
      </c>
    </row>
    <row r="5312" spans="1:5" x14ac:dyDescent="0.35">
      <c r="A5312">
        <v>2013</v>
      </c>
      <c r="B5312" t="s">
        <v>36</v>
      </c>
      <c r="C5312" t="s">
        <v>165</v>
      </c>
      <c r="D5312">
        <v>66</v>
      </c>
      <c r="E5312" t="s">
        <v>466</v>
      </c>
    </row>
    <row r="5313" spans="1:5" x14ac:dyDescent="0.35">
      <c r="A5313">
        <v>2013</v>
      </c>
      <c r="B5313" t="s">
        <v>34</v>
      </c>
      <c r="C5313" t="s">
        <v>193</v>
      </c>
      <c r="D5313">
        <v>128</v>
      </c>
      <c r="E5313" t="s">
        <v>467</v>
      </c>
    </row>
    <row r="5314" spans="1:5" x14ac:dyDescent="0.35">
      <c r="A5314">
        <v>2013</v>
      </c>
      <c r="B5314" t="s">
        <v>33</v>
      </c>
      <c r="C5314" t="s">
        <v>125</v>
      </c>
      <c r="D5314">
        <v>259</v>
      </c>
      <c r="E5314" t="s">
        <v>466</v>
      </c>
    </row>
    <row r="5315" spans="1:5" x14ac:dyDescent="0.35">
      <c r="A5315">
        <v>2013</v>
      </c>
      <c r="B5315" t="s">
        <v>33</v>
      </c>
      <c r="C5315" t="s">
        <v>125</v>
      </c>
      <c r="D5315">
        <v>37</v>
      </c>
      <c r="E5315" t="s">
        <v>355</v>
      </c>
    </row>
    <row r="5316" spans="1:5" x14ac:dyDescent="0.35">
      <c r="A5316">
        <v>2013</v>
      </c>
      <c r="B5316" t="s">
        <v>33</v>
      </c>
      <c r="C5316" t="s">
        <v>63</v>
      </c>
      <c r="D5316">
        <v>41</v>
      </c>
      <c r="E5316" t="s">
        <v>466</v>
      </c>
    </row>
    <row r="5317" spans="1:5" x14ac:dyDescent="0.35">
      <c r="A5317">
        <v>2013</v>
      </c>
      <c r="B5317" t="s">
        <v>33</v>
      </c>
      <c r="C5317" t="s">
        <v>192</v>
      </c>
      <c r="D5317">
        <v>20</v>
      </c>
      <c r="E5317" t="s">
        <v>467</v>
      </c>
    </row>
    <row r="5318" spans="1:5" x14ac:dyDescent="0.35">
      <c r="A5318">
        <v>2013</v>
      </c>
      <c r="B5318" t="s">
        <v>34</v>
      </c>
      <c r="C5318" t="s">
        <v>64</v>
      </c>
      <c r="D5318">
        <v>61</v>
      </c>
      <c r="E5318" t="s">
        <v>466</v>
      </c>
    </row>
    <row r="5319" spans="1:5" x14ac:dyDescent="0.35">
      <c r="A5319">
        <v>2013</v>
      </c>
      <c r="B5319" t="s">
        <v>34</v>
      </c>
      <c r="C5319" t="s">
        <v>124</v>
      </c>
      <c r="D5319">
        <v>24</v>
      </c>
      <c r="E5319" t="s">
        <v>328</v>
      </c>
    </row>
    <row r="5320" spans="1:5" x14ac:dyDescent="0.35">
      <c r="A5320">
        <v>2013</v>
      </c>
      <c r="B5320" t="s">
        <v>33</v>
      </c>
      <c r="C5320" t="s">
        <v>65</v>
      </c>
      <c r="D5320">
        <v>52</v>
      </c>
      <c r="E5320" t="s">
        <v>466</v>
      </c>
    </row>
    <row r="5321" spans="1:5" x14ac:dyDescent="0.35">
      <c r="A5321">
        <v>2013</v>
      </c>
      <c r="B5321" t="s">
        <v>36</v>
      </c>
      <c r="C5321" t="s">
        <v>191</v>
      </c>
      <c r="D5321">
        <v>68</v>
      </c>
      <c r="E5321" t="s">
        <v>467</v>
      </c>
    </row>
    <row r="5322" spans="1:5" x14ac:dyDescent="0.35">
      <c r="A5322">
        <v>2013</v>
      </c>
      <c r="B5322" t="s">
        <v>33</v>
      </c>
      <c r="C5322" t="s">
        <v>66</v>
      </c>
      <c r="D5322">
        <v>82</v>
      </c>
      <c r="E5322" t="s">
        <v>466</v>
      </c>
    </row>
    <row r="5323" spans="1:5" x14ac:dyDescent="0.35">
      <c r="A5323">
        <v>2013</v>
      </c>
      <c r="B5323" t="s">
        <v>34</v>
      </c>
      <c r="C5323" t="s">
        <v>124</v>
      </c>
      <c r="D5323">
        <v>19</v>
      </c>
      <c r="E5323" t="s">
        <v>355</v>
      </c>
    </row>
    <row r="5324" spans="1:5" x14ac:dyDescent="0.35">
      <c r="A5324">
        <v>2013</v>
      </c>
      <c r="B5324" t="s">
        <v>34</v>
      </c>
      <c r="C5324" t="s">
        <v>67</v>
      </c>
      <c r="D5324">
        <v>225</v>
      </c>
      <c r="E5324" t="s">
        <v>466</v>
      </c>
    </row>
    <row r="5325" spans="1:5" x14ac:dyDescent="0.35">
      <c r="A5325">
        <v>2013</v>
      </c>
      <c r="B5325" t="s">
        <v>37</v>
      </c>
      <c r="C5325" t="s">
        <v>190</v>
      </c>
      <c r="D5325">
        <v>5</v>
      </c>
      <c r="E5325" t="s">
        <v>467</v>
      </c>
    </row>
    <row r="5326" spans="1:5" x14ac:dyDescent="0.35">
      <c r="A5326">
        <v>2013</v>
      </c>
      <c r="B5326" t="s">
        <v>33</v>
      </c>
      <c r="C5326" t="s">
        <v>68</v>
      </c>
      <c r="D5326">
        <v>434</v>
      </c>
      <c r="E5326" t="s">
        <v>466</v>
      </c>
    </row>
    <row r="5327" spans="1:5" x14ac:dyDescent="0.35">
      <c r="A5327">
        <v>2013</v>
      </c>
      <c r="B5327" t="s">
        <v>35</v>
      </c>
      <c r="C5327" t="s">
        <v>123</v>
      </c>
      <c r="D5327">
        <v>31</v>
      </c>
      <c r="E5327" t="s">
        <v>328</v>
      </c>
    </row>
    <row r="5328" spans="1:5" x14ac:dyDescent="0.35">
      <c r="A5328">
        <v>2013</v>
      </c>
      <c r="B5328" t="s">
        <v>36</v>
      </c>
      <c r="C5328" t="s">
        <v>69</v>
      </c>
      <c r="D5328">
        <v>25236</v>
      </c>
      <c r="E5328" t="s">
        <v>466</v>
      </c>
    </row>
    <row r="5329" spans="1:5" x14ac:dyDescent="0.35">
      <c r="A5329">
        <v>2013</v>
      </c>
      <c r="B5329" t="s">
        <v>33</v>
      </c>
      <c r="C5329" t="s">
        <v>189</v>
      </c>
      <c r="D5329">
        <v>13</v>
      </c>
      <c r="E5329" t="s">
        <v>467</v>
      </c>
    </row>
    <row r="5330" spans="1:5" x14ac:dyDescent="0.35">
      <c r="A5330">
        <v>2013</v>
      </c>
      <c r="B5330" t="s">
        <v>33</v>
      </c>
      <c r="C5330" t="s">
        <v>70</v>
      </c>
      <c r="D5330">
        <v>18</v>
      </c>
      <c r="E5330" t="s">
        <v>466</v>
      </c>
    </row>
    <row r="5331" spans="1:5" x14ac:dyDescent="0.35">
      <c r="A5331">
        <v>2013</v>
      </c>
      <c r="B5331" t="s">
        <v>35</v>
      </c>
      <c r="C5331" t="s">
        <v>123</v>
      </c>
      <c r="D5331">
        <v>10</v>
      </c>
      <c r="E5331" t="s">
        <v>355</v>
      </c>
    </row>
    <row r="5332" spans="1:5" x14ac:dyDescent="0.35">
      <c r="A5332">
        <v>2013</v>
      </c>
      <c r="B5332" t="s">
        <v>33</v>
      </c>
      <c r="C5332" t="s">
        <v>71</v>
      </c>
      <c r="D5332">
        <v>17</v>
      </c>
      <c r="E5332" t="s">
        <v>466</v>
      </c>
    </row>
    <row r="5333" spans="1:5" x14ac:dyDescent="0.35">
      <c r="A5333">
        <v>2013</v>
      </c>
      <c r="B5333" t="s">
        <v>34</v>
      </c>
      <c r="C5333" t="s">
        <v>188</v>
      </c>
      <c r="D5333">
        <v>124</v>
      </c>
      <c r="E5333" t="s">
        <v>467</v>
      </c>
    </row>
    <row r="5334" spans="1:5" x14ac:dyDescent="0.35">
      <c r="A5334">
        <v>2013</v>
      </c>
      <c r="B5334" t="s">
        <v>35</v>
      </c>
      <c r="C5334" t="s">
        <v>62</v>
      </c>
      <c r="D5334">
        <v>113</v>
      </c>
      <c r="E5334" t="s">
        <v>466</v>
      </c>
    </row>
    <row r="5335" spans="1:5" x14ac:dyDescent="0.35">
      <c r="A5335">
        <v>2013</v>
      </c>
      <c r="B5335" t="s">
        <v>34</v>
      </c>
      <c r="C5335" t="s">
        <v>122</v>
      </c>
      <c r="D5335">
        <v>5</v>
      </c>
      <c r="E5335" t="s">
        <v>328</v>
      </c>
    </row>
    <row r="5336" spans="1:5" x14ac:dyDescent="0.35">
      <c r="A5336">
        <v>2013</v>
      </c>
      <c r="B5336" t="s">
        <v>38</v>
      </c>
      <c r="C5336" t="s">
        <v>72</v>
      </c>
      <c r="D5336">
        <v>217</v>
      </c>
      <c r="E5336" t="s">
        <v>466</v>
      </c>
    </row>
    <row r="5337" spans="1:5" x14ac:dyDescent="0.35">
      <c r="A5337">
        <v>2013</v>
      </c>
      <c r="B5337" t="s">
        <v>33</v>
      </c>
      <c r="C5337" t="s">
        <v>187</v>
      </c>
      <c r="D5337">
        <v>18</v>
      </c>
      <c r="E5337" t="s">
        <v>467</v>
      </c>
    </row>
    <row r="5338" spans="1:5" x14ac:dyDescent="0.35">
      <c r="A5338">
        <v>2013</v>
      </c>
      <c r="B5338" t="s">
        <v>38</v>
      </c>
      <c r="C5338" t="s">
        <v>20</v>
      </c>
      <c r="D5338">
        <v>3007</v>
      </c>
      <c r="E5338" t="s">
        <v>466</v>
      </c>
    </row>
    <row r="5339" spans="1:5" x14ac:dyDescent="0.35">
      <c r="A5339">
        <v>2013</v>
      </c>
      <c r="B5339" t="s">
        <v>34</v>
      </c>
      <c r="C5339" t="s">
        <v>122</v>
      </c>
      <c r="D5339">
        <v>5</v>
      </c>
      <c r="E5339" t="s">
        <v>355</v>
      </c>
    </row>
    <row r="5340" spans="1:5" x14ac:dyDescent="0.35">
      <c r="A5340">
        <v>2013</v>
      </c>
      <c r="B5340" t="s">
        <v>33</v>
      </c>
      <c r="C5340" t="s">
        <v>74</v>
      </c>
      <c r="D5340">
        <v>87</v>
      </c>
      <c r="E5340" t="s">
        <v>466</v>
      </c>
    </row>
    <row r="5341" spans="1:5" x14ac:dyDescent="0.35">
      <c r="A5341">
        <v>2013</v>
      </c>
      <c r="B5341" t="s">
        <v>34</v>
      </c>
      <c r="C5341" t="s">
        <v>185</v>
      </c>
      <c r="D5341">
        <v>347</v>
      </c>
      <c r="E5341" t="s">
        <v>467</v>
      </c>
    </row>
    <row r="5342" spans="1:5" x14ac:dyDescent="0.35">
      <c r="A5342">
        <v>2013</v>
      </c>
      <c r="B5342" t="s">
        <v>33</v>
      </c>
      <c r="C5342" t="s">
        <v>75</v>
      </c>
      <c r="D5342">
        <v>63</v>
      </c>
      <c r="E5342" t="s">
        <v>466</v>
      </c>
    </row>
    <row r="5343" spans="1:5" x14ac:dyDescent="0.35">
      <c r="A5343">
        <v>2013</v>
      </c>
      <c r="B5343" t="s">
        <v>34</v>
      </c>
      <c r="C5343" t="s">
        <v>121</v>
      </c>
      <c r="E5343" t="s">
        <v>328</v>
      </c>
    </row>
    <row r="5344" spans="1:5" x14ac:dyDescent="0.35">
      <c r="A5344">
        <v>2013</v>
      </c>
      <c r="B5344" t="s">
        <v>36</v>
      </c>
      <c r="C5344" t="s">
        <v>76</v>
      </c>
      <c r="D5344">
        <v>585</v>
      </c>
      <c r="E5344" t="s">
        <v>466</v>
      </c>
    </row>
    <row r="5345" spans="1:5" x14ac:dyDescent="0.35">
      <c r="A5345">
        <v>2013</v>
      </c>
      <c r="B5345" t="s">
        <v>34</v>
      </c>
      <c r="C5345" t="s">
        <v>184</v>
      </c>
      <c r="D5345">
        <v>79</v>
      </c>
      <c r="E5345" t="s">
        <v>467</v>
      </c>
    </row>
    <row r="5346" spans="1:5" x14ac:dyDescent="0.35">
      <c r="A5346">
        <v>2013</v>
      </c>
      <c r="B5346" t="s">
        <v>33</v>
      </c>
      <c r="C5346" t="s">
        <v>77</v>
      </c>
      <c r="D5346">
        <v>113</v>
      </c>
      <c r="E5346" t="s">
        <v>466</v>
      </c>
    </row>
    <row r="5347" spans="1:5" x14ac:dyDescent="0.35">
      <c r="A5347">
        <v>2013</v>
      </c>
      <c r="B5347" t="s">
        <v>34</v>
      </c>
      <c r="C5347" t="s">
        <v>121</v>
      </c>
      <c r="E5347" t="s">
        <v>355</v>
      </c>
    </row>
    <row r="5348" spans="1:5" x14ac:dyDescent="0.35">
      <c r="A5348">
        <v>2013</v>
      </c>
      <c r="B5348" t="s">
        <v>35</v>
      </c>
      <c r="C5348" t="s">
        <v>78</v>
      </c>
      <c r="D5348">
        <v>63</v>
      </c>
      <c r="E5348" t="s">
        <v>466</v>
      </c>
    </row>
    <row r="5349" spans="1:5" x14ac:dyDescent="0.35">
      <c r="A5349">
        <v>2013</v>
      </c>
      <c r="B5349" t="s">
        <v>35</v>
      </c>
      <c r="C5349" t="s">
        <v>183</v>
      </c>
      <c r="D5349">
        <v>85</v>
      </c>
      <c r="E5349" t="s">
        <v>467</v>
      </c>
    </row>
    <row r="5350" spans="1:5" x14ac:dyDescent="0.35">
      <c r="A5350">
        <v>2013</v>
      </c>
      <c r="B5350" t="s">
        <v>36</v>
      </c>
      <c r="C5350" t="s">
        <v>79</v>
      </c>
      <c r="D5350">
        <v>15432</v>
      </c>
      <c r="E5350" t="s">
        <v>466</v>
      </c>
    </row>
    <row r="5351" spans="1:5" x14ac:dyDescent="0.35">
      <c r="A5351">
        <v>2013</v>
      </c>
      <c r="B5351" t="s">
        <v>34</v>
      </c>
      <c r="C5351" t="s">
        <v>120</v>
      </c>
      <c r="E5351" t="s">
        <v>328</v>
      </c>
    </row>
    <row r="5352" spans="1:5" x14ac:dyDescent="0.35">
      <c r="A5352">
        <v>2013</v>
      </c>
      <c r="B5352" t="s">
        <v>34</v>
      </c>
      <c r="C5352" t="s">
        <v>80</v>
      </c>
      <c r="D5352">
        <v>10</v>
      </c>
      <c r="E5352" t="s">
        <v>466</v>
      </c>
    </row>
    <row r="5353" spans="1:5" x14ac:dyDescent="0.35">
      <c r="A5353">
        <v>2013</v>
      </c>
      <c r="B5353" t="s">
        <v>35</v>
      </c>
      <c r="C5353" t="s">
        <v>182</v>
      </c>
      <c r="D5353">
        <v>140</v>
      </c>
      <c r="E5353" t="s">
        <v>467</v>
      </c>
    </row>
    <row r="5354" spans="1:5" x14ac:dyDescent="0.35">
      <c r="A5354">
        <v>2013</v>
      </c>
      <c r="B5354" t="s">
        <v>35</v>
      </c>
      <c r="C5354" t="s">
        <v>81</v>
      </c>
      <c r="D5354">
        <v>220</v>
      </c>
      <c r="E5354" t="s">
        <v>466</v>
      </c>
    </row>
    <row r="5355" spans="1:5" x14ac:dyDescent="0.35">
      <c r="A5355">
        <v>2013</v>
      </c>
      <c r="B5355" t="s">
        <v>34</v>
      </c>
      <c r="C5355" t="s">
        <v>120</v>
      </c>
      <c r="E5355" t="s">
        <v>355</v>
      </c>
    </row>
    <row r="5356" spans="1:5" x14ac:dyDescent="0.35">
      <c r="A5356">
        <v>2013</v>
      </c>
      <c r="B5356" t="s">
        <v>34</v>
      </c>
      <c r="C5356" t="s">
        <v>73</v>
      </c>
      <c r="D5356">
        <v>4060</v>
      </c>
      <c r="E5356" t="s">
        <v>466</v>
      </c>
    </row>
    <row r="5357" spans="1:5" x14ac:dyDescent="0.35">
      <c r="A5357">
        <v>2013</v>
      </c>
      <c r="B5357" t="s">
        <v>33</v>
      </c>
      <c r="C5357" t="s">
        <v>179</v>
      </c>
      <c r="D5357">
        <v>13</v>
      </c>
      <c r="E5357" t="s">
        <v>467</v>
      </c>
    </row>
    <row r="5358" spans="1:5" x14ac:dyDescent="0.35">
      <c r="A5358">
        <v>2013</v>
      </c>
      <c r="B5358" t="s">
        <v>38</v>
      </c>
      <c r="C5358" t="s">
        <v>21</v>
      </c>
      <c r="D5358">
        <v>2416</v>
      </c>
      <c r="E5358" t="s">
        <v>466</v>
      </c>
    </row>
    <row r="5359" spans="1:5" x14ac:dyDescent="0.35">
      <c r="A5359">
        <v>2013</v>
      </c>
      <c r="B5359" t="s">
        <v>35</v>
      </c>
      <c r="C5359" t="s">
        <v>119</v>
      </c>
      <c r="D5359">
        <v>9</v>
      </c>
      <c r="E5359" t="s">
        <v>328</v>
      </c>
    </row>
    <row r="5360" spans="1:5" x14ac:dyDescent="0.35">
      <c r="A5360">
        <v>2013</v>
      </c>
      <c r="B5360" t="s">
        <v>33</v>
      </c>
      <c r="C5360" t="s">
        <v>61</v>
      </c>
      <c r="D5360">
        <v>7</v>
      </c>
      <c r="E5360" t="s">
        <v>466</v>
      </c>
    </row>
    <row r="5361" spans="1:5" x14ac:dyDescent="0.35">
      <c r="A5361">
        <v>2013</v>
      </c>
      <c r="B5361" t="s">
        <v>35</v>
      </c>
      <c r="C5361" t="s">
        <v>177</v>
      </c>
      <c r="D5361">
        <v>1059</v>
      </c>
      <c r="E5361" t="s">
        <v>467</v>
      </c>
    </row>
    <row r="5362" spans="1:5" x14ac:dyDescent="0.35">
      <c r="A5362">
        <v>2013</v>
      </c>
      <c r="B5362" t="s">
        <v>35</v>
      </c>
      <c r="C5362" t="s">
        <v>60</v>
      </c>
      <c r="D5362">
        <v>204</v>
      </c>
      <c r="E5362" t="s">
        <v>466</v>
      </c>
    </row>
    <row r="5363" spans="1:5" x14ac:dyDescent="0.35">
      <c r="A5363">
        <v>2013</v>
      </c>
      <c r="B5363" t="s">
        <v>34</v>
      </c>
      <c r="C5363" t="s">
        <v>131</v>
      </c>
      <c r="D5363">
        <v>10</v>
      </c>
      <c r="E5363" t="s">
        <v>355</v>
      </c>
    </row>
    <row r="5364" spans="1:5" x14ac:dyDescent="0.35">
      <c r="A5364">
        <v>2013</v>
      </c>
      <c r="B5364" t="s">
        <v>34</v>
      </c>
      <c r="C5364" t="s">
        <v>40</v>
      </c>
      <c r="D5364">
        <v>140</v>
      </c>
      <c r="E5364" t="s">
        <v>466</v>
      </c>
    </row>
    <row r="5365" spans="1:5" x14ac:dyDescent="0.35">
      <c r="A5365">
        <v>2013</v>
      </c>
      <c r="B5365" t="s">
        <v>33</v>
      </c>
      <c r="C5365" t="s">
        <v>148</v>
      </c>
      <c r="D5365">
        <v>6</v>
      </c>
      <c r="E5365" t="s">
        <v>467</v>
      </c>
    </row>
    <row r="5366" spans="1:5" x14ac:dyDescent="0.35">
      <c r="A5366">
        <v>2013</v>
      </c>
      <c r="B5366" t="s">
        <v>35</v>
      </c>
      <c r="C5366" t="s">
        <v>41</v>
      </c>
      <c r="D5366">
        <v>504</v>
      </c>
      <c r="E5366" t="s">
        <v>466</v>
      </c>
    </row>
    <row r="5367" spans="1:5" x14ac:dyDescent="0.35">
      <c r="A5367">
        <v>2013</v>
      </c>
      <c r="B5367" t="s">
        <v>34</v>
      </c>
      <c r="C5367" t="s">
        <v>131</v>
      </c>
      <c r="D5367">
        <v>10</v>
      </c>
      <c r="E5367" t="s">
        <v>328</v>
      </c>
    </row>
    <row r="5368" spans="1:5" x14ac:dyDescent="0.35">
      <c r="A5368">
        <v>2013</v>
      </c>
      <c r="B5368" t="s">
        <v>33</v>
      </c>
      <c r="C5368" t="s">
        <v>42</v>
      </c>
      <c r="D5368">
        <v>69</v>
      </c>
      <c r="E5368" t="s">
        <v>466</v>
      </c>
    </row>
    <row r="5369" spans="1:5" x14ac:dyDescent="0.35">
      <c r="A5369">
        <v>2013</v>
      </c>
      <c r="B5369" t="s">
        <v>34</v>
      </c>
      <c r="C5369" t="s">
        <v>40</v>
      </c>
      <c r="D5369">
        <v>44</v>
      </c>
      <c r="E5369" t="s">
        <v>467</v>
      </c>
    </row>
    <row r="5370" spans="1:5" x14ac:dyDescent="0.35">
      <c r="A5370">
        <v>2013</v>
      </c>
      <c r="C5370" t="s">
        <v>373</v>
      </c>
      <c r="D5370">
        <v>28</v>
      </c>
      <c r="E5370" t="s">
        <v>466</v>
      </c>
    </row>
    <row r="5371" spans="1:5" x14ac:dyDescent="0.35">
      <c r="A5371">
        <v>2013</v>
      </c>
      <c r="B5371" t="s">
        <v>33</v>
      </c>
      <c r="C5371" t="s">
        <v>132</v>
      </c>
      <c r="E5371" t="s">
        <v>355</v>
      </c>
    </row>
    <row r="5372" spans="1:5" x14ac:dyDescent="0.35">
      <c r="A5372">
        <v>2013</v>
      </c>
      <c r="B5372" t="s">
        <v>33</v>
      </c>
      <c r="C5372" t="s">
        <v>43</v>
      </c>
      <c r="D5372">
        <v>64</v>
      </c>
      <c r="E5372" t="s">
        <v>466</v>
      </c>
    </row>
    <row r="5373" spans="1:5" x14ac:dyDescent="0.35">
      <c r="A5373">
        <v>2013</v>
      </c>
      <c r="B5373" t="s">
        <v>37</v>
      </c>
      <c r="C5373" t="s">
        <v>146</v>
      </c>
      <c r="D5373">
        <v>94</v>
      </c>
      <c r="E5373" t="s">
        <v>467</v>
      </c>
    </row>
    <row r="5374" spans="1:5" x14ac:dyDescent="0.35">
      <c r="A5374">
        <v>2013</v>
      </c>
      <c r="B5374" t="s">
        <v>36</v>
      </c>
      <c r="C5374" t="s">
        <v>44</v>
      </c>
      <c r="D5374">
        <v>55</v>
      </c>
      <c r="E5374" t="s">
        <v>466</v>
      </c>
    </row>
    <row r="5375" spans="1:5" x14ac:dyDescent="0.35">
      <c r="A5375">
        <v>2013</v>
      </c>
      <c r="B5375" t="s">
        <v>33</v>
      </c>
      <c r="C5375" t="s">
        <v>132</v>
      </c>
      <c r="E5375" t="s">
        <v>328</v>
      </c>
    </row>
    <row r="5376" spans="1:5" x14ac:dyDescent="0.35">
      <c r="A5376">
        <v>2013</v>
      </c>
      <c r="B5376" t="s">
        <v>33</v>
      </c>
      <c r="C5376" t="s">
        <v>126</v>
      </c>
      <c r="D5376">
        <v>32</v>
      </c>
      <c r="E5376" t="s">
        <v>466</v>
      </c>
    </row>
    <row r="5377" spans="1:5" x14ac:dyDescent="0.35">
      <c r="A5377">
        <v>2013</v>
      </c>
      <c r="B5377" t="s">
        <v>34</v>
      </c>
      <c r="C5377" t="s">
        <v>67</v>
      </c>
      <c r="D5377">
        <v>12</v>
      </c>
      <c r="E5377" t="s">
        <v>467</v>
      </c>
    </row>
    <row r="5378" spans="1:5" x14ac:dyDescent="0.35">
      <c r="A5378">
        <v>2013</v>
      </c>
      <c r="B5378" t="s">
        <v>34</v>
      </c>
      <c r="C5378" t="s">
        <v>46</v>
      </c>
      <c r="D5378">
        <v>194</v>
      </c>
      <c r="E5378" t="s">
        <v>466</v>
      </c>
    </row>
    <row r="5379" spans="1:5" x14ac:dyDescent="0.35">
      <c r="A5379">
        <v>2013</v>
      </c>
      <c r="B5379" t="s">
        <v>34</v>
      </c>
      <c r="C5379" t="s">
        <v>144</v>
      </c>
      <c r="D5379">
        <v>12</v>
      </c>
      <c r="E5379" t="s">
        <v>355</v>
      </c>
    </row>
    <row r="5380" spans="1:5" x14ac:dyDescent="0.35">
      <c r="A5380">
        <v>2013</v>
      </c>
      <c r="B5380" t="s">
        <v>37</v>
      </c>
      <c r="C5380" t="s">
        <v>47</v>
      </c>
      <c r="D5380">
        <v>502</v>
      </c>
      <c r="E5380" t="s">
        <v>466</v>
      </c>
    </row>
    <row r="5381" spans="1:5" x14ac:dyDescent="0.35">
      <c r="A5381">
        <v>2013</v>
      </c>
      <c r="B5381" t="s">
        <v>33</v>
      </c>
      <c r="C5381" t="s">
        <v>68</v>
      </c>
      <c r="D5381">
        <v>48</v>
      </c>
      <c r="E5381" t="s">
        <v>467</v>
      </c>
    </row>
    <row r="5382" spans="1:5" x14ac:dyDescent="0.35">
      <c r="A5382">
        <v>2013</v>
      </c>
      <c r="B5382" t="s">
        <v>35</v>
      </c>
      <c r="C5382" t="s">
        <v>48</v>
      </c>
      <c r="D5382">
        <v>74</v>
      </c>
      <c r="E5382" t="s">
        <v>466</v>
      </c>
    </row>
    <row r="5383" spans="1:5" x14ac:dyDescent="0.35">
      <c r="A5383">
        <v>2013</v>
      </c>
      <c r="B5383" t="s">
        <v>33</v>
      </c>
      <c r="C5383" t="s">
        <v>141</v>
      </c>
      <c r="D5383">
        <v>13</v>
      </c>
      <c r="E5383" t="s">
        <v>328</v>
      </c>
    </row>
    <row r="5384" spans="1:5" x14ac:dyDescent="0.35">
      <c r="A5384">
        <v>2013</v>
      </c>
      <c r="B5384" t="s">
        <v>34</v>
      </c>
      <c r="C5384" t="s">
        <v>49</v>
      </c>
      <c r="D5384">
        <v>50</v>
      </c>
      <c r="E5384" t="s">
        <v>466</v>
      </c>
    </row>
    <row r="5385" spans="1:5" x14ac:dyDescent="0.35">
      <c r="A5385">
        <v>2013</v>
      </c>
      <c r="B5385" t="s">
        <v>36</v>
      </c>
      <c r="C5385" t="s">
        <v>69</v>
      </c>
      <c r="D5385">
        <v>23931</v>
      </c>
      <c r="E5385" t="s">
        <v>467</v>
      </c>
    </row>
    <row r="5386" spans="1:5" x14ac:dyDescent="0.35">
      <c r="A5386">
        <v>2013</v>
      </c>
      <c r="B5386" t="s">
        <v>36</v>
      </c>
      <c r="C5386" t="s">
        <v>50</v>
      </c>
      <c r="D5386">
        <v>794</v>
      </c>
      <c r="E5386" t="s">
        <v>466</v>
      </c>
    </row>
    <row r="5387" spans="1:5" x14ac:dyDescent="0.35">
      <c r="A5387">
        <v>2013</v>
      </c>
      <c r="B5387" t="s">
        <v>33</v>
      </c>
      <c r="C5387" t="s">
        <v>141</v>
      </c>
      <c r="D5387">
        <v>33</v>
      </c>
      <c r="E5387" t="s">
        <v>355</v>
      </c>
    </row>
    <row r="5388" spans="1:5" x14ac:dyDescent="0.35">
      <c r="A5388">
        <v>2013</v>
      </c>
      <c r="B5388" t="s">
        <v>34</v>
      </c>
      <c r="C5388" t="s">
        <v>51</v>
      </c>
      <c r="D5388">
        <v>8</v>
      </c>
      <c r="E5388" t="s">
        <v>466</v>
      </c>
    </row>
    <row r="5389" spans="1:5" x14ac:dyDescent="0.35">
      <c r="A5389">
        <v>2013</v>
      </c>
      <c r="B5389" t="s">
        <v>38</v>
      </c>
      <c r="C5389" t="s">
        <v>72</v>
      </c>
      <c r="D5389">
        <v>47</v>
      </c>
      <c r="E5389" t="s">
        <v>467</v>
      </c>
    </row>
    <row r="5390" spans="1:5" x14ac:dyDescent="0.35">
      <c r="A5390">
        <v>2013</v>
      </c>
      <c r="B5390" t="s">
        <v>34</v>
      </c>
      <c r="C5390" t="s">
        <v>52</v>
      </c>
      <c r="D5390">
        <v>506</v>
      </c>
      <c r="E5390" t="s">
        <v>466</v>
      </c>
    </row>
    <row r="5391" spans="1:5" x14ac:dyDescent="0.35">
      <c r="A5391">
        <v>2013</v>
      </c>
      <c r="B5391" t="s">
        <v>35</v>
      </c>
      <c r="C5391" t="s">
        <v>140</v>
      </c>
      <c r="D5391">
        <v>9</v>
      </c>
      <c r="E5391" t="s">
        <v>328</v>
      </c>
    </row>
    <row r="5392" spans="1:5" x14ac:dyDescent="0.35">
      <c r="A5392">
        <v>2013</v>
      </c>
      <c r="B5392" t="s">
        <v>36</v>
      </c>
      <c r="C5392" t="s">
        <v>53</v>
      </c>
      <c r="D5392">
        <v>90</v>
      </c>
      <c r="E5392" t="s">
        <v>466</v>
      </c>
    </row>
    <row r="5393" spans="1:5" x14ac:dyDescent="0.35">
      <c r="A5393">
        <v>2013</v>
      </c>
      <c r="B5393" t="s">
        <v>34</v>
      </c>
      <c r="C5393" t="s">
        <v>73</v>
      </c>
      <c r="D5393">
        <v>1525</v>
      </c>
      <c r="E5393" t="s">
        <v>467</v>
      </c>
    </row>
    <row r="5394" spans="1:5" x14ac:dyDescent="0.35">
      <c r="A5394">
        <v>2013</v>
      </c>
      <c r="B5394" t="s">
        <v>35</v>
      </c>
      <c r="C5394" t="s">
        <v>54</v>
      </c>
      <c r="D5394">
        <v>58</v>
      </c>
      <c r="E5394" t="s">
        <v>466</v>
      </c>
    </row>
    <row r="5395" spans="1:5" x14ac:dyDescent="0.35">
      <c r="A5395">
        <v>2013</v>
      </c>
      <c r="B5395" t="s">
        <v>35</v>
      </c>
      <c r="C5395" t="s">
        <v>140</v>
      </c>
      <c r="D5395">
        <v>9</v>
      </c>
      <c r="E5395" t="s">
        <v>355</v>
      </c>
    </row>
    <row r="5396" spans="1:5" x14ac:dyDescent="0.35">
      <c r="A5396">
        <v>2013</v>
      </c>
      <c r="B5396" t="s">
        <v>35</v>
      </c>
      <c r="C5396" t="s">
        <v>55</v>
      </c>
      <c r="D5396">
        <v>138</v>
      </c>
      <c r="E5396" t="s">
        <v>466</v>
      </c>
    </row>
    <row r="5397" spans="1:5" x14ac:dyDescent="0.35">
      <c r="A5397">
        <v>2013</v>
      </c>
      <c r="B5397" t="s">
        <v>38</v>
      </c>
      <c r="C5397" t="s">
        <v>20</v>
      </c>
      <c r="D5397">
        <v>444</v>
      </c>
      <c r="E5397" t="s">
        <v>467</v>
      </c>
    </row>
    <row r="5398" spans="1:5" x14ac:dyDescent="0.35">
      <c r="A5398">
        <v>2013</v>
      </c>
      <c r="B5398" t="s">
        <v>36</v>
      </c>
      <c r="C5398" t="s">
        <v>56</v>
      </c>
      <c r="D5398">
        <v>397</v>
      </c>
      <c r="E5398" t="s">
        <v>466</v>
      </c>
    </row>
    <row r="5399" spans="1:5" x14ac:dyDescent="0.35">
      <c r="A5399">
        <v>2013</v>
      </c>
      <c r="B5399" t="s">
        <v>34</v>
      </c>
      <c r="C5399" t="s">
        <v>139</v>
      </c>
      <c r="D5399">
        <v>15</v>
      </c>
      <c r="E5399" t="s">
        <v>328</v>
      </c>
    </row>
    <row r="5400" spans="1:5" x14ac:dyDescent="0.35">
      <c r="A5400">
        <v>2013</v>
      </c>
      <c r="B5400" t="s">
        <v>33</v>
      </c>
      <c r="C5400" t="s">
        <v>57</v>
      </c>
      <c r="D5400">
        <v>36</v>
      </c>
      <c r="E5400" t="s">
        <v>466</v>
      </c>
    </row>
    <row r="5401" spans="1:5" x14ac:dyDescent="0.35">
      <c r="A5401">
        <v>2013</v>
      </c>
      <c r="B5401" t="s">
        <v>33</v>
      </c>
      <c r="C5401" t="s">
        <v>74</v>
      </c>
      <c r="D5401">
        <v>17</v>
      </c>
      <c r="E5401" t="s">
        <v>467</v>
      </c>
    </row>
    <row r="5402" spans="1:5" x14ac:dyDescent="0.35">
      <c r="A5402">
        <v>2013</v>
      </c>
      <c r="B5402" t="s">
        <v>34</v>
      </c>
      <c r="C5402" t="s">
        <v>58</v>
      </c>
      <c r="D5402">
        <v>7</v>
      </c>
      <c r="E5402" t="s">
        <v>466</v>
      </c>
    </row>
    <row r="5403" spans="1:5" x14ac:dyDescent="0.35">
      <c r="A5403">
        <v>2013</v>
      </c>
      <c r="B5403" t="s">
        <v>34</v>
      </c>
      <c r="C5403" t="s">
        <v>139</v>
      </c>
      <c r="D5403">
        <v>14</v>
      </c>
      <c r="E5403" t="s">
        <v>355</v>
      </c>
    </row>
    <row r="5404" spans="1:5" x14ac:dyDescent="0.35">
      <c r="A5404">
        <v>2013</v>
      </c>
      <c r="B5404" t="s">
        <v>38</v>
      </c>
      <c r="C5404" t="s">
        <v>59</v>
      </c>
      <c r="D5404">
        <v>292</v>
      </c>
      <c r="E5404" t="s">
        <v>466</v>
      </c>
    </row>
    <row r="5405" spans="1:5" x14ac:dyDescent="0.35">
      <c r="A5405">
        <v>2013</v>
      </c>
      <c r="B5405" t="s">
        <v>33</v>
      </c>
      <c r="C5405" t="s">
        <v>75</v>
      </c>
      <c r="D5405">
        <v>19</v>
      </c>
      <c r="E5405" t="s">
        <v>467</v>
      </c>
    </row>
    <row r="5406" spans="1:5" x14ac:dyDescent="0.35">
      <c r="A5406">
        <v>2013</v>
      </c>
      <c r="B5406" t="s">
        <v>35</v>
      </c>
      <c r="C5406" t="s">
        <v>214</v>
      </c>
      <c r="D5406">
        <v>15</v>
      </c>
      <c r="E5406" t="s">
        <v>466</v>
      </c>
    </row>
    <row r="5407" spans="1:5" x14ac:dyDescent="0.35">
      <c r="A5407">
        <v>2013</v>
      </c>
      <c r="B5407" t="s">
        <v>36</v>
      </c>
      <c r="C5407" t="s">
        <v>164</v>
      </c>
      <c r="D5407">
        <v>10</v>
      </c>
      <c r="E5407" t="s">
        <v>355</v>
      </c>
    </row>
    <row r="5408" spans="1:5" x14ac:dyDescent="0.35">
      <c r="A5408">
        <v>2013</v>
      </c>
      <c r="B5408" t="s">
        <v>35</v>
      </c>
      <c r="C5408" t="s">
        <v>82</v>
      </c>
      <c r="D5408">
        <v>66</v>
      </c>
      <c r="E5408" t="s">
        <v>466</v>
      </c>
    </row>
    <row r="5409" spans="1:5" x14ac:dyDescent="0.35">
      <c r="A5409">
        <v>2013</v>
      </c>
      <c r="B5409" t="s">
        <v>36</v>
      </c>
      <c r="C5409" t="s">
        <v>76</v>
      </c>
      <c r="D5409">
        <v>52</v>
      </c>
      <c r="E5409" t="s">
        <v>467</v>
      </c>
    </row>
    <row r="5410" spans="1:5" x14ac:dyDescent="0.35">
      <c r="A5410">
        <v>2013</v>
      </c>
      <c r="B5410" t="s">
        <v>38</v>
      </c>
      <c r="C5410" t="s">
        <v>45</v>
      </c>
      <c r="D5410">
        <v>373</v>
      </c>
      <c r="E5410" t="s">
        <v>466</v>
      </c>
    </row>
    <row r="5411" spans="1:5" x14ac:dyDescent="0.35">
      <c r="A5411">
        <v>2013</v>
      </c>
      <c r="B5411" t="s">
        <v>35</v>
      </c>
      <c r="C5411" t="s">
        <v>138</v>
      </c>
      <c r="D5411">
        <v>19</v>
      </c>
      <c r="E5411" t="s">
        <v>328</v>
      </c>
    </row>
    <row r="5412" spans="1:5" x14ac:dyDescent="0.35">
      <c r="A5412">
        <v>2013</v>
      </c>
      <c r="B5412" t="s">
        <v>36</v>
      </c>
      <c r="C5412" t="s">
        <v>84</v>
      </c>
      <c r="D5412">
        <v>71</v>
      </c>
      <c r="E5412" t="s">
        <v>466</v>
      </c>
    </row>
    <row r="5413" spans="1:5" x14ac:dyDescent="0.35">
      <c r="A5413">
        <v>2013</v>
      </c>
      <c r="B5413" t="s">
        <v>33</v>
      </c>
      <c r="C5413" t="s">
        <v>77</v>
      </c>
      <c r="D5413">
        <v>19</v>
      </c>
      <c r="E5413" t="s">
        <v>467</v>
      </c>
    </row>
    <row r="5414" spans="1:5" x14ac:dyDescent="0.35">
      <c r="A5414">
        <v>2013</v>
      </c>
      <c r="B5414" t="s">
        <v>35</v>
      </c>
      <c r="C5414" t="s">
        <v>105</v>
      </c>
      <c r="D5414">
        <v>307</v>
      </c>
      <c r="E5414" t="s">
        <v>466</v>
      </c>
    </row>
    <row r="5415" spans="1:5" x14ac:dyDescent="0.35">
      <c r="A5415">
        <v>2013</v>
      </c>
      <c r="B5415" t="s">
        <v>37</v>
      </c>
      <c r="C5415" t="s">
        <v>137</v>
      </c>
      <c r="E5415" t="s">
        <v>328</v>
      </c>
    </row>
    <row r="5416" spans="1:5" x14ac:dyDescent="0.35">
      <c r="A5416">
        <v>2013</v>
      </c>
      <c r="B5416" t="s">
        <v>35</v>
      </c>
      <c r="C5416" t="s">
        <v>106</v>
      </c>
      <c r="D5416">
        <v>17</v>
      </c>
      <c r="E5416" t="s">
        <v>466</v>
      </c>
    </row>
    <row r="5417" spans="1:5" x14ac:dyDescent="0.35">
      <c r="A5417">
        <v>2013</v>
      </c>
      <c r="B5417" t="s">
        <v>33</v>
      </c>
      <c r="C5417" t="s">
        <v>66</v>
      </c>
      <c r="D5417">
        <v>5</v>
      </c>
      <c r="E5417" t="s">
        <v>467</v>
      </c>
    </row>
    <row r="5418" spans="1:5" x14ac:dyDescent="0.35">
      <c r="A5418">
        <v>2013</v>
      </c>
      <c r="B5418" t="s">
        <v>34</v>
      </c>
      <c r="C5418" t="s">
        <v>22</v>
      </c>
      <c r="D5418">
        <v>5557</v>
      </c>
      <c r="E5418" t="s">
        <v>466</v>
      </c>
    </row>
    <row r="5419" spans="1:5" x14ac:dyDescent="0.35">
      <c r="A5419">
        <v>2013</v>
      </c>
      <c r="B5419" t="s">
        <v>37</v>
      </c>
      <c r="C5419" t="s">
        <v>137</v>
      </c>
      <c r="E5419" t="s">
        <v>355</v>
      </c>
    </row>
    <row r="5420" spans="1:5" x14ac:dyDescent="0.35">
      <c r="A5420">
        <v>2013</v>
      </c>
      <c r="B5420" t="s">
        <v>34</v>
      </c>
      <c r="C5420" t="s">
        <v>107</v>
      </c>
      <c r="D5420">
        <v>225</v>
      </c>
      <c r="E5420" t="s">
        <v>466</v>
      </c>
    </row>
    <row r="5421" spans="1:5" x14ac:dyDescent="0.35">
      <c r="A5421">
        <v>2013</v>
      </c>
      <c r="B5421" t="s">
        <v>35</v>
      </c>
      <c r="C5421" t="s">
        <v>78</v>
      </c>
      <c r="D5421">
        <v>32</v>
      </c>
      <c r="E5421" t="s">
        <v>467</v>
      </c>
    </row>
    <row r="5422" spans="1:5" x14ac:dyDescent="0.35">
      <c r="A5422">
        <v>2013</v>
      </c>
      <c r="B5422" t="s">
        <v>34</v>
      </c>
      <c r="C5422" t="s">
        <v>108</v>
      </c>
      <c r="D5422">
        <v>731</v>
      </c>
      <c r="E5422" t="s">
        <v>466</v>
      </c>
    </row>
    <row r="5423" spans="1:5" x14ac:dyDescent="0.35">
      <c r="A5423">
        <v>2013</v>
      </c>
      <c r="B5423" t="s">
        <v>36</v>
      </c>
      <c r="C5423" t="s">
        <v>14</v>
      </c>
      <c r="D5423">
        <v>160731</v>
      </c>
      <c r="E5423" t="s">
        <v>328</v>
      </c>
    </row>
    <row r="5424" spans="1:5" x14ac:dyDescent="0.35">
      <c r="A5424">
        <v>2013</v>
      </c>
      <c r="B5424" t="s">
        <v>34</v>
      </c>
      <c r="C5424" t="s">
        <v>109</v>
      </c>
      <c r="D5424">
        <v>418</v>
      </c>
      <c r="E5424" t="s">
        <v>466</v>
      </c>
    </row>
    <row r="5425" spans="1:5" x14ac:dyDescent="0.35">
      <c r="A5425">
        <v>2013</v>
      </c>
      <c r="B5425" t="s">
        <v>34</v>
      </c>
      <c r="C5425" t="s">
        <v>80</v>
      </c>
      <c r="E5425" t="s">
        <v>467</v>
      </c>
    </row>
    <row r="5426" spans="1:5" x14ac:dyDescent="0.35">
      <c r="A5426">
        <v>2013</v>
      </c>
      <c r="B5426" t="s">
        <v>35</v>
      </c>
      <c r="C5426" t="s">
        <v>110</v>
      </c>
      <c r="D5426">
        <v>294</v>
      </c>
      <c r="E5426" t="s">
        <v>466</v>
      </c>
    </row>
    <row r="5427" spans="1:5" x14ac:dyDescent="0.35">
      <c r="A5427">
        <v>2013</v>
      </c>
      <c r="B5427" t="s">
        <v>36</v>
      </c>
      <c r="C5427" t="s">
        <v>14</v>
      </c>
      <c r="D5427">
        <v>146170</v>
      </c>
      <c r="E5427" t="s">
        <v>355</v>
      </c>
    </row>
    <row r="5428" spans="1:5" x14ac:dyDescent="0.35">
      <c r="A5428">
        <v>2013</v>
      </c>
      <c r="B5428" t="s">
        <v>34</v>
      </c>
      <c r="C5428" t="s">
        <v>111</v>
      </c>
      <c r="D5428">
        <v>561</v>
      </c>
      <c r="E5428" t="s">
        <v>466</v>
      </c>
    </row>
    <row r="5429" spans="1:5" x14ac:dyDescent="0.35">
      <c r="A5429">
        <v>2013</v>
      </c>
      <c r="B5429" t="s">
        <v>35</v>
      </c>
      <c r="C5429" t="s">
        <v>81</v>
      </c>
      <c r="D5429">
        <v>132</v>
      </c>
      <c r="E5429" t="s">
        <v>467</v>
      </c>
    </row>
    <row r="5430" spans="1:5" x14ac:dyDescent="0.35">
      <c r="A5430">
        <v>2013</v>
      </c>
      <c r="B5430" t="s">
        <v>35</v>
      </c>
      <c r="C5430" t="s">
        <v>112</v>
      </c>
      <c r="D5430">
        <v>840</v>
      </c>
      <c r="E5430" t="s">
        <v>466</v>
      </c>
    </row>
    <row r="5431" spans="1:5" x14ac:dyDescent="0.35">
      <c r="A5431">
        <v>2013</v>
      </c>
      <c r="B5431" t="s">
        <v>33</v>
      </c>
      <c r="C5431" t="s">
        <v>135</v>
      </c>
      <c r="E5431" t="s">
        <v>328</v>
      </c>
    </row>
    <row r="5432" spans="1:5" x14ac:dyDescent="0.35">
      <c r="A5432">
        <v>2013</v>
      </c>
      <c r="B5432" t="s">
        <v>36</v>
      </c>
      <c r="C5432" t="s">
        <v>113</v>
      </c>
      <c r="D5432">
        <v>2771</v>
      </c>
      <c r="E5432" t="s">
        <v>466</v>
      </c>
    </row>
    <row r="5433" spans="1:5" x14ac:dyDescent="0.35">
      <c r="A5433">
        <v>2013</v>
      </c>
      <c r="B5433" t="s">
        <v>35</v>
      </c>
      <c r="C5433" t="s">
        <v>82</v>
      </c>
      <c r="D5433">
        <v>54</v>
      </c>
      <c r="E5433" t="s">
        <v>467</v>
      </c>
    </row>
    <row r="5434" spans="1:5" x14ac:dyDescent="0.35">
      <c r="A5434">
        <v>2013</v>
      </c>
      <c r="B5434" t="s">
        <v>34</v>
      </c>
      <c r="C5434" t="s">
        <v>114</v>
      </c>
      <c r="D5434">
        <v>438</v>
      </c>
      <c r="E5434" t="s">
        <v>466</v>
      </c>
    </row>
    <row r="5435" spans="1:5" x14ac:dyDescent="0.35">
      <c r="A5435">
        <v>2013</v>
      </c>
      <c r="B5435" t="s">
        <v>33</v>
      </c>
      <c r="C5435" t="s">
        <v>135</v>
      </c>
      <c r="E5435" t="s">
        <v>355</v>
      </c>
    </row>
    <row r="5436" spans="1:5" x14ac:dyDescent="0.35">
      <c r="A5436">
        <v>2013</v>
      </c>
      <c r="B5436" t="s">
        <v>34</v>
      </c>
      <c r="C5436" t="s">
        <v>115</v>
      </c>
      <c r="D5436">
        <v>392</v>
      </c>
      <c r="E5436" t="s">
        <v>466</v>
      </c>
    </row>
    <row r="5437" spans="1:5" x14ac:dyDescent="0.35">
      <c r="A5437">
        <v>2013</v>
      </c>
      <c r="B5437" t="s">
        <v>36</v>
      </c>
      <c r="C5437" t="s">
        <v>84</v>
      </c>
      <c r="D5437">
        <v>13</v>
      </c>
      <c r="E5437" t="s">
        <v>467</v>
      </c>
    </row>
    <row r="5438" spans="1:5" x14ac:dyDescent="0.35">
      <c r="A5438">
        <v>2013</v>
      </c>
      <c r="B5438" t="s">
        <v>34</v>
      </c>
      <c r="C5438" t="s">
        <v>116</v>
      </c>
      <c r="D5438">
        <v>96</v>
      </c>
      <c r="E5438" t="s">
        <v>466</v>
      </c>
    </row>
    <row r="5439" spans="1:5" x14ac:dyDescent="0.35">
      <c r="A5439">
        <v>2013</v>
      </c>
      <c r="B5439" t="s">
        <v>37</v>
      </c>
      <c r="C5439" t="s">
        <v>134</v>
      </c>
      <c r="D5439">
        <v>23</v>
      </c>
      <c r="E5439" t="s">
        <v>355</v>
      </c>
    </row>
    <row r="5440" spans="1:5" x14ac:dyDescent="0.35">
      <c r="A5440">
        <v>2013</v>
      </c>
      <c r="B5440" t="s">
        <v>33</v>
      </c>
      <c r="C5440" t="s">
        <v>117</v>
      </c>
      <c r="D5440">
        <v>422</v>
      </c>
      <c r="E5440" t="s">
        <v>466</v>
      </c>
    </row>
    <row r="5441" spans="1:5" x14ac:dyDescent="0.35">
      <c r="A5441">
        <v>2013</v>
      </c>
      <c r="B5441" t="s">
        <v>36</v>
      </c>
      <c r="C5441" t="s">
        <v>85</v>
      </c>
      <c r="D5441">
        <v>401</v>
      </c>
      <c r="E5441" t="s">
        <v>467</v>
      </c>
    </row>
    <row r="5442" spans="1:5" x14ac:dyDescent="0.35">
      <c r="A5442">
        <v>2013</v>
      </c>
      <c r="B5442" t="s">
        <v>34</v>
      </c>
      <c r="C5442" t="s">
        <v>118</v>
      </c>
      <c r="D5442">
        <v>1562</v>
      </c>
      <c r="E5442" t="s">
        <v>466</v>
      </c>
    </row>
    <row r="5443" spans="1:5" x14ac:dyDescent="0.35">
      <c r="A5443">
        <v>2013</v>
      </c>
      <c r="B5443" t="s">
        <v>35</v>
      </c>
      <c r="C5443" t="s">
        <v>138</v>
      </c>
      <c r="D5443">
        <v>20</v>
      </c>
      <c r="E5443" t="s">
        <v>355</v>
      </c>
    </row>
    <row r="5444" spans="1:5" x14ac:dyDescent="0.35">
      <c r="A5444">
        <v>2013</v>
      </c>
      <c r="B5444" t="s">
        <v>35</v>
      </c>
      <c r="C5444" t="s">
        <v>119</v>
      </c>
      <c r="D5444">
        <v>48</v>
      </c>
      <c r="E5444" t="s">
        <v>466</v>
      </c>
    </row>
    <row r="5445" spans="1:5" x14ac:dyDescent="0.35">
      <c r="A5445">
        <v>2013</v>
      </c>
      <c r="B5445" t="s">
        <v>38</v>
      </c>
      <c r="C5445" t="s">
        <v>86</v>
      </c>
      <c r="D5445">
        <v>211</v>
      </c>
      <c r="E5445" t="s">
        <v>467</v>
      </c>
    </row>
    <row r="5446" spans="1:5" x14ac:dyDescent="0.35">
      <c r="A5446">
        <v>2013</v>
      </c>
      <c r="B5446" t="s">
        <v>34</v>
      </c>
      <c r="C5446" t="s">
        <v>120</v>
      </c>
      <c r="D5446">
        <v>76</v>
      </c>
      <c r="E5446" t="s">
        <v>466</v>
      </c>
    </row>
    <row r="5447" spans="1:5" x14ac:dyDescent="0.35">
      <c r="A5447">
        <v>2013</v>
      </c>
      <c r="B5447" t="s">
        <v>36</v>
      </c>
      <c r="C5447" t="s">
        <v>165</v>
      </c>
      <c r="D5447">
        <v>17</v>
      </c>
      <c r="E5447" t="s">
        <v>355</v>
      </c>
    </row>
    <row r="5448" spans="1:5" x14ac:dyDescent="0.35">
      <c r="A5448">
        <v>2013</v>
      </c>
      <c r="B5448" t="s">
        <v>34</v>
      </c>
      <c r="C5448" t="s">
        <v>122</v>
      </c>
      <c r="D5448">
        <v>577</v>
      </c>
      <c r="E5448" t="s">
        <v>466</v>
      </c>
    </row>
    <row r="5449" spans="1:5" x14ac:dyDescent="0.35">
      <c r="A5449">
        <v>2013</v>
      </c>
      <c r="B5449" t="s">
        <v>33</v>
      </c>
      <c r="C5449" t="s">
        <v>87</v>
      </c>
      <c r="D5449">
        <v>121</v>
      </c>
      <c r="E5449" t="s">
        <v>467</v>
      </c>
    </row>
    <row r="5450" spans="1:5" x14ac:dyDescent="0.35">
      <c r="A5450">
        <v>2013</v>
      </c>
      <c r="B5450" t="s">
        <v>35</v>
      </c>
      <c r="C5450" t="s">
        <v>123</v>
      </c>
      <c r="D5450">
        <v>118</v>
      </c>
      <c r="E5450" t="s">
        <v>466</v>
      </c>
    </row>
    <row r="5451" spans="1:5" x14ac:dyDescent="0.35">
      <c r="A5451">
        <v>2013</v>
      </c>
      <c r="B5451" t="s">
        <v>36</v>
      </c>
      <c r="C5451" t="s">
        <v>165</v>
      </c>
      <c r="D5451">
        <v>5</v>
      </c>
      <c r="E5451" t="s">
        <v>328</v>
      </c>
    </row>
    <row r="5452" spans="1:5" x14ac:dyDescent="0.35">
      <c r="A5452">
        <v>2013</v>
      </c>
      <c r="B5452" t="s">
        <v>34</v>
      </c>
      <c r="C5452" t="s">
        <v>124</v>
      </c>
      <c r="D5452">
        <v>268</v>
      </c>
      <c r="E5452" t="s">
        <v>466</v>
      </c>
    </row>
    <row r="5453" spans="1:5" x14ac:dyDescent="0.35">
      <c r="A5453">
        <v>2013</v>
      </c>
      <c r="B5453" t="s">
        <v>36</v>
      </c>
      <c r="C5453" t="s">
        <v>147</v>
      </c>
      <c r="D5453">
        <v>107</v>
      </c>
      <c r="E5453" t="s">
        <v>467</v>
      </c>
    </row>
    <row r="5454" spans="1:5" x14ac:dyDescent="0.35">
      <c r="A5454">
        <v>2013</v>
      </c>
      <c r="B5454" t="s">
        <v>33</v>
      </c>
      <c r="C5454" t="s">
        <v>83</v>
      </c>
      <c r="E5454" t="s">
        <v>466</v>
      </c>
    </row>
    <row r="5455" spans="1:5" x14ac:dyDescent="0.35">
      <c r="A5455">
        <v>2013</v>
      </c>
      <c r="B5455" t="s">
        <v>37</v>
      </c>
      <c r="C5455" t="s">
        <v>166</v>
      </c>
      <c r="D5455">
        <v>6</v>
      </c>
      <c r="E5455" t="s">
        <v>355</v>
      </c>
    </row>
    <row r="5456" spans="1:5" x14ac:dyDescent="0.35">
      <c r="A5456">
        <v>2013</v>
      </c>
      <c r="B5456" t="s">
        <v>36</v>
      </c>
      <c r="C5456" t="s">
        <v>17</v>
      </c>
      <c r="D5456">
        <v>65965</v>
      </c>
      <c r="E5456" t="s">
        <v>466</v>
      </c>
    </row>
    <row r="5457" spans="1:5" x14ac:dyDescent="0.35">
      <c r="A5457">
        <v>2013</v>
      </c>
      <c r="B5457" t="s">
        <v>33</v>
      </c>
      <c r="C5457" t="s">
        <v>89</v>
      </c>
      <c r="D5457">
        <v>10</v>
      </c>
      <c r="E5457" t="s">
        <v>467</v>
      </c>
    </row>
    <row r="5458" spans="1:5" x14ac:dyDescent="0.35">
      <c r="A5458">
        <v>2013</v>
      </c>
      <c r="B5458" t="s">
        <v>36</v>
      </c>
      <c r="C5458" t="s">
        <v>104</v>
      </c>
      <c r="D5458">
        <v>3435</v>
      </c>
      <c r="E5458" t="s">
        <v>466</v>
      </c>
    </row>
    <row r="5459" spans="1:5" x14ac:dyDescent="0.35">
      <c r="A5459">
        <v>2013</v>
      </c>
      <c r="B5459" t="s">
        <v>33</v>
      </c>
      <c r="C5459" t="s">
        <v>195</v>
      </c>
      <c r="D5459">
        <v>10</v>
      </c>
      <c r="E5459" t="s">
        <v>328</v>
      </c>
    </row>
    <row r="5460" spans="1:5" x14ac:dyDescent="0.35">
      <c r="A5460">
        <v>2013</v>
      </c>
      <c r="B5460" t="s">
        <v>34</v>
      </c>
      <c r="C5460" t="s">
        <v>121</v>
      </c>
      <c r="D5460">
        <v>95</v>
      </c>
      <c r="E5460" t="s">
        <v>466</v>
      </c>
    </row>
    <row r="5461" spans="1:5" x14ac:dyDescent="0.35">
      <c r="A5461">
        <v>2013</v>
      </c>
      <c r="B5461" t="s">
        <v>35</v>
      </c>
      <c r="C5461" t="s">
        <v>90</v>
      </c>
      <c r="D5461">
        <v>27</v>
      </c>
      <c r="E5461" t="s">
        <v>467</v>
      </c>
    </row>
    <row r="5462" spans="1:5" x14ac:dyDescent="0.35">
      <c r="A5462">
        <v>2013</v>
      </c>
      <c r="B5462" t="s">
        <v>33</v>
      </c>
      <c r="C5462" t="s">
        <v>102</v>
      </c>
      <c r="E5462" t="s">
        <v>466</v>
      </c>
    </row>
    <row r="5463" spans="1:5" x14ac:dyDescent="0.35">
      <c r="A5463">
        <v>2013</v>
      </c>
      <c r="B5463" t="s">
        <v>33</v>
      </c>
      <c r="C5463" t="s">
        <v>195</v>
      </c>
      <c r="D5463">
        <v>9</v>
      </c>
      <c r="E5463" t="s">
        <v>355</v>
      </c>
    </row>
    <row r="5464" spans="1:5" x14ac:dyDescent="0.35">
      <c r="A5464">
        <v>2013</v>
      </c>
      <c r="B5464" t="s">
        <v>38</v>
      </c>
      <c r="C5464" t="s">
        <v>103</v>
      </c>
      <c r="D5464">
        <v>406</v>
      </c>
      <c r="E5464" t="s">
        <v>466</v>
      </c>
    </row>
    <row r="5465" spans="1:5" x14ac:dyDescent="0.35">
      <c r="A5465">
        <v>2013</v>
      </c>
      <c r="B5465" t="s">
        <v>36</v>
      </c>
      <c r="C5465" t="s">
        <v>79</v>
      </c>
      <c r="D5465">
        <v>73</v>
      </c>
      <c r="E5465" t="s">
        <v>467</v>
      </c>
    </row>
    <row r="5466" spans="1:5" x14ac:dyDescent="0.35">
      <c r="A5466">
        <v>2013</v>
      </c>
      <c r="B5466" t="s">
        <v>38</v>
      </c>
      <c r="C5466" t="s">
        <v>86</v>
      </c>
      <c r="D5466">
        <v>6032</v>
      </c>
      <c r="E5466" t="s">
        <v>466</v>
      </c>
    </row>
    <row r="5467" spans="1:5" x14ac:dyDescent="0.35">
      <c r="A5467">
        <v>2013</v>
      </c>
      <c r="B5467" t="s">
        <v>34</v>
      </c>
      <c r="C5467" t="s">
        <v>194</v>
      </c>
      <c r="E5467" t="s">
        <v>328</v>
      </c>
    </row>
    <row r="5468" spans="1:5" x14ac:dyDescent="0.35">
      <c r="A5468">
        <v>2013</v>
      </c>
      <c r="B5468" t="s">
        <v>36</v>
      </c>
      <c r="C5468" t="s">
        <v>16</v>
      </c>
      <c r="D5468">
        <v>52389</v>
      </c>
      <c r="E5468" t="s">
        <v>466</v>
      </c>
    </row>
    <row r="5469" spans="1:5" x14ac:dyDescent="0.35">
      <c r="A5469">
        <v>2013</v>
      </c>
      <c r="B5469" t="s">
        <v>33</v>
      </c>
      <c r="C5469" t="s">
        <v>91</v>
      </c>
      <c r="D5469">
        <v>40</v>
      </c>
      <c r="E5469" t="s">
        <v>467</v>
      </c>
    </row>
    <row r="5470" spans="1:5" x14ac:dyDescent="0.35">
      <c r="A5470">
        <v>2013</v>
      </c>
      <c r="B5470" t="s">
        <v>33</v>
      </c>
      <c r="C5470" t="s">
        <v>88</v>
      </c>
      <c r="D5470">
        <v>4</v>
      </c>
      <c r="E5470" t="s">
        <v>466</v>
      </c>
    </row>
    <row r="5471" spans="1:5" x14ac:dyDescent="0.35">
      <c r="A5471">
        <v>2013</v>
      </c>
      <c r="B5471" t="s">
        <v>34</v>
      </c>
      <c r="C5471" t="s">
        <v>194</v>
      </c>
      <c r="E5471" t="s">
        <v>355</v>
      </c>
    </row>
    <row r="5472" spans="1:5" x14ac:dyDescent="0.35">
      <c r="A5472">
        <v>2013</v>
      </c>
      <c r="B5472" t="s">
        <v>33</v>
      </c>
      <c r="C5472" t="s">
        <v>89</v>
      </c>
      <c r="D5472">
        <v>180</v>
      </c>
      <c r="E5472" t="s">
        <v>466</v>
      </c>
    </row>
    <row r="5473" spans="1:5" x14ac:dyDescent="0.35">
      <c r="A5473">
        <v>2013</v>
      </c>
      <c r="B5473" t="s">
        <v>33</v>
      </c>
      <c r="C5473" t="s">
        <v>65</v>
      </c>
      <c r="D5473">
        <v>12</v>
      </c>
      <c r="E5473" t="s">
        <v>467</v>
      </c>
    </row>
    <row r="5474" spans="1:5" x14ac:dyDescent="0.35">
      <c r="A5474">
        <v>2013</v>
      </c>
      <c r="B5474" t="s">
        <v>35</v>
      </c>
      <c r="C5474" t="s">
        <v>90</v>
      </c>
      <c r="D5474">
        <v>56</v>
      </c>
      <c r="E5474" t="s">
        <v>466</v>
      </c>
    </row>
    <row r="5475" spans="1:5" x14ac:dyDescent="0.35">
      <c r="A5475">
        <v>2013</v>
      </c>
      <c r="B5475" t="s">
        <v>34</v>
      </c>
      <c r="C5475" t="s">
        <v>193</v>
      </c>
      <c r="D5475">
        <v>64</v>
      </c>
      <c r="E5475" t="s">
        <v>328</v>
      </c>
    </row>
    <row r="5476" spans="1:5" x14ac:dyDescent="0.35">
      <c r="A5476">
        <v>2013</v>
      </c>
      <c r="B5476" t="s">
        <v>33</v>
      </c>
      <c r="C5476" t="s">
        <v>91</v>
      </c>
      <c r="D5476">
        <v>386</v>
      </c>
      <c r="E5476" t="s">
        <v>466</v>
      </c>
    </row>
    <row r="5477" spans="1:5" x14ac:dyDescent="0.35">
      <c r="A5477">
        <v>2013</v>
      </c>
      <c r="B5477" t="s">
        <v>33</v>
      </c>
      <c r="C5477" t="s">
        <v>63</v>
      </c>
      <c r="D5477">
        <v>12</v>
      </c>
      <c r="E5477" t="s">
        <v>467</v>
      </c>
    </row>
    <row r="5478" spans="1:5" x14ac:dyDescent="0.35">
      <c r="A5478">
        <v>2013</v>
      </c>
      <c r="B5478" t="s">
        <v>37</v>
      </c>
      <c r="C5478" t="s">
        <v>92</v>
      </c>
      <c r="D5478">
        <v>117</v>
      </c>
      <c r="E5478" t="s">
        <v>466</v>
      </c>
    </row>
    <row r="5479" spans="1:5" x14ac:dyDescent="0.35">
      <c r="A5479">
        <v>2013</v>
      </c>
      <c r="B5479" t="s">
        <v>34</v>
      </c>
      <c r="C5479" t="s">
        <v>193</v>
      </c>
      <c r="D5479">
        <v>29</v>
      </c>
      <c r="E5479" t="s">
        <v>355</v>
      </c>
    </row>
    <row r="5480" spans="1:5" x14ac:dyDescent="0.35">
      <c r="A5480">
        <v>2013</v>
      </c>
      <c r="B5480" t="s">
        <v>35</v>
      </c>
      <c r="C5480" t="s">
        <v>93</v>
      </c>
      <c r="D5480">
        <v>43</v>
      </c>
      <c r="E5480" t="s">
        <v>466</v>
      </c>
    </row>
    <row r="5481" spans="1:5" x14ac:dyDescent="0.35">
      <c r="A5481">
        <v>2013</v>
      </c>
      <c r="B5481" t="s">
        <v>35</v>
      </c>
      <c r="C5481" t="s">
        <v>41</v>
      </c>
      <c r="D5481">
        <v>23</v>
      </c>
      <c r="E5481" t="s">
        <v>467</v>
      </c>
    </row>
    <row r="5482" spans="1:5" x14ac:dyDescent="0.35">
      <c r="A5482">
        <v>2013</v>
      </c>
      <c r="B5482" t="s">
        <v>33</v>
      </c>
      <c r="C5482" t="s">
        <v>87</v>
      </c>
      <c r="D5482">
        <v>432</v>
      </c>
      <c r="E5482" t="s">
        <v>466</v>
      </c>
    </row>
    <row r="5483" spans="1:5" x14ac:dyDescent="0.35">
      <c r="A5483">
        <v>2013</v>
      </c>
      <c r="B5483" t="s">
        <v>33</v>
      </c>
      <c r="C5483" t="s">
        <v>192</v>
      </c>
      <c r="D5483">
        <v>7</v>
      </c>
      <c r="E5483" t="s">
        <v>328</v>
      </c>
    </row>
    <row r="5484" spans="1:5" x14ac:dyDescent="0.35">
      <c r="A5484">
        <v>2013</v>
      </c>
      <c r="B5484" t="s">
        <v>33</v>
      </c>
      <c r="C5484" t="s">
        <v>95</v>
      </c>
      <c r="D5484">
        <v>18</v>
      </c>
      <c r="E5484" t="s">
        <v>466</v>
      </c>
    </row>
    <row r="5485" spans="1:5" x14ac:dyDescent="0.35">
      <c r="A5485">
        <v>2013</v>
      </c>
      <c r="B5485" t="s">
        <v>33</v>
      </c>
      <c r="C5485" t="s">
        <v>42</v>
      </c>
      <c r="D5485">
        <v>39</v>
      </c>
      <c r="E5485" t="s">
        <v>467</v>
      </c>
    </row>
    <row r="5486" spans="1:5" x14ac:dyDescent="0.35">
      <c r="A5486">
        <v>2013</v>
      </c>
      <c r="B5486" t="s">
        <v>33</v>
      </c>
      <c r="C5486" t="s">
        <v>101</v>
      </c>
      <c r="D5486">
        <v>144</v>
      </c>
      <c r="E5486" t="s">
        <v>466</v>
      </c>
    </row>
    <row r="5487" spans="1:5" x14ac:dyDescent="0.35">
      <c r="A5487">
        <v>2013</v>
      </c>
      <c r="B5487" t="s">
        <v>33</v>
      </c>
      <c r="C5487" t="s">
        <v>192</v>
      </c>
      <c r="D5487">
        <v>7</v>
      </c>
      <c r="E5487" t="s">
        <v>355</v>
      </c>
    </row>
    <row r="5488" spans="1:5" x14ac:dyDescent="0.35">
      <c r="A5488">
        <v>2013</v>
      </c>
      <c r="B5488" t="s">
        <v>35</v>
      </c>
      <c r="C5488" t="s">
        <v>94</v>
      </c>
      <c r="D5488">
        <v>788</v>
      </c>
      <c r="E5488" t="s">
        <v>466</v>
      </c>
    </row>
    <row r="5489" spans="1:5" x14ac:dyDescent="0.35">
      <c r="A5489">
        <v>2013</v>
      </c>
      <c r="C5489" t="s">
        <v>373</v>
      </c>
      <c r="D5489">
        <v>62</v>
      </c>
      <c r="E5489" t="s">
        <v>467</v>
      </c>
    </row>
    <row r="5490" spans="1:5" x14ac:dyDescent="0.35">
      <c r="A5490">
        <v>2013</v>
      </c>
      <c r="B5490" t="s">
        <v>36</v>
      </c>
      <c r="C5490" t="s">
        <v>15</v>
      </c>
      <c r="D5490">
        <v>75041</v>
      </c>
      <c r="E5490" t="s">
        <v>466</v>
      </c>
    </row>
    <row r="5491" spans="1:5" x14ac:dyDescent="0.35">
      <c r="A5491">
        <v>2013</v>
      </c>
      <c r="B5491" t="s">
        <v>36</v>
      </c>
      <c r="C5491" t="s">
        <v>191</v>
      </c>
      <c r="D5491">
        <v>43</v>
      </c>
      <c r="E5491" t="s">
        <v>328</v>
      </c>
    </row>
    <row r="5492" spans="1:5" x14ac:dyDescent="0.35">
      <c r="A5492">
        <v>2013</v>
      </c>
      <c r="B5492" t="s">
        <v>36</v>
      </c>
      <c r="C5492" t="s">
        <v>100</v>
      </c>
      <c r="D5492">
        <v>66</v>
      </c>
      <c r="E5492" t="s">
        <v>466</v>
      </c>
    </row>
    <row r="5493" spans="1:5" x14ac:dyDescent="0.35">
      <c r="A5493">
        <v>2013</v>
      </c>
      <c r="B5493" t="s">
        <v>33</v>
      </c>
      <c r="C5493" t="s">
        <v>43</v>
      </c>
      <c r="D5493">
        <v>17</v>
      </c>
      <c r="E5493" t="s">
        <v>467</v>
      </c>
    </row>
    <row r="5494" spans="1:5" x14ac:dyDescent="0.35">
      <c r="A5494">
        <v>2013</v>
      </c>
      <c r="B5494" t="s">
        <v>35</v>
      </c>
      <c r="C5494" t="s">
        <v>99</v>
      </c>
      <c r="D5494">
        <v>168</v>
      </c>
      <c r="E5494" t="s">
        <v>466</v>
      </c>
    </row>
    <row r="5495" spans="1:5" x14ac:dyDescent="0.35">
      <c r="A5495">
        <v>2013</v>
      </c>
      <c r="B5495" t="s">
        <v>36</v>
      </c>
      <c r="C5495" t="s">
        <v>191</v>
      </c>
      <c r="D5495">
        <v>136</v>
      </c>
      <c r="E5495" t="s">
        <v>355</v>
      </c>
    </row>
    <row r="5496" spans="1:5" x14ac:dyDescent="0.35">
      <c r="A5496">
        <v>2013</v>
      </c>
      <c r="B5496" t="s">
        <v>36</v>
      </c>
      <c r="C5496" t="s">
        <v>85</v>
      </c>
      <c r="D5496">
        <v>5201</v>
      </c>
      <c r="E5496" t="s">
        <v>466</v>
      </c>
    </row>
    <row r="5497" spans="1:5" x14ac:dyDescent="0.35">
      <c r="A5497">
        <v>2013</v>
      </c>
      <c r="B5497" t="s">
        <v>36</v>
      </c>
      <c r="C5497" t="s">
        <v>44</v>
      </c>
      <c r="D5497">
        <v>7</v>
      </c>
      <c r="E5497" t="s">
        <v>467</v>
      </c>
    </row>
    <row r="5498" spans="1:5" x14ac:dyDescent="0.35">
      <c r="A5498">
        <v>2013</v>
      </c>
      <c r="B5498" t="s">
        <v>35</v>
      </c>
      <c r="C5498" t="s">
        <v>97</v>
      </c>
      <c r="D5498">
        <v>733</v>
      </c>
      <c r="E5498" t="s">
        <v>466</v>
      </c>
    </row>
    <row r="5499" spans="1:5" x14ac:dyDescent="0.35">
      <c r="A5499">
        <v>2013</v>
      </c>
      <c r="B5499" t="s">
        <v>37</v>
      </c>
      <c r="C5499" t="s">
        <v>190</v>
      </c>
      <c r="D5499">
        <v>3</v>
      </c>
      <c r="E5499" t="s">
        <v>328</v>
      </c>
    </row>
    <row r="5500" spans="1:5" x14ac:dyDescent="0.35">
      <c r="A5500">
        <v>2013</v>
      </c>
      <c r="B5500" t="s">
        <v>34</v>
      </c>
      <c r="C5500" t="s">
        <v>8</v>
      </c>
      <c r="D5500">
        <v>79</v>
      </c>
      <c r="E5500" t="s">
        <v>466</v>
      </c>
    </row>
    <row r="5501" spans="1:5" x14ac:dyDescent="0.35">
      <c r="A5501">
        <v>2013</v>
      </c>
      <c r="B5501" t="s">
        <v>38</v>
      </c>
      <c r="C5501" t="s">
        <v>45</v>
      </c>
      <c r="D5501">
        <v>68</v>
      </c>
      <c r="E5501" t="s">
        <v>467</v>
      </c>
    </row>
    <row r="5502" spans="1:5" x14ac:dyDescent="0.35">
      <c r="A5502">
        <v>2013</v>
      </c>
      <c r="B5502" t="s">
        <v>33</v>
      </c>
      <c r="C5502" t="s">
        <v>96</v>
      </c>
      <c r="D5502">
        <v>132</v>
      </c>
      <c r="E5502" t="s">
        <v>466</v>
      </c>
    </row>
    <row r="5503" spans="1:5" x14ac:dyDescent="0.35">
      <c r="A5503">
        <v>2013</v>
      </c>
      <c r="B5503" t="s">
        <v>37</v>
      </c>
      <c r="C5503" t="s">
        <v>190</v>
      </c>
      <c r="D5503">
        <v>19</v>
      </c>
      <c r="E5503" t="s">
        <v>355</v>
      </c>
    </row>
    <row r="5504" spans="1:5" x14ac:dyDescent="0.35">
      <c r="A5504">
        <v>2013</v>
      </c>
      <c r="B5504" t="s">
        <v>33</v>
      </c>
      <c r="C5504" t="s">
        <v>98</v>
      </c>
      <c r="D5504">
        <v>578</v>
      </c>
      <c r="E5504" t="s">
        <v>466</v>
      </c>
    </row>
    <row r="5505" spans="1:5" x14ac:dyDescent="0.35">
      <c r="A5505">
        <v>2013</v>
      </c>
      <c r="B5505" t="s">
        <v>34</v>
      </c>
      <c r="C5505" t="s">
        <v>46</v>
      </c>
      <c r="D5505">
        <v>7</v>
      </c>
      <c r="E5505" t="s">
        <v>467</v>
      </c>
    </row>
    <row r="5506" spans="1:5" x14ac:dyDescent="0.35">
      <c r="A5506">
        <v>2013</v>
      </c>
      <c r="B5506" t="s">
        <v>33</v>
      </c>
      <c r="C5506" t="s">
        <v>189</v>
      </c>
      <c r="E5506" t="s">
        <v>328</v>
      </c>
    </row>
    <row r="5507" spans="1:5" x14ac:dyDescent="0.35">
      <c r="A5507">
        <v>2013</v>
      </c>
      <c r="B5507" t="s">
        <v>37</v>
      </c>
      <c r="C5507" t="s">
        <v>47</v>
      </c>
      <c r="D5507">
        <v>389</v>
      </c>
      <c r="E5507" t="s">
        <v>467</v>
      </c>
    </row>
    <row r="5508" spans="1:5" x14ac:dyDescent="0.35">
      <c r="A5508">
        <v>2013</v>
      </c>
      <c r="B5508" t="s">
        <v>33</v>
      </c>
      <c r="C5508" t="s">
        <v>189</v>
      </c>
      <c r="E5508" t="s">
        <v>355</v>
      </c>
    </row>
    <row r="5509" spans="1:5" x14ac:dyDescent="0.35">
      <c r="A5509">
        <v>2013</v>
      </c>
      <c r="B5509" t="s">
        <v>35</v>
      </c>
      <c r="C5509" t="s">
        <v>48</v>
      </c>
      <c r="D5509">
        <v>46</v>
      </c>
      <c r="E5509" t="s">
        <v>467</v>
      </c>
    </row>
    <row r="5510" spans="1:5" x14ac:dyDescent="0.35">
      <c r="A5510">
        <v>2013</v>
      </c>
      <c r="B5510" t="s">
        <v>34</v>
      </c>
      <c r="C5510" t="s">
        <v>188</v>
      </c>
      <c r="D5510">
        <v>42</v>
      </c>
      <c r="E5510" t="s">
        <v>328</v>
      </c>
    </row>
    <row r="5511" spans="1:5" x14ac:dyDescent="0.35">
      <c r="A5511">
        <v>2013</v>
      </c>
      <c r="B5511" t="s">
        <v>34</v>
      </c>
      <c r="C5511" t="s">
        <v>49</v>
      </c>
      <c r="D5511">
        <v>7</v>
      </c>
      <c r="E5511" t="s">
        <v>467</v>
      </c>
    </row>
    <row r="5512" spans="1:5" x14ac:dyDescent="0.35">
      <c r="A5512">
        <v>2013</v>
      </c>
      <c r="B5512" t="s">
        <v>35</v>
      </c>
      <c r="C5512" t="s">
        <v>196</v>
      </c>
      <c r="D5512">
        <v>75</v>
      </c>
      <c r="E5512" t="s">
        <v>355</v>
      </c>
    </row>
    <row r="5513" spans="1:5" x14ac:dyDescent="0.35">
      <c r="A5513">
        <v>2013</v>
      </c>
      <c r="B5513" t="s">
        <v>34</v>
      </c>
      <c r="C5513" t="s">
        <v>64</v>
      </c>
      <c r="D5513">
        <v>5</v>
      </c>
      <c r="E5513" t="s">
        <v>467</v>
      </c>
    </row>
    <row r="5514" spans="1:5" x14ac:dyDescent="0.35">
      <c r="A5514">
        <v>2013</v>
      </c>
      <c r="B5514" t="s">
        <v>35</v>
      </c>
      <c r="C5514" t="s">
        <v>196</v>
      </c>
      <c r="D5514">
        <v>47</v>
      </c>
      <c r="E5514" t="s">
        <v>328</v>
      </c>
    </row>
    <row r="5515" spans="1:5" x14ac:dyDescent="0.35">
      <c r="A5515">
        <v>2013</v>
      </c>
      <c r="B5515" t="s">
        <v>36</v>
      </c>
      <c r="C5515" t="s">
        <v>50</v>
      </c>
      <c r="D5515">
        <v>486</v>
      </c>
      <c r="E5515" t="s">
        <v>467</v>
      </c>
    </row>
    <row r="5516" spans="1:5" x14ac:dyDescent="0.35">
      <c r="A5516">
        <v>2013</v>
      </c>
      <c r="B5516" t="s">
        <v>35</v>
      </c>
      <c r="C5516" t="s">
        <v>198</v>
      </c>
      <c r="D5516">
        <v>171</v>
      </c>
      <c r="E5516" t="s">
        <v>355</v>
      </c>
    </row>
    <row r="5517" spans="1:5" x14ac:dyDescent="0.35">
      <c r="A5517">
        <v>2013</v>
      </c>
      <c r="B5517" t="s">
        <v>34</v>
      </c>
      <c r="C5517" t="s">
        <v>52</v>
      </c>
      <c r="D5517">
        <v>83</v>
      </c>
      <c r="E5517" t="s">
        <v>467</v>
      </c>
    </row>
    <row r="5518" spans="1:5" x14ac:dyDescent="0.35">
      <c r="A5518">
        <v>2013</v>
      </c>
      <c r="B5518" t="s">
        <v>35</v>
      </c>
      <c r="C5518" t="s">
        <v>198</v>
      </c>
      <c r="D5518">
        <v>100</v>
      </c>
      <c r="E5518" t="s">
        <v>328</v>
      </c>
    </row>
    <row r="5519" spans="1:5" x14ac:dyDescent="0.35">
      <c r="A5519">
        <v>2013</v>
      </c>
      <c r="B5519" t="s">
        <v>36</v>
      </c>
      <c r="C5519" t="s">
        <v>53</v>
      </c>
      <c r="D5519">
        <v>23</v>
      </c>
      <c r="E5519" t="s">
        <v>467</v>
      </c>
    </row>
    <row r="5520" spans="1:5" x14ac:dyDescent="0.35">
      <c r="A5520">
        <v>2013</v>
      </c>
      <c r="B5520" t="s">
        <v>33</v>
      </c>
      <c r="C5520" t="s">
        <v>204</v>
      </c>
      <c r="D5520">
        <v>6</v>
      </c>
      <c r="E5520" t="s">
        <v>328</v>
      </c>
    </row>
    <row r="5521" spans="1:5" x14ac:dyDescent="0.35">
      <c r="A5521">
        <v>2013</v>
      </c>
      <c r="B5521" t="s">
        <v>35</v>
      </c>
      <c r="C5521" t="s">
        <v>54</v>
      </c>
      <c r="D5521">
        <v>12</v>
      </c>
      <c r="E5521" t="s">
        <v>467</v>
      </c>
    </row>
    <row r="5522" spans="1:5" x14ac:dyDescent="0.35">
      <c r="A5522">
        <v>2013</v>
      </c>
      <c r="B5522" t="s">
        <v>33</v>
      </c>
      <c r="C5522" t="s">
        <v>204</v>
      </c>
      <c r="D5522">
        <v>8</v>
      </c>
      <c r="E5522" t="s">
        <v>355</v>
      </c>
    </row>
    <row r="5523" spans="1:5" x14ac:dyDescent="0.35">
      <c r="A5523">
        <v>2013</v>
      </c>
      <c r="B5523" t="s">
        <v>35</v>
      </c>
      <c r="C5523" t="s">
        <v>55</v>
      </c>
      <c r="D5523">
        <v>95</v>
      </c>
      <c r="E5523" t="s">
        <v>467</v>
      </c>
    </row>
    <row r="5524" spans="1:5" x14ac:dyDescent="0.35">
      <c r="A5524">
        <v>2013</v>
      </c>
      <c r="B5524" t="s">
        <v>33</v>
      </c>
      <c r="C5524" t="s">
        <v>203</v>
      </c>
      <c r="E5524" t="s">
        <v>328</v>
      </c>
    </row>
    <row r="5525" spans="1:5" x14ac:dyDescent="0.35">
      <c r="A5525">
        <v>2013</v>
      </c>
      <c r="B5525" t="s">
        <v>36</v>
      </c>
      <c r="C5525" t="s">
        <v>56</v>
      </c>
      <c r="D5525">
        <v>35</v>
      </c>
      <c r="E5525" t="s">
        <v>467</v>
      </c>
    </row>
    <row r="5526" spans="1:5" x14ac:dyDescent="0.35">
      <c r="A5526">
        <v>2013</v>
      </c>
      <c r="B5526" t="s">
        <v>33</v>
      </c>
      <c r="C5526" t="s">
        <v>203</v>
      </c>
      <c r="E5526" t="s">
        <v>355</v>
      </c>
    </row>
    <row r="5527" spans="1:5" x14ac:dyDescent="0.35">
      <c r="A5527">
        <v>2013</v>
      </c>
      <c r="B5527" t="s">
        <v>33</v>
      </c>
      <c r="C5527" t="s">
        <v>57</v>
      </c>
      <c r="D5527">
        <v>19</v>
      </c>
      <c r="E5527" t="s">
        <v>467</v>
      </c>
    </row>
    <row r="5528" spans="1:5" x14ac:dyDescent="0.35">
      <c r="A5528">
        <v>2013</v>
      </c>
      <c r="B5528" t="s">
        <v>34</v>
      </c>
      <c r="C5528" t="s">
        <v>202</v>
      </c>
      <c r="D5528">
        <v>10</v>
      </c>
      <c r="E5528" t="s">
        <v>328</v>
      </c>
    </row>
    <row r="5529" spans="1:5" x14ac:dyDescent="0.35">
      <c r="A5529">
        <v>2013</v>
      </c>
      <c r="B5529" t="s">
        <v>38</v>
      </c>
      <c r="C5529" t="s">
        <v>59</v>
      </c>
      <c r="D5529">
        <v>46</v>
      </c>
      <c r="E5529" t="s">
        <v>467</v>
      </c>
    </row>
    <row r="5530" spans="1:5" x14ac:dyDescent="0.35">
      <c r="A5530">
        <v>2013</v>
      </c>
      <c r="B5530" t="s">
        <v>34</v>
      </c>
      <c r="C5530" t="s">
        <v>202</v>
      </c>
      <c r="D5530">
        <v>9</v>
      </c>
      <c r="E5530" t="s">
        <v>355</v>
      </c>
    </row>
    <row r="5531" spans="1:5" x14ac:dyDescent="0.35">
      <c r="A5531">
        <v>2013</v>
      </c>
      <c r="B5531" t="s">
        <v>35</v>
      </c>
      <c r="C5531" t="s">
        <v>60</v>
      </c>
      <c r="D5531">
        <v>9</v>
      </c>
      <c r="E5531" t="s">
        <v>467</v>
      </c>
    </row>
    <row r="5532" spans="1:5" x14ac:dyDescent="0.35">
      <c r="A5532">
        <v>2013</v>
      </c>
      <c r="B5532" t="s">
        <v>34</v>
      </c>
      <c r="C5532" t="s">
        <v>201</v>
      </c>
      <c r="D5532">
        <v>27</v>
      </c>
      <c r="E5532" t="s">
        <v>328</v>
      </c>
    </row>
    <row r="5533" spans="1:5" x14ac:dyDescent="0.35">
      <c r="A5533">
        <v>2013</v>
      </c>
      <c r="B5533" t="s">
        <v>38</v>
      </c>
      <c r="C5533" t="s">
        <v>21</v>
      </c>
      <c r="D5533">
        <v>512</v>
      </c>
      <c r="E5533" t="s">
        <v>467</v>
      </c>
    </row>
    <row r="5534" spans="1:5" x14ac:dyDescent="0.35">
      <c r="A5534">
        <v>2013</v>
      </c>
      <c r="B5534" t="s">
        <v>34</v>
      </c>
      <c r="C5534" t="s">
        <v>188</v>
      </c>
      <c r="D5534">
        <v>19</v>
      </c>
      <c r="E5534" t="s">
        <v>355</v>
      </c>
    </row>
    <row r="5535" spans="1:5" x14ac:dyDescent="0.35">
      <c r="A5535">
        <v>2013</v>
      </c>
      <c r="B5535" t="s">
        <v>35</v>
      </c>
      <c r="C5535" t="s">
        <v>62</v>
      </c>
      <c r="D5535">
        <v>36</v>
      </c>
      <c r="E5535" t="s">
        <v>467</v>
      </c>
    </row>
    <row r="5536" spans="1:5" x14ac:dyDescent="0.35">
      <c r="A5536">
        <v>2013</v>
      </c>
      <c r="B5536" t="s">
        <v>34</v>
      </c>
      <c r="C5536" t="s">
        <v>201</v>
      </c>
      <c r="D5536">
        <v>40</v>
      </c>
      <c r="E5536" t="s">
        <v>355</v>
      </c>
    </row>
    <row r="5537" spans="1:5" x14ac:dyDescent="0.35">
      <c r="A5537">
        <v>2013</v>
      </c>
      <c r="B5537" t="s">
        <v>34</v>
      </c>
      <c r="C5537" t="s">
        <v>51</v>
      </c>
      <c r="D5537">
        <v>3</v>
      </c>
      <c r="E5537" t="s">
        <v>467</v>
      </c>
    </row>
    <row r="5538" spans="1:5" x14ac:dyDescent="0.35">
      <c r="A5538">
        <v>2013</v>
      </c>
      <c r="B5538" t="s">
        <v>38</v>
      </c>
      <c r="C5538" t="s">
        <v>19</v>
      </c>
      <c r="D5538">
        <v>87</v>
      </c>
      <c r="E5538" t="s">
        <v>355</v>
      </c>
    </row>
    <row r="5539" spans="1:5" x14ac:dyDescent="0.35">
      <c r="A5539">
        <v>2013</v>
      </c>
      <c r="B5539" t="s">
        <v>37</v>
      </c>
      <c r="C5539" t="s">
        <v>92</v>
      </c>
      <c r="D5539">
        <v>45</v>
      </c>
      <c r="E5539" t="s">
        <v>467</v>
      </c>
    </row>
    <row r="5540" spans="1:5" x14ac:dyDescent="0.35">
      <c r="A5540">
        <v>2013</v>
      </c>
      <c r="B5540" t="s">
        <v>34</v>
      </c>
      <c r="C5540" t="s">
        <v>200</v>
      </c>
      <c r="D5540">
        <v>22</v>
      </c>
      <c r="E5540" t="s">
        <v>328</v>
      </c>
    </row>
    <row r="5541" spans="1:5" x14ac:dyDescent="0.35">
      <c r="A5541">
        <v>2013</v>
      </c>
      <c r="B5541" t="s">
        <v>36</v>
      </c>
      <c r="C5541" t="s">
        <v>16</v>
      </c>
      <c r="D5541">
        <v>596</v>
      </c>
      <c r="E5541" t="s">
        <v>467</v>
      </c>
    </row>
    <row r="5542" spans="1:5" x14ac:dyDescent="0.35">
      <c r="A5542">
        <v>2013</v>
      </c>
      <c r="B5542" t="s">
        <v>34</v>
      </c>
      <c r="C5542" t="s">
        <v>200</v>
      </c>
      <c r="D5542">
        <v>9</v>
      </c>
      <c r="E5542" t="s">
        <v>355</v>
      </c>
    </row>
    <row r="5543" spans="1:5" x14ac:dyDescent="0.35">
      <c r="A5543">
        <v>2013</v>
      </c>
      <c r="B5543" t="s">
        <v>35</v>
      </c>
      <c r="C5543" t="s">
        <v>94</v>
      </c>
      <c r="D5543">
        <v>591</v>
      </c>
      <c r="E5543" t="s">
        <v>467</v>
      </c>
    </row>
    <row r="5544" spans="1:5" x14ac:dyDescent="0.35">
      <c r="A5544">
        <v>2013</v>
      </c>
      <c r="B5544" t="s">
        <v>38</v>
      </c>
      <c r="C5544" t="s">
        <v>199</v>
      </c>
      <c r="D5544">
        <v>36</v>
      </c>
      <c r="E5544" t="s">
        <v>328</v>
      </c>
    </row>
    <row r="5545" spans="1:5" x14ac:dyDescent="0.35">
      <c r="A5545">
        <v>2013</v>
      </c>
      <c r="B5545" t="s">
        <v>34</v>
      </c>
      <c r="C5545" t="s">
        <v>118</v>
      </c>
      <c r="D5545">
        <v>885</v>
      </c>
      <c r="E5545" t="s">
        <v>467</v>
      </c>
    </row>
    <row r="5546" spans="1:5" x14ac:dyDescent="0.35">
      <c r="A5546">
        <v>2013</v>
      </c>
      <c r="B5546" t="s">
        <v>38</v>
      </c>
      <c r="C5546" t="s">
        <v>199</v>
      </c>
      <c r="D5546">
        <v>45</v>
      </c>
      <c r="E5546" t="s">
        <v>355</v>
      </c>
    </row>
    <row r="5547" spans="1:5" x14ac:dyDescent="0.35">
      <c r="A5547">
        <v>2013</v>
      </c>
      <c r="B5547" t="s">
        <v>35</v>
      </c>
      <c r="C5547" t="s">
        <v>119</v>
      </c>
      <c r="D5547">
        <v>12</v>
      </c>
      <c r="E5547" t="s">
        <v>467</v>
      </c>
    </row>
    <row r="5548" spans="1:5" x14ac:dyDescent="0.35">
      <c r="A5548">
        <v>2013</v>
      </c>
      <c r="B5548" t="s">
        <v>39</v>
      </c>
      <c r="C5548" t="s">
        <v>39</v>
      </c>
      <c r="D5548">
        <v>20</v>
      </c>
      <c r="E5548" t="s">
        <v>328</v>
      </c>
    </row>
    <row r="5549" spans="1:5" x14ac:dyDescent="0.35">
      <c r="A5549">
        <v>2013</v>
      </c>
      <c r="B5549" t="s">
        <v>34</v>
      </c>
      <c r="C5549" t="s">
        <v>120</v>
      </c>
      <c r="D5549">
        <v>41</v>
      </c>
      <c r="E5549" t="s">
        <v>467</v>
      </c>
    </row>
    <row r="5550" spans="1:5" x14ac:dyDescent="0.35">
      <c r="A5550">
        <v>2013</v>
      </c>
      <c r="B5550" t="s">
        <v>39</v>
      </c>
      <c r="C5550" t="s">
        <v>39</v>
      </c>
      <c r="D5550">
        <v>17</v>
      </c>
      <c r="E5550" t="s">
        <v>355</v>
      </c>
    </row>
    <row r="5551" spans="1:5" x14ac:dyDescent="0.35">
      <c r="A5551">
        <v>2013</v>
      </c>
      <c r="B5551" t="s">
        <v>34</v>
      </c>
      <c r="C5551" t="s">
        <v>121</v>
      </c>
      <c r="D5551">
        <v>9</v>
      </c>
      <c r="E5551" t="s">
        <v>467</v>
      </c>
    </row>
    <row r="5552" spans="1:5" x14ac:dyDescent="0.35">
      <c r="A5552">
        <v>2013</v>
      </c>
      <c r="B5552" t="s">
        <v>38</v>
      </c>
      <c r="C5552" t="s">
        <v>19</v>
      </c>
      <c r="D5552">
        <v>130</v>
      </c>
      <c r="E5552" t="s">
        <v>328</v>
      </c>
    </row>
    <row r="5553" spans="1:5" x14ac:dyDescent="0.35">
      <c r="A5553">
        <v>2013</v>
      </c>
      <c r="B5553" t="s">
        <v>34</v>
      </c>
      <c r="C5553" t="s">
        <v>122</v>
      </c>
      <c r="D5553">
        <v>5</v>
      </c>
      <c r="E5553" t="s">
        <v>467</v>
      </c>
    </row>
    <row r="5554" spans="1:5" x14ac:dyDescent="0.35">
      <c r="A5554">
        <v>2013</v>
      </c>
      <c r="B5554" t="s">
        <v>35</v>
      </c>
      <c r="C5554" t="s">
        <v>119</v>
      </c>
      <c r="D5554">
        <v>13</v>
      </c>
      <c r="E5554" t="s">
        <v>355</v>
      </c>
    </row>
    <row r="5555" spans="1:5" x14ac:dyDescent="0.35">
      <c r="A5555">
        <v>2013</v>
      </c>
      <c r="B5555" t="s">
        <v>35</v>
      </c>
      <c r="C5555" t="s">
        <v>123</v>
      </c>
      <c r="D5555">
        <v>59</v>
      </c>
      <c r="E5555" t="s">
        <v>467</v>
      </c>
    </row>
    <row r="5556" spans="1:5" x14ac:dyDescent="0.35">
      <c r="A5556">
        <v>2013</v>
      </c>
      <c r="B5556" t="s">
        <v>33</v>
      </c>
      <c r="C5556" t="s">
        <v>187</v>
      </c>
      <c r="D5556">
        <v>10</v>
      </c>
      <c r="E5556" t="s">
        <v>328</v>
      </c>
    </row>
    <row r="5557" spans="1:5" x14ac:dyDescent="0.35">
      <c r="A5557">
        <v>2013</v>
      </c>
      <c r="B5557" t="s">
        <v>34</v>
      </c>
      <c r="C5557" t="s">
        <v>124</v>
      </c>
      <c r="D5557">
        <v>93</v>
      </c>
      <c r="E5557" t="s">
        <v>467</v>
      </c>
    </row>
    <row r="5558" spans="1:5" x14ac:dyDescent="0.35">
      <c r="A5558">
        <v>2013</v>
      </c>
      <c r="B5558" t="s">
        <v>34</v>
      </c>
      <c r="C5558" t="s">
        <v>186</v>
      </c>
      <c r="D5558">
        <v>7</v>
      </c>
      <c r="E5558" t="s">
        <v>328</v>
      </c>
    </row>
    <row r="5559" spans="1:5" x14ac:dyDescent="0.35">
      <c r="A5559">
        <v>2013</v>
      </c>
      <c r="B5559" t="s">
        <v>33</v>
      </c>
      <c r="C5559" t="s">
        <v>125</v>
      </c>
      <c r="D5559">
        <v>14</v>
      </c>
      <c r="E5559" t="s">
        <v>467</v>
      </c>
    </row>
    <row r="5560" spans="1:5" x14ac:dyDescent="0.35">
      <c r="A5560">
        <v>2013</v>
      </c>
      <c r="B5560" t="s">
        <v>35</v>
      </c>
      <c r="C5560" t="s">
        <v>172</v>
      </c>
      <c r="D5560">
        <v>15</v>
      </c>
      <c r="E5560" t="s">
        <v>328</v>
      </c>
    </row>
    <row r="5561" spans="1:5" x14ac:dyDescent="0.35">
      <c r="A5561">
        <v>2013</v>
      </c>
      <c r="B5561" t="s">
        <v>33</v>
      </c>
      <c r="C5561" t="s">
        <v>126</v>
      </c>
      <c r="D5561">
        <v>18</v>
      </c>
      <c r="E5561" t="s">
        <v>467</v>
      </c>
    </row>
    <row r="5562" spans="1:5" x14ac:dyDescent="0.35">
      <c r="A5562">
        <v>2013</v>
      </c>
      <c r="B5562" t="s">
        <v>35</v>
      </c>
      <c r="C5562" t="s">
        <v>172</v>
      </c>
      <c r="D5562">
        <v>8</v>
      </c>
      <c r="E5562" t="s">
        <v>355</v>
      </c>
    </row>
    <row r="5563" spans="1:5" x14ac:dyDescent="0.35">
      <c r="A5563">
        <v>2013</v>
      </c>
      <c r="B5563" t="s">
        <v>33</v>
      </c>
      <c r="C5563" t="s">
        <v>129</v>
      </c>
      <c r="D5563">
        <v>4</v>
      </c>
      <c r="E5563" t="s">
        <v>467</v>
      </c>
    </row>
    <row r="5564" spans="1:5" x14ac:dyDescent="0.35">
      <c r="A5564">
        <v>2013</v>
      </c>
      <c r="B5564" t="s">
        <v>34</v>
      </c>
      <c r="C5564" t="s">
        <v>171</v>
      </c>
      <c r="E5564" t="s">
        <v>328</v>
      </c>
    </row>
    <row r="5565" spans="1:5" x14ac:dyDescent="0.35">
      <c r="A5565">
        <v>2013</v>
      </c>
      <c r="B5565" t="s">
        <v>33</v>
      </c>
      <c r="C5565" t="s">
        <v>117</v>
      </c>
      <c r="D5565">
        <v>96</v>
      </c>
      <c r="E5565" t="s">
        <v>467</v>
      </c>
    </row>
    <row r="5566" spans="1:5" x14ac:dyDescent="0.35">
      <c r="A5566">
        <v>2013</v>
      </c>
      <c r="B5566" t="s">
        <v>34</v>
      </c>
      <c r="C5566" t="s">
        <v>171</v>
      </c>
      <c r="E5566" t="s">
        <v>355</v>
      </c>
    </row>
    <row r="5567" spans="1:5" x14ac:dyDescent="0.35">
      <c r="A5567">
        <v>2013</v>
      </c>
      <c r="B5567" t="s">
        <v>34</v>
      </c>
      <c r="C5567" t="s">
        <v>131</v>
      </c>
      <c r="D5567">
        <v>47</v>
      </c>
      <c r="E5567" t="s">
        <v>467</v>
      </c>
    </row>
    <row r="5568" spans="1:5" x14ac:dyDescent="0.35">
      <c r="A5568">
        <v>2013</v>
      </c>
      <c r="B5568" t="s">
        <v>33</v>
      </c>
      <c r="C5568" t="s">
        <v>170</v>
      </c>
      <c r="D5568">
        <v>6</v>
      </c>
      <c r="E5568" t="s">
        <v>328</v>
      </c>
    </row>
    <row r="5569" spans="1:5" x14ac:dyDescent="0.35">
      <c r="A5569">
        <v>2013</v>
      </c>
      <c r="B5569" t="s">
        <v>33</v>
      </c>
      <c r="C5569" t="s">
        <v>136</v>
      </c>
      <c r="D5569">
        <v>11</v>
      </c>
      <c r="E5569" t="s">
        <v>467</v>
      </c>
    </row>
    <row r="5570" spans="1:5" x14ac:dyDescent="0.35">
      <c r="A5570">
        <v>2013</v>
      </c>
      <c r="B5570" t="s">
        <v>33</v>
      </c>
      <c r="C5570" t="s">
        <v>170</v>
      </c>
      <c r="D5570">
        <v>10</v>
      </c>
      <c r="E5570" t="s">
        <v>355</v>
      </c>
    </row>
    <row r="5571" spans="1:5" x14ac:dyDescent="0.35">
      <c r="A5571">
        <v>2013</v>
      </c>
      <c r="B5571" t="s">
        <v>36</v>
      </c>
      <c r="C5571" t="s">
        <v>14</v>
      </c>
      <c r="D5571">
        <v>88240</v>
      </c>
      <c r="E5571" t="s">
        <v>467</v>
      </c>
    </row>
    <row r="5572" spans="1:5" x14ac:dyDescent="0.35">
      <c r="A5572">
        <v>2013</v>
      </c>
      <c r="B5572" t="s">
        <v>35</v>
      </c>
      <c r="C5572" t="s">
        <v>215</v>
      </c>
      <c r="D5572">
        <v>19</v>
      </c>
      <c r="E5572" t="s">
        <v>328</v>
      </c>
    </row>
    <row r="5573" spans="1:5" x14ac:dyDescent="0.35">
      <c r="A5573">
        <v>2013</v>
      </c>
      <c r="B5573" t="s">
        <v>37</v>
      </c>
      <c r="C5573" t="s">
        <v>137</v>
      </c>
      <c r="D5573">
        <v>3</v>
      </c>
      <c r="E5573" t="s">
        <v>467</v>
      </c>
    </row>
    <row r="5574" spans="1:5" x14ac:dyDescent="0.35">
      <c r="A5574">
        <v>2013</v>
      </c>
      <c r="B5574" t="s">
        <v>35</v>
      </c>
      <c r="C5574" t="s">
        <v>215</v>
      </c>
      <c r="D5574">
        <v>7</v>
      </c>
      <c r="E5574" t="s">
        <v>355</v>
      </c>
    </row>
    <row r="5575" spans="1:5" x14ac:dyDescent="0.35">
      <c r="A5575">
        <v>2013</v>
      </c>
      <c r="B5575" t="s">
        <v>35</v>
      </c>
      <c r="C5575" t="s">
        <v>138</v>
      </c>
      <c r="D5575">
        <v>41</v>
      </c>
      <c r="E5575" t="s">
        <v>467</v>
      </c>
    </row>
    <row r="5576" spans="1:5" x14ac:dyDescent="0.35">
      <c r="A5576">
        <v>2013</v>
      </c>
      <c r="B5576" t="s">
        <v>35</v>
      </c>
      <c r="C5576" t="s">
        <v>169</v>
      </c>
      <c r="E5576" t="s">
        <v>328</v>
      </c>
    </row>
    <row r="5577" spans="1:5" x14ac:dyDescent="0.35">
      <c r="A5577">
        <v>2013</v>
      </c>
      <c r="B5577" t="s">
        <v>34</v>
      </c>
      <c r="C5577" t="s">
        <v>139</v>
      </c>
      <c r="D5577">
        <v>41</v>
      </c>
      <c r="E5577" t="s">
        <v>467</v>
      </c>
    </row>
    <row r="5578" spans="1:5" x14ac:dyDescent="0.35">
      <c r="A5578">
        <v>2013</v>
      </c>
      <c r="B5578" t="s">
        <v>35</v>
      </c>
      <c r="C5578" t="s">
        <v>169</v>
      </c>
      <c r="D5578">
        <v>0</v>
      </c>
      <c r="E5578" t="s">
        <v>355</v>
      </c>
    </row>
    <row r="5579" spans="1:5" x14ac:dyDescent="0.35">
      <c r="A5579">
        <v>2013</v>
      </c>
      <c r="B5579" t="s">
        <v>35</v>
      </c>
      <c r="C5579" t="s">
        <v>140</v>
      </c>
      <c r="D5579">
        <v>6</v>
      </c>
      <c r="E5579" t="s">
        <v>467</v>
      </c>
    </row>
    <row r="5580" spans="1:5" x14ac:dyDescent="0.35">
      <c r="A5580">
        <v>2013</v>
      </c>
      <c r="B5580" t="s">
        <v>33</v>
      </c>
      <c r="C5580" t="s">
        <v>168</v>
      </c>
      <c r="D5580">
        <v>24</v>
      </c>
      <c r="E5580" t="s">
        <v>328</v>
      </c>
    </row>
    <row r="5581" spans="1:5" x14ac:dyDescent="0.35">
      <c r="A5581">
        <v>2013</v>
      </c>
      <c r="B5581" t="s">
        <v>33</v>
      </c>
      <c r="C5581" t="s">
        <v>141</v>
      </c>
      <c r="D5581">
        <v>108</v>
      </c>
      <c r="E5581" t="s">
        <v>467</v>
      </c>
    </row>
    <row r="5582" spans="1:5" x14ac:dyDescent="0.35">
      <c r="A5582">
        <v>2013</v>
      </c>
      <c r="B5582" t="s">
        <v>33</v>
      </c>
      <c r="C5582" t="s">
        <v>168</v>
      </c>
      <c r="D5582">
        <v>16</v>
      </c>
      <c r="E5582" t="s">
        <v>355</v>
      </c>
    </row>
    <row r="5583" spans="1:5" x14ac:dyDescent="0.35">
      <c r="A5583">
        <v>2013</v>
      </c>
      <c r="B5583" t="s">
        <v>34</v>
      </c>
      <c r="C5583" t="s">
        <v>144</v>
      </c>
      <c r="D5583">
        <v>24</v>
      </c>
      <c r="E5583" t="s">
        <v>467</v>
      </c>
    </row>
    <row r="5584" spans="1:5" x14ac:dyDescent="0.35">
      <c r="A5584">
        <v>2013</v>
      </c>
      <c r="B5584" t="s">
        <v>34</v>
      </c>
      <c r="C5584" t="s">
        <v>167</v>
      </c>
      <c r="D5584">
        <v>31</v>
      </c>
      <c r="E5584" t="s">
        <v>328</v>
      </c>
    </row>
    <row r="5585" spans="1:5" x14ac:dyDescent="0.35">
      <c r="A5585">
        <v>2013</v>
      </c>
      <c r="B5585" t="s">
        <v>35</v>
      </c>
      <c r="C5585" t="s">
        <v>145</v>
      </c>
      <c r="D5585">
        <v>256</v>
      </c>
      <c r="E5585" t="s">
        <v>467</v>
      </c>
    </row>
    <row r="5586" spans="1:5" x14ac:dyDescent="0.35">
      <c r="A5586">
        <v>2013</v>
      </c>
      <c r="B5586" t="s">
        <v>34</v>
      </c>
      <c r="C5586" t="s">
        <v>167</v>
      </c>
      <c r="D5586">
        <v>17</v>
      </c>
      <c r="E5586" t="s">
        <v>355</v>
      </c>
    </row>
    <row r="5587" spans="1:5" x14ac:dyDescent="0.35">
      <c r="A5587">
        <v>2013</v>
      </c>
      <c r="B5587" t="s">
        <v>35</v>
      </c>
      <c r="C5587" t="s">
        <v>93</v>
      </c>
      <c r="D5587">
        <v>32</v>
      </c>
      <c r="E5587" t="s">
        <v>467</v>
      </c>
    </row>
    <row r="5588" spans="1:5" x14ac:dyDescent="0.35">
      <c r="A5588">
        <v>2013</v>
      </c>
      <c r="B5588" t="s">
        <v>37</v>
      </c>
      <c r="C5588" t="s">
        <v>166</v>
      </c>
      <c r="D5588">
        <v>4</v>
      </c>
      <c r="E5588" t="s">
        <v>328</v>
      </c>
    </row>
    <row r="5589" spans="1:5" x14ac:dyDescent="0.35">
      <c r="A5589">
        <v>2013</v>
      </c>
      <c r="B5589" t="s">
        <v>33</v>
      </c>
      <c r="C5589" t="s">
        <v>132</v>
      </c>
      <c r="D5589">
        <v>8</v>
      </c>
      <c r="E5589" t="s">
        <v>467</v>
      </c>
    </row>
    <row r="5590" spans="1:5" x14ac:dyDescent="0.35">
      <c r="A5590">
        <v>2013</v>
      </c>
      <c r="B5590" t="s">
        <v>33</v>
      </c>
      <c r="C5590" t="s">
        <v>174</v>
      </c>
      <c r="D5590">
        <v>34</v>
      </c>
      <c r="E5590" t="s">
        <v>355</v>
      </c>
    </row>
    <row r="5591" spans="1:5" x14ac:dyDescent="0.35">
      <c r="A5591">
        <v>2013</v>
      </c>
      <c r="B5591" t="s">
        <v>34</v>
      </c>
      <c r="C5591" t="s">
        <v>116</v>
      </c>
      <c r="D5591">
        <v>26</v>
      </c>
      <c r="E5591" t="s">
        <v>467</v>
      </c>
    </row>
    <row r="5592" spans="1:5" x14ac:dyDescent="0.35">
      <c r="A5592">
        <v>2013</v>
      </c>
      <c r="B5592" t="s">
        <v>33</v>
      </c>
      <c r="C5592" t="s">
        <v>174</v>
      </c>
      <c r="D5592">
        <v>32</v>
      </c>
      <c r="E5592" t="s">
        <v>328</v>
      </c>
    </row>
    <row r="5593" spans="1:5" x14ac:dyDescent="0.35">
      <c r="A5593">
        <v>2013</v>
      </c>
      <c r="B5593" t="s">
        <v>35</v>
      </c>
      <c r="C5593" t="s">
        <v>127</v>
      </c>
      <c r="D5593">
        <v>47</v>
      </c>
      <c r="E5593" t="s">
        <v>467</v>
      </c>
    </row>
    <row r="5594" spans="1:5" x14ac:dyDescent="0.35">
      <c r="A5594">
        <v>2013</v>
      </c>
      <c r="B5594" t="s">
        <v>33</v>
      </c>
      <c r="C5594" t="s">
        <v>175</v>
      </c>
      <c r="D5594">
        <v>17</v>
      </c>
      <c r="E5594" t="s">
        <v>355</v>
      </c>
    </row>
    <row r="5595" spans="1:5" x14ac:dyDescent="0.35">
      <c r="A5595">
        <v>2013</v>
      </c>
      <c r="B5595" t="s">
        <v>36</v>
      </c>
      <c r="C5595" t="s">
        <v>15</v>
      </c>
      <c r="D5595">
        <v>1379</v>
      </c>
      <c r="E5595" t="s">
        <v>467</v>
      </c>
    </row>
    <row r="5596" spans="1:5" x14ac:dyDescent="0.35">
      <c r="A5596">
        <v>2013</v>
      </c>
      <c r="B5596" t="s">
        <v>33</v>
      </c>
      <c r="C5596" t="s">
        <v>175</v>
      </c>
      <c r="D5596">
        <v>17</v>
      </c>
      <c r="E5596" t="s">
        <v>328</v>
      </c>
    </row>
    <row r="5597" spans="1:5" x14ac:dyDescent="0.35">
      <c r="A5597">
        <v>2013</v>
      </c>
      <c r="B5597" t="s">
        <v>33</v>
      </c>
      <c r="C5597" t="s">
        <v>95</v>
      </c>
      <c r="D5597">
        <v>6</v>
      </c>
      <c r="E5597" t="s">
        <v>467</v>
      </c>
    </row>
    <row r="5598" spans="1:5" x14ac:dyDescent="0.35">
      <c r="A5598">
        <v>2013</v>
      </c>
      <c r="B5598" t="s">
        <v>34</v>
      </c>
      <c r="C5598" t="s">
        <v>186</v>
      </c>
      <c r="D5598">
        <v>4</v>
      </c>
      <c r="E5598" t="s">
        <v>355</v>
      </c>
    </row>
    <row r="5599" spans="1:5" x14ac:dyDescent="0.35">
      <c r="A5599">
        <v>2013</v>
      </c>
      <c r="B5599" t="s">
        <v>34</v>
      </c>
      <c r="C5599" t="s">
        <v>115</v>
      </c>
      <c r="D5599">
        <v>123</v>
      </c>
      <c r="E5599" t="s">
        <v>467</v>
      </c>
    </row>
    <row r="5600" spans="1:5" x14ac:dyDescent="0.35">
      <c r="A5600">
        <v>2013</v>
      </c>
      <c r="B5600" t="s">
        <v>34</v>
      </c>
      <c r="C5600" t="s">
        <v>185</v>
      </c>
      <c r="D5600">
        <v>29</v>
      </c>
      <c r="E5600" t="s">
        <v>328</v>
      </c>
    </row>
    <row r="5601" spans="1:5" x14ac:dyDescent="0.35">
      <c r="A5601">
        <v>2013</v>
      </c>
      <c r="B5601" t="s">
        <v>33</v>
      </c>
      <c r="C5601" t="s">
        <v>96</v>
      </c>
      <c r="D5601">
        <v>9</v>
      </c>
      <c r="E5601" t="s">
        <v>467</v>
      </c>
    </row>
    <row r="5602" spans="1:5" x14ac:dyDescent="0.35">
      <c r="A5602">
        <v>2013</v>
      </c>
      <c r="B5602" t="s">
        <v>34</v>
      </c>
      <c r="C5602" t="s">
        <v>185</v>
      </c>
      <c r="D5602">
        <v>14</v>
      </c>
      <c r="E5602" t="s">
        <v>355</v>
      </c>
    </row>
    <row r="5603" spans="1:5" x14ac:dyDescent="0.35">
      <c r="A5603">
        <v>2013</v>
      </c>
      <c r="B5603" t="s">
        <v>34</v>
      </c>
      <c r="C5603" t="s">
        <v>8</v>
      </c>
      <c r="D5603">
        <v>7</v>
      </c>
      <c r="E5603" t="s">
        <v>467</v>
      </c>
    </row>
    <row r="5604" spans="1:5" x14ac:dyDescent="0.35">
      <c r="A5604">
        <v>2013</v>
      </c>
      <c r="B5604" t="s">
        <v>34</v>
      </c>
      <c r="C5604" t="s">
        <v>184</v>
      </c>
      <c r="D5604">
        <v>13</v>
      </c>
      <c r="E5604" t="s">
        <v>328</v>
      </c>
    </row>
    <row r="5605" spans="1:5" x14ac:dyDescent="0.35">
      <c r="A5605">
        <v>2013</v>
      </c>
      <c r="B5605" t="s">
        <v>35</v>
      </c>
      <c r="C5605" t="s">
        <v>97</v>
      </c>
      <c r="D5605">
        <v>469</v>
      </c>
      <c r="E5605" t="s">
        <v>467</v>
      </c>
    </row>
    <row r="5606" spans="1:5" x14ac:dyDescent="0.35">
      <c r="A5606">
        <v>2013</v>
      </c>
      <c r="B5606" t="s">
        <v>34</v>
      </c>
      <c r="C5606" t="s">
        <v>184</v>
      </c>
      <c r="D5606">
        <v>3</v>
      </c>
      <c r="E5606" t="s">
        <v>355</v>
      </c>
    </row>
    <row r="5607" spans="1:5" x14ac:dyDescent="0.35">
      <c r="A5607">
        <v>2013</v>
      </c>
      <c r="B5607" t="s">
        <v>33</v>
      </c>
      <c r="C5607" t="s">
        <v>98</v>
      </c>
      <c r="D5607">
        <v>75</v>
      </c>
      <c r="E5607" t="s">
        <v>467</v>
      </c>
    </row>
    <row r="5608" spans="1:5" x14ac:dyDescent="0.35">
      <c r="A5608">
        <v>2013</v>
      </c>
      <c r="B5608" t="s">
        <v>35</v>
      </c>
      <c r="C5608" t="s">
        <v>182</v>
      </c>
      <c r="D5608">
        <v>10</v>
      </c>
      <c r="E5608" t="s">
        <v>328</v>
      </c>
    </row>
    <row r="5609" spans="1:5" x14ac:dyDescent="0.35">
      <c r="A5609">
        <v>2013</v>
      </c>
      <c r="B5609" t="s">
        <v>35</v>
      </c>
      <c r="C5609" t="s">
        <v>99</v>
      </c>
      <c r="D5609">
        <v>94</v>
      </c>
      <c r="E5609" t="s">
        <v>467</v>
      </c>
    </row>
    <row r="5610" spans="1:5" x14ac:dyDescent="0.35">
      <c r="A5610">
        <v>2013</v>
      </c>
      <c r="B5610" t="s">
        <v>35</v>
      </c>
      <c r="C5610" t="s">
        <v>182</v>
      </c>
      <c r="D5610">
        <v>13</v>
      </c>
      <c r="E5610" t="s">
        <v>355</v>
      </c>
    </row>
    <row r="5611" spans="1:5" x14ac:dyDescent="0.35">
      <c r="A5611">
        <v>2013</v>
      </c>
      <c r="B5611" t="s">
        <v>36</v>
      </c>
      <c r="C5611" t="s">
        <v>100</v>
      </c>
      <c r="D5611">
        <v>10</v>
      </c>
      <c r="E5611" t="s">
        <v>467</v>
      </c>
    </row>
    <row r="5612" spans="1:5" x14ac:dyDescent="0.35">
      <c r="A5612">
        <v>2013</v>
      </c>
      <c r="B5612" t="s">
        <v>33</v>
      </c>
      <c r="C5612" t="s">
        <v>187</v>
      </c>
      <c r="D5612">
        <v>16</v>
      </c>
      <c r="E5612" t="s">
        <v>355</v>
      </c>
    </row>
    <row r="5613" spans="1:5" x14ac:dyDescent="0.35">
      <c r="A5613">
        <v>2013</v>
      </c>
      <c r="B5613" t="s">
        <v>33</v>
      </c>
      <c r="C5613" t="s">
        <v>101</v>
      </c>
      <c r="D5613">
        <v>5</v>
      </c>
      <c r="E5613" t="s">
        <v>467</v>
      </c>
    </row>
    <row r="5614" spans="1:5" x14ac:dyDescent="0.35">
      <c r="A5614">
        <v>2013</v>
      </c>
      <c r="B5614" t="s">
        <v>38</v>
      </c>
      <c r="C5614" t="s">
        <v>180</v>
      </c>
      <c r="D5614">
        <v>3</v>
      </c>
      <c r="E5614" t="s">
        <v>328</v>
      </c>
    </row>
    <row r="5615" spans="1:5" x14ac:dyDescent="0.35">
      <c r="A5615">
        <v>2013</v>
      </c>
      <c r="B5615" t="s">
        <v>38</v>
      </c>
      <c r="C5615" t="s">
        <v>103</v>
      </c>
      <c r="D5615">
        <v>56</v>
      </c>
      <c r="E5615" t="s">
        <v>467</v>
      </c>
    </row>
    <row r="5616" spans="1:5" x14ac:dyDescent="0.35">
      <c r="A5616">
        <v>2013</v>
      </c>
      <c r="B5616" t="s">
        <v>33</v>
      </c>
      <c r="C5616" t="s">
        <v>179</v>
      </c>
      <c r="D5616">
        <v>12</v>
      </c>
      <c r="E5616" t="s">
        <v>328</v>
      </c>
    </row>
    <row r="5617" spans="1:5" x14ac:dyDescent="0.35">
      <c r="A5617">
        <v>2013</v>
      </c>
      <c r="B5617" t="s">
        <v>36</v>
      </c>
      <c r="C5617" t="s">
        <v>17</v>
      </c>
      <c r="D5617">
        <v>786</v>
      </c>
      <c r="E5617" t="s">
        <v>467</v>
      </c>
    </row>
    <row r="5618" spans="1:5" x14ac:dyDescent="0.35">
      <c r="A5618">
        <v>2013</v>
      </c>
      <c r="B5618" t="s">
        <v>33</v>
      </c>
      <c r="C5618" t="s">
        <v>179</v>
      </c>
      <c r="D5618">
        <v>13</v>
      </c>
      <c r="E5618" t="s">
        <v>355</v>
      </c>
    </row>
    <row r="5619" spans="1:5" x14ac:dyDescent="0.35">
      <c r="A5619">
        <v>2013</v>
      </c>
      <c r="B5619" t="s">
        <v>36</v>
      </c>
      <c r="C5619" t="s">
        <v>104</v>
      </c>
      <c r="D5619">
        <v>148</v>
      </c>
      <c r="E5619" t="s">
        <v>467</v>
      </c>
    </row>
    <row r="5620" spans="1:5" x14ac:dyDescent="0.35">
      <c r="A5620">
        <v>2013</v>
      </c>
      <c r="B5620" t="s">
        <v>34</v>
      </c>
      <c r="C5620" t="s">
        <v>178</v>
      </c>
      <c r="D5620">
        <v>72</v>
      </c>
      <c r="E5620" t="s">
        <v>328</v>
      </c>
    </row>
    <row r="5621" spans="1:5" x14ac:dyDescent="0.35">
      <c r="A5621">
        <v>2013</v>
      </c>
      <c r="B5621" t="s">
        <v>35</v>
      </c>
      <c r="C5621" t="s">
        <v>106</v>
      </c>
      <c r="D5621">
        <v>8</v>
      </c>
      <c r="E5621" t="s">
        <v>467</v>
      </c>
    </row>
    <row r="5622" spans="1:5" x14ac:dyDescent="0.35">
      <c r="A5622">
        <v>2013</v>
      </c>
      <c r="B5622" t="s">
        <v>34</v>
      </c>
      <c r="C5622" t="s">
        <v>178</v>
      </c>
      <c r="D5622">
        <v>6</v>
      </c>
      <c r="E5622" t="s">
        <v>355</v>
      </c>
    </row>
    <row r="5623" spans="1:5" x14ac:dyDescent="0.35">
      <c r="A5623">
        <v>2013</v>
      </c>
      <c r="B5623" t="s">
        <v>34</v>
      </c>
      <c r="C5623" t="s">
        <v>22</v>
      </c>
      <c r="D5623">
        <v>904</v>
      </c>
      <c r="E5623" t="s">
        <v>467</v>
      </c>
    </row>
    <row r="5624" spans="1:5" x14ac:dyDescent="0.35">
      <c r="A5624">
        <v>2013</v>
      </c>
      <c r="B5624" t="s">
        <v>35</v>
      </c>
      <c r="C5624" t="s">
        <v>177</v>
      </c>
      <c r="D5624">
        <v>67</v>
      </c>
      <c r="E5624" t="s">
        <v>328</v>
      </c>
    </row>
    <row r="5625" spans="1:5" x14ac:dyDescent="0.35">
      <c r="A5625">
        <v>2013</v>
      </c>
      <c r="B5625" t="s">
        <v>34</v>
      </c>
      <c r="C5625" t="s">
        <v>107</v>
      </c>
      <c r="D5625">
        <v>77</v>
      </c>
      <c r="E5625" t="s">
        <v>467</v>
      </c>
    </row>
    <row r="5626" spans="1:5" x14ac:dyDescent="0.35">
      <c r="A5626">
        <v>2013</v>
      </c>
      <c r="B5626" t="s">
        <v>35</v>
      </c>
      <c r="C5626" t="s">
        <v>177</v>
      </c>
      <c r="D5626">
        <v>29</v>
      </c>
      <c r="E5626" t="s">
        <v>355</v>
      </c>
    </row>
    <row r="5627" spans="1:5" x14ac:dyDescent="0.35">
      <c r="A5627">
        <v>2013</v>
      </c>
      <c r="B5627" t="s">
        <v>34</v>
      </c>
      <c r="C5627" t="s">
        <v>108</v>
      </c>
      <c r="D5627">
        <v>354</v>
      </c>
      <c r="E5627" t="s">
        <v>467</v>
      </c>
    </row>
    <row r="5628" spans="1:5" x14ac:dyDescent="0.35">
      <c r="A5628">
        <v>2013</v>
      </c>
      <c r="B5628" t="s">
        <v>33</v>
      </c>
      <c r="C5628" t="s">
        <v>176</v>
      </c>
      <c r="D5628">
        <v>38</v>
      </c>
      <c r="E5628" t="s">
        <v>355</v>
      </c>
    </row>
    <row r="5629" spans="1:5" x14ac:dyDescent="0.35">
      <c r="A5629">
        <v>2013</v>
      </c>
      <c r="B5629" t="s">
        <v>34</v>
      </c>
      <c r="C5629" t="s">
        <v>109</v>
      </c>
      <c r="D5629">
        <v>131</v>
      </c>
      <c r="E5629" t="s">
        <v>467</v>
      </c>
    </row>
    <row r="5630" spans="1:5" x14ac:dyDescent="0.35">
      <c r="A5630">
        <v>2013</v>
      </c>
      <c r="B5630" t="s">
        <v>38</v>
      </c>
      <c r="C5630" t="s">
        <v>180</v>
      </c>
      <c r="D5630">
        <v>10</v>
      </c>
      <c r="E5630" t="s">
        <v>355</v>
      </c>
    </row>
    <row r="5631" spans="1:5" x14ac:dyDescent="0.35">
      <c r="A5631">
        <v>2013</v>
      </c>
      <c r="B5631" t="s">
        <v>35</v>
      </c>
      <c r="C5631" t="s">
        <v>110</v>
      </c>
      <c r="D5631">
        <v>199</v>
      </c>
      <c r="E5631" t="s">
        <v>467</v>
      </c>
    </row>
    <row r="5632" spans="1:5" x14ac:dyDescent="0.35">
      <c r="A5632">
        <v>2013</v>
      </c>
      <c r="B5632" t="s">
        <v>34</v>
      </c>
      <c r="C5632" t="s">
        <v>118</v>
      </c>
      <c r="D5632">
        <v>127</v>
      </c>
      <c r="E5632" t="s">
        <v>328</v>
      </c>
    </row>
    <row r="5633" spans="1:5" x14ac:dyDescent="0.35">
      <c r="A5633">
        <v>2013</v>
      </c>
      <c r="B5633" t="s">
        <v>34</v>
      </c>
      <c r="C5633" t="s">
        <v>111</v>
      </c>
      <c r="D5633">
        <v>234</v>
      </c>
      <c r="E5633" t="s">
        <v>467</v>
      </c>
    </row>
    <row r="5634" spans="1:5" x14ac:dyDescent="0.35">
      <c r="A5634">
        <v>2013</v>
      </c>
      <c r="B5634" t="s">
        <v>36</v>
      </c>
      <c r="C5634" t="s">
        <v>164</v>
      </c>
      <c r="D5634">
        <v>16</v>
      </c>
      <c r="E5634" t="s">
        <v>328</v>
      </c>
    </row>
    <row r="5635" spans="1:5" x14ac:dyDescent="0.35">
      <c r="A5635">
        <v>2013</v>
      </c>
      <c r="B5635" t="s">
        <v>35</v>
      </c>
      <c r="C5635" t="s">
        <v>112</v>
      </c>
      <c r="D5635">
        <v>519</v>
      </c>
      <c r="E5635" t="s">
        <v>467</v>
      </c>
    </row>
    <row r="5636" spans="1:5" x14ac:dyDescent="0.35">
      <c r="A5636">
        <v>2013</v>
      </c>
      <c r="B5636" t="s">
        <v>33</v>
      </c>
      <c r="C5636" t="s">
        <v>117</v>
      </c>
      <c r="D5636">
        <v>42</v>
      </c>
      <c r="E5636" t="s">
        <v>328</v>
      </c>
    </row>
    <row r="5637" spans="1:5" x14ac:dyDescent="0.35">
      <c r="A5637">
        <v>2013</v>
      </c>
      <c r="B5637" t="s">
        <v>36</v>
      </c>
      <c r="C5637" t="s">
        <v>113</v>
      </c>
      <c r="D5637">
        <v>321</v>
      </c>
      <c r="E5637" t="s">
        <v>467</v>
      </c>
    </row>
    <row r="5638" spans="1:5" x14ac:dyDescent="0.35">
      <c r="A5638">
        <v>2013</v>
      </c>
      <c r="B5638" t="s">
        <v>33</v>
      </c>
      <c r="C5638" t="s">
        <v>68</v>
      </c>
      <c r="D5638">
        <v>16</v>
      </c>
      <c r="E5638" t="s">
        <v>355</v>
      </c>
    </row>
    <row r="5639" spans="1:5" x14ac:dyDescent="0.35">
      <c r="A5639">
        <v>2013</v>
      </c>
      <c r="B5639" t="s">
        <v>34</v>
      </c>
      <c r="C5639" t="s">
        <v>114</v>
      </c>
      <c r="D5639">
        <v>337</v>
      </c>
      <c r="E5639" t="s">
        <v>467</v>
      </c>
    </row>
    <row r="5640" spans="1:5" x14ac:dyDescent="0.35">
      <c r="A5640">
        <v>2013</v>
      </c>
      <c r="B5640" t="s">
        <v>34</v>
      </c>
      <c r="C5640" t="s">
        <v>67</v>
      </c>
      <c r="D5640">
        <v>5</v>
      </c>
      <c r="E5640" t="s">
        <v>328</v>
      </c>
    </row>
    <row r="5641" spans="1:5" x14ac:dyDescent="0.35">
      <c r="A5641">
        <v>2013</v>
      </c>
      <c r="B5641" t="s">
        <v>35</v>
      </c>
      <c r="C5641" t="s">
        <v>105</v>
      </c>
      <c r="D5641">
        <v>169</v>
      </c>
      <c r="E5641" t="s">
        <v>467</v>
      </c>
    </row>
    <row r="5642" spans="1:5" x14ac:dyDescent="0.35">
      <c r="A5642">
        <v>2013</v>
      </c>
      <c r="B5642" t="s">
        <v>34</v>
      </c>
      <c r="C5642" t="s">
        <v>67</v>
      </c>
      <c r="D5642">
        <v>11</v>
      </c>
      <c r="E5642" t="s">
        <v>355</v>
      </c>
    </row>
    <row r="5643" spans="1:5" x14ac:dyDescent="0.35">
      <c r="A5643">
        <v>2013</v>
      </c>
      <c r="B5643" t="s">
        <v>33</v>
      </c>
      <c r="C5643" t="s">
        <v>66</v>
      </c>
      <c r="E5643" t="s">
        <v>328</v>
      </c>
    </row>
    <row r="5644" spans="1:5" x14ac:dyDescent="0.35">
      <c r="A5644">
        <v>2013</v>
      </c>
      <c r="B5644" t="s">
        <v>33</v>
      </c>
      <c r="C5644" t="s">
        <v>66</v>
      </c>
      <c r="E5644" t="s">
        <v>355</v>
      </c>
    </row>
    <row r="5645" spans="1:5" x14ac:dyDescent="0.35">
      <c r="A5645">
        <v>2013</v>
      </c>
      <c r="B5645" t="s">
        <v>33</v>
      </c>
      <c r="C5645" t="s">
        <v>65</v>
      </c>
      <c r="E5645" t="s">
        <v>328</v>
      </c>
    </row>
    <row r="5646" spans="1:5" x14ac:dyDescent="0.35">
      <c r="A5646">
        <v>2013</v>
      </c>
      <c r="B5646" t="s">
        <v>33</v>
      </c>
      <c r="C5646" t="s">
        <v>65</v>
      </c>
      <c r="D5646">
        <v>0</v>
      </c>
      <c r="E5646" t="s">
        <v>355</v>
      </c>
    </row>
    <row r="5647" spans="1:5" x14ac:dyDescent="0.35">
      <c r="A5647">
        <v>2013</v>
      </c>
      <c r="B5647" t="s">
        <v>34</v>
      </c>
      <c r="C5647" t="s">
        <v>64</v>
      </c>
      <c r="D5647">
        <v>7</v>
      </c>
      <c r="E5647" t="s">
        <v>328</v>
      </c>
    </row>
    <row r="5648" spans="1:5" x14ac:dyDescent="0.35">
      <c r="A5648">
        <v>2013</v>
      </c>
      <c r="B5648" t="s">
        <v>34</v>
      </c>
      <c r="C5648" t="s">
        <v>64</v>
      </c>
      <c r="D5648">
        <v>3</v>
      </c>
      <c r="E5648" t="s">
        <v>355</v>
      </c>
    </row>
    <row r="5649" spans="1:5" x14ac:dyDescent="0.35">
      <c r="A5649">
        <v>2013</v>
      </c>
      <c r="B5649" t="s">
        <v>33</v>
      </c>
      <c r="C5649" t="s">
        <v>63</v>
      </c>
      <c r="E5649" t="s">
        <v>328</v>
      </c>
    </row>
    <row r="5650" spans="1:5" x14ac:dyDescent="0.35">
      <c r="A5650">
        <v>2013</v>
      </c>
      <c r="B5650" t="s">
        <v>33</v>
      </c>
      <c r="C5650" t="s">
        <v>63</v>
      </c>
      <c r="E5650" t="s">
        <v>355</v>
      </c>
    </row>
    <row r="5651" spans="1:5" x14ac:dyDescent="0.35">
      <c r="A5651">
        <v>2013</v>
      </c>
      <c r="B5651" t="s">
        <v>35</v>
      </c>
      <c r="C5651" t="s">
        <v>62</v>
      </c>
      <c r="D5651">
        <v>18</v>
      </c>
      <c r="E5651" t="s">
        <v>328</v>
      </c>
    </row>
    <row r="5652" spans="1:5" x14ac:dyDescent="0.35">
      <c r="A5652">
        <v>2013</v>
      </c>
      <c r="B5652" t="s">
        <v>35</v>
      </c>
      <c r="C5652" t="s">
        <v>62</v>
      </c>
      <c r="D5652">
        <v>24</v>
      </c>
      <c r="E5652" t="s">
        <v>355</v>
      </c>
    </row>
    <row r="5653" spans="1:5" x14ac:dyDescent="0.35">
      <c r="A5653">
        <v>2013</v>
      </c>
      <c r="B5653" t="s">
        <v>38</v>
      </c>
      <c r="C5653" t="s">
        <v>21</v>
      </c>
      <c r="D5653">
        <v>1204</v>
      </c>
      <c r="E5653" t="s">
        <v>328</v>
      </c>
    </row>
    <row r="5654" spans="1:5" x14ac:dyDescent="0.35">
      <c r="A5654">
        <v>2013</v>
      </c>
      <c r="B5654" t="s">
        <v>38</v>
      </c>
      <c r="C5654" t="s">
        <v>21</v>
      </c>
      <c r="D5654">
        <v>375</v>
      </c>
      <c r="E5654" t="s">
        <v>355</v>
      </c>
    </row>
    <row r="5655" spans="1:5" x14ac:dyDescent="0.35">
      <c r="A5655">
        <v>2013</v>
      </c>
      <c r="B5655" t="s">
        <v>33</v>
      </c>
      <c r="C5655" t="s">
        <v>68</v>
      </c>
      <c r="D5655">
        <v>16</v>
      </c>
      <c r="E5655" t="s">
        <v>328</v>
      </c>
    </row>
    <row r="5656" spans="1:5" x14ac:dyDescent="0.35">
      <c r="A5656">
        <v>2013</v>
      </c>
      <c r="B5656" t="s">
        <v>36</v>
      </c>
      <c r="C5656" t="s">
        <v>69</v>
      </c>
      <c r="D5656">
        <v>383</v>
      </c>
      <c r="E5656" t="s">
        <v>355</v>
      </c>
    </row>
    <row r="5657" spans="1:5" x14ac:dyDescent="0.35">
      <c r="A5657">
        <v>2013</v>
      </c>
      <c r="B5657" t="s">
        <v>36</v>
      </c>
      <c r="C5657" t="s">
        <v>69</v>
      </c>
      <c r="D5657">
        <v>447</v>
      </c>
      <c r="E5657" t="s">
        <v>328</v>
      </c>
    </row>
    <row r="5658" spans="1:5" x14ac:dyDescent="0.35">
      <c r="A5658">
        <v>2013</v>
      </c>
      <c r="B5658" t="s">
        <v>33</v>
      </c>
      <c r="C5658" t="s">
        <v>71</v>
      </c>
      <c r="D5658">
        <v>0</v>
      </c>
      <c r="E5658" t="s">
        <v>355</v>
      </c>
    </row>
    <row r="5659" spans="1:5" x14ac:dyDescent="0.35">
      <c r="A5659">
        <v>2013</v>
      </c>
      <c r="B5659" t="s">
        <v>35</v>
      </c>
      <c r="C5659" t="s">
        <v>78</v>
      </c>
      <c r="D5659">
        <v>6</v>
      </c>
      <c r="E5659" t="s">
        <v>355</v>
      </c>
    </row>
    <row r="5660" spans="1:5" x14ac:dyDescent="0.35">
      <c r="A5660">
        <v>2013</v>
      </c>
      <c r="B5660" t="s">
        <v>33</v>
      </c>
      <c r="C5660" t="s">
        <v>77</v>
      </c>
      <c r="D5660">
        <v>16</v>
      </c>
      <c r="E5660" t="s">
        <v>328</v>
      </c>
    </row>
    <row r="5661" spans="1:5" x14ac:dyDescent="0.35">
      <c r="A5661">
        <v>2013</v>
      </c>
      <c r="B5661" t="s">
        <v>33</v>
      </c>
      <c r="C5661" t="s">
        <v>77</v>
      </c>
      <c r="D5661">
        <v>9</v>
      </c>
      <c r="E5661" t="s">
        <v>355</v>
      </c>
    </row>
    <row r="5662" spans="1:5" x14ac:dyDescent="0.35">
      <c r="A5662">
        <v>2013</v>
      </c>
      <c r="B5662" t="s">
        <v>36</v>
      </c>
      <c r="C5662" t="s">
        <v>76</v>
      </c>
      <c r="D5662">
        <v>204</v>
      </c>
      <c r="E5662" t="s">
        <v>328</v>
      </c>
    </row>
    <row r="5663" spans="1:5" x14ac:dyDescent="0.35">
      <c r="A5663">
        <v>2013</v>
      </c>
      <c r="B5663" t="s">
        <v>36</v>
      </c>
      <c r="C5663" t="s">
        <v>76</v>
      </c>
      <c r="D5663">
        <v>128</v>
      </c>
      <c r="E5663" t="s">
        <v>355</v>
      </c>
    </row>
    <row r="5664" spans="1:5" x14ac:dyDescent="0.35">
      <c r="A5664">
        <v>2013</v>
      </c>
      <c r="B5664" t="s">
        <v>33</v>
      </c>
      <c r="C5664" t="s">
        <v>75</v>
      </c>
      <c r="E5664" t="s">
        <v>328</v>
      </c>
    </row>
    <row r="5665" spans="1:5" x14ac:dyDescent="0.35">
      <c r="A5665">
        <v>2013</v>
      </c>
      <c r="B5665" t="s">
        <v>33</v>
      </c>
      <c r="C5665" t="s">
        <v>75</v>
      </c>
      <c r="E5665" t="s">
        <v>355</v>
      </c>
    </row>
    <row r="5666" spans="1:5" x14ac:dyDescent="0.35">
      <c r="A5666">
        <v>2013</v>
      </c>
      <c r="B5666" t="s">
        <v>35</v>
      </c>
      <c r="C5666" t="s">
        <v>60</v>
      </c>
      <c r="D5666">
        <v>6</v>
      </c>
      <c r="E5666" t="s">
        <v>328</v>
      </c>
    </row>
    <row r="5667" spans="1:5" x14ac:dyDescent="0.35">
      <c r="A5667">
        <v>2013</v>
      </c>
      <c r="B5667" t="s">
        <v>33</v>
      </c>
      <c r="C5667" t="s">
        <v>74</v>
      </c>
      <c r="E5667" t="s">
        <v>328</v>
      </c>
    </row>
    <row r="5668" spans="1:5" x14ac:dyDescent="0.35">
      <c r="A5668">
        <v>2013</v>
      </c>
      <c r="B5668" t="s">
        <v>38</v>
      </c>
      <c r="C5668" t="s">
        <v>20</v>
      </c>
      <c r="D5668">
        <v>550</v>
      </c>
      <c r="E5668" t="s">
        <v>328</v>
      </c>
    </row>
    <row r="5669" spans="1:5" x14ac:dyDescent="0.35">
      <c r="A5669">
        <v>2013</v>
      </c>
      <c r="B5669" t="s">
        <v>38</v>
      </c>
      <c r="C5669" t="s">
        <v>20</v>
      </c>
      <c r="D5669">
        <v>929</v>
      </c>
      <c r="E5669" t="s">
        <v>355</v>
      </c>
    </row>
    <row r="5670" spans="1:5" x14ac:dyDescent="0.35">
      <c r="A5670">
        <v>2013</v>
      </c>
      <c r="B5670" t="s">
        <v>34</v>
      </c>
      <c r="C5670" t="s">
        <v>73</v>
      </c>
      <c r="D5670">
        <v>792</v>
      </c>
      <c r="E5670" t="s">
        <v>328</v>
      </c>
    </row>
    <row r="5671" spans="1:5" x14ac:dyDescent="0.35">
      <c r="A5671">
        <v>2013</v>
      </c>
      <c r="B5671" t="s">
        <v>34</v>
      </c>
      <c r="C5671" t="s">
        <v>73</v>
      </c>
      <c r="D5671">
        <v>188</v>
      </c>
      <c r="E5671" t="s">
        <v>355</v>
      </c>
    </row>
    <row r="5672" spans="1:5" x14ac:dyDescent="0.35">
      <c r="A5672">
        <v>2013</v>
      </c>
      <c r="B5672" t="s">
        <v>38</v>
      </c>
      <c r="C5672" t="s">
        <v>72</v>
      </c>
      <c r="D5672">
        <v>47</v>
      </c>
      <c r="E5672" t="s">
        <v>328</v>
      </c>
    </row>
    <row r="5673" spans="1:5" x14ac:dyDescent="0.35">
      <c r="A5673">
        <v>2013</v>
      </c>
      <c r="B5673" t="s">
        <v>38</v>
      </c>
      <c r="C5673" t="s">
        <v>72</v>
      </c>
      <c r="D5673">
        <v>59</v>
      </c>
      <c r="E5673" t="s">
        <v>355</v>
      </c>
    </row>
    <row r="5674" spans="1:5" x14ac:dyDescent="0.35">
      <c r="A5674">
        <v>2013</v>
      </c>
      <c r="B5674" t="s">
        <v>33</v>
      </c>
      <c r="C5674" t="s">
        <v>71</v>
      </c>
      <c r="E5674" t="s">
        <v>328</v>
      </c>
    </row>
    <row r="5675" spans="1:5" x14ac:dyDescent="0.35">
      <c r="A5675">
        <v>2013</v>
      </c>
      <c r="B5675" t="s">
        <v>33</v>
      </c>
      <c r="C5675" t="s">
        <v>74</v>
      </c>
      <c r="D5675">
        <v>0</v>
      </c>
      <c r="E5675" t="s">
        <v>355</v>
      </c>
    </row>
    <row r="5676" spans="1:5" x14ac:dyDescent="0.35">
      <c r="A5676">
        <v>2013</v>
      </c>
      <c r="B5676" t="s">
        <v>35</v>
      </c>
      <c r="C5676" t="s">
        <v>78</v>
      </c>
      <c r="D5676">
        <v>3</v>
      </c>
      <c r="E5676" t="s">
        <v>328</v>
      </c>
    </row>
    <row r="5677" spans="1:5" x14ac:dyDescent="0.35">
      <c r="A5677">
        <v>2013</v>
      </c>
      <c r="B5677" t="s">
        <v>35</v>
      </c>
      <c r="C5677" t="s">
        <v>60</v>
      </c>
      <c r="D5677">
        <v>69</v>
      </c>
      <c r="E5677" t="s">
        <v>355</v>
      </c>
    </row>
    <row r="5678" spans="1:5" x14ac:dyDescent="0.35">
      <c r="A5678">
        <v>2013</v>
      </c>
      <c r="B5678" t="s">
        <v>38</v>
      </c>
      <c r="C5678" t="s">
        <v>59</v>
      </c>
      <c r="D5678">
        <v>65</v>
      </c>
      <c r="E5678" t="s">
        <v>355</v>
      </c>
    </row>
    <row r="5679" spans="1:5" x14ac:dyDescent="0.35">
      <c r="A5679">
        <v>2013</v>
      </c>
      <c r="B5679" t="s">
        <v>34</v>
      </c>
      <c r="C5679" t="s">
        <v>46</v>
      </c>
      <c r="D5679">
        <v>7</v>
      </c>
      <c r="E5679" t="s">
        <v>328</v>
      </c>
    </row>
    <row r="5680" spans="1:5" x14ac:dyDescent="0.35">
      <c r="A5680">
        <v>2013</v>
      </c>
      <c r="B5680" t="s">
        <v>34</v>
      </c>
      <c r="C5680" t="s">
        <v>46</v>
      </c>
      <c r="D5680">
        <v>29</v>
      </c>
      <c r="E5680" t="s">
        <v>355</v>
      </c>
    </row>
    <row r="5681" spans="1:5" x14ac:dyDescent="0.35">
      <c r="A5681">
        <v>2013</v>
      </c>
      <c r="B5681" t="s">
        <v>38</v>
      </c>
      <c r="C5681" t="s">
        <v>45</v>
      </c>
      <c r="D5681">
        <v>71</v>
      </c>
      <c r="E5681" t="s">
        <v>328</v>
      </c>
    </row>
    <row r="5682" spans="1:5" x14ac:dyDescent="0.35">
      <c r="A5682">
        <v>2013</v>
      </c>
      <c r="B5682" t="s">
        <v>38</v>
      </c>
      <c r="C5682" t="s">
        <v>45</v>
      </c>
      <c r="D5682">
        <v>88</v>
      </c>
      <c r="E5682" t="s">
        <v>355</v>
      </c>
    </row>
    <row r="5683" spans="1:5" x14ac:dyDescent="0.35">
      <c r="A5683">
        <v>2013</v>
      </c>
      <c r="B5683" t="s">
        <v>36</v>
      </c>
      <c r="C5683" t="s">
        <v>44</v>
      </c>
      <c r="D5683">
        <v>8</v>
      </c>
      <c r="E5683" t="s">
        <v>328</v>
      </c>
    </row>
    <row r="5684" spans="1:5" x14ac:dyDescent="0.35">
      <c r="A5684">
        <v>2013</v>
      </c>
      <c r="B5684" t="s">
        <v>36</v>
      </c>
      <c r="C5684" t="s">
        <v>44</v>
      </c>
      <c r="D5684">
        <v>17</v>
      </c>
      <c r="E5684" t="s">
        <v>355</v>
      </c>
    </row>
    <row r="5685" spans="1:5" x14ac:dyDescent="0.35">
      <c r="A5685">
        <v>2013</v>
      </c>
      <c r="B5685" t="s">
        <v>33</v>
      </c>
      <c r="C5685" t="s">
        <v>43</v>
      </c>
      <c r="E5685" t="s">
        <v>328</v>
      </c>
    </row>
    <row r="5686" spans="1:5" x14ac:dyDescent="0.35">
      <c r="A5686">
        <v>2013</v>
      </c>
      <c r="B5686" t="s">
        <v>33</v>
      </c>
      <c r="C5686" t="s">
        <v>43</v>
      </c>
      <c r="E5686" t="s">
        <v>355</v>
      </c>
    </row>
    <row r="5687" spans="1:5" x14ac:dyDescent="0.35">
      <c r="A5687">
        <v>2013</v>
      </c>
      <c r="C5687" t="s">
        <v>373</v>
      </c>
      <c r="D5687">
        <v>38</v>
      </c>
      <c r="E5687" t="s">
        <v>328</v>
      </c>
    </row>
    <row r="5688" spans="1:5" x14ac:dyDescent="0.35">
      <c r="A5688">
        <v>2013</v>
      </c>
      <c r="C5688" t="s">
        <v>373</v>
      </c>
      <c r="D5688">
        <v>24</v>
      </c>
      <c r="E5688" t="s">
        <v>355</v>
      </c>
    </row>
    <row r="5689" spans="1:5" x14ac:dyDescent="0.35">
      <c r="A5689">
        <v>2013</v>
      </c>
      <c r="B5689" t="s">
        <v>33</v>
      </c>
      <c r="C5689" t="s">
        <v>42</v>
      </c>
      <c r="E5689" t="s">
        <v>328</v>
      </c>
    </row>
    <row r="5690" spans="1:5" x14ac:dyDescent="0.35">
      <c r="A5690">
        <v>2013</v>
      </c>
      <c r="B5690" t="s">
        <v>33</v>
      </c>
      <c r="C5690" t="s">
        <v>42</v>
      </c>
      <c r="E5690" t="s">
        <v>355</v>
      </c>
    </row>
    <row r="5691" spans="1:5" x14ac:dyDescent="0.35">
      <c r="A5691">
        <v>2013</v>
      </c>
      <c r="B5691" t="s">
        <v>35</v>
      </c>
      <c r="C5691" t="s">
        <v>41</v>
      </c>
      <c r="D5691">
        <v>33</v>
      </c>
      <c r="E5691" t="s">
        <v>328</v>
      </c>
    </row>
    <row r="5692" spans="1:5" x14ac:dyDescent="0.35">
      <c r="A5692">
        <v>2013</v>
      </c>
      <c r="B5692" t="s">
        <v>35</v>
      </c>
      <c r="C5692" t="s">
        <v>41</v>
      </c>
      <c r="D5692">
        <v>31</v>
      </c>
      <c r="E5692" t="s">
        <v>355</v>
      </c>
    </row>
    <row r="5693" spans="1:5" x14ac:dyDescent="0.35">
      <c r="A5693">
        <v>2013</v>
      </c>
      <c r="B5693" t="s">
        <v>34</v>
      </c>
      <c r="C5693" t="s">
        <v>118</v>
      </c>
      <c r="D5693">
        <v>134</v>
      </c>
      <c r="E5693" t="s">
        <v>355</v>
      </c>
    </row>
    <row r="5694" spans="1:5" x14ac:dyDescent="0.35">
      <c r="A5694">
        <v>2013</v>
      </c>
      <c r="B5694" t="s">
        <v>37</v>
      </c>
      <c r="C5694" t="s">
        <v>47</v>
      </c>
      <c r="D5694">
        <v>23</v>
      </c>
      <c r="E5694" t="s">
        <v>355</v>
      </c>
    </row>
    <row r="5695" spans="1:5" x14ac:dyDescent="0.35">
      <c r="A5695">
        <v>2013</v>
      </c>
      <c r="B5695" t="s">
        <v>37</v>
      </c>
      <c r="C5695" t="s">
        <v>47</v>
      </c>
      <c r="D5695">
        <v>22</v>
      </c>
      <c r="E5695" t="s">
        <v>328</v>
      </c>
    </row>
    <row r="5696" spans="1:5" x14ac:dyDescent="0.35">
      <c r="A5696">
        <v>2013</v>
      </c>
      <c r="B5696" t="s">
        <v>35</v>
      </c>
      <c r="C5696" t="s">
        <v>48</v>
      </c>
      <c r="D5696">
        <v>5</v>
      </c>
      <c r="E5696" t="s">
        <v>355</v>
      </c>
    </row>
    <row r="5697" spans="1:5" x14ac:dyDescent="0.35">
      <c r="A5697">
        <v>2013</v>
      </c>
      <c r="B5697" t="s">
        <v>35</v>
      </c>
      <c r="C5697" t="s">
        <v>48</v>
      </c>
      <c r="D5697">
        <v>9</v>
      </c>
      <c r="E5697" t="s">
        <v>328</v>
      </c>
    </row>
    <row r="5698" spans="1:5" x14ac:dyDescent="0.35">
      <c r="A5698">
        <v>2013</v>
      </c>
      <c r="B5698" t="s">
        <v>33</v>
      </c>
      <c r="C5698" t="s">
        <v>57</v>
      </c>
      <c r="E5698" t="s">
        <v>328</v>
      </c>
    </row>
    <row r="5699" spans="1:5" x14ac:dyDescent="0.35">
      <c r="A5699">
        <v>2013</v>
      </c>
      <c r="B5699" t="s">
        <v>33</v>
      </c>
      <c r="C5699" t="s">
        <v>57</v>
      </c>
      <c r="E5699" t="s">
        <v>355</v>
      </c>
    </row>
    <row r="5700" spans="1:5" x14ac:dyDescent="0.35">
      <c r="A5700">
        <v>2013</v>
      </c>
      <c r="B5700" t="s">
        <v>36</v>
      </c>
      <c r="C5700" t="s">
        <v>56</v>
      </c>
      <c r="D5700">
        <v>55</v>
      </c>
      <c r="E5700" t="s">
        <v>328</v>
      </c>
    </row>
    <row r="5701" spans="1:5" x14ac:dyDescent="0.35">
      <c r="A5701">
        <v>2013</v>
      </c>
      <c r="B5701" t="s">
        <v>36</v>
      </c>
      <c r="C5701" t="s">
        <v>56</v>
      </c>
      <c r="D5701">
        <v>121</v>
      </c>
      <c r="E5701" t="s">
        <v>355</v>
      </c>
    </row>
    <row r="5702" spans="1:5" x14ac:dyDescent="0.35">
      <c r="A5702">
        <v>2013</v>
      </c>
      <c r="B5702" t="s">
        <v>35</v>
      </c>
      <c r="C5702" t="s">
        <v>55</v>
      </c>
      <c r="D5702">
        <v>7</v>
      </c>
      <c r="E5702" t="s">
        <v>328</v>
      </c>
    </row>
    <row r="5703" spans="1:5" x14ac:dyDescent="0.35">
      <c r="A5703">
        <v>2013</v>
      </c>
      <c r="B5703" t="s">
        <v>35</v>
      </c>
      <c r="C5703" t="s">
        <v>55</v>
      </c>
      <c r="D5703">
        <v>6</v>
      </c>
      <c r="E5703" t="s">
        <v>355</v>
      </c>
    </row>
    <row r="5704" spans="1:5" x14ac:dyDescent="0.35">
      <c r="A5704">
        <v>2013</v>
      </c>
      <c r="B5704" t="s">
        <v>35</v>
      </c>
      <c r="C5704" t="s">
        <v>54</v>
      </c>
      <c r="D5704">
        <v>5</v>
      </c>
      <c r="E5704" t="s">
        <v>328</v>
      </c>
    </row>
    <row r="5705" spans="1:5" x14ac:dyDescent="0.35">
      <c r="A5705">
        <v>2013</v>
      </c>
      <c r="B5705" t="s">
        <v>38</v>
      </c>
      <c r="C5705" t="s">
        <v>59</v>
      </c>
      <c r="D5705">
        <v>57</v>
      </c>
      <c r="E5705" t="s">
        <v>328</v>
      </c>
    </row>
    <row r="5706" spans="1:5" x14ac:dyDescent="0.35">
      <c r="A5706">
        <v>2013</v>
      </c>
      <c r="B5706" t="s">
        <v>35</v>
      </c>
      <c r="C5706" t="s">
        <v>54</v>
      </c>
      <c r="D5706">
        <v>10</v>
      </c>
      <c r="E5706" t="s">
        <v>355</v>
      </c>
    </row>
    <row r="5707" spans="1:5" x14ac:dyDescent="0.35">
      <c r="A5707">
        <v>2013</v>
      </c>
      <c r="B5707" t="s">
        <v>36</v>
      </c>
      <c r="C5707" t="s">
        <v>53</v>
      </c>
      <c r="D5707">
        <v>24</v>
      </c>
      <c r="E5707" t="s">
        <v>355</v>
      </c>
    </row>
    <row r="5708" spans="1:5" x14ac:dyDescent="0.35">
      <c r="A5708">
        <v>2013</v>
      </c>
      <c r="B5708" t="s">
        <v>34</v>
      </c>
      <c r="C5708" t="s">
        <v>52</v>
      </c>
      <c r="D5708">
        <v>51</v>
      </c>
      <c r="E5708" t="s">
        <v>328</v>
      </c>
    </row>
    <row r="5709" spans="1:5" x14ac:dyDescent="0.35">
      <c r="A5709">
        <v>2013</v>
      </c>
      <c r="B5709" t="s">
        <v>34</v>
      </c>
      <c r="C5709" t="s">
        <v>52</v>
      </c>
      <c r="D5709">
        <v>13</v>
      </c>
      <c r="E5709" t="s">
        <v>355</v>
      </c>
    </row>
    <row r="5710" spans="1:5" x14ac:dyDescent="0.35">
      <c r="A5710">
        <v>2013</v>
      </c>
      <c r="B5710" t="s">
        <v>36</v>
      </c>
      <c r="C5710" t="s">
        <v>50</v>
      </c>
      <c r="D5710">
        <v>18</v>
      </c>
      <c r="E5710" t="s">
        <v>328</v>
      </c>
    </row>
    <row r="5711" spans="1:5" x14ac:dyDescent="0.35">
      <c r="A5711">
        <v>2013</v>
      </c>
      <c r="B5711" t="s">
        <v>36</v>
      </c>
      <c r="C5711" t="s">
        <v>50</v>
      </c>
      <c r="D5711">
        <v>80</v>
      </c>
      <c r="E5711" t="s">
        <v>355</v>
      </c>
    </row>
    <row r="5712" spans="1:5" x14ac:dyDescent="0.35">
      <c r="A5712">
        <v>2013</v>
      </c>
      <c r="B5712" t="s">
        <v>34</v>
      </c>
      <c r="C5712" t="s">
        <v>49</v>
      </c>
      <c r="E5712" t="s">
        <v>328</v>
      </c>
    </row>
    <row r="5713" spans="1:5" x14ac:dyDescent="0.35">
      <c r="A5713">
        <v>2013</v>
      </c>
      <c r="B5713" t="s">
        <v>34</v>
      </c>
      <c r="C5713" t="s">
        <v>49</v>
      </c>
      <c r="E5713" t="s">
        <v>355</v>
      </c>
    </row>
    <row r="5714" spans="1:5" x14ac:dyDescent="0.35">
      <c r="A5714">
        <v>2013</v>
      </c>
      <c r="B5714" t="s">
        <v>36</v>
      </c>
      <c r="C5714" t="s">
        <v>53</v>
      </c>
      <c r="D5714">
        <v>3</v>
      </c>
      <c r="E5714" t="s">
        <v>328</v>
      </c>
    </row>
    <row r="5715" spans="1:5" x14ac:dyDescent="0.35">
      <c r="A5715">
        <v>2013</v>
      </c>
      <c r="B5715" t="s">
        <v>36</v>
      </c>
      <c r="C5715" t="s">
        <v>79</v>
      </c>
      <c r="D5715">
        <v>30</v>
      </c>
      <c r="E5715" t="s">
        <v>355</v>
      </c>
    </row>
    <row r="5716" spans="1:5" x14ac:dyDescent="0.35">
      <c r="A5716">
        <v>2013</v>
      </c>
      <c r="B5716" t="s">
        <v>34</v>
      </c>
      <c r="C5716" t="s">
        <v>40</v>
      </c>
      <c r="D5716">
        <v>6</v>
      </c>
      <c r="E5716" t="s">
        <v>328</v>
      </c>
    </row>
    <row r="5717" spans="1:5" x14ac:dyDescent="0.35">
      <c r="A5717">
        <v>2013</v>
      </c>
      <c r="B5717" t="s">
        <v>34</v>
      </c>
      <c r="C5717" t="s">
        <v>107</v>
      </c>
      <c r="D5717">
        <v>100</v>
      </c>
      <c r="E5717" t="s">
        <v>328</v>
      </c>
    </row>
    <row r="5718" spans="1:5" x14ac:dyDescent="0.35">
      <c r="A5718">
        <v>2013</v>
      </c>
      <c r="B5718" t="s">
        <v>36</v>
      </c>
      <c r="C5718" t="s">
        <v>79</v>
      </c>
      <c r="D5718">
        <v>14</v>
      </c>
      <c r="E5718" t="s">
        <v>328</v>
      </c>
    </row>
    <row r="5719" spans="1:5" x14ac:dyDescent="0.35">
      <c r="A5719">
        <v>2013</v>
      </c>
      <c r="B5719" t="s">
        <v>34</v>
      </c>
      <c r="C5719" t="s">
        <v>107</v>
      </c>
      <c r="D5719">
        <v>21</v>
      </c>
      <c r="E5719" t="s">
        <v>355</v>
      </c>
    </row>
    <row r="5720" spans="1:5" x14ac:dyDescent="0.35">
      <c r="A5720">
        <v>2013</v>
      </c>
      <c r="B5720" t="s">
        <v>34</v>
      </c>
      <c r="C5720" t="s">
        <v>22</v>
      </c>
      <c r="D5720">
        <v>328</v>
      </c>
      <c r="E5720" t="s">
        <v>328</v>
      </c>
    </row>
    <row r="5721" spans="1:5" x14ac:dyDescent="0.35">
      <c r="A5721">
        <v>2013</v>
      </c>
      <c r="B5721" t="s">
        <v>34</v>
      </c>
      <c r="C5721" t="s">
        <v>22</v>
      </c>
      <c r="D5721">
        <v>135</v>
      </c>
      <c r="E5721" t="s">
        <v>355</v>
      </c>
    </row>
    <row r="5722" spans="1:5" x14ac:dyDescent="0.35">
      <c r="A5722">
        <v>2013</v>
      </c>
      <c r="B5722" t="s">
        <v>35</v>
      </c>
      <c r="C5722" t="s">
        <v>105</v>
      </c>
      <c r="D5722">
        <v>37</v>
      </c>
      <c r="E5722" t="s">
        <v>328</v>
      </c>
    </row>
    <row r="5723" spans="1:5" x14ac:dyDescent="0.35">
      <c r="A5723">
        <v>2013</v>
      </c>
      <c r="B5723" t="s">
        <v>35</v>
      </c>
      <c r="C5723" t="s">
        <v>105</v>
      </c>
      <c r="D5723">
        <v>29</v>
      </c>
      <c r="E5723" t="s">
        <v>355</v>
      </c>
    </row>
    <row r="5724" spans="1:5" x14ac:dyDescent="0.35">
      <c r="A5724">
        <v>2013</v>
      </c>
      <c r="B5724" t="s">
        <v>36</v>
      </c>
      <c r="C5724" t="s">
        <v>17</v>
      </c>
      <c r="D5724">
        <v>20042</v>
      </c>
      <c r="E5724" t="s">
        <v>328</v>
      </c>
    </row>
    <row r="5725" spans="1:5" x14ac:dyDescent="0.35">
      <c r="A5725">
        <v>2013</v>
      </c>
      <c r="B5725" t="s">
        <v>36</v>
      </c>
      <c r="C5725" t="s">
        <v>17</v>
      </c>
      <c r="D5725">
        <v>16598</v>
      </c>
      <c r="E5725" t="s">
        <v>355</v>
      </c>
    </row>
    <row r="5726" spans="1:5" x14ac:dyDescent="0.35">
      <c r="A5726">
        <v>2013</v>
      </c>
      <c r="B5726" t="s">
        <v>36</v>
      </c>
      <c r="C5726" t="s">
        <v>104</v>
      </c>
      <c r="D5726">
        <v>76</v>
      </c>
      <c r="E5726" t="s">
        <v>328</v>
      </c>
    </row>
    <row r="5727" spans="1:5" x14ac:dyDescent="0.35">
      <c r="A5727">
        <v>2013</v>
      </c>
      <c r="B5727" t="s">
        <v>36</v>
      </c>
      <c r="C5727" t="s">
        <v>104</v>
      </c>
      <c r="D5727">
        <v>458</v>
      </c>
      <c r="E5727" t="s">
        <v>355</v>
      </c>
    </row>
    <row r="5728" spans="1:5" x14ac:dyDescent="0.35">
      <c r="A5728">
        <v>2013</v>
      </c>
      <c r="B5728" t="s">
        <v>38</v>
      </c>
      <c r="C5728" t="s">
        <v>103</v>
      </c>
      <c r="D5728">
        <v>135</v>
      </c>
      <c r="E5728" t="s">
        <v>355</v>
      </c>
    </row>
    <row r="5729" spans="1:5" x14ac:dyDescent="0.35">
      <c r="A5729">
        <v>2013</v>
      </c>
      <c r="B5729" t="s">
        <v>33</v>
      </c>
      <c r="C5729" t="s">
        <v>101</v>
      </c>
      <c r="E5729" t="s">
        <v>328</v>
      </c>
    </row>
    <row r="5730" spans="1:5" x14ac:dyDescent="0.35">
      <c r="A5730">
        <v>2013</v>
      </c>
      <c r="B5730" t="s">
        <v>33</v>
      </c>
      <c r="C5730" t="s">
        <v>101</v>
      </c>
      <c r="E5730" t="s">
        <v>355</v>
      </c>
    </row>
    <row r="5731" spans="1:5" x14ac:dyDescent="0.35">
      <c r="A5731">
        <v>2013</v>
      </c>
      <c r="B5731" t="s">
        <v>36</v>
      </c>
      <c r="C5731" t="s">
        <v>15</v>
      </c>
      <c r="D5731">
        <v>31595</v>
      </c>
      <c r="E5731" t="s">
        <v>328</v>
      </c>
    </row>
    <row r="5732" spans="1:5" x14ac:dyDescent="0.35">
      <c r="A5732">
        <v>2013</v>
      </c>
      <c r="B5732" t="s">
        <v>36</v>
      </c>
      <c r="C5732" t="s">
        <v>15</v>
      </c>
      <c r="D5732">
        <v>15426</v>
      </c>
      <c r="E5732" t="s">
        <v>355</v>
      </c>
    </row>
    <row r="5733" spans="1:5" x14ac:dyDescent="0.35">
      <c r="A5733">
        <v>2013</v>
      </c>
      <c r="B5733" t="s">
        <v>34</v>
      </c>
      <c r="C5733" t="s">
        <v>108</v>
      </c>
      <c r="D5733">
        <v>10</v>
      </c>
      <c r="E5733" t="s">
        <v>355</v>
      </c>
    </row>
    <row r="5734" spans="1:5" x14ac:dyDescent="0.35">
      <c r="A5734">
        <v>2013</v>
      </c>
      <c r="B5734" t="s">
        <v>36</v>
      </c>
      <c r="C5734" t="s">
        <v>100</v>
      </c>
      <c r="D5734">
        <v>6</v>
      </c>
      <c r="E5734" t="s">
        <v>328</v>
      </c>
    </row>
    <row r="5735" spans="1:5" x14ac:dyDescent="0.35">
      <c r="A5735">
        <v>2013</v>
      </c>
      <c r="B5735" t="s">
        <v>34</v>
      </c>
      <c r="C5735" t="s">
        <v>108</v>
      </c>
      <c r="D5735">
        <v>23</v>
      </c>
      <c r="E5735" t="s">
        <v>328</v>
      </c>
    </row>
    <row r="5736" spans="1:5" x14ac:dyDescent="0.35">
      <c r="A5736">
        <v>2013</v>
      </c>
      <c r="B5736" t="s">
        <v>34</v>
      </c>
      <c r="C5736" t="s">
        <v>109</v>
      </c>
      <c r="D5736">
        <v>14</v>
      </c>
      <c r="E5736" t="s">
        <v>328</v>
      </c>
    </row>
    <row r="5737" spans="1:5" x14ac:dyDescent="0.35">
      <c r="A5737">
        <v>2013</v>
      </c>
      <c r="B5737" t="s">
        <v>33</v>
      </c>
      <c r="C5737" t="s">
        <v>117</v>
      </c>
      <c r="D5737">
        <v>68</v>
      </c>
      <c r="E5737" t="s">
        <v>355</v>
      </c>
    </row>
    <row r="5738" spans="1:5" x14ac:dyDescent="0.35">
      <c r="A5738">
        <v>2013</v>
      </c>
      <c r="B5738" t="s">
        <v>34</v>
      </c>
      <c r="C5738" t="s">
        <v>116</v>
      </c>
      <c r="D5738">
        <v>15</v>
      </c>
      <c r="E5738" t="s">
        <v>328</v>
      </c>
    </row>
    <row r="5739" spans="1:5" x14ac:dyDescent="0.35">
      <c r="A5739">
        <v>2013</v>
      </c>
      <c r="B5739" t="s">
        <v>34</v>
      </c>
      <c r="C5739" t="s">
        <v>116</v>
      </c>
      <c r="D5739">
        <v>8</v>
      </c>
      <c r="E5739" t="s">
        <v>355</v>
      </c>
    </row>
    <row r="5740" spans="1:5" x14ac:dyDescent="0.35">
      <c r="A5740">
        <v>2013</v>
      </c>
      <c r="B5740" t="s">
        <v>34</v>
      </c>
      <c r="C5740" t="s">
        <v>115</v>
      </c>
      <c r="D5740">
        <v>34</v>
      </c>
      <c r="E5740" t="s">
        <v>328</v>
      </c>
    </row>
    <row r="5741" spans="1:5" x14ac:dyDescent="0.35">
      <c r="A5741">
        <v>2013</v>
      </c>
      <c r="B5741" t="s">
        <v>34</v>
      </c>
      <c r="C5741" t="s">
        <v>115</v>
      </c>
      <c r="D5741">
        <v>32</v>
      </c>
      <c r="E5741" t="s">
        <v>355</v>
      </c>
    </row>
    <row r="5742" spans="1:5" x14ac:dyDescent="0.35">
      <c r="A5742">
        <v>2013</v>
      </c>
      <c r="B5742" t="s">
        <v>34</v>
      </c>
      <c r="C5742" t="s">
        <v>114</v>
      </c>
      <c r="D5742">
        <v>31</v>
      </c>
      <c r="E5742" t="s">
        <v>328</v>
      </c>
    </row>
    <row r="5743" spans="1:5" x14ac:dyDescent="0.35">
      <c r="A5743">
        <v>2013</v>
      </c>
      <c r="B5743" t="s">
        <v>34</v>
      </c>
      <c r="C5743" t="s">
        <v>114</v>
      </c>
      <c r="D5743">
        <v>18</v>
      </c>
      <c r="E5743" t="s">
        <v>355</v>
      </c>
    </row>
    <row r="5744" spans="1:5" x14ac:dyDescent="0.35">
      <c r="A5744">
        <v>2013</v>
      </c>
      <c r="B5744" t="s">
        <v>36</v>
      </c>
      <c r="C5744" t="s">
        <v>113</v>
      </c>
      <c r="D5744">
        <v>113</v>
      </c>
      <c r="E5744" t="s">
        <v>328</v>
      </c>
    </row>
    <row r="5745" spans="1:5" x14ac:dyDescent="0.35">
      <c r="A5745">
        <v>2013</v>
      </c>
      <c r="B5745" t="s">
        <v>36</v>
      </c>
      <c r="C5745" t="s">
        <v>113</v>
      </c>
      <c r="D5745">
        <v>999</v>
      </c>
      <c r="E5745" t="s">
        <v>355</v>
      </c>
    </row>
    <row r="5746" spans="1:5" x14ac:dyDescent="0.35">
      <c r="A5746">
        <v>2013</v>
      </c>
      <c r="B5746" t="s">
        <v>35</v>
      </c>
      <c r="C5746" t="s">
        <v>112</v>
      </c>
      <c r="D5746">
        <v>70</v>
      </c>
      <c r="E5746" t="s">
        <v>328</v>
      </c>
    </row>
    <row r="5747" spans="1:5" x14ac:dyDescent="0.35">
      <c r="A5747">
        <v>2013</v>
      </c>
      <c r="B5747" t="s">
        <v>35</v>
      </c>
      <c r="C5747" t="s">
        <v>112</v>
      </c>
      <c r="D5747">
        <v>51</v>
      </c>
      <c r="E5747" t="s">
        <v>355</v>
      </c>
    </row>
    <row r="5748" spans="1:5" x14ac:dyDescent="0.35">
      <c r="A5748">
        <v>2013</v>
      </c>
      <c r="B5748" t="s">
        <v>34</v>
      </c>
      <c r="C5748" t="s">
        <v>111</v>
      </c>
      <c r="D5748">
        <v>95</v>
      </c>
      <c r="E5748" t="s">
        <v>328</v>
      </c>
    </row>
    <row r="5749" spans="1:5" x14ac:dyDescent="0.35">
      <c r="A5749">
        <v>2013</v>
      </c>
      <c r="B5749" t="s">
        <v>34</v>
      </c>
      <c r="C5749" t="s">
        <v>111</v>
      </c>
      <c r="D5749">
        <v>34</v>
      </c>
      <c r="E5749" t="s">
        <v>355</v>
      </c>
    </row>
    <row r="5750" spans="1:5" x14ac:dyDescent="0.35">
      <c r="A5750">
        <v>2013</v>
      </c>
      <c r="B5750" t="s">
        <v>35</v>
      </c>
      <c r="C5750" t="s">
        <v>110</v>
      </c>
      <c r="D5750">
        <v>29</v>
      </c>
      <c r="E5750" t="s">
        <v>328</v>
      </c>
    </row>
    <row r="5751" spans="1:5" x14ac:dyDescent="0.35">
      <c r="A5751">
        <v>2013</v>
      </c>
      <c r="B5751" t="s">
        <v>35</v>
      </c>
      <c r="C5751" t="s">
        <v>110</v>
      </c>
      <c r="D5751">
        <v>22</v>
      </c>
      <c r="E5751" t="s">
        <v>355</v>
      </c>
    </row>
    <row r="5752" spans="1:5" x14ac:dyDescent="0.35">
      <c r="A5752">
        <v>2013</v>
      </c>
      <c r="B5752" t="s">
        <v>34</v>
      </c>
      <c r="C5752" t="s">
        <v>109</v>
      </c>
      <c r="D5752">
        <v>15</v>
      </c>
      <c r="E5752" t="s">
        <v>355</v>
      </c>
    </row>
    <row r="5753" spans="1:5" x14ac:dyDescent="0.35">
      <c r="A5753">
        <v>2013</v>
      </c>
      <c r="B5753" t="s">
        <v>36</v>
      </c>
      <c r="C5753" t="s">
        <v>100</v>
      </c>
      <c r="D5753">
        <v>5</v>
      </c>
      <c r="E5753" t="s">
        <v>355</v>
      </c>
    </row>
    <row r="5754" spans="1:5" x14ac:dyDescent="0.35">
      <c r="A5754">
        <v>2013</v>
      </c>
      <c r="B5754" t="s">
        <v>38</v>
      </c>
      <c r="C5754" t="s">
        <v>103</v>
      </c>
      <c r="D5754">
        <v>19</v>
      </c>
      <c r="E5754" t="s">
        <v>328</v>
      </c>
    </row>
    <row r="5755" spans="1:5" x14ac:dyDescent="0.35">
      <c r="A5755">
        <v>2013</v>
      </c>
      <c r="B5755" t="s">
        <v>35</v>
      </c>
      <c r="C5755" t="s">
        <v>99</v>
      </c>
      <c r="D5755">
        <v>13</v>
      </c>
      <c r="E5755" t="s">
        <v>355</v>
      </c>
    </row>
    <row r="5756" spans="1:5" x14ac:dyDescent="0.35">
      <c r="A5756">
        <v>2013</v>
      </c>
      <c r="B5756" t="s">
        <v>33</v>
      </c>
      <c r="C5756" t="s">
        <v>88</v>
      </c>
      <c r="E5756" t="s">
        <v>328</v>
      </c>
    </row>
    <row r="5757" spans="1:5" x14ac:dyDescent="0.35">
      <c r="A5757">
        <v>2013</v>
      </c>
      <c r="B5757" t="s">
        <v>33</v>
      </c>
      <c r="C5757" t="s">
        <v>88</v>
      </c>
      <c r="D5757">
        <v>0</v>
      </c>
      <c r="E5757" t="s">
        <v>355</v>
      </c>
    </row>
    <row r="5758" spans="1:5" x14ac:dyDescent="0.35">
      <c r="A5758">
        <v>2013</v>
      </c>
      <c r="B5758" t="s">
        <v>36</v>
      </c>
      <c r="C5758" t="s">
        <v>16</v>
      </c>
      <c r="D5758">
        <v>11660</v>
      </c>
      <c r="E5758" t="s">
        <v>328</v>
      </c>
    </row>
    <row r="5759" spans="1:5" x14ac:dyDescent="0.35">
      <c r="A5759">
        <v>2013</v>
      </c>
      <c r="B5759" t="s">
        <v>36</v>
      </c>
      <c r="C5759" t="s">
        <v>16</v>
      </c>
      <c r="D5759">
        <v>9472</v>
      </c>
      <c r="E5759" t="s">
        <v>355</v>
      </c>
    </row>
    <row r="5760" spans="1:5" x14ac:dyDescent="0.35">
      <c r="A5760">
        <v>2013</v>
      </c>
      <c r="B5760" t="s">
        <v>33</v>
      </c>
      <c r="C5760" t="s">
        <v>87</v>
      </c>
      <c r="D5760">
        <v>51</v>
      </c>
      <c r="E5760" t="s">
        <v>328</v>
      </c>
    </row>
    <row r="5761" spans="1:5" x14ac:dyDescent="0.35">
      <c r="A5761">
        <v>2013</v>
      </c>
      <c r="B5761" t="s">
        <v>35</v>
      </c>
      <c r="C5761" t="s">
        <v>99</v>
      </c>
      <c r="D5761">
        <v>15</v>
      </c>
      <c r="E5761" t="s">
        <v>328</v>
      </c>
    </row>
    <row r="5762" spans="1:5" x14ac:dyDescent="0.35">
      <c r="A5762">
        <v>2013</v>
      </c>
      <c r="B5762" t="s">
        <v>38</v>
      </c>
      <c r="C5762" t="s">
        <v>86</v>
      </c>
      <c r="D5762">
        <v>933</v>
      </c>
      <c r="E5762" t="s">
        <v>328</v>
      </c>
    </row>
    <row r="5763" spans="1:5" x14ac:dyDescent="0.35">
      <c r="A5763">
        <v>2013</v>
      </c>
      <c r="B5763" t="s">
        <v>33</v>
      </c>
      <c r="C5763" t="s">
        <v>89</v>
      </c>
      <c r="D5763">
        <v>0</v>
      </c>
      <c r="E5763" t="s">
        <v>355</v>
      </c>
    </row>
    <row r="5764" spans="1:5" x14ac:dyDescent="0.35">
      <c r="A5764">
        <v>2013</v>
      </c>
      <c r="B5764" t="s">
        <v>38</v>
      </c>
      <c r="C5764" t="s">
        <v>86</v>
      </c>
      <c r="D5764">
        <v>579</v>
      </c>
      <c r="E5764" t="s">
        <v>355</v>
      </c>
    </row>
    <row r="5765" spans="1:5" x14ac:dyDescent="0.35">
      <c r="A5765">
        <v>2013</v>
      </c>
      <c r="B5765" t="s">
        <v>36</v>
      </c>
      <c r="C5765" t="s">
        <v>85</v>
      </c>
      <c r="D5765">
        <v>1821</v>
      </c>
      <c r="E5765" t="s">
        <v>355</v>
      </c>
    </row>
    <row r="5766" spans="1:5" x14ac:dyDescent="0.35">
      <c r="A5766">
        <v>2013</v>
      </c>
      <c r="B5766" t="s">
        <v>36</v>
      </c>
      <c r="C5766" t="s">
        <v>84</v>
      </c>
      <c r="D5766">
        <v>9</v>
      </c>
      <c r="E5766" t="s">
        <v>328</v>
      </c>
    </row>
    <row r="5767" spans="1:5" x14ac:dyDescent="0.35">
      <c r="A5767">
        <v>2013</v>
      </c>
      <c r="B5767" t="s">
        <v>36</v>
      </c>
      <c r="C5767" t="s">
        <v>84</v>
      </c>
      <c r="D5767">
        <v>9</v>
      </c>
      <c r="E5767" t="s">
        <v>355</v>
      </c>
    </row>
    <row r="5768" spans="1:5" x14ac:dyDescent="0.35">
      <c r="A5768">
        <v>2013</v>
      </c>
      <c r="B5768" t="s">
        <v>35</v>
      </c>
      <c r="C5768" t="s">
        <v>214</v>
      </c>
      <c r="D5768">
        <v>22</v>
      </c>
      <c r="E5768" t="s">
        <v>328</v>
      </c>
    </row>
    <row r="5769" spans="1:5" x14ac:dyDescent="0.35">
      <c r="A5769">
        <v>2013</v>
      </c>
      <c r="B5769" t="s">
        <v>35</v>
      </c>
      <c r="C5769" t="s">
        <v>214</v>
      </c>
      <c r="D5769">
        <v>18</v>
      </c>
      <c r="E5769" t="s">
        <v>355</v>
      </c>
    </row>
    <row r="5770" spans="1:5" x14ac:dyDescent="0.35">
      <c r="A5770">
        <v>2013</v>
      </c>
      <c r="B5770" t="s">
        <v>35</v>
      </c>
      <c r="C5770" t="s">
        <v>81</v>
      </c>
      <c r="D5770">
        <v>7</v>
      </c>
      <c r="E5770" t="s">
        <v>328</v>
      </c>
    </row>
    <row r="5771" spans="1:5" x14ac:dyDescent="0.35">
      <c r="A5771">
        <v>2013</v>
      </c>
      <c r="B5771" t="s">
        <v>35</v>
      </c>
      <c r="C5771" t="s">
        <v>81</v>
      </c>
      <c r="D5771">
        <v>0</v>
      </c>
      <c r="E5771" t="s">
        <v>355</v>
      </c>
    </row>
    <row r="5772" spans="1:5" x14ac:dyDescent="0.35">
      <c r="A5772">
        <v>2013</v>
      </c>
      <c r="B5772" t="s">
        <v>36</v>
      </c>
      <c r="C5772" t="s">
        <v>85</v>
      </c>
      <c r="D5772">
        <v>504</v>
      </c>
      <c r="E5772" t="s">
        <v>328</v>
      </c>
    </row>
    <row r="5773" spans="1:5" x14ac:dyDescent="0.35">
      <c r="A5773">
        <v>2013</v>
      </c>
      <c r="B5773" t="s">
        <v>33</v>
      </c>
      <c r="C5773" t="s">
        <v>89</v>
      </c>
      <c r="D5773">
        <v>4</v>
      </c>
      <c r="E5773" t="s">
        <v>328</v>
      </c>
    </row>
    <row r="5774" spans="1:5" x14ac:dyDescent="0.35">
      <c r="A5774">
        <v>2013</v>
      </c>
      <c r="B5774" t="s">
        <v>33</v>
      </c>
      <c r="C5774" t="s">
        <v>87</v>
      </c>
      <c r="D5774">
        <v>22</v>
      </c>
      <c r="E5774" t="s">
        <v>355</v>
      </c>
    </row>
    <row r="5775" spans="1:5" x14ac:dyDescent="0.35">
      <c r="A5775">
        <v>2013</v>
      </c>
      <c r="B5775" t="s">
        <v>35</v>
      </c>
      <c r="C5775" t="s">
        <v>90</v>
      </c>
      <c r="D5775">
        <v>9</v>
      </c>
      <c r="E5775" t="s">
        <v>328</v>
      </c>
    </row>
    <row r="5776" spans="1:5" x14ac:dyDescent="0.35">
      <c r="A5776">
        <v>2013</v>
      </c>
      <c r="B5776" t="s">
        <v>35</v>
      </c>
      <c r="C5776" t="s">
        <v>90</v>
      </c>
      <c r="D5776">
        <v>9</v>
      </c>
      <c r="E5776" t="s">
        <v>355</v>
      </c>
    </row>
    <row r="5777" spans="1:5" x14ac:dyDescent="0.35">
      <c r="A5777">
        <v>2013</v>
      </c>
      <c r="B5777" t="s">
        <v>33</v>
      </c>
      <c r="C5777" t="s">
        <v>98</v>
      </c>
      <c r="D5777">
        <v>54</v>
      </c>
      <c r="E5777" t="s">
        <v>355</v>
      </c>
    </row>
    <row r="5778" spans="1:5" x14ac:dyDescent="0.35">
      <c r="A5778">
        <v>2013</v>
      </c>
      <c r="B5778" t="s">
        <v>35</v>
      </c>
      <c r="C5778" t="s">
        <v>97</v>
      </c>
      <c r="D5778">
        <v>36</v>
      </c>
      <c r="E5778" t="s">
        <v>328</v>
      </c>
    </row>
    <row r="5779" spans="1:5" x14ac:dyDescent="0.35">
      <c r="A5779">
        <v>2013</v>
      </c>
      <c r="B5779" t="s">
        <v>35</v>
      </c>
      <c r="C5779" t="s">
        <v>97</v>
      </c>
      <c r="D5779">
        <v>52</v>
      </c>
      <c r="E5779" t="s">
        <v>355</v>
      </c>
    </row>
    <row r="5780" spans="1:5" x14ac:dyDescent="0.35">
      <c r="A5780">
        <v>2013</v>
      </c>
      <c r="B5780" t="s">
        <v>34</v>
      </c>
      <c r="C5780" t="s">
        <v>8</v>
      </c>
      <c r="D5780">
        <v>22</v>
      </c>
      <c r="E5780" t="s">
        <v>328</v>
      </c>
    </row>
    <row r="5781" spans="1:5" x14ac:dyDescent="0.35">
      <c r="A5781">
        <v>2013</v>
      </c>
      <c r="B5781" t="s">
        <v>34</v>
      </c>
      <c r="C5781" t="s">
        <v>8</v>
      </c>
      <c r="D5781">
        <v>15</v>
      </c>
      <c r="E5781" t="s">
        <v>355</v>
      </c>
    </row>
    <row r="5782" spans="1:5" x14ac:dyDescent="0.35">
      <c r="A5782">
        <v>2013</v>
      </c>
      <c r="B5782" t="s">
        <v>33</v>
      </c>
      <c r="C5782" t="s">
        <v>96</v>
      </c>
      <c r="D5782">
        <v>12</v>
      </c>
      <c r="E5782" t="s">
        <v>328</v>
      </c>
    </row>
    <row r="5783" spans="1:5" x14ac:dyDescent="0.35">
      <c r="A5783">
        <v>2013</v>
      </c>
      <c r="B5783" t="s">
        <v>33</v>
      </c>
      <c r="C5783" t="s">
        <v>98</v>
      </c>
      <c r="D5783">
        <v>57</v>
      </c>
      <c r="E5783" t="s">
        <v>328</v>
      </c>
    </row>
    <row r="5784" spans="1:5" x14ac:dyDescent="0.35">
      <c r="A5784">
        <v>2013</v>
      </c>
      <c r="B5784" t="s">
        <v>33</v>
      </c>
      <c r="C5784" t="s">
        <v>95</v>
      </c>
      <c r="E5784" t="s">
        <v>355</v>
      </c>
    </row>
    <row r="5785" spans="1:5" x14ac:dyDescent="0.35">
      <c r="A5785">
        <v>2013</v>
      </c>
      <c r="B5785" t="s">
        <v>35</v>
      </c>
      <c r="C5785" t="s">
        <v>94</v>
      </c>
      <c r="D5785">
        <v>44</v>
      </c>
      <c r="E5785" t="s">
        <v>328</v>
      </c>
    </row>
    <row r="5786" spans="1:5" x14ac:dyDescent="0.35">
      <c r="A5786">
        <v>2013</v>
      </c>
      <c r="B5786" t="s">
        <v>35</v>
      </c>
      <c r="C5786" t="s">
        <v>94</v>
      </c>
      <c r="D5786">
        <v>32</v>
      </c>
      <c r="E5786" t="s">
        <v>355</v>
      </c>
    </row>
    <row r="5787" spans="1:5" x14ac:dyDescent="0.35">
      <c r="A5787">
        <v>2013</v>
      </c>
      <c r="B5787" t="s">
        <v>37</v>
      </c>
      <c r="C5787" t="s">
        <v>92</v>
      </c>
      <c r="D5787">
        <v>7</v>
      </c>
      <c r="E5787" t="s">
        <v>328</v>
      </c>
    </row>
    <row r="5788" spans="1:5" x14ac:dyDescent="0.35">
      <c r="A5788">
        <v>2013</v>
      </c>
      <c r="B5788" t="s">
        <v>37</v>
      </c>
      <c r="C5788" t="s">
        <v>92</v>
      </c>
      <c r="D5788">
        <v>16</v>
      </c>
      <c r="E5788" t="s">
        <v>355</v>
      </c>
    </row>
    <row r="5789" spans="1:5" x14ac:dyDescent="0.35">
      <c r="A5789">
        <v>2013</v>
      </c>
      <c r="B5789" t="s">
        <v>33</v>
      </c>
      <c r="C5789" t="s">
        <v>91</v>
      </c>
      <c r="D5789">
        <v>24</v>
      </c>
      <c r="E5789" t="s">
        <v>328</v>
      </c>
    </row>
    <row r="5790" spans="1:5" x14ac:dyDescent="0.35">
      <c r="A5790">
        <v>2013</v>
      </c>
      <c r="B5790" t="s">
        <v>33</v>
      </c>
      <c r="C5790" t="s">
        <v>91</v>
      </c>
      <c r="D5790">
        <v>25</v>
      </c>
      <c r="E5790" t="s">
        <v>355</v>
      </c>
    </row>
    <row r="5791" spans="1:5" x14ac:dyDescent="0.35">
      <c r="A5791">
        <v>2013</v>
      </c>
      <c r="B5791" t="s">
        <v>33</v>
      </c>
      <c r="C5791" t="s">
        <v>96</v>
      </c>
      <c r="D5791">
        <v>5</v>
      </c>
      <c r="E5791" t="s">
        <v>355</v>
      </c>
    </row>
    <row r="5792" spans="1:5" x14ac:dyDescent="0.35">
      <c r="A5792">
        <v>2014</v>
      </c>
      <c r="B5792" t="s">
        <v>36</v>
      </c>
      <c r="C5792" t="s">
        <v>164</v>
      </c>
      <c r="D5792">
        <v>74</v>
      </c>
      <c r="E5792" t="s">
        <v>466</v>
      </c>
    </row>
    <row r="5793" spans="1:5" x14ac:dyDescent="0.35">
      <c r="A5793">
        <v>2014</v>
      </c>
      <c r="B5793" t="s">
        <v>37</v>
      </c>
      <c r="C5793" t="s">
        <v>166</v>
      </c>
      <c r="E5793" t="s">
        <v>467</v>
      </c>
    </row>
    <row r="5794" spans="1:5" x14ac:dyDescent="0.35">
      <c r="A5794">
        <v>2014</v>
      </c>
      <c r="B5794" t="s">
        <v>35</v>
      </c>
      <c r="C5794" t="s">
        <v>322</v>
      </c>
      <c r="D5794">
        <v>48</v>
      </c>
      <c r="E5794" t="s">
        <v>466</v>
      </c>
    </row>
    <row r="5795" spans="1:5" x14ac:dyDescent="0.35">
      <c r="A5795">
        <v>2014</v>
      </c>
      <c r="B5795" t="s">
        <v>36</v>
      </c>
      <c r="C5795" t="s">
        <v>154</v>
      </c>
      <c r="D5795">
        <v>56</v>
      </c>
      <c r="E5795" t="s">
        <v>355</v>
      </c>
    </row>
    <row r="5796" spans="1:5" x14ac:dyDescent="0.35">
      <c r="A5796">
        <v>2014</v>
      </c>
      <c r="B5796" t="s">
        <v>35</v>
      </c>
      <c r="C5796" t="s">
        <v>150</v>
      </c>
      <c r="D5796">
        <v>66</v>
      </c>
      <c r="E5796" t="s">
        <v>466</v>
      </c>
    </row>
    <row r="5797" spans="1:5" x14ac:dyDescent="0.35">
      <c r="A5797">
        <v>2014</v>
      </c>
      <c r="B5797" t="s">
        <v>35</v>
      </c>
      <c r="C5797" t="s">
        <v>169</v>
      </c>
      <c r="D5797">
        <v>17</v>
      </c>
      <c r="E5797" t="s">
        <v>467</v>
      </c>
    </row>
    <row r="5798" spans="1:5" x14ac:dyDescent="0.35">
      <c r="A5798">
        <v>2014</v>
      </c>
      <c r="B5798" t="s">
        <v>34</v>
      </c>
      <c r="C5798" t="s">
        <v>151</v>
      </c>
      <c r="D5798">
        <v>9</v>
      </c>
      <c r="E5798" t="s">
        <v>466</v>
      </c>
    </row>
    <row r="5799" spans="1:5" x14ac:dyDescent="0.35">
      <c r="A5799">
        <v>2014</v>
      </c>
      <c r="B5799" t="s">
        <v>37</v>
      </c>
      <c r="C5799" t="s">
        <v>153</v>
      </c>
      <c r="D5799">
        <v>15</v>
      </c>
      <c r="E5799" t="s">
        <v>355</v>
      </c>
    </row>
    <row r="5800" spans="1:5" x14ac:dyDescent="0.35">
      <c r="A5800">
        <v>2014</v>
      </c>
      <c r="B5800" t="s">
        <v>34</v>
      </c>
      <c r="C5800" t="s">
        <v>152</v>
      </c>
      <c r="D5800">
        <v>753</v>
      </c>
      <c r="E5800" t="s">
        <v>466</v>
      </c>
    </row>
    <row r="5801" spans="1:5" x14ac:dyDescent="0.35">
      <c r="A5801">
        <v>2014</v>
      </c>
      <c r="B5801" t="s">
        <v>34</v>
      </c>
      <c r="C5801" t="s">
        <v>167</v>
      </c>
      <c r="D5801">
        <v>431</v>
      </c>
      <c r="E5801" t="s">
        <v>467</v>
      </c>
    </row>
    <row r="5802" spans="1:5" x14ac:dyDescent="0.35">
      <c r="A5802">
        <v>2014</v>
      </c>
      <c r="B5802" t="s">
        <v>37</v>
      </c>
      <c r="C5802" t="s">
        <v>153</v>
      </c>
      <c r="D5802">
        <v>28</v>
      </c>
      <c r="E5802" t="s">
        <v>466</v>
      </c>
    </row>
    <row r="5803" spans="1:5" x14ac:dyDescent="0.35">
      <c r="A5803">
        <v>2014</v>
      </c>
      <c r="B5803" t="s">
        <v>34</v>
      </c>
      <c r="C5803" t="s">
        <v>152</v>
      </c>
      <c r="D5803">
        <v>54</v>
      </c>
      <c r="E5803" t="s">
        <v>328</v>
      </c>
    </row>
    <row r="5804" spans="1:5" x14ac:dyDescent="0.35">
      <c r="A5804">
        <v>2014</v>
      </c>
      <c r="B5804" t="s">
        <v>36</v>
      </c>
      <c r="C5804" t="s">
        <v>154</v>
      </c>
      <c r="D5804">
        <v>189</v>
      </c>
      <c r="E5804" t="s">
        <v>466</v>
      </c>
    </row>
    <row r="5805" spans="1:5" x14ac:dyDescent="0.35">
      <c r="A5805">
        <v>2014</v>
      </c>
      <c r="B5805" t="s">
        <v>33</v>
      </c>
      <c r="C5805" t="s">
        <v>168</v>
      </c>
      <c r="D5805">
        <v>63</v>
      </c>
      <c r="E5805" t="s">
        <v>467</v>
      </c>
    </row>
    <row r="5806" spans="1:5" x14ac:dyDescent="0.35">
      <c r="A5806">
        <v>2014</v>
      </c>
      <c r="B5806" t="s">
        <v>38</v>
      </c>
      <c r="C5806" t="s">
        <v>155</v>
      </c>
      <c r="D5806">
        <v>41</v>
      </c>
      <c r="E5806" t="s">
        <v>466</v>
      </c>
    </row>
    <row r="5807" spans="1:5" x14ac:dyDescent="0.35">
      <c r="A5807">
        <v>2014</v>
      </c>
      <c r="B5807" t="s">
        <v>34</v>
      </c>
      <c r="C5807" t="s">
        <v>152</v>
      </c>
      <c r="D5807">
        <v>48</v>
      </c>
      <c r="E5807" t="s">
        <v>355</v>
      </c>
    </row>
    <row r="5808" spans="1:5" x14ac:dyDescent="0.35">
      <c r="A5808">
        <v>2014</v>
      </c>
      <c r="B5808" t="s">
        <v>34</v>
      </c>
      <c r="C5808" t="s">
        <v>18</v>
      </c>
      <c r="D5808">
        <v>1390</v>
      </c>
      <c r="E5808" t="s">
        <v>466</v>
      </c>
    </row>
    <row r="5809" spans="1:5" x14ac:dyDescent="0.35">
      <c r="A5809">
        <v>2014</v>
      </c>
      <c r="B5809" t="s">
        <v>33</v>
      </c>
      <c r="C5809" t="s">
        <v>170</v>
      </c>
      <c r="D5809">
        <v>4</v>
      </c>
      <c r="E5809" t="s">
        <v>467</v>
      </c>
    </row>
    <row r="5810" spans="1:5" x14ac:dyDescent="0.35">
      <c r="A5810">
        <v>2014</v>
      </c>
      <c r="B5810" t="s">
        <v>35</v>
      </c>
      <c r="C5810" t="s">
        <v>157</v>
      </c>
      <c r="D5810">
        <v>548</v>
      </c>
      <c r="E5810" t="s">
        <v>466</v>
      </c>
    </row>
    <row r="5811" spans="1:5" x14ac:dyDescent="0.35">
      <c r="A5811">
        <v>2014</v>
      </c>
      <c r="B5811" t="s">
        <v>35</v>
      </c>
      <c r="C5811" t="s">
        <v>150</v>
      </c>
      <c r="E5811" t="s">
        <v>328</v>
      </c>
    </row>
    <row r="5812" spans="1:5" x14ac:dyDescent="0.35">
      <c r="A5812">
        <v>2014</v>
      </c>
      <c r="B5812" t="s">
        <v>35</v>
      </c>
      <c r="C5812" t="s">
        <v>158</v>
      </c>
      <c r="D5812">
        <v>408</v>
      </c>
      <c r="E5812" t="s">
        <v>466</v>
      </c>
    </row>
    <row r="5813" spans="1:5" x14ac:dyDescent="0.35">
      <c r="A5813">
        <v>2014</v>
      </c>
      <c r="B5813" t="s">
        <v>34</v>
      </c>
      <c r="C5813" t="s">
        <v>151</v>
      </c>
      <c r="D5813">
        <v>5</v>
      </c>
      <c r="E5813" t="s">
        <v>467</v>
      </c>
    </row>
    <row r="5814" spans="1:5" x14ac:dyDescent="0.35">
      <c r="A5814">
        <v>2014</v>
      </c>
      <c r="B5814" t="s">
        <v>34</v>
      </c>
      <c r="C5814" t="s">
        <v>159</v>
      </c>
      <c r="D5814">
        <v>22</v>
      </c>
      <c r="E5814" t="s">
        <v>466</v>
      </c>
    </row>
    <row r="5815" spans="1:5" x14ac:dyDescent="0.35">
      <c r="A5815">
        <v>2014</v>
      </c>
      <c r="B5815" t="s">
        <v>35</v>
      </c>
      <c r="C5815" t="s">
        <v>150</v>
      </c>
      <c r="E5815" t="s">
        <v>355</v>
      </c>
    </row>
    <row r="5816" spans="1:5" x14ac:dyDescent="0.35">
      <c r="A5816">
        <v>2014</v>
      </c>
      <c r="B5816" t="s">
        <v>35</v>
      </c>
      <c r="C5816" t="s">
        <v>161</v>
      </c>
      <c r="D5816">
        <v>511</v>
      </c>
      <c r="E5816" t="s">
        <v>466</v>
      </c>
    </row>
    <row r="5817" spans="1:5" x14ac:dyDescent="0.35">
      <c r="A5817">
        <v>2014</v>
      </c>
      <c r="B5817" t="s">
        <v>35</v>
      </c>
      <c r="C5817" t="s">
        <v>172</v>
      </c>
      <c r="D5817">
        <v>55</v>
      </c>
      <c r="E5817" t="s">
        <v>467</v>
      </c>
    </row>
    <row r="5818" spans="1:5" x14ac:dyDescent="0.35">
      <c r="A5818">
        <v>2014</v>
      </c>
      <c r="B5818" t="s">
        <v>33</v>
      </c>
      <c r="C5818" t="s">
        <v>162</v>
      </c>
      <c r="D5818">
        <v>59</v>
      </c>
      <c r="E5818" t="s">
        <v>466</v>
      </c>
    </row>
    <row r="5819" spans="1:5" x14ac:dyDescent="0.35">
      <c r="A5819">
        <v>2014</v>
      </c>
      <c r="B5819" t="s">
        <v>35</v>
      </c>
      <c r="C5819" t="s">
        <v>322</v>
      </c>
      <c r="E5819" t="s">
        <v>328</v>
      </c>
    </row>
    <row r="5820" spans="1:5" x14ac:dyDescent="0.35">
      <c r="A5820">
        <v>2014</v>
      </c>
      <c r="B5820" t="s">
        <v>36</v>
      </c>
      <c r="C5820" t="s">
        <v>163</v>
      </c>
      <c r="D5820">
        <v>45</v>
      </c>
      <c r="E5820" t="s">
        <v>466</v>
      </c>
    </row>
    <row r="5821" spans="1:5" x14ac:dyDescent="0.35">
      <c r="A5821">
        <v>2014</v>
      </c>
      <c r="B5821" t="s">
        <v>35</v>
      </c>
      <c r="C5821" t="s">
        <v>173</v>
      </c>
      <c r="D5821">
        <v>22</v>
      </c>
      <c r="E5821" t="s">
        <v>467</v>
      </c>
    </row>
    <row r="5822" spans="1:5" x14ac:dyDescent="0.35">
      <c r="A5822">
        <v>2014</v>
      </c>
      <c r="B5822" t="s">
        <v>33</v>
      </c>
      <c r="C5822" t="s">
        <v>149</v>
      </c>
      <c r="D5822">
        <v>1538</v>
      </c>
      <c r="E5822" t="s">
        <v>466</v>
      </c>
    </row>
    <row r="5823" spans="1:5" x14ac:dyDescent="0.35">
      <c r="A5823">
        <v>2014</v>
      </c>
      <c r="B5823" t="s">
        <v>33</v>
      </c>
      <c r="C5823" t="s">
        <v>148</v>
      </c>
      <c r="E5823" t="s">
        <v>328</v>
      </c>
    </row>
    <row r="5824" spans="1:5" x14ac:dyDescent="0.35">
      <c r="A5824">
        <v>2014</v>
      </c>
      <c r="B5824" t="s">
        <v>36</v>
      </c>
      <c r="C5824" t="s">
        <v>165</v>
      </c>
      <c r="D5824">
        <v>59</v>
      </c>
      <c r="E5824" t="s">
        <v>466</v>
      </c>
    </row>
    <row r="5825" spans="1:5" x14ac:dyDescent="0.35">
      <c r="A5825">
        <v>2014</v>
      </c>
      <c r="B5825" t="s">
        <v>36</v>
      </c>
      <c r="C5825" t="s">
        <v>165</v>
      </c>
      <c r="D5825">
        <v>19</v>
      </c>
      <c r="E5825" t="s">
        <v>467</v>
      </c>
    </row>
    <row r="5826" spans="1:5" x14ac:dyDescent="0.35">
      <c r="A5826">
        <v>2014</v>
      </c>
      <c r="B5826" t="s">
        <v>38</v>
      </c>
      <c r="C5826" t="s">
        <v>156</v>
      </c>
      <c r="D5826">
        <v>1952</v>
      </c>
      <c r="E5826" t="s">
        <v>466</v>
      </c>
    </row>
    <row r="5827" spans="1:5" x14ac:dyDescent="0.35">
      <c r="A5827">
        <v>2014</v>
      </c>
      <c r="B5827" t="s">
        <v>33</v>
      </c>
      <c r="C5827" t="s">
        <v>149</v>
      </c>
      <c r="D5827">
        <v>339</v>
      </c>
      <c r="E5827" t="s">
        <v>328</v>
      </c>
    </row>
    <row r="5828" spans="1:5" x14ac:dyDescent="0.35">
      <c r="A5828">
        <v>2014</v>
      </c>
      <c r="B5828" t="s">
        <v>35</v>
      </c>
      <c r="C5828" t="s">
        <v>160</v>
      </c>
      <c r="D5828">
        <v>1244</v>
      </c>
      <c r="E5828" t="s">
        <v>466</v>
      </c>
    </row>
    <row r="5829" spans="1:5" x14ac:dyDescent="0.35">
      <c r="A5829">
        <v>2014</v>
      </c>
      <c r="B5829" t="s">
        <v>33</v>
      </c>
      <c r="C5829" t="s">
        <v>174</v>
      </c>
      <c r="D5829">
        <v>18</v>
      </c>
      <c r="E5829" t="s">
        <v>467</v>
      </c>
    </row>
    <row r="5830" spans="1:5" x14ac:dyDescent="0.35">
      <c r="A5830">
        <v>2014</v>
      </c>
      <c r="B5830" t="s">
        <v>34</v>
      </c>
      <c r="C5830" t="s">
        <v>139</v>
      </c>
      <c r="D5830">
        <v>105</v>
      </c>
      <c r="E5830" t="s">
        <v>466</v>
      </c>
    </row>
    <row r="5831" spans="1:5" x14ac:dyDescent="0.35">
      <c r="A5831">
        <v>2014</v>
      </c>
      <c r="B5831" t="s">
        <v>33</v>
      </c>
      <c r="C5831" t="s">
        <v>149</v>
      </c>
      <c r="D5831">
        <v>126</v>
      </c>
      <c r="E5831" t="s">
        <v>355</v>
      </c>
    </row>
    <row r="5832" spans="1:5" x14ac:dyDescent="0.35">
      <c r="A5832">
        <v>2014</v>
      </c>
      <c r="B5832" t="s">
        <v>36</v>
      </c>
      <c r="C5832" t="s">
        <v>147</v>
      </c>
      <c r="D5832">
        <v>3228</v>
      </c>
      <c r="E5832" t="s">
        <v>466</v>
      </c>
    </row>
    <row r="5833" spans="1:5" x14ac:dyDescent="0.35">
      <c r="A5833">
        <v>2014</v>
      </c>
      <c r="B5833" t="s">
        <v>34</v>
      </c>
      <c r="C5833" t="s">
        <v>171</v>
      </c>
      <c r="D5833">
        <v>41</v>
      </c>
      <c r="E5833" t="s">
        <v>467</v>
      </c>
    </row>
    <row r="5834" spans="1:5" x14ac:dyDescent="0.35">
      <c r="A5834">
        <v>2014</v>
      </c>
      <c r="B5834" t="s">
        <v>33</v>
      </c>
      <c r="C5834" t="s">
        <v>130</v>
      </c>
      <c r="D5834">
        <v>20</v>
      </c>
      <c r="E5834" t="s">
        <v>466</v>
      </c>
    </row>
    <row r="5835" spans="1:5" x14ac:dyDescent="0.35">
      <c r="A5835">
        <v>2014</v>
      </c>
      <c r="B5835" t="s">
        <v>33</v>
      </c>
      <c r="C5835" t="s">
        <v>148</v>
      </c>
      <c r="E5835" t="s">
        <v>355</v>
      </c>
    </row>
    <row r="5836" spans="1:5" x14ac:dyDescent="0.35">
      <c r="A5836">
        <v>2014</v>
      </c>
      <c r="B5836" t="s">
        <v>37</v>
      </c>
      <c r="C5836" t="s">
        <v>166</v>
      </c>
      <c r="D5836">
        <v>23</v>
      </c>
      <c r="E5836" t="s">
        <v>466</v>
      </c>
    </row>
    <row r="5837" spans="1:5" x14ac:dyDescent="0.35">
      <c r="A5837">
        <v>2014</v>
      </c>
      <c r="B5837" t="s">
        <v>36</v>
      </c>
      <c r="C5837" t="s">
        <v>164</v>
      </c>
      <c r="D5837">
        <v>13</v>
      </c>
      <c r="E5837" t="s">
        <v>467</v>
      </c>
    </row>
    <row r="5838" spans="1:5" x14ac:dyDescent="0.35">
      <c r="A5838">
        <v>2014</v>
      </c>
      <c r="B5838" t="s">
        <v>34</v>
      </c>
      <c r="C5838" t="s">
        <v>131</v>
      </c>
      <c r="D5838">
        <v>87</v>
      </c>
      <c r="E5838" t="s">
        <v>466</v>
      </c>
    </row>
    <row r="5839" spans="1:5" x14ac:dyDescent="0.35">
      <c r="A5839">
        <v>2014</v>
      </c>
      <c r="B5839" t="s">
        <v>36</v>
      </c>
      <c r="C5839" t="s">
        <v>147</v>
      </c>
      <c r="D5839">
        <v>675</v>
      </c>
      <c r="E5839" t="s">
        <v>328</v>
      </c>
    </row>
    <row r="5840" spans="1:5" x14ac:dyDescent="0.35">
      <c r="A5840">
        <v>2014</v>
      </c>
      <c r="B5840" t="s">
        <v>33</v>
      </c>
      <c r="C5840" t="s">
        <v>132</v>
      </c>
      <c r="D5840">
        <v>125</v>
      </c>
      <c r="E5840" t="s">
        <v>466</v>
      </c>
    </row>
    <row r="5841" spans="1:5" x14ac:dyDescent="0.35">
      <c r="A5841">
        <v>2014</v>
      </c>
      <c r="B5841" t="s">
        <v>34</v>
      </c>
      <c r="C5841" t="s">
        <v>152</v>
      </c>
      <c r="D5841">
        <v>254</v>
      </c>
      <c r="E5841" t="s">
        <v>467</v>
      </c>
    </row>
    <row r="5842" spans="1:5" x14ac:dyDescent="0.35">
      <c r="A5842">
        <v>2014</v>
      </c>
      <c r="B5842" t="s">
        <v>35</v>
      </c>
      <c r="C5842" t="s">
        <v>133</v>
      </c>
      <c r="D5842">
        <v>5</v>
      </c>
      <c r="E5842" t="s">
        <v>466</v>
      </c>
    </row>
    <row r="5843" spans="1:5" x14ac:dyDescent="0.35">
      <c r="A5843">
        <v>2014</v>
      </c>
      <c r="B5843" t="s">
        <v>36</v>
      </c>
      <c r="C5843" t="s">
        <v>147</v>
      </c>
      <c r="D5843">
        <v>643</v>
      </c>
      <c r="E5843" t="s">
        <v>355</v>
      </c>
    </row>
    <row r="5844" spans="1:5" x14ac:dyDescent="0.35">
      <c r="A5844">
        <v>2014</v>
      </c>
      <c r="B5844" t="s">
        <v>37</v>
      </c>
      <c r="C5844" t="s">
        <v>134</v>
      </c>
      <c r="D5844">
        <v>74</v>
      </c>
      <c r="E5844" t="s">
        <v>466</v>
      </c>
    </row>
    <row r="5845" spans="1:5" x14ac:dyDescent="0.35">
      <c r="A5845">
        <v>2014</v>
      </c>
      <c r="B5845" t="s">
        <v>33</v>
      </c>
      <c r="C5845" t="s">
        <v>162</v>
      </c>
      <c r="D5845">
        <v>21</v>
      </c>
      <c r="E5845" t="s">
        <v>467</v>
      </c>
    </row>
    <row r="5846" spans="1:5" x14ac:dyDescent="0.35">
      <c r="A5846">
        <v>2014</v>
      </c>
      <c r="B5846" t="s">
        <v>33</v>
      </c>
      <c r="C5846" t="s">
        <v>135</v>
      </c>
      <c r="D5846">
        <v>45</v>
      </c>
      <c r="E5846" t="s">
        <v>466</v>
      </c>
    </row>
    <row r="5847" spans="1:5" x14ac:dyDescent="0.35">
      <c r="A5847">
        <v>2014</v>
      </c>
      <c r="B5847" t="s">
        <v>37</v>
      </c>
      <c r="C5847" t="s">
        <v>146</v>
      </c>
      <c r="D5847">
        <v>7</v>
      </c>
      <c r="E5847" t="s">
        <v>328</v>
      </c>
    </row>
    <row r="5848" spans="1:5" x14ac:dyDescent="0.35">
      <c r="A5848">
        <v>2014</v>
      </c>
      <c r="B5848" t="s">
        <v>33</v>
      </c>
      <c r="C5848" t="s">
        <v>136</v>
      </c>
      <c r="D5848">
        <v>17</v>
      </c>
      <c r="E5848" t="s">
        <v>466</v>
      </c>
    </row>
    <row r="5849" spans="1:5" x14ac:dyDescent="0.35">
      <c r="A5849">
        <v>2014</v>
      </c>
      <c r="B5849" t="s">
        <v>35</v>
      </c>
      <c r="C5849" t="s">
        <v>161</v>
      </c>
      <c r="D5849">
        <v>122</v>
      </c>
      <c r="E5849" t="s">
        <v>467</v>
      </c>
    </row>
    <row r="5850" spans="1:5" x14ac:dyDescent="0.35">
      <c r="A5850">
        <v>2014</v>
      </c>
      <c r="B5850" t="s">
        <v>33</v>
      </c>
      <c r="C5850" t="s">
        <v>148</v>
      </c>
      <c r="D5850">
        <v>48</v>
      </c>
      <c r="E5850" t="s">
        <v>466</v>
      </c>
    </row>
    <row r="5851" spans="1:5" x14ac:dyDescent="0.35">
      <c r="A5851">
        <v>2014</v>
      </c>
      <c r="B5851" t="s">
        <v>36</v>
      </c>
      <c r="C5851" t="s">
        <v>154</v>
      </c>
      <c r="D5851">
        <v>36</v>
      </c>
      <c r="E5851" t="s">
        <v>328</v>
      </c>
    </row>
    <row r="5852" spans="1:5" x14ac:dyDescent="0.35">
      <c r="A5852">
        <v>2014</v>
      </c>
      <c r="B5852" t="s">
        <v>36</v>
      </c>
      <c r="C5852" t="s">
        <v>14</v>
      </c>
      <c r="D5852">
        <v>405844</v>
      </c>
      <c r="E5852" t="s">
        <v>466</v>
      </c>
    </row>
    <row r="5853" spans="1:5" x14ac:dyDescent="0.35">
      <c r="A5853">
        <v>2014</v>
      </c>
      <c r="B5853" t="s">
        <v>35</v>
      </c>
      <c r="C5853" t="s">
        <v>160</v>
      </c>
      <c r="D5853">
        <v>119</v>
      </c>
      <c r="E5853" t="s">
        <v>467</v>
      </c>
    </row>
    <row r="5854" spans="1:5" x14ac:dyDescent="0.35">
      <c r="A5854">
        <v>2014</v>
      </c>
      <c r="B5854" t="s">
        <v>35</v>
      </c>
      <c r="C5854" t="s">
        <v>138</v>
      </c>
      <c r="D5854">
        <v>111</v>
      </c>
      <c r="E5854" t="s">
        <v>466</v>
      </c>
    </row>
    <row r="5855" spans="1:5" x14ac:dyDescent="0.35">
      <c r="A5855">
        <v>2014</v>
      </c>
      <c r="B5855" t="s">
        <v>35</v>
      </c>
      <c r="C5855" t="s">
        <v>322</v>
      </c>
      <c r="E5855" t="s">
        <v>355</v>
      </c>
    </row>
    <row r="5856" spans="1:5" x14ac:dyDescent="0.35">
      <c r="A5856">
        <v>2014</v>
      </c>
      <c r="B5856" t="s">
        <v>35</v>
      </c>
      <c r="C5856" t="s">
        <v>140</v>
      </c>
      <c r="D5856">
        <v>20</v>
      </c>
      <c r="E5856" t="s">
        <v>466</v>
      </c>
    </row>
    <row r="5857" spans="1:5" x14ac:dyDescent="0.35">
      <c r="A5857">
        <v>2014</v>
      </c>
      <c r="B5857" t="s">
        <v>34</v>
      </c>
      <c r="C5857" t="s">
        <v>159</v>
      </c>
      <c r="D5857">
        <v>12</v>
      </c>
      <c r="E5857" t="s">
        <v>467</v>
      </c>
    </row>
    <row r="5858" spans="1:5" x14ac:dyDescent="0.35">
      <c r="A5858">
        <v>2014</v>
      </c>
      <c r="B5858" t="s">
        <v>33</v>
      </c>
      <c r="C5858" t="s">
        <v>141</v>
      </c>
      <c r="D5858">
        <v>259</v>
      </c>
      <c r="E5858" t="s">
        <v>466</v>
      </c>
    </row>
    <row r="5859" spans="1:5" x14ac:dyDescent="0.35">
      <c r="A5859">
        <v>2014</v>
      </c>
      <c r="B5859" t="s">
        <v>38</v>
      </c>
      <c r="C5859" t="s">
        <v>155</v>
      </c>
      <c r="D5859">
        <v>7</v>
      </c>
      <c r="E5859" t="s">
        <v>355</v>
      </c>
    </row>
    <row r="5860" spans="1:5" x14ac:dyDescent="0.35">
      <c r="A5860">
        <v>2014</v>
      </c>
      <c r="B5860" t="s">
        <v>33</v>
      </c>
      <c r="C5860" t="s">
        <v>142</v>
      </c>
      <c r="E5860" t="s">
        <v>466</v>
      </c>
    </row>
    <row r="5861" spans="1:5" x14ac:dyDescent="0.35">
      <c r="A5861">
        <v>2014</v>
      </c>
      <c r="B5861" t="s">
        <v>35</v>
      </c>
      <c r="C5861" t="s">
        <v>158</v>
      </c>
      <c r="D5861">
        <v>250</v>
      </c>
      <c r="E5861" t="s">
        <v>467</v>
      </c>
    </row>
    <row r="5862" spans="1:5" x14ac:dyDescent="0.35">
      <c r="A5862">
        <v>2014</v>
      </c>
      <c r="B5862" t="s">
        <v>33</v>
      </c>
      <c r="C5862" t="s">
        <v>143</v>
      </c>
      <c r="D5862">
        <v>7</v>
      </c>
      <c r="E5862" t="s">
        <v>466</v>
      </c>
    </row>
    <row r="5863" spans="1:5" x14ac:dyDescent="0.35">
      <c r="A5863">
        <v>2014</v>
      </c>
      <c r="B5863" t="s">
        <v>35</v>
      </c>
      <c r="C5863" t="s">
        <v>119</v>
      </c>
      <c r="D5863">
        <v>3</v>
      </c>
      <c r="E5863" t="s">
        <v>328</v>
      </c>
    </row>
    <row r="5864" spans="1:5" x14ac:dyDescent="0.35">
      <c r="A5864">
        <v>2014</v>
      </c>
      <c r="B5864" t="s">
        <v>34</v>
      </c>
      <c r="C5864" t="s">
        <v>144</v>
      </c>
      <c r="D5864">
        <v>595</v>
      </c>
      <c r="E5864" t="s">
        <v>466</v>
      </c>
    </row>
    <row r="5865" spans="1:5" x14ac:dyDescent="0.35">
      <c r="A5865">
        <v>2014</v>
      </c>
      <c r="B5865" t="s">
        <v>35</v>
      </c>
      <c r="C5865" t="s">
        <v>157</v>
      </c>
      <c r="D5865">
        <v>185</v>
      </c>
      <c r="E5865" t="s">
        <v>467</v>
      </c>
    </row>
    <row r="5866" spans="1:5" x14ac:dyDescent="0.35">
      <c r="A5866">
        <v>2014</v>
      </c>
      <c r="B5866" t="s">
        <v>35</v>
      </c>
      <c r="C5866" t="s">
        <v>145</v>
      </c>
      <c r="D5866">
        <v>361</v>
      </c>
      <c r="E5866" t="s">
        <v>466</v>
      </c>
    </row>
    <row r="5867" spans="1:5" x14ac:dyDescent="0.35">
      <c r="A5867">
        <v>2014</v>
      </c>
      <c r="B5867" t="s">
        <v>38</v>
      </c>
      <c r="C5867" t="s">
        <v>156</v>
      </c>
      <c r="D5867">
        <v>325</v>
      </c>
      <c r="E5867" t="s">
        <v>355</v>
      </c>
    </row>
    <row r="5868" spans="1:5" x14ac:dyDescent="0.35">
      <c r="A5868">
        <v>2014</v>
      </c>
      <c r="B5868" t="s">
        <v>37</v>
      </c>
      <c r="C5868" t="s">
        <v>146</v>
      </c>
      <c r="D5868">
        <v>139</v>
      </c>
      <c r="E5868" t="s">
        <v>466</v>
      </c>
    </row>
    <row r="5869" spans="1:5" x14ac:dyDescent="0.35">
      <c r="A5869">
        <v>2014</v>
      </c>
      <c r="B5869" t="s">
        <v>34</v>
      </c>
      <c r="C5869" t="s">
        <v>18</v>
      </c>
      <c r="D5869">
        <v>554</v>
      </c>
      <c r="E5869" t="s">
        <v>467</v>
      </c>
    </row>
    <row r="5870" spans="1:5" x14ac:dyDescent="0.35">
      <c r="A5870">
        <v>2014</v>
      </c>
      <c r="B5870" t="s">
        <v>37</v>
      </c>
      <c r="C5870" t="s">
        <v>137</v>
      </c>
      <c r="D5870">
        <v>107</v>
      </c>
      <c r="E5870" t="s">
        <v>466</v>
      </c>
    </row>
    <row r="5871" spans="1:5" x14ac:dyDescent="0.35">
      <c r="A5871">
        <v>2014</v>
      </c>
      <c r="B5871" t="s">
        <v>36</v>
      </c>
      <c r="C5871" t="s">
        <v>164</v>
      </c>
      <c r="D5871">
        <v>5</v>
      </c>
      <c r="E5871" t="s">
        <v>355</v>
      </c>
    </row>
    <row r="5872" spans="1:5" x14ac:dyDescent="0.35">
      <c r="A5872">
        <v>2014</v>
      </c>
      <c r="B5872" t="s">
        <v>34</v>
      </c>
      <c r="C5872" t="s">
        <v>167</v>
      </c>
      <c r="D5872">
        <v>684</v>
      </c>
      <c r="E5872" t="s">
        <v>466</v>
      </c>
    </row>
    <row r="5873" spans="1:5" x14ac:dyDescent="0.35">
      <c r="A5873">
        <v>2014</v>
      </c>
      <c r="B5873" t="s">
        <v>38</v>
      </c>
      <c r="C5873" t="s">
        <v>156</v>
      </c>
      <c r="D5873">
        <v>174</v>
      </c>
      <c r="E5873" t="s">
        <v>467</v>
      </c>
    </row>
    <row r="5874" spans="1:5" x14ac:dyDescent="0.35">
      <c r="A5874">
        <v>2014</v>
      </c>
      <c r="B5874" t="s">
        <v>34</v>
      </c>
      <c r="C5874" t="s">
        <v>188</v>
      </c>
      <c r="D5874">
        <v>329</v>
      </c>
      <c r="E5874" t="s">
        <v>466</v>
      </c>
    </row>
    <row r="5875" spans="1:5" x14ac:dyDescent="0.35">
      <c r="A5875">
        <v>2014</v>
      </c>
      <c r="B5875" t="s">
        <v>36</v>
      </c>
      <c r="C5875" t="s">
        <v>163</v>
      </c>
      <c r="E5875" t="s">
        <v>328</v>
      </c>
    </row>
    <row r="5876" spans="1:5" x14ac:dyDescent="0.35">
      <c r="A5876">
        <v>2014</v>
      </c>
      <c r="B5876" t="s">
        <v>35</v>
      </c>
      <c r="C5876" t="s">
        <v>169</v>
      </c>
      <c r="D5876">
        <v>68</v>
      </c>
      <c r="E5876" t="s">
        <v>466</v>
      </c>
    </row>
    <row r="5877" spans="1:5" x14ac:dyDescent="0.35">
      <c r="A5877">
        <v>2014</v>
      </c>
      <c r="B5877" t="s">
        <v>38</v>
      </c>
      <c r="C5877" t="s">
        <v>155</v>
      </c>
      <c r="D5877">
        <v>11</v>
      </c>
      <c r="E5877" t="s">
        <v>467</v>
      </c>
    </row>
    <row r="5878" spans="1:5" x14ac:dyDescent="0.35">
      <c r="A5878">
        <v>2014</v>
      </c>
      <c r="B5878" t="s">
        <v>36</v>
      </c>
      <c r="C5878" t="s">
        <v>191</v>
      </c>
      <c r="D5878">
        <v>462</v>
      </c>
      <c r="E5878" t="s">
        <v>466</v>
      </c>
    </row>
    <row r="5879" spans="1:5" x14ac:dyDescent="0.35">
      <c r="A5879">
        <v>2014</v>
      </c>
      <c r="B5879" t="s">
        <v>36</v>
      </c>
      <c r="C5879" t="s">
        <v>163</v>
      </c>
      <c r="E5879" t="s">
        <v>355</v>
      </c>
    </row>
    <row r="5880" spans="1:5" x14ac:dyDescent="0.35">
      <c r="A5880">
        <v>2014</v>
      </c>
      <c r="B5880" t="s">
        <v>33</v>
      </c>
      <c r="C5880" t="s">
        <v>192</v>
      </c>
      <c r="D5880">
        <v>80</v>
      </c>
      <c r="E5880" t="s">
        <v>466</v>
      </c>
    </row>
    <row r="5881" spans="1:5" x14ac:dyDescent="0.35">
      <c r="A5881">
        <v>2014</v>
      </c>
      <c r="B5881" t="s">
        <v>36</v>
      </c>
      <c r="C5881" t="s">
        <v>154</v>
      </c>
      <c r="D5881">
        <v>37</v>
      </c>
      <c r="E5881" t="s">
        <v>467</v>
      </c>
    </row>
    <row r="5882" spans="1:5" x14ac:dyDescent="0.35">
      <c r="A5882">
        <v>2014</v>
      </c>
      <c r="B5882" t="s">
        <v>34</v>
      </c>
      <c r="C5882" t="s">
        <v>193</v>
      </c>
      <c r="D5882">
        <v>367</v>
      </c>
      <c r="E5882" t="s">
        <v>466</v>
      </c>
    </row>
    <row r="5883" spans="1:5" x14ac:dyDescent="0.35">
      <c r="A5883">
        <v>2014</v>
      </c>
      <c r="B5883" t="s">
        <v>33</v>
      </c>
      <c r="C5883" t="s">
        <v>162</v>
      </c>
      <c r="E5883" t="s">
        <v>328</v>
      </c>
    </row>
    <row r="5884" spans="1:5" x14ac:dyDescent="0.35">
      <c r="A5884">
        <v>2014</v>
      </c>
      <c r="B5884" t="s">
        <v>34</v>
      </c>
      <c r="C5884" t="s">
        <v>194</v>
      </c>
      <c r="D5884">
        <v>32</v>
      </c>
      <c r="E5884" t="s">
        <v>466</v>
      </c>
    </row>
    <row r="5885" spans="1:5" x14ac:dyDescent="0.35">
      <c r="A5885">
        <v>2014</v>
      </c>
      <c r="B5885" t="s">
        <v>33</v>
      </c>
      <c r="C5885" t="s">
        <v>175</v>
      </c>
      <c r="D5885">
        <v>88</v>
      </c>
      <c r="E5885" t="s">
        <v>467</v>
      </c>
    </row>
    <row r="5886" spans="1:5" x14ac:dyDescent="0.35">
      <c r="A5886">
        <v>2014</v>
      </c>
      <c r="B5886" t="s">
        <v>33</v>
      </c>
      <c r="C5886" t="s">
        <v>195</v>
      </c>
      <c r="D5886">
        <v>63</v>
      </c>
      <c r="E5886" t="s">
        <v>466</v>
      </c>
    </row>
    <row r="5887" spans="1:5" x14ac:dyDescent="0.35">
      <c r="A5887">
        <v>2014</v>
      </c>
      <c r="B5887" t="s">
        <v>33</v>
      </c>
      <c r="C5887" t="s">
        <v>162</v>
      </c>
      <c r="E5887" t="s">
        <v>355</v>
      </c>
    </row>
    <row r="5888" spans="1:5" x14ac:dyDescent="0.35">
      <c r="A5888">
        <v>2014</v>
      </c>
      <c r="B5888" t="s">
        <v>35</v>
      </c>
      <c r="C5888" t="s">
        <v>196</v>
      </c>
      <c r="D5888">
        <v>389</v>
      </c>
      <c r="E5888" t="s">
        <v>466</v>
      </c>
    </row>
    <row r="5889" spans="1:5" x14ac:dyDescent="0.35">
      <c r="A5889">
        <v>2014</v>
      </c>
      <c r="B5889" t="s">
        <v>36</v>
      </c>
      <c r="C5889" t="s">
        <v>163</v>
      </c>
      <c r="D5889">
        <v>7</v>
      </c>
      <c r="E5889" t="s">
        <v>467</v>
      </c>
    </row>
    <row r="5890" spans="1:5" x14ac:dyDescent="0.35">
      <c r="A5890">
        <v>2014</v>
      </c>
      <c r="B5890" t="s">
        <v>34</v>
      </c>
      <c r="C5890" t="s">
        <v>197</v>
      </c>
      <c r="D5890">
        <v>45</v>
      </c>
      <c r="E5890" t="s">
        <v>466</v>
      </c>
    </row>
    <row r="5891" spans="1:5" x14ac:dyDescent="0.35">
      <c r="A5891">
        <v>2014</v>
      </c>
      <c r="B5891" t="s">
        <v>35</v>
      </c>
      <c r="C5891" t="s">
        <v>161</v>
      </c>
      <c r="D5891">
        <v>63</v>
      </c>
      <c r="E5891" t="s">
        <v>328</v>
      </c>
    </row>
    <row r="5892" spans="1:5" x14ac:dyDescent="0.35">
      <c r="A5892">
        <v>2014</v>
      </c>
      <c r="B5892" t="s">
        <v>35</v>
      </c>
      <c r="C5892" t="s">
        <v>198</v>
      </c>
      <c r="D5892">
        <v>1657</v>
      </c>
      <c r="E5892" t="s">
        <v>466</v>
      </c>
    </row>
    <row r="5893" spans="1:5" x14ac:dyDescent="0.35">
      <c r="A5893">
        <v>2014</v>
      </c>
      <c r="B5893" t="s">
        <v>35</v>
      </c>
      <c r="C5893" t="s">
        <v>177</v>
      </c>
      <c r="D5893">
        <v>880</v>
      </c>
      <c r="E5893" t="s">
        <v>467</v>
      </c>
    </row>
    <row r="5894" spans="1:5" x14ac:dyDescent="0.35">
      <c r="A5894">
        <v>2014</v>
      </c>
      <c r="B5894" t="s">
        <v>39</v>
      </c>
      <c r="C5894" t="s">
        <v>39</v>
      </c>
      <c r="D5894">
        <v>689</v>
      </c>
      <c r="E5894" t="s">
        <v>466</v>
      </c>
    </row>
    <row r="5895" spans="1:5" x14ac:dyDescent="0.35">
      <c r="A5895">
        <v>2014</v>
      </c>
      <c r="B5895" t="s">
        <v>35</v>
      </c>
      <c r="C5895" t="s">
        <v>161</v>
      </c>
      <c r="D5895">
        <v>42</v>
      </c>
      <c r="E5895" t="s">
        <v>355</v>
      </c>
    </row>
    <row r="5896" spans="1:5" x14ac:dyDescent="0.35">
      <c r="A5896">
        <v>2014</v>
      </c>
      <c r="B5896" t="s">
        <v>38</v>
      </c>
      <c r="C5896" t="s">
        <v>199</v>
      </c>
      <c r="D5896">
        <v>122</v>
      </c>
      <c r="E5896" t="s">
        <v>466</v>
      </c>
    </row>
    <row r="5897" spans="1:5" x14ac:dyDescent="0.35">
      <c r="A5897">
        <v>2014</v>
      </c>
      <c r="B5897" t="s">
        <v>33</v>
      </c>
      <c r="C5897" t="s">
        <v>204</v>
      </c>
      <c r="D5897">
        <v>26</v>
      </c>
      <c r="E5897" t="s">
        <v>467</v>
      </c>
    </row>
    <row r="5898" spans="1:5" x14ac:dyDescent="0.35">
      <c r="A5898">
        <v>2014</v>
      </c>
      <c r="B5898" t="s">
        <v>34</v>
      </c>
      <c r="C5898" t="s">
        <v>200</v>
      </c>
      <c r="D5898">
        <v>163</v>
      </c>
      <c r="E5898" t="s">
        <v>466</v>
      </c>
    </row>
    <row r="5899" spans="1:5" x14ac:dyDescent="0.35">
      <c r="A5899">
        <v>2014</v>
      </c>
      <c r="B5899" t="s">
        <v>38</v>
      </c>
      <c r="C5899" t="s">
        <v>155</v>
      </c>
      <c r="D5899">
        <v>11</v>
      </c>
      <c r="E5899" t="s">
        <v>328</v>
      </c>
    </row>
    <row r="5900" spans="1:5" x14ac:dyDescent="0.35">
      <c r="A5900">
        <v>2014</v>
      </c>
      <c r="B5900" t="s">
        <v>38</v>
      </c>
      <c r="C5900" t="s">
        <v>19</v>
      </c>
      <c r="D5900">
        <v>640</v>
      </c>
      <c r="E5900" t="s">
        <v>466</v>
      </c>
    </row>
    <row r="5901" spans="1:5" x14ac:dyDescent="0.35">
      <c r="A5901">
        <v>2014</v>
      </c>
      <c r="B5901" t="s">
        <v>33</v>
      </c>
      <c r="C5901" t="s">
        <v>179</v>
      </c>
      <c r="D5901">
        <v>20</v>
      </c>
      <c r="E5901" t="s">
        <v>467</v>
      </c>
    </row>
    <row r="5902" spans="1:5" x14ac:dyDescent="0.35">
      <c r="A5902">
        <v>2014</v>
      </c>
      <c r="B5902" t="s">
        <v>34</v>
      </c>
      <c r="C5902" t="s">
        <v>201</v>
      </c>
      <c r="D5902">
        <v>882</v>
      </c>
      <c r="E5902" t="s">
        <v>466</v>
      </c>
    </row>
    <row r="5903" spans="1:5" x14ac:dyDescent="0.35">
      <c r="A5903">
        <v>2014</v>
      </c>
      <c r="B5903" t="s">
        <v>35</v>
      </c>
      <c r="C5903" t="s">
        <v>160</v>
      </c>
      <c r="D5903">
        <v>81</v>
      </c>
      <c r="E5903" t="s">
        <v>328</v>
      </c>
    </row>
    <row r="5904" spans="1:5" x14ac:dyDescent="0.35">
      <c r="A5904">
        <v>2014</v>
      </c>
      <c r="B5904" t="s">
        <v>34</v>
      </c>
      <c r="C5904" t="s">
        <v>202</v>
      </c>
      <c r="D5904">
        <v>116</v>
      </c>
      <c r="E5904" t="s">
        <v>466</v>
      </c>
    </row>
    <row r="5905" spans="1:5" x14ac:dyDescent="0.35">
      <c r="A5905">
        <v>2014</v>
      </c>
      <c r="B5905" t="s">
        <v>35</v>
      </c>
      <c r="C5905" t="s">
        <v>150</v>
      </c>
      <c r="D5905">
        <v>55</v>
      </c>
      <c r="E5905" t="s">
        <v>467</v>
      </c>
    </row>
    <row r="5906" spans="1:5" x14ac:dyDescent="0.35">
      <c r="A5906">
        <v>2014</v>
      </c>
      <c r="B5906" t="s">
        <v>33</v>
      </c>
      <c r="C5906" t="s">
        <v>203</v>
      </c>
      <c r="D5906">
        <v>41</v>
      </c>
      <c r="E5906" t="s">
        <v>466</v>
      </c>
    </row>
    <row r="5907" spans="1:5" x14ac:dyDescent="0.35">
      <c r="A5907">
        <v>2014</v>
      </c>
      <c r="B5907" t="s">
        <v>35</v>
      </c>
      <c r="C5907" t="s">
        <v>158</v>
      </c>
      <c r="D5907">
        <v>15</v>
      </c>
      <c r="E5907" t="s">
        <v>328</v>
      </c>
    </row>
    <row r="5908" spans="1:5" x14ac:dyDescent="0.35">
      <c r="A5908">
        <v>2014</v>
      </c>
      <c r="B5908" t="s">
        <v>33</v>
      </c>
      <c r="C5908" t="s">
        <v>204</v>
      </c>
      <c r="D5908">
        <v>68</v>
      </c>
      <c r="E5908" t="s">
        <v>466</v>
      </c>
    </row>
    <row r="5909" spans="1:5" x14ac:dyDescent="0.35">
      <c r="A5909">
        <v>2014</v>
      </c>
      <c r="B5909" t="s">
        <v>39</v>
      </c>
      <c r="C5909" t="s">
        <v>39</v>
      </c>
      <c r="D5909">
        <v>104</v>
      </c>
      <c r="E5909" t="s">
        <v>467</v>
      </c>
    </row>
    <row r="5910" spans="1:5" x14ac:dyDescent="0.35">
      <c r="A5910">
        <v>2014</v>
      </c>
      <c r="B5910" t="s">
        <v>33</v>
      </c>
      <c r="C5910" t="s">
        <v>129</v>
      </c>
      <c r="D5910">
        <v>10</v>
      </c>
      <c r="E5910" t="s">
        <v>466</v>
      </c>
    </row>
    <row r="5911" spans="1:5" x14ac:dyDescent="0.35">
      <c r="A5911">
        <v>2014</v>
      </c>
      <c r="B5911" t="s">
        <v>35</v>
      </c>
      <c r="C5911" t="s">
        <v>158</v>
      </c>
      <c r="D5911">
        <v>47</v>
      </c>
      <c r="E5911" t="s">
        <v>355</v>
      </c>
    </row>
    <row r="5912" spans="1:5" x14ac:dyDescent="0.35">
      <c r="A5912">
        <v>2014</v>
      </c>
      <c r="B5912" t="s">
        <v>37</v>
      </c>
      <c r="C5912" t="s">
        <v>190</v>
      </c>
      <c r="D5912">
        <v>58</v>
      </c>
      <c r="E5912" t="s">
        <v>466</v>
      </c>
    </row>
    <row r="5913" spans="1:5" x14ac:dyDescent="0.35">
      <c r="A5913">
        <v>2014</v>
      </c>
      <c r="C5913" t="s">
        <v>373</v>
      </c>
      <c r="D5913">
        <v>72</v>
      </c>
      <c r="E5913" t="s">
        <v>467</v>
      </c>
    </row>
    <row r="5914" spans="1:5" x14ac:dyDescent="0.35">
      <c r="A5914">
        <v>2014</v>
      </c>
      <c r="B5914" t="s">
        <v>33</v>
      </c>
      <c r="C5914" t="s">
        <v>189</v>
      </c>
      <c r="D5914">
        <v>50</v>
      </c>
      <c r="E5914" t="s">
        <v>466</v>
      </c>
    </row>
    <row r="5915" spans="1:5" x14ac:dyDescent="0.35">
      <c r="A5915">
        <v>2014</v>
      </c>
      <c r="B5915" t="s">
        <v>35</v>
      </c>
      <c r="C5915" t="s">
        <v>157</v>
      </c>
      <c r="D5915">
        <v>103</v>
      </c>
      <c r="E5915" t="s">
        <v>328</v>
      </c>
    </row>
    <row r="5916" spans="1:5" x14ac:dyDescent="0.35">
      <c r="A5916">
        <v>2014</v>
      </c>
      <c r="B5916" t="s">
        <v>33</v>
      </c>
      <c r="C5916" t="s">
        <v>187</v>
      </c>
      <c r="D5916">
        <v>158</v>
      </c>
      <c r="E5916" t="s">
        <v>466</v>
      </c>
    </row>
    <row r="5917" spans="1:5" x14ac:dyDescent="0.35">
      <c r="A5917">
        <v>2014</v>
      </c>
      <c r="B5917" t="s">
        <v>33</v>
      </c>
      <c r="C5917" t="s">
        <v>203</v>
      </c>
      <c r="D5917">
        <v>7</v>
      </c>
      <c r="E5917" t="s">
        <v>467</v>
      </c>
    </row>
    <row r="5918" spans="1:5" x14ac:dyDescent="0.35">
      <c r="A5918">
        <v>2014</v>
      </c>
      <c r="B5918" t="s">
        <v>34</v>
      </c>
      <c r="C5918" t="s">
        <v>186</v>
      </c>
      <c r="D5918">
        <v>39</v>
      </c>
      <c r="E5918" t="s">
        <v>466</v>
      </c>
    </row>
    <row r="5919" spans="1:5" x14ac:dyDescent="0.35">
      <c r="A5919">
        <v>2014</v>
      </c>
      <c r="B5919" t="s">
        <v>35</v>
      </c>
      <c r="C5919" t="s">
        <v>157</v>
      </c>
      <c r="D5919">
        <v>96</v>
      </c>
      <c r="E5919" t="s">
        <v>355</v>
      </c>
    </row>
    <row r="5920" spans="1:5" x14ac:dyDescent="0.35">
      <c r="A5920">
        <v>2014</v>
      </c>
      <c r="B5920" t="s">
        <v>35</v>
      </c>
      <c r="C5920" t="s">
        <v>215</v>
      </c>
      <c r="D5920">
        <v>58</v>
      </c>
      <c r="E5920" t="s">
        <v>466</v>
      </c>
    </row>
    <row r="5921" spans="1:5" x14ac:dyDescent="0.35">
      <c r="A5921">
        <v>2014</v>
      </c>
      <c r="B5921" t="s">
        <v>34</v>
      </c>
      <c r="C5921" t="s">
        <v>202</v>
      </c>
      <c r="D5921">
        <v>16</v>
      </c>
      <c r="E5921" t="s">
        <v>467</v>
      </c>
    </row>
    <row r="5922" spans="1:5" x14ac:dyDescent="0.35">
      <c r="A5922">
        <v>2014</v>
      </c>
      <c r="B5922" t="s">
        <v>33</v>
      </c>
      <c r="C5922" t="s">
        <v>170</v>
      </c>
      <c r="D5922">
        <v>133</v>
      </c>
      <c r="E5922" t="s">
        <v>466</v>
      </c>
    </row>
    <row r="5923" spans="1:5" x14ac:dyDescent="0.35">
      <c r="A5923">
        <v>2014</v>
      </c>
      <c r="B5923" t="s">
        <v>34</v>
      </c>
      <c r="C5923" t="s">
        <v>18</v>
      </c>
      <c r="D5923">
        <v>119</v>
      </c>
      <c r="E5923" t="s">
        <v>328</v>
      </c>
    </row>
    <row r="5924" spans="1:5" x14ac:dyDescent="0.35">
      <c r="A5924">
        <v>2014</v>
      </c>
      <c r="B5924" t="s">
        <v>34</v>
      </c>
      <c r="C5924" t="s">
        <v>171</v>
      </c>
      <c r="D5924">
        <v>60</v>
      </c>
      <c r="E5924" t="s">
        <v>466</v>
      </c>
    </row>
    <row r="5925" spans="1:5" x14ac:dyDescent="0.35">
      <c r="A5925">
        <v>2014</v>
      </c>
      <c r="B5925" t="s">
        <v>34</v>
      </c>
      <c r="C5925" t="s">
        <v>201</v>
      </c>
      <c r="D5925">
        <v>88</v>
      </c>
      <c r="E5925" t="s">
        <v>467</v>
      </c>
    </row>
    <row r="5926" spans="1:5" x14ac:dyDescent="0.35">
      <c r="A5926">
        <v>2014</v>
      </c>
      <c r="B5926" t="s">
        <v>35</v>
      </c>
      <c r="C5926" t="s">
        <v>172</v>
      </c>
      <c r="D5926">
        <v>110</v>
      </c>
      <c r="E5926" t="s">
        <v>466</v>
      </c>
    </row>
    <row r="5927" spans="1:5" x14ac:dyDescent="0.35">
      <c r="A5927">
        <v>2014</v>
      </c>
      <c r="B5927" t="s">
        <v>34</v>
      </c>
      <c r="C5927" t="s">
        <v>18</v>
      </c>
      <c r="D5927">
        <v>203</v>
      </c>
      <c r="E5927" t="s">
        <v>355</v>
      </c>
    </row>
    <row r="5928" spans="1:5" x14ac:dyDescent="0.35">
      <c r="A5928">
        <v>2014</v>
      </c>
      <c r="B5928" t="s">
        <v>35</v>
      </c>
      <c r="C5928" t="s">
        <v>173</v>
      </c>
      <c r="D5928">
        <v>27</v>
      </c>
      <c r="E5928" t="s">
        <v>466</v>
      </c>
    </row>
    <row r="5929" spans="1:5" x14ac:dyDescent="0.35">
      <c r="A5929">
        <v>2014</v>
      </c>
      <c r="B5929" t="s">
        <v>38</v>
      </c>
      <c r="C5929" t="s">
        <v>19</v>
      </c>
      <c r="D5929">
        <v>177</v>
      </c>
      <c r="E5929" t="s">
        <v>467</v>
      </c>
    </row>
    <row r="5930" spans="1:5" x14ac:dyDescent="0.35">
      <c r="A5930">
        <v>2014</v>
      </c>
      <c r="B5930" t="s">
        <v>33</v>
      </c>
      <c r="C5930" t="s">
        <v>174</v>
      </c>
      <c r="D5930">
        <v>499</v>
      </c>
      <c r="E5930" t="s">
        <v>466</v>
      </c>
    </row>
    <row r="5931" spans="1:5" x14ac:dyDescent="0.35">
      <c r="A5931">
        <v>2014</v>
      </c>
      <c r="B5931" t="s">
        <v>38</v>
      </c>
      <c r="C5931" t="s">
        <v>156</v>
      </c>
      <c r="D5931">
        <v>367</v>
      </c>
      <c r="E5931" t="s">
        <v>328</v>
      </c>
    </row>
    <row r="5932" spans="1:5" x14ac:dyDescent="0.35">
      <c r="A5932">
        <v>2014</v>
      </c>
      <c r="B5932" t="s">
        <v>33</v>
      </c>
      <c r="C5932" t="s">
        <v>175</v>
      </c>
      <c r="D5932">
        <v>179</v>
      </c>
      <c r="E5932" t="s">
        <v>466</v>
      </c>
    </row>
    <row r="5933" spans="1:5" x14ac:dyDescent="0.35">
      <c r="A5933">
        <v>2014</v>
      </c>
      <c r="B5933" t="s">
        <v>34</v>
      </c>
      <c r="C5933" t="s">
        <v>200</v>
      </c>
      <c r="D5933">
        <v>19</v>
      </c>
      <c r="E5933" t="s">
        <v>467</v>
      </c>
    </row>
    <row r="5934" spans="1:5" x14ac:dyDescent="0.35">
      <c r="A5934">
        <v>2014</v>
      </c>
      <c r="B5934" t="s">
        <v>33</v>
      </c>
      <c r="C5934" t="s">
        <v>176</v>
      </c>
      <c r="D5934">
        <v>21</v>
      </c>
      <c r="E5934" t="s">
        <v>466</v>
      </c>
    </row>
    <row r="5935" spans="1:5" x14ac:dyDescent="0.35">
      <c r="A5935">
        <v>2014</v>
      </c>
      <c r="B5935" t="s">
        <v>35</v>
      </c>
      <c r="C5935" t="s">
        <v>160</v>
      </c>
      <c r="D5935">
        <v>72</v>
      </c>
      <c r="E5935" t="s">
        <v>355</v>
      </c>
    </row>
    <row r="5936" spans="1:5" x14ac:dyDescent="0.35">
      <c r="A5936">
        <v>2014</v>
      </c>
      <c r="B5936" t="s">
        <v>33</v>
      </c>
      <c r="C5936" t="s">
        <v>168</v>
      </c>
      <c r="D5936">
        <v>201</v>
      </c>
      <c r="E5936" t="s">
        <v>466</v>
      </c>
    </row>
    <row r="5937" spans="1:5" x14ac:dyDescent="0.35">
      <c r="A5937">
        <v>2014</v>
      </c>
      <c r="B5937" t="s">
        <v>38</v>
      </c>
      <c r="C5937" t="s">
        <v>199</v>
      </c>
      <c r="D5937">
        <v>6</v>
      </c>
      <c r="E5937" t="s">
        <v>467</v>
      </c>
    </row>
    <row r="5938" spans="1:5" x14ac:dyDescent="0.35">
      <c r="A5938">
        <v>2014</v>
      </c>
      <c r="B5938" t="s">
        <v>35</v>
      </c>
      <c r="C5938" t="s">
        <v>216</v>
      </c>
      <c r="D5938">
        <v>64</v>
      </c>
      <c r="E5938" t="s">
        <v>466</v>
      </c>
    </row>
    <row r="5939" spans="1:5" x14ac:dyDescent="0.35">
      <c r="A5939">
        <v>2014</v>
      </c>
      <c r="B5939" t="s">
        <v>37</v>
      </c>
      <c r="C5939" t="s">
        <v>146</v>
      </c>
      <c r="D5939">
        <v>11</v>
      </c>
      <c r="E5939" t="s">
        <v>355</v>
      </c>
    </row>
    <row r="5940" spans="1:5" x14ac:dyDescent="0.35">
      <c r="A5940">
        <v>2014</v>
      </c>
      <c r="B5940" t="s">
        <v>34</v>
      </c>
      <c r="C5940" t="s">
        <v>178</v>
      </c>
      <c r="D5940">
        <v>198</v>
      </c>
      <c r="E5940" t="s">
        <v>466</v>
      </c>
    </row>
    <row r="5941" spans="1:5" x14ac:dyDescent="0.35">
      <c r="A5941">
        <v>2014</v>
      </c>
      <c r="B5941" t="s">
        <v>35</v>
      </c>
      <c r="C5941" t="s">
        <v>198</v>
      </c>
      <c r="D5941">
        <v>1151</v>
      </c>
      <c r="E5941" t="s">
        <v>467</v>
      </c>
    </row>
    <row r="5942" spans="1:5" x14ac:dyDescent="0.35">
      <c r="A5942">
        <v>2014</v>
      </c>
      <c r="B5942" t="s">
        <v>33</v>
      </c>
      <c r="C5942" t="s">
        <v>179</v>
      </c>
      <c r="D5942">
        <v>188</v>
      </c>
      <c r="E5942" t="s">
        <v>466</v>
      </c>
    </row>
    <row r="5943" spans="1:5" x14ac:dyDescent="0.35">
      <c r="A5943">
        <v>2014</v>
      </c>
      <c r="B5943" t="s">
        <v>34</v>
      </c>
      <c r="C5943" t="s">
        <v>120</v>
      </c>
      <c r="D5943">
        <v>0</v>
      </c>
      <c r="E5943" t="s">
        <v>355</v>
      </c>
    </row>
    <row r="5944" spans="1:5" x14ac:dyDescent="0.35">
      <c r="A5944">
        <v>2014</v>
      </c>
      <c r="B5944" t="s">
        <v>38</v>
      </c>
      <c r="C5944" t="s">
        <v>180</v>
      </c>
      <c r="D5944">
        <v>14</v>
      </c>
      <c r="E5944" t="s">
        <v>466</v>
      </c>
    </row>
    <row r="5945" spans="1:5" x14ac:dyDescent="0.35">
      <c r="A5945">
        <v>2014</v>
      </c>
      <c r="B5945" t="s">
        <v>34</v>
      </c>
      <c r="C5945" t="s">
        <v>197</v>
      </c>
      <c r="D5945">
        <v>23</v>
      </c>
      <c r="E5945" t="s">
        <v>467</v>
      </c>
    </row>
    <row r="5946" spans="1:5" x14ac:dyDescent="0.35">
      <c r="A5946">
        <v>2014</v>
      </c>
      <c r="B5946" t="s">
        <v>33</v>
      </c>
      <c r="C5946" t="s">
        <v>181</v>
      </c>
      <c r="D5946">
        <v>5</v>
      </c>
      <c r="E5946" t="s">
        <v>466</v>
      </c>
    </row>
    <row r="5947" spans="1:5" x14ac:dyDescent="0.35">
      <c r="A5947">
        <v>2014</v>
      </c>
      <c r="B5947" t="s">
        <v>35</v>
      </c>
      <c r="C5947" t="s">
        <v>145</v>
      </c>
      <c r="D5947">
        <v>22</v>
      </c>
      <c r="E5947" t="s">
        <v>355</v>
      </c>
    </row>
    <row r="5948" spans="1:5" x14ac:dyDescent="0.35">
      <c r="A5948">
        <v>2014</v>
      </c>
      <c r="B5948" t="s">
        <v>35</v>
      </c>
      <c r="C5948" t="s">
        <v>182</v>
      </c>
      <c r="D5948">
        <v>157</v>
      </c>
      <c r="E5948" t="s">
        <v>466</v>
      </c>
    </row>
    <row r="5949" spans="1:5" x14ac:dyDescent="0.35">
      <c r="A5949">
        <v>2014</v>
      </c>
      <c r="B5949" t="s">
        <v>35</v>
      </c>
      <c r="C5949" t="s">
        <v>196</v>
      </c>
      <c r="D5949">
        <v>88</v>
      </c>
      <c r="E5949" t="s">
        <v>467</v>
      </c>
    </row>
    <row r="5950" spans="1:5" x14ac:dyDescent="0.35">
      <c r="A5950">
        <v>2014</v>
      </c>
      <c r="B5950" t="s">
        <v>35</v>
      </c>
      <c r="C5950" t="s">
        <v>183</v>
      </c>
      <c r="D5950">
        <v>96</v>
      </c>
      <c r="E5950" t="s">
        <v>466</v>
      </c>
    </row>
    <row r="5951" spans="1:5" x14ac:dyDescent="0.35">
      <c r="A5951">
        <v>2014</v>
      </c>
      <c r="B5951" t="s">
        <v>34</v>
      </c>
      <c r="C5951" t="s">
        <v>131</v>
      </c>
      <c r="D5951">
        <v>12</v>
      </c>
      <c r="E5951" t="s">
        <v>355</v>
      </c>
    </row>
    <row r="5952" spans="1:5" x14ac:dyDescent="0.35">
      <c r="A5952">
        <v>2014</v>
      </c>
      <c r="B5952" t="s">
        <v>34</v>
      </c>
      <c r="C5952" t="s">
        <v>184</v>
      </c>
      <c r="D5952">
        <v>312</v>
      </c>
      <c r="E5952" t="s">
        <v>466</v>
      </c>
    </row>
    <row r="5953" spans="1:5" x14ac:dyDescent="0.35">
      <c r="A5953">
        <v>2014</v>
      </c>
      <c r="B5953" t="s">
        <v>33</v>
      </c>
      <c r="C5953" t="s">
        <v>195</v>
      </c>
      <c r="D5953">
        <v>19</v>
      </c>
      <c r="E5953" t="s">
        <v>467</v>
      </c>
    </row>
    <row r="5954" spans="1:5" x14ac:dyDescent="0.35">
      <c r="A5954">
        <v>2014</v>
      </c>
      <c r="B5954" t="s">
        <v>34</v>
      </c>
      <c r="C5954" t="s">
        <v>185</v>
      </c>
      <c r="D5954">
        <v>453</v>
      </c>
      <c r="E5954" t="s">
        <v>466</v>
      </c>
    </row>
    <row r="5955" spans="1:5" x14ac:dyDescent="0.35">
      <c r="A5955">
        <v>2014</v>
      </c>
      <c r="B5955" t="s">
        <v>35</v>
      </c>
      <c r="C5955" t="s">
        <v>127</v>
      </c>
      <c r="D5955">
        <v>12</v>
      </c>
      <c r="E5955" t="s">
        <v>328</v>
      </c>
    </row>
    <row r="5956" spans="1:5" x14ac:dyDescent="0.35">
      <c r="A5956">
        <v>2014</v>
      </c>
      <c r="B5956" t="s">
        <v>35</v>
      </c>
      <c r="C5956" t="s">
        <v>177</v>
      </c>
      <c r="D5956">
        <v>1200</v>
      </c>
      <c r="E5956" t="s">
        <v>466</v>
      </c>
    </row>
    <row r="5957" spans="1:5" x14ac:dyDescent="0.35">
      <c r="A5957">
        <v>2014</v>
      </c>
      <c r="B5957" t="s">
        <v>34</v>
      </c>
      <c r="C5957" t="s">
        <v>194</v>
      </c>
      <c r="D5957">
        <v>13</v>
      </c>
      <c r="E5957" t="s">
        <v>467</v>
      </c>
    </row>
    <row r="5958" spans="1:5" x14ac:dyDescent="0.35">
      <c r="A5958">
        <v>2014</v>
      </c>
      <c r="B5958" t="s">
        <v>35</v>
      </c>
      <c r="C5958" t="s">
        <v>128</v>
      </c>
      <c r="E5958" t="s">
        <v>466</v>
      </c>
    </row>
    <row r="5959" spans="1:5" x14ac:dyDescent="0.35">
      <c r="A5959">
        <v>2014</v>
      </c>
      <c r="B5959" t="s">
        <v>35</v>
      </c>
      <c r="C5959" t="s">
        <v>127</v>
      </c>
      <c r="D5959">
        <v>17</v>
      </c>
      <c r="E5959" t="s">
        <v>355</v>
      </c>
    </row>
    <row r="5960" spans="1:5" x14ac:dyDescent="0.35">
      <c r="A5960">
        <v>2014</v>
      </c>
      <c r="B5960" t="s">
        <v>35</v>
      </c>
      <c r="C5960" t="s">
        <v>82</v>
      </c>
      <c r="D5960">
        <v>67</v>
      </c>
      <c r="E5960" t="s">
        <v>466</v>
      </c>
    </row>
    <row r="5961" spans="1:5" x14ac:dyDescent="0.35">
      <c r="A5961">
        <v>2014</v>
      </c>
      <c r="B5961" t="s">
        <v>34</v>
      </c>
      <c r="C5961" t="s">
        <v>193</v>
      </c>
      <c r="D5961">
        <v>69</v>
      </c>
      <c r="E5961" t="s">
        <v>467</v>
      </c>
    </row>
    <row r="5962" spans="1:5" x14ac:dyDescent="0.35">
      <c r="A5962">
        <v>2014</v>
      </c>
      <c r="B5962" t="s">
        <v>33</v>
      </c>
      <c r="C5962" t="s">
        <v>126</v>
      </c>
      <c r="D5962">
        <v>67</v>
      </c>
      <c r="E5962" t="s">
        <v>466</v>
      </c>
    </row>
    <row r="5963" spans="1:5" x14ac:dyDescent="0.35">
      <c r="A5963">
        <v>2014</v>
      </c>
      <c r="B5963" t="s">
        <v>33</v>
      </c>
      <c r="C5963" t="s">
        <v>125</v>
      </c>
      <c r="D5963">
        <v>6</v>
      </c>
      <c r="E5963" t="s">
        <v>328</v>
      </c>
    </row>
    <row r="5964" spans="1:5" x14ac:dyDescent="0.35">
      <c r="A5964">
        <v>2014</v>
      </c>
      <c r="B5964" t="s">
        <v>33</v>
      </c>
      <c r="C5964" t="s">
        <v>63</v>
      </c>
      <c r="D5964">
        <v>55</v>
      </c>
      <c r="E5964" t="s">
        <v>466</v>
      </c>
    </row>
    <row r="5965" spans="1:5" x14ac:dyDescent="0.35">
      <c r="A5965">
        <v>2014</v>
      </c>
      <c r="B5965" t="s">
        <v>33</v>
      </c>
      <c r="C5965" t="s">
        <v>192</v>
      </c>
      <c r="D5965">
        <v>29</v>
      </c>
      <c r="E5965" t="s">
        <v>467</v>
      </c>
    </row>
    <row r="5966" spans="1:5" x14ac:dyDescent="0.35">
      <c r="A5966">
        <v>2014</v>
      </c>
      <c r="B5966" t="s">
        <v>34</v>
      </c>
      <c r="C5966" t="s">
        <v>64</v>
      </c>
      <c r="D5966">
        <v>87</v>
      </c>
      <c r="E5966" t="s">
        <v>466</v>
      </c>
    </row>
    <row r="5967" spans="1:5" x14ac:dyDescent="0.35">
      <c r="A5967">
        <v>2014</v>
      </c>
      <c r="B5967" t="s">
        <v>33</v>
      </c>
      <c r="C5967" t="s">
        <v>125</v>
      </c>
      <c r="D5967">
        <v>13</v>
      </c>
      <c r="E5967" t="s">
        <v>355</v>
      </c>
    </row>
    <row r="5968" spans="1:5" x14ac:dyDescent="0.35">
      <c r="A5968">
        <v>2014</v>
      </c>
      <c r="B5968" t="s">
        <v>33</v>
      </c>
      <c r="C5968" t="s">
        <v>65</v>
      </c>
      <c r="D5968">
        <v>39</v>
      </c>
      <c r="E5968" t="s">
        <v>466</v>
      </c>
    </row>
    <row r="5969" spans="1:5" x14ac:dyDescent="0.35">
      <c r="A5969">
        <v>2014</v>
      </c>
      <c r="B5969" t="s">
        <v>36</v>
      </c>
      <c r="C5969" t="s">
        <v>191</v>
      </c>
      <c r="D5969">
        <v>46</v>
      </c>
      <c r="E5969" t="s">
        <v>467</v>
      </c>
    </row>
    <row r="5970" spans="1:5" x14ac:dyDescent="0.35">
      <c r="A5970">
        <v>2014</v>
      </c>
      <c r="B5970" t="s">
        <v>33</v>
      </c>
      <c r="C5970" t="s">
        <v>66</v>
      </c>
      <c r="D5970">
        <v>59</v>
      </c>
      <c r="E5970" t="s">
        <v>466</v>
      </c>
    </row>
    <row r="5971" spans="1:5" x14ac:dyDescent="0.35">
      <c r="A5971">
        <v>2014</v>
      </c>
      <c r="B5971" t="s">
        <v>34</v>
      </c>
      <c r="C5971" t="s">
        <v>124</v>
      </c>
      <c r="D5971">
        <v>27</v>
      </c>
      <c r="E5971" t="s">
        <v>328</v>
      </c>
    </row>
    <row r="5972" spans="1:5" x14ac:dyDescent="0.35">
      <c r="A5972">
        <v>2014</v>
      </c>
      <c r="B5972" t="s">
        <v>34</v>
      </c>
      <c r="C5972" t="s">
        <v>67</v>
      </c>
      <c r="D5972">
        <v>164</v>
      </c>
      <c r="E5972" t="s">
        <v>466</v>
      </c>
    </row>
    <row r="5973" spans="1:5" x14ac:dyDescent="0.35">
      <c r="A5973">
        <v>2014</v>
      </c>
      <c r="B5973" t="s">
        <v>37</v>
      </c>
      <c r="C5973" t="s">
        <v>190</v>
      </c>
      <c r="D5973">
        <v>4</v>
      </c>
      <c r="E5973" t="s">
        <v>467</v>
      </c>
    </row>
    <row r="5974" spans="1:5" x14ac:dyDescent="0.35">
      <c r="A5974">
        <v>2014</v>
      </c>
      <c r="B5974" t="s">
        <v>33</v>
      </c>
      <c r="C5974" t="s">
        <v>68</v>
      </c>
      <c r="D5974">
        <v>375</v>
      </c>
      <c r="E5974" t="s">
        <v>466</v>
      </c>
    </row>
    <row r="5975" spans="1:5" x14ac:dyDescent="0.35">
      <c r="A5975">
        <v>2014</v>
      </c>
      <c r="B5975" t="s">
        <v>34</v>
      </c>
      <c r="C5975" t="s">
        <v>124</v>
      </c>
      <c r="D5975">
        <v>30</v>
      </c>
      <c r="E5975" t="s">
        <v>355</v>
      </c>
    </row>
    <row r="5976" spans="1:5" x14ac:dyDescent="0.35">
      <c r="A5976">
        <v>2014</v>
      </c>
      <c r="B5976" t="s">
        <v>36</v>
      </c>
      <c r="C5976" t="s">
        <v>69</v>
      </c>
      <c r="D5976">
        <v>24436</v>
      </c>
      <c r="E5976" t="s">
        <v>466</v>
      </c>
    </row>
    <row r="5977" spans="1:5" x14ac:dyDescent="0.35">
      <c r="A5977">
        <v>2014</v>
      </c>
      <c r="B5977" t="s">
        <v>33</v>
      </c>
      <c r="C5977" t="s">
        <v>189</v>
      </c>
      <c r="D5977">
        <v>9</v>
      </c>
      <c r="E5977" t="s">
        <v>467</v>
      </c>
    </row>
    <row r="5978" spans="1:5" x14ac:dyDescent="0.35">
      <c r="A5978">
        <v>2014</v>
      </c>
      <c r="B5978" t="s">
        <v>33</v>
      </c>
      <c r="C5978" t="s">
        <v>70</v>
      </c>
      <c r="D5978">
        <v>10</v>
      </c>
      <c r="E5978" t="s">
        <v>466</v>
      </c>
    </row>
    <row r="5979" spans="1:5" x14ac:dyDescent="0.35">
      <c r="A5979">
        <v>2014</v>
      </c>
      <c r="B5979" t="s">
        <v>35</v>
      </c>
      <c r="C5979" t="s">
        <v>123</v>
      </c>
      <c r="D5979">
        <v>9</v>
      </c>
      <c r="E5979" t="s">
        <v>328</v>
      </c>
    </row>
    <row r="5980" spans="1:5" x14ac:dyDescent="0.35">
      <c r="A5980">
        <v>2014</v>
      </c>
      <c r="B5980" t="s">
        <v>33</v>
      </c>
      <c r="C5980" t="s">
        <v>71</v>
      </c>
      <c r="D5980">
        <v>36</v>
      </c>
      <c r="E5980" t="s">
        <v>466</v>
      </c>
    </row>
    <row r="5981" spans="1:5" x14ac:dyDescent="0.35">
      <c r="A5981">
        <v>2014</v>
      </c>
      <c r="B5981" t="s">
        <v>34</v>
      </c>
      <c r="C5981" t="s">
        <v>188</v>
      </c>
      <c r="D5981">
        <v>93</v>
      </c>
      <c r="E5981" t="s">
        <v>467</v>
      </c>
    </row>
    <row r="5982" spans="1:5" x14ac:dyDescent="0.35">
      <c r="A5982">
        <v>2014</v>
      </c>
      <c r="B5982" t="s">
        <v>35</v>
      </c>
      <c r="C5982" t="s">
        <v>62</v>
      </c>
      <c r="D5982">
        <v>113</v>
      </c>
      <c r="E5982" t="s">
        <v>466</v>
      </c>
    </row>
    <row r="5983" spans="1:5" x14ac:dyDescent="0.35">
      <c r="A5983">
        <v>2014</v>
      </c>
      <c r="B5983" t="s">
        <v>35</v>
      </c>
      <c r="C5983" t="s">
        <v>123</v>
      </c>
      <c r="D5983">
        <v>21</v>
      </c>
      <c r="E5983" t="s">
        <v>355</v>
      </c>
    </row>
    <row r="5984" spans="1:5" x14ac:dyDescent="0.35">
      <c r="A5984">
        <v>2014</v>
      </c>
      <c r="B5984" t="s">
        <v>38</v>
      </c>
      <c r="C5984" t="s">
        <v>72</v>
      </c>
      <c r="D5984">
        <v>302</v>
      </c>
      <c r="E5984" t="s">
        <v>466</v>
      </c>
    </row>
    <row r="5985" spans="1:5" x14ac:dyDescent="0.35">
      <c r="A5985">
        <v>2014</v>
      </c>
      <c r="B5985" t="s">
        <v>33</v>
      </c>
      <c r="C5985" t="s">
        <v>187</v>
      </c>
      <c r="D5985">
        <v>22</v>
      </c>
      <c r="E5985" t="s">
        <v>467</v>
      </c>
    </row>
    <row r="5986" spans="1:5" x14ac:dyDescent="0.35">
      <c r="A5986">
        <v>2014</v>
      </c>
      <c r="B5986" t="s">
        <v>38</v>
      </c>
      <c r="C5986" t="s">
        <v>20</v>
      </c>
      <c r="D5986">
        <v>2568</v>
      </c>
      <c r="E5986" t="s">
        <v>466</v>
      </c>
    </row>
    <row r="5987" spans="1:5" x14ac:dyDescent="0.35">
      <c r="A5987">
        <v>2014</v>
      </c>
      <c r="B5987" t="s">
        <v>34</v>
      </c>
      <c r="C5987" t="s">
        <v>122</v>
      </c>
      <c r="D5987">
        <v>3</v>
      </c>
      <c r="E5987" t="s">
        <v>328</v>
      </c>
    </row>
    <row r="5988" spans="1:5" x14ac:dyDescent="0.35">
      <c r="A5988">
        <v>2014</v>
      </c>
      <c r="B5988" t="s">
        <v>33</v>
      </c>
      <c r="C5988" t="s">
        <v>74</v>
      </c>
      <c r="D5988">
        <v>99</v>
      </c>
      <c r="E5988" t="s">
        <v>466</v>
      </c>
    </row>
    <row r="5989" spans="1:5" x14ac:dyDescent="0.35">
      <c r="A5989">
        <v>2014</v>
      </c>
      <c r="B5989" t="s">
        <v>34</v>
      </c>
      <c r="C5989" t="s">
        <v>185</v>
      </c>
      <c r="D5989">
        <v>339</v>
      </c>
      <c r="E5989" t="s">
        <v>467</v>
      </c>
    </row>
    <row r="5990" spans="1:5" x14ac:dyDescent="0.35">
      <c r="A5990">
        <v>2014</v>
      </c>
      <c r="B5990" t="s">
        <v>33</v>
      </c>
      <c r="C5990" t="s">
        <v>75</v>
      </c>
      <c r="D5990">
        <v>52</v>
      </c>
      <c r="E5990" t="s">
        <v>466</v>
      </c>
    </row>
    <row r="5991" spans="1:5" x14ac:dyDescent="0.35">
      <c r="A5991">
        <v>2014</v>
      </c>
      <c r="B5991" t="s">
        <v>34</v>
      </c>
      <c r="C5991" t="s">
        <v>122</v>
      </c>
      <c r="D5991">
        <v>0</v>
      </c>
      <c r="E5991" t="s">
        <v>355</v>
      </c>
    </row>
    <row r="5992" spans="1:5" x14ac:dyDescent="0.35">
      <c r="A5992">
        <v>2014</v>
      </c>
      <c r="B5992" t="s">
        <v>36</v>
      </c>
      <c r="C5992" t="s">
        <v>76</v>
      </c>
      <c r="D5992">
        <v>532</v>
      </c>
      <c r="E5992" t="s">
        <v>466</v>
      </c>
    </row>
    <row r="5993" spans="1:5" x14ac:dyDescent="0.35">
      <c r="A5993">
        <v>2014</v>
      </c>
      <c r="B5993" t="s">
        <v>34</v>
      </c>
      <c r="C5993" t="s">
        <v>184</v>
      </c>
      <c r="D5993">
        <v>78</v>
      </c>
      <c r="E5993" t="s">
        <v>467</v>
      </c>
    </row>
    <row r="5994" spans="1:5" x14ac:dyDescent="0.35">
      <c r="A5994">
        <v>2014</v>
      </c>
      <c r="B5994" t="s">
        <v>33</v>
      </c>
      <c r="C5994" t="s">
        <v>77</v>
      </c>
      <c r="D5994">
        <v>90</v>
      </c>
      <c r="E5994" t="s">
        <v>466</v>
      </c>
    </row>
    <row r="5995" spans="1:5" x14ac:dyDescent="0.35">
      <c r="A5995">
        <v>2014</v>
      </c>
      <c r="B5995" t="s">
        <v>34</v>
      </c>
      <c r="C5995" t="s">
        <v>121</v>
      </c>
      <c r="E5995" t="s">
        <v>328</v>
      </c>
    </row>
    <row r="5996" spans="1:5" x14ac:dyDescent="0.35">
      <c r="A5996">
        <v>2014</v>
      </c>
      <c r="B5996" t="s">
        <v>35</v>
      </c>
      <c r="C5996" t="s">
        <v>78</v>
      </c>
      <c r="D5996">
        <v>64</v>
      </c>
      <c r="E5996" t="s">
        <v>466</v>
      </c>
    </row>
    <row r="5997" spans="1:5" x14ac:dyDescent="0.35">
      <c r="A5997">
        <v>2014</v>
      </c>
      <c r="B5997" t="s">
        <v>35</v>
      </c>
      <c r="C5997" t="s">
        <v>183</v>
      </c>
      <c r="D5997">
        <v>73</v>
      </c>
      <c r="E5997" t="s">
        <v>467</v>
      </c>
    </row>
    <row r="5998" spans="1:5" x14ac:dyDescent="0.35">
      <c r="A5998">
        <v>2014</v>
      </c>
      <c r="B5998" t="s">
        <v>36</v>
      </c>
      <c r="C5998" t="s">
        <v>79</v>
      </c>
      <c r="D5998">
        <v>3724</v>
      </c>
      <c r="E5998" t="s">
        <v>466</v>
      </c>
    </row>
    <row r="5999" spans="1:5" x14ac:dyDescent="0.35">
      <c r="A5999">
        <v>2014</v>
      </c>
      <c r="B5999" t="s">
        <v>34</v>
      </c>
      <c r="C5999" t="s">
        <v>121</v>
      </c>
      <c r="E5999" t="s">
        <v>355</v>
      </c>
    </row>
    <row r="6000" spans="1:5" x14ac:dyDescent="0.35">
      <c r="A6000">
        <v>2014</v>
      </c>
      <c r="B6000" t="s">
        <v>34</v>
      </c>
      <c r="C6000" t="s">
        <v>80</v>
      </c>
      <c r="D6000">
        <v>12</v>
      </c>
      <c r="E6000" t="s">
        <v>466</v>
      </c>
    </row>
    <row r="6001" spans="1:5" x14ac:dyDescent="0.35">
      <c r="A6001">
        <v>2014</v>
      </c>
      <c r="B6001" t="s">
        <v>35</v>
      </c>
      <c r="C6001" t="s">
        <v>182</v>
      </c>
      <c r="D6001">
        <v>110</v>
      </c>
      <c r="E6001" t="s">
        <v>467</v>
      </c>
    </row>
    <row r="6002" spans="1:5" x14ac:dyDescent="0.35">
      <c r="A6002">
        <v>2014</v>
      </c>
      <c r="B6002" t="s">
        <v>35</v>
      </c>
      <c r="C6002" t="s">
        <v>81</v>
      </c>
      <c r="D6002">
        <v>171</v>
      </c>
      <c r="E6002" t="s">
        <v>466</v>
      </c>
    </row>
    <row r="6003" spans="1:5" x14ac:dyDescent="0.35">
      <c r="A6003">
        <v>2014</v>
      </c>
      <c r="B6003" t="s">
        <v>34</v>
      </c>
      <c r="C6003" t="s">
        <v>120</v>
      </c>
      <c r="D6003">
        <v>4</v>
      </c>
      <c r="E6003" t="s">
        <v>328</v>
      </c>
    </row>
    <row r="6004" spans="1:5" x14ac:dyDescent="0.35">
      <c r="A6004">
        <v>2014</v>
      </c>
      <c r="B6004" t="s">
        <v>34</v>
      </c>
      <c r="C6004" t="s">
        <v>73</v>
      </c>
      <c r="D6004">
        <v>5171</v>
      </c>
      <c r="E6004" t="s">
        <v>466</v>
      </c>
    </row>
    <row r="6005" spans="1:5" x14ac:dyDescent="0.35">
      <c r="A6005">
        <v>2014</v>
      </c>
      <c r="B6005" t="s">
        <v>34</v>
      </c>
      <c r="C6005" t="s">
        <v>178</v>
      </c>
      <c r="D6005">
        <v>63</v>
      </c>
      <c r="E6005" t="s">
        <v>467</v>
      </c>
    </row>
    <row r="6006" spans="1:5" x14ac:dyDescent="0.35">
      <c r="A6006">
        <v>2014</v>
      </c>
      <c r="B6006" t="s">
        <v>38</v>
      </c>
      <c r="C6006" t="s">
        <v>21</v>
      </c>
      <c r="D6006">
        <v>2353</v>
      </c>
      <c r="E6006" t="s">
        <v>466</v>
      </c>
    </row>
    <row r="6007" spans="1:5" x14ac:dyDescent="0.35">
      <c r="A6007">
        <v>2014</v>
      </c>
      <c r="B6007" t="s">
        <v>36</v>
      </c>
      <c r="C6007" t="s">
        <v>164</v>
      </c>
      <c r="D6007">
        <v>10</v>
      </c>
      <c r="E6007" t="s">
        <v>328</v>
      </c>
    </row>
    <row r="6008" spans="1:5" x14ac:dyDescent="0.35">
      <c r="A6008">
        <v>2014</v>
      </c>
      <c r="B6008" t="s">
        <v>33</v>
      </c>
      <c r="C6008" t="s">
        <v>61</v>
      </c>
      <c r="D6008">
        <v>7</v>
      </c>
      <c r="E6008" t="s">
        <v>466</v>
      </c>
    </row>
    <row r="6009" spans="1:5" x14ac:dyDescent="0.35">
      <c r="A6009">
        <v>2014</v>
      </c>
      <c r="B6009" t="s">
        <v>35</v>
      </c>
      <c r="C6009" t="s">
        <v>322</v>
      </c>
      <c r="D6009">
        <v>9</v>
      </c>
      <c r="E6009" t="s">
        <v>467</v>
      </c>
    </row>
    <row r="6010" spans="1:5" x14ac:dyDescent="0.35">
      <c r="A6010">
        <v>2014</v>
      </c>
      <c r="B6010" t="s">
        <v>35</v>
      </c>
      <c r="C6010" t="s">
        <v>60</v>
      </c>
      <c r="D6010">
        <v>162</v>
      </c>
      <c r="E6010" t="s">
        <v>466</v>
      </c>
    </row>
    <row r="6011" spans="1:5" x14ac:dyDescent="0.35">
      <c r="A6011">
        <v>2014</v>
      </c>
      <c r="B6011" t="s">
        <v>34</v>
      </c>
      <c r="C6011" t="s">
        <v>131</v>
      </c>
      <c r="D6011">
        <v>11</v>
      </c>
      <c r="E6011" t="s">
        <v>328</v>
      </c>
    </row>
    <row r="6012" spans="1:5" x14ac:dyDescent="0.35">
      <c r="A6012">
        <v>2014</v>
      </c>
      <c r="B6012" t="s">
        <v>34</v>
      </c>
      <c r="C6012" t="s">
        <v>40</v>
      </c>
      <c r="D6012">
        <v>137</v>
      </c>
      <c r="E6012" t="s">
        <v>466</v>
      </c>
    </row>
    <row r="6013" spans="1:5" x14ac:dyDescent="0.35">
      <c r="A6013">
        <v>2014</v>
      </c>
      <c r="B6013" t="s">
        <v>33</v>
      </c>
      <c r="C6013" t="s">
        <v>149</v>
      </c>
      <c r="D6013">
        <v>490</v>
      </c>
      <c r="E6013" t="s">
        <v>467</v>
      </c>
    </row>
    <row r="6014" spans="1:5" x14ac:dyDescent="0.35">
      <c r="A6014">
        <v>2014</v>
      </c>
      <c r="B6014" t="s">
        <v>35</v>
      </c>
      <c r="C6014" t="s">
        <v>41</v>
      </c>
      <c r="D6014">
        <v>481</v>
      </c>
      <c r="E6014" t="s">
        <v>466</v>
      </c>
    </row>
    <row r="6015" spans="1:5" x14ac:dyDescent="0.35">
      <c r="A6015">
        <v>2014</v>
      </c>
      <c r="B6015" t="s">
        <v>33</v>
      </c>
      <c r="C6015" t="s">
        <v>132</v>
      </c>
      <c r="D6015">
        <v>9</v>
      </c>
      <c r="E6015" t="s">
        <v>355</v>
      </c>
    </row>
    <row r="6016" spans="1:5" x14ac:dyDescent="0.35">
      <c r="A6016">
        <v>2014</v>
      </c>
      <c r="B6016" t="s">
        <v>33</v>
      </c>
      <c r="C6016" t="s">
        <v>42</v>
      </c>
      <c r="D6016">
        <v>80</v>
      </c>
      <c r="E6016" t="s">
        <v>466</v>
      </c>
    </row>
    <row r="6017" spans="1:5" x14ac:dyDescent="0.35">
      <c r="A6017">
        <v>2014</v>
      </c>
      <c r="B6017" t="s">
        <v>34</v>
      </c>
      <c r="C6017" t="s">
        <v>64</v>
      </c>
      <c r="D6017">
        <v>7</v>
      </c>
      <c r="E6017" t="s">
        <v>467</v>
      </c>
    </row>
    <row r="6018" spans="1:5" x14ac:dyDescent="0.35">
      <c r="A6018">
        <v>2014</v>
      </c>
      <c r="C6018" t="s">
        <v>373</v>
      </c>
      <c r="D6018">
        <v>24</v>
      </c>
      <c r="E6018" t="s">
        <v>466</v>
      </c>
    </row>
    <row r="6019" spans="1:5" x14ac:dyDescent="0.35">
      <c r="A6019">
        <v>2014</v>
      </c>
      <c r="B6019" t="s">
        <v>33</v>
      </c>
      <c r="C6019" t="s">
        <v>132</v>
      </c>
      <c r="D6019">
        <v>12</v>
      </c>
      <c r="E6019" t="s">
        <v>328</v>
      </c>
    </row>
    <row r="6020" spans="1:5" x14ac:dyDescent="0.35">
      <c r="A6020">
        <v>2014</v>
      </c>
      <c r="B6020" t="s">
        <v>33</v>
      </c>
      <c r="C6020" t="s">
        <v>43</v>
      </c>
      <c r="D6020">
        <v>62</v>
      </c>
      <c r="E6020" t="s">
        <v>466</v>
      </c>
    </row>
    <row r="6021" spans="1:5" x14ac:dyDescent="0.35">
      <c r="A6021">
        <v>2014</v>
      </c>
      <c r="B6021" t="s">
        <v>34</v>
      </c>
      <c r="C6021" t="s">
        <v>67</v>
      </c>
      <c r="D6021">
        <v>11</v>
      </c>
      <c r="E6021" t="s">
        <v>467</v>
      </c>
    </row>
    <row r="6022" spans="1:5" x14ac:dyDescent="0.35">
      <c r="A6022">
        <v>2014</v>
      </c>
      <c r="B6022" t="s">
        <v>36</v>
      </c>
      <c r="C6022" t="s">
        <v>44</v>
      </c>
      <c r="D6022">
        <v>55</v>
      </c>
      <c r="E6022" t="s">
        <v>466</v>
      </c>
    </row>
    <row r="6023" spans="1:5" x14ac:dyDescent="0.35">
      <c r="A6023">
        <v>2014</v>
      </c>
      <c r="B6023" t="s">
        <v>37</v>
      </c>
      <c r="C6023" t="s">
        <v>134</v>
      </c>
      <c r="D6023">
        <v>32</v>
      </c>
      <c r="E6023" t="s">
        <v>355</v>
      </c>
    </row>
    <row r="6024" spans="1:5" x14ac:dyDescent="0.35">
      <c r="A6024">
        <v>2014</v>
      </c>
      <c r="B6024" t="s">
        <v>35</v>
      </c>
      <c r="C6024" t="s">
        <v>127</v>
      </c>
      <c r="D6024">
        <v>130</v>
      </c>
      <c r="E6024" t="s">
        <v>466</v>
      </c>
    </row>
    <row r="6025" spans="1:5" x14ac:dyDescent="0.35">
      <c r="A6025">
        <v>2014</v>
      </c>
      <c r="B6025" t="s">
        <v>33</v>
      </c>
      <c r="C6025" t="s">
        <v>68</v>
      </c>
      <c r="D6025">
        <v>34</v>
      </c>
      <c r="E6025" t="s">
        <v>467</v>
      </c>
    </row>
    <row r="6026" spans="1:5" x14ac:dyDescent="0.35">
      <c r="A6026">
        <v>2014</v>
      </c>
      <c r="B6026" t="s">
        <v>34</v>
      </c>
      <c r="C6026" t="s">
        <v>46</v>
      </c>
      <c r="D6026">
        <v>254</v>
      </c>
      <c r="E6026" t="s">
        <v>466</v>
      </c>
    </row>
    <row r="6027" spans="1:5" x14ac:dyDescent="0.35">
      <c r="A6027">
        <v>2014</v>
      </c>
      <c r="B6027" t="s">
        <v>34</v>
      </c>
      <c r="C6027" t="s">
        <v>144</v>
      </c>
      <c r="D6027">
        <v>15</v>
      </c>
      <c r="E6027" t="s">
        <v>328</v>
      </c>
    </row>
    <row r="6028" spans="1:5" x14ac:dyDescent="0.35">
      <c r="A6028">
        <v>2014</v>
      </c>
      <c r="B6028" t="s">
        <v>37</v>
      </c>
      <c r="C6028" t="s">
        <v>47</v>
      </c>
      <c r="D6028">
        <v>480</v>
      </c>
      <c r="E6028" t="s">
        <v>466</v>
      </c>
    </row>
    <row r="6029" spans="1:5" x14ac:dyDescent="0.35">
      <c r="A6029">
        <v>2014</v>
      </c>
      <c r="B6029" t="s">
        <v>36</v>
      </c>
      <c r="C6029" t="s">
        <v>69</v>
      </c>
      <c r="D6029">
        <v>23253</v>
      </c>
      <c r="E6029" t="s">
        <v>467</v>
      </c>
    </row>
    <row r="6030" spans="1:5" x14ac:dyDescent="0.35">
      <c r="A6030">
        <v>2014</v>
      </c>
      <c r="B6030" t="s">
        <v>35</v>
      </c>
      <c r="C6030" t="s">
        <v>48</v>
      </c>
      <c r="D6030">
        <v>49</v>
      </c>
      <c r="E6030" t="s">
        <v>466</v>
      </c>
    </row>
    <row r="6031" spans="1:5" x14ac:dyDescent="0.35">
      <c r="A6031">
        <v>2014</v>
      </c>
      <c r="B6031" t="s">
        <v>34</v>
      </c>
      <c r="C6031" t="s">
        <v>144</v>
      </c>
      <c r="D6031">
        <v>17</v>
      </c>
      <c r="E6031" t="s">
        <v>355</v>
      </c>
    </row>
    <row r="6032" spans="1:5" x14ac:dyDescent="0.35">
      <c r="A6032">
        <v>2014</v>
      </c>
      <c r="B6032" t="s">
        <v>34</v>
      </c>
      <c r="C6032" t="s">
        <v>49</v>
      </c>
      <c r="D6032">
        <v>58</v>
      </c>
      <c r="E6032" t="s">
        <v>466</v>
      </c>
    </row>
    <row r="6033" spans="1:5" x14ac:dyDescent="0.35">
      <c r="A6033">
        <v>2014</v>
      </c>
      <c r="B6033" t="s">
        <v>38</v>
      </c>
      <c r="C6033" t="s">
        <v>72</v>
      </c>
      <c r="D6033">
        <v>137</v>
      </c>
      <c r="E6033" t="s">
        <v>467</v>
      </c>
    </row>
    <row r="6034" spans="1:5" x14ac:dyDescent="0.35">
      <c r="A6034">
        <v>2014</v>
      </c>
      <c r="B6034" t="s">
        <v>36</v>
      </c>
      <c r="C6034" t="s">
        <v>50</v>
      </c>
      <c r="D6034">
        <v>770</v>
      </c>
      <c r="E6034" t="s">
        <v>466</v>
      </c>
    </row>
    <row r="6035" spans="1:5" x14ac:dyDescent="0.35">
      <c r="A6035">
        <v>2014</v>
      </c>
      <c r="B6035" t="s">
        <v>33</v>
      </c>
      <c r="C6035" t="s">
        <v>141</v>
      </c>
      <c r="D6035">
        <v>22</v>
      </c>
      <c r="E6035" t="s">
        <v>328</v>
      </c>
    </row>
    <row r="6036" spans="1:5" x14ac:dyDescent="0.35">
      <c r="A6036">
        <v>2014</v>
      </c>
      <c r="B6036" t="s">
        <v>34</v>
      </c>
      <c r="C6036" t="s">
        <v>51</v>
      </c>
      <c r="D6036">
        <v>15</v>
      </c>
      <c r="E6036" t="s">
        <v>466</v>
      </c>
    </row>
    <row r="6037" spans="1:5" x14ac:dyDescent="0.35">
      <c r="A6037">
        <v>2014</v>
      </c>
      <c r="B6037" t="s">
        <v>34</v>
      </c>
      <c r="C6037" t="s">
        <v>73</v>
      </c>
      <c r="D6037">
        <v>1896</v>
      </c>
      <c r="E6037" t="s">
        <v>467</v>
      </c>
    </row>
    <row r="6038" spans="1:5" x14ac:dyDescent="0.35">
      <c r="A6038">
        <v>2014</v>
      </c>
      <c r="B6038" t="s">
        <v>34</v>
      </c>
      <c r="C6038" t="s">
        <v>52</v>
      </c>
      <c r="D6038">
        <v>981</v>
      </c>
      <c r="E6038" t="s">
        <v>466</v>
      </c>
    </row>
    <row r="6039" spans="1:5" x14ac:dyDescent="0.35">
      <c r="A6039">
        <v>2014</v>
      </c>
      <c r="B6039" t="s">
        <v>33</v>
      </c>
      <c r="C6039" t="s">
        <v>141</v>
      </c>
      <c r="D6039">
        <v>21</v>
      </c>
      <c r="E6039" t="s">
        <v>355</v>
      </c>
    </row>
    <row r="6040" spans="1:5" x14ac:dyDescent="0.35">
      <c r="A6040">
        <v>2014</v>
      </c>
      <c r="B6040" t="s">
        <v>36</v>
      </c>
      <c r="C6040" t="s">
        <v>53</v>
      </c>
      <c r="D6040">
        <v>82</v>
      </c>
      <c r="E6040" t="s">
        <v>466</v>
      </c>
    </row>
    <row r="6041" spans="1:5" x14ac:dyDescent="0.35">
      <c r="A6041">
        <v>2014</v>
      </c>
      <c r="B6041" t="s">
        <v>38</v>
      </c>
      <c r="C6041" t="s">
        <v>20</v>
      </c>
      <c r="D6041">
        <v>367</v>
      </c>
      <c r="E6041" t="s">
        <v>467</v>
      </c>
    </row>
    <row r="6042" spans="1:5" x14ac:dyDescent="0.35">
      <c r="A6042">
        <v>2014</v>
      </c>
      <c r="B6042" t="s">
        <v>35</v>
      </c>
      <c r="C6042" t="s">
        <v>54</v>
      </c>
      <c r="D6042">
        <v>43</v>
      </c>
      <c r="E6042" t="s">
        <v>466</v>
      </c>
    </row>
    <row r="6043" spans="1:5" x14ac:dyDescent="0.35">
      <c r="A6043">
        <v>2014</v>
      </c>
      <c r="B6043" t="s">
        <v>35</v>
      </c>
      <c r="C6043" t="s">
        <v>140</v>
      </c>
      <c r="D6043">
        <v>5</v>
      </c>
      <c r="E6043" t="s">
        <v>328</v>
      </c>
    </row>
    <row r="6044" spans="1:5" x14ac:dyDescent="0.35">
      <c r="A6044">
        <v>2014</v>
      </c>
      <c r="B6044" t="s">
        <v>35</v>
      </c>
      <c r="C6044" t="s">
        <v>55</v>
      </c>
      <c r="D6044">
        <v>132</v>
      </c>
      <c r="E6044" t="s">
        <v>466</v>
      </c>
    </row>
    <row r="6045" spans="1:5" x14ac:dyDescent="0.35">
      <c r="A6045">
        <v>2014</v>
      </c>
      <c r="B6045" t="s">
        <v>33</v>
      </c>
      <c r="C6045" t="s">
        <v>74</v>
      </c>
      <c r="D6045">
        <v>32</v>
      </c>
      <c r="E6045" t="s">
        <v>467</v>
      </c>
    </row>
    <row r="6046" spans="1:5" x14ac:dyDescent="0.35">
      <c r="A6046">
        <v>2014</v>
      </c>
      <c r="B6046" t="s">
        <v>36</v>
      </c>
      <c r="C6046" t="s">
        <v>56</v>
      </c>
      <c r="D6046">
        <v>346</v>
      </c>
      <c r="E6046" t="s">
        <v>466</v>
      </c>
    </row>
    <row r="6047" spans="1:5" x14ac:dyDescent="0.35">
      <c r="A6047">
        <v>2014</v>
      </c>
      <c r="B6047" t="s">
        <v>35</v>
      </c>
      <c r="C6047" t="s">
        <v>140</v>
      </c>
      <c r="D6047">
        <v>4</v>
      </c>
      <c r="E6047" t="s">
        <v>355</v>
      </c>
    </row>
    <row r="6048" spans="1:5" x14ac:dyDescent="0.35">
      <c r="A6048">
        <v>2014</v>
      </c>
      <c r="B6048" t="s">
        <v>33</v>
      </c>
      <c r="C6048" t="s">
        <v>57</v>
      </c>
      <c r="D6048">
        <v>38</v>
      </c>
      <c r="E6048" t="s">
        <v>466</v>
      </c>
    </row>
    <row r="6049" spans="1:5" x14ac:dyDescent="0.35">
      <c r="A6049">
        <v>2014</v>
      </c>
      <c r="B6049" t="s">
        <v>33</v>
      </c>
      <c r="C6049" t="s">
        <v>75</v>
      </c>
      <c r="D6049">
        <v>16</v>
      </c>
      <c r="E6049" t="s">
        <v>467</v>
      </c>
    </row>
    <row r="6050" spans="1:5" x14ac:dyDescent="0.35">
      <c r="A6050">
        <v>2014</v>
      </c>
      <c r="B6050" t="s">
        <v>34</v>
      </c>
      <c r="C6050" t="s">
        <v>58</v>
      </c>
      <c r="D6050">
        <v>12</v>
      </c>
      <c r="E6050" t="s">
        <v>466</v>
      </c>
    </row>
    <row r="6051" spans="1:5" x14ac:dyDescent="0.35">
      <c r="A6051">
        <v>2014</v>
      </c>
      <c r="B6051" t="s">
        <v>34</v>
      </c>
      <c r="C6051" t="s">
        <v>139</v>
      </c>
      <c r="D6051">
        <v>14</v>
      </c>
      <c r="E6051" t="s">
        <v>328</v>
      </c>
    </row>
    <row r="6052" spans="1:5" x14ac:dyDescent="0.35">
      <c r="A6052">
        <v>2014</v>
      </c>
      <c r="B6052" t="s">
        <v>38</v>
      </c>
      <c r="C6052" t="s">
        <v>59</v>
      </c>
      <c r="D6052">
        <v>265</v>
      </c>
      <c r="E6052" t="s">
        <v>466</v>
      </c>
    </row>
    <row r="6053" spans="1:5" x14ac:dyDescent="0.35">
      <c r="A6053">
        <v>2014</v>
      </c>
      <c r="B6053" t="s">
        <v>36</v>
      </c>
      <c r="C6053" t="s">
        <v>76</v>
      </c>
      <c r="D6053">
        <v>52</v>
      </c>
      <c r="E6053" t="s">
        <v>467</v>
      </c>
    </row>
    <row r="6054" spans="1:5" x14ac:dyDescent="0.35">
      <c r="A6054">
        <v>2014</v>
      </c>
      <c r="B6054" t="s">
        <v>35</v>
      </c>
      <c r="C6054" t="s">
        <v>214</v>
      </c>
      <c r="D6054">
        <v>12</v>
      </c>
      <c r="E6054" t="s">
        <v>466</v>
      </c>
    </row>
    <row r="6055" spans="1:5" x14ac:dyDescent="0.35">
      <c r="A6055">
        <v>2014</v>
      </c>
      <c r="B6055" t="s">
        <v>35</v>
      </c>
      <c r="C6055" t="s">
        <v>145</v>
      </c>
      <c r="D6055">
        <v>16</v>
      </c>
      <c r="E6055" t="s">
        <v>328</v>
      </c>
    </row>
    <row r="6056" spans="1:5" x14ac:dyDescent="0.35">
      <c r="A6056">
        <v>2014</v>
      </c>
      <c r="B6056" t="s">
        <v>33</v>
      </c>
      <c r="C6056" t="s">
        <v>83</v>
      </c>
      <c r="D6056">
        <v>5</v>
      </c>
      <c r="E6056" t="s">
        <v>466</v>
      </c>
    </row>
    <row r="6057" spans="1:5" x14ac:dyDescent="0.35">
      <c r="A6057">
        <v>2014</v>
      </c>
      <c r="B6057" t="s">
        <v>33</v>
      </c>
      <c r="C6057" t="s">
        <v>77</v>
      </c>
      <c r="D6057">
        <v>24</v>
      </c>
      <c r="E6057" t="s">
        <v>467</v>
      </c>
    </row>
    <row r="6058" spans="1:5" x14ac:dyDescent="0.35">
      <c r="A6058">
        <v>2014</v>
      </c>
      <c r="B6058" t="s">
        <v>38</v>
      </c>
      <c r="C6058" t="s">
        <v>45</v>
      </c>
      <c r="D6058">
        <v>348</v>
      </c>
      <c r="E6058" t="s">
        <v>466</v>
      </c>
    </row>
    <row r="6059" spans="1:5" x14ac:dyDescent="0.35">
      <c r="A6059">
        <v>2014</v>
      </c>
      <c r="B6059" t="s">
        <v>34</v>
      </c>
      <c r="C6059" t="s">
        <v>139</v>
      </c>
      <c r="D6059">
        <v>9</v>
      </c>
      <c r="E6059" t="s">
        <v>355</v>
      </c>
    </row>
    <row r="6060" spans="1:5" x14ac:dyDescent="0.35">
      <c r="A6060">
        <v>2014</v>
      </c>
      <c r="B6060" t="s">
        <v>34</v>
      </c>
      <c r="C6060" t="s">
        <v>122</v>
      </c>
      <c r="D6060">
        <v>344</v>
      </c>
      <c r="E6060" t="s">
        <v>466</v>
      </c>
    </row>
    <row r="6061" spans="1:5" x14ac:dyDescent="0.35">
      <c r="A6061">
        <v>2014</v>
      </c>
      <c r="B6061" t="s">
        <v>33</v>
      </c>
      <c r="C6061" t="s">
        <v>66</v>
      </c>
      <c r="D6061">
        <v>5</v>
      </c>
      <c r="E6061" t="s">
        <v>467</v>
      </c>
    </row>
    <row r="6062" spans="1:5" x14ac:dyDescent="0.35">
      <c r="A6062">
        <v>2014</v>
      </c>
      <c r="B6062" t="s">
        <v>35</v>
      </c>
      <c r="C6062" t="s">
        <v>105</v>
      </c>
      <c r="D6062">
        <v>290</v>
      </c>
      <c r="E6062" t="s">
        <v>466</v>
      </c>
    </row>
    <row r="6063" spans="1:5" x14ac:dyDescent="0.35">
      <c r="A6063">
        <v>2014</v>
      </c>
      <c r="B6063" t="s">
        <v>35</v>
      </c>
      <c r="C6063" t="s">
        <v>138</v>
      </c>
      <c r="D6063">
        <v>12</v>
      </c>
      <c r="E6063" t="s">
        <v>355</v>
      </c>
    </row>
    <row r="6064" spans="1:5" x14ac:dyDescent="0.35">
      <c r="A6064">
        <v>2014</v>
      </c>
      <c r="B6064" t="s">
        <v>35</v>
      </c>
      <c r="C6064" t="s">
        <v>106</v>
      </c>
      <c r="D6064">
        <v>19</v>
      </c>
      <c r="E6064" t="s">
        <v>466</v>
      </c>
    </row>
    <row r="6065" spans="1:5" x14ac:dyDescent="0.35">
      <c r="A6065">
        <v>2014</v>
      </c>
      <c r="B6065" t="s">
        <v>35</v>
      </c>
      <c r="C6065" t="s">
        <v>78</v>
      </c>
      <c r="D6065">
        <v>39</v>
      </c>
      <c r="E6065" t="s">
        <v>467</v>
      </c>
    </row>
    <row r="6066" spans="1:5" x14ac:dyDescent="0.35">
      <c r="A6066">
        <v>2014</v>
      </c>
      <c r="B6066" t="s">
        <v>34</v>
      </c>
      <c r="C6066" t="s">
        <v>22</v>
      </c>
      <c r="D6066">
        <v>3921</v>
      </c>
      <c r="E6066" t="s">
        <v>466</v>
      </c>
    </row>
    <row r="6067" spans="1:5" x14ac:dyDescent="0.35">
      <c r="A6067">
        <v>2014</v>
      </c>
      <c r="B6067" t="s">
        <v>37</v>
      </c>
      <c r="C6067" t="s">
        <v>137</v>
      </c>
      <c r="E6067" t="s">
        <v>328</v>
      </c>
    </row>
    <row r="6068" spans="1:5" x14ac:dyDescent="0.35">
      <c r="A6068">
        <v>2014</v>
      </c>
      <c r="B6068" t="s">
        <v>34</v>
      </c>
      <c r="C6068" t="s">
        <v>107</v>
      </c>
      <c r="D6068">
        <v>173</v>
      </c>
      <c r="E6068" t="s">
        <v>466</v>
      </c>
    </row>
    <row r="6069" spans="1:5" x14ac:dyDescent="0.35">
      <c r="A6069">
        <v>2014</v>
      </c>
      <c r="B6069" t="s">
        <v>35</v>
      </c>
      <c r="C6069" t="s">
        <v>81</v>
      </c>
      <c r="D6069">
        <v>103</v>
      </c>
      <c r="E6069" t="s">
        <v>467</v>
      </c>
    </row>
    <row r="6070" spans="1:5" x14ac:dyDescent="0.35">
      <c r="A6070">
        <v>2014</v>
      </c>
      <c r="B6070" t="s">
        <v>34</v>
      </c>
      <c r="C6070" t="s">
        <v>108</v>
      </c>
      <c r="D6070">
        <v>933</v>
      </c>
      <c r="E6070" t="s">
        <v>466</v>
      </c>
    </row>
    <row r="6071" spans="1:5" x14ac:dyDescent="0.35">
      <c r="A6071">
        <v>2014</v>
      </c>
      <c r="B6071" t="s">
        <v>37</v>
      </c>
      <c r="C6071" t="s">
        <v>137</v>
      </c>
      <c r="E6071" t="s">
        <v>355</v>
      </c>
    </row>
    <row r="6072" spans="1:5" x14ac:dyDescent="0.35">
      <c r="A6072">
        <v>2014</v>
      </c>
      <c r="B6072" t="s">
        <v>34</v>
      </c>
      <c r="C6072" t="s">
        <v>109</v>
      </c>
      <c r="D6072">
        <v>439</v>
      </c>
      <c r="E6072" t="s">
        <v>466</v>
      </c>
    </row>
    <row r="6073" spans="1:5" x14ac:dyDescent="0.35">
      <c r="A6073">
        <v>2014</v>
      </c>
      <c r="B6073" t="s">
        <v>35</v>
      </c>
      <c r="C6073" t="s">
        <v>82</v>
      </c>
      <c r="D6073">
        <v>42</v>
      </c>
      <c r="E6073" t="s">
        <v>467</v>
      </c>
    </row>
    <row r="6074" spans="1:5" x14ac:dyDescent="0.35">
      <c r="A6074">
        <v>2014</v>
      </c>
      <c r="B6074" t="s">
        <v>35</v>
      </c>
      <c r="C6074" t="s">
        <v>110</v>
      </c>
      <c r="D6074">
        <v>213</v>
      </c>
      <c r="E6074" t="s">
        <v>466</v>
      </c>
    </row>
    <row r="6075" spans="1:5" x14ac:dyDescent="0.35">
      <c r="A6075">
        <v>2014</v>
      </c>
      <c r="B6075" t="s">
        <v>36</v>
      </c>
      <c r="C6075" t="s">
        <v>14</v>
      </c>
      <c r="D6075">
        <v>138901</v>
      </c>
      <c r="E6075" t="s">
        <v>328</v>
      </c>
    </row>
    <row r="6076" spans="1:5" x14ac:dyDescent="0.35">
      <c r="A6076">
        <v>2014</v>
      </c>
      <c r="B6076" t="s">
        <v>35</v>
      </c>
      <c r="C6076" t="s">
        <v>112</v>
      </c>
      <c r="D6076">
        <v>795</v>
      </c>
      <c r="E6076" t="s">
        <v>466</v>
      </c>
    </row>
    <row r="6077" spans="1:5" x14ac:dyDescent="0.35">
      <c r="A6077">
        <v>2014</v>
      </c>
      <c r="B6077" t="s">
        <v>36</v>
      </c>
      <c r="C6077" t="s">
        <v>84</v>
      </c>
      <c r="D6077">
        <v>9</v>
      </c>
      <c r="E6077" t="s">
        <v>467</v>
      </c>
    </row>
    <row r="6078" spans="1:5" x14ac:dyDescent="0.35">
      <c r="A6078">
        <v>2014</v>
      </c>
      <c r="B6078" t="s">
        <v>36</v>
      </c>
      <c r="C6078" t="s">
        <v>113</v>
      </c>
      <c r="D6078">
        <v>2505</v>
      </c>
      <c r="E6078" t="s">
        <v>466</v>
      </c>
    </row>
    <row r="6079" spans="1:5" x14ac:dyDescent="0.35">
      <c r="A6079">
        <v>2014</v>
      </c>
      <c r="B6079" t="s">
        <v>36</v>
      </c>
      <c r="C6079" t="s">
        <v>14</v>
      </c>
      <c r="D6079">
        <v>126138</v>
      </c>
      <c r="E6079" t="s">
        <v>355</v>
      </c>
    </row>
    <row r="6080" spans="1:5" x14ac:dyDescent="0.35">
      <c r="A6080">
        <v>2014</v>
      </c>
      <c r="B6080" t="s">
        <v>36</v>
      </c>
      <c r="C6080" t="s">
        <v>17</v>
      </c>
      <c r="D6080">
        <v>112530</v>
      </c>
      <c r="E6080" t="s">
        <v>466</v>
      </c>
    </row>
    <row r="6081" spans="1:5" x14ac:dyDescent="0.35">
      <c r="A6081">
        <v>2014</v>
      </c>
      <c r="B6081" t="s">
        <v>36</v>
      </c>
      <c r="C6081" t="s">
        <v>85</v>
      </c>
      <c r="D6081">
        <v>310</v>
      </c>
      <c r="E6081" t="s">
        <v>467</v>
      </c>
    </row>
    <row r="6082" spans="1:5" x14ac:dyDescent="0.35">
      <c r="A6082">
        <v>2014</v>
      </c>
      <c r="B6082" t="s">
        <v>34</v>
      </c>
      <c r="C6082" t="s">
        <v>114</v>
      </c>
      <c r="D6082">
        <v>442</v>
      </c>
      <c r="E6082" t="s">
        <v>466</v>
      </c>
    </row>
    <row r="6083" spans="1:5" x14ac:dyDescent="0.35">
      <c r="A6083">
        <v>2014</v>
      </c>
      <c r="B6083" t="s">
        <v>33</v>
      </c>
      <c r="C6083" t="s">
        <v>135</v>
      </c>
      <c r="E6083" t="s">
        <v>328</v>
      </c>
    </row>
    <row r="6084" spans="1:5" x14ac:dyDescent="0.35">
      <c r="A6084">
        <v>2014</v>
      </c>
      <c r="B6084" t="s">
        <v>34</v>
      </c>
      <c r="C6084" t="s">
        <v>116</v>
      </c>
      <c r="D6084">
        <v>111</v>
      </c>
      <c r="E6084" t="s">
        <v>466</v>
      </c>
    </row>
    <row r="6085" spans="1:5" x14ac:dyDescent="0.35">
      <c r="A6085">
        <v>2014</v>
      </c>
      <c r="B6085" t="s">
        <v>38</v>
      </c>
      <c r="C6085" t="s">
        <v>86</v>
      </c>
      <c r="D6085">
        <v>184</v>
      </c>
      <c r="E6085" t="s">
        <v>467</v>
      </c>
    </row>
    <row r="6086" spans="1:5" x14ac:dyDescent="0.35">
      <c r="A6086">
        <v>2014</v>
      </c>
      <c r="B6086" t="s">
        <v>33</v>
      </c>
      <c r="C6086" t="s">
        <v>117</v>
      </c>
      <c r="D6086">
        <v>499</v>
      </c>
      <c r="E6086" t="s">
        <v>466</v>
      </c>
    </row>
    <row r="6087" spans="1:5" x14ac:dyDescent="0.35">
      <c r="A6087">
        <v>2014</v>
      </c>
      <c r="B6087" t="s">
        <v>33</v>
      </c>
      <c r="C6087" t="s">
        <v>135</v>
      </c>
      <c r="E6087" t="s">
        <v>355</v>
      </c>
    </row>
    <row r="6088" spans="1:5" x14ac:dyDescent="0.35">
      <c r="A6088">
        <v>2014</v>
      </c>
      <c r="B6088" t="s">
        <v>34</v>
      </c>
      <c r="C6088" t="s">
        <v>118</v>
      </c>
      <c r="D6088">
        <v>1458</v>
      </c>
      <c r="E6088" t="s">
        <v>466</v>
      </c>
    </row>
    <row r="6089" spans="1:5" x14ac:dyDescent="0.35">
      <c r="A6089">
        <v>2014</v>
      </c>
      <c r="B6089" t="s">
        <v>33</v>
      </c>
      <c r="C6089" t="s">
        <v>87</v>
      </c>
      <c r="D6089">
        <v>111</v>
      </c>
      <c r="E6089" t="s">
        <v>467</v>
      </c>
    </row>
    <row r="6090" spans="1:5" x14ac:dyDescent="0.35">
      <c r="A6090">
        <v>2014</v>
      </c>
      <c r="B6090" t="s">
        <v>35</v>
      </c>
      <c r="C6090" t="s">
        <v>119</v>
      </c>
      <c r="D6090">
        <v>43</v>
      </c>
      <c r="E6090" t="s">
        <v>466</v>
      </c>
    </row>
    <row r="6091" spans="1:5" x14ac:dyDescent="0.35">
      <c r="A6091">
        <v>2014</v>
      </c>
      <c r="B6091" t="s">
        <v>35</v>
      </c>
      <c r="C6091" t="s">
        <v>138</v>
      </c>
      <c r="D6091">
        <v>24</v>
      </c>
      <c r="E6091" t="s">
        <v>328</v>
      </c>
    </row>
    <row r="6092" spans="1:5" x14ac:dyDescent="0.35">
      <c r="A6092">
        <v>2014</v>
      </c>
      <c r="B6092" t="s">
        <v>34</v>
      </c>
      <c r="C6092" t="s">
        <v>120</v>
      </c>
      <c r="D6092">
        <v>62</v>
      </c>
      <c r="E6092" t="s">
        <v>466</v>
      </c>
    </row>
    <row r="6093" spans="1:5" x14ac:dyDescent="0.35">
      <c r="A6093">
        <v>2014</v>
      </c>
      <c r="B6093" t="s">
        <v>36</v>
      </c>
      <c r="C6093" t="s">
        <v>16</v>
      </c>
      <c r="D6093">
        <v>497</v>
      </c>
      <c r="E6093" t="s">
        <v>467</v>
      </c>
    </row>
    <row r="6094" spans="1:5" x14ac:dyDescent="0.35">
      <c r="A6094">
        <v>2014</v>
      </c>
      <c r="B6094" t="s">
        <v>34</v>
      </c>
      <c r="C6094" t="s">
        <v>121</v>
      </c>
      <c r="D6094">
        <v>77</v>
      </c>
      <c r="E6094" t="s">
        <v>466</v>
      </c>
    </row>
    <row r="6095" spans="1:5" x14ac:dyDescent="0.35">
      <c r="A6095">
        <v>2014</v>
      </c>
      <c r="B6095" t="s">
        <v>36</v>
      </c>
      <c r="C6095" t="s">
        <v>165</v>
      </c>
      <c r="D6095">
        <v>17</v>
      </c>
      <c r="E6095" t="s">
        <v>355</v>
      </c>
    </row>
    <row r="6096" spans="1:5" x14ac:dyDescent="0.35">
      <c r="A6096">
        <v>2014</v>
      </c>
      <c r="B6096" t="s">
        <v>35</v>
      </c>
      <c r="C6096" t="s">
        <v>123</v>
      </c>
      <c r="D6096">
        <v>122</v>
      </c>
      <c r="E6096" t="s">
        <v>466</v>
      </c>
    </row>
    <row r="6097" spans="1:5" x14ac:dyDescent="0.35">
      <c r="A6097">
        <v>2014</v>
      </c>
      <c r="B6097" t="s">
        <v>33</v>
      </c>
      <c r="C6097" t="s">
        <v>89</v>
      </c>
      <c r="D6097">
        <v>9</v>
      </c>
      <c r="E6097" t="s">
        <v>467</v>
      </c>
    </row>
    <row r="6098" spans="1:5" x14ac:dyDescent="0.35">
      <c r="A6098">
        <v>2014</v>
      </c>
      <c r="B6098" t="s">
        <v>34</v>
      </c>
      <c r="C6098" t="s">
        <v>124</v>
      </c>
      <c r="D6098">
        <v>278</v>
      </c>
      <c r="E6098" t="s">
        <v>466</v>
      </c>
    </row>
    <row r="6099" spans="1:5" x14ac:dyDescent="0.35">
      <c r="A6099">
        <v>2014</v>
      </c>
      <c r="B6099" t="s">
        <v>34</v>
      </c>
      <c r="C6099" t="s">
        <v>186</v>
      </c>
      <c r="E6099" t="s">
        <v>328</v>
      </c>
    </row>
    <row r="6100" spans="1:5" x14ac:dyDescent="0.35">
      <c r="A6100">
        <v>2014</v>
      </c>
      <c r="B6100" t="s">
        <v>33</v>
      </c>
      <c r="C6100" t="s">
        <v>125</v>
      </c>
      <c r="D6100">
        <v>246</v>
      </c>
      <c r="E6100" t="s">
        <v>466</v>
      </c>
    </row>
    <row r="6101" spans="1:5" x14ac:dyDescent="0.35">
      <c r="A6101">
        <v>2014</v>
      </c>
      <c r="B6101" t="s">
        <v>35</v>
      </c>
      <c r="C6101" t="s">
        <v>90</v>
      </c>
      <c r="D6101">
        <v>18</v>
      </c>
      <c r="E6101" t="s">
        <v>467</v>
      </c>
    </row>
    <row r="6102" spans="1:5" x14ac:dyDescent="0.35">
      <c r="A6102">
        <v>2014</v>
      </c>
      <c r="B6102" t="s">
        <v>34</v>
      </c>
      <c r="C6102" t="s">
        <v>115</v>
      </c>
      <c r="D6102">
        <v>518</v>
      </c>
      <c r="E6102" t="s">
        <v>466</v>
      </c>
    </row>
    <row r="6103" spans="1:5" x14ac:dyDescent="0.35">
      <c r="A6103">
        <v>2014</v>
      </c>
      <c r="B6103" t="s">
        <v>37</v>
      </c>
      <c r="C6103" t="s">
        <v>166</v>
      </c>
      <c r="D6103">
        <v>6</v>
      </c>
      <c r="E6103" t="s">
        <v>355</v>
      </c>
    </row>
    <row r="6104" spans="1:5" x14ac:dyDescent="0.35">
      <c r="A6104">
        <v>2014</v>
      </c>
      <c r="B6104" t="s">
        <v>36</v>
      </c>
      <c r="C6104" t="s">
        <v>104</v>
      </c>
      <c r="D6104">
        <v>2796</v>
      </c>
      <c r="E6104" t="s">
        <v>466</v>
      </c>
    </row>
    <row r="6105" spans="1:5" x14ac:dyDescent="0.35">
      <c r="A6105">
        <v>2014</v>
      </c>
      <c r="B6105" t="s">
        <v>33</v>
      </c>
      <c r="C6105" t="s">
        <v>91</v>
      </c>
      <c r="D6105">
        <v>52</v>
      </c>
      <c r="E6105" t="s">
        <v>467</v>
      </c>
    </row>
    <row r="6106" spans="1:5" x14ac:dyDescent="0.35">
      <c r="A6106">
        <v>2014</v>
      </c>
      <c r="B6106" t="s">
        <v>34</v>
      </c>
      <c r="C6106" t="s">
        <v>111</v>
      </c>
      <c r="D6106">
        <v>581</v>
      </c>
      <c r="E6106" t="s">
        <v>466</v>
      </c>
    </row>
    <row r="6107" spans="1:5" x14ac:dyDescent="0.35">
      <c r="A6107">
        <v>2014</v>
      </c>
      <c r="B6107" t="s">
        <v>35</v>
      </c>
      <c r="C6107" t="s">
        <v>196</v>
      </c>
      <c r="D6107">
        <v>49</v>
      </c>
      <c r="E6107" t="s">
        <v>355</v>
      </c>
    </row>
    <row r="6108" spans="1:5" x14ac:dyDescent="0.35">
      <c r="A6108">
        <v>2014</v>
      </c>
      <c r="B6108" t="s">
        <v>33</v>
      </c>
      <c r="C6108" t="s">
        <v>102</v>
      </c>
      <c r="D6108">
        <v>4</v>
      </c>
      <c r="E6108" t="s">
        <v>466</v>
      </c>
    </row>
    <row r="6109" spans="1:5" x14ac:dyDescent="0.35">
      <c r="A6109">
        <v>2014</v>
      </c>
      <c r="B6109" t="s">
        <v>36</v>
      </c>
      <c r="C6109" t="s">
        <v>79</v>
      </c>
      <c r="D6109">
        <v>63</v>
      </c>
      <c r="E6109" t="s">
        <v>467</v>
      </c>
    </row>
    <row r="6110" spans="1:5" x14ac:dyDescent="0.35">
      <c r="A6110">
        <v>2014</v>
      </c>
      <c r="B6110" t="s">
        <v>36</v>
      </c>
      <c r="C6110" t="s">
        <v>85</v>
      </c>
      <c r="D6110">
        <v>4634</v>
      </c>
      <c r="E6110" t="s">
        <v>466</v>
      </c>
    </row>
    <row r="6111" spans="1:5" x14ac:dyDescent="0.35">
      <c r="A6111">
        <v>2014</v>
      </c>
      <c r="B6111" t="s">
        <v>33</v>
      </c>
      <c r="C6111" t="s">
        <v>195</v>
      </c>
      <c r="D6111">
        <v>12</v>
      </c>
      <c r="E6111" t="s">
        <v>328</v>
      </c>
    </row>
    <row r="6112" spans="1:5" x14ac:dyDescent="0.35">
      <c r="A6112">
        <v>2014</v>
      </c>
      <c r="B6112" t="s">
        <v>38</v>
      </c>
      <c r="C6112" t="s">
        <v>86</v>
      </c>
      <c r="D6112">
        <v>6640</v>
      </c>
      <c r="E6112" t="s">
        <v>466</v>
      </c>
    </row>
    <row r="6113" spans="1:5" x14ac:dyDescent="0.35">
      <c r="A6113">
        <v>2014</v>
      </c>
      <c r="B6113" t="s">
        <v>37</v>
      </c>
      <c r="C6113" t="s">
        <v>92</v>
      </c>
      <c r="D6113">
        <v>42</v>
      </c>
      <c r="E6113" t="s">
        <v>467</v>
      </c>
    </row>
    <row r="6114" spans="1:5" x14ac:dyDescent="0.35">
      <c r="A6114">
        <v>2014</v>
      </c>
      <c r="B6114" t="s">
        <v>38</v>
      </c>
      <c r="C6114" t="s">
        <v>103</v>
      </c>
      <c r="D6114">
        <v>335</v>
      </c>
      <c r="E6114" t="s">
        <v>466</v>
      </c>
    </row>
    <row r="6115" spans="1:5" x14ac:dyDescent="0.35">
      <c r="A6115">
        <v>2014</v>
      </c>
      <c r="B6115" t="s">
        <v>33</v>
      </c>
      <c r="C6115" t="s">
        <v>195</v>
      </c>
      <c r="D6115">
        <v>13</v>
      </c>
      <c r="E6115" t="s">
        <v>355</v>
      </c>
    </row>
    <row r="6116" spans="1:5" x14ac:dyDescent="0.35">
      <c r="A6116">
        <v>2014</v>
      </c>
      <c r="B6116" t="s">
        <v>36</v>
      </c>
      <c r="C6116" t="s">
        <v>16</v>
      </c>
      <c r="D6116">
        <v>81651</v>
      </c>
      <c r="E6116" t="s">
        <v>466</v>
      </c>
    </row>
    <row r="6117" spans="1:5" x14ac:dyDescent="0.35">
      <c r="A6117">
        <v>2014</v>
      </c>
      <c r="B6117" t="s">
        <v>33</v>
      </c>
      <c r="C6117" t="s">
        <v>65</v>
      </c>
      <c r="D6117">
        <v>7</v>
      </c>
      <c r="E6117" t="s">
        <v>467</v>
      </c>
    </row>
    <row r="6118" spans="1:5" x14ac:dyDescent="0.35">
      <c r="A6118">
        <v>2014</v>
      </c>
      <c r="B6118" t="s">
        <v>33</v>
      </c>
      <c r="C6118" t="s">
        <v>88</v>
      </c>
      <c r="D6118">
        <v>10</v>
      </c>
      <c r="E6118" t="s">
        <v>466</v>
      </c>
    </row>
    <row r="6119" spans="1:5" x14ac:dyDescent="0.35">
      <c r="A6119">
        <v>2014</v>
      </c>
      <c r="B6119" t="s">
        <v>34</v>
      </c>
      <c r="C6119" t="s">
        <v>194</v>
      </c>
      <c r="E6119" t="s">
        <v>328</v>
      </c>
    </row>
    <row r="6120" spans="1:5" x14ac:dyDescent="0.35">
      <c r="A6120">
        <v>2014</v>
      </c>
      <c r="B6120" t="s">
        <v>33</v>
      </c>
      <c r="C6120" t="s">
        <v>89</v>
      </c>
      <c r="D6120">
        <v>239</v>
      </c>
      <c r="E6120" t="s">
        <v>466</v>
      </c>
    </row>
    <row r="6121" spans="1:5" x14ac:dyDescent="0.35">
      <c r="A6121">
        <v>2014</v>
      </c>
      <c r="B6121" t="s">
        <v>33</v>
      </c>
      <c r="C6121" t="s">
        <v>63</v>
      </c>
      <c r="D6121">
        <v>22</v>
      </c>
      <c r="E6121" t="s">
        <v>467</v>
      </c>
    </row>
    <row r="6122" spans="1:5" x14ac:dyDescent="0.35">
      <c r="A6122">
        <v>2014</v>
      </c>
      <c r="B6122" t="s">
        <v>35</v>
      </c>
      <c r="C6122" t="s">
        <v>90</v>
      </c>
      <c r="D6122">
        <v>45</v>
      </c>
      <c r="E6122" t="s">
        <v>466</v>
      </c>
    </row>
    <row r="6123" spans="1:5" x14ac:dyDescent="0.35">
      <c r="A6123">
        <v>2014</v>
      </c>
      <c r="B6123" t="s">
        <v>34</v>
      </c>
      <c r="C6123" t="s">
        <v>194</v>
      </c>
      <c r="D6123">
        <v>0</v>
      </c>
      <c r="E6123" t="s">
        <v>355</v>
      </c>
    </row>
    <row r="6124" spans="1:5" x14ac:dyDescent="0.35">
      <c r="A6124">
        <v>2014</v>
      </c>
      <c r="B6124" t="s">
        <v>33</v>
      </c>
      <c r="C6124" t="s">
        <v>91</v>
      </c>
      <c r="D6124">
        <v>450</v>
      </c>
      <c r="E6124" t="s">
        <v>466</v>
      </c>
    </row>
    <row r="6125" spans="1:5" x14ac:dyDescent="0.35">
      <c r="A6125">
        <v>2014</v>
      </c>
      <c r="B6125" t="s">
        <v>34</v>
      </c>
      <c r="C6125" t="s">
        <v>40</v>
      </c>
      <c r="D6125">
        <v>37</v>
      </c>
      <c r="E6125" t="s">
        <v>467</v>
      </c>
    </row>
    <row r="6126" spans="1:5" x14ac:dyDescent="0.35">
      <c r="A6126">
        <v>2014</v>
      </c>
      <c r="B6126" t="s">
        <v>37</v>
      </c>
      <c r="C6126" t="s">
        <v>92</v>
      </c>
      <c r="D6126">
        <v>84</v>
      </c>
      <c r="E6126" t="s">
        <v>466</v>
      </c>
    </row>
    <row r="6127" spans="1:5" x14ac:dyDescent="0.35">
      <c r="A6127">
        <v>2014</v>
      </c>
      <c r="B6127" t="s">
        <v>34</v>
      </c>
      <c r="C6127" t="s">
        <v>193</v>
      </c>
      <c r="D6127">
        <v>38</v>
      </c>
      <c r="E6127" t="s">
        <v>328</v>
      </c>
    </row>
    <row r="6128" spans="1:5" x14ac:dyDescent="0.35">
      <c r="A6128">
        <v>2014</v>
      </c>
      <c r="B6128" t="s">
        <v>35</v>
      </c>
      <c r="C6128" t="s">
        <v>93</v>
      </c>
      <c r="D6128">
        <v>31</v>
      </c>
      <c r="E6128" t="s">
        <v>466</v>
      </c>
    </row>
    <row r="6129" spans="1:5" x14ac:dyDescent="0.35">
      <c r="A6129">
        <v>2014</v>
      </c>
      <c r="B6129" t="s">
        <v>35</v>
      </c>
      <c r="C6129" t="s">
        <v>41</v>
      </c>
      <c r="D6129">
        <v>32</v>
      </c>
      <c r="E6129" t="s">
        <v>467</v>
      </c>
    </row>
    <row r="6130" spans="1:5" x14ac:dyDescent="0.35">
      <c r="A6130">
        <v>2014</v>
      </c>
      <c r="B6130" t="s">
        <v>33</v>
      </c>
      <c r="C6130" t="s">
        <v>87</v>
      </c>
      <c r="D6130">
        <v>425</v>
      </c>
      <c r="E6130" t="s">
        <v>466</v>
      </c>
    </row>
    <row r="6131" spans="1:5" x14ac:dyDescent="0.35">
      <c r="A6131">
        <v>2014</v>
      </c>
      <c r="B6131" t="s">
        <v>34</v>
      </c>
      <c r="C6131" t="s">
        <v>193</v>
      </c>
      <c r="D6131">
        <v>19</v>
      </c>
      <c r="E6131" t="s">
        <v>355</v>
      </c>
    </row>
    <row r="6132" spans="1:5" x14ac:dyDescent="0.35">
      <c r="A6132">
        <v>2014</v>
      </c>
      <c r="B6132" t="s">
        <v>33</v>
      </c>
      <c r="C6132" t="s">
        <v>95</v>
      </c>
      <c r="D6132">
        <v>22</v>
      </c>
      <c r="E6132" t="s">
        <v>466</v>
      </c>
    </row>
    <row r="6133" spans="1:5" x14ac:dyDescent="0.35">
      <c r="A6133">
        <v>2014</v>
      </c>
      <c r="B6133" t="s">
        <v>33</v>
      </c>
      <c r="C6133" t="s">
        <v>42</v>
      </c>
      <c r="D6133">
        <v>29</v>
      </c>
      <c r="E6133" t="s">
        <v>467</v>
      </c>
    </row>
    <row r="6134" spans="1:5" x14ac:dyDescent="0.35">
      <c r="A6134">
        <v>2014</v>
      </c>
      <c r="B6134" t="s">
        <v>35</v>
      </c>
      <c r="C6134" t="s">
        <v>94</v>
      </c>
      <c r="D6134">
        <v>815</v>
      </c>
      <c r="E6134" t="s">
        <v>466</v>
      </c>
    </row>
    <row r="6135" spans="1:5" x14ac:dyDescent="0.35">
      <c r="A6135">
        <v>2014</v>
      </c>
      <c r="B6135" t="s">
        <v>33</v>
      </c>
      <c r="C6135" t="s">
        <v>192</v>
      </c>
      <c r="D6135">
        <v>4</v>
      </c>
      <c r="E6135" t="s">
        <v>328</v>
      </c>
    </row>
    <row r="6136" spans="1:5" x14ac:dyDescent="0.35">
      <c r="A6136">
        <v>2014</v>
      </c>
      <c r="B6136" t="s">
        <v>33</v>
      </c>
      <c r="C6136" t="s">
        <v>101</v>
      </c>
      <c r="D6136">
        <v>130</v>
      </c>
      <c r="E6136" t="s">
        <v>466</v>
      </c>
    </row>
    <row r="6137" spans="1:5" x14ac:dyDescent="0.35">
      <c r="A6137">
        <v>2014</v>
      </c>
      <c r="B6137" t="s">
        <v>33</v>
      </c>
      <c r="C6137" t="s">
        <v>43</v>
      </c>
      <c r="D6137">
        <v>37</v>
      </c>
      <c r="E6137" t="s">
        <v>467</v>
      </c>
    </row>
    <row r="6138" spans="1:5" x14ac:dyDescent="0.35">
      <c r="A6138">
        <v>2014</v>
      </c>
      <c r="B6138" t="s">
        <v>36</v>
      </c>
      <c r="C6138" t="s">
        <v>15</v>
      </c>
      <c r="D6138">
        <v>101695</v>
      </c>
      <c r="E6138" t="s">
        <v>466</v>
      </c>
    </row>
    <row r="6139" spans="1:5" x14ac:dyDescent="0.35">
      <c r="A6139">
        <v>2014</v>
      </c>
      <c r="B6139" t="s">
        <v>33</v>
      </c>
      <c r="C6139" t="s">
        <v>192</v>
      </c>
      <c r="D6139">
        <v>6</v>
      </c>
      <c r="E6139" t="s">
        <v>355</v>
      </c>
    </row>
    <row r="6140" spans="1:5" x14ac:dyDescent="0.35">
      <c r="A6140">
        <v>2014</v>
      </c>
      <c r="B6140" t="s">
        <v>36</v>
      </c>
      <c r="C6140" t="s">
        <v>100</v>
      </c>
      <c r="D6140">
        <v>55</v>
      </c>
      <c r="E6140" t="s">
        <v>466</v>
      </c>
    </row>
    <row r="6141" spans="1:5" x14ac:dyDescent="0.35">
      <c r="A6141">
        <v>2014</v>
      </c>
      <c r="B6141" t="s">
        <v>36</v>
      </c>
      <c r="C6141" t="s">
        <v>44</v>
      </c>
      <c r="D6141">
        <v>11</v>
      </c>
      <c r="E6141" t="s">
        <v>467</v>
      </c>
    </row>
    <row r="6142" spans="1:5" x14ac:dyDescent="0.35">
      <c r="A6142">
        <v>2014</v>
      </c>
      <c r="B6142" t="s">
        <v>35</v>
      </c>
      <c r="C6142" t="s">
        <v>99</v>
      </c>
      <c r="D6142">
        <v>226</v>
      </c>
      <c r="E6142" t="s">
        <v>466</v>
      </c>
    </row>
    <row r="6143" spans="1:5" x14ac:dyDescent="0.35">
      <c r="A6143">
        <v>2014</v>
      </c>
      <c r="B6143" t="s">
        <v>36</v>
      </c>
      <c r="C6143" t="s">
        <v>191</v>
      </c>
      <c r="D6143">
        <v>27</v>
      </c>
      <c r="E6143" t="s">
        <v>328</v>
      </c>
    </row>
    <row r="6144" spans="1:5" x14ac:dyDescent="0.35">
      <c r="A6144">
        <v>2014</v>
      </c>
      <c r="B6144" t="s">
        <v>36</v>
      </c>
      <c r="C6144" t="s">
        <v>84</v>
      </c>
      <c r="D6144">
        <v>52</v>
      </c>
      <c r="E6144" t="s">
        <v>466</v>
      </c>
    </row>
    <row r="6145" spans="1:5" x14ac:dyDescent="0.35">
      <c r="A6145">
        <v>2014</v>
      </c>
      <c r="B6145" t="s">
        <v>38</v>
      </c>
      <c r="C6145" t="s">
        <v>45</v>
      </c>
      <c r="D6145">
        <v>79</v>
      </c>
      <c r="E6145" t="s">
        <v>467</v>
      </c>
    </row>
    <row r="6146" spans="1:5" x14ac:dyDescent="0.35">
      <c r="A6146">
        <v>2014</v>
      </c>
      <c r="B6146" t="s">
        <v>35</v>
      </c>
      <c r="C6146" t="s">
        <v>97</v>
      </c>
      <c r="D6146">
        <v>601</v>
      </c>
      <c r="E6146" t="s">
        <v>466</v>
      </c>
    </row>
    <row r="6147" spans="1:5" x14ac:dyDescent="0.35">
      <c r="A6147">
        <v>2014</v>
      </c>
      <c r="B6147" t="s">
        <v>36</v>
      </c>
      <c r="C6147" t="s">
        <v>191</v>
      </c>
      <c r="D6147">
        <v>136</v>
      </c>
      <c r="E6147" t="s">
        <v>355</v>
      </c>
    </row>
    <row r="6148" spans="1:5" x14ac:dyDescent="0.35">
      <c r="A6148">
        <v>2014</v>
      </c>
      <c r="B6148" t="s">
        <v>34</v>
      </c>
      <c r="C6148" t="s">
        <v>8</v>
      </c>
      <c r="D6148">
        <v>77</v>
      </c>
      <c r="E6148" t="s">
        <v>466</v>
      </c>
    </row>
    <row r="6149" spans="1:5" x14ac:dyDescent="0.35">
      <c r="A6149">
        <v>2014</v>
      </c>
      <c r="B6149" t="s">
        <v>34</v>
      </c>
      <c r="C6149" t="s">
        <v>46</v>
      </c>
      <c r="D6149">
        <v>4</v>
      </c>
      <c r="E6149" t="s">
        <v>467</v>
      </c>
    </row>
    <row r="6150" spans="1:5" x14ac:dyDescent="0.35">
      <c r="A6150">
        <v>2014</v>
      </c>
      <c r="B6150" t="s">
        <v>33</v>
      </c>
      <c r="C6150" t="s">
        <v>96</v>
      </c>
      <c r="D6150">
        <v>92</v>
      </c>
      <c r="E6150" t="s">
        <v>466</v>
      </c>
    </row>
    <row r="6151" spans="1:5" x14ac:dyDescent="0.35">
      <c r="A6151">
        <v>2014</v>
      </c>
      <c r="B6151" t="s">
        <v>37</v>
      </c>
      <c r="C6151" t="s">
        <v>190</v>
      </c>
      <c r="E6151" t="s">
        <v>328</v>
      </c>
    </row>
    <row r="6152" spans="1:5" x14ac:dyDescent="0.35">
      <c r="A6152">
        <v>2014</v>
      </c>
      <c r="B6152" t="s">
        <v>33</v>
      </c>
      <c r="C6152" t="s">
        <v>98</v>
      </c>
      <c r="D6152">
        <v>556</v>
      </c>
      <c r="E6152" t="s">
        <v>466</v>
      </c>
    </row>
    <row r="6153" spans="1:5" x14ac:dyDescent="0.35">
      <c r="A6153">
        <v>2014</v>
      </c>
      <c r="B6153" t="s">
        <v>37</v>
      </c>
      <c r="C6153" t="s">
        <v>47</v>
      </c>
      <c r="D6153">
        <v>380</v>
      </c>
      <c r="E6153" t="s">
        <v>467</v>
      </c>
    </row>
    <row r="6154" spans="1:5" x14ac:dyDescent="0.35">
      <c r="A6154">
        <v>2014</v>
      </c>
      <c r="B6154" t="s">
        <v>37</v>
      </c>
      <c r="C6154" t="s">
        <v>190</v>
      </c>
      <c r="E6154" t="s">
        <v>355</v>
      </c>
    </row>
    <row r="6155" spans="1:5" x14ac:dyDescent="0.35">
      <c r="A6155">
        <v>2014</v>
      </c>
      <c r="B6155" t="s">
        <v>35</v>
      </c>
      <c r="C6155" t="s">
        <v>48</v>
      </c>
      <c r="D6155">
        <v>32</v>
      </c>
      <c r="E6155" t="s">
        <v>467</v>
      </c>
    </row>
    <row r="6156" spans="1:5" x14ac:dyDescent="0.35">
      <c r="A6156">
        <v>2014</v>
      </c>
      <c r="B6156" t="s">
        <v>33</v>
      </c>
      <c r="C6156" t="s">
        <v>189</v>
      </c>
      <c r="E6156" t="s">
        <v>328</v>
      </c>
    </row>
    <row r="6157" spans="1:5" x14ac:dyDescent="0.35">
      <c r="A6157">
        <v>2014</v>
      </c>
      <c r="B6157" t="s">
        <v>34</v>
      </c>
      <c r="C6157" t="s">
        <v>49</v>
      </c>
      <c r="D6157">
        <v>4</v>
      </c>
      <c r="E6157" t="s">
        <v>467</v>
      </c>
    </row>
    <row r="6158" spans="1:5" x14ac:dyDescent="0.35">
      <c r="A6158">
        <v>2014</v>
      </c>
      <c r="B6158" t="s">
        <v>33</v>
      </c>
      <c r="C6158" t="s">
        <v>189</v>
      </c>
      <c r="E6158" t="s">
        <v>355</v>
      </c>
    </row>
    <row r="6159" spans="1:5" x14ac:dyDescent="0.35">
      <c r="A6159">
        <v>2014</v>
      </c>
      <c r="B6159" t="s">
        <v>33</v>
      </c>
      <c r="C6159" t="s">
        <v>148</v>
      </c>
      <c r="D6159">
        <v>8</v>
      </c>
      <c r="E6159" t="s">
        <v>467</v>
      </c>
    </row>
    <row r="6160" spans="1:5" x14ac:dyDescent="0.35">
      <c r="A6160">
        <v>2014</v>
      </c>
      <c r="B6160" t="s">
        <v>35</v>
      </c>
      <c r="C6160" t="s">
        <v>196</v>
      </c>
      <c r="D6160">
        <v>44</v>
      </c>
      <c r="E6160" t="s">
        <v>328</v>
      </c>
    </row>
    <row r="6161" spans="1:5" x14ac:dyDescent="0.35">
      <c r="A6161">
        <v>2014</v>
      </c>
      <c r="B6161" t="s">
        <v>36</v>
      </c>
      <c r="C6161" t="s">
        <v>50</v>
      </c>
      <c r="D6161">
        <v>551</v>
      </c>
      <c r="E6161" t="s">
        <v>467</v>
      </c>
    </row>
    <row r="6162" spans="1:5" x14ac:dyDescent="0.35">
      <c r="A6162">
        <v>2014</v>
      </c>
      <c r="B6162" t="s">
        <v>34</v>
      </c>
      <c r="C6162" t="s">
        <v>188</v>
      </c>
      <c r="D6162">
        <v>41</v>
      </c>
      <c r="E6162" t="s">
        <v>328</v>
      </c>
    </row>
    <row r="6163" spans="1:5" x14ac:dyDescent="0.35">
      <c r="A6163">
        <v>2014</v>
      </c>
      <c r="B6163" t="s">
        <v>34</v>
      </c>
      <c r="C6163" t="s">
        <v>52</v>
      </c>
      <c r="D6163">
        <v>111</v>
      </c>
      <c r="E6163" t="s">
        <v>467</v>
      </c>
    </row>
    <row r="6164" spans="1:5" x14ac:dyDescent="0.35">
      <c r="A6164">
        <v>2014</v>
      </c>
      <c r="B6164" t="s">
        <v>35</v>
      </c>
      <c r="C6164" t="s">
        <v>198</v>
      </c>
      <c r="D6164">
        <v>150</v>
      </c>
      <c r="E6164" t="s">
        <v>355</v>
      </c>
    </row>
    <row r="6165" spans="1:5" x14ac:dyDescent="0.35">
      <c r="A6165">
        <v>2014</v>
      </c>
      <c r="B6165" t="s">
        <v>36</v>
      </c>
      <c r="C6165" t="s">
        <v>53</v>
      </c>
      <c r="D6165">
        <v>20</v>
      </c>
      <c r="E6165" t="s">
        <v>467</v>
      </c>
    </row>
    <row r="6166" spans="1:5" x14ac:dyDescent="0.35">
      <c r="A6166">
        <v>2014</v>
      </c>
      <c r="B6166" t="s">
        <v>39</v>
      </c>
      <c r="C6166" t="s">
        <v>39</v>
      </c>
      <c r="D6166">
        <v>9</v>
      </c>
      <c r="E6166" t="s">
        <v>355</v>
      </c>
    </row>
    <row r="6167" spans="1:5" x14ac:dyDescent="0.35">
      <c r="A6167">
        <v>2014</v>
      </c>
      <c r="B6167" t="s">
        <v>35</v>
      </c>
      <c r="C6167" t="s">
        <v>54</v>
      </c>
      <c r="D6167">
        <v>10</v>
      </c>
      <c r="E6167" t="s">
        <v>467</v>
      </c>
    </row>
    <row r="6168" spans="1:5" x14ac:dyDescent="0.35">
      <c r="A6168">
        <v>2014</v>
      </c>
      <c r="B6168" t="s">
        <v>33</v>
      </c>
      <c r="C6168" t="s">
        <v>204</v>
      </c>
      <c r="D6168">
        <v>3</v>
      </c>
      <c r="E6168" t="s">
        <v>328</v>
      </c>
    </row>
    <row r="6169" spans="1:5" x14ac:dyDescent="0.35">
      <c r="A6169">
        <v>2014</v>
      </c>
      <c r="B6169" t="s">
        <v>35</v>
      </c>
      <c r="C6169" t="s">
        <v>55</v>
      </c>
      <c r="D6169">
        <v>105</v>
      </c>
      <c r="E6169" t="s">
        <v>467</v>
      </c>
    </row>
    <row r="6170" spans="1:5" x14ac:dyDescent="0.35">
      <c r="A6170">
        <v>2014</v>
      </c>
      <c r="B6170" t="s">
        <v>33</v>
      </c>
      <c r="C6170" t="s">
        <v>204</v>
      </c>
      <c r="D6170">
        <v>6</v>
      </c>
      <c r="E6170" t="s">
        <v>355</v>
      </c>
    </row>
    <row r="6171" spans="1:5" x14ac:dyDescent="0.35">
      <c r="A6171">
        <v>2014</v>
      </c>
      <c r="B6171" t="s">
        <v>36</v>
      </c>
      <c r="C6171" t="s">
        <v>56</v>
      </c>
      <c r="D6171">
        <v>34</v>
      </c>
      <c r="E6171" t="s">
        <v>467</v>
      </c>
    </row>
    <row r="6172" spans="1:5" x14ac:dyDescent="0.35">
      <c r="A6172">
        <v>2014</v>
      </c>
      <c r="B6172" t="s">
        <v>33</v>
      </c>
      <c r="C6172" t="s">
        <v>203</v>
      </c>
      <c r="D6172">
        <v>5</v>
      </c>
      <c r="E6172" t="s">
        <v>328</v>
      </c>
    </row>
    <row r="6173" spans="1:5" x14ac:dyDescent="0.35">
      <c r="A6173">
        <v>2014</v>
      </c>
      <c r="B6173" t="s">
        <v>33</v>
      </c>
      <c r="C6173" t="s">
        <v>57</v>
      </c>
      <c r="D6173">
        <v>16</v>
      </c>
      <c r="E6173" t="s">
        <v>467</v>
      </c>
    </row>
    <row r="6174" spans="1:5" x14ac:dyDescent="0.35">
      <c r="A6174">
        <v>2014</v>
      </c>
      <c r="B6174" t="s">
        <v>33</v>
      </c>
      <c r="C6174" t="s">
        <v>203</v>
      </c>
      <c r="D6174">
        <v>7</v>
      </c>
      <c r="E6174" t="s">
        <v>355</v>
      </c>
    </row>
    <row r="6175" spans="1:5" x14ac:dyDescent="0.35">
      <c r="A6175">
        <v>2014</v>
      </c>
      <c r="B6175" t="s">
        <v>38</v>
      </c>
      <c r="C6175" t="s">
        <v>59</v>
      </c>
      <c r="D6175">
        <v>35</v>
      </c>
      <c r="E6175" t="s">
        <v>467</v>
      </c>
    </row>
    <row r="6176" spans="1:5" x14ac:dyDescent="0.35">
      <c r="A6176">
        <v>2014</v>
      </c>
      <c r="B6176" t="s">
        <v>34</v>
      </c>
      <c r="C6176" t="s">
        <v>202</v>
      </c>
      <c r="D6176">
        <v>9</v>
      </c>
      <c r="E6176" t="s">
        <v>328</v>
      </c>
    </row>
    <row r="6177" spans="1:5" x14ac:dyDescent="0.35">
      <c r="A6177">
        <v>2014</v>
      </c>
      <c r="B6177" t="s">
        <v>35</v>
      </c>
      <c r="C6177" t="s">
        <v>60</v>
      </c>
      <c r="D6177">
        <v>12</v>
      </c>
      <c r="E6177" t="s">
        <v>467</v>
      </c>
    </row>
    <row r="6178" spans="1:5" x14ac:dyDescent="0.35">
      <c r="A6178">
        <v>2014</v>
      </c>
      <c r="B6178" t="s">
        <v>34</v>
      </c>
      <c r="C6178" t="s">
        <v>202</v>
      </c>
      <c r="D6178">
        <v>6</v>
      </c>
      <c r="E6178" t="s">
        <v>355</v>
      </c>
    </row>
    <row r="6179" spans="1:5" x14ac:dyDescent="0.35">
      <c r="A6179">
        <v>2014</v>
      </c>
      <c r="B6179" t="s">
        <v>38</v>
      </c>
      <c r="C6179" t="s">
        <v>21</v>
      </c>
      <c r="D6179">
        <v>406</v>
      </c>
      <c r="E6179" t="s">
        <v>467</v>
      </c>
    </row>
    <row r="6180" spans="1:5" x14ac:dyDescent="0.35">
      <c r="A6180">
        <v>2014</v>
      </c>
      <c r="B6180" t="s">
        <v>34</v>
      </c>
      <c r="C6180" t="s">
        <v>201</v>
      </c>
      <c r="D6180">
        <v>14</v>
      </c>
      <c r="E6180" t="s">
        <v>328</v>
      </c>
    </row>
    <row r="6181" spans="1:5" x14ac:dyDescent="0.35">
      <c r="A6181">
        <v>2014</v>
      </c>
      <c r="B6181" t="s">
        <v>35</v>
      </c>
      <c r="C6181" t="s">
        <v>62</v>
      </c>
      <c r="D6181">
        <v>32</v>
      </c>
      <c r="E6181" t="s">
        <v>467</v>
      </c>
    </row>
    <row r="6182" spans="1:5" x14ac:dyDescent="0.35">
      <c r="A6182">
        <v>2014</v>
      </c>
      <c r="B6182" t="s">
        <v>34</v>
      </c>
      <c r="C6182" t="s">
        <v>201</v>
      </c>
      <c r="D6182">
        <v>32</v>
      </c>
      <c r="E6182" t="s">
        <v>355</v>
      </c>
    </row>
    <row r="6183" spans="1:5" x14ac:dyDescent="0.35">
      <c r="A6183">
        <v>2014</v>
      </c>
      <c r="B6183" t="s">
        <v>34</v>
      </c>
      <c r="C6183" t="s">
        <v>51</v>
      </c>
      <c r="D6183">
        <v>11</v>
      </c>
      <c r="E6183" t="s">
        <v>467</v>
      </c>
    </row>
    <row r="6184" spans="1:5" x14ac:dyDescent="0.35">
      <c r="A6184">
        <v>2014</v>
      </c>
      <c r="B6184" t="s">
        <v>38</v>
      </c>
      <c r="C6184" t="s">
        <v>19</v>
      </c>
      <c r="D6184">
        <v>98</v>
      </c>
      <c r="E6184" t="s">
        <v>328</v>
      </c>
    </row>
    <row r="6185" spans="1:5" x14ac:dyDescent="0.35">
      <c r="A6185">
        <v>2014</v>
      </c>
      <c r="B6185" t="s">
        <v>35</v>
      </c>
      <c r="C6185" t="s">
        <v>93</v>
      </c>
      <c r="D6185">
        <v>25</v>
      </c>
      <c r="E6185" t="s">
        <v>467</v>
      </c>
    </row>
    <row r="6186" spans="1:5" x14ac:dyDescent="0.35">
      <c r="A6186">
        <v>2014</v>
      </c>
      <c r="B6186" t="s">
        <v>38</v>
      </c>
      <c r="C6186" t="s">
        <v>19</v>
      </c>
      <c r="D6186">
        <v>79</v>
      </c>
      <c r="E6186" t="s">
        <v>355</v>
      </c>
    </row>
    <row r="6187" spans="1:5" x14ac:dyDescent="0.35">
      <c r="A6187">
        <v>2014</v>
      </c>
      <c r="B6187" t="s">
        <v>34</v>
      </c>
      <c r="C6187" t="s">
        <v>80</v>
      </c>
      <c r="D6187">
        <v>8</v>
      </c>
      <c r="E6187" t="s">
        <v>467</v>
      </c>
    </row>
    <row r="6188" spans="1:5" x14ac:dyDescent="0.35">
      <c r="A6188">
        <v>2014</v>
      </c>
      <c r="B6188" t="s">
        <v>34</v>
      </c>
      <c r="C6188" t="s">
        <v>200</v>
      </c>
      <c r="D6188">
        <v>26</v>
      </c>
      <c r="E6188" t="s">
        <v>328</v>
      </c>
    </row>
    <row r="6189" spans="1:5" x14ac:dyDescent="0.35">
      <c r="A6189">
        <v>2014</v>
      </c>
      <c r="B6189" t="s">
        <v>33</v>
      </c>
      <c r="C6189" t="s">
        <v>95</v>
      </c>
      <c r="D6189">
        <v>5</v>
      </c>
      <c r="E6189" t="s">
        <v>467</v>
      </c>
    </row>
    <row r="6190" spans="1:5" x14ac:dyDescent="0.35">
      <c r="A6190">
        <v>2014</v>
      </c>
      <c r="B6190" t="s">
        <v>34</v>
      </c>
      <c r="C6190" t="s">
        <v>200</v>
      </c>
      <c r="D6190">
        <v>9</v>
      </c>
      <c r="E6190" t="s">
        <v>355</v>
      </c>
    </row>
    <row r="6191" spans="1:5" x14ac:dyDescent="0.35">
      <c r="A6191">
        <v>2014</v>
      </c>
      <c r="B6191" t="s">
        <v>35</v>
      </c>
      <c r="C6191" t="s">
        <v>119</v>
      </c>
      <c r="D6191">
        <v>14</v>
      </c>
      <c r="E6191" t="s">
        <v>467</v>
      </c>
    </row>
    <row r="6192" spans="1:5" x14ac:dyDescent="0.35">
      <c r="A6192">
        <v>2014</v>
      </c>
      <c r="B6192" t="s">
        <v>38</v>
      </c>
      <c r="C6192" t="s">
        <v>199</v>
      </c>
      <c r="D6192">
        <v>22</v>
      </c>
      <c r="E6192" t="s">
        <v>328</v>
      </c>
    </row>
    <row r="6193" spans="1:5" x14ac:dyDescent="0.35">
      <c r="A6193">
        <v>2014</v>
      </c>
      <c r="B6193" t="s">
        <v>34</v>
      </c>
      <c r="C6193" t="s">
        <v>120</v>
      </c>
      <c r="D6193">
        <v>30</v>
      </c>
      <c r="E6193" t="s">
        <v>467</v>
      </c>
    </row>
    <row r="6194" spans="1:5" x14ac:dyDescent="0.35">
      <c r="A6194">
        <v>2014</v>
      </c>
      <c r="B6194" t="s">
        <v>38</v>
      </c>
      <c r="C6194" t="s">
        <v>199</v>
      </c>
      <c r="D6194">
        <v>31</v>
      </c>
      <c r="E6194" t="s">
        <v>355</v>
      </c>
    </row>
    <row r="6195" spans="1:5" x14ac:dyDescent="0.35">
      <c r="A6195">
        <v>2014</v>
      </c>
      <c r="B6195" t="s">
        <v>34</v>
      </c>
      <c r="C6195" t="s">
        <v>121</v>
      </c>
      <c r="D6195">
        <v>13</v>
      </c>
      <c r="E6195" t="s">
        <v>467</v>
      </c>
    </row>
    <row r="6196" spans="1:5" x14ac:dyDescent="0.35">
      <c r="A6196">
        <v>2014</v>
      </c>
      <c r="B6196" t="s">
        <v>39</v>
      </c>
      <c r="C6196" t="s">
        <v>39</v>
      </c>
      <c r="D6196">
        <v>15</v>
      </c>
      <c r="E6196" t="s">
        <v>328</v>
      </c>
    </row>
    <row r="6197" spans="1:5" x14ac:dyDescent="0.35">
      <c r="A6197">
        <v>2014</v>
      </c>
      <c r="B6197" t="s">
        <v>34</v>
      </c>
      <c r="C6197" t="s">
        <v>122</v>
      </c>
      <c r="D6197">
        <v>3</v>
      </c>
      <c r="E6197" t="s">
        <v>467</v>
      </c>
    </row>
    <row r="6198" spans="1:5" x14ac:dyDescent="0.35">
      <c r="A6198">
        <v>2014</v>
      </c>
      <c r="B6198" t="s">
        <v>35</v>
      </c>
      <c r="C6198" t="s">
        <v>198</v>
      </c>
      <c r="D6198">
        <v>80</v>
      </c>
      <c r="E6198" t="s">
        <v>328</v>
      </c>
    </row>
    <row r="6199" spans="1:5" x14ac:dyDescent="0.35">
      <c r="A6199">
        <v>2014</v>
      </c>
      <c r="B6199" t="s">
        <v>35</v>
      </c>
      <c r="C6199" t="s">
        <v>123</v>
      </c>
      <c r="D6199">
        <v>66</v>
      </c>
      <c r="E6199" t="s">
        <v>467</v>
      </c>
    </row>
    <row r="6200" spans="1:5" x14ac:dyDescent="0.35">
      <c r="A6200">
        <v>2014</v>
      </c>
      <c r="B6200" t="s">
        <v>34</v>
      </c>
      <c r="C6200" t="s">
        <v>188</v>
      </c>
      <c r="D6200">
        <v>18</v>
      </c>
      <c r="E6200" t="s">
        <v>355</v>
      </c>
    </row>
    <row r="6201" spans="1:5" x14ac:dyDescent="0.35">
      <c r="A6201">
        <v>2014</v>
      </c>
      <c r="B6201" t="s">
        <v>34</v>
      </c>
      <c r="C6201" t="s">
        <v>124</v>
      </c>
      <c r="D6201">
        <v>115</v>
      </c>
      <c r="E6201" t="s">
        <v>467</v>
      </c>
    </row>
    <row r="6202" spans="1:5" x14ac:dyDescent="0.35">
      <c r="A6202">
        <v>2014</v>
      </c>
      <c r="B6202" t="s">
        <v>33</v>
      </c>
      <c r="C6202" t="s">
        <v>187</v>
      </c>
      <c r="D6202">
        <v>14</v>
      </c>
      <c r="E6202" t="s">
        <v>328</v>
      </c>
    </row>
    <row r="6203" spans="1:5" x14ac:dyDescent="0.35">
      <c r="A6203">
        <v>2014</v>
      </c>
      <c r="B6203" t="s">
        <v>33</v>
      </c>
      <c r="C6203" t="s">
        <v>125</v>
      </c>
      <c r="D6203">
        <v>27</v>
      </c>
      <c r="E6203" t="s">
        <v>467</v>
      </c>
    </row>
    <row r="6204" spans="1:5" x14ac:dyDescent="0.35">
      <c r="A6204">
        <v>2014</v>
      </c>
      <c r="B6204" t="s">
        <v>33</v>
      </c>
      <c r="C6204" t="s">
        <v>187</v>
      </c>
      <c r="D6204">
        <v>13</v>
      </c>
      <c r="E6204" t="s">
        <v>355</v>
      </c>
    </row>
    <row r="6205" spans="1:5" x14ac:dyDescent="0.35">
      <c r="A6205">
        <v>2014</v>
      </c>
      <c r="B6205" t="s">
        <v>33</v>
      </c>
      <c r="C6205" t="s">
        <v>126</v>
      </c>
      <c r="D6205">
        <v>25</v>
      </c>
      <c r="E6205" t="s">
        <v>467</v>
      </c>
    </row>
    <row r="6206" spans="1:5" x14ac:dyDescent="0.35">
      <c r="A6206">
        <v>2014</v>
      </c>
      <c r="B6206" t="s">
        <v>35</v>
      </c>
      <c r="C6206" t="s">
        <v>172</v>
      </c>
      <c r="D6206">
        <v>14</v>
      </c>
      <c r="E6206" t="s">
        <v>328</v>
      </c>
    </row>
    <row r="6207" spans="1:5" x14ac:dyDescent="0.35">
      <c r="A6207">
        <v>2014</v>
      </c>
      <c r="B6207" t="s">
        <v>35</v>
      </c>
      <c r="C6207" t="s">
        <v>127</v>
      </c>
      <c r="D6207">
        <v>74</v>
      </c>
      <c r="E6207" t="s">
        <v>467</v>
      </c>
    </row>
    <row r="6208" spans="1:5" x14ac:dyDescent="0.35">
      <c r="A6208">
        <v>2014</v>
      </c>
      <c r="B6208" t="s">
        <v>35</v>
      </c>
      <c r="C6208" t="s">
        <v>172</v>
      </c>
      <c r="D6208">
        <v>5</v>
      </c>
      <c r="E6208" t="s">
        <v>355</v>
      </c>
    </row>
    <row r="6209" spans="1:5" x14ac:dyDescent="0.35">
      <c r="A6209">
        <v>2014</v>
      </c>
      <c r="B6209" t="s">
        <v>33</v>
      </c>
      <c r="C6209" t="s">
        <v>129</v>
      </c>
      <c r="D6209">
        <v>9</v>
      </c>
      <c r="E6209" t="s">
        <v>467</v>
      </c>
    </row>
    <row r="6210" spans="1:5" x14ac:dyDescent="0.35">
      <c r="A6210">
        <v>2014</v>
      </c>
      <c r="B6210" t="s">
        <v>34</v>
      </c>
      <c r="C6210" t="s">
        <v>171</v>
      </c>
      <c r="D6210">
        <v>7</v>
      </c>
      <c r="E6210" t="s">
        <v>328</v>
      </c>
    </row>
    <row r="6211" spans="1:5" x14ac:dyDescent="0.35">
      <c r="A6211">
        <v>2014</v>
      </c>
      <c r="B6211" t="s">
        <v>35</v>
      </c>
      <c r="C6211" t="s">
        <v>94</v>
      </c>
      <c r="D6211">
        <v>627</v>
      </c>
      <c r="E6211" t="s">
        <v>467</v>
      </c>
    </row>
    <row r="6212" spans="1:5" x14ac:dyDescent="0.35">
      <c r="A6212">
        <v>2014</v>
      </c>
      <c r="B6212" t="s">
        <v>34</v>
      </c>
      <c r="C6212" t="s">
        <v>171</v>
      </c>
      <c r="D6212">
        <v>4</v>
      </c>
      <c r="E6212" t="s">
        <v>355</v>
      </c>
    </row>
    <row r="6213" spans="1:5" x14ac:dyDescent="0.35">
      <c r="A6213">
        <v>2014</v>
      </c>
      <c r="B6213" t="s">
        <v>33</v>
      </c>
      <c r="C6213" t="s">
        <v>132</v>
      </c>
      <c r="D6213">
        <v>11</v>
      </c>
      <c r="E6213" t="s">
        <v>467</v>
      </c>
    </row>
    <row r="6214" spans="1:5" x14ac:dyDescent="0.35">
      <c r="A6214">
        <v>2014</v>
      </c>
      <c r="B6214" t="s">
        <v>33</v>
      </c>
      <c r="C6214" t="s">
        <v>170</v>
      </c>
      <c r="D6214">
        <v>4</v>
      </c>
      <c r="E6214" t="s">
        <v>328</v>
      </c>
    </row>
    <row r="6215" spans="1:5" x14ac:dyDescent="0.35">
      <c r="A6215">
        <v>2014</v>
      </c>
      <c r="B6215" t="s">
        <v>33</v>
      </c>
      <c r="C6215" t="s">
        <v>136</v>
      </c>
      <c r="D6215">
        <v>12</v>
      </c>
      <c r="E6215" t="s">
        <v>467</v>
      </c>
    </row>
    <row r="6216" spans="1:5" x14ac:dyDescent="0.35">
      <c r="A6216">
        <v>2014</v>
      </c>
      <c r="B6216" t="s">
        <v>33</v>
      </c>
      <c r="C6216" t="s">
        <v>170</v>
      </c>
      <c r="D6216">
        <v>10</v>
      </c>
      <c r="E6216" t="s">
        <v>355</v>
      </c>
    </row>
    <row r="6217" spans="1:5" x14ac:dyDescent="0.35">
      <c r="A6217">
        <v>2014</v>
      </c>
      <c r="B6217" t="s">
        <v>36</v>
      </c>
      <c r="C6217" t="s">
        <v>14</v>
      </c>
      <c r="D6217">
        <v>72688</v>
      </c>
      <c r="E6217" t="s">
        <v>467</v>
      </c>
    </row>
    <row r="6218" spans="1:5" x14ac:dyDescent="0.35">
      <c r="A6218">
        <v>2014</v>
      </c>
      <c r="B6218" t="s">
        <v>35</v>
      </c>
      <c r="C6218" t="s">
        <v>215</v>
      </c>
      <c r="E6218" t="s">
        <v>328</v>
      </c>
    </row>
    <row r="6219" spans="1:5" x14ac:dyDescent="0.35">
      <c r="A6219">
        <v>2014</v>
      </c>
      <c r="B6219" t="s">
        <v>37</v>
      </c>
      <c r="C6219" t="s">
        <v>137</v>
      </c>
      <c r="D6219">
        <v>3</v>
      </c>
      <c r="E6219" t="s">
        <v>467</v>
      </c>
    </row>
    <row r="6220" spans="1:5" x14ac:dyDescent="0.35">
      <c r="A6220">
        <v>2014</v>
      </c>
      <c r="B6220" t="s">
        <v>35</v>
      </c>
      <c r="C6220" t="s">
        <v>215</v>
      </c>
      <c r="E6220" t="s">
        <v>355</v>
      </c>
    </row>
    <row r="6221" spans="1:5" x14ac:dyDescent="0.35">
      <c r="A6221">
        <v>2014</v>
      </c>
      <c r="B6221" t="s">
        <v>35</v>
      </c>
      <c r="C6221" t="s">
        <v>138</v>
      </c>
      <c r="D6221">
        <v>27</v>
      </c>
      <c r="E6221" t="s">
        <v>467</v>
      </c>
    </row>
    <row r="6222" spans="1:5" x14ac:dyDescent="0.35">
      <c r="A6222">
        <v>2014</v>
      </c>
      <c r="B6222" t="s">
        <v>35</v>
      </c>
      <c r="C6222" t="s">
        <v>169</v>
      </c>
      <c r="E6222" t="s">
        <v>328</v>
      </c>
    </row>
    <row r="6223" spans="1:5" x14ac:dyDescent="0.35">
      <c r="A6223">
        <v>2014</v>
      </c>
      <c r="B6223" t="s">
        <v>34</v>
      </c>
      <c r="C6223" t="s">
        <v>139</v>
      </c>
      <c r="D6223">
        <v>35</v>
      </c>
      <c r="E6223" t="s">
        <v>467</v>
      </c>
    </row>
    <row r="6224" spans="1:5" x14ac:dyDescent="0.35">
      <c r="A6224">
        <v>2014</v>
      </c>
      <c r="B6224" t="s">
        <v>35</v>
      </c>
      <c r="C6224" t="s">
        <v>169</v>
      </c>
      <c r="E6224" t="s">
        <v>355</v>
      </c>
    </row>
    <row r="6225" spans="1:5" x14ac:dyDescent="0.35">
      <c r="A6225">
        <v>2014</v>
      </c>
      <c r="B6225" t="s">
        <v>35</v>
      </c>
      <c r="C6225" t="s">
        <v>140</v>
      </c>
      <c r="E6225" t="s">
        <v>467</v>
      </c>
    </row>
    <row r="6226" spans="1:5" x14ac:dyDescent="0.35">
      <c r="A6226">
        <v>2014</v>
      </c>
      <c r="B6226" t="s">
        <v>33</v>
      </c>
      <c r="C6226" t="s">
        <v>168</v>
      </c>
      <c r="D6226">
        <v>16</v>
      </c>
      <c r="E6226" t="s">
        <v>328</v>
      </c>
    </row>
    <row r="6227" spans="1:5" x14ac:dyDescent="0.35">
      <c r="A6227">
        <v>2014</v>
      </c>
      <c r="B6227" t="s">
        <v>33</v>
      </c>
      <c r="C6227" t="s">
        <v>141</v>
      </c>
      <c r="D6227">
        <v>88</v>
      </c>
      <c r="E6227" t="s">
        <v>467</v>
      </c>
    </row>
    <row r="6228" spans="1:5" x14ac:dyDescent="0.35">
      <c r="A6228">
        <v>2014</v>
      </c>
      <c r="B6228" t="s">
        <v>33</v>
      </c>
      <c r="C6228" t="s">
        <v>168</v>
      </c>
      <c r="D6228">
        <v>9</v>
      </c>
      <c r="E6228" t="s">
        <v>355</v>
      </c>
    </row>
    <row r="6229" spans="1:5" x14ac:dyDescent="0.35">
      <c r="A6229">
        <v>2014</v>
      </c>
      <c r="B6229" t="s">
        <v>34</v>
      </c>
      <c r="C6229" t="s">
        <v>144</v>
      </c>
      <c r="D6229">
        <v>30</v>
      </c>
      <c r="E6229" t="s">
        <v>467</v>
      </c>
    </row>
    <row r="6230" spans="1:5" x14ac:dyDescent="0.35">
      <c r="A6230">
        <v>2014</v>
      </c>
      <c r="B6230" t="s">
        <v>34</v>
      </c>
      <c r="C6230" t="s">
        <v>167</v>
      </c>
      <c r="D6230">
        <v>50</v>
      </c>
      <c r="E6230" t="s">
        <v>328</v>
      </c>
    </row>
    <row r="6231" spans="1:5" x14ac:dyDescent="0.35">
      <c r="A6231">
        <v>2014</v>
      </c>
      <c r="B6231" t="s">
        <v>35</v>
      </c>
      <c r="C6231" t="s">
        <v>145</v>
      </c>
      <c r="D6231">
        <v>276</v>
      </c>
      <c r="E6231" t="s">
        <v>467</v>
      </c>
    </row>
    <row r="6232" spans="1:5" x14ac:dyDescent="0.35">
      <c r="A6232">
        <v>2014</v>
      </c>
      <c r="B6232" t="s">
        <v>34</v>
      </c>
      <c r="C6232" t="s">
        <v>167</v>
      </c>
      <c r="D6232">
        <v>21</v>
      </c>
      <c r="E6232" t="s">
        <v>355</v>
      </c>
    </row>
    <row r="6233" spans="1:5" x14ac:dyDescent="0.35">
      <c r="A6233">
        <v>2014</v>
      </c>
      <c r="B6233" t="s">
        <v>37</v>
      </c>
      <c r="C6233" t="s">
        <v>146</v>
      </c>
      <c r="D6233">
        <v>100</v>
      </c>
      <c r="E6233" t="s">
        <v>467</v>
      </c>
    </row>
    <row r="6234" spans="1:5" x14ac:dyDescent="0.35">
      <c r="A6234">
        <v>2014</v>
      </c>
      <c r="B6234" t="s">
        <v>37</v>
      </c>
      <c r="C6234" t="s">
        <v>166</v>
      </c>
      <c r="D6234">
        <v>3</v>
      </c>
      <c r="E6234" t="s">
        <v>328</v>
      </c>
    </row>
    <row r="6235" spans="1:5" x14ac:dyDescent="0.35">
      <c r="A6235">
        <v>2014</v>
      </c>
      <c r="B6235" t="s">
        <v>36</v>
      </c>
      <c r="C6235" t="s">
        <v>147</v>
      </c>
      <c r="D6235">
        <v>104</v>
      </c>
      <c r="E6235" t="s">
        <v>467</v>
      </c>
    </row>
    <row r="6236" spans="1:5" x14ac:dyDescent="0.35">
      <c r="A6236">
        <v>2014</v>
      </c>
      <c r="B6236" t="s">
        <v>33</v>
      </c>
      <c r="C6236" t="s">
        <v>174</v>
      </c>
      <c r="D6236">
        <v>24</v>
      </c>
      <c r="E6236" t="s">
        <v>355</v>
      </c>
    </row>
    <row r="6237" spans="1:5" x14ac:dyDescent="0.35">
      <c r="A6237">
        <v>2014</v>
      </c>
      <c r="B6237" t="s">
        <v>34</v>
      </c>
      <c r="C6237" t="s">
        <v>118</v>
      </c>
      <c r="D6237">
        <v>942</v>
      </c>
      <c r="E6237" t="s">
        <v>467</v>
      </c>
    </row>
    <row r="6238" spans="1:5" x14ac:dyDescent="0.35">
      <c r="A6238">
        <v>2014</v>
      </c>
      <c r="B6238" t="s">
        <v>33</v>
      </c>
      <c r="C6238" t="s">
        <v>174</v>
      </c>
      <c r="D6238">
        <v>33</v>
      </c>
      <c r="E6238" t="s">
        <v>328</v>
      </c>
    </row>
    <row r="6239" spans="1:5" x14ac:dyDescent="0.35">
      <c r="A6239">
        <v>2014</v>
      </c>
      <c r="B6239" t="s">
        <v>33</v>
      </c>
      <c r="C6239" t="s">
        <v>117</v>
      </c>
      <c r="D6239">
        <v>68</v>
      </c>
      <c r="E6239" t="s">
        <v>467</v>
      </c>
    </row>
    <row r="6240" spans="1:5" x14ac:dyDescent="0.35">
      <c r="A6240">
        <v>2014</v>
      </c>
      <c r="B6240" t="s">
        <v>33</v>
      </c>
      <c r="C6240" t="s">
        <v>175</v>
      </c>
      <c r="D6240">
        <v>25</v>
      </c>
      <c r="E6240" t="s">
        <v>355</v>
      </c>
    </row>
    <row r="6241" spans="1:5" x14ac:dyDescent="0.35">
      <c r="A6241">
        <v>2014</v>
      </c>
      <c r="B6241" t="s">
        <v>34</v>
      </c>
      <c r="C6241" t="s">
        <v>131</v>
      </c>
      <c r="D6241">
        <v>50</v>
      </c>
      <c r="E6241" t="s">
        <v>467</v>
      </c>
    </row>
    <row r="6242" spans="1:5" x14ac:dyDescent="0.35">
      <c r="A6242">
        <v>2014</v>
      </c>
      <c r="B6242" t="s">
        <v>33</v>
      </c>
      <c r="C6242" t="s">
        <v>175</v>
      </c>
      <c r="D6242">
        <v>17</v>
      </c>
      <c r="E6242" t="s">
        <v>328</v>
      </c>
    </row>
    <row r="6243" spans="1:5" x14ac:dyDescent="0.35">
      <c r="A6243">
        <v>2014</v>
      </c>
      <c r="B6243" t="s">
        <v>34</v>
      </c>
      <c r="C6243" t="s">
        <v>115</v>
      </c>
      <c r="D6243">
        <v>166</v>
      </c>
      <c r="E6243" t="s">
        <v>467</v>
      </c>
    </row>
    <row r="6244" spans="1:5" x14ac:dyDescent="0.35">
      <c r="A6244">
        <v>2014</v>
      </c>
      <c r="B6244" t="s">
        <v>34</v>
      </c>
      <c r="C6244" t="s">
        <v>186</v>
      </c>
      <c r="E6244" t="s">
        <v>355</v>
      </c>
    </row>
    <row r="6245" spans="1:5" x14ac:dyDescent="0.35">
      <c r="A6245">
        <v>2014</v>
      </c>
      <c r="B6245" t="s">
        <v>34</v>
      </c>
      <c r="C6245" t="s">
        <v>116</v>
      </c>
      <c r="D6245">
        <v>22</v>
      </c>
      <c r="E6245" t="s">
        <v>467</v>
      </c>
    </row>
    <row r="6246" spans="1:5" x14ac:dyDescent="0.35">
      <c r="A6246">
        <v>2014</v>
      </c>
      <c r="B6246" t="s">
        <v>34</v>
      </c>
      <c r="C6246" t="s">
        <v>185</v>
      </c>
      <c r="D6246">
        <v>37</v>
      </c>
      <c r="E6246" t="s">
        <v>328</v>
      </c>
    </row>
    <row r="6247" spans="1:5" x14ac:dyDescent="0.35">
      <c r="A6247">
        <v>2014</v>
      </c>
      <c r="B6247" t="s">
        <v>33</v>
      </c>
      <c r="C6247" t="s">
        <v>96</v>
      </c>
      <c r="E6247" t="s">
        <v>467</v>
      </c>
    </row>
    <row r="6248" spans="1:5" x14ac:dyDescent="0.35">
      <c r="A6248">
        <v>2014</v>
      </c>
      <c r="B6248" t="s">
        <v>34</v>
      </c>
      <c r="C6248" t="s">
        <v>185</v>
      </c>
      <c r="D6248">
        <v>9</v>
      </c>
      <c r="E6248" t="s">
        <v>355</v>
      </c>
    </row>
    <row r="6249" spans="1:5" x14ac:dyDescent="0.35">
      <c r="A6249">
        <v>2014</v>
      </c>
      <c r="B6249" t="s">
        <v>34</v>
      </c>
      <c r="C6249" t="s">
        <v>8</v>
      </c>
      <c r="D6249">
        <v>12</v>
      </c>
      <c r="E6249" t="s">
        <v>467</v>
      </c>
    </row>
    <row r="6250" spans="1:5" x14ac:dyDescent="0.35">
      <c r="A6250">
        <v>2014</v>
      </c>
      <c r="B6250" t="s">
        <v>34</v>
      </c>
      <c r="C6250" t="s">
        <v>184</v>
      </c>
      <c r="D6250">
        <v>10</v>
      </c>
      <c r="E6250" t="s">
        <v>328</v>
      </c>
    </row>
    <row r="6251" spans="1:5" x14ac:dyDescent="0.35">
      <c r="A6251">
        <v>2014</v>
      </c>
      <c r="B6251" t="s">
        <v>35</v>
      </c>
      <c r="C6251" t="s">
        <v>97</v>
      </c>
      <c r="D6251">
        <v>413</v>
      </c>
      <c r="E6251" t="s">
        <v>467</v>
      </c>
    </row>
    <row r="6252" spans="1:5" x14ac:dyDescent="0.35">
      <c r="A6252">
        <v>2014</v>
      </c>
      <c r="B6252" t="s">
        <v>34</v>
      </c>
      <c r="C6252" t="s">
        <v>184</v>
      </c>
      <c r="D6252">
        <v>0</v>
      </c>
      <c r="E6252" t="s">
        <v>355</v>
      </c>
    </row>
    <row r="6253" spans="1:5" x14ac:dyDescent="0.35">
      <c r="A6253">
        <v>2014</v>
      </c>
      <c r="B6253" t="s">
        <v>33</v>
      </c>
      <c r="C6253" t="s">
        <v>98</v>
      </c>
      <c r="D6253">
        <v>54</v>
      </c>
      <c r="E6253" t="s">
        <v>467</v>
      </c>
    </row>
    <row r="6254" spans="1:5" x14ac:dyDescent="0.35">
      <c r="A6254">
        <v>2014</v>
      </c>
      <c r="B6254" t="s">
        <v>35</v>
      </c>
      <c r="C6254" t="s">
        <v>182</v>
      </c>
      <c r="D6254">
        <v>7</v>
      </c>
      <c r="E6254" t="s">
        <v>328</v>
      </c>
    </row>
    <row r="6255" spans="1:5" x14ac:dyDescent="0.35">
      <c r="A6255">
        <v>2014</v>
      </c>
      <c r="B6255" t="s">
        <v>35</v>
      </c>
      <c r="C6255" t="s">
        <v>99</v>
      </c>
      <c r="D6255">
        <v>152</v>
      </c>
      <c r="E6255" t="s">
        <v>467</v>
      </c>
    </row>
    <row r="6256" spans="1:5" x14ac:dyDescent="0.35">
      <c r="A6256">
        <v>2014</v>
      </c>
      <c r="B6256" t="s">
        <v>35</v>
      </c>
      <c r="C6256" t="s">
        <v>182</v>
      </c>
      <c r="D6256">
        <v>10</v>
      </c>
      <c r="E6256" t="s">
        <v>355</v>
      </c>
    </row>
    <row r="6257" spans="1:5" x14ac:dyDescent="0.35">
      <c r="A6257">
        <v>2014</v>
      </c>
      <c r="B6257" t="s">
        <v>36</v>
      </c>
      <c r="C6257" t="s">
        <v>100</v>
      </c>
      <c r="D6257">
        <v>10</v>
      </c>
      <c r="E6257" t="s">
        <v>467</v>
      </c>
    </row>
    <row r="6258" spans="1:5" x14ac:dyDescent="0.35">
      <c r="A6258">
        <v>2014</v>
      </c>
      <c r="B6258" t="s">
        <v>36</v>
      </c>
      <c r="C6258" t="s">
        <v>165</v>
      </c>
      <c r="D6258">
        <v>4</v>
      </c>
      <c r="E6258" t="s">
        <v>328</v>
      </c>
    </row>
    <row r="6259" spans="1:5" x14ac:dyDescent="0.35">
      <c r="A6259">
        <v>2014</v>
      </c>
      <c r="B6259" t="s">
        <v>33</v>
      </c>
      <c r="C6259" t="s">
        <v>101</v>
      </c>
      <c r="D6259">
        <v>12</v>
      </c>
      <c r="E6259" t="s">
        <v>467</v>
      </c>
    </row>
    <row r="6260" spans="1:5" x14ac:dyDescent="0.35">
      <c r="A6260">
        <v>2014</v>
      </c>
      <c r="B6260" t="s">
        <v>38</v>
      </c>
      <c r="C6260" t="s">
        <v>180</v>
      </c>
      <c r="E6260" t="s">
        <v>328</v>
      </c>
    </row>
    <row r="6261" spans="1:5" x14ac:dyDescent="0.35">
      <c r="A6261">
        <v>2014</v>
      </c>
      <c r="B6261" t="s">
        <v>38</v>
      </c>
      <c r="C6261" t="s">
        <v>103</v>
      </c>
      <c r="D6261">
        <v>33</v>
      </c>
      <c r="E6261" t="s">
        <v>467</v>
      </c>
    </row>
    <row r="6262" spans="1:5" x14ac:dyDescent="0.35">
      <c r="A6262">
        <v>2014</v>
      </c>
      <c r="B6262" t="s">
        <v>33</v>
      </c>
      <c r="C6262" t="s">
        <v>179</v>
      </c>
      <c r="E6262" t="s">
        <v>328</v>
      </c>
    </row>
    <row r="6263" spans="1:5" x14ac:dyDescent="0.35">
      <c r="A6263">
        <v>2014</v>
      </c>
      <c r="B6263" t="s">
        <v>36</v>
      </c>
      <c r="C6263" t="s">
        <v>104</v>
      </c>
      <c r="D6263">
        <v>175</v>
      </c>
      <c r="E6263" t="s">
        <v>467</v>
      </c>
    </row>
    <row r="6264" spans="1:5" x14ac:dyDescent="0.35">
      <c r="A6264">
        <v>2014</v>
      </c>
      <c r="B6264" t="s">
        <v>33</v>
      </c>
      <c r="C6264" t="s">
        <v>179</v>
      </c>
      <c r="E6264" t="s">
        <v>355</v>
      </c>
    </row>
    <row r="6265" spans="1:5" x14ac:dyDescent="0.35">
      <c r="A6265">
        <v>2014</v>
      </c>
      <c r="B6265" t="s">
        <v>36</v>
      </c>
      <c r="C6265" t="s">
        <v>17</v>
      </c>
      <c r="D6265">
        <v>869</v>
      </c>
      <c r="E6265" t="s">
        <v>467</v>
      </c>
    </row>
    <row r="6266" spans="1:5" x14ac:dyDescent="0.35">
      <c r="A6266">
        <v>2014</v>
      </c>
      <c r="B6266" t="s">
        <v>34</v>
      </c>
      <c r="C6266" t="s">
        <v>178</v>
      </c>
      <c r="D6266">
        <v>26</v>
      </c>
      <c r="E6266" t="s">
        <v>328</v>
      </c>
    </row>
    <row r="6267" spans="1:5" x14ac:dyDescent="0.35">
      <c r="A6267">
        <v>2014</v>
      </c>
      <c r="B6267" t="s">
        <v>36</v>
      </c>
      <c r="C6267" t="s">
        <v>15</v>
      </c>
      <c r="D6267">
        <v>1134</v>
      </c>
      <c r="E6267" t="s">
        <v>467</v>
      </c>
    </row>
    <row r="6268" spans="1:5" x14ac:dyDescent="0.35">
      <c r="A6268">
        <v>2014</v>
      </c>
      <c r="B6268" t="s">
        <v>34</v>
      </c>
      <c r="C6268" t="s">
        <v>178</v>
      </c>
      <c r="D6268">
        <v>7</v>
      </c>
      <c r="E6268" t="s">
        <v>355</v>
      </c>
    </row>
    <row r="6269" spans="1:5" x14ac:dyDescent="0.35">
      <c r="A6269">
        <v>2014</v>
      </c>
      <c r="B6269" t="s">
        <v>35</v>
      </c>
      <c r="C6269" t="s">
        <v>105</v>
      </c>
      <c r="D6269">
        <v>189</v>
      </c>
      <c r="E6269" t="s">
        <v>467</v>
      </c>
    </row>
    <row r="6270" spans="1:5" x14ac:dyDescent="0.35">
      <c r="A6270">
        <v>2014</v>
      </c>
      <c r="B6270" t="s">
        <v>35</v>
      </c>
      <c r="C6270" t="s">
        <v>177</v>
      </c>
      <c r="D6270">
        <v>74</v>
      </c>
      <c r="E6270" t="s">
        <v>328</v>
      </c>
    </row>
    <row r="6271" spans="1:5" x14ac:dyDescent="0.35">
      <c r="A6271">
        <v>2014</v>
      </c>
      <c r="B6271" t="s">
        <v>35</v>
      </c>
      <c r="C6271" t="s">
        <v>106</v>
      </c>
      <c r="D6271">
        <v>8</v>
      </c>
      <c r="E6271" t="s">
        <v>467</v>
      </c>
    </row>
    <row r="6272" spans="1:5" x14ac:dyDescent="0.35">
      <c r="A6272">
        <v>2014</v>
      </c>
      <c r="B6272" t="s">
        <v>35</v>
      </c>
      <c r="C6272" t="s">
        <v>177</v>
      </c>
      <c r="D6272">
        <v>35</v>
      </c>
      <c r="E6272" t="s">
        <v>355</v>
      </c>
    </row>
    <row r="6273" spans="1:5" x14ac:dyDescent="0.35">
      <c r="A6273">
        <v>2014</v>
      </c>
      <c r="B6273" t="s">
        <v>34</v>
      </c>
      <c r="C6273" t="s">
        <v>22</v>
      </c>
      <c r="D6273">
        <v>1054</v>
      </c>
      <c r="E6273" t="s">
        <v>467</v>
      </c>
    </row>
    <row r="6274" spans="1:5" x14ac:dyDescent="0.35">
      <c r="A6274">
        <v>2014</v>
      </c>
      <c r="B6274" t="s">
        <v>33</v>
      </c>
      <c r="C6274" t="s">
        <v>176</v>
      </c>
      <c r="D6274">
        <v>9</v>
      </c>
      <c r="E6274" t="s">
        <v>355</v>
      </c>
    </row>
    <row r="6275" spans="1:5" x14ac:dyDescent="0.35">
      <c r="A6275">
        <v>2014</v>
      </c>
      <c r="B6275" t="s">
        <v>34</v>
      </c>
      <c r="C6275" t="s">
        <v>107</v>
      </c>
      <c r="D6275">
        <v>47</v>
      </c>
      <c r="E6275" t="s">
        <v>467</v>
      </c>
    </row>
    <row r="6276" spans="1:5" x14ac:dyDescent="0.35">
      <c r="A6276">
        <v>2014</v>
      </c>
      <c r="B6276" t="s">
        <v>38</v>
      </c>
      <c r="C6276" t="s">
        <v>180</v>
      </c>
      <c r="E6276" t="s">
        <v>355</v>
      </c>
    </row>
    <row r="6277" spans="1:5" x14ac:dyDescent="0.35">
      <c r="A6277">
        <v>2014</v>
      </c>
      <c r="B6277" t="s">
        <v>34</v>
      </c>
      <c r="C6277" t="s">
        <v>108</v>
      </c>
      <c r="D6277">
        <v>556</v>
      </c>
      <c r="E6277" t="s">
        <v>467</v>
      </c>
    </row>
    <row r="6278" spans="1:5" x14ac:dyDescent="0.35">
      <c r="A6278">
        <v>2014</v>
      </c>
      <c r="B6278" t="s">
        <v>35</v>
      </c>
      <c r="C6278" t="s">
        <v>119</v>
      </c>
      <c r="D6278">
        <v>7</v>
      </c>
      <c r="E6278" t="s">
        <v>355</v>
      </c>
    </row>
    <row r="6279" spans="1:5" x14ac:dyDescent="0.35">
      <c r="A6279">
        <v>2014</v>
      </c>
      <c r="B6279" t="s">
        <v>34</v>
      </c>
      <c r="C6279" t="s">
        <v>109</v>
      </c>
      <c r="D6279">
        <v>154</v>
      </c>
      <c r="E6279" t="s">
        <v>467</v>
      </c>
    </row>
    <row r="6280" spans="1:5" x14ac:dyDescent="0.35">
      <c r="A6280">
        <v>2014</v>
      </c>
      <c r="B6280" t="s">
        <v>36</v>
      </c>
      <c r="C6280" t="s">
        <v>79</v>
      </c>
      <c r="D6280">
        <v>19</v>
      </c>
      <c r="E6280" t="s">
        <v>328</v>
      </c>
    </row>
    <row r="6281" spans="1:5" x14ac:dyDescent="0.35">
      <c r="A6281">
        <v>2014</v>
      </c>
      <c r="B6281" t="s">
        <v>35</v>
      </c>
      <c r="C6281" t="s">
        <v>110</v>
      </c>
      <c r="D6281">
        <v>145</v>
      </c>
      <c r="E6281" t="s">
        <v>467</v>
      </c>
    </row>
    <row r="6282" spans="1:5" x14ac:dyDescent="0.35">
      <c r="A6282">
        <v>2014</v>
      </c>
      <c r="B6282" t="s">
        <v>34</v>
      </c>
      <c r="C6282" t="s">
        <v>118</v>
      </c>
      <c r="D6282">
        <v>129</v>
      </c>
      <c r="E6282" t="s">
        <v>355</v>
      </c>
    </row>
    <row r="6283" spans="1:5" x14ac:dyDescent="0.35">
      <c r="A6283">
        <v>2014</v>
      </c>
      <c r="B6283" t="s">
        <v>34</v>
      </c>
      <c r="C6283" t="s">
        <v>111</v>
      </c>
      <c r="D6283">
        <v>186</v>
      </c>
      <c r="E6283" t="s">
        <v>467</v>
      </c>
    </row>
    <row r="6284" spans="1:5" x14ac:dyDescent="0.35">
      <c r="A6284">
        <v>2014</v>
      </c>
      <c r="B6284" t="s">
        <v>33</v>
      </c>
      <c r="C6284" t="s">
        <v>68</v>
      </c>
      <c r="D6284">
        <v>16</v>
      </c>
      <c r="E6284" t="s">
        <v>355</v>
      </c>
    </row>
    <row r="6285" spans="1:5" x14ac:dyDescent="0.35">
      <c r="A6285">
        <v>2014</v>
      </c>
      <c r="B6285" t="s">
        <v>35</v>
      </c>
      <c r="C6285" t="s">
        <v>112</v>
      </c>
      <c r="D6285">
        <v>537</v>
      </c>
      <c r="E6285" t="s">
        <v>467</v>
      </c>
    </row>
    <row r="6286" spans="1:5" x14ac:dyDescent="0.35">
      <c r="A6286">
        <v>2014</v>
      </c>
      <c r="B6286" t="s">
        <v>34</v>
      </c>
      <c r="C6286" t="s">
        <v>67</v>
      </c>
      <c r="D6286">
        <v>6</v>
      </c>
      <c r="E6286" t="s">
        <v>328</v>
      </c>
    </row>
    <row r="6287" spans="1:5" x14ac:dyDescent="0.35">
      <c r="A6287">
        <v>2014</v>
      </c>
      <c r="B6287" t="s">
        <v>36</v>
      </c>
      <c r="C6287" t="s">
        <v>113</v>
      </c>
      <c r="D6287">
        <v>373</v>
      </c>
      <c r="E6287" t="s">
        <v>467</v>
      </c>
    </row>
    <row r="6288" spans="1:5" x14ac:dyDescent="0.35">
      <c r="A6288">
        <v>2014</v>
      </c>
      <c r="B6288" t="s">
        <v>34</v>
      </c>
      <c r="C6288" t="s">
        <v>67</v>
      </c>
      <c r="D6288">
        <v>65</v>
      </c>
      <c r="E6288" t="s">
        <v>355</v>
      </c>
    </row>
    <row r="6289" spans="1:5" x14ac:dyDescent="0.35">
      <c r="A6289">
        <v>2014</v>
      </c>
      <c r="B6289" t="s">
        <v>34</v>
      </c>
      <c r="C6289" t="s">
        <v>114</v>
      </c>
      <c r="D6289">
        <v>331</v>
      </c>
      <c r="E6289" t="s">
        <v>467</v>
      </c>
    </row>
    <row r="6290" spans="1:5" x14ac:dyDescent="0.35">
      <c r="A6290">
        <v>2014</v>
      </c>
      <c r="B6290" t="s">
        <v>33</v>
      </c>
      <c r="C6290" t="s">
        <v>66</v>
      </c>
      <c r="D6290">
        <v>6</v>
      </c>
      <c r="E6290" t="s">
        <v>328</v>
      </c>
    </row>
    <row r="6291" spans="1:5" x14ac:dyDescent="0.35">
      <c r="A6291">
        <v>2014</v>
      </c>
      <c r="B6291" t="s">
        <v>33</v>
      </c>
      <c r="C6291" t="s">
        <v>66</v>
      </c>
      <c r="D6291">
        <v>7</v>
      </c>
      <c r="E6291" t="s">
        <v>355</v>
      </c>
    </row>
    <row r="6292" spans="1:5" x14ac:dyDescent="0.35">
      <c r="A6292">
        <v>2014</v>
      </c>
      <c r="B6292" t="s">
        <v>33</v>
      </c>
      <c r="C6292" t="s">
        <v>65</v>
      </c>
      <c r="E6292" t="s">
        <v>328</v>
      </c>
    </row>
    <row r="6293" spans="1:5" x14ac:dyDescent="0.35">
      <c r="A6293">
        <v>2014</v>
      </c>
      <c r="B6293" t="s">
        <v>33</v>
      </c>
      <c r="C6293" t="s">
        <v>65</v>
      </c>
      <c r="E6293" t="s">
        <v>355</v>
      </c>
    </row>
    <row r="6294" spans="1:5" x14ac:dyDescent="0.35">
      <c r="A6294">
        <v>2014</v>
      </c>
      <c r="B6294" t="s">
        <v>34</v>
      </c>
      <c r="C6294" t="s">
        <v>64</v>
      </c>
      <c r="E6294" t="s">
        <v>328</v>
      </c>
    </row>
    <row r="6295" spans="1:5" x14ac:dyDescent="0.35">
      <c r="A6295">
        <v>2014</v>
      </c>
      <c r="B6295" t="s">
        <v>34</v>
      </c>
      <c r="C6295" t="s">
        <v>64</v>
      </c>
      <c r="E6295" t="s">
        <v>355</v>
      </c>
    </row>
    <row r="6296" spans="1:5" x14ac:dyDescent="0.35">
      <c r="A6296">
        <v>2014</v>
      </c>
      <c r="B6296" t="s">
        <v>33</v>
      </c>
      <c r="C6296" t="s">
        <v>63</v>
      </c>
      <c r="E6296" t="s">
        <v>328</v>
      </c>
    </row>
    <row r="6297" spans="1:5" x14ac:dyDescent="0.35">
      <c r="A6297">
        <v>2014</v>
      </c>
      <c r="B6297" t="s">
        <v>33</v>
      </c>
      <c r="C6297" t="s">
        <v>63</v>
      </c>
      <c r="E6297" t="s">
        <v>355</v>
      </c>
    </row>
    <row r="6298" spans="1:5" x14ac:dyDescent="0.35">
      <c r="A6298">
        <v>2014</v>
      </c>
      <c r="B6298" t="s">
        <v>35</v>
      </c>
      <c r="C6298" t="s">
        <v>62</v>
      </c>
      <c r="D6298">
        <v>19</v>
      </c>
      <c r="E6298" t="s">
        <v>328</v>
      </c>
    </row>
    <row r="6299" spans="1:5" x14ac:dyDescent="0.35">
      <c r="A6299">
        <v>2014</v>
      </c>
      <c r="B6299" t="s">
        <v>35</v>
      </c>
      <c r="C6299" t="s">
        <v>62</v>
      </c>
      <c r="D6299">
        <v>16</v>
      </c>
      <c r="E6299" t="s">
        <v>355</v>
      </c>
    </row>
    <row r="6300" spans="1:5" x14ac:dyDescent="0.35">
      <c r="A6300">
        <v>2014</v>
      </c>
      <c r="B6300" t="s">
        <v>38</v>
      </c>
      <c r="C6300" t="s">
        <v>21</v>
      </c>
      <c r="D6300">
        <v>715</v>
      </c>
      <c r="E6300" t="s">
        <v>328</v>
      </c>
    </row>
    <row r="6301" spans="1:5" x14ac:dyDescent="0.35">
      <c r="A6301">
        <v>2014</v>
      </c>
      <c r="B6301" t="s">
        <v>38</v>
      </c>
      <c r="C6301" t="s">
        <v>21</v>
      </c>
      <c r="D6301">
        <v>281</v>
      </c>
      <c r="E6301" t="s">
        <v>355</v>
      </c>
    </row>
    <row r="6302" spans="1:5" x14ac:dyDescent="0.35">
      <c r="A6302">
        <v>2014</v>
      </c>
      <c r="B6302" t="s">
        <v>33</v>
      </c>
      <c r="C6302" t="s">
        <v>68</v>
      </c>
      <c r="D6302">
        <v>18</v>
      </c>
      <c r="E6302" t="s">
        <v>328</v>
      </c>
    </row>
    <row r="6303" spans="1:5" x14ac:dyDescent="0.35">
      <c r="A6303">
        <v>2014</v>
      </c>
      <c r="B6303" t="s">
        <v>35</v>
      </c>
      <c r="C6303" t="s">
        <v>60</v>
      </c>
      <c r="D6303">
        <v>5</v>
      </c>
      <c r="E6303" t="s">
        <v>328</v>
      </c>
    </row>
    <row r="6304" spans="1:5" x14ac:dyDescent="0.35">
      <c r="A6304">
        <v>2014</v>
      </c>
      <c r="B6304" t="s">
        <v>36</v>
      </c>
      <c r="C6304" t="s">
        <v>69</v>
      </c>
      <c r="D6304">
        <v>305</v>
      </c>
      <c r="E6304" t="s">
        <v>355</v>
      </c>
    </row>
    <row r="6305" spans="1:5" x14ac:dyDescent="0.35">
      <c r="A6305">
        <v>2014</v>
      </c>
      <c r="B6305" t="s">
        <v>33</v>
      </c>
      <c r="C6305" t="s">
        <v>71</v>
      </c>
      <c r="E6305" t="s">
        <v>355</v>
      </c>
    </row>
    <row r="6306" spans="1:5" x14ac:dyDescent="0.35">
      <c r="A6306">
        <v>2014</v>
      </c>
      <c r="B6306" t="s">
        <v>35</v>
      </c>
      <c r="C6306" t="s">
        <v>78</v>
      </c>
      <c r="E6306" t="s">
        <v>355</v>
      </c>
    </row>
    <row r="6307" spans="1:5" x14ac:dyDescent="0.35">
      <c r="A6307">
        <v>2014</v>
      </c>
      <c r="B6307" t="s">
        <v>33</v>
      </c>
      <c r="C6307" t="s">
        <v>77</v>
      </c>
      <c r="E6307" t="s">
        <v>328</v>
      </c>
    </row>
    <row r="6308" spans="1:5" x14ac:dyDescent="0.35">
      <c r="A6308">
        <v>2014</v>
      </c>
      <c r="B6308" t="s">
        <v>33</v>
      </c>
      <c r="C6308" t="s">
        <v>77</v>
      </c>
      <c r="E6308" t="s">
        <v>355</v>
      </c>
    </row>
    <row r="6309" spans="1:5" x14ac:dyDescent="0.35">
      <c r="A6309">
        <v>2014</v>
      </c>
      <c r="B6309" t="s">
        <v>36</v>
      </c>
      <c r="C6309" t="s">
        <v>76</v>
      </c>
      <c r="D6309">
        <v>161</v>
      </c>
      <c r="E6309" t="s">
        <v>328</v>
      </c>
    </row>
    <row r="6310" spans="1:5" x14ac:dyDescent="0.35">
      <c r="A6310">
        <v>2014</v>
      </c>
      <c r="B6310" t="s">
        <v>36</v>
      </c>
      <c r="C6310" t="s">
        <v>76</v>
      </c>
      <c r="D6310">
        <v>125</v>
      </c>
      <c r="E6310" t="s">
        <v>355</v>
      </c>
    </row>
    <row r="6311" spans="1:5" x14ac:dyDescent="0.35">
      <c r="A6311">
        <v>2014</v>
      </c>
      <c r="B6311" t="s">
        <v>33</v>
      </c>
      <c r="C6311" t="s">
        <v>75</v>
      </c>
      <c r="D6311">
        <v>5</v>
      </c>
      <c r="E6311" t="s">
        <v>328</v>
      </c>
    </row>
    <row r="6312" spans="1:5" x14ac:dyDescent="0.35">
      <c r="A6312">
        <v>2014</v>
      </c>
      <c r="B6312" t="s">
        <v>33</v>
      </c>
      <c r="C6312" t="s">
        <v>75</v>
      </c>
      <c r="D6312">
        <v>6</v>
      </c>
      <c r="E6312" t="s">
        <v>355</v>
      </c>
    </row>
    <row r="6313" spans="1:5" x14ac:dyDescent="0.35">
      <c r="A6313">
        <v>2014</v>
      </c>
      <c r="B6313" t="s">
        <v>33</v>
      </c>
      <c r="C6313" t="s">
        <v>74</v>
      </c>
      <c r="D6313">
        <v>0</v>
      </c>
      <c r="E6313" t="s">
        <v>355</v>
      </c>
    </row>
    <row r="6314" spans="1:5" x14ac:dyDescent="0.35">
      <c r="A6314">
        <v>2014</v>
      </c>
      <c r="B6314" t="s">
        <v>38</v>
      </c>
      <c r="C6314" t="s">
        <v>20</v>
      </c>
      <c r="D6314">
        <v>505</v>
      </c>
      <c r="E6314" t="s">
        <v>328</v>
      </c>
    </row>
    <row r="6315" spans="1:5" x14ac:dyDescent="0.35">
      <c r="A6315">
        <v>2014</v>
      </c>
      <c r="B6315" t="s">
        <v>38</v>
      </c>
      <c r="C6315" t="s">
        <v>20</v>
      </c>
      <c r="D6315">
        <v>876</v>
      </c>
      <c r="E6315" t="s">
        <v>355</v>
      </c>
    </row>
    <row r="6316" spans="1:5" x14ac:dyDescent="0.35">
      <c r="A6316">
        <v>2014</v>
      </c>
      <c r="B6316" t="s">
        <v>34</v>
      </c>
      <c r="C6316" t="s">
        <v>73</v>
      </c>
      <c r="D6316">
        <v>601</v>
      </c>
      <c r="E6316" t="s">
        <v>328</v>
      </c>
    </row>
    <row r="6317" spans="1:5" x14ac:dyDescent="0.35">
      <c r="A6317">
        <v>2014</v>
      </c>
      <c r="B6317" t="s">
        <v>34</v>
      </c>
      <c r="C6317" t="s">
        <v>73</v>
      </c>
      <c r="D6317">
        <v>148</v>
      </c>
      <c r="E6317" t="s">
        <v>355</v>
      </c>
    </row>
    <row r="6318" spans="1:5" x14ac:dyDescent="0.35">
      <c r="A6318">
        <v>2014</v>
      </c>
      <c r="B6318" t="s">
        <v>38</v>
      </c>
      <c r="C6318" t="s">
        <v>72</v>
      </c>
      <c r="D6318">
        <v>37</v>
      </c>
      <c r="E6318" t="s">
        <v>328</v>
      </c>
    </row>
    <row r="6319" spans="1:5" x14ac:dyDescent="0.35">
      <c r="A6319">
        <v>2014</v>
      </c>
      <c r="B6319" t="s">
        <v>38</v>
      </c>
      <c r="C6319" t="s">
        <v>72</v>
      </c>
      <c r="D6319">
        <v>46</v>
      </c>
      <c r="E6319" t="s">
        <v>355</v>
      </c>
    </row>
    <row r="6320" spans="1:5" x14ac:dyDescent="0.35">
      <c r="A6320">
        <v>2014</v>
      </c>
      <c r="B6320" t="s">
        <v>33</v>
      </c>
      <c r="C6320" t="s">
        <v>71</v>
      </c>
      <c r="E6320" t="s">
        <v>328</v>
      </c>
    </row>
    <row r="6321" spans="1:5" x14ac:dyDescent="0.35">
      <c r="A6321">
        <v>2014</v>
      </c>
      <c r="B6321" t="s">
        <v>36</v>
      </c>
      <c r="C6321" t="s">
        <v>69</v>
      </c>
      <c r="D6321">
        <v>426</v>
      </c>
      <c r="E6321" t="s">
        <v>328</v>
      </c>
    </row>
    <row r="6322" spans="1:5" x14ac:dyDescent="0.35">
      <c r="A6322">
        <v>2014</v>
      </c>
      <c r="B6322" t="s">
        <v>35</v>
      </c>
      <c r="C6322" t="s">
        <v>60</v>
      </c>
      <c r="D6322">
        <v>46</v>
      </c>
      <c r="E6322" t="s">
        <v>355</v>
      </c>
    </row>
    <row r="6323" spans="1:5" x14ac:dyDescent="0.35">
      <c r="A6323">
        <v>2014</v>
      </c>
      <c r="B6323" t="s">
        <v>38</v>
      </c>
      <c r="C6323" t="s">
        <v>59</v>
      </c>
      <c r="D6323">
        <v>41</v>
      </c>
      <c r="E6323" t="s">
        <v>328</v>
      </c>
    </row>
    <row r="6324" spans="1:5" x14ac:dyDescent="0.35">
      <c r="A6324">
        <v>2014</v>
      </c>
      <c r="B6324" t="s">
        <v>38</v>
      </c>
      <c r="C6324" t="s">
        <v>59</v>
      </c>
      <c r="D6324">
        <v>47</v>
      </c>
      <c r="E6324" t="s">
        <v>355</v>
      </c>
    </row>
    <row r="6325" spans="1:5" x14ac:dyDescent="0.35">
      <c r="A6325">
        <v>2014</v>
      </c>
      <c r="B6325" t="s">
        <v>34</v>
      </c>
      <c r="C6325" t="s">
        <v>46</v>
      </c>
      <c r="E6325" t="s">
        <v>328</v>
      </c>
    </row>
    <row r="6326" spans="1:5" x14ac:dyDescent="0.35">
      <c r="A6326">
        <v>2014</v>
      </c>
      <c r="B6326" t="s">
        <v>34</v>
      </c>
      <c r="C6326" t="s">
        <v>46</v>
      </c>
      <c r="E6326" t="s">
        <v>355</v>
      </c>
    </row>
    <row r="6327" spans="1:5" x14ac:dyDescent="0.35">
      <c r="A6327">
        <v>2014</v>
      </c>
      <c r="B6327" t="s">
        <v>38</v>
      </c>
      <c r="C6327" t="s">
        <v>45</v>
      </c>
      <c r="D6327">
        <v>65</v>
      </c>
      <c r="E6327" t="s">
        <v>328</v>
      </c>
    </row>
    <row r="6328" spans="1:5" x14ac:dyDescent="0.35">
      <c r="A6328">
        <v>2014</v>
      </c>
      <c r="B6328" t="s">
        <v>38</v>
      </c>
      <c r="C6328" t="s">
        <v>45</v>
      </c>
      <c r="D6328">
        <v>64</v>
      </c>
      <c r="E6328" t="s">
        <v>355</v>
      </c>
    </row>
    <row r="6329" spans="1:5" x14ac:dyDescent="0.35">
      <c r="A6329">
        <v>2014</v>
      </c>
      <c r="B6329" t="s">
        <v>36</v>
      </c>
      <c r="C6329" t="s">
        <v>44</v>
      </c>
      <c r="D6329">
        <v>13</v>
      </c>
      <c r="E6329" t="s">
        <v>355</v>
      </c>
    </row>
    <row r="6330" spans="1:5" x14ac:dyDescent="0.35">
      <c r="A6330">
        <v>2014</v>
      </c>
      <c r="B6330" t="s">
        <v>33</v>
      </c>
      <c r="C6330" t="s">
        <v>43</v>
      </c>
      <c r="D6330">
        <v>12</v>
      </c>
      <c r="E6330" t="s">
        <v>328</v>
      </c>
    </row>
    <row r="6331" spans="1:5" x14ac:dyDescent="0.35">
      <c r="A6331">
        <v>2014</v>
      </c>
      <c r="B6331" t="s">
        <v>33</v>
      </c>
      <c r="C6331" t="s">
        <v>43</v>
      </c>
      <c r="D6331">
        <v>3</v>
      </c>
      <c r="E6331" t="s">
        <v>355</v>
      </c>
    </row>
    <row r="6332" spans="1:5" x14ac:dyDescent="0.35">
      <c r="A6332">
        <v>2014</v>
      </c>
      <c r="C6332" t="s">
        <v>373</v>
      </c>
      <c r="D6332">
        <v>34</v>
      </c>
      <c r="E6332" t="s">
        <v>328</v>
      </c>
    </row>
    <row r="6333" spans="1:5" x14ac:dyDescent="0.35">
      <c r="A6333">
        <v>2014</v>
      </c>
      <c r="C6333" t="s">
        <v>373</v>
      </c>
      <c r="D6333">
        <v>30</v>
      </c>
      <c r="E6333" t="s">
        <v>355</v>
      </c>
    </row>
    <row r="6334" spans="1:5" x14ac:dyDescent="0.35">
      <c r="A6334">
        <v>2014</v>
      </c>
      <c r="B6334" t="s">
        <v>33</v>
      </c>
      <c r="C6334" t="s">
        <v>42</v>
      </c>
      <c r="D6334">
        <v>4</v>
      </c>
      <c r="E6334" t="s">
        <v>328</v>
      </c>
    </row>
    <row r="6335" spans="1:5" x14ac:dyDescent="0.35">
      <c r="A6335">
        <v>2014</v>
      </c>
      <c r="B6335" t="s">
        <v>33</v>
      </c>
      <c r="C6335" t="s">
        <v>42</v>
      </c>
      <c r="D6335">
        <v>3</v>
      </c>
      <c r="E6335" t="s">
        <v>355</v>
      </c>
    </row>
    <row r="6336" spans="1:5" x14ac:dyDescent="0.35">
      <c r="A6336">
        <v>2014</v>
      </c>
      <c r="B6336" t="s">
        <v>35</v>
      </c>
      <c r="C6336" t="s">
        <v>41</v>
      </c>
      <c r="D6336">
        <v>26</v>
      </c>
      <c r="E6336" t="s">
        <v>328</v>
      </c>
    </row>
    <row r="6337" spans="1:5" x14ac:dyDescent="0.35">
      <c r="A6337">
        <v>2014</v>
      </c>
      <c r="B6337" t="s">
        <v>35</v>
      </c>
      <c r="C6337" t="s">
        <v>41</v>
      </c>
      <c r="D6337">
        <v>23</v>
      </c>
      <c r="E6337" t="s">
        <v>355</v>
      </c>
    </row>
    <row r="6338" spans="1:5" x14ac:dyDescent="0.35">
      <c r="A6338">
        <v>2014</v>
      </c>
      <c r="B6338" t="s">
        <v>34</v>
      </c>
      <c r="C6338" t="s">
        <v>40</v>
      </c>
      <c r="D6338">
        <v>11</v>
      </c>
      <c r="E6338" t="s">
        <v>328</v>
      </c>
    </row>
    <row r="6339" spans="1:5" x14ac:dyDescent="0.35">
      <c r="A6339">
        <v>2014</v>
      </c>
      <c r="B6339" t="s">
        <v>34</v>
      </c>
      <c r="C6339" t="s">
        <v>118</v>
      </c>
      <c r="D6339">
        <v>99</v>
      </c>
      <c r="E6339" t="s">
        <v>328</v>
      </c>
    </row>
    <row r="6340" spans="1:5" x14ac:dyDescent="0.35">
      <c r="A6340">
        <v>2014</v>
      </c>
      <c r="B6340" t="s">
        <v>37</v>
      </c>
      <c r="C6340" t="s">
        <v>47</v>
      </c>
      <c r="D6340">
        <v>19</v>
      </c>
      <c r="E6340" t="s">
        <v>355</v>
      </c>
    </row>
    <row r="6341" spans="1:5" x14ac:dyDescent="0.35">
      <c r="A6341">
        <v>2014</v>
      </c>
      <c r="B6341" t="s">
        <v>37</v>
      </c>
      <c r="C6341" t="s">
        <v>47</v>
      </c>
      <c r="D6341">
        <v>26</v>
      </c>
      <c r="E6341" t="s">
        <v>328</v>
      </c>
    </row>
    <row r="6342" spans="1:5" x14ac:dyDescent="0.35">
      <c r="A6342">
        <v>2014</v>
      </c>
      <c r="B6342" t="s">
        <v>35</v>
      </c>
      <c r="C6342" t="s">
        <v>48</v>
      </c>
      <c r="D6342">
        <v>0</v>
      </c>
      <c r="E6342" t="s">
        <v>355</v>
      </c>
    </row>
    <row r="6343" spans="1:5" x14ac:dyDescent="0.35">
      <c r="A6343">
        <v>2014</v>
      </c>
      <c r="B6343" t="s">
        <v>35</v>
      </c>
      <c r="C6343" t="s">
        <v>48</v>
      </c>
      <c r="D6343">
        <v>4</v>
      </c>
      <c r="E6343" t="s">
        <v>328</v>
      </c>
    </row>
    <row r="6344" spans="1:5" x14ac:dyDescent="0.35">
      <c r="A6344">
        <v>2014</v>
      </c>
      <c r="B6344" t="s">
        <v>33</v>
      </c>
      <c r="C6344" t="s">
        <v>57</v>
      </c>
      <c r="E6344" t="s">
        <v>328</v>
      </c>
    </row>
    <row r="6345" spans="1:5" x14ac:dyDescent="0.35">
      <c r="A6345">
        <v>2014</v>
      </c>
      <c r="B6345" t="s">
        <v>33</v>
      </c>
      <c r="C6345" t="s">
        <v>57</v>
      </c>
      <c r="E6345" t="s">
        <v>355</v>
      </c>
    </row>
    <row r="6346" spans="1:5" x14ac:dyDescent="0.35">
      <c r="A6346">
        <v>2014</v>
      </c>
      <c r="B6346" t="s">
        <v>36</v>
      </c>
      <c r="C6346" t="s">
        <v>56</v>
      </c>
      <c r="D6346">
        <v>57</v>
      </c>
      <c r="E6346" t="s">
        <v>328</v>
      </c>
    </row>
    <row r="6347" spans="1:5" x14ac:dyDescent="0.35">
      <c r="A6347">
        <v>2014</v>
      </c>
      <c r="B6347" t="s">
        <v>36</v>
      </c>
      <c r="C6347" t="s">
        <v>56</v>
      </c>
      <c r="D6347">
        <v>79</v>
      </c>
      <c r="E6347" t="s">
        <v>355</v>
      </c>
    </row>
    <row r="6348" spans="1:5" x14ac:dyDescent="0.35">
      <c r="A6348">
        <v>2014</v>
      </c>
      <c r="B6348" t="s">
        <v>35</v>
      </c>
      <c r="C6348" t="s">
        <v>55</v>
      </c>
      <c r="D6348">
        <v>6</v>
      </c>
      <c r="E6348" t="s">
        <v>328</v>
      </c>
    </row>
    <row r="6349" spans="1:5" x14ac:dyDescent="0.35">
      <c r="A6349">
        <v>2014</v>
      </c>
      <c r="B6349" t="s">
        <v>35</v>
      </c>
      <c r="C6349" t="s">
        <v>55</v>
      </c>
      <c r="D6349">
        <v>4</v>
      </c>
      <c r="E6349" t="s">
        <v>355</v>
      </c>
    </row>
    <row r="6350" spans="1:5" x14ac:dyDescent="0.35">
      <c r="A6350">
        <v>2014</v>
      </c>
      <c r="B6350" t="s">
        <v>35</v>
      </c>
      <c r="C6350" t="s">
        <v>54</v>
      </c>
      <c r="D6350">
        <v>7</v>
      </c>
      <c r="E6350" t="s">
        <v>328</v>
      </c>
    </row>
    <row r="6351" spans="1:5" x14ac:dyDescent="0.35">
      <c r="A6351">
        <v>2014</v>
      </c>
      <c r="B6351" t="s">
        <v>35</v>
      </c>
      <c r="C6351" t="s">
        <v>78</v>
      </c>
      <c r="E6351" t="s">
        <v>328</v>
      </c>
    </row>
    <row r="6352" spans="1:5" x14ac:dyDescent="0.35">
      <c r="A6352">
        <v>2014</v>
      </c>
      <c r="B6352" t="s">
        <v>35</v>
      </c>
      <c r="C6352" t="s">
        <v>54</v>
      </c>
      <c r="D6352">
        <v>12</v>
      </c>
      <c r="E6352" t="s">
        <v>355</v>
      </c>
    </row>
    <row r="6353" spans="1:5" x14ac:dyDescent="0.35">
      <c r="A6353">
        <v>2014</v>
      </c>
      <c r="B6353" t="s">
        <v>36</v>
      </c>
      <c r="C6353" t="s">
        <v>53</v>
      </c>
      <c r="D6353">
        <v>12</v>
      </c>
      <c r="E6353" t="s">
        <v>355</v>
      </c>
    </row>
    <row r="6354" spans="1:5" x14ac:dyDescent="0.35">
      <c r="A6354">
        <v>2014</v>
      </c>
      <c r="B6354" t="s">
        <v>34</v>
      </c>
      <c r="C6354" t="s">
        <v>52</v>
      </c>
      <c r="D6354">
        <v>56</v>
      </c>
      <c r="E6354" t="s">
        <v>328</v>
      </c>
    </row>
    <row r="6355" spans="1:5" x14ac:dyDescent="0.35">
      <c r="A6355">
        <v>2014</v>
      </c>
      <c r="B6355" t="s">
        <v>34</v>
      </c>
      <c r="C6355" t="s">
        <v>52</v>
      </c>
      <c r="D6355">
        <v>28</v>
      </c>
      <c r="E6355" t="s">
        <v>355</v>
      </c>
    </row>
    <row r="6356" spans="1:5" x14ac:dyDescent="0.35">
      <c r="A6356">
        <v>2014</v>
      </c>
      <c r="B6356" t="s">
        <v>36</v>
      </c>
      <c r="C6356" t="s">
        <v>50</v>
      </c>
      <c r="D6356">
        <v>17</v>
      </c>
      <c r="E6356" t="s">
        <v>328</v>
      </c>
    </row>
    <row r="6357" spans="1:5" x14ac:dyDescent="0.35">
      <c r="A6357">
        <v>2014</v>
      </c>
      <c r="B6357" t="s">
        <v>36</v>
      </c>
      <c r="C6357" t="s">
        <v>50</v>
      </c>
      <c r="D6357">
        <v>87</v>
      </c>
      <c r="E6357" t="s">
        <v>355</v>
      </c>
    </row>
    <row r="6358" spans="1:5" x14ac:dyDescent="0.35">
      <c r="A6358">
        <v>2014</v>
      </c>
      <c r="B6358" t="s">
        <v>34</v>
      </c>
      <c r="C6358" t="s">
        <v>49</v>
      </c>
      <c r="E6358" t="s">
        <v>328</v>
      </c>
    </row>
    <row r="6359" spans="1:5" x14ac:dyDescent="0.35">
      <c r="A6359">
        <v>2014</v>
      </c>
      <c r="B6359" t="s">
        <v>34</v>
      </c>
      <c r="C6359" t="s">
        <v>49</v>
      </c>
      <c r="E6359" t="s">
        <v>355</v>
      </c>
    </row>
    <row r="6360" spans="1:5" x14ac:dyDescent="0.35">
      <c r="A6360">
        <v>2014</v>
      </c>
      <c r="B6360" t="s">
        <v>36</v>
      </c>
      <c r="C6360" t="s">
        <v>53</v>
      </c>
      <c r="D6360">
        <v>4</v>
      </c>
      <c r="E6360" t="s">
        <v>328</v>
      </c>
    </row>
    <row r="6361" spans="1:5" x14ac:dyDescent="0.35">
      <c r="A6361">
        <v>2014</v>
      </c>
      <c r="B6361" t="s">
        <v>36</v>
      </c>
      <c r="C6361" t="s">
        <v>79</v>
      </c>
      <c r="D6361">
        <v>16</v>
      </c>
      <c r="E6361" t="s">
        <v>355</v>
      </c>
    </row>
    <row r="6362" spans="1:5" x14ac:dyDescent="0.35">
      <c r="A6362">
        <v>2014</v>
      </c>
      <c r="B6362" t="s">
        <v>34</v>
      </c>
      <c r="C6362" t="s">
        <v>40</v>
      </c>
      <c r="D6362">
        <v>10</v>
      </c>
      <c r="E6362" t="s">
        <v>355</v>
      </c>
    </row>
    <row r="6363" spans="1:5" x14ac:dyDescent="0.35">
      <c r="A6363">
        <v>2014</v>
      </c>
      <c r="B6363" t="s">
        <v>33</v>
      </c>
      <c r="C6363" t="s">
        <v>117</v>
      </c>
      <c r="D6363">
        <v>28</v>
      </c>
      <c r="E6363" t="s">
        <v>328</v>
      </c>
    </row>
    <row r="6364" spans="1:5" x14ac:dyDescent="0.35">
      <c r="A6364">
        <v>2014</v>
      </c>
      <c r="B6364" t="s">
        <v>34</v>
      </c>
      <c r="C6364" t="s">
        <v>107</v>
      </c>
      <c r="D6364">
        <v>11</v>
      </c>
      <c r="E6364" t="s">
        <v>355</v>
      </c>
    </row>
    <row r="6365" spans="1:5" x14ac:dyDescent="0.35">
      <c r="A6365">
        <v>2014</v>
      </c>
      <c r="B6365" t="s">
        <v>34</v>
      </c>
      <c r="C6365" t="s">
        <v>22</v>
      </c>
      <c r="D6365">
        <v>341</v>
      </c>
      <c r="E6365" t="s">
        <v>328</v>
      </c>
    </row>
    <row r="6366" spans="1:5" x14ac:dyDescent="0.35">
      <c r="A6366">
        <v>2014</v>
      </c>
      <c r="B6366" t="s">
        <v>34</v>
      </c>
      <c r="C6366" t="s">
        <v>22</v>
      </c>
      <c r="D6366">
        <v>107</v>
      </c>
      <c r="E6366" t="s">
        <v>355</v>
      </c>
    </row>
    <row r="6367" spans="1:5" x14ac:dyDescent="0.35">
      <c r="A6367">
        <v>2014</v>
      </c>
      <c r="B6367" t="s">
        <v>35</v>
      </c>
      <c r="C6367" t="s">
        <v>105</v>
      </c>
      <c r="D6367">
        <v>35</v>
      </c>
      <c r="E6367" t="s">
        <v>328</v>
      </c>
    </row>
    <row r="6368" spans="1:5" x14ac:dyDescent="0.35">
      <c r="A6368">
        <v>2014</v>
      </c>
      <c r="B6368" t="s">
        <v>35</v>
      </c>
      <c r="C6368" t="s">
        <v>105</v>
      </c>
      <c r="D6368">
        <v>25</v>
      </c>
      <c r="E6368" t="s">
        <v>355</v>
      </c>
    </row>
    <row r="6369" spans="1:5" x14ac:dyDescent="0.35">
      <c r="A6369">
        <v>2014</v>
      </c>
      <c r="B6369" t="s">
        <v>36</v>
      </c>
      <c r="C6369" t="s">
        <v>17</v>
      </c>
      <c r="D6369">
        <v>26817</v>
      </c>
      <c r="E6369" t="s">
        <v>328</v>
      </c>
    </row>
    <row r="6370" spans="1:5" x14ac:dyDescent="0.35">
      <c r="A6370">
        <v>2014</v>
      </c>
      <c r="B6370" t="s">
        <v>36</v>
      </c>
      <c r="C6370" t="s">
        <v>17</v>
      </c>
      <c r="D6370">
        <v>14064</v>
      </c>
      <c r="E6370" t="s">
        <v>355</v>
      </c>
    </row>
    <row r="6371" spans="1:5" x14ac:dyDescent="0.35">
      <c r="A6371">
        <v>2014</v>
      </c>
      <c r="B6371" t="s">
        <v>36</v>
      </c>
      <c r="C6371" t="s">
        <v>104</v>
      </c>
      <c r="D6371">
        <v>47</v>
      </c>
      <c r="E6371" t="s">
        <v>328</v>
      </c>
    </row>
    <row r="6372" spans="1:5" x14ac:dyDescent="0.35">
      <c r="A6372">
        <v>2014</v>
      </c>
      <c r="B6372" t="s">
        <v>36</v>
      </c>
      <c r="C6372" t="s">
        <v>104</v>
      </c>
      <c r="D6372">
        <v>352</v>
      </c>
      <c r="E6372" t="s">
        <v>355</v>
      </c>
    </row>
    <row r="6373" spans="1:5" x14ac:dyDescent="0.35">
      <c r="A6373">
        <v>2014</v>
      </c>
      <c r="B6373" t="s">
        <v>38</v>
      </c>
      <c r="C6373" t="s">
        <v>103</v>
      </c>
      <c r="D6373">
        <v>19</v>
      </c>
      <c r="E6373" t="s">
        <v>328</v>
      </c>
    </row>
    <row r="6374" spans="1:5" x14ac:dyDescent="0.35">
      <c r="A6374">
        <v>2014</v>
      </c>
      <c r="B6374" t="s">
        <v>38</v>
      </c>
      <c r="C6374" t="s">
        <v>103</v>
      </c>
      <c r="D6374">
        <v>119</v>
      </c>
      <c r="E6374" t="s">
        <v>355</v>
      </c>
    </row>
    <row r="6375" spans="1:5" x14ac:dyDescent="0.35">
      <c r="A6375">
        <v>2014</v>
      </c>
      <c r="B6375" t="s">
        <v>33</v>
      </c>
      <c r="C6375" t="s">
        <v>101</v>
      </c>
      <c r="D6375">
        <v>9</v>
      </c>
      <c r="E6375" t="s">
        <v>328</v>
      </c>
    </row>
    <row r="6376" spans="1:5" x14ac:dyDescent="0.35">
      <c r="A6376">
        <v>2014</v>
      </c>
      <c r="B6376" t="s">
        <v>33</v>
      </c>
      <c r="C6376" t="s">
        <v>101</v>
      </c>
      <c r="D6376">
        <v>6</v>
      </c>
      <c r="E6376" t="s">
        <v>355</v>
      </c>
    </row>
    <row r="6377" spans="1:5" x14ac:dyDescent="0.35">
      <c r="A6377">
        <v>2014</v>
      </c>
      <c r="B6377" t="s">
        <v>36</v>
      </c>
      <c r="C6377" t="s">
        <v>15</v>
      </c>
      <c r="D6377">
        <v>40684</v>
      </c>
      <c r="E6377" t="s">
        <v>328</v>
      </c>
    </row>
    <row r="6378" spans="1:5" x14ac:dyDescent="0.35">
      <c r="A6378">
        <v>2014</v>
      </c>
      <c r="B6378" t="s">
        <v>36</v>
      </c>
      <c r="C6378" t="s">
        <v>15</v>
      </c>
      <c r="D6378">
        <v>13722</v>
      </c>
      <c r="E6378" t="s">
        <v>355</v>
      </c>
    </row>
    <row r="6379" spans="1:5" x14ac:dyDescent="0.35">
      <c r="A6379">
        <v>2014</v>
      </c>
      <c r="B6379" t="s">
        <v>35</v>
      </c>
      <c r="C6379" t="s">
        <v>81</v>
      </c>
      <c r="D6379">
        <v>5</v>
      </c>
      <c r="E6379" t="s">
        <v>355</v>
      </c>
    </row>
    <row r="6380" spans="1:5" x14ac:dyDescent="0.35">
      <c r="A6380">
        <v>2014</v>
      </c>
      <c r="B6380" t="s">
        <v>34</v>
      </c>
      <c r="C6380" t="s">
        <v>108</v>
      </c>
      <c r="D6380">
        <v>7</v>
      </c>
      <c r="E6380" t="s">
        <v>355</v>
      </c>
    </row>
    <row r="6381" spans="1:5" x14ac:dyDescent="0.35">
      <c r="A6381">
        <v>2014</v>
      </c>
      <c r="B6381" t="s">
        <v>34</v>
      </c>
      <c r="C6381" t="s">
        <v>108</v>
      </c>
      <c r="D6381">
        <v>13</v>
      </c>
      <c r="E6381" t="s">
        <v>328</v>
      </c>
    </row>
    <row r="6382" spans="1:5" x14ac:dyDescent="0.35">
      <c r="A6382">
        <v>2014</v>
      </c>
      <c r="B6382" t="s">
        <v>34</v>
      </c>
      <c r="C6382" t="s">
        <v>109</v>
      </c>
      <c r="D6382">
        <v>16</v>
      </c>
      <c r="E6382" t="s">
        <v>355</v>
      </c>
    </row>
    <row r="6383" spans="1:5" x14ac:dyDescent="0.35">
      <c r="A6383">
        <v>2014</v>
      </c>
      <c r="B6383" t="s">
        <v>33</v>
      </c>
      <c r="C6383" t="s">
        <v>117</v>
      </c>
      <c r="D6383">
        <v>61</v>
      </c>
      <c r="E6383" t="s">
        <v>355</v>
      </c>
    </row>
    <row r="6384" spans="1:5" x14ac:dyDescent="0.35">
      <c r="A6384">
        <v>2014</v>
      </c>
      <c r="B6384" t="s">
        <v>34</v>
      </c>
      <c r="C6384" t="s">
        <v>116</v>
      </c>
      <c r="D6384">
        <v>13</v>
      </c>
      <c r="E6384" t="s">
        <v>328</v>
      </c>
    </row>
    <row r="6385" spans="1:5" x14ac:dyDescent="0.35">
      <c r="A6385">
        <v>2014</v>
      </c>
      <c r="B6385" t="s">
        <v>34</v>
      </c>
      <c r="C6385" t="s">
        <v>116</v>
      </c>
      <c r="D6385">
        <v>5</v>
      </c>
      <c r="E6385" t="s">
        <v>355</v>
      </c>
    </row>
    <row r="6386" spans="1:5" x14ac:dyDescent="0.35">
      <c r="A6386">
        <v>2014</v>
      </c>
      <c r="B6386" t="s">
        <v>34</v>
      </c>
      <c r="C6386" t="s">
        <v>115</v>
      </c>
      <c r="D6386">
        <v>41</v>
      </c>
      <c r="E6386" t="s">
        <v>328</v>
      </c>
    </row>
    <row r="6387" spans="1:5" x14ac:dyDescent="0.35">
      <c r="A6387">
        <v>2014</v>
      </c>
      <c r="B6387" t="s">
        <v>34</v>
      </c>
      <c r="C6387" t="s">
        <v>115</v>
      </c>
      <c r="D6387">
        <v>33</v>
      </c>
      <c r="E6387" t="s">
        <v>355</v>
      </c>
    </row>
    <row r="6388" spans="1:5" x14ac:dyDescent="0.35">
      <c r="A6388">
        <v>2014</v>
      </c>
      <c r="B6388" t="s">
        <v>34</v>
      </c>
      <c r="C6388" t="s">
        <v>114</v>
      </c>
      <c r="D6388">
        <v>27</v>
      </c>
      <c r="E6388" t="s">
        <v>328</v>
      </c>
    </row>
    <row r="6389" spans="1:5" x14ac:dyDescent="0.35">
      <c r="A6389">
        <v>2014</v>
      </c>
      <c r="B6389" t="s">
        <v>34</v>
      </c>
      <c r="C6389" t="s">
        <v>114</v>
      </c>
      <c r="D6389">
        <v>11</v>
      </c>
      <c r="E6389" t="s">
        <v>355</v>
      </c>
    </row>
    <row r="6390" spans="1:5" x14ac:dyDescent="0.35">
      <c r="A6390">
        <v>2014</v>
      </c>
      <c r="B6390" t="s">
        <v>36</v>
      </c>
      <c r="C6390" t="s">
        <v>100</v>
      </c>
      <c r="D6390">
        <v>4</v>
      </c>
      <c r="E6390" t="s">
        <v>328</v>
      </c>
    </row>
    <row r="6391" spans="1:5" x14ac:dyDescent="0.35">
      <c r="A6391">
        <v>2014</v>
      </c>
      <c r="B6391" t="s">
        <v>36</v>
      </c>
      <c r="C6391" t="s">
        <v>113</v>
      </c>
      <c r="D6391">
        <v>210</v>
      </c>
      <c r="E6391" t="s">
        <v>328</v>
      </c>
    </row>
    <row r="6392" spans="1:5" x14ac:dyDescent="0.35">
      <c r="A6392">
        <v>2014</v>
      </c>
      <c r="B6392" t="s">
        <v>35</v>
      </c>
      <c r="C6392" t="s">
        <v>112</v>
      </c>
      <c r="D6392">
        <v>48</v>
      </c>
      <c r="E6392" t="s">
        <v>328</v>
      </c>
    </row>
    <row r="6393" spans="1:5" x14ac:dyDescent="0.35">
      <c r="A6393">
        <v>2014</v>
      </c>
      <c r="B6393" t="s">
        <v>35</v>
      </c>
      <c r="C6393" t="s">
        <v>112</v>
      </c>
      <c r="D6393">
        <v>43</v>
      </c>
      <c r="E6393" t="s">
        <v>355</v>
      </c>
    </row>
    <row r="6394" spans="1:5" x14ac:dyDescent="0.35">
      <c r="A6394">
        <v>2014</v>
      </c>
      <c r="B6394" t="s">
        <v>34</v>
      </c>
      <c r="C6394" t="s">
        <v>111</v>
      </c>
      <c r="D6394">
        <v>78</v>
      </c>
      <c r="E6394" t="s">
        <v>328</v>
      </c>
    </row>
    <row r="6395" spans="1:5" x14ac:dyDescent="0.35">
      <c r="A6395">
        <v>2014</v>
      </c>
      <c r="B6395" t="s">
        <v>34</v>
      </c>
      <c r="C6395" t="s">
        <v>111</v>
      </c>
      <c r="D6395">
        <v>31</v>
      </c>
      <c r="E6395" t="s">
        <v>355</v>
      </c>
    </row>
    <row r="6396" spans="1:5" x14ac:dyDescent="0.35">
      <c r="A6396">
        <v>2014</v>
      </c>
      <c r="B6396" t="s">
        <v>35</v>
      </c>
      <c r="C6396" t="s">
        <v>110</v>
      </c>
      <c r="D6396">
        <v>17</v>
      </c>
      <c r="E6396" t="s">
        <v>328</v>
      </c>
    </row>
    <row r="6397" spans="1:5" x14ac:dyDescent="0.35">
      <c r="A6397">
        <v>2014</v>
      </c>
      <c r="B6397" t="s">
        <v>35</v>
      </c>
      <c r="C6397" t="s">
        <v>110</v>
      </c>
      <c r="D6397">
        <v>14</v>
      </c>
      <c r="E6397" t="s">
        <v>355</v>
      </c>
    </row>
    <row r="6398" spans="1:5" x14ac:dyDescent="0.35">
      <c r="A6398">
        <v>2014</v>
      </c>
      <c r="B6398" t="s">
        <v>34</v>
      </c>
      <c r="C6398" t="s">
        <v>109</v>
      </c>
      <c r="D6398">
        <v>12</v>
      </c>
      <c r="E6398" t="s">
        <v>328</v>
      </c>
    </row>
    <row r="6399" spans="1:5" x14ac:dyDescent="0.35">
      <c r="A6399">
        <v>2014</v>
      </c>
      <c r="B6399" t="s">
        <v>36</v>
      </c>
      <c r="C6399" t="s">
        <v>113</v>
      </c>
      <c r="D6399">
        <v>834</v>
      </c>
      <c r="E6399" t="s">
        <v>355</v>
      </c>
    </row>
    <row r="6400" spans="1:5" x14ac:dyDescent="0.35">
      <c r="A6400">
        <v>2014</v>
      </c>
      <c r="B6400" t="s">
        <v>36</v>
      </c>
      <c r="C6400" t="s">
        <v>100</v>
      </c>
      <c r="D6400">
        <v>10</v>
      </c>
      <c r="E6400" t="s">
        <v>355</v>
      </c>
    </row>
    <row r="6401" spans="1:5" x14ac:dyDescent="0.35">
      <c r="A6401">
        <v>2014</v>
      </c>
      <c r="B6401" t="s">
        <v>34</v>
      </c>
      <c r="C6401" t="s">
        <v>107</v>
      </c>
      <c r="D6401">
        <v>56</v>
      </c>
      <c r="E6401" t="s">
        <v>328</v>
      </c>
    </row>
    <row r="6402" spans="1:5" x14ac:dyDescent="0.35">
      <c r="A6402">
        <v>2014</v>
      </c>
      <c r="B6402" t="s">
        <v>35</v>
      </c>
      <c r="C6402" t="s">
        <v>99</v>
      </c>
      <c r="D6402">
        <v>13</v>
      </c>
      <c r="E6402" t="s">
        <v>355</v>
      </c>
    </row>
    <row r="6403" spans="1:5" x14ac:dyDescent="0.35">
      <c r="A6403">
        <v>2014</v>
      </c>
      <c r="B6403" t="s">
        <v>33</v>
      </c>
      <c r="C6403" t="s">
        <v>88</v>
      </c>
      <c r="E6403" t="s">
        <v>328</v>
      </c>
    </row>
    <row r="6404" spans="1:5" x14ac:dyDescent="0.35">
      <c r="A6404">
        <v>2014</v>
      </c>
      <c r="B6404" t="s">
        <v>33</v>
      </c>
      <c r="C6404" t="s">
        <v>88</v>
      </c>
      <c r="E6404" t="s">
        <v>355</v>
      </c>
    </row>
    <row r="6405" spans="1:5" x14ac:dyDescent="0.35">
      <c r="A6405">
        <v>2014</v>
      </c>
      <c r="B6405" t="s">
        <v>36</v>
      </c>
      <c r="C6405" t="s">
        <v>16</v>
      </c>
      <c r="D6405">
        <v>17726</v>
      </c>
      <c r="E6405" t="s">
        <v>328</v>
      </c>
    </row>
    <row r="6406" spans="1:5" x14ac:dyDescent="0.35">
      <c r="A6406">
        <v>2014</v>
      </c>
      <c r="B6406" t="s">
        <v>36</v>
      </c>
      <c r="C6406" t="s">
        <v>16</v>
      </c>
      <c r="D6406">
        <v>8952</v>
      </c>
      <c r="E6406" t="s">
        <v>355</v>
      </c>
    </row>
    <row r="6407" spans="1:5" x14ac:dyDescent="0.35">
      <c r="A6407">
        <v>2014</v>
      </c>
      <c r="B6407" t="s">
        <v>33</v>
      </c>
      <c r="C6407" t="s">
        <v>87</v>
      </c>
      <c r="D6407">
        <v>48</v>
      </c>
      <c r="E6407" t="s">
        <v>328</v>
      </c>
    </row>
    <row r="6408" spans="1:5" x14ac:dyDescent="0.35">
      <c r="A6408">
        <v>2014</v>
      </c>
      <c r="B6408" t="s">
        <v>38</v>
      </c>
      <c r="C6408" t="s">
        <v>86</v>
      </c>
      <c r="D6408">
        <v>1015</v>
      </c>
      <c r="E6408" t="s">
        <v>328</v>
      </c>
    </row>
    <row r="6409" spans="1:5" x14ac:dyDescent="0.35">
      <c r="A6409">
        <v>2014</v>
      </c>
      <c r="B6409" t="s">
        <v>38</v>
      </c>
      <c r="C6409" t="s">
        <v>86</v>
      </c>
      <c r="D6409">
        <v>571</v>
      </c>
      <c r="E6409" t="s">
        <v>355</v>
      </c>
    </row>
    <row r="6410" spans="1:5" x14ac:dyDescent="0.35">
      <c r="A6410">
        <v>2014</v>
      </c>
      <c r="B6410" t="s">
        <v>36</v>
      </c>
      <c r="C6410" t="s">
        <v>85</v>
      </c>
      <c r="D6410">
        <v>438</v>
      </c>
      <c r="E6410" t="s">
        <v>328</v>
      </c>
    </row>
    <row r="6411" spans="1:5" x14ac:dyDescent="0.35">
      <c r="A6411">
        <v>2014</v>
      </c>
      <c r="B6411" t="s">
        <v>36</v>
      </c>
      <c r="C6411" t="s">
        <v>85</v>
      </c>
      <c r="D6411">
        <v>1642</v>
      </c>
      <c r="E6411" t="s">
        <v>355</v>
      </c>
    </row>
    <row r="6412" spans="1:5" x14ac:dyDescent="0.35">
      <c r="A6412">
        <v>2014</v>
      </c>
      <c r="B6412" t="s">
        <v>36</v>
      </c>
      <c r="C6412" t="s">
        <v>84</v>
      </c>
      <c r="D6412">
        <v>4</v>
      </c>
      <c r="E6412" t="s">
        <v>328</v>
      </c>
    </row>
    <row r="6413" spans="1:5" x14ac:dyDescent="0.35">
      <c r="A6413">
        <v>2014</v>
      </c>
      <c r="B6413" t="s">
        <v>36</v>
      </c>
      <c r="C6413" t="s">
        <v>84</v>
      </c>
      <c r="D6413">
        <v>11</v>
      </c>
      <c r="E6413" t="s">
        <v>355</v>
      </c>
    </row>
    <row r="6414" spans="1:5" x14ac:dyDescent="0.35">
      <c r="A6414">
        <v>2014</v>
      </c>
      <c r="B6414" t="s">
        <v>35</v>
      </c>
      <c r="C6414" t="s">
        <v>214</v>
      </c>
      <c r="D6414">
        <v>3</v>
      </c>
      <c r="E6414" t="s">
        <v>328</v>
      </c>
    </row>
    <row r="6415" spans="1:5" x14ac:dyDescent="0.35">
      <c r="A6415">
        <v>2014</v>
      </c>
      <c r="B6415" t="s">
        <v>35</v>
      </c>
      <c r="C6415" t="s">
        <v>214</v>
      </c>
      <c r="D6415">
        <v>7</v>
      </c>
      <c r="E6415" t="s">
        <v>355</v>
      </c>
    </row>
    <row r="6416" spans="1:5" x14ac:dyDescent="0.35">
      <c r="A6416">
        <v>2014</v>
      </c>
      <c r="B6416" t="s">
        <v>35</v>
      </c>
      <c r="C6416" t="s">
        <v>81</v>
      </c>
      <c r="D6416">
        <v>32</v>
      </c>
      <c r="E6416" t="s">
        <v>328</v>
      </c>
    </row>
    <row r="6417" spans="1:5" x14ac:dyDescent="0.35">
      <c r="A6417">
        <v>2014</v>
      </c>
      <c r="B6417" t="s">
        <v>35</v>
      </c>
      <c r="C6417" t="s">
        <v>99</v>
      </c>
      <c r="D6417">
        <v>17</v>
      </c>
      <c r="E6417" t="s">
        <v>328</v>
      </c>
    </row>
    <row r="6418" spans="1:5" x14ac:dyDescent="0.35">
      <c r="A6418">
        <v>2014</v>
      </c>
      <c r="B6418" t="s">
        <v>33</v>
      </c>
      <c r="C6418" t="s">
        <v>89</v>
      </c>
      <c r="D6418">
        <v>0</v>
      </c>
      <c r="E6418" t="s">
        <v>355</v>
      </c>
    </row>
    <row r="6419" spans="1:5" x14ac:dyDescent="0.35">
      <c r="A6419">
        <v>2014</v>
      </c>
      <c r="B6419" t="s">
        <v>33</v>
      </c>
      <c r="C6419" t="s">
        <v>89</v>
      </c>
      <c r="E6419" t="s">
        <v>328</v>
      </c>
    </row>
    <row r="6420" spans="1:5" x14ac:dyDescent="0.35">
      <c r="A6420">
        <v>2014</v>
      </c>
      <c r="B6420" t="s">
        <v>33</v>
      </c>
      <c r="C6420" t="s">
        <v>87</v>
      </c>
      <c r="D6420">
        <v>21</v>
      </c>
      <c r="E6420" t="s">
        <v>355</v>
      </c>
    </row>
    <row r="6421" spans="1:5" x14ac:dyDescent="0.35">
      <c r="A6421">
        <v>2014</v>
      </c>
      <c r="B6421" t="s">
        <v>35</v>
      </c>
      <c r="C6421" t="s">
        <v>90</v>
      </c>
      <c r="D6421">
        <v>5</v>
      </c>
      <c r="E6421" t="s">
        <v>328</v>
      </c>
    </row>
    <row r="6422" spans="1:5" x14ac:dyDescent="0.35">
      <c r="A6422">
        <v>2014</v>
      </c>
      <c r="B6422" t="s">
        <v>35</v>
      </c>
      <c r="C6422" t="s">
        <v>90</v>
      </c>
      <c r="D6422">
        <v>6</v>
      </c>
      <c r="E6422" t="s">
        <v>355</v>
      </c>
    </row>
    <row r="6423" spans="1:5" x14ac:dyDescent="0.35">
      <c r="A6423">
        <v>2014</v>
      </c>
      <c r="B6423" t="s">
        <v>33</v>
      </c>
      <c r="C6423" t="s">
        <v>98</v>
      </c>
      <c r="D6423">
        <v>48</v>
      </c>
      <c r="E6423" t="s">
        <v>355</v>
      </c>
    </row>
    <row r="6424" spans="1:5" x14ac:dyDescent="0.35">
      <c r="A6424">
        <v>2014</v>
      </c>
      <c r="B6424" t="s">
        <v>35</v>
      </c>
      <c r="C6424" t="s">
        <v>97</v>
      </c>
      <c r="D6424">
        <v>29</v>
      </c>
      <c r="E6424" t="s">
        <v>328</v>
      </c>
    </row>
    <row r="6425" spans="1:5" x14ac:dyDescent="0.35">
      <c r="A6425">
        <v>2014</v>
      </c>
      <c r="B6425" t="s">
        <v>35</v>
      </c>
      <c r="C6425" t="s">
        <v>97</v>
      </c>
      <c r="D6425">
        <v>49</v>
      </c>
      <c r="E6425" t="s">
        <v>355</v>
      </c>
    </row>
    <row r="6426" spans="1:5" x14ac:dyDescent="0.35">
      <c r="A6426">
        <v>2014</v>
      </c>
      <c r="B6426" t="s">
        <v>34</v>
      </c>
      <c r="C6426" t="s">
        <v>8</v>
      </c>
      <c r="D6426">
        <v>10</v>
      </c>
      <c r="E6426" t="s">
        <v>328</v>
      </c>
    </row>
    <row r="6427" spans="1:5" x14ac:dyDescent="0.35">
      <c r="A6427">
        <v>2014</v>
      </c>
      <c r="B6427" t="s">
        <v>34</v>
      </c>
      <c r="C6427" t="s">
        <v>8</v>
      </c>
      <c r="D6427">
        <v>9</v>
      </c>
      <c r="E6427" t="s">
        <v>355</v>
      </c>
    </row>
    <row r="6428" spans="1:5" x14ac:dyDescent="0.35">
      <c r="A6428">
        <v>2014</v>
      </c>
      <c r="B6428" t="s">
        <v>33</v>
      </c>
      <c r="C6428" t="s">
        <v>96</v>
      </c>
      <c r="D6428">
        <v>4</v>
      </c>
      <c r="E6428" t="s">
        <v>328</v>
      </c>
    </row>
    <row r="6429" spans="1:5" x14ac:dyDescent="0.35">
      <c r="A6429">
        <v>2014</v>
      </c>
      <c r="B6429" t="s">
        <v>33</v>
      </c>
      <c r="C6429" t="s">
        <v>96</v>
      </c>
      <c r="D6429">
        <v>3</v>
      </c>
      <c r="E6429" t="s">
        <v>355</v>
      </c>
    </row>
    <row r="6430" spans="1:5" x14ac:dyDescent="0.35">
      <c r="A6430">
        <v>2014</v>
      </c>
      <c r="B6430" t="s">
        <v>33</v>
      </c>
      <c r="C6430" t="s">
        <v>98</v>
      </c>
      <c r="D6430">
        <v>66</v>
      </c>
      <c r="E6430" t="s">
        <v>328</v>
      </c>
    </row>
    <row r="6431" spans="1:5" x14ac:dyDescent="0.35">
      <c r="A6431">
        <v>2014</v>
      </c>
      <c r="B6431" t="s">
        <v>33</v>
      </c>
      <c r="C6431" t="s">
        <v>95</v>
      </c>
      <c r="E6431" t="s">
        <v>355</v>
      </c>
    </row>
    <row r="6432" spans="1:5" x14ac:dyDescent="0.35">
      <c r="A6432">
        <v>2014</v>
      </c>
      <c r="B6432" t="s">
        <v>35</v>
      </c>
      <c r="C6432" t="s">
        <v>94</v>
      </c>
      <c r="D6432">
        <v>44</v>
      </c>
      <c r="E6432" t="s">
        <v>328</v>
      </c>
    </row>
    <row r="6433" spans="1:5" x14ac:dyDescent="0.35">
      <c r="A6433">
        <v>2014</v>
      </c>
      <c r="B6433" t="s">
        <v>35</v>
      </c>
      <c r="C6433" t="s">
        <v>94</v>
      </c>
      <c r="D6433">
        <v>25</v>
      </c>
      <c r="E6433" t="s">
        <v>355</v>
      </c>
    </row>
    <row r="6434" spans="1:5" x14ac:dyDescent="0.35">
      <c r="A6434">
        <v>2014</v>
      </c>
      <c r="B6434" t="s">
        <v>37</v>
      </c>
      <c r="C6434" t="s">
        <v>92</v>
      </c>
      <c r="D6434">
        <v>6</v>
      </c>
      <c r="E6434" t="s">
        <v>328</v>
      </c>
    </row>
    <row r="6435" spans="1:5" x14ac:dyDescent="0.35">
      <c r="A6435">
        <v>2014</v>
      </c>
      <c r="B6435" t="s">
        <v>37</v>
      </c>
      <c r="C6435" t="s">
        <v>92</v>
      </c>
      <c r="D6435">
        <v>13</v>
      </c>
      <c r="E6435" t="s">
        <v>355</v>
      </c>
    </row>
    <row r="6436" spans="1:5" x14ac:dyDescent="0.35">
      <c r="A6436">
        <v>2014</v>
      </c>
      <c r="B6436" t="s">
        <v>33</v>
      </c>
      <c r="C6436" t="s">
        <v>91</v>
      </c>
      <c r="D6436">
        <v>13</v>
      </c>
      <c r="E6436" t="s">
        <v>328</v>
      </c>
    </row>
    <row r="6437" spans="1:5" x14ac:dyDescent="0.35">
      <c r="A6437">
        <v>2014</v>
      </c>
      <c r="B6437" t="s">
        <v>33</v>
      </c>
      <c r="C6437" t="s">
        <v>91</v>
      </c>
      <c r="D6437">
        <v>20</v>
      </c>
      <c r="E6437" t="s">
        <v>355</v>
      </c>
    </row>
    <row r="6438" spans="1:5" x14ac:dyDescent="0.35">
      <c r="A6438">
        <v>2014</v>
      </c>
      <c r="B6438" t="s">
        <v>33</v>
      </c>
      <c r="C6438" t="s">
        <v>95</v>
      </c>
      <c r="E6438" t="s">
        <v>328</v>
      </c>
    </row>
    <row r="6439" spans="1:5" x14ac:dyDescent="0.35">
      <c r="A6439">
        <v>2015</v>
      </c>
      <c r="B6439" t="s">
        <v>36</v>
      </c>
      <c r="C6439" t="s">
        <v>164</v>
      </c>
      <c r="D6439">
        <v>66</v>
      </c>
      <c r="E6439" t="s">
        <v>466</v>
      </c>
    </row>
    <row r="6440" spans="1:5" x14ac:dyDescent="0.35">
      <c r="A6440">
        <v>2015</v>
      </c>
      <c r="B6440" t="s">
        <v>36</v>
      </c>
      <c r="C6440" t="s">
        <v>165</v>
      </c>
      <c r="D6440">
        <v>10</v>
      </c>
      <c r="E6440" t="s">
        <v>467</v>
      </c>
    </row>
    <row r="6441" spans="1:5" x14ac:dyDescent="0.35">
      <c r="A6441">
        <v>2015</v>
      </c>
      <c r="B6441" t="s">
        <v>33</v>
      </c>
      <c r="C6441" t="s">
        <v>149</v>
      </c>
      <c r="D6441">
        <v>1830</v>
      </c>
      <c r="E6441" t="s">
        <v>466</v>
      </c>
    </row>
    <row r="6442" spans="1:5" x14ac:dyDescent="0.35">
      <c r="A6442">
        <v>2015</v>
      </c>
      <c r="B6442" t="s">
        <v>37</v>
      </c>
      <c r="C6442" t="s">
        <v>153</v>
      </c>
      <c r="D6442">
        <v>10</v>
      </c>
      <c r="E6442" t="s">
        <v>355</v>
      </c>
    </row>
    <row r="6443" spans="1:5" x14ac:dyDescent="0.35">
      <c r="A6443">
        <v>2015</v>
      </c>
      <c r="B6443" t="s">
        <v>35</v>
      </c>
      <c r="C6443" t="s">
        <v>322</v>
      </c>
      <c r="D6443">
        <v>52</v>
      </c>
      <c r="E6443" t="s">
        <v>466</v>
      </c>
    </row>
    <row r="6444" spans="1:5" x14ac:dyDescent="0.35">
      <c r="A6444">
        <v>2015</v>
      </c>
      <c r="B6444" t="s">
        <v>37</v>
      </c>
      <c r="C6444" t="s">
        <v>166</v>
      </c>
      <c r="D6444">
        <v>3</v>
      </c>
      <c r="E6444" t="s">
        <v>467</v>
      </c>
    </row>
    <row r="6445" spans="1:5" x14ac:dyDescent="0.35">
      <c r="A6445">
        <v>2015</v>
      </c>
      <c r="B6445" t="s">
        <v>35</v>
      </c>
      <c r="C6445" t="s">
        <v>150</v>
      </c>
      <c r="D6445">
        <v>50</v>
      </c>
      <c r="E6445" t="s">
        <v>466</v>
      </c>
    </row>
    <row r="6446" spans="1:5" x14ac:dyDescent="0.35">
      <c r="A6446">
        <v>2015</v>
      </c>
      <c r="B6446" t="s">
        <v>34</v>
      </c>
      <c r="C6446" t="s">
        <v>152</v>
      </c>
      <c r="D6446">
        <v>56</v>
      </c>
      <c r="E6446" t="s">
        <v>328</v>
      </c>
    </row>
    <row r="6447" spans="1:5" x14ac:dyDescent="0.35">
      <c r="A6447">
        <v>2015</v>
      </c>
      <c r="B6447" t="s">
        <v>34</v>
      </c>
      <c r="C6447" t="s">
        <v>151</v>
      </c>
      <c r="D6447">
        <v>12</v>
      </c>
      <c r="E6447" t="s">
        <v>466</v>
      </c>
    </row>
    <row r="6448" spans="1:5" x14ac:dyDescent="0.35">
      <c r="A6448">
        <v>2015</v>
      </c>
      <c r="B6448" t="s">
        <v>34</v>
      </c>
      <c r="C6448" t="s">
        <v>167</v>
      </c>
      <c r="D6448">
        <v>508</v>
      </c>
      <c r="E6448" t="s">
        <v>467</v>
      </c>
    </row>
    <row r="6449" spans="1:5" x14ac:dyDescent="0.35">
      <c r="A6449">
        <v>2015</v>
      </c>
      <c r="B6449" t="s">
        <v>34</v>
      </c>
      <c r="C6449" t="s">
        <v>152</v>
      </c>
      <c r="D6449">
        <v>887</v>
      </c>
      <c r="E6449" t="s">
        <v>466</v>
      </c>
    </row>
    <row r="6450" spans="1:5" x14ac:dyDescent="0.35">
      <c r="A6450">
        <v>2015</v>
      </c>
      <c r="B6450" t="s">
        <v>34</v>
      </c>
      <c r="C6450" t="s">
        <v>152</v>
      </c>
      <c r="D6450">
        <v>29</v>
      </c>
      <c r="E6450" t="s">
        <v>355</v>
      </c>
    </row>
    <row r="6451" spans="1:5" x14ac:dyDescent="0.35">
      <c r="A6451">
        <v>2015</v>
      </c>
      <c r="B6451" t="s">
        <v>37</v>
      </c>
      <c r="C6451" t="s">
        <v>153</v>
      </c>
      <c r="D6451">
        <v>17</v>
      </c>
      <c r="E6451" t="s">
        <v>466</v>
      </c>
    </row>
    <row r="6452" spans="1:5" x14ac:dyDescent="0.35">
      <c r="A6452">
        <v>2015</v>
      </c>
      <c r="B6452" t="s">
        <v>33</v>
      </c>
      <c r="C6452" t="s">
        <v>168</v>
      </c>
      <c r="D6452">
        <v>57</v>
      </c>
      <c r="E6452" t="s">
        <v>467</v>
      </c>
    </row>
    <row r="6453" spans="1:5" x14ac:dyDescent="0.35">
      <c r="A6453">
        <v>2015</v>
      </c>
      <c r="B6453" t="s">
        <v>36</v>
      </c>
      <c r="C6453" t="s">
        <v>154</v>
      </c>
      <c r="D6453">
        <v>190</v>
      </c>
      <c r="E6453" t="s">
        <v>466</v>
      </c>
    </row>
    <row r="6454" spans="1:5" x14ac:dyDescent="0.35">
      <c r="A6454">
        <v>2015</v>
      </c>
      <c r="B6454" t="s">
        <v>35</v>
      </c>
      <c r="C6454" t="s">
        <v>150</v>
      </c>
      <c r="D6454">
        <v>3</v>
      </c>
      <c r="E6454" t="s">
        <v>328</v>
      </c>
    </row>
    <row r="6455" spans="1:5" x14ac:dyDescent="0.35">
      <c r="A6455">
        <v>2015</v>
      </c>
      <c r="B6455" t="s">
        <v>38</v>
      </c>
      <c r="C6455" t="s">
        <v>155</v>
      </c>
      <c r="D6455">
        <v>37</v>
      </c>
      <c r="E6455" t="s">
        <v>466</v>
      </c>
    </row>
    <row r="6456" spans="1:5" x14ac:dyDescent="0.35">
      <c r="A6456">
        <v>2015</v>
      </c>
      <c r="B6456" t="s">
        <v>35</v>
      </c>
      <c r="C6456" t="s">
        <v>169</v>
      </c>
      <c r="D6456">
        <v>42</v>
      </c>
      <c r="E6456" t="s">
        <v>467</v>
      </c>
    </row>
    <row r="6457" spans="1:5" x14ac:dyDescent="0.35">
      <c r="A6457">
        <v>2015</v>
      </c>
      <c r="B6457" t="s">
        <v>34</v>
      </c>
      <c r="C6457" t="s">
        <v>18</v>
      </c>
      <c r="D6457">
        <v>1018</v>
      </c>
      <c r="E6457" t="s">
        <v>466</v>
      </c>
    </row>
    <row r="6458" spans="1:5" x14ac:dyDescent="0.35">
      <c r="A6458">
        <v>2015</v>
      </c>
      <c r="B6458" t="s">
        <v>35</v>
      </c>
      <c r="C6458" t="s">
        <v>150</v>
      </c>
      <c r="D6458">
        <v>0</v>
      </c>
      <c r="E6458" t="s">
        <v>355</v>
      </c>
    </row>
    <row r="6459" spans="1:5" x14ac:dyDescent="0.35">
      <c r="A6459">
        <v>2015</v>
      </c>
      <c r="B6459" t="s">
        <v>35</v>
      </c>
      <c r="C6459" t="s">
        <v>157</v>
      </c>
      <c r="D6459">
        <v>605</v>
      </c>
      <c r="E6459" t="s">
        <v>466</v>
      </c>
    </row>
    <row r="6460" spans="1:5" x14ac:dyDescent="0.35">
      <c r="A6460">
        <v>2015</v>
      </c>
      <c r="B6460" t="s">
        <v>35</v>
      </c>
      <c r="C6460" t="s">
        <v>173</v>
      </c>
      <c r="D6460">
        <v>22</v>
      </c>
      <c r="E6460" t="s">
        <v>467</v>
      </c>
    </row>
    <row r="6461" spans="1:5" x14ac:dyDescent="0.35">
      <c r="A6461">
        <v>2015</v>
      </c>
      <c r="B6461" t="s">
        <v>35</v>
      </c>
      <c r="C6461" t="s">
        <v>158</v>
      </c>
      <c r="D6461">
        <v>358</v>
      </c>
      <c r="E6461" t="s">
        <v>466</v>
      </c>
    </row>
    <row r="6462" spans="1:5" x14ac:dyDescent="0.35">
      <c r="A6462">
        <v>2015</v>
      </c>
      <c r="B6462" t="s">
        <v>35</v>
      </c>
      <c r="C6462" t="s">
        <v>322</v>
      </c>
      <c r="E6462" t="s">
        <v>328</v>
      </c>
    </row>
    <row r="6463" spans="1:5" x14ac:dyDescent="0.35">
      <c r="A6463">
        <v>2015</v>
      </c>
      <c r="B6463" t="s">
        <v>34</v>
      </c>
      <c r="C6463" t="s">
        <v>159</v>
      </c>
      <c r="D6463">
        <v>25</v>
      </c>
      <c r="E6463" t="s">
        <v>466</v>
      </c>
    </row>
    <row r="6464" spans="1:5" x14ac:dyDescent="0.35">
      <c r="A6464">
        <v>2015</v>
      </c>
      <c r="B6464" t="s">
        <v>34</v>
      </c>
      <c r="C6464" t="s">
        <v>171</v>
      </c>
      <c r="D6464">
        <v>44</v>
      </c>
      <c r="E6464" t="s">
        <v>467</v>
      </c>
    </row>
    <row r="6465" spans="1:5" x14ac:dyDescent="0.35">
      <c r="A6465">
        <v>2015</v>
      </c>
      <c r="B6465" t="s">
        <v>35</v>
      </c>
      <c r="C6465" t="s">
        <v>161</v>
      </c>
      <c r="D6465">
        <v>495</v>
      </c>
      <c r="E6465" t="s">
        <v>466</v>
      </c>
    </row>
    <row r="6466" spans="1:5" x14ac:dyDescent="0.35">
      <c r="A6466">
        <v>2015</v>
      </c>
      <c r="B6466" t="s">
        <v>35</v>
      </c>
      <c r="C6466" t="s">
        <v>322</v>
      </c>
      <c r="E6466" t="s">
        <v>355</v>
      </c>
    </row>
    <row r="6467" spans="1:5" x14ac:dyDescent="0.35">
      <c r="A6467">
        <v>2015</v>
      </c>
      <c r="B6467" t="s">
        <v>33</v>
      </c>
      <c r="C6467" t="s">
        <v>162</v>
      </c>
      <c r="D6467">
        <v>48</v>
      </c>
      <c r="E6467" t="s">
        <v>466</v>
      </c>
    </row>
    <row r="6468" spans="1:5" x14ac:dyDescent="0.35">
      <c r="A6468">
        <v>2015</v>
      </c>
      <c r="B6468" t="s">
        <v>35</v>
      </c>
      <c r="C6468" t="s">
        <v>172</v>
      </c>
      <c r="D6468">
        <v>67</v>
      </c>
      <c r="E6468" t="s">
        <v>467</v>
      </c>
    </row>
    <row r="6469" spans="1:5" x14ac:dyDescent="0.35">
      <c r="A6469">
        <v>2015</v>
      </c>
      <c r="B6469" t="s">
        <v>36</v>
      </c>
      <c r="C6469" t="s">
        <v>163</v>
      </c>
      <c r="D6469">
        <v>39</v>
      </c>
      <c r="E6469" t="s">
        <v>466</v>
      </c>
    </row>
    <row r="6470" spans="1:5" x14ac:dyDescent="0.35">
      <c r="A6470">
        <v>2015</v>
      </c>
      <c r="B6470" t="s">
        <v>33</v>
      </c>
      <c r="C6470" t="s">
        <v>148</v>
      </c>
      <c r="D6470">
        <v>4</v>
      </c>
      <c r="E6470" t="s">
        <v>355</v>
      </c>
    </row>
    <row r="6471" spans="1:5" x14ac:dyDescent="0.35">
      <c r="A6471">
        <v>2015</v>
      </c>
      <c r="B6471" t="s">
        <v>33</v>
      </c>
      <c r="C6471" t="s">
        <v>148</v>
      </c>
      <c r="D6471">
        <v>31</v>
      </c>
      <c r="E6471" t="s">
        <v>466</v>
      </c>
    </row>
    <row r="6472" spans="1:5" x14ac:dyDescent="0.35">
      <c r="A6472">
        <v>2015</v>
      </c>
      <c r="B6472" t="s">
        <v>33</v>
      </c>
      <c r="C6472" t="s">
        <v>174</v>
      </c>
      <c r="D6472">
        <v>17</v>
      </c>
      <c r="E6472" t="s">
        <v>467</v>
      </c>
    </row>
    <row r="6473" spans="1:5" x14ac:dyDescent="0.35">
      <c r="A6473">
        <v>2015</v>
      </c>
      <c r="B6473" t="s">
        <v>38</v>
      </c>
      <c r="C6473" t="s">
        <v>156</v>
      </c>
      <c r="D6473">
        <v>1256</v>
      </c>
      <c r="E6473" t="s">
        <v>466</v>
      </c>
    </row>
    <row r="6474" spans="1:5" x14ac:dyDescent="0.35">
      <c r="A6474">
        <v>2015</v>
      </c>
      <c r="B6474" t="s">
        <v>33</v>
      </c>
      <c r="C6474" t="s">
        <v>149</v>
      </c>
      <c r="D6474">
        <v>107</v>
      </c>
      <c r="E6474" t="s">
        <v>355</v>
      </c>
    </row>
    <row r="6475" spans="1:5" x14ac:dyDescent="0.35">
      <c r="A6475">
        <v>2015</v>
      </c>
      <c r="B6475" t="s">
        <v>35</v>
      </c>
      <c r="C6475" t="s">
        <v>160</v>
      </c>
      <c r="D6475">
        <v>777</v>
      </c>
      <c r="E6475" t="s">
        <v>466</v>
      </c>
    </row>
    <row r="6476" spans="1:5" x14ac:dyDescent="0.35">
      <c r="A6476">
        <v>2015</v>
      </c>
      <c r="B6476" t="s">
        <v>36</v>
      </c>
      <c r="C6476" t="s">
        <v>164</v>
      </c>
      <c r="D6476">
        <v>15</v>
      </c>
      <c r="E6476" t="s">
        <v>467</v>
      </c>
    </row>
    <row r="6477" spans="1:5" x14ac:dyDescent="0.35">
      <c r="A6477">
        <v>2015</v>
      </c>
      <c r="B6477" t="s">
        <v>33</v>
      </c>
      <c r="C6477" t="s">
        <v>129</v>
      </c>
      <c r="E6477" t="s">
        <v>466</v>
      </c>
    </row>
    <row r="6478" spans="1:5" x14ac:dyDescent="0.35">
      <c r="A6478">
        <v>2015</v>
      </c>
      <c r="B6478" t="s">
        <v>33</v>
      </c>
      <c r="C6478" t="s">
        <v>148</v>
      </c>
      <c r="D6478">
        <v>3</v>
      </c>
      <c r="E6478" t="s">
        <v>328</v>
      </c>
    </row>
    <row r="6479" spans="1:5" x14ac:dyDescent="0.35">
      <c r="A6479">
        <v>2015</v>
      </c>
      <c r="B6479" t="s">
        <v>37</v>
      </c>
      <c r="C6479" t="s">
        <v>146</v>
      </c>
      <c r="D6479">
        <v>134</v>
      </c>
      <c r="E6479" t="s">
        <v>466</v>
      </c>
    </row>
    <row r="6480" spans="1:5" x14ac:dyDescent="0.35">
      <c r="A6480">
        <v>2015</v>
      </c>
      <c r="B6480" t="s">
        <v>33</v>
      </c>
      <c r="C6480" t="s">
        <v>170</v>
      </c>
      <c r="D6480">
        <v>4</v>
      </c>
      <c r="E6480" t="s">
        <v>467</v>
      </c>
    </row>
    <row r="6481" spans="1:5" x14ac:dyDescent="0.35">
      <c r="A6481">
        <v>2015</v>
      </c>
      <c r="B6481" t="s">
        <v>36</v>
      </c>
      <c r="C6481" t="s">
        <v>165</v>
      </c>
      <c r="D6481">
        <v>34</v>
      </c>
      <c r="E6481" t="s">
        <v>466</v>
      </c>
    </row>
    <row r="6482" spans="1:5" x14ac:dyDescent="0.35">
      <c r="A6482">
        <v>2015</v>
      </c>
      <c r="B6482" t="s">
        <v>36</v>
      </c>
      <c r="C6482" t="s">
        <v>147</v>
      </c>
      <c r="D6482">
        <v>489</v>
      </c>
      <c r="E6482" t="s">
        <v>328</v>
      </c>
    </row>
    <row r="6483" spans="1:5" x14ac:dyDescent="0.35">
      <c r="A6483">
        <v>2015</v>
      </c>
      <c r="B6483" t="s">
        <v>33</v>
      </c>
      <c r="C6483" t="s">
        <v>130</v>
      </c>
      <c r="D6483">
        <v>14</v>
      </c>
      <c r="E6483" t="s">
        <v>466</v>
      </c>
    </row>
    <row r="6484" spans="1:5" x14ac:dyDescent="0.35">
      <c r="A6484">
        <v>2015</v>
      </c>
      <c r="B6484" t="s">
        <v>36</v>
      </c>
      <c r="C6484" t="s">
        <v>163</v>
      </c>
      <c r="D6484">
        <v>10</v>
      </c>
      <c r="E6484" t="s">
        <v>467</v>
      </c>
    </row>
    <row r="6485" spans="1:5" x14ac:dyDescent="0.35">
      <c r="A6485">
        <v>2015</v>
      </c>
      <c r="B6485" t="s">
        <v>34</v>
      </c>
      <c r="C6485" t="s">
        <v>131</v>
      </c>
      <c r="D6485">
        <v>62</v>
      </c>
      <c r="E6485" t="s">
        <v>466</v>
      </c>
    </row>
    <row r="6486" spans="1:5" x14ac:dyDescent="0.35">
      <c r="A6486">
        <v>2015</v>
      </c>
      <c r="B6486" t="s">
        <v>36</v>
      </c>
      <c r="C6486" t="s">
        <v>147</v>
      </c>
      <c r="D6486">
        <v>440</v>
      </c>
      <c r="E6486" t="s">
        <v>355</v>
      </c>
    </row>
    <row r="6487" spans="1:5" x14ac:dyDescent="0.35">
      <c r="A6487">
        <v>2015</v>
      </c>
      <c r="B6487" t="s">
        <v>33</v>
      </c>
      <c r="C6487" t="s">
        <v>132</v>
      </c>
      <c r="D6487">
        <v>78</v>
      </c>
      <c r="E6487" t="s">
        <v>466</v>
      </c>
    </row>
    <row r="6488" spans="1:5" x14ac:dyDescent="0.35">
      <c r="A6488">
        <v>2015</v>
      </c>
      <c r="B6488" t="s">
        <v>34</v>
      </c>
      <c r="C6488" t="s">
        <v>151</v>
      </c>
      <c r="D6488">
        <v>6</v>
      </c>
      <c r="E6488" t="s">
        <v>467</v>
      </c>
    </row>
    <row r="6489" spans="1:5" x14ac:dyDescent="0.35">
      <c r="A6489">
        <v>2015</v>
      </c>
      <c r="B6489" t="s">
        <v>35</v>
      </c>
      <c r="C6489" t="s">
        <v>133</v>
      </c>
      <c r="D6489">
        <v>3</v>
      </c>
      <c r="E6489" t="s">
        <v>466</v>
      </c>
    </row>
    <row r="6490" spans="1:5" x14ac:dyDescent="0.35">
      <c r="A6490">
        <v>2015</v>
      </c>
      <c r="B6490" t="s">
        <v>37</v>
      </c>
      <c r="C6490" t="s">
        <v>146</v>
      </c>
      <c r="D6490">
        <v>4</v>
      </c>
      <c r="E6490" t="s">
        <v>328</v>
      </c>
    </row>
    <row r="6491" spans="1:5" x14ac:dyDescent="0.35">
      <c r="A6491">
        <v>2015</v>
      </c>
      <c r="B6491" t="s">
        <v>37</v>
      </c>
      <c r="C6491" t="s">
        <v>134</v>
      </c>
      <c r="D6491">
        <v>38</v>
      </c>
      <c r="E6491" t="s">
        <v>466</v>
      </c>
    </row>
    <row r="6492" spans="1:5" x14ac:dyDescent="0.35">
      <c r="A6492">
        <v>2015</v>
      </c>
      <c r="B6492" t="s">
        <v>35</v>
      </c>
      <c r="C6492" t="s">
        <v>161</v>
      </c>
      <c r="D6492">
        <v>150</v>
      </c>
      <c r="E6492" t="s">
        <v>467</v>
      </c>
    </row>
    <row r="6493" spans="1:5" x14ac:dyDescent="0.35">
      <c r="A6493">
        <v>2015</v>
      </c>
      <c r="B6493" t="s">
        <v>33</v>
      </c>
      <c r="C6493" t="s">
        <v>135</v>
      </c>
      <c r="D6493">
        <v>30</v>
      </c>
      <c r="E6493" t="s">
        <v>466</v>
      </c>
    </row>
    <row r="6494" spans="1:5" x14ac:dyDescent="0.35">
      <c r="A6494">
        <v>2015</v>
      </c>
      <c r="B6494" t="s">
        <v>37</v>
      </c>
      <c r="C6494" t="s">
        <v>146</v>
      </c>
      <c r="D6494">
        <v>14</v>
      </c>
      <c r="E6494" t="s">
        <v>355</v>
      </c>
    </row>
    <row r="6495" spans="1:5" x14ac:dyDescent="0.35">
      <c r="A6495">
        <v>2015</v>
      </c>
      <c r="B6495" t="s">
        <v>33</v>
      </c>
      <c r="C6495" t="s">
        <v>136</v>
      </c>
      <c r="D6495">
        <v>9</v>
      </c>
      <c r="E6495" t="s">
        <v>466</v>
      </c>
    </row>
    <row r="6496" spans="1:5" x14ac:dyDescent="0.35">
      <c r="A6496">
        <v>2015</v>
      </c>
      <c r="B6496" t="s">
        <v>35</v>
      </c>
      <c r="C6496" t="s">
        <v>160</v>
      </c>
      <c r="D6496">
        <v>129</v>
      </c>
      <c r="E6496" t="s">
        <v>467</v>
      </c>
    </row>
    <row r="6497" spans="1:5" x14ac:dyDescent="0.35">
      <c r="A6497">
        <v>2015</v>
      </c>
      <c r="B6497" t="s">
        <v>36</v>
      </c>
      <c r="C6497" t="s">
        <v>147</v>
      </c>
      <c r="D6497">
        <v>1900</v>
      </c>
      <c r="E6497" t="s">
        <v>466</v>
      </c>
    </row>
    <row r="6498" spans="1:5" x14ac:dyDescent="0.35">
      <c r="A6498">
        <v>2015</v>
      </c>
      <c r="B6498" t="s">
        <v>36</v>
      </c>
      <c r="C6498" t="s">
        <v>154</v>
      </c>
      <c r="D6498">
        <v>57</v>
      </c>
      <c r="E6498" t="s">
        <v>355</v>
      </c>
    </row>
    <row r="6499" spans="1:5" x14ac:dyDescent="0.35">
      <c r="A6499">
        <v>2015</v>
      </c>
      <c r="B6499" t="s">
        <v>36</v>
      </c>
      <c r="C6499" t="s">
        <v>14</v>
      </c>
      <c r="D6499">
        <v>330921</v>
      </c>
      <c r="E6499" t="s">
        <v>466</v>
      </c>
    </row>
    <row r="6500" spans="1:5" x14ac:dyDescent="0.35">
      <c r="A6500">
        <v>2015</v>
      </c>
      <c r="B6500" t="s">
        <v>34</v>
      </c>
      <c r="C6500" t="s">
        <v>159</v>
      </c>
      <c r="D6500">
        <v>19</v>
      </c>
      <c r="E6500" t="s">
        <v>467</v>
      </c>
    </row>
    <row r="6501" spans="1:5" x14ac:dyDescent="0.35">
      <c r="A6501">
        <v>2015</v>
      </c>
      <c r="B6501" t="s">
        <v>35</v>
      </c>
      <c r="C6501" t="s">
        <v>138</v>
      </c>
      <c r="D6501">
        <v>118</v>
      </c>
      <c r="E6501" t="s">
        <v>466</v>
      </c>
    </row>
    <row r="6502" spans="1:5" x14ac:dyDescent="0.35">
      <c r="A6502">
        <v>2015</v>
      </c>
      <c r="B6502" t="s">
        <v>33</v>
      </c>
      <c r="C6502" t="s">
        <v>149</v>
      </c>
      <c r="D6502">
        <v>479</v>
      </c>
      <c r="E6502" t="s">
        <v>328</v>
      </c>
    </row>
    <row r="6503" spans="1:5" x14ac:dyDescent="0.35">
      <c r="A6503">
        <v>2015</v>
      </c>
      <c r="B6503" t="s">
        <v>34</v>
      </c>
      <c r="C6503" t="s">
        <v>139</v>
      </c>
      <c r="D6503">
        <v>103</v>
      </c>
      <c r="E6503" t="s">
        <v>466</v>
      </c>
    </row>
    <row r="6504" spans="1:5" x14ac:dyDescent="0.35">
      <c r="A6504">
        <v>2015</v>
      </c>
      <c r="B6504" t="s">
        <v>35</v>
      </c>
      <c r="C6504" t="s">
        <v>158</v>
      </c>
      <c r="D6504">
        <v>243</v>
      </c>
      <c r="E6504" t="s">
        <v>467</v>
      </c>
    </row>
    <row r="6505" spans="1:5" x14ac:dyDescent="0.35">
      <c r="A6505">
        <v>2015</v>
      </c>
      <c r="B6505" t="s">
        <v>35</v>
      </c>
      <c r="C6505" t="s">
        <v>140</v>
      </c>
      <c r="D6505">
        <v>29</v>
      </c>
      <c r="E6505" t="s">
        <v>466</v>
      </c>
    </row>
    <row r="6506" spans="1:5" x14ac:dyDescent="0.35">
      <c r="A6506">
        <v>2015</v>
      </c>
      <c r="B6506" t="s">
        <v>36</v>
      </c>
      <c r="C6506" t="s">
        <v>154</v>
      </c>
      <c r="D6506">
        <v>45</v>
      </c>
      <c r="E6506" t="s">
        <v>328</v>
      </c>
    </row>
    <row r="6507" spans="1:5" x14ac:dyDescent="0.35">
      <c r="A6507">
        <v>2015</v>
      </c>
      <c r="B6507" t="s">
        <v>33</v>
      </c>
      <c r="C6507" t="s">
        <v>141</v>
      </c>
      <c r="D6507">
        <v>188</v>
      </c>
      <c r="E6507" t="s">
        <v>466</v>
      </c>
    </row>
    <row r="6508" spans="1:5" x14ac:dyDescent="0.35">
      <c r="A6508">
        <v>2015</v>
      </c>
      <c r="B6508" t="s">
        <v>35</v>
      </c>
      <c r="C6508" t="s">
        <v>157</v>
      </c>
      <c r="D6508">
        <v>271</v>
      </c>
      <c r="E6508" t="s">
        <v>467</v>
      </c>
    </row>
    <row r="6509" spans="1:5" x14ac:dyDescent="0.35">
      <c r="A6509">
        <v>2015</v>
      </c>
      <c r="B6509" t="s">
        <v>33</v>
      </c>
      <c r="C6509" t="s">
        <v>142</v>
      </c>
      <c r="D6509">
        <v>4</v>
      </c>
      <c r="E6509" t="s">
        <v>466</v>
      </c>
    </row>
    <row r="6510" spans="1:5" x14ac:dyDescent="0.35">
      <c r="A6510">
        <v>2015</v>
      </c>
      <c r="B6510" t="s">
        <v>36</v>
      </c>
      <c r="C6510" t="s">
        <v>163</v>
      </c>
      <c r="E6510" t="s">
        <v>328</v>
      </c>
    </row>
    <row r="6511" spans="1:5" x14ac:dyDescent="0.35">
      <c r="A6511">
        <v>2015</v>
      </c>
      <c r="B6511" t="s">
        <v>33</v>
      </c>
      <c r="C6511" t="s">
        <v>143</v>
      </c>
      <c r="D6511">
        <v>8</v>
      </c>
      <c r="E6511" t="s">
        <v>466</v>
      </c>
    </row>
    <row r="6512" spans="1:5" x14ac:dyDescent="0.35">
      <c r="A6512">
        <v>2015</v>
      </c>
      <c r="B6512" t="s">
        <v>34</v>
      </c>
      <c r="C6512" t="s">
        <v>18</v>
      </c>
      <c r="D6512">
        <v>477</v>
      </c>
      <c r="E6512" t="s">
        <v>467</v>
      </c>
    </row>
    <row r="6513" spans="1:5" x14ac:dyDescent="0.35">
      <c r="A6513">
        <v>2015</v>
      </c>
      <c r="B6513" t="s">
        <v>34</v>
      </c>
      <c r="C6513" t="s">
        <v>144</v>
      </c>
      <c r="D6513">
        <v>614</v>
      </c>
      <c r="E6513" t="s">
        <v>466</v>
      </c>
    </row>
    <row r="6514" spans="1:5" x14ac:dyDescent="0.35">
      <c r="A6514">
        <v>2015</v>
      </c>
      <c r="B6514" t="s">
        <v>38</v>
      </c>
      <c r="C6514" t="s">
        <v>155</v>
      </c>
      <c r="D6514">
        <v>18</v>
      </c>
      <c r="E6514" t="s">
        <v>328</v>
      </c>
    </row>
    <row r="6515" spans="1:5" x14ac:dyDescent="0.35">
      <c r="A6515">
        <v>2015</v>
      </c>
      <c r="B6515" t="s">
        <v>35</v>
      </c>
      <c r="C6515" t="s">
        <v>145</v>
      </c>
      <c r="D6515">
        <v>317</v>
      </c>
      <c r="E6515" t="s">
        <v>466</v>
      </c>
    </row>
    <row r="6516" spans="1:5" x14ac:dyDescent="0.35">
      <c r="A6516">
        <v>2015</v>
      </c>
      <c r="B6516" t="s">
        <v>38</v>
      </c>
      <c r="C6516" t="s">
        <v>156</v>
      </c>
      <c r="D6516">
        <v>175</v>
      </c>
      <c r="E6516" t="s">
        <v>467</v>
      </c>
    </row>
    <row r="6517" spans="1:5" x14ac:dyDescent="0.35">
      <c r="A6517">
        <v>2015</v>
      </c>
      <c r="B6517" t="s">
        <v>37</v>
      </c>
      <c r="C6517" t="s">
        <v>137</v>
      </c>
      <c r="D6517">
        <v>90</v>
      </c>
      <c r="E6517" t="s">
        <v>466</v>
      </c>
    </row>
    <row r="6518" spans="1:5" x14ac:dyDescent="0.35">
      <c r="A6518">
        <v>2015</v>
      </c>
      <c r="B6518" t="s">
        <v>36</v>
      </c>
      <c r="C6518" t="s">
        <v>163</v>
      </c>
      <c r="E6518" t="s">
        <v>355</v>
      </c>
    </row>
    <row r="6519" spans="1:5" x14ac:dyDescent="0.35">
      <c r="A6519">
        <v>2015</v>
      </c>
      <c r="B6519" t="s">
        <v>37</v>
      </c>
      <c r="C6519" t="s">
        <v>166</v>
      </c>
      <c r="D6519">
        <v>16</v>
      </c>
      <c r="E6519" t="s">
        <v>466</v>
      </c>
    </row>
    <row r="6520" spans="1:5" x14ac:dyDescent="0.35">
      <c r="A6520">
        <v>2015</v>
      </c>
      <c r="B6520" t="s">
        <v>38</v>
      </c>
      <c r="C6520" t="s">
        <v>155</v>
      </c>
      <c r="D6520">
        <v>9</v>
      </c>
      <c r="E6520" t="s">
        <v>467</v>
      </c>
    </row>
    <row r="6521" spans="1:5" x14ac:dyDescent="0.35">
      <c r="A6521">
        <v>2015</v>
      </c>
      <c r="B6521" t="s">
        <v>34</v>
      </c>
      <c r="C6521" t="s">
        <v>188</v>
      </c>
      <c r="D6521">
        <v>218</v>
      </c>
      <c r="E6521" t="s">
        <v>466</v>
      </c>
    </row>
    <row r="6522" spans="1:5" x14ac:dyDescent="0.35">
      <c r="A6522">
        <v>2015</v>
      </c>
      <c r="B6522" t="s">
        <v>33</v>
      </c>
      <c r="C6522" t="s">
        <v>162</v>
      </c>
      <c r="E6522" t="s">
        <v>328</v>
      </c>
    </row>
    <row r="6523" spans="1:5" x14ac:dyDescent="0.35">
      <c r="A6523">
        <v>2015</v>
      </c>
      <c r="B6523" t="s">
        <v>33</v>
      </c>
      <c r="C6523" t="s">
        <v>168</v>
      </c>
      <c r="D6523">
        <v>156</v>
      </c>
      <c r="E6523" t="s">
        <v>466</v>
      </c>
    </row>
    <row r="6524" spans="1:5" x14ac:dyDescent="0.35">
      <c r="A6524">
        <v>2015</v>
      </c>
      <c r="B6524" t="s">
        <v>36</v>
      </c>
      <c r="C6524" t="s">
        <v>154</v>
      </c>
      <c r="D6524">
        <v>42</v>
      </c>
      <c r="E6524" t="s">
        <v>467</v>
      </c>
    </row>
    <row r="6525" spans="1:5" x14ac:dyDescent="0.35">
      <c r="A6525">
        <v>2015</v>
      </c>
      <c r="B6525" t="s">
        <v>37</v>
      </c>
      <c r="C6525" t="s">
        <v>190</v>
      </c>
      <c r="D6525">
        <v>46</v>
      </c>
      <c r="E6525" t="s">
        <v>466</v>
      </c>
    </row>
    <row r="6526" spans="1:5" x14ac:dyDescent="0.35">
      <c r="A6526">
        <v>2015</v>
      </c>
      <c r="B6526" t="s">
        <v>33</v>
      </c>
      <c r="C6526" t="s">
        <v>162</v>
      </c>
      <c r="E6526" t="s">
        <v>355</v>
      </c>
    </row>
    <row r="6527" spans="1:5" x14ac:dyDescent="0.35">
      <c r="A6527">
        <v>2015</v>
      </c>
      <c r="B6527" t="s">
        <v>36</v>
      </c>
      <c r="C6527" t="s">
        <v>191</v>
      </c>
      <c r="D6527">
        <v>305</v>
      </c>
      <c r="E6527" t="s">
        <v>466</v>
      </c>
    </row>
    <row r="6528" spans="1:5" x14ac:dyDescent="0.35">
      <c r="A6528">
        <v>2015</v>
      </c>
      <c r="B6528" t="s">
        <v>34</v>
      </c>
      <c r="C6528" t="s">
        <v>152</v>
      </c>
      <c r="D6528">
        <v>349</v>
      </c>
      <c r="E6528" t="s">
        <v>467</v>
      </c>
    </row>
    <row r="6529" spans="1:5" x14ac:dyDescent="0.35">
      <c r="A6529">
        <v>2015</v>
      </c>
      <c r="B6529" t="s">
        <v>33</v>
      </c>
      <c r="C6529" t="s">
        <v>192</v>
      </c>
      <c r="D6529">
        <v>59</v>
      </c>
      <c r="E6529" t="s">
        <v>466</v>
      </c>
    </row>
    <row r="6530" spans="1:5" x14ac:dyDescent="0.35">
      <c r="A6530">
        <v>2015</v>
      </c>
      <c r="B6530" t="s">
        <v>35</v>
      </c>
      <c r="C6530" t="s">
        <v>161</v>
      </c>
      <c r="D6530">
        <v>60</v>
      </c>
      <c r="E6530" t="s">
        <v>328</v>
      </c>
    </row>
    <row r="6531" spans="1:5" x14ac:dyDescent="0.35">
      <c r="A6531">
        <v>2015</v>
      </c>
      <c r="B6531" t="s">
        <v>34</v>
      </c>
      <c r="C6531" t="s">
        <v>193</v>
      </c>
      <c r="D6531">
        <v>343</v>
      </c>
      <c r="E6531" t="s">
        <v>466</v>
      </c>
    </row>
    <row r="6532" spans="1:5" x14ac:dyDescent="0.35">
      <c r="A6532">
        <v>2015</v>
      </c>
      <c r="B6532" t="s">
        <v>35</v>
      </c>
      <c r="C6532" t="s">
        <v>150</v>
      </c>
      <c r="D6532">
        <v>41</v>
      </c>
      <c r="E6532" t="s">
        <v>467</v>
      </c>
    </row>
    <row r="6533" spans="1:5" x14ac:dyDescent="0.35">
      <c r="A6533">
        <v>2015</v>
      </c>
      <c r="B6533" t="s">
        <v>34</v>
      </c>
      <c r="C6533" t="s">
        <v>194</v>
      </c>
      <c r="D6533">
        <v>53</v>
      </c>
      <c r="E6533" t="s">
        <v>466</v>
      </c>
    </row>
    <row r="6534" spans="1:5" x14ac:dyDescent="0.35">
      <c r="A6534">
        <v>2015</v>
      </c>
      <c r="B6534" t="s">
        <v>35</v>
      </c>
      <c r="C6534" t="s">
        <v>161</v>
      </c>
      <c r="D6534">
        <v>39</v>
      </c>
      <c r="E6534" t="s">
        <v>355</v>
      </c>
    </row>
    <row r="6535" spans="1:5" x14ac:dyDescent="0.35">
      <c r="A6535">
        <v>2015</v>
      </c>
      <c r="B6535" t="s">
        <v>33</v>
      </c>
      <c r="C6535" t="s">
        <v>195</v>
      </c>
      <c r="D6535">
        <v>39</v>
      </c>
      <c r="E6535" t="s">
        <v>466</v>
      </c>
    </row>
    <row r="6536" spans="1:5" x14ac:dyDescent="0.35">
      <c r="A6536">
        <v>2015</v>
      </c>
      <c r="B6536" t="s">
        <v>33</v>
      </c>
      <c r="C6536" t="s">
        <v>175</v>
      </c>
      <c r="D6536">
        <v>131</v>
      </c>
      <c r="E6536" t="s">
        <v>467</v>
      </c>
    </row>
    <row r="6537" spans="1:5" x14ac:dyDescent="0.35">
      <c r="A6537">
        <v>2015</v>
      </c>
      <c r="B6537" t="s">
        <v>35</v>
      </c>
      <c r="C6537" t="s">
        <v>196</v>
      </c>
      <c r="D6537">
        <v>532</v>
      </c>
      <c r="E6537" t="s">
        <v>466</v>
      </c>
    </row>
    <row r="6538" spans="1:5" x14ac:dyDescent="0.35">
      <c r="A6538">
        <v>2015</v>
      </c>
      <c r="B6538" t="s">
        <v>35</v>
      </c>
      <c r="C6538" t="s">
        <v>160</v>
      </c>
      <c r="D6538">
        <v>83</v>
      </c>
      <c r="E6538" t="s">
        <v>328</v>
      </c>
    </row>
    <row r="6539" spans="1:5" x14ac:dyDescent="0.35">
      <c r="A6539">
        <v>2015</v>
      </c>
      <c r="B6539" t="s">
        <v>34</v>
      </c>
      <c r="C6539" t="s">
        <v>197</v>
      </c>
      <c r="D6539">
        <v>38</v>
      </c>
      <c r="E6539" t="s">
        <v>466</v>
      </c>
    </row>
    <row r="6540" spans="1:5" x14ac:dyDescent="0.35">
      <c r="A6540">
        <v>2015</v>
      </c>
      <c r="B6540" t="s">
        <v>33</v>
      </c>
      <c r="C6540" t="s">
        <v>162</v>
      </c>
      <c r="D6540">
        <v>26</v>
      </c>
      <c r="E6540" t="s">
        <v>467</v>
      </c>
    </row>
    <row r="6541" spans="1:5" x14ac:dyDescent="0.35">
      <c r="A6541">
        <v>2015</v>
      </c>
      <c r="B6541" t="s">
        <v>35</v>
      </c>
      <c r="C6541" t="s">
        <v>198</v>
      </c>
      <c r="D6541">
        <v>1513</v>
      </c>
      <c r="E6541" t="s">
        <v>466</v>
      </c>
    </row>
    <row r="6542" spans="1:5" x14ac:dyDescent="0.35">
      <c r="A6542">
        <v>2015</v>
      </c>
      <c r="B6542" t="s">
        <v>35</v>
      </c>
      <c r="C6542" t="s">
        <v>160</v>
      </c>
      <c r="D6542">
        <v>70</v>
      </c>
      <c r="E6542" t="s">
        <v>355</v>
      </c>
    </row>
    <row r="6543" spans="1:5" x14ac:dyDescent="0.35">
      <c r="A6543">
        <v>2015</v>
      </c>
      <c r="B6543" t="s">
        <v>39</v>
      </c>
      <c r="C6543" t="s">
        <v>39</v>
      </c>
      <c r="D6543">
        <v>418</v>
      </c>
      <c r="E6543" t="s">
        <v>466</v>
      </c>
    </row>
    <row r="6544" spans="1:5" x14ac:dyDescent="0.35">
      <c r="A6544">
        <v>2015</v>
      </c>
      <c r="B6544" t="s">
        <v>35</v>
      </c>
      <c r="C6544" t="s">
        <v>177</v>
      </c>
      <c r="D6544">
        <v>916</v>
      </c>
      <c r="E6544" t="s">
        <v>467</v>
      </c>
    </row>
    <row r="6545" spans="1:5" x14ac:dyDescent="0.35">
      <c r="A6545">
        <v>2015</v>
      </c>
      <c r="B6545" t="s">
        <v>38</v>
      </c>
      <c r="C6545" t="s">
        <v>199</v>
      </c>
      <c r="D6545">
        <v>70</v>
      </c>
      <c r="E6545" t="s">
        <v>466</v>
      </c>
    </row>
    <row r="6546" spans="1:5" x14ac:dyDescent="0.35">
      <c r="A6546">
        <v>2015</v>
      </c>
      <c r="B6546" t="s">
        <v>35</v>
      </c>
      <c r="C6546" t="s">
        <v>158</v>
      </c>
      <c r="D6546">
        <v>18</v>
      </c>
      <c r="E6546" t="s">
        <v>328</v>
      </c>
    </row>
    <row r="6547" spans="1:5" x14ac:dyDescent="0.35">
      <c r="A6547">
        <v>2015</v>
      </c>
      <c r="B6547" t="s">
        <v>34</v>
      </c>
      <c r="C6547" t="s">
        <v>200</v>
      </c>
      <c r="D6547">
        <v>96</v>
      </c>
      <c r="E6547" t="s">
        <v>466</v>
      </c>
    </row>
    <row r="6548" spans="1:5" x14ac:dyDescent="0.35">
      <c r="A6548">
        <v>2015</v>
      </c>
      <c r="B6548" t="s">
        <v>35</v>
      </c>
      <c r="C6548" t="s">
        <v>322</v>
      </c>
      <c r="D6548">
        <v>21</v>
      </c>
      <c r="E6548" t="s">
        <v>467</v>
      </c>
    </row>
    <row r="6549" spans="1:5" x14ac:dyDescent="0.35">
      <c r="A6549">
        <v>2015</v>
      </c>
      <c r="B6549" t="s">
        <v>38</v>
      </c>
      <c r="C6549" t="s">
        <v>19</v>
      </c>
      <c r="D6549">
        <v>683</v>
      </c>
      <c r="E6549" t="s">
        <v>466</v>
      </c>
    </row>
    <row r="6550" spans="1:5" x14ac:dyDescent="0.35">
      <c r="A6550">
        <v>2015</v>
      </c>
      <c r="B6550" t="s">
        <v>35</v>
      </c>
      <c r="C6550" t="s">
        <v>158</v>
      </c>
      <c r="D6550">
        <v>25</v>
      </c>
      <c r="E6550" t="s">
        <v>355</v>
      </c>
    </row>
    <row r="6551" spans="1:5" x14ac:dyDescent="0.35">
      <c r="A6551">
        <v>2015</v>
      </c>
      <c r="B6551" t="s">
        <v>34</v>
      </c>
      <c r="C6551" t="s">
        <v>201</v>
      </c>
      <c r="D6551">
        <v>720</v>
      </c>
      <c r="E6551" t="s">
        <v>466</v>
      </c>
    </row>
    <row r="6552" spans="1:5" x14ac:dyDescent="0.35">
      <c r="A6552">
        <v>2015</v>
      </c>
      <c r="B6552" t="s">
        <v>33</v>
      </c>
      <c r="C6552" t="s">
        <v>179</v>
      </c>
      <c r="D6552">
        <v>23</v>
      </c>
      <c r="E6552" t="s">
        <v>467</v>
      </c>
    </row>
    <row r="6553" spans="1:5" x14ac:dyDescent="0.35">
      <c r="A6553">
        <v>2015</v>
      </c>
      <c r="B6553" t="s">
        <v>34</v>
      </c>
      <c r="C6553" t="s">
        <v>202</v>
      </c>
      <c r="D6553">
        <v>120</v>
      </c>
      <c r="E6553" t="s">
        <v>466</v>
      </c>
    </row>
    <row r="6554" spans="1:5" x14ac:dyDescent="0.35">
      <c r="A6554">
        <v>2015</v>
      </c>
      <c r="B6554" t="s">
        <v>35</v>
      </c>
      <c r="C6554" t="s">
        <v>157</v>
      </c>
      <c r="D6554">
        <v>110</v>
      </c>
      <c r="E6554" t="s">
        <v>328</v>
      </c>
    </row>
    <row r="6555" spans="1:5" x14ac:dyDescent="0.35">
      <c r="A6555">
        <v>2015</v>
      </c>
      <c r="B6555" t="s">
        <v>33</v>
      </c>
      <c r="C6555" t="s">
        <v>203</v>
      </c>
      <c r="D6555">
        <v>29</v>
      </c>
      <c r="E6555" t="s">
        <v>466</v>
      </c>
    </row>
    <row r="6556" spans="1:5" x14ac:dyDescent="0.35">
      <c r="A6556">
        <v>2015</v>
      </c>
      <c r="B6556" t="s">
        <v>39</v>
      </c>
      <c r="C6556" t="s">
        <v>39</v>
      </c>
      <c r="D6556">
        <v>104</v>
      </c>
      <c r="E6556" t="s">
        <v>467</v>
      </c>
    </row>
    <row r="6557" spans="1:5" x14ac:dyDescent="0.35">
      <c r="A6557">
        <v>2015</v>
      </c>
      <c r="B6557" t="s">
        <v>33</v>
      </c>
      <c r="C6557" t="s">
        <v>204</v>
      </c>
      <c r="D6557">
        <v>53</v>
      </c>
      <c r="E6557" t="s">
        <v>466</v>
      </c>
    </row>
    <row r="6558" spans="1:5" x14ac:dyDescent="0.35">
      <c r="A6558">
        <v>2015</v>
      </c>
      <c r="B6558" t="s">
        <v>35</v>
      </c>
      <c r="C6558" t="s">
        <v>157</v>
      </c>
      <c r="D6558">
        <v>73</v>
      </c>
      <c r="E6558" t="s">
        <v>355</v>
      </c>
    </row>
    <row r="6559" spans="1:5" x14ac:dyDescent="0.35">
      <c r="A6559">
        <v>2015</v>
      </c>
      <c r="B6559" t="s">
        <v>33</v>
      </c>
      <c r="C6559" t="s">
        <v>189</v>
      </c>
      <c r="D6559">
        <v>46</v>
      </c>
      <c r="E6559" t="s">
        <v>466</v>
      </c>
    </row>
    <row r="6560" spans="1:5" x14ac:dyDescent="0.35">
      <c r="A6560">
        <v>2015</v>
      </c>
      <c r="C6560" t="s">
        <v>373</v>
      </c>
      <c r="D6560">
        <v>72</v>
      </c>
      <c r="E6560" t="s">
        <v>467</v>
      </c>
    </row>
    <row r="6561" spans="1:5" x14ac:dyDescent="0.35">
      <c r="A6561">
        <v>2015</v>
      </c>
      <c r="B6561" t="s">
        <v>33</v>
      </c>
      <c r="C6561" t="s">
        <v>187</v>
      </c>
      <c r="D6561">
        <v>77</v>
      </c>
      <c r="E6561" t="s">
        <v>466</v>
      </c>
    </row>
    <row r="6562" spans="1:5" x14ac:dyDescent="0.35">
      <c r="A6562">
        <v>2015</v>
      </c>
      <c r="B6562" t="s">
        <v>34</v>
      </c>
      <c r="C6562" t="s">
        <v>18</v>
      </c>
      <c r="D6562">
        <v>88</v>
      </c>
      <c r="E6562" t="s">
        <v>328</v>
      </c>
    </row>
    <row r="6563" spans="1:5" x14ac:dyDescent="0.35">
      <c r="A6563">
        <v>2015</v>
      </c>
      <c r="B6563" t="s">
        <v>34</v>
      </c>
      <c r="C6563" t="s">
        <v>186</v>
      </c>
      <c r="D6563">
        <v>41</v>
      </c>
      <c r="E6563" t="s">
        <v>466</v>
      </c>
    </row>
    <row r="6564" spans="1:5" x14ac:dyDescent="0.35">
      <c r="A6564">
        <v>2015</v>
      </c>
      <c r="B6564" t="s">
        <v>33</v>
      </c>
      <c r="C6564" t="s">
        <v>204</v>
      </c>
      <c r="D6564">
        <v>19</v>
      </c>
      <c r="E6564" t="s">
        <v>467</v>
      </c>
    </row>
    <row r="6565" spans="1:5" x14ac:dyDescent="0.35">
      <c r="A6565">
        <v>2015</v>
      </c>
      <c r="B6565" t="s">
        <v>34</v>
      </c>
      <c r="C6565" t="s">
        <v>185</v>
      </c>
      <c r="D6565">
        <v>492</v>
      </c>
      <c r="E6565" t="s">
        <v>466</v>
      </c>
    </row>
    <row r="6566" spans="1:5" x14ac:dyDescent="0.35">
      <c r="A6566">
        <v>2015</v>
      </c>
      <c r="B6566" t="s">
        <v>34</v>
      </c>
      <c r="C6566" t="s">
        <v>18</v>
      </c>
      <c r="D6566">
        <v>128</v>
      </c>
      <c r="E6566" t="s">
        <v>355</v>
      </c>
    </row>
    <row r="6567" spans="1:5" x14ac:dyDescent="0.35">
      <c r="A6567">
        <v>2015</v>
      </c>
      <c r="B6567" t="s">
        <v>35</v>
      </c>
      <c r="C6567" t="s">
        <v>169</v>
      </c>
      <c r="D6567">
        <v>80</v>
      </c>
      <c r="E6567" t="s">
        <v>466</v>
      </c>
    </row>
    <row r="6568" spans="1:5" x14ac:dyDescent="0.35">
      <c r="A6568">
        <v>2015</v>
      </c>
      <c r="B6568" t="s">
        <v>33</v>
      </c>
      <c r="C6568" t="s">
        <v>203</v>
      </c>
      <c r="D6568">
        <v>7</v>
      </c>
      <c r="E6568" t="s">
        <v>467</v>
      </c>
    </row>
    <row r="6569" spans="1:5" x14ac:dyDescent="0.35">
      <c r="A6569">
        <v>2015</v>
      </c>
      <c r="B6569" t="s">
        <v>35</v>
      </c>
      <c r="C6569" t="s">
        <v>215</v>
      </c>
      <c r="D6569">
        <v>29</v>
      </c>
      <c r="E6569" t="s">
        <v>466</v>
      </c>
    </row>
    <row r="6570" spans="1:5" x14ac:dyDescent="0.35">
      <c r="A6570">
        <v>2015</v>
      </c>
      <c r="B6570" t="s">
        <v>38</v>
      </c>
      <c r="C6570" t="s">
        <v>156</v>
      </c>
      <c r="D6570">
        <v>316</v>
      </c>
      <c r="E6570" t="s">
        <v>328</v>
      </c>
    </row>
    <row r="6571" spans="1:5" x14ac:dyDescent="0.35">
      <c r="A6571">
        <v>2015</v>
      </c>
      <c r="B6571" t="s">
        <v>33</v>
      </c>
      <c r="C6571" t="s">
        <v>170</v>
      </c>
      <c r="D6571">
        <v>86</v>
      </c>
      <c r="E6571" t="s">
        <v>466</v>
      </c>
    </row>
    <row r="6572" spans="1:5" x14ac:dyDescent="0.35">
      <c r="A6572">
        <v>2015</v>
      </c>
      <c r="B6572" t="s">
        <v>34</v>
      </c>
      <c r="C6572" t="s">
        <v>202</v>
      </c>
      <c r="D6572">
        <v>24</v>
      </c>
      <c r="E6572" t="s">
        <v>467</v>
      </c>
    </row>
    <row r="6573" spans="1:5" x14ac:dyDescent="0.35">
      <c r="A6573">
        <v>2015</v>
      </c>
      <c r="B6573" t="s">
        <v>34</v>
      </c>
      <c r="C6573" t="s">
        <v>171</v>
      </c>
      <c r="D6573">
        <v>61</v>
      </c>
      <c r="E6573" t="s">
        <v>466</v>
      </c>
    </row>
    <row r="6574" spans="1:5" x14ac:dyDescent="0.35">
      <c r="A6574">
        <v>2015</v>
      </c>
      <c r="B6574" t="s">
        <v>38</v>
      </c>
      <c r="C6574" t="s">
        <v>156</v>
      </c>
      <c r="D6574">
        <v>210</v>
      </c>
      <c r="E6574" t="s">
        <v>355</v>
      </c>
    </row>
    <row r="6575" spans="1:5" x14ac:dyDescent="0.35">
      <c r="A6575">
        <v>2015</v>
      </c>
      <c r="B6575" t="s">
        <v>35</v>
      </c>
      <c r="C6575" t="s">
        <v>172</v>
      </c>
      <c r="D6575">
        <v>86</v>
      </c>
      <c r="E6575" t="s">
        <v>466</v>
      </c>
    </row>
    <row r="6576" spans="1:5" x14ac:dyDescent="0.35">
      <c r="A6576">
        <v>2015</v>
      </c>
      <c r="B6576" t="s">
        <v>34</v>
      </c>
      <c r="C6576" t="s">
        <v>201</v>
      </c>
      <c r="D6576">
        <v>111</v>
      </c>
      <c r="E6576" t="s">
        <v>467</v>
      </c>
    </row>
    <row r="6577" spans="1:5" x14ac:dyDescent="0.35">
      <c r="A6577">
        <v>2015</v>
      </c>
      <c r="B6577" t="s">
        <v>35</v>
      </c>
      <c r="C6577" t="s">
        <v>173</v>
      </c>
      <c r="D6577">
        <v>31</v>
      </c>
      <c r="E6577" t="s">
        <v>466</v>
      </c>
    </row>
    <row r="6578" spans="1:5" x14ac:dyDescent="0.35">
      <c r="A6578">
        <v>2015</v>
      </c>
      <c r="B6578" t="s">
        <v>38</v>
      </c>
      <c r="C6578" t="s">
        <v>155</v>
      </c>
      <c r="D6578">
        <v>3</v>
      </c>
      <c r="E6578" t="s">
        <v>355</v>
      </c>
    </row>
    <row r="6579" spans="1:5" x14ac:dyDescent="0.35">
      <c r="A6579">
        <v>2015</v>
      </c>
      <c r="B6579" t="s">
        <v>33</v>
      </c>
      <c r="C6579" t="s">
        <v>174</v>
      </c>
      <c r="D6579">
        <v>1002</v>
      </c>
      <c r="E6579" t="s">
        <v>466</v>
      </c>
    </row>
    <row r="6580" spans="1:5" x14ac:dyDescent="0.35">
      <c r="A6580">
        <v>2015</v>
      </c>
      <c r="B6580" t="s">
        <v>38</v>
      </c>
      <c r="C6580" t="s">
        <v>19</v>
      </c>
      <c r="D6580">
        <v>268</v>
      </c>
      <c r="E6580" t="s">
        <v>467</v>
      </c>
    </row>
    <row r="6581" spans="1:5" x14ac:dyDescent="0.35">
      <c r="A6581">
        <v>2015</v>
      </c>
      <c r="B6581" t="s">
        <v>33</v>
      </c>
      <c r="C6581" t="s">
        <v>175</v>
      </c>
      <c r="D6581">
        <v>218</v>
      </c>
      <c r="E6581" t="s">
        <v>466</v>
      </c>
    </row>
    <row r="6582" spans="1:5" x14ac:dyDescent="0.35">
      <c r="A6582">
        <v>2015</v>
      </c>
      <c r="B6582" t="s">
        <v>35</v>
      </c>
      <c r="C6582" t="s">
        <v>145</v>
      </c>
      <c r="D6582">
        <v>15</v>
      </c>
      <c r="E6582" t="s">
        <v>328</v>
      </c>
    </row>
    <row r="6583" spans="1:5" x14ac:dyDescent="0.35">
      <c r="A6583">
        <v>2015</v>
      </c>
      <c r="B6583" t="s">
        <v>34</v>
      </c>
      <c r="C6583" t="s">
        <v>167</v>
      </c>
      <c r="D6583">
        <v>864</v>
      </c>
      <c r="E6583" t="s">
        <v>466</v>
      </c>
    </row>
    <row r="6584" spans="1:5" x14ac:dyDescent="0.35">
      <c r="A6584">
        <v>2015</v>
      </c>
      <c r="B6584" t="s">
        <v>34</v>
      </c>
      <c r="C6584" t="s">
        <v>200</v>
      </c>
      <c r="D6584">
        <v>16</v>
      </c>
      <c r="E6584" t="s">
        <v>467</v>
      </c>
    </row>
    <row r="6585" spans="1:5" x14ac:dyDescent="0.35">
      <c r="A6585">
        <v>2015</v>
      </c>
      <c r="B6585" t="s">
        <v>33</v>
      </c>
      <c r="C6585" t="s">
        <v>176</v>
      </c>
      <c r="D6585">
        <v>15</v>
      </c>
      <c r="E6585" t="s">
        <v>466</v>
      </c>
    </row>
    <row r="6586" spans="1:5" x14ac:dyDescent="0.35">
      <c r="A6586">
        <v>2015</v>
      </c>
      <c r="B6586" t="s">
        <v>35</v>
      </c>
      <c r="C6586" t="s">
        <v>119</v>
      </c>
      <c r="D6586">
        <v>3</v>
      </c>
      <c r="E6586" t="s">
        <v>328</v>
      </c>
    </row>
    <row r="6587" spans="1:5" x14ac:dyDescent="0.35">
      <c r="A6587">
        <v>2015</v>
      </c>
      <c r="B6587" t="s">
        <v>35</v>
      </c>
      <c r="C6587" t="s">
        <v>177</v>
      </c>
      <c r="D6587">
        <v>1191</v>
      </c>
      <c r="E6587" t="s">
        <v>466</v>
      </c>
    </row>
    <row r="6588" spans="1:5" x14ac:dyDescent="0.35">
      <c r="A6588">
        <v>2015</v>
      </c>
      <c r="B6588" t="s">
        <v>38</v>
      </c>
      <c r="C6588" t="s">
        <v>199</v>
      </c>
      <c r="D6588">
        <v>10</v>
      </c>
      <c r="E6588" t="s">
        <v>467</v>
      </c>
    </row>
    <row r="6589" spans="1:5" x14ac:dyDescent="0.35">
      <c r="A6589">
        <v>2015</v>
      </c>
      <c r="B6589" t="s">
        <v>34</v>
      </c>
      <c r="C6589" t="s">
        <v>178</v>
      </c>
      <c r="D6589">
        <v>220</v>
      </c>
      <c r="E6589" t="s">
        <v>466</v>
      </c>
    </row>
    <row r="6590" spans="1:5" x14ac:dyDescent="0.35">
      <c r="A6590">
        <v>2015</v>
      </c>
      <c r="B6590" t="s">
        <v>34</v>
      </c>
      <c r="C6590" t="s">
        <v>144</v>
      </c>
      <c r="D6590">
        <v>18</v>
      </c>
      <c r="E6590" t="s">
        <v>328</v>
      </c>
    </row>
    <row r="6591" spans="1:5" x14ac:dyDescent="0.35">
      <c r="A6591">
        <v>2015</v>
      </c>
      <c r="B6591" t="s">
        <v>33</v>
      </c>
      <c r="C6591" t="s">
        <v>179</v>
      </c>
      <c r="D6591">
        <v>134</v>
      </c>
      <c r="E6591" t="s">
        <v>466</v>
      </c>
    </row>
    <row r="6592" spans="1:5" x14ac:dyDescent="0.35">
      <c r="A6592">
        <v>2015</v>
      </c>
      <c r="B6592" t="s">
        <v>35</v>
      </c>
      <c r="C6592" t="s">
        <v>198</v>
      </c>
      <c r="D6592">
        <v>1108</v>
      </c>
      <c r="E6592" t="s">
        <v>467</v>
      </c>
    </row>
    <row r="6593" spans="1:5" x14ac:dyDescent="0.35">
      <c r="A6593">
        <v>2015</v>
      </c>
      <c r="B6593" t="s">
        <v>38</v>
      </c>
      <c r="C6593" t="s">
        <v>180</v>
      </c>
      <c r="D6593">
        <v>14</v>
      </c>
      <c r="E6593" t="s">
        <v>466</v>
      </c>
    </row>
    <row r="6594" spans="1:5" x14ac:dyDescent="0.35">
      <c r="A6594">
        <v>2015</v>
      </c>
      <c r="B6594" t="s">
        <v>35</v>
      </c>
      <c r="C6594" t="s">
        <v>127</v>
      </c>
      <c r="D6594">
        <v>8</v>
      </c>
      <c r="E6594" t="s">
        <v>328</v>
      </c>
    </row>
    <row r="6595" spans="1:5" x14ac:dyDescent="0.35">
      <c r="A6595">
        <v>2015</v>
      </c>
      <c r="B6595" t="s">
        <v>33</v>
      </c>
      <c r="C6595" t="s">
        <v>181</v>
      </c>
      <c r="D6595">
        <v>10</v>
      </c>
      <c r="E6595" t="s">
        <v>466</v>
      </c>
    </row>
    <row r="6596" spans="1:5" x14ac:dyDescent="0.35">
      <c r="A6596">
        <v>2015</v>
      </c>
      <c r="B6596" t="s">
        <v>34</v>
      </c>
      <c r="C6596" t="s">
        <v>197</v>
      </c>
      <c r="D6596">
        <v>31</v>
      </c>
      <c r="E6596" t="s">
        <v>467</v>
      </c>
    </row>
    <row r="6597" spans="1:5" x14ac:dyDescent="0.35">
      <c r="A6597">
        <v>2015</v>
      </c>
      <c r="B6597" t="s">
        <v>35</v>
      </c>
      <c r="C6597" t="s">
        <v>182</v>
      </c>
      <c r="D6597">
        <v>163</v>
      </c>
      <c r="E6597" t="s">
        <v>466</v>
      </c>
    </row>
    <row r="6598" spans="1:5" x14ac:dyDescent="0.35">
      <c r="A6598">
        <v>2015</v>
      </c>
      <c r="B6598" t="s">
        <v>35</v>
      </c>
      <c r="C6598" t="s">
        <v>127</v>
      </c>
      <c r="D6598">
        <v>11</v>
      </c>
      <c r="E6598" t="s">
        <v>355</v>
      </c>
    </row>
    <row r="6599" spans="1:5" x14ac:dyDescent="0.35">
      <c r="A6599">
        <v>2015</v>
      </c>
      <c r="B6599" t="s">
        <v>35</v>
      </c>
      <c r="C6599" t="s">
        <v>183</v>
      </c>
      <c r="D6599">
        <v>97</v>
      </c>
      <c r="E6599" t="s">
        <v>466</v>
      </c>
    </row>
    <row r="6600" spans="1:5" x14ac:dyDescent="0.35">
      <c r="A6600">
        <v>2015</v>
      </c>
      <c r="B6600" t="s">
        <v>35</v>
      </c>
      <c r="C6600" t="s">
        <v>196</v>
      </c>
      <c r="D6600">
        <v>175</v>
      </c>
      <c r="E6600" t="s">
        <v>467</v>
      </c>
    </row>
    <row r="6601" spans="1:5" x14ac:dyDescent="0.35">
      <c r="A6601">
        <v>2015</v>
      </c>
      <c r="B6601" t="s">
        <v>34</v>
      </c>
      <c r="C6601" t="s">
        <v>184</v>
      </c>
      <c r="D6601">
        <v>294</v>
      </c>
      <c r="E6601" t="s">
        <v>466</v>
      </c>
    </row>
    <row r="6602" spans="1:5" x14ac:dyDescent="0.35">
      <c r="A6602">
        <v>2015</v>
      </c>
      <c r="B6602" t="s">
        <v>33</v>
      </c>
      <c r="C6602" t="s">
        <v>125</v>
      </c>
      <c r="D6602">
        <v>6</v>
      </c>
      <c r="E6602" t="s">
        <v>328</v>
      </c>
    </row>
    <row r="6603" spans="1:5" x14ac:dyDescent="0.35">
      <c r="A6603">
        <v>2015</v>
      </c>
      <c r="B6603" t="s">
        <v>35</v>
      </c>
      <c r="C6603" t="s">
        <v>216</v>
      </c>
      <c r="D6603">
        <v>19</v>
      </c>
      <c r="E6603" t="s">
        <v>466</v>
      </c>
    </row>
    <row r="6604" spans="1:5" x14ac:dyDescent="0.35">
      <c r="A6604">
        <v>2015</v>
      </c>
      <c r="B6604" t="s">
        <v>33</v>
      </c>
      <c r="C6604" t="s">
        <v>195</v>
      </c>
      <c r="D6604">
        <v>14</v>
      </c>
      <c r="E6604" t="s">
        <v>467</v>
      </c>
    </row>
    <row r="6605" spans="1:5" x14ac:dyDescent="0.35">
      <c r="A6605">
        <v>2015</v>
      </c>
      <c r="B6605" t="s">
        <v>35</v>
      </c>
      <c r="C6605" t="s">
        <v>128</v>
      </c>
      <c r="E6605" t="s">
        <v>466</v>
      </c>
    </row>
    <row r="6606" spans="1:5" x14ac:dyDescent="0.35">
      <c r="A6606">
        <v>2015</v>
      </c>
      <c r="B6606" t="s">
        <v>33</v>
      </c>
      <c r="C6606" t="s">
        <v>125</v>
      </c>
      <c r="D6606">
        <v>4</v>
      </c>
      <c r="E6606" t="s">
        <v>355</v>
      </c>
    </row>
    <row r="6607" spans="1:5" x14ac:dyDescent="0.35">
      <c r="A6607">
        <v>2015</v>
      </c>
      <c r="B6607" t="s">
        <v>35</v>
      </c>
      <c r="C6607" t="s">
        <v>82</v>
      </c>
      <c r="D6607">
        <v>60</v>
      </c>
      <c r="E6607" t="s">
        <v>466</v>
      </c>
    </row>
    <row r="6608" spans="1:5" x14ac:dyDescent="0.35">
      <c r="A6608">
        <v>2015</v>
      </c>
      <c r="B6608" t="s">
        <v>34</v>
      </c>
      <c r="C6608" t="s">
        <v>194</v>
      </c>
      <c r="D6608">
        <v>30</v>
      </c>
      <c r="E6608" t="s">
        <v>467</v>
      </c>
    </row>
    <row r="6609" spans="1:5" x14ac:dyDescent="0.35">
      <c r="A6609">
        <v>2015</v>
      </c>
      <c r="B6609" t="s">
        <v>33</v>
      </c>
      <c r="C6609" t="s">
        <v>126</v>
      </c>
      <c r="D6609">
        <v>64</v>
      </c>
      <c r="E6609" t="s">
        <v>466</v>
      </c>
    </row>
    <row r="6610" spans="1:5" x14ac:dyDescent="0.35">
      <c r="A6610">
        <v>2015</v>
      </c>
      <c r="B6610" t="s">
        <v>34</v>
      </c>
      <c r="C6610" t="s">
        <v>124</v>
      </c>
      <c r="D6610">
        <v>25</v>
      </c>
      <c r="E6610" t="s">
        <v>328</v>
      </c>
    </row>
    <row r="6611" spans="1:5" x14ac:dyDescent="0.35">
      <c r="A6611">
        <v>2015</v>
      </c>
      <c r="B6611" t="s">
        <v>34</v>
      </c>
      <c r="C6611" t="s">
        <v>64</v>
      </c>
      <c r="D6611">
        <v>71</v>
      </c>
      <c r="E6611" t="s">
        <v>466</v>
      </c>
    </row>
    <row r="6612" spans="1:5" x14ac:dyDescent="0.35">
      <c r="A6612">
        <v>2015</v>
      </c>
      <c r="B6612" t="s">
        <v>34</v>
      </c>
      <c r="C6612" t="s">
        <v>193</v>
      </c>
      <c r="D6612">
        <v>105</v>
      </c>
      <c r="E6612" t="s">
        <v>467</v>
      </c>
    </row>
    <row r="6613" spans="1:5" x14ac:dyDescent="0.35">
      <c r="A6613">
        <v>2015</v>
      </c>
      <c r="B6613" t="s">
        <v>33</v>
      </c>
      <c r="C6613" t="s">
        <v>65</v>
      </c>
      <c r="D6613">
        <v>32</v>
      </c>
      <c r="E6613" t="s">
        <v>466</v>
      </c>
    </row>
    <row r="6614" spans="1:5" x14ac:dyDescent="0.35">
      <c r="A6614">
        <v>2015</v>
      </c>
      <c r="B6614" t="s">
        <v>34</v>
      </c>
      <c r="C6614" t="s">
        <v>124</v>
      </c>
      <c r="D6614">
        <v>19</v>
      </c>
      <c r="E6614" t="s">
        <v>355</v>
      </c>
    </row>
    <row r="6615" spans="1:5" x14ac:dyDescent="0.35">
      <c r="A6615">
        <v>2015</v>
      </c>
      <c r="B6615" t="s">
        <v>33</v>
      </c>
      <c r="C6615" t="s">
        <v>66</v>
      </c>
      <c r="D6615">
        <v>59</v>
      </c>
      <c r="E6615" t="s">
        <v>466</v>
      </c>
    </row>
    <row r="6616" spans="1:5" x14ac:dyDescent="0.35">
      <c r="A6616">
        <v>2015</v>
      </c>
      <c r="B6616" t="s">
        <v>33</v>
      </c>
      <c r="C6616" t="s">
        <v>192</v>
      </c>
      <c r="D6616">
        <v>20</v>
      </c>
      <c r="E6616" t="s">
        <v>467</v>
      </c>
    </row>
    <row r="6617" spans="1:5" x14ac:dyDescent="0.35">
      <c r="A6617">
        <v>2015</v>
      </c>
      <c r="B6617" t="s">
        <v>34</v>
      </c>
      <c r="C6617" t="s">
        <v>67</v>
      </c>
      <c r="D6617">
        <v>157</v>
      </c>
      <c r="E6617" t="s">
        <v>466</v>
      </c>
    </row>
    <row r="6618" spans="1:5" x14ac:dyDescent="0.35">
      <c r="A6618">
        <v>2015</v>
      </c>
      <c r="B6618" t="s">
        <v>35</v>
      </c>
      <c r="C6618" t="s">
        <v>123</v>
      </c>
      <c r="D6618">
        <v>10</v>
      </c>
      <c r="E6618" t="s">
        <v>328</v>
      </c>
    </row>
    <row r="6619" spans="1:5" x14ac:dyDescent="0.35">
      <c r="A6619">
        <v>2015</v>
      </c>
      <c r="B6619" t="s">
        <v>33</v>
      </c>
      <c r="C6619" t="s">
        <v>68</v>
      </c>
      <c r="D6619">
        <v>335</v>
      </c>
      <c r="E6619" t="s">
        <v>466</v>
      </c>
    </row>
    <row r="6620" spans="1:5" x14ac:dyDescent="0.35">
      <c r="A6620">
        <v>2015</v>
      </c>
      <c r="B6620" t="s">
        <v>36</v>
      </c>
      <c r="C6620" t="s">
        <v>191</v>
      </c>
      <c r="D6620">
        <v>44</v>
      </c>
      <c r="E6620" t="s">
        <v>467</v>
      </c>
    </row>
    <row r="6621" spans="1:5" x14ac:dyDescent="0.35">
      <c r="A6621">
        <v>2015</v>
      </c>
      <c r="B6621" t="s">
        <v>36</v>
      </c>
      <c r="C6621" t="s">
        <v>69</v>
      </c>
      <c r="D6621">
        <v>23479</v>
      </c>
      <c r="E6621" t="s">
        <v>466</v>
      </c>
    </row>
    <row r="6622" spans="1:5" x14ac:dyDescent="0.35">
      <c r="A6622">
        <v>2015</v>
      </c>
      <c r="B6622" t="s">
        <v>35</v>
      </c>
      <c r="C6622" t="s">
        <v>123</v>
      </c>
      <c r="D6622">
        <v>22</v>
      </c>
      <c r="E6622" t="s">
        <v>355</v>
      </c>
    </row>
    <row r="6623" spans="1:5" x14ac:dyDescent="0.35">
      <c r="A6623">
        <v>2015</v>
      </c>
      <c r="B6623" t="s">
        <v>33</v>
      </c>
      <c r="C6623" t="s">
        <v>70</v>
      </c>
      <c r="D6623">
        <v>5</v>
      </c>
      <c r="E6623" t="s">
        <v>466</v>
      </c>
    </row>
    <row r="6624" spans="1:5" x14ac:dyDescent="0.35">
      <c r="A6624">
        <v>2015</v>
      </c>
      <c r="B6624" t="s">
        <v>37</v>
      </c>
      <c r="C6624" t="s">
        <v>190</v>
      </c>
      <c r="D6624">
        <v>8</v>
      </c>
      <c r="E6624" t="s">
        <v>467</v>
      </c>
    </row>
    <row r="6625" spans="1:5" x14ac:dyDescent="0.35">
      <c r="A6625">
        <v>2015</v>
      </c>
      <c r="B6625" t="s">
        <v>33</v>
      </c>
      <c r="C6625" t="s">
        <v>71</v>
      </c>
      <c r="D6625">
        <v>20</v>
      </c>
      <c r="E6625" t="s">
        <v>466</v>
      </c>
    </row>
    <row r="6626" spans="1:5" x14ac:dyDescent="0.35">
      <c r="A6626">
        <v>2015</v>
      </c>
      <c r="B6626" t="s">
        <v>34</v>
      </c>
      <c r="C6626" t="s">
        <v>122</v>
      </c>
      <c r="E6626" t="s">
        <v>328</v>
      </c>
    </row>
    <row r="6627" spans="1:5" x14ac:dyDescent="0.35">
      <c r="A6627">
        <v>2015</v>
      </c>
      <c r="B6627" t="s">
        <v>38</v>
      </c>
      <c r="C6627" t="s">
        <v>72</v>
      </c>
      <c r="D6627">
        <v>420</v>
      </c>
      <c r="E6627" t="s">
        <v>466</v>
      </c>
    </row>
    <row r="6628" spans="1:5" x14ac:dyDescent="0.35">
      <c r="A6628">
        <v>2015</v>
      </c>
      <c r="B6628" t="s">
        <v>33</v>
      </c>
      <c r="C6628" t="s">
        <v>189</v>
      </c>
      <c r="D6628">
        <v>9</v>
      </c>
      <c r="E6628" t="s">
        <v>467</v>
      </c>
    </row>
    <row r="6629" spans="1:5" x14ac:dyDescent="0.35">
      <c r="A6629">
        <v>2015</v>
      </c>
      <c r="B6629" t="s">
        <v>33</v>
      </c>
      <c r="C6629" t="s">
        <v>63</v>
      </c>
      <c r="D6629">
        <v>85</v>
      </c>
      <c r="E6629" t="s">
        <v>466</v>
      </c>
    </row>
    <row r="6630" spans="1:5" x14ac:dyDescent="0.35">
      <c r="A6630">
        <v>2015</v>
      </c>
      <c r="B6630" t="s">
        <v>34</v>
      </c>
      <c r="C6630" t="s">
        <v>122</v>
      </c>
      <c r="E6630" t="s">
        <v>355</v>
      </c>
    </row>
    <row r="6631" spans="1:5" x14ac:dyDescent="0.35">
      <c r="A6631">
        <v>2015</v>
      </c>
      <c r="B6631" t="s">
        <v>34</v>
      </c>
      <c r="C6631" t="s">
        <v>73</v>
      </c>
      <c r="D6631">
        <v>4725</v>
      </c>
      <c r="E6631" t="s">
        <v>466</v>
      </c>
    </row>
    <row r="6632" spans="1:5" x14ac:dyDescent="0.35">
      <c r="A6632">
        <v>2015</v>
      </c>
      <c r="B6632" t="s">
        <v>34</v>
      </c>
      <c r="C6632" t="s">
        <v>188</v>
      </c>
      <c r="D6632">
        <v>85</v>
      </c>
      <c r="E6632" t="s">
        <v>467</v>
      </c>
    </row>
    <row r="6633" spans="1:5" x14ac:dyDescent="0.35">
      <c r="A6633">
        <v>2015</v>
      </c>
      <c r="B6633" t="s">
        <v>33</v>
      </c>
      <c r="C6633" t="s">
        <v>74</v>
      </c>
      <c r="D6633">
        <v>125</v>
      </c>
      <c r="E6633" t="s">
        <v>466</v>
      </c>
    </row>
    <row r="6634" spans="1:5" x14ac:dyDescent="0.35">
      <c r="A6634">
        <v>2015</v>
      </c>
      <c r="B6634" t="s">
        <v>34</v>
      </c>
      <c r="C6634" t="s">
        <v>121</v>
      </c>
      <c r="E6634" t="s">
        <v>328</v>
      </c>
    </row>
    <row r="6635" spans="1:5" x14ac:dyDescent="0.35">
      <c r="A6635">
        <v>2015</v>
      </c>
      <c r="B6635" t="s">
        <v>33</v>
      </c>
      <c r="C6635" t="s">
        <v>75</v>
      </c>
      <c r="D6635">
        <v>29</v>
      </c>
      <c r="E6635" t="s">
        <v>466</v>
      </c>
    </row>
    <row r="6636" spans="1:5" x14ac:dyDescent="0.35">
      <c r="A6636">
        <v>2015</v>
      </c>
      <c r="B6636" t="s">
        <v>33</v>
      </c>
      <c r="C6636" t="s">
        <v>187</v>
      </c>
      <c r="D6636">
        <v>27</v>
      </c>
      <c r="E6636" t="s">
        <v>467</v>
      </c>
    </row>
    <row r="6637" spans="1:5" x14ac:dyDescent="0.35">
      <c r="A6637">
        <v>2015</v>
      </c>
      <c r="B6637" t="s">
        <v>36</v>
      </c>
      <c r="C6637" t="s">
        <v>76</v>
      </c>
      <c r="D6637">
        <v>378</v>
      </c>
      <c r="E6637" t="s">
        <v>466</v>
      </c>
    </row>
    <row r="6638" spans="1:5" x14ac:dyDescent="0.35">
      <c r="A6638">
        <v>2015</v>
      </c>
      <c r="B6638" t="s">
        <v>34</v>
      </c>
      <c r="C6638" t="s">
        <v>121</v>
      </c>
      <c r="E6638" t="s">
        <v>355</v>
      </c>
    </row>
    <row r="6639" spans="1:5" x14ac:dyDescent="0.35">
      <c r="A6639">
        <v>2015</v>
      </c>
      <c r="B6639" t="s">
        <v>33</v>
      </c>
      <c r="C6639" t="s">
        <v>77</v>
      </c>
      <c r="D6639">
        <v>90</v>
      </c>
      <c r="E6639" t="s">
        <v>466</v>
      </c>
    </row>
    <row r="6640" spans="1:5" x14ac:dyDescent="0.35">
      <c r="A6640">
        <v>2015</v>
      </c>
      <c r="B6640" t="s">
        <v>34</v>
      </c>
      <c r="C6640" t="s">
        <v>185</v>
      </c>
      <c r="D6640">
        <v>411</v>
      </c>
      <c r="E6640" t="s">
        <v>467</v>
      </c>
    </row>
    <row r="6641" spans="1:5" x14ac:dyDescent="0.35">
      <c r="A6641">
        <v>2015</v>
      </c>
      <c r="B6641" t="s">
        <v>35</v>
      </c>
      <c r="C6641" t="s">
        <v>78</v>
      </c>
      <c r="D6641">
        <v>50</v>
      </c>
      <c r="E6641" t="s">
        <v>466</v>
      </c>
    </row>
    <row r="6642" spans="1:5" x14ac:dyDescent="0.35">
      <c r="A6642">
        <v>2015</v>
      </c>
      <c r="B6642" t="s">
        <v>34</v>
      </c>
      <c r="C6642" t="s">
        <v>120</v>
      </c>
      <c r="E6642" t="s">
        <v>328</v>
      </c>
    </row>
    <row r="6643" spans="1:5" x14ac:dyDescent="0.35">
      <c r="A6643">
        <v>2015</v>
      </c>
      <c r="B6643" t="s">
        <v>36</v>
      </c>
      <c r="C6643" t="s">
        <v>79</v>
      </c>
      <c r="D6643">
        <v>3014</v>
      </c>
      <c r="E6643" t="s">
        <v>466</v>
      </c>
    </row>
    <row r="6644" spans="1:5" x14ac:dyDescent="0.35">
      <c r="A6644">
        <v>2015</v>
      </c>
      <c r="B6644" t="s">
        <v>34</v>
      </c>
      <c r="C6644" t="s">
        <v>184</v>
      </c>
      <c r="D6644">
        <v>90</v>
      </c>
      <c r="E6644" t="s">
        <v>467</v>
      </c>
    </row>
    <row r="6645" spans="1:5" x14ac:dyDescent="0.35">
      <c r="A6645">
        <v>2015</v>
      </c>
      <c r="B6645" t="s">
        <v>34</v>
      </c>
      <c r="C6645" t="s">
        <v>80</v>
      </c>
      <c r="D6645">
        <v>16</v>
      </c>
      <c r="E6645" t="s">
        <v>466</v>
      </c>
    </row>
    <row r="6646" spans="1:5" x14ac:dyDescent="0.35">
      <c r="A6646">
        <v>2015</v>
      </c>
      <c r="B6646" t="s">
        <v>34</v>
      </c>
      <c r="C6646" t="s">
        <v>120</v>
      </c>
      <c r="E6646" t="s">
        <v>355</v>
      </c>
    </row>
    <row r="6647" spans="1:5" x14ac:dyDescent="0.35">
      <c r="A6647">
        <v>2015</v>
      </c>
      <c r="B6647" t="s">
        <v>35</v>
      </c>
      <c r="C6647" t="s">
        <v>81</v>
      </c>
      <c r="D6647">
        <v>177</v>
      </c>
      <c r="E6647" t="s">
        <v>466</v>
      </c>
    </row>
    <row r="6648" spans="1:5" x14ac:dyDescent="0.35">
      <c r="A6648">
        <v>2015</v>
      </c>
      <c r="B6648" t="s">
        <v>35</v>
      </c>
      <c r="C6648" t="s">
        <v>183</v>
      </c>
      <c r="D6648">
        <v>76</v>
      </c>
      <c r="E6648" t="s">
        <v>467</v>
      </c>
    </row>
    <row r="6649" spans="1:5" x14ac:dyDescent="0.35">
      <c r="A6649">
        <v>2015</v>
      </c>
      <c r="B6649" t="s">
        <v>35</v>
      </c>
      <c r="C6649" t="s">
        <v>214</v>
      </c>
      <c r="D6649">
        <v>7</v>
      </c>
      <c r="E6649" t="s">
        <v>466</v>
      </c>
    </row>
    <row r="6650" spans="1:5" x14ac:dyDescent="0.35">
      <c r="A6650">
        <v>2015</v>
      </c>
      <c r="B6650" t="s">
        <v>36</v>
      </c>
      <c r="C6650" t="s">
        <v>164</v>
      </c>
      <c r="D6650">
        <v>4</v>
      </c>
      <c r="E6650" t="s">
        <v>355</v>
      </c>
    </row>
    <row r="6651" spans="1:5" x14ac:dyDescent="0.35">
      <c r="A6651">
        <v>2015</v>
      </c>
      <c r="B6651" t="s">
        <v>38</v>
      </c>
      <c r="C6651" t="s">
        <v>20</v>
      </c>
      <c r="D6651">
        <v>2807</v>
      </c>
      <c r="E6651" t="s">
        <v>466</v>
      </c>
    </row>
    <row r="6652" spans="1:5" x14ac:dyDescent="0.35">
      <c r="A6652">
        <v>2015</v>
      </c>
      <c r="B6652" t="s">
        <v>35</v>
      </c>
      <c r="C6652" t="s">
        <v>182</v>
      </c>
      <c r="D6652">
        <v>128</v>
      </c>
      <c r="E6652" t="s">
        <v>467</v>
      </c>
    </row>
    <row r="6653" spans="1:5" x14ac:dyDescent="0.35">
      <c r="A6653">
        <v>2015</v>
      </c>
      <c r="B6653" t="s">
        <v>34</v>
      </c>
      <c r="C6653" t="s">
        <v>40</v>
      </c>
      <c r="D6653">
        <v>140</v>
      </c>
      <c r="E6653" t="s">
        <v>466</v>
      </c>
    </row>
    <row r="6654" spans="1:5" x14ac:dyDescent="0.35">
      <c r="A6654">
        <v>2015</v>
      </c>
      <c r="B6654" t="s">
        <v>34</v>
      </c>
      <c r="C6654" t="s">
        <v>131</v>
      </c>
      <c r="D6654">
        <v>9</v>
      </c>
      <c r="E6654" t="s">
        <v>355</v>
      </c>
    </row>
    <row r="6655" spans="1:5" x14ac:dyDescent="0.35">
      <c r="A6655">
        <v>2015</v>
      </c>
      <c r="B6655" t="s">
        <v>35</v>
      </c>
      <c r="C6655" t="s">
        <v>62</v>
      </c>
      <c r="D6655">
        <v>85</v>
      </c>
      <c r="E6655" t="s">
        <v>466</v>
      </c>
    </row>
    <row r="6656" spans="1:5" x14ac:dyDescent="0.35">
      <c r="A6656">
        <v>2015</v>
      </c>
      <c r="B6656" t="s">
        <v>34</v>
      </c>
      <c r="C6656" t="s">
        <v>178</v>
      </c>
      <c r="D6656">
        <v>55</v>
      </c>
      <c r="E6656" t="s">
        <v>467</v>
      </c>
    </row>
    <row r="6657" spans="1:5" x14ac:dyDescent="0.35">
      <c r="A6657">
        <v>2015</v>
      </c>
      <c r="B6657" t="s">
        <v>33</v>
      </c>
      <c r="C6657" t="s">
        <v>61</v>
      </c>
      <c r="D6657">
        <v>5</v>
      </c>
      <c r="E6657" t="s">
        <v>466</v>
      </c>
    </row>
    <row r="6658" spans="1:5" x14ac:dyDescent="0.35">
      <c r="A6658">
        <v>2015</v>
      </c>
      <c r="B6658" t="s">
        <v>34</v>
      </c>
      <c r="C6658" t="s">
        <v>131</v>
      </c>
      <c r="D6658">
        <v>8</v>
      </c>
      <c r="E6658" t="s">
        <v>328</v>
      </c>
    </row>
    <row r="6659" spans="1:5" x14ac:dyDescent="0.35">
      <c r="A6659">
        <v>2015</v>
      </c>
      <c r="B6659" t="s">
        <v>36</v>
      </c>
      <c r="C6659" t="s">
        <v>50</v>
      </c>
      <c r="D6659">
        <v>664</v>
      </c>
      <c r="E6659" t="s">
        <v>466</v>
      </c>
    </row>
    <row r="6660" spans="1:5" x14ac:dyDescent="0.35">
      <c r="A6660">
        <v>2015</v>
      </c>
      <c r="B6660" t="s">
        <v>33</v>
      </c>
      <c r="C6660" t="s">
        <v>149</v>
      </c>
      <c r="D6660">
        <v>786</v>
      </c>
      <c r="E6660" t="s">
        <v>467</v>
      </c>
    </row>
    <row r="6661" spans="1:5" x14ac:dyDescent="0.35">
      <c r="A6661">
        <v>2015</v>
      </c>
      <c r="B6661" t="s">
        <v>34</v>
      </c>
      <c r="C6661" t="s">
        <v>49</v>
      </c>
      <c r="D6661">
        <v>25</v>
      </c>
      <c r="E6661" t="s">
        <v>466</v>
      </c>
    </row>
    <row r="6662" spans="1:5" x14ac:dyDescent="0.35">
      <c r="A6662">
        <v>2015</v>
      </c>
      <c r="B6662" t="s">
        <v>33</v>
      </c>
      <c r="C6662" t="s">
        <v>132</v>
      </c>
      <c r="E6662" t="s">
        <v>355</v>
      </c>
    </row>
    <row r="6663" spans="1:5" x14ac:dyDescent="0.35">
      <c r="A6663">
        <v>2015</v>
      </c>
      <c r="B6663" t="s">
        <v>35</v>
      </c>
      <c r="C6663" t="s">
        <v>48</v>
      </c>
      <c r="D6663">
        <v>51</v>
      </c>
      <c r="E6663" t="s">
        <v>466</v>
      </c>
    </row>
    <row r="6664" spans="1:5" x14ac:dyDescent="0.35">
      <c r="A6664">
        <v>2015</v>
      </c>
      <c r="B6664" t="s">
        <v>34</v>
      </c>
      <c r="C6664" t="s">
        <v>64</v>
      </c>
      <c r="D6664">
        <v>8</v>
      </c>
      <c r="E6664" t="s">
        <v>467</v>
      </c>
    </row>
    <row r="6665" spans="1:5" x14ac:dyDescent="0.35">
      <c r="A6665">
        <v>2015</v>
      </c>
      <c r="B6665" t="s">
        <v>37</v>
      </c>
      <c r="C6665" t="s">
        <v>47</v>
      </c>
      <c r="D6665">
        <v>516</v>
      </c>
      <c r="E6665" t="s">
        <v>466</v>
      </c>
    </row>
    <row r="6666" spans="1:5" x14ac:dyDescent="0.35">
      <c r="A6666">
        <v>2015</v>
      </c>
      <c r="B6666" t="s">
        <v>33</v>
      </c>
      <c r="C6666" t="s">
        <v>132</v>
      </c>
      <c r="E6666" t="s">
        <v>328</v>
      </c>
    </row>
    <row r="6667" spans="1:5" x14ac:dyDescent="0.35">
      <c r="A6667">
        <v>2015</v>
      </c>
      <c r="B6667" t="s">
        <v>34</v>
      </c>
      <c r="C6667" t="s">
        <v>46</v>
      </c>
      <c r="D6667">
        <v>377</v>
      </c>
      <c r="E6667" t="s">
        <v>466</v>
      </c>
    </row>
    <row r="6668" spans="1:5" x14ac:dyDescent="0.35">
      <c r="A6668">
        <v>2015</v>
      </c>
      <c r="B6668" t="s">
        <v>36</v>
      </c>
      <c r="C6668" t="s">
        <v>147</v>
      </c>
      <c r="D6668">
        <v>80</v>
      </c>
      <c r="E6668" t="s">
        <v>467</v>
      </c>
    </row>
    <row r="6669" spans="1:5" x14ac:dyDescent="0.35">
      <c r="A6669">
        <v>2015</v>
      </c>
      <c r="B6669" t="s">
        <v>36</v>
      </c>
      <c r="C6669" t="s">
        <v>44</v>
      </c>
      <c r="D6669">
        <v>37</v>
      </c>
      <c r="E6669" t="s">
        <v>466</v>
      </c>
    </row>
    <row r="6670" spans="1:5" x14ac:dyDescent="0.35">
      <c r="A6670">
        <v>2015</v>
      </c>
      <c r="B6670" t="s">
        <v>34</v>
      </c>
      <c r="C6670" t="s">
        <v>144</v>
      </c>
      <c r="D6670">
        <v>5</v>
      </c>
      <c r="E6670" t="s">
        <v>355</v>
      </c>
    </row>
    <row r="6671" spans="1:5" x14ac:dyDescent="0.35">
      <c r="A6671">
        <v>2015</v>
      </c>
      <c r="B6671" t="s">
        <v>33</v>
      </c>
      <c r="C6671" t="s">
        <v>43</v>
      </c>
      <c r="D6671">
        <v>50</v>
      </c>
      <c r="E6671" t="s">
        <v>466</v>
      </c>
    </row>
    <row r="6672" spans="1:5" x14ac:dyDescent="0.35">
      <c r="A6672">
        <v>2015</v>
      </c>
      <c r="B6672" t="s">
        <v>34</v>
      </c>
      <c r="C6672" t="s">
        <v>67</v>
      </c>
      <c r="D6672">
        <v>8</v>
      </c>
      <c r="E6672" t="s">
        <v>467</v>
      </c>
    </row>
    <row r="6673" spans="1:5" x14ac:dyDescent="0.35">
      <c r="A6673">
        <v>2015</v>
      </c>
      <c r="C6673" t="s">
        <v>373</v>
      </c>
      <c r="D6673">
        <v>7</v>
      </c>
      <c r="E6673" t="s">
        <v>466</v>
      </c>
    </row>
    <row r="6674" spans="1:5" x14ac:dyDescent="0.35">
      <c r="A6674">
        <v>2015</v>
      </c>
      <c r="B6674" t="s">
        <v>33</v>
      </c>
      <c r="C6674" t="s">
        <v>141</v>
      </c>
      <c r="D6674">
        <v>14</v>
      </c>
      <c r="E6674" t="s">
        <v>328</v>
      </c>
    </row>
    <row r="6675" spans="1:5" x14ac:dyDescent="0.35">
      <c r="A6675">
        <v>2015</v>
      </c>
      <c r="B6675" t="s">
        <v>33</v>
      </c>
      <c r="C6675" t="s">
        <v>42</v>
      </c>
      <c r="D6675">
        <v>88</v>
      </c>
      <c r="E6675" t="s">
        <v>466</v>
      </c>
    </row>
    <row r="6676" spans="1:5" x14ac:dyDescent="0.35">
      <c r="A6676">
        <v>2015</v>
      </c>
      <c r="B6676" t="s">
        <v>33</v>
      </c>
      <c r="C6676" t="s">
        <v>68</v>
      </c>
      <c r="D6676">
        <v>73</v>
      </c>
      <c r="E6676" t="s">
        <v>467</v>
      </c>
    </row>
    <row r="6677" spans="1:5" x14ac:dyDescent="0.35">
      <c r="A6677">
        <v>2015</v>
      </c>
      <c r="B6677" t="s">
        <v>38</v>
      </c>
      <c r="C6677" t="s">
        <v>21</v>
      </c>
      <c r="D6677">
        <v>2877</v>
      </c>
      <c r="E6677" t="s">
        <v>466</v>
      </c>
    </row>
    <row r="6678" spans="1:5" x14ac:dyDescent="0.35">
      <c r="A6678">
        <v>2015</v>
      </c>
      <c r="B6678" t="s">
        <v>33</v>
      </c>
      <c r="C6678" t="s">
        <v>141</v>
      </c>
      <c r="D6678">
        <v>15</v>
      </c>
      <c r="E6678" t="s">
        <v>355</v>
      </c>
    </row>
    <row r="6679" spans="1:5" x14ac:dyDescent="0.35">
      <c r="A6679">
        <v>2015</v>
      </c>
      <c r="B6679" t="s">
        <v>35</v>
      </c>
      <c r="C6679" t="s">
        <v>41</v>
      </c>
      <c r="D6679">
        <v>160</v>
      </c>
      <c r="E6679" t="s">
        <v>466</v>
      </c>
    </row>
    <row r="6680" spans="1:5" x14ac:dyDescent="0.35">
      <c r="A6680">
        <v>2015</v>
      </c>
      <c r="B6680" t="s">
        <v>36</v>
      </c>
      <c r="C6680" t="s">
        <v>69</v>
      </c>
      <c r="D6680">
        <v>22512</v>
      </c>
      <c r="E6680" t="s">
        <v>467</v>
      </c>
    </row>
    <row r="6681" spans="1:5" x14ac:dyDescent="0.35">
      <c r="A6681">
        <v>2015</v>
      </c>
      <c r="B6681" t="s">
        <v>34</v>
      </c>
      <c r="C6681" t="s">
        <v>52</v>
      </c>
      <c r="D6681">
        <v>1327</v>
      </c>
      <c r="E6681" t="s">
        <v>466</v>
      </c>
    </row>
    <row r="6682" spans="1:5" x14ac:dyDescent="0.35">
      <c r="A6682">
        <v>2015</v>
      </c>
      <c r="B6682" t="s">
        <v>35</v>
      </c>
      <c r="C6682" t="s">
        <v>140</v>
      </c>
      <c r="E6682" t="s">
        <v>328</v>
      </c>
    </row>
    <row r="6683" spans="1:5" x14ac:dyDescent="0.35">
      <c r="A6683">
        <v>2015</v>
      </c>
      <c r="B6683" t="s">
        <v>36</v>
      </c>
      <c r="C6683" t="s">
        <v>53</v>
      </c>
      <c r="D6683">
        <v>60</v>
      </c>
      <c r="E6683" t="s">
        <v>466</v>
      </c>
    </row>
    <row r="6684" spans="1:5" x14ac:dyDescent="0.35">
      <c r="A6684">
        <v>2015</v>
      </c>
      <c r="B6684" t="s">
        <v>38</v>
      </c>
      <c r="C6684" t="s">
        <v>72</v>
      </c>
      <c r="D6684">
        <v>262</v>
      </c>
      <c r="E6684" t="s">
        <v>467</v>
      </c>
    </row>
    <row r="6685" spans="1:5" x14ac:dyDescent="0.35">
      <c r="A6685">
        <v>2015</v>
      </c>
      <c r="B6685" t="s">
        <v>35</v>
      </c>
      <c r="C6685" t="s">
        <v>54</v>
      </c>
      <c r="D6685">
        <v>39</v>
      </c>
      <c r="E6685" t="s">
        <v>466</v>
      </c>
    </row>
    <row r="6686" spans="1:5" x14ac:dyDescent="0.35">
      <c r="A6686">
        <v>2015</v>
      </c>
      <c r="B6686" t="s">
        <v>35</v>
      </c>
      <c r="C6686" t="s">
        <v>140</v>
      </c>
      <c r="E6686" t="s">
        <v>355</v>
      </c>
    </row>
    <row r="6687" spans="1:5" x14ac:dyDescent="0.35">
      <c r="A6687">
        <v>2015</v>
      </c>
      <c r="B6687" t="s">
        <v>35</v>
      </c>
      <c r="C6687" t="s">
        <v>55</v>
      </c>
      <c r="D6687">
        <v>89</v>
      </c>
      <c r="E6687" t="s">
        <v>466</v>
      </c>
    </row>
    <row r="6688" spans="1:5" x14ac:dyDescent="0.35">
      <c r="A6688">
        <v>2015</v>
      </c>
      <c r="B6688" t="s">
        <v>34</v>
      </c>
      <c r="C6688" t="s">
        <v>73</v>
      </c>
      <c r="D6688">
        <v>2121</v>
      </c>
      <c r="E6688" t="s">
        <v>467</v>
      </c>
    </row>
    <row r="6689" spans="1:5" x14ac:dyDescent="0.35">
      <c r="A6689">
        <v>2015</v>
      </c>
      <c r="B6689" t="s">
        <v>36</v>
      </c>
      <c r="C6689" t="s">
        <v>56</v>
      </c>
      <c r="D6689">
        <v>254</v>
      </c>
      <c r="E6689" t="s">
        <v>466</v>
      </c>
    </row>
    <row r="6690" spans="1:5" x14ac:dyDescent="0.35">
      <c r="A6690">
        <v>2015</v>
      </c>
      <c r="B6690" t="s">
        <v>34</v>
      </c>
      <c r="C6690" t="s">
        <v>139</v>
      </c>
      <c r="D6690">
        <v>16</v>
      </c>
      <c r="E6690" t="s">
        <v>328</v>
      </c>
    </row>
    <row r="6691" spans="1:5" x14ac:dyDescent="0.35">
      <c r="A6691">
        <v>2015</v>
      </c>
      <c r="B6691" t="s">
        <v>33</v>
      </c>
      <c r="C6691" t="s">
        <v>57</v>
      </c>
      <c r="D6691">
        <v>51</v>
      </c>
      <c r="E6691" t="s">
        <v>466</v>
      </c>
    </row>
    <row r="6692" spans="1:5" x14ac:dyDescent="0.35">
      <c r="A6692">
        <v>2015</v>
      </c>
      <c r="B6692" t="s">
        <v>38</v>
      </c>
      <c r="C6692" t="s">
        <v>20</v>
      </c>
      <c r="D6692">
        <v>501</v>
      </c>
      <c r="E6692" t="s">
        <v>467</v>
      </c>
    </row>
    <row r="6693" spans="1:5" x14ac:dyDescent="0.35">
      <c r="A6693">
        <v>2015</v>
      </c>
      <c r="B6693" t="s">
        <v>34</v>
      </c>
      <c r="C6693" t="s">
        <v>58</v>
      </c>
      <c r="D6693">
        <v>24</v>
      </c>
      <c r="E6693" t="s">
        <v>466</v>
      </c>
    </row>
    <row r="6694" spans="1:5" x14ac:dyDescent="0.35">
      <c r="A6694">
        <v>2015</v>
      </c>
      <c r="B6694" t="s">
        <v>34</v>
      </c>
      <c r="C6694" t="s">
        <v>139</v>
      </c>
      <c r="D6694">
        <v>8</v>
      </c>
      <c r="E6694" t="s">
        <v>355</v>
      </c>
    </row>
    <row r="6695" spans="1:5" x14ac:dyDescent="0.35">
      <c r="A6695">
        <v>2015</v>
      </c>
      <c r="B6695" t="s">
        <v>38</v>
      </c>
      <c r="C6695" t="s">
        <v>59</v>
      </c>
      <c r="D6695">
        <v>166</v>
      </c>
      <c r="E6695" t="s">
        <v>466</v>
      </c>
    </row>
    <row r="6696" spans="1:5" x14ac:dyDescent="0.35">
      <c r="A6696">
        <v>2015</v>
      </c>
      <c r="B6696" t="s">
        <v>33</v>
      </c>
      <c r="C6696" t="s">
        <v>74</v>
      </c>
      <c r="D6696">
        <v>74</v>
      </c>
      <c r="E6696" t="s">
        <v>467</v>
      </c>
    </row>
    <row r="6697" spans="1:5" x14ac:dyDescent="0.35">
      <c r="A6697">
        <v>2015</v>
      </c>
      <c r="B6697" t="s">
        <v>35</v>
      </c>
      <c r="C6697" t="s">
        <v>60</v>
      </c>
      <c r="D6697">
        <v>157</v>
      </c>
      <c r="E6697" t="s">
        <v>466</v>
      </c>
    </row>
    <row r="6698" spans="1:5" x14ac:dyDescent="0.35">
      <c r="A6698">
        <v>2015</v>
      </c>
      <c r="B6698" t="s">
        <v>35</v>
      </c>
      <c r="C6698" t="s">
        <v>145</v>
      </c>
      <c r="D6698">
        <v>27</v>
      </c>
      <c r="E6698" t="s">
        <v>355</v>
      </c>
    </row>
    <row r="6699" spans="1:5" x14ac:dyDescent="0.35">
      <c r="A6699">
        <v>2015</v>
      </c>
      <c r="B6699" t="s">
        <v>34</v>
      </c>
      <c r="C6699" t="s">
        <v>51</v>
      </c>
      <c r="D6699">
        <v>11</v>
      </c>
      <c r="E6699" t="s">
        <v>466</v>
      </c>
    </row>
    <row r="6700" spans="1:5" x14ac:dyDescent="0.35">
      <c r="A6700">
        <v>2015</v>
      </c>
      <c r="B6700" t="s">
        <v>33</v>
      </c>
      <c r="C6700" t="s">
        <v>75</v>
      </c>
      <c r="D6700">
        <v>6</v>
      </c>
      <c r="E6700" t="s">
        <v>467</v>
      </c>
    </row>
    <row r="6701" spans="1:5" x14ac:dyDescent="0.35">
      <c r="A6701">
        <v>2015</v>
      </c>
      <c r="B6701" t="s">
        <v>33</v>
      </c>
      <c r="C6701" t="s">
        <v>83</v>
      </c>
      <c r="D6701">
        <v>9</v>
      </c>
      <c r="E6701" t="s">
        <v>466</v>
      </c>
    </row>
    <row r="6702" spans="1:5" x14ac:dyDescent="0.35">
      <c r="A6702">
        <v>2015</v>
      </c>
      <c r="B6702" t="s">
        <v>35</v>
      </c>
      <c r="C6702" t="s">
        <v>138</v>
      </c>
      <c r="D6702">
        <v>10</v>
      </c>
      <c r="E6702" t="s">
        <v>328</v>
      </c>
    </row>
    <row r="6703" spans="1:5" x14ac:dyDescent="0.35">
      <c r="A6703">
        <v>2015</v>
      </c>
      <c r="B6703" t="s">
        <v>38</v>
      </c>
      <c r="C6703" t="s">
        <v>45</v>
      </c>
      <c r="D6703">
        <v>280</v>
      </c>
      <c r="E6703" t="s">
        <v>466</v>
      </c>
    </row>
    <row r="6704" spans="1:5" x14ac:dyDescent="0.35">
      <c r="A6704">
        <v>2015</v>
      </c>
      <c r="B6704" t="s">
        <v>36</v>
      </c>
      <c r="C6704" t="s">
        <v>76</v>
      </c>
      <c r="D6704">
        <v>55</v>
      </c>
      <c r="E6704" t="s">
        <v>467</v>
      </c>
    </row>
    <row r="6705" spans="1:5" x14ac:dyDescent="0.35">
      <c r="A6705">
        <v>2015</v>
      </c>
      <c r="B6705" t="s">
        <v>36</v>
      </c>
      <c r="C6705" t="s">
        <v>85</v>
      </c>
      <c r="D6705">
        <v>3788</v>
      </c>
      <c r="E6705" t="s">
        <v>466</v>
      </c>
    </row>
    <row r="6706" spans="1:5" x14ac:dyDescent="0.35">
      <c r="A6706">
        <v>2015</v>
      </c>
      <c r="B6706" t="s">
        <v>37</v>
      </c>
      <c r="C6706" t="s">
        <v>137</v>
      </c>
      <c r="E6706" t="s">
        <v>328</v>
      </c>
    </row>
    <row r="6707" spans="1:5" x14ac:dyDescent="0.35">
      <c r="A6707">
        <v>2015</v>
      </c>
      <c r="B6707" t="s">
        <v>34</v>
      </c>
      <c r="C6707" t="s">
        <v>22</v>
      </c>
      <c r="D6707">
        <v>4682</v>
      </c>
      <c r="E6707" t="s">
        <v>466</v>
      </c>
    </row>
    <row r="6708" spans="1:5" x14ac:dyDescent="0.35">
      <c r="A6708">
        <v>2015</v>
      </c>
      <c r="B6708" t="s">
        <v>33</v>
      </c>
      <c r="C6708" t="s">
        <v>77</v>
      </c>
      <c r="D6708">
        <v>30</v>
      </c>
      <c r="E6708" t="s">
        <v>467</v>
      </c>
    </row>
    <row r="6709" spans="1:5" x14ac:dyDescent="0.35">
      <c r="A6709">
        <v>2015</v>
      </c>
      <c r="B6709" t="s">
        <v>34</v>
      </c>
      <c r="C6709" t="s">
        <v>107</v>
      </c>
      <c r="D6709">
        <v>153</v>
      </c>
      <c r="E6709" t="s">
        <v>466</v>
      </c>
    </row>
    <row r="6710" spans="1:5" x14ac:dyDescent="0.35">
      <c r="A6710">
        <v>2015</v>
      </c>
      <c r="B6710" t="s">
        <v>37</v>
      </c>
      <c r="C6710" t="s">
        <v>137</v>
      </c>
      <c r="E6710" t="s">
        <v>355</v>
      </c>
    </row>
    <row r="6711" spans="1:5" x14ac:dyDescent="0.35">
      <c r="A6711">
        <v>2015</v>
      </c>
      <c r="B6711" t="s">
        <v>34</v>
      </c>
      <c r="C6711" t="s">
        <v>108</v>
      </c>
      <c r="D6711">
        <v>787</v>
      </c>
      <c r="E6711" t="s">
        <v>466</v>
      </c>
    </row>
    <row r="6712" spans="1:5" x14ac:dyDescent="0.35">
      <c r="A6712">
        <v>2015</v>
      </c>
      <c r="B6712" t="s">
        <v>33</v>
      </c>
      <c r="C6712" t="s">
        <v>66</v>
      </c>
      <c r="D6712">
        <v>3</v>
      </c>
      <c r="E6712" t="s">
        <v>467</v>
      </c>
    </row>
    <row r="6713" spans="1:5" x14ac:dyDescent="0.35">
      <c r="A6713">
        <v>2015</v>
      </c>
      <c r="B6713" t="s">
        <v>34</v>
      </c>
      <c r="C6713" t="s">
        <v>109</v>
      </c>
      <c r="D6713">
        <v>485</v>
      </c>
      <c r="E6713" t="s">
        <v>466</v>
      </c>
    </row>
    <row r="6714" spans="1:5" x14ac:dyDescent="0.35">
      <c r="A6714">
        <v>2015</v>
      </c>
      <c r="B6714" t="s">
        <v>36</v>
      </c>
      <c r="C6714" t="s">
        <v>14</v>
      </c>
      <c r="D6714">
        <v>143572</v>
      </c>
      <c r="E6714" t="s">
        <v>328</v>
      </c>
    </row>
    <row r="6715" spans="1:5" x14ac:dyDescent="0.35">
      <c r="A6715">
        <v>2015</v>
      </c>
      <c r="B6715" t="s">
        <v>35</v>
      </c>
      <c r="C6715" t="s">
        <v>110</v>
      </c>
      <c r="D6715">
        <v>173</v>
      </c>
      <c r="E6715" t="s">
        <v>466</v>
      </c>
    </row>
    <row r="6716" spans="1:5" x14ac:dyDescent="0.35">
      <c r="A6716">
        <v>2015</v>
      </c>
      <c r="B6716" t="s">
        <v>35</v>
      </c>
      <c r="C6716" t="s">
        <v>78</v>
      </c>
      <c r="D6716">
        <v>29</v>
      </c>
      <c r="E6716" t="s">
        <v>467</v>
      </c>
    </row>
    <row r="6717" spans="1:5" x14ac:dyDescent="0.35">
      <c r="A6717">
        <v>2015</v>
      </c>
      <c r="B6717" t="s">
        <v>34</v>
      </c>
      <c r="C6717" t="s">
        <v>111</v>
      </c>
      <c r="D6717">
        <v>509</v>
      </c>
      <c r="E6717" t="s">
        <v>466</v>
      </c>
    </row>
    <row r="6718" spans="1:5" x14ac:dyDescent="0.35">
      <c r="A6718">
        <v>2015</v>
      </c>
      <c r="B6718" t="s">
        <v>36</v>
      </c>
      <c r="C6718" t="s">
        <v>14</v>
      </c>
      <c r="D6718">
        <v>88863</v>
      </c>
      <c r="E6718" t="s">
        <v>355</v>
      </c>
    </row>
    <row r="6719" spans="1:5" x14ac:dyDescent="0.35">
      <c r="A6719">
        <v>2015</v>
      </c>
      <c r="B6719" t="s">
        <v>35</v>
      </c>
      <c r="C6719" t="s">
        <v>112</v>
      </c>
      <c r="D6719">
        <v>769</v>
      </c>
      <c r="E6719" t="s">
        <v>466</v>
      </c>
    </row>
    <row r="6720" spans="1:5" x14ac:dyDescent="0.35">
      <c r="A6720">
        <v>2015</v>
      </c>
      <c r="B6720" t="s">
        <v>35</v>
      </c>
      <c r="C6720" t="s">
        <v>81</v>
      </c>
      <c r="D6720">
        <v>129</v>
      </c>
      <c r="E6720" t="s">
        <v>467</v>
      </c>
    </row>
    <row r="6721" spans="1:5" x14ac:dyDescent="0.35">
      <c r="A6721">
        <v>2015</v>
      </c>
      <c r="B6721" t="s">
        <v>36</v>
      </c>
      <c r="C6721" t="s">
        <v>113</v>
      </c>
      <c r="D6721">
        <v>2120</v>
      </c>
      <c r="E6721" t="s">
        <v>466</v>
      </c>
    </row>
    <row r="6722" spans="1:5" x14ac:dyDescent="0.35">
      <c r="A6722">
        <v>2015</v>
      </c>
      <c r="B6722" t="s">
        <v>33</v>
      </c>
      <c r="C6722" t="s">
        <v>135</v>
      </c>
      <c r="E6722" t="s">
        <v>328</v>
      </c>
    </row>
    <row r="6723" spans="1:5" x14ac:dyDescent="0.35">
      <c r="A6723">
        <v>2015</v>
      </c>
      <c r="B6723" t="s">
        <v>34</v>
      </c>
      <c r="C6723" t="s">
        <v>114</v>
      </c>
      <c r="D6723">
        <v>424</v>
      </c>
      <c r="E6723" t="s">
        <v>466</v>
      </c>
    </row>
    <row r="6724" spans="1:5" x14ac:dyDescent="0.35">
      <c r="A6724">
        <v>2015</v>
      </c>
      <c r="B6724" t="s">
        <v>35</v>
      </c>
      <c r="C6724" t="s">
        <v>82</v>
      </c>
      <c r="D6724">
        <v>48</v>
      </c>
      <c r="E6724" t="s">
        <v>467</v>
      </c>
    </row>
    <row r="6725" spans="1:5" x14ac:dyDescent="0.35">
      <c r="A6725">
        <v>2015</v>
      </c>
      <c r="B6725" t="s">
        <v>34</v>
      </c>
      <c r="C6725" t="s">
        <v>115</v>
      </c>
      <c r="D6725">
        <v>736</v>
      </c>
      <c r="E6725" t="s">
        <v>466</v>
      </c>
    </row>
    <row r="6726" spans="1:5" x14ac:dyDescent="0.35">
      <c r="A6726">
        <v>2015</v>
      </c>
      <c r="B6726" t="s">
        <v>33</v>
      </c>
      <c r="C6726" t="s">
        <v>135</v>
      </c>
      <c r="E6726" t="s">
        <v>355</v>
      </c>
    </row>
    <row r="6727" spans="1:5" x14ac:dyDescent="0.35">
      <c r="A6727">
        <v>2015</v>
      </c>
      <c r="B6727" t="s">
        <v>34</v>
      </c>
      <c r="C6727" t="s">
        <v>116</v>
      </c>
      <c r="D6727">
        <v>80</v>
      </c>
      <c r="E6727" t="s">
        <v>466</v>
      </c>
    </row>
    <row r="6728" spans="1:5" x14ac:dyDescent="0.35">
      <c r="A6728">
        <v>2015</v>
      </c>
      <c r="B6728" t="s">
        <v>36</v>
      </c>
      <c r="C6728" t="s">
        <v>84</v>
      </c>
      <c r="D6728">
        <v>12</v>
      </c>
      <c r="E6728" t="s">
        <v>467</v>
      </c>
    </row>
    <row r="6729" spans="1:5" x14ac:dyDescent="0.35">
      <c r="A6729">
        <v>2015</v>
      </c>
      <c r="B6729" t="s">
        <v>33</v>
      </c>
      <c r="C6729" t="s">
        <v>117</v>
      </c>
      <c r="D6729">
        <v>487</v>
      </c>
      <c r="E6729" t="s">
        <v>466</v>
      </c>
    </row>
    <row r="6730" spans="1:5" x14ac:dyDescent="0.35">
      <c r="A6730">
        <v>2015</v>
      </c>
      <c r="B6730" t="s">
        <v>37</v>
      </c>
      <c r="C6730" t="s">
        <v>134</v>
      </c>
      <c r="D6730">
        <v>21</v>
      </c>
      <c r="E6730" t="s">
        <v>355</v>
      </c>
    </row>
    <row r="6731" spans="1:5" x14ac:dyDescent="0.35">
      <c r="A6731">
        <v>2015</v>
      </c>
      <c r="B6731" t="s">
        <v>34</v>
      </c>
      <c r="C6731" t="s">
        <v>118</v>
      </c>
      <c r="D6731">
        <v>1320</v>
      </c>
      <c r="E6731" t="s">
        <v>466</v>
      </c>
    </row>
    <row r="6732" spans="1:5" x14ac:dyDescent="0.35">
      <c r="A6732">
        <v>2015</v>
      </c>
      <c r="B6732" t="s">
        <v>36</v>
      </c>
      <c r="C6732" t="s">
        <v>85</v>
      </c>
      <c r="D6732">
        <v>335</v>
      </c>
      <c r="E6732" t="s">
        <v>467</v>
      </c>
    </row>
    <row r="6733" spans="1:5" x14ac:dyDescent="0.35">
      <c r="A6733">
        <v>2015</v>
      </c>
      <c r="B6733" t="s">
        <v>35</v>
      </c>
      <c r="C6733" t="s">
        <v>119</v>
      </c>
      <c r="D6733">
        <v>43</v>
      </c>
      <c r="E6733" t="s">
        <v>466</v>
      </c>
    </row>
    <row r="6734" spans="1:5" x14ac:dyDescent="0.35">
      <c r="A6734">
        <v>2015</v>
      </c>
      <c r="B6734" t="s">
        <v>35</v>
      </c>
      <c r="C6734" t="s">
        <v>138</v>
      </c>
      <c r="D6734">
        <v>7</v>
      </c>
      <c r="E6734" t="s">
        <v>355</v>
      </c>
    </row>
    <row r="6735" spans="1:5" x14ac:dyDescent="0.35">
      <c r="A6735">
        <v>2015</v>
      </c>
      <c r="B6735" t="s">
        <v>34</v>
      </c>
      <c r="C6735" t="s">
        <v>120</v>
      </c>
      <c r="D6735">
        <v>106</v>
      </c>
      <c r="E6735" t="s">
        <v>466</v>
      </c>
    </row>
    <row r="6736" spans="1:5" x14ac:dyDescent="0.35">
      <c r="A6736">
        <v>2015</v>
      </c>
      <c r="B6736" t="s">
        <v>38</v>
      </c>
      <c r="C6736" t="s">
        <v>86</v>
      </c>
      <c r="D6736">
        <v>243</v>
      </c>
      <c r="E6736" t="s">
        <v>467</v>
      </c>
    </row>
    <row r="6737" spans="1:5" x14ac:dyDescent="0.35">
      <c r="A6737">
        <v>2015</v>
      </c>
      <c r="B6737" t="s">
        <v>34</v>
      </c>
      <c r="C6737" t="s">
        <v>121</v>
      </c>
      <c r="D6737">
        <v>46</v>
      </c>
      <c r="E6737" t="s">
        <v>466</v>
      </c>
    </row>
    <row r="6738" spans="1:5" x14ac:dyDescent="0.35">
      <c r="A6738">
        <v>2015</v>
      </c>
      <c r="B6738" t="s">
        <v>36</v>
      </c>
      <c r="C6738" t="s">
        <v>164</v>
      </c>
      <c r="D6738">
        <v>8</v>
      </c>
      <c r="E6738" t="s">
        <v>328</v>
      </c>
    </row>
    <row r="6739" spans="1:5" x14ac:dyDescent="0.35">
      <c r="A6739">
        <v>2015</v>
      </c>
      <c r="B6739" t="s">
        <v>34</v>
      </c>
      <c r="C6739" t="s">
        <v>122</v>
      </c>
      <c r="D6739">
        <v>204</v>
      </c>
      <c r="E6739" t="s">
        <v>466</v>
      </c>
    </row>
    <row r="6740" spans="1:5" x14ac:dyDescent="0.35">
      <c r="A6740">
        <v>2015</v>
      </c>
      <c r="B6740" t="s">
        <v>33</v>
      </c>
      <c r="C6740" t="s">
        <v>87</v>
      </c>
      <c r="D6740">
        <v>126</v>
      </c>
      <c r="E6740" t="s">
        <v>467</v>
      </c>
    </row>
    <row r="6741" spans="1:5" x14ac:dyDescent="0.35">
      <c r="A6741">
        <v>2015</v>
      </c>
      <c r="B6741" t="s">
        <v>35</v>
      </c>
      <c r="C6741" t="s">
        <v>123</v>
      </c>
      <c r="D6741">
        <v>132</v>
      </c>
      <c r="E6741" t="s">
        <v>466</v>
      </c>
    </row>
    <row r="6742" spans="1:5" x14ac:dyDescent="0.35">
      <c r="A6742">
        <v>2015</v>
      </c>
      <c r="B6742" t="s">
        <v>33</v>
      </c>
      <c r="C6742" t="s">
        <v>187</v>
      </c>
      <c r="D6742">
        <v>11</v>
      </c>
      <c r="E6742" t="s">
        <v>355</v>
      </c>
    </row>
    <row r="6743" spans="1:5" x14ac:dyDescent="0.35">
      <c r="A6743">
        <v>2015</v>
      </c>
      <c r="B6743" t="s">
        <v>34</v>
      </c>
      <c r="C6743" t="s">
        <v>124</v>
      </c>
      <c r="D6743">
        <v>262</v>
      </c>
      <c r="E6743" t="s">
        <v>466</v>
      </c>
    </row>
    <row r="6744" spans="1:5" x14ac:dyDescent="0.35">
      <c r="A6744">
        <v>2015</v>
      </c>
      <c r="B6744" t="s">
        <v>36</v>
      </c>
      <c r="C6744" t="s">
        <v>16</v>
      </c>
      <c r="D6744">
        <v>423</v>
      </c>
      <c r="E6744" t="s">
        <v>467</v>
      </c>
    </row>
    <row r="6745" spans="1:5" x14ac:dyDescent="0.35">
      <c r="A6745">
        <v>2015</v>
      </c>
      <c r="B6745" t="s">
        <v>33</v>
      </c>
      <c r="C6745" t="s">
        <v>125</v>
      </c>
      <c r="D6745">
        <v>174</v>
      </c>
      <c r="E6745" t="s">
        <v>466</v>
      </c>
    </row>
    <row r="6746" spans="1:5" x14ac:dyDescent="0.35">
      <c r="A6746">
        <v>2015</v>
      </c>
      <c r="B6746" t="s">
        <v>36</v>
      </c>
      <c r="C6746" t="s">
        <v>165</v>
      </c>
      <c r="D6746">
        <v>3</v>
      </c>
      <c r="E6746" t="s">
        <v>328</v>
      </c>
    </row>
    <row r="6747" spans="1:5" x14ac:dyDescent="0.35">
      <c r="A6747">
        <v>2015</v>
      </c>
      <c r="B6747" t="s">
        <v>36</v>
      </c>
      <c r="C6747" t="s">
        <v>84</v>
      </c>
      <c r="D6747">
        <v>41</v>
      </c>
      <c r="E6747" t="s">
        <v>466</v>
      </c>
    </row>
    <row r="6748" spans="1:5" x14ac:dyDescent="0.35">
      <c r="A6748">
        <v>2015</v>
      </c>
      <c r="B6748" t="s">
        <v>33</v>
      </c>
      <c r="C6748" t="s">
        <v>89</v>
      </c>
      <c r="D6748">
        <v>18</v>
      </c>
      <c r="E6748" t="s">
        <v>467</v>
      </c>
    </row>
    <row r="6749" spans="1:5" x14ac:dyDescent="0.35">
      <c r="A6749">
        <v>2015</v>
      </c>
      <c r="B6749" t="s">
        <v>35</v>
      </c>
      <c r="C6749" t="s">
        <v>106</v>
      </c>
      <c r="D6749">
        <v>10</v>
      </c>
      <c r="E6749" t="s">
        <v>466</v>
      </c>
    </row>
    <row r="6750" spans="1:5" x14ac:dyDescent="0.35">
      <c r="A6750">
        <v>2015</v>
      </c>
      <c r="B6750" t="s">
        <v>35</v>
      </c>
      <c r="C6750" t="s">
        <v>196</v>
      </c>
      <c r="D6750">
        <v>39</v>
      </c>
      <c r="E6750" t="s">
        <v>355</v>
      </c>
    </row>
    <row r="6751" spans="1:5" x14ac:dyDescent="0.35">
      <c r="A6751">
        <v>2015</v>
      </c>
      <c r="B6751" t="s">
        <v>35</v>
      </c>
      <c r="C6751" t="s">
        <v>105</v>
      </c>
      <c r="D6751">
        <v>268</v>
      </c>
      <c r="E6751" t="s">
        <v>466</v>
      </c>
    </row>
    <row r="6752" spans="1:5" x14ac:dyDescent="0.35">
      <c r="A6752">
        <v>2015</v>
      </c>
      <c r="B6752" t="s">
        <v>35</v>
      </c>
      <c r="C6752" t="s">
        <v>90</v>
      </c>
      <c r="D6752">
        <v>21</v>
      </c>
      <c r="E6752" t="s">
        <v>467</v>
      </c>
    </row>
    <row r="6753" spans="1:5" x14ac:dyDescent="0.35">
      <c r="A6753">
        <v>2015</v>
      </c>
      <c r="B6753" t="s">
        <v>35</v>
      </c>
      <c r="C6753" t="s">
        <v>127</v>
      </c>
      <c r="D6753">
        <v>115</v>
      </c>
      <c r="E6753" t="s">
        <v>466</v>
      </c>
    </row>
    <row r="6754" spans="1:5" x14ac:dyDescent="0.35">
      <c r="A6754">
        <v>2015</v>
      </c>
      <c r="B6754" t="s">
        <v>33</v>
      </c>
      <c r="C6754" t="s">
        <v>195</v>
      </c>
      <c r="D6754">
        <v>6</v>
      </c>
      <c r="E6754" t="s">
        <v>328</v>
      </c>
    </row>
    <row r="6755" spans="1:5" x14ac:dyDescent="0.35">
      <c r="A6755">
        <v>2015</v>
      </c>
      <c r="B6755" t="s">
        <v>36</v>
      </c>
      <c r="C6755" t="s">
        <v>104</v>
      </c>
      <c r="D6755">
        <v>1907</v>
      </c>
      <c r="E6755" t="s">
        <v>466</v>
      </c>
    </row>
    <row r="6756" spans="1:5" x14ac:dyDescent="0.35">
      <c r="A6756">
        <v>2015</v>
      </c>
      <c r="B6756" t="s">
        <v>33</v>
      </c>
      <c r="C6756" t="s">
        <v>91</v>
      </c>
      <c r="D6756">
        <v>36</v>
      </c>
      <c r="E6756" t="s">
        <v>467</v>
      </c>
    </row>
    <row r="6757" spans="1:5" x14ac:dyDescent="0.35">
      <c r="A6757">
        <v>2015</v>
      </c>
      <c r="B6757" t="s">
        <v>36</v>
      </c>
      <c r="C6757" t="s">
        <v>17</v>
      </c>
      <c r="D6757">
        <v>45228</v>
      </c>
      <c r="E6757" t="s">
        <v>466</v>
      </c>
    </row>
    <row r="6758" spans="1:5" x14ac:dyDescent="0.35">
      <c r="A6758">
        <v>2015</v>
      </c>
      <c r="B6758" t="s">
        <v>33</v>
      </c>
      <c r="C6758" t="s">
        <v>195</v>
      </c>
      <c r="D6758">
        <v>4</v>
      </c>
      <c r="E6758" t="s">
        <v>355</v>
      </c>
    </row>
    <row r="6759" spans="1:5" x14ac:dyDescent="0.35">
      <c r="A6759">
        <v>2015</v>
      </c>
      <c r="B6759" t="s">
        <v>33</v>
      </c>
      <c r="C6759" t="s">
        <v>87</v>
      </c>
      <c r="D6759">
        <v>360</v>
      </c>
      <c r="E6759" t="s">
        <v>466</v>
      </c>
    </row>
    <row r="6760" spans="1:5" x14ac:dyDescent="0.35">
      <c r="A6760">
        <v>2015</v>
      </c>
      <c r="B6760" t="s">
        <v>34</v>
      </c>
      <c r="C6760" t="s">
        <v>80</v>
      </c>
      <c r="D6760">
        <v>12</v>
      </c>
      <c r="E6760" t="s">
        <v>467</v>
      </c>
    </row>
    <row r="6761" spans="1:5" x14ac:dyDescent="0.35">
      <c r="A6761">
        <v>2015</v>
      </c>
      <c r="B6761" t="s">
        <v>38</v>
      </c>
      <c r="C6761" t="s">
        <v>86</v>
      </c>
      <c r="D6761">
        <v>3995</v>
      </c>
      <c r="E6761" t="s">
        <v>466</v>
      </c>
    </row>
    <row r="6762" spans="1:5" x14ac:dyDescent="0.35">
      <c r="A6762">
        <v>2015</v>
      </c>
      <c r="B6762" t="s">
        <v>34</v>
      </c>
      <c r="C6762" t="s">
        <v>194</v>
      </c>
      <c r="E6762" t="s">
        <v>328</v>
      </c>
    </row>
    <row r="6763" spans="1:5" x14ac:dyDescent="0.35">
      <c r="A6763">
        <v>2015</v>
      </c>
      <c r="B6763" t="s">
        <v>33</v>
      </c>
      <c r="C6763" t="s">
        <v>88</v>
      </c>
      <c r="D6763">
        <v>8</v>
      </c>
      <c r="E6763" t="s">
        <v>466</v>
      </c>
    </row>
    <row r="6764" spans="1:5" x14ac:dyDescent="0.35">
      <c r="A6764">
        <v>2015</v>
      </c>
      <c r="B6764" t="s">
        <v>37</v>
      </c>
      <c r="C6764" t="s">
        <v>92</v>
      </c>
      <c r="D6764">
        <v>29</v>
      </c>
      <c r="E6764" t="s">
        <v>467</v>
      </c>
    </row>
    <row r="6765" spans="1:5" x14ac:dyDescent="0.35">
      <c r="A6765">
        <v>2015</v>
      </c>
      <c r="B6765" t="s">
        <v>33</v>
      </c>
      <c r="C6765" t="s">
        <v>89</v>
      </c>
      <c r="D6765">
        <v>304</v>
      </c>
      <c r="E6765" t="s">
        <v>466</v>
      </c>
    </row>
    <row r="6766" spans="1:5" x14ac:dyDescent="0.35">
      <c r="A6766">
        <v>2015</v>
      </c>
      <c r="B6766" t="s">
        <v>34</v>
      </c>
      <c r="C6766" t="s">
        <v>194</v>
      </c>
      <c r="E6766" t="s">
        <v>355</v>
      </c>
    </row>
    <row r="6767" spans="1:5" x14ac:dyDescent="0.35">
      <c r="A6767">
        <v>2015</v>
      </c>
      <c r="B6767" t="s">
        <v>35</v>
      </c>
      <c r="C6767" t="s">
        <v>90</v>
      </c>
      <c r="D6767">
        <v>44</v>
      </c>
      <c r="E6767" t="s">
        <v>466</v>
      </c>
    </row>
    <row r="6768" spans="1:5" x14ac:dyDescent="0.35">
      <c r="A6768">
        <v>2015</v>
      </c>
      <c r="B6768" t="s">
        <v>33</v>
      </c>
      <c r="C6768" t="s">
        <v>65</v>
      </c>
      <c r="D6768">
        <v>6</v>
      </c>
      <c r="E6768" t="s">
        <v>467</v>
      </c>
    </row>
    <row r="6769" spans="1:5" x14ac:dyDescent="0.35">
      <c r="A6769">
        <v>2015</v>
      </c>
      <c r="B6769" t="s">
        <v>33</v>
      </c>
      <c r="C6769" t="s">
        <v>91</v>
      </c>
      <c r="D6769">
        <v>344</v>
      </c>
      <c r="E6769" t="s">
        <v>466</v>
      </c>
    </row>
    <row r="6770" spans="1:5" x14ac:dyDescent="0.35">
      <c r="A6770">
        <v>2015</v>
      </c>
      <c r="B6770" t="s">
        <v>34</v>
      </c>
      <c r="C6770" t="s">
        <v>193</v>
      </c>
      <c r="D6770">
        <v>43</v>
      </c>
      <c r="E6770" t="s">
        <v>328</v>
      </c>
    </row>
    <row r="6771" spans="1:5" x14ac:dyDescent="0.35">
      <c r="A6771">
        <v>2015</v>
      </c>
      <c r="B6771" t="s">
        <v>37</v>
      </c>
      <c r="C6771" t="s">
        <v>92</v>
      </c>
      <c r="D6771">
        <v>69</v>
      </c>
      <c r="E6771" t="s">
        <v>466</v>
      </c>
    </row>
    <row r="6772" spans="1:5" x14ac:dyDescent="0.35">
      <c r="A6772">
        <v>2015</v>
      </c>
      <c r="B6772" t="s">
        <v>33</v>
      </c>
      <c r="C6772" t="s">
        <v>63</v>
      </c>
      <c r="D6772">
        <v>23</v>
      </c>
      <c r="E6772" t="s">
        <v>467</v>
      </c>
    </row>
    <row r="6773" spans="1:5" x14ac:dyDescent="0.35">
      <c r="A6773">
        <v>2015</v>
      </c>
      <c r="B6773" t="s">
        <v>35</v>
      </c>
      <c r="C6773" t="s">
        <v>93</v>
      </c>
      <c r="D6773">
        <v>34</v>
      </c>
      <c r="E6773" t="s">
        <v>466</v>
      </c>
    </row>
    <row r="6774" spans="1:5" x14ac:dyDescent="0.35">
      <c r="A6774">
        <v>2015</v>
      </c>
      <c r="B6774" t="s">
        <v>34</v>
      </c>
      <c r="C6774" t="s">
        <v>193</v>
      </c>
      <c r="D6774">
        <v>16</v>
      </c>
      <c r="E6774" t="s">
        <v>355</v>
      </c>
    </row>
    <row r="6775" spans="1:5" x14ac:dyDescent="0.35">
      <c r="A6775">
        <v>2015</v>
      </c>
      <c r="B6775" t="s">
        <v>35</v>
      </c>
      <c r="C6775" t="s">
        <v>94</v>
      </c>
      <c r="D6775">
        <v>674</v>
      </c>
      <c r="E6775" t="s">
        <v>466</v>
      </c>
    </row>
    <row r="6776" spans="1:5" x14ac:dyDescent="0.35">
      <c r="A6776">
        <v>2015</v>
      </c>
      <c r="B6776" t="s">
        <v>34</v>
      </c>
      <c r="C6776" t="s">
        <v>40</v>
      </c>
      <c r="D6776">
        <v>48</v>
      </c>
      <c r="E6776" t="s">
        <v>467</v>
      </c>
    </row>
    <row r="6777" spans="1:5" x14ac:dyDescent="0.35">
      <c r="A6777">
        <v>2015</v>
      </c>
      <c r="B6777" t="s">
        <v>36</v>
      </c>
      <c r="C6777" t="s">
        <v>16</v>
      </c>
      <c r="D6777">
        <v>53336</v>
      </c>
      <c r="E6777" t="s">
        <v>466</v>
      </c>
    </row>
    <row r="6778" spans="1:5" x14ac:dyDescent="0.35">
      <c r="A6778">
        <v>2015</v>
      </c>
      <c r="B6778" t="s">
        <v>33</v>
      </c>
      <c r="C6778" t="s">
        <v>192</v>
      </c>
      <c r="D6778">
        <v>9</v>
      </c>
      <c r="E6778" t="s">
        <v>328</v>
      </c>
    </row>
    <row r="6779" spans="1:5" x14ac:dyDescent="0.35">
      <c r="A6779">
        <v>2015</v>
      </c>
      <c r="B6779" t="s">
        <v>33</v>
      </c>
      <c r="C6779" t="s">
        <v>96</v>
      </c>
      <c r="D6779">
        <v>55</v>
      </c>
      <c r="E6779" t="s">
        <v>466</v>
      </c>
    </row>
    <row r="6780" spans="1:5" x14ac:dyDescent="0.35">
      <c r="A6780">
        <v>2015</v>
      </c>
      <c r="B6780" t="s">
        <v>35</v>
      </c>
      <c r="C6780" t="s">
        <v>41</v>
      </c>
      <c r="D6780">
        <v>14</v>
      </c>
      <c r="E6780" t="s">
        <v>467</v>
      </c>
    </row>
    <row r="6781" spans="1:5" x14ac:dyDescent="0.35">
      <c r="A6781">
        <v>2015</v>
      </c>
      <c r="B6781" t="s">
        <v>33</v>
      </c>
      <c r="C6781" t="s">
        <v>95</v>
      </c>
      <c r="D6781">
        <v>14</v>
      </c>
      <c r="E6781" t="s">
        <v>466</v>
      </c>
    </row>
    <row r="6782" spans="1:5" x14ac:dyDescent="0.35">
      <c r="A6782">
        <v>2015</v>
      </c>
      <c r="B6782" t="s">
        <v>33</v>
      </c>
      <c r="C6782" t="s">
        <v>192</v>
      </c>
      <c r="D6782">
        <v>7</v>
      </c>
      <c r="E6782" t="s">
        <v>355</v>
      </c>
    </row>
    <row r="6783" spans="1:5" x14ac:dyDescent="0.35">
      <c r="A6783">
        <v>2015</v>
      </c>
      <c r="B6783" t="s">
        <v>38</v>
      </c>
      <c r="C6783" t="s">
        <v>103</v>
      </c>
      <c r="D6783">
        <v>310</v>
      </c>
      <c r="E6783" t="s">
        <v>466</v>
      </c>
    </row>
    <row r="6784" spans="1:5" x14ac:dyDescent="0.35">
      <c r="A6784">
        <v>2015</v>
      </c>
      <c r="B6784" t="s">
        <v>33</v>
      </c>
      <c r="C6784" t="s">
        <v>42</v>
      </c>
      <c r="D6784">
        <v>45</v>
      </c>
      <c r="E6784" t="s">
        <v>467</v>
      </c>
    </row>
    <row r="6785" spans="1:5" x14ac:dyDescent="0.35">
      <c r="A6785">
        <v>2015</v>
      </c>
      <c r="B6785" t="s">
        <v>33</v>
      </c>
      <c r="C6785" t="s">
        <v>101</v>
      </c>
      <c r="D6785">
        <v>121</v>
      </c>
      <c r="E6785" t="s">
        <v>466</v>
      </c>
    </row>
    <row r="6786" spans="1:5" x14ac:dyDescent="0.35">
      <c r="A6786">
        <v>2015</v>
      </c>
      <c r="B6786" t="s">
        <v>36</v>
      </c>
      <c r="C6786" t="s">
        <v>191</v>
      </c>
      <c r="D6786">
        <v>27</v>
      </c>
      <c r="E6786" t="s">
        <v>328</v>
      </c>
    </row>
    <row r="6787" spans="1:5" x14ac:dyDescent="0.35">
      <c r="A6787">
        <v>2015</v>
      </c>
      <c r="B6787" t="s">
        <v>36</v>
      </c>
      <c r="C6787" t="s">
        <v>15</v>
      </c>
      <c r="D6787">
        <v>73111</v>
      </c>
      <c r="E6787" t="s">
        <v>466</v>
      </c>
    </row>
    <row r="6788" spans="1:5" x14ac:dyDescent="0.35">
      <c r="A6788">
        <v>2015</v>
      </c>
      <c r="B6788" t="s">
        <v>33</v>
      </c>
      <c r="C6788" t="s">
        <v>43</v>
      </c>
      <c r="D6788">
        <v>21</v>
      </c>
      <c r="E6788" t="s">
        <v>467</v>
      </c>
    </row>
    <row r="6789" spans="1:5" x14ac:dyDescent="0.35">
      <c r="A6789">
        <v>2015</v>
      </c>
      <c r="B6789" t="s">
        <v>36</v>
      </c>
      <c r="C6789" t="s">
        <v>100</v>
      </c>
      <c r="D6789">
        <v>49</v>
      </c>
      <c r="E6789" t="s">
        <v>466</v>
      </c>
    </row>
    <row r="6790" spans="1:5" x14ac:dyDescent="0.35">
      <c r="A6790">
        <v>2015</v>
      </c>
      <c r="B6790" t="s">
        <v>36</v>
      </c>
      <c r="C6790" t="s">
        <v>191</v>
      </c>
      <c r="D6790">
        <v>102</v>
      </c>
      <c r="E6790" t="s">
        <v>355</v>
      </c>
    </row>
    <row r="6791" spans="1:5" x14ac:dyDescent="0.35">
      <c r="A6791">
        <v>2015</v>
      </c>
      <c r="B6791" t="s">
        <v>33</v>
      </c>
      <c r="C6791" t="s">
        <v>102</v>
      </c>
      <c r="D6791">
        <v>6</v>
      </c>
      <c r="E6791" t="s">
        <v>466</v>
      </c>
    </row>
    <row r="6792" spans="1:5" x14ac:dyDescent="0.35">
      <c r="A6792">
        <v>2015</v>
      </c>
      <c r="B6792" t="s">
        <v>36</v>
      </c>
      <c r="C6792" t="s">
        <v>44</v>
      </c>
      <c r="D6792">
        <v>10</v>
      </c>
      <c r="E6792" t="s">
        <v>467</v>
      </c>
    </row>
    <row r="6793" spans="1:5" x14ac:dyDescent="0.35">
      <c r="A6793">
        <v>2015</v>
      </c>
      <c r="B6793" t="s">
        <v>33</v>
      </c>
      <c r="C6793" t="s">
        <v>98</v>
      </c>
      <c r="D6793">
        <v>855</v>
      </c>
      <c r="E6793" t="s">
        <v>466</v>
      </c>
    </row>
    <row r="6794" spans="1:5" x14ac:dyDescent="0.35">
      <c r="A6794">
        <v>2015</v>
      </c>
      <c r="B6794" t="s">
        <v>37</v>
      </c>
      <c r="C6794" t="s">
        <v>190</v>
      </c>
      <c r="D6794">
        <v>7</v>
      </c>
      <c r="E6794" t="s">
        <v>328</v>
      </c>
    </row>
    <row r="6795" spans="1:5" x14ac:dyDescent="0.35">
      <c r="A6795">
        <v>2015</v>
      </c>
      <c r="B6795" t="s">
        <v>35</v>
      </c>
      <c r="C6795" t="s">
        <v>97</v>
      </c>
      <c r="D6795">
        <v>531</v>
      </c>
      <c r="E6795" t="s">
        <v>466</v>
      </c>
    </row>
    <row r="6796" spans="1:5" x14ac:dyDescent="0.35">
      <c r="A6796">
        <v>2015</v>
      </c>
      <c r="B6796" t="s">
        <v>38</v>
      </c>
      <c r="C6796" t="s">
        <v>45</v>
      </c>
      <c r="D6796">
        <v>69</v>
      </c>
      <c r="E6796" t="s">
        <v>467</v>
      </c>
    </row>
    <row r="6797" spans="1:5" x14ac:dyDescent="0.35">
      <c r="A6797">
        <v>2015</v>
      </c>
      <c r="B6797" t="s">
        <v>34</v>
      </c>
      <c r="C6797" t="s">
        <v>8</v>
      </c>
      <c r="D6797">
        <v>75</v>
      </c>
      <c r="E6797" t="s">
        <v>466</v>
      </c>
    </row>
    <row r="6798" spans="1:5" x14ac:dyDescent="0.35">
      <c r="A6798">
        <v>2015</v>
      </c>
      <c r="B6798" t="s">
        <v>37</v>
      </c>
      <c r="C6798" t="s">
        <v>190</v>
      </c>
      <c r="D6798">
        <v>13</v>
      </c>
      <c r="E6798" t="s">
        <v>355</v>
      </c>
    </row>
    <row r="6799" spans="1:5" x14ac:dyDescent="0.35">
      <c r="A6799">
        <v>2015</v>
      </c>
      <c r="B6799" t="s">
        <v>35</v>
      </c>
      <c r="C6799" t="s">
        <v>99</v>
      </c>
      <c r="D6799">
        <v>194</v>
      </c>
      <c r="E6799" t="s">
        <v>466</v>
      </c>
    </row>
    <row r="6800" spans="1:5" x14ac:dyDescent="0.35">
      <c r="A6800">
        <v>2015</v>
      </c>
      <c r="B6800" t="s">
        <v>34</v>
      </c>
      <c r="C6800" t="s">
        <v>46</v>
      </c>
      <c r="D6800">
        <v>13</v>
      </c>
      <c r="E6800" t="s">
        <v>467</v>
      </c>
    </row>
    <row r="6801" spans="1:5" x14ac:dyDescent="0.35">
      <c r="A6801">
        <v>2015</v>
      </c>
      <c r="B6801" t="s">
        <v>33</v>
      </c>
      <c r="C6801" t="s">
        <v>189</v>
      </c>
      <c r="D6801">
        <v>8</v>
      </c>
      <c r="E6801" t="s">
        <v>328</v>
      </c>
    </row>
    <row r="6802" spans="1:5" x14ac:dyDescent="0.35">
      <c r="A6802">
        <v>2015</v>
      </c>
      <c r="B6802" t="s">
        <v>37</v>
      </c>
      <c r="C6802" t="s">
        <v>47</v>
      </c>
      <c r="D6802">
        <v>449</v>
      </c>
      <c r="E6802" t="s">
        <v>467</v>
      </c>
    </row>
    <row r="6803" spans="1:5" x14ac:dyDescent="0.35">
      <c r="A6803">
        <v>2015</v>
      </c>
      <c r="B6803" t="s">
        <v>33</v>
      </c>
      <c r="C6803" t="s">
        <v>189</v>
      </c>
      <c r="D6803">
        <v>3</v>
      </c>
      <c r="E6803" t="s">
        <v>355</v>
      </c>
    </row>
    <row r="6804" spans="1:5" x14ac:dyDescent="0.35">
      <c r="A6804">
        <v>2015</v>
      </c>
      <c r="B6804" t="s">
        <v>35</v>
      </c>
      <c r="C6804" t="s">
        <v>48</v>
      </c>
      <c r="D6804">
        <v>31</v>
      </c>
      <c r="E6804" t="s">
        <v>467</v>
      </c>
    </row>
    <row r="6805" spans="1:5" x14ac:dyDescent="0.35">
      <c r="A6805">
        <v>2015</v>
      </c>
      <c r="B6805" t="s">
        <v>35</v>
      </c>
      <c r="C6805" t="s">
        <v>196</v>
      </c>
      <c r="D6805">
        <v>53</v>
      </c>
      <c r="E6805" t="s">
        <v>328</v>
      </c>
    </row>
    <row r="6806" spans="1:5" x14ac:dyDescent="0.35">
      <c r="A6806">
        <v>2015</v>
      </c>
      <c r="B6806" t="s">
        <v>34</v>
      </c>
      <c r="C6806" t="s">
        <v>49</v>
      </c>
      <c r="D6806">
        <v>3</v>
      </c>
      <c r="E6806" t="s">
        <v>467</v>
      </c>
    </row>
    <row r="6807" spans="1:5" x14ac:dyDescent="0.35">
      <c r="A6807">
        <v>2015</v>
      </c>
      <c r="B6807" t="s">
        <v>34</v>
      </c>
      <c r="C6807" t="s">
        <v>188</v>
      </c>
      <c r="D6807">
        <v>39</v>
      </c>
      <c r="E6807" t="s">
        <v>328</v>
      </c>
    </row>
    <row r="6808" spans="1:5" x14ac:dyDescent="0.35">
      <c r="A6808">
        <v>2015</v>
      </c>
      <c r="B6808" t="s">
        <v>33</v>
      </c>
      <c r="C6808" t="s">
        <v>148</v>
      </c>
      <c r="D6808">
        <v>3</v>
      </c>
      <c r="E6808" t="s">
        <v>467</v>
      </c>
    </row>
    <row r="6809" spans="1:5" x14ac:dyDescent="0.35">
      <c r="A6809">
        <v>2015</v>
      </c>
      <c r="B6809" t="s">
        <v>35</v>
      </c>
      <c r="C6809" t="s">
        <v>198</v>
      </c>
      <c r="D6809">
        <v>111</v>
      </c>
      <c r="E6809" t="s">
        <v>355</v>
      </c>
    </row>
    <row r="6810" spans="1:5" x14ac:dyDescent="0.35">
      <c r="A6810">
        <v>2015</v>
      </c>
      <c r="B6810" t="s">
        <v>36</v>
      </c>
      <c r="C6810" t="s">
        <v>50</v>
      </c>
      <c r="D6810">
        <v>448</v>
      </c>
      <c r="E6810" t="s">
        <v>467</v>
      </c>
    </row>
    <row r="6811" spans="1:5" x14ac:dyDescent="0.35">
      <c r="A6811">
        <v>2015</v>
      </c>
      <c r="B6811" t="s">
        <v>39</v>
      </c>
      <c r="C6811" t="s">
        <v>39</v>
      </c>
      <c r="D6811">
        <v>12</v>
      </c>
      <c r="E6811" t="s">
        <v>355</v>
      </c>
    </row>
    <row r="6812" spans="1:5" x14ac:dyDescent="0.35">
      <c r="A6812">
        <v>2015</v>
      </c>
      <c r="B6812" t="s">
        <v>34</v>
      </c>
      <c r="C6812" t="s">
        <v>52</v>
      </c>
      <c r="D6812">
        <v>169</v>
      </c>
      <c r="E6812" t="s">
        <v>467</v>
      </c>
    </row>
    <row r="6813" spans="1:5" x14ac:dyDescent="0.35">
      <c r="A6813">
        <v>2015</v>
      </c>
      <c r="B6813" t="s">
        <v>33</v>
      </c>
      <c r="C6813" t="s">
        <v>204</v>
      </c>
      <c r="D6813">
        <v>5</v>
      </c>
      <c r="E6813" t="s">
        <v>328</v>
      </c>
    </row>
    <row r="6814" spans="1:5" x14ac:dyDescent="0.35">
      <c r="A6814">
        <v>2015</v>
      </c>
      <c r="B6814" t="s">
        <v>36</v>
      </c>
      <c r="C6814" t="s">
        <v>53</v>
      </c>
      <c r="D6814">
        <v>19</v>
      </c>
      <c r="E6814" t="s">
        <v>467</v>
      </c>
    </row>
    <row r="6815" spans="1:5" x14ac:dyDescent="0.35">
      <c r="A6815">
        <v>2015</v>
      </c>
      <c r="B6815" t="s">
        <v>33</v>
      </c>
      <c r="C6815" t="s">
        <v>204</v>
      </c>
      <c r="D6815">
        <v>6</v>
      </c>
      <c r="E6815" t="s">
        <v>355</v>
      </c>
    </row>
    <row r="6816" spans="1:5" x14ac:dyDescent="0.35">
      <c r="A6816">
        <v>2015</v>
      </c>
      <c r="B6816" t="s">
        <v>35</v>
      </c>
      <c r="C6816" t="s">
        <v>54</v>
      </c>
      <c r="D6816">
        <v>14</v>
      </c>
      <c r="E6816" t="s">
        <v>467</v>
      </c>
    </row>
    <row r="6817" spans="1:5" x14ac:dyDescent="0.35">
      <c r="A6817">
        <v>2015</v>
      </c>
      <c r="B6817" t="s">
        <v>33</v>
      </c>
      <c r="C6817" t="s">
        <v>203</v>
      </c>
      <c r="E6817" t="s">
        <v>328</v>
      </c>
    </row>
    <row r="6818" spans="1:5" x14ac:dyDescent="0.35">
      <c r="A6818">
        <v>2015</v>
      </c>
      <c r="B6818" t="s">
        <v>35</v>
      </c>
      <c r="C6818" t="s">
        <v>55</v>
      </c>
      <c r="D6818">
        <v>71</v>
      </c>
      <c r="E6818" t="s">
        <v>467</v>
      </c>
    </row>
    <row r="6819" spans="1:5" x14ac:dyDescent="0.35">
      <c r="A6819">
        <v>2015</v>
      </c>
      <c r="B6819" t="s">
        <v>33</v>
      </c>
      <c r="C6819" t="s">
        <v>203</v>
      </c>
      <c r="E6819" t="s">
        <v>355</v>
      </c>
    </row>
    <row r="6820" spans="1:5" x14ac:dyDescent="0.35">
      <c r="A6820">
        <v>2015</v>
      </c>
      <c r="B6820" t="s">
        <v>36</v>
      </c>
      <c r="C6820" t="s">
        <v>56</v>
      </c>
      <c r="D6820">
        <v>26</v>
      </c>
      <c r="E6820" t="s">
        <v>467</v>
      </c>
    </row>
    <row r="6821" spans="1:5" x14ac:dyDescent="0.35">
      <c r="A6821">
        <v>2015</v>
      </c>
      <c r="B6821" t="s">
        <v>34</v>
      </c>
      <c r="C6821" t="s">
        <v>202</v>
      </c>
      <c r="D6821">
        <v>9</v>
      </c>
      <c r="E6821" t="s">
        <v>328</v>
      </c>
    </row>
    <row r="6822" spans="1:5" x14ac:dyDescent="0.35">
      <c r="A6822">
        <v>2015</v>
      </c>
      <c r="B6822" t="s">
        <v>33</v>
      </c>
      <c r="C6822" t="s">
        <v>57</v>
      </c>
      <c r="D6822">
        <v>16</v>
      </c>
      <c r="E6822" t="s">
        <v>467</v>
      </c>
    </row>
    <row r="6823" spans="1:5" x14ac:dyDescent="0.35">
      <c r="A6823">
        <v>2015</v>
      </c>
      <c r="B6823" t="s">
        <v>34</v>
      </c>
      <c r="C6823" t="s">
        <v>202</v>
      </c>
      <c r="D6823">
        <v>9</v>
      </c>
      <c r="E6823" t="s">
        <v>355</v>
      </c>
    </row>
    <row r="6824" spans="1:5" x14ac:dyDescent="0.35">
      <c r="A6824">
        <v>2015</v>
      </c>
      <c r="B6824" t="s">
        <v>38</v>
      </c>
      <c r="C6824" t="s">
        <v>59</v>
      </c>
      <c r="D6824">
        <v>19</v>
      </c>
      <c r="E6824" t="s">
        <v>467</v>
      </c>
    </row>
    <row r="6825" spans="1:5" x14ac:dyDescent="0.35">
      <c r="A6825">
        <v>2015</v>
      </c>
      <c r="B6825" t="s">
        <v>34</v>
      </c>
      <c r="C6825" t="s">
        <v>201</v>
      </c>
      <c r="D6825">
        <v>28</v>
      </c>
      <c r="E6825" t="s">
        <v>328</v>
      </c>
    </row>
    <row r="6826" spans="1:5" x14ac:dyDescent="0.35">
      <c r="A6826">
        <v>2015</v>
      </c>
      <c r="B6826" t="s">
        <v>35</v>
      </c>
      <c r="C6826" t="s">
        <v>60</v>
      </c>
      <c r="D6826">
        <v>12</v>
      </c>
      <c r="E6826" t="s">
        <v>467</v>
      </c>
    </row>
    <row r="6827" spans="1:5" x14ac:dyDescent="0.35">
      <c r="A6827">
        <v>2015</v>
      </c>
      <c r="B6827" t="s">
        <v>34</v>
      </c>
      <c r="C6827" t="s">
        <v>201</v>
      </c>
      <c r="D6827">
        <v>19</v>
      </c>
      <c r="E6827" t="s">
        <v>355</v>
      </c>
    </row>
    <row r="6828" spans="1:5" x14ac:dyDescent="0.35">
      <c r="A6828">
        <v>2015</v>
      </c>
      <c r="B6828" t="s">
        <v>38</v>
      </c>
      <c r="C6828" t="s">
        <v>21</v>
      </c>
      <c r="D6828">
        <v>472</v>
      </c>
      <c r="E6828" t="s">
        <v>467</v>
      </c>
    </row>
    <row r="6829" spans="1:5" x14ac:dyDescent="0.35">
      <c r="A6829">
        <v>2015</v>
      </c>
      <c r="B6829" t="s">
        <v>38</v>
      </c>
      <c r="C6829" t="s">
        <v>19</v>
      </c>
      <c r="D6829">
        <v>146</v>
      </c>
      <c r="E6829" t="s">
        <v>328</v>
      </c>
    </row>
    <row r="6830" spans="1:5" x14ac:dyDescent="0.35">
      <c r="A6830">
        <v>2015</v>
      </c>
      <c r="B6830" t="s">
        <v>35</v>
      </c>
      <c r="C6830" t="s">
        <v>62</v>
      </c>
      <c r="D6830">
        <v>34</v>
      </c>
      <c r="E6830" t="s">
        <v>467</v>
      </c>
    </row>
    <row r="6831" spans="1:5" x14ac:dyDescent="0.35">
      <c r="A6831">
        <v>2015</v>
      </c>
      <c r="B6831" t="s">
        <v>38</v>
      </c>
      <c r="C6831" t="s">
        <v>19</v>
      </c>
      <c r="D6831">
        <v>60</v>
      </c>
      <c r="E6831" t="s">
        <v>355</v>
      </c>
    </row>
    <row r="6832" spans="1:5" x14ac:dyDescent="0.35">
      <c r="A6832">
        <v>2015</v>
      </c>
      <c r="B6832" t="s">
        <v>34</v>
      </c>
      <c r="C6832" t="s">
        <v>51</v>
      </c>
      <c r="E6832" t="s">
        <v>467</v>
      </c>
    </row>
    <row r="6833" spans="1:5" x14ac:dyDescent="0.35">
      <c r="A6833">
        <v>2015</v>
      </c>
      <c r="B6833" t="s">
        <v>34</v>
      </c>
      <c r="C6833" t="s">
        <v>200</v>
      </c>
      <c r="D6833">
        <v>7</v>
      </c>
      <c r="E6833" t="s">
        <v>328</v>
      </c>
    </row>
    <row r="6834" spans="1:5" x14ac:dyDescent="0.35">
      <c r="A6834">
        <v>2015</v>
      </c>
      <c r="B6834" t="s">
        <v>35</v>
      </c>
      <c r="C6834" t="s">
        <v>93</v>
      </c>
      <c r="D6834">
        <v>30</v>
      </c>
      <c r="E6834" t="s">
        <v>467</v>
      </c>
    </row>
    <row r="6835" spans="1:5" x14ac:dyDescent="0.35">
      <c r="A6835">
        <v>2015</v>
      </c>
      <c r="B6835" t="s">
        <v>34</v>
      </c>
      <c r="C6835" t="s">
        <v>200</v>
      </c>
      <c r="D6835">
        <v>10</v>
      </c>
      <c r="E6835" t="s">
        <v>355</v>
      </c>
    </row>
    <row r="6836" spans="1:5" x14ac:dyDescent="0.35">
      <c r="A6836">
        <v>2015</v>
      </c>
      <c r="B6836" t="s">
        <v>36</v>
      </c>
      <c r="C6836" t="s">
        <v>79</v>
      </c>
      <c r="D6836">
        <v>49</v>
      </c>
      <c r="E6836" t="s">
        <v>467</v>
      </c>
    </row>
    <row r="6837" spans="1:5" x14ac:dyDescent="0.35">
      <c r="A6837">
        <v>2015</v>
      </c>
      <c r="B6837" t="s">
        <v>38</v>
      </c>
      <c r="C6837" t="s">
        <v>199</v>
      </c>
      <c r="D6837">
        <v>19</v>
      </c>
      <c r="E6837" t="s">
        <v>328</v>
      </c>
    </row>
    <row r="6838" spans="1:5" x14ac:dyDescent="0.35">
      <c r="A6838">
        <v>2015</v>
      </c>
      <c r="B6838" t="s">
        <v>33</v>
      </c>
      <c r="C6838" t="s">
        <v>95</v>
      </c>
      <c r="D6838">
        <v>12</v>
      </c>
      <c r="E6838" t="s">
        <v>467</v>
      </c>
    </row>
    <row r="6839" spans="1:5" x14ac:dyDescent="0.35">
      <c r="A6839">
        <v>2015</v>
      </c>
      <c r="B6839" t="s">
        <v>38</v>
      </c>
      <c r="C6839" t="s">
        <v>199</v>
      </c>
      <c r="D6839">
        <v>16</v>
      </c>
      <c r="E6839" t="s">
        <v>355</v>
      </c>
    </row>
    <row r="6840" spans="1:5" x14ac:dyDescent="0.35">
      <c r="A6840">
        <v>2015</v>
      </c>
      <c r="B6840" t="s">
        <v>35</v>
      </c>
      <c r="C6840" t="s">
        <v>119</v>
      </c>
      <c r="D6840">
        <v>11</v>
      </c>
      <c r="E6840" t="s">
        <v>467</v>
      </c>
    </row>
    <row r="6841" spans="1:5" x14ac:dyDescent="0.35">
      <c r="A6841">
        <v>2015</v>
      </c>
      <c r="B6841" t="s">
        <v>39</v>
      </c>
      <c r="C6841" t="s">
        <v>39</v>
      </c>
      <c r="D6841">
        <v>26</v>
      </c>
      <c r="E6841" t="s">
        <v>328</v>
      </c>
    </row>
    <row r="6842" spans="1:5" x14ac:dyDescent="0.35">
      <c r="A6842">
        <v>2015</v>
      </c>
      <c r="B6842" t="s">
        <v>34</v>
      </c>
      <c r="C6842" t="s">
        <v>120</v>
      </c>
      <c r="D6842">
        <v>56</v>
      </c>
      <c r="E6842" t="s">
        <v>467</v>
      </c>
    </row>
    <row r="6843" spans="1:5" x14ac:dyDescent="0.35">
      <c r="A6843">
        <v>2015</v>
      </c>
      <c r="B6843" t="s">
        <v>35</v>
      </c>
      <c r="C6843" t="s">
        <v>198</v>
      </c>
      <c r="D6843">
        <v>66</v>
      </c>
      <c r="E6843" t="s">
        <v>328</v>
      </c>
    </row>
    <row r="6844" spans="1:5" x14ac:dyDescent="0.35">
      <c r="A6844">
        <v>2015</v>
      </c>
      <c r="B6844" t="s">
        <v>34</v>
      </c>
      <c r="C6844" t="s">
        <v>121</v>
      </c>
      <c r="D6844">
        <v>8</v>
      </c>
      <c r="E6844" t="s">
        <v>467</v>
      </c>
    </row>
    <row r="6845" spans="1:5" x14ac:dyDescent="0.35">
      <c r="A6845">
        <v>2015</v>
      </c>
      <c r="B6845" t="s">
        <v>34</v>
      </c>
      <c r="C6845" t="s">
        <v>188</v>
      </c>
      <c r="D6845">
        <v>15</v>
      </c>
      <c r="E6845" t="s">
        <v>355</v>
      </c>
    </row>
    <row r="6846" spans="1:5" x14ac:dyDescent="0.35">
      <c r="A6846">
        <v>2015</v>
      </c>
      <c r="B6846" t="s">
        <v>34</v>
      </c>
      <c r="C6846" t="s">
        <v>122</v>
      </c>
      <c r="D6846">
        <v>6</v>
      </c>
      <c r="E6846" t="s">
        <v>467</v>
      </c>
    </row>
    <row r="6847" spans="1:5" x14ac:dyDescent="0.35">
      <c r="A6847">
        <v>2015</v>
      </c>
      <c r="B6847" t="s">
        <v>33</v>
      </c>
      <c r="C6847" t="s">
        <v>187</v>
      </c>
      <c r="D6847">
        <v>10</v>
      </c>
      <c r="E6847" t="s">
        <v>328</v>
      </c>
    </row>
    <row r="6848" spans="1:5" x14ac:dyDescent="0.35">
      <c r="A6848">
        <v>2015</v>
      </c>
      <c r="B6848" t="s">
        <v>35</v>
      </c>
      <c r="C6848" t="s">
        <v>123</v>
      </c>
      <c r="D6848">
        <v>64</v>
      </c>
      <c r="E6848" t="s">
        <v>467</v>
      </c>
    </row>
    <row r="6849" spans="1:5" x14ac:dyDescent="0.35">
      <c r="A6849">
        <v>2015</v>
      </c>
      <c r="B6849" t="s">
        <v>34</v>
      </c>
      <c r="C6849" t="s">
        <v>186</v>
      </c>
      <c r="E6849" t="s">
        <v>328</v>
      </c>
    </row>
    <row r="6850" spans="1:5" x14ac:dyDescent="0.35">
      <c r="A6850">
        <v>2015</v>
      </c>
      <c r="B6850" t="s">
        <v>34</v>
      </c>
      <c r="C6850" t="s">
        <v>124</v>
      </c>
      <c r="D6850">
        <v>107</v>
      </c>
      <c r="E6850" t="s">
        <v>467</v>
      </c>
    </row>
    <row r="6851" spans="1:5" x14ac:dyDescent="0.35">
      <c r="A6851">
        <v>2015</v>
      </c>
      <c r="B6851" t="s">
        <v>35</v>
      </c>
      <c r="C6851" t="s">
        <v>172</v>
      </c>
      <c r="D6851">
        <v>5</v>
      </c>
      <c r="E6851" t="s">
        <v>328</v>
      </c>
    </row>
    <row r="6852" spans="1:5" x14ac:dyDescent="0.35">
      <c r="A6852">
        <v>2015</v>
      </c>
      <c r="B6852" t="s">
        <v>33</v>
      </c>
      <c r="C6852" t="s">
        <v>125</v>
      </c>
      <c r="D6852">
        <v>16</v>
      </c>
      <c r="E6852" t="s">
        <v>467</v>
      </c>
    </row>
    <row r="6853" spans="1:5" x14ac:dyDescent="0.35">
      <c r="A6853">
        <v>2015</v>
      </c>
      <c r="B6853" t="s">
        <v>35</v>
      </c>
      <c r="C6853" t="s">
        <v>172</v>
      </c>
      <c r="D6853">
        <v>3</v>
      </c>
      <c r="E6853" t="s">
        <v>355</v>
      </c>
    </row>
    <row r="6854" spans="1:5" x14ac:dyDescent="0.35">
      <c r="A6854">
        <v>2015</v>
      </c>
      <c r="B6854" t="s">
        <v>33</v>
      </c>
      <c r="C6854" t="s">
        <v>126</v>
      </c>
      <c r="D6854">
        <v>41</v>
      </c>
      <c r="E6854" t="s">
        <v>467</v>
      </c>
    </row>
    <row r="6855" spans="1:5" x14ac:dyDescent="0.35">
      <c r="A6855">
        <v>2015</v>
      </c>
      <c r="B6855" t="s">
        <v>34</v>
      </c>
      <c r="C6855" t="s">
        <v>171</v>
      </c>
      <c r="E6855" t="s">
        <v>328</v>
      </c>
    </row>
    <row r="6856" spans="1:5" x14ac:dyDescent="0.35">
      <c r="A6856">
        <v>2015</v>
      </c>
      <c r="B6856" t="s">
        <v>35</v>
      </c>
      <c r="C6856" t="s">
        <v>127</v>
      </c>
      <c r="D6856">
        <v>77</v>
      </c>
      <c r="E6856" t="s">
        <v>467</v>
      </c>
    </row>
    <row r="6857" spans="1:5" x14ac:dyDescent="0.35">
      <c r="A6857">
        <v>2015</v>
      </c>
      <c r="B6857" t="s">
        <v>34</v>
      </c>
      <c r="C6857" t="s">
        <v>171</v>
      </c>
      <c r="E6857" t="s">
        <v>355</v>
      </c>
    </row>
    <row r="6858" spans="1:5" x14ac:dyDescent="0.35">
      <c r="A6858">
        <v>2015</v>
      </c>
      <c r="B6858" t="s">
        <v>33</v>
      </c>
      <c r="C6858" t="s">
        <v>129</v>
      </c>
      <c r="E6858" t="s">
        <v>467</v>
      </c>
    </row>
    <row r="6859" spans="1:5" x14ac:dyDescent="0.35">
      <c r="A6859">
        <v>2015</v>
      </c>
      <c r="B6859" t="s">
        <v>33</v>
      </c>
      <c r="C6859" t="s">
        <v>170</v>
      </c>
      <c r="E6859" t="s">
        <v>328</v>
      </c>
    </row>
    <row r="6860" spans="1:5" x14ac:dyDescent="0.35">
      <c r="A6860">
        <v>2015</v>
      </c>
      <c r="B6860" t="s">
        <v>34</v>
      </c>
      <c r="C6860" t="s">
        <v>118</v>
      </c>
      <c r="D6860">
        <v>870</v>
      </c>
      <c r="E6860" t="s">
        <v>467</v>
      </c>
    </row>
    <row r="6861" spans="1:5" x14ac:dyDescent="0.35">
      <c r="A6861">
        <v>2015</v>
      </c>
      <c r="B6861" t="s">
        <v>33</v>
      </c>
      <c r="C6861" t="s">
        <v>170</v>
      </c>
      <c r="E6861" t="s">
        <v>355</v>
      </c>
    </row>
    <row r="6862" spans="1:5" x14ac:dyDescent="0.35">
      <c r="A6862">
        <v>2015</v>
      </c>
      <c r="B6862" t="s">
        <v>35</v>
      </c>
      <c r="C6862" t="s">
        <v>94</v>
      </c>
      <c r="D6862">
        <v>556</v>
      </c>
      <c r="E6862" t="s">
        <v>467</v>
      </c>
    </row>
    <row r="6863" spans="1:5" x14ac:dyDescent="0.35">
      <c r="A6863">
        <v>2015</v>
      </c>
      <c r="B6863" t="s">
        <v>35</v>
      </c>
      <c r="C6863" t="s">
        <v>215</v>
      </c>
      <c r="D6863">
        <v>6</v>
      </c>
      <c r="E6863" t="s">
        <v>328</v>
      </c>
    </row>
    <row r="6864" spans="1:5" x14ac:dyDescent="0.35">
      <c r="A6864">
        <v>2015</v>
      </c>
      <c r="B6864" t="s">
        <v>33</v>
      </c>
      <c r="C6864" t="s">
        <v>136</v>
      </c>
      <c r="D6864">
        <v>3</v>
      </c>
      <c r="E6864" t="s">
        <v>467</v>
      </c>
    </row>
    <row r="6865" spans="1:5" x14ac:dyDescent="0.35">
      <c r="A6865">
        <v>2015</v>
      </c>
      <c r="B6865" t="s">
        <v>35</v>
      </c>
      <c r="C6865" t="s">
        <v>215</v>
      </c>
      <c r="D6865">
        <v>4</v>
      </c>
      <c r="E6865" t="s">
        <v>355</v>
      </c>
    </row>
    <row r="6866" spans="1:5" x14ac:dyDescent="0.35">
      <c r="A6866">
        <v>2015</v>
      </c>
      <c r="B6866" t="s">
        <v>36</v>
      </c>
      <c r="C6866" t="s">
        <v>14</v>
      </c>
      <c r="D6866">
        <v>40521</v>
      </c>
      <c r="E6866" t="s">
        <v>467</v>
      </c>
    </row>
    <row r="6867" spans="1:5" x14ac:dyDescent="0.35">
      <c r="A6867">
        <v>2015</v>
      </c>
      <c r="B6867" t="s">
        <v>35</v>
      </c>
      <c r="C6867" t="s">
        <v>169</v>
      </c>
      <c r="E6867" t="s">
        <v>328</v>
      </c>
    </row>
    <row r="6868" spans="1:5" x14ac:dyDescent="0.35">
      <c r="A6868">
        <v>2015</v>
      </c>
      <c r="B6868" t="s">
        <v>37</v>
      </c>
      <c r="C6868" t="s">
        <v>137</v>
      </c>
      <c r="D6868">
        <v>14</v>
      </c>
      <c r="E6868" t="s">
        <v>467</v>
      </c>
    </row>
    <row r="6869" spans="1:5" x14ac:dyDescent="0.35">
      <c r="A6869">
        <v>2015</v>
      </c>
      <c r="B6869" t="s">
        <v>35</v>
      </c>
      <c r="C6869" t="s">
        <v>169</v>
      </c>
      <c r="E6869" t="s">
        <v>355</v>
      </c>
    </row>
    <row r="6870" spans="1:5" x14ac:dyDescent="0.35">
      <c r="A6870">
        <v>2015</v>
      </c>
      <c r="B6870" t="s">
        <v>35</v>
      </c>
      <c r="C6870" t="s">
        <v>138</v>
      </c>
      <c r="D6870">
        <v>36</v>
      </c>
      <c r="E6870" t="s">
        <v>467</v>
      </c>
    </row>
    <row r="6871" spans="1:5" x14ac:dyDescent="0.35">
      <c r="A6871">
        <v>2015</v>
      </c>
      <c r="B6871" t="s">
        <v>33</v>
      </c>
      <c r="C6871" t="s">
        <v>168</v>
      </c>
      <c r="D6871">
        <v>18</v>
      </c>
      <c r="E6871" t="s">
        <v>328</v>
      </c>
    </row>
    <row r="6872" spans="1:5" x14ac:dyDescent="0.35">
      <c r="A6872">
        <v>2015</v>
      </c>
      <c r="B6872" t="s">
        <v>34</v>
      </c>
      <c r="C6872" t="s">
        <v>139</v>
      </c>
      <c r="D6872">
        <v>48</v>
      </c>
      <c r="E6872" t="s">
        <v>467</v>
      </c>
    </row>
    <row r="6873" spans="1:5" x14ac:dyDescent="0.35">
      <c r="A6873">
        <v>2015</v>
      </c>
      <c r="B6873" t="s">
        <v>33</v>
      </c>
      <c r="C6873" t="s">
        <v>168</v>
      </c>
      <c r="D6873">
        <v>5</v>
      </c>
      <c r="E6873" t="s">
        <v>355</v>
      </c>
    </row>
    <row r="6874" spans="1:5" x14ac:dyDescent="0.35">
      <c r="A6874">
        <v>2015</v>
      </c>
      <c r="B6874" t="s">
        <v>35</v>
      </c>
      <c r="C6874" t="s">
        <v>140</v>
      </c>
      <c r="D6874">
        <v>13</v>
      </c>
      <c r="E6874" t="s">
        <v>467</v>
      </c>
    </row>
    <row r="6875" spans="1:5" x14ac:dyDescent="0.35">
      <c r="A6875">
        <v>2015</v>
      </c>
      <c r="B6875" t="s">
        <v>34</v>
      </c>
      <c r="C6875" t="s">
        <v>167</v>
      </c>
      <c r="D6875">
        <v>49</v>
      </c>
      <c r="E6875" t="s">
        <v>328</v>
      </c>
    </row>
    <row r="6876" spans="1:5" x14ac:dyDescent="0.35">
      <c r="A6876">
        <v>2015</v>
      </c>
      <c r="B6876" t="s">
        <v>33</v>
      </c>
      <c r="C6876" t="s">
        <v>141</v>
      </c>
      <c r="D6876">
        <v>67</v>
      </c>
      <c r="E6876" t="s">
        <v>467</v>
      </c>
    </row>
    <row r="6877" spans="1:5" x14ac:dyDescent="0.35">
      <c r="A6877">
        <v>2015</v>
      </c>
      <c r="B6877" t="s">
        <v>34</v>
      </c>
      <c r="C6877" t="s">
        <v>167</v>
      </c>
      <c r="D6877">
        <v>20</v>
      </c>
      <c r="E6877" t="s">
        <v>355</v>
      </c>
    </row>
    <row r="6878" spans="1:5" x14ac:dyDescent="0.35">
      <c r="A6878">
        <v>2015</v>
      </c>
      <c r="B6878" t="s">
        <v>34</v>
      </c>
      <c r="C6878" t="s">
        <v>144</v>
      </c>
      <c r="D6878">
        <v>35</v>
      </c>
      <c r="E6878" t="s">
        <v>467</v>
      </c>
    </row>
    <row r="6879" spans="1:5" x14ac:dyDescent="0.35">
      <c r="A6879">
        <v>2015</v>
      </c>
      <c r="B6879" t="s">
        <v>37</v>
      </c>
      <c r="C6879" t="s">
        <v>166</v>
      </c>
      <c r="E6879" t="s">
        <v>355</v>
      </c>
    </row>
    <row r="6880" spans="1:5" x14ac:dyDescent="0.35">
      <c r="A6880">
        <v>2015</v>
      </c>
      <c r="B6880" t="s">
        <v>35</v>
      </c>
      <c r="C6880" t="s">
        <v>145</v>
      </c>
      <c r="D6880">
        <v>238</v>
      </c>
      <c r="E6880" t="s">
        <v>467</v>
      </c>
    </row>
    <row r="6881" spans="1:5" x14ac:dyDescent="0.35">
      <c r="A6881">
        <v>2015</v>
      </c>
      <c r="B6881" t="s">
        <v>33</v>
      </c>
      <c r="C6881" t="s">
        <v>174</v>
      </c>
      <c r="D6881">
        <v>4</v>
      </c>
      <c r="E6881" t="s">
        <v>355</v>
      </c>
    </row>
    <row r="6882" spans="1:5" x14ac:dyDescent="0.35">
      <c r="A6882">
        <v>2015</v>
      </c>
      <c r="B6882" t="s">
        <v>37</v>
      </c>
      <c r="C6882" t="s">
        <v>146</v>
      </c>
      <c r="D6882">
        <v>100</v>
      </c>
      <c r="E6882" t="s">
        <v>467</v>
      </c>
    </row>
    <row r="6883" spans="1:5" x14ac:dyDescent="0.35">
      <c r="A6883">
        <v>2015</v>
      </c>
      <c r="B6883" t="s">
        <v>33</v>
      </c>
      <c r="C6883" t="s">
        <v>174</v>
      </c>
      <c r="D6883">
        <v>118</v>
      </c>
      <c r="E6883" t="s">
        <v>328</v>
      </c>
    </row>
    <row r="6884" spans="1:5" x14ac:dyDescent="0.35">
      <c r="A6884">
        <v>2015</v>
      </c>
      <c r="B6884" t="s">
        <v>33</v>
      </c>
      <c r="C6884" t="s">
        <v>132</v>
      </c>
      <c r="D6884">
        <v>23</v>
      </c>
      <c r="E6884" t="s">
        <v>467</v>
      </c>
    </row>
    <row r="6885" spans="1:5" x14ac:dyDescent="0.35">
      <c r="A6885">
        <v>2015</v>
      </c>
      <c r="B6885" t="s">
        <v>33</v>
      </c>
      <c r="C6885" t="s">
        <v>175</v>
      </c>
      <c r="D6885">
        <v>16</v>
      </c>
      <c r="E6885" t="s">
        <v>355</v>
      </c>
    </row>
    <row r="6886" spans="1:5" x14ac:dyDescent="0.35">
      <c r="A6886">
        <v>2015</v>
      </c>
      <c r="B6886" t="s">
        <v>33</v>
      </c>
      <c r="C6886" t="s">
        <v>117</v>
      </c>
      <c r="D6886">
        <v>69</v>
      </c>
      <c r="E6886" t="s">
        <v>467</v>
      </c>
    </row>
    <row r="6887" spans="1:5" x14ac:dyDescent="0.35">
      <c r="A6887">
        <v>2015</v>
      </c>
      <c r="B6887" t="s">
        <v>33</v>
      </c>
      <c r="C6887" t="s">
        <v>175</v>
      </c>
      <c r="D6887">
        <v>33</v>
      </c>
      <c r="E6887" t="s">
        <v>328</v>
      </c>
    </row>
    <row r="6888" spans="1:5" x14ac:dyDescent="0.35">
      <c r="A6888">
        <v>2015</v>
      </c>
      <c r="B6888" t="s">
        <v>34</v>
      </c>
      <c r="C6888" t="s">
        <v>131</v>
      </c>
      <c r="D6888">
        <v>36</v>
      </c>
      <c r="E6888" t="s">
        <v>467</v>
      </c>
    </row>
    <row r="6889" spans="1:5" x14ac:dyDescent="0.35">
      <c r="A6889">
        <v>2015</v>
      </c>
      <c r="B6889" t="s">
        <v>34</v>
      </c>
      <c r="C6889" t="s">
        <v>186</v>
      </c>
      <c r="E6889" t="s">
        <v>355</v>
      </c>
    </row>
    <row r="6890" spans="1:5" x14ac:dyDescent="0.35">
      <c r="A6890">
        <v>2015</v>
      </c>
      <c r="B6890" t="s">
        <v>34</v>
      </c>
      <c r="C6890" t="s">
        <v>115</v>
      </c>
      <c r="D6890">
        <v>341</v>
      </c>
      <c r="E6890" t="s">
        <v>467</v>
      </c>
    </row>
    <row r="6891" spans="1:5" x14ac:dyDescent="0.35">
      <c r="A6891">
        <v>2015</v>
      </c>
      <c r="B6891" t="s">
        <v>34</v>
      </c>
      <c r="C6891" t="s">
        <v>185</v>
      </c>
      <c r="D6891">
        <v>24</v>
      </c>
      <c r="E6891" t="s">
        <v>328</v>
      </c>
    </row>
    <row r="6892" spans="1:5" x14ac:dyDescent="0.35">
      <c r="A6892">
        <v>2015</v>
      </c>
      <c r="B6892" t="s">
        <v>34</v>
      </c>
      <c r="C6892" t="s">
        <v>116</v>
      </c>
      <c r="D6892">
        <v>24</v>
      </c>
      <c r="E6892" t="s">
        <v>467</v>
      </c>
    </row>
    <row r="6893" spans="1:5" x14ac:dyDescent="0.35">
      <c r="A6893">
        <v>2015</v>
      </c>
      <c r="B6893" t="s">
        <v>34</v>
      </c>
      <c r="C6893" t="s">
        <v>185</v>
      </c>
      <c r="D6893">
        <v>9</v>
      </c>
      <c r="E6893" t="s">
        <v>355</v>
      </c>
    </row>
    <row r="6894" spans="1:5" x14ac:dyDescent="0.35">
      <c r="A6894">
        <v>2015</v>
      </c>
      <c r="B6894" t="s">
        <v>33</v>
      </c>
      <c r="C6894" t="s">
        <v>96</v>
      </c>
      <c r="D6894">
        <v>3</v>
      </c>
      <c r="E6894" t="s">
        <v>467</v>
      </c>
    </row>
    <row r="6895" spans="1:5" x14ac:dyDescent="0.35">
      <c r="A6895">
        <v>2015</v>
      </c>
      <c r="B6895" t="s">
        <v>34</v>
      </c>
      <c r="C6895" t="s">
        <v>184</v>
      </c>
      <c r="D6895">
        <v>4</v>
      </c>
      <c r="E6895" t="s">
        <v>328</v>
      </c>
    </row>
    <row r="6896" spans="1:5" x14ac:dyDescent="0.35">
      <c r="A6896">
        <v>2015</v>
      </c>
      <c r="B6896" t="s">
        <v>34</v>
      </c>
      <c r="C6896" t="s">
        <v>8</v>
      </c>
      <c r="D6896">
        <v>4</v>
      </c>
      <c r="E6896" t="s">
        <v>467</v>
      </c>
    </row>
    <row r="6897" spans="1:5" x14ac:dyDescent="0.35">
      <c r="A6897">
        <v>2015</v>
      </c>
      <c r="B6897" t="s">
        <v>34</v>
      </c>
      <c r="C6897" t="s">
        <v>184</v>
      </c>
      <c r="D6897">
        <v>0</v>
      </c>
      <c r="E6897" t="s">
        <v>355</v>
      </c>
    </row>
    <row r="6898" spans="1:5" x14ac:dyDescent="0.35">
      <c r="A6898">
        <v>2015</v>
      </c>
      <c r="B6898" t="s">
        <v>35</v>
      </c>
      <c r="C6898" t="s">
        <v>97</v>
      </c>
      <c r="D6898">
        <v>391</v>
      </c>
      <c r="E6898" t="s">
        <v>467</v>
      </c>
    </row>
    <row r="6899" spans="1:5" x14ac:dyDescent="0.35">
      <c r="A6899">
        <v>2015</v>
      </c>
      <c r="B6899" t="s">
        <v>35</v>
      </c>
      <c r="C6899" t="s">
        <v>182</v>
      </c>
      <c r="D6899">
        <v>11</v>
      </c>
      <c r="E6899" t="s">
        <v>328</v>
      </c>
    </row>
    <row r="6900" spans="1:5" x14ac:dyDescent="0.35">
      <c r="A6900">
        <v>2015</v>
      </c>
      <c r="B6900" t="s">
        <v>33</v>
      </c>
      <c r="C6900" t="s">
        <v>98</v>
      </c>
      <c r="D6900">
        <v>79</v>
      </c>
      <c r="E6900" t="s">
        <v>467</v>
      </c>
    </row>
    <row r="6901" spans="1:5" x14ac:dyDescent="0.35">
      <c r="A6901">
        <v>2015</v>
      </c>
      <c r="B6901" t="s">
        <v>35</v>
      </c>
      <c r="C6901" t="s">
        <v>182</v>
      </c>
      <c r="D6901">
        <v>6</v>
      </c>
      <c r="E6901" t="s">
        <v>355</v>
      </c>
    </row>
    <row r="6902" spans="1:5" x14ac:dyDescent="0.35">
      <c r="A6902">
        <v>2015</v>
      </c>
      <c r="B6902" t="s">
        <v>35</v>
      </c>
      <c r="C6902" t="s">
        <v>99</v>
      </c>
      <c r="D6902">
        <v>142</v>
      </c>
      <c r="E6902" t="s">
        <v>467</v>
      </c>
    </row>
    <row r="6903" spans="1:5" x14ac:dyDescent="0.35">
      <c r="A6903">
        <v>2015</v>
      </c>
      <c r="B6903" t="s">
        <v>36</v>
      </c>
      <c r="C6903" t="s">
        <v>165</v>
      </c>
      <c r="D6903">
        <v>8</v>
      </c>
      <c r="E6903" t="s">
        <v>355</v>
      </c>
    </row>
    <row r="6904" spans="1:5" x14ac:dyDescent="0.35">
      <c r="A6904">
        <v>2015</v>
      </c>
      <c r="B6904" t="s">
        <v>36</v>
      </c>
      <c r="C6904" t="s">
        <v>100</v>
      </c>
      <c r="D6904">
        <v>12</v>
      </c>
      <c r="E6904" t="s">
        <v>467</v>
      </c>
    </row>
    <row r="6905" spans="1:5" x14ac:dyDescent="0.35">
      <c r="A6905">
        <v>2015</v>
      </c>
      <c r="B6905" t="s">
        <v>38</v>
      </c>
      <c r="C6905" t="s">
        <v>180</v>
      </c>
      <c r="E6905" t="s">
        <v>328</v>
      </c>
    </row>
    <row r="6906" spans="1:5" x14ac:dyDescent="0.35">
      <c r="A6906">
        <v>2015</v>
      </c>
      <c r="B6906" t="s">
        <v>33</v>
      </c>
      <c r="C6906" t="s">
        <v>101</v>
      </c>
      <c r="D6906">
        <v>15</v>
      </c>
      <c r="E6906" t="s">
        <v>467</v>
      </c>
    </row>
    <row r="6907" spans="1:5" x14ac:dyDescent="0.35">
      <c r="A6907">
        <v>2015</v>
      </c>
      <c r="B6907" t="s">
        <v>33</v>
      </c>
      <c r="C6907" t="s">
        <v>179</v>
      </c>
      <c r="D6907">
        <v>5</v>
      </c>
      <c r="E6907" t="s">
        <v>328</v>
      </c>
    </row>
    <row r="6908" spans="1:5" x14ac:dyDescent="0.35">
      <c r="A6908">
        <v>2015</v>
      </c>
      <c r="B6908" t="s">
        <v>38</v>
      </c>
      <c r="C6908" t="s">
        <v>103</v>
      </c>
      <c r="D6908">
        <v>55</v>
      </c>
      <c r="E6908" t="s">
        <v>467</v>
      </c>
    </row>
    <row r="6909" spans="1:5" x14ac:dyDescent="0.35">
      <c r="A6909">
        <v>2015</v>
      </c>
      <c r="B6909" t="s">
        <v>33</v>
      </c>
      <c r="C6909" t="s">
        <v>179</v>
      </c>
      <c r="D6909">
        <v>6</v>
      </c>
      <c r="E6909" t="s">
        <v>355</v>
      </c>
    </row>
    <row r="6910" spans="1:5" x14ac:dyDescent="0.35">
      <c r="A6910">
        <v>2015</v>
      </c>
      <c r="B6910" t="s">
        <v>36</v>
      </c>
      <c r="C6910" t="s">
        <v>104</v>
      </c>
      <c r="D6910">
        <v>180</v>
      </c>
      <c r="E6910" t="s">
        <v>467</v>
      </c>
    </row>
    <row r="6911" spans="1:5" x14ac:dyDescent="0.35">
      <c r="A6911">
        <v>2015</v>
      </c>
      <c r="B6911" t="s">
        <v>34</v>
      </c>
      <c r="C6911" t="s">
        <v>178</v>
      </c>
      <c r="D6911">
        <v>23</v>
      </c>
      <c r="E6911" t="s">
        <v>328</v>
      </c>
    </row>
    <row r="6912" spans="1:5" x14ac:dyDescent="0.35">
      <c r="A6912">
        <v>2015</v>
      </c>
      <c r="B6912" t="s">
        <v>36</v>
      </c>
      <c r="C6912" t="s">
        <v>17</v>
      </c>
      <c r="D6912">
        <v>555</v>
      </c>
      <c r="E6912" t="s">
        <v>467</v>
      </c>
    </row>
    <row r="6913" spans="1:5" x14ac:dyDescent="0.35">
      <c r="A6913">
        <v>2015</v>
      </c>
      <c r="B6913" t="s">
        <v>34</v>
      </c>
      <c r="C6913" t="s">
        <v>178</v>
      </c>
      <c r="D6913">
        <v>3</v>
      </c>
      <c r="E6913" t="s">
        <v>355</v>
      </c>
    </row>
    <row r="6914" spans="1:5" x14ac:dyDescent="0.35">
      <c r="A6914">
        <v>2015</v>
      </c>
      <c r="B6914" t="s">
        <v>36</v>
      </c>
      <c r="C6914" t="s">
        <v>15</v>
      </c>
      <c r="D6914">
        <v>799</v>
      </c>
      <c r="E6914" t="s">
        <v>467</v>
      </c>
    </row>
    <row r="6915" spans="1:5" x14ac:dyDescent="0.35">
      <c r="A6915">
        <v>2015</v>
      </c>
      <c r="B6915" t="s">
        <v>35</v>
      </c>
      <c r="C6915" t="s">
        <v>177</v>
      </c>
      <c r="D6915">
        <v>74</v>
      </c>
      <c r="E6915" t="s">
        <v>328</v>
      </c>
    </row>
    <row r="6916" spans="1:5" x14ac:dyDescent="0.35">
      <c r="A6916">
        <v>2015</v>
      </c>
      <c r="B6916" t="s">
        <v>35</v>
      </c>
      <c r="C6916" t="s">
        <v>105</v>
      </c>
      <c r="D6916">
        <v>174</v>
      </c>
      <c r="E6916" t="s">
        <v>467</v>
      </c>
    </row>
    <row r="6917" spans="1:5" x14ac:dyDescent="0.35">
      <c r="A6917">
        <v>2015</v>
      </c>
      <c r="B6917" t="s">
        <v>35</v>
      </c>
      <c r="C6917" t="s">
        <v>177</v>
      </c>
      <c r="D6917">
        <v>31</v>
      </c>
      <c r="E6917" t="s">
        <v>355</v>
      </c>
    </row>
    <row r="6918" spans="1:5" x14ac:dyDescent="0.35">
      <c r="A6918">
        <v>2015</v>
      </c>
      <c r="B6918" t="s">
        <v>35</v>
      </c>
      <c r="C6918" t="s">
        <v>106</v>
      </c>
      <c r="D6918">
        <v>5</v>
      </c>
      <c r="E6918" t="s">
        <v>467</v>
      </c>
    </row>
    <row r="6919" spans="1:5" x14ac:dyDescent="0.35">
      <c r="A6919">
        <v>2015</v>
      </c>
      <c r="B6919" t="s">
        <v>33</v>
      </c>
      <c r="C6919" t="s">
        <v>176</v>
      </c>
      <c r="E6919" t="s">
        <v>355</v>
      </c>
    </row>
    <row r="6920" spans="1:5" x14ac:dyDescent="0.35">
      <c r="A6920">
        <v>2015</v>
      </c>
      <c r="B6920" t="s">
        <v>34</v>
      </c>
      <c r="C6920" t="s">
        <v>22</v>
      </c>
      <c r="D6920">
        <v>1116</v>
      </c>
      <c r="E6920" t="s">
        <v>467</v>
      </c>
    </row>
    <row r="6921" spans="1:5" x14ac:dyDescent="0.35">
      <c r="A6921">
        <v>2015</v>
      </c>
      <c r="B6921" t="s">
        <v>38</v>
      </c>
      <c r="C6921" t="s">
        <v>180</v>
      </c>
      <c r="E6921" t="s">
        <v>355</v>
      </c>
    </row>
    <row r="6922" spans="1:5" x14ac:dyDescent="0.35">
      <c r="A6922">
        <v>2015</v>
      </c>
      <c r="B6922" t="s">
        <v>34</v>
      </c>
      <c r="C6922" t="s">
        <v>107</v>
      </c>
      <c r="D6922">
        <v>59</v>
      </c>
      <c r="E6922" t="s">
        <v>467</v>
      </c>
    </row>
    <row r="6923" spans="1:5" x14ac:dyDescent="0.35">
      <c r="A6923">
        <v>2015</v>
      </c>
      <c r="B6923" t="s">
        <v>35</v>
      </c>
      <c r="C6923" t="s">
        <v>119</v>
      </c>
      <c r="D6923">
        <v>9</v>
      </c>
      <c r="E6923" t="s">
        <v>355</v>
      </c>
    </row>
    <row r="6924" spans="1:5" x14ac:dyDescent="0.35">
      <c r="A6924">
        <v>2015</v>
      </c>
      <c r="B6924" t="s">
        <v>34</v>
      </c>
      <c r="C6924" t="s">
        <v>108</v>
      </c>
      <c r="D6924">
        <v>541</v>
      </c>
      <c r="E6924" t="s">
        <v>467</v>
      </c>
    </row>
    <row r="6925" spans="1:5" x14ac:dyDescent="0.35">
      <c r="A6925">
        <v>2015</v>
      </c>
      <c r="B6925" t="s">
        <v>36</v>
      </c>
      <c r="C6925" t="s">
        <v>79</v>
      </c>
      <c r="D6925">
        <v>18</v>
      </c>
      <c r="E6925" t="s">
        <v>355</v>
      </c>
    </row>
    <row r="6926" spans="1:5" x14ac:dyDescent="0.35">
      <c r="A6926">
        <v>2015</v>
      </c>
      <c r="B6926" t="s">
        <v>34</v>
      </c>
      <c r="C6926" t="s">
        <v>109</v>
      </c>
      <c r="D6926">
        <v>201</v>
      </c>
      <c r="E6926" t="s">
        <v>467</v>
      </c>
    </row>
    <row r="6927" spans="1:5" x14ac:dyDescent="0.35">
      <c r="A6927">
        <v>2015</v>
      </c>
      <c r="B6927" t="s">
        <v>34</v>
      </c>
      <c r="C6927" t="s">
        <v>118</v>
      </c>
      <c r="D6927">
        <v>67</v>
      </c>
      <c r="E6927" t="s">
        <v>355</v>
      </c>
    </row>
    <row r="6928" spans="1:5" x14ac:dyDescent="0.35">
      <c r="A6928">
        <v>2015</v>
      </c>
      <c r="B6928" t="s">
        <v>35</v>
      </c>
      <c r="C6928" t="s">
        <v>110</v>
      </c>
      <c r="D6928">
        <v>125</v>
      </c>
      <c r="E6928" t="s">
        <v>467</v>
      </c>
    </row>
    <row r="6929" spans="1:5" x14ac:dyDescent="0.35">
      <c r="A6929">
        <v>2015</v>
      </c>
      <c r="B6929" t="s">
        <v>33</v>
      </c>
      <c r="C6929" t="s">
        <v>68</v>
      </c>
      <c r="D6929">
        <v>11</v>
      </c>
      <c r="E6929" t="s">
        <v>355</v>
      </c>
    </row>
    <row r="6930" spans="1:5" x14ac:dyDescent="0.35">
      <c r="A6930">
        <v>2015</v>
      </c>
      <c r="B6930" t="s">
        <v>34</v>
      </c>
      <c r="C6930" t="s">
        <v>111</v>
      </c>
      <c r="D6930">
        <v>180</v>
      </c>
      <c r="E6930" t="s">
        <v>467</v>
      </c>
    </row>
    <row r="6931" spans="1:5" x14ac:dyDescent="0.35">
      <c r="A6931">
        <v>2015</v>
      </c>
      <c r="B6931" t="s">
        <v>34</v>
      </c>
      <c r="C6931" t="s">
        <v>67</v>
      </c>
      <c r="E6931" t="s">
        <v>328</v>
      </c>
    </row>
    <row r="6932" spans="1:5" x14ac:dyDescent="0.35">
      <c r="A6932">
        <v>2015</v>
      </c>
      <c r="B6932" t="s">
        <v>35</v>
      </c>
      <c r="C6932" t="s">
        <v>112</v>
      </c>
      <c r="D6932">
        <v>581</v>
      </c>
      <c r="E6932" t="s">
        <v>467</v>
      </c>
    </row>
    <row r="6933" spans="1:5" x14ac:dyDescent="0.35">
      <c r="A6933">
        <v>2015</v>
      </c>
      <c r="B6933" t="s">
        <v>34</v>
      </c>
      <c r="C6933" t="s">
        <v>67</v>
      </c>
      <c r="E6933" t="s">
        <v>355</v>
      </c>
    </row>
    <row r="6934" spans="1:5" x14ac:dyDescent="0.35">
      <c r="A6934">
        <v>2015</v>
      </c>
      <c r="B6934" t="s">
        <v>36</v>
      </c>
      <c r="C6934" t="s">
        <v>113</v>
      </c>
      <c r="D6934">
        <v>461</v>
      </c>
      <c r="E6934" t="s">
        <v>467</v>
      </c>
    </row>
    <row r="6935" spans="1:5" x14ac:dyDescent="0.35">
      <c r="A6935">
        <v>2015</v>
      </c>
      <c r="B6935" t="s">
        <v>33</v>
      </c>
      <c r="C6935" t="s">
        <v>66</v>
      </c>
      <c r="D6935">
        <v>4</v>
      </c>
      <c r="E6935" t="s">
        <v>328</v>
      </c>
    </row>
    <row r="6936" spans="1:5" x14ac:dyDescent="0.35">
      <c r="A6936">
        <v>2015</v>
      </c>
      <c r="B6936" t="s">
        <v>34</v>
      </c>
      <c r="C6936" t="s">
        <v>114</v>
      </c>
      <c r="D6936">
        <v>357</v>
      </c>
      <c r="E6936" t="s">
        <v>467</v>
      </c>
    </row>
    <row r="6937" spans="1:5" x14ac:dyDescent="0.35">
      <c r="A6937">
        <v>2015</v>
      </c>
      <c r="B6937" t="s">
        <v>33</v>
      </c>
      <c r="C6937" t="s">
        <v>66</v>
      </c>
      <c r="D6937">
        <v>4</v>
      </c>
      <c r="E6937" t="s">
        <v>355</v>
      </c>
    </row>
    <row r="6938" spans="1:5" x14ac:dyDescent="0.35">
      <c r="A6938">
        <v>2015</v>
      </c>
      <c r="B6938" t="s">
        <v>33</v>
      </c>
      <c r="C6938" t="s">
        <v>65</v>
      </c>
      <c r="E6938" t="s">
        <v>328</v>
      </c>
    </row>
    <row r="6939" spans="1:5" x14ac:dyDescent="0.35">
      <c r="A6939">
        <v>2015</v>
      </c>
      <c r="B6939" t="s">
        <v>33</v>
      </c>
      <c r="C6939" t="s">
        <v>65</v>
      </c>
      <c r="D6939">
        <v>0</v>
      </c>
      <c r="E6939" t="s">
        <v>355</v>
      </c>
    </row>
    <row r="6940" spans="1:5" x14ac:dyDescent="0.35">
      <c r="A6940">
        <v>2015</v>
      </c>
      <c r="B6940" t="s">
        <v>34</v>
      </c>
      <c r="C6940" t="s">
        <v>64</v>
      </c>
      <c r="E6940" t="s">
        <v>328</v>
      </c>
    </row>
    <row r="6941" spans="1:5" x14ac:dyDescent="0.35">
      <c r="A6941">
        <v>2015</v>
      </c>
      <c r="B6941" t="s">
        <v>34</v>
      </c>
      <c r="C6941" t="s">
        <v>64</v>
      </c>
      <c r="E6941" t="s">
        <v>355</v>
      </c>
    </row>
    <row r="6942" spans="1:5" x14ac:dyDescent="0.35">
      <c r="A6942">
        <v>2015</v>
      </c>
      <c r="B6942" t="s">
        <v>33</v>
      </c>
      <c r="C6942" t="s">
        <v>63</v>
      </c>
      <c r="E6942" t="s">
        <v>328</v>
      </c>
    </row>
    <row r="6943" spans="1:5" x14ac:dyDescent="0.35">
      <c r="A6943">
        <v>2015</v>
      </c>
      <c r="B6943" t="s">
        <v>33</v>
      </c>
      <c r="C6943" t="s">
        <v>63</v>
      </c>
      <c r="E6943" t="s">
        <v>355</v>
      </c>
    </row>
    <row r="6944" spans="1:5" x14ac:dyDescent="0.35">
      <c r="A6944">
        <v>2015</v>
      </c>
      <c r="B6944" t="s">
        <v>35</v>
      </c>
      <c r="C6944" t="s">
        <v>62</v>
      </c>
      <c r="D6944">
        <v>19</v>
      </c>
      <c r="E6944" t="s">
        <v>328</v>
      </c>
    </row>
    <row r="6945" spans="1:5" x14ac:dyDescent="0.35">
      <c r="A6945">
        <v>2015</v>
      </c>
      <c r="B6945" t="s">
        <v>35</v>
      </c>
      <c r="C6945" t="s">
        <v>62</v>
      </c>
      <c r="D6945">
        <v>17</v>
      </c>
      <c r="E6945" t="s">
        <v>355</v>
      </c>
    </row>
    <row r="6946" spans="1:5" x14ac:dyDescent="0.35">
      <c r="A6946">
        <v>2015</v>
      </c>
      <c r="B6946" t="s">
        <v>38</v>
      </c>
      <c r="C6946" t="s">
        <v>21</v>
      </c>
      <c r="D6946">
        <v>736</v>
      </c>
      <c r="E6946" t="s">
        <v>328</v>
      </c>
    </row>
    <row r="6947" spans="1:5" x14ac:dyDescent="0.35">
      <c r="A6947">
        <v>2015</v>
      </c>
      <c r="B6947" t="s">
        <v>35</v>
      </c>
      <c r="C6947" t="s">
        <v>60</v>
      </c>
      <c r="D6947">
        <v>13</v>
      </c>
      <c r="E6947" t="s">
        <v>328</v>
      </c>
    </row>
    <row r="6948" spans="1:5" x14ac:dyDescent="0.35">
      <c r="A6948">
        <v>2015</v>
      </c>
      <c r="B6948" t="s">
        <v>33</v>
      </c>
      <c r="C6948" t="s">
        <v>68</v>
      </c>
      <c r="D6948">
        <v>20</v>
      </c>
      <c r="E6948" t="s">
        <v>328</v>
      </c>
    </row>
    <row r="6949" spans="1:5" x14ac:dyDescent="0.35">
      <c r="A6949">
        <v>2015</v>
      </c>
      <c r="B6949" t="s">
        <v>35</v>
      </c>
      <c r="C6949" t="s">
        <v>60</v>
      </c>
      <c r="D6949">
        <v>43</v>
      </c>
      <c r="E6949" t="s">
        <v>355</v>
      </c>
    </row>
    <row r="6950" spans="1:5" x14ac:dyDescent="0.35">
      <c r="A6950">
        <v>2015</v>
      </c>
      <c r="B6950" t="s">
        <v>36</v>
      </c>
      <c r="C6950" t="s">
        <v>69</v>
      </c>
      <c r="D6950">
        <v>264</v>
      </c>
      <c r="E6950" t="s">
        <v>355</v>
      </c>
    </row>
    <row r="6951" spans="1:5" x14ac:dyDescent="0.35">
      <c r="A6951">
        <v>2015</v>
      </c>
      <c r="B6951" t="s">
        <v>33</v>
      </c>
      <c r="C6951" t="s">
        <v>71</v>
      </c>
      <c r="D6951">
        <v>0</v>
      </c>
      <c r="E6951" t="s">
        <v>355</v>
      </c>
    </row>
    <row r="6952" spans="1:5" x14ac:dyDescent="0.35">
      <c r="A6952">
        <v>2015</v>
      </c>
      <c r="B6952" t="s">
        <v>33</v>
      </c>
      <c r="C6952" t="s">
        <v>77</v>
      </c>
      <c r="D6952">
        <v>7</v>
      </c>
      <c r="E6952" t="s">
        <v>328</v>
      </c>
    </row>
    <row r="6953" spans="1:5" x14ac:dyDescent="0.35">
      <c r="A6953">
        <v>2015</v>
      </c>
      <c r="B6953" t="s">
        <v>33</v>
      </c>
      <c r="C6953" t="s">
        <v>77</v>
      </c>
      <c r="D6953">
        <v>3</v>
      </c>
      <c r="E6953" t="s">
        <v>355</v>
      </c>
    </row>
    <row r="6954" spans="1:5" x14ac:dyDescent="0.35">
      <c r="A6954">
        <v>2015</v>
      </c>
      <c r="B6954" t="s">
        <v>36</v>
      </c>
      <c r="C6954" t="s">
        <v>76</v>
      </c>
      <c r="D6954">
        <v>137</v>
      </c>
      <c r="E6954" t="s">
        <v>328</v>
      </c>
    </row>
    <row r="6955" spans="1:5" x14ac:dyDescent="0.35">
      <c r="A6955">
        <v>2015</v>
      </c>
      <c r="B6955" t="s">
        <v>36</v>
      </c>
      <c r="C6955" t="s">
        <v>76</v>
      </c>
      <c r="D6955">
        <v>87</v>
      </c>
      <c r="E6955" t="s">
        <v>355</v>
      </c>
    </row>
    <row r="6956" spans="1:5" x14ac:dyDescent="0.35">
      <c r="A6956">
        <v>2015</v>
      </c>
      <c r="B6956" t="s">
        <v>33</v>
      </c>
      <c r="C6956" t="s">
        <v>75</v>
      </c>
      <c r="E6956" t="s">
        <v>328</v>
      </c>
    </row>
    <row r="6957" spans="1:5" x14ac:dyDescent="0.35">
      <c r="A6957">
        <v>2015</v>
      </c>
      <c r="B6957" t="s">
        <v>33</v>
      </c>
      <c r="C6957" t="s">
        <v>75</v>
      </c>
      <c r="E6957" t="s">
        <v>355</v>
      </c>
    </row>
    <row r="6958" spans="1:5" x14ac:dyDescent="0.35">
      <c r="A6958">
        <v>2015</v>
      </c>
      <c r="B6958" t="s">
        <v>33</v>
      </c>
      <c r="C6958" t="s">
        <v>74</v>
      </c>
      <c r="E6958" t="s">
        <v>328</v>
      </c>
    </row>
    <row r="6959" spans="1:5" x14ac:dyDescent="0.35">
      <c r="A6959">
        <v>2015</v>
      </c>
      <c r="B6959" t="s">
        <v>33</v>
      </c>
      <c r="C6959" t="s">
        <v>74</v>
      </c>
      <c r="E6959" t="s">
        <v>355</v>
      </c>
    </row>
    <row r="6960" spans="1:5" x14ac:dyDescent="0.35">
      <c r="A6960">
        <v>2015</v>
      </c>
      <c r="B6960" t="s">
        <v>38</v>
      </c>
      <c r="C6960" t="s">
        <v>20</v>
      </c>
      <c r="D6960">
        <v>797</v>
      </c>
      <c r="E6960" t="s">
        <v>328</v>
      </c>
    </row>
    <row r="6961" spans="1:5" x14ac:dyDescent="0.35">
      <c r="A6961">
        <v>2015</v>
      </c>
      <c r="B6961" t="s">
        <v>38</v>
      </c>
      <c r="C6961" t="s">
        <v>20</v>
      </c>
      <c r="D6961">
        <v>792</v>
      </c>
      <c r="E6961" t="s">
        <v>355</v>
      </c>
    </row>
    <row r="6962" spans="1:5" x14ac:dyDescent="0.35">
      <c r="A6962">
        <v>2015</v>
      </c>
      <c r="B6962" t="s">
        <v>34</v>
      </c>
      <c r="C6962" t="s">
        <v>73</v>
      </c>
      <c r="D6962">
        <v>601</v>
      </c>
      <c r="E6962" t="s">
        <v>328</v>
      </c>
    </row>
    <row r="6963" spans="1:5" x14ac:dyDescent="0.35">
      <c r="A6963">
        <v>2015</v>
      </c>
      <c r="B6963" t="s">
        <v>34</v>
      </c>
      <c r="C6963" t="s">
        <v>73</v>
      </c>
      <c r="D6963">
        <v>128</v>
      </c>
      <c r="E6963" t="s">
        <v>355</v>
      </c>
    </row>
    <row r="6964" spans="1:5" x14ac:dyDescent="0.35">
      <c r="A6964">
        <v>2015</v>
      </c>
      <c r="B6964" t="s">
        <v>38</v>
      </c>
      <c r="C6964" t="s">
        <v>72</v>
      </c>
      <c r="D6964">
        <v>50</v>
      </c>
      <c r="E6964" t="s">
        <v>328</v>
      </c>
    </row>
    <row r="6965" spans="1:5" x14ac:dyDescent="0.35">
      <c r="A6965">
        <v>2015</v>
      </c>
      <c r="B6965" t="s">
        <v>38</v>
      </c>
      <c r="C6965" t="s">
        <v>72</v>
      </c>
      <c r="D6965">
        <v>43</v>
      </c>
      <c r="E6965" t="s">
        <v>355</v>
      </c>
    </row>
    <row r="6966" spans="1:5" x14ac:dyDescent="0.35">
      <c r="A6966">
        <v>2015</v>
      </c>
      <c r="B6966" t="s">
        <v>33</v>
      </c>
      <c r="C6966" t="s">
        <v>71</v>
      </c>
      <c r="D6966">
        <v>3</v>
      </c>
      <c r="E6966" t="s">
        <v>328</v>
      </c>
    </row>
    <row r="6967" spans="1:5" x14ac:dyDescent="0.35">
      <c r="A6967">
        <v>2015</v>
      </c>
      <c r="B6967" t="s">
        <v>36</v>
      </c>
      <c r="C6967" t="s">
        <v>69</v>
      </c>
      <c r="D6967">
        <v>380</v>
      </c>
      <c r="E6967" t="s">
        <v>328</v>
      </c>
    </row>
    <row r="6968" spans="1:5" x14ac:dyDescent="0.35">
      <c r="A6968">
        <v>2015</v>
      </c>
      <c r="B6968" t="s">
        <v>35</v>
      </c>
      <c r="C6968" t="s">
        <v>78</v>
      </c>
      <c r="E6968" t="s">
        <v>355</v>
      </c>
    </row>
    <row r="6969" spans="1:5" x14ac:dyDescent="0.35">
      <c r="A6969">
        <v>2015</v>
      </c>
      <c r="B6969" t="s">
        <v>38</v>
      </c>
      <c r="C6969" t="s">
        <v>59</v>
      </c>
      <c r="D6969">
        <v>32</v>
      </c>
      <c r="E6969" t="s">
        <v>328</v>
      </c>
    </row>
    <row r="6970" spans="1:5" x14ac:dyDescent="0.35">
      <c r="A6970">
        <v>2015</v>
      </c>
      <c r="B6970" t="s">
        <v>33</v>
      </c>
      <c r="C6970" t="s">
        <v>57</v>
      </c>
      <c r="D6970">
        <v>5</v>
      </c>
      <c r="E6970" t="s">
        <v>328</v>
      </c>
    </row>
    <row r="6971" spans="1:5" x14ac:dyDescent="0.35">
      <c r="A6971">
        <v>2015</v>
      </c>
      <c r="B6971" t="s">
        <v>38</v>
      </c>
      <c r="C6971" t="s">
        <v>45</v>
      </c>
      <c r="D6971">
        <v>77</v>
      </c>
      <c r="E6971" t="s">
        <v>328</v>
      </c>
    </row>
    <row r="6972" spans="1:5" x14ac:dyDescent="0.35">
      <c r="A6972">
        <v>2015</v>
      </c>
      <c r="B6972" t="s">
        <v>38</v>
      </c>
      <c r="C6972" t="s">
        <v>45</v>
      </c>
      <c r="D6972">
        <v>58</v>
      </c>
      <c r="E6972" t="s">
        <v>355</v>
      </c>
    </row>
    <row r="6973" spans="1:5" x14ac:dyDescent="0.35">
      <c r="A6973">
        <v>2015</v>
      </c>
      <c r="B6973" t="s">
        <v>36</v>
      </c>
      <c r="C6973" t="s">
        <v>44</v>
      </c>
      <c r="D6973">
        <v>5</v>
      </c>
      <c r="E6973" t="s">
        <v>328</v>
      </c>
    </row>
    <row r="6974" spans="1:5" x14ac:dyDescent="0.35">
      <c r="A6974">
        <v>2015</v>
      </c>
      <c r="B6974" t="s">
        <v>36</v>
      </c>
      <c r="C6974" t="s">
        <v>44</v>
      </c>
      <c r="D6974">
        <v>11</v>
      </c>
      <c r="E6974" t="s">
        <v>355</v>
      </c>
    </row>
    <row r="6975" spans="1:5" x14ac:dyDescent="0.35">
      <c r="A6975">
        <v>2015</v>
      </c>
      <c r="B6975" t="s">
        <v>33</v>
      </c>
      <c r="C6975" t="s">
        <v>43</v>
      </c>
      <c r="D6975">
        <v>7</v>
      </c>
      <c r="E6975" t="s">
        <v>328</v>
      </c>
    </row>
    <row r="6976" spans="1:5" x14ac:dyDescent="0.35">
      <c r="A6976">
        <v>2015</v>
      </c>
      <c r="B6976" t="s">
        <v>33</v>
      </c>
      <c r="C6976" t="s">
        <v>43</v>
      </c>
      <c r="D6976">
        <v>3</v>
      </c>
      <c r="E6976" t="s">
        <v>355</v>
      </c>
    </row>
    <row r="6977" spans="1:5" x14ac:dyDescent="0.35">
      <c r="A6977">
        <v>2015</v>
      </c>
      <c r="C6977" t="s">
        <v>373</v>
      </c>
      <c r="D6977">
        <v>27</v>
      </c>
      <c r="E6977" t="s">
        <v>328</v>
      </c>
    </row>
    <row r="6978" spans="1:5" x14ac:dyDescent="0.35">
      <c r="A6978">
        <v>2015</v>
      </c>
      <c r="C6978" t="s">
        <v>373</v>
      </c>
      <c r="D6978">
        <v>10</v>
      </c>
      <c r="E6978" t="s">
        <v>355</v>
      </c>
    </row>
    <row r="6979" spans="1:5" x14ac:dyDescent="0.35">
      <c r="A6979">
        <v>2015</v>
      </c>
      <c r="B6979" t="s">
        <v>33</v>
      </c>
      <c r="C6979" t="s">
        <v>42</v>
      </c>
      <c r="E6979" t="s">
        <v>328</v>
      </c>
    </row>
    <row r="6980" spans="1:5" x14ac:dyDescent="0.35">
      <c r="A6980">
        <v>2015</v>
      </c>
      <c r="B6980" t="s">
        <v>33</v>
      </c>
      <c r="C6980" t="s">
        <v>42</v>
      </c>
      <c r="E6980" t="s">
        <v>355</v>
      </c>
    </row>
    <row r="6981" spans="1:5" x14ac:dyDescent="0.35">
      <c r="A6981">
        <v>2015</v>
      </c>
      <c r="B6981" t="s">
        <v>35</v>
      </c>
      <c r="C6981" t="s">
        <v>41</v>
      </c>
      <c r="D6981">
        <v>22</v>
      </c>
      <c r="E6981" t="s">
        <v>328</v>
      </c>
    </row>
    <row r="6982" spans="1:5" x14ac:dyDescent="0.35">
      <c r="A6982">
        <v>2015</v>
      </c>
      <c r="B6982" t="s">
        <v>35</v>
      </c>
      <c r="C6982" t="s">
        <v>41</v>
      </c>
      <c r="D6982">
        <v>21</v>
      </c>
      <c r="E6982" t="s">
        <v>355</v>
      </c>
    </row>
    <row r="6983" spans="1:5" x14ac:dyDescent="0.35">
      <c r="A6983">
        <v>2015</v>
      </c>
      <c r="B6983" t="s">
        <v>34</v>
      </c>
      <c r="C6983" t="s">
        <v>40</v>
      </c>
      <c r="E6983" t="s">
        <v>328</v>
      </c>
    </row>
    <row r="6984" spans="1:5" x14ac:dyDescent="0.35">
      <c r="A6984">
        <v>2015</v>
      </c>
      <c r="B6984" t="s">
        <v>34</v>
      </c>
      <c r="C6984" t="s">
        <v>40</v>
      </c>
      <c r="E6984" t="s">
        <v>355</v>
      </c>
    </row>
    <row r="6985" spans="1:5" x14ac:dyDescent="0.35">
      <c r="A6985">
        <v>2015</v>
      </c>
      <c r="B6985" t="s">
        <v>34</v>
      </c>
      <c r="C6985" t="s">
        <v>118</v>
      </c>
      <c r="D6985">
        <v>80</v>
      </c>
      <c r="E6985" t="s">
        <v>328</v>
      </c>
    </row>
    <row r="6986" spans="1:5" x14ac:dyDescent="0.35">
      <c r="A6986">
        <v>2015</v>
      </c>
      <c r="B6986" t="s">
        <v>34</v>
      </c>
      <c r="C6986" t="s">
        <v>46</v>
      </c>
      <c r="D6986">
        <v>15</v>
      </c>
      <c r="E6986" t="s">
        <v>355</v>
      </c>
    </row>
    <row r="6987" spans="1:5" x14ac:dyDescent="0.35">
      <c r="A6987">
        <v>2015</v>
      </c>
      <c r="B6987" t="s">
        <v>38</v>
      </c>
      <c r="C6987" t="s">
        <v>59</v>
      </c>
      <c r="D6987">
        <v>39</v>
      </c>
      <c r="E6987" t="s">
        <v>355</v>
      </c>
    </row>
    <row r="6988" spans="1:5" x14ac:dyDescent="0.35">
      <c r="A6988">
        <v>2015</v>
      </c>
      <c r="B6988" t="s">
        <v>34</v>
      </c>
      <c r="C6988" t="s">
        <v>46</v>
      </c>
      <c r="D6988">
        <v>3</v>
      </c>
      <c r="E6988" t="s">
        <v>328</v>
      </c>
    </row>
    <row r="6989" spans="1:5" x14ac:dyDescent="0.35">
      <c r="A6989">
        <v>2015</v>
      </c>
      <c r="B6989" t="s">
        <v>37</v>
      </c>
      <c r="C6989" t="s">
        <v>47</v>
      </c>
      <c r="D6989">
        <v>17</v>
      </c>
      <c r="E6989" t="s">
        <v>328</v>
      </c>
    </row>
    <row r="6990" spans="1:5" x14ac:dyDescent="0.35">
      <c r="A6990">
        <v>2015</v>
      </c>
      <c r="B6990" t="s">
        <v>33</v>
      </c>
      <c r="C6990" t="s">
        <v>57</v>
      </c>
      <c r="D6990">
        <v>3</v>
      </c>
      <c r="E6990" t="s">
        <v>355</v>
      </c>
    </row>
    <row r="6991" spans="1:5" x14ac:dyDescent="0.35">
      <c r="A6991">
        <v>2015</v>
      </c>
      <c r="B6991" t="s">
        <v>36</v>
      </c>
      <c r="C6991" t="s">
        <v>56</v>
      </c>
      <c r="D6991">
        <v>51</v>
      </c>
      <c r="E6991" t="s">
        <v>328</v>
      </c>
    </row>
    <row r="6992" spans="1:5" x14ac:dyDescent="0.35">
      <c r="A6992">
        <v>2015</v>
      </c>
      <c r="B6992" t="s">
        <v>36</v>
      </c>
      <c r="C6992" t="s">
        <v>56</v>
      </c>
      <c r="D6992">
        <v>81</v>
      </c>
      <c r="E6992" t="s">
        <v>355</v>
      </c>
    </row>
    <row r="6993" spans="1:5" x14ac:dyDescent="0.35">
      <c r="A6993">
        <v>2015</v>
      </c>
      <c r="B6993" t="s">
        <v>35</v>
      </c>
      <c r="C6993" t="s">
        <v>55</v>
      </c>
      <c r="D6993">
        <v>3</v>
      </c>
      <c r="E6993" t="s">
        <v>328</v>
      </c>
    </row>
    <row r="6994" spans="1:5" x14ac:dyDescent="0.35">
      <c r="A6994">
        <v>2015</v>
      </c>
      <c r="B6994" t="s">
        <v>35</v>
      </c>
      <c r="C6994" t="s">
        <v>55</v>
      </c>
      <c r="D6994">
        <v>4</v>
      </c>
      <c r="E6994" t="s">
        <v>355</v>
      </c>
    </row>
    <row r="6995" spans="1:5" x14ac:dyDescent="0.35">
      <c r="A6995">
        <v>2015</v>
      </c>
      <c r="B6995" t="s">
        <v>35</v>
      </c>
      <c r="C6995" t="s">
        <v>54</v>
      </c>
      <c r="D6995">
        <v>7</v>
      </c>
      <c r="E6995" t="s">
        <v>328</v>
      </c>
    </row>
    <row r="6996" spans="1:5" x14ac:dyDescent="0.35">
      <c r="A6996">
        <v>2015</v>
      </c>
      <c r="B6996" t="s">
        <v>35</v>
      </c>
      <c r="C6996" t="s">
        <v>54</v>
      </c>
      <c r="D6996">
        <v>3</v>
      </c>
      <c r="E6996" t="s">
        <v>355</v>
      </c>
    </row>
    <row r="6997" spans="1:5" x14ac:dyDescent="0.35">
      <c r="A6997">
        <v>2015</v>
      </c>
      <c r="B6997" t="s">
        <v>36</v>
      </c>
      <c r="C6997" t="s">
        <v>53</v>
      </c>
      <c r="D6997">
        <v>12</v>
      </c>
      <c r="E6997" t="s">
        <v>355</v>
      </c>
    </row>
    <row r="6998" spans="1:5" x14ac:dyDescent="0.35">
      <c r="A6998">
        <v>2015</v>
      </c>
      <c r="B6998" t="s">
        <v>34</v>
      </c>
      <c r="C6998" t="s">
        <v>52</v>
      </c>
      <c r="D6998">
        <v>56</v>
      </c>
      <c r="E6998" t="s">
        <v>328</v>
      </c>
    </row>
    <row r="6999" spans="1:5" x14ac:dyDescent="0.35">
      <c r="A6999">
        <v>2015</v>
      </c>
      <c r="B6999" t="s">
        <v>34</v>
      </c>
      <c r="C6999" t="s">
        <v>52</v>
      </c>
      <c r="D6999">
        <v>13</v>
      </c>
      <c r="E6999" t="s">
        <v>355</v>
      </c>
    </row>
    <row r="7000" spans="1:5" x14ac:dyDescent="0.35">
      <c r="A7000">
        <v>2015</v>
      </c>
      <c r="B7000" t="s">
        <v>36</v>
      </c>
      <c r="C7000" t="s">
        <v>50</v>
      </c>
      <c r="D7000">
        <v>7</v>
      </c>
      <c r="E7000" t="s">
        <v>328</v>
      </c>
    </row>
    <row r="7001" spans="1:5" x14ac:dyDescent="0.35">
      <c r="A7001">
        <v>2015</v>
      </c>
      <c r="B7001" t="s">
        <v>36</v>
      </c>
      <c r="C7001" t="s">
        <v>50</v>
      </c>
      <c r="D7001">
        <v>67</v>
      </c>
      <c r="E7001" t="s">
        <v>355</v>
      </c>
    </row>
    <row r="7002" spans="1:5" x14ac:dyDescent="0.35">
      <c r="A7002">
        <v>2015</v>
      </c>
      <c r="B7002" t="s">
        <v>34</v>
      </c>
      <c r="C7002" t="s">
        <v>49</v>
      </c>
      <c r="D7002">
        <v>4</v>
      </c>
      <c r="E7002" t="s">
        <v>355</v>
      </c>
    </row>
    <row r="7003" spans="1:5" x14ac:dyDescent="0.35">
      <c r="A7003">
        <v>2015</v>
      </c>
      <c r="B7003" t="s">
        <v>35</v>
      </c>
      <c r="C7003" t="s">
        <v>48</v>
      </c>
      <c r="D7003">
        <v>4</v>
      </c>
      <c r="E7003" t="s">
        <v>328</v>
      </c>
    </row>
    <row r="7004" spans="1:5" x14ac:dyDescent="0.35">
      <c r="A7004">
        <v>2015</v>
      </c>
      <c r="B7004" t="s">
        <v>35</v>
      </c>
      <c r="C7004" t="s">
        <v>48</v>
      </c>
      <c r="D7004">
        <v>3</v>
      </c>
      <c r="E7004" t="s">
        <v>355</v>
      </c>
    </row>
    <row r="7005" spans="1:5" x14ac:dyDescent="0.35">
      <c r="A7005">
        <v>2015</v>
      </c>
      <c r="B7005" t="s">
        <v>37</v>
      </c>
      <c r="C7005" t="s">
        <v>47</v>
      </c>
      <c r="D7005">
        <v>16</v>
      </c>
      <c r="E7005" t="s">
        <v>355</v>
      </c>
    </row>
    <row r="7006" spans="1:5" x14ac:dyDescent="0.35">
      <c r="A7006">
        <v>2015</v>
      </c>
      <c r="B7006" t="s">
        <v>35</v>
      </c>
      <c r="C7006" t="s">
        <v>78</v>
      </c>
      <c r="E7006" t="s">
        <v>328</v>
      </c>
    </row>
    <row r="7007" spans="1:5" x14ac:dyDescent="0.35">
      <c r="A7007">
        <v>2015</v>
      </c>
      <c r="B7007" t="s">
        <v>38</v>
      </c>
      <c r="C7007" t="s">
        <v>21</v>
      </c>
      <c r="D7007">
        <v>283</v>
      </c>
      <c r="E7007" t="s">
        <v>355</v>
      </c>
    </row>
    <row r="7008" spans="1:5" x14ac:dyDescent="0.35">
      <c r="A7008">
        <v>2015</v>
      </c>
      <c r="B7008" t="s">
        <v>33</v>
      </c>
      <c r="C7008" t="s">
        <v>117</v>
      </c>
      <c r="D7008">
        <v>55</v>
      </c>
      <c r="E7008" t="s">
        <v>355</v>
      </c>
    </row>
    <row r="7009" spans="1:5" x14ac:dyDescent="0.35">
      <c r="A7009">
        <v>2015</v>
      </c>
      <c r="B7009" t="s">
        <v>34</v>
      </c>
      <c r="C7009" t="s">
        <v>107</v>
      </c>
      <c r="D7009">
        <v>9</v>
      </c>
      <c r="E7009" t="s">
        <v>355</v>
      </c>
    </row>
    <row r="7010" spans="1:5" x14ac:dyDescent="0.35">
      <c r="A7010">
        <v>2015</v>
      </c>
      <c r="B7010" t="s">
        <v>34</v>
      </c>
      <c r="C7010" t="s">
        <v>22</v>
      </c>
      <c r="D7010">
        <v>393</v>
      </c>
      <c r="E7010" t="s">
        <v>328</v>
      </c>
    </row>
    <row r="7011" spans="1:5" x14ac:dyDescent="0.35">
      <c r="A7011">
        <v>2015</v>
      </c>
      <c r="B7011" t="s">
        <v>34</v>
      </c>
      <c r="C7011" t="s">
        <v>22</v>
      </c>
      <c r="D7011">
        <v>134</v>
      </c>
      <c r="E7011" t="s">
        <v>355</v>
      </c>
    </row>
    <row r="7012" spans="1:5" x14ac:dyDescent="0.35">
      <c r="A7012">
        <v>2015</v>
      </c>
      <c r="B7012" t="s">
        <v>35</v>
      </c>
      <c r="C7012" t="s">
        <v>105</v>
      </c>
      <c r="D7012">
        <v>18</v>
      </c>
      <c r="E7012" t="s">
        <v>328</v>
      </c>
    </row>
    <row r="7013" spans="1:5" x14ac:dyDescent="0.35">
      <c r="A7013">
        <v>2015</v>
      </c>
      <c r="B7013" t="s">
        <v>35</v>
      </c>
      <c r="C7013" t="s">
        <v>105</v>
      </c>
      <c r="D7013">
        <v>11</v>
      </c>
      <c r="E7013" t="s">
        <v>355</v>
      </c>
    </row>
    <row r="7014" spans="1:5" x14ac:dyDescent="0.35">
      <c r="A7014">
        <v>2015</v>
      </c>
      <c r="B7014" t="s">
        <v>36</v>
      </c>
      <c r="C7014" t="s">
        <v>17</v>
      </c>
      <c r="D7014">
        <v>11724</v>
      </c>
      <c r="E7014" t="s">
        <v>328</v>
      </c>
    </row>
    <row r="7015" spans="1:5" x14ac:dyDescent="0.35">
      <c r="A7015">
        <v>2015</v>
      </c>
      <c r="B7015" t="s">
        <v>36</v>
      </c>
      <c r="C7015" t="s">
        <v>17</v>
      </c>
      <c r="D7015">
        <v>8519</v>
      </c>
      <c r="E7015" t="s">
        <v>355</v>
      </c>
    </row>
    <row r="7016" spans="1:5" x14ac:dyDescent="0.35">
      <c r="A7016">
        <v>2015</v>
      </c>
      <c r="B7016" t="s">
        <v>36</v>
      </c>
      <c r="C7016" t="s">
        <v>104</v>
      </c>
      <c r="D7016">
        <v>198</v>
      </c>
      <c r="E7016" t="s">
        <v>328</v>
      </c>
    </row>
    <row r="7017" spans="1:5" x14ac:dyDescent="0.35">
      <c r="A7017">
        <v>2015</v>
      </c>
      <c r="B7017" t="s">
        <v>36</v>
      </c>
      <c r="C7017" t="s">
        <v>104</v>
      </c>
      <c r="D7017">
        <v>268</v>
      </c>
      <c r="E7017" t="s">
        <v>355</v>
      </c>
    </row>
    <row r="7018" spans="1:5" x14ac:dyDescent="0.35">
      <c r="A7018">
        <v>2015</v>
      </c>
      <c r="B7018" t="s">
        <v>38</v>
      </c>
      <c r="C7018" t="s">
        <v>103</v>
      </c>
      <c r="D7018">
        <v>19</v>
      </c>
      <c r="E7018" t="s">
        <v>328</v>
      </c>
    </row>
    <row r="7019" spans="1:5" x14ac:dyDescent="0.35">
      <c r="A7019">
        <v>2015</v>
      </c>
      <c r="B7019" t="s">
        <v>38</v>
      </c>
      <c r="C7019" t="s">
        <v>103</v>
      </c>
      <c r="D7019">
        <v>94</v>
      </c>
      <c r="E7019" t="s">
        <v>355</v>
      </c>
    </row>
    <row r="7020" spans="1:5" x14ac:dyDescent="0.35">
      <c r="A7020">
        <v>2015</v>
      </c>
      <c r="B7020" t="s">
        <v>33</v>
      </c>
      <c r="C7020" t="s">
        <v>101</v>
      </c>
      <c r="D7020">
        <v>7</v>
      </c>
      <c r="E7020" t="s">
        <v>328</v>
      </c>
    </row>
    <row r="7021" spans="1:5" x14ac:dyDescent="0.35">
      <c r="A7021">
        <v>2015</v>
      </c>
      <c r="B7021" t="s">
        <v>33</v>
      </c>
      <c r="C7021" t="s">
        <v>101</v>
      </c>
      <c r="D7021">
        <v>3</v>
      </c>
      <c r="E7021" t="s">
        <v>355</v>
      </c>
    </row>
    <row r="7022" spans="1:5" x14ac:dyDescent="0.35">
      <c r="A7022">
        <v>2015</v>
      </c>
      <c r="B7022" t="s">
        <v>36</v>
      </c>
      <c r="C7022" t="s">
        <v>15</v>
      </c>
      <c r="D7022">
        <v>22867</v>
      </c>
      <c r="E7022" t="s">
        <v>328</v>
      </c>
    </row>
    <row r="7023" spans="1:5" x14ac:dyDescent="0.35">
      <c r="A7023">
        <v>2015</v>
      </c>
      <c r="B7023" t="s">
        <v>36</v>
      </c>
      <c r="C7023" t="s">
        <v>15</v>
      </c>
      <c r="D7023">
        <v>10483</v>
      </c>
      <c r="E7023" t="s">
        <v>355</v>
      </c>
    </row>
    <row r="7024" spans="1:5" x14ac:dyDescent="0.35">
      <c r="A7024">
        <v>2015</v>
      </c>
      <c r="B7024" t="s">
        <v>34</v>
      </c>
      <c r="C7024" t="s">
        <v>108</v>
      </c>
      <c r="D7024">
        <v>12</v>
      </c>
      <c r="E7024" t="s">
        <v>355</v>
      </c>
    </row>
    <row r="7025" spans="1:5" x14ac:dyDescent="0.35">
      <c r="A7025">
        <v>2015</v>
      </c>
      <c r="B7025" t="s">
        <v>34</v>
      </c>
      <c r="C7025" t="s">
        <v>108</v>
      </c>
      <c r="D7025">
        <v>11</v>
      </c>
      <c r="E7025" t="s">
        <v>328</v>
      </c>
    </row>
    <row r="7026" spans="1:5" x14ac:dyDescent="0.35">
      <c r="A7026">
        <v>2015</v>
      </c>
      <c r="B7026" t="s">
        <v>34</v>
      </c>
      <c r="C7026" t="s">
        <v>109</v>
      </c>
      <c r="D7026">
        <v>13</v>
      </c>
      <c r="E7026" t="s">
        <v>355</v>
      </c>
    </row>
    <row r="7027" spans="1:5" x14ac:dyDescent="0.35">
      <c r="A7027">
        <v>2015</v>
      </c>
      <c r="B7027" t="s">
        <v>34</v>
      </c>
      <c r="C7027" t="s">
        <v>109</v>
      </c>
      <c r="D7027">
        <v>21</v>
      </c>
      <c r="E7027" t="s">
        <v>328</v>
      </c>
    </row>
    <row r="7028" spans="1:5" x14ac:dyDescent="0.35">
      <c r="A7028">
        <v>2015</v>
      </c>
      <c r="B7028" t="s">
        <v>33</v>
      </c>
      <c r="C7028" t="s">
        <v>117</v>
      </c>
      <c r="D7028">
        <v>25</v>
      </c>
      <c r="E7028" t="s">
        <v>328</v>
      </c>
    </row>
    <row r="7029" spans="1:5" x14ac:dyDescent="0.35">
      <c r="A7029">
        <v>2015</v>
      </c>
      <c r="B7029" t="s">
        <v>36</v>
      </c>
      <c r="C7029" t="s">
        <v>79</v>
      </c>
      <c r="D7029">
        <v>31</v>
      </c>
      <c r="E7029" t="s">
        <v>328</v>
      </c>
    </row>
    <row r="7030" spans="1:5" x14ac:dyDescent="0.35">
      <c r="A7030">
        <v>2015</v>
      </c>
      <c r="B7030" t="s">
        <v>34</v>
      </c>
      <c r="C7030" t="s">
        <v>116</v>
      </c>
      <c r="D7030">
        <v>11</v>
      </c>
      <c r="E7030" t="s">
        <v>328</v>
      </c>
    </row>
    <row r="7031" spans="1:5" x14ac:dyDescent="0.35">
      <c r="A7031">
        <v>2015</v>
      </c>
      <c r="B7031" t="s">
        <v>34</v>
      </c>
      <c r="C7031" t="s">
        <v>116</v>
      </c>
      <c r="D7031">
        <v>4</v>
      </c>
      <c r="E7031" t="s">
        <v>355</v>
      </c>
    </row>
    <row r="7032" spans="1:5" x14ac:dyDescent="0.35">
      <c r="A7032">
        <v>2015</v>
      </c>
      <c r="B7032" t="s">
        <v>34</v>
      </c>
      <c r="C7032" t="s">
        <v>115</v>
      </c>
      <c r="D7032">
        <v>70</v>
      </c>
      <c r="E7032" t="s">
        <v>328</v>
      </c>
    </row>
    <row r="7033" spans="1:5" x14ac:dyDescent="0.35">
      <c r="A7033">
        <v>2015</v>
      </c>
      <c r="B7033" t="s">
        <v>34</v>
      </c>
      <c r="C7033" t="s">
        <v>115</v>
      </c>
      <c r="D7033">
        <v>25</v>
      </c>
      <c r="E7033" t="s">
        <v>355</v>
      </c>
    </row>
    <row r="7034" spans="1:5" x14ac:dyDescent="0.35">
      <c r="A7034">
        <v>2015</v>
      </c>
      <c r="B7034" t="s">
        <v>34</v>
      </c>
      <c r="C7034" t="s">
        <v>114</v>
      </c>
      <c r="D7034">
        <v>22</v>
      </c>
      <c r="E7034" t="s">
        <v>328</v>
      </c>
    </row>
    <row r="7035" spans="1:5" x14ac:dyDescent="0.35">
      <c r="A7035">
        <v>2015</v>
      </c>
      <c r="B7035" t="s">
        <v>36</v>
      </c>
      <c r="C7035" t="s">
        <v>100</v>
      </c>
      <c r="D7035">
        <v>5</v>
      </c>
      <c r="E7035" t="s">
        <v>328</v>
      </c>
    </row>
    <row r="7036" spans="1:5" x14ac:dyDescent="0.35">
      <c r="A7036">
        <v>2015</v>
      </c>
      <c r="B7036" t="s">
        <v>34</v>
      </c>
      <c r="C7036" t="s">
        <v>114</v>
      </c>
      <c r="D7036">
        <v>12</v>
      </c>
      <c r="E7036" t="s">
        <v>355</v>
      </c>
    </row>
    <row r="7037" spans="1:5" x14ac:dyDescent="0.35">
      <c r="A7037">
        <v>2015</v>
      </c>
      <c r="B7037" t="s">
        <v>36</v>
      </c>
      <c r="C7037" t="s">
        <v>113</v>
      </c>
      <c r="D7037">
        <v>638</v>
      </c>
      <c r="E7037" t="s">
        <v>355</v>
      </c>
    </row>
    <row r="7038" spans="1:5" x14ac:dyDescent="0.35">
      <c r="A7038">
        <v>2015</v>
      </c>
      <c r="B7038" t="s">
        <v>35</v>
      </c>
      <c r="C7038" t="s">
        <v>112</v>
      </c>
      <c r="D7038">
        <v>33</v>
      </c>
      <c r="E7038" t="s">
        <v>328</v>
      </c>
    </row>
    <row r="7039" spans="1:5" x14ac:dyDescent="0.35">
      <c r="A7039">
        <v>2015</v>
      </c>
      <c r="B7039" t="s">
        <v>35</v>
      </c>
      <c r="C7039" t="s">
        <v>112</v>
      </c>
      <c r="D7039">
        <v>38</v>
      </c>
      <c r="E7039" t="s">
        <v>355</v>
      </c>
    </row>
    <row r="7040" spans="1:5" x14ac:dyDescent="0.35">
      <c r="A7040">
        <v>2015</v>
      </c>
      <c r="B7040" t="s">
        <v>34</v>
      </c>
      <c r="C7040" t="s">
        <v>111</v>
      </c>
      <c r="D7040">
        <v>80</v>
      </c>
      <c r="E7040" t="s">
        <v>328</v>
      </c>
    </row>
    <row r="7041" spans="1:5" x14ac:dyDescent="0.35">
      <c r="A7041">
        <v>2015</v>
      </c>
      <c r="B7041" t="s">
        <v>34</v>
      </c>
      <c r="C7041" t="s">
        <v>111</v>
      </c>
      <c r="D7041">
        <v>23</v>
      </c>
      <c r="E7041" t="s">
        <v>355</v>
      </c>
    </row>
    <row r="7042" spans="1:5" x14ac:dyDescent="0.35">
      <c r="A7042">
        <v>2015</v>
      </c>
      <c r="B7042" t="s">
        <v>35</v>
      </c>
      <c r="C7042" t="s">
        <v>110</v>
      </c>
      <c r="D7042">
        <v>9</v>
      </c>
      <c r="E7042" t="s">
        <v>328</v>
      </c>
    </row>
    <row r="7043" spans="1:5" x14ac:dyDescent="0.35">
      <c r="A7043">
        <v>2015</v>
      </c>
      <c r="B7043" t="s">
        <v>35</v>
      </c>
      <c r="C7043" t="s">
        <v>110</v>
      </c>
      <c r="D7043">
        <v>13</v>
      </c>
      <c r="E7043" t="s">
        <v>355</v>
      </c>
    </row>
    <row r="7044" spans="1:5" x14ac:dyDescent="0.35">
      <c r="A7044">
        <v>2015</v>
      </c>
      <c r="B7044" t="s">
        <v>36</v>
      </c>
      <c r="C7044" t="s">
        <v>113</v>
      </c>
      <c r="D7044">
        <v>228</v>
      </c>
      <c r="E7044" t="s">
        <v>328</v>
      </c>
    </row>
    <row r="7045" spans="1:5" x14ac:dyDescent="0.35">
      <c r="A7045">
        <v>2015</v>
      </c>
      <c r="B7045" t="s">
        <v>36</v>
      </c>
      <c r="C7045" t="s">
        <v>100</v>
      </c>
      <c r="D7045">
        <v>8</v>
      </c>
      <c r="E7045" t="s">
        <v>355</v>
      </c>
    </row>
    <row r="7046" spans="1:5" x14ac:dyDescent="0.35">
      <c r="A7046">
        <v>2015</v>
      </c>
      <c r="B7046" t="s">
        <v>34</v>
      </c>
      <c r="C7046" t="s">
        <v>107</v>
      </c>
      <c r="D7046">
        <v>36</v>
      </c>
      <c r="E7046" t="s">
        <v>328</v>
      </c>
    </row>
    <row r="7047" spans="1:5" x14ac:dyDescent="0.35">
      <c r="A7047">
        <v>2015</v>
      </c>
      <c r="B7047" t="s">
        <v>35</v>
      </c>
      <c r="C7047" t="s">
        <v>81</v>
      </c>
      <c r="D7047">
        <v>13</v>
      </c>
      <c r="E7047" t="s">
        <v>328</v>
      </c>
    </row>
    <row r="7048" spans="1:5" x14ac:dyDescent="0.35">
      <c r="A7048">
        <v>2015</v>
      </c>
      <c r="B7048" t="s">
        <v>33</v>
      </c>
      <c r="C7048" t="s">
        <v>89</v>
      </c>
      <c r="D7048">
        <v>6</v>
      </c>
      <c r="E7048" t="s">
        <v>328</v>
      </c>
    </row>
    <row r="7049" spans="1:5" x14ac:dyDescent="0.35">
      <c r="A7049">
        <v>2015</v>
      </c>
      <c r="B7049" t="s">
        <v>33</v>
      </c>
      <c r="C7049" t="s">
        <v>89</v>
      </c>
      <c r="D7049">
        <v>0</v>
      </c>
      <c r="E7049" t="s">
        <v>355</v>
      </c>
    </row>
    <row r="7050" spans="1:5" x14ac:dyDescent="0.35">
      <c r="A7050">
        <v>2015</v>
      </c>
      <c r="B7050" t="s">
        <v>33</v>
      </c>
      <c r="C7050" t="s">
        <v>88</v>
      </c>
      <c r="D7050">
        <v>0</v>
      </c>
      <c r="E7050" t="s">
        <v>355</v>
      </c>
    </row>
    <row r="7051" spans="1:5" x14ac:dyDescent="0.35">
      <c r="A7051">
        <v>2015</v>
      </c>
      <c r="B7051" t="s">
        <v>36</v>
      </c>
      <c r="C7051" t="s">
        <v>16</v>
      </c>
      <c r="D7051">
        <v>14637</v>
      </c>
      <c r="E7051" t="s">
        <v>328</v>
      </c>
    </row>
    <row r="7052" spans="1:5" x14ac:dyDescent="0.35">
      <c r="A7052">
        <v>2015</v>
      </c>
      <c r="B7052" t="s">
        <v>36</v>
      </c>
      <c r="C7052" t="s">
        <v>16</v>
      </c>
      <c r="D7052">
        <v>7186</v>
      </c>
      <c r="E7052" t="s">
        <v>355</v>
      </c>
    </row>
    <row r="7053" spans="1:5" x14ac:dyDescent="0.35">
      <c r="A7053">
        <v>2015</v>
      </c>
      <c r="B7053" t="s">
        <v>33</v>
      </c>
      <c r="C7053" t="s">
        <v>87</v>
      </c>
      <c r="D7053">
        <v>21</v>
      </c>
      <c r="E7053" t="s">
        <v>355</v>
      </c>
    </row>
    <row r="7054" spans="1:5" x14ac:dyDescent="0.35">
      <c r="A7054">
        <v>2015</v>
      </c>
      <c r="B7054" t="s">
        <v>38</v>
      </c>
      <c r="C7054" t="s">
        <v>86</v>
      </c>
      <c r="D7054">
        <v>943</v>
      </c>
      <c r="E7054" t="s">
        <v>328</v>
      </c>
    </row>
    <row r="7055" spans="1:5" x14ac:dyDescent="0.35">
      <c r="A7055">
        <v>2015</v>
      </c>
      <c r="B7055" t="s">
        <v>38</v>
      </c>
      <c r="C7055" t="s">
        <v>86</v>
      </c>
      <c r="D7055">
        <v>487</v>
      </c>
      <c r="E7055" t="s">
        <v>355</v>
      </c>
    </row>
    <row r="7056" spans="1:5" x14ac:dyDescent="0.35">
      <c r="A7056">
        <v>2015</v>
      </c>
      <c r="B7056" t="s">
        <v>36</v>
      </c>
      <c r="C7056" t="s">
        <v>85</v>
      </c>
      <c r="D7056">
        <v>366</v>
      </c>
      <c r="E7056" t="s">
        <v>328</v>
      </c>
    </row>
    <row r="7057" spans="1:5" x14ac:dyDescent="0.35">
      <c r="A7057">
        <v>2015</v>
      </c>
      <c r="B7057" t="s">
        <v>36</v>
      </c>
      <c r="C7057" t="s">
        <v>85</v>
      </c>
      <c r="D7057">
        <v>1519</v>
      </c>
      <c r="E7057" t="s">
        <v>355</v>
      </c>
    </row>
    <row r="7058" spans="1:5" x14ac:dyDescent="0.35">
      <c r="A7058">
        <v>2015</v>
      </c>
      <c r="B7058" t="s">
        <v>36</v>
      </c>
      <c r="C7058" t="s">
        <v>84</v>
      </c>
      <c r="D7058">
        <v>4</v>
      </c>
      <c r="E7058" t="s">
        <v>328</v>
      </c>
    </row>
    <row r="7059" spans="1:5" x14ac:dyDescent="0.35">
      <c r="A7059">
        <v>2015</v>
      </c>
      <c r="B7059" t="s">
        <v>36</v>
      </c>
      <c r="C7059" t="s">
        <v>84</v>
      </c>
      <c r="D7059">
        <v>7</v>
      </c>
      <c r="E7059" t="s">
        <v>355</v>
      </c>
    </row>
    <row r="7060" spans="1:5" x14ac:dyDescent="0.35">
      <c r="A7060">
        <v>2015</v>
      </c>
      <c r="B7060" t="s">
        <v>35</v>
      </c>
      <c r="C7060" t="s">
        <v>214</v>
      </c>
      <c r="E7060" t="s">
        <v>355</v>
      </c>
    </row>
    <row r="7061" spans="1:5" x14ac:dyDescent="0.35">
      <c r="A7061">
        <v>2015</v>
      </c>
      <c r="B7061" t="s">
        <v>35</v>
      </c>
      <c r="C7061" t="s">
        <v>99</v>
      </c>
      <c r="D7061">
        <v>10</v>
      </c>
      <c r="E7061" t="s">
        <v>328</v>
      </c>
    </row>
    <row r="7062" spans="1:5" x14ac:dyDescent="0.35">
      <c r="A7062">
        <v>2015</v>
      </c>
      <c r="B7062" t="s">
        <v>35</v>
      </c>
      <c r="C7062" t="s">
        <v>81</v>
      </c>
      <c r="D7062">
        <v>16</v>
      </c>
      <c r="E7062" t="s">
        <v>355</v>
      </c>
    </row>
    <row r="7063" spans="1:5" x14ac:dyDescent="0.35">
      <c r="A7063">
        <v>2015</v>
      </c>
      <c r="B7063" t="s">
        <v>35</v>
      </c>
      <c r="C7063" t="s">
        <v>90</v>
      </c>
      <c r="D7063">
        <v>4</v>
      </c>
      <c r="E7063" t="s">
        <v>355</v>
      </c>
    </row>
    <row r="7064" spans="1:5" x14ac:dyDescent="0.35">
      <c r="A7064">
        <v>2015</v>
      </c>
      <c r="B7064" t="s">
        <v>35</v>
      </c>
      <c r="C7064" t="s">
        <v>90</v>
      </c>
      <c r="D7064">
        <v>3</v>
      </c>
      <c r="E7064" t="s">
        <v>328</v>
      </c>
    </row>
    <row r="7065" spans="1:5" x14ac:dyDescent="0.35">
      <c r="A7065">
        <v>2015</v>
      </c>
      <c r="B7065" t="s">
        <v>33</v>
      </c>
      <c r="C7065" t="s">
        <v>87</v>
      </c>
      <c r="D7065">
        <v>42</v>
      </c>
      <c r="E7065" t="s">
        <v>328</v>
      </c>
    </row>
    <row r="7066" spans="1:5" x14ac:dyDescent="0.35">
      <c r="A7066">
        <v>2015</v>
      </c>
      <c r="B7066" t="s">
        <v>33</v>
      </c>
      <c r="C7066" t="s">
        <v>91</v>
      </c>
      <c r="D7066">
        <v>22</v>
      </c>
      <c r="E7066" t="s">
        <v>328</v>
      </c>
    </row>
    <row r="7067" spans="1:5" x14ac:dyDescent="0.35">
      <c r="A7067">
        <v>2015</v>
      </c>
      <c r="B7067" t="s">
        <v>35</v>
      </c>
      <c r="C7067" t="s">
        <v>99</v>
      </c>
      <c r="D7067">
        <v>4</v>
      </c>
      <c r="E7067" t="s">
        <v>355</v>
      </c>
    </row>
    <row r="7068" spans="1:5" x14ac:dyDescent="0.35">
      <c r="A7068">
        <v>2015</v>
      </c>
      <c r="B7068" t="s">
        <v>33</v>
      </c>
      <c r="C7068" t="s">
        <v>91</v>
      </c>
      <c r="D7068">
        <v>13</v>
      </c>
      <c r="E7068" t="s">
        <v>355</v>
      </c>
    </row>
    <row r="7069" spans="1:5" x14ac:dyDescent="0.35">
      <c r="A7069">
        <v>2015</v>
      </c>
      <c r="B7069" t="s">
        <v>33</v>
      </c>
      <c r="C7069" t="s">
        <v>98</v>
      </c>
      <c r="D7069">
        <v>33</v>
      </c>
      <c r="E7069" t="s">
        <v>355</v>
      </c>
    </row>
    <row r="7070" spans="1:5" x14ac:dyDescent="0.35">
      <c r="A7070">
        <v>2015</v>
      </c>
      <c r="B7070" t="s">
        <v>35</v>
      </c>
      <c r="C7070" t="s">
        <v>97</v>
      </c>
      <c r="D7070">
        <v>17</v>
      </c>
      <c r="E7070" t="s">
        <v>328</v>
      </c>
    </row>
    <row r="7071" spans="1:5" x14ac:dyDescent="0.35">
      <c r="A7071">
        <v>2015</v>
      </c>
      <c r="B7071" t="s">
        <v>35</v>
      </c>
      <c r="C7071" t="s">
        <v>97</v>
      </c>
      <c r="D7071">
        <v>35</v>
      </c>
      <c r="E7071" t="s">
        <v>355</v>
      </c>
    </row>
    <row r="7072" spans="1:5" x14ac:dyDescent="0.35">
      <c r="A7072">
        <v>2015</v>
      </c>
      <c r="B7072" t="s">
        <v>34</v>
      </c>
      <c r="C7072" t="s">
        <v>8</v>
      </c>
      <c r="D7072">
        <v>10</v>
      </c>
      <c r="E7072" t="s">
        <v>328</v>
      </c>
    </row>
    <row r="7073" spans="1:5" x14ac:dyDescent="0.35">
      <c r="A7073">
        <v>2015</v>
      </c>
      <c r="B7073" t="s">
        <v>34</v>
      </c>
      <c r="C7073" t="s">
        <v>8</v>
      </c>
      <c r="D7073">
        <v>6</v>
      </c>
      <c r="E7073" t="s">
        <v>355</v>
      </c>
    </row>
    <row r="7074" spans="1:5" x14ac:dyDescent="0.35">
      <c r="A7074">
        <v>2015</v>
      </c>
      <c r="B7074" t="s">
        <v>33</v>
      </c>
      <c r="C7074" t="s">
        <v>96</v>
      </c>
      <c r="E7074" t="s">
        <v>328</v>
      </c>
    </row>
    <row r="7075" spans="1:5" x14ac:dyDescent="0.35">
      <c r="A7075">
        <v>2015</v>
      </c>
      <c r="B7075" t="s">
        <v>33</v>
      </c>
      <c r="C7075" t="s">
        <v>98</v>
      </c>
      <c r="D7075">
        <v>42</v>
      </c>
      <c r="E7075" t="s">
        <v>328</v>
      </c>
    </row>
    <row r="7076" spans="1:5" x14ac:dyDescent="0.35">
      <c r="A7076">
        <v>2015</v>
      </c>
      <c r="B7076" t="s">
        <v>33</v>
      </c>
      <c r="C7076" t="s">
        <v>95</v>
      </c>
      <c r="E7076" t="s">
        <v>328</v>
      </c>
    </row>
    <row r="7077" spans="1:5" x14ac:dyDescent="0.35">
      <c r="A7077">
        <v>2015</v>
      </c>
      <c r="B7077" t="s">
        <v>33</v>
      </c>
      <c r="C7077" t="s">
        <v>95</v>
      </c>
      <c r="E7077" t="s">
        <v>355</v>
      </c>
    </row>
    <row r="7078" spans="1:5" x14ac:dyDescent="0.35">
      <c r="A7078">
        <v>2015</v>
      </c>
      <c r="B7078" t="s">
        <v>35</v>
      </c>
      <c r="C7078" t="s">
        <v>94</v>
      </c>
      <c r="D7078">
        <v>22</v>
      </c>
      <c r="E7078" t="s">
        <v>328</v>
      </c>
    </row>
    <row r="7079" spans="1:5" x14ac:dyDescent="0.35">
      <c r="A7079">
        <v>2015</v>
      </c>
      <c r="B7079" t="s">
        <v>35</v>
      </c>
      <c r="C7079" t="s">
        <v>94</v>
      </c>
      <c r="D7079">
        <v>20</v>
      </c>
      <c r="E7079" t="s">
        <v>355</v>
      </c>
    </row>
    <row r="7080" spans="1:5" x14ac:dyDescent="0.35">
      <c r="A7080">
        <v>2015</v>
      </c>
      <c r="B7080" t="s">
        <v>37</v>
      </c>
      <c r="C7080" t="s">
        <v>92</v>
      </c>
      <c r="D7080">
        <v>7</v>
      </c>
      <c r="E7080" t="s">
        <v>328</v>
      </c>
    </row>
    <row r="7081" spans="1:5" x14ac:dyDescent="0.35">
      <c r="A7081">
        <v>2015</v>
      </c>
      <c r="B7081" t="s">
        <v>37</v>
      </c>
      <c r="C7081" t="s">
        <v>92</v>
      </c>
      <c r="D7081">
        <v>8</v>
      </c>
      <c r="E7081" t="s">
        <v>355</v>
      </c>
    </row>
    <row r="7082" spans="1:5" x14ac:dyDescent="0.35">
      <c r="A7082">
        <v>2015</v>
      </c>
      <c r="B7082" t="s">
        <v>33</v>
      </c>
      <c r="C7082" t="s">
        <v>96</v>
      </c>
      <c r="E7082" t="s">
        <v>355</v>
      </c>
    </row>
    <row r="7083" spans="1:5" x14ac:dyDescent="0.35">
      <c r="A7083">
        <v>2016</v>
      </c>
      <c r="B7083" t="s">
        <v>33</v>
      </c>
      <c r="C7083" t="s">
        <v>149</v>
      </c>
      <c r="D7083">
        <v>1582</v>
      </c>
      <c r="E7083" t="s">
        <v>466</v>
      </c>
    </row>
    <row r="7084" spans="1:5" x14ac:dyDescent="0.35">
      <c r="A7084">
        <v>2016</v>
      </c>
      <c r="B7084" t="s">
        <v>36</v>
      </c>
      <c r="C7084" t="s">
        <v>165</v>
      </c>
      <c r="D7084">
        <v>13</v>
      </c>
      <c r="E7084" t="s">
        <v>467</v>
      </c>
    </row>
    <row r="7085" spans="1:5" x14ac:dyDescent="0.35">
      <c r="A7085">
        <v>2016</v>
      </c>
      <c r="B7085" t="s">
        <v>35</v>
      </c>
      <c r="C7085" t="s">
        <v>322</v>
      </c>
      <c r="D7085">
        <v>44</v>
      </c>
      <c r="E7085" t="s">
        <v>466</v>
      </c>
    </row>
    <row r="7086" spans="1:5" x14ac:dyDescent="0.35">
      <c r="A7086">
        <v>2016</v>
      </c>
      <c r="B7086" t="s">
        <v>36</v>
      </c>
      <c r="C7086" t="s">
        <v>154</v>
      </c>
      <c r="D7086">
        <v>54</v>
      </c>
      <c r="E7086" t="s">
        <v>355</v>
      </c>
    </row>
    <row r="7087" spans="1:5" x14ac:dyDescent="0.35">
      <c r="A7087">
        <v>2016</v>
      </c>
      <c r="B7087" t="s">
        <v>35</v>
      </c>
      <c r="C7087" t="s">
        <v>150</v>
      </c>
      <c r="D7087">
        <v>59</v>
      </c>
      <c r="E7087" t="s">
        <v>466</v>
      </c>
    </row>
    <row r="7088" spans="1:5" x14ac:dyDescent="0.35">
      <c r="A7088">
        <v>2016</v>
      </c>
      <c r="B7088" t="s">
        <v>37</v>
      </c>
      <c r="C7088" t="s">
        <v>166</v>
      </c>
      <c r="D7088">
        <v>7</v>
      </c>
      <c r="E7088" t="s">
        <v>467</v>
      </c>
    </row>
    <row r="7089" spans="1:5" x14ac:dyDescent="0.35">
      <c r="A7089">
        <v>2016</v>
      </c>
      <c r="B7089" t="s">
        <v>34</v>
      </c>
      <c r="C7089" t="s">
        <v>151</v>
      </c>
      <c r="D7089">
        <v>10</v>
      </c>
      <c r="E7089" t="s">
        <v>466</v>
      </c>
    </row>
    <row r="7090" spans="1:5" x14ac:dyDescent="0.35">
      <c r="A7090">
        <v>2016</v>
      </c>
      <c r="B7090" t="s">
        <v>37</v>
      </c>
      <c r="C7090" t="s">
        <v>153</v>
      </c>
      <c r="D7090">
        <v>10</v>
      </c>
      <c r="E7090" t="s">
        <v>355</v>
      </c>
    </row>
    <row r="7091" spans="1:5" x14ac:dyDescent="0.35">
      <c r="A7091">
        <v>2016</v>
      </c>
      <c r="B7091" t="s">
        <v>34</v>
      </c>
      <c r="C7091" t="s">
        <v>152</v>
      </c>
      <c r="D7091">
        <v>1061</v>
      </c>
      <c r="E7091" t="s">
        <v>466</v>
      </c>
    </row>
    <row r="7092" spans="1:5" x14ac:dyDescent="0.35">
      <c r="A7092">
        <v>2016</v>
      </c>
      <c r="B7092" t="s">
        <v>34</v>
      </c>
      <c r="C7092" t="s">
        <v>167</v>
      </c>
      <c r="D7092">
        <v>418</v>
      </c>
      <c r="E7092" t="s">
        <v>467</v>
      </c>
    </row>
    <row r="7093" spans="1:5" x14ac:dyDescent="0.35">
      <c r="A7093">
        <v>2016</v>
      </c>
      <c r="B7093" t="s">
        <v>37</v>
      </c>
      <c r="C7093" t="s">
        <v>153</v>
      </c>
      <c r="D7093">
        <v>25</v>
      </c>
      <c r="E7093" t="s">
        <v>466</v>
      </c>
    </row>
    <row r="7094" spans="1:5" x14ac:dyDescent="0.35">
      <c r="A7094">
        <v>2016</v>
      </c>
      <c r="B7094" t="s">
        <v>34</v>
      </c>
      <c r="C7094" t="s">
        <v>152</v>
      </c>
      <c r="D7094">
        <v>99</v>
      </c>
      <c r="E7094" t="s">
        <v>328</v>
      </c>
    </row>
    <row r="7095" spans="1:5" x14ac:dyDescent="0.35">
      <c r="A7095">
        <v>2016</v>
      </c>
      <c r="B7095" t="s">
        <v>36</v>
      </c>
      <c r="C7095" t="s">
        <v>154</v>
      </c>
      <c r="D7095">
        <v>167</v>
      </c>
      <c r="E7095" t="s">
        <v>466</v>
      </c>
    </row>
    <row r="7096" spans="1:5" x14ac:dyDescent="0.35">
      <c r="A7096">
        <v>2016</v>
      </c>
      <c r="B7096" t="s">
        <v>33</v>
      </c>
      <c r="C7096" t="s">
        <v>168</v>
      </c>
      <c r="D7096">
        <v>50</v>
      </c>
      <c r="E7096" t="s">
        <v>467</v>
      </c>
    </row>
    <row r="7097" spans="1:5" x14ac:dyDescent="0.35">
      <c r="A7097">
        <v>2016</v>
      </c>
      <c r="B7097" t="s">
        <v>38</v>
      </c>
      <c r="C7097" t="s">
        <v>155</v>
      </c>
      <c r="D7097">
        <v>37</v>
      </c>
      <c r="E7097" t="s">
        <v>466</v>
      </c>
    </row>
    <row r="7098" spans="1:5" x14ac:dyDescent="0.35">
      <c r="A7098">
        <v>2016</v>
      </c>
      <c r="B7098" t="s">
        <v>34</v>
      </c>
      <c r="C7098" t="s">
        <v>152</v>
      </c>
      <c r="D7098">
        <v>22</v>
      </c>
      <c r="E7098" t="s">
        <v>355</v>
      </c>
    </row>
    <row r="7099" spans="1:5" x14ac:dyDescent="0.35">
      <c r="A7099">
        <v>2016</v>
      </c>
      <c r="B7099" t="s">
        <v>34</v>
      </c>
      <c r="C7099" t="s">
        <v>159</v>
      </c>
      <c r="D7099">
        <v>21</v>
      </c>
      <c r="E7099" t="s">
        <v>466</v>
      </c>
    </row>
    <row r="7100" spans="1:5" x14ac:dyDescent="0.35">
      <c r="A7100">
        <v>2016</v>
      </c>
      <c r="B7100" t="s">
        <v>35</v>
      </c>
      <c r="C7100" t="s">
        <v>169</v>
      </c>
      <c r="D7100">
        <v>32</v>
      </c>
      <c r="E7100" t="s">
        <v>467</v>
      </c>
    </row>
    <row r="7101" spans="1:5" x14ac:dyDescent="0.35">
      <c r="A7101">
        <v>2016</v>
      </c>
      <c r="B7101" t="s">
        <v>34</v>
      </c>
      <c r="C7101" t="s">
        <v>18</v>
      </c>
      <c r="D7101">
        <v>897</v>
      </c>
      <c r="E7101" t="s">
        <v>466</v>
      </c>
    </row>
    <row r="7102" spans="1:5" x14ac:dyDescent="0.35">
      <c r="A7102">
        <v>2016</v>
      </c>
      <c r="B7102" t="s">
        <v>35</v>
      </c>
      <c r="C7102" t="s">
        <v>150</v>
      </c>
      <c r="E7102" t="s">
        <v>328</v>
      </c>
    </row>
    <row r="7103" spans="1:5" x14ac:dyDescent="0.35">
      <c r="A7103">
        <v>2016</v>
      </c>
      <c r="B7103" t="s">
        <v>35</v>
      </c>
      <c r="C7103" t="s">
        <v>157</v>
      </c>
      <c r="D7103">
        <v>438</v>
      </c>
      <c r="E7103" t="s">
        <v>466</v>
      </c>
    </row>
    <row r="7104" spans="1:5" x14ac:dyDescent="0.35">
      <c r="A7104">
        <v>2016</v>
      </c>
      <c r="B7104" t="s">
        <v>35</v>
      </c>
      <c r="C7104" t="s">
        <v>173</v>
      </c>
      <c r="D7104">
        <v>10</v>
      </c>
      <c r="E7104" t="s">
        <v>467</v>
      </c>
    </row>
    <row r="7105" spans="1:5" x14ac:dyDescent="0.35">
      <c r="A7105">
        <v>2016</v>
      </c>
      <c r="B7105" t="s">
        <v>35</v>
      </c>
      <c r="C7105" t="s">
        <v>158</v>
      </c>
      <c r="D7105">
        <v>304</v>
      </c>
      <c r="E7105" t="s">
        <v>466</v>
      </c>
    </row>
    <row r="7106" spans="1:5" x14ac:dyDescent="0.35">
      <c r="A7106">
        <v>2016</v>
      </c>
      <c r="B7106" t="s">
        <v>35</v>
      </c>
      <c r="C7106" t="s">
        <v>150</v>
      </c>
      <c r="E7106" t="s">
        <v>355</v>
      </c>
    </row>
    <row r="7107" spans="1:5" x14ac:dyDescent="0.35">
      <c r="A7107">
        <v>2016</v>
      </c>
      <c r="B7107" t="s">
        <v>35</v>
      </c>
      <c r="C7107" t="s">
        <v>160</v>
      </c>
      <c r="D7107">
        <v>2870</v>
      </c>
      <c r="E7107" t="s">
        <v>466</v>
      </c>
    </row>
    <row r="7108" spans="1:5" x14ac:dyDescent="0.35">
      <c r="A7108">
        <v>2016</v>
      </c>
      <c r="B7108" t="s">
        <v>34</v>
      </c>
      <c r="C7108" t="s">
        <v>171</v>
      </c>
      <c r="D7108">
        <v>31</v>
      </c>
      <c r="E7108" t="s">
        <v>467</v>
      </c>
    </row>
    <row r="7109" spans="1:5" x14ac:dyDescent="0.35">
      <c r="A7109">
        <v>2016</v>
      </c>
      <c r="B7109" t="s">
        <v>35</v>
      </c>
      <c r="C7109" t="s">
        <v>161</v>
      </c>
      <c r="D7109">
        <v>450</v>
      </c>
      <c r="E7109" t="s">
        <v>466</v>
      </c>
    </row>
    <row r="7110" spans="1:5" x14ac:dyDescent="0.35">
      <c r="A7110">
        <v>2016</v>
      </c>
      <c r="B7110" t="s">
        <v>35</v>
      </c>
      <c r="C7110" t="s">
        <v>322</v>
      </c>
      <c r="E7110" t="s">
        <v>328</v>
      </c>
    </row>
    <row r="7111" spans="1:5" x14ac:dyDescent="0.35">
      <c r="A7111">
        <v>2016</v>
      </c>
      <c r="B7111" t="s">
        <v>33</v>
      </c>
      <c r="C7111" t="s">
        <v>162</v>
      </c>
      <c r="D7111">
        <v>36</v>
      </c>
      <c r="E7111" t="s">
        <v>466</v>
      </c>
    </row>
    <row r="7112" spans="1:5" x14ac:dyDescent="0.35">
      <c r="A7112">
        <v>2016</v>
      </c>
      <c r="B7112" t="s">
        <v>35</v>
      </c>
      <c r="C7112" t="s">
        <v>172</v>
      </c>
      <c r="D7112">
        <v>48</v>
      </c>
      <c r="E7112" t="s">
        <v>467</v>
      </c>
    </row>
    <row r="7113" spans="1:5" x14ac:dyDescent="0.35">
      <c r="A7113">
        <v>2016</v>
      </c>
      <c r="B7113" t="s">
        <v>36</v>
      </c>
      <c r="C7113" t="s">
        <v>163</v>
      </c>
      <c r="D7113">
        <v>18</v>
      </c>
      <c r="E7113" t="s">
        <v>466</v>
      </c>
    </row>
    <row r="7114" spans="1:5" x14ac:dyDescent="0.35">
      <c r="A7114">
        <v>2016</v>
      </c>
      <c r="B7114" t="s">
        <v>33</v>
      </c>
      <c r="C7114" t="s">
        <v>148</v>
      </c>
      <c r="E7114" t="s">
        <v>328</v>
      </c>
    </row>
    <row r="7115" spans="1:5" x14ac:dyDescent="0.35">
      <c r="A7115">
        <v>2016</v>
      </c>
      <c r="B7115" t="s">
        <v>36</v>
      </c>
      <c r="C7115" t="s">
        <v>164</v>
      </c>
      <c r="D7115">
        <v>45</v>
      </c>
      <c r="E7115" t="s">
        <v>466</v>
      </c>
    </row>
    <row r="7116" spans="1:5" x14ac:dyDescent="0.35">
      <c r="A7116">
        <v>2016</v>
      </c>
      <c r="B7116" t="s">
        <v>33</v>
      </c>
      <c r="C7116" t="s">
        <v>174</v>
      </c>
      <c r="D7116">
        <v>15</v>
      </c>
      <c r="E7116" t="s">
        <v>467</v>
      </c>
    </row>
    <row r="7117" spans="1:5" x14ac:dyDescent="0.35">
      <c r="A7117">
        <v>2016</v>
      </c>
      <c r="B7117" t="s">
        <v>38</v>
      </c>
      <c r="C7117" t="s">
        <v>156</v>
      </c>
      <c r="D7117">
        <v>1424</v>
      </c>
      <c r="E7117" t="s">
        <v>466</v>
      </c>
    </row>
    <row r="7118" spans="1:5" x14ac:dyDescent="0.35">
      <c r="A7118">
        <v>2016</v>
      </c>
      <c r="B7118" t="s">
        <v>33</v>
      </c>
      <c r="C7118" t="s">
        <v>149</v>
      </c>
      <c r="D7118">
        <v>491</v>
      </c>
      <c r="E7118" t="s">
        <v>328</v>
      </c>
    </row>
    <row r="7119" spans="1:5" x14ac:dyDescent="0.35">
      <c r="A7119">
        <v>2016</v>
      </c>
      <c r="B7119" t="s">
        <v>33</v>
      </c>
      <c r="C7119" t="s">
        <v>148</v>
      </c>
      <c r="D7119">
        <v>26</v>
      </c>
      <c r="E7119" t="s">
        <v>466</v>
      </c>
    </row>
    <row r="7120" spans="1:5" x14ac:dyDescent="0.35">
      <c r="A7120">
        <v>2016</v>
      </c>
      <c r="B7120" t="s">
        <v>36</v>
      </c>
      <c r="C7120" t="s">
        <v>164</v>
      </c>
      <c r="D7120">
        <v>9</v>
      </c>
      <c r="E7120" t="s">
        <v>467</v>
      </c>
    </row>
    <row r="7121" spans="1:5" x14ac:dyDescent="0.35">
      <c r="A7121">
        <v>2016</v>
      </c>
      <c r="B7121" t="s">
        <v>35</v>
      </c>
      <c r="C7121" t="s">
        <v>138</v>
      </c>
      <c r="D7121">
        <v>73</v>
      </c>
      <c r="E7121" t="s">
        <v>466</v>
      </c>
    </row>
    <row r="7122" spans="1:5" x14ac:dyDescent="0.35">
      <c r="A7122">
        <v>2016</v>
      </c>
      <c r="B7122" t="s">
        <v>33</v>
      </c>
      <c r="C7122" t="s">
        <v>149</v>
      </c>
      <c r="D7122">
        <v>112</v>
      </c>
      <c r="E7122" t="s">
        <v>355</v>
      </c>
    </row>
    <row r="7123" spans="1:5" x14ac:dyDescent="0.35">
      <c r="A7123">
        <v>2016</v>
      </c>
      <c r="B7123" t="s">
        <v>37</v>
      </c>
      <c r="C7123" t="s">
        <v>146</v>
      </c>
      <c r="D7123">
        <v>122</v>
      </c>
      <c r="E7123" t="s">
        <v>466</v>
      </c>
    </row>
    <row r="7124" spans="1:5" x14ac:dyDescent="0.35">
      <c r="A7124">
        <v>2016</v>
      </c>
      <c r="B7124" t="s">
        <v>33</v>
      </c>
      <c r="C7124" t="s">
        <v>170</v>
      </c>
      <c r="D7124">
        <v>3</v>
      </c>
      <c r="E7124" t="s">
        <v>467</v>
      </c>
    </row>
    <row r="7125" spans="1:5" x14ac:dyDescent="0.35">
      <c r="A7125">
        <v>2016</v>
      </c>
      <c r="B7125" t="s">
        <v>33</v>
      </c>
      <c r="C7125" t="s">
        <v>129</v>
      </c>
      <c r="D7125">
        <v>6</v>
      </c>
      <c r="E7125" t="s">
        <v>466</v>
      </c>
    </row>
    <row r="7126" spans="1:5" x14ac:dyDescent="0.35">
      <c r="A7126">
        <v>2016</v>
      </c>
      <c r="B7126" t="s">
        <v>33</v>
      </c>
      <c r="C7126" t="s">
        <v>148</v>
      </c>
      <c r="E7126" t="s">
        <v>355</v>
      </c>
    </row>
    <row r="7127" spans="1:5" x14ac:dyDescent="0.35">
      <c r="A7127">
        <v>2016</v>
      </c>
      <c r="B7127" t="s">
        <v>33</v>
      </c>
      <c r="C7127" t="s">
        <v>130</v>
      </c>
      <c r="D7127">
        <v>14</v>
      </c>
      <c r="E7127" t="s">
        <v>466</v>
      </c>
    </row>
    <row r="7128" spans="1:5" x14ac:dyDescent="0.35">
      <c r="A7128">
        <v>2016</v>
      </c>
      <c r="B7128" t="s">
        <v>36</v>
      </c>
      <c r="C7128" t="s">
        <v>163</v>
      </c>
      <c r="D7128">
        <v>4</v>
      </c>
      <c r="E7128" t="s">
        <v>467</v>
      </c>
    </row>
    <row r="7129" spans="1:5" x14ac:dyDescent="0.35">
      <c r="A7129">
        <v>2016</v>
      </c>
      <c r="B7129" t="s">
        <v>34</v>
      </c>
      <c r="C7129" t="s">
        <v>131</v>
      </c>
      <c r="D7129">
        <v>48</v>
      </c>
      <c r="E7129" t="s">
        <v>466</v>
      </c>
    </row>
    <row r="7130" spans="1:5" x14ac:dyDescent="0.35">
      <c r="A7130">
        <v>2016</v>
      </c>
      <c r="B7130" t="s">
        <v>36</v>
      </c>
      <c r="C7130" t="s">
        <v>147</v>
      </c>
      <c r="D7130">
        <v>493</v>
      </c>
      <c r="E7130" t="s">
        <v>328</v>
      </c>
    </row>
    <row r="7131" spans="1:5" x14ac:dyDescent="0.35">
      <c r="A7131">
        <v>2016</v>
      </c>
      <c r="B7131" t="s">
        <v>33</v>
      </c>
      <c r="C7131" t="s">
        <v>132</v>
      </c>
      <c r="D7131">
        <v>87</v>
      </c>
      <c r="E7131" t="s">
        <v>466</v>
      </c>
    </row>
    <row r="7132" spans="1:5" x14ac:dyDescent="0.35">
      <c r="A7132">
        <v>2016</v>
      </c>
      <c r="B7132" t="s">
        <v>34</v>
      </c>
      <c r="C7132" t="s">
        <v>151</v>
      </c>
      <c r="D7132">
        <v>10</v>
      </c>
      <c r="E7132" t="s">
        <v>467</v>
      </c>
    </row>
    <row r="7133" spans="1:5" x14ac:dyDescent="0.35">
      <c r="A7133">
        <v>2016</v>
      </c>
      <c r="B7133" t="s">
        <v>35</v>
      </c>
      <c r="C7133" t="s">
        <v>133</v>
      </c>
      <c r="D7133">
        <v>3</v>
      </c>
      <c r="E7133" t="s">
        <v>466</v>
      </c>
    </row>
    <row r="7134" spans="1:5" x14ac:dyDescent="0.35">
      <c r="A7134">
        <v>2016</v>
      </c>
      <c r="B7134" t="s">
        <v>36</v>
      </c>
      <c r="C7134" t="s">
        <v>147</v>
      </c>
      <c r="D7134">
        <v>392</v>
      </c>
      <c r="E7134" t="s">
        <v>355</v>
      </c>
    </row>
    <row r="7135" spans="1:5" x14ac:dyDescent="0.35">
      <c r="A7135">
        <v>2016</v>
      </c>
      <c r="B7135" t="s">
        <v>37</v>
      </c>
      <c r="C7135" t="s">
        <v>134</v>
      </c>
      <c r="D7135">
        <v>41</v>
      </c>
      <c r="E7135" t="s">
        <v>466</v>
      </c>
    </row>
    <row r="7136" spans="1:5" x14ac:dyDescent="0.35">
      <c r="A7136">
        <v>2016</v>
      </c>
      <c r="B7136" t="s">
        <v>35</v>
      </c>
      <c r="C7136" t="s">
        <v>161</v>
      </c>
      <c r="D7136">
        <v>105</v>
      </c>
      <c r="E7136" t="s">
        <v>467</v>
      </c>
    </row>
    <row r="7137" spans="1:5" x14ac:dyDescent="0.35">
      <c r="A7137">
        <v>2016</v>
      </c>
      <c r="B7137" t="s">
        <v>33</v>
      </c>
      <c r="C7137" t="s">
        <v>135</v>
      </c>
      <c r="D7137">
        <v>32</v>
      </c>
      <c r="E7137" t="s">
        <v>466</v>
      </c>
    </row>
    <row r="7138" spans="1:5" x14ac:dyDescent="0.35">
      <c r="A7138">
        <v>2016</v>
      </c>
      <c r="B7138" t="s">
        <v>37</v>
      </c>
      <c r="C7138" t="s">
        <v>146</v>
      </c>
      <c r="D7138">
        <v>7</v>
      </c>
      <c r="E7138" t="s">
        <v>328</v>
      </c>
    </row>
    <row r="7139" spans="1:5" x14ac:dyDescent="0.35">
      <c r="A7139">
        <v>2016</v>
      </c>
      <c r="B7139" t="s">
        <v>33</v>
      </c>
      <c r="C7139" t="s">
        <v>136</v>
      </c>
      <c r="D7139">
        <v>17</v>
      </c>
      <c r="E7139" t="s">
        <v>466</v>
      </c>
    </row>
    <row r="7140" spans="1:5" x14ac:dyDescent="0.35">
      <c r="A7140">
        <v>2016</v>
      </c>
      <c r="B7140" t="s">
        <v>35</v>
      </c>
      <c r="C7140" t="s">
        <v>160</v>
      </c>
      <c r="D7140">
        <v>108</v>
      </c>
      <c r="E7140" t="s">
        <v>467</v>
      </c>
    </row>
    <row r="7141" spans="1:5" x14ac:dyDescent="0.35">
      <c r="A7141">
        <v>2016</v>
      </c>
      <c r="B7141" t="s">
        <v>36</v>
      </c>
      <c r="C7141" t="s">
        <v>147</v>
      </c>
      <c r="D7141">
        <v>2086</v>
      </c>
      <c r="E7141" t="s">
        <v>466</v>
      </c>
    </row>
    <row r="7142" spans="1:5" x14ac:dyDescent="0.35">
      <c r="A7142">
        <v>2016</v>
      </c>
      <c r="B7142" t="s">
        <v>36</v>
      </c>
      <c r="C7142" t="s">
        <v>154</v>
      </c>
      <c r="D7142">
        <v>29</v>
      </c>
      <c r="E7142" t="s">
        <v>328</v>
      </c>
    </row>
    <row r="7143" spans="1:5" x14ac:dyDescent="0.35">
      <c r="A7143">
        <v>2016</v>
      </c>
      <c r="B7143" t="s">
        <v>36</v>
      </c>
      <c r="C7143" t="s">
        <v>14</v>
      </c>
      <c r="D7143">
        <v>325348</v>
      </c>
      <c r="E7143" t="s">
        <v>466</v>
      </c>
    </row>
    <row r="7144" spans="1:5" x14ac:dyDescent="0.35">
      <c r="A7144">
        <v>2016</v>
      </c>
      <c r="B7144" t="s">
        <v>34</v>
      </c>
      <c r="C7144" t="s">
        <v>159</v>
      </c>
      <c r="D7144">
        <v>9</v>
      </c>
      <c r="E7144" t="s">
        <v>467</v>
      </c>
    </row>
    <row r="7145" spans="1:5" x14ac:dyDescent="0.35">
      <c r="A7145">
        <v>2016</v>
      </c>
      <c r="B7145" t="s">
        <v>36</v>
      </c>
      <c r="C7145" t="s">
        <v>165</v>
      </c>
      <c r="D7145">
        <v>38</v>
      </c>
      <c r="E7145" t="s">
        <v>466</v>
      </c>
    </row>
    <row r="7146" spans="1:5" x14ac:dyDescent="0.35">
      <c r="A7146">
        <v>2016</v>
      </c>
      <c r="B7146" t="s">
        <v>35</v>
      </c>
      <c r="C7146" t="s">
        <v>322</v>
      </c>
      <c r="E7146" t="s">
        <v>355</v>
      </c>
    </row>
    <row r="7147" spans="1:5" x14ac:dyDescent="0.35">
      <c r="A7147">
        <v>2016</v>
      </c>
      <c r="B7147" t="s">
        <v>34</v>
      </c>
      <c r="C7147" t="s">
        <v>139</v>
      </c>
      <c r="D7147">
        <v>85</v>
      </c>
      <c r="E7147" t="s">
        <v>466</v>
      </c>
    </row>
    <row r="7148" spans="1:5" x14ac:dyDescent="0.35">
      <c r="A7148">
        <v>2016</v>
      </c>
      <c r="B7148" t="s">
        <v>35</v>
      </c>
      <c r="C7148" t="s">
        <v>158</v>
      </c>
      <c r="D7148">
        <v>192</v>
      </c>
      <c r="E7148" t="s">
        <v>467</v>
      </c>
    </row>
    <row r="7149" spans="1:5" x14ac:dyDescent="0.35">
      <c r="A7149">
        <v>2016</v>
      </c>
      <c r="B7149" t="s">
        <v>35</v>
      </c>
      <c r="C7149" t="s">
        <v>140</v>
      </c>
      <c r="D7149">
        <v>21</v>
      </c>
      <c r="E7149" t="s">
        <v>466</v>
      </c>
    </row>
    <row r="7150" spans="1:5" x14ac:dyDescent="0.35">
      <c r="A7150">
        <v>2016</v>
      </c>
      <c r="B7150" t="s">
        <v>38</v>
      </c>
      <c r="C7150" t="s">
        <v>155</v>
      </c>
      <c r="E7150" t="s">
        <v>355</v>
      </c>
    </row>
    <row r="7151" spans="1:5" x14ac:dyDescent="0.35">
      <c r="A7151">
        <v>2016</v>
      </c>
      <c r="B7151" t="s">
        <v>33</v>
      </c>
      <c r="C7151" t="s">
        <v>141</v>
      </c>
      <c r="D7151">
        <v>274</v>
      </c>
      <c r="E7151" t="s">
        <v>466</v>
      </c>
    </row>
    <row r="7152" spans="1:5" x14ac:dyDescent="0.35">
      <c r="A7152">
        <v>2016</v>
      </c>
      <c r="B7152" t="s">
        <v>35</v>
      </c>
      <c r="C7152" t="s">
        <v>157</v>
      </c>
      <c r="D7152">
        <v>177</v>
      </c>
      <c r="E7152" t="s">
        <v>467</v>
      </c>
    </row>
    <row r="7153" spans="1:5" x14ac:dyDescent="0.35">
      <c r="A7153">
        <v>2016</v>
      </c>
      <c r="B7153" t="s">
        <v>33</v>
      </c>
      <c r="C7153" t="s">
        <v>142</v>
      </c>
      <c r="D7153">
        <v>4</v>
      </c>
      <c r="E7153" t="s">
        <v>466</v>
      </c>
    </row>
    <row r="7154" spans="1:5" x14ac:dyDescent="0.35">
      <c r="A7154">
        <v>2016</v>
      </c>
      <c r="B7154" t="s">
        <v>36</v>
      </c>
      <c r="C7154" t="s">
        <v>163</v>
      </c>
      <c r="D7154">
        <v>3</v>
      </c>
      <c r="E7154" t="s">
        <v>328</v>
      </c>
    </row>
    <row r="7155" spans="1:5" x14ac:dyDescent="0.35">
      <c r="A7155">
        <v>2016</v>
      </c>
      <c r="B7155" t="s">
        <v>33</v>
      </c>
      <c r="C7155" t="s">
        <v>143</v>
      </c>
      <c r="D7155">
        <v>3</v>
      </c>
      <c r="E7155" t="s">
        <v>466</v>
      </c>
    </row>
    <row r="7156" spans="1:5" x14ac:dyDescent="0.35">
      <c r="A7156">
        <v>2016</v>
      </c>
      <c r="B7156" t="s">
        <v>34</v>
      </c>
      <c r="C7156" t="s">
        <v>18</v>
      </c>
      <c r="D7156">
        <v>374</v>
      </c>
      <c r="E7156" t="s">
        <v>467</v>
      </c>
    </row>
    <row r="7157" spans="1:5" x14ac:dyDescent="0.35">
      <c r="A7157">
        <v>2016</v>
      </c>
      <c r="B7157" t="s">
        <v>34</v>
      </c>
      <c r="C7157" t="s">
        <v>144</v>
      </c>
      <c r="D7157">
        <v>795</v>
      </c>
      <c r="E7157" t="s">
        <v>466</v>
      </c>
    </row>
    <row r="7158" spans="1:5" x14ac:dyDescent="0.35">
      <c r="A7158">
        <v>2016</v>
      </c>
      <c r="B7158" t="s">
        <v>38</v>
      </c>
      <c r="C7158" t="s">
        <v>156</v>
      </c>
      <c r="D7158">
        <v>207</v>
      </c>
      <c r="E7158" t="s">
        <v>355</v>
      </c>
    </row>
    <row r="7159" spans="1:5" x14ac:dyDescent="0.35">
      <c r="A7159">
        <v>2016</v>
      </c>
      <c r="B7159" t="s">
        <v>35</v>
      </c>
      <c r="C7159" t="s">
        <v>145</v>
      </c>
      <c r="D7159">
        <v>250</v>
      </c>
      <c r="E7159" t="s">
        <v>466</v>
      </c>
    </row>
    <row r="7160" spans="1:5" x14ac:dyDescent="0.35">
      <c r="A7160">
        <v>2016</v>
      </c>
      <c r="B7160" t="s">
        <v>38</v>
      </c>
      <c r="C7160" t="s">
        <v>156</v>
      </c>
      <c r="D7160">
        <v>143</v>
      </c>
      <c r="E7160" t="s">
        <v>467</v>
      </c>
    </row>
    <row r="7161" spans="1:5" x14ac:dyDescent="0.35">
      <c r="A7161">
        <v>2016</v>
      </c>
      <c r="B7161" t="s">
        <v>37</v>
      </c>
      <c r="C7161" t="s">
        <v>137</v>
      </c>
      <c r="D7161">
        <v>100</v>
      </c>
      <c r="E7161" t="s">
        <v>466</v>
      </c>
    </row>
    <row r="7162" spans="1:5" x14ac:dyDescent="0.35">
      <c r="A7162">
        <v>2016</v>
      </c>
      <c r="B7162" t="s">
        <v>37</v>
      </c>
      <c r="C7162" t="s">
        <v>146</v>
      </c>
      <c r="D7162">
        <v>11</v>
      </c>
      <c r="E7162" t="s">
        <v>355</v>
      </c>
    </row>
    <row r="7163" spans="1:5" x14ac:dyDescent="0.35">
      <c r="A7163">
        <v>2016</v>
      </c>
      <c r="B7163" t="s">
        <v>37</v>
      </c>
      <c r="C7163" t="s">
        <v>166</v>
      </c>
      <c r="D7163">
        <v>37</v>
      </c>
      <c r="E7163" t="s">
        <v>466</v>
      </c>
    </row>
    <row r="7164" spans="1:5" x14ac:dyDescent="0.35">
      <c r="A7164">
        <v>2016</v>
      </c>
      <c r="B7164" t="s">
        <v>38</v>
      </c>
      <c r="C7164" t="s">
        <v>155</v>
      </c>
      <c r="D7164">
        <v>7</v>
      </c>
      <c r="E7164" t="s">
        <v>467</v>
      </c>
    </row>
    <row r="7165" spans="1:5" x14ac:dyDescent="0.35">
      <c r="A7165">
        <v>2016</v>
      </c>
      <c r="B7165" t="s">
        <v>33</v>
      </c>
      <c r="C7165" t="s">
        <v>176</v>
      </c>
      <c r="D7165">
        <v>21</v>
      </c>
      <c r="E7165" t="s">
        <v>466</v>
      </c>
    </row>
    <row r="7166" spans="1:5" x14ac:dyDescent="0.35">
      <c r="A7166">
        <v>2016</v>
      </c>
      <c r="B7166" t="s">
        <v>36</v>
      </c>
      <c r="C7166" t="s">
        <v>163</v>
      </c>
      <c r="D7166">
        <v>8</v>
      </c>
      <c r="E7166" t="s">
        <v>355</v>
      </c>
    </row>
    <row r="7167" spans="1:5" x14ac:dyDescent="0.35">
      <c r="A7167">
        <v>2016</v>
      </c>
      <c r="B7167" t="s">
        <v>33</v>
      </c>
      <c r="C7167" t="s">
        <v>168</v>
      </c>
      <c r="D7167">
        <v>352</v>
      </c>
      <c r="E7167" t="s">
        <v>466</v>
      </c>
    </row>
    <row r="7168" spans="1:5" x14ac:dyDescent="0.35">
      <c r="A7168">
        <v>2016</v>
      </c>
      <c r="B7168" t="s">
        <v>36</v>
      </c>
      <c r="C7168" t="s">
        <v>154</v>
      </c>
      <c r="D7168">
        <v>24</v>
      </c>
      <c r="E7168" t="s">
        <v>467</v>
      </c>
    </row>
    <row r="7169" spans="1:5" x14ac:dyDescent="0.35">
      <c r="A7169">
        <v>2016</v>
      </c>
      <c r="B7169" t="s">
        <v>36</v>
      </c>
      <c r="C7169" t="s">
        <v>191</v>
      </c>
      <c r="D7169">
        <v>278</v>
      </c>
      <c r="E7169" t="s">
        <v>466</v>
      </c>
    </row>
    <row r="7170" spans="1:5" x14ac:dyDescent="0.35">
      <c r="A7170">
        <v>2016</v>
      </c>
      <c r="B7170" t="s">
        <v>33</v>
      </c>
      <c r="C7170" t="s">
        <v>162</v>
      </c>
      <c r="E7170" t="s">
        <v>328</v>
      </c>
    </row>
    <row r="7171" spans="1:5" x14ac:dyDescent="0.35">
      <c r="A7171">
        <v>2016</v>
      </c>
      <c r="B7171" t="s">
        <v>33</v>
      </c>
      <c r="C7171" t="s">
        <v>192</v>
      </c>
      <c r="D7171">
        <v>157</v>
      </c>
      <c r="E7171" t="s">
        <v>466</v>
      </c>
    </row>
    <row r="7172" spans="1:5" x14ac:dyDescent="0.35">
      <c r="A7172">
        <v>2016</v>
      </c>
      <c r="B7172" t="s">
        <v>34</v>
      </c>
      <c r="C7172" t="s">
        <v>152</v>
      </c>
      <c r="D7172">
        <v>309</v>
      </c>
      <c r="E7172" t="s">
        <v>467</v>
      </c>
    </row>
    <row r="7173" spans="1:5" x14ac:dyDescent="0.35">
      <c r="A7173">
        <v>2016</v>
      </c>
      <c r="B7173" t="s">
        <v>34</v>
      </c>
      <c r="C7173" t="s">
        <v>193</v>
      </c>
      <c r="D7173">
        <v>335</v>
      </c>
      <c r="E7173" t="s">
        <v>466</v>
      </c>
    </row>
    <row r="7174" spans="1:5" x14ac:dyDescent="0.35">
      <c r="A7174">
        <v>2016</v>
      </c>
      <c r="B7174" t="s">
        <v>33</v>
      </c>
      <c r="C7174" t="s">
        <v>162</v>
      </c>
      <c r="E7174" t="s">
        <v>355</v>
      </c>
    </row>
    <row r="7175" spans="1:5" x14ac:dyDescent="0.35">
      <c r="A7175">
        <v>2016</v>
      </c>
      <c r="B7175" t="s">
        <v>34</v>
      </c>
      <c r="C7175" t="s">
        <v>194</v>
      </c>
      <c r="D7175">
        <v>52</v>
      </c>
      <c r="E7175" t="s">
        <v>466</v>
      </c>
    </row>
    <row r="7176" spans="1:5" x14ac:dyDescent="0.35">
      <c r="A7176">
        <v>2016</v>
      </c>
      <c r="B7176" t="s">
        <v>35</v>
      </c>
      <c r="C7176" t="s">
        <v>150</v>
      </c>
      <c r="D7176">
        <v>47</v>
      </c>
      <c r="E7176" t="s">
        <v>467</v>
      </c>
    </row>
    <row r="7177" spans="1:5" x14ac:dyDescent="0.35">
      <c r="A7177">
        <v>2016</v>
      </c>
      <c r="B7177" t="s">
        <v>33</v>
      </c>
      <c r="C7177" t="s">
        <v>195</v>
      </c>
      <c r="D7177">
        <v>42</v>
      </c>
      <c r="E7177" t="s">
        <v>466</v>
      </c>
    </row>
    <row r="7178" spans="1:5" x14ac:dyDescent="0.35">
      <c r="A7178">
        <v>2016</v>
      </c>
      <c r="B7178" t="s">
        <v>35</v>
      </c>
      <c r="C7178" t="s">
        <v>161</v>
      </c>
      <c r="D7178">
        <v>91</v>
      </c>
      <c r="E7178" t="s">
        <v>328</v>
      </c>
    </row>
    <row r="7179" spans="1:5" x14ac:dyDescent="0.35">
      <c r="A7179">
        <v>2016</v>
      </c>
      <c r="B7179" t="s">
        <v>35</v>
      </c>
      <c r="C7179" t="s">
        <v>196</v>
      </c>
      <c r="D7179">
        <v>554</v>
      </c>
      <c r="E7179" t="s">
        <v>466</v>
      </c>
    </row>
    <row r="7180" spans="1:5" x14ac:dyDescent="0.35">
      <c r="A7180">
        <v>2016</v>
      </c>
      <c r="B7180" t="s">
        <v>33</v>
      </c>
      <c r="C7180" t="s">
        <v>175</v>
      </c>
      <c r="D7180">
        <v>82</v>
      </c>
      <c r="E7180" t="s">
        <v>467</v>
      </c>
    </row>
    <row r="7181" spans="1:5" x14ac:dyDescent="0.35">
      <c r="A7181">
        <v>2016</v>
      </c>
      <c r="B7181" t="s">
        <v>34</v>
      </c>
      <c r="C7181" t="s">
        <v>197</v>
      </c>
      <c r="D7181">
        <v>29</v>
      </c>
      <c r="E7181" t="s">
        <v>466</v>
      </c>
    </row>
    <row r="7182" spans="1:5" x14ac:dyDescent="0.35">
      <c r="A7182">
        <v>2016</v>
      </c>
      <c r="B7182" t="s">
        <v>35</v>
      </c>
      <c r="C7182" t="s">
        <v>161</v>
      </c>
      <c r="D7182">
        <v>42</v>
      </c>
      <c r="E7182" t="s">
        <v>355</v>
      </c>
    </row>
    <row r="7183" spans="1:5" x14ac:dyDescent="0.35">
      <c r="A7183">
        <v>2016</v>
      </c>
      <c r="B7183" t="s">
        <v>35</v>
      </c>
      <c r="C7183" t="s">
        <v>198</v>
      </c>
      <c r="D7183">
        <v>1278</v>
      </c>
      <c r="E7183" t="s">
        <v>466</v>
      </c>
    </row>
    <row r="7184" spans="1:5" x14ac:dyDescent="0.35">
      <c r="A7184">
        <v>2016</v>
      </c>
      <c r="B7184" t="s">
        <v>33</v>
      </c>
      <c r="C7184" t="s">
        <v>162</v>
      </c>
      <c r="D7184">
        <v>14</v>
      </c>
      <c r="E7184" t="s">
        <v>467</v>
      </c>
    </row>
    <row r="7185" spans="1:5" x14ac:dyDescent="0.35">
      <c r="A7185">
        <v>2016</v>
      </c>
      <c r="B7185" t="s">
        <v>39</v>
      </c>
      <c r="C7185" t="s">
        <v>39</v>
      </c>
      <c r="D7185">
        <v>467</v>
      </c>
      <c r="E7185" t="s">
        <v>466</v>
      </c>
    </row>
    <row r="7186" spans="1:5" x14ac:dyDescent="0.35">
      <c r="A7186">
        <v>2016</v>
      </c>
      <c r="B7186" t="s">
        <v>35</v>
      </c>
      <c r="C7186" t="s">
        <v>160</v>
      </c>
      <c r="D7186">
        <v>111</v>
      </c>
      <c r="E7186" t="s">
        <v>328</v>
      </c>
    </row>
    <row r="7187" spans="1:5" x14ac:dyDescent="0.35">
      <c r="A7187">
        <v>2016</v>
      </c>
      <c r="B7187" t="s">
        <v>38</v>
      </c>
      <c r="C7187" t="s">
        <v>199</v>
      </c>
      <c r="D7187">
        <v>72</v>
      </c>
      <c r="E7187" t="s">
        <v>466</v>
      </c>
    </row>
    <row r="7188" spans="1:5" x14ac:dyDescent="0.35">
      <c r="A7188">
        <v>2016</v>
      </c>
      <c r="B7188" t="s">
        <v>35</v>
      </c>
      <c r="C7188" t="s">
        <v>177</v>
      </c>
      <c r="D7188">
        <v>769</v>
      </c>
      <c r="E7188" t="s">
        <v>467</v>
      </c>
    </row>
    <row r="7189" spans="1:5" x14ac:dyDescent="0.35">
      <c r="A7189">
        <v>2016</v>
      </c>
      <c r="B7189" t="s">
        <v>34</v>
      </c>
      <c r="C7189" t="s">
        <v>200</v>
      </c>
      <c r="D7189">
        <v>82</v>
      </c>
      <c r="E7189" t="s">
        <v>466</v>
      </c>
    </row>
    <row r="7190" spans="1:5" x14ac:dyDescent="0.35">
      <c r="A7190">
        <v>2016</v>
      </c>
      <c r="B7190" t="s">
        <v>35</v>
      </c>
      <c r="C7190" t="s">
        <v>160</v>
      </c>
      <c r="D7190">
        <v>69</v>
      </c>
      <c r="E7190" t="s">
        <v>355</v>
      </c>
    </row>
    <row r="7191" spans="1:5" x14ac:dyDescent="0.35">
      <c r="A7191">
        <v>2016</v>
      </c>
      <c r="B7191" t="s">
        <v>38</v>
      </c>
      <c r="C7191" t="s">
        <v>19</v>
      </c>
      <c r="D7191">
        <v>1333</v>
      </c>
      <c r="E7191" t="s">
        <v>466</v>
      </c>
    </row>
    <row r="7192" spans="1:5" x14ac:dyDescent="0.35">
      <c r="A7192">
        <v>2016</v>
      </c>
      <c r="B7192" t="s">
        <v>35</v>
      </c>
      <c r="C7192" t="s">
        <v>322</v>
      </c>
      <c r="D7192">
        <v>8</v>
      </c>
      <c r="E7192" t="s">
        <v>467</v>
      </c>
    </row>
    <row r="7193" spans="1:5" x14ac:dyDescent="0.35">
      <c r="A7193">
        <v>2016</v>
      </c>
      <c r="B7193" t="s">
        <v>34</v>
      </c>
      <c r="C7193" t="s">
        <v>201</v>
      </c>
      <c r="D7193">
        <v>654</v>
      </c>
      <c r="E7193" t="s">
        <v>466</v>
      </c>
    </row>
    <row r="7194" spans="1:5" x14ac:dyDescent="0.35">
      <c r="A7194">
        <v>2016</v>
      </c>
      <c r="B7194" t="s">
        <v>35</v>
      </c>
      <c r="C7194" t="s">
        <v>158</v>
      </c>
      <c r="D7194">
        <v>17</v>
      </c>
      <c r="E7194" t="s">
        <v>328</v>
      </c>
    </row>
    <row r="7195" spans="1:5" x14ac:dyDescent="0.35">
      <c r="A7195">
        <v>2016</v>
      </c>
      <c r="B7195" t="s">
        <v>34</v>
      </c>
      <c r="C7195" t="s">
        <v>202</v>
      </c>
      <c r="D7195">
        <v>83</v>
      </c>
      <c r="E7195" t="s">
        <v>466</v>
      </c>
    </row>
    <row r="7196" spans="1:5" x14ac:dyDescent="0.35">
      <c r="A7196">
        <v>2016</v>
      </c>
      <c r="B7196" t="s">
        <v>33</v>
      </c>
      <c r="C7196" t="s">
        <v>179</v>
      </c>
      <c r="D7196">
        <v>25</v>
      </c>
      <c r="E7196" t="s">
        <v>467</v>
      </c>
    </row>
    <row r="7197" spans="1:5" x14ac:dyDescent="0.35">
      <c r="A7197">
        <v>2016</v>
      </c>
      <c r="B7197" t="s">
        <v>33</v>
      </c>
      <c r="C7197" t="s">
        <v>203</v>
      </c>
      <c r="D7197">
        <v>35</v>
      </c>
      <c r="E7197" t="s">
        <v>466</v>
      </c>
    </row>
    <row r="7198" spans="1:5" x14ac:dyDescent="0.35">
      <c r="A7198">
        <v>2016</v>
      </c>
      <c r="B7198" t="s">
        <v>35</v>
      </c>
      <c r="C7198" t="s">
        <v>158</v>
      </c>
      <c r="D7198">
        <v>27</v>
      </c>
      <c r="E7198" t="s">
        <v>355</v>
      </c>
    </row>
    <row r="7199" spans="1:5" x14ac:dyDescent="0.35">
      <c r="A7199">
        <v>2016</v>
      </c>
      <c r="B7199" t="s">
        <v>33</v>
      </c>
      <c r="C7199" t="s">
        <v>204</v>
      </c>
      <c r="D7199">
        <v>50</v>
      </c>
      <c r="E7199" t="s">
        <v>466</v>
      </c>
    </row>
    <row r="7200" spans="1:5" x14ac:dyDescent="0.35">
      <c r="A7200">
        <v>2016</v>
      </c>
      <c r="B7200" t="s">
        <v>39</v>
      </c>
      <c r="C7200" t="s">
        <v>39</v>
      </c>
      <c r="D7200">
        <v>136</v>
      </c>
      <c r="E7200" t="s">
        <v>467</v>
      </c>
    </row>
    <row r="7201" spans="1:5" x14ac:dyDescent="0.35">
      <c r="A7201">
        <v>2016</v>
      </c>
      <c r="B7201" t="s">
        <v>35</v>
      </c>
      <c r="C7201" t="s">
        <v>128</v>
      </c>
      <c r="E7201" t="s">
        <v>466</v>
      </c>
    </row>
    <row r="7202" spans="1:5" x14ac:dyDescent="0.35">
      <c r="A7202">
        <v>2016</v>
      </c>
      <c r="B7202" t="s">
        <v>35</v>
      </c>
      <c r="C7202" t="s">
        <v>157</v>
      </c>
      <c r="D7202">
        <v>116</v>
      </c>
      <c r="E7202" t="s">
        <v>328</v>
      </c>
    </row>
    <row r="7203" spans="1:5" x14ac:dyDescent="0.35">
      <c r="A7203">
        <v>2016</v>
      </c>
      <c r="B7203" t="s">
        <v>37</v>
      </c>
      <c r="C7203" t="s">
        <v>190</v>
      </c>
      <c r="D7203">
        <v>55</v>
      </c>
      <c r="E7203" t="s">
        <v>466</v>
      </c>
    </row>
    <row r="7204" spans="1:5" x14ac:dyDescent="0.35">
      <c r="A7204">
        <v>2016</v>
      </c>
      <c r="C7204" t="s">
        <v>373</v>
      </c>
      <c r="D7204">
        <v>68</v>
      </c>
      <c r="E7204" t="s">
        <v>467</v>
      </c>
    </row>
    <row r="7205" spans="1:5" x14ac:dyDescent="0.35">
      <c r="A7205">
        <v>2016</v>
      </c>
      <c r="B7205" t="s">
        <v>33</v>
      </c>
      <c r="C7205" t="s">
        <v>189</v>
      </c>
      <c r="D7205">
        <v>82</v>
      </c>
      <c r="E7205" t="s">
        <v>466</v>
      </c>
    </row>
    <row r="7206" spans="1:5" x14ac:dyDescent="0.35">
      <c r="A7206">
        <v>2016</v>
      </c>
      <c r="B7206" t="s">
        <v>35</v>
      </c>
      <c r="C7206" t="s">
        <v>157</v>
      </c>
      <c r="D7206">
        <v>74</v>
      </c>
      <c r="E7206" t="s">
        <v>355</v>
      </c>
    </row>
    <row r="7207" spans="1:5" x14ac:dyDescent="0.35">
      <c r="A7207">
        <v>2016</v>
      </c>
      <c r="B7207" t="s">
        <v>33</v>
      </c>
      <c r="C7207" t="s">
        <v>187</v>
      </c>
      <c r="D7207">
        <v>54</v>
      </c>
      <c r="E7207" t="s">
        <v>466</v>
      </c>
    </row>
    <row r="7208" spans="1:5" x14ac:dyDescent="0.35">
      <c r="A7208">
        <v>2016</v>
      </c>
      <c r="B7208" t="s">
        <v>33</v>
      </c>
      <c r="C7208" t="s">
        <v>204</v>
      </c>
      <c r="D7208">
        <v>10</v>
      </c>
      <c r="E7208" t="s">
        <v>467</v>
      </c>
    </row>
    <row r="7209" spans="1:5" x14ac:dyDescent="0.35">
      <c r="A7209">
        <v>2016</v>
      </c>
      <c r="B7209" t="s">
        <v>34</v>
      </c>
      <c r="C7209" t="s">
        <v>186</v>
      </c>
      <c r="D7209">
        <v>21</v>
      </c>
      <c r="E7209" t="s">
        <v>466</v>
      </c>
    </row>
    <row r="7210" spans="1:5" x14ac:dyDescent="0.35">
      <c r="A7210">
        <v>2016</v>
      </c>
      <c r="B7210" t="s">
        <v>34</v>
      </c>
      <c r="C7210" t="s">
        <v>18</v>
      </c>
      <c r="D7210">
        <v>152</v>
      </c>
      <c r="E7210" t="s">
        <v>328</v>
      </c>
    </row>
    <row r="7211" spans="1:5" x14ac:dyDescent="0.35">
      <c r="A7211">
        <v>2016</v>
      </c>
      <c r="B7211" t="s">
        <v>35</v>
      </c>
      <c r="C7211" t="s">
        <v>169</v>
      </c>
      <c r="D7211">
        <v>72</v>
      </c>
      <c r="E7211" t="s">
        <v>466</v>
      </c>
    </row>
    <row r="7212" spans="1:5" x14ac:dyDescent="0.35">
      <c r="A7212">
        <v>2016</v>
      </c>
      <c r="B7212" t="s">
        <v>33</v>
      </c>
      <c r="C7212" t="s">
        <v>203</v>
      </c>
      <c r="D7212">
        <v>11</v>
      </c>
      <c r="E7212" t="s">
        <v>467</v>
      </c>
    </row>
    <row r="7213" spans="1:5" x14ac:dyDescent="0.35">
      <c r="A7213">
        <v>2016</v>
      </c>
      <c r="B7213" t="s">
        <v>35</v>
      </c>
      <c r="C7213" t="s">
        <v>215</v>
      </c>
      <c r="D7213">
        <v>21</v>
      </c>
      <c r="E7213" t="s">
        <v>466</v>
      </c>
    </row>
    <row r="7214" spans="1:5" x14ac:dyDescent="0.35">
      <c r="A7214">
        <v>2016</v>
      </c>
      <c r="B7214" t="s">
        <v>34</v>
      </c>
      <c r="C7214" t="s">
        <v>18</v>
      </c>
      <c r="D7214">
        <v>123</v>
      </c>
      <c r="E7214" t="s">
        <v>355</v>
      </c>
    </row>
    <row r="7215" spans="1:5" x14ac:dyDescent="0.35">
      <c r="A7215">
        <v>2016</v>
      </c>
      <c r="B7215" t="s">
        <v>33</v>
      </c>
      <c r="C7215" t="s">
        <v>170</v>
      </c>
      <c r="D7215">
        <v>81</v>
      </c>
      <c r="E7215" t="s">
        <v>466</v>
      </c>
    </row>
    <row r="7216" spans="1:5" x14ac:dyDescent="0.35">
      <c r="A7216">
        <v>2016</v>
      </c>
      <c r="B7216" t="s">
        <v>34</v>
      </c>
      <c r="C7216" t="s">
        <v>202</v>
      </c>
      <c r="D7216">
        <v>24</v>
      </c>
      <c r="E7216" t="s">
        <v>467</v>
      </c>
    </row>
    <row r="7217" spans="1:5" x14ac:dyDescent="0.35">
      <c r="A7217">
        <v>2016</v>
      </c>
      <c r="B7217" t="s">
        <v>34</v>
      </c>
      <c r="C7217" t="s">
        <v>171</v>
      </c>
      <c r="D7217">
        <v>45</v>
      </c>
      <c r="E7217" t="s">
        <v>466</v>
      </c>
    </row>
    <row r="7218" spans="1:5" x14ac:dyDescent="0.35">
      <c r="A7218">
        <v>2016</v>
      </c>
      <c r="B7218" t="s">
        <v>38</v>
      </c>
      <c r="C7218" t="s">
        <v>156</v>
      </c>
      <c r="D7218">
        <v>385</v>
      </c>
      <c r="E7218" t="s">
        <v>328</v>
      </c>
    </row>
    <row r="7219" spans="1:5" x14ac:dyDescent="0.35">
      <c r="A7219">
        <v>2016</v>
      </c>
      <c r="B7219" t="s">
        <v>35</v>
      </c>
      <c r="C7219" t="s">
        <v>172</v>
      </c>
      <c r="D7219">
        <v>72</v>
      </c>
      <c r="E7219" t="s">
        <v>466</v>
      </c>
    </row>
    <row r="7220" spans="1:5" x14ac:dyDescent="0.35">
      <c r="A7220">
        <v>2016</v>
      </c>
      <c r="B7220" t="s">
        <v>34</v>
      </c>
      <c r="C7220" t="s">
        <v>201</v>
      </c>
      <c r="D7220">
        <v>76</v>
      </c>
      <c r="E7220" t="s">
        <v>467</v>
      </c>
    </row>
    <row r="7221" spans="1:5" x14ac:dyDescent="0.35">
      <c r="A7221">
        <v>2016</v>
      </c>
      <c r="B7221" t="s">
        <v>35</v>
      </c>
      <c r="C7221" t="s">
        <v>173</v>
      </c>
      <c r="D7221">
        <v>12</v>
      </c>
      <c r="E7221" t="s">
        <v>466</v>
      </c>
    </row>
    <row r="7222" spans="1:5" x14ac:dyDescent="0.35">
      <c r="A7222">
        <v>2016</v>
      </c>
      <c r="B7222" t="s">
        <v>38</v>
      </c>
      <c r="C7222" t="s">
        <v>155</v>
      </c>
      <c r="E7222" t="s">
        <v>328</v>
      </c>
    </row>
    <row r="7223" spans="1:5" x14ac:dyDescent="0.35">
      <c r="A7223">
        <v>2016</v>
      </c>
      <c r="B7223" t="s">
        <v>33</v>
      </c>
      <c r="C7223" t="s">
        <v>174</v>
      </c>
      <c r="D7223">
        <v>590</v>
      </c>
      <c r="E7223" t="s">
        <v>466</v>
      </c>
    </row>
    <row r="7224" spans="1:5" x14ac:dyDescent="0.35">
      <c r="A7224">
        <v>2016</v>
      </c>
      <c r="B7224" t="s">
        <v>38</v>
      </c>
      <c r="C7224" t="s">
        <v>19</v>
      </c>
      <c r="D7224">
        <v>226</v>
      </c>
      <c r="E7224" t="s">
        <v>467</v>
      </c>
    </row>
    <row r="7225" spans="1:5" x14ac:dyDescent="0.35">
      <c r="A7225">
        <v>2016</v>
      </c>
      <c r="B7225" t="s">
        <v>33</v>
      </c>
      <c r="C7225" t="s">
        <v>175</v>
      </c>
      <c r="D7225">
        <v>163</v>
      </c>
      <c r="E7225" t="s">
        <v>466</v>
      </c>
    </row>
    <row r="7226" spans="1:5" x14ac:dyDescent="0.35">
      <c r="A7226">
        <v>2016</v>
      </c>
      <c r="B7226" t="s">
        <v>35</v>
      </c>
      <c r="C7226" t="s">
        <v>145</v>
      </c>
      <c r="D7226">
        <v>7</v>
      </c>
      <c r="E7226" t="s">
        <v>328</v>
      </c>
    </row>
    <row r="7227" spans="1:5" x14ac:dyDescent="0.35">
      <c r="A7227">
        <v>2016</v>
      </c>
      <c r="B7227" t="s">
        <v>34</v>
      </c>
      <c r="C7227" t="s">
        <v>167</v>
      </c>
      <c r="D7227">
        <v>705</v>
      </c>
      <c r="E7227" t="s">
        <v>466</v>
      </c>
    </row>
    <row r="7228" spans="1:5" x14ac:dyDescent="0.35">
      <c r="A7228">
        <v>2016</v>
      </c>
      <c r="B7228" t="s">
        <v>34</v>
      </c>
      <c r="C7228" t="s">
        <v>200</v>
      </c>
      <c r="D7228">
        <v>9</v>
      </c>
      <c r="E7228" t="s">
        <v>467</v>
      </c>
    </row>
    <row r="7229" spans="1:5" x14ac:dyDescent="0.35">
      <c r="A7229">
        <v>2016</v>
      </c>
      <c r="B7229" t="s">
        <v>35</v>
      </c>
      <c r="C7229" t="s">
        <v>216</v>
      </c>
      <c r="D7229">
        <v>23</v>
      </c>
      <c r="E7229" t="s">
        <v>466</v>
      </c>
    </row>
    <row r="7230" spans="1:5" x14ac:dyDescent="0.35">
      <c r="A7230">
        <v>2016</v>
      </c>
      <c r="B7230" t="s">
        <v>35</v>
      </c>
      <c r="C7230" t="s">
        <v>119</v>
      </c>
      <c r="D7230">
        <v>6</v>
      </c>
      <c r="E7230" t="s">
        <v>355</v>
      </c>
    </row>
    <row r="7231" spans="1:5" x14ac:dyDescent="0.35">
      <c r="A7231">
        <v>2016</v>
      </c>
      <c r="B7231" t="s">
        <v>34</v>
      </c>
      <c r="C7231" t="s">
        <v>178</v>
      </c>
      <c r="D7231">
        <v>134</v>
      </c>
      <c r="E7231" t="s">
        <v>466</v>
      </c>
    </row>
    <row r="7232" spans="1:5" x14ac:dyDescent="0.35">
      <c r="A7232">
        <v>2016</v>
      </c>
      <c r="B7232" t="s">
        <v>38</v>
      </c>
      <c r="C7232" t="s">
        <v>199</v>
      </c>
      <c r="D7232">
        <v>10</v>
      </c>
      <c r="E7232" t="s">
        <v>467</v>
      </c>
    </row>
    <row r="7233" spans="1:5" x14ac:dyDescent="0.35">
      <c r="A7233">
        <v>2016</v>
      </c>
      <c r="B7233" t="s">
        <v>33</v>
      </c>
      <c r="C7233" t="s">
        <v>179</v>
      </c>
      <c r="D7233">
        <v>131</v>
      </c>
      <c r="E7233" t="s">
        <v>466</v>
      </c>
    </row>
    <row r="7234" spans="1:5" x14ac:dyDescent="0.35">
      <c r="A7234">
        <v>2016</v>
      </c>
      <c r="B7234" t="s">
        <v>34</v>
      </c>
      <c r="C7234" t="s">
        <v>144</v>
      </c>
      <c r="D7234">
        <v>26</v>
      </c>
      <c r="E7234" t="s">
        <v>328</v>
      </c>
    </row>
    <row r="7235" spans="1:5" x14ac:dyDescent="0.35">
      <c r="A7235">
        <v>2016</v>
      </c>
      <c r="B7235" t="s">
        <v>38</v>
      </c>
      <c r="C7235" t="s">
        <v>180</v>
      </c>
      <c r="D7235">
        <v>11</v>
      </c>
      <c r="E7235" t="s">
        <v>466</v>
      </c>
    </row>
    <row r="7236" spans="1:5" x14ac:dyDescent="0.35">
      <c r="A7236">
        <v>2016</v>
      </c>
      <c r="B7236" t="s">
        <v>35</v>
      </c>
      <c r="C7236" t="s">
        <v>198</v>
      </c>
      <c r="D7236">
        <v>923</v>
      </c>
      <c r="E7236" t="s">
        <v>467</v>
      </c>
    </row>
    <row r="7237" spans="1:5" x14ac:dyDescent="0.35">
      <c r="A7237">
        <v>2016</v>
      </c>
      <c r="B7237" t="s">
        <v>33</v>
      </c>
      <c r="C7237" t="s">
        <v>181</v>
      </c>
      <c r="E7237" t="s">
        <v>466</v>
      </c>
    </row>
    <row r="7238" spans="1:5" x14ac:dyDescent="0.35">
      <c r="A7238">
        <v>2016</v>
      </c>
      <c r="B7238" t="s">
        <v>35</v>
      </c>
      <c r="C7238" t="s">
        <v>127</v>
      </c>
      <c r="D7238">
        <v>8</v>
      </c>
      <c r="E7238" t="s">
        <v>328</v>
      </c>
    </row>
    <row r="7239" spans="1:5" x14ac:dyDescent="0.35">
      <c r="A7239">
        <v>2016</v>
      </c>
      <c r="B7239" t="s">
        <v>35</v>
      </c>
      <c r="C7239" t="s">
        <v>182</v>
      </c>
      <c r="D7239">
        <v>158</v>
      </c>
      <c r="E7239" t="s">
        <v>466</v>
      </c>
    </row>
    <row r="7240" spans="1:5" x14ac:dyDescent="0.35">
      <c r="A7240">
        <v>2016</v>
      </c>
      <c r="B7240" t="s">
        <v>34</v>
      </c>
      <c r="C7240" t="s">
        <v>197</v>
      </c>
      <c r="D7240">
        <v>25</v>
      </c>
      <c r="E7240" t="s">
        <v>467</v>
      </c>
    </row>
    <row r="7241" spans="1:5" x14ac:dyDescent="0.35">
      <c r="A7241">
        <v>2016</v>
      </c>
      <c r="B7241" t="s">
        <v>35</v>
      </c>
      <c r="C7241" t="s">
        <v>183</v>
      </c>
      <c r="D7241">
        <v>69</v>
      </c>
      <c r="E7241" t="s">
        <v>466</v>
      </c>
    </row>
    <row r="7242" spans="1:5" x14ac:dyDescent="0.35">
      <c r="A7242">
        <v>2016</v>
      </c>
      <c r="B7242" t="s">
        <v>35</v>
      </c>
      <c r="C7242" t="s">
        <v>127</v>
      </c>
      <c r="D7242">
        <v>9</v>
      </c>
      <c r="E7242" t="s">
        <v>355</v>
      </c>
    </row>
    <row r="7243" spans="1:5" x14ac:dyDescent="0.35">
      <c r="A7243">
        <v>2016</v>
      </c>
      <c r="B7243" t="s">
        <v>34</v>
      </c>
      <c r="C7243" t="s">
        <v>184</v>
      </c>
      <c r="D7243">
        <v>334</v>
      </c>
      <c r="E7243" t="s">
        <v>466</v>
      </c>
    </row>
    <row r="7244" spans="1:5" x14ac:dyDescent="0.35">
      <c r="A7244">
        <v>2016</v>
      </c>
      <c r="B7244" t="s">
        <v>35</v>
      </c>
      <c r="C7244" t="s">
        <v>196</v>
      </c>
      <c r="D7244">
        <v>132</v>
      </c>
      <c r="E7244" t="s">
        <v>467</v>
      </c>
    </row>
    <row r="7245" spans="1:5" x14ac:dyDescent="0.35">
      <c r="A7245">
        <v>2016</v>
      </c>
      <c r="B7245" t="s">
        <v>34</v>
      </c>
      <c r="C7245" t="s">
        <v>185</v>
      </c>
      <c r="D7245">
        <v>396</v>
      </c>
      <c r="E7245" t="s">
        <v>466</v>
      </c>
    </row>
    <row r="7246" spans="1:5" x14ac:dyDescent="0.35">
      <c r="A7246">
        <v>2016</v>
      </c>
      <c r="B7246" t="s">
        <v>33</v>
      </c>
      <c r="C7246" t="s">
        <v>125</v>
      </c>
      <c r="D7246">
        <v>6</v>
      </c>
      <c r="E7246" t="s">
        <v>328</v>
      </c>
    </row>
    <row r="7247" spans="1:5" x14ac:dyDescent="0.35">
      <c r="A7247">
        <v>2016</v>
      </c>
      <c r="B7247" t="s">
        <v>35</v>
      </c>
      <c r="C7247" t="s">
        <v>177</v>
      </c>
      <c r="D7247">
        <v>953</v>
      </c>
      <c r="E7247" t="s">
        <v>466</v>
      </c>
    </row>
    <row r="7248" spans="1:5" x14ac:dyDescent="0.35">
      <c r="A7248">
        <v>2016</v>
      </c>
      <c r="B7248" t="s">
        <v>33</v>
      </c>
      <c r="C7248" t="s">
        <v>195</v>
      </c>
      <c r="D7248">
        <v>13</v>
      </c>
      <c r="E7248" t="s">
        <v>467</v>
      </c>
    </row>
    <row r="7249" spans="1:5" x14ac:dyDescent="0.35">
      <c r="A7249">
        <v>2016</v>
      </c>
      <c r="B7249" t="s">
        <v>34</v>
      </c>
      <c r="C7249" t="s">
        <v>188</v>
      </c>
      <c r="D7249">
        <v>214</v>
      </c>
      <c r="E7249" t="s">
        <v>466</v>
      </c>
    </row>
    <row r="7250" spans="1:5" x14ac:dyDescent="0.35">
      <c r="A7250">
        <v>2016</v>
      </c>
      <c r="B7250" t="s">
        <v>33</v>
      </c>
      <c r="C7250" t="s">
        <v>125</v>
      </c>
      <c r="D7250">
        <v>22</v>
      </c>
      <c r="E7250" t="s">
        <v>355</v>
      </c>
    </row>
    <row r="7251" spans="1:5" x14ac:dyDescent="0.35">
      <c r="A7251">
        <v>2016</v>
      </c>
      <c r="B7251" t="s">
        <v>35</v>
      </c>
      <c r="C7251" t="s">
        <v>127</v>
      </c>
      <c r="D7251">
        <v>87</v>
      </c>
      <c r="E7251" t="s">
        <v>466</v>
      </c>
    </row>
    <row r="7252" spans="1:5" x14ac:dyDescent="0.35">
      <c r="A7252">
        <v>2016</v>
      </c>
      <c r="B7252" t="s">
        <v>34</v>
      </c>
      <c r="C7252" t="s">
        <v>194</v>
      </c>
      <c r="D7252">
        <v>31</v>
      </c>
      <c r="E7252" t="s">
        <v>467</v>
      </c>
    </row>
    <row r="7253" spans="1:5" x14ac:dyDescent="0.35">
      <c r="A7253">
        <v>2016</v>
      </c>
      <c r="B7253" t="s">
        <v>33</v>
      </c>
      <c r="C7253" t="s">
        <v>125</v>
      </c>
      <c r="D7253">
        <v>184</v>
      </c>
      <c r="E7253" t="s">
        <v>466</v>
      </c>
    </row>
    <row r="7254" spans="1:5" x14ac:dyDescent="0.35">
      <c r="A7254">
        <v>2016</v>
      </c>
      <c r="B7254" t="s">
        <v>34</v>
      </c>
      <c r="C7254" t="s">
        <v>124</v>
      </c>
      <c r="D7254">
        <v>23</v>
      </c>
      <c r="E7254" t="s">
        <v>328</v>
      </c>
    </row>
    <row r="7255" spans="1:5" x14ac:dyDescent="0.35">
      <c r="A7255">
        <v>2016</v>
      </c>
      <c r="B7255" t="s">
        <v>33</v>
      </c>
      <c r="C7255" t="s">
        <v>63</v>
      </c>
      <c r="D7255">
        <v>139</v>
      </c>
      <c r="E7255" t="s">
        <v>466</v>
      </c>
    </row>
    <row r="7256" spans="1:5" x14ac:dyDescent="0.35">
      <c r="A7256">
        <v>2016</v>
      </c>
      <c r="B7256" t="s">
        <v>34</v>
      </c>
      <c r="C7256" t="s">
        <v>193</v>
      </c>
      <c r="D7256">
        <v>92</v>
      </c>
      <c r="E7256" t="s">
        <v>467</v>
      </c>
    </row>
    <row r="7257" spans="1:5" x14ac:dyDescent="0.35">
      <c r="A7257">
        <v>2016</v>
      </c>
      <c r="B7257" t="s">
        <v>34</v>
      </c>
      <c r="C7257" t="s">
        <v>64</v>
      </c>
      <c r="D7257">
        <v>79</v>
      </c>
      <c r="E7257" t="s">
        <v>466</v>
      </c>
    </row>
    <row r="7258" spans="1:5" x14ac:dyDescent="0.35">
      <c r="A7258">
        <v>2016</v>
      </c>
      <c r="B7258" t="s">
        <v>34</v>
      </c>
      <c r="C7258" t="s">
        <v>124</v>
      </c>
      <c r="D7258">
        <v>19</v>
      </c>
      <c r="E7258" t="s">
        <v>355</v>
      </c>
    </row>
    <row r="7259" spans="1:5" x14ac:dyDescent="0.35">
      <c r="A7259">
        <v>2016</v>
      </c>
      <c r="B7259" t="s">
        <v>33</v>
      </c>
      <c r="C7259" t="s">
        <v>65</v>
      </c>
      <c r="D7259">
        <v>31</v>
      </c>
      <c r="E7259" t="s">
        <v>466</v>
      </c>
    </row>
    <row r="7260" spans="1:5" x14ac:dyDescent="0.35">
      <c r="A7260">
        <v>2016</v>
      </c>
      <c r="B7260" t="s">
        <v>33</v>
      </c>
      <c r="C7260" t="s">
        <v>192</v>
      </c>
      <c r="D7260">
        <v>120</v>
      </c>
      <c r="E7260" t="s">
        <v>467</v>
      </c>
    </row>
    <row r="7261" spans="1:5" x14ac:dyDescent="0.35">
      <c r="A7261">
        <v>2016</v>
      </c>
      <c r="B7261" t="s">
        <v>33</v>
      </c>
      <c r="C7261" t="s">
        <v>66</v>
      </c>
      <c r="D7261">
        <v>49</v>
      </c>
      <c r="E7261" t="s">
        <v>466</v>
      </c>
    </row>
    <row r="7262" spans="1:5" x14ac:dyDescent="0.35">
      <c r="A7262">
        <v>2016</v>
      </c>
      <c r="B7262" t="s">
        <v>35</v>
      </c>
      <c r="C7262" t="s">
        <v>123</v>
      </c>
      <c r="E7262" t="s">
        <v>328</v>
      </c>
    </row>
    <row r="7263" spans="1:5" x14ac:dyDescent="0.35">
      <c r="A7263">
        <v>2016</v>
      </c>
      <c r="B7263" t="s">
        <v>34</v>
      </c>
      <c r="C7263" t="s">
        <v>67</v>
      </c>
      <c r="D7263">
        <v>221</v>
      </c>
      <c r="E7263" t="s">
        <v>466</v>
      </c>
    </row>
    <row r="7264" spans="1:5" x14ac:dyDescent="0.35">
      <c r="A7264">
        <v>2016</v>
      </c>
      <c r="B7264" t="s">
        <v>36</v>
      </c>
      <c r="C7264" t="s">
        <v>191</v>
      </c>
      <c r="D7264">
        <v>43</v>
      </c>
      <c r="E7264" t="s">
        <v>467</v>
      </c>
    </row>
    <row r="7265" spans="1:5" x14ac:dyDescent="0.35">
      <c r="A7265">
        <v>2016</v>
      </c>
      <c r="B7265" t="s">
        <v>33</v>
      </c>
      <c r="C7265" t="s">
        <v>68</v>
      </c>
      <c r="D7265">
        <v>603</v>
      </c>
      <c r="E7265" t="s">
        <v>466</v>
      </c>
    </row>
    <row r="7266" spans="1:5" x14ac:dyDescent="0.35">
      <c r="A7266">
        <v>2016</v>
      </c>
      <c r="B7266" t="s">
        <v>35</v>
      </c>
      <c r="C7266" t="s">
        <v>123</v>
      </c>
      <c r="E7266" t="s">
        <v>355</v>
      </c>
    </row>
    <row r="7267" spans="1:5" x14ac:dyDescent="0.35">
      <c r="A7267">
        <v>2016</v>
      </c>
      <c r="B7267" t="s">
        <v>36</v>
      </c>
      <c r="C7267" t="s">
        <v>69</v>
      </c>
      <c r="D7267">
        <v>19284</v>
      </c>
      <c r="E7267" t="s">
        <v>466</v>
      </c>
    </row>
    <row r="7268" spans="1:5" x14ac:dyDescent="0.35">
      <c r="A7268">
        <v>2016</v>
      </c>
      <c r="B7268" t="s">
        <v>37</v>
      </c>
      <c r="C7268" t="s">
        <v>190</v>
      </c>
      <c r="D7268">
        <v>15</v>
      </c>
      <c r="E7268" t="s">
        <v>467</v>
      </c>
    </row>
    <row r="7269" spans="1:5" x14ac:dyDescent="0.35">
      <c r="A7269">
        <v>2016</v>
      </c>
      <c r="B7269" t="s">
        <v>33</v>
      </c>
      <c r="C7269" t="s">
        <v>70</v>
      </c>
      <c r="D7269">
        <v>8</v>
      </c>
      <c r="E7269" t="s">
        <v>466</v>
      </c>
    </row>
    <row r="7270" spans="1:5" x14ac:dyDescent="0.35">
      <c r="A7270">
        <v>2016</v>
      </c>
      <c r="B7270" t="s">
        <v>34</v>
      </c>
      <c r="C7270" t="s">
        <v>122</v>
      </c>
      <c r="D7270">
        <v>0</v>
      </c>
      <c r="E7270" t="s">
        <v>355</v>
      </c>
    </row>
    <row r="7271" spans="1:5" x14ac:dyDescent="0.35">
      <c r="A7271">
        <v>2016</v>
      </c>
      <c r="B7271" t="s">
        <v>33</v>
      </c>
      <c r="C7271" t="s">
        <v>71</v>
      </c>
      <c r="D7271">
        <v>24</v>
      </c>
      <c r="E7271" t="s">
        <v>466</v>
      </c>
    </row>
    <row r="7272" spans="1:5" x14ac:dyDescent="0.35">
      <c r="A7272">
        <v>2016</v>
      </c>
      <c r="B7272" t="s">
        <v>33</v>
      </c>
      <c r="C7272" t="s">
        <v>189</v>
      </c>
      <c r="D7272">
        <v>13</v>
      </c>
      <c r="E7272" t="s">
        <v>467</v>
      </c>
    </row>
    <row r="7273" spans="1:5" x14ac:dyDescent="0.35">
      <c r="A7273">
        <v>2016</v>
      </c>
      <c r="B7273" t="s">
        <v>35</v>
      </c>
      <c r="C7273" t="s">
        <v>62</v>
      </c>
      <c r="D7273">
        <v>86</v>
      </c>
      <c r="E7273" t="s">
        <v>466</v>
      </c>
    </row>
    <row r="7274" spans="1:5" x14ac:dyDescent="0.35">
      <c r="A7274">
        <v>2016</v>
      </c>
      <c r="B7274" t="s">
        <v>34</v>
      </c>
      <c r="C7274" t="s">
        <v>121</v>
      </c>
      <c r="E7274" t="s">
        <v>328</v>
      </c>
    </row>
    <row r="7275" spans="1:5" x14ac:dyDescent="0.35">
      <c r="A7275">
        <v>2016</v>
      </c>
      <c r="B7275" t="s">
        <v>38</v>
      </c>
      <c r="C7275" t="s">
        <v>72</v>
      </c>
      <c r="D7275">
        <v>522</v>
      </c>
      <c r="E7275" t="s">
        <v>466</v>
      </c>
    </row>
    <row r="7276" spans="1:5" x14ac:dyDescent="0.35">
      <c r="A7276">
        <v>2016</v>
      </c>
      <c r="B7276" t="s">
        <v>34</v>
      </c>
      <c r="C7276" t="s">
        <v>188</v>
      </c>
      <c r="D7276">
        <v>74</v>
      </c>
      <c r="E7276" t="s">
        <v>467</v>
      </c>
    </row>
    <row r="7277" spans="1:5" x14ac:dyDescent="0.35">
      <c r="A7277">
        <v>2016</v>
      </c>
      <c r="B7277" t="s">
        <v>38</v>
      </c>
      <c r="C7277" t="s">
        <v>20</v>
      </c>
      <c r="D7277">
        <v>3256</v>
      </c>
      <c r="E7277" t="s">
        <v>466</v>
      </c>
    </row>
    <row r="7278" spans="1:5" x14ac:dyDescent="0.35">
      <c r="A7278">
        <v>2016</v>
      </c>
      <c r="B7278" t="s">
        <v>34</v>
      </c>
      <c r="C7278" t="s">
        <v>121</v>
      </c>
      <c r="E7278" t="s">
        <v>355</v>
      </c>
    </row>
    <row r="7279" spans="1:5" x14ac:dyDescent="0.35">
      <c r="A7279">
        <v>2016</v>
      </c>
      <c r="B7279" t="s">
        <v>33</v>
      </c>
      <c r="C7279" t="s">
        <v>74</v>
      </c>
      <c r="D7279">
        <v>151</v>
      </c>
      <c r="E7279" t="s">
        <v>466</v>
      </c>
    </row>
    <row r="7280" spans="1:5" x14ac:dyDescent="0.35">
      <c r="A7280">
        <v>2016</v>
      </c>
      <c r="B7280" t="s">
        <v>33</v>
      </c>
      <c r="C7280" t="s">
        <v>187</v>
      </c>
      <c r="D7280">
        <v>16</v>
      </c>
      <c r="E7280" t="s">
        <v>467</v>
      </c>
    </row>
    <row r="7281" spans="1:5" x14ac:dyDescent="0.35">
      <c r="A7281">
        <v>2016</v>
      </c>
      <c r="B7281" t="s">
        <v>33</v>
      </c>
      <c r="C7281" t="s">
        <v>75</v>
      </c>
      <c r="D7281">
        <v>48</v>
      </c>
      <c r="E7281" t="s">
        <v>466</v>
      </c>
    </row>
    <row r="7282" spans="1:5" x14ac:dyDescent="0.35">
      <c r="A7282">
        <v>2016</v>
      </c>
      <c r="B7282" t="s">
        <v>34</v>
      </c>
      <c r="C7282" t="s">
        <v>120</v>
      </c>
      <c r="E7282" t="s">
        <v>328</v>
      </c>
    </row>
    <row r="7283" spans="1:5" x14ac:dyDescent="0.35">
      <c r="A7283">
        <v>2016</v>
      </c>
      <c r="B7283" t="s">
        <v>36</v>
      </c>
      <c r="C7283" t="s">
        <v>76</v>
      </c>
      <c r="D7283">
        <v>430</v>
      </c>
      <c r="E7283" t="s">
        <v>466</v>
      </c>
    </row>
    <row r="7284" spans="1:5" x14ac:dyDescent="0.35">
      <c r="A7284">
        <v>2016</v>
      </c>
      <c r="B7284" t="s">
        <v>34</v>
      </c>
      <c r="C7284" t="s">
        <v>185</v>
      </c>
      <c r="D7284">
        <v>305</v>
      </c>
      <c r="E7284" t="s">
        <v>467</v>
      </c>
    </row>
    <row r="7285" spans="1:5" x14ac:dyDescent="0.35">
      <c r="A7285">
        <v>2016</v>
      </c>
      <c r="B7285" t="s">
        <v>33</v>
      </c>
      <c r="C7285" t="s">
        <v>77</v>
      </c>
      <c r="D7285">
        <v>80</v>
      </c>
      <c r="E7285" t="s">
        <v>466</v>
      </c>
    </row>
    <row r="7286" spans="1:5" x14ac:dyDescent="0.35">
      <c r="A7286">
        <v>2016</v>
      </c>
      <c r="B7286" t="s">
        <v>34</v>
      </c>
      <c r="C7286" t="s">
        <v>120</v>
      </c>
      <c r="E7286" t="s">
        <v>355</v>
      </c>
    </row>
    <row r="7287" spans="1:5" x14ac:dyDescent="0.35">
      <c r="A7287">
        <v>2016</v>
      </c>
      <c r="B7287" t="s">
        <v>35</v>
      </c>
      <c r="C7287" t="s">
        <v>78</v>
      </c>
      <c r="D7287">
        <v>37</v>
      </c>
      <c r="E7287" t="s">
        <v>466</v>
      </c>
    </row>
    <row r="7288" spans="1:5" x14ac:dyDescent="0.35">
      <c r="A7288">
        <v>2016</v>
      </c>
      <c r="B7288" t="s">
        <v>34</v>
      </c>
      <c r="C7288" t="s">
        <v>184</v>
      </c>
      <c r="D7288">
        <v>148</v>
      </c>
      <c r="E7288" t="s">
        <v>467</v>
      </c>
    </row>
    <row r="7289" spans="1:5" x14ac:dyDescent="0.35">
      <c r="A7289">
        <v>2016</v>
      </c>
      <c r="B7289" t="s">
        <v>36</v>
      </c>
      <c r="C7289" t="s">
        <v>79</v>
      </c>
      <c r="D7289">
        <v>3739</v>
      </c>
      <c r="E7289" t="s">
        <v>466</v>
      </c>
    </row>
    <row r="7290" spans="1:5" x14ac:dyDescent="0.35">
      <c r="A7290">
        <v>2016</v>
      </c>
      <c r="B7290" t="s">
        <v>35</v>
      </c>
      <c r="C7290" t="s">
        <v>119</v>
      </c>
      <c r="D7290">
        <v>5</v>
      </c>
      <c r="E7290" t="s">
        <v>328</v>
      </c>
    </row>
    <row r="7291" spans="1:5" x14ac:dyDescent="0.35">
      <c r="A7291">
        <v>2016</v>
      </c>
      <c r="B7291" t="s">
        <v>34</v>
      </c>
      <c r="C7291" t="s">
        <v>80</v>
      </c>
      <c r="D7291">
        <v>9</v>
      </c>
      <c r="E7291" t="s">
        <v>466</v>
      </c>
    </row>
    <row r="7292" spans="1:5" x14ac:dyDescent="0.35">
      <c r="A7292">
        <v>2016</v>
      </c>
      <c r="B7292" t="s">
        <v>35</v>
      </c>
      <c r="C7292" t="s">
        <v>183</v>
      </c>
      <c r="D7292">
        <v>55</v>
      </c>
      <c r="E7292" t="s">
        <v>467</v>
      </c>
    </row>
    <row r="7293" spans="1:5" x14ac:dyDescent="0.35">
      <c r="A7293">
        <v>2016</v>
      </c>
      <c r="B7293" t="s">
        <v>35</v>
      </c>
      <c r="C7293" t="s">
        <v>81</v>
      </c>
      <c r="D7293">
        <v>129</v>
      </c>
      <c r="E7293" t="s">
        <v>466</v>
      </c>
    </row>
    <row r="7294" spans="1:5" x14ac:dyDescent="0.35">
      <c r="A7294">
        <v>2016</v>
      </c>
      <c r="B7294" t="s">
        <v>36</v>
      </c>
      <c r="C7294" t="s">
        <v>164</v>
      </c>
      <c r="D7294">
        <v>10</v>
      </c>
      <c r="E7294" t="s">
        <v>355</v>
      </c>
    </row>
    <row r="7295" spans="1:5" x14ac:dyDescent="0.35">
      <c r="A7295">
        <v>2016</v>
      </c>
      <c r="B7295" t="s">
        <v>34</v>
      </c>
      <c r="C7295" t="s">
        <v>73</v>
      </c>
      <c r="D7295">
        <v>5685</v>
      </c>
      <c r="E7295" t="s">
        <v>466</v>
      </c>
    </row>
    <row r="7296" spans="1:5" x14ac:dyDescent="0.35">
      <c r="A7296">
        <v>2016</v>
      </c>
      <c r="B7296" t="s">
        <v>35</v>
      </c>
      <c r="C7296" t="s">
        <v>182</v>
      </c>
      <c r="D7296">
        <v>127</v>
      </c>
      <c r="E7296" t="s">
        <v>467</v>
      </c>
    </row>
    <row r="7297" spans="1:5" x14ac:dyDescent="0.35">
      <c r="A7297">
        <v>2016</v>
      </c>
      <c r="B7297" t="s">
        <v>38</v>
      </c>
      <c r="C7297" t="s">
        <v>21</v>
      </c>
      <c r="D7297">
        <v>6112</v>
      </c>
      <c r="E7297" t="s">
        <v>466</v>
      </c>
    </row>
    <row r="7298" spans="1:5" x14ac:dyDescent="0.35">
      <c r="A7298">
        <v>2016</v>
      </c>
      <c r="B7298" t="s">
        <v>34</v>
      </c>
      <c r="C7298" t="s">
        <v>131</v>
      </c>
      <c r="D7298">
        <v>9</v>
      </c>
      <c r="E7298" t="s">
        <v>355</v>
      </c>
    </row>
    <row r="7299" spans="1:5" x14ac:dyDescent="0.35">
      <c r="A7299">
        <v>2016</v>
      </c>
      <c r="B7299" t="s">
        <v>33</v>
      </c>
      <c r="C7299" t="s">
        <v>61</v>
      </c>
      <c r="D7299">
        <v>16</v>
      </c>
      <c r="E7299" t="s">
        <v>466</v>
      </c>
    </row>
    <row r="7300" spans="1:5" x14ac:dyDescent="0.35">
      <c r="A7300">
        <v>2016</v>
      </c>
      <c r="B7300" t="s">
        <v>34</v>
      </c>
      <c r="C7300" t="s">
        <v>178</v>
      </c>
      <c r="D7300">
        <v>40</v>
      </c>
      <c r="E7300" t="s">
        <v>467</v>
      </c>
    </row>
    <row r="7301" spans="1:5" x14ac:dyDescent="0.35">
      <c r="A7301">
        <v>2016</v>
      </c>
      <c r="B7301" t="s">
        <v>35</v>
      </c>
      <c r="C7301" t="s">
        <v>60</v>
      </c>
      <c r="D7301">
        <v>135</v>
      </c>
      <c r="E7301" t="s">
        <v>466</v>
      </c>
    </row>
    <row r="7302" spans="1:5" x14ac:dyDescent="0.35">
      <c r="A7302">
        <v>2016</v>
      </c>
      <c r="B7302" t="s">
        <v>34</v>
      </c>
      <c r="C7302" t="s">
        <v>131</v>
      </c>
      <c r="D7302">
        <v>10</v>
      </c>
      <c r="E7302" t="s">
        <v>328</v>
      </c>
    </row>
    <row r="7303" spans="1:5" x14ac:dyDescent="0.35">
      <c r="A7303">
        <v>2016</v>
      </c>
      <c r="B7303" t="s">
        <v>34</v>
      </c>
      <c r="C7303" t="s">
        <v>40</v>
      </c>
      <c r="D7303">
        <v>179</v>
      </c>
      <c r="E7303" t="s">
        <v>466</v>
      </c>
    </row>
    <row r="7304" spans="1:5" x14ac:dyDescent="0.35">
      <c r="A7304">
        <v>2016</v>
      </c>
      <c r="B7304" t="s">
        <v>33</v>
      </c>
      <c r="C7304" t="s">
        <v>149</v>
      </c>
      <c r="D7304">
        <v>572</v>
      </c>
      <c r="E7304" t="s">
        <v>467</v>
      </c>
    </row>
    <row r="7305" spans="1:5" x14ac:dyDescent="0.35">
      <c r="A7305">
        <v>2016</v>
      </c>
      <c r="B7305" t="s">
        <v>35</v>
      </c>
      <c r="C7305" t="s">
        <v>41</v>
      </c>
      <c r="D7305">
        <v>219</v>
      </c>
      <c r="E7305" t="s">
        <v>466</v>
      </c>
    </row>
    <row r="7306" spans="1:5" x14ac:dyDescent="0.35">
      <c r="A7306">
        <v>2016</v>
      </c>
      <c r="B7306" t="s">
        <v>33</v>
      </c>
      <c r="C7306" t="s">
        <v>132</v>
      </c>
      <c r="E7306" t="s">
        <v>355</v>
      </c>
    </row>
    <row r="7307" spans="1:5" x14ac:dyDescent="0.35">
      <c r="A7307">
        <v>2016</v>
      </c>
      <c r="B7307" t="s">
        <v>33</v>
      </c>
      <c r="C7307" t="s">
        <v>42</v>
      </c>
      <c r="D7307">
        <v>193</v>
      </c>
      <c r="E7307" t="s">
        <v>466</v>
      </c>
    </row>
    <row r="7308" spans="1:5" x14ac:dyDescent="0.35">
      <c r="A7308">
        <v>2016</v>
      </c>
      <c r="B7308" t="s">
        <v>34</v>
      </c>
      <c r="C7308" t="s">
        <v>64</v>
      </c>
      <c r="D7308">
        <v>7</v>
      </c>
      <c r="E7308" t="s">
        <v>467</v>
      </c>
    </row>
    <row r="7309" spans="1:5" x14ac:dyDescent="0.35">
      <c r="A7309">
        <v>2016</v>
      </c>
      <c r="C7309" t="s">
        <v>373</v>
      </c>
      <c r="D7309">
        <v>21</v>
      </c>
      <c r="E7309" t="s">
        <v>466</v>
      </c>
    </row>
    <row r="7310" spans="1:5" x14ac:dyDescent="0.35">
      <c r="A7310">
        <v>2016</v>
      </c>
      <c r="B7310" t="s">
        <v>33</v>
      </c>
      <c r="C7310" t="s">
        <v>132</v>
      </c>
      <c r="E7310" t="s">
        <v>328</v>
      </c>
    </row>
    <row r="7311" spans="1:5" x14ac:dyDescent="0.35">
      <c r="A7311">
        <v>2016</v>
      </c>
      <c r="B7311" t="s">
        <v>33</v>
      </c>
      <c r="C7311" t="s">
        <v>43</v>
      </c>
      <c r="D7311">
        <v>45</v>
      </c>
      <c r="E7311" t="s">
        <v>466</v>
      </c>
    </row>
    <row r="7312" spans="1:5" x14ac:dyDescent="0.35">
      <c r="A7312">
        <v>2016</v>
      </c>
      <c r="B7312" t="s">
        <v>36</v>
      </c>
      <c r="C7312" t="s">
        <v>147</v>
      </c>
      <c r="D7312">
        <v>55</v>
      </c>
      <c r="E7312" t="s">
        <v>467</v>
      </c>
    </row>
    <row r="7313" spans="1:5" x14ac:dyDescent="0.35">
      <c r="A7313">
        <v>2016</v>
      </c>
      <c r="B7313" t="s">
        <v>33</v>
      </c>
      <c r="C7313" t="s">
        <v>126</v>
      </c>
      <c r="D7313">
        <v>52</v>
      </c>
      <c r="E7313" t="s">
        <v>466</v>
      </c>
    </row>
    <row r="7314" spans="1:5" x14ac:dyDescent="0.35">
      <c r="A7314">
        <v>2016</v>
      </c>
      <c r="B7314" t="s">
        <v>34</v>
      </c>
      <c r="C7314" t="s">
        <v>144</v>
      </c>
      <c r="D7314">
        <v>5</v>
      </c>
      <c r="E7314" t="s">
        <v>355</v>
      </c>
    </row>
    <row r="7315" spans="1:5" x14ac:dyDescent="0.35">
      <c r="A7315">
        <v>2016</v>
      </c>
      <c r="B7315" t="s">
        <v>38</v>
      </c>
      <c r="C7315" t="s">
        <v>45</v>
      </c>
      <c r="D7315">
        <v>246</v>
      </c>
      <c r="E7315" t="s">
        <v>466</v>
      </c>
    </row>
    <row r="7316" spans="1:5" x14ac:dyDescent="0.35">
      <c r="A7316">
        <v>2016</v>
      </c>
      <c r="B7316" t="s">
        <v>38</v>
      </c>
      <c r="C7316" t="s">
        <v>59</v>
      </c>
      <c r="D7316">
        <v>28</v>
      </c>
      <c r="E7316" t="s">
        <v>467</v>
      </c>
    </row>
    <row r="7317" spans="1:5" x14ac:dyDescent="0.35">
      <c r="A7317">
        <v>2016</v>
      </c>
      <c r="B7317" t="s">
        <v>34</v>
      </c>
      <c r="C7317" t="s">
        <v>46</v>
      </c>
      <c r="D7317">
        <v>593</v>
      </c>
      <c r="E7317" t="s">
        <v>466</v>
      </c>
    </row>
    <row r="7318" spans="1:5" x14ac:dyDescent="0.35">
      <c r="A7318">
        <v>2016</v>
      </c>
      <c r="B7318" t="s">
        <v>33</v>
      </c>
      <c r="C7318" t="s">
        <v>141</v>
      </c>
      <c r="D7318">
        <v>17</v>
      </c>
      <c r="E7318" t="s">
        <v>328</v>
      </c>
    </row>
    <row r="7319" spans="1:5" x14ac:dyDescent="0.35">
      <c r="A7319">
        <v>2016</v>
      </c>
      <c r="B7319" t="s">
        <v>37</v>
      </c>
      <c r="C7319" t="s">
        <v>47</v>
      </c>
      <c r="D7319">
        <v>534</v>
      </c>
      <c r="E7319" t="s">
        <v>466</v>
      </c>
    </row>
    <row r="7320" spans="1:5" x14ac:dyDescent="0.35">
      <c r="A7320">
        <v>2016</v>
      </c>
      <c r="B7320" t="s">
        <v>33</v>
      </c>
      <c r="C7320" t="s">
        <v>57</v>
      </c>
      <c r="D7320">
        <v>16</v>
      </c>
      <c r="E7320" t="s">
        <v>467</v>
      </c>
    </row>
    <row r="7321" spans="1:5" x14ac:dyDescent="0.35">
      <c r="A7321">
        <v>2016</v>
      </c>
      <c r="B7321" t="s">
        <v>35</v>
      </c>
      <c r="C7321" t="s">
        <v>48</v>
      </c>
      <c r="D7321">
        <v>44</v>
      </c>
      <c r="E7321" t="s">
        <v>466</v>
      </c>
    </row>
    <row r="7322" spans="1:5" x14ac:dyDescent="0.35">
      <c r="A7322">
        <v>2016</v>
      </c>
      <c r="B7322" t="s">
        <v>33</v>
      </c>
      <c r="C7322" t="s">
        <v>141</v>
      </c>
      <c r="D7322">
        <v>13</v>
      </c>
      <c r="E7322" t="s">
        <v>355</v>
      </c>
    </row>
    <row r="7323" spans="1:5" x14ac:dyDescent="0.35">
      <c r="A7323">
        <v>2016</v>
      </c>
      <c r="B7323" t="s">
        <v>34</v>
      </c>
      <c r="C7323" t="s">
        <v>49</v>
      </c>
      <c r="D7323">
        <v>41</v>
      </c>
      <c r="E7323" t="s">
        <v>466</v>
      </c>
    </row>
    <row r="7324" spans="1:5" x14ac:dyDescent="0.35">
      <c r="A7324">
        <v>2016</v>
      </c>
      <c r="B7324" t="s">
        <v>36</v>
      </c>
      <c r="C7324" t="s">
        <v>56</v>
      </c>
      <c r="D7324">
        <v>24</v>
      </c>
      <c r="E7324" t="s">
        <v>467</v>
      </c>
    </row>
    <row r="7325" spans="1:5" x14ac:dyDescent="0.35">
      <c r="A7325">
        <v>2016</v>
      </c>
      <c r="B7325" t="s">
        <v>36</v>
      </c>
      <c r="C7325" t="s">
        <v>50</v>
      </c>
      <c r="D7325">
        <v>318</v>
      </c>
      <c r="E7325" t="s">
        <v>466</v>
      </c>
    </row>
    <row r="7326" spans="1:5" x14ac:dyDescent="0.35">
      <c r="A7326">
        <v>2016</v>
      </c>
      <c r="B7326" t="s">
        <v>35</v>
      </c>
      <c r="C7326" t="s">
        <v>140</v>
      </c>
      <c r="E7326" t="s">
        <v>328</v>
      </c>
    </row>
    <row r="7327" spans="1:5" x14ac:dyDescent="0.35">
      <c r="A7327">
        <v>2016</v>
      </c>
      <c r="B7327" t="s">
        <v>34</v>
      </c>
      <c r="C7327" t="s">
        <v>51</v>
      </c>
      <c r="D7327">
        <v>13</v>
      </c>
      <c r="E7327" t="s">
        <v>466</v>
      </c>
    </row>
    <row r="7328" spans="1:5" x14ac:dyDescent="0.35">
      <c r="A7328">
        <v>2016</v>
      </c>
      <c r="B7328" t="s">
        <v>35</v>
      </c>
      <c r="C7328" t="s">
        <v>55</v>
      </c>
      <c r="D7328">
        <v>80</v>
      </c>
      <c r="E7328" t="s">
        <v>467</v>
      </c>
    </row>
    <row r="7329" spans="1:5" x14ac:dyDescent="0.35">
      <c r="A7329">
        <v>2016</v>
      </c>
      <c r="B7329" t="s">
        <v>34</v>
      </c>
      <c r="C7329" t="s">
        <v>52</v>
      </c>
      <c r="D7329">
        <v>1052</v>
      </c>
      <c r="E7329" t="s">
        <v>466</v>
      </c>
    </row>
    <row r="7330" spans="1:5" x14ac:dyDescent="0.35">
      <c r="A7330">
        <v>2016</v>
      </c>
      <c r="B7330" t="s">
        <v>35</v>
      </c>
      <c r="C7330" t="s">
        <v>140</v>
      </c>
      <c r="E7330" t="s">
        <v>355</v>
      </c>
    </row>
    <row r="7331" spans="1:5" x14ac:dyDescent="0.35">
      <c r="A7331">
        <v>2016</v>
      </c>
      <c r="B7331" t="s">
        <v>36</v>
      </c>
      <c r="C7331" t="s">
        <v>53</v>
      </c>
      <c r="D7331">
        <v>46</v>
      </c>
      <c r="E7331" t="s">
        <v>466</v>
      </c>
    </row>
    <row r="7332" spans="1:5" x14ac:dyDescent="0.35">
      <c r="A7332">
        <v>2016</v>
      </c>
      <c r="B7332" t="s">
        <v>35</v>
      </c>
      <c r="C7332" t="s">
        <v>54</v>
      </c>
      <c r="D7332">
        <v>10</v>
      </c>
      <c r="E7332" t="s">
        <v>467</v>
      </c>
    </row>
    <row r="7333" spans="1:5" x14ac:dyDescent="0.35">
      <c r="A7333">
        <v>2016</v>
      </c>
      <c r="B7333" t="s">
        <v>35</v>
      </c>
      <c r="C7333" t="s">
        <v>54</v>
      </c>
      <c r="D7333">
        <v>51</v>
      </c>
      <c r="E7333" t="s">
        <v>466</v>
      </c>
    </row>
    <row r="7334" spans="1:5" x14ac:dyDescent="0.35">
      <c r="A7334">
        <v>2016</v>
      </c>
      <c r="B7334" t="s">
        <v>34</v>
      </c>
      <c r="C7334" t="s">
        <v>139</v>
      </c>
      <c r="D7334">
        <v>22</v>
      </c>
      <c r="E7334" t="s">
        <v>328</v>
      </c>
    </row>
    <row r="7335" spans="1:5" x14ac:dyDescent="0.35">
      <c r="A7335">
        <v>2016</v>
      </c>
      <c r="B7335" t="s">
        <v>35</v>
      </c>
      <c r="C7335" t="s">
        <v>55</v>
      </c>
      <c r="D7335">
        <v>103</v>
      </c>
      <c r="E7335" t="s">
        <v>466</v>
      </c>
    </row>
    <row r="7336" spans="1:5" x14ac:dyDescent="0.35">
      <c r="A7336">
        <v>2016</v>
      </c>
      <c r="B7336" t="s">
        <v>36</v>
      </c>
      <c r="C7336" t="s">
        <v>53</v>
      </c>
      <c r="D7336">
        <v>13</v>
      </c>
      <c r="E7336" t="s">
        <v>467</v>
      </c>
    </row>
    <row r="7337" spans="1:5" x14ac:dyDescent="0.35">
      <c r="A7337">
        <v>2016</v>
      </c>
      <c r="B7337" t="s">
        <v>36</v>
      </c>
      <c r="C7337" t="s">
        <v>56</v>
      </c>
      <c r="D7337">
        <v>299</v>
      </c>
      <c r="E7337" t="s">
        <v>466</v>
      </c>
    </row>
    <row r="7338" spans="1:5" x14ac:dyDescent="0.35">
      <c r="A7338">
        <v>2016</v>
      </c>
      <c r="B7338" t="s">
        <v>34</v>
      </c>
      <c r="C7338" t="s">
        <v>139</v>
      </c>
      <c r="D7338">
        <v>3</v>
      </c>
      <c r="E7338" t="s">
        <v>355</v>
      </c>
    </row>
    <row r="7339" spans="1:5" x14ac:dyDescent="0.35">
      <c r="A7339">
        <v>2016</v>
      </c>
      <c r="B7339" t="s">
        <v>33</v>
      </c>
      <c r="C7339" t="s">
        <v>57</v>
      </c>
      <c r="D7339">
        <v>31</v>
      </c>
      <c r="E7339" t="s">
        <v>466</v>
      </c>
    </row>
    <row r="7340" spans="1:5" x14ac:dyDescent="0.35">
      <c r="A7340">
        <v>2016</v>
      </c>
      <c r="B7340" t="s">
        <v>34</v>
      </c>
      <c r="C7340" t="s">
        <v>52</v>
      </c>
      <c r="D7340">
        <v>91</v>
      </c>
      <c r="E7340" t="s">
        <v>467</v>
      </c>
    </row>
    <row r="7341" spans="1:5" x14ac:dyDescent="0.35">
      <c r="A7341">
        <v>2016</v>
      </c>
      <c r="B7341" t="s">
        <v>34</v>
      </c>
      <c r="C7341" t="s">
        <v>58</v>
      </c>
      <c r="D7341">
        <v>22</v>
      </c>
      <c r="E7341" t="s">
        <v>466</v>
      </c>
    </row>
    <row r="7342" spans="1:5" x14ac:dyDescent="0.35">
      <c r="A7342">
        <v>2016</v>
      </c>
      <c r="B7342" t="s">
        <v>35</v>
      </c>
      <c r="C7342" t="s">
        <v>145</v>
      </c>
      <c r="D7342">
        <v>16</v>
      </c>
      <c r="E7342" t="s">
        <v>355</v>
      </c>
    </row>
    <row r="7343" spans="1:5" x14ac:dyDescent="0.35">
      <c r="A7343">
        <v>2016</v>
      </c>
      <c r="B7343" t="s">
        <v>38</v>
      </c>
      <c r="C7343" t="s">
        <v>59</v>
      </c>
      <c r="D7343">
        <v>192</v>
      </c>
      <c r="E7343" t="s">
        <v>466</v>
      </c>
    </row>
    <row r="7344" spans="1:5" x14ac:dyDescent="0.35">
      <c r="A7344">
        <v>2016</v>
      </c>
      <c r="B7344" t="s">
        <v>34</v>
      </c>
      <c r="C7344" t="s">
        <v>51</v>
      </c>
      <c r="D7344">
        <v>7</v>
      </c>
      <c r="E7344" t="s">
        <v>467</v>
      </c>
    </row>
    <row r="7345" spans="1:5" x14ac:dyDescent="0.35">
      <c r="A7345">
        <v>2016</v>
      </c>
      <c r="B7345" t="s">
        <v>35</v>
      </c>
      <c r="C7345" t="s">
        <v>214</v>
      </c>
      <c r="D7345">
        <v>6</v>
      </c>
      <c r="E7345" t="s">
        <v>466</v>
      </c>
    </row>
    <row r="7346" spans="1:5" x14ac:dyDescent="0.35">
      <c r="A7346">
        <v>2016</v>
      </c>
      <c r="B7346" t="s">
        <v>35</v>
      </c>
      <c r="C7346" t="s">
        <v>138</v>
      </c>
      <c r="D7346">
        <v>9</v>
      </c>
      <c r="E7346" t="s">
        <v>328</v>
      </c>
    </row>
    <row r="7347" spans="1:5" x14ac:dyDescent="0.35">
      <c r="A7347">
        <v>2016</v>
      </c>
      <c r="B7347" t="s">
        <v>35</v>
      </c>
      <c r="C7347" t="s">
        <v>82</v>
      </c>
      <c r="D7347">
        <v>54</v>
      </c>
      <c r="E7347" t="s">
        <v>466</v>
      </c>
    </row>
    <row r="7348" spans="1:5" x14ac:dyDescent="0.35">
      <c r="A7348">
        <v>2016</v>
      </c>
      <c r="B7348" t="s">
        <v>36</v>
      </c>
      <c r="C7348" t="s">
        <v>50</v>
      </c>
      <c r="D7348">
        <v>141</v>
      </c>
      <c r="E7348" t="s">
        <v>467</v>
      </c>
    </row>
    <row r="7349" spans="1:5" x14ac:dyDescent="0.35">
      <c r="A7349">
        <v>2016</v>
      </c>
      <c r="B7349" t="s">
        <v>36</v>
      </c>
      <c r="C7349" t="s">
        <v>44</v>
      </c>
      <c r="D7349">
        <v>39</v>
      </c>
      <c r="E7349" t="s">
        <v>466</v>
      </c>
    </row>
    <row r="7350" spans="1:5" x14ac:dyDescent="0.35">
      <c r="A7350">
        <v>2016</v>
      </c>
      <c r="B7350" t="s">
        <v>37</v>
      </c>
      <c r="C7350" t="s">
        <v>137</v>
      </c>
      <c r="D7350">
        <v>62</v>
      </c>
      <c r="E7350" t="s">
        <v>355</v>
      </c>
    </row>
    <row r="7351" spans="1:5" x14ac:dyDescent="0.35">
      <c r="A7351">
        <v>2016</v>
      </c>
      <c r="B7351" t="s">
        <v>36</v>
      </c>
      <c r="C7351" t="s">
        <v>84</v>
      </c>
      <c r="D7351">
        <v>31</v>
      </c>
      <c r="E7351" t="s">
        <v>466</v>
      </c>
    </row>
    <row r="7352" spans="1:5" x14ac:dyDescent="0.35">
      <c r="A7352">
        <v>2016</v>
      </c>
      <c r="B7352" t="s">
        <v>34</v>
      </c>
      <c r="C7352" t="s">
        <v>49</v>
      </c>
      <c r="D7352">
        <v>10</v>
      </c>
      <c r="E7352" t="s">
        <v>467</v>
      </c>
    </row>
    <row r="7353" spans="1:5" x14ac:dyDescent="0.35">
      <c r="A7353">
        <v>2016</v>
      </c>
      <c r="B7353" t="s">
        <v>35</v>
      </c>
      <c r="C7353" t="s">
        <v>106</v>
      </c>
      <c r="D7353">
        <v>15</v>
      </c>
      <c r="E7353" t="s">
        <v>466</v>
      </c>
    </row>
    <row r="7354" spans="1:5" x14ac:dyDescent="0.35">
      <c r="A7354">
        <v>2016</v>
      </c>
      <c r="B7354" t="s">
        <v>36</v>
      </c>
      <c r="C7354" t="s">
        <v>14</v>
      </c>
      <c r="D7354">
        <v>153522</v>
      </c>
      <c r="E7354" t="s">
        <v>328</v>
      </c>
    </row>
    <row r="7355" spans="1:5" x14ac:dyDescent="0.35">
      <c r="A7355">
        <v>2016</v>
      </c>
      <c r="B7355" t="s">
        <v>34</v>
      </c>
      <c r="C7355" t="s">
        <v>22</v>
      </c>
      <c r="D7355">
        <v>6455</v>
      </c>
      <c r="E7355" t="s">
        <v>466</v>
      </c>
    </row>
    <row r="7356" spans="1:5" x14ac:dyDescent="0.35">
      <c r="A7356">
        <v>2016</v>
      </c>
      <c r="B7356" t="s">
        <v>35</v>
      </c>
      <c r="C7356" t="s">
        <v>48</v>
      </c>
      <c r="D7356">
        <v>31</v>
      </c>
      <c r="E7356" t="s">
        <v>467</v>
      </c>
    </row>
    <row r="7357" spans="1:5" x14ac:dyDescent="0.35">
      <c r="A7357">
        <v>2016</v>
      </c>
      <c r="B7357" t="s">
        <v>34</v>
      </c>
      <c r="C7357" t="s">
        <v>107</v>
      </c>
      <c r="D7357">
        <v>181</v>
      </c>
      <c r="E7357" t="s">
        <v>466</v>
      </c>
    </row>
    <row r="7358" spans="1:5" x14ac:dyDescent="0.35">
      <c r="A7358">
        <v>2016</v>
      </c>
      <c r="B7358" t="s">
        <v>36</v>
      </c>
      <c r="C7358" t="s">
        <v>14</v>
      </c>
      <c r="D7358">
        <v>83087</v>
      </c>
      <c r="E7358" t="s">
        <v>355</v>
      </c>
    </row>
    <row r="7359" spans="1:5" x14ac:dyDescent="0.35">
      <c r="A7359">
        <v>2016</v>
      </c>
      <c r="B7359" t="s">
        <v>34</v>
      </c>
      <c r="C7359" t="s">
        <v>108</v>
      </c>
      <c r="D7359">
        <v>703</v>
      </c>
      <c r="E7359" t="s">
        <v>466</v>
      </c>
    </row>
    <row r="7360" spans="1:5" x14ac:dyDescent="0.35">
      <c r="A7360">
        <v>2016</v>
      </c>
      <c r="B7360" t="s">
        <v>37</v>
      </c>
      <c r="C7360" t="s">
        <v>47</v>
      </c>
      <c r="D7360">
        <v>464</v>
      </c>
      <c r="E7360" t="s">
        <v>467</v>
      </c>
    </row>
    <row r="7361" spans="1:5" x14ac:dyDescent="0.35">
      <c r="A7361">
        <v>2016</v>
      </c>
      <c r="B7361" t="s">
        <v>34</v>
      </c>
      <c r="C7361" t="s">
        <v>109</v>
      </c>
      <c r="D7361">
        <v>472</v>
      </c>
      <c r="E7361" t="s">
        <v>466</v>
      </c>
    </row>
    <row r="7362" spans="1:5" x14ac:dyDescent="0.35">
      <c r="A7362">
        <v>2016</v>
      </c>
      <c r="B7362" t="s">
        <v>33</v>
      </c>
      <c r="C7362" t="s">
        <v>135</v>
      </c>
      <c r="D7362">
        <v>6</v>
      </c>
      <c r="E7362" t="s">
        <v>328</v>
      </c>
    </row>
    <row r="7363" spans="1:5" x14ac:dyDescent="0.35">
      <c r="A7363">
        <v>2016</v>
      </c>
      <c r="B7363" t="s">
        <v>35</v>
      </c>
      <c r="C7363" t="s">
        <v>110</v>
      </c>
      <c r="D7363">
        <v>204</v>
      </c>
      <c r="E7363" t="s">
        <v>466</v>
      </c>
    </row>
    <row r="7364" spans="1:5" x14ac:dyDescent="0.35">
      <c r="A7364">
        <v>2016</v>
      </c>
      <c r="B7364" t="s">
        <v>34</v>
      </c>
      <c r="C7364" t="s">
        <v>46</v>
      </c>
      <c r="D7364">
        <v>8</v>
      </c>
      <c r="E7364" t="s">
        <v>467</v>
      </c>
    </row>
    <row r="7365" spans="1:5" x14ac:dyDescent="0.35">
      <c r="A7365">
        <v>2016</v>
      </c>
      <c r="B7365" t="s">
        <v>34</v>
      </c>
      <c r="C7365" t="s">
        <v>111</v>
      </c>
      <c r="D7365">
        <v>297</v>
      </c>
      <c r="E7365" t="s">
        <v>466</v>
      </c>
    </row>
    <row r="7366" spans="1:5" x14ac:dyDescent="0.35">
      <c r="A7366">
        <v>2016</v>
      </c>
      <c r="B7366" t="s">
        <v>33</v>
      </c>
      <c r="C7366" t="s">
        <v>135</v>
      </c>
      <c r="D7366">
        <v>3</v>
      </c>
      <c r="E7366" t="s">
        <v>355</v>
      </c>
    </row>
    <row r="7367" spans="1:5" x14ac:dyDescent="0.35">
      <c r="A7367">
        <v>2016</v>
      </c>
      <c r="B7367" t="s">
        <v>35</v>
      </c>
      <c r="C7367" t="s">
        <v>112</v>
      </c>
      <c r="D7367">
        <v>654</v>
      </c>
      <c r="E7367" t="s">
        <v>466</v>
      </c>
    </row>
    <row r="7368" spans="1:5" x14ac:dyDescent="0.35">
      <c r="A7368">
        <v>2016</v>
      </c>
      <c r="B7368" t="s">
        <v>38</v>
      </c>
      <c r="C7368" t="s">
        <v>45</v>
      </c>
      <c r="D7368">
        <v>57</v>
      </c>
      <c r="E7368" t="s">
        <v>467</v>
      </c>
    </row>
    <row r="7369" spans="1:5" x14ac:dyDescent="0.35">
      <c r="A7369">
        <v>2016</v>
      </c>
      <c r="B7369" t="s">
        <v>36</v>
      </c>
      <c r="C7369" t="s">
        <v>113</v>
      </c>
      <c r="D7369">
        <v>2012</v>
      </c>
      <c r="E7369" t="s">
        <v>466</v>
      </c>
    </row>
    <row r="7370" spans="1:5" x14ac:dyDescent="0.35">
      <c r="A7370">
        <v>2016</v>
      </c>
      <c r="B7370" t="s">
        <v>37</v>
      </c>
      <c r="C7370" t="s">
        <v>134</v>
      </c>
      <c r="E7370" t="s">
        <v>328</v>
      </c>
    </row>
    <row r="7371" spans="1:5" x14ac:dyDescent="0.35">
      <c r="A7371">
        <v>2016</v>
      </c>
      <c r="B7371" t="s">
        <v>35</v>
      </c>
      <c r="C7371" t="s">
        <v>105</v>
      </c>
      <c r="D7371">
        <v>201</v>
      </c>
      <c r="E7371" t="s">
        <v>466</v>
      </c>
    </row>
    <row r="7372" spans="1:5" x14ac:dyDescent="0.35">
      <c r="A7372">
        <v>2016</v>
      </c>
      <c r="B7372" t="s">
        <v>36</v>
      </c>
      <c r="C7372" t="s">
        <v>44</v>
      </c>
      <c r="D7372">
        <v>9</v>
      </c>
      <c r="E7372" t="s">
        <v>467</v>
      </c>
    </row>
    <row r="7373" spans="1:5" x14ac:dyDescent="0.35">
      <c r="A7373">
        <v>2016</v>
      </c>
      <c r="B7373" t="s">
        <v>34</v>
      </c>
      <c r="C7373" t="s">
        <v>114</v>
      </c>
      <c r="D7373">
        <v>334</v>
      </c>
      <c r="E7373" t="s">
        <v>466</v>
      </c>
    </row>
    <row r="7374" spans="1:5" x14ac:dyDescent="0.35">
      <c r="A7374">
        <v>2016</v>
      </c>
      <c r="B7374" t="s">
        <v>37</v>
      </c>
      <c r="C7374" t="s">
        <v>134</v>
      </c>
      <c r="E7374" t="s">
        <v>355</v>
      </c>
    </row>
    <row r="7375" spans="1:5" x14ac:dyDescent="0.35">
      <c r="A7375">
        <v>2016</v>
      </c>
      <c r="B7375" t="s">
        <v>34</v>
      </c>
      <c r="C7375" t="s">
        <v>116</v>
      </c>
      <c r="D7375">
        <v>67</v>
      </c>
      <c r="E7375" t="s">
        <v>466</v>
      </c>
    </row>
    <row r="7376" spans="1:5" x14ac:dyDescent="0.35">
      <c r="A7376">
        <v>2016</v>
      </c>
      <c r="B7376" t="s">
        <v>33</v>
      </c>
      <c r="C7376" t="s">
        <v>43</v>
      </c>
      <c r="D7376">
        <v>11</v>
      </c>
      <c r="E7376" t="s">
        <v>467</v>
      </c>
    </row>
    <row r="7377" spans="1:5" x14ac:dyDescent="0.35">
      <c r="A7377">
        <v>2016</v>
      </c>
      <c r="B7377" t="s">
        <v>33</v>
      </c>
      <c r="C7377" t="s">
        <v>117</v>
      </c>
      <c r="D7377">
        <v>282</v>
      </c>
      <c r="E7377" t="s">
        <v>466</v>
      </c>
    </row>
    <row r="7378" spans="1:5" x14ac:dyDescent="0.35">
      <c r="A7378">
        <v>2016</v>
      </c>
      <c r="B7378" t="s">
        <v>35</v>
      </c>
      <c r="C7378" t="s">
        <v>138</v>
      </c>
      <c r="D7378">
        <v>12</v>
      </c>
      <c r="E7378" t="s">
        <v>355</v>
      </c>
    </row>
    <row r="7379" spans="1:5" x14ac:dyDescent="0.35">
      <c r="A7379">
        <v>2016</v>
      </c>
      <c r="B7379" t="s">
        <v>34</v>
      </c>
      <c r="C7379" t="s">
        <v>118</v>
      </c>
      <c r="D7379">
        <v>1001</v>
      </c>
      <c r="E7379" t="s">
        <v>466</v>
      </c>
    </row>
    <row r="7380" spans="1:5" x14ac:dyDescent="0.35">
      <c r="A7380">
        <v>2016</v>
      </c>
      <c r="B7380" t="s">
        <v>33</v>
      </c>
      <c r="C7380" t="s">
        <v>42</v>
      </c>
      <c r="D7380">
        <v>134</v>
      </c>
      <c r="E7380" t="s">
        <v>467</v>
      </c>
    </row>
    <row r="7381" spans="1:5" x14ac:dyDescent="0.35">
      <c r="A7381">
        <v>2016</v>
      </c>
      <c r="B7381" t="s">
        <v>35</v>
      </c>
      <c r="C7381" t="s">
        <v>119</v>
      </c>
      <c r="D7381">
        <v>52</v>
      </c>
      <c r="E7381" t="s">
        <v>466</v>
      </c>
    </row>
    <row r="7382" spans="1:5" x14ac:dyDescent="0.35">
      <c r="A7382">
        <v>2016</v>
      </c>
      <c r="B7382" t="s">
        <v>36</v>
      </c>
      <c r="C7382" t="s">
        <v>164</v>
      </c>
      <c r="D7382">
        <v>6</v>
      </c>
      <c r="E7382" t="s">
        <v>328</v>
      </c>
    </row>
    <row r="7383" spans="1:5" x14ac:dyDescent="0.35">
      <c r="A7383">
        <v>2016</v>
      </c>
      <c r="B7383" t="s">
        <v>34</v>
      </c>
      <c r="C7383" t="s">
        <v>120</v>
      </c>
      <c r="D7383">
        <v>97</v>
      </c>
      <c r="E7383" t="s">
        <v>466</v>
      </c>
    </row>
    <row r="7384" spans="1:5" x14ac:dyDescent="0.35">
      <c r="A7384">
        <v>2016</v>
      </c>
      <c r="B7384" t="s">
        <v>35</v>
      </c>
      <c r="C7384" t="s">
        <v>41</v>
      </c>
      <c r="D7384">
        <v>25</v>
      </c>
      <c r="E7384" t="s">
        <v>467</v>
      </c>
    </row>
    <row r="7385" spans="1:5" x14ac:dyDescent="0.35">
      <c r="A7385">
        <v>2016</v>
      </c>
      <c r="B7385" t="s">
        <v>34</v>
      </c>
      <c r="C7385" t="s">
        <v>121</v>
      </c>
      <c r="D7385">
        <v>26</v>
      </c>
      <c r="E7385" t="s">
        <v>466</v>
      </c>
    </row>
    <row r="7386" spans="1:5" x14ac:dyDescent="0.35">
      <c r="A7386">
        <v>2016</v>
      </c>
      <c r="B7386" t="s">
        <v>33</v>
      </c>
      <c r="C7386" t="s">
        <v>204</v>
      </c>
      <c r="E7386" t="s">
        <v>355</v>
      </c>
    </row>
    <row r="7387" spans="1:5" x14ac:dyDescent="0.35">
      <c r="A7387">
        <v>2016</v>
      </c>
      <c r="B7387" t="s">
        <v>35</v>
      </c>
      <c r="C7387" t="s">
        <v>123</v>
      </c>
      <c r="D7387">
        <v>53</v>
      </c>
      <c r="E7387" t="s">
        <v>466</v>
      </c>
    </row>
    <row r="7388" spans="1:5" x14ac:dyDescent="0.35">
      <c r="A7388">
        <v>2016</v>
      </c>
      <c r="B7388" t="s">
        <v>34</v>
      </c>
      <c r="C7388" t="s">
        <v>40</v>
      </c>
      <c r="D7388">
        <v>44</v>
      </c>
      <c r="E7388" t="s">
        <v>467</v>
      </c>
    </row>
    <row r="7389" spans="1:5" x14ac:dyDescent="0.35">
      <c r="A7389">
        <v>2016</v>
      </c>
      <c r="B7389" t="s">
        <v>34</v>
      </c>
      <c r="C7389" t="s">
        <v>124</v>
      </c>
      <c r="D7389">
        <v>206</v>
      </c>
      <c r="E7389" t="s">
        <v>466</v>
      </c>
    </row>
    <row r="7390" spans="1:5" x14ac:dyDescent="0.35">
      <c r="A7390">
        <v>2016</v>
      </c>
      <c r="B7390" t="s">
        <v>36</v>
      </c>
      <c r="C7390" t="s">
        <v>165</v>
      </c>
      <c r="D7390">
        <v>4</v>
      </c>
      <c r="E7390" t="s">
        <v>328</v>
      </c>
    </row>
    <row r="7391" spans="1:5" x14ac:dyDescent="0.35">
      <c r="A7391">
        <v>2016</v>
      </c>
      <c r="B7391" t="s">
        <v>33</v>
      </c>
      <c r="C7391" t="s">
        <v>83</v>
      </c>
      <c r="D7391">
        <v>7</v>
      </c>
      <c r="E7391" t="s">
        <v>466</v>
      </c>
    </row>
    <row r="7392" spans="1:5" x14ac:dyDescent="0.35">
      <c r="A7392">
        <v>2016</v>
      </c>
      <c r="B7392" t="s">
        <v>35</v>
      </c>
      <c r="C7392" t="s">
        <v>90</v>
      </c>
      <c r="D7392">
        <v>27</v>
      </c>
      <c r="E7392" t="s">
        <v>467</v>
      </c>
    </row>
    <row r="7393" spans="1:5" x14ac:dyDescent="0.35">
      <c r="A7393">
        <v>2016</v>
      </c>
      <c r="B7393" t="s">
        <v>34</v>
      </c>
      <c r="C7393" t="s">
        <v>115</v>
      </c>
      <c r="D7393">
        <v>525</v>
      </c>
      <c r="E7393" t="s">
        <v>466</v>
      </c>
    </row>
    <row r="7394" spans="1:5" x14ac:dyDescent="0.35">
      <c r="A7394">
        <v>2016</v>
      </c>
      <c r="B7394" t="s">
        <v>33</v>
      </c>
      <c r="C7394" t="s">
        <v>195</v>
      </c>
      <c r="E7394" t="s">
        <v>328</v>
      </c>
    </row>
    <row r="7395" spans="1:5" x14ac:dyDescent="0.35">
      <c r="A7395">
        <v>2016</v>
      </c>
      <c r="B7395" t="s">
        <v>36</v>
      </c>
      <c r="C7395" t="s">
        <v>17</v>
      </c>
      <c r="D7395">
        <v>68778</v>
      </c>
      <c r="E7395" t="s">
        <v>466</v>
      </c>
    </row>
    <row r="7396" spans="1:5" x14ac:dyDescent="0.35">
      <c r="A7396">
        <v>2016</v>
      </c>
      <c r="B7396" t="s">
        <v>33</v>
      </c>
      <c r="C7396" t="s">
        <v>91</v>
      </c>
      <c r="D7396">
        <v>26</v>
      </c>
      <c r="E7396" t="s">
        <v>467</v>
      </c>
    </row>
    <row r="7397" spans="1:5" x14ac:dyDescent="0.35">
      <c r="A7397">
        <v>2016</v>
      </c>
      <c r="B7397" t="s">
        <v>34</v>
      </c>
      <c r="C7397" t="s">
        <v>122</v>
      </c>
      <c r="D7397">
        <v>203</v>
      </c>
      <c r="E7397" t="s">
        <v>466</v>
      </c>
    </row>
    <row r="7398" spans="1:5" x14ac:dyDescent="0.35">
      <c r="A7398">
        <v>2016</v>
      </c>
      <c r="B7398" t="s">
        <v>33</v>
      </c>
      <c r="C7398" t="s">
        <v>195</v>
      </c>
      <c r="E7398" t="s">
        <v>355</v>
      </c>
    </row>
    <row r="7399" spans="1:5" x14ac:dyDescent="0.35">
      <c r="A7399">
        <v>2016</v>
      </c>
      <c r="B7399" t="s">
        <v>38</v>
      </c>
      <c r="C7399" t="s">
        <v>103</v>
      </c>
      <c r="D7399">
        <v>273</v>
      </c>
      <c r="E7399" t="s">
        <v>466</v>
      </c>
    </row>
    <row r="7400" spans="1:5" x14ac:dyDescent="0.35">
      <c r="A7400">
        <v>2016</v>
      </c>
      <c r="B7400" t="s">
        <v>35</v>
      </c>
      <c r="C7400" t="s">
        <v>60</v>
      </c>
      <c r="D7400">
        <v>20</v>
      </c>
      <c r="E7400" t="s">
        <v>467</v>
      </c>
    </row>
    <row r="7401" spans="1:5" x14ac:dyDescent="0.35">
      <c r="A7401">
        <v>2016</v>
      </c>
      <c r="B7401" t="s">
        <v>36</v>
      </c>
      <c r="C7401" t="s">
        <v>104</v>
      </c>
      <c r="D7401">
        <v>7840</v>
      </c>
      <c r="E7401" t="s">
        <v>466</v>
      </c>
    </row>
    <row r="7402" spans="1:5" x14ac:dyDescent="0.35">
      <c r="A7402">
        <v>2016</v>
      </c>
      <c r="B7402" t="s">
        <v>34</v>
      </c>
      <c r="C7402" t="s">
        <v>194</v>
      </c>
      <c r="D7402">
        <v>12</v>
      </c>
      <c r="E7402" t="s">
        <v>328</v>
      </c>
    </row>
    <row r="7403" spans="1:5" x14ac:dyDescent="0.35">
      <c r="A7403">
        <v>2016</v>
      </c>
      <c r="B7403" t="s">
        <v>38</v>
      </c>
      <c r="C7403" t="s">
        <v>86</v>
      </c>
      <c r="D7403">
        <v>4222</v>
      </c>
      <c r="E7403" t="s">
        <v>466</v>
      </c>
    </row>
    <row r="7404" spans="1:5" x14ac:dyDescent="0.35">
      <c r="A7404">
        <v>2016</v>
      </c>
      <c r="B7404" t="s">
        <v>38</v>
      </c>
      <c r="C7404" t="s">
        <v>21</v>
      </c>
      <c r="D7404">
        <v>384</v>
      </c>
      <c r="E7404" t="s">
        <v>467</v>
      </c>
    </row>
    <row r="7405" spans="1:5" x14ac:dyDescent="0.35">
      <c r="A7405">
        <v>2016</v>
      </c>
      <c r="B7405" t="s">
        <v>36</v>
      </c>
      <c r="C7405" t="s">
        <v>16</v>
      </c>
      <c r="D7405">
        <v>88097</v>
      </c>
      <c r="E7405" t="s">
        <v>466</v>
      </c>
    </row>
    <row r="7406" spans="1:5" x14ac:dyDescent="0.35">
      <c r="A7406">
        <v>2016</v>
      </c>
      <c r="B7406" t="s">
        <v>34</v>
      </c>
      <c r="C7406" t="s">
        <v>194</v>
      </c>
      <c r="D7406">
        <v>0</v>
      </c>
      <c r="E7406" t="s">
        <v>355</v>
      </c>
    </row>
    <row r="7407" spans="1:5" x14ac:dyDescent="0.35">
      <c r="A7407">
        <v>2016</v>
      </c>
      <c r="B7407" t="s">
        <v>33</v>
      </c>
      <c r="C7407" t="s">
        <v>88</v>
      </c>
      <c r="D7407">
        <v>10</v>
      </c>
      <c r="E7407" t="s">
        <v>466</v>
      </c>
    </row>
    <row r="7408" spans="1:5" x14ac:dyDescent="0.35">
      <c r="A7408">
        <v>2016</v>
      </c>
      <c r="B7408" t="s">
        <v>35</v>
      </c>
      <c r="C7408" t="s">
        <v>62</v>
      </c>
      <c r="D7408">
        <v>26</v>
      </c>
      <c r="E7408" t="s">
        <v>467</v>
      </c>
    </row>
    <row r="7409" spans="1:5" x14ac:dyDescent="0.35">
      <c r="A7409">
        <v>2016</v>
      </c>
      <c r="B7409" t="s">
        <v>33</v>
      </c>
      <c r="C7409" t="s">
        <v>89</v>
      </c>
      <c r="D7409">
        <v>386</v>
      </c>
      <c r="E7409" t="s">
        <v>466</v>
      </c>
    </row>
    <row r="7410" spans="1:5" x14ac:dyDescent="0.35">
      <c r="A7410">
        <v>2016</v>
      </c>
      <c r="B7410" t="s">
        <v>34</v>
      </c>
      <c r="C7410" t="s">
        <v>193</v>
      </c>
      <c r="D7410">
        <v>51</v>
      </c>
      <c r="E7410" t="s">
        <v>328</v>
      </c>
    </row>
    <row r="7411" spans="1:5" x14ac:dyDescent="0.35">
      <c r="A7411">
        <v>2016</v>
      </c>
      <c r="B7411" t="s">
        <v>35</v>
      </c>
      <c r="C7411" t="s">
        <v>90</v>
      </c>
      <c r="D7411">
        <v>44</v>
      </c>
      <c r="E7411" t="s">
        <v>466</v>
      </c>
    </row>
    <row r="7412" spans="1:5" x14ac:dyDescent="0.35">
      <c r="A7412">
        <v>2016</v>
      </c>
      <c r="B7412" t="s">
        <v>33</v>
      </c>
      <c r="C7412" t="s">
        <v>63</v>
      </c>
      <c r="D7412">
        <v>37</v>
      </c>
      <c r="E7412" t="s">
        <v>467</v>
      </c>
    </row>
    <row r="7413" spans="1:5" x14ac:dyDescent="0.35">
      <c r="A7413">
        <v>2016</v>
      </c>
      <c r="B7413" t="s">
        <v>33</v>
      </c>
      <c r="C7413" t="s">
        <v>91</v>
      </c>
      <c r="D7413">
        <v>235</v>
      </c>
      <c r="E7413" t="s">
        <v>466</v>
      </c>
    </row>
    <row r="7414" spans="1:5" x14ac:dyDescent="0.35">
      <c r="A7414">
        <v>2016</v>
      </c>
      <c r="B7414" t="s">
        <v>34</v>
      </c>
      <c r="C7414" t="s">
        <v>193</v>
      </c>
      <c r="D7414">
        <v>17</v>
      </c>
      <c r="E7414" t="s">
        <v>355</v>
      </c>
    </row>
    <row r="7415" spans="1:5" x14ac:dyDescent="0.35">
      <c r="A7415">
        <v>2016</v>
      </c>
      <c r="B7415" t="s">
        <v>37</v>
      </c>
      <c r="C7415" t="s">
        <v>92</v>
      </c>
      <c r="D7415">
        <v>105</v>
      </c>
      <c r="E7415" t="s">
        <v>466</v>
      </c>
    </row>
    <row r="7416" spans="1:5" x14ac:dyDescent="0.35">
      <c r="A7416">
        <v>2016</v>
      </c>
      <c r="B7416" t="s">
        <v>33</v>
      </c>
      <c r="C7416" t="s">
        <v>89</v>
      </c>
      <c r="D7416">
        <v>21</v>
      </c>
      <c r="E7416" t="s">
        <v>467</v>
      </c>
    </row>
    <row r="7417" spans="1:5" x14ac:dyDescent="0.35">
      <c r="A7417">
        <v>2016</v>
      </c>
      <c r="B7417" t="s">
        <v>35</v>
      </c>
      <c r="C7417" t="s">
        <v>93</v>
      </c>
      <c r="D7417">
        <v>32</v>
      </c>
      <c r="E7417" t="s">
        <v>466</v>
      </c>
    </row>
    <row r="7418" spans="1:5" x14ac:dyDescent="0.35">
      <c r="A7418">
        <v>2016</v>
      </c>
      <c r="B7418" t="s">
        <v>33</v>
      </c>
      <c r="C7418" t="s">
        <v>192</v>
      </c>
      <c r="E7418" t="s">
        <v>328</v>
      </c>
    </row>
    <row r="7419" spans="1:5" x14ac:dyDescent="0.35">
      <c r="A7419">
        <v>2016</v>
      </c>
      <c r="B7419" t="s">
        <v>35</v>
      </c>
      <c r="C7419" t="s">
        <v>94</v>
      </c>
      <c r="D7419">
        <v>737</v>
      </c>
      <c r="E7419" t="s">
        <v>466</v>
      </c>
    </row>
    <row r="7420" spans="1:5" x14ac:dyDescent="0.35">
      <c r="A7420">
        <v>2016</v>
      </c>
      <c r="B7420" t="s">
        <v>36</v>
      </c>
      <c r="C7420" t="s">
        <v>16</v>
      </c>
      <c r="D7420">
        <v>469</v>
      </c>
      <c r="E7420" t="s">
        <v>467</v>
      </c>
    </row>
    <row r="7421" spans="1:5" x14ac:dyDescent="0.35">
      <c r="A7421">
        <v>2016</v>
      </c>
      <c r="B7421" t="s">
        <v>33</v>
      </c>
      <c r="C7421" t="s">
        <v>87</v>
      </c>
      <c r="D7421">
        <v>347</v>
      </c>
      <c r="E7421" t="s">
        <v>466</v>
      </c>
    </row>
    <row r="7422" spans="1:5" x14ac:dyDescent="0.35">
      <c r="A7422">
        <v>2016</v>
      </c>
      <c r="B7422" t="s">
        <v>33</v>
      </c>
      <c r="C7422" t="s">
        <v>192</v>
      </c>
      <c r="E7422" t="s">
        <v>355</v>
      </c>
    </row>
    <row r="7423" spans="1:5" x14ac:dyDescent="0.35">
      <c r="A7423">
        <v>2016</v>
      </c>
      <c r="B7423" t="s">
        <v>33</v>
      </c>
      <c r="C7423" t="s">
        <v>96</v>
      </c>
      <c r="D7423">
        <v>156</v>
      </c>
      <c r="E7423" t="s">
        <v>466</v>
      </c>
    </row>
    <row r="7424" spans="1:5" x14ac:dyDescent="0.35">
      <c r="A7424">
        <v>2016</v>
      </c>
      <c r="B7424" t="s">
        <v>33</v>
      </c>
      <c r="C7424" t="s">
        <v>87</v>
      </c>
      <c r="D7424">
        <v>149</v>
      </c>
      <c r="E7424" t="s">
        <v>467</v>
      </c>
    </row>
    <row r="7425" spans="1:5" x14ac:dyDescent="0.35">
      <c r="A7425">
        <v>2016</v>
      </c>
      <c r="B7425" t="s">
        <v>33</v>
      </c>
      <c r="C7425" t="s">
        <v>102</v>
      </c>
      <c r="D7425">
        <v>6</v>
      </c>
      <c r="E7425" t="s">
        <v>466</v>
      </c>
    </row>
    <row r="7426" spans="1:5" x14ac:dyDescent="0.35">
      <c r="A7426">
        <v>2016</v>
      </c>
      <c r="B7426" t="s">
        <v>36</v>
      </c>
      <c r="C7426" t="s">
        <v>191</v>
      </c>
      <c r="D7426">
        <v>18</v>
      </c>
      <c r="E7426" t="s">
        <v>328</v>
      </c>
    </row>
    <row r="7427" spans="1:5" x14ac:dyDescent="0.35">
      <c r="A7427">
        <v>2016</v>
      </c>
      <c r="B7427" t="s">
        <v>33</v>
      </c>
      <c r="C7427" t="s">
        <v>95</v>
      </c>
      <c r="D7427">
        <v>11</v>
      </c>
      <c r="E7427" t="s">
        <v>466</v>
      </c>
    </row>
    <row r="7428" spans="1:5" x14ac:dyDescent="0.35">
      <c r="A7428">
        <v>2016</v>
      </c>
      <c r="B7428" t="s">
        <v>38</v>
      </c>
      <c r="C7428" t="s">
        <v>86</v>
      </c>
      <c r="D7428">
        <v>204</v>
      </c>
      <c r="E7428" t="s">
        <v>467</v>
      </c>
    </row>
    <row r="7429" spans="1:5" x14ac:dyDescent="0.35">
      <c r="A7429">
        <v>2016</v>
      </c>
      <c r="B7429" t="s">
        <v>33</v>
      </c>
      <c r="C7429" t="s">
        <v>101</v>
      </c>
      <c r="D7429">
        <v>245</v>
      </c>
      <c r="E7429" t="s">
        <v>466</v>
      </c>
    </row>
    <row r="7430" spans="1:5" x14ac:dyDescent="0.35">
      <c r="A7430">
        <v>2016</v>
      </c>
      <c r="B7430" t="s">
        <v>36</v>
      </c>
      <c r="C7430" t="s">
        <v>191</v>
      </c>
      <c r="D7430">
        <v>109</v>
      </c>
      <c r="E7430" t="s">
        <v>355</v>
      </c>
    </row>
    <row r="7431" spans="1:5" x14ac:dyDescent="0.35">
      <c r="A7431">
        <v>2016</v>
      </c>
      <c r="B7431" t="s">
        <v>36</v>
      </c>
      <c r="C7431" t="s">
        <v>15</v>
      </c>
      <c r="D7431">
        <v>97967</v>
      </c>
      <c r="E7431" t="s">
        <v>466</v>
      </c>
    </row>
    <row r="7432" spans="1:5" x14ac:dyDescent="0.35">
      <c r="A7432">
        <v>2016</v>
      </c>
      <c r="B7432" t="s">
        <v>36</v>
      </c>
      <c r="C7432" t="s">
        <v>85</v>
      </c>
      <c r="D7432">
        <v>310</v>
      </c>
      <c r="E7432" t="s">
        <v>467</v>
      </c>
    </row>
    <row r="7433" spans="1:5" x14ac:dyDescent="0.35">
      <c r="A7433">
        <v>2016</v>
      </c>
      <c r="B7433" t="s">
        <v>36</v>
      </c>
      <c r="C7433" t="s">
        <v>85</v>
      </c>
      <c r="D7433">
        <v>3708</v>
      </c>
      <c r="E7433" t="s">
        <v>466</v>
      </c>
    </row>
    <row r="7434" spans="1:5" x14ac:dyDescent="0.35">
      <c r="A7434">
        <v>2016</v>
      </c>
      <c r="B7434" t="s">
        <v>37</v>
      </c>
      <c r="C7434" t="s">
        <v>190</v>
      </c>
      <c r="D7434">
        <v>9</v>
      </c>
      <c r="E7434" t="s">
        <v>328</v>
      </c>
    </row>
    <row r="7435" spans="1:5" x14ac:dyDescent="0.35">
      <c r="A7435">
        <v>2016</v>
      </c>
      <c r="B7435" t="s">
        <v>35</v>
      </c>
      <c r="C7435" t="s">
        <v>99</v>
      </c>
      <c r="D7435">
        <v>172</v>
      </c>
      <c r="E7435" t="s">
        <v>466</v>
      </c>
    </row>
    <row r="7436" spans="1:5" x14ac:dyDescent="0.35">
      <c r="A7436">
        <v>2016</v>
      </c>
      <c r="B7436" t="s">
        <v>36</v>
      </c>
      <c r="C7436" t="s">
        <v>84</v>
      </c>
      <c r="D7436">
        <v>7</v>
      </c>
      <c r="E7436" t="s">
        <v>467</v>
      </c>
    </row>
    <row r="7437" spans="1:5" x14ac:dyDescent="0.35">
      <c r="A7437">
        <v>2016</v>
      </c>
      <c r="B7437" t="s">
        <v>33</v>
      </c>
      <c r="C7437" t="s">
        <v>98</v>
      </c>
      <c r="D7437">
        <v>890</v>
      </c>
      <c r="E7437" t="s">
        <v>466</v>
      </c>
    </row>
    <row r="7438" spans="1:5" x14ac:dyDescent="0.35">
      <c r="A7438">
        <v>2016</v>
      </c>
      <c r="B7438" t="s">
        <v>37</v>
      </c>
      <c r="C7438" t="s">
        <v>190</v>
      </c>
      <c r="D7438">
        <v>21</v>
      </c>
      <c r="E7438" t="s">
        <v>355</v>
      </c>
    </row>
    <row r="7439" spans="1:5" x14ac:dyDescent="0.35">
      <c r="A7439">
        <v>2016</v>
      </c>
      <c r="B7439" t="s">
        <v>35</v>
      </c>
      <c r="C7439" t="s">
        <v>97</v>
      </c>
      <c r="D7439">
        <v>510</v>
      </c>
      <c r="E7439" t="s">
        <v>466</v>
      </c>
    </row>
    <row r="7440" spans="1:5" x14ac:dyDescent="0.35">
      <c r="A7440">
        <v>2016</v>
      </c>
      <c r="B7440" t="s">
        <v>35</v>
      </c>
      <c r="C7440" t="s">
        <v>82</v>
      </c>
      <c r="D7440">
        <v>43</v>
      </c>
      <c r="E7440" t="s">
        <v>467</v>
      </c>
    </row>
    <row r="7441" spans="1:5" x14ac:dyDescent="0.35">
      <c r="A7441">
        <v>2016</v>
      </c>
      <c r="B7441" t="s">
        <v>36</v>
      </c>
      <c r="C7441" t="s">
        <v>100</v>
      </c>
      <c r="D7441">
        <v>32</v>
      </c>
      <c r="E7441" t="s">
        <v>466</v>
      </c>
    </row>
    <row r="7442" spans="1:5" x14ac:dyDescent="0.35">
      <c r="A7442">
        <v>2016</v>
      </c>
      <c r="B7442" t="s">
        <v>33</v>
      </c>
      <c r="C7442" t="s">
        <v>189</v>
      </c>
      <c r="E7442" t="s">
        <v>328</v>
      </c>
    </row>
    <row r="7443" spans="1:5" x14ac:dyDescent="0.35">
      <c r="A7443">
        <v>2016</v>
      </c>
      <c r="B7443" t="s">
        <v>34</v>
      </c>
      <c r="C7443" t="s">
        <v>8</v>
      </c>
      <c r="D7443">
        <v>93</v>
      </c>
      <c r="E7443" t="s">
        <v>466</v>
      </c>
    </row>
    <row r="7444" spans="1:5" x14ac:dyDescent="0.35">
      <c r="A7444">
        <v>2016</v>
      </c>
      <c r="B7444" t="s">
        <v>35</v>
      </c>
      <c r="C7444" t="s">
        <v>81</v>
      </c>
      <c r="D7444">
        <v>87</v>
      </c>
      <c r="E7444" t="s">
        <v>467</v>
      </c>
    </row>
    <row r="7445" spans="1:5" x14ac:dyDescent="0.35">
      <c r="A7445">
        <v>2016</v>
      </c>
      <c r="B7445" t="s">
        <v>33</v>
      </c>
      <c r="C7445" t="s">
        <v>189</v>
      </c>
      <c r="E7445" t="s">
        <v>355</v>
      </c>
    </row>
    <row r="7446" spans="1:5" x14ac:dyDescent="0.35">
      <c r="A7446">
        <v>2016</v>
      </c>
      <c r="B7446" t="s">
        <v>34</v>
      </c>
      <c r="C7446" t="s">
        <v>80</v>
      </c>
      <c r="D7446">
        <v>5</v>
      </c>
      <c r="E7446" t="s">
        <v>467</v>
      </c>
    </row>
    <row r="7447" spans="1:5" x14ac:dyDescent="0.35">
      <c r="A7447">
        <v>2016</v>
      </c>
      <c r="B7447" t="s">
        <v>34</v>
      </c>
      <c r="C7447" t="s">
        <v>188</v>
      </c>
      <c r="D7447">
        <v>55</v>
      </c>
      <c r="E7447" t="s">
        <v>328</v>
      </c>
    </row>
    <row r="7448" spans="1:5" x14ac:dyDescent="0.35">
      <c r="A7448">
        <v>2016</v>
      </c>
      <c r="B7448" t="s">
        <v>36</v>
      </c>
      <c r="C7448" t="s">
        <v>79</v>
      </c>
      <c r="D7448">
        <v>78</v>
      </c>
      <c r="E7448" t="s">
        <v>467</v>
      </c>
    </row>
    <row r="7449" spans="1:5" x14ac:dyDescent="0.35">
      <c r="A7449">
        <v>2016</v>
      </c>
      <c r="B7449" t="s">
        <v>35</v>
      </c>
      <c r="C7449" t="s">
        <v>196</v>
      </c>
      <c r="D7449">
        <v>26</v>
      </c>
      <c r="E7449" t="s">
        <v>355</v>
      </c>
    </row>
    <row r="7450" spans="1:5" x14ac:dyDescent="0.35">
      <c r="A7450">
        <v>2016</v>
      </c>
      <c r="B7450" t="s">
        <v>37</v>
      </c>
      <c r="C7450" t="s">
        <v>92</v>
      </c>
      <c r="D7450">
        <v>51</v>
      </c>
      <c r="E7450" t="s">
        <v>467</v>
      </c>
    </row>
    <row r="7451" spans="1:5" x14ac:dyDescent="0.35">
      <c r="A7451">
        <v>2016</v>
      </c>
      <c r="B7451" t="s">
        <v>34</v>
      </c>
      <c r="C7451" t="s">
        <v>188</v>
      </c>
      <c r="D7451">
        <v>11</v>
      </c>
      <c r="E7451" t="s">
        <v>355</v>
      </c>
    </row>
    <row r="7452" spans="1:5" x14ac:dyDescent="0.35">
      <c r="A7452">
        <v>2016</v>
      </c>
      <c r="B7452" t="s">
        <v>35</v>
      </c>
      <c r="C7452" t="s">
        <v>78</v>
      </c>
      <c r="D7452">
        <v>23</v>
      </c>
      <c r="E7452" t="s">
        <v>467</v>
      </c>
    </row>
    <row r="7453" spans="1:5" x14ac:dyDescent="0.35">
      <c r="A7453">
        <v>2016</v>
      </c>
      <c r="B7453" t="s">
        <v>35</v>
      </c>
      <c r="C7453" t="s">
        <v>196</v>
      </c>
      <c r="D7453">
        <v>94</v>
      </c>
      <c r="E7453" t="s">
        <v>328</v>
      </c>
    </row>
    <row r="7454" spans="1:5" x14ac:dyDescent="0.35">
      <c r="A7454">
        <v>2016</v>
      </c>
      <c r="B7454" t="s">
        <v>36</v>
      </c>
      <c r="C7454" t="s">
        <v>76</v>
      </c>
      <c r="D7454">
        <v>61</v>
      </c>
      <c r="E7454" t="s">
        <v>467</v>
      </c>
    </row>
    <row r="7455" spans="1:5" x14ac:dyDescent="0.35">
      <c r="A7455">
        <v>2016</v>
      </c>
      <c r="B7455" t="s">
        <v>35</v>
      </c>
      <c r="C7455" t="s">
        <v>198</v>
      </c>
      <c r="D7455">
        <v>73</v>
      </c>
      <c r="E7455" t="s">
        <v>328</v>
      </c>
    </row>
    <row r="7456" spans="1:5" x14ac:dyDescent="0.35">
      <c r="A7456">
        <v>2016</v>
      </c>
      <c r="B7456" t="s">
        <v>33</v>
      </c>
      <c r="C7456" t="s">
        <v>75</v>
      </c>
      <c r="D7456">
        <v>7</v>
      </c>
      <c r="E7456" t="s">
        <v>467</v>
      </c>
    </row>
    <row r="7457" spans="1:5" x14ac:dyDescent="0.35">
      <c r="A7457">
        <v>2016</v>
      </c>
      <c r="B7457" t="s">
        <v>33</v>
      </c>
      <c r="C7457" t="s">
        <v>204</v>
      </c>
      <c r="E7457" t="s">
        <v>328</v>
      </c>
    </row>
    <row r="7458" spans="1:5" x14ac:dyDescent="0.35">
      <c r="A7458">
        <v>2016</v>
      </c>
      <c r="B7458" t="s">
        <v>33</v>
      </c>
      <c r="C7458" t="s">
        <v>74</v>
      </c>
      <c r="D7458">
        <v>36</v>
      </c>
      <c r="E7458" t="s">
        <v>467</v>
      </c>
    </row>
    <row r="7459" spans="1:5" x14ac:dyDescent="0.35">
      <c r="A7459">
        <v>2016</v>
      </c>
      <c r="B7459" t="s">
        <v>33</v>
      </c>
      <c r="C7459" t="s">
        <v>203</v>
      </c>
      <c r="D7459">
        <v>7</v>
      </c>
      <c r="E7459" t="s">
        <v>328</v>
      </c>
    </row>
    <row r="7460" spans="1:5" x14ac:dyDescent="0.35">
      <c r="A7460">
        <v>2016</v>
      </c>
      <c r="B7460" t="s">
        <v>38</v>
      </c>
      <c r="C7460" t="s">
        <v>20</v>
      </c>
      <c r="D7460">
        <v>586</v>
      </c>
      <c r="E7460" t="s">
        <v>467</v>
      </c>
    </row>
    <row r="7461" spans="1:5" x14ac:dyDescent="0.35">
      <c r="A7461">
        <v>2016</v>
      </c>
      <c r="B7461" t="s">
        <v>33</v>
      </c>
      <c r="C7461" t="s">
        <v>203</v>
      </c>
      <c r="D7461">
        <v>5</v>
      </c>
      <c r="E7461" t="s">
        <v>355</v>
      </c>
    </row>
    <row r="7462" spans="1:5" x14ac:dyDescent="0.35">
      <c r="A7462">
        <v>2016</v>
      </c>
      <c r="B7462" t="s">
        <v>34</v>
      </c>
      <c r="C7462" t="s">
        <v>73</v>
      </c>
      <c r="D7462">
        <v>1592</v>
      </c>
      <c r="E7462" t="s">
        <v>467</v>
      </c>
    </row>
    <row r="7463" spans="1:5" x14ac:dyDescent="0.35">
      <c r="A7463">
        <v>2016</v>
      </c>
      <c r="B7463" t="s">
        <v>34</v>
      </c>
      <c r="C7463" t="s">
        <v>202</v>
      </c>
      <c r="E7463" t="s">
        <v>328</v>
      </c>
    </row>
    <row r="7464" spans="1:5" x14ac:dyDescent="0.35">
      <c r="A7464">
        <v>2016</v>
      </c>
      <c r="B7464" t="s">
        <v>38</v>
      </c>
      <c r="C7464" t="s">
        <v>72</v>
      </c>
      <c r="D7464">
        <v>357</v>
      </c>
      <c r="E7464" t="s">
        <v>467</v>
      </c>
    </row>
    <row r="7465" spans="1:5" x14ac:dyDescent="0.35">
      <c r="A7465">
        <v>2016</v>
      </c>
      <c r="B7465" t="s">
        <v>34</v>
      </c>
      <c r="C7465" t="s">
        <v>202</v>
      </c>
      <c r="E7465" t="s">
        <v>355</v>
      </c>
    </row>
    <row r="7466" spans="1:5" x14ac:dyDescent="0.35">
      <c r="A7466">
        <v>2016</v>
      </c>
      <c r="B7466" t="s">
        <v>36</v>
      </c>
      <c r="C7466" t="s">
        <v>69</v>
      </c>
      <c r="D7466">
        <v>18411</v>
      </c>
      <c r="E7466" t="s">
        <v>467</v>
      </c>
    </row>
    <row r="7467" spans="1:5" x14ac:dyDescent="0.35">
      <c r="A7467">
        <v>2016</v>
      </c>
      <c r="B7467" t="s">
        <v>34</v>
      </c>
      <c r="C7467" t="s">
        <v>201</v>
      </c>
      <c r="D7467">
        <v>25</v>
      </c>
      <c r="E7467" t="s">
        <v>328</v>
      </c>
    </row>
    <row r="7468" spans="1:5" x14ac:dyDescent="0.35">
      <c r="A7468">
        <v>2016</v>
      </c>
      <c r="B7468" t="s">
        <v>33</v>
      </c>
      <c r="C7468" t="s">
        <v>68</v>
      </c>
      <c r="D7468">
        <v>69</v>
      </c>
      <c r="E7468" t="s">
        <v>467</v>
      </c>
    </row>
    <row r="7469" spans="1:5" x14ac:dyDescent="0.35">
      <c r="A7469">
        <v>2016</v>
      </c>
      <c r="B7469" t="s">
        <v>34</v>
      </c>
      <c r="C7469" t="s">
        <v>201</v>
      </c>
      <c r="D7469">
        <v>20</v>
      </c>
      <c r="E7469" t="s">
        <v>355</v>
      </c>
    </row>
    <row r="7470" spans="1:5" x14ac:dyDescent="0.35">
      <c r="A7470">
        <v>2016</v>
      </c>
      <c r="B7470" t="s">
        <v>34</v>
      </c>
      <c r="C7470" t="s">
        <v>67</v>
      </c>
      <c r="D7470">
        <v>13</v>
      </c>
      <c r="E7470" t="s">
        <v>467</v>
      </c>
    </row>
    <row r="7471" spans="1:5" x14ac:dyDescent="0.35">
      <c r="A7471">
        <v>2016</v>
      </c>
      <c r="B7471" t="s">
        <v>38</v>
      </c>
      <c r="C7471" t="s">
        <v>19</v>
      </c>
      <c r="D7471">
        <v>646</v>
      </c>
      <c r="E7471" t="s">
        <v>328</v>
      </c>
    </row>
    <row r="7472" spans="1:5" x14ac:dyDescent="0.35">
      <c r="A7472">
        <v>2016</v>
      </c>
      <c r="B7472" t="s">
        <v>33</v>
      </c>
      <c r="C7472" t="s">
        <v>66</v>
      </c>
      <c r="E7472" t="s">
        <v>467</v>
      </c>
    </row>
    <row r="7473" spans="1:5" x14ac:dyDescent="0.35">
      <c r="A7473">
        <v>2016</v>
      </c>
      <c r="B7473" t="s">
        <v>38</v>
      </c>
      <c r="C7473" t="s">
        <v>19</v>
      </c>
      <c r="D7473">
        <v>56</v>
      </c>
      <c r="E7473" t="s">
        <v>355</v>
      </c>
    </row>
    <row r="7474" spans="1:5" x14ac:dyDescent="0.35">
      <c r="A7474">
        <v>2016</v>
      </c>
      <c r="B7474" t="s">
        <v>33</v>
      </c>
      <c r="C7474" t="s">
        <v>77</v>
      </c>
      <c r="D7474">
        <v>23</v>
      </c>
      <c r="E7474" t="s">
        <v>467</v>
      </c>
    </row>
    <row r="7475" spans="1:5" x14ac:dyDescent="0.35">
      <c r="A7475">
        <v>2016</v>
      </c>
      <c r="B7475" t="s">
        <v>34</v>
      </c>
      <c r="C7475" t="s">
        <v>200</v>
      </c>
      <c r="D7475">
        <v>12</v>
      </c>
      <c r="E7475" t="s">
        <v>328</v>
      </c>
    </row>
    <row r="7476" spans="1:5" x14ac:dyDescent="0.35">
      <c r="A7476">
        <v>2016</v>
      </c>
      <c r="B7476" t="s">
        <v>35</v>
      </c>
      <c r="C7476" t="s">
        <v>93</v>
      </c>
      <c r="D7476">
        <v>24</v>
      </c>
      <c r="E7476" t="s">
        <v>467</v>
      </c>
    </row>
    <row r="7477" spans="1:5" x14ac:dyDescent="0.35">
      <c r="A7477">
        <v>2016</v>
      </c>
      <c r="B7477" t="s">
        <v>34</v>
      </c>
      <c r="C7477" t="s">
        <v>200</v>
      </c>
      <c r="D7477">
        <v>5</v>
      </c>
      <c r="E7477" t="s">
        <v>355</v>
      </c>
    </row>
    <row r="7478" spans="1:5" x14ac:dyDescent="0.35">
      <c r="A7478">
        <v>2016</v>
      </c>
      <c r="B7478" t="s">
        <v>33</v>
      </c>
      <c r="C7478" t="s">
        <v>65</v>
      </c>
      <c r="D7478">
        <v>8</v>
      </c>
      <c r="E7478" t="s">
        <v>467</v>
      </c>
    </row>
    <row r="7479" spans="1:5" x14ac:dyDescent="0.35">
      <c r="A7479">
        <v>2016</v>
      </c>
      <c r="B7479" t="s">
        <v>38</v>
      </c>
      <c r="C7479" t="s">
        <v>199</v>
      </c>
      <c r="D7479">
        <v>30</v>
      </c>
      <c r="E7479" t="s">
        <v>328</v>
      </c>
    </row>
    <row r="7480" spans="1:5" x14ac:dyDescent="0.35">
      <c r="A7480">
        <v>2016</v>
      </c>
      <c r="B7480" t="s">
        <v>33</v>
      </c>
      <c r="C7480" t="s">
        <v>95</v>
      </c>
      <c r="D7480">
        <v>5</v>
      </c>
      <c r="E7480" t="s">
        <v>467</v>
      </c>
    </row>
    <row r="7481" spans="1:5" x14ac:dyDescent="0.35">
      <c r="A7481">
        <v>2016</v>
      </c>
      <c r="B7481" t="s">
        <v>38</v>
      </c>
      <c r="C7481" t="s">
        <v>199</v>
      </c>
      <c r="D7481">
        <v>17</v>
      </c>
      <c r="E7481" t="s">
        <v>355</v>
      </c>
    </row>
    <row r="7482" spans="1:5" x14ac:dyDescent="0.35">
      <c r="A7482">
        <v>2016</v>
      </c>
      <c r="B7482" t="s">
        <v>34</v>
      </c>
      <c r="C7482" t="s">
        <v>120</v>
      </c>
      <c r="D7482">
        <v>47</v>
      </c>
      <c r="E7482" t="s">
        <v>467</v>
      </c>
    </row>
    <row r="7483" spans="1:5" x14ac:dyDescent="0.35">
      <c r="A7483">
        <v>2016</v>
      </c>
      <c r="B7483" t="s">
        <v>39</v>
      </c>
      <c r="C7483" t="s">
        <v>39</v>
      </c>
      <c r="D7483">
        <v>28</v>
      </c>
      <c r="E7483" t="s">
        <v>328</v>
      </c>
    </row>
    <row r="7484" spans="1:5" x14ac:dyDescent="0.35">
      <c r="A7484">
        <v>2016</v>
      </c>
      <c r="B7484" t="s">
        <v>34</v>
      </c>
      <c r="C7484" t="s">
        <v>121</v>
      </c>
      <c r="D7484">
        <v>6</v>
      </c>
      <c r="E7484" t="s">
        <v>467</v>
      </c>
    </row>
    <row r="7485" spans="1:5" x14ac:dyDescent="0.35">
      <c r="A7485">
        <v>2016</v>
      </c>
      <c r="B7485" t="s">
        <v>39</v>
      </c>
      <c r="C7485" t="s">
        <v>39</v>
      </c>
      <c r="D7485">
        <v>7</v>
      </c>
      <c r="E7485" t="s">
        <v>355</v>
      </c>
    </row>
    <row r="7486" spans="1:5" x14ac:dyDescent="0.35">
      <c r="A7486">
        <v>2016</v>
      </c>
      <c r="B7486" t="s">
        <v>34</v>
      </c>
      <c r="C7486" t="s">
        <v>122</v>
      </c>
      <c r="E7486" t="s">
        <v>467</v>
      </c>
    </row>
    <row r="7487" spans="1:5" x14ac:dyDescent="0.35">
      <c r="A7487">
        <v>2016</v>
      </c>
      <c r="B7487" t="s">
        <v>35</v>
      </c>
      <c r="C7487" t="s">
        <v>198</v>
      </c>
      <c r="D7487">
        <v>107</v>
      </c>
      <c r="E7487" t="s">
        <v>355</v>
      </c>
    </row>
    <row r="7488" spans="1:5" x14ac:dyDescent="0.35">
      <c r="A7488">
        <v>2016</v>
      </c>
      <c r="B7488" t="s">
        <v>35</v>
      </c>
      <c r="C7488" t="s">
        <v>123</v>
      </c>
      <c r="D7488">
        <v>37</v>
      </c>
      <c r="E7488" t="s">
        <v>467</v>
      </c>
    </row>
    <row r="7489" spans="1:5" x14ac:dyDescent="0.35">
      <c r="A7489">
        <v>2016</v>
      </c>
      <c r="B7489" t="s">
        <v>33</v>
      </c>
      <c r="C7489" t="s">
        <v>187</v>
      </c>
      <c r="D7489">
        <v>5</v>
      </c>
      <c r="E7489" t="s">
        <v>328</v>
      </c>
    </row>
    <row r="7490" spans="1:5" x14ac:dyDescent="0.35">
      <c r="A7490">
        <v>2016</v>
      </c>
      <c r="B7490" t="s">
        <v>34</v>
      </c>
      <c r="C7490" t="s">
        <v>124</v>
      </c>
      <c r="D7490">
        <v>107</v>
      </c>
      <c r="E7490" t="s">
        <v>467</v>
      </c>
    </row>
    <row r="7491" spans="1:5" x14ac:dyDescent="0.35">
      <c r="A7491">
        <v>2016</v>
      </c>
      <c r="B7491" t="s">
        <v>33</v>
      </c>
      <c r="C7491" t="s">
        <v>187</v>
      </c>
      <c r="D7491">
        <v>10</v>
      </c>
      <c r="E7491" t="s">
        <v>355</v>
      </c>
    </row>
    <row r="7492" spans="1:5" x14ac:dyDescent="0.35">
      <c r="A7492">
        <v>2016</v>
      </c>
      <c r="B7492" t="s">
        <v>33</v>
      </c>
      <c r="C7492" t="s">
        <v>125</v>
      </c>
      <c r="D7492">
        <v>13</v>
      </c>
      <c r="E7492" t="s">
        <v>467</v>
      </c>
    </row>
    <row r="7493" spans="1:5" x14ac:dyDescent="0.35">
      <c r="A7493">
        <v>2016</v>
      </c>
      <c r="B7493" t="s">
        <v>34</v>
      </c>
      <c r="C7493" t="s">
        <v>186</v>
      </c>
      <c r="E7493" t="s">
        <v>328</v>
      </c>
    </row>
    <row r="7494" spans="1:5" x14ac:dyDescent="0.35">
      <c r="A7494">
        <v>2016</v>
      </c>
      <c r="B7494" t="s">
        <v>33</v>
      </c>
      <c r="C7494" t="s">
        <v>126</v>
      </c>
      <c r="D7494">
        <v>31</v>
      </c>
      <c r="E7494" t="s">
        <v>467</v>
      </c>
    </row>
    <row r="7495" spans="1:5" x14ac:dyDescent="0.35">
      <c r="A7495">
        <v>2016</v>
      </c>
      <c r="B7495" t="s">
        <v>35</v>
      </c>
      <c r="C7495" t="s">
        <v>172</v>
      </c>
      <c r="D7495">
        <v>8</v>
      </c>
      <c r="E7495" t="s">
        <v>328</v>
      </c>
    </row>
    <row r="7496" spans="1:5" x14ac:dyDescent="0.35">
      <c r="A7496">
        <v>2016</v>
      </c>
      <c r="B7496" t="s">
        <v>35</v>
      </c>
      <c r="C7496" t="s">
        <v>127</v>
      </c>
      <c r="D7496">
        <v>46</v>
      </c>
      <c r="E7496" t="s">
        <v>467</v>
      </c>
    </row>
    <row r="7497" spans="1:5" x14ac:dyDescent="0.35">
      <c r="A7497">
        <v>2016</v>
      </c>
      <c r="B7497" t="s">
        <v>35</v>
      </c>
      <c r="C7497" t="s">
        <v>172</v>
      </c>
      <c r="D7497">
        <v>4</v>
      </c>
      <c r="E7497" t="s">
        <v>355</v>
      </c>
    </row>
    <row r="7498" spans="1:5" x14ac:dyDescent="0.35">
      <c r="A7498">
        <v>2016</v>
      </c>
      <c r="B7498" t="s">
        <v>33</v>
      </c>
      <c r="C7498" t="s">
        <v>129</v>
      </c>
      <c r="D7498">
        <v>5</v>
      </c>
      <c r="E7498" t="s">
        <v>467</v>
      </c>
    </row>
    <row r="7499" spans="1:5" x14ac:dyDescent="0.35">
      <c r="A7499">
        <v>2016</v>
      </c>
      <c r="B7499" t="s">
        <v>34</v>
      </c>
      <c r="C7499" t="s">
        <v>171</v>
      </c>
      <c r="E7499" t="s">
        <v>328</v>
      </c>
    </row>
    <row r="7500" spans="1:5" x14ac:dyDescent="0.35">
      <c r="A7500">
        <v>2016</v>
      </c>
      <c r="B7500" t="s">
        <v>34</v>
      </c>
      <c r="C7500" t="s">
        <v>131</v>
      </c>
      <c r="D7500">
        <v>24</v>
      </c>
      <c r="E7500" t="s">
        <v>467</v>
      </c>
    </row>
    <row r="7501" spans="1:5" x14ac:dyDescent="0.35">
      <c r="A7501">
        <v>2016</v>
      </c>
      <c r="B7501" t="s">
        <v>34</v>
      </c>
      <c r="C7501" t="s">
        <v>171</v>
      </c>
      <c r="E7501" t="s">
        <v>355</v>
      </c>
    </row>
    <row r="7502" spans="1:5" x14ac:dyDescent="0.35">
      <c r="A7502">
        <v>2016</v>
      </c>
      <c r="B7502" t="s">
        <v>35</v>
      </c>
      <c r="C7502" t="s">
        <v>119</v>
      </c>
      <c r="D7502">
        <v>16</v>
      </c>
      <c r="E7502" t="s">
        <v>467</v>
      </c>
    </row>
    <row r="7503" spans="1:5" x14ac:dyDescent="0.35">
      <c r="A7503">
        <v>2016</v>
      </c>
      <c r="B7503" t="s">
        <v>33</v>
      </c>
      <c r="C7503" t="s">
        <v>170</v>
      </c>
      <c r="D7503">
        <v>4</v>
      </c>
      <c r="E7503" t="s">
        <v>328</v>
      </c>
    </row>
    <row r="7504" spans="1:5" x14ac:dyDescent="0.35">
      <c r="A7504">
        <v>2016</v>
      </c>
      <c r="B7504" t="s">
        <v>33</v>
      </c>
      <c r="C7504" t="s">
        <v>132</v>
      </c>
      <c r="D7504">
        <v>14</v>
      </c>
      <c r="E7504" t="s">
        <v>467</v>
      </c>
    </row>
    <row r="7505" spans="1:5" x14ac:dyDescent="0.35">
      <c r="A7505">
        <v>2016</v>
      </c>
      <c r="B7505" t="s">
        <v>33</v>
      </c>
      <c r="C7505" t="s">
        <v>170</v>
      </c>
      <c r="D7505">
        <v>18</v>
      </c>
      <c r="E7505" t="s">
        <v>355</v>
      </c>
    </row>
    <row r="7506" spans="1:5" x14ac:dyDescent="0.35">
      <c r="A7506">
        <v>2016</v>
      </c>
      <c r="B7506" t="s">
        <v>36</v>
      </c>
      <c r="C7506" t="s">
        <v>14</v>
      </c>
      <c r="D7506">
        <v>36761</v>
      </c>
      <c r="E7506" t="s">
        <v>467</v>
      </c>
    </row>
    <row r="7507" spans="1:5" x14ac:dyDescent="0.35">
      <c r="A7507">
        <v>2016</v>
      </c>
      <c r="B7507" t="s">
        <v>35</v>
      </c>
      <c r="C7507" t="s">
        <v>215</v>
      </c>
      <c r="E7507" t="s">
        <v>328</v>
      </c>
    </row>
    <row r="7508" spans="1:5" x14ac:dyDescent="0.35">
      <c r="A7508">
        <v>2016</v>
      </c>
      <c r="B7508" t="s">
        <v>37</v>
      </c>
      <c r="C7508" t="s">
        <v>137</v>
      </c>
      <c r="D7508">
        <v>4</v>
      </c>
      <c r="E7508" t="s">
        <v>467</v>
      </c>
    </row>
    <row r="7509" spans="1:5" x14ac:dyDescent="0.35">
      <c r="A7509">
        <v>2016</v>
      </c>
      <c r="B7509" t="s">
        <v>35</v>
      </c>
      <c r="C7509" t="s">
        <v>215</v>
      </c>
      <c r="E7509" t="s">
        <v>355</v>
      </c>
    </row>
    <row r="7510" spans="1:5" x14ac:dyDescent="0.35">
      <c r="A7510">
        <v>2016</v>
      </c>
      <c r="B7510" t="s">
        <v>35</v>
      </c>
      <c r="C7510" t="s">
        <v>138</v>
      </c>
      <c r="D7510">
        <v>18</v>
      </c>
      <c r="E7510" t="s">
        <v>467</v>
      </c>
    </row>
    <row r="7511" spans="1:5" x14ac:dyDescent="0.35">
      <c r="A7511">
        <v>2016</v>
      </c>
      <c r="B7511" t="s">
        <v>35</v>
      </c>
      <c r="C7511" t="s">
        <v>169</v>
      </c>
      <c r="D7511">
        <v>19</v>
      </c>
      <c r="E7511" t="s">
        <v>328</v>
      </c>
    </row>
    <row r="7512" spans="1:5" x14ac:dyDescent="0.35">
      <c r="A7512">
        <v>2016</v>
      </c>
      <c r="B7512" t="s">
        <v>34</v>
      </c>
      <c r="C7512" t="s">
        <v>139</v>
      </c>
      <c r="D7512">
        <v>28</v>
      </c>
      <c r="E7512" t="s">
        <v>467</v>
      </c>
    </row>
    <row r="7513" spans="1:5" x14ac:dyDescent="0.35">
      <c r="A7513">
        <v>2016</v>
      </c>
      <c r="B7513" t="s">
        <v>35</v>
      </c>
      <c r="C7513" t="s">
        <v>169</v>
      </c>
      <c r="D7513">
        <v>12</v>
      </c>
      <c r="E7513" t="s">
        <v>355</v>
      </c>
    </row>
    <row r="7514" spans="1:5" x14ac:dyDescent="0.35">
      <c r="A7514">
        <v>2016</v>
      </c>
      <c r="B7514" t="s">
        <v>35</v>
      </c>
      <c r="C7514" t="s">
        <v>140</v>
      </c>
      <c r="D7514">
        <v>6</v>
      </c>
      <c r="E7514" t="s">
        <v>467</v>
      </c>
    </row>
    <row r="7515" spans="1:5" x14ac:dyDescent="0.35">
      <c r="A7515">
        <v>2016</v>
      </c>
      <c r="B7515" t="s">
        <v>33</v>
      </c>
      <c r="C7515" t="s">
        <v>168</v>
      </c>
      <c r="D7515">
        <v>11</v>
      </c>
      <c r="E7515" t="s">
        <v>328</v>
      </c>
    </row>
    <row r="7516" spans="1:5" x14ac:dyDescent="0.35">
      <c r="A7516">
        <v>2016</v>
      </c>
      <c r="B7516" t="s">
        <v>33</v>
      </c>
      <c r="C7516" t="s">
        <v>141</v>
      </c>
      <c r="D7516">
        <v>188</v>
      </c>
      <c r="E7516" t="s">
        <v>467</v>
      </c>
    </row>
    <row r="7517" spans="1:5" x14ac:dyDescent="0.35">
      <c r="A7517">
        <v>2016</v>
      </c>
      <c r="B7517" t="s">
        <v>33</v>
      </c>
      <c r="C7517" t="s">
        <v>168</v>
      </c>
      <c r="D7517">
        <v>7</v>
      </c>
      <c r="E7517" t="s">
        <v>355</v>
      </c>
    </row>
    <row r="7518" spans="1:5" x14ac:dyDescent="0.35">
      <c r="A7518">
        <v>2016</v>
      </c>
      <c r="B7518" t="s">
        <v>34</v>
      </c>
      <c r="C7518" t="s">
        <v>144</v>
      </c>
      <c r="D7518">
        <v>34</v>
      </c>
      <c r="E7518" t="s">
        <v>467</v>
      </c>
    </row>
    <row r="7519" spans="1:5" x14ac:dyDescent="0.35">
      <c r="A7519">
        <v>2016</v>
      </c>
      <c r="B7519" t="s">
        <v>34</v>
      </c>
      <c r="C7519" t="s">
        <v>167</v>
      </c>
      <c r="D7519">
        <v>119</v>
      </c>
      <c r="E7519" t="s">
        <v>328</v>
      </c>
    </row>
    <row r="7520" spans="1:5" x14ac:dyDescent="0.35">
      <c r="A7520">
        <v>2016</v>
      </c>
      <c r="B7520" t="s">
        <v>35</v>
      </c>
      <c r="C7520" t="s">
        <v>145</v>
      </c>
      <c r="D7520">
        <v>199</v>
      </c>
      <c r="E7520" t="s">
        <v>467</v>
      </c>
    </row>
    <row r="7521" spans="1:5" x14ac:dyDescent="0.35">
      <c r="A7521">
        <v>2016</v>
      </c>
      <c r="B7521" t="s">
        <v>34</v>
      </c>
      <c r="C7521" t="s">
        <v>167</v>
      </c>
      <c r="D7521">
        <v>24</v>
      </c>
      <c r="E7521" t="s">
        <v>355</v>
      </c>
    </row>
    <row r="7522" spans="1:5" x14ac:dyDescent="0.35">
      <c r="A7522">
        <v>2016</v>
      </c>
      <c r="B7522" t="s">
        <v>37</v>
      </c>
      <c r="C7522" t="s">
        <v>146</v>
      </c>
      <c r="D7522">
        <v>92</v>
      </c>
      <c r="E7522" t="s">
        <v>467</v>
      </c>
    </row>
    <row r="7523" spans="1:5" x14ac:dyDescent="0.35">
      <c r="A7523">
        <v>2016</v>
      </c>
      <c r="B7523" t="s">
        <v>37</v>
      </c>
      <c r="C7523" t="s">
        <v>166</v>
      </c>
      <c r="E7523" t="s">
        <v>355</v>
      </c>
    </row>
    <row r="7524" spans="1:5" x14ac:dyDescent="0.35">
      <c r="A7524">
        <v>2016</v>
      </c>
      <c r="B7524" t="s">
        <v>35</v>
      </c>
      <c r="C7524" t="s">
        <v>94</v>
      </c>
      <c r="D7524">
        <v>616</v>
      </c>
      <c r="E7524" t="s">
        <v>467</v>
      </c>
    </row>
    <row r="7525" spans="1:5" x14ac:dyDescent="0.35">
      <c r="A7525">
        <v>2016</v>
      </c>
      <c r="B7525" t="s">
        <v>33</v>
      </c>
      <c r="C7525" t="s">
        <v>174</v>
      </c>
      <c r="D7525">
        <v>25</v>
      </c>
      <c r="E7525" t="s">
        <v>355</v>
      </c>
    </row>
    <row r="7526" spans="1:5" x14ac:dyDescent="0.35">
      <c r="A7526">
        <v>2016</v>
      </c>
      <c r="B7526" t="s">
        <v>33</v>
      </c>
      <c r="C7526" t="s">
        <v>136</v>
      </c>
      <c r="D7526">
        <v>9</v>
      </c>
      <c r="E7526" t="s">
        <v>467</v>
      </c>
    </row>
    <row r="7527" spans="1:5" x14ac:dyDescent="0.35">
      <c r="A7527">
        <v>2016</v>
      </c>
      <c r="B7527" t="s">
        <v>33</v>
      </c>
      <c r="C7527" t="s">
        <v>174</v>
      </c>
      <c r="D7527">
        <v>175</v>
      </c>
      <c r="E7527" t="s">
        <v>328</v>
      </c>
    </row>
    <row r="7528" spans="1:5" x14ac:dyDescent="0.35">
      <c r="A7528">
        <v>2016</v>
      </c>
      <c r="B7528" t="s">
        <v>34</v>
      </c>
      <c r="C7528" t="s">
        <v>118</v>
      </c>
      <c r="D7528">
        <v>689</v>
      </c>
      <c r="E7528" t="s">
        <v>467</v>
      </c>
    </row>
    <row r="7529" spans="1:5" x14ac:dyDescent="0.35">
      <c r="A7529">
        <v>2016</v>
      </c>
      <c r="B7529" t="s">
        <v>33</v>
      </c>
      <c r="C7529" t="s">
        <v>175</v>
      </c>
      <c r="D7529">
        <v>9</v>
      </c>
      <c r="E7529" t="s">
        <v>355</v>
      </c>
    </row>
    <row r="7530" spans="1:5" x14ac:dyDescent="0.35">
      <c r="A7530">
        <v>2016</v>
      </c>
      <c r="B7530" t="s">
        <v>33</v>
      </c>
      <c r="C7530" t="s">
        <v>148</v>
      </c>
      <c r="E7530" t="s">
        <v>467</v>
      </c>
    </row>
    <row r="7531" spans="1:5" x14ac:dyDescent="0.35">
      <c r="A7531">
        <v>2016</v>
      </c>
      <c r="B7531" t="s">
        <v>33</v>
      </c>
      <c r="C7531" t="s">
        <v>175</v>
      </c>
      <c r="D7531">
        <v>28</v>
      </c>
      <c r="E7531" t="s">
        <v>328</v>
      </c>
    </row>
    <row r="7532" spans="1:5" x14ac:dyDescent="0.35">
      <c r="A7532">
        <v>2016</v>
      </c>
      <c r="B7532" t="s">
        <v>34</v>
      </c>
      <c r="C7532" t="s">
        <v>116</v>
      </c>
      <c r="D7532">
        <v>27</v>
      </c>
      <c r="E7532" t="s">
        <v>467</v>
      </c>
    </row>
    <row r="7533" spans="1:5" x14ac:dyDescent="0.35">
      <c r="A7533">
        <v>2016</v>
      </c>
      <c r="B7533" t="s">
        <v>34</v>
      </c>
      <c r="C7533" t="s">
        <v>186</v>
      </c>
      <c r="E7533" t="s">
        <v>355</v>
      </c>
    </row>
    <row r="7534" spans="1:5" x14ac:dyDescent="0.35">
      <c r="A7534">
        <v>2016</v>
      </c>
      <c r="B7534" t="s">
        <v>33</v>
      </c>
      <c r="C7534" t="s">
        <v>117</v>
      </c>
      <c r="D7534">
        <v>47</v>
      </c>
      <c r="E7534" t="s">
        <v>467</v>
      </c>
    </row>
    <row r="7535" spans="1:5" x14ac:dyDescent="0.35">
      <c r="A7535">
        <v>2016</v>
      </c>
      <c r="B7535" t="s">
        <v>34</v>
      </c>
      <c r="C7535" t="s">
        <v>185</v>
      </c>
      <c r="D7535">
        <v>27</v>
      </c>
      <c r="E7535" t="s">
        <v>328</v>
      </c>
    </row>
    <row r="7536" spans="1:5" x14ac:dyDescent="0.35">
      <c r="A7536">
        <v>2016</v>
      </c>
      <c r="B7536" t="s">
        <v>33</v>
      </c>
      <c r="C7536" t="s">
        <v>96</v>
      </c>
      <c r="D7536">
        <v>11</v>
      </c>
      <c r="E7536" t="s">
        <v>467</v>
      </c>
    </row>
    <row r="7537" spans="1:5" x14ac:dyDescent="0.35">
      <c r="A7537">
        <v>2016</v>
      </c>
      <c r="B7537" t="s">
        <v>34</v>
      </c>
      <c r="C7537" t="s">
        <v>185</v>
      </c>
      <c r="D7537">
        <v>13</v>
      </c>
      <c r="E7537" t="s">
        <v>355</v>
      </c>
    </row>
    <row r="7538" spans="1:5" x14ac:dyDescent="0.35">
      <c r="A7538">
        <v>2016</v>
      </c>
      <c r="B7538" t="s">
        <v>34</v>
      </c>
      <c r="C7538" t="s">
        <v>8</v>
      </c>
      <c r="D7538">
        <v>7</v>
      </c>
      <c r="E7538" t="s">
        <v>467</v>
      </c>
    </row>
    <row r="7539" spans="1:5" x14ac:dyDescent="0.35">
      <c r="A7539">
        <v>2016</v>
      </c>
      <c r="B7539" t="s">
        <v>34</v>
      </c>
      <c r="C7539" t="s">
        <v>184</v>
      </c>
      <c r="E7539" t="s">
        <v>328</v>
      </c>
    </row>
    <row r="7540" spans="1:5" x14ac:dyDescent="0.35">
      <c r="A7540">
        <v>2016</v>
      </c>
      <c r="B7540" t="s">
        <v>35</v>
      </c>
      <c r="C7540" t="s">
        <v>97</v>
      </c>
      <c r="D7540">
        <v>368</v>
      </c>
      <c r="E7540" t="s">
        <v>467</v>
      </c>
    </row>
    <row r="7541" spans="1:5" x14ac:dyDescent="0.35">
      <c r="A7541">
        <v>2016</v>
      </c>
      <c r="B7541" t="s">
        <v>34</v>
      </c>
      <c r="C7541" t="s">
        <v>184</v>
      </c>
      <c r="E7541" t="s">
        <v>355</v>
      </c>
    </row>
    <row r="7542" spans="1:5" x14ac:dyDescent="0.35">
      <c r="A7542">
        <v>2016</v>
      </c>
      <c r="B7542" t="s">
        <v>33</v>
      </c>
      <c r="C7542" t="s">
        <v>98</v>
      </c>
      <c r="D7542">
        <v>49</v>
      </c>
      <c r="E7542" t="s">
        <v>467</v>
      </c>
    </row>
    <row r="7543" spans="1:5" x14ac:dyDescent="0.35">
      <c r="A7543">
        <v>2016</v>
      </c>
      <c r="B7543" t="s">
        <v>35</v>
      </c>
      <c r="C7543" t="s">
        <v>182</v>
      </c>
      <c r="D7543">
        <v>8</v>
      </c>
      <c r="E7543" t="s">
        <v>328</v>
      </c>
    </row>
    <row r="7544" spans="1:5" x14ac:dyDescent="0.35">
      <c r="A7544">
        <v>2016</v>
      </c>
      <c r="B7544" t="s">
        <v>35</v>
      </c>
      <c r="C7544" t="s">
        <v>99</v>
      </c>
      <c r="D7544">
        <v>113</v>
      </c>
      <c r="E7544" t="s">
        <v>467</v>
      </c>
    </row>
    <row r="7545" spans="1:5" x14ac:dyDescent="0.35">
      <c r="A7545">
        <v>2016</v>
      </c>
      <c r="B7545" t="s">
        <v>35</v>
      </c>
      <c r="C7545" t="s">
        <v>182</v>
      </c>
      <c r="D7545">
        <v>6</v>
      </c>
      <c r="E7545" t="s">
        <v>355</v>
      </c>
    </row>
    <row r="7546" spans="1:5" x14ac:dyDescent="0.35">
      <c r="A7546">
        <v>2016</v>
      </c>
      <c r="B7546" t="s">
        <v>36</v>
      </c>
      <c r="C7546" t="s">
        <v>100</v>
      </c>
      <c r="D7546">
        <v>8</v>
      </c>
      <c r="E7546" t="s">
        <v>467</v>
      </c>
    </row>
    <row r="7547" spans="1:5" x14ac:dyDescent="0.35">
      <c r="A7547">
        <v>2016</v>
      </c>
      <c r="B7547" t="s">
        <v>36</v>
      </c>
      <c r="C7547" t="s">
        <v>165</v>
      </c>
      <c r="D7547">
        <v>10</v>
      </c>
      <c r="E7547" t="s">
        <v>355</v>
      </c>
    </row>
    <row r="7548" spans="1:5" x14ac:dyDescent="0.35">
      <c r="A7548">
        <v>2016</v>
      </c>
      <c r="B7548" t="s">
        <v>36</v>
      </c>
      <c r="C7548" t="s">
        <v>15</v>
      </c>
      <c r="D7548">
        <v>902</v>
      </c>
      <c r="E7548" t="s">
        <v>467</v>
      </c>
    </row>
    <row r="7549" spans="1:5" x14ac:dyDescent="0.35">
      <c r="A7549">
        <v>2016</v>
      </c>
      <c r="B7549" t="s">
        <v>38</v>
      </c>
      <c r="C7549" t="s">
        <v>180</v>
      </c>
      <c r="E7549" t="s">
        <v>355</v>
      </c>
    </row>
    <row r="7550" spans="1:5" x14ac:dyDescent="0.35">
      <c r="A7550">
        <v>2016</v>
      </c>
      <c r="B7550" t="s">
        <v>38</v>
      </c>
      <c r="C7550" t="s">
        <v>103</v>
      </c>
      <c r="D7550">
        <v>55</v>
      </c>
      <c r="E7550" t="s">
        <v>467</v>
      </c>
    </row>
    <row r="7551" spans="1:5" x14ac:dyDescent="0.35">
      <c r="A7551">
        <v>2016</v>
      </c>
      <c r="B7551" t="s">
        <v>33</v>
      </c>
      <c r="C7551" t="s">
        <v>179</v>
      </c>
      <c r="E7551" t="s">
        <v>355</v>
      </c>
    </row>
    <row r="7552" spans="1:5" x14ac:dyDescent="0.35">
      <c r="A7552">
        <v>2016</v>
      </c>
      <c r="B7552" t="s">
        <v>36</v>
      </c>
      <c r="C7552" t="s">
        <v>104</v>
      </c>
      <c r="D7552">
        <v>146</v>
      </c>
      <c r="E7552" t="s">
        <v>467</v>
      </c>
    </row>
    <row r="7553" spans="1:5" x14ac:dyDescent="0.35">
      <c r="A7553">
        <v>2016</v>
      </c>
      <c r="B7553" t="s">
        <v>34</v>
      </c>
      <c r="C7553" t="s">
        <v>178</v>
      </c>
      <c r="D7553">
        <v>29</v>
      </c>
      <c r="E7553" t="s">
        <v>328</v>
      </c>
    </row>
    <row r="7554" spans="1:5" x14ac:dyDescent="0.35">
      <c r="A7554">
        <v>2016</v>
      </c>
      <c r="B7554" t="s">
        <v>36</v>
      </c>
      <c r="C7554" t="s">
        <v>17</v>
      </c>
      <c r="D7554">
        <v>462</v>
      </c>
      <c r="E7554" t="s">
        <v>467</v>
      </c>
    </row>
    <row r="7555" spans="1:5" x14ac:dyDescent="0.35">
      <c r="A7555">
        <v>2016</v>
      </c>
      <c r="B7555" t="s">
        <v>34</v>
      </c>
      <c r="C7555" t="s">
        <v>178</v>
      </c>
      <c r="D7555">
        <v>3</v>
      </c>
      <c r="E7555" t="s">
        <v>355</v>
      </c>
    </row>
    <row r="7556" spans="1:5" x14ac:dyDescent="0.35">
      <c r="A7556">
        <v>2016</v>
      </c>
      <c r="B7556" t="s">
        <v>35</v>
      </c>
      <c r="C7556" t="s">
        <v>105</v>
      </c>
      <c r="D7556">
        <v>126</v>
      </c>
      <c r="E7556" t="s">
        <v>467</v>
      </c>
    </row>
    <row r="7557" spans="1:5" x14ac:dyDescent="0.35">
      <c r="A7557">
        <v>2016</v>
      </c>
      <c r="B7557" t="s">
        <v>35</v>
      </c>
      <c r="C7557" t="s">
        <v>177</v>
      </c>
      <c r="D7557">
        <v>45</v>
      </c>
      <c r="E7557" t="s">
        <v>328</v>
      </c>
    </row>
    <row r="7558" spans="1:5" x14ac:dyDescent="0.35">
      <c r="A7558">
        <v>2016</v>
      </c>
      <c r="B7558" t="s">
        <v>33</v>
      </c>
      <c r="C7558" t="s">
        <v>101</v>
      </c>
      <c r="D7558">
        <v>9</v>
      </c>
      <c r="E7558" t="s">
        <v>467</v>
      </c>
    </row>
    <row r="7559" spans="1:5" x14ac:dyDescent="0.35">
      <c r="A7559">
        <v>2016</v>
      </c>
      <c r="B7559" t="s">
        <v>35</v>
      </c>
      <c r="C7559" t="s">
        <v>177</v>
      </c>
      <c r="D7559">
        <v>32</v>
      </c>
      <c r="E7559" t="s">
        <v>355</v>
      </c>
    </row>
    <row r="7560" spans="1:5" x14ac:dyDescent="0.35">
      <c r="A7560">
        <v>2016</v>
      </c>
      <c r="B7560" t="s">
        <v>34</v>
      </c>
      <c r="C7560" t="s">
        <v>22</v>
      </c>
      <c r="D7560">
        <v>1574</v>
      </c>
      <c r="E7560" t="s">
        <v>467</v>
      </c>
    </row>
    <row r="7561" spans="1:5" x14ac:dyDescent="0.35">
      <c r="A7561">
        <v>2016</v>
      </c>
      <c r="B7561" t="s">
        <v>33</v>
      </c>
      <c r="C7561" t="s">
        <v>176</v>
      </c>
      <c r="E7561" t="s">
        <v>328</v>
      </c>
    </row>
    <row r="7562" spans="1:5" x14ac:dyDescent="0.35">
      <c r="A7562">
        <v>2016</v>
      </c>
      <c r="B7562" t="s">
        <v>34</v>
      </c>
      <c r="C7562" t="s">
        <v>107</v>
      </c>
      <c r="D7562">
        <v>54</v>
      </c>
      <c r="E7562" t="s">
        <v>467</v>
      </c>
    </row>
    <row r="7563" spans="1:5" x14ac:dyDescent="0.35">
      <c r="A7563">
        <v>2016</v>
      </c>
      <c r="B7563" t="s">
        <v>33</v>
      </c>
      <c r="C7563" t="s">
        <v>176</v>
      </c>
      <c r="D7563">
        <v>0</v>
      </c>
      <c r="E7563" t="s">
        <v>355</v>
      </c>
    </row>
    <row r="7564" spans="1:5" x14ac:dyDescent="0.35">
      <c r="A7564">
        <v>2016</v>
      </c>
      <c r="B7564" t="s">
        <v>34</v>
      </c>
      <c r="C7564" t="s">
        <v>108</v>
      </c>
      <c r="D7564">
        <v>519</v>
      </c>
      <c r="E7564" t="s">
        <v>467</v>
      </c>
    </row>
    <row r="7565" spans="1:5" x14ac:dyDescent="0.35">
      <c r="A7565">
        <v>2016</v>
      </c>
      <c r="B7565" t="s">
        <v>33</v>
      </c>
      <c r="C7565" t="s">
        <v>179</v>
      </c>
      <c r="E7565" t="s">
        <v>328</v>
      </c>
    </row>
    <row r="7566" spans="1:5" x14ac:dyDescent="0.35">
      <c r="A7566">
        <v>2016</v>
      </c>
      <c r="B7566" t="s">
        <v>34</v>
      </c>
      <c r="C7566" t="s">
        <v>109</v>
      </c>
      <c r="D7566">
        <v>240</v>
      </c>
      <c r="E7566" t="s">
        <v>467</v>
      </c>
    </row>
    <row r="7567" spans="1:5" x14ac:dyDescent="0.35">
      <c r="A7567">
        <v>2016</v>
      </c>
      <c r="B7567" t="s">
        <v>34</v>
      </c>
      <c r="C7567" t="s">
        <v>118</v>
      </c>
      <c r="D7567">
        <v>89</v>
      </c>
      <c r="E7567" t="s">
        <v>355</v>
      </c>
    </row>
    <row r="7568" spans="1:5" x14ac:dyDescent="0.35">
      <c r="A7568">
        <v>2016</v>
      </c>
      <c r="B7568" t="s">
        <v>35</v>
      </c>
      <c r="C7568" t="s">
        <v>110</v>
      </c>
      <c r="D7568">
        <v>152</v>
      </c>
      <c r="E7568" t="s">
        <v>467</v>
      </c>
    </row>
    <row r="7569" spans="1:5" x14ac:dyDescent="0.35">
      <c r="A7569">
        <v>2016</v>
      </c>
      <c r="B7569" t="s">
        <v>34</v>
      </c>
      <c r="C7569" t="s">
        <v>118</v>
      </c>
      <c r="D7569">
        <v>62</v>
      </c>
      <c r="E7569" t="s">
        <v>328</v>
      </c>
    </row>
    <row r="7570" spans="1:5" x14ac:dyDescent="0.35">
      <c r="A7570">
        <v>2016</v>
      </c>
      <c r="B7570" t="s">
        <v>34</v>
      </c>
      <c r="C7570" t="s">
        <v>111</v>
      </c>
      <c r="D7570">
        <v>125</v>
      </c>
      <c r="E7570" t="s">
        <v>467</v>
      </c>
    </row>
    <row r="7571" spans="1:5" x14ac:dyDescent="0.35">
      <c r="A7571">
        <v>2016</v>
      </c>
      <c r="B7571" t="s">
        <v>33</v>
      </c>
      <c r="C7571" t="s">
        <v>117</v>
      </c>
      <c r="D7571">
        <v>33</v>
      </c>
      <c r="E7571" t="s">
        <v>355</v>
      </c>
    </row>
    <row r="7572" spans="1:5" x14ac:dyDescent="0.35">
      <c r="A7572">
        <v>2016</v>
      </c>
      <c r="B7572" t="s">
        <v>35</v>
      </c>
      <c r="C7572" t="s">
        <v>112</v>
      </c>
      <c r="D7572">
        <v>488</v>
      </c>
      <c r="E7572" t="s">
        <v>467</v>
      </c>
    </row>
    <row r="7573" spans="1:5" x14ac:dyDescent="0.35">
      <c r="A7573">
        <v>2016</v>
      </c>
      <c r="B7573" t="s">
        <v>34</v>
      </c>
      <c r="C7573" t="s">
        <v>67</v>
      </c>
      <c r="E7573" t="s">
        <v>328</v>
      </c>
    </row>
    <row r="7574" spans="1:5" x14ac:dyDescent="0.35">
      <c r="A7574">
        <v>2016</v>
      </c>
      <c r="B7574" t="s">
        <v>36</v>
      </c>
      <c r="C7574" t="s">
        <v>113</v>
      </c>
      <c r="D7574">
        <v>363</v>
      </c>
      <c r="E7574" t="s">
        <v>467</v>
      </c>
    </row>
    <row r="7575" spans="1:5" x14ac:dyDescent="0.35">
      <c r="A7575">
        <v>2016</v>
      </c>
      <c r="B7575" t="s">
        <v>34</v>
      </c>
      <c r="C7575" t="s">
        <v>67</v>
      </c>
      <c r="E7575" t="s">
        <v>355</v>
      </c>
    </row>
    <row r="7576" spans="1:5" x14ac:dyDescent="0.35">
      <c r="A7576">
        <v>2016</v>
      </c>
      <c r="B7576" t="s">
        <v>34</v>
      </c>
      <c r="C7576" t="s">
        <v>114</v>
      </c>
      <c r="D7576">
        <v>261</v>
      </c>
      <c r="E7576" t="s">
        <v>467</v>
      </c>
    </row>
    <row r="7577" spans="1:5" x14ac:dyDescent="0.35">
      <c r="A7577">
        <v>2016</v>
      </c>
      <c r="B7577" t="s">
        <v>33</v>
      </c>
      <c r="C7577" t="s">
        <v>66</v>
      </c>
      <c r="D7577">
        <v>5</v>
      </c>
      <c r="E7577" t="s">
        <v>328</v>
      </c>
    </row>
    <row r="7578" spans="1:5" x14ac:dyDescent="0.35">
      <c r="A7578">
        <v>2016</v>
      </c>
      <c r="B7578" t="s">
        <v>35</v>
      </c>
      <c r="C7578" t="s">
        <v>106</v>
      </c>
      <c r="D7578">
        <v>9</v>
      </c>
      <c r="E7578" t="s">
        <v>467</v>
      </c>
    </row>
    <row r="7579" spans="1:5" x14ac:dyDescent="0.35">
      <c r="A7579">
        <v>2016</v>
      </c>
      <c r="B7579" t="s">
        <v>33</v>
      </c>
      <c r="C7579" t="s">
        <v>66</v>
      </c>
      <c r="D7579">
        <v>11</v>
      </c>
      <c r="E7579" t="s">
        <v>355</v>
      </c>
    </row>
    <row r="7580" spans="1:5" x14ac:dyDescent="0.35">
      <c r="A7580">
        <v>2016</v>
      </c>
      <c r="B7580" t="s">
        <v>34</v>
      </c>
      <c r="C7580" t="s">
        <v>115</v>
      </c>
      <c r="D7580">
        <v>246</v>
      </c>
      <c r="E7580" t="s">
        <v>467</v>
      </c>
    </row>
    <row r="7581" spans="1:5" x14ac:dyDescent="0.35">
      <c r="A7581">
        <v>2016</v>
      </c>
      <c r="B7581" t="s">
        <v>33</v>
      </c>
      <c r="C7581" t="s">
        <v>65</v>
      </c>
      <c r="D7581">
        <v>3</v>
      </c>
      <c r="E7581" t="s">
        <v>328</v>
      </c>
    </row>
    <row r="7582" spans="1:5" x14ac:dyDescent="0.35">
      <c r="A7582">
        <v>2016</v>
      </c>
      <c r="B7582" t="s">
        <v>33</v>
      </c>
      <c r="C7582" t="s">
        <v>65</v>
      </c>
      <c r="D7582">
        <v>0</v>
      </c>
      <c r="E7582" t="s">
        <v>355</v>
      </c>
    </row>
    <row r="7583" spans="1:5" x14ac:dyDescent="0.35">
      <c r="A7583">
        <v>2016</v>
      </c>
      <c r="B7583" t="s">
        <v>34</v>
      </c>
      <c r="C7583" t="s">
        <v>64</v>
      </c>
      <c r="E7583" t="s">
        <v>328</v>
      </c>
    </row>
    <row r="7584" spans="1:5" x14ac:dyDescent="0.35">
      <c r="A7584">
        <v>2016</v>
      </c>
      <c r="B7584" t="s">
        <v>34</v>
      </c>
      <c r="C7584" t="s">
        <v>64</v>
      </c>
      <c r="E7584" t="s">
        <v>355</v>
      </c>
    </row>
    <row r="7585" spans="1:5" x14ac:dyDescent="0.35">
      <c r="A7585">
        <v>2016</v>
      </c>
      <c r="B7585" t="s">
        <v>33</v>
      </c>
      <c r="C7585" t="s">
        <v>63</v>
      </c>
      <c r="D7585">
        <v>18</v>
      </c>
      <c r="E7585" t="s">
        <v>328</v>
      </c>
    </row>
    <row r="7586" spans="1:5" x14ac:dyDescent="0.35">
      <c r="A7586">
        <v>2016</v>
      </c>
      <c r="B7586" t="s">
        <v>33</v>
      </c>
      <c r="C7586" t="s">
        <v>63</v>
      </c>
      <c r="D7586">
        <v>0</v>
      </c>
      <c r="E7586" t="s">
        <v>355</v>
      </c>
    </row>
    <row r="7587" spans="1:5" x14ac:dyDescent="0.35">
      <c r="A7587">
        <v>2016</v>
      </c>
      <c r="B7587" t="s">
        <v>35</v>
      </c>
      <c r="C7587" t="s">
        <v>62</v>
      </c>
      <c r="D7587">
        <v>19</v>
      </c>
      <c r="E7587" t="s">
        <v>328</v>
      </c>
    </row>
    <row r="7588" spans="1:5" x14ac:dyDescent="0.35">
      <c r="A7588">
        <v>2016</v>
      </c>
      <c r="B7588" t="s">
        <v>35</v>
      </c>
      <c r="C7588" t="s">
        <v>62</v>
      </c>
      <c r="D7588">
        <v>8</v>
      </c>
      <c r="E7588" t="s">
        <v>355</v>
      </c>
    </row>
    <row r="7589" spans="1:5" x14ac:dyDescent="0.35">
      <c r="A7589">
        <v>2016</v>
      </c>
      <c r="B7589" t="s">
        <v>38</v>
      </c>
      <c r="C7589" t="s">
        <v>21</v>
      </c>
      <c r="D7589">
        <v>1174</v>
      </c>
      <c r="E7589" t="s">
        <v>328</v>
      </c>
    </row>
    <row r="7590" spans="1:5" x14ac:dyDescent="0.35">
      <c r="A7590">
        <v>2016</v>
      </c>
      <c r="B7590" t="s">
        <v>38</v>
      </c>
      <c r="C7590" t="s">
        <v>21</v>
      </c>
      <c r="D7590">
        <v>335</v>
      </c>
      <c r="E7590" t="s">
        <v>355</v>
      </c>
    </row>
    <row r="7591" spans="1:5" x14ac:dyDescent="0.35">
      <c r="A7591">
        <v>2016</v>
      </c>
      <c r="B7591" t="s">
        <v>35</v>
      </c>
      <c r="C7591" t="s">
        <v>60</v>
      </c>
      <c r="D7591">
        <v>10</v>
      </c>
      <c r="E7591" t="s">
        <v>328</v>
      </c>
    </row>
    <row r="7592" spans="1:5" x14ac:dyDescent="0.35">
      <c r="A7592">
        <v>2016</v>
      </c>
      <c r="B7592" t="s">
        <v>33</v>
      </c>
      <c r="C7592" t="s">
        <v>68</v>
      </c>
      <c r="D7592">
        <v>14</v>
      </c>
      <c r="E7592" t="s">
        <v>355</v>
      </c>
    </row>
    <row r="7593" spans="1:5" x14ac:dyDescent="0.35">
      <c r="A7593">
        <v>2016</v>
      </c>
      <c r="B7593" t="s">
        <v>35</v>
      </c>
      <c r="C7593" t="s">
        <v>60</v>
      </c>
      <c r="D7593">
        <v>42</v>
      </c>
      <c r="E7593" t="s">
        <v>355</v>
      </c>
    </row>
    <row r="7594" spans="1:5" x14ac:dyDescent="0.35">
      <c r="A7594">
        <v>2016</v>
      </c>
      <c r="B7594" t="s">
        <v>33</v>
      </c>
      <c r="C7594" t="s">
        <v>68</v>
      </c>
      <c r="D7594">
        <v>23</v>
      </c>
      <c r="E7594" t="s">
        <v>328</v>
      </c>
    </row>
    <row r="7595" spans="1:5" x14ac:dyDescent="0.35">
      <c r="A7595">
        <v>2016</v>
      </c>
      <c r="B7595" t="s">
        <v>36</v>
      </c>
      <c r="C7595" t="s">
        <v>69</v>
      </c>
      <c r="D7595">
        <v>451</v>
      </c>
      <c r="E7595" t="s">
        <v>328</v>
      </c>
    </row>
    <row r="7596" spans="1:5" x14ac:dyDescent="0.35">
      <c r="A7596">
        <v>2016</v>
      </c>
      <c r="B7596" t="s">
        <v>33</v>
      </c>
      <c r="C7596" t="s">
        <v>77</v>
      </c>
      <c r="D7596">
        <v>11</v>
      </c>
      <c r="E7596" t="s">
        <v>355</v>
      </c>
    </row>
    <row r="7597" spans="1:5" x14ac:dyDescent="0.35">
      <c r="A7597">
        <v>2016</v>
      </c>
      <c r="B7597" t="s">
        <v>36</v>
      </c>
      <c r="C7597" t="s">
        <v>76</v>
      </c>
      <c r="D7597">
        <v>184</v>
      </c>
      <c r="E7597" t="s">
        <v>328</v>
      </c>
    </row>
    <row r="7598" spans="1:5" x14ac:dyDescent="0.35">
      <c r="A7598">
        <v>2016</v>
      </c>
      <c r="B7598" t="s">
        <v>36</v>
      </c>
      <c r="C7598" t="s">
        <v>76</v>
      </c>
      <c r="D7598">
        <v>70</v>
      </c>
      <c r="E7598" t="s">
        <v>355</v>
      </c>
    </row>
    <row r="7599" spans="1:5" x14ac:dyDescent="0.35">
      <c r="A7599">
        <v>2016</v>
      </c>
      <c r="B7599" t="s">
        <v>33</v>
      </c>
      <c r="C7599" t="s">
        <v>75</v>
      </c>
      <c r="E7599" t="s">
        <v>328</v>
      </c>
    </row>
    <row r="7600" spans="1:5" x14ac:dyDescent="0.35">
      <c r="A7600">
        <v>2016</v>
      </c>
      <c r="B7600" t="s">
        <v>33</v>
      </c>
      <c r="C7600" t="s">
        <v>75</v>
      </c>
      <c r="D7600">
        <v>0</v>
      </c>
      <c r="E7600" t="s">
        <v>355</v>
      </c>
    </row>
    <row r="7601" spans="1:5" x14ac:dyDescent="0.35">
      <c r="A7601">
        <v>2016</v>
      </c>
      <c r="B7601" t="s">
        <v>33</v>
      </c>
      <c r="C7601" t="s">
        <v>74</v>
      </c>
      <c r="D7601">
        <v>16</v>
      </c>
      <c r="E7601" t="s">
        <v>328</v>
      </c>
    </row>
    <row r="7602" spans="1:5" x14ac:dyDescent="0.35">
      <c r="A7602">
        <v>2016</v>
      </c>
      <c r="B7602" t="s">
        <v>33</v>
      </c>
      <c r="C7602" t="s">
        <v>74</v>
      </c>
      <c r="D7602">
        <v>5</v>
      </c>
      <c r="E7602" t="s">
        <v>355</v>
      </c>
    </row>
    <row r="7603" spans="1:5" x14ac:dyDescent="0.35">
      <c r="A7603">
        <v>2016</v>
      </c>
      <c r="B7603" t="s">
        <v>38</v>
      </c>
      <c r="C7603" t="s">
        <v>20</v>
      </c>
      <c r="D7603">
        <v>1331</v>
      </c>
      <c r="E7603" t="s">
        <v>328</v>
      </c>
    </row>
    <row r="7604" spans="1:5" x14ac:dyDescent="0.35">
      <c r="A7604">
        <v>2016</v>
      </c>
      <c r="B7604" t="s">
        <v>38</v>
      </c>
      <c r="C7604" t="s">
        <v>20</v>
      </c>
      <c r="D7604">
        <v>766</v>
      </c>
      <c r="E7604" t="s">
        <v>355</v>
      </c>
    </row>
    <row r="7605" spans="1:5" x14ac:dyDescent="0.35">
      <c r="A7605">
        <v>2016</v>
      </c>
      <c r="B7605" t="s">
        <v>34</v>
      </c>
      <c r="C7605" t="s">
        <v>73</v>
      </c>
      <c r="D7605">
        <v>703</v>
      </c>
      <c r="E7605" t="s">
        <v>328</v>
      </c>
    </row>
    <row r="7606" spans="1:5" x14ac:dyDescent="0.35">
      <c r="A7606">
        <v>2016</v>
      </c>
      <c r="B7606" t="s">
        <v>34</v>
      </c>
      <c r="C7606" t="s">
        <v>73</v>
      </c>
      <c r="D7606">
        <v>110</v>
      </c>
      <c r="E7606" t="s">
        <v>355</v>
      </c>
    </row>
    <row r="7607" spans="1:5" x14ac:dyDescent="0.35">
      <c r="A7607">
        <v>2016</v>
      </c>
      <c r="B7607" t="s">
        <v>38</v>
      </c>
      <c r="C7607" t="s">
        <v>72</v>
      </c>
      <c r="D7607">
        <v>65</v>
      </c>
      <c r="E7607" t="s">
        <v>328</v>
      </c>
    </row>
    <row r="7608" spans="1:5" x14ac:dyDescent="0.35">
      <c r="A7608">
        <v>2016</v>
      </c>
      <c r="B7608" t="s">
        <v>38</v>
      </c>
      <c r="C7608" t="s">
        <v>72</v>
      </c>
      <c r="D7608">
        <v>50</v>
      </c>
      <c r="E7608" t="s">
        <v>355</v>
      </c>
    </row>
    <row r="7609" spans="1:5" x14ac:dyDescent="0.35">
      <c r="A7609">
        <v>2016</v>
      </c>
      <c r="B7609" t="s">
        <v>33</v>
      </c>
      <c r="C7609" t="s">
        <v>71</v>
      </c>
      <c r="E7609" t="s">
        <v>328</v>
      </c>
    </row>
    <row r="7610" spans="1:5" x14ac:dyDescent="0.35">
      <c r="A7610">
        <v>2016</v>
      </c>
      <c r="B7610" t="s">
        <v>33</v>
      </c>
      <c r="C7610" t="s">
        <v>71</v>
      </c>
      <c r="E7610" t="s">
        <v>355</v>
      </c>
    </row>
    <row r="7611" spans="1:5" x14ac:dyDescent="0.35">
      <c r="A7611">
        <v>2016</v>
      </c>
      <c r="B7611" t="s">
        <v>36</v>
      </c>
      <c r="C7611" t="s">
        <v>69</v>
      </c>
      <c r="D7611">
        <v>257</v>
      </c>
      <c r="E7611" t="s">
        <v>355</v>
      </c>
    </row>
    <row r="7612" spans="1:5" x14ac:dyDescent="0.35">
      <c r="A7612">
        <v>2016</v>
      </c>
      <c r="B7612" t="s">
        <v>38</v>
      </c>
      <c r="C7612" t="s">
        <v>59</v>
      </c>
      <c r="D7612">
        <v>28</v>
      </c>
      <c r="E7612" t="s">
        <v>355</v>
      </c>
    </row>
    <row r="7613" spans="1:5" x14ac:dyDescent="0.35">
      <c r="A7613">
        <v>2016</v>
      </c>
      <c r="B7613" t="s">
        <v>33</v>
      </c>
      <c r="C7613" t="s">
        <v>57</v>
      </c>
      <c r="E7613" t="s">
        <v>328</v>
      </c>
    </row>
    <row r="7614" spans="1:5" x14ac:dyDescent="0.35">
      <c r="A7614">
        <v>2016</v>
      </c>
      <c r="B7614" t="s">
        <v>33</v>
      </c>
      <c r="C7614" t="s">
        <v>57</v>
      </c>
      <c r="D7614">
        <v>0</v>
      </c>
      <c r="E7614" t="s">
        <v>355</v>
      </c>
    </row>
    <row r="7615" spans="1:5" x14ac:dyDescent="0.35">
      <c r="A7615">
        <v>2016</v>
      </c>
      <c r="B7615" t="s">
        <v>38</v>
      </c>
      <c r="C7615" t="s">
        <v>45</v>
      </c>
      <c r="D7615">
        <v>104</v>
      </c>
      <c r="E7615" t="s">
        <v>328</v>
      </c>
    </row>
    <row r="7616" spans="1:5" x14ac:dyDescent="0.35">
      <c r="A7616">
        <v>2016</v>
      </c>
      <c r="B7616" t="s">
        <v>38</v>
      </c>
      <c r="C7616" t="s">
        <v>45</v>
      </c>
      <c r="D7616">
        <v>52</v>
      </c>
      <c r="E7616" t="s">
        <v>355</v>
      </c>
    </row>
    <row r="7617" spans="1:5" x14ac:dyDescent="0.35">
      <c r="A7617">
        <v>2016</v>
      </c>
      <c r="B7617" t="s">
        <v>36</v>
      </c>
      <c r="C7617" t="s">
        <v>44</v>
      </c>
      <c r="E7617" t="s">
        <v>328</v>
      </c>
    </row>
    <row r="7618" spans="1:5" x14ac:dyDescent="0.35">
      <c r="A7618">
        <v>2016</v>
      </c>
      <c r="B7618" t="s">
        <v>36</v>
      </c>
      <c r="C7618" t="s">
        <v>44</v>
      </c>
      <c r="E7618" t="s">
        <v>355</v>
      </c>
    </row>
    <row r="7619" spans="1:5" x14ac:dyDescent="0.35">
      <c r="A7619">
        <v>2016</v>
      </c>
      <c r="B7619" t="s">
        <v>33</v>
      </c>
      <c r="C7619" t="s">
        <v>43</v>
      </c>
      <c r="E7619" t="s">
        <v>328</v>
      </c>
    </row>
    <row r="7620" spans="1:5" x14ac:dyDescent="0.35">
      <c r="A7620">
        <v>2016</v>
      </c>
      <c r="B7620" t="s">
        <v>33</v>
      </c>
      <c r="C7620" t="s">
        <v>43</v>
      </c>
      <c r="E7620" t="s">
        <v>355</v>
      </c>
    </row>
    <row r="7621" spans="1:5" x14ac:dyDescent="0.35">
      <c r="A7621">
        <v>2016</v>
      </c>
      <c r="C7621" t="s">
        <v>373</v>
      </c>
      <c r="D7621">
        <v>43</v>
      </c>
      <c r="E7621" t="s">
        <v>328</v>
      </c>
    </row>
    <row r="7622" spans="1:5" x14ac:dyDescent="0.35">
      <c r="A7622">
        <v>2016</v>
      </c>
      <c r="C7622" t="s">
        <v>373</v>
      </c>
      <c r="D7622">
        <v>20</v>
      </c>
      <c r="E7622" t="s">
        <v>355</v>
      </c>
    </row>
    <row r="7623" spans="1:5" x14ac:dyDescent="0.35">
      <c r="A7623">
        <v>2016</v>
      </c>
      <c r="B7623" t="s">
        <v>33</v>
      </c>
      <c r="C7623" t="s">
        <v>42</v>
      </c>
      <c r="D7623">
        <v>14</v>
      </c>
      <c r="E7623" t="s">
        <v>328</v>
      </c>
    </row>
    <row r="7624" spans="1:5" x14ac:dyDescent="0.35">
      <c r="A7624">
        <v>2016</v>
      </c>
      <c r="B7624" t="s">
        <v>33</v>
      </c>
      <c r="C7624" t="s">
        <v>42</v>
      </c>
      <c r="D7624">
        <v>3</v>
      </c>
      <c r="E7624" t="s">
        <v>355</v>
      </c>
    </row>
    <row r="7625" spans="1:5" x14ac:dyDescent="0.35">
      <c r="A7625">
        <v>2016</v>
      </c>
      <c r="B7625" t="s">
        <v>35</v>
      </c>
      <c r="C7625" t="s">
        <v>41</v>
      </c>
      <c r="D7625">
        <v>25</v>
      </c>
      <c r="E7625" t="s">
        <v>328</v>
      </c>
    </row>
    <row r="7626" spans="1:5" x14ac:dyDescent="0.35">
      <c r="A7626">
        <v>2016</v>
      </c>
      <c r="B7626" t="s">
        <v>35</v>
      </c>
      <c r="C7626" t="s">
        <v>41</v>
      </c>
      <c r="D7626">
        <v>10</v>
      </c>
      <c r="E7626" t="s">
        <v>355</v>
      </c>
    </row>
    <row r="7627" spans="1:5" x14ac:dyDescent="0.35">
      <c r="A7627">
        <v>2016</v>
      </c>
      <c r="B7627" t="s">
        <v>34</v>
      </c>
      <c r="C7627" t="s">
        <v>40</v>
      </c>
      <c r="E7627" t="s">
        <v>328</v>
      </c>
    </row>
    <row r="7628" spans="1:5" x14ac:dyDescent="0.35">
      <c r="A7628">
        <v>2016</v>
      </c>
      <c r="B7628" t="s">
        <v>34</v>
      </c>
      <c r="C7628" t="s">
        <v>40</v>
      </c>
      <c r="E7628" t="s">
        <v>355</v>
      </c>
    </row>
    <row r="7629" spans="1:5" x14ac:dyDescent="0.35">
      <c r="A7629">
        <v>2016</v>
      </c>
      <c r="B7629" t="s">
        <v>33</v>
      </c>
      <c r="C7629" t="s">
        <v>117</v>
      </c>
      <c r="D7629">
        <v>41</v>
      </c>
      <c r="E7629" t="s">
        <v>328</v>
      </c>
    </row>
    <row r="7630" spans="1:5" x14ac:dyDescent="0.35">
      <c r="A7630">
        <v>2016</v>
      </c>
      <c r="B7630" t="s">
        <v>34</v>
      </c>
      <c r="C7630" t="s">
        <v>46</v>
      </c>
      <c r="D7630">
        <v>13</v>
      </c>
      <c r="E7630" t="s">
        <v>355</v>
      </c>
    </row>
    <row r="7631" spans="1:5" x14ac:dyDescent="0.35">
      <c r="A7631">
        <v>2016</v>
      </c>
      <c r="B7631" t="s">
        <v>34</v>
      </c>
      <c r="C7631" t="s">
        <v>46</v>
      </c>
      <c r="D7631">
        <v>8</v>
      </c>
      <c r="E7631" t="s">
        <v>328</v>
      </c>
    </row>
    <row r="7632" spans="1:5" x14ac:dyDescent="0.35">
      <c r="A7632">
        <v>2016</v>
      </c>
      <c r="B7632" t="s">
        <v>37</v>
      </c>
      <c r="C7632" t="s">
        <v>47</v>
      </c>
      <c r="D7632">
        <v>13</v>
      </c>
      <c r="E7632" t="s">
        <v>355</v>
      </c>
    </row>
    <row r="7633" spans="1:5" x14ac:dyDescent="0.35">
      <c r="A7633">
        <v>2016</v>
      </c>
      <c r="B7633" t="s">
        <v>37</v>
      </c>
      <c r="C7633" t="s">
        <v>47</v>
      </c>
      <c r="D7633">
        <v>28</v>
      </c>
      <c r="E7633" t="s">
        <v>328</v>
      </c>
    </row>
    <row r="7634" spans="1:5" x14ac:dyDescent="0.35">
      <c r="A7634">
        <v>2016</v>
      </c>
      <c r="B7634" t="s">
        <v>36</v>
      </c>
      <c r="C7634" t="s">
        <v>56</v>
      </c>
      <c r="D7634">
        <v>60</v>
      </c>
      <c r="E7634" t="s">
        <v>328</v>
      </c>
    </row>
    <row r="7635" spans="1:5" x14ac:dyDescent="0.35">
      <c r="A7635">
        <v>2016</v>
      </c>
      <c r="B7635" t="s">
        <v>36</v>
      </c>
      <c r="C7635" t="s">
        <v>56</v>
      </c>
      <c r="D7635">
        <v>88</v>
      </c>
      <c r="E7635" t="s">
        <v>355</v>
      </c>
    </row>
    <row r="7636" spans="1:5" x14ac:dyDescent="0.35">
      <c r="A7636">
        <v>2016</v>
      </c>
      <c r="B7636" t="s">
        <v>35</v>
      </c>
      <c r="C7636" t="s">
        <v>55</v>
      </c>
      <c r="E7636" t="s">
        <v>328</v>
      </c>
    </row>
    <row r="7637" spans="1:5" x14ac:dyDescent="0.35">
      <c r="A7637">
        <v>2016</v>
      </c>
      <c r="B7637" t="s">
        <v>35</v>
      </c>
      <c r="C7637" t="s">
        <v>55</v>
      </c>
      <c r="E7637" t="s">
        <v>355</v>
      </c>
    </row>
    <row r="7638" spans="1:5" x14ac:dyDescent="0.35">
      <c r="A7638">
        <v>2016</v>
      </c>
      <c r="B7638" t="s">
        <v>35</v>
      </c>
      <c r="C7638" t="s">
        <v>54</v>
      </c>
      <c r="D7638">
        <v>7</v>
      </c>
      <c r="E7638" t="s">
        <v>328</v>
      </c>
    </row>
    <row r="7639" spans="1:5" x14ac:dyDescent="0.35">
      <c r="A7639">
        <v>2016</v>
      </c>
      <c r="B7639" t="s">
        <v>35</v>
      </c>
      <c r="C7639" t="s">
        <v>54</v>
      </c>
      <c r="D7639">
        <v>4</v>
      </c>
      <c r="E7639" t="s">
        <v>355</v>
      </c>
    </row>
    <row r="7640" spans="1:5" x14ac:dyDescent="0.35">
      <c r="A7640">
        <v>2016</v>
      </c>
      <c r="B7640" t="s">
        <v>36</v>
      </c>
      <c r="C7640" t="s">
        <v>53</v>
      </c>
      <c r="E7640" t="s">
        <v>328</v>
      </c>
    </row>
    <row r="7641" spans="1:5" x14ac:dyDescent="0.35">
      <c r="A7641">
        <v>2016</v>
      </c>
      <c r="B7641" t="s">
        <v>33</v>
      </c>
      <c r="C7641" t="s">
        <v>77</v>
      </c>
      <c r="D7641">
        <v>12</v>
      </c>
      <c r="E7641" t="s">
        <v>328</v>
      </c>
    </row>
    <row r="7642" spans="1:5" x14ac:dyDescent="0.35">
      <c r="A7642">
        <v>2016</v>
      </c>
      <c r="B7642" t="s">
        <v>36</v>
      </c>
      <c r="C7642" t="s">
        <v>53</v>
      </c>
      <c r="E7642" t="s">
        <v>355</v>
      </c>
    </row>
    <row r="7643" spans="1:5" x14ac:dyDescent="0.35">
      <c r="A7643">
        <v>2016</v>
      </c>
      <c r="B7643" t="s">
        <v>34</v>
      </c>
      <c r="C7643" t="s">
        <v>52</v>
      </c>
      <c r="D7643">
        <v>14</v>
      </c>
      <c r="E7643" t="s">
        <v>355</v>
      </c>
    </row>
    <row r="7644" spans="1:5" x14ac:dyDescent="0.35">
      <c r="A7644">
        <v>2016</v>
      </c>
      <c r="B7644" t="s">
        <v>36</v>
      </c>
      <c r="C7644" t="s">
        <v>50</v>
      </c>
      <c r="D7644">
        <v>12</v>
      </c>
      <c r="E7644" t="s">
        <v>328</v>
      </c>
    </row>
    <row r="7645" spans="1:5" x14ac:dyDescent="0.35">
      <c r="A7645">
        <v>2016</v>
      </c>
      <c r="B7645" t="s">
        <v>36</v>
      </c>
      <c r="C7645" t="s">
        <v>50</v>
      </c>
      <c r="D7645">
        <v>85</v>
      </c>
      <c r="E7645" t="s">
        <v>355</v>
      </c>
    </row>
    <row r="7646" spans="1:5" x14ac:dyDescent="0.35">
      <c r="A7646">
        <v>2016</v>
      </c>
      <c r="B7646" t="s">
        <v>34</v>
      </c>
      <c r="C7646" t="s">
        <v>49</v>
      </c>
      <c r="E7646" t="s">
        <v>328</v>
      </c>
    </row>
    <row r="7647" spans="1:5" x14ac:dyDescent="0.35">
      <c r="A7647">
        <v>2016</v>
      </c>
      <c r="B7647" t="s">
        <v>34</v>
      </c>
      <c r="C7647" t="s">
        <v>49</v>
      </c>
      <c r="E7647" t="s">
        <v>355</v>
      </c>
    </row>
    <row r="7648" spans="1:5" x14ac:dyDescent="0.35">
      <c r="A7648">
        <v>2016</v>
      </c>
      <c r="B7648" t="s">
        <v>35</v>
      </c>
      <c r="C7648" t="s">
        <v>48</v>
      </c>
      <c r="D7648">
        <v>5</v>
      </c>
      <c r="E7648" t="s">
        <v>328</v>
      </c>
    </row>
    <row r="7649" spans="1:5" x14ac:dyDescent="0.35">
      <c r="A7649">
        <v>2016</v>
      </c>
      <c r="B7649" t="s">
        <v>35</v>
      </c>
      <c r="C7649" t="s">
        <v>48</v>
      </c>
      <c r="D7649">
        <v>3</v>
      </c>
      <c r="E7649" t="s">
        <v>355</v>
      </c>
    </row>
    <row r="7650" spans="1:5" x14ac:dyDescent="0.35">
      <c r="A7650">
        <v>2016</v>
      </c>
      <c r="B7650" t="s">
        <v>34</v>
      </c>
      <c r="C7650" t="s">
        <v>52</v>
      </c>
      <c r="D7650">
        <v>125</v>
      </c>
      <c r="E7650" t="s">
        <v>328</v>
      </c>
    </row>
    <row r="7651" spans="1:5" x14ac:dyDescent="0.35">
      <c r="A7651">
        <v>2016</v>
      </c>
      <c r="B7651" t="s">
        <v>35</v>
      </c>
      <c r="C7651" t="s">
        <v>78</v>
      </c>
      <c r="D7651">
        <v>5</v>
      </c>
      <c r="E7651" t="s">
        <v>355</v>
      </c>
    </row>
    <row r="7652" spans="1:5" x14ac:dyDescent="0.35">
      <c r="A7652">
        <v>2016</v>
      </c>
      <c r="B7652" t="s">
        <v>38</v>
      </c>
      <c r="C7652" t="s">
        <v>59</v>
      </c>
      <c r="D7652">
        <v>63</v>
      </c>
      <c r="E7652" t="s">
        <v>328</v>
      </c>
    </row>
    <row r="7653" spans="1:5" x14ac:dyDescent="0.35">
      <c r="A7653">
        <v>2016</v>
      </c>
      <c r="B7653" t="s">
        <v>36</v>
      </c>
      <c r="C7653" t="s">
        <v>79</v>
      </c>
      <c r="D7653">
        <v>32</v>
      </c>
      <c r="E7653" t="s">
        <v>355</v>
      </c>
    </row>
    <row r="7654" spans="1:5" x14ac:dyDescent="0.35">
      <c r="A7654">
        <v>2016</v>
      </c>
      <c r="B7654" t="s">
        <v>34</v>
      </c>
      <c r="C7654" t="s">
        <v>22</v>
      </c>
      <c r="D7654">
        <v>611</v>
      </c>
      <c r="E7654" t="s">
        <v>328</v>
      </c>
    </row>
    <row r="7655" spans="1:5" x14ac:dyDescent="0.35">
      <c r="A7655">
        <v>2016</v>
      </c>
      <c r="B7655" t="s">
        <v>34</v>
      </c>
      <c r="C7655" t="s">
        <v>22</v>
      </c>
      <c r="D7655">
        <v>103</v>
      </c>
      <c r="E7655" t="s">
        <v>355</v>
      </c>
    </row>
    <row r="7656" spans="1:5" x14ac:dyDescent="0.35">
      <c r="A7656">
        <v>2016</v>
      </c>
      <c r="B7656" t="s">
        <v>35</v>
      </c>
      <c r="C7656" t="s">
        <v>105</v>
      </c>
      <c r="D7656">
        <v>13</v>
      </c>
      <c r="E7656" t="s">
        <v>328</v>
      </c>
    </row>
    <row r="7657" spans="1:5" x14ac:dyDescent="0.35">
      <c r="A7657">
        <v>2016</v>
      </c>
      <c r="B7657" t="s">
        <v>35</v>
      </c>
      <c r="C7657" t="s">
        <v>105</v>
      </c>
      <c r="D7657">
        <v>17</v>
      </c>
      <c r="E7657" t="s">
        <v>355</v>
      </c>
    </row>
    <row r="7658" spans="1:5" x14ac:dyDescent="0.35">
      <c r="A7658">
        <v>2016</v>
      </c>
      <c r="B7658" t="s">
        <v>36</v>
      </c>
      <c r="C7658" t="s">
        <v>17</v>
      </c>
      <c r="D7658">
        <v>13444</v>
      </c>
      <c r="E7658" t="s">
        <v>328</v>
      </c>
    </row>
    <row r="7659" spans="1:5" x14ac:dyDescent="0.35">
      <c r="A7659">
        <v>2016</v>
      </c>
      <c r="B7659" t="s">
        <v>36</v>
      </c>
      <c r="C7659" t="s">
        <v>17</v>
      </c>
      <c r="D7659">
        <v>8629</v>
      </c>
      <c r="E7659" t="s">
        <v>355</v>
      </c>
    </row>
    <row r="7660" spans="1:5" x14ac:dyDescent="0.35">
      <c r="A7660">
        <v>2016</v>
      </c>
      <c r="B7660" t="s">
        <v>36</v>
      </c>
      <c r="C7660" t="s">
        <v>104</v>
      </c>
      <c r="D7660">
        <v>118</v>
      </c>
      <c r="E7660" t="s">
        <v>328</v>
      </c>
    </row>
    <row r="7661" spans="1:5" x14ac:dyDescent="0.35">
      <c r="A7661">
        <v>2016</v>
      </c>
      <c r="B7661" t="s">
        <v>36</v>
      </c>
      <c r="C7661" t="s">
        <v>104</v>
      </c>
      <c r="D7661">
        <v>264</v>
      </c>
      <c r="E7661" t="s">
        <v>355</v>
      </c>
    </row>
    <row r="7662" spans="1:5" x14ac:dyDescent="0.35">
      <c r="A7662">
        <v>2016</v>
      </c>
      <c r="B7662" t="s">
        <v>38</v>
      </c>
      <c r="C7662" t="s">
        <v>103</v>
      </c>
      <c r="D7662">
        <v>31</v>
      </c>
      <c r="E7662" t="s">
        <v>328</v>
      </c>
    </row>
    <row r="7663" spans="1:5" x14ac:dyDescent="0.35">
      <c r="A7663">
        <v>2016</v>
      </c>
      <c r="B7663" t="s">
        <v>38</v>
      </c>
      <c r="C7663" t="s">
        <v>103</v>
      </c>
      <c r="D7663">
        <v>87</v>
      </c>
      <c r="E7663" t="s">
        <v>355</v>
      </c>
    </row>
    <row r="7664" spans="1:5" x14ac:dyDescent="0.35">
      <c r="A7664">
        <v>2016</v>
      </c>
      <c r="B7664" t="s">
        <v>33</v>
      </c>
      <c r="C7664" t="s">
        <v>101</v>
      </c>
      <c r="D7664">
        <v>8</v>
      </c>
      <c r="E7664" t="s">
        <v>328</v>
      </c>
    </row>
    <row r="7665" spans="1:5" x14ac:dyDescent="0.35">
      <c r="A7665">
        <v>2016</v>
      </c>
      <c r="B7665" t="s">
        <v>33</v>
      </c>
      <c r="C7665" t="s">
        <v>101</v>
      </c>
      <c r="D7665">
        <v>10</v>
      </c>
      <c r="E7665" t="s">
        <v>355</v>
      </c>
    </row>
    <row r="7666" spans="1:5" x14ac:dyDescent="0.35">
      <c r="A7666">
        <v>2016</v>
      </c>
      <c r="B7666" t="s">
        <v>36</v>
      </c>
      <c r="C7666" t="s">
        <v>15</v>
      </c>
      <c r="D7666">
        <v>23270</v>
      </c>
      <c r="E7666" t="s">
        <v>328</v>
      </c>
    </row>
    <row r="7667" spans="1:5" x14ac:dyDescent="0.35">
      <c r="A7667">
        <v>2016</v>
      </c>
      <c r="B7667" t="s">
        <v>36</v>
      </c>
      <c r="C7667" t="s">
        <v>15</v>
      </c>
      <c r="D7667">
        <v>10599</v>
      </c>
      <c r="E7667" t="s">
        <v>355</v>
      </c>
    </row>
    <row r="7668" spans="1:5" x14ac:dyDescent="0.35">
      <c r="A7668">
        <v>2016</v>
      </c>
      <c r="B7668" t="s">
        <v>36</v>
      </c>
      <c r="C7668" t="s">
        <v>100</v>
      </c>
      <c r="D7668">
        <v>7</v>
      </c>
      <c r="E7668" t="s">
        <v>328</v>
      </c>
    </row>
    <row r="7669" spans="1:5" x14ac:dyDescent="0.35">
      <c r="A7669">
        <v>2016</v>
      </c>
      <c r="B7669" t="s">
        <v>34</v>
      </c>
      <c r="C7669" t="s">
        <v>107</v>
      </c>
      <c r="D7669">
        <v>26</v>
      </c>
      <c r="E7669" t="s">
        <v>328</v>
      </c>
    </row>
    <row r="7670" spans="1:5" x14ac:dyDescent="0.35">
      <c r="A7670">
        <v>2016</v>
      </c>
      <c r="B7670" t="s">
        <v>34</v>
      </c>
      <c r="C7670" t="s">
        <v>108</v>
      </c>
      <c r="D7670">
        <v>12</v>
      </c>
      <c r="E7670" t="s">
        <v>355</v>
      </c>
    </row>
    <row r="7671" spans="1:5" x14ac:dyDescent="0.35">
      <c r="A7671">
        <v>2016</v>
      </c>
      <c r="B7671" t="s">
        <v>34</v>
      </c>
      <c r="C7671" t="s">
        <v>108</v>
      </c>
      <c r="D7671">
        <v>9</v>
      </c>
      <c r="E7671" t="s">
        <v>328</v>
      </c>
    </row>
    <row r="7672" spans="1:5" x14ac:dyDescent="0.35">
      <c r="A7672">
        <v>2016</v>
      </c>
      <c r="B7672" t="s">
        <v>34</v>
      </c>
      <c r="C7672" t="s">
        <v>109</v>
      </c>
      <c r="D7672">
        <v>9</v>
      </c>
      <c r="E7672" t="s">
        <v>355</v>
      </c>
    </row>
    <row r="7673" spans="1:5" x14ac:dyDescent="0.35">
      <c r="A7673">
        <v>2016</v>
      </c>
      <c r="B7673" t="s">
        <v>34</v>
      </c>
      <c r="C7673" t="s">
        <v>116</v>
      </c>
      <c r="D7673">
        <v>17</v>
      </c>
      <c r="E7673" t="s">
        <v>328</v>
      </c>
    </row>
    <row r="7674" spans="1:5" x14ac:dyDescent="0.35">
      <c r="A7674">
        <v>2016</v>
      </c>
      <c r="B7674" t="s">
        <v>35</v>
      </c>
      <c r="C7674" t="s">
        <v>78</v>
      </c>
      <c r="D7674">
        <v>3</v>
      </c>
      <c r="E7674" t="s">
        <v>328</v>
      </c>
    </row>
    <row r="7675" spans="1:5" x14ac:dyDescent="0.35">
      <c r="A7675">
        <v>2016</v>
      </c>
      <c r="B7675" t="s">
        <v>34</v>
      </c>
      <c r="C7675" t="s">
        <v>116</v>
      </c>
      <c r="D7675">
        <v>5</v>
      </c>
      <c r="E7675" t="s">
        <v>355</v>
      </c>
    </row>
    <row r="7676" spans="1:5" x14ac:dyDescent="0.35">
      <c r="A7676">
        <v>2016</v>
      </c>
      <c r="B7676" t="s">
        <v>34</v>
      </c>
      <c r="C7676" t="s">
        <v>115</v>
      </c>
      <c r="D7676">
        <v>87</v>
      </c>
      <c r="E7676" t="s">
        <v>328</v>
      </c>
    </row>
    <row r="7677" spans="1:5" x14ac:dyDescent="0.35">
      <c r="A7677">
        <v>2016</v>
      </c>
      <c r="B7677" t="s">
        <v>34</v>
      </c>
      <c r="C7677" t="s">
        <v>115</v>
      </c>
      <c r="D7677">
        <v>39</v>
      </c>
      <c r="E7677" t="s">
        <v>355</v>
      </c>
    </row>
    <row r="7678" spans="1:5" x14ac:dyDescent="0.35">
      <c r="A7678">
        <v>2016</v>
      </c>
      <c r="B7678" t="s">
        <v>34</v>
      </c>
      <c r="C7678" t="s">
        <v>114</v>
      </c>
      <c r="D7678">
        <v>23</v>
      </c>
      <c r="E7678" t="s">
        <v>328</v>
      </c>
    </row>
    <row r="7679" spans="1:5" x14ac:dyDescent="0.35">
      <c r="A7679">
        <v>2016</v>
      </c>
      <c r="B7679" t="s">
        <v>34</v>
      </c>
      <c r="C7679" t="s">
        <v>114</v>
      </c>
      <c r="D7679">
        <v>6</v>
      </c>
      <c r="E7679" t="s">
        <v>355</v>
      </c>
    </row>
    <row r="7680" spans="1:5" x14ac:dyDescent="0.35">
      <c r="A7680">
        <v>2016</v>
      </c>
      <c r="B7680" t="s">
        <v>36</v>
      </c>
      <c r="C7680" t="s">
        <v>100</v>
      </c>
      <c r="D7680">
        <v>8</v>
      </c>
      <c r="E7680" t="s">
        <v>355</v>
      </c>
    </row>
    <row r="7681" spans="1:5" x14ac:dyDescent="0.35">
      <c r="A7681">
        <v>2016</v>
      </c>
      <c r="B7681" t="s">
        <v>36</v>
      </c>
      <c r="C7681" t="s">
        <v>113</v>
      </c>
      <c r="D7681">
        <v>461</v>
      </c>
      <c r="E7681" t="s">
        <v>328</v>
      </c>
    </row>
    <row r="7682" spans="1:5" x14ac:dyDescent="0.35">
      <c r="A7682">
        <v>2016</v>
      </c>
      <c r="B7682" t="s">
        <v>35</v>
      </c>
      <c r="C7682" t="s">
        <v>112</v>
      </c>
      <c r="D7682">
        <v>29</v>
      </c>
      <c r="E7682" t="s">
        <v>328</v>
      </c>
    </row>
    <row r="7683" spans="1:5" x14ac:dyDescent="0.35">
      <c r="A7683">
        <v>2016</v>
      </c>
      <c r="B7683" t="s">
        <v>35</v>
      </c>
      <c r="C7683" t="s">
        <v>112</v>
      </c>
      <c r="D7683">
        <v>20</v>
      </c>
      <c r="E7683" t="s">
        <v>355</v>
      </c>
    </row>
    <row r="7684" spans="1:5" x14ac:dyDescent="0.35">
      <c r="A7684">
        <v>2016</v>
      </c>
      <c r="B7684" t="s">
        <v>34</v>
      </c>
      <c r="C7684" t="s">
        <v>111</v>
      </c>
      <c r="D7684">
        <v>65</v>
      </c>
      <c r="E7684" t="s">
        <v>328</v>
      </c>
    </row>
    <row r="7685" spans="1:5" x14ac:dyDescent="0.35">
      <c r="A7685">
        <v>2016</v>
      </c>
      <c r="B7685" t="s">
        <v>34</v>
      </c>
      <c r="C7685" t="s">
        <v>111</v>
      </c>
      <c r="D7685">
        <v>16</v>
      </c>
      <c r="E7685" t="s">
        <v>355</v>
      </c>
    </row>
    <row r="7686" spans="1:5" x14ac:dyDescent="0.35">
      <c r="A7686">
        <v>2016</v>
      </c>
      <c r="B7686" t="s">
        <v>35</v>
      </c>
      <c r="C7686" t="s">
        <v>110</v>
      </c>
      <c r="D7686">
        <v>10</v>
      </c>
      <c r="E7686" t="s">
        <v>328</v>
      </c>
    </row>
    <row r="7687" spans="1:5" x14ac:dyDescent="0.35">
      <c r="A7687">
        <v>2016</v>
      </c>
      <c r="B7687" t="s">
        <v>35</v>
      </c>
      <c r="C7687" t="s">
        <v>110</v>
      </c>
      <c r="D7687">
        <v>15</v>
      </c>
      <c r="E7687" t="s">
        <v>355</v>
      </c>
    </row>
    <row r="7688" spans="1:5" x14ac:dyDescent="0.35">
      <c r="A7688">
        <v>2016</v>
      </c>
      <c r="B7688" t="s">
        <v>34</v>
      </c>
      <c r="C7688" t="s">
        <v>109</v>
      </c>
      <c r="D7688">
        <v>39</v>
      </c>
      <c r="E7688" t="s">
        <v>328</v>
      </c>
    </row>
    <row r="7689" spans="1:5" x14ac:dyDescent="0.35">
      <c r="A7689">
        <v>2016</v>
      </c>
      <c r="B7689" t="s">
        <v>36</v>
      </c>
      <c r="C7689" t="s">
        <v>113</v>
      </c>
      <c r="D7689">
        <v>623</v>
      </c>
      <c r="E7689" t="s">
        <v>355</v>
      </c>
    </row>
    <row r="7690" spans="1:5" x14ac:dyDescent="0.35">
      <c r="A7690">
        <v>2016</v>
      </c>
      <c r="B7690" t="s">
        <v>35</v>
      </c>
      <c r="C7690" t="s">
        <v>99</v>
      </c>
      <c r="D7690">
        <v>9</v>
      </c>
      <c r="E7690" t="s">
        <v>328</v>
      </c>
    </row>
    <row r="7691" spans="1:5" x14ac:dyDescent="0.35">
      <c r="A7691">
        <v>2016</v>
      </c>
      <c r="B7691" t="s">
        <v>34</v>
      </c>
      <c r="C7691" t="s">
        <v>107</v>
      </c>
      <c r="D7691">
        <v>9</v>
      </c>
      <c r="E7691" t="s">
        <v>355</v>
      </c>
    </row>
    <row r="7692" spans="1:5" x14ac:dyDescent="0.35">
      <c r="A7692">
        <v>2016</v>
      </c>
      <c r="B7692" t="s">
        <v>35</v>
      </c>
      <c r="C7692" t="s">
        <v>81</v>
      </c>
      <c r="D7692">
        <v>8</v>
      </c>
      <c r="E7692" t="s">
        <v>355</v>
      </c>
    </row>
    <row r="7693" spans="1:5" x14ac:dyDescent="0.35">
      <c r="A7693">
        <v>2016</v>
      </c>
      <c r="B7693" t="s">
        <v>33</v>
      </c>
      <c r="C7693" t="s">
        <v>89</v>
      </c>
      <c r="D7693">
        <v>0</v>
      </c>
      <c r="E7693" t="s">
        <v>355</v>
      </c>
    </row>
    <row r="7694" spans="1:5" x14ac:dyDescent="0.35">
      <c r="A7694">
        <v>2016</v>
      </c>
      <c r="B7694" t="s">
        <v>33</v>
      </c>
      <c r="C7694" t="s">
        <v>88</v>
      </c>
      <c r="D7694">
        <v>3</v>
      </c>
      <c r="E7694" t="s">
        <v>328</v>
      </c>
    </row>
    <row r="7695" spans="1:5" x14ac:dyDescent="0.35">
      <c r="A7695">
        <v>2016</v>
      </c>
      <c r="B7695" t="s">
        <v>33</v>
      </c>
      <c r="C7695" t="s">
        <v>88</v>
      </c>
      <c r="D7695">
        <v>3</v>
      </c>
      <c r="E7695" t="s">
        <v>355</v>
      </c>
    </row>
    <row r="7696" spans="1:5" x14ac:dyDescent="0.35">
      <c r="A7696">
        <v>2016</v>
      </c>
      <c r="B7696" t="s">
        <v>36</v>
      </c>
      <c r="C7696" t="s">
        <v>16</v>
      </c>
      <c r="D7696">
        <v>13592</v>
      </c>
      <c r="E7696" t="s">
        <v>328</v>
      </c>
    </row>
    <row r="7697" spans="1:5" x14ac:dyDescent="0.35">
      <c r="A7697">
        <v>2016</v>
      </c>
      <c r="B7697" t="s">
        <v>36</v>
      </c>
      <c r="C7697" t="s">
        <v>16</v>
      </c>
      <c r="D7697">
        <v>6754</v>
      </c>
      <c r="E7697" t="s">
        <v>355</v>
      </c>
    </row>
    <row r="7698" spans="1:5" x14ac:dyDescent="0.35">
      <c r="A7698">
        <v>2016</v>
      </c>
      <c r="B7698" t="s">
        <v>33</v>
      </c>
      <c r="C7698" t="s">
        <v>87</v>
      </c>
      <c r="D7698">
        <v>15</v>
      </c>
      <c r="E7698" t="s">
        <v>355</v>
      </c>
    </row>
    <row r="7699" spans="1:5" x14ac:dyDescent="0.35">
      <c r="A7699">
        <v>2016</v>
      </c>
      <c r="B7699" t="s">
        <v>38</v>
      </c>
      <c r="C7699" t="s">
        <v>86</v>
      </c>
      <c r="D7699">
        <v>966</v>
      </c>
      <c r="E7699" t="s">
        <v>328</v>
      </c>
    </row>
    <row r="7700" spans="1:5" x14ac:dyDescent="0.35">
      <c r="A7700">
        <v>2016</v>
      </c>
      <c r="B7700" t="s">
        <v>33</v>
      </c>
      <c r="C7700" t="s">
        <v>89</v>
      </c>
      <c r="D7700">
        <v>12</v>
      </c>
      <c r="E7700" t="s">
        <v>328</v>
      </c>
    </row>
    <row r="7701" spans="1:5" x14ac:dyDescent="0.35">
      <c r="A7701">
        <v>2016</v>
      </c>
      <c r="B7701" t="s">
        <v>38</v>
      </c>
      <c r="C7701" t="s">
        <v>86</v>
      </c>
      <c r="D7701">
        <v>466</v>
      </c>
      <c r="E7701" t="s">
        <v>355</v>
      </c>
    </row>
    <row r="7702" spans="1:5" x14ac:dyDescent="0.35">
      <c r="A7702">
        <v>2016</v>
      </c>
      <c r="B7702" t="s">
        <v>36</v>
      </c>
      <c r="C7702" t="s">
        <v>85</v>
      </c>
      <c r="D7702">
        <v>1487</v>
      </c>
      <c r="E7702" t="s">
        <v>355</v>
      </c>
    </row>
    <row r="7703" spans="1:5" x14ac:dyDescent="0.35">
      <c r="A7703">
        <v>2016</v>
      </c>
      <c r="B7703" t="s">
        <v>36</v>
      </c>
      <c r="C7703" t="s">
        <v>84</v>
      </c>
      <c r="E7703" t="s">
        <v>328</v>
      </c>
    </row>
    <row r="7704" spans="1:5" x14ac:dyDescent="0.35">
      <c r="A7704">
        <v>2016</v>
      </c>
      <c r="B7704" t="s">
        <v>36</v>
      </c>
      <c r="C7704" t="s">
        <v>84</v>
      </c>
      <c r="E7704" t="s">
        <v>355</v>
      </c>
    </row>
    <row r="7705" spans="1:5" x14ac:dyDescent="0.35">
      <c r="A7705">
        <v>2016</v>
      </c>
      <c r="B7705" t="s">
        <v>35</v>
      </c>
      <c r="C7705" t="s">
        <v>214</v>
      </c>
      <c r="D7705">
        <v>3</v>
      </c>
      <c r="E7705" t="s">
        <v>355</v>
      </c>
    </row>
    <row r="7706" spans="1:5" x14ac:dyDescent="0.35">
      <c r="A7706">
        <v>2016</v>
      </c>
      <c r="B7706" t="s">
        <v>35</v>
      </c>
      <c r="C7706" t="s">
        <v>81</v>
      </c>
      <c r="D7706">
        <v>13</v>
      </c>
      <c r="E7706" t="s">
        <v>328</v>
      </c>
    </row>
    <row r="7707" spans="1:5" x14ac:dyDescent="0.35">
      <c r="A7707">
        <v>2016</v>
      </c>
      <c r="B7707" t="s">
        <v>35</v>
      </c>
      <c r="C7707" t="s">
        <v>99</v>
      </c>
      <c r="D7707">
        <v>6</v>
      </c>
      <c r="E7707" t="s">
        <v>355</v>
      </c>
    </row>
    <row r="7708" spans="1:5" x14ac:dyDescent="0.35">
      <c r="A7708">
        <v>2016</v>
      </c>
      <c r="B7708" t="s">
        <v>36</v>
      </c>
      <c r="C7708" t="s">
        <v>79</v>
      </c>
      <c r="D7708">
        <v>19</v>
      </c>
      <c r="E7708" t="s">
        <v>328</v>
      </c>
    </row>
    <row r="7709" spans="1:5" x14ac:dyDescent="0.35">
      <c r="A7709">
        <v>2016</v>
      </c>
      <c r="B7709" t="s">
        <v>36</v>
      </c>
      <c r="C7709" t="s">
        <v>85</v>
      </c>
      <c r="D7709">
        <v>500</v>
      </c>
      <c r="E7709" t="s">
        <v>328</v>
      </c>
    </row>
    <row r="7710" spans="1:5" x14ac:dyDescent="0.35">
      <c r="A7710">
        <v>2016</v>
      </c>
      <c r="B7710" t="s">
        <v>35</v>
      </c>
      <c r="C7710" t="s">
        <v>90</v>
      </c>
      <c r="E7710" t="s">
        <v>355</v>
      </c>
    </row>
    <row r="7711" spans="1:5" x14ac:dyDescent="0.35">
      <c r="A7711">
        <v>2016</v>
      </c>
      <c r="B7711" t="s">
        <v>33</v>
      </c>
      <c r="C7711" t="s">
        <v>87</v>
      </c>
      <c r="D7711">
        <v>38</v>
      </c>
      <c r="E7711" t="s">
        <v>328</v>
      </c>
    </row>
    <row r="7712" spans="1:5" x14ac:dyDescent="0.35">
      <c r="A7712">
        <v>2016</v>
      </c>
      <c r="B7712" t="s">
        <v>33</v>
      </c>
      <c r="C7712" t="s">
        <v>98</v>
      </c>
      <c r="D7712">
        <v>32</v>
      </c>
      <c r="E7712" t="s">
        <v>355</v>
      </c>
    </row>
    <row r="7713" spans="1:5" x14ac:dyDescent="0.35">
      <c r="A7713">
        <v>2016</v>
      </c>
      <c r="B7713" t="s">
        <v>33</v>
      </c>
      <c r="C7713" t="s">
        <v>98</v>
      </c>
      <c r="D7713">
        <v>73</v>
      </c>
      <c r="E7713" t="s">
        <v>328</v>
      </c>
    </row>
    <row r="7714" spans="1:5" x14ac:dyDescent="0.35">
      <c r="A7714">
        <v>2016</v>
      </c>
      <c r="B7714" t="s">
        <v>35</v>
      </c>
      <c r="C7714" t="s">
        <v>90</v>
      </c>
      <c r="E7714" t="s">
        <v>328</v>
      </c>
    </row>
    <row r="7715" spans="1:5" x14ac:dyDescent="0.35">
      <c r="A7715">
        <v>2016</v>
      </c>
      <c r="B7715" t="s">
        <v>35</v>
      </c>
      <c r="C7715" t="s">
        <v>97</v>
      </c>
      <c r="D7715">
        <v>19</v>
      </c>
      <c r="E7715" t="s">
        <v>328</v>
      </c>
    </row>
    <row r="7716" spans="1:5" x14ac:dyDescent="0.35">
      <c r="A7716">
        <v>2016</v>
      </c>
      <c r="B7716" t="s">
        <v>35</v>
      </c>
      <c r="C7716" t="s">
        <v>97</v>
      </c>
      <c r="D7716">
        <v>49</v>
      </c>
      <c r="E7716" t="s">
        <v>355</v>
      </c>
    </row>
    <row r="7717" spans="1:5" x14ac:dyDescent="0.35">
      <c r="A7717">
        <v>2016</v>
      </c>
      <c r="B7717" t="s">
        <v>34</v>
      </c>
      <c r="C7717" t="s">
        <v>8</v>
      </c>
      <c r="D7717">
        <v>15</v>
      </c>
      <c r="E7717" t="s">
        <v>328</v>
      </c>
    </row>
    <row r="7718" spans="1:5" x14ac:dyDescent="0.35">
      <c r="A7718">
        <v>2016</v>
      </c>
      <c r="B7718" t="s">
        <v>34</v>
      </c>
      <c r="C7718" t="s">
        <v>8</v>
      </c>
      <c r="D7718">
        <v>9</v>
      </c>
      <c r="E7718" t="s">
        <v>355</v>
      </c>
    </row>
    <row r="7719" spans="1:5" x14ac:dyDescent="0.35">
      <c r="A7719">
        <v>2016</v>
      </c>
      <c r="B7719" t="s">
        <v>33</v>
      </c>
      <c r="C7719" t="s">
        <v>96</v>
      </c>
      <c r="E7719" t="s">
        <v>355</v>
      </c>
    </row>
    <row r="7720" spans="1:5" x14ac:dyDescent="0.35">
      <c r="A7720">
        <v>2016</v>
      </c>
      <c r="B7720" t="s">
        <v>33</v>
      </c>
      <c r="C7720" t="s">
        <v>95</v>
      </c>
      <c r="D7720">
        <v>3</v>
      </c>
      <c r="E7720" t="s">
        <v>328</v>
      </c>
    </row>
    <row r="7721" spans="1:5" x14ac:dyDescent="0.35">
      <c r="A7721">
        <v>2016</v>
      </c>
      <c r="B7721" t="s">
        <v>33</v>
      </c>
      <c r="C7721" t="s">
        <v>96</v>
      </c>
      <c r="E7721" t="s">
        <v>328</v>
      </c>
    </row>
    <row r="7722" spans="1:5" x14ac:dyDescent="0.35">
      <c r="A7722">
        <v>2016</v>
      </c>
      <c r="B7722" t="s">
        <v>35</v>
      </c>
      <c r="C7722" t="s">
        <v>94</v>
      </c>
      <c r="D7722">
        <v>29</v>
      </c>
      <c r="E7722" t="s">
        <v>328</v>
      </c>
    </row>
    <row r="7723" spans="1:5" x14ac:dyDescent="0.35">
      <c r="A7723">
        <v>2016</v>
      </c>
      <c r="B7723" t="s">
        <v>35</v>
      </c>
      <c r="C7723" t="s">
        <v>94</v>
      </c>
      <c r="D7723">
        <v>20</v>
      </c>
      <c r="E7723" t="s">
        <v>355</v>
      </c>
    </row>
    <row r="7724" spans="1:5" x14ac:dyDescent="0.35">
      <c r="A7724">
        <v>2016</v>
      </c>
      <c r="B7724" t="s">
        <v>37</v>
      </c>
      <c r="C7724" t="s">
        <v>92</v>
      </c>
      <c r="D7724">
        <v>28</v>
      </c>
      <c r="E7724" t="s">
        <v>328</v>
      </c>
    </row>
    <row r="7725" spans="1:5" x14ac:dyDescent="0.35">
      <c r="A7725">
        <v>2016</v>
      </c>
      <c r="B7725" t="s">
        <v>37</v>
      </c>
      <c r="C7725" t="s">
        <v>92</v>
      </c>
      <c r="D7725">
        <v>10</v>
      </c>
      <c r="E7725" t="s">
        <v>355</v>
      </c>
    </row>
    <row r="7726" spans="1:5" x14ac:dyDescent="0.35">
      <c r="A7726">
        <v>2016</v>
      </c>
      <c r="B7726" t="s">
        <v>33</v>
      </c>
      <c r="C7726" t="s">
        <v>91</v>
      </c>
      <c r="D7726">
        <v>27</v>
      </c>
      <c r="E7726" t="s">
        <v>328</v>
      </c>
    </row>
    <row r="7727" spans="1:5" x14ac:dyDescent="0.35">
      <c r="A7727">
        <v>2016</v>
      </c>
      <c r="B7727" t="s">
        <v>33</v>
      </c>
      <c r="C7727" t="s">
        <v>91</v>
      </c>
      <c r="D7727">
        <v>16</v>
      </c>
      <c r="E7727" t="s">
        <v>355</v>
      </c>
    </row>
    <row r="7728" spans="1:5" x14ac:dyDescent="0.35">
      <c r="A7728">
        <v>2016</v>
      </c>
      <c r="B7728" t="s">
        <v>33</v>
      </c>
      <c r="C7728" t="s">
        <v>95</v>
      </c>
      <c r="D7728">
        <v>0</v>
      </c>
      <c r="E7728" t="s">
        <v>355</v>
      </c>
    </row>
    <row r="7729" spans="1:5" x14ac:dyDescent="0.35">
      <c r="A7729">
        <v>2017</v>
      </c>
      <c r="B7729" t="s">
        <v>33</v>
      </c>
      <c r="C7729" t="s">
        <v>149</v>
      </c>
      <c r="D7729">
        <v>2257</v>
      </c>
      <c r="E7729" t="s">
        <v>466</v>
      </c>
    </row>
    <row r="7730" spans="1:5" x14ac:dyDescent="0.35">
      <c r="A7730">
        <v>2017</v>
      </c>
      <c r="B7730" t="s">
        <v>35</v>
      </c>
      <c r="C7730" t="s">
        <v>173</v>
      </c>
      <c r="D7730">
        <v>20</v>
      </c>
      <c r="E7730" t="s">
        <v>467</v>
      </c>
    </row>
    <row r="7731" spans="1:5" x14ac:dyDescent="0.35">
      <c r="A7731">
        <v>2017</v>
      </c>
      <c r="B7731" t="s">
        <v>35</v>
      </c>
      <c r="C7731" t="s">
        <v>322</v>
      </c>
      <c r="D7731">
        <v>53</v>
      </c>
      <c r="E7731" t="s">
        <v>466</v>
      </c>
    </row>
    <row r="7732" spans="1:5" x14ac:dyDescent="0.35">
      <c r="A7732">
        <v>2017</v>
      </c>
      <c r="B7732" t="s">
        <v>35</v>
      </c>
      <c r="C7732" t="s">
        <v>150</v>
      </c>
      <c r="E7732" t="s">
        <v>355</v>
      </c>
    </row>
    <row r="7733" spans="1:5" x14ac:dyDescent="0.35">
      <c r="A7733">
        <v>2017</v>
      </c>
      <c r="B7733" t="s">
        <v>35</v>
      </c>
      <c r="C7733" t="s">
        <v>150</v>
      </c>
      <c r="D7733">
        <v>83</v>
      </c>
      <c r="E7733" t="s">
        <v>466</v>
      </c>
    </row>
    <row r="7734" spans="1:5" x14ac:dyDescent="0.35">
      <c r="A7734">
        <v>2017</v>
      </c>
      <c r="B7734" t="s">
        <v>36</v>
      </c>
      <c r="C7734" t="s">
        <v>165</v>
      </c>
      <c r="D7734">
        <v>15</v>
      </c>
      <c r="E7734" t="s">
        <v>467</v>
      </c>
    </row>
    <row r="7735" spans="1:5" x14ac:dyDescent="0.35">
      <c r="A7735">
        <v>2017</v>
      </c>
      <c r="B7735" t="s">
        <v>34</v>
      </c>
      <c r="C7735" t="s">
        <v>151</v>
      </c>
      <c r="D7735">
        <v>14</v>
      </c>
      <c r="E7735" t="s">
        <v>466</v>
      </c>
    </row>
    <row r="7736" spans="1:5" x14ac:dyDescent="0.35">
      <c r="A7736">
        <v>2017</v>
      </c>
      <c r="B7736" t="s">
        <v>36</v>
      </c>
      <c r="C7736" t="s">
        <v>154</v>
      </c>
      <c r="D7736">
        <v>52</v>
      </c>
      <c r="E7736" t="s">
        <v>355</v>
      </c>
    </row>
    <row r="7737" spans="1:5" x14ac:dyDescent="0.35">
      <c r="A7737">
        <v>2017</v>
      </c>
      <c r="B7737" t="s">
        <v>34</v>
      </c>
      <c r="C7737" t="s">
        <v>152</v>
      </c>
      <c r="D7737">
        <v>1044</v>
      </c>
      <c r="E7737" t="s">
        <v>466</v>
      </c>
    </row>
    <row r="7738" spans="1:5" x14ac:dyDescent="0.35">
      <c r="A7738">
        <v>2017</v>
      </c>
      <c r="B7738" t="s">
        <v>37</v>
      </c>
      <c r="C7738" t="s">
        <v>166</v>
      </c>
      <c r="D7738">
        <v>6</v>
      </c>
      <c r="E7738" t="s">
        <v>467</v>
      </c>
    </row>
    <row r="7739" spans="1:5" x14ac:dyDescent="0.35">
      <c r="A7739">
        <v>2017</v>
      </c>
      <c r="B7739" t="s">
        <v>37</v>
      </c>
      <c r="C7739" t="s">
        <v>153</v>
      </c>
      <c r="D7739">
        <v>20</v>
      </c>
      <c r="E7739" t="s">
        <v>466</v>
      </c>
    </row>
    <row r="7740" spans="1:5" x14ac:dyDescent="0.35">
      <c r="A7740">
        <v>2017</v>
      </c>
      <c r="B7740" t="s">
        <v>37</v>
      </c>
      <c r="C7740" t="s">
        <v>153</v>
      </c>
      <c r="D7740">
        <v>14</v>
      </c>
      <c r="E7740" t="s">
        <v>355</v>
      </c>
    </row>
    <row r="7741" spans="1:5" x14ac:dyDescent="0.35">
      <c r="A7741">
        <v>2017</v>
      </c>
      <c r="B7741" t="s">
        <v>36</v>
      </c>
      <c r="C7741" t="s">
        <v>154</v>
      </c>
      <c r="D7741">
        <v>170</v>
      </c>
      <c r="E7741" t="s">
        <v>466</v>
      </c>
    </row>
    <row r="7742" spans="1:5" x14ac:dyDescent="0.35">
      <c r="A7742">
        <v>2017</v>
      </c>
      <c r="B7742" t="s">
        <v>34</v>
      </c>
      <c r="C7742" t="s">
        <v>167</v>
      </c>
      <c r="D7742">
        <v>329</v>
      </c>
      <c r="E7742" t="s">
        <v>467</v>
      </c>
    </row>
    <row r="7743" spans="1:5" x14ac:dyDescent="0.35">
      <c r="A7743">
        <v>2017</v>
      </c>
      <c r="B7743" t="s">
        <v>38</v>
      </c>
      <c r="C7743" t="s">
        <v>155</v>
      </c>
      <c r="D7743">
        <v>43</v>
      </c>
      <c r="E7743" t="s">
        <v>466</v>
      </c>
    </row>
    <row r="7744" spans="1:5" x14ac:dyDescent="0.35">
      <c r="A7744">
        <v>2017</v>
      </c>
      <c r="B7744" t="s">
        <v>34</v>
      </c>
      <c r="C7744" t="s">
        <v>152</v>
      </c>
      <c r="D7744">
        <v>164</v>
      </c>
      <c r="E7744" t="s">
        <v>328</v>
      </c>
    </row>
    <row r="7745" spans="1:5" x14ac:dyDescent="0.35">
      <c r="A7745">
        <v>2017</v>
      </c>
      <c r="B7745" t="s">
        <v>34</v>
      </c>
      <c r="C7745" t="s">
        <v>18</v>
      </c>
      <c r="D7745">
        <v>1060</v>
      </c>
      <c r="E7745" t="s">
        <v>466</v>
      </c>
    </row>
    <row r="7746" spans="1:5" x14ac:dyDescent="0.35">
      <c r="A7746">
        <v>2017</v>
      </c>
      <c r="B7746" t="s">
        <v>35</v>
      </c>
      <c r="C7746" t="s">
        <v>172</v>
      </c>
      <c r="D7746">
        <v>60</v>
      </c>
      <c r="E7746" t="s">
        <v>467</v>
      </c>
    </row>
    <row r="7747" spans="1:5" x14ac:dyDescent="0.35">
      <c r="A7747">
        <v>2017</v>
      </c>
      <c r="B7747" t="s">
        <v>35</v>
      </c>
      <c r="C7747" t="s">
        <v>157</v>
      </c>
      <c r="D7747">
        <v>522</v>
      </c>
      <c r="E7747" t="s">
        <v>466</v>
      </c>
    </row>
    <row r="7748" spans="1:5" x14ac:dyDescent="0.35">
      <c r="A7748">
        <v>2017</v>
      </c>
      <c r="B7748" t="s">
        <v>34</v>
      </c>
      <c r="C7748" t="s">
        <v>152</v>
      </c>
      <c r="D7748">
        <v>47</v>
      </c>
      <c r="E7748" t="s">
        <v>355</v>
      </c>
    </row>
    <row r="7749" spans="1:5" x14ac:dyDescent="0.35">
      <c r="A7749">
        <v>2017</v>
      </c>
      <c r="B7749" t="s">
        <v>35</v>
      </c>
      <c r="C7749" t="s">
        <v>158</v>
      </c>
      <c r="D7749">
        <v>328</v>
      </c>
      <c r="E7749" t="s">
        <v>466</v>
      </c>
    </row>
    <row r="7750" spans="1:5" x14ac:dyDescent="0.35">
      <c r="A7750">
        <v>2017</v>
      </c>
      <c r="B7750" t="s">
        <v>35</v>
      </c>
      <c r="C7750" t="s">
        <v>169</v>
      </c>
      <c r="D7750">
        <v>48</v>
      </c>
      <c r="E7750" t="s">
        <v>467</v>
      </c>
    </row>
    <row r="7751" spans="1:5" x14ac:dyDescent="0.35">
      <c r="A7751">
        <v>2017</v>
      </c>
      <c r="B7751" t="s">
        <v>35</v>
      </c>
      <c r="C7751" t="s">
        <v>160</v>
      </c>
      <c r="D7751">
        <v>1753</v>
      </c>
      <c r="E7751" t="s">
        <v>466</v>
      </c>
    </row>
    <row r="7752" spans="1:5" x14ac:dyDescent="0.35">
      <c r="A7752">
        <v>2017</v>
      </c>
      <c r="B7752" t="s">
        <v>35</v>
      </c>
      <c r="C7752" t="s">
        <v>150</v>
      </c>
      <c r="E7752" t="s">
        <v>328</v>
      </c>
    </row>
    <row r="7753" spans="1:5" x14ac:dyDescent="0.35">
      <c r="A7753">
        <v>2017</v>
      </c>
      <c r="B7753" t="s">
        <v>35</v>
      </c>
      <c r="C7753" t="s">
        <v>161</v>
      </c>
      <c r="D7753">
        <v>653</v>
      </c>
      <c r="E7753" t="s">
        <v>466</v>
      </c>
    </row>
    <row r="7754" spans="1:5" x14ac:dyDescent="0.35">
      <c r="A7754">
        <v>2017</v>
      </c>
      <c r="B7754" t="s">
        <v>33</v>
      </c>
      <c r="C7754" t="s">
        <v>170</v>
      </c>
      <c r="D7754">
        <v>14</v>
      </c>
      <c r="E7754" t="s">
        <v>467</v>
      </c>
    </row>
    <row r="7755" spans="1:5" x14ac:dyDescent="0.35">
      <c r="A7755">
        <v>2017</v>
      </c>
      <c r="B7755" t="s">
        <v>33</v>
      </c>
      <c r="C7755" t="s">
        <v>162</v>
      </c>
      <c r="D7755">
        <v>35</v>
      </c>
      <c r="E7755" t="s">
        <v>466</v>
      </c>
    </row>
    <row r="7756" spans="1:5" x14ac:dyDescent="0.35">
      <c r="A7756">
        <v>2017</v>
      </c>
      <c r="B7756" t="s">
        <v>35</v>
      </c>
      <c r="C7756" t="s">
        <v>322</v>
      </c>
      <c r="D7756">
        <v>7</v>
      </c>
      <c r="E7756" t="s">
        <v>328</v>
      </c>
    </row>
    <row r="7757" spans="1:5" x14ac:dyDescent="0.35">
      <c r="A7757">
        <v>2017</v>
      </c>
      <c r="B7757" t="s">
        <v>36</v>
      </c>
      <c r="C7757" t="s">
        <v>163</v>
      </c>
      <c r="D7757">
        <v>49</v>
      </c>
      <c r="E7757" t="s">
        <v>466</v>
      </c>
    </row>
    <row r="7758" spans="1:5" x14ac:dyDescent="0.35">
      <c r="A7758">
        <v>2017</v>
      </c>
      <c r="B7758" t="s">
        <v>34</v>
      </c>
      <c r="C7758" t="s">
        <v>171</v>
      </c>
      <c r="D7758">
        <v>42</v>
      </c>
      <c r="E7758" t="s">
        <v>467</v>
      </c>
    </row>
    <row r="7759" spans="1:5" x14ac:dyDescent="0.35">
      <c r="A7759">
        <v>2017</v>
      </c>
      <c r="B7759" t="s">
        <v>33</v>
      </c>
      <c r="C7759" t="s">
        <v>148</v>
      </c>
      <c r="D7759">
        <v>22</v>
      </c>
      <c r="E7759" t="s">
        <v>466</v>
      </c>
    </row>
    <row r="7760" spans="1:5" x14ac:dyDescent="0.35">
      <c r="A7760">
        <v>2017</v>
      </c>
      <c r="B7760" t="s">
        <v>37</v>
      </c>
      <c r="C7760" t="s">
        <v>146</v>
      </c>
      <c r="D7760">
        <v>16</v>
      </c>
      <c r="E7760" t="s">
        <v>328</v>
      </c>
    </row>
    <row r="7761" spans="1:5" x14ac:dyDescent="0.35">
      <c r="A7761">
        <v>2017</v>
      </c>
      <c r="B7761" t="s">
        <v>36</v>
      </c>
      <c r="C7761" t="s">
        <v>164</v>
      </c>
      <c r="D7761">
        <v>57</v>
      </c>
      <c r="E7761" t="s">
        <v>466</v>
      </c>
    </row>
    <row r="7762" spans="1:5" x14ac:dyDescent="0.35">
      <c r="A7762">
        <v>2017</v>
      </c>
      <c r="B7762" t="s">
        <v>36</v>
      </c>
      <c r="C7762" t="s">
        <v>164</v>
      </c>
      <c r="D7762">
        <v>11</v>
      </c>
      <c r="E7762" t="s">
        <v>467</v>
      </c>
    </row>
    <row r="7763" spans="1:5" x14ac:dyDescent="0.35">
      <c r="A7763">
        <v>2017</v>
      </c>
      <c r="B7763" t="s">
        <v>38</v>
      </c>
      <c r="C7763" t="s">
        <v>156</v>
      </c>
      <c r="D7763">
        <v>1415</v>
      </c>
      <c r="E7763" t="s">
        <v>466</v>
      </c>
    </row>
    <row r="7764" spans="1:5" x14ac:dyDescent="0.35">
      <c r="A7764">
        <v>2017</v>
      </c>
      <c r="B7764" t="s">
        <v>33</v>
      </c>
      <c r="C7764" t="s">
        <v>149</v>
      </c>
      <c r="D7764">
        <v>591</v>
      </c>
      <c r="E7764" t="s">
        <v>328</v>
      </c>
    </row>
    <row r="7765" spans="1:5" x14ac:dyDescent="0.35">
      <c r="A7765">
        <v>2017</v>
      </c>
      <c r="B7765" t="s">
        <v>34</v>
      </c>
      <c r="C7765" t="s">
        <v>159</v>
      </c>
      <c r="D7765">
        <v>31</v>
      </c>
      <c r="E7765" t="s">
        <v>466</v>
      </c>
    </row>
    <row r="7766" spans="1:5" x14ac:dyDescent="0.35">
      <c r="A7766">
        <v>2017</v>
      </c>
      <c r="B7766" t="s">
        <v>33</v>
      </c>
      <c r="C7766" t="s">
        <v>168</v>
      </c>
      <c r="D7766">
        <v>36</v>
      </c>
      <c r="E7766" t="s">
        <v>467</v>
      </c>
    </row>
    <row r="7767" spans="1:5" x14ac:dyDescent="0.35">
      <c r="A7767">
        <v>2017</v>
      </c>
      <c r="B7767" t="s">
        <v>37</v>
      </c>
      <c r="C7767" t="s">
        <v>137</v>
      </c>
      <c r="D7767">
        <v>140</v>
      </c>
      <c r="E7767" t="s">
        <v>466</v>
      </c>
    </row>
    <row r="7768" spans="1:5" x14ac:dyDescent="0.35">
      <c r="A7768">
        <v>2017</v>
      </c>
      <c r="B7768" t="s">
        <v>33</v>
      </c>
      <c r="C7768" t="s">
        <v>149</v>
      </c>
      <c r="D7768">
        <v>111</v>
      </c>
      <c r="E7768" t="s">
        <v>355</v>
      </c>
    </row>
    <row r="7769" spans="1:5" x14ac:dyDescent="0.35">
      <c r="A7769">
        <v>2017</v>
      </c>
      <c r="B7769" t="s">
        <v>37</v>
      </c>
      <c r="C7769" t="s">
        <v>146</v>
      </c>
      <c r="D7769">
        <v>203</v>
      </c>
      <c r="E7769" t="s">
        <v>466</v>
      </c>
    </row>
    <row r="7770" spans="1:5" x14ac:dyDescent="0.35">
      <c r="A7770">
        <v>2017</v>
      </c>
      <c r="B7770" t="s">
        <v>36</v>
      </c>
      <c r="C7770" t="s">
        <v>163</v>
      </c>
      <c r="D7770">
        <v>11</v>
      </c>
      <c r="E7770" t="s">
        <v>467</v>
      </c>
    </row>
    <row r="7771" spans="1:5" x14ac:dyDescent="0.35">
      <c r="A7771">
        <v>2017</v>
      </c>
      <c r="B7771" t="s">
        <v>36</v>
      </c>
      <c r="C7771" t="s">
        <v>165</v>
      </c>
      <c r="D7771">
        <v>38</v>
      </c>
      <c r="E7771" t="s">
        <v>466</v>
      </c>
    </row>
    <row r="7772" spans="1:5" x14ac:dyDescent="0.35">
      <c r="A7772">
        <v>2017</v>
      </c>
      <c r="B7772" t="s">
        <v>33</v>
      </c>
      <c r="C7772" t="s">
        <v>148</v>
      </c>
      <c r="D7772">
        <v>7</v>
      </c>
      <c r="E7772" t="s">
        <v>328</v>
      </c>
    </row>
    <row r="7773" spans="1:5" x14ac:dyDescent="0.35">
      <c r="A7773">
        <v>2017</v>
      </c>
      <c r="B7773" t="s">
        <v>33</v>
      </c>
      <c r="C7773" t="s">
        <v>129</v>
      </c>
      <c r="D7773">
        <v>4</v>
      </c>
      <c r="E7773" t="s">
        <v>466</v>
      </c>
    </row>
    <row r="7774" spans="1:5" x14ac:dyDescent="0.35">
      <c r="A7774">
        <v>2017</v>
      </c>
      <c r="B7774" t="s">
        <v>34</v>
      </c>
      <c r="C7774" t="s">
        <v>152</v>
      </c>
      <c r="D7774">
        <v>409</v>
      </c>
      <c r="E7774" t="s">
        <v>467</v>
      </c>
    </row>
    <row r="7775" spans="1:5" x14ac:dyDescent="0.35">
      <c r="A7775">
        <v>2017</v>
      </c>
      <c r="B7775" t="s">
        <v>33</v>
      </c>
      <c r="C7775" t="s">
        <v>130</v>
      </c>
      <c r="D7775">
        <v>20</v>
      </c>
      <c r="E7775" t="s">
        <v>466</v>
      </c>
    </row>
    <row r="7776" spans="1:5" x14ac:dyDescent="0.35">
      <c r="A7776">
        <v>2017</v>
      </c>
      <c r="B7776" t="s">
        <v>33</v>
      </c>
      <c r="C7776" t="s">
        <v>148</v>
      </c>
      <c r="D7776">
        <v>13</v>
      </c>
      <c r="E7776" t="s">
        <v>355</v>
      </c>
    </row>
    <row r="7777" spans="1:5" x14ac:dyDescent="0.35">
      <c r="A7777">
        <v>2017</v>
      </c>
      <c r="B7777" t="s">
        <v>34</v>
      </c>
      <c r="C7777" t="s">
        <v>131</v>
      </c>
      <c r="D7777">
        <v>62</v>
      </c>
      <c r="E7777" t="s">
        <v>466</v>
      </c>
    </row>
    <row r="7778" spans="1:5" x14ac:dyDescent="0.35">
      <c r="A7778">
        <v>2017</v>
      </c>
      <c r="B7778" t="s">
        <v>35</v>
      </c>
      <c r="C7778" t="s">
        <v>161</v>
      </c>
      <c r="D7778">
        <v>171</v>
      </c>
      <c r="E7778" t="s">
        <v>467</v>
      </c>
    </row>
    <row r="7779" spans="1:5" x14ac:dyDescent="0.35">
      <c r="A7779">
        <v>2017</v>
      </c>
      <c r="B7779" t="s">
        <v>33</v>
      </c>
      <c r="C7779" t="s">
        <v>132</v>
      </c>
      <c r="D7779">
        <v>110</v>
      </c>
      <c r="E7779" t="s">
        <v>466</v>
      </c>
    </row>
    <row r="7780" spans="1:5" x14ac:dyDescent="0.35">
      <c r="A7780">
        <v>2017</v>
      </c>
      <c r="B7780" t="s">
        <v>36</v>
      </c>
      <c r="C7780" t="s">
        <v>147</v>
      </c>
      <c r="D7780">
        <v>526</v>
      </c>
      <c r="E7780" t="s">
        <v>328</v>
      </c>
    </row>
    <row r="7781" spans="1:5" x14ac:dyDescent="0.35">
      <c r="A7781">
        <v>2017</v>
      </c>
      <c r="B7781" t="s">
        <v>35</v>
      </c>
      <c r="C7781" t="s">
        <v>133</v>
      </c>
      <c r="D7781">
        <v>4</v>
      </c>
      <c r="E7781" t="s">
        <v>466</v>
      </c>
    </row>
    <row r="7782" spans="1:5" x14ac:dyDescent="0.35">
      <c r="A7782">
        <v>2017</v>
      </c>
      <c r="B7782" t="s">
        <v>35</v>
      </c>
      <c r="C7782" t="s">
        <v>160</v>
      </c>
      <c r="D7782">
        <v>187</v>
      </c>
      <c r="E7782" t="s">
        <v>467</v>
      </c>
    </row>
    <row r="7783" spans="1:5" x14ac:dyDescent="0.35">
      <c r="A7783">
        <v>2017</v>
      </c>
      <c r="B7783" t="s">
        <v>37</v>
      </c>
      <c r="C7783" t="s">
        <v>134</v>
      </c>
      <c r="D7783">
        <v>39</v>
      </c>
      <c r="E7783" t="s">
        <v>466</v>
      </c>
    </row>
    <row r="7784" spans="1:5" x14ac:dyDescent="0.35">
      <c r="A7784">
        <v>2017</v>
      </c>
      <c r="B7784" t="s">
        <v>36</v>
      </c>
      <c r="C7784" t="s">
        <v>147</v>
      </c>
      <c r="D7784">
        <v>377</v>
      </c>
      <c r="E7784" t="s">
        <v>355</v>
      </c>
    </row>
    <row r="7785" spans="1:5" x14ac:dyDescent="0.35">
      <c r="A7785">
        <v>2017</v>
      </c>
      <c r="B7785" t="s">
        <v>33</v>
      </c>
      <c r="C7785" t="s">
        <v>135</v>
      </c>
      <c r="D7785">
        <v>38</v>
      </c>
      <c r="E7785" t="s">
        <v>466</v>
      </c>
    </row>
    <row r="7786" spans="1:5" x14ac:dyDescent="0.35">
      <c r="A7786">
        <v>2017</v>
      </c>
      <c r="B7786" t="s">
        <v>34</v>
      </c>
      <c r="C7786" t="s">
        <v>159</v>
      </c>
      <c r="D7786">
        <v>17</v>
      </c>
      <c r="E7786" t="s">
        <v>467</v>
      </c>
    </row>
    <row r="7787" spans="1:5" x14ac:dyDescent="0.35">
      <c r="A7787">
        <v>2017</v>
      </c>
      <c r="B7787" t="s">
        <v>36</v>
      </c>
      <c r="C7787" t="s">
        <v>147</v>
      </c>
      <c r="D7787">
        <v>2005</v>
      </c>
      <c r="E7787" t="s">
        <v>466</v>
      </c>
    </row>
    <row r="7788" spans="1:5" x14ac:dyDescent="0.35">
      <c r="A7788">
        <v>2017</v>
      </c>
      <c r="B7788" t="s">
        <v>36</v>
      </c>
      <c r="C7788" t="s">
        <v>154</v>
      </c>
      <c r="D7788">
        <v>42</v>
      </c>
      <c r="E7788" t="s">
        <v>328</v>
      </c>
    </row>
    <row r="7789" spans="1:5" x14ac:dyDescent="0.35">
      <c r="A7789">
        <v>2017</v>
      </c>
      <c r="B7789" t="s">
        <v>33</v>
      </c>
      <c r="C7789" t="s">
        <v>136</v>
      </c>
      <c r="D7789">
        <v>17</v>
      </c>
      <c r="E7789" t="s">
        <v>466</v>
      </c>
    </row>
    <row r="7790" spans="1:5" x14ac:dyDescent="0.35">
      <c r="A7790">
        <v>2017</v>
      </c>
      <c r="B7790" t="s">
        <v>35</v>
      </c>
      <c r="C7790" t="s">
        <v>158</v>
      </c>
      <c r="D7790">
        <v>216</v>
      </c>
      <c r="E7790" t="s">
        <v>467</v>
      </c>
    </row>
    <row r="7791" spans="1:5" x14ac:dyDescent="0.35">
      <c r="A7791">
        <v>2017</v>
      </c>
      <c r="B7791" t="s">
        <v>35</v>
      </c>
      <c r="C7791" t="s">
        <v>138</v>
      </c>
      <c r="D7791">
        <v>129</v>
      </c>
      <c r="E7791" t="s">
        <v>466</v>
      </c>
    </row>
    <row r="7792" spans="1:5" x14ac:dyDescent="0.35">
      <c r="A7792">
        <v>2017</v>
      </c>
      <c r="B7792" t="s">
        <v>35</v>
      </c>
      <c r="C7792" t="s">
        <v>322</v>
      </c>
      <c r="D7792">
        <v>5</v>
      </c>
      <c r="E7792" t="s">
        <v>355</v>
      </c>
    </row>
    <row r="7793" spans="1:5" x14ac:dyDescent="0.35">
      <c r="A7793">
        <v>2017</v>
      </c>
      <c r="B7793" t="s">
        <v>34</v>
      </c>
      <c r="C7793" t="s">
        <v>139</v>
      </c>
      <c r="D7793">
        <v>134</v>
      </c>
      <c r="E7793" t="s">
        <v>466</v>
      </c>
    </row>
    <row r="7794" spans="1:5" x14ac:dyDescent="0.35">
      <c r="A7794">
        <v>2017</v>
      </c>
      <c r="B7794" t="s">
        <v>35</v>
      </c>
      <c r="C7794" t="s">
        <v>157</v>
      </c>
      <c r="D7794">
        <v>281</v>
      </c>
      <c r="E7794" t="s">
        <v>467</v>
      </c>
    </row>
    <row r="7795" spans="1:5" x14ac:dyDescent="0.35">
      <c r="A7795">
        <v>2017</v>
      </c>
      <c r="B7795" t="s">
        <v>35</v>
      </c>
      <c r="C7795" t="s">
        <v>140</v>
      </c>
      <c r="D7795">
        <v>52</v>
      </c>
      <c r="E7795" t="s">
        <v>466</v>
      </c>
    </row>
    <row r="7796" spans="1:5" x14ac:dyDescent="0.35">
      <c r="A7796">
        <v>2017</v>
      </c>
      <c r="B7796" t="s">
        <v>38</v>
      </c>
      <c r="C7796" t="s">
        <v>155</v>
      </c>
      <c r="E7796" t="s">
        <v>355</v>
      </c>
    </row>
    <row r="7797" spans="1:5" x14ac:dyDescent="0.35">
      <c r="A7797">
        <v>2017</v>
      </c>
      <c r="B7797" t="s">
        <v>33</v>
      </c>
      <c r="C7797" t="s">
        <v>141</v>
      </c>
      <c r="D7797">
        <v>212</v>
      </c>
      <c r="E7797" t="s">
        <v>466</v>
      </c>
    </row>
    <row r="7798" spans="1:5" x14ac:dyDescent="0.35">
      <c r="A7798">
        <v>2017</v>
      </c>
      <c r="B7798" t="s">
        <v>34</v>
      </c>
      <c r="C7798" t="s">
        <v>18</v>
      </c>
      <c r="D7798">
        <v>513</v>
      </c>
      <c r="E7798" t="s">
        <v>467</v>
      </c>
    </row>
    <row r="7799" spans="1:5" x14ac:dyDescent="0.35">
      <c r="A7799">
        <v>2017</v>
      </c>
      <c r="B7799" t="s">
        <v>33</v>
      </c>
      <c r="C7799" t="s">
        <v>142</v>
      </c>
      <c r="D7799">
        <v>6</v>
      </c>
      <c r="E7799" t="s">
        <v>466</v>
      </c>
    </row>
    <row r="7800" spans="1:5" x14ac:dyDescent="0.35">
      <c r="A7800">
        <v>2017</v>
      </c>
      <c r="B7800" t="s">
        <v>36</v>
      </c>
      <c r="C7800" t="s">
        <v>164</v>
      </c>
      <c r="D7800">
        <v>22</v>
      </c>
      <c r="E7800" t="s">
        <v>355</v>
      </c>
    </row>
    <row r="7801" spans="1:5" x14ac:dyDescent="0.35">
      <c r="A7801">
        <v>2017</v>
      </c>
      <c r="B7801" t="s">
        <v>33</v>
      </c>
      <c r="C7801" t="s">
        <v>143</v>
      </c>
      <c r="D7801">
        <v>7</v>
      </c>
      <c r="E7801" t="s">
        <v>466</v>
      </c>
    </row>
    <row r="7802" spans="1:5" x14ac:dyDescent="0.35">
      <c r="A7802">
        <v>2017</v>
      </c>
      <c r="B7802" t="s">
        <v>38</v>
      </c>
      <c r="C7802" t="s">
        <v>156</v>
      </c>
      <c r="D7802">
        <v>175</v>
      </c>
      <c r="E7802" t="s">
        <v>467</v>
      </c>
    </row>
    <row r="7803" spans="1:5" x14ac:dyDescent="0.35">
      <c r="A7803">
        <v>2017</v>
      </c>
      <c r="B7803" t="s">
        <v>34</v>
      </c>
      <c r="C7803" t="s">
        <v>144</v>
      </c>
      <c r="D7803">
        <v>733</v>
      </c>
      <c r="E7803" t="s">
        <v>466</v>
      </c>
    </row>
    <row r="7804" spans="1:5" x14ac:dyDescent="0.35">
      <c r="A7804">
        <v>2017</v>
      </c>
      <c r="B7804" t="s">
        <v>38</v>
      </c>
      <c r="C7804" t="s">
        <v>156</v>
      </c>
      <c r="D7804">
        <v>177</v>
      </c>
      <c r="E7804" t="s">
        <v>355</v>
      </c>
    </row>
    <row r="7805" spans="1:5" x14ac:dyDescent="0.35">
      <c r="A7805">
        <v>2017</v>
      </c>
      <c r="B7805" t="s">
        <v>35</v>
      </c>
      <c r="C7805" t="s">
        <v>145</v>
      </c>
      <c r="D7805">
        <v>316</v>
      </c>
      <c r="E7805" t="s">
        <v>466</v>
      </c>
    </row>
    <row r="7806" spans="1:5" x14ac:dyDescent="0.35">
      <c r="A7806">
        <v>2017</v>
      </c>
      <c r="B7806" t="s">
        <v>38</v>
      </c>
      <c r="C7806" t="s">
        <v>155</v>
      </c>
      <c r="D7806">
        <v>11</v>
      </c>
      <c r="E7806" t="s">
        <v>467</v>
      </c>
    </row>
    <row r="7807" spans="1:5" x14ac:dyDescent="0.35">
      <c r="A7807">
        <v>2017</v>
      </c>
      <c r="B7807" t="s">
        <v>36</v>
      </c>
      <c r="C7807" t="s">
        <v>14</v>
      </c>
      <c r="D7807">
        <v>264716</v>
      </c>
      <c r="E7807" t="s">
        <v>466</v>
      </c>
    </row>
    <row r="7808" spans="1:5" x14ac:dyDescent="0.35">
      <c r="A7808">
        <v>2017</v>
      </c>
      <c r="B7808" t="s">
        <v>37</v>
      </c>
      <c r="C7808" t="s">
        <v>146</v>
      </c>
      <c r="D7808">
        <v>8</v>
      </c>
      <c r="E7808" t="s">
        <v>355</v>
      </c>
    </row>
    <row r="7809" spans="1:5" x14ac:dyDescent="0.35">
      <c r="A7809">
        <v>2017</v>
      </c>
      <c r="B7809" t="s">
        <v>37</v>
      </c>
      <c r="C7809" t="s">
        <v>166</v>
      </c>
      <c r="D7809">
        <v>30</v>
      </c>
      <c r="E7809" t="s">
        <v>466</v>
      </c>
    </row>
    <row r="7810" spans="1:5" x14ac:dyDescent="0.35">
      <c r="A7810">
        <v>2017</v>
      </c>
      <c r="B7810" t="s">
        <v>36</v>
      </c>
      <c r="C7810" t="s">
        <v>154</v>
      </c>
      <c r="D7810">
        <v>36</v>
      </c>
      <c r="E7810" t="s">
        <v>467</v>
      </c>
    </row>
    <row r="7811" spans="1:5" x14ac:dyDescent="0.35">
      <c r="A7811">
        <v>2017</v>
      </c>
      <c r="B7811" t="s">
        <v>33</v>
      </c>
      <c r="C7811" t="s">
        <v>187</v>
      </c>
      <c r="D7811">
        <v>51</v>
      </c>
      <c r="E7811" t="s">
        <v>466</v>
      </c>
    </row>
    <row r="7812" spans="1:5" x14ac:dyDescent="0.35">
      <c r="A7812">
        <v>2017</v>
      </c>
      <c r="B7812" t="s">
        <v>36</v>
      </c>
      <c r="C7812" t="s">
        <v>163</v>
      </c>
      <c r="D7812">
        <v>4</v>
      </c>
      <c r="E7812" t="s">
        <v>328</v>
      </c>
    </row>
    <row r="7813" spans="1:5" x14ac:dyDescent="0.35">
      <c r="A7813">
        <v>2017</v>
      </c>
      <c r="B7813" t="s">
        <v>33</v>
      </c>
      <c r="C7813" t="s">
        <v>168</v>
      </c>
      <c r="D7813">
        <v>197</v>
      </c>
      <c r="E7813" t="s">
        <v>466</v>
      </c>
    </row>
    <row r="7814" spans="1:5" x14ac:dyDescent="0.35">
      <c r="A7814">
        <v>2017</v>
      </c>
      <c r="B7814" t="s">
        <v>33</v>
      </c>
      <c r="C7814" t="s">
        <v>174</v>
      </c>
      <c r="D7814">
        <v>10</v>
      </c>
      <c r="E7814" t="s">
        <v>467</v>
      </c>
    </row>
    <row r="7815" spans="1:5" x14ac:dyDescent="0.35">
      <c r="A7815">
        <v>2017</v>
      </c>
      <c r="B7815" t="s">
        <v>37</v>
      </c>
      <c r="C7815" t="s">
        <v>190</v>
      </c>
      <c r="D7815">
        <v>63</v>
      </c>
      <c r="E7815" t="s">
        <v>466</v>
      </c>
    </row>
    <row r="7816" spans="1:5" x14ac:dyDescent="0.35">
      <c r="A7816">
        <v>2017</v>
      </c>
      <c r="B7816" t="s">
        <v>36</v>
      </c>
      <c r="C7816" t="s">
        <v>163</v>
      </c>
      <c r="D7816">
        <v>13</v>
      </c>
      <c r="E7816" t="s">
        <v>355</v>
      </c>
    </row>
    <row r="7817" spans="1:5" x14ac:dyDescent="0.35">
      <c r="A7817">
        <v>2017</v>
      </c>
      <c r="B7817" t="s">
        <v>36</v>
      </c>
      <c r="C7817" t="s">
        <v>191</v>
      </c>
      <c r="D7817">
        <v>304</v>
      </c>
      <c r="E7817" t="s">
        <v>466</v>
      </c>
    </row>
    <row r="7818" spans="1:5" x14ac:dyDescent="0.35">
      <c r="A7818">
        <v>2017</v>
      </c>
      <c r="B7818" t="s">
        <v>34</v>
      </c>
      <c r="C7818" t="s">
        <v>151</v>
      </c>
      <c r="D7818">
        <v>14</v>
      </c>
      <c r="E7818" t="s">
        <v>467</v>
      </c>
    </row>
    <row r="7819" spans="1:5" x14ac:dyDescent="0.35">
      <c r="A7819">
        <v>2017</v>
      </c>
      <c r="B7819" t="s">
        <v>33</v>
      </c>
      <c r="C7819" t="s">
        <v>192</v>
      </c>
      <c r="D7819">
        <v>97</v>
      </c>
      <c r="E7819" t="s">
        <v>466</v>
      </c>
    </row>
    <row r="7820" spans="1:5" x14ac:dyDescent="0.35">
      <c r="A7820">
        <v>2017</v>
      </c>
      <c r="B7820" t="s">
        <v>33</v>
      </c>
      <c r="C7820" t="s">
        <v>162</v>
      </c>
      <c r="D7820">
        <v>6</v>
      </c>
      <c r="E7820" t="s">
        <v>328</v>
      </c>
    </row>
    <row r="7821" spans="1:5" x14ac:dyDescent="0.35">
      <c r="A7821">
        <v>2017</v>
      </c>
      <c r="B7821" t="s">
        <v>34</v>
      </c>
      <c r="C7821" t="s">
        <v>193</v>
      </c>
      <c r="D7821">
        <v>463</v>
      </c>
      <c r="E7821" t="s">
        <v>466</v>
      </c>
    </row>
    <row r="7822" spans="1:5" x14ac:dyDescent="0.35">
      <c r="A7822">
        <v>2017</v>
      </c>
      <c r="B7822" t="s">
        <v>35</v>
      </c>
      <c r="C7822" t="s">
        <v>150</v>
      </c>
      <c r="D7822">
        <v>68</v>
      </c>
      <c r="E7822" t="s">
        <v>467</v>
      </c>
    </row>
    <row r="7823" spans="1:5" x14ac:dyDescent="0.35">
      <c r="A7823">
        <v>2017</v>
      </c>
      <c r="B7823" t="s">
        <v>34</v>
      </c>
      <c r="C7823" t="s">
        <v>194</v>
      </c>
      <c r="D7823">
        <v>68</v>
      </c>
      <c r="E7823" t="s">
        <v>466</v>
      </c>
    </row>
    <row r="7824" spans="1:5" x14ac:dyDescent="0.35">
      <c r="A7824">
        <v>2017</v>
      </c>
      <c r="B7824" t="s">
        <v>33</v>
      </c>
      <c r="C7824" t="s">
        <v>162</v>
      </c>
      <c r="D7824">
        <v>3</v>
      </c>
      <c r="E7824" t="s">
        <v>355</v>
      </c>
    </row>
    <row r="7825" spans="1:5" x14ac:dyDescent="0.35">
      <c r="A7825">
        <v>2017</v>
      </c>
      <c r="B7825" t="s">
        <v>33</v>
      </c>
      <c r="C7825" t="s">
        <v>195</v>
      </c>
      <c r="D7825">
        <v>68</v>
      </c>
      <c r="E7825" t="s">
        <v>466</v>
      </c>
    </row>
    <row r="7826" spans="1:5" x14ac:dyDescent="0.35">
      <c r="A7826">
        <v>2017</v>
      </c>
      <c r="B7826" t="s">
        <v>33</v>
      </c>
      <c r="C7826" t="s">
        <v>162</v>
      </c>
      <c r="D7826">
        <v>12</v>
      </c>
      <c r="E7826" t="s">
        <v>467</v>
      </c>
    </row>
    <row r="7827" spans="1:5" x14ac:dyDescent="0.35">
      <c r="A7827">
        <v>2017</v>
      </c>
      <c r="B7827" t="s">
        <v>35</v>
      </c>
      <c r="C7827" t="s">
        <v>196</v>
      </c>
      <c r="D7827">
        <v>560</v>
      </c>
      <c r="E7827" t="s">
        <v>466</v>
      </c>
    </row>
    <row r="7828" spans="1:5" x14ac:dyDescent="0.35">
      <c r="A7828">
        <v>2017</v>
      </c>
      <c r="B7828" t="s">
        <v>35</v>
      </c>
      <c r="C7828" t="s">
        <v>161</v>
      </c>
      <c r="D7828">
        <v>124</v>
      </c>
      <c r="E7828" t="s">
        <v>328</v>
      </c>
    </row>
    <row r="7829" spans="1:5" x14ac:dyDescent="0.35">
      <c r="A7829">
        <v>2017</v>
      </c>
      <c r="B7829" t="s">
        <v>34</v>
      </c>
      <c r="C7829" t="s">
        <v>197</v>
      </c>
      <c r="D7829">
        <v>35</v>
      </c>
      <c r="E7829" t="s">
        <v>466</v>
      </c>
    </row>
    <row r="7830" spans="1:5" x14ac:dyDescent="0.35">
      <c r="A7830">
        <v>2017</v>
      </c>
      <c r="B7830" t="s">
        <v>33</v>
      </c>
      <c r="C7830" t="s">
        <v>175</v>
      </c>
      <c r="D7830">
        <v>94</v>
      </c>
      <c r="E7830" t="s">
        <v>467</v>
      </c>
    </row>
    <row r="7831" spans="1:5" x14ac:dyDescent="0.35">
      <c r="A7831">
        <v>2017</v>
      </c>
      <c r="B7831" t="s">
        <v>35</v>
      </c>
      <c r="C7831" t="s">
        <v>198</v>
      </c>
      <c r="D7831">
        <v>1455</v>
      </c>
      <c r="E7831" t="s">
        <v>466</v>
      </c>
    </row>
    <row r="7832" spans="1:5" x14ac:dyDescent="0.35">
      <c r="A7832">
        <v>2017</v>
      </c>
      <c r="B7832" t="s">
        <v>35</v>
      </c>
      <c r="C7832" t="s">
        <v>161</v>
      </c>
      <c r="D7832">
        <v>59</v>
      </c>
      <c r="E7832" t="s">
        <v>355</v>
      </c>
    </row>
    <row r="7833" spans="1:5" x14ac:dyDescent="0.35">
      <c r="A7833">
        <v>2017</v>
      </c>
      <c r="B7833" t="s">
        <v>39</v>
      </c>
      <c r="C7833" t="s">
        <v>39</v>
      </c>
      <c r="D7833">
        <v>1065</v>
      </c>
      <c r="E7833" t="s">
        <v>466</v>
      </c>
    </row>
    <row r="7834" spans="1:5" x14ac:dyDescent="0.35">
      <c r="A7834">
        <v>2017</v>
      </c>
      <c r="B7834" t="s">
        <v>33</v>
      </c>
      <c r="C7834" t="s">
        <v>192</v>
      </c>
      <c r="D7834">
        <v>54</v>
      </c>
      <c r="E7834" t="s">
        <v>467</v>
      </c>
    </row>
    <row r="7835" spans="1:5" x14ac:dyDescent="0.35">
      <c r="A7835">
        <v>2017</v>
      </c>
      <c r="B7835" t="s">
        <v>38</v>
      </c>
      <c r="C7835" t="s">
        <v>199</v>
      </c>
      <c r="D7835">
        <v>117</v>
      </c>
      <c r="E7835" t="s">
        <v>466</v>
      </c>
    </row>
    <row r="7836" spans="1:5" x14ac:dyDescent="0.35">
      <c r="A7836">
        <v>2017</v>
      </c>
      <c r="B7836" t="s">
        <v>38</v>
      </c>
      <c r="C7836" t="s">
        <v>155</v>
      </c>
      <c r="E7836" t="s">
        <v>328</v>
      </c>
    </row>
    <row r="7837" spans="1:5" x14ac:dyDescent="0.35">
      <c r="A7837">
        <v>2017</v>
      </c>
      <c r="B7837" t="s">
        <v>34</v>
      </c>
      <c r="C7837" t="s">
        <v>200</v>
      </c>
      <c r="D7837">
        <v>171</v>
      </c>
      <c r="E7837" t="s">
        <v>466</v>
      </c>
    </row>
    <row r="7838" spans="1:5" x14ac:dyDescent="0.35">
      <c r="A7838">
        <v>2017</v>
      </c>
      <c r="B7838" t="s">
        <v>34</v>
      </c>
      <c r="C7838" t="s">
        <v>178</v>
      </c>
      <c r="D7838">
        <v>52</v>
      </c>
      <c r="E7838" t="s">
        <v>467</v>
      </c>
    </row>
    <row r="7839" spans="1:5" x14ac:dyDescent="0.35">
      <c r="A7839">
        <v>2017</v>
      </c>
      <c r="B7839" t="s">
        <v>38</v>
      </c>
      <c r="C7839" t="s">
        <v>19</v>
      </c>
      <c r="D7839">
        <v>2383</v>
      </c>
      <c r="E7839" t="s">
        <v>466</v>
      </c>
    </row>
    <row r="7840" spans="1:5" x14ac:dyDescent="0.35">
      <c r="A7840">
        <v>2017</v>
      </c>
      <c r="B7840" t="s">
        <v>35</v>
      </c>
      <c r="C7840" t="s">
        <v>160</v>
      </c>
      <c r="D7840">
        <v>178</v>
      </c>
      <c r="E7840" t="s">
        <v>328</v>
      </c>
    </row>
    <row r="7841" spans="1:5" x14ac:dyDescent="0.35">
      <c r="A7841">
        <v>2017</v>
      </c>
      <c r="B7841" t="s">
        <v>34</v>
      </c>
      <c r="C7841" t="s">
        <v>201</v>
      </c>
      <c r="D7841">
        <v>855</v>
      </c>
      <c r="E7841" t="s">
        <v>466</v>
      </c>
    </row>
    <row r="7842" spans="1:5" x14ac:dyDescent="0.35">
      <c r="A7842">
        <v>2017</v>
      </c>
      <c r="B7842" t="s">
        <v>35</v>
      </c>
      <c r="C7842" t="s">
        <v>322</v>
      </c>
      <c r="D7842">
        <v>21</v>
      </c>
      <c r="E7842" t="s">
        <v>467</v>
      </c>
    </row>
    <row r="7843" spans="1:5" x14ac:dyDescent="0.35">
      <c r="A7843">
        <v>2017</v>
      </c>
      <c r="B7843" t="s">
        <v>35</v>
      </c>
      <c r="C7843" t="s">
        <v>128</v>
      </c>
      <c r="D7843">
        <v>3</v>
      </c>
      <c r="E7843" t="s">
        <v>466</v>
      </c>
    </row>
    <row r="7844" spans="1:5" x14ac:dyDescent="0.35">
      <c r="A7844">
        <v>2017</v>
      </c>
      <c r="B7844" t="s">
        <v>35</v>
      </c>
      <c r="C7844" t="s">
        <v>158</v>
      </c>
      <c r="D7844">
        <v>30</v>
      </c>
      <c r="E7844" t="s">
        <v>328</v>
      </c>
    </row>
    <row r="7845" spans="1:5" x14ac:dyDescent="0.35">
      <c r="A7845">
        <v>2017</v>
      </c>
      <c r="B7845" t="s">
        <v>33</v>
      </c>
      <c r="C7845" t="s">
        <v>203</v>
      </c>
      <c r="D7845">
        <v>66</v>
      </c>
      <c r="E7845" t="s">
        <v>466</v>
      </c>
    </row>
    <row r="7846" spans="1:5" x14ac:dyDescent="0.35">
      <c r="A7846">
        <v>2017</v>
      </c>
      <c r="B7846" t="s">
        <v>39</v>
      </c>
      <c r="C7846" t="s">
        <v>39</v>
      </c>
      <c r="D7846">
        <v>141</v>
      </c>
      <c r="E7846" t="s">
        <v>467</v>
      </c>
    </row>
    <row r="7847" spans="1:5" x14ac:dyDescent="0.35">
      <c r="A7847">
        <v>2017</v>
      </c>
      <c r="B7847" t="s">
        <v>33</v>
      </c>
      <c r="C7847" t="s">
        <v>204</v>
      </c>
      <c r="D7847">
        <v>61</v>
      </c>
      <c r="E7847" t="s">
        <v>466</v>
      </c>
    </row>
    <row r="7848" spans="1:5" x14ac:dyDescent="0.35">
      <c r="A7848">
        <v>2017</v>
      </c>
      <c r="B7848" t="s">
        <v>35</v>
      </c>
      <c r="C7848" t="s">
        <v>158</v>
      </c>
      <c r="D7848">
        <v>34</v>
      </c>
      <c r="E7848" t="s">
        <v>355</v>
      </c>
    </row>
    <row r="7849" spans="1:5" x14ac:dyDescent="0.35">
      <c r="A7849">
        <v>2017</v>
      </c>
      <c r="B7849" t="s">
        <v>33</v>
      </c>
      <c r="C7849" t="s">
        <v>189</v>
      </c>
      <c r="D7849">
        <v>82</v>
      </c>
      <c r="E7849" t="s">
        <v>466</v>
      </c>
    </row>
    <row r="7850" spans="1:5" x14ac:dyDescent="0.35">
      <c r="A7850">
        <v>2017</v>
      </c>
      <c r="C7850" t="s">
        <v>373</v>
      </c>
      <c r="D7850">
        <v>88</v>
      </c>
      <c r="E7850" t="s">
        <v>467</v>
      </c>
    </row>
    <row r="7851" spans="1:5" x14ac:dyDescent="0.35">
      <c r="A7851">
        <v>2017</v>
      </c>
      <c r="B7851" t="s">
        <v>34</v>
      </c>
      <c r="C7851" t="s">
        <v>188</v>
      </c>
      <c r="D7851">
        <v>269</v>
      </c>
      <c r="E7851" t="s">
        <v>466</v>
      </c>
    </row>
    <row r="7852" spans="1:5" x14ac:dyDescent="0.35">
      <c r="A7852">
        <v>2017</v>
      </c>
      <c r="B7852" t="s">
        <v>35</v>
      </c>
      <c r="C7852" t="s">
        <v>157</v>
      </c>
      <c r="D7852">
        <v>78</v>
      </c>
      <c r="E7852" t="s">
        <v>328</v>
      </c>
    </row>
    <row r="7853" spans="1:5" x14ac:dyDescent="0.35">
      <c r="A7853">
        <v>2017</v>
      </c>
      <c r="B7853" t="s">
        <v>34</v>
      </c>
      <c r="C7853" t="s">
        <v>186</v>
      </c>
      <c r="D7853">
        <v>22</v>
      </c>
      <c r="E7853" t="s">
        <v>466</v>
      </c>
    </row>
    <row r="7854" spans="1:5" x14ac:dyDescent="0.35">
      <c r="A7854">
        <v>2017</v>
      </c>
      <c r="B7854" t="s">
        <v>33</v>
      </c>
      <c r="C7854" t="s">
        <v>203</v>
      </c>
      <c r="D7854">
        <v>11</v>
      </c>
      <c r="E7854" t="s">
        <v>467</v>
      </c>
    </row>
    <row r="7855" spans="1:5" x14ac:dyDescent="0.35">
      <c r="A7855">
        <v>2017</v>
      </c>
      <c r="B7855" t="s">
        <v>34</v>
      </c>
      <c r="C7855" t="s">
        <v>185</v>
      </c>
      <c r="D7855">
        <v>547</v>
      </c>
      <c r="E7855" t="s">
        <v>466</v>
      </c>
    </row>
    <row r="7856" spans="1:5" x14ac:dyDescent="0.35">
      <c r="A7856">
        <v>2017</v>
      </c>
      <c r="B7856" t="s">
        <v>35</v>
      </c>
      <c r="C7856" t="s">
        <v>157</v>
      </c>
      <c r="D7856">
        <v>75</v>
      </c>
      <c r="E7856" t="s">
        <v>355</v>
      </c>
    </row>
    <row r="7857" spans="1:5" x14ac:dyDescent="0.35">
      <c r="A7857">
        <v>2017</v>
      </c>
      <c r="B7857" t="s">
        <v>35</v>
      </c>
      <c r="C7857" t="s">
        <v>169</v>
      </c>
      <c r="D7857">
        <v>105</v>
      </c>
      <c r="E7857" t="s">
        <v>466</v>
      </c>
    </row>
    <row r="7858" spans="1:5" x14ac:dyDescent="0.35">
      <c r="A7858">
        <v>2017</v>
      </c>
      <c r="B7858" t="s">
        <v>34</v>
      </c>
      <c r="C7858" t="s">
        <v>202</v>
      </c>
      <c r="D7858">
        <v>43</v>
      </c>
      <c r="E7858" t="s">
        <v>467</v>
      </c>
    </row>
    <row r="7859" spans="1:5" x14ac:dyDescent="0.35">
      <c r="A7859">
        <v>2017</v>
      </c>
      <c r="B7859" t="s">
        <v>35</v>
      </c>
      <c r="C7859" t="s">
        <v>215</v>
      </c>
      <c r="D7859">
        <v>85</v>
      </c>
      <c r="E7859" t="s">
        <v>466</v>
      </c>
    </row>
    <row r="7860" spans="1:5" x14ac:dyDescent="0.35">
      <c r="A7860">
        <v>2017</v>
      </c>
      <c r="B7860" t="s">
        <v>34</v>
      </c>
      <c r="C7860" t="s">
        <v>18</v>
      </c>
      <c r="D7860">
        <v>212</v>
      </c>
      <c r="E7860" t="s">
        <v>328</v>
      </c>
    </row>
    <row r="7861" spans="1:5" x14ac:dyDescent="0.35">
      <c r="A7861">
        <v>2017</v>
      </c>
      <c r="B7861" t="s">
        <v>33</v>
      </c>
      <c r="C7861" t="s">
        <v>170</v>
      </c>
      <c r="D7861">
        <v>128</v>
      </c>
      <c r="E7861" t="s">
        <v>466</v>
      </c>
    </row>
    <row r="7862" spans="1:5" x14ac:dyDescent="0.35">
      <c r="A7862">
        <v>2017</v>
      </c>
      <c r="B7862" t="s">
        <v>34</v>
      </c>
      <c r="C7862" t="s">
        <v>201</v>
      </c>
      <c r="D7862">
        <v>92</v>
      </c>
      <c r="E7862" t="s">
        <v>467</v>
      </c>
    </row>
    <row r="7863" spans="1:5" x14ac:dyDescent="0.35">
      <c r="A7863">
        <v>2017</v>
      </c>
      <c r="B7863" t="s">
        <v>34</v>
      </c>
      <c r="C7863" t="s">
        <v>171</v>
      </c>
      <c r="D7863">
        <v>50</v>
      </c>
      <c r="E7863" t="s">
        <v>466</v>
      </c>
    </row>
    <row r="7864" spans="1:5" x14ac:dyDescent="0.35">
      <c r="A7864">
        <v>2017</v>
      </c>
      <c r="B7864" t="s">
        <v>34</v>
      </c>
      <c r="C7864" t="s">
        <v>18</v>
      </c>
      <c r="D7864">
        <v>119</v>
      </c>
      <c r="E7864" t="s">
        <v>355</v>
      </c>
    </row>
    <row r="7865" spans="1:5" x14ac:dyDescent="0.35">
      <c r="A7865">
        <v>2017</v>
      </c>
      <c r="B7865" t="s">
        <v>35</v>
      </c>
      <c r="C7865" t="s">
        <v>172</v>
      </c>
      <c r="D7865">
        <v>100</v>
      </c>
      <c r="E7865" t="s">
        <v>466</v>
      </c>
    </row>
    <row r="7866" spans="1:5" x14ac:dyDescent="0.35">
      <c r="A7866">
        <v>2017</v>
      </c>
      <c r="B7866" t="s">
        <v>38</v>
      </c>
      <c r="C7866" t="s">
        <v>19</v>
      </c>
      <c r="D7866">
        <v>546</v>
      </c>
      <c r="E7866" t="s">
        <v>467</v>
      </c>
    </row>
    <row r="7867" spans="1:5" x14ac:dyDescent="0.35">
      <c r="A7867">
        <v>2017</v>
      </c>
      <c r="B7867" t="s">
        <v>35</v>
      </c>
      <c r="C7867" t="s">
        <v>173</v>
      </c>
      <c r="D7867">
        <v>26</v>
      </c>
      <c r="E7867" t="s">
        <v>466</v>
      </c>
    </row>
    <row r="7868" spans="1:5" x14ac:dyDescent="0.35">
      <c r="A7868">
        <v>2017</v>
      </c>
      <c r="B7868" t="s">
        <v>38</v>
      </c>
      <c r="C7868" t="s">
        <v>156</v>
      </c>
      <c r="D7868">
        <v>430</v>
      </c>
      <c r="E7868" t="s">
        <v>328</v>
      </c>
    </row>
    <row r="7869" spans="1:5" x14ac:dyDescent="0.35">
      <c r="A7869">
        <v>2017</v>
      </c>
      <c r="B7869" t="s">
        <v>33</v>
      </c>
      <c r="C7869" t="s">
        <v>174</v>
      </c>
      <c r="D7869">
        <v>528</v>
      </c>
      <c r="E7869" t="s">
        <v>466</v>
      </c>
    </row>
    <row r="7870" spans="1:5" x14ac:dyDescent="0.35">
      <c r="A7870">
        <v>2017</v>
      </c>
      <c r="B7870" t="s">
        <v>34</v>
      </c>
      <c r="C7870" t="s">
        <v>200</v>
      </c>
      <c r="D7870">
        <v>19</v>
      </c>
      <c r="E7870" t="s">
        <v>467</v>
      </c>
    </row>
    <row r="7871" spans="1:5" x14ac:dyDescent="0.35">
      <c r="A7871">
        <v>2017</v>
      </c>
      <c r="B7871" t="s">
        <v>33</v>
      </c>
      <c r="C7871" t="s">
        <v>175</v>
      </c>
      <c r="D7871">
        <v>193</v>
      </c>
      <c r="E7871" t="s">
        <v>466</v>
      </c>
    </row>
    <row r="7872" spans="1:5" x14ac:dyDescent="0.35">
      <c r="A7872">
        <v>2017</v>
      </c>
      <c r="B7872" t="s">
        <v>35</v>
      </c>
      <c r="C7872" t="s">
        <v>160</v>
      </c>
      <c r="D7872">
        <v>88</v>
      </c>
      <c r="E7872" t="s">
        <v>355</v>
      </c>
    </row>
    <row r="7873" spans="1:5" x14ac:dyDescent="0.35">
      <c r="A7873">
        <v>2017</v>
      </c>
      <c r="B7873" t="s">
        <v>34</v>
      </c>
      <c r="C7873" t="s">
        <v>167</v>
      </c>
      <c r="D7873">
        <v>680</v>
      </c>
      <c r="E7873" t="s">
        <v>466</v>
      </c>
    </row>
    <row r="7874" spans="1:5" x14ac:dyDescent="0.35">
      <c r="A7874">
        <v>2017</v>
      </c>
      <c r="B7874" t="s">
        <v>38</v>
      </c>
      <c r="C7874" t="s">
        <v>199</v>
      </c>
      <c r="D7874">
        <v>15</v>
      </c>
      <c r="E7874" t="s">
        <v>467</v>
      </c>
    </row>
    <row r="7875" spans="1:5" x14ac:dyDescent="0.35">
      <c r="A7875">
        <v>2017</v>
      </c>
      <c r="B7875" t="s">
        <v>33</v>
      </c>
      <c r="C7875" t="s">
        <v>176</v>
      </c>
      <c r="D7875">
        <v>39</v>
      </c>
      <c r="E7875" t="s">
        <v>466</v>
      </c>
    </row>
    <row r="7876" spans="1:5" x14ac:dyDescent="0.35">
      <c r="A7876">
        <v>2017</v>
      </c>
      <c r="B7876" t="s">
        <v>35</v>
      </c>
      <c r="C7876" t="s">
        <v>145</v>
      </c>
      <c r="D7876">
        <v>21</v>
      </c>
      <c r="E7876" t="s">
        <v>328</v>
      </c>
    </row>
    <row r="7877" spans="1:5" x14ac:dyDescent="0.35">
      <c r="A7877">
        <v>2017</v>
      </c>
      <c r="B7877" t="s">
        <v>35</v>
      </c>
      <c r="C7877" t="s">
        <v>177</v>
      </c>
      <c r="D7877">
        <v>1359</v>
      </c>
      <c r="E7877" t="s">
        <v>466</v>
      </c>
    </row>
    <row r="7878" spans="1:5" x14ac:dyDescent="0.35">
      <c r="A7878">
        <v>2017</v>
      </c>
      <c r="B7878" t="s">
        <v>35</v>
      </c>
      <c r="C7878" t="s">
        <v>198</v>
      </c>
      <c r="D7878">
        <v>1100</v>
      </c>
      <c r="E7878" t="s">
        <v>467</v>
      </c>
    </row>
    <row r="7879" spans="1:5" x14ac:dyDescent="0.35">
      <c r="A7879">
        <v>2017</v>
      </c>
      <c r="B7879" t="s">
        <v>34</v>
      </c>
      <c r="C7879" t="s">
        <v>178</v>
      </c>
      <c r="D7879">
        <v>179</v>
      </c>
      <c r="E7879" t="s">
        <v>466</v>
      </c>
    </row>
    <row r="7880" spans="1:5" x14ac:dyDescent="0.35">
      <c r="A7880">
        <v>2017</v>
      </c>
      <c r="B7880" t="s">
        <v>35</v>
      </c>
      <c r="C7880" t="s">
        <v>119</v>
      </c>
      <c r="D7880">
        <v>4</v>
      </c>
      <c r="E7880" t="s">
        <v>355</v>
      </c>
    </row>
    <row r="7881" spans="1:5" x14ac:dyDescent="0.35">
      <c r="A7881">
        <v>2017</v>
      </c>
      <c r="B7881" t="s">
        <v>33</v>
      </c>
      <c r="C7881" t="s">
        <v>179</v>
      </c>
      <c r="D7881">
        <v>192</v>
      </c>
      <c r="E7881" t="s">
        <v>466</v>
      </c>
    </row>
    <row r="7882" spans="1:5" x14ac:dyDescent="0.35">
      <c r="A7882">
        <v>2017</v>
      </c>
      <c r="B7882" t="s">
        <v>34</v>
      </c>
      <c r="C7882" t="s">
        <v>197</v>
      </c>
      <c r="D7882">
        <v>19</v>
      </c>
      <c r="E7882" t="s">
        <v>467</v>
      </c>
    </row>
    <row r="7883" spans="1:5" x14ac:dyDescent="0.35">
      <c r="A7883">
        <v>2017</v>
      </c>
      <c r="B7883" t="s">
        <v>38</v>
      </c>
      <c r="C7883" t="s">
        <v>180</v>
      </c>
      <c r="D7883">
        <v>37</v>
      </c>
      <c r="E7883" t="s">
        <v>466</v>
      </c>
    </row>
    <row r="7884" spans="1:5" x14ac:dyDescent="0.35">
      <c r="A7884">
        <v>2017</v>
      </c>
      <c r="B7884" t="s">
        <v>34</v>
      </c>
      <c r="C7884" t="s">
        <v>144</v>
      </c>
      <c r="D7884">
        <v>46</v>
      </c>
      <c r="E7884" t="s">
        <v>328</v>
      </c>
    </row>
    <row r="7885" spans="1:5" x14ac:dyDescent="0.35">
      <c r="A7885">
        <v>2017</v>
      </c>
      <c r="B7885" t="s">
        <v>33</v>
      </c>
      <c r="C7885" t="s">
        <v>181</v>
      </c>
      <c r="D7885">
        <v>3</v>
      </c>
      <c r="E7885" t="s">
        <v>466</v>
      </c>
    </row>
    <row r="7886" spans="1:5" x14ac:dyDescent="0.35">
      <c r="A7886">
        <v>2017</v>
      </c>
      <c r="B7886" t="s">
        <v>35</v>
      </c>
      <c r="C7886" t="s">
        <v>196</v>
      </c>
      <c r="D7886">
        <v>153</v>
      </c>
      <c r="E7886" t="s">
        <v>467</v>
      </c>
    </row>
    <row r="7887" spans="1:5" x14ac:dyDescent="0.35">
      <c r="A7887">
        <v>2017</v>
      </c>
      <c r="B7887" t="s">
        <v>35</v>
      </c>
      <c r="C7887" t="s">
        <v>182</v>
      </c>
      <c r="D7887">
        <v>195</v>
      </c>
      <c r="E7887" t="s">
        <v>466</v>
      </c>
    </row>
    <row r="7888" spans="1:5" x14ac:dyDescent="0.35">
      <c r="A7888">
        <v>2017</v>
      </c>
      <c r="B7888" t="s">
        <v>35</v>
      </c>
      <c r="C7888" t="s">
        <v>127</v>
      </c>
      <c r="D7888">
        <v>16</v>
      </c>
      <c r="E7888" t="s">
        <v>355</v>
      </c>
    </row>
    <row r="7889" spans="1:5" x14ac:dyDescent="0.35">
      <c r="A7889">
        <v>2017</v>
      </c>
      <c r="B7889" t="s">
        <v>35</v>
      </c>
      <c r="C7889" t="s">
        <v>183</v>
      </c>
      <c r="D7889">
        <v>99</v>
      </c>
      <c r="E7889" t="s">
        <v>466</v>
      </c>
    </row>
    <row r="7890" spans="1:5" x14ac:dyDescent="0.35">
      <c r="A7890">
        <v>2017</v>
      </c>
      <c r="B7890" t="s">
        <v>33</v>
      </c>
      <c r="C7890" t="s">
        <v>195</v>
      </c>
      <c r="D7890">
        <v>19</v>
      </c>
      <c r="E7890" t="s">
        <v>467</v>
      </c>
    </row>
    <row r="7891" spans="1:5" x14ac:dyDescent="0.35">
      <c r="A7891">
        <v>2017</v>
      </c>
      <c r="B7891" t="s">
        <v>34</v>
      </c>
      <c r="C7891" t="s">
        <v>184</v>
      </c>
      <c r="D7891">
        <v>466</v>
      </c>
      <c r="E7891" t="s">
        <v>466</v>
      </c>
    </row>
    <row r="7892" spans="1:5" x14ac:dyDescent="0.35">
      <c r="A7892">
        <v>2017</v>
      </c>
      <c r="B7892" t="s">
        <v>33</v>
      </c>
      <c r="C7892" t="s">
        <v>125</v>
      </c>
      <c r="D7892">
        <v>7</v>
      </c>
      <c r="E7892" t="s">
        <v>328</v>
      </c>
    </row>
    <row r="7893" spans="1:5" x14ac:dyDescent="0.35">
      <c r="A7893">
        <v>2017</v>
      </c>
      <c r="B7893" t="s">
        <v>35</v>
      </c>
      <c r="C7893" t="s">
        <v>216</v>
      </c>
      <c r="D7893">
        <v>35</v>
      </c>
      <c r="E7893" t="s">
        <v>466</v>
      </c>
    </row>
    <row r="7894" spans="1:5" x14ac:dyDescent="0.35">
      <c r="A7894">
        <v>2017</v>
      </c>
      <c r="B7894" t="s">
        <v>34</v>
      </c>
      <c r="C7894" t="s">
        <v>194</v>
      </c>
      <c r="D7894">
        <v>43</v>
      </c>
      <c r="E7894" t="s">
        <v>467</v>
      </c>
    </row>
    <row r="7895" spans="1:5" x14ac:dyDescent="0.35">
      <c r="A7895">
        <v>2017</v>
      </c>
      <c r="B7895" t="s">
        <v>35</v>
      </c>
      <c r="C7895" t="s">
        <v>127</v>
      </c>
      <c r="D7895">
        <v>123</v>
      </c>
      <c r="E7895" t="s">
        <v>466</v>
      </c>
    </row>
    <row r="7896" spans="1:5" x14ac:dyDescent="0.35">
      <c r="A7896">
        <v>2017</v>
      </c>
      <c r="B7896" t="s">
        <v>33</v>
      </c>
      <c r="C7896" t="s">
        <v>125</v>
      </c>
      <c r="D7896">
        <v>101</v>
      </c>
      <c r="E7896" t="s">
        <v>355</v>
      </c>
    </row>
    <row r="7897" spans="1:5" x14ac:dyDescent="0.35">
      <c r="A7897">
        <v>2017</v>
      </c>
      <c r="B7897" t="s">
        <v>34</v>
      </c>
      <c r="C7897" t="s">
        <v>202</v>
      </c>
      <c r="D7897">
        <v>526</v>
      </c>
      <c r="E7897" t="s">
        <v>466</v>
      </c>
    </row>
    <row r="7898" spans="1:5" x14ac:dyDescent="0.35">
      <c r="A7898">
        <v>2017</v>
      </c>
      <c r="B7898" t="s">
        <v>34</v>
      </c>
      <c r="C7898" t="s">
        <v>193</v>
      </c>
      <c r="D7898">
        <v>126</v>
      </c>
      <c r="E7898" t="s">
        <v>467</v>
      </c>
    </row>
    <row r="7899" spans="1:5" x14ac:dyDescent="0.35">
      <c r="A7899">
        <v>2017</v>
      </c>
      <c r="B7899" t="s">
        <v>33</v>
      </c>
      <c r="C7899" t="s">
        <v>125</v>
      </c>
      <c r="D7899">
        <v>273</v>
      </c>
      <c r="E7899" t="s">
        <v>466</v>
      </c>
    </row>
    <row r="7900" spans="1:5" x14ac:dyDescent="0.35">
      <c r="A7900">
        <v>2017</v>
      </c>
      <c r="B7900" t="s">
        <v>34</v>
      </c>
      <c r="C7900" t="s">
        <v>124</v>
      </c>
      <c r="D7900">
        <v>27</v>
      </c>
      <c r="E7900" t="s">
        <v>328</v>
      </c>
    </row>
    <row r="7901" spans="1:5" x14ac:dyDescent="0.35">
      <c r="A7901">
        <v>2017</v>
      </c>
      <c r="B7901" t="s">
        <v>33</v>
      </c>
      <c r="C7901" t="s">
        <v>63</v>
      </c>
      <c r="D7901">
        <v>59</v>
      </c>
      <c r="E7901" t="s">
        <v>466</v>
      </c>
    </row>
    <row r="7902" spans="1:5" x14ac:dyDescent="0.35">
      <c r="A7902">
        <v>2017</v>
      </c>
      <c r="B7902" t="s">
        <v>36</v>
      </c>
      <c r="C7902" t="s">
        <v>191</v>
      </c>
      <c r="D7902">
        <v>42</v>
      </c>
      <c r="E7902" t="s">
        <v>467</v>
      </c>
    </row>
    <row r="7903" spans="1:5" x14ac:dyDescent="0.35">
      <c r="A7903">
        <v>2017</v>
      </c>
      <c r="B7903" t="s">
        <v>34</v>
      </c>
      <c r="C7903" t="s">
        <v>64</v>
      </c>
      <c r="D7903">
        <v>87</v>
      </c>
      <c r="E7903" t="s">
        <v>466</v>
      </c>
    </row>
    <row r="7904" spans="1:5" x14ac:dyDescent="0.35">
      <c r="A7904">
        <v>2017</v>
      </c>
      <c r="B7904" t="s">
        <v>34</v>
      </c>
      <c r="C7904" t="s">
        <v>124</v>
      </c>
      <c r="D7904">
        <v>12</v>
      </c>
      <c r="E7904" t="s">
        <v>355</v>
      </c>
    </row>
    <row r="7905" spans="1:5" x14ac:dyDescent="0.35">
      <c r="A7905">
        <v>2017</v>
      </c>
      <c r="B7905" t="s">
        <v>33</v>
      </c>
      <c r="C7905" t="s">
        <v>65</v>
      </c>
      <c r="D7905">
        <v>53</v>
      </c>
      <c r="E7905" t="s">
        <v>466</v>
      </c>
    </row>
    <row r="7906" spans="1:5" x14ac:dyDescent="0.35">
      <c r="A7906">
        <v>2017</v>
      </c>
      <c r="B7906" t="s">
        <v>37</v>
      </c>
      <c r="C7906" t="s">
        <v>190</v>
      </c>
      <c r="D7906">
        <v>12</v>
      </c>
      <c r="E7906" t="s">
        <v>467</v>
      </c>
    </row>
    <row r="7907" spans="1:5" x14ac:dyDescent="0.35">
      <c r="A7907">
        <v>2017</v>
      </c>
      <c r="B7907" t="s">
        <v>33</v>
      </c>
      <c r="C7907" t="s">
        <v>66</v>
      </c>
      <c r="D7907">
        <v>90</v>
      </c>
      <c r="E7907" t="s">
        <v>466</v>
      </c>
    </row>
    <row r="7908" spans="1:5" x14ac:dyDescent="0.35">
      <c r="A7908">
        <v>2017</v>
      </c>
      <c r="B7908" t="s">
        <v>35</v>
      </c>
      <c r="C7908" t="s">
        <v>123</v>
      </c>
      <c r="D7908">
        <v>13</v>
      </c>
      <c r="E7908" t="s">
        <v>328</v>
      </c>
    </row>
    <row r="7909" spans="1:5" x14ac:dyDescent="0.35">
      <c r="A7909">
        <v>2017</v>
      </c>
      <c r="B7909" t="s">
        <v>34</v>
      </c>
      <c r="C7909" t="s">
        <v>67</v>
      </c>
      <c r="D7909">
        <v>143</v>
      </c>
      <c r="E7909" t="s">
        <v>466</v>
      </c>
    </row>
    <row r="7910" spans="1:5" x14ac:dyDescent="0.35">
      <c r="A7910">
        <v>2017</v>
      </c>
      <c r="B7910" t="s">
        <v>33</v>
      </c>
      <c r="C7910" t="s">
        <v>189</v>
      </c>
      <c r="D7910">
        <v>23</v>
      </c>
      <c r="E7910" t="s">
        <v>467</v>
      </c>
    </row>
    <row r="7911" spans="1:5" x14ac:dyDescent="0.35">
      <c r="A7911">
        <v>2017</v>
      </c>
      <c r="B7911" t="s">
        <v>33</v>
      </c>
      <c r="C7911" t="s">
        <v>68</v>
      </c>
      <c r="D7911">
        <v>600</v>
      </c>
      <c r="E7911" t="s">
        <v>466</v>
      </c>
    </row>
    <row r="7912" spans="1:5" x14ac:dyDescent="0.35">
      <c r="A7912">
        <v>2017</v>
      </c>
      <c r="B7912" t="s">
        <v>35</v>
      </c>
      <c r="C7912" t="s">
        <v>123</v>
      </c>
      <c r="D7912">
        <v>7</v>
      </c>
      <c r="E7912" t="s">
        <v>355</v>
      </c>
    </row>
    <row r="7913" spans="1:5" x14ac:dyDescent="0.35">
      <c r="A7913">
        <v>2017</v>
      </c>
      <c r="B7913" t="s">
        <v>36</v>
      </c>
      <c r="C7913" t="s">
        <v>69</v>
      </c>
      <c r="D7913">
        <v>19396</v>
      </c>
      <c r="E7913" t="s">
        <v>466</v>
      </c>
    </row>
    <row r="7914" spans="1:5" x14ac:dyDescent="0.35">
      <c r="A7914">
        <v>2017</v>
      </c>
      <c r="B7914" t="s">
        <v>34</v>
      </c>
      <c r="C7914" t="s">
        <v>188</v>
      </c>
      <c r="D7914">
        <v>110</v>
      </c>
      <c r="E7914" t="s">
        <v>467</v>
      </c>
    </row>
    <row r="7915" spans="1:5" x14ac:dyDescent="0.35">
      <c r="A7915">
        <v>2017</v>
      </c>
      <c r="B7915" t="s">
        <v>33</v>
      </c>
      <c r="C7915" t="s">
        <v>70</v>
      </c>
      <c r="D7915">
        <v>6</v>
      </c>
      <c r="E7915" t="s">
        <v>466</v>
      </c>
    </row>
    <row r="7916" spans="1:5" x14ac:dyDescent="0.35">
      <c r="A7916">
        <v>2017</v>
      </c>
      <c r="B7916" t="s">
        <v>34</v>
      </c>
      <c r="C7916" t="s">
        <v>122</v>
      </c>
      <c r="E7916" t="s">
        <v>328</v>
      </c>
    </row>
    <row r="7917" spans="1:5" x14ac:dyDescent="0.35">
      <c r="A7917">
        <v>2017</v>
      </c>
      <c r="B7917" t="s">
        <v>33</v>
      </c>
      <c r="C7917" t="s">
        <v>71</v>
      </c>
      <c r="D7917">
        <v>38</v>
      </c>
      <c r="E7917" t="s">
        <v>466</v>
      </c>
    </row>
    <row r="7918" spans="1:5" x14ac:dyDescent="0.35">
      <c r="A7918">
        <v>2017</v>
      </c>
      <c r="B7918" t="s">
        <v>33</v>
      </c>
      <c r="C7918" t="s">
        <v>187</v>
      </c>
      <c r="D7918">
        <v>15</v>
      </c>
      <c r="E7918" t="s">
        <v>467</v>
      </c>
    </row>
    <row r="7919" spans="1:5" x14ac:dyDescent="0.35">
      <c r="A7919">
        <v>2017</v>
      </c>
      <c r="B7919" t="s">
        <v>35</v>
      </c>
      <c r="C7919" t="s">
        <v>62</v>
      </c>
      <c r="D7919">
        <v>92</v>
      </c>
      <c r="E7919" t="s">
        <v>466</v>
      </c>
    </row>
    <row r="7920" spans="1:5" x14ac:dyDescent="0.35">
      <c r="A7920">
        <v>2017</v>
      </c>
      <c r="B7920" t="s">
        <v>34</v>
      </c>
      <c r="C7920" t="s">
        <v>122</v>
      </c>
      <c r="E7920" t="s">
        <v>355</v>
      </c>
    </row>
    <row r="7921" spans="1:5" x14ac:dyDescent="0.35">
      <c r="A7921">
        <v>2017</v>
      </c>
      <c r="B7921" t="s">
        <v>38</v>
      </c>
      <c r="C7921" t="s">
        <v>72</v>
      </c>
      <c r="D7921">
        <v>689</v>
      </c>
      <c r="E7921" t="s">
        <v>466</v>
      </c>
    </row>
    <row r="7922" spans="1:5" x14ac:dyDescent="0.35">
      <c r="A7922">
        <v>2017</v>
      </c>
      <c r="B7922" t="s">
        <v>34</v>
      </c>
      <c r="C7922" t="s">
        <v>185</v>
      </c>
      <c r="D7922">
        <v>476</v>
      </c>
      <c r="E7922" t="s">
        <v>467</v>
      </c>
    </row>
    <row r="7923" spans="1:5" x14ac:dyDescent="0.35">
      <c r="A7923">
        <v>2017</v>
      </c>
      <c r="B7923" t="s">
        <v>38</v>
      </c>
      <c r="C7923" t="s">
        <v>20</v>
      </c>
      <c r="D7923">
        <v>3491</v>
      </c>
      <c r="E7923" t="s">
        <v>466</v>
      </c>
    </row>
    <row r="7924" spans="1:5" x14ac:dyDescent="0.35">
      <c r="A7924">
        <v>2017</v>
      </c>
      <c r="B7924" t="s">
        <v>34</v>
      </c>
      <c r="C7924" t="s">
        <v>121</v>
      </c>
      <c r="D7924">
        <v>9</v>
      </c>
      <c r="E7924" t="s">
        <v>328</v>
      </c>
    </row>
    <row r="7925" spans="1:5" x14ac:dyDescent="0.35">
      <c r="A7925">
        <v>2017</v>
      </c>
      <c r="B7925" t="s">
        <v>33</v>
      </c>
      <c r="C7925" t="s">
        <v>74</v>
      </c>
      <c r="D7925">
        <v>296</v>
      </c>
      <c r="E7925" t="s">
        <v>466</v>
      </c>
    </row>
    <row r="7926" spans="1:5" x14ac:dyDescent="0.35">
      <c r="A7926">
        <v>2017</v>
      </c>
      <c r="B7926" t="s">
        <v>34</v>
      </c>
      <c r="C7926" t="s">
        <v>184</v>
      </c>
      <c r="D7926">
        <v>310</v>
      </c>
      <c r="E7926" t="s">
        <v>467</v>
      </c>
    </row>
    <row r="7927" spans="1:5" x14ac:dyDescent="0.35">
      <c r="A7927">
        <v>2017</v>
      </c>
      <c r="B7927" t="s">
        <v>33</v>
      </c>
      <c r="C7927" t="s">
        <v>75</v>
      </c>
      <c r="D7927">
        <v>104</v>
      </c>
      <c r="E7927" t="s">
        <v>466</v>
      </c>
    </row>
    <row r="7928" spans="1:5" x14ac:dyDescent="0.35">
      <c r="A7928">
        <v>2017</v>
      </c>
      <c r="B7928" t="s">
        <v>34</v>
      </c>
      <c r="C7928" t="s">
        <v>121</v>
      </c>
      <c r="D7928">
        <v>3</v>
      </c>
      <c r="E7928" t="s">
        <v>355</v>
      </c>
    </row>
    <row r="7929" spans="1:5" x14ac:dyDescent="0.35">
      <c r="A7929">
        <v>2017</v>
      </c>
      <c r="B7929" t="s">
        <v>36</v>
      </c>
      <c r="C7929" t="s">
        <v>76</v>
      </c>
      <c r="D7929">
        <v>469</v>
      </c>
      <c r="E7929" t="s">
        <v>466</v>
      </c>
    </row>
    <row r="7930" spans="1:5" x14ac:dyDescent="0.35">
      <c r="A7930">
        <v>2017</v>
      </c>
      <c r="B7930" t="s">
        <v>35</v>
      </c>
      <c r="C7930" t="s">
        <v>183</v>
      </c>
      <c r="D7930">
        <v>81</v>
      </c>
      <c r="E7930" t="s">
        <v>467</v>
      </c>
    </row>
    <row r="7931" spans="1:5" x14ac:dyDescent="0.35">
      <c r="A7931">
        <v>2017</v>
      </c>
      <c r="B7931" t="s">
        <v>33</v>
      </c>
      <c r="C7931" t="s">
        <v>77</v>
      </c>
      <c r="D7931">
        <v>76</v>
      </c>
      <c r="E7931" t="s">
        <v>466</v>
      </c>
    </row>
    <row r="7932" spans="1:5" x14ac:dyDescent="0.35">
      <c r="A7932">
        <v>2017</v>
      </c>
      <c r="B7932" t="s">
        <v>34</v>
      </c>
      <c r="C7932" t="s">
        <v>120</v>
      </c>
      <c r="D7932">
        <v>18</v>
      </c>
      <c r="E7932" t="s">
        <v>328</v>
      </c>
    </row>
    <row r="7933" spans="1:5" x14ac:dyDescent="0.35">
      <c r="A7933">
        <v>2017</v>
      </c>
      <c r="B7933" t="s">
        <v>35</v>
      </c>
      <c r="C7933" t="s">
        <v>78</v>
      </c>
      <c r="D7933">
        <v>53</v>
      </c>
      <c r="E7933" t="s">
        <v>466</v>
      </c>
    </row>
    <row r="7934" spans="1:5" x14ac:dyDescent="0.35">
      <c r="A7934">
        <v>2017</v>
      </c>
      <c r="B7934" t="s">
        <v>35</v>
      </c>
      <c r="C7934" t="s">
        <v>182</v>
      </c>
      <c r="D7934">
        <v>163</v>
      </c>
      <c r="E7934" t="s">
        <v>467</v>
      </c>
    </row>
    <row r="7935" spans="1:5" x14ac:dyDescent="0.35">
      <c r="A7935">
        <v>2017</v>
      </c>
      <c r="B7935" t="s">
        <v>36</v>
      </c>
      <c r="C7935" t="s">
        <v>79</v>
      </c>
      <c r="D7935">
        <v>5076</v>
      </c>
      <c r="E7935" t="s">
        <v>466</v>
      </c>
    </row>
    <row r="7936" spans="1:5" x14ac:dyDescent="0.35">
      <c r="A7936">
        <v>2017</v>
      </c>
      <c r="B7936" t="s">
        <v>34</v>
      </c>
      <c r="C7936" t="s">
        <v>120</v>
      </c>
      <c r="D7936">
        <v>3</v>
      </c>
      <c r="E7936" t="s">
        <v>355</v>
      </c>
    </row>
    <row r="7937" spans="1:5" x14ac:dyDescent="0.35">
      <c r="A7937">
        <v>2017</v>
      </c>
      <c r="B7937" t="s">
        <v>34</v>
      </c>
      <c r="C7937" t="s">
        <v>80</v>
      </c>
      <c r="D7937">
        <v>9</v>
      </c>
      <c r="E7937" t="s">
        <v>466</v>
      </c>
    </row>
    <row r="7938" spans="1:5" x14ac:dyDescent="0.35">
      <c r="A7938">
        <v>2017</v>
      </c>
      <c r="B7938" t="s">
        <v>33</v>
      </c>
      <c r="C7938" t="s">
        <v>179</v>
      </c>
      <c r="D7938">
        <v>56</v>
      </c>
      <c r="E7938" t="s">
        <v>467</v>
      </c>
    </row>
    <row r="7939" spans="1:5" x14ac:dyDescent="0.35">
      <c r="A7939">
        <v>2017</v>
      </c>
      <c r="B7939" t="s">
        <v>35</v>
      </c>
      <c r="C7939" t="s">
        <v>81</v>
      </c>
      <c r="D7939">
        <v>178</v>
      </c>
      <c r="E7939" t="s">
        <v>466</v>
      </c>
    </row>
    <row r="7940" spans="1:5" x14ac:dyDescent="0.35">
      <c r="A7940">
        <v>2017</v>
      </c>
      <c r="B7940" t="s">
        <v>35</v>
      </c>
      <c r="C7940" t="s">
        <v>119</v>
      </c>
      <c r="D7940">
        <v>7</v>
      </c>
      <c r="E7940" t="s">
        <v>328</v>
      </c>
    </row>
    <row r="7941" spans="1:5" x14ac:dyDescent="0.35">
      <c r="A7941">
        <v>2017</v>
      </c>
      <c r="B7941" t="s">
        <v>34</v>
      </c>
      <c r="C7941" t="s">
        <v>73</v>
      </c>
      <c r="D7941">
        <v>6356</v>
      </c>
      <c r="E7941" t="s">
        <v>466</v>
      </c>
    </row>
    <row r="7942" spans="1:5" x14ac:dyDescent="0.35">
      <c r="A7942">
        <v>2017</v>
      </c>
      <c r="B7942" t="s">
        <v>35</v>
      </c>
      <c r="C7942" t="s">
        <v>177</v>
      </c>
      <c r="D7942">
        <v>1122</v>
      </c>
      <c r="E7942" t="s">
        <v>467</v>
      </c>
    </row>
    <row r="7943" spans="1:5" x14ac:dyDescent="0.35">
      <c r="A7943">
        <v>2017</v>
      </c>
      <c r="B7943" t="s">
        <v>38</v>
      </c>
      <c r="C7943" t="s">
        <v>21</v>
      </c>
      <c r="D7943">
        <v>6643</v>
      </c>
      <c r="E7943" t="s">
        <v>466</v>
      </c>
    </row>
    <row r="7944" spans="1:5" x14ac:dyDescent="0.35">
      <c r="A7944">
        <v>2017</v>
      </c>
      <c r="B7944" t="s">
        <v>36</v>
      </c>
      <c r="C7944" t="s">
        <v>164</v>
      </c>
      <c r="D7944">
        <v>4</v>
      </c>
      <c r="E7944" t="s">
        <v>328</v>
      </c>
    </row>
    <row r="7945" spans="1:5" x14ac:dyDescent="0.35">
      <c r="A7945">
        <v>2017</v>
      </c>
      <c r="B7945" t="s">
        <v>33</v>
      </c>
      <c r="C7945" t="s">
        <v>61</v>
      </c>
      <c r="D7945">
        <v>8</v>
      </c>
      <c r="E7945" t="s">
        <v>466</v>
      </c>
    </row>
    <row r="7946" spans="1:5" x14ac:dyDescent="0.35">
      <c r="A7946">
        <v>2017</v>
      </c>
      <c r="B7946" t="s">
        <v>33</v>
      </c>
      <c r="C7946" t="s">
        <v>204</v>
      </c>
      <c r="D7946">
        <v>13</v>
      </c>
      <c r="E7946" t="s">
        <v>467</v>
      </c>
    </row>
    <row r="7947" spans="1:5" x14ac:dyDescent="0.35">
      <c r="A7947">
        <v>2017</v>
      </c>
      <c r="B7947" t="s">
        <v>35</v>
      </c>
      <c r="C7947" t="s">
        <v>60</v>
      </c>
      <c r="D7947">
        <v>141</v>
      </c>
      <c r="E7947" t="s">
        <v>466</v>
      </c>
    </row>
    <row r="7948" spans="1:5" x14ac:dyDescent="0.35">
      <c r="A7948">
        <v>2017</v>
      </c>
      <c r="B7948" t="s">
        <v>35</v>
      </c>
      <c r="C7948" t="s">
        <v>127</v>
      </c>
      <c r="D7948">
        <v>9</v>
      </c>
      <c r="E7948" t="s">
        <v>328</v>
      </c>
    </row>
    <row r="7949" spans="1:5" x14ac:dyDescent="0.35">
      <c r="A7949">
        <v>2017</v>
      </c>
      <c r="B7949" t="s">
        <v>33</v>
      </c>
      <c r="C7949" t="s">
        <v>126</v>
      </c>
      <c r="D7949">
        <v>46</v>
      </c>
      <c r="E7949" t="s">
        <v>466</v>
      </c>
    </row>
    <row r="7950" spans="1:5" x14ac:dyDescent="0.35">
      <c r="A7950">
        <v>2017</v>
      </c>
      <c r="B7950" t="s">
        <v>33</v>
      </c>
      <c r="C7950" t="s">
        <v>149</v>
      </c>
      <c r="D7950">
        <v>996</v>
      </c>
      <c r="E7950" t="s">
        <v>467</v>
      </c>
    </row>
    <row r="7951" spans="1:5" x14ac:dyDescent="0.35">
      <c r="A7951">
        <v>2017</v>
      </c>
      <c r="B7951" t="s">
        <v>35</v>
      </c>
      <c r="C7951" t="s">
        <v>48</v>
      </c>
      <c r="D7951">
        <v>68</v>
      </c>
      <c r="E7951" t="s">
        <v>466</v>
      </c>
    </row>
    <row r="7952" spans="1:5" x14ac:dyDescent="0.35">
      <c r="A7952">
        <v>2017</v>
      </c>
      <c r="B7952" t="s">
        <v>34</v>
      </c>
      <c r="C7952" t="s">
        <v>131</v>
      </c>
      <c r="D7952">
        <v>5</v>
      </c>
      <c r="E7952" t="s">
        <v>355</v>
      </c>
    </row>
    <row r="7953" spans="1:5" x14ac:dyDescent="0.35">
      <c r="A7953">
        <v>2017</v>
      </c>
      <c r="B7953" t="s">
        <v>37</v>
      </c>
      <c r="C7953" t="s">
        <v>47</v>
      </c>
      <c r="D7953">
        <v>628</v>
      </c>
      <c r="E7953" t="s">
        <v>466</v>
      </c>
    </row>
    <row r="7954" spans="1:5" x14ac:dyDescent="0.35">
      <c r="A7954">
        <v>2017</v>
      </c>
      <c r="B7954" t="s">
        <v>36</v>
      </c>
      <c r="C7954" t="s">
        <v>147</v>
      </c>
      <c r="D7954">
        <v>80</v>
      </c>
      <c r="E7954" t="s">
        <v>467</v>
      </c>
    </row>
    <row r="7955" spans="1:5" x14ac:dyDescent="0.35">
      <c r="A7955">
        <v>2017</v>
      </c>
      <c r="B7955" t="s">
        <v>34</v>
      </c>
      <c r="C7955" t="s">
        <v>46</v>
      </c>
      <c r="D7955">
        <v>538</v>
      </c>
      <c r="E7955" t="s">
        <v>466</v>
      </c>
    </row>
    <row r="7956" spans="1:5" x14ac:dyDescent="0.35">
      <c r="A7956">
        <v>2017</v>
      </c>
      <c r="B7956" t="s">
        <v>34</v>
      </c>
      <c r="C7956" t="s">
        <v>131</v>
      </c>
      <c r="D7956">
        <v>10</v>
      </c>
      <c r="E7956" t="s">
        <v>328</v>
      </c>
    </row>
    <row r="7957" spans="1:5" x14ac:dyDescent="0.35">
      <c r="A7957">
        <v>2017</v>
      </c>
      <c r="B7957" t="s">
        <v>38</v>
      </c>
      <c r="C7957" t="s">
        <v>45</v>
      </c>
      <c r="D7957">
        <v>367</v>
      </c>
      <c r="E7957" t="s">
        <v>466</v>
      </c>
    </row>
    <row r="7958" spans="1:5" x14ac:dyDescent="0.35">
      <c r="A7958">
        <v>2017</v>
      </c>
      <c r="B7958" t="s">
        <v>34</v>
      </c>
      <c r="C7958" t="s">
        <v>67</v>
      </c>
      <c r="D7958">
        <v>13</v>
      </c>
      <c r="E7958" t="s">
        <v>467</v>
      </c>
    </row>
    <row r="7959" spans="1:5" x14ac:dyDescent="0.35">
      <c r="A7959">
        <v>2017</v>
      </c>
      <c r="B7959" t="s">
        <v>36</v>
      </c>
      <c r="C7959" t="s">
        <v>44</v>
      </c>
      <c r="D7959">
        <v>41</v>
      </c>
      <c r="E7959" t="s">
        <v>466</v>
      </c>
    </row>
    <row r="7960" spans="1:5" x14ac:dyDescent="0.35">
      <c r="A7960">
        <v>2017</v>
      </c>
      <c r="B7960" t="s">
        <v>33</v>
      </c>
      <c r="C7960" t="s">
        <v>132</v>
      </c>
      <c r="D7960">
        <v>9</v>
      </c>
      <c r="E7960" t="s">
        <v>355</v>
      </c>
    </row>
    <row r="7961" spans="1:5" x14ac:dyDescent="0.35">
      <c r="A7961">
        <v>2017</v>
      </c>
      <c r="B7961" t="s">
        <v>34</v>
      </c>
      <c r="C7961" t="s">
        <v>49</v>
      </c>
      <c r="D7961">
        <v>51</v>
      </c>
      <c r="E7961" t="s">
        <v>466</v>
      </c>
    </row>
    <row r="7962" spans="1:5" x14ac:dyDescent="0.35">
      <c r="A7962">
        <v>2017</v>
      </c>
      <c r="B7962" t="s">
        <v>33</v>
      </c>
      <c r="C7962" t="s">
        <v>68</v>
      </c>
      <c r="D7962">
        <v>62</v>
      </c>
      <c r="E7962" t="s">
        <v>467</v>
      </c>
    </row>
    <row r="7963" spans="1:5" x14ac:dyDescent="0.35">
      <c r="A7963">
        <v>2017</v>
      </c>
      <c r="C7963" t="s">
        <v>373</v>
      </c>
      <c r="D7963">
        <v>22</v>
      </c>
      <c r="E7963" t="s">
        <v>466</v>
      </c>
    </row>
    <row r="7964" spans="1:5" x14ac:dyDescent="0.35">
      <c r="A7964">
        <v>2017</v>
      </c>
      <c r="B7964" t="s">
        <v>34</v>
      </c>
      <c r="C7964" t="s">
        <v>144</v>
      </c>
      <c r="D7964">
        <v>5</v>
      </c>
      <c r="E7964" t="s">
        <v>355</v>
      </c>
    </row>
    <row r="7965" spans="1:5" x14ac:dyDescent="0.35">
      <c r="A7965">
        <v>2017</v>
      </c>
      <c r="B7965" t="s">
        <v>33</v>
      </c>
      <c r="C7965" t="s">
        <v>42</v>
      </c>
      <c r="D7965">
        <v>128</v>
      </c>
      <c r="E7965" t="s">
        <v>466</v>
      </c>
    </row>
    <row r="7966" spans="1:5" x14ac:dyDescent="0.35">
      <c r="A7966">
        <v>2017</v>
      </c>
      <c r="B7966" t="s">
        <v>36</v>
      </c>
      <c r="C7966" t="s">
        <v>69</v>
      </c>
      <c r="D7966">
        <v>18515</v>
      </c>
      <c r="E7966" t="s">
        <v>467</v>
      </c>
    </row>
    <row r="7967" spans="1:5" x14ac:dyDescent="0.35">
      <c r="A7967">
        <v>2017</v>
      </c>
      <c r="B7967" t="s">
        <v>35</v>
      </c>
      <c r="C7967" t="s">
        <v>41</v>
      </c>
      <c r="D7967">
        <v>230</v>
      </c>
      <c r="E7967" t="s">
        <v>466</v>
      </c>
    </row>
    <row r="7968" spans="1:5" x14ac:dyDescent="0.35">
      <c r="A7968">
        <v>2017</v>
      </c>
      <c r="B7968" t="s">
        <v>33</v>
      </c>
      <c r="C7968" t="s">
        <v>141</v>
      </c>
      <c r="D7968">
        <v>32</v>
      </c>
      <c r="E7968" t="s">
        <v>328</v>
      </c>
    </row>
    <row r="7969" spans="1:5" x14ac:dyDescent="0.35">
      <c r="A7969">
        <v>2017</v>
      </c>
      <c r="B7969" t="s">
        <v>34</v>
      </c>
      <c r="C7969" t="s">
        <v>40</v>
      </c>
      <c r="D7969">
        <v>183</v>
      </c>
      <c r="E7969" t="s">
        <v>466</v>
      </c>
    </row>
    <row r="7970" spans="1:5" x14ac:dyDescent="0.35">
      <c r="A7970">
        <v>2017</v>
      </c>
      <c r="B7970" t="s">
        <v>38</v>
      </c>
      <c r="C7970" t="s">
        <v>72</v>
      </c>
      <c r="D7970">
        <v>493</v>
      </c>
      <c r="E7970" t="s">
        <v>467</v>
      </c>
    </row>
    <row r="7971" spans="1:5" x14ac:dyDescent="0.35">
      <c r="A7971">
        <v>2017</v>
      </c>
      <c r="B7971" t="s">
        <v>36</v>
      </c>
      <c r="C7971" t="s">
        <v>50</v>
      </c>
      <c r="D7971">
        <v>375</v>
      </c>
      <c r="E7971" t="s">
        <v>466</v>
      </c>
    </row>
    <row r="7972" spans="1:5" x14ac:dyDescent="0.35">
      <c r="A7972">
        <v>2017</v>
      </c>
      <c r="B7972" t="s">
        <v>33</v>
      </c>
      <c r="C7972" t="s">
        <v>141</v>
      </c>
      <c r="D7972">
        <v>36</v>
      </c>
      <c r="E7972" t="s">
        <v>355</v>
      </c>
    </row>
    <row r="7973" spans="1:5" x14ac:dyDescent="0.35">
      <c r="A7973">
        <v>2017</v>
      </c>
      <c r="B7973" t="s">
        <v>34</v>
      </c>
      <c r="C7973" t="s">
        <v>51</v>
      </c>
      <c r="D7973">
        <v>24</v>
      </c>
      <c r="E7973" t="s">
        <v>466</v>
      </c>
    </row>
    <row r="7974" spans="1:5" x14ac:dyDescent="0.35">
      <c r="A7974">
        <v>2017</v>
      </c>
      <c r="B7974" t="s">
        <v>34</v>
      </c>
      <c r="C7974" t="s">
        <v>73</v>
      </c>
      <c r="D7974">
        <v>2162</v>
      </c>
      <c r="E7974" t="s">
        <v>467</v>
      </c>
    </row>
    <row r="7975" spans="1:5" x14ac:dyDescent="0.35">
      <c r="A7975">
        <v>2017</v>
      </c>
      <c r="B7975" t="s">
        <v>34</v>
      </c>
      <c r="C7975" t="s">
        <v>52</v>
      </c>
      <c r="D7975">
        <v>987</v>
      </c>
      <c r="E7975" t="s">
        <v>466</v>
      </c>
    </row>
    <row r="7976" spans="1:5" x14ac:dyDescent="0.35">
      <c r="A7976">
        <v>2017</v>
      </c>
      <c r="B7976" t="s">
        <v>35</v>
      </c>
      <c r="C7976" t="s">
        <v>140</v>
      </c>
      <c r="D7976">
        <v>11</v>
      </c>
      <c r="E7976" t="s">
        <v>328</v>
      </c>
    </row>
    <row r="7977" spans="1:5" x14ac:dyDescent="0.35">
      <c r="A7977">
        <v>2017</v>
      </c>
      <c r="B7977" t="s">
        <v>36</v>
      </c>
      <c r="C7977" t="s">
        <v>53</v>
      </c>
      <c r="D7977">
        <v>45</v>
      </c>
      <c r="E7977" t="s">
        <v>466</v>
      </c>
    </row>
    <row r="7978" spans="1:5" x14ac:dyDescent="0.35">
      <c r="A7978">
        <v>2017</v>
      </c>
      <c r="B7978" t="s">
        <v>38</v>
      </c>
      <c r="C7978" t="s">
        <v>20</v>
      </c>
      <c r="D7978">
        <v>768</v>
      </c>
      <c r="E7978" t="s">
        <v>467</v>
      </c>
    </row>
    <row r="7979" spans="1:5" x14ac:dyDescent="0.35">
      <c r="A7979">
        <v>2017</v>
      </c>
      <c r="B7979" t="s">
        <v>35</v>
      </c>
      <c r="C7979" t="s">
        <v>54</v>
      </c>
      <c r="D7979">
        <v>70</v>
      </c>
      <c r="E7979" t="s">
        <v>466</v>
      </c>
    </row>
    <row r="7980" spans="1:5" x14ac:dyDescent="0.35">
      <c r="A7980">
        <v>2017</v>
      </c>
      <c r="B7980" t="s">
        <v>35</v>
      </c>
      <c r="C7980" t="s">
        <v>140</v>
      </c>
      <c r="D7980">
        <v>6</v>
      </c>
      <c r="E7980" t="s">
        <v>355</v>
      </c>
    </row>
    <row r="7981" spans="1:5" x14ac:dyDescent="0.35">
      <c r="A7981">
        <v>2017</v>
      </c>
      <c r="B7981" t="s">
        <v>35</v>
      </c>
      <c r="C7981" t="s">
        <v>55</v>
      </c>
      <c r="D7981">
        <v>127</v>
      </c>
      <c r="E7981" t="s">
        <v>466</v>
      </c>
    </row>
    <row r="7982" spans="1:5" x14ac:dyDescent="0.35">
      <c r="A7982">
        <v>2017</v>
      </c>
      <c r="B7982" t="s">
        <v>33</v>
      </c>
      <c r="C7982" t="s">
        <v>74</v>
      </c>
      <c r="D7982">
        <v>33</v>
      </c>
      <c r="E7982" t="s">
        <v>467</v>
      </c>
    </row>
    <row r="7983" spans="1:5" x14ac:dyDescent="0.35">
      <c r="A7983">
        <v>2017</v>
      </c>
      <c r="B7983" t="s">
        <v>36</v>
      </c>
      <c r="C7983" t="s">
        <v>56</v>
      </c>
      <c r="D7983">
        <v>270</v>
      </c>
      <c r="E7983" t="s">
        <v>466</v>
      </c>
    </row>
    <row r="7984" spans="1:5" x14ac:dyDescent="0.35">
      <c r="A7984">
        <v>2017</v>
      </c>
      <c r="B7984" t="s">
        <v>34</v>
      </c>
      <c r="C7984" t="s">
        <v>139</v>
      </c>
      <c r="D7984">
        <v>33</v>
      </c>
      <c r="E7984" t="s">
        <v>328</v>
      </c>
    </row>
    <row r="7985" spans="1:5" x14ac:dyDescent="0.35">
      <c r="A7985">
        <v>2017</v>
      </c>
      <c r="B7985" t="s">
        <v>33</v>
      </c>
      <c r="C7985" t="s">
        <v>57</v>
      </c>
      <c r="D7985">
        <v>37</v>
      </c>
      <c r="E7985" t="s">
        <v>466</v>
      </c>
    </row>
    <row r="7986" spans="1:5" x14ac:dyDescent="0.35">
      <c r="A7986">
        <v>2017</v>
      </c>
      <c r="B7986" t="s">
        <v>33</v>
      </c>
      <c r="C7986" t="s">
        <v>75</v>
      </c>
      <c r="D7986">
        <v>11</v>
      </c>
      <c r="E7986" t="s">
        <v>467</v>
      </c>
    </row>
    <row r="7987" spans="1:5" x14ac:dyDescent="0.35">
      <c r="A7987">
        <v>2017</v>
      </c>
      <c r="B7987" t="s">
        <v>34</v>
      </c>
      <c r="C7987" t="s">
        <v>58</v>
      </c>
      <c r="D7987">
        <v>30</v>
      </c>
      <c r="E7987" t="s">
        <v>466</v>
      </c>
    </row>
    <row r="7988" spans="1:5" x14ac:dyDescent="0.35">
      <c r="A7988">
        <v>2017</v>
      </c>
      <c r="B7988" t="s">
        <v>34</v>
      </c>
      <c r="C7988" t="s">
        <v>139</v>
      </c>
      <c r="D7988">
        <v>13</v>
      </c>
      <c r="E7988" t="s">
        <v>355</v>
      </c>
    </row>
    <row r="7989" spans="1:5" x14ac:dyDescent="0.35">
      <c r="A7989">
        <v>2017</v>
      </c>
      <c r="B7989" t="s">
        <v>38</v>
      </c>
      <c r="C7989" t="s">
        <v>59</v>
      </c>
      <c r="D7989">
        <v>225</v>
      </c>
      <c r="E7989" t="s">
        <v>466</v>
      </c>
    </row>
    <row r="7990" spans="1:5" x14ac:dyDescent="0.35">
      <c r="A7990">
        <v>2017</v>
      </c>
      <c r="B7990" t="s">
        <v>36</v>
      </c>
      <c r="C7990" t="s">
        <v>76</v>
      </c>
      <c r="D7990">
        <v>78</v>
      </c>
      <c r="E7990" t="s">
        <v>467</v>
      </c>
    </row>
    <row r="7991" spans="1:5" x14ac:dyDescent="0.35">
      <c r="A7991">
        <v>2017</v>
      </c>
      <c r="B7991" t="s">
        <v>35</v>
      </c>
      <c r="C7991" t="s">
        <v>214</v>
      </c>
      <c r="D7991">
        <v>6</v>
      </c>
      <c r="E7991" t="s">
        <v>466</v>
      </c>
    </row>
    <row r="7992" spans="1:5" x14ac:dyDescent="0.35">
      <c r="A7992">
        <v>2017</v>
      </c>
      <c r="B7992" t="s">
        <v>35</v>
      </c>
      <c r="C7992" t="s">
        <v>145</v>
      </c>
      <c r="D7992">
        <v>19</v>
      </c>
      <c r="E7992" t="s">
        <v>355</v>
      </c>
    </row>
    <row r="7993" spans="1:5" x14ac:dyDescent="0.35">
      <c r="A7993">
        <v>2017</v>
      </c>
      <c r="B7993" t="s">
        <v>35</v>
      </c>
      <c r="C7993" t="s">
        <v>82</v>
      </c>
      <c r="D7993">
        <v>72</v>
      </c>
      <c r="E7993" t="s">
        <v>466</v>
      </c>
    </row>
    <row r="7994" spans="1:5" x14ac:dyDescent="0.35">
      <c r="A7994">
        <v>2017</v>
      </c>
      <c r="B7994" t="s">
        <v>33</v>
      </c>
      <c r="C7994" t="s">
        <v>77</v>
      </c>
      <c r="D7994">
        <v>15</v>
      </c>
      <c r="E7994" t="s">
        <v>467</v>
      </c>
    </row>
    <row r="7995" spans="1:5" x14ac:dyDescent="0.35">
      <c r="A7995">
        <v>2017</v>
      </c>
      <c r="B7995" t="s">
        <v>33</v>
      </c>
      <c r="C7995" t="s">
        <v>43</v>
      </c>
      <c r="D7995">
        <v>131</v>
      </c>
      <c r="E7995" t="s">
        <v>466</v>
      </c>
    </row>
    <row r="7996" spans="1:5" x14ac:dyDescent="0.35">
      <c r="A7996">
        <v>2017</v>
      </c>
      <c r="B7996" t="s">
        <v>35</v>
      </c>
      <c r="C7996" t="s">
        <v>138</v>
      </c>
      <c r="D7996">
        <v>17</v>
      </c>
      <c r="E7996" t="s">
        <v>328</v>
      </c>
    </row>
    <row r="7997" spans="1:5" x14ac:dyDescent="0.35">
      <c r="A7997">
        <v>2017</v>
      </c>
      <c r="B7997" t="s">
        <v>36</v>
      </c>
      <c r="C7997" t="s">
        <v>84</v>
      </c>
      <c r="D7997">
        <v>33</v>
      </c>
      <c r="E7997" t="s">
        <v>466</v>
      </c>
    </row>
    <row r="7998" spans="1:5" x14ac:dyDescent="0.35">
      <c r="A7998">
        <v>2017</v>
      </c>
      <c r="B7998" t="s">
        <v>33</v>
      </c>
      <c r="C7998" t="s">
        <v>66</v>
      </c>
      <c r="D7998">
        <v>8</v>
      </c>
      <c r="E7998" t="s">
        <v>467</v>
      </c>
    </row>
    <row r="7999" spans="1:5" x14ac:dyDescent="0.35">
      <c r="A7999">
        <v>2017</v>
      </c>
      <c r="B7999" t="s">
        <v>35</v>
      </c>
      <c r="C7999" t="s">
        <v>106</v>
      </c>
      <c r="D7999">
        <v>7</v>
      </c>
      <c r="E7999" t="s">
        <v>466</v>
      </c>
    </row>
    <row r="8000" spans="1:5" x14ac:dyDescent="0.35">
      <c r="A8000">
        <v>2017</v>
      </c>
      <c r="B8000" t="s">
        <v>37</v>
      </c>
      <c r="C8000" t="s">
        <v>137</v>
      </c>
      <c r="D8000">
        <v>108</v>
      </c>
      <c r="E8000" t="s">
        <v>355</v>
      </c>
    </row>
    <row r="8001" spans="1:5" x14ac:dyDescent="0.35">
      <c r="A8001">
        <v>2017</v>
      </c>
      <c r="B8001" t="s">
        <v>34</v>
      </c>
      <c r="C8001" t="s">
        <v>22</v>
      </c>
      <c r="D8001">
        <v>5690</v>
      </c>
      <c r="E8001" t="s">
        <v>466</v>
      </c>
    </row>
    <row r="8002" spans="1:5" x14ac:dyDescent="0.35">
      <c r="A8002">
        <v>2017</v>
      </c>
      <c r="B8002" t="s">
        <v>35</v>
      </c>
      <c r="C8002" t="s">
        <v>78</v>
      </c>
      <c r="D8002">
        <v>31</v>
      </c>
      <c r="E8002" t="s">
        <v>467</v>
      </c>
    </row>
    <row r="8003" spans="1:5" x14ac:dyDescent="0.35">
      <c r="A8003">
        <v>2017</v>
      </c>
      <c r="B8003" t="s">
        <v>34</v>
      </c>
      <c r="C8003" t="s">
        <v>107</v>
      </c>
      <c r="D8003">
        <v>244</v>
      </c>
      <c r="E8003" t="s">
        <v>466</v>
      </c>
    </row>
    <row r="8004" spans="1:5" x14ac:dyDescent="0.35">
      <c r="A8004">
        <v>2017</v>
      </c>
      <c r="B8004" t="s">
        <v>36</v>
      </c>
      <c r="C8004" t="s">
        <v>14</v>
      </c>
      <c r="D8004">
        <v>108634</v>
      </c>
      <c r="E8004" t="s">
        <v>328</v>
      </c>
    </row>
    <row r="8005" spans="1:5" x14ac:dyDescent="0.35">
      <c r="A8005">
        <v>2017</v>
      </c>
      <c r="B8005" t="s">
        <v>34</v>
      </c>
      <c r="C8005" t="s">
        <v>108</v>
      </c>
      <c r="D8005">
        <v>850</v>
      </c>
      <c r="E8005" t="s">
        <v>466</v>
      </c>
    </row>
    <row r="8006" spans="1:5" x14ac:dyDescent="0.35">
      <c r="A8006">
        <v>2017</v>
      </c>
      <c r="B8006" t="s">
        <v>34</v>
      </c>
      <c r="C8006" t="s">
        <v>80</v>
      </c>
      <c r="D8006">
        <v>6</v>
      </c>
      <c r="E8006" t="s">
        <v>467</v>
      </c>
    </row>
    <row r="8007" spans="1:5" x14ac:dyDescent="0.35">
      <c r="A8007">
        <v>2017</v>
      </c>
      <c r="B8007" t="s">
        <v>34</v>
      </c>
      <c r="C8007" t="s">
        <v>109</v>
      </c>
      <c r="D8007">
        <v>738</v>
      </c>
      <c r="E8007" t="s">
        <v>466</v>
      </c>
    </row>
    <row r="8008" spans="1:5" x14ac:dyDescent="0.35">
      <c r="A8008">
        <v>2017</v>
      </c>
      <c r="B8008" t="s">
        <v>36</v>
      </c>
      <c r="C8008" t="s">
        <v>14</v>
      </c>
      <c r="D8008">
        <v>73328</v>
      </c>
      <c r="E8008" t="s">
        <v>355</v>
      </c>
    </row>
    <row r="8009" spans="1:5" x14ac:dyDescent="0.35">
      <c r="A8009">
        <v>2017</v>
      </c>
      <c r="B8009" t="s">
        <v>35</v>
      </c>
      <c r="C8009" t="s">
        <v>110</v>
      </c>
      <c r="D8009">
        <v>301</v>
      </c>
      <c r="E8009" t="s">
        <v>466</v>
      </c>
    </row>
    <row r="8010" spans="1:5" x14ac:dyDescent="0.35">
      <c r="A8010">
        <v>2017</v>
      </c>
      <c r="B8010" t="s">
        <v>35</v>
      </c>
      <c r="C8010" t="s">
        <v>81</v>
      </c>
      <c r="D8010">
        <v>130</v>
      </c>
      <c r="E8010" t="s">
        <v>467</v>
      </c>
    </row>
    <row r="8011" spans="1:5" x14ac:dyDescent="0.35">
      <c r="A8011">
        <v>2017</v>
      </c>
      <c r="B8011" t="s">
        <v>34</v>
      </c>
      <c r="C8011" t="s">
        <v>111</v>
      </c>
      <c r="D8011">
        <v>400</v>
      </c>
      <c r="E8011" t="s">
        <v>466</v>
      </c>
    </row>
    <row r="8012" spans="1:5" x14ac:dyDescent="0.35">
      <c r="A8012">
        <v>2017</v>
      </c>
      <c r="B8012" t="s">
        <v>33</v>
      </c>
      <c r="C8012" t="s">
        <v>135</v>
      </c>
      <c r="D8012">
        <v>3</v>
      </c>
      <c r="E8012" t="s">
        <v>328</v>
      </c>
    </row>
    <row r="8013" spans="1:5" x14ac:dyDescent="0.35">
      <c r="A8013">
        <v>2017</v>
      </c>
      <c r="B8013" t="s">
        <v>35</v>
      </c>
      <c r="C8013" t="s">
        <v>112</v>
      </c>
      <c r="D8013">
        <v>906</v>
      </c>
      <c r="E8013" t="s">
        <v>466</v>
      </c>
    </row>
    <row r="8014" spans="1:5" x14ac:dyDescent="0.35">
      <c r="A8014">
        <v>2017</v>
      </c>
      <c r="B8014" t="s">
        <v>35</v>
      </c>
      <c r="C8014" t="s">
        <v>82</v>
      </c>
      <c r="D8014">
        <v>60</v>
      </c>
      <c r="E8014" t="s">
        <v>467</v>
      </c>
    </row>
    <row r="8015" spans="1:5" x14ac:dyDescent="0.35">
      <c r="A8015">
        <v>2017</v>
      </c>
      <c r="B8015" t="s">
        <v>36</v>
      </c>
      <c r="C8015" t="s">
        <v>113</v>
      </c>
      <c r="D8015">
        <v>1993</v>
      </c>
      <c r="E8015" t="s">
        <v>466</v>
      </c>
    </row>
    <row r="8016" spans="1:5" x14ac:dyDescent="0.35">
      <c r="A8016">
        <v>2017</v>
      </c>
      <c r="B8016" t="s">
        <v>33</v>
      </c>
      <c r="C8016" t="s">
        <v>135</v>
      </c>
      <c r="D8016">
        <v>3</v>
      </c>
      <c r="E8016" t="s">
        <v>355</v>
      </c>
    </row>
    <row r="8017" spans="1:5" x14ac:dyDescent="0.35">
      <c r="A8017">
        <v>2017</v>
      </c>
      <c r="B8017" t="s">
        <v>35</v>
      </c>
      <c r="C8017" t="s">
        <v>105</v>
      </c>
      <c r="D8017">
        <v>380</v>
      </c>
      <c r="E8017" t="s">
        <v>466</v>
      </c>
    </row>
    <row r="8018" spans="1:5" x14ac:dyDescent="0.35">
      <c r="A8018">
        <v>2017</v>
      </c>
      <c r="B8018" t="s">
        <v>36</v>
      </c>
      <c r="C8018" t="s">
        <v>84</v>
      </c>
      <c r="D8018">
        <v>6</v>
      </c>
      <c r="E8018" t="s">
        <v>467</v>
      </c>
    </row>
    <row r="8019" spans="1:5" x14ac:dyDescent="0.35">
      <c r="A8019">
        <v>2017</v>
      </c>
      <c r="B8019" t="s">
        <v>34</v>
      </c>
      <c r="C8019" t="s">
        <v>114</v>
      </c>
      <c r="D8019">
        <v>442</v>
      </c>
      <c r="E8019" t="s">
        <v>466</v>
      </c>
    </row>
    <row r="8020" spans="1:5" x14ac:dyDescent="0.35">
      <c r="A8020">
        <v>2017</v>
      </c>
      <c r="B8020" t="s">
        <v>37</v>
      </c>
      <c r="C8020" t="s">
        <v>134</v>
      </c>
      <c r="D8020">
        <v>19</v>
      </c>
      <c r="E8020" t="s">
        <v>355</v>
      </c>
    </row>
    <row r="8021" spans="1:5" x14ac:dyDescent="0.35">
      <c r="A8021">
        <v>2017</v>
      </c>
      <c r="B8021" t="s">
        <v>34</v>
      </c>
      <c r="C8021" t="s">
        <v>116</v>
      </c>
      <c r="D8021">
        <v>89</v>
      </c>
      <c r="E8021" t="s">
        <v>466</v>
      </c>
    </row>
    <row r="8022" spans="1:5" x14ac:dyDescent="0.35">
      <c r="A8022">
        <v>2017</v>
      </c>
      <c r="B8022" t="s">
        <v>36</v>
      </c>
      <c r="C8022" t="s">
        <v>85</v>
      </c>
      <c r="D8022">
        <v>419</v>
      </c>
      <c r="E8022" t="s">
        <v>467</v>
      </c>
    </row>
    <row r="8023" spans="1:5" x14ac:dyDescent="0.35">
      <c r="A8023">
        <v>2017</v>
      </c>
      <c r="B8023" t="s">
        <v>33</v>
      </c>
      <c r="C8023" t="s">
        <v>117</v>
      </c>
      <c r="D8023">
        <v>295</v>
      </c>
      <c r="E8023" t="s">
        <v>466</v>
      </c>
    </row>
    <row r="8024" spans="1:5" x14ac:dyDescent="0.35">
      <c r="A8024">
        <v>2017</v>
      </c>
      <c r="B8024" t="s">
        <v>33</v>
      </c>
      <c r="C8024" t="s">
        <v>132</v>
      </c>
      <c r="D8024">
        <v>27</v>
      </c>
      <c r="E8024" t="s">
        <v>328</v>
      </c>
    </row>
    <row r="8025" spans="1:5" x14ac:dyDescent="0.35">
      <c r="A8025">
        <v>2017</v>
      </c>
      <c r="B8025" t="s">
        <v>34</v>
      </c>
      <c r="C8025" t="s">
        <v>118</v>
      </c>
      <c r="D8025">
        <v>1140</v>
      </c>
      <c r="E8025" t="s">
        <v>466</v>
      </c>
    </row>
    <row r="8026" spans="1:5" x14ac:dyDescent="0.35">
      <c r="A8026">
        <v>2017</v>
      </c>
      <c r="B8026" t="s">
        <v>38</v>
      </c>
      <c r="C8026" t="s">
        <v>86</v>
      </c>
      <c r="D8026">
        <v>283</v>
      </c>
      <c r="E8026" t="s">
        <v>467</v>
      </c>
    </row>
    <row r="8027" spans="1:5" x14ac:dyDescent="0.35">
      <c r="A8027">
        <v>2017</v>
      </c>
      <c r="B8027" t="s">
        <v>35</v>
      </c>
      <c r="C8027" t="s">
        <v>119</v>
      </c>
      <c r="D8027">
        <v>79</v>
      </c>
      <c r="E8027" t="s">
        <v>466</v>
      </c>
    </row>
    <row r="8028" spans="1:5" x14ac:dyDescent="0.35">
      <c r="A8028">
        <v>2017</v>
      </c>
      <c r="B8028" t="s">
        <v>35</v>
      </c>
      <c r="C8028" t="s">
        <v>138</v>
      </c>
      <c r="D8028">
        <v>20</v>
      </c>
      <c r="E8028" t="s">
        <v>355</v>
      </c>
    </row>
    <row r="8029" spans="1:5" x14ac:dyDescent="0.35">
      <c r="A8029">
        <v>2017</v>
      </c>
      <c r="B8029" t="s">
        <v>34</v>
      </c>
      <c r="C8029" t="s">
        <v>120</v>
      </c>
      <c r="D8029">
        <v>106</v>
      </c>
      <c r="E8029" t="s">
        <v>466</v>
      </c>
    </row>
    <row r="8030" spans="1:5" x14ac:dyDescent="0.35">
      <c r="A8030">
        <v>2017</v>
      </c>
      <c r="B8030" t="s">
        <v>33</v>
      </c>
      <c r="C8030" t="s">
        <v>87</v>
      </c>
      <c r="D8030">
        <v>190</v>
      </c>
      <c r="E8030" t="s">
        <v>467</v>
      </c>
    </row>
    <row r="8031" spans="1:5" x14ac:dyDescent="0.35">
      <c r="A8031">
        <v>2017</v>
      </c>
      <c r="B8031" t="s">
        <v>34</v>
      </c>
      <c r="C8031" t="s">
        <v>122</v>
      </c>
      <c r="D8031">
        <v>225</v>
      </c>
      <c r="E8031" t="s">
        <v>466</v>
      </c>
    </row>
    <row r="8032" spans="1:5" x14ac:dyDescent="0.35">
      <c r="A8032">
        <v>2017</v>
      </c>
      <c r="B8032" t="s">
        <v>36</v>
      </c>
      <c r="C8032" t="s">
        <v>165</v>
      </c>
      <c r="D8032">
        <v>9</v>
      </c>
      <c r="E8032" t="s">
        <v>355</v>
      </c>
    </row>
    <row r="8033" spans="1:5" x14ac:dyDescent="0.35">
      <c r="A8033">
        <v>2017</v>
      </c>
      <c r="B8033" t="s">
        <v>35</v>
      </c>
      <c r="C8033" t="s">
        <v>123</v>
      </c>
      <c r="D8033">
        <v>77</v>
      </c>
      <c r="E8033" t="s">
        <v>466</v>
      </c>
    </row>
    <row r="8034" spans="1:5" x14ac:dyDescent="0.35">
      <c r="A8034">
        <v>2017</v>
      </c>
      <c r="B8034" t="s">
        <v>36</v>
      </c>
      <c r="C8034" t="s">
        <v>16</v>
      </c>
      <c r="D8034">
        <v>589</v>
      </c>
      <c r="E8034" t="s">
        <v>467</v>
      </c>
    </row>
    <row r="8035" spans="1:5" x14ac:dyDescent="0.35">
      <c r="A8035">
        <v>2017</v>
      </c>
      <c r="B8035" t="s">
        <v>34</v>
      </c>
      <c r="C8035" t="s">
        <v>124</v>
      </c>
      <c r="D8035">
        <v>206</v>
      </c>
      <c r="E8035" t="s">
        <v>466</v>
      </c>
    </row>
    <row r="8036" spans="1:5" x14ac:dyDescent="0.35">
      <c r="A8036">
        <v>2017</v>
      </c>
      <c r="B8036" t="s">
        <v>33</v>
      </c>
      <c r="C8036" t="s">
        <v>204</v>
      </c>
      <c r="D8036">
        <v>6</v>
      </c>
      <c r="E8036" t="s">
        <v>328</v>
      </c>
    </row>
    <row r="8037" spans="1:5" x14ac:dyDescent="0.35">
      <c r="A8037">
        <v>2017</v>
      </c>
      <c r="B8037" t="s">
        <v>33</v>
      </c>
      <c r="C8037" t="s">
        <v>83</v>
      </c>
      <c r="D8037">
        <v>37</v>
      </c>
      <c r="E8037" t="s">
        <v>466</v>
      </c>
    </row>
    <row r="8038" spans="1:5" x14ac:dyDescent="0.35">
      <c r="A8038">
        <v>2017</v>
      </c>
      <c r="B8038" t="s">
        <v>33</v>
      </c>
      <c r="C8038" t="s">
        <v>89</v>
      </c>
      <c r="D8038">
        <v>20</v>
      </c>
      <c r="E8038" t="s">
        <v>467</v>
      </c>
    </row>
    <row r="8039" spans="1:5" x14ac:dyDescent="0.35">
      <c r="A8039">
        <v>2017</v>
      </c>
      <c r="B8039" t="s">
        <v>34</v>
      </c>
      <c r="C8039" t="s">
        <v>115</v>
      </c>
      <c r="D8039">
        <v>731</v>
      </c>
      <c r="E8039" t="s">
        <v>466</v>
      </c>
    </row>
    <row r="8040" spans="1:5" x14ac:dyDescent="0.35">
      <c r="A8040">
        <v>2017</v>
      </c>
      <c r="B8040" t="s">
        <v>37</v>
      </c>
      <c r="C8040" t="s">
        <v>166</v>
      </c>
      <c r="D8040">
        <v>9</v>
      </c>
      <c r="E8040" t="s">
        <v>355</v>
      </c>
    </row>
    <row r="8041" spans="1:5" x14ac:dyDescent="0.35">
      <c r="A8041">
        <v>2017</v>
      </c>
      <c r="B8041" t="s">
        <v>36</v>
      </c>
      <c r="C8041" t="s">
        <v>17</v>
      </c>
      <c r="D8041">
        <v>67225</v>
      </c>
      <c r="E8041" t="s">
        <v>466</v>
      </c>
    </row>
    <row r="8042" spans="1:5" x14ac:dyDescent="0.35">
      <c r="A8042">
        <v>2017</v>
      </c>
      <c r="B8042" t="s">
        <v>35</v>
      </c>
      <c r="C8042" t="s">
        <v>90</v>
      </c>
      <c r="D8042">
        <v>30</v>
      </c>
      <c r="E8042" t="s">
        <v>467</v>
      </c>
    </row>
    <row r="8043" spans="1:5" x14ac:dyDescent="0.35">
      <c r="A8043">
        <v>2017</v>
      </c>
      <c r="B8043" t="s">
        <v>34</v>
      </c>
      <c r="C8043" t="s">
        <v>121</v>
      </c>
      <c r="D8043">
        <v>88</v>
      </c>
      <c r="E8043" t="s">
        <v>466</v>
      </c>
    </row>
    <row r="8044" spans="1:5" x14ac:dyDescent="0.35">
      <c r="A8044">
        <v>2017</v>
      </c>
      <c r="B8044" t="s">
        <v>33</v>
      </c>
      <c r="C8044" t="s">
        <v>195</v>
      </c>
      <c r="D8044">
        <v>13</v>
      </c>
      <c r="E8044" t="s">
        <v>328</v>
      </c>
    </row>
    <row r="8045" spans="1:5" x14ac:dyDescent="0.35">
      <c r="A8045">
        <v>2017</v>
      </c>
      <c r="B8045" t="s">
        <v>38</v>
      </c>
      <c r="C8045" t="s">
        <v>103</v>
      </c>
      <c r="D8045">
        <v>345</v>
      </c>
      <c r="E8045" t="s">
        <v>466</v>
      </c>
    </row>
    <row r="8046" spans="1:5" x14ac:dyDescent="0.35">
      <c r="A8046">
        <v>2017</v>
      </c>
      <c r="B8046" t="s">
        <v>34</v>
      </c>
      <c r="C8046" t="s">
        <v>40</v>
      </c>
      <c r="D8046">
        <v>56</v>
      </c>
      <c r="E8046" t="s">
        <v>467</v>
      </c>
    </row>
    <row r="8047" spans="1:5" x14ac:dyDescent="0.35">
      <c r="A8047">
        <v>2017</v>
      </c>
      <c r="B8047" t="s">
        <v>36</v>
      </c>
      <c r="C8047" t="s">
        <v>104</v>
      </c>
      <c r="D8047">
        <v>10793</v>
      </c>
      <c r="E8047" t="s">
        <v>466</v>
      </c>
    </row>
    <row r="8048" spans="1:5" x14ac:dyDescent="0.35">
      <c r="A8048">
        <v>2017</v>
      </c>
      <c r="B8048" t="s">
        <v>33</v>
      </c>
      <c r="C8048" t="s">
        <v>195</v>
      </c>
      <c r="D8048">
        <v>3</v>
      </c>
      <c r="E8048" t="s">
        <v>355</v>
      </c>
    </row>
    <row r="8049" spans="1:5" x14ac:dyDescent="0.35">
      <c r="A8049">
        <v>2017</v>
      </c>
      <c r="B8049" t="s">
        <v>38</v>
      </c>
      <c r="C8049" t="s">
        <v>86</v>
      </c>
      <c r="D8049">
        <v>3308</v>
      </c>
      <c r="E8049" t="s">
        <v>466</v>
      </c>
    </row>
    <row r="8050" spans="1:5" x14ac:dyDescent="0.35">
      <c r="A8050">
        <v>2017</v>
      </c>
      <c r="B8050" t="s">
        <v>33</v>
      </c>
      <c r="C8050" t="s">
        <v>91</v>
      </c>
      <c r="D8050">
        <v>45</v>
      </c>
      <c r="E8050" t="s">
        <v>467</v>
      </c>
    </row>
    <row r="8051" spans="1:5" x14ac:dyDescent="0.35">
      <c r="A8051">
        <v>2017</v>
      </c>
      <c r="B8051" t="s">
        <v>33</v>
      </c>
      <c r="C8051" t="s">
        <v>87</v>
      </c>
      <c r="D8051">
        <v>463</v>
      </c>
      <c r="E8051" t="s">
        <v>466</v>
      </c>
    </row>
    <row r="8052" spans="1:5" x14ac:dyDescent="0.35">
      <c r="A8052">
        <v>2017</v>
      </c>
      <c r="B8052" t="s">
        <v>34</v>
      </c>
      <c r="C8052" t="s">
        <v>194</v>
      </c>
      <c r="D8052">
        <v>17</v>
      </c>
      <c r="E8052" t="s">
        <v>328</v>
      </c>
    </row>
    <row r="8053" spans="1:5" x14ac:dyDescent="0.35">
      <c r="A8053">
        <v>2017</v>
      </c>
      <c r="B8053" t="s">
        <v>33</v>
      </c>
      <c r="C8053" t="s">
        <v>88</v>
      </c>
      <c r="D8053">
        <v>22</v>
      </c>
      <c r="E8053" t="s">
        <v>466</v>
      </c>
    </row>
    <row r="8054" spans="1:5" x14ac:dyDescent="0.35">
      <c r="A8054">
        <v>2017</v>
      </c>
      <c r="B8054" t="s">
        <v>33</v>
      </c>
      <c r="C8054" t="s">
        <v>65</v>
      </c>
      <c r="D8054">
        <v>9</v>
      </c>
      <c r="E8054" t="s">
        <v>467</v>
      </c>
    </row>
    <row r="8055" spans="1:5" x14ac:dyDescent="0.35">
      <c r="A8055">
        <v>2017</v>
      </c>
      <c r="B8055" t="s">
        <v>33</v>
      </c>
      <c r="C8055" t="s">
        <v>89</v>
      </c>
      <c r="D8055">
        <v>710</v>
      </c>
      <c r="E8055" t="s">
        <v>466</v>
      </c>
    </row>
    <row r="8056" spans="1:5" x14ac:dyDescent="0.35">
      <c r="A8056">
        <v>2017</v>
      </c>
      <c r="B8056" t="s">
        <v>34</v>
      </c>
      <c r="C8056" t="s">
        <v>194</v>
      </c>
      <c r="D8056">
        <v>0</v>
      </c>
      <c r="E8056" t="s">
        <v>355</v>
      </c>
    </row>
    <row r="8057" spans="1:5" x14ac:dyDescent="0.35">
      <c r="A8057">
        <v>2017</v>
      </c>
      <c r="B8057" t="s">
        <v>35</v>
      </c>
      <c r="C8057" t="s">
        <v>90</v>
      </c>
      <c r="D8057">
        <v>57</v>
      </c>
      <c r="E8057" t="s">
        <v>466</v>
      </c>
    </row>
    <row r="8058" spans="1:5" x14ac:dyDescent="0.35">
      <c r="A8058">
        <v>2017</v>
      </c>
      <c r="B8058" t="s">
        <v>33</v>
      </c>
      <c r="C8058" t="s">
        <v>148</v>
      </c>
      <c r="E8058" t="s">
        <v>467</v>
      </c>
    </row>
    <row r="8059" spans="1:5" x14ac:dyDescent="0.35">
      <c r="A8059">
        <v>2017</v>
      </c>
      <c r="B8059" t="s">
        <v>33</v>
      </c>
      <c r="C8059" t="s">
        <v>91</v>
      </c>
      <c r="D8059">
        <v>208</v>
      </c>
      <c r="E8059" t="s">
        <v>466</v>
      </c>
    </row>
    <row r="8060" spans="1:5" x14ac:dyDescent="0.35">
      <c r="A8060">
        <v>2017</v>
      </c>
      <c r="B8060" t="s">
        <v>34</v>
      </c>
      <c r="C8060" t="s">
        <v>193</v>
      </c>
      <c r="D8060">
        <v>100</v>
      </c>
      <c r="E8060" t="s">
        <v>328</v>
      </c>
    </row>
    <row r="8061" spans="1:5" x14ac:dyDescent="0.35">
      <c r="A8061">
        <v>2017</v>
      </c>
      <c r="B8061" t="s">
        <v>37</v>
      </c>
      <c r="C8061" t="s">
        <v>92</v>
      </c>
      <c r="D8061">
        <v>103</v>
      </c>
      <c r="E8061" t="s">
        <v>466</v>
      </c>
    </row>
    <row r="8062" spans="1:5" x14ac:dyDescent="0.35">
      <c r="A8062">
        <v>2017</v>
      </c>
      <c r="B8062" t="s">
        <v>35</v>
      </c>
      <c r="C8062" t="s">
        <v>41</v>
      </c>
      <c r="D8062">
        <v>55</v>
      </c>
      <c r="E8062" t="s">
        <v>467</v>
      </c>
    </row>
    <row r="8063" spans="1:5" x14ac:dyDescent="0.35">
      <c r="A8063">
        <v>2017</v>
      </c>
      <c r="B8063" t="s">
        <v>35</v>
      </c>
      <c r="C8063" t="s">
        <v>93</v>
      </c>
      <c r="D8063">
        <v>37</v>
      </c>
      <c r="E8063" t="s">
        <v>466</v>
      </c>
    </row>
    <row r="8064" spans="1:5" x14ac:dyDescent="0.35">
      <c r="A8064">
        <v>2017</v>
      </c>
      <c r="B8064" t="s">
        <v>34</v>
      </c>
      <c r="C8064" t="s">
        <v>193</v>
      </c>
      <c r="D8064">
        <v>15</v>
      </c>
      <c r="E8064" t="s">
        <v>355</v>
      </c>
    </row>
    <row r="8065" spans="1:5" x14ac:dyDescent="0.35">
      <c r="A8065">
        <v>2017</v>
      </c>
      <c r="B8065" t="s">
        <v>35</v>
      </c>
      <c r="C8065" t="s">
        <v>94</v>
      </c>
      <c r="D8065">
        <v>862</v>
      </c>
      <c r="E8065" t="s">
        <v>466</v>
      </c>
    </row>
    <row r="8066" spans="1:5" x14ac:dyDescent="0.35">
      <c r="A8066">
        <v>2017</v>
      </c>
      <c r="B8066" t="s">
        <v>33</v>
      </c>
      <c r="C8066" t="s">
        <v>42</v>
      </c>
      <c r="D8066">
        <v>52</v>
      </c>
      <c r="E8066" t="s">
        <v>467</v>
      </c>
    </row>
    <row r="8067" spans="1:5" x14ac:dyDescent="0.35">
      <c r="A8067">
        <v>2017</v>
      </c>
      <c r="B8067" t="s">
        <v>36</v>
      </c>
      <c r="C8067" t="s">
        <v>16</v>
      </c>
      <c r="D8067">
        <v>67500</v>
      </c>
      <c r="E8067" t="s">
        <v>466</v>
      </c>
    </row>
    <row r="8068" spans="1:5" x14ac:dyDescent="0.35">
      <c r="A8068">
        <v>2017</v>
      </c>
      <c r="B8068" t="s">
        <v>33</v>
      </c>
      <c r="C8068" t="s">
        <v>192</v>
      </c>
      <c r="E8068" t="s">
        <v>328</v>
      </c>
    </row>
    <row r="8069" spans="1:5" x14ac:dyDescent="0.35">
      <c r="A8069">
        <v>2017</v>
      </c>
      <c r="B8069" t="s">
        <v>33</v>
      </c>
      <c r="C8069" t="s">
        <v>96</v>
      </c>
      <c r="D8069">
        <v>187</v>
      </c>
      <c r="E8069" t="s">
        <v>466</v>
      </c>
    </row>
    <row r="8070" spans="1:5" x14ac:dyDescent="0.35">
      <c r="A8070">
        <v>2017</v>
      </c>
      <c r="B8070" t="s">
        <v>33</v>
      </c>
      <c r="C8070" t="s">
        <v>43</v>
      </c>
      <c r="D8070">
        <v>18</v>
      </c>
      <c r="E8070" t="s">
        <v>467</v>
      </c>
    </row>
    <row r="8071" spans="1:5" x14ac:dyDescent="0.35">
      <c r="A8071">
        <v>2017</v>
      </c>
      <c r="B8071" t="s">
        <v>33</v>
      </c>
      <c r="C8071" t="s">
        <v>102</v>
      </c>
      <c r="D8071">
        <v>8</v>
      </c>
      <c r="E8071" t="s">
        <v>466</v>
      </c>
    </row>
    <row r="8072" spans="1:5" x14ac:dyDescent="0.35">
      <c r="A8072">
        <v>2017</v>
      </c>
      <c r="B8072" t="s">
        <v>36</v>
      </c>
      <c r="C8072" t="s">
        <v>191</v>
      </c>
      <c r="D8072">
        <v>31</v>
      </c>
      <c r="E8072" t="s">
        <v>328</v>
      </c>
    </row>
    <row r="8073" spans="1:5" x14ac:dyDescent="0.35">
      <c r="A8073">
        <v>2017</v>
      </c>
      <c r="B8073" t="s">
        <v>33</v>
      </c>
      <c r="C8073" t="s">
        <v>95</v>
      </c>
      <c r="D8073">
        <v>31</v>
      </c>
      <c r="E8073" t="s">
        <v>466</v>
      </c>
    </row>
    <row r="8074" spans="1:5" x14ac:dyDescent="0.35">
      <c r="A8074">
        <v>2017</v>
      </c>
      <c r="B8074" t="s">
        <v>36</v>
      </c>
      <c r="C8074" t="s">
        <v>44</v>
      </c>
      <c r="D8074">
        <v>8</v>
      </c>
      <c r="E8074" t="s">
        <v>467</v>
      </c>
    </row>
    <row r="8075" spans="1:5" x14ac:dyDescent="0.35">
      <c r="A8075">
        <v>2017</v>
      </c>
      <c r="B8075" t="s">
        <v>33</v>
      </c>
      <c r="C8075" t="s">
        <v>101</v>
      </c>
      <c r="D8075">
        <v>381</v>
      </c>
      <c r="E8075" t="s">
        <v>466</v>
      </c>
    </row>
    <row r="8076" spans="1:5" x14ac:dyDescent="0.35">
      <c r="A8076">
        <v>2017</v>
      </c>
      <c r="B8076" t="s">
        <v>36</v>
      </c>
      <c r="C8076" t="s">
        <v>191</v>
      </c>
      <c r="D8076">
        <v>110</v>
      </c>
      <c r="E8076" t="s">
        <v>355</v>
      </c>
    </row>
    <row r="8077" spans="1:5" x14ac:dyDescent="0.35">
      <c r="A8077">
        <v>2017</v>
      </c>
      <c r="B8077" t="s">
        <v>36</v>
      </c>
      <c r="C8077" t="s">
        <v>15</v>
      </c>
      <c r="D8077">
        <v>93519</v>
      </c>
      <c r="E8077" t="s">
        <v>466</v>
      </c>
    </row>
    <row r="8078" spans="1:5" x14ac:dyDescent="0.35">
      <c r="A8078">
        <v>2017</v>
      </c>
      <c r="B8078" t="s">
        <v>38</v>
      </c>
      <c r="C8078" t="s">
        <v>45</v>
      </c>
      <c r="D8078">
        <v>93</v>
      </c>
      <c r="E8078" t="s">
        <v>467</v>
      </c>
    </row>
    <row r="8079" spans="1:5" x14ac:dyDescent="0.35">
      <c r="A8079">
        <v>2017</v>
      </c>
      <c r="B8079" t="s">
        <v>36</v>
      </c>
      <c r="C8079" t="s">
        <v>100</v>
      </c>
      <c r="D8079">
        <v>30</v>
      </c>
      <c r="E8079" t="s">
        <v>466</v>
      </c>
    </row>
    <row r="8080" spans="1:5" x14ac:dyDescent="0.35">
      <c r="A8080">
        <v>2017</v>
      </c>
      <c r="B8080" t="s">
        <v>37</v>
      </c>
      <c r="C8080" t="s">
        <v>190</v>
      </c>
      <c r="D8080">
        <v>16</v>
      </c>
      <c r="E8080" t="s">
        <v>328</v>
      </c>
    </row>
    <row r="8081" spans="1:5" x14ac:dyDescent="0.35">
      <c r="A8081">
        <v>2017</v>
      </c>
      <c r="B8081" t="s">
        <v>36</v>
      </c>
      <c r="C8081" t="s">
        <v>85</v>
      </c>
      <c r="D8081">
        <v>3496</v>
      </c>
      <c r="E8081" t="s">
        <v>466</v>
      </c>
    </row>
    <row r="8082" spans="1:5" x14ac:dyDescent="0.35">
      <c r="A8082">
        <v>2017</v>
      </c>
      <c r="B8082" t="s">
        <v>34</v>
      </c>
      <c r="C8082" t="s">
        <v>46</v>
      </c>
      <c r="D8082">
        <v>25</v>
      </c>
      <c r="E8082" t="s">
        <v>467</v>
      </c>
    </row>
    <row r="8083" spans="1:5" x14ac:dyDescent="0.35">
      <c r="A8083">
        <v>2017</v>
      </c>
      <c r="B8083" t="s">
        <v>33</v>
      </c>
      <c r="C8083" t="s">
        <v>98</v>
      </c>
      <c r="D8083">
        <v>479</v>
      </c>
      <c r="E8083" t="s">
        <v>466</v>
      </c>
    </row>
    <row r="8084" spans="1:5" x14ac:dyDescent="0.35">
      <c r="A8084">
        <v>2017</v>
      </c>
      <c r="B8084" t="s">
        <v>37</v>
      </c>
      <c r="C8084" t="s">
        <v>190</v>
      </c>
      <c r="D8084">
        <v>11</v>
      </c>
      <c r="E8084" t="s">
        <v>355</v>
      </c>
    </row>
    <row r="8085" spans="1:5" x14ac:dyDescent="0.35">
      <c r="A8085">
        <v>2017</v>
      </c>
      <c r="B8085" t="s">
        <v>35</v>
      </c>
      <c r="C8085" t="s">
        <v>97</v>
      </c>
      <c r="D8085">
        <v>660</v>
      </c>
      <c r="E8085" t="s">
        <v>466</v>
      </c>
    </row>
    <row r="8086" spans="1:5" x14ac:dyDescent="0.35">
      <c r="A8086">
        <v>2017</v>
      </c>
      <c r="B8086" t="s">
        <v>37</v>
      </c>
      <c r="C8086" t="s">
        <v>47</v>
      </c>
      <c r="D8086">
        <v>564</v>
      </c>
      <c r="E8086" t="s">
        <v>467</v>
      </c>
    </row>
    <row r="8087" spans="1:5" x14ac:dyDescent="0.35">
      <c r="A8087">
        <v>2017</v>
      </c>
      <c r="B8087" t="s">
        <v>35</v>
      </c>
      <c r="C8087" t="s">
        <v>99</v>
      </c>
      <c r="D8087">
        <v>192</v>
      </c>
      <c r="E8087" t="s">
        <v>466</v>
      </c>
    </row>
    <row r="8088" spans="1:5" x14ac:dyDescent="0.35">
      <c r="A8088">
        <v>2017</v>
      </c>
      <c r="B8088" t="s">
        <v>33</v>
      </c>
      <c r="C8088" t="s">
        <v>189</v>
      </c>
      <c r="D8088">
        <v>16</v>
      </c>
      <c r="E8088" t="s">
        <v>328</v>
      </c>
    </row>
    <row r="8089" spans="1:5" x14ac:dyDescent="0.35">
      <c r="A8089">
        <v>2017</v>
      </c>
      <c r="B8089" t="s">
        <v>34</v>
      </c>
      <c r="C8089" t="s">
        <v>8</v>
      </c>
      <c r="D8089">
        <v>103</v>
      </c>
      <c r="E8089" t="s">
        <v>466</v>
      </c>
    </row>
    <row r="8090" spans="1:5" x14ac:dyDescent="0.35">
      <c r="A8090">
        <v>2017</v>
      </c>
      <c r="B8090" t="s">
        <v>35</v>
      </c>
      <c r="C8090" t="s">
        <v>48</v>
      </c>
      <c r="D8090">
        <v>53</v>
      </c>
      <c r="E8090" t="s">
        <v>467</v>
      </c>
    </row>
    <row r="8091" spans="1:5" x14ac:dyDescent="0.35">
      <c r="A8091">
        <v>2017</v>
      </c>
      <c r="B8091" t="s">
        <v>33</v>
      </c>
      <c r="C8091" t="s">
        <v>189</v>
      </c>
      <c r="D8091">
        <v>3</v>
      </c>
      <c r="E8091" t="s">
        <v>355</v>
      </c>
    </row>
    <row r="8092" spans="1:5" x14ac:dyDescent="0.35">
      <c r="A8092">
        <v>2017</v>
      </c>
      <c r="B8092" t="s">
        <v>34</v>
      </c>
      <c r="C8092" t="s">
        <v>49</v>
      </c>
      <c r="D8092">
        <v>11</v>
      </c>
      <c r="E8092" t="s">
        <v>467</v>
      </c>
    </row>
    <row r="8093" spans="1:5" x14ac:dyDescent="0.35">
      <c r="A8093">
        <v>2017</v>
      </c>
      <c r="B8093" t="s">
        <v>34</v>
      </c>
      <c r="C8093" t="s">
        <v>188</v>
      </c>
      <c r="D8093">
        <v>73</v>
      </c>
      <c r="E8093" t="s">
        <v>328</v>
      </c>
    </row>
    <row r="8094" spans="1:5" x14ac:dyDescent="0.35">
      <c r="A8094">
        <v>2017</v>
      </c>
      <c r="B8094" t="s">
        <v>36</v>
      </c>
      <c r="C8094" t="s">
        <v>50</v>
      </c>
      <c r="D8094">
        <v>222</v>
      </c>
      <c r="E8094" t="s">
        <v>467</v>
      </c>
    </row>
    <row r="8095" spans="1:5" x14ac:dyDescent="0.35">
      <c r="A8095">
        <v>2017</v>
      </c>
      <c r="B8095" t="s">
        <v>34</v>
      </c>
      <c r="C8095" t="s">
        <v>188</v>
      </c>
      <c r="D8095">
        <v>13</v>
      </c>
      <c r="E8095" t="s">
        <v>355</v>
      </c>
    </row>
    <row r="8096" spans="1:5" x14ac:dyDescent="0.35">
      <c r="A8096">
        <v>2017</v>
      </c>
      <c r="B8096" t="s">
        <v>34</v>
      </c>
      <c r="C8096" t="s">
        <v>64</v>
      </c>
      <c r="D8096">
        <v>9</v>
      </c>
      <c r="E8096" t="s">
        <v>467</v>
      </c>
    </row>
    <row r="8097" spans="1:5" x14ac:dyDescent="0.35">
      <c r="A8097">
        <v>2017</v>
      </c>
      <c r="B8097" t="s">
        <v>35</v>
      </c>
      <c r="C8097" t="s">
        <v>196</v>
      </c>
      <c r="D8097">
        <v>39</v>
      </c>
      <c r="E8097" t="s">
        <v>355</v>
      </c>
    </row>
    <row r="8098" spans="1:5" x14ac:dyDescent="0.35">
      <c r="A8098">
        <v>2017</v>
      </c>
      <c r="B8098" t="s">
        <v>34</v>
      </c>
      <c r="C8098" t="s">
        <v>51</v>
      </c>
      <c r="D8098">
        <v>22</v>
      </c>
      <c r="E8098" t="s">
        <v>467</v>
      </c>
    </row>
    <row r="8099" spans="1:5" x14ac:dyDescent="0.35">
      <c r="A8099">
        <v>2017</v>
      </c>
      <c r="B8099" t="s">
        <v>35</v>
      </c>
      <c r="C8099" t="s">
        <v>196</v>
      </c>
      <c r="D8099">
        <v>99</v>
      </c>
      <c r="E8099" t="s">
        <v>328</v>
      </c>
    </row>
    <row r="8100" spans="1:5" x14ac:dyDescent="0.35">
      <c r="A8100">
        <v>2017</v>
      </c>
      <c r="B8100" t="s">
        <v>36</v>
      </c>
      <c r="C8100" t="s">
        <v>53</v>
      </c>
      <c r="D8100">
        <v>12</v>
      </c>
      <c r="E8100" t="s">
        <v>467</v>
      </c>
    </row>
    <row r="8101" spans="1:5" x14ac:dyDescent="0.35">
      <c r="A8101">
        <v>2017</v>
      </c>
      <c r="B8101" t="s">
        <v>35</v>
      </c>
      <c r="C8101" t="s">
        <v>198</v>
      </c>
      <c r="D8101">
        <v>99</v>
      </c>
      <c r="E8101" t="s">
        <v>355</v>
      </c>
    </row>
    <row r="8102" spans="1:5" x14ac:dyDescent="0.35">
      <c r="A8102">
        <v>2017</v>
      </c>
      <c r="B8102" t="s">
        <v>35</v>
      </c>
      <c r="C8102" t="s">
        <v>54</v>
      </c>
      <c r="D8102">
        <v>20</v>
      </c>
      <c r="E8102" t="s">
        <v>467</v>
      </c>
    </row>
    <row r="8103" spans="1:5" x14ac:dyDescent="0.35">
      <c r="A8103">
        <v>2017</v>
      </c>
      <c r="B8103" t="s">
        <v>35</v>
      </c>
      <c r="C8103" t="s">
        <v>198</v>
      </c>
      <c r="D8103">
        <v>76</v>
      </c>
      <c r="E8103" t="s">
        <v>328</v>
      </c>
    </row>
    <row r="8104" spans="1:5" x14ac:dyDescent="0.35">
      <c r="A8104">
        <v>2017</v>
      </c>
      <c r="B8104" t="s">
        <v>35</v>
      </c>
      <c r="C8104" t="s">
        <v>55</v>
      </c>
      <c r="D8104">
        <v>102</v>
      </c>
      <c r="E8104" t="s">
        <v>467</v>
      </c>
    </row>
    <row r="8105" spans="1:5" x14ac:dyDescent="0.35">
      <c r="A8105">
        <v>2017</v>
      </c>
      <c r="B8105" t="s">
        <v>34</v>
      </c>
      <c r="C8105" t="s">
        <v>118</v>
      </c>
      <c r="D8105">
        <v>88</v>
      </c>
      <c r="E8105" t="s">
        <v>328</v>
      </c>
    </row>
    <row r="8106" spans="1:5" x14ac:dyDescent="0.35">
      <c r="A8106">
        <v>2017</v>
      </c>
      <c r="B8106" t="s">
        <v>36</v>
      </c>
      <c r="C8106" t="s">
        <v>56</v>
      </c>
      <c r="D8106">
        <v>31</v>
      </c>
      <c r="E8106" t="s">
        <v>467</v>
      </c>
    </row>
    <row r="8107" spans="1:5" x14ac:dyDescent="0.35">
      <c r="A8107">
        <v>2017</v>
      </c>
      <c r="B8107" t="s">
        <v>33</v>
      </c>
      <c r="C8107" t="s">
        <v>204</v>
      </c>
      <c r="D8107">
        <v>8</v>
      </c>
      <c r="E8107" t="s">
        <v>355</v>
      </c>
    </row>
    <row r="8108" spans="1:5" x14ac:dyDescent="0.35">
      <c r="A8108">
        <v>2017</v>
      </c>
      <c r="B8108" t="s">
        <v>33</v>
      </c>
      <c r="C8108" t="s">
        <v>57</v>
      </c>
      <c r="D8108">
        <v>8</v>
      </c>
      <c r="E8108" t="s">
        <v>467</v>
      </c>
    </row>
    <row r="8109" spans="1:5" x14ac:dyDescent="0.35">
      <c r="A8109">
        <v>2017</v>
      </c>
      <c r="B8109" t="s">
        <v>33</v>
      </c>
      <c r="C8109" t="s">
        <v>203</v>
      </c>
      <c r="D8109">
        <v>7</v>
      </c>
      <c r="E8109" t="s">
        <v>328</v>
      </c>
    </row>
    <row r="8110" spans="1:5" x14ac:dyDescent="0.35">
      <c r="A8110">
        <v>2017</v>
      </c>
      <c r="B8110" t="s">
        <v>38</v>
      </c>
      <c r="C8110" t="s">
        <v>59</v>
      </c>
      <c r="D8110">
        <v>37</v>
      </c>
      <c r="E8110" t="s">
        <v>467</v>
      </c>
    </row>
    <row r="8111" spans="1:5" x14ac:dyDescent="0.35">
      <c r="A8111">
        <v>2017</v>
      </c>
      <c r="B8111" t="s">
        <v>33</v>
      </c>
      <c r="C8111" t="s">
        <v>203</v>
      </c>
      <c r="D8111">
        <v>8</v>
      </c>
      <c r="E8111" t="s">
        <v>355</v>
      </c>
    </row>
    <row r="8112" spans="1:5" x14ac:dyDescent="0.35">
      <c r="A8112">
        <v>2017</v>
      </c>
      <c r="B8112" t="s">
        <v>35</v>
      </c>
      <c r="C8112" t="s">
        <v>60</v>
      </c>
      <c r="D8112">
        <v>19</v>
      </c>
      <c r="E8112" t="s">
        <v>467</v>
      </c>
    </row>
    <row r="8113" spans="1:5" x14ac:dyDescent="0.35">
      <c r="A8113">
        <v>2017</v>
      </c>
      <c r="B8113" t="s">
        <v>34</v>
      </c>
      <c r="C8113" t="s">
        <v>202</v>
      </c>
      <c r="E8113" t="s">
        <v>328</v>
      </c>
    </row>
    <row r="8114" spans="1:5" x14ac:dyDescent="0.35">
      <c r="A8114">
        <v>2017</v>
      </c>
      <c r="B8114" t="s">
        <v>38</v>
      </c>
      <c r="C8114" t="s">
        <v>21</v>
      </c>
      <c r="D8114">
        <v>519</v>
      </c>
      <c r="E8114" t="s">
        <v>467</v>
      </c>
    </row>
    <row r="8115" spans="1:5" x14ac:dyDescent="0.35">
      <c r="A8115">
        <v>2017</v>
      </c>
      <c r="B8115" t="s">
        <v>34</v>
      </c>
      <c r="C8115" t="s">
        <v>202</v>
      </c>
      <c r="E8115" t="s">
        <v>355</v>
      </c>
    </row>
    <row r="8116" spans="1:5" x14ac:dyDescent="0.35">
      <c r="A8116">
        <v>2017</v>
      </c>
      <c r="B8116" t="s">
        <v>35</v>
      </c>
      <c r="C8116" t="s">
        <v>62</v>
      </c>
      <c r="D8116">
        <v>43</v>
      </c>
      <c r="E8116" t="s">
        <v>467</v>
      </c>
    </row>
    <row r="8117" spans="1:5" x14ac:dyDescent="0.35">
      <c r="A8117">
        <v>2017</v>
      </c>
      <c r="B8117" t="s">
        <v>34</v>
      </c>
      <c r="C8117" t="s">
        <v>201</v>
      </c>
      <c r="D8117">
        <v>25</v>
      </c>
      <c r="E8117" t="s">
        <v>328</v>
      </c>
    </row>
    <row r="8118" spans="1:5" x14ac:dyDescent="0.35">
      <c r="A8118">
        <v>2017</v>
      </c>
      <c r="B8118" t="s">
        <v>33</v>
      </c>
      <c r="C8118" t="s">
        <v>63</v>
      </c>
      <c r="D8118">
        <v>15</v>
      </c>
      <c r="E8118" t="s">
        <v>467</v>
      </c>
    </row>
    <row r="8119" spans="1:5" x14ac:dyDescent="0.35">
      <c r="A8119">
        <v>2017</v>
      </c>
      <c r="B8119" t="s">
        <v>33</v>
      </c>
      <c r="C8119" t="s">
        <v>187</v>
      </c>
      <c r="D8119">
        <v>7</v>
      </c>
      <c r="E8119" t="s">
        <v>328</v>
      </c>
    </row>
    <row r="8120" spans="1:5" x14ac:dyDescent="0.35">
      <c r="A8120">
        <v>2017</v>
      </c>
      <c r="B8120" t="s">
        <v>34</v>
      </c>
      <c r="C8120" t="s">
        <v>52</v>
      </c>
      <c r="D8120">
        <v>148</v>
      </c>
      <c r="E8120" t="s">
        <v>467</v>
      </c>
    </row>
    <row r="8121" spans="1:5" x14ac:dyDescent="0.35">
      <c r="A8121">
        <v>2017</v>
      </c>
      <c r="B8121" t="s">
        <v>34</v>
      </c>
      <c r="C8121" t="s">
        <v>201</v>
      </c>
      <c r="D8121">
        <v>60</v>
      </c>
      <c r="E8121" t="s">
        <v>355</v>
      </c>
    </row>
    <row r="8122" spans="1:5" x14ac:dyDescent="0.35">
      <c r="A8122">
        <v>2017</v>
      </c>
      <c r="B8122" t="s">
        <v>37</v>
      </c>
      <c r="C8122" t="s">
        <v>92</v>
      </c>
      <c r="D8122">
        <v>55</v>
      </c>
      <c r="E8122" t="s">
        <v>467</v>
      </c>
    </row>
    <row r="8123" spans="1:5" x14ac:dyDescent="0.35">
      <c r="A8123">
        <v>2017</v>
      </c>
      <c r="B8123" t="s">
        <v>38</v>
      </c>
      <c r="C8123" t="s">
        <v>19</v>
      </c>
      <c r="D8123">
        <v>81</v>
      </c>
      <c r="E8123" t="s">
        <v>355</v>
      </c>
    </row>
    <row r="8124" spans="1:5" x14ac:dyDescent="0.35">
      <c r="A8124">
        <v>2017</v>
      </c>
      <c r="B8124" t="s">
        <v>36</v>
      </c>
      <c r="C8124" t="s">
        <v>79</v>
      </c>
      <c r="D8124">
        <v>204</v>
      </c>
      <c r="E8124" t="s">
        <v>467</v>
      </c>
    </row>
    <row r="8125" spans="1:5" x14ac:dyDescent="0.35">
      <c r="A8125">
        <v>2017</v>
      </c>
      <c r="B8125" t="s">
        <v>34</v>
      </c>
      <c r="C8125" t="s">
        <v>200</v>
      </c>
      <c r="D8125">
        <v>21</v>
      </c>
      <c r="E8125" t="s">
        <v>328</v>
      </c>
    </row>
    <row r="8126" spans="1:5" x14ac:dyDescent="0.35">
      <c r="A8126">
        <v>2017</v>
      </c>
      <c r="B8126" t="s">
        <v>35</v>
      </c>
      <c r="C8126" t="s">
        <v>94</v>
      </c>
      <c r="D8126">
        <v>711</v>
      </c>
      <c r="E8126" t="s">
        <v>467</v>
      </c>
    </row>
    <row r="8127" spans="1:5" x14ac:dyDescent="0.35">
      <c r="A8127">
        <v>2017</v>
      </c>
      <c r="B8127" t="s">
        <v>34</v>
      </c>
      <c r="C8127" t="s">
        <v>200</v>
      </c>
      <c r="D8127">
        <v>6</v>
      </c>
      <c r="E8127" t="s">
        <v>355</v>
      </c>
    </row>
    <row r="8128" spans="1:5" x14ac:dyDescent="0.35">
      <c r="A8128">
        <v>2017</v>
      </c>
      <c r="B8128" t="s">
        <v>35</v>
      </c>
      <c r="C8128" t="s">
        <v>119</v>
      </c>
      <c r="D8128">
        <v>11</v>
      </c>
      <c r="E8128" t="s">
        <v>467</v>
      </c>
    </row>
    <row r="8129" spans="1:5" x14ac:dyDescent="0.35">
      <c r="A8129">
        <v>2017</v>
      </c>
      <c r="B8129" t="s">
        <v>38</v>
      </c>
      <c r="C8129" t="s">
        <v>199</v>
      </c>
      <c r="D8129">
        <v>41</v>
      </c>
      <c r="E8129" t="s">
        <v>328</v>
      </c>
    </row>
    <row r="8130" spans="1:5" x14ac:dyDescent="0.35">
      <c r="A8130">
        <v>2017</v>
      </c>
      <c r="B8130" t="s">
        <v>34</v>
      </c>
      <c r="C8130" t="s">
        <v>120</v>
      </c>
      <c r="D8130">
        <v>52</v>
      </c>
      <c r="E8130" t="s">
        <v>467</v>
      </c>
    </row>
    <row r="8131" spans="1:5" x14ac:dyDescent="0.35">
      <c r="A8131">
        <v>2017</v>
      </c>
      <c r="B8131" t="s">
        <v>38</v>
      </c>
      <c r="C8131" t="s">
        <v>199</v>
      </c>
      <c r="D8131">
        <v>22</v>
      </c>
      <c r="E8131" t="s">
        <v>355</v>
      </c>
    </row>
    <row r="8132" spans="1:5" x14ac:dyDescent="0.35">
      <c r="A8132">
        <v>2017</v>
      </c>
      <c r="B8132" t="s">
        <v>34</v>
      </c>
      <c r="C8132" t="s">
        <v>121</v>
      </c>
      <c r="D8132">
        <v>13</v>
      </c>
      <c r="E8132" t="s">
        <v>467</v>
      </c>
    </row>
    <row r="8133" spans="1:5" x14ac:dyDescent="0.35">
      <c r="A8133">
        <v>2017</v>
      </c>
      <c r="B8133" t="s">
        <v>39</v>
      </c>
      <c r="C8133" t="s">
        <v>39</v>
      </c>
      <c r="D8133">
        <v>32</v>
      </c>
      <c r="E8133" t="s">
        <v>328</v>
      </c>
    </row>
    <row r="8134" spans="1:5" x14ac:dyDescent="0.35">
      <c r="A8134">
        <v>2017</v>
      </c>
      <c r="B8134" t="s">
        <v>34</v>
      </c>
      <c r="C8134" t="s">
        <v>122</v>
      </c>
      <c r="D8134">
        <v>10</v>
      </c>
      <c r="E8134" t="s">
        <v>467</v>
      </c>
    </row>
    <row r="8135" spans="1:5" x14ac:dyDescent="0.35">
      <c r="A8135">
        <v>2017</v>
      </c>
      <c r="B8135" t="s">
        <v>39</v>
      </c>
      <c r="C8135" t="s">
        <v>39</v>
      </c>
      <c r="D8135">
        <v>4</v>
      </c>
      <c r="E8135" t="s">
        <v>355</v>
      </c>
    </row>
    <row r="8136" spans="1:5" x14ac:dyDescent="0.35">
      <c r="A8136">
        <v>2017</v>
      </c>
      <c r="B8136" t="s">
        <v>35</v>
      </c>
      <c r="C8136" t="s">
        <v>123</v>
      </c>
      <c r="D8136">
        <v>43</v>
      </c>
      <c r="E8136" t="s">
        <v>467</v>
      </c>
    </row>
    <row r="8137" spans="1:5" x14ac:dyDescent="0.35">
      <c r="A8137">
        <v>2017</v>
      </c>
      <c r="B8137" t="s">
        <v>38</v>
      </c>
      <c r="C8137" t="s">
        <v>19</v>
      </c>
      <c r="D8137">
        <v>1005</v>
      </c>
      <c r="E8137" t="s">
        <v>328</v>
      </c>
    </row>
    <row r="8138" spans="1:5" x14ac:dyDescent="0.35">
      <c r="A8138">
        <v>2017</v>
      </c>
      <c r="B8138" t="s">
        <v>34</v>
      </c>
      <c r="C8138" t="s">
        <v>124</v>
      </c>
      <c r="D8138">
        <v>109</v>
      </c>
      <c r="E8138" t="s">
        <v>467</v>
      </c>
    </row>
    <row r="8139" spans="1:5" x14ac:dyDescent="0.35">
      <c r="A8139">
        <v>2017</v>
      </c>
      <c r="B8139" t="s">
        <v>36</v>
      </c>
      <c r="C8139" t="s">
        <v>165</v>
      </c>
      <c r="D8139">
        <v>3</v>
      </c>
      <c r="E8139" t="s">
        <v>328</v>
      </c>
    </row>
    <row r="8140" spans="1:5" x14ac:dyDescent="0.35">
      <c r="A8140">
        <v>2017</v>
      </c>
      <c r="B8140" t="s">
        <v>33</v>
      </c>
      <c r="C8140" t="s">
        <v>125</v>
      </c>
      <c r="D8140">
        <v>23</v>
      </c>
      <c r="E8140" t="s">
        <v>467</v>
      </c>
    </row>
    <row r="8141" spans="1:5" x14ac:dyDescent="0.35">
      <c r="A8141">
        <v>2017</v>
      </c>
      <c r="B8141" t="s">
        <v>33</v>
      </c>
      <c r="C8141" t="s">
        <v>187</v>
      </c>
      <c r="D8141">
        <v>5</v>
      </c>
      <c r="E8141" t="s">
        <v>355</v>
      </c>
    </row>
    <row r="8142" spans="1:5" x14ac:dyDescent="0.35">
      <c r="A8142">
        <v>2017</v>
      </c>
      <c r="B8142" t="s">
        <v>33</v>
      </c>
      <c r="C8142" t="s">
        <v>126</v>
      </c>
      <c r="D8142">
        <v>23</v>
      </c>
      <c r="E8142" t="s">
        <v>467</v>
      </c>
    </row>
    <row r="8143" spans="1:5" x14ac:dyDescent="0.35">
      <c r="A8143">
        <v>2017</v>
      </c>
      <c r="B8143" t="s">
        <v>34</v>
      </c>
      <c r="C8143" t="s">
        <v>186</v>
      </c>
      <c r="E8143" t="s">
        <v>355</v>
      </c>
    </row>
    <row r="8144" spans="1:5" x14ac:dyDescent="0.35">
      <c r="A8144">
        <v>2017</v>
      </c>
      <c r="B8144" t="s">
        <v>35</v>
      </c>
      <c r="C8144" t="s">
        <v>127</v>
      </c>
      <c r="D8144">
        <v>68</v>
      </c>
      <c r="E8144" t="s">
        <v>467</v>
      </c>
    </row>
    <row r="8145" spans="1:5" x14ac:dyDescent="0.35">
      <c r="A8145">
        <v>2017</v>
      </c>
      <c r="B8145" t="s">
        <v>35</v>
      </c>
      <c r="C8145" t="s">
        <v>172</v>
      </c>
      <c r="D8145">
        <v>16</v>
      </c>
      <c r="E8145" t="s">
        <v>328</v>
      </c>
    </row>
    <row r="8146" spans="1:5" x14ac:dyDescent="0.35">
      <c r="A8146">
        <v>2017</v>
      </c>
      <c r="B8146" t="s">
        <v>33</v>
      </c>
      <c r="C8146" t="s">
        <v>129</v>
      </c>
      <c r="E8146" t="s">
        <v>467</v>
      </c>
    </row>
    <row r="8147" spans="1:5" x14ac:dyDescent="0.35">
      <c r="A8147">
        <v>2017</v>
      </c>
      <c r="B8147" t="s">
        <v>35</v>
      </c>
      <c r="C8147" t="s">
        <v>172</v>
      </c>
      <c r="D8147">
        <v>6</v>
      </c>
      <c r="E8147" t="s">
        <v>355</v>
      </c>
    </row>
    <row r="8148" spans="1:5" x14ac:dyDescent="0.35">
      <c r="A8148">
        <v>2017</v>
      </c>
      <c r="B8148" t="s">
        <v>34</v>
      </c>
      <c r="C8148" t="s">
        <v>118</v>
      </c>
      <c r="D8148">
        <v>871</v>
      </c>
      <c r="E8148" t="s">
        <v>467</v>
      </c>
    </row>
    <row r="8149" spans="1:5" x14ac:dyDescent="0.35">
      <c r="A8149">
        <v>2017</v>
      </c>
      <c r="B8149" t="s">
        <v>34</v>
      </c>
      <c r="C8149" t="s">
        <v>171</v>
      </c>
      <c r="E8149" t="s">
        <v>328</v>
      </c>
    </row>
    <row r="8150" spans="1:5" x14ac:dyDescent="0.35">
      <c r="A8150">
        <v>2017</v>
      </c>
      <c r="B8150" t="s">
        <v>35</v>
      </c>
      <c r="C8150" t="s">
        <v>93</v>
      </c>
      <c r="D8150">
        <v>28</v>
      </c>
      <c r="E8150" t="s">
        <v>467</v>
      </c>
    </row>
    <row r="8151" spans="1:5" x14ac:dyDescent="0.35">
      <c r="A8151">
        <v>2017</v>
      </c>
      <c r="B8151" t="s">
        <v>34</v>
      </c>
      <c r="C8151" t="s">
        <v>171</v>
      </c>
      <c r="E8151" t="s">
        <v>355</v>
      </c>
    </row>
    <row r="8152" spans="1:5" x14ac:dyDescent="0.35">
      <c r="A8152">
        <v>2017</v>
      </c>
      <c r="B8152" t="s">
        <v>33</v>
      </c>
      <c r="C8152" t="s">
        <v>136</v>
      </c>
      <c r="D8152">
        <v>13</v>
      </c>
      <c r="E8152" t="s">
        <v>467</v>
      </c>
    </row>
    <row r="8153" spans="1:5" x14ac:dyDescent="0.35">
      <c r="A8153">
        <v>2017</v>
      </c>
      <c r="B8153" t="s">
        <v>33</v>
      </c>
      <c r="C8153" t="s">
        <v>170</v>
      </c>
      <c r="D8153">
        <v>13</v>
      </c>
      <c r="E8153" t="s">
        <v>328</v>
      </c>
    </row>
    <row r="8154" spans="1:5" x14ac:dyDescent="0.35">
      <c r="A8154">
        <v>2017</v>
      </c>
      <c r="B8154" t="s">
        <v>36</v>
      </c>
      <c r="C8154" t="s">
        <v>14</v>
      </c>
      <c r="D8154">
        <v>39359</v>
      </c>
      <c r="E8154" t="s">
        <v>467</v>
      </c>
    </row>
    <row r="8155" spans="1:5" x14ac:dyDescent="0.35">
      <c r="A8155">
        <v>2017</v>
      </c>
      <c r="B8155" t="s">
        <v>33</v>
      </c>
      <c r="C8155" t="s">
        <v>170</v>
      </c>
      <c r="D8155">
        <v>27</v>
      </c>
      <c r="E8155" t="s">
        <v>355</v>
      </c>
    </row>
    <row r="8156" spans="1:5" x14ac:dyDescent="0.35">
      <c r="A8156">
        <v>2017</v>
      </c>
      <c r="B8156" t="s">
        <v>37</v>
      </c>
      <c r="C8156" t="s">
        <v>137</v>
      </c>
      <c r="D8156">
        <v>15</v>
      </c>
      <c r="E8156" t="s">
        <v>467</v>
      </c>
    </row>
    <row r="8157" spans="1:5" x14ac:dyDescent="0.35">
      <c r="A8157">
        <v>2017</v>
      </c>
      <c r="B8157" t="s">
        <v>35</v>
      </c>
      <c r="C8157" t="s">
        <v>215</v>
      </c>
      <c r="E8157" t="s">
        <v>328</v>
      </c>
    </row>
    <row r="8158" spans="1:5" x14ac:dyDescent="0.35">
      <c r="A8158">
        <v>2017</v>
      </c>
      <c r="B8158" t="s">
        <v>35</v>
      </c>
      <c r="C8158" t="s">
        <v>138</v>
      </c>
      <c r="D8158">
        <v>45</v>
      </c>
      <c r="E8158" t="s">
        <v>467</v>
      </c>
    </row>
    <row r="8159" spans="1:5" x14ac:dyDescent="0.35">
      <c r="A8159">
        <v>2017</v>
      </c>
      <c r="B8159" t="s">
        <v>35</v>
      </c>
      <c r="C8159" t="s">
        <v>215</v>
      </c>
      <c r="E8159" t="s">
        <v>355</v>
      </c>
    </row>
    <row r="8160" spans="1:5" x14ac:dyDescent="0.35">
      <c r="A8160">
        <v>2017</v>
      </c>
      <c r="B8160" t="s">
        <v>34</v>
      </c>
      <c r="C8160" t="s">
        <v>139</v>
      </c>
      <c r="D8160">
        <v>55</v>
      </c>
      <c r="E8160" t="s">
        <v>467</v>
      </c>
    </row>
    <row r="8161" spans="1:5" x14ac:dyDescent="0.35">
      <c r="A8161">
        <v>2017</v>
      </c>
      <c r="B8161" t="s">
        <v>35</v>
      </c>
      <c r="C8161" t="s">
        <v>169</v>
      </c>
      <c r="D8161">
        <v>16</v>
      </c>
      <c r="E8161" t="s">
        <v>328</v>
      </c>
    </row>
    <row r="8162" spans="1:5" x14ac:dyDescent="0.35">
      <c r="A8162">
        <v>2017</v>
      </c>
      <c r="B8162" t="s">
        <v>35</v>
      </c>
      <c r="C8162" t="s">
        <v>140</v>
      </c>
      <c r="D8162">
        <v>21</v>
      </c>
      <c r="E8162" t="s">
        <v>467</v>
      </c>
    </row>
    <row r="8163" spans="1:5" x14ac:dyDescent="0.35">
      <c r="A8163">
        <v>2017</v>
      </c>
      <c r="B8163" t="s">
        <v>35</v>
      </c>
      <c r="C8163" t="s">
        <v>169</v>
      </c>
      <c r="D8163">
        <v>12</v>
      </c>
      <c r="E8163" t="s">
        <v>355</v>
      </c>
    </row>
    <row r="8164" spans="1:5" x14ac:dyDescent="0.35">
      <c r="A8164">
        <v>2017</v>
      </c>
      <c r="B8164" t="s">
        <v>33</v>
      </c>
      <c r="C8164" t="s">
        <v>141</v>
      </c>
      <c r="D8164">
        <v>94</v>
      </c>
      <c r="E8164" t="s">
        <v>467</v>
      </c>
    </row>
    <row r="8165" spans="1:5" x14ac:dyDescent="0.35">
      <c r="A8165">
        <v>2017</v>
      </c>
      <c r="B8165" t="s">
        <v>33</v>
      </c>
      <c r="C8165" t="s">
        <v>168</v>
      </c>
      <c r="D8165">
        <v>171</v>
      </c>
      <c r="E8165" t="s">
        <v>328</v>
      </c>
    </row>
    <row r="8166" spans="1:5" x14ac:dyDescent="0.35">
      <c r="A8166">
        <v>2017</v>
      </c>
      <c r="B8166" t="s">
        <v>34</v>
      </c>
      <c r="C8166" t="s">
        <v>144</v>
      </c>
      <c r="D8166">
        <v>29</v>
      </c>
      <c r="E8166" t="s">
        <v>467</v>
      </c>
    </row>
    <row r="8167" spans="1:5" x14ac:dyDescent="0.35">
      <c r="A8167">
        <v>2017</v>
      </c>
      <c r="B8167" t="s">
        <v>33</v>
      </c>
      <c r="C8167" t="s">
        <v>168</v>
      </c>
      <c r="D8167">
        <v>34</v>
      </c>
      <c r="E8167" t="s">
        <v>355</v>
      </c>
    </row>
    <row r="8168" spans="1:5" x14ac:dyDescent="0.35">
      <c r="A8168">
        <v>2017</v>
      </c>
      <c r="B8168" t="s">
        <v>35</v>
      </c>
      <c r="C8168" t="s">
        <v>145</v>
      </c>
      <c r="D8168">
        <v>256</v>
      </c>
      <c r="E8168" t="s">
        <v>467</v>
      </c>
    </row>
    <row r="8169" spans="1:5" x14ac:dyDescent="0.35">
      <c r="A8169">
        <v>2017</v>
      </c>
      <c r="B8169" t="s">
        <v>34</v>
      </c>
      <c r="C8169" t="s">
        <v>167</v>
      </c>
      <c r="D8169">
        <v>94</v>
      </c>
      <c r="E8169" t="s">
        <v>328</v>
      </c>
    </row>
    <row r="8170" spans="1:5" x14ac:dyDescent="0.35">
      <c r="A8170">
        <v>2017</v>
      </c>
      <c r="B8170" t="s">
        <v>37</v>
      </c>
      <c r="C8170" t="s">
        <v>146</v>
      </c>
      <c r="D8170">
        <v>167</v>
      </c>
      <c r="E8170" t="s">
        <v>467</v>
      </c>
    </row>
    <row r="8171" spans="1:5" x14ac:dyDescent="0.35">
      <c r="A8171">
        <v>2017</v>
      </c>
      <c r="B8171" t="s">
        <v>34</v>
      </c>
      <c r="C8171" t="s">
        <v>167</v>
      </c>
      <c r="D8171">
        <v>28</v>
      </c>
      <c r="E8171" t="s">
        <v>355</v>
      </c>
    </row>
    <row r="8172" spans="1:5" x14ac:dyDescent="0.35">
      <c r="A8172">
        <v>2017</v>
      </c>
      <c r="B8172" t="s">
        <v>33</v>
      </c>
      <c r="C8172" t="s">
        <v>132</v>
      </c>
      <c r="D8172">
        <v>24</v>
      </c>
      <c r="E8172" t="s">
        <v>467</v>
      </c>
    </row>
    <row r="8173" spans="1:5" x14ac:dyDescent="0.35">
      <c r="A8173">
        <v>2017</v>
      </c>
      <c r="B8173" t="s">
        <v>37</v>
      </c>
      <c r="C8173" t="s">
        <v>166</v>
      </c>
      <c r="D8173">
        <v>4</v>
      </c>
      <c r="E8173" t="s">
        <v>328</v>
      </c>
    </row>
    <row r="8174" spans="1:5" x14ac:dyDescent="0.35">
      <c r="A8174">
        <v>2017</v>
      </c>
      <c r="B8174" t="s">
        <v>33</v>
      </c>
      <c r="C8174" t="s">
        <v>117</v>
      </c>
      <c r="D8174">
        <v>93</v>
      </c>
      <c r="E8174" t="s">
        <v>467</v>
      </c>
    </row>
    <row r="8175" spans="1:5" x14ac:dyDescent="0.35">
      <c r="A8175">
        <v>2017</v>
      </c>
      <c r="B8175" t="s">
        <v>33</v>
      </c>
      <c r="C8175" t="s">
        <v>174</v>
      </c>
      <c r="D8175">
        <v>178</v>
      </c>
      <c r="E8175" t="s">
        <v>355</v>
      </c>
    </row>
    <row r="8176" spans="1:5" x14ac:dyDescent="0.35">
      <c r="A8176">
        <v>2017</v>
      </c>
      <c r="B8176" t="s">
        <v>34</v>
      </c>
      <c r="C8176" t="s">
        <v>131</v>
      </c>
      <c r="D8176">
        <v>35</v>
      </c>
      <c r="E8176" t="s">
        <v>467</v>
      </c>
    </row>
    <row r="8177" spans="1:5" x14ac:dyDescent="0.35">
      <c r="A8177">
        <v>2017</v>
      </c>
      <c r="B8177" t="s">
        <v>33</v>
      </c>
      <c r="C8177" t="s">
        <v>174</v>
      </c>
      <c r="D8177">
        <v>339</v>
      </c>
      <c r="E8177" t="s">
        <v>328</v>
      </c>
    </row>
    <row r="8178" spans="1:5" x14ac:dyDescent="0.35">
      <c r="A8178">
        <v>2017</v>
      </c>
      <c r="B8178" t="s">
        <v>34</v>
      </c>
      <c r="C8178" t="s">
        <v>115</v>
      </c>
      <c r="D8178">
        <v>349</v>
      </c>
      <c r="E8178" t="s">
        <v>467</v>
      </c>
    </row>
    <row r="8179" spans="1:5" x14ac:dyDescent="0.35">
      <c r="A8179">
        <v>2017</v>
      </c>
      <c r="B8179" t="s">
        <v>33</v>
      </c>
      <c r="C8179" t="s">
        <v>175</v>
      </c>
      <c r="D8179">
        <v>14</v>
      </c>
      <c r="E8179" t="s">
        <v>355</v>
      </c>
    </row>
    <row r="8180" spans="1:5" x14ac:dyDescent="0.35">
      <c r="A8180">
        <v>2017</v>
      </c>
      <c r="B8180" t="s">
        <v>34</v>
      </c>
      <c r="C8180" t="s">
        <v>116</v>
      </c>
      <c r="D8180">
        <v>32</v>
      </c>
      <c r="E8180" t="s">
        <v>467</v>
      </c>
    </row>
    <row r="8181" spans="1:5" x14ac:dyDescent="0.35">
      <c r="A8181">
        <v>2017</v>
      </c>
      <c r="B8181" t="s">
        <v>33</v>
      </c>
      <c r="C8181" t="s">
        <v>175</v>
      </c>
      <c r="D8181">
        <v>42</v>
      </c>
      <c r="E8181" t="s">
        <v>328</v>
      </c>
    </row>
    <row r="8182" spans="1:5" x14ac:dyDescent="0.35">
      <c r="A8182">
        <v>2017</v>
      </c>
      <c r="B8182" t="s">
        <v>33</v>
      </c>
      <c r="C8182" t="s">
        <v>95</v>
      </c>
      <c r="D8182">
        <v>16</v>
      </c>
      <c r="E8182" t="s">
        <v>467</v>
      </c>
    </row>
    <row r="8183" spans="1:5" x14ac:dyDescent="0.35">
      <c r="A8183">
        <v>2017</v>
      </c>
      <c r="B8183" t="s">
        <v>34</v>
      </c>
      <c r="C8183" t="s">
        <v>185</v>
      </c>
      <c r="D8183">
        <v>30</v>
      </c>
      <c r="E8183" t="s">
        <v>328</v>
      </c>
    </row>
    <row r="8184" spans="1:5" x14ac:dyDescent="0.35">
      <c r="A8184">
        <v>2017</v>
      </c>
      <c r="B8184" t="s">
        <v>33</v>
      </c>
      <c r="C8184" t="s">
        <v>96</v>
      </c>
      <c r="D8184">
        <v>9</v>
      </c>
      <c r="E8184" t="s">
        <v>467</v>
      </c>
    </row>
    <row r="8185" spans="1:5" x14ac:dyDescent="0.35">
      <c r="A8185">
        <v>2017</v>
      </c>
      <c r="B8185" t="s">
        <v>34</v>
      </c>
      <c r="C8185" t="s">
        <v>185</v>
      </c>
      <c r="D8185">
        <v>9</v>
      </c>
      <c r="E8185" t="s">
        <v>355</v>
      </c>
    </row>
    <row r="8186" spans="1:5" x14ac:dyDescent="0.35">
      <c r="A8186">
        <v>2017</v>
      </c>
      <c r="B8186" t="s">
        <v>34</v>
      </c>
      <c r="C8186" t="s">
        <v>8</v>
      </c>
      <c r="D8186">
        <v>10</v>
      </c>
      <c r="E8186" t="s">
        <v>467</v>
      </c>
    </row>
    <row r="8187" spans="1:5" x14ac:dyDescent="0.35">
      <c r="A8187">
        <v>2017</v>
      </c>
      <c r="B8187" t="s">
        <v>34</v>
      </c>
      <c r="C8187" t="s">
        <v>184</v>
      </c>
      <c r="D8187">
        <v>7</v>
      </c>
      <c r="E8187" t="s">
        <v>328</v>
      </c>
    </row>
    <row r="8188" spans="1:5" x14ac:dyDescent="0.35">
      <c r="A8188">
        <v>2017</v>
      </c>
      <c r="B8188" t="s">
        <v>35</v>
      </c>
      <c r="C8188" t="s">
        <v>97</v>
      </c>
      <c r="D8188">
        <v>503</v>
      </c>
      <c r="E8188" t="s">
        <v>467</v>
      </c>
    </row>
    <row r="8189" spans="1:5" x14ac:dyDescent="0.35">
      <c r="A8189">
        <v>2017</v>
      </c>
      <c r="B8189" t="s">
        <v>34</v>
      </c>
      <c r="C8189" t="s">
        <v>184</v>
      </c>
      <c r="D8189">
        <v>0</v>
      </c>
      <c r="E8189" t="s">
        <v>355</v>
      </c>
    </row>
    <row r="8190" spans="1:5" x14ac:dyDescent="0.35">
      <c r="A8190">
        <v>2017</v>
      </c>
      <c r="B8190" t="s">
        <v>33</v>
      </c>
      <c r="C8190" t="s">
        <v>98</v>
      </c>
      <c r="D8190">
        <v>85</v>
      </c>
      <c r="E8190" t="s">
        <v>467</v>
      </c>
    </row>
    <row r="8191" spans="1:5" x14ac:dyDescent="0.35">
      <c r="A8191">
        <v>2017</v>
      </c>
      <c r="B8191" t="s">
        <v>35</v>
      </c>
      <c r="C8191" t="s">
        <v>182</v>
      </c>
      <c r="D8191">
        <v>13</v>
      </c>
      <c r="E8191" t="s">
        <v>328</v>
      </c>
    </row>
    <row r="8192" spans="1:5" x14ac:dyDescent="0.35">
      <c r="A8192">
        <v>2017</v>
      </c>
      <c r="B8192" t="s">
        <v>36</v>
      </c>
      <c r="C8192" t="s">
        <v>100</v>
      </c>
      <c r="D8192">
        <v>6</v>
      </c>
      <c r="E8192" t="s">
        <v>467</v>
      </c>
    </row>
    <row r="8193" spans="1:5" x14ac:dyDescent="0.35">
      <c r="A8193">
        <v>2017</v>
      </c>
      <c r="B8193" t="s">
        <v>35</v>
      </c>
      <c r="C8193" t="s">
        <v>182</v>
      </c>
      <c r="D8193">
        <v>7</v>
      </c>
      <c r="E8193" t="s">
        <v>355</v>
      </c>
    </row>
    <row r="8194" spans="1:5" x14ac:dyDescent="0.35">
      <c r="A8194">
        <v>2017</v>
      </c>
      <c r="B8194" t="s">
        <v>36</v>
      </c>
      <c r="C8194" t="s">
        <v>15</v>
      </c>
      <c r="D8194">
        <v>1316</v>
      </c>
      <c r="E8194" t="s">
        <v>467</v>
      </c>
    </row>
    <row r="8195" spans="1:5" x14ac:dyDescent="0.35">
      <c r="A8195">
        <v>2017</v>
      </c>
      <c r="B8195" t="s">
        <v>38</v>
      </c>
      <c r="C8195" t="s">
        <v>180</v>
      </c>
      <c r="D8195">
        <v>3</v>
      </c>
      <c r="E8195" t="s">
        <v>328</v>
      </c>
    </row>
    <row r="8196" spans="1:5" x14ac:dyDescent="0.35">
      <c r="A8196">
        <v>2017</v>
      </c>
      <c r="B8196" t="s">
        <v>33</v>
      </c>
      <c r="C8196" t="s">
        <v>101</v>
      </c>
      <c r="D8196">
        <v>22</v>
      </c>
      <c r="E8196" t="s">
        <v>467</v>
      </c>
    </row>
    <row r="8197" spans="1:5" x14ac:dyDescent="0.35">
      <c r="A8197">
        <v>2017</v>
      </c>
      <c r="B8197" t="s">
        <v>34</v>
      </c>
      <c r="C8197" t="s">
        <v>186</v>
      </c>
      <c r="E8197" t="s">
        <v>328</v>
      </c>
    </row>
    <row r="8198" spans="1:5" x14ac:dyDescent="0.35">
      <c r="A8198">
        <v>2017</v>
      </c>
      <c r="B8198" t="s">
        <v>38</v>
      </c>
      <c r="C8198" t="s">
        <v>103</v>
      </c>
      <c r="D8198">
        <v>66</v>
      </c>
      <c r="E8198" t="s">
        <v>467</v>
      </c>
    </row>
    <row r="8199" spans="1:5" x14ac:dyDescent="0.35">
      <c r="A8199">
        <v>2017</v>
      </c>
      <c r="B8199" t="s">
        <v>38</v>
      </c>
      <c r="C8199" t="s">
        <v>180</v>
      </c>
      <c r="D8199">
        <v>6</v>
      </c>
      <c r="E8199" t="s">
        <v>355</v>
      </c>
    </row>
    <row r="8200" spans="1:5" x14ac:dyDescent="0.35">
      <c r="A8200">
        <v>2017</v>
      </c>
      <c r="B8200" t="s">
        <v>36</v>
      </c>
      <c r="C8200" t="s">
        <v>104</v>
      </c>
      <c r="D8200">
        <v>153</v>
      </c>
      <c r="E8200" t="s">
        <v>467</v>
      </c>
    </row>
    <row r="8201" spans="1:5" x14ac:dyDescent="0.35">
      <c r="A8201">
        <v>2017</v>
      </c>
      <c r="B8201" t="s">
        <v>33</v>
      </c>
      <c r="C8201" t="s">
        <v>179</v>
      </c>
      <c r="D8201">
        <v>11</v>
      </c>
      <c r="E8201" t="s">
        <v>355</v>
      </c>
    </row>
    <row r="8202" spans="1:5" x14ac:dyDescent="0.35">
      <c r="A8202">
        <v>2017</v>
      </c>
      <c r="B8202" t="s">
        <v>35</v>
      </c>
      <c r="C8202" t="s">
        <v>99</v>
      </c>
      <c r="D8202">
        <v>142</v>
      </c>
      <c r="E8202" t="s">
        <v>467</v>
      </c>
    </row>
    <row r="8203" spans="1:5" x14ac:dyDescent="0.35">
      <c r="A8203">
        <v>2017</v>
      </c>
      <c r="B8203" t="s">
        <v>34</v>
      </c>
      <c r="C8203" t="s">
        <v>178</v>
      </c>
      <c r="D8203">
        <v>47</v>
      </c>
      <c r="E8203" t="s">
        <v>328</v>
      </c>
    </row>
    <row r="8204" spans="1:5" x14ac:dyDescent="0.35">
      <c r="A8204">
        <v>2017</v>
      </c>
      <c r="B8204" t="s">
        <v>35</v>
      </c>
      <c r="C8204" t="s">
        <v>105</v>
      </c>
      <c r="D8204">
        <v>217</v>
      </c>
      <c r="E8204" t="s">
        <v>467</v>
      </c>
    </row>
    <row r="8205" spans="1:5" x14ac:dyDescent="0.35">
      <c r="A8205">
        <v>2017</v>
      </c>
      <c r="B8205" t="s">
        <v>34</v>
      </c>
      <c r="C8205" t="s">
        <v>178</v>
      </c>
      <c r="D8205">
        <v>7</v>
      </c>
      <c r="E8205" t="s">
        <v>355</v>
      </c>
    </row>
    <row r="8206" spans="1:5" x14ac:dyDescent="0.35">
      <c r="A8206">
        <v>2017</v>
      </c>
      <c r="B8206" t="s">
        <v>34</v>
      </c>
      <c r="C8206" t="s">
        <v>114</v>
      </c>
      <c r="D8206">
        <v>373</v>
      </c>
      <c r="E8206" t="s">
        <v>467</v>
      </c>
    </row>
    <row r="8207" spans="1:5" x14ac:dyDescent="0.35">
      <c r="A8207">
        <v>2017</v>
      </c>
      <c r="B8207" t="s">
        <v>35</v>
      </c>
      <c r="C8207" t="s">
        <v>177</v>
      </c>
      <c r="D8207">
        <v>102</v>
      </c>
      <c r="E8207" t="s">
        <v>328</v>
      </c>
    </row>
    <row r="8208" spans="1:5" x14ac:dyDescent="0.35">
      <c r="A8208">
        <v>2017</v>
      </c>
      <c r="B8208" t="s">
        <v>36</v>
      </c>
      <c r="C8208" t="s">
        <v>17</v>
      </c>
      <c r="D8208">
        <v>722</v>
      </c>
      <c r="E8208" t="s">
        <v>467</v>
      </c>
    </row>
    <row r="8209" spans="1:5" x14ac:dyDescent="0.35">
      <c r="A8209">
        <v>2017</v>
      </c>
      <c r="B8209" t="s">
        <v>35</v>
      </c>
      <c r="C8209" t="s">
        <v>177</v>
      </c>
      <c r="D8209">
        <v>51</v>
      </c>
      <c r="E8209" t="s">
        <v>355</v>
      </c>
    </row>
    <row r="8210" spans="1:5" x14ac:dyDescent="0.35">
      <c r="A8210">
        <v>2017</v>
      </c>
      <c r="B8210" t="s">
        <v>36</v>
      </c>
      <c r="C8210" t="s">
        <v>113</v>
      </c>
      <c r="D8210">
        <v>379</v>
      </c>
      <c r="E8210" t="s">
        <v>467</v>
      </c>
    </row>
    <row r="8211" spans="1:5" x14ac:dyDescent="0.35">
      <c r="A8211">
        <v>2017</v>
      </c>
      <c r="B8211" t="s">
        <v>33</v>
      </c>
      <c r="C8211" t="s">
        <v>176</v>
      </c>
      <c r="E8211" t="s">
        <v>328</v>
      </c>
    </row>
    <row r="8212" spans="1:5" x14ac:dyDescent="0.35">
      <c r="A8212">
        <v>2017</v>
      </c>
      <c r="B8212" t="s">
        <v>35</v>
      </c>
      <c r="C8212" t="s">
        <v>112</v>
      </c>
      <c r="D8212">
        <v>718</v>
      </c>
      <c r="E8212" t="s">
        <v>467</v>
      </c>
    </row>
    <row r="8213" spans="1:5" x14ac:dyDescent="0.35">
      <c r="A8213">
        <v>2017</v>
      </c>
      <c r="B8213" t="s">
        <v>33</v>
      </c>
      <c r="C8213" t="s">
        <v>176</v>
      </c>
      <c r="E8213" t="s">
        <v>355</v>
      </c>
    </row>
    <row r="8214" spans="1:5" x14ac:dyDescent="0.35">
      <c r="A8214">
        <v>2017</v>
      </c>
      <c r="B8214" t="s">
        <v>35</v>
      </c>
      <c r="C8214" t="s">
        <v>110</v>
      </c>
      <c r="D8214">
        <v>238</v>
      </c>
      <c r="E8214" t="s">
        <v>467</v>
      </c>
    </row>
    <row r="8215" spans="1:5" x14ac:dyDescent="0.35">
      <c r="A8215">
        <v>2017</v>
      </c>
      <c r="B8215" t="s">
        <v>33</v>
      </c>
      <c r="C8215" t="s">
        <v>179</v>
      </c>
      <c r="D8215">
        <v>11</v>
      </c>
      <c r="E8215" t="s">
        <v>328</v>
      </c>
    </row>
    <row r="8216" spans="1:5" x14ac:dyDescent="0.35">
      <c r="A8216">
        <v>2017</v>
      </c>
      <c r="B8216" t="s">
        <v>34</v>
      </c>
      <c r="C8216" t="s">
        <v>111</v>
      </c>
      <c r="D8216">
        <v>165</v>
      </c>
      <c r="E8216" t="s">
        <v>467</v>
      </c>
    </row>
    <row r="8217" spans="1:5" x14ac:dyDescent="0.35">
      <c r="A8217">
        <v>2017</v>
      </c>
      <c r="B8217" t="s">
        <v>34</v>
      </c>
      <c r="C8217" t="s">
        <v>118</v>
      </c>
      <c r="D8217">
        <v>79</v>
      </c>
      <c r="E8217" t="s">
        <v>355</v>
      </c>
    </row>
    <row r="8218" spans="1:5" x14ac:dyDescent="0.35">
      <c r="A8218">
        <v>2017</v>
      </c>
      <c r="B8218" t="s">
        <v>34</v>
      </c>
      <c r="C8218" t="s">
        <v>108</v>
      </c>
      <c r="D8218">
        <v>645</v>
      </c>
      <c r="E8218" t="s">
        <v>467</v>
      </c>
    </row>
    <row r="8219" spans="1:5" x14ac:dyDescent="0.35">
      <c r="A8219">
        <v>2017</v>
      </c>
      <c r="B8219" t="s">
        <v>33</v>
      </c>
      <c r="C8219" t="s">
        <v>192</v>
      </c>
      <c r="E8219" t="s">
        <v>355</v>
      </c>
    </row>
    <row r="8220" spans="1:5" x14ac:dyDescent="0.35">
      <c r="A8220">
        <v>2017</v>
      </c>
      <c r="B8220" t="s">
        <v>34</v>
      </c>
      <c r="C8220" t="s">
        <v>107</v>
      </c>
      <c r="D8220">
        <v>55</v>
      </c>
      <c r="E8220" t="s">
        <v>467</v>
      </c>
    </row>
    <row r="8221" spans="1:5" x14ac:dyDescent="0.35">
      <c r="A8221">
        <v>2017</v>
      </c>
      <c r="B8221" t="s">
        <v>33</v>
      </c>
      <c r="C8221" t="s">
        <v>117</v>
      </c>
      <c r="D8221">
        <v>51</v>
      </c>
      <c r="E8221" t="s">
        <v>355</v>
      </c>
    </row>
    <row r="8222" spans="1:5" x14ac:dyDescent="0.35">
      <c r="A8222">
        <v>2017</v>
      </c>
      <c r="B8222" t="s">
        <v>34</v>
      </c>
      <c r="C8222" t="s">
        <v>22</v>
      </c>
      <c r="D8222">
        <v>1493</v>
      </c>
      <c r="E8222" t="s">
        <v>467</v>
      </c>
    </row>
    <row r="8223" spans="1:5" x14ac:dyDescent="0.35">
      <c r="A8223">
        <v>2017</v>
      </c>
      <c r="B8223" t="s">
        <v>34</v>
      </c>
      <c r="C8223" t="s">
        <v>67</v>
      </c>
      <c r="E8223" t="s">
        <v>328</v>
      </c>
    </row>
    <row r="8224" spans="1:5" x14ac:dyDescent="0.35">
      <c r="A8224">
        <v>2017</v>
      </c>
      <c r="B8224" t="s">
        <v>35</v>
      </c>
      <c r="C8224" t="s">
        <v>106</v>
      </c>
      <c r="D8224">
        <v>8</v>
      </c>
      <c r="E8224" t="s">
        <v>467</v>
      </c>
    </row>
    <row r="8225" spans="1:5" x14ac:dyDescent="0.35">
      <c r="A8225">
        <v>2017</v>
      </c>
      <c r="B8225" t="s">
        <v>34</v>
      </c>
      <c r="C8225" t="s">
        <v>67</v>
      </c>
      <c r="E8225" t="s">
        <v>355</v>
      </c>
    </row>
    <row r="8226" spans="1:5" x14ac:dyDescent="0.35">
      <c r="A8226">
        <v>2017</v>
      </c>
      <c r="B8226" t="s">
        <v>34</v>
      </c>
      <c r="C8226" t="s">
        <v>109</v>
      </c>
      <c r="D8226">
        <v>262</v>
      </c>
      <c r="E8226" t="s">
        <v>467</v>
      </c>
    </row>
    <row r="8227" spans="1:5" x14ac:dyDescent="0.35">
      <c r="A8227">
        <v>2017</v>
      </c>
      <c r="B8227" t="s">
        <v>33</v>
      </c>
      <c r="C8227" t="s">
        <v>66</v>
      </c>
      <c r="D8227">
        <v>9</v>
      </c>
      <c r="E8227" t="s">
        <v>328</v>
      </c>
    </row>
    <row r="8228" spans="1:5" x14ac:dyDescent="0.35">
      <c r="A8228">
        <v>2017</v>
      </c>
      <c r="B8228" t="s">
        <v>33</v>
      </c>
      <c r="C8228" t="s">
        <v>66</v>
      </c>
      <c r="D8228">
        <v>25</v>
      </c>
      <c r="E8228" t="s">
        <v>355</v>
      </c>
    </row>
    <row r="8229" spans="1:5" x14ac:dyDescent="0.35">
      <c r="A8229">
        <v>2017</v>
      </c>
      <c r="B8229" t="s">
        <v>33</v>
      </c>
      <c r="C8229" t="s">
        <v>65</v>
      </c>
      <c r="D8229">
        <v>4</v>
      </c>
      <c r="E8229" t="s">
        <v>328</v>
      </c>
    </row>
    <row r="8230" spans="1:5" x14ac:dyDescent="0.35">
      <c r="A8230">
        <v>2017</v>
      </c>
      <c r="B8230" t="s">
        <v>33</v>
      </c>
      <c r="C8230" t="s">
        <v>65</v>
      </c>
      <c r="D8230">
        <v>3</v>
      </c>
      <c r="E8230" t="s">
        <v>355</v>
      </c>
    </row>
    <row r="8231" spans="1:5" x14ac:dyDescent="0.35">
      <c r="A8231">
        <v>2017</v>
      </c>
      <c r="B8231" t="s">
        <v>34</v>
      </c>
      <c r="C8231" t="s">
        <v>64</v>
      </c>
      <c r="D8231">
        <v>7</v>
      </c>
      <c r="E8231" t="s">
        <v>328</v>
      </c>
    </row>
    <row r="8232" spans="1:5" x14ac:dyDescent="0.35">
      <c r="A8232">
        <v>2017</v>
      </c>
      <c r="B8232" t="s">
        <v>34</v>
      </c>
      <c r="C8232" t="s">
        <v>64</v>
      </c>
      <c r="D8232">
        <v>5</v>
      </c>
      <c r="E8232" t="s">
        <v>355</v>
      </c>
    </row>
    <row r="8233" spans="1:5" x14ac:dyDescent="0.35">
      <c r="A8233">
        <v>2017</v>
      </c>
      <c r="B8233" t="s">
        <v>33</v>
      </c>
      <c r="C8233" t="s">
        <v>63</v>
      </c>
      <c r="D8233">
        <v>36</v>
      </c>
      <c r="E8233" t="s">
        <v>328</v>
      </c>
    </row>
    <row r="8234" spans="1:5" x14ac:dyDescent="0.35">
      <c r="A8234">
        <v>2017</v>
      </c>
      <c r="B8234" t="s">
        <v>33</v>
      </c>
      <c r="C8234" t="s">
        <v>63</v>
      </c>
      <c r="D8234">
        <v>3</v>
      </c>
      <c r="E8234" t="s">
        <v>355</v>
      </c>
    </row>
    <row r="8235" spans="1:5" x14ac:dyDescent="0.35">
      <c r="A8235">
        <v>2017</v>
      </c>
      <c r="B8235" t="s">
        <v>35</v>
      </c>
      <c r="C8235" t="s">
        <v>62</v>
      </c>
      <c r="D8235">
        <v>12</v>
      </c>
      <c r="E8235" t="s">
        <v>328</v>
      </c>
    </row>
    <row r="8236" spans="1:5" x14ac:dyDescent="0.35">
      <c r="A8236">
        <v>2017</v>
      </c>
      <c r="B8236" t="s">
        <v>35</v>
      </c>
      <c r="C8236" t="s">
        <v>62</v>
      </c>
      <c r="D8236">
        <v>14</v>
      </c>
      <c r="E8236" t="s">
        <v>355</v>
      </c>
    </row>
    <row r="8237" spans="1:5" x14ac:dyDescent="0.35">
      <c r="A8237">
        <v>2017</v>
      </c>
      <c r="B8237" t="s">
        <v>38</v>
      </c>
      <c r="C8237" t="s">
        <v>21</v>
      </c>
      <c r="D8237">
        <v>1313</v>
      </c>
      <c r="E8237" t="s">
        <v>328</v>
      </c>
    </row>
    <row r="8238" spans="1:5" x14ac:dyDescent="0.35">
      <c r="A8238">
        <v>2017</v>
      </c>
      <c r="B8238" t="s">
        <v>38</v>
      </c>
      <c r="C8238" t="s">
        <v>21</v>
      </c>
      <c r="D8238">
        <v>405</v>
      </c>
      <c r="E8238" t="s">
        <v>355</v>
      </c>
    </row>
    <row r="8239" spans="1:5" x14ac:dyDescent="0.35">
      <c r="A8239">
        <v>2017</v>
      </c>
      <c r="B8239" t="s">
        <v>35</v>
      </c>
      <c r="C8239" t="s">
        <v>60</v>
      </c>
      <c r="D8239">
        <v>4</v>
      </c>
      <c r="E8239" t="s">
        <v>328</v>
      </c>
    </row>
    <row r="8240" spans="1:5" x14ac:dyDescent="0.35">
      <c r="A8240">
        <v>2017</v>
      </c>
      <c r="B8240" t="s">
        <v>33</v>
      </c>
      <c r="C8240" t="s">
        <v>68</v>
      </c>
      <c r="D8240">
        <v>10</v>
      </c>
      <c r="E8240" t="s">
        <v>355</v>
      </c>
    </row>
    <row r="8241" spans="1:5" x14ac:dyDescent="0.35">
      <c r="A8241">
        <v>2017</v>
      </c>
      <c r="B8241" t="s">
        <v>33</v>
      </c>
      <c r="C8241" t="s">
        <v>68</v>
      </c>
      <c r="D8241">
        <v>58</v>
      </c>
      <c r="E8241" t="s">
        <v>328</v>
      </c>
    </row>
    <row r="8242" spans="1:5" x14ac:dyDescent="0.35">
      <c r="A8242">
        <v>2017</v>
      </c>
      <c r="B8242" t="s">
        <v>36</v>
      </c>
      <c r="C8242" t="s">
        <v>69</v>
      </c>
      <c r="D8242">
        <v>205</v>
      </c>
      <c r="E8242" t="s">
        <v>355</v>
      </c>
    </row>
    <row r="8243" spans="1:5" x14ac:dyDescent="0.35">
      <c r="A8243">
        <v>2017</v>
      </c>
      <c r="B8243" t="s">
        <v>36</v>
      </c>
      <c r="C8243" t="s">
        <v>69</v>
      </c>
      <c r="D8243">
        <v>480</v>
      </c>
      <c r="E8243" t="s">
        <v>328</v>
      </c>
    </row>
    <row r="8244" spans="1:5" x14ac:dyDescent="0.35">
      <c r="A8244">
        <v>2017</v>
      </c>
      <c r="B8244" t="s">
        <v>33</v>
      </c>
      <c r="C8244" t="s">
        <v>77</v>
      </c>
      <c r="D8244">
        <v>8</v>
      </c>
      <c r="E8244" t="s">
        <v>328</v>
      </c>
    </row>
    <row r="8245" spans="1:5" x14ac:dyDescent="0.35">
      <c r="A8245">
        <v>2017</v>
      </c>
      <c r="B8245" t="s">
        <v>33</v>
      </c>
      <c r="C8245" t="s">
        <v>77</v>
      </c>
      <c r="D8245">
        <v>7</v>
      </c>
      <c r="E8245" t="s">
        <v>355</v>
      </c>
    </row>
    <row r="8246" spans="1:5" x14ac:dyDescent="0.35">
      <c r="A8246">
        <v>2017</v>
      </c>
      <c r="B8246" t="s">
        <v>36</v>
      </c>
      <c r="C8246" t="s">
        <v>76</v>
      </c>
      <c r="D8246">
        <v>182</v>
      </c>
      <c r="E8246" t="s">
        <v>328</v>
      </c>
    </row>
    <row r="8247" spans="1:5" x14ac:dyDescent="0.35">
      <c r="A8247">
        <v>2017</v>
      </c>
      <c r="B8247" t="s">
        <v>36</v>
      </c>
      <c r="C8247" t="s">
        <v>76</v>
      </c>
      <c r="D8247">
        <v>72</v>
      </c>
      <c r="E8247" t="s">
        <v>355</v>
      </c>
    </row>
    <row r="8248" spans="1:5" x14ac:dyDescent="0.35">
      <c r="A8248">
        <v>2017</v>
      </c>
      <c r="B8248" t="s">
        <v>33</v>
      </c>
      <c r="C8248" t="s">
        <v>75</v>
      </c>
      <c r="E8248" t="s">
        <v>328</v>
      </c>
    </row>
    <row r="8249" spans="1:5" x14ac:dyDescent="0.35">
      <c r="A8249">
        <v>2017</v>
      </c>
      <c r="B8249" t="s">
        <v>33</v>
      </c>
      <c r="C8249" t="s">
        <v>75</v>
      </c>
      <c r="E8249" t="s">
        <v>355</v>
      </c>
    </row>
    <row r="8250" spans="1:5" x14ac:dyDescent="0.35">
      <c r="A8250">
        <v>2017</v>
      </c>
      <c r="B8250" t="s">
        <v>33</v>
      </c>
      <c r="C8250" t="s">
        <v>74</v>
      </c>
      <c r="D8250">
        <v>28</v>
      </c>
      <c r="E8250" t="s">
        <v>328</v>
      </c>
    </row>
    <row r="8251" spans="1:5" x14ac:dyDescent="0.35">
      <c r="A8251">
        <v>2017</v>
      </c>
      <c r="B8251" t="s">
        <v>35</v>
      </c>
      <c r="C8251" t="s">
        <v>60</v>
      </c>
      <c r="D8251">
        <v>39</v>
      </c>
      <c r="E8251" t="s">
        <v>355</v>
      </c>
    </row>
    <row r="8252" spans="1:5" x14ac:dyDescent="0.35">
      <c r="A8252">
        <v>2017</v>
      </c>
      <c r="B8252" t="s">
        <v>33</v>
      </c>
      <c r="C8252" t="s">
        <v>74</v>
      </c>
      <c r="D8252">
        <v>12</v>
      </c>
      <c r="E8252" t="s">
        <v>355</v>
      </c>
    </row>
    <row r="8253" spans="1:5" x14ac:dyDescent="0.35">
      <c r="A8253">
        <v>2017</v>
      </c>
      <c r="B8253" t="s">
        <v>38</v>
      </c>
      <c r="C8253" t="s">
        <v>20</v>
      </c>
      <c r="D8253">
        <v>616</v>
      </c>
      <c r="E8253" t="s">
        <v>355</v>
      </c>
    </row>
    <row r="8254" spans="1:5" x14ac:dyDescent="0.35">
      <c r="A8254">
        <v>2017</v>
      </c>
      <c r="B8254" t="s">
        <v>34</v>
      </c>
      <c r="C8254" t="s">
        <v>73</v>
      </c>
      <c r="D8254">
        <v>1748</v>
      </c>
      <c r="E8254" t="s">
        <v>328</v>
      </c>
    </row>
    <row r="8255" spans="1:5" x14ac:dyDescent="0.35">
      <c r="A8255">
        <v>2017</v>
      </c>
      <c r="B8255" t="s">
        <v>34</v>
      </c>
      <c r="C8255" t="s">
        <v>73</v>
      </c>
      <c r="D8255">
        <v>122</v>
      </c>
      <c r="E8255" t="s">
        <v>355</v>
      </c>
    </row>
    <row r="8256" spans="1:5" x14ac:dyDescent="0.35">
      <c r="A8256">
        <v>2017</v>
      </c>
      <c r="B8256" t="s">
        <v>38</v>
      </c>
      <c r="C8256" t="s">
        <v>72</v>
      </c>
      <c r="D8256">
        <v>83</v>
      </c>
      <c r="E8256" t="s">
        <v>328</v>
      </c>
    </row>
    <row r="8257" spans="1:5" x14ac:dyDescent="0.35">
      <c r="A8257">
        <v>2017</v>
      </c>
      <c r="B8257" t="s">
        <v>38</v>
      </c>
      <c r="C8257" t="s">
        <v>72</v>
      </c>
      <c r="D8257">
        <v>67</v>
      </c>
      <c r="E8257" t="s">
        <v>355</v>
      </c>
    </row>
    <row r="8258" spans="1:5" x14ac:dyDescent="0.35">
      <c r="A8258">
        <v>2017</v>
      </c>
      <c r="B8258" t="s">
        <v>33</v>
      </c>
      <c r="C8258" t="s">
        <v>71</v>
      </c>
      <c r="D8258">
        <v>7</v>
      </c>
      <c r="E8258" t="s">
        <v>328</v>
      </c>
    </row>
    <row r="8259" spans="1:5" x14ac:dyDescent="0.35">
      <c r="A8259">
        <v>2017</v>
      </c>
      <c r="B8259" t="s">
        <v>33</v>
      </c>
      <c r="C8259" t="s">
        <v>71</v>
      </c>
      <c r="D8259">
        <v>3</v>
      </c>
      <c r="E8259" t="s">
        <v>355</v>
      </c>
    </row>
    <row r="8260" spans="1:5" x14ac:dyDescent="0.35">
      <c r="A8260">
        <v>2017</v>
      </c>
      <c r="B8260" t="s">
        <v>38</v>
      </c>
      <c r="C8260" t="s">
        <v>20</v>
      </c>
      <c r="D8260">
        <v>1413</v>
      </c>
      <c r="E8260" t="s">
        <v>328</v>
      </c>
    </row>
    <row r="8261" spans="1:5" x14ac:dyDescent="0.35">
      <c r="A8261">
        <v>2017</v>
      </c>
      <c r="B8261" t="s">
        <v>35</v>
      </c>
      <c r="C8261" t="s">
        <v>78</v>
      </c>
      <c r="E8261" t="s">
        <v>355</v>
      </c>
    </row>
    <row r="8262" spans="1:5" x14ac:dyDescent="0.35">
      <c r="A8262">
        <v>2017</v>
      </c>
      <c r="B8262" t="s">
        <v>38</v>
      </c>
      <c r="C8262" t="s">
        <v>59</v>
      </c>
      <c r="D8262">
        <v>83</v>
      </c>
      <c r="E8262" t="s">
        <v>328</v>
      </c>
    </row>
    <row r="8263" spans="1:5" x14ac:dyDescent="0.35">
      <c r="A8263">
        <v>2017</v>
      </c>
      <c r="B8263" t="s">
        <v>33</v>
      </c>
      <c r="C8263" t="s">
        <v>57</v>
      </c>
      <c r="D8263">
        <v>4</v>
      </c>
      <c r="E8263" t="s">
        <v>328</v>
      </c>
    </row>
    <row r="8264" spans="1:5" x14ac:dyDescent="0.35">
      <c r="A8264">
        <v>2017</v>
      </c>
      <c r="B8264" t="s">
        <v>34</v>
      </c>
      <c r="C8264" t="s">
        <v>46</v>
      </c>
      <c r="D8264">
        <v>17</v>
      </c>
      <c r="E8264" t="s">
        <v>328</v>
      </c>
    </row>
    <row r="8265" spans="1:5" x14ac:dyDescent="0.35">
      <c r="A8265">
        <v>2017</v>
      </c>
      <c r="B8265" t="s">
        <v>34</v>
      </c>
      <c r="C8265" t="s">
        <v>46</v>
      </c>
      <c r="D8265">
        <v>12</v>
      </c>
      <c r="E8265" t="s">
        <v>355</v>
      </c>
    </row>
    <row r="8266" spans="1:5" x14ac:dyDescent="0.35">
      <c r="A8266">
        <v>2017</v>
      </c>
      <c r="B8266" t="s">
        <v>38</v>
      </c>
      <c r="C8266" t="s">
        <v>45</v>
      </c>
      <c r="D8266">
        <v>133</v>
      </c>
      <c r="E8266" t="s">
        <v>328</v>
      </c>
    </row>
    <row r="8267" spans="1:5" x14ac:dyDescent="0.35">
      <c r="A8267">
        <v>2017</v>
      </c>
      <c r="B8267" t="s">
        <v>38</v>
      </c>
      <c r="C8267" t="s">
        <v>45</v>
      </c>
      <c r="D8267">
        <v>48</v>
      </c>
      <c r="E8267" t="s">
        <v>355</v>
      </c>
    </row>
    <row r="8268" spans="1:5" x14ac:dyDescent="0.35">
      <c r="A8268">
        <v>2017</v>
      </c>
      <c r="B8268" t="s">
        <v>36</v>
      </c>
      <c r="C8268" t="s">
        <v>44</v>
      </c>
      <c r="E8268" t="s">
        <v>328</v>
      </c>
    </row>
    <row r="8269" spans="1:5" x14ac:dyDescent="0.35">
      <c r="A8269">
        <v>2017</v>
      </c>
      <c r="B8269" t="s">
        <v>36</v>
      </c>
      <c r="C8269" t="s">
        <v>44</v>
      </c>
      <c r="E8269" t="s">
        <v>355</v>
      </c>
    </row>
    <row r="8270" spans="1:5" x14ac:dyDescent="0.35">
      <c r="A8270">
        <v>2017</v>
      </c>
      <c r="B8270" t="s">
        <v>33</v>
      </c>
      <c r="C8270" t="s">
        <v>43</v>
      </c>
      <c r="D8270">
        <v>11</v>
      </c>
      <c r="E8270" t="s">
        <v>328</v>
      </c>
    </row>
    <row r="8271" spans="1:5" x14ac:dyDescent="0.35">
      <c r="A8271">
        <v>2017</v>
      </c>
      <c r="B8271" t="s">
        <v>33</v>
      </c>
      <c r="C8271" t="s">
        <v>43</v>
      </c>
      <c r="D8271">
        <v>0</v>
      </c>
      <c r="E8271" t="s">
        <v>355</v>
      </c>
    </row>
    <row r="8272" spans="1:5" x14ac:dyDescent="0.35">
      <c r="A8272">
        <v>2017</v>
      </c>
      <c r="C8272" t="s">
        <v>373</v>
      </c>
      <c r="D8272">
        <v>56</v>
      </c>
      <c r="E8272" t="s">
        <v>328</v>
      </c>
    </row>
    <row r="8273" spans="1:5" x14ac:dyDescent="0.35">
      <c r="A8273">
        <v>2017</v>
      </c>
      <c r="C8273" t="s">
        <v>373</v>
      </c>
      <c r="D8273">
        <v>22</v>
      </c>
      <c r="E8273" t="s">
        <v>355</v>
      </c>
    </row>
    <row r="8274" spans="1:5" x14ac:dyDescent="0.35">
      <c r="A8274">
        <v>2017</v>
      </c>
      <c r="B8274" t="s">
        <v>33</v>
      </c>
      <c r="C8274" t="s">
        <v>42</v>
      </c>
      <c r="D8274">
        <v>18</v>
      </c>
      <c r="E8274" t="s">
        <v>328</v>
      </c>
    </row>
    <row r="8275" spans="1:5" x14ac:dyDescent="0.35">
      <c r="A8275">
        <v>2017</v>
      </c>
      <c r="B8275" t="s">
        <v>33</v>
      </c>
      <c r="C8275" t="s">
        <v>42</v>
      </c>
      <c r="D8275">
        <v>23</v>
      </c>
      <c r="E8275" t="s">
        <v>355</v>
      </c>
    </row>
    <row r="8276" spans="1:5" x14ac:dyDescent="0.35">
      <c r="A8276">
        <v>2017</v>
      </c>
      <c r="B8276" t="s">
        <v>35</v>
      </c>
      <c r="C8276" t="s">
        <v>41</v>
      </c>
      <c r="D8276">
        <v>29</v>
      </c>
      <c r="E8276" t="s">
        <v>328</v>
      </c>
    </row>
    <row r="8277" spans="1:5" x14ac:dyDescent="0.35">
      <c r="A8277">
        <v>2017</v>
      </c>
      <c r="B8277" t="s">
        <v>35</v>
      </c>
      <c r="C8277" t="s">
        <v>41</v>
      </c>
      <c r="D8277">
        <v>25</v>
      </c>
      <c r="E8277" t="s">
        <v>355</v>
      </c>
    </row>
    <row r="8278" spans="1:5" x14ac:dyDescent="0.35">
      <c r="A8278">
        <v>2017</v>
      </c>
      <c r="B8278" t="s">
        <v>34</v>
      </c>
      <c r="C8278" t="s">
        <v>40</v>
      </c>
      <c r="D8278">
        <v>20</v>
      </c>
      <c r="E8278" t="s">
        <v>355</v>
      </c>
    </row>
    <row r="8279" spans="1:5" x14ac:dyDescent="0.35">
      <c r="A8279">
        <v>2017</v>
      </c>
      <c r="B8279" t="s">
        <v>37</v>
      </c>
      <c r="C8279" t="s">
        <v>47</v>
      </c>
      <c r="D8279">
        <v>6</v>
      </c>
      <c r="E8279" t="s">
        <v>355</v>
      </c>
    </row>
    <row r="8280" spans="1:5" x14ac:dyDescent="0.35">
      <c r="A8280">
        <v>2017</v>
      </c>
      <c r="B8280" t="s">
        <v>37</v>
      </c>
      <c r="C8280" t="s">
        <v>47</v>
      </c>
      <c r="D8280">
        <v>24</v>
      </c>
      <c r="E8280" t="s">
        <v>328</v>
      </c>
    </row>
    <row r="8281" spans="1:5" x14ac:dyDescent="0.35">
      <c r="A8281">
        <v>2017</v>
      </c>
      <c r="B8281" t="s">
        <v>35</v>
      </c>
      <c r="C8281" t="s">
        <v>48</v>
      </c>
      <c r="D8281">
        <v>3</v>
      </c>
      <c r="E8281" t="s">
        <v>355</v>
      </c>
    </row>
    <row r="8282" spans="1:5" x14ac:dyDescent="0.35">
      <c r="A8282">
        <v>2017</v>
      </c>
      <c r="B8282" t="s">
        <v>35</v>
      </c>
      <c r="C8282" t="s">
        <v>48</v>
      </c>
      <c r="D8282">
        <v>3</v>
      </c>
      <c r="E8282" t="s">
        <v>328</v>
      </c>
    </row>
    <row r="8283" spans="1:5" x14ac:dyDescent="0.35">
      <c r="A8283">
        <v>2017</v>
      </c>
      <c r="B8283" t="s">
        <v>33</v>
      </c>
      <c r="C8283" t="s">
        <v>57</v>
      </c>
      <c r="D8283">
        <v>5</v>
      </c>
      <c r="E8283" t="s">
        <v>355</v>
      </c>
    </row>
    <row r="8284" spans="1:5" x14ac:dyDescent="0.35">
      <c r="A8284">
        <v>2017</v>
      </c>
      <c r="B8284" t="s">
        <v>36</v>
      </c>
      <c r="C8284" t="s">
        <v>56</v>
      </c>
      <c r="D8284">
        <v>66</v>
      </c>
      <c r="E8284" t="s">
        <v>328</v>
      </c>
    </row>
    <row r="8285" spans="1:5" x14ac:dyDescent="0.35">
      <c r="A8285">
        <v>2017</v>
      </c>
      <c r="B8285" t="s">
        <v>36</v>
      </c>
      <c r="C8285" t="s">
        <v>56</v>
      </c>
      <c r="D8285">
        <v>57</v>
      </c>
      <c r="E8285" t="s">
        <v>355</v>
      </c>
    </row>
    <row r="8286" spans="1:5" x14ac:dyDescent="0.35">
      <c r="A8286">
        <v>2017</v>
      </c>
      <c r="B8286" t="s">
        <v>35</v>
      </c>
      <c r="C8286" t="s">
        <v>55</v>
      </c>
      <c r="D8286">
        <v>7</v>
      </c>
      <c r="E8286" t="s">
        <v>328</v>
      </c>
    </row>
    <row r="8287" spans="1:5" x14ac:dyDescent="0.35">
      <c r="A8287">
        <v>2017</v>
      </c>
      <c r="B8287" t="s">
        <v>35</v>
      </c>
      <c r="C8287" t="s">
        <v>55</v>
      </c>
      <c r="D8287">
        <v>3</v>
      </c>
      <c r="E8287" t="s">
        <v>355</v>
      </c>
    </row>
    <row r="8288" spans="1:5" x14ac:dyDescent="0.35">
      <c r="A8288">
        <v>2017</v>
      </c>
      <c r="B8288" t="s">
        <v>35</v>
      </c>
      <c r="C8288" t="s">
        <v>54</v>
      </c>
      <c r="D8288">
        <v>14</v>
      </c>
      <c r="E8288" t="s">
        <v>328</v>
      </c>
    </row>
    <row r="8289" spans="1:5" x14ac:dyDescent="0.35">
      <c r="A8289">
        <v>2017</v>
      </c>
      <c r="B8289" t="s">
        <v>35</v>
      </c>
      <c r="C8289" t="s">
        <v>54</v>
      </c>
      <c r="D8289">
        <v>6</v>
      </c>
      <c r="E8289" t="s">
        <v>355</v>
      </c>
    </row>
    <row r="8290" spans="1:5" x14ac:dyDescent="0.35">
      <c r="A8290">
        <v>2017</v>
      </c>
      <c r="B8290" t="s">
        <v>38</v>
      </c>
      <c r="C8290" t="s">
        <v>59</v>
      </c>
      <c r="D8290">
        <v>43</v>
      </c>
      <c r="E8290" t="s">
        <v>355</v>
      </c>
    </row>
    <row r="8291" spans="1:5" x14ac:dyDescent="0.35">
      <c r="A8291">
        <v>2017</v>
      </c>
      <c r="B8291" t="s">
        <v>36</v>
      </c>
      <c r="C8291" t="s">
        <v>53</v>
      </c>
      <c r="D8291">
        <v>4</v>
      </c>
      <c r="E8291" t="s">
        <v>328</v>
      </c>
    </row>
    <row r="8292" spans="1:5" x14ac:dyDescent="0.35">
      <c r="A8292">
        <v>2017</v>
      </c>
      <c r="B8292" t="s">
        <v>36</v>
      </c>
      <c r="C8292" t="s">
        <v>53</v>
      </c>
      <c r="D8292">
        <v>19</v>
      </c>
      <c r="E8292" t="s">
        <v>355</v>
      </c>
    </row>
    <row r="8293" spans="1:5" x14ac:dyDescent="0.35">
      <c r="A8293">
        <v>2017</v>
      </c>
      <c r="B8293" t="s">
        <v>34</v>
      </c>
      <c r="C8293" t="s">
        <v>52</v>
      </c>
      <c r="D8293">
        <v>189</v>
      </c>
      <c r="E8293" t="s">
        <v>328</v>
      </c>
    </row>
    <row r="8294" spans="1:5" x14ac:dyDescent="0.35">
      <c r="A8294">
        <v>2017</v>
      </c>
      <c r="B8294" t="s">
        <v>34</v>
      </c>
      <c r="C8294" t="s">
        <v>52</v>
      </c>
      <c r="D8294">
        <v>25</v>
      </c>
      <c r="E8294" t="s">
        <v>355</v>
      </c>
    </row>
    <row r="8295" spans="1:5" x14ac:dyDescent="0.35">
      <c r="A8295">
        <v>2017</v>
      </c>
      <c r="B8295" t="s">
        <v>36</v>
      </c>
      <c r="C8295" t="s">
        <v>50</v>
      </c>
      <c r="D8295">
        <v>14</v>
      </c>
      <c r="E8295" t="s">
        <v>328</v>
      </c>
    </row>
    <row r="8296" spans="1:5" x14ac:dyDescent="0.35">
      <c r="A8296">
        <v>2017</v>
      </c>
      <c r="B8296" t="s">
        <v>36</v>
      </c>
      <c r="C8296" t="s">
        <v>50</v>
      </c>
      <c r="D8296">
        <v>72</v>
      </c>
      <c r="E8296" t="s">
        <v>355</v>
      </c>
    </row>
    <row r="8297" spans="1:5" x14ac:dyDescent="0.35">
      <c r="A8297">
        <v>2017</v>
      </c>
      <c r="B8297" t="s">
        <v>34</v>
      </c>
      <c r="C8297" t="s">
        <v>49</v>
      </c>
      <c r="E8297" t="s">
        <v>328</v>
      </c>
    </row>
    <row r="8298" spans="1:5" x14ac:dyDescent="0.35">
      <c r="A8298">
        <v>2017</v>
      </c>
      <c r="B8298" t="s">
        <v>34</v>
      </c>
      <c r="C8298" t="s">
        <v>49</v>
      </c>
      <c r="E8298" t="s">
        <v>355</v>
      </c>
    </row>
    <row r="8299" spans="1:5" x14ac:dyDescent="0.35">
      <c r="A8299">
        <v>2017</v>
      </c>
      <c r="B8299" t="s">
        <v>33</v>
      </c>
      <c r="C8299" t="s">
        <v>117</v>
      </c>
      <c r="D8299">
        <v>57</v>
      </c>
      <c r="E8299" t="s">
        <v>328</v>
      </c>
    </row>
    <row r="8300" spans="1:5" x14ac:dyDescent="0.35">
      <c r="A8300">
        <v>2017</v>
      </c>
      <c r="B8300" t="s">
        <v>35</v>
      </c>
      <c r="C8300" t="s">
        <v>78</v>
      </c>
      <c r="E8300" t="s">
        <v>328</v>
      </c>
    </row>
    <row r="8301" spans="1:5" x14ac:dyDescent="0.35">
      <c r="A8301">
        <v>2017</v>
      </c>
      <c r="B8301" t="s">
        <v>34</v>
      </c>
      <c r="C8301" t="s">
        <v>40</v>
      </c>
      <c r="D8301">
        <v>26</v>
      </c>
      <c r="E8301" t="s">
        <v>328</v>
      </c>
    </row>
    <row r="8302" spans="1:5" x14ac:dyDescent="0.35">
      <c r="A8302">
        <v>2017</v>
      </c>
      <c r="B8302" t="s">
        <v>36</v>
      </c>
      <c r="C8302" t="s">
        <v>79</v>
      </c>
      <c r="D8302">
        <v>121</v>
      </c>
      <c r="E8302" t="s">
        <v>328</v>
      </c>
    </row>
    <row r="8303" spans="1:5" x14ac:dyDescent="0.35">
      <c r="A8303">
        <v>2017</v>
      </c>
      <c r="B8303" t="s">
        <v>34</v>
      </c>
      <c r="C8303" t="s">
        <v>22</v>
      </c>
      <c r="D8303">
        <v>538</v>
      </c>
      <c r="E8303" t="s">
        <v>328</v>
      </c>
    </row>
    <row r="8304" spans="1:5" x14ac:dyDescent="0.35">
      <c r="A8304">
        <v>2017</v>
      </c>
      <c r="B8304" t="s">
        <v>34</v>
      </c>
      <c r="C8304" t="s">
        <v>22</v>
      </c>
      <c r="D8304">
        <v>158</v>
      </c>
      <c r="E8304" t="s">
        <v>355</v>
      </c>
    </row>
    <row r="8305" spans="1:5" x14ac:dyDescent="0.35">
      <c r="A8305">
        <v>2017</v>
      </c>
      <c r="B8305" t="s">
        <v>35</v>
      </c>
      <c r="C8305" t="s">
        <v>105</v>
      </c>
      <c r="D8305">
        <v>101</v>
      </c>
      <c r="E8305" t="s">
        <v>328</v>
      </c>
    </row>
    <row r="8306" spans="1:5" x14ac:dyDescent="0.35">
      <c r="A8306">
        <v>2017</v>
      </c>
      <c r="B8306" t="s">
        <v>35</v>
      </c>
      <c r="C8306" t="s">
        <v>105</v>
      </c>
      <c r="D8306">
        <v>12</v>
      </c>
      <c r="E8306" t="s">
        <v>355</v>
      </c>
    </row>
    <row r="8307" spans="1:5" x14ac:dyDescent="0.35">
      <c r="A8307">
        <v>2017</v>
      </c>
      <c r="B8307" t="s">
        <v>36</v>
      </c>
      <c r="C8307" t="s">
        <v>17</v>
      </c>
      <c r="D8307">
        <v>12841</v>
      </c>
      <c r="E8307" t="s">
        <v>328</v>
      </c>
    </row>
    <row r="8308" spans="1:5" x14ac:dyDescent="0.35">
      <c r="A8308">
        <v>2017</v>
      </c>
      <c r="B8308" t="s">
        <v>36</v>
      </c>
      <c r="C8308" t="s">
        <v>17</v>
      </c>
      <c r="D8308">
        <v>9229</v>
      </c>
      <c r="E8308" t="s">
        <v>355</v>
      </c>
    </row>
    <row r="8309" spans="1:5" x14ac:dyDescent="0.35">
      <c r="A8309">
        <v>2017</v>
      </c>
      <c r="B8309" t="s">
        <v>36</v>
      </c>
      <c r="C8309" t="s">
        <v>104</v>
      </c>
      <c r="D8309">
        <v>5385</v>
      </c>
      <c r="E8309" t="s">
        <v>328</v>
      </c>
    </row>
    <row r="8310" spans="1:5" x14ac:dyDescent="0.35">
      <c r="A8310">
        <v>2017</v>
      </c>
      <c r="B8310" t="s">
        <v>36</v>
      </c>
      <c r="C8310" t="s">
        <v>104</v>
      </c>
      <c r="D8310">
        <v>338</v>
      </c>
      <c r="E8310" t="s">
        <v>355</v>
      </c>
    </row>
    <row r="8311" spans="1:5" x14ac:dyDescent="0.35">
      <c r="A8311">
        <v>2017</v>
      </c>
      <c r="B8311" t="s">
        <v>38</v>
      </c>
      <c r="C8311" t="s">
        <v>103</v>
      </c>
      <c r="D8311">
        <v>83</v>
      </c>
      <c r="E8311" t="s">
        <v>328</v>
      </c>
    </row>
    <row r="8312" spans="1:5" x14ac:dyDescent="0.35">
      <c r="A8312">
        <v>2017</v>
      </c>
      <c r="B8312" t="s">
        <v>38</v>
      </c>
      <c r="C8312" t="s">
        <v>103</v>
      </c>
      <c r="D8312">
        <v>98</v>
      </c>
      <c r="E8312" t="s">
        <v>355</v>
      </c>
    </row>
    <row r="8313" spans="1:5" x14ac:dyDescent="0.35">
      <c r="A8313">
        <v>2017</v>
      </c>
      <c r="B8313" t="s">
        <v>33</v>
      </c>
      <c r="C8313" t="s">
        <v>101</v>
      </c>
      <c r="D8313">
        <v>61</v>
      </c>
      <c r="E8313" t="s">
        <v>328</v>
      </c>
    </row>
    <row r="8314" spans="1:5" x14ac:dyDescent="0.35">
      <c r="A8314">
        <v>2017</v>
      </c>
      <c r="B8314" t="s">
        <v>33</v>
      </c>
      <c r="C8314" t="s">
        <v>101</v>
      </c>
      <c r="D8314">
        <v>29</v>
      </c>
      <c r="E8314" t="s">
        <v>355</v>
      </c>
    </row>
    <row r="8315" spans="1:5" x14ac:dyDescent="0.35">
      <c r="A8315">
        <v>2017</v>
      </c>
      <c r="B8315" t="s">
        <v>36</v>
      </c>
      <c r="C8315" t="s">
        <v>15</v>
      </c>
      <c r="D8315">
        <v>21816</v>
      </c>
      <c r="E8315" t="s">
        <v>328</v>
      </c>
    </row>
    <row r="8316" spans="1:5" x14ac:dyDescent="0.35">
      <c r="A8316">
        <v>2017</v>
      </c>
      <c r="B8316" t="s">
        <v>36</v>
      </c>
      <c r="C8316" t="s">
        <v>15</v>
      </c>
      <c r="D8316">
        <v>11034</v>
      </c>
      <c r="E8316" t="s">
        <v>355</v>
      </c>
    </row>
    <row r="8317" spans="1:5" x14ac:dyDescent="0.35">
      <c r="A8317">
        <v>2017</v>
      </c>
      <c r="B8317" t="s">
        <v>36</v>
      </c>
      <c r="C8317" t="s">
        <v>100</v>
      </c>
      <c r="E8317" t="s">
        <v>328</v>
      </c>
    </row>
    <row r="8318" spans="1:5" x14ac:dyDescent="0.35">
      <c r="A8318">
        <v>2017</v>
      </c>
      <c r="B8318" t="s">
        <v>34</v>
      </c>
      <c r="C8318" t="s">
        <v>107</v>
      </c>
      <c r="D8318">
        <v>16</v>
      </c>
      <c r="E8318" t="s">
        <v>355</v>
      </c>
    </row>
    <row r="8319" spans="1:5" x14ac:dyDescent="0.35">
      <c r="A8319">
        <v>2017</v>
      </c>
      <c r="B8319" t="s">
        <v>34</v>
      </c>
      <c r="C8319" t="s">
        <v>107</v>
      </c>
      <c r="D8319">
        <v>63</v>
      </c>
      <c r="E8319" t="s">
        <v>328</v>
      </c>
    </row>
    <row r="8320" spans="1:5" x14ac:dyDescent="0.35">
      <c r="A8320">
        <v>2017</v>
      </c>
      <c r="B8320" t="s">
        <v>34</v>
      </c>
      <c r="C8320" t="s">
        <v>108</v>
      </c>
      <c r="D8320">
        <v>8</v>
      </c>
      <c r="E8320" t="s">
        <v>355</v>
      </c>
    </row>
    <row r="8321" spans="1:5" x14ac:dyDescent="0.35">
      <c r="A8321">
        <v>2017</v>
      </c>
      <c r="B8321" t="s">
        <v>34</v>
      </c>
      <c r="C8321" t="s">
        <v>108</v>
      </c>
      <c r="D8321">
        <v>11</v>
      </c>
      <c r="E8321" t="s">
        <v>328</v>
      </c>
    </row>
    <row r="8322" spans="1:5" x14ac:dyDescent="0.35">
      <c r="A8322">
        <v>2017</v>
      </c>
      <c r="B8322" t="s">
        <v>36</v>
      </c>
      <c r="C8322" t="s">
        <v>79</v>
      </c>
      <c r="D8322">
        <v>73</v>
      </c>
      <c r="E8322" t="s">
        <v>355</v>
      </c>
    </row>
    <row r="8323" spans="1:5" x14ac:dyDescent="0.35">
      <c r="A8323">
        <v>2017</v>
      </c>
      <c r="B8323" t="s">
        <v>34</v>
      </c>
      <c r="C8323" t="s">
        <v>116</v>
      </c>
      <c r="D8323">
        <v>6</v>
      </c>
      <c r="E8323" t="s">
        <v>355</v>
      </c>
    </row>
    <row r="8324" spans="1:5" x14ac:dyDescent="0.35">
      <c r="A8324">
        <v>2017</v>
      </c>
      <c r="B8324" t="s">
        <v>34</v>
      </c>
      <c r="C8324" t="s">
        <v>115</v>
      </c>
      <c r="D8324">
        <v>102</v>
      </c>
      <c r="E8324" t="s">
        <v>328</v>
      </c>
    </row>
    <row r="8325" spans="1:5" x14ac:dyDescent="0.35">
      <c r="A8325">
        <v>2017</v>
      </c>
      <c r="B8325" t="s">
        <v>34</v>
      </c>
      <c r="C8325" t="s">
        <v>115</v>
      </c>
      <c r="D8325">
        <v>39</v>
      </c>
      <c r="E8325" t="s">
        <v>355</v>
      </c>
    </row>
    <row r="8326" spans="1:5" x14ac:dyDescent="0.35">
      <c r="A8326">
        <v>2017</v>
      </c>
      <c r="B8326" t="s">
        <v>34</v>
      </c>
      <c r="C8326" t="s">
        <v>114</v>
      </c>
      <c r="D8326">
        <v>20</v>
      </c>
      <c r="E8326" t="s">
        <v>328</v>
      </c>
    </row>
    <row r="8327" spans="1:5" x14ac:dyDescent="0.35">
      <c r="A8327">
        <v>2017</v>
      </c>
      <c r="B8327" t="s">
        <v>34</v>
      </c>
      <c r="C8327" t="s">
        <v>114</v>
      </c>
      <c r="D8327">
        <v>10</v>
      </c>
      <c r="E8327" t="s">
        <v>355</v>
      </c>
    </row>
    <row r="8328" spans="1:5" x14ac:dyDescent="0.35">
      <c r="A8328">
        <v>2017</v>
      </c>
      <c r="B8328" t="s">
        <v>36</v>
      </c>
      <c r="C8328" t="s">
        <v>113</v>
      </c>
      <c r="D8328">
        <v>430</v>
      </c>
      <c r="E8328" t="s">
        <v>328</v>
      </c>
    </row>
    <row r="8329" spans="1:5" x14ac:dyDescent="0.35">
      <c r="A8329">
        <v>2017</v>
      </c>
      <c r="B8329" t="s">
        <v>36</v>
      </c>
      <c r="C8329" t="s">
        <v>100</v>
      </c>
      <c r="E8329" t="s">
        <v>355</v>
      </c>
    </row>
    <row r="8330" spans="1:5" x14ac:dyDescent="0.35">
      <c r="A8330">
        <v>2017</v>
      </c>
      <c r="B8330" t="s">
        <v>36</v>
      </c>
      <c r="C8330" t="s">
        <v>113</v>
      </c>
      <c r="D8330">
        <v>666</v>
      </c>
      <c r="E8330" t="s">
        <v>355</v>
      </c>
    </row>
    <row r="8331" spans="1:5" x14ac:dyDescent="0.35">
      <c r="A8331">
        <v>2017</v>
      </c>
      <c r="B8331" t="s">
        <v>35</v>
      </c>
      <c r="C8331" t="s">
        <v>112</v>
      </c>
      <c r="D8331">
        <v>35</v>
      </c>
      <c r="E8331" t="s">
        <v>355</v>
      </c>
    </row>
    <row r="8332" spans="1:5" x14ac:dyDescent="0.35">
      <c r="A8332">
        <v>2017</v>
      </c>
      <c r="B8332" t="s">
        <v>34</v>
      </c>
      <c r="C8332" t="s">
        <v>111</v>
      </c>
      <c r="D8332">
        <v>81</v>
      </c>
      <c r="E8332" t="s">
        <v>328</v>
      </c>
    </row>
    <row r="8333" spans="1:5" x14ac:dyDescent="0.35">
      <c r="A8333">
        <v>2017</v>
      </c>
      <c r="B8333" t="s">
        <v>34</v>
      </c>
      <c r="C8333" t="s">
        <v>111</v>
      </c>
      <c r="D8333">
        <v>35</v>
      </c>
      <c r="E8333" t="s">
        <v>355</v>
      </c>
    </row>
    <row r="8334" spans="1:5" x14ac:dyDescent="0.35">
      <c r="A8334">
        <v>2017</v>
      </c>
      <c r="B8334" t="s">
        <v>35</v>
      </c>
      <c r="C8334" t="s">
        <v>110</v>
      </c>
      <c r="D8334">
        <v>17</v>
      </c>
      <c r="E8334" t="s">
        <v>328</v>
      </c>
    </row>
    <row r="8335" spans="1:5" x14ac:dyDescent="0.35">
      <c r="A8335">
        <v>2017</v>
      </c>
      <c r="B8335" t="s">
        <v>35</v>
      </c>
      <c r="C8335" t="s">
        <v>110</v>
      </c>
      <c r="D8335">
        <v>15</v>
      </c>
      <c r="E8335" t="s">
        <v>355</v>
      </c>
    </row>
    <row r="8336" spans="1:5" x14ac:dyDescent="0.35">
      <c r="A8336">
        <v>2017</v>
      </c>
      <c r="B8336" t="s">
        <v>34</v>
      </c>
      <c r="C8336" t="s">
        <v>109</v>
      </c>
      <c r="D8336">
        <v>36</v>
      </c>
      <c r="E8336" t="s">
        <v>328</v>
      </c>
    </row>
    <row r="8337" spans="1:5" x14ac:dyDescent="0.35">
      <c r="A8337">
        <v>2017</v>
      </c>
      <c r="B8337" t="s">
        <v>34</v>
      </c>
      <c r="C8337" t="s">
        <v>109</v>
      </c>
      <c r="D8337">
        <v>22</v>
      </c>
      <c r="E8337" t="s">
        <v>355</v>
      </c>
    </row>
    <row r="8338" spans="1:5" x14ac:dyDescent="0.35">
      <c r="A8338">
        <v>2017</v>
      </c>
      <c r="B8338" t="s">
        <v>35</v>
      </c>
      <c r="C8338" t="s">
        <v>112</v>
      </c>
      <c r="D8338">
        <v>72</v>
      </c>
      <c r="E8338" t="s">
        <v>328</v>
      </c>
    </row>
    <row r="8339" spans="1:5" x14ac:dyDescent="0.35">
      <c r="A8339">
        <v>2017</v>
      </c>
      <c r="B8339" t="s">
        <v>35</v>
      </c>
      <c r="C8339" t="s">
        <v>99</v>
      </c>
      <c r="D8339">
        <v>14</v>
      </c>
      <c r="E8339" t="s">
        <v>328</v>
      </c>
    </row>
    <row r="8340" spans="1:5" x14ac:dyDescent="0.35">
      <c r="A8340">
        <v>2017</v>
      </c>
      <c r="B8340" t="s">
        <v>34</v>
      </c>
      <c r="C8340" t="s">
        <v>116</v>
      </c>
      <c r="D8340">
        <v>20</v>
      </c>
      <c r="E8340" t="s">
        <v>328</v>
      </c>
    </row>
    <row r="8341" spans="1:5" x14ac:dyDescent="0.35">
      <c r="A8341">
        <v>2017</v>
      </c>
      <c r="B8341" t="s">
        <v>33</v>
      </c>
      <c r="C8341" t="s">
        <v>98</v>
      </c>
      <c r="D8341">
        <v>253</v>
      </c>
      <c r="E8341" t="s">
        <v>328</v>
      </c>
    </row>
    <row r="8342" spans="1:5" x14ac:dyDescent="0.35">
      <c r="A8342">
        <v>2017</v>
      </c>
      <c r="B8342" t="s">
        <v>33</v>
      </c>
      <c r="C8342" t="s">
        <v>88</v>
      </c>
      <c r="D8342">
        <v>0</v>
      </c>
      <c r="E8342" t="s">
        <v>355</v>
      </c>
    </row>
    <row r="8343" spans="1:5" x14ac:dyDescent="0.35">
      <c r="A8343">
        <v>2017</v>
      </c>
      <c r="B8343" t="s">
        <v>36</v>
      </c>
      <c r="C8343" t="s">
        <v>16</v>
      </c>
      <c r="D8343">
        <v>11921</v>
      </c>
      <c r="E8343" t="s">
        <v>328</v>
      </c>
    </row>
    <row r="8344" spans="1:5" x14ac:dyDescent="0.35">
      <c r="A8344">
        <v>2017</v>
      </c>
      <c r="B8344" t="s">
        <v>36</v>
      </c>
      <c r="C8344" t="s">
        <v>16</v>
      </c>
      <c r="D8344">
        <v>6418</v>
      </c>
      <c r="E8344" t="s">
        <v>355</v>
      </c>
    </row>
    <row r="8345" spans="1:5" x14ac:dyDescent="0.35">
      <c r="A8345">
        <v>2017</v>
      </c>
      <c r="B8345" t="s">
        <v>33</v>
      </c>
      <c r="C8345" t="s">
        <v>87</v>
      </c>
      <c r="D8345">
        <v>44</v>
      </c>
      <c r="E8345" t="s">
        <v>328</v>
      </c>
    </row>
    <row r="8346" spans="1:5" x14ac:dyDescent="0.35">
      <c r="A8346">
        <v>2017</v>
      </c>
      <c r="B8346" t="s">
        <v>33</v>
      </c>
      <c r="C8346" t="s">
        <v>87</v>
      </c>
      <c r="D8346">
        <v>21</v>
      </c>
      <c r="E8346" t="s">
        <v>355</v>
      </c>
    </row>
    <row r="8347" spans="1:5" x14ac:dyDescent="0.35">
      <c r="A8347">
        <v>2017</v>
      </c>
      <c r="B8347" t="s">
        <v>35</v>
      </c>
      <c r="C8347" t="s">
        <v>99</v>
      </c>
      <c r="D8347">
        <v>6</v>
      </c>
      <c r="E8347" t="s">
        <v>355</v>
      </c>
    </row>
    <row r="8348" spans="1:5" x14ac:dyDescent="0.35">
      <c r="A8348">
        <v>2017</v>
      </c>
      <c r="B8348" t="s">
        <v>38</v>
      </c>
      <c r="C8348" t="s">
        <v>86</v>
      </c>
      <c r="D8348">
        <v>499</v>
      </c>
      <c r="E8348" t="s">
        <v>355</v>
      </c>
    </row>
    <row r="8349" spans="1:5" x14ac:dyDescent="0.35">
      <c r="A8349">
        <v>2017</v>
      </c>
      <c r="B8349" t="s">
        <v>36</v>
      </c>
      <c r="C8349" t="s">
        <v>85</v>
      </c>
      <c r="D8349">
        <v>512</v>
      </c>
      <c r="E8349" t="s">
        <v>328</v>
      </c>
    </row>
    <row r="8350" spans="1:5" x14ac:dyDescent="0.35">
      <c r="A8350">
        <v>2017</v>
      </c>
      <c r="B8350" t="s">
        <v>36</v>
      </c>
      <c r="C8350" t="s">
        <v>85</v>
      </c>
      <c r="D8350">
        <v>1509</v>
      </c>
      <c r="E8350" t="s">
        <v>355</v>
      </c>
    </row>
    <row r="8351" spans="1:5" x14ac:dyDescent="0.35">
      <c r="A8351">
        <v>2017</v>
      </c>
      <c r="B8351" t="s">
        <v>36</v>
      </c>
      <c r="C8351" t="s">
        <v>84</v>
      </c>
      <c r="D8351">
        <v>4</v>
      </c>
      <c r="E8351" t="s">
        <v>328</v>
      </c>
    </row>
    <row r="8352" spans="1:5" x14ac:dyDescent="0.35">
      <c r="A8352">
        <v>2017</v>
      </c>
      <c r="B8352" t="s">
        <v>36</v>
      </c>
      <c r="C8352" t="s">
        <v>84</v>
      </c>
      <c r="D8352">
        <v>9</v>
      </c>
      <c r="E8352" t="s">
        <v>355</v>
      </c>
    </row>
    <row r="8353" spans="1:5" x14ac:dyDescent="0.35">
      <c r="A8353">
        <v>2017</v>
      </c>
      <c r="B8353" t="s">
        <v>35</v>
      </c>
      <c r="C8353" t="s">
        <v>214</v>
      </c>
      <c r="E8353" t="s">
        <v>328</v>
      </c>
    </row>
    <row r="8354" spans="1:5" x14ac:dyDescent="0.35">
      <c r="A8354">
        <v>2017</v>
      </c>
      <c r="B8354" t="s">
        <v>35</v>
      </c>
      <c r="C8354" t="s">
        <v>214</v>
      </c>
      <c r="E8354" t="s">
        <v>355</v>
      </c>
    </row>
    <row r="8355" spans="1:5" x14ac:dyDescent="0.35">
      <c r="A8355">
        <v>2017</v>
      </c>
      <c r="B8355" t="s">
        <v>35</v>
      </c>
      <c r="C8355" t="s">
        <v>81</v>
      </c>
      <c r="D8355">
        <v>17</v>
      </c>
      <c r="E8355" t="s">
        <v>328</v>
      </c>
    </row>
    <row r="8356" spans="1:5" x14ac:dyDescent="0.35">
      <c r="A8356">
        <v>2017</v>
      </c>
      <c r="B8356" t="s">
        <v>35</v>
      </c>
      <c r="C8356" t="s">
        <v>81</v>
      </c>
      <c r="D8356">
        <v>9</v>
      </c>
      <c r="E8356" t="s">
        <v>355</v>
      </c>
    </row>
    <row r="8357" spans="1:5" x14ac:dyDescent="0.35">
      <c r="A8357">
        <v>2017</v>
      </c>
      <c r="B8357" t="s">
        <v>33</v>
      </c>
      <c r="C8357" t="s">
        <v>88</v>
      </c>
      <c r="D8357">
        <v>3</v>
      </c>
      <c r="E8357" t="s">
        <v>328</v>
      </c>
    </row>
    <row r="8358" spans="1:5" x14ac:dyDescent="0.35">
      <c r="A8358">
        <v>2017</v>
      </c>
      <c r="B8358" t="s">
        <v>33</v>
      </c>
      <c r="C8358" t="s">
        <v>89</v>
      </c>
      <c r="E8358" t="s">
        <v>355</v>
      </c>
    </row>
    <row r="8359" spans="1:5" x14ac:dyDescent="0.35">
      <c r="A8359">
        <v>2017</v>
      </c>
      <c r="B8359" t="s">
        <v>38</v>
      </c>
      <c r="C8359" t="s">
        <v>86</v>
      </c>
      <c r="D8359">
        <v>877</v>
      </c>
      <c r="E8359" t="s">
        <v>328</v>
      </c>
    </row>
    <row r="8360" spans="1:5" x14ac:dyDescent="0.35">
      <c r="A8360">
        <v>2017</v>
      </c>
      <c r="B8360" t="s">
        <v>35</v>
      </c>
      <c r="C8360" t="s">
        <v>90</v>
      </c>
      <c r="D8360">
        <v>3</v>
      </c>
      <c r="E8360" t="s">
        <v>355</v>
      </c>
    </row>
    <row r="8361" spans="1:5" x14ac:dyDescent="0.35">
      <c r="A8361">
        <v>2017</v>
      </c>
      <c r="B8361" t="s">
        <v>33</v>
      </c>
      <c r="C8361" t="s">
        <v>98</v>
      </c>
      <c r="D8361">
        <v>62</v>
      </c>
      <c r="E8361" t="s">
        <v>355</v>
      </c>
    </row>
    <row r="8362" spans="1:5" x14ac:dyDescent="0.35">
      <c r="A8362">
        <v>2017</v>
      </c>
      <c r="B8362" t="s">
        <v>33</v>
      </c>
      <c r="C8362" t="s">
        <v>89</v>
      </c>
      <c r="E8362" t="s">
        <v>328</v>
      </c>
    </row>
    <row r="8363" spans="1:5" x14ac:dyDescent="0.35">
      <c r="A8363">
        <v>2017</v>
      </c>
      <c r="B8363" t="s">
        <v>35</v>
      </c>
      <c r="C8363" t="s">
        <v>97</v>
      </c>
      <c r="D8363">
        <v>25</v>
      </c>
      <c r="E8363" t="s">
        <v>328</v>
      </c>
    </row>
    <row r="8364" spans="1:5" x14ac:dyDescent="0.35">
      <c r="A8364">
        <v>2017</v>
      </c>
      <c r="B8364" t="s">
        <v>35</v>
      </c>
      <c r="C8364" t="s">
        <v>97</v>
      </c>
      <c r="D8364">
        <v>43</v>
      </c>
      <c r="E8364" t="s">
        <v>355</v>
      </c>
    </row>
    <row r="8365" spans="1:5" x14ac:dyDescent="0.35">
      <c r="A8365">
        <v>2017</v>
      </c>
      <c r="B8365" t="s">
        <v>34</v>
      </c>
      <c r="C8365" t="s">
        <v>8</v>
      </c>
      <c r="D8365">
        <v>16</v>
      </c>
      <c r="E8365" t="s">
        <v>328</v>
      </c>
    </row>
    <row r="8366" spans="1:5" x14ac:dyDescent="0.35">
      <c r="A8366">
        <v>2017</v>
      </c>
      <c r="B8366" t="s">
        <v>33</v>
      </c>
      <c r="C8366" t="s">
        <v>96</v>
      </c>
      <c r="D8366">
        <v>32</v>
      </c>
      <c r="E8366" t="s">
        <v>328</v>
      </c>
    </row>
    <row r="8367" spans="1:5" x14ac:dyDescent="0.35">
      <c r="A8367">
        <v>2017</v>
      </c>
      <c r="B8367" t="s">
        <v>33</v>
      </c>
      <c r="C8367" t="s">
        <v>96</v>
      </c>
      <c r="D8367">
        <v>23</v>
      </c>
      <c r="E8367" t="s">
        <v>355</v>
      </c>
    </row>
    <row r="8368" spans="1:5" x14ac:dyDescent="0.35">
      <c r="A8368">
        <v>2017</v>
      </c>
      <c r="B8368" t="s">
        <v>33</v>
      </c>
      <c r="C8368" t="s">
        <v>95</v>
      </c>
      <c r="E8368" t="s">
        <v>328</v>
      </c>
    </row>
    <row r="8369" spans="1:5" x14ac:dyDescent="0.35">
      <c r="A8369">
        <v>2017</v>
      </c>
      <c r="B8369" t="s">
        <v>34</v>
      </c>
      <c r="C8369" t="s">
        <v>8</v>
      </c>
      <c r="D8369">
        <v>8</v>
      </c>
      <c r="E8369" t="s">
        <v>355</v>
      </c>
    </row>
    <row r="8370" spans="1:5" x14ac:dyDescent="0.35">
      <c r="A8370">
        <v>2017</v>
      </c>
      <c r="B8370" t="s">
        <v>35</v>
      </c>
      <c r="C8370" t="s">
        <v>94</v>
      </c>
      <c r="D8370">
        <v>50</v>
      </c>
      <c r="E8370" t="s">
        <v>328</v>
      </c>
    </row>
    <row r="8371" spans="1:5" x14ac:dyDescent="0.35">
      <c r="A8371">
        <v>2017</v>
      </c>
      <c r="B8371" t="s">
        <v>35</v>
      </c>
      <c r="C8371" t="s">
        <v>94</v>
      </c>
      <c r="D8371">
        <v>21</v>
      </c>
      <c r="E8371" t="s">
        <v>355</v>
      </c>
    </row>
    <row r="8372" spans="1:5" x14ac:dyDescent="0.35">
      <c r="A8372">
        <v>2017</v>
      </c>
      <c r="B8372" t="s">
        <v>37</v>
      </c>
      <c r="C8372" t="s">
        <v>92</v>
      </c>
      <c r="D8372">
        <v>29</v>
      </c>
      <c r="E8372" t="s">
        <v>328</v>
      </c>
    </row>
    <row r="8373" spans="1:5" x14ac:dyDescent="0.35">
      <c r="A8373">
        <v>2017</v>
      </c>
      <c r="B8373" t="s">
        <v>37</v>
      </c>
      <c r="C8373" t="s">
        <v>92</v>
      </c>
      <c r="D8373">
        <v>8</v>
      </c>
      <c r="E8373" t="s">
        <v>355</v>
      </c>
    </row>
    <row r="8374" spans="1:5" x14ac:dyDescent="0.35">
      <c r="A8374">
        <v>2017</v>
      </c>
      <c r="B8374" t="s">
        <v>33</v>
      </c>
      <c r="C8374" t="s">
        <v>91</v>
      </c>
      <c r="D8374">
        <v>36</v>
      </c>
      <c r="E8374" t="s">
        <v>328</v>
      </c>
    </row>
    <row r="8375" spans="1:5" x14ac:dyDescent="0.35">
      <c r="A8375">
        <v>2017</v>
      </c>
      <c r="B8375" t="s">
        <v>33</v>
      </c>
      <c r="C8375" t="s">
        <v>91</v>
      </c>
      <c r="D8375">
        <v>10</v>
      </c>
      <c r="E8375" t="s">
        <v>355</v>
      </c>
    </row>
    <row r="8376" spans="1:5" x14ac:dyDescent="0.35">
      <c r="A8376">
        <v>2017</v>
      </c>
      <c r="B8376" t="s">
        <v>35</v>
      </c>
      <c r="C8376" t="s">
        <v>90</v>
      </c>
      <c r="D8376">
        <v>8</v>
      </c>
      <c r="E8376" t="s">
        <v>328</v>
      </c>
    </row>
    <row r="8377" spans="1:5" x14ac:dyDescent="0.35">
      <c r="A8377">
        <v>2017</v>
      </c>
      <c r="B8377" t="s">
        <v>33</v>
      </c>
      <c r="C8377" t="s">
        <v>95</v>
      </c>
      <c r="E8377" t="s">
        <v>355</v>
      </c>
    </row>
    <row r="8378" spans="1:5" x14ac:dyDescent="0.35">
      <c r="A8378">
        <v>2018</v>
      </c>
      <c r="B8378" t="s">
        <v>36</v>
      </c>
      <c r="C8378" t="s">
        <v>164</v>
      </c>
      <c r="D8378">
        <v>69</v>
      </c>
      <c r="E8378" t="s">
        <v>466</v>
      </c>
    </row>
    <row r="8379" spans="1:5" x14ac:dyDescent="0.35">
      <c r="A8379">
        <v>2018</v>
      </c>
      <c r="B8379" t="s">
        <v>36</v>
      </c>
      <c r="C8379" t="s">
        <v>165</v>
      </c>
      <c r="D8379">
        <v>16</v>
      </c>
      <c r="E8379" t="s">
        <v>467</v>
      </c>
    </row>
    <row r="8380" spans="1:5" x14ac:dyDescent="0.35">
      <c r="A8380">
        <v>2018</v>
      </c>
      <c r="B8380" t="s">
        <v>35</v>
      </c>
      <c r="C8380" t="s">
        <v>322</v>
      </c>
      <c r="D8380">
        <v>56</v>
      </c>
      <c r="E8380" t="s">
        <v>466</v>
      </c>
    </row>
    <row r="8381" spans="1:5" x14ac:dyDescent="0.35">
      <c r="A8381">
        <v>2018</v>
      </c>
      <c r="B8381" t="s">
        <v>35</v>
      </c>
      <c r="C8381" t="s">
        <v>322</v>
      </c>
      <c r="D8381">
        <v>10</v>
      </c>
      <c r="E8381" t="s">
        <v>355</v>
      </c>
    </row>
    <row r="8382" spans="1:5" x14ac:dyDescent="0.35">
      <c r="A8382">
        <v>2018</v>
      </c>
      <c r="B8382" t="s">
        <v>35</v>
      </c>
      <c r="C8382" t="s">
        <v>150</v>
      </c>
      <c r="D8382">
        <v>90</v>
      </c>
      <c r="E8382" t="s">
        <v>466</v>
      </c>
    </row>
    <row r="8383" spans="1:5" x14ac:dyDescent="0.35">
      <c r="A8383">
        <v>2018</v>
      </c>
      <c r="B8383" t="s">
        <v>33</v>
      </c>
      <c r="C8383" t="s">
        <v>168</v>
      </c>
      <c r="D8383">
        <v>82</v>
      </c>
      <c r="E8383" t="s">
        <v>467</v>
      </c>
    </row>
    <row r="8384" spans="1:5" x14ac:dyDescent="0.35">
      <c r="A8384">
        <v>2018</v>
      </c>
      <c r="B8384" t="s">
        <v>34</v>
      </c>
      <c r="C8384" t="s">
        <v>151</v>
      </c>
      <c r="D8384">
        <v>5</v>
      </c>
      <c r="E8384" t="s">
        <v>466</v>
      </c>
    </row>
    <row r="8385" spans="1:5" x14ac:dyDescent="0.35">
      <c r="A8385">
        <v>2018</v>
      </c>
      <c r="B8385" t="s">
        <v>34</v>
      </c>
      <c r="C8385" t="s">
        <v>152</v>
      </c>
      <c r="D8385">
        <v>140</v>
      </c>
      <c r="E8385" t="s">
        <v>328</v>
      </c>
    </row>
    <row r="8386" spans="1:5" x14ac:dyDescent="0.35">
      <c r="A8386">
        <v>2018</v>
      </c>
      <c r="B8386" t="s">
        <v>34</v>
      </c>
      <c r="C8386" t="s">
        <v>152</v>
      </c>
      <c r="D8386">
        <v>1012</v>
      </c>
      <c r="E8386" t="s">
        <v>466</v>
      </c>
    </row>
    <row r="8387" spans="1:5" x14ac:dyDescent="0.35">
      <c r="A8387">
        <v>2018</v>
      </c>
      <c r="B8387" t="s">
        <v>37</v>
      </c>
      <c r="C8387" t="s">
        <v>166</v>
      </c>
      <c r="D8387">
        <v>11</v>
      </c>
      <c r="E8387" t="s">
        <v>467</v>
      </c>
    </row>
    <row r="8388" spans="1:5" x14ac:dyDescent="0.35">
      <c r="A8388">
        <v>2018</v>
      </c>
      <c r="B8388" t="s">
        <v>37</v>
      </c>
      <c r="C8388" t="s">
        <v>153</v>
      </c>
      <c r="D8388">
        <v>8</v>
      </c>
      <c r="E8388" t="s">
        <v>466</v>
      </c>
    </row>
    <row r="8389" spans="1:5" x14ac:dyDescent="0.35">
      <c r="A8389">
        <v>2018</v>
      </c>
      <c r="B8389" t="s">
        <v>34</v>
      </c>
      <c r="C8389" t="s">
        <v>152</v>
      </c>
      <c r="D8389">
        <v>139</v>
      </c>
      <c r="E8389" t="s">
        <v>355</v>
      </c>
    </row>
    <row r="8390" spans="1:5" x14ac:dyDescent="0.35">
      <c r="A8390">
        <v>2018</v>
      </c>
      <c r="B8390" t="s">
        <v>36</v>
      </c>
      <c r="C8390" t="s">
        <v>154</v>
      </c>
      <c r="D8390">
        <v>174</v>
      </c>
      <c r="E8390" t="s">
        <v>466</v>
      </c>
    </row>
    <row r="8391" spans="1:5" x14ac:dyDescent="0.35">
      <c r="A8391">
        <v>2018</v>
      </c>
      <c r="B8391" t="s">
        <v>34</v>
      </c>
      <c r="C8391" t="s">
        <v>167</v>
      </c>
      <c r="D8391">
        <v>290</v>
      </c>
      <c r="E8391" t="s">
        <v>467</v>
      </c>
    </row>
    <row r="8392" spans="1:5" x14ac:dyDescent="0.35">
      <c r="A8392">
        <v>2018</v>
      </c>
      <c r="B8392" t="s">
        <v>38</v>
      </c>
      <c r="C8392" t="s">
        <v>155</v>
      </c>
      <c r="D8392">
        <v>55</v>
      </c>
      <c r="E8392" t="s">
        <v>466</v>
      </c>
    </row>
    <row r="8393" spans="1:5" x14ac:dyDescent="0.35">
      <c r="A8393">
        <v>2018</v>
      </c>
      <c r="B8393" t="s">
        <v>35</v>
      </c>
      <c r="C8393" t="s">
        <v>150</v>
      </c>
      <c r="D8393">
        <v>3</v>
      </c>
      <c r="E8393" t="s">
        <v>328</v>
      </c>
    </row>
    <row r="8394" spans="1:5" x14ac:dyDescent="0.35">
      <c r="A8394">
        <v>2018</v>
      </c>
      <c r="B8394" t="s">
        <v>38</v>
      </c>
      <c r="C8394" t="s">
        <v>156</v>
      </c>
      <c r="D8394">
        <v>1631</v>
      </c>
      <c r="E8394" t="s">
        <v>466</v>
      </c>
    </row>
    <row r="8395" spans="1:5" x14ac:dyDescent="0.35">
      <c r="A8395">
        <v>2018</v>
      </c>
      <c r="B8395" t="s">
        <v>35</v>
      </c>
      <c r="C8395" t="s">
        <v>169</v>
      </c>
      <c r="D8395">
        <v>39</v>
      </c>
      <c r="E8395" t="s">
        <v>467</v>
      </c>
    </row>
    <row r="8396" spans="1:5" x14ac:dyDescent="0.35">
      <c r="A8396">
        <v>2018</v>
      </c>
      <c r="B8396" t="s">
        <v>34</v>
      </c>
      <c r="C8396" t="s">
        <v>18</v>
      </c>
      <c r="D8396">
        <v>1327</v>
      </c>
      <c r="E8396" t="s">
        <v>466</v>
      </c>
    </row>
    <row r="8397" spans="1:5" x14ac:dyDescent="0.35">
      <c r="A8397">
        <v>2018</v>
      </c>
      <c r="B8397" t="s">
        <v>35</v>
      </c>
      <c r="C8397" t="s">
        <v>150</v>
      </c>
      <c r="D8397">
        <v>5</v>
      </c>
      <c r="E8397" t="s">
        <v>355</v>
      </c>
    </row>
    <row r="8398" spans="1:5" x14ac:dyDescent="0.35">
      <c r="A8398">
        <v>2018</v>
      </c>
      <c r="B8398" t="s">
        <v>35</v>
      </c>
      <c r="C8398" t="s">
        <v>158</v>
      </c>
      <c r="D8398">
        <v>438</v>
      </c>
      <c r="E8398" t="s">
        <v>466</v>
      </c>
    </row>
    <row r="8399" spans="1:5" x14ac:dyDescent="0.35">
      <c r="A8399">
        <v>2018</v>
      </c>
      <c r="B8399" t="s">
        <v>33</v>
      </c>
      <c r="C8399" t="s">
        <v>174</v>
      </c>
      <c r="D8399">
        <v>19</v>
      </c>
      <c r="E8399" t="s">
        <v>467</v>
      </c>
    </row>
    <row r="8400" spans="1:5" x14ac:dyDescent="0.35">
      <c r="A8400">
        <v>2018</v>
      </c>
      <c r="B8400" t="s">
        <v>34</v>
      </c>
      <c r="C8400" t="s">
        <v>159</v>
      </c>
      <c r="D8400">
        <v>17</v>
      </c>
      <c r="E8400" t="s">
        <v>466</v>
      </c>
    </row>
    <row r="8401" spans="1:5" x14ac:dyDescent="0.35">
      <c r="A8401">
        <v>2018</v>
      </c>
      <c r="B8401" t="s">
        <v>35</v>
      </c>
      <c r="C8401" t="s">
        <v>322</v>
      </c>
      <c r="D8401">
        <v>4</v>
      </c>
      <c r="E8401" t="s">
        <v>328</v>
      </c>
    </row>
    <row r="8402" spans="1:5" x14ac:dyDescent="0.35">
      <c r="A8402">
        <v>2018</v>
      </c>
      <c r="B8402" t="s">
        <v>35</v>
      </c>
      <c r="C8402" t="s">
        <v>161</v>
      </c>
      <c r="D8402">
        <v>1137</v>
      </c>
      <c r="E8402" t="s">
        <v>466</v>
      </c>
    </row>
    <row r="8403" spans="1:5" x14ac:dyDescent="0.35">
      <c r="A8403">
        <v>2018</v>
      </c>
      <c r="B8403" t="s">
        <v>34</v>
      </c>
      <c r="C8403" t="s">
        <v>171</v>
      </c>
      <c r="D8403">
        <v>36</v>
      </c>
      <c r="E8403" t="s">
        <v>467</v>
      </c>
    </row>
    <row r="8404" spans="1:5" x14ac:dyDescent="0.35">
      <c r="A8404">
        <v>2018</v>
      </c>
      <c r="B8404" t="s">
        <v>33</v>
      </c>
      <c r="C8404" t="s">
        <v>162</v>
      </c>
      <c r="D8404">
        <v>63</v>
      </c>
      <c r="E8404" t="s">
        <v>466</v>
      </c>
    </row>
    <row r="8405" spans="1:5" x14ac:dyDescent="0.35">
      <c r="A8405">
        <v>2018</v>
      </c>
      <c r="B8405" t="s">
        <v>33</v>
      </c>
      <c r="C8405" t="s">
        <v>149</v>
      </c>
      <c r="D8405">
        <v>188</v>
      </c>
      <c r="E8405" t="s">
        <v>328</v>
      </c>
    </row>
    <row r="8406" spans="1:5" x14ac:dyDescent="0.35">
      <c r="A8406">
        <v>2018</v>
      </c>
      <c r="B8406" t="s">
        <v>36</v>
      </c>
      <c r="C8406" t="s">
        <v>163</v>
      </c>
      <c r="D8406">
        <v>34</v>
      </c>
      <c r="E8406" t="s">
        <v>466</v>
      </c>
    </row>
    <row r="8407" spans="1:5" x14ac:dyDescent="0.35">
      <c r="A8407">
        <v>2018</v>
      </c>
      <c r="B8407" t="s">
        <v>35</v>
      </c>
      <c r="C8407" t="s">
        <v>172</v>
      </c>
      <c r="D8407">
        <v>68</v>
      </c>
      <c r="E8407" t="s">
        <v>467</v>
      </c>
    </row>
    <row r="8408" spans="1:5" x14ac:dyDescent="0.35">
      <c r="A8408">
        <v>2018</v>
      </c>
      <c r="B8408" t="s">
        <v>36</v>
      </c>
      <c r="C8408" t="s">
        <v>165</v>
      </c>
      <c r="D8408">
        <v>52</v>
      </c>
      <c r="E8408" t="s">
        <v>466</v>
      </c>
    </row>
    <row r="8409" spans="1:5" x14ac:dyDescent="0.35">
      <c r="A8409">
        <v>2018</v>
      </c>
      <c r="B8409" t="s">
        <v>35</v>
      </c>
      <c r="C8409" t="s">
        <v>145</v>
      </c>
      <c r="D8409">
        <v>17</v>
      </c>
      <c r="E8409" t="s">
        <v>328</v>
      </c>
    </row>
    <row r="8410" spans="1:5" x14ac:dyDescent="0.35">
      <c r="A8410">
        <v>2018</v>
      </c>
      <c r="B8410" t="s">
        <v>33</v>
      </c>
      <c r="C8410" t="s">
        <v>149</v>
      </c>
      <c r="D8410">
        <v>2766</v>
      </c>
      <c r="E8410" t="s">
        <v>466</v>
      </c>
    </row>
    <row r="8411" spans="1:5" x14ac:dyDescent="0.35">
      <c r="A8411">
        <v>2018</v>
      </c>
      <c r="B8411" t="s">
        <v>35</v>
      </c>
      <c r="C8411" t="s">
        <v>173</v>
      </c>
      <c r="D8411">
        <v>31</v>
      </c>
      <c r="E8411" t="s">
        <v>467</v>
      </c>
    </row>
    <row r="8412" spans="1:5" x14ac:dyDescent="0.35">
      <c r="A8412">
        <v>2018</v>
      </c>
      <c r="B8412" t="s">
        <v>35</v>
      </c>
      <c r="C8412" t="s">
        <v>157</v>
      </c>
      <c r="D8412">
        <v>468</v>
      </c>
      <c r="E8412" t="s">
        <v>466</v>
      </c>
    </row>
    <row r="8413" spans="1:5" x14ac:dyDescent="0.35">
      <c r="A8413">
        <v>2018</v>
      </c>
      <c r="B8413" t="s">
        <v>33</v>
      </c>
      <c r="C8413" t="s">
        <v>148</v>
      </c>
      <c r="E8413" t="s">
        <v>328</v>
      </c>
    </row>
    <row r="8414" spans="1:5" x14ac:dyDescent="0.35">
      <c r="A8414">
        <v>2018</v>
      </c>
      <c r="B8414" t="s">
        <v>35</v>
      </c>
      <c r="C8414" t="s">
        <v>160</v>
      </c>
      <c r="D8414">
        <v>1736</v>
      </c>
      <c r="E8414" t="s">
        <v>466</v>
      </c>
    </row>
    <row r="8415" spans="1:5" x14ac:dyDescent="0.35">
      <c r="A8415">
        <v>2018</v>
      </c>
      <c r="B8415" t="s">
        <v>36</v>
      </c>
      <c r="C8415" t="s">
        <v>164</v>
      </c>
      <c r="D8415">
        <v>17</v>
      </c>
      <c r="E8415" t="s">
        <v>467</v>
      </c>
    </row>
    <row r="8416" spans="1:5" x14ac:dyDescent="0.35">
      <c r="A8416">
        <v>2018</v>
      </c>
      <c r="B8416" t="s">
        <v>35</v>
      </c>
      <c r="C8416" t="s">
        <v>138</v>
      </c>
      <c r="D8416">
        <v>101</v>
      </c>
      <c r="E8416" t="s">
        <v>466</v>
      </c>
    </row>
    <row r="8417" spans="1:5" x14ac:dyDescent="0.35">
      <c r="A8417">
        <v>2018</v>
      </c>
      <c r="B8417" t="s">
        <v>33</v>
      </c>
      <c r="C8417" t="s">
        <v>148</v>
      </c>
      <c r="E8417" t="s">
        <v>355</v>
      </c>
    </row>
    <row r="8418" spans="1:5" x14ac:dyDescent="0.35">
      <c r="A8418">
        <v>2018</v>
      </c>
      <c r="B8418" t="s">
        <v>36</v>
      </c>
      <c r="C8418" t="s">
        <v>147</v>
      </c>
      <c r="D8418">
        <v>4547</v>
      </c>
      <c r="E8418" t="s">
        <v>466</v>
      </c>
    </row>
    <row r="8419" spans="1:5" x14ac:dyDescent="0.35">
      <c r="A8419">
        <v>2018</v>
      </c>
      <c r="B8419" t="s">
        <v>33</v>
      </c>
      <c r="C8419" t="s">
        <v>170</v>
      </c>
      <c r="D8419">
        <v>8</v>
      </c>
      <c r="E8419" t="s">
        <v>467</v>
      </c>
    </row>
    <row r="8420" spans="1:5" x14ac:dyDescent="0.35">
      <c r="A8420">
        <v>2018</v>
      </c>
      <c r="B8420" t="s">
        <v>33</v>
      </c>
      <c r="C8420" t="s">
        <v>130</v>
      </c>
      <c r="D8420">
        <v>23</v>
      </c>
      <c r="E8420" t="s">
        <v>466</v>
      </c>
    </row>
    <row r="8421" spans="1:5" x14ac:dyDescent="0.35">
      <c r="A8421">
        <v>2018</v>
      </c>
      <c r="B8421" t="s">
        <v>36</v>
      </c>
      <c r="C8421" t="s">
        <v>147</v>
      </c>
      <c r="D8421">
        <v>395</v>
      </c>
      <c r="E8421" t="s">
        <v>328</v>
      </c>
    </row>
    <row r="8422" spans="1:5" x14ac:dyDescent="0.35">
      <c r="A8422">
        <v>2018</v>
      </c>
      <c r="B8422" t="s">
        <v>37</v>
      </c>
      <c r="C8422" t="s">
        <v>166</v>
      </c>
      <c r="D8422">
        <v>49</v>
      </c>
      <c r="E8422" t="s">
        <v>466</v>
      </c>
    </row>
    <row r="8423" spans="1:5" x14ac:dyDescent="0.35">
      <c r="A8423">
        <v>2018</v>
      </c>
      <c r="B8423" t="s">
        <v>36</v>
      </c>
      <c r="C8423" t="s">
        <v>163</v>
      </c>
      <c r="D8423">
        <v>10</v>
      </c>
      <c r="E8423" t="s">
        <v>467</v>
      </c>
    </row>
    <row r="8424" spans="1:5" x14ac:dyDescent="0.35">
      <c r="A8424">
        <v>2018</v>
      </c>
      <c r="B8424" t="s">
        <v>34</v>
      </c>
      <c r="C8424" t="s">
        <v>131</v>
      </c>
      <c r="D8424">
        <v>69</v>
      </c>
      <c r="E8424" t="s">
        <v>466</v>
      </c>
    </row>
    <row r="8425" spans="1:5" x14ac:dyDescent="0.35">
      <c r="A8425">
        <v>2018</v>
      </c>
      <c r="B8425" t="s">
        <v>36</v>
      </c>
      <c r="C8425" t="s">
        <v>147</v>
      </c>
      <c r="D8425">
        <v>567</v>
      </c>
      <c r="E8425" t="s">
        <v>355</v>
      </c>
    </row>
    <row r="8426" spans="1:5" x14ac:dyDescent="0.35">
      <c r="A8426">
        <v>2018</v>
      </c>
      <c r="B8426" t="s">
        <v>33</v>
      </c>
      <c r="C8426" t="s">
        <v>132</v>
      </c>
      <c r="D8426">
        <v>120</v>
      </c>
      <c r="E8426" t="s">
        <v>466</v>
      </c>
    </row>
    <row r="8427" spans="1:5" x14ac:dyDescent="0.35">
      <c r="A8427">
        <v>2018</v>
      </c>
      <c r="B8427" t="s">
        <v>34</v>
      </c>
      <c r="C8427" t="s">
        <v>151</v>
      </c>
      <c r="E8427" t="s">
        <v>467</v>
      </c>
    </row>
    <row r="8428" spans="1:5" x14ac:dyDescent="0.35">
      <c r="A8428">
        <v>2018</v>
      </c>
      <c r="B8428" t="s">
        <v>35</v>
      </c>
      <c r="C8428" t="s">
        <v>133</v>
      </c>
      <c r="D8428">
        <v>3</v>
      </c>
      <c r="E8428" t="s">
        <v>466</v>
      </c>
    </row>
    <row r="8429" spans="1:5" x14ac:dyDescent="0.35">
      <c r="A8429">
        <v>2018</v>
      </c>
      <c r="B8429" t="s">
        <v>37</v>
      </c>
      <c r="C8429" t="s">
        <v>146</v>
      </c>
      <c r="D8429">
        <v>8</v>
      </c>
      <c r="E8429" t="s">
        <v>328</v>
      </c>
    </row>
    <row r="8430" spans="1:5" x14ac:dyDescent="0.35">
      <c r="A8430">
        <v>2018</v>
      </c>
      <c r="B8430" t="s">
        <v>37</v>
      </c>
      <c r="C8430" t="s">
        <v>134</v>
      </c>
      <c r="D8430">
        <v>58</v>
      </c>
      <c r="E8430" t="s">
        <v>466</v>
      </c>
    </row>
    <row r="8431" spans="1:5" x14ac:dyDescent="0.35">
      <c r="A8431">
        <v>2018</v>
      </c>
      <c r="B8431" t="s">
        <v>35</v>
      </c>
      <c r="C8431" t="s">
        <v>161</v>
      </c>
      <c r="D8431">
        <v>183</v>
      </c>
      <c r="E8431" t="s">
        <v>467</v>
      </c>
    </row>
    <row r="8432" spans="1:5" x14ac:dyDescent="0.35">
      <c r="A8432">
        <v>2018</v>
      </c>
      <c r="B8432" t="s">
        <v>33</v>
      </c>
      <c r="C8432" t="s">
        <v>135</v>
      </c>
      <c r="D8432">
        <v>115</v>
      </c>
      <c r="E8432" t="s">
        <v>466</v>
      </c>
    </row>
    <row r="8433" spans="1:5" x14ac:dyDescent="0.35">
      <c r="A8433">
        <v>2018</v>
      </c>
      <c r="B8433" t="s">
        <v>37</v>
      </c>
      <c r="C8433" t="s">
        <v>146</v>
      </c>
      <c r="D8433">
        <v>19</v>
      </c>
      <c r="E8433" t="s">
        <v>355</v>
      </c>
    </row>
    <row r="8434" spans="1:5" x14ac:dyDescent="0.35">
      <c r="A8434">
        <v>2018</v>
      </c>
      <c r="B8434" t="s">
        <v>33</v>
      </c>
      <c r="C8434" t="s">
        <v>136</v>
      </c>
      <c r="D8434">
        <v>19</v>
      </c>
      <c r="E8434" t="s">
        <v>466</v>
      </c>
    </row>
    <row r="8435" spans="1:5" x14ac:dyDescent="0.35">
      <c r="A8435">
        <v>2018</v>
      </c>
      <c r="B8435" t="s">
        <v>35</v>
      </c>
      <c r="C8435" t="s">
        <v>160</v>
      </c>
      <c r="D8435">
        <v>316</v>
      </c>
      <c r="E8435" t="s">
        <v>467</v>
      </c>
    </row>
    <row r="8436" spans="1:5" x14ac:dyDescent="0.35">
      <c r="A8436">
        <v>2018</v>
      </c>
      <c r="B8436" t="s">
        <v>33</v>
      </c>
      <c r="C8436" t="s">
        <v>148</v>
      </c>
      <c r="D8436">
        <v>35</v>
      </c>
      <c r="E8436" t="s">
        <v>466</v>
      </c>
    </row>
    <row r="8437" spans="1:5" x14ac:dyDescent="0.35">
      <c r="A8437">
        <v>2018</v>
      </c>
      <c r="B8437" t="s">
        <v>33</v>
      </c>
      <c r="C8437" t="s">
        <v>149</v>
      </c>
      <c r="D8437">
        <v>607</v>
      </c>
      <c r="E8437" t="s">
        <v>355</v>
      </c>
    </row>
    <row r="8438" spans="1:5" x14ac:dyDescent="0.35">
      <c r="A8438">
        <v>2018</v>
      </c>
      <c r="B8438" t="s">
        <v>36</v>
      </c>
      <c r="C8438" t="s">
        <v>14</v>
      </c>
      <c r="D8438">
        <v>307535</v>
      </c>
      <c r="E8438" t="s">
        <v>466</v>
      </c>
    </row>
    <row r="8439" spans="1:5" x14ac:dyDescent="0.35">
      <c r="A8439">
        <v>2018</v>
      </c>
      <c r="B8439" t="s">
        <v>34</v>
      </c>
      <c r="C8439" t="s">
        <v>159</v>
      </c>
      <c r="D8439">
        <v>10</v>
      </c>
      <c r="E8439" t="s">
        <v>467</v>
      </c>
    </row>
    <row r="8440" spans="1:5" x14ac:dyDescent="0.35">
      <c r="A8440">
        <v>2018</v>
      </c>
      <c r="B8440" t="s">
        <v>34</v>
      </c>
      <c r="C8440" t="s">
        <v>139</v>
      </c>
      <c r="D8440">
        <v>115</v>
      </c>
      <c r="E8440" t="s">
        <v>466</v>
      </c>
    </row>
    <row r="8441" spans="1:5" x14ac:dyDescent="0.35">
      <c r="A8441">
        <v>2018</v>
      </c>
      <c r="B8441" t="s">
        <v>37</v>
      </c>
      <c r="C8441" t="s">
        <v>153</v>
      </c>
      <c r="D8441">
        <v>9</v>
      </c>
      <c r="E8441" t="s">
        <v>355</v>
      </c>
    </row>
    <row r="8442" spans="1:5" x14ac:dyDescent="0.35">
      <c r="A8442">
        <v>2018</v>
      </c>
      <c r="B8442" t="s">
        <v>35</v>
      </c>
      <c r="C8442" t="s">
        <v>140</v>
      </c>
      <c r="D8442">
        <v>51</v>
      </c>
      <c r="E8442" t="s">
        <v>466</v>
      </c>
    </row>
    <row r="8443" spans="1:5" x14ac:dyDescent="0.35">
      <c r="A8443">
        <v>2018</v>
      </c>
      <c r="B8443" t="s">
        <v>35</v>
      </c>
      <c r="C8443" t="s">
        <v>158</v>
      </c>
      <c r="D8443">
        <v>304</v>
      </c>
      <c r="E8443" t="s">
        <v>467</v>
      </c>
    </row>
    <row r="8444" spans="1:5" x14ac:dyDescent="0.35">
      <c r="A8444">
        <v>2018</v>
      </c>
      <c r="B8444" t="s">
        <v>33</v>
      </c>
      <c r="C8444" t="s">
        <v>141</v>
      </c>
      <c r="D8444">
        <v>262</v>
      </c>
      <c r="E8444" t="s">
        <v>466</v>
      </c>
    </row>
    <row r="8445" spans="1:5" x14ac:dyDescent="0.35">
      <c r="A8445">
        <v>2018</v>
      </c>
      <c r="B8445" t="s">
        <v>33</v>
      </c>
      <c r="C8445" t="s">
        <v>162</v>
      </c>
      <c r="E8445" t="s">
        <v>328</v>
      </c>
    </row>
    <row r="8446" spans="1:5" x14ac:dyDescent="0.35">
      <c r="A8446">
        <v>2018</v>
      </c>
      <c r="B8446" t="s">
        <v>33</v>
      </c>
      <c r="C8446" t="s">
        <v>142</v>
      </c>
      <c r="D8446">
        <v>3</v>
      </c>
      <c r="E8446" t="s">
        <v>466</v>
      </c>
    </row>
    <row r="8447" spans="1:5" x14ac:dyDescent="0.35">
      <c r="A8447">
        <v>2018</v>
      </c>
      <c r="B8447" t="s">
        <v>35</v>
      </c>
      <c r="C8447" t="s">
        <v>157</v>
      </c>
      <c r="D8447">
        <v>184</v>
      </c>
      <c r="E8447" t="s">
        <v>467</v>
      </c>
    </row>
    <row r="8448" spans="1:5" x14ac:dyDescent="0.35">
      <c r="A8448">
        <v>2018</v>
      </c>
      <c r="B8448" t="s">
        <v>33</v>
      </c>
      <c r="C8448" t="s">
        <v>143</v>
      </c>
      <c r="D8448">
        <v>11</v>
      </c>
      <c r="E8448" t="s">
        <v>466</v>
      </c>
    </row>
    <row r="8449" spans="1:5" x14ac:dyDescent="0.35">
      <c r="A8449">
        <v>2018</v>
      </c>
      <c r="B8449" t="s">
        <v>36</v>
      </c>
      <c r="C8449" t="s">
        <v>154</v>
      </c>
      <c r="D8449">
        <v>5</v>
      </c>
      <c r="E8449" t="s">
        <v>328</v>
      </c>
    </row>
    <row r="8450" spans="1:5" x14ac:dyDescent="0.35">
      <c r="A8450">
        <v>2018</v>
      </c>
      <c r="B8450" t="s">
        <v>34</v>
      </c>
      <c r="C8450" t="s">
        <v>144</v>
      </c>
      <c r="D8450">
        <v>844</v>
      </c>
      <c r="E8450" t="s">
        <v>466</v>
      </c>
    </row>
    <row r="8451" spans="1:5" x14ac:dyDescent="0.35">
      <c r="A8451">
        <v>2018</v>
      </c>
      <c r="B8451" t="s">
        <v>34</v>
      </c>
      <c r="C8451" t="s">
        <v>18</v>
      </c>
      <c r="D8451">
        <v>700</v>
      </c>
      <c r="E8451" t="s">
        <v>467</v>
      </c>
    </row>
    <row r="8452" spans="1:5" x14ac:dyDescent="0.35">
      <c r="A8452">
        <v>2018</v>
      </c>
      <c r="B8452" t="s">
        <v>35</v>
      </c>
      <c r="C8452" t="s">
        <v>145</v>
      </c>
      <c r="D8452">
        <v>341</v>
      </c>
      <c r="E8452" t="s">
        <v>466</v>
      </c>
    </row>
    <row r="8453" spans="1:5" x14ac:dyDescent="0.35">
      <c r="A8453">
        <v>2018</v>
      </c>
      <c r="B8453" t="s">
        <v>36</v>
      </c>
      <c r="C8453" t="s">
        <v>163</v>
      </c>
      <c r="D8453">
        <v>17</v>
      </c>
      <c r="E8453" t="s">
        <v>355</v>
      </c>
    </row>
    <row r="8454" spans="1:5" x14ac:dyDescent="0.35">
      <c r="A8454">
        <v>2018</v>
      </c>
      <c r="B8454" t="s">
        <v>37</v>
      </c>
      <c r="C8454" t="s">
        <v>146</v>
      </c>
      <c r="D8454">
        <v>186</v>
      </c>
      <c r="E8454" t="s">
        <v>466</v>
      </c>
    </row>
    <row r="8455" spans="1:5" x14ac:dyDescent="0.35">
      <c r="A8455">
        <v>2018</v>
      </c>
      <c r="B8455" t="s">
        <v>38</v>
      </c>
      <c r="C8455" t="s">
        <v>156</v>
      </c>
      <c r="D8455">
        <v>196</v>
      </c>
      <c r="E8455" t="s">
        <v>467</v>
      </c>
    </row>
    <row r="8456" spans="1:5" x14ac:dyDescent="0.35">
      <c r="A8456">
        <v>2018</v>
      </c>
      <c r="B8456" t="s">
        <v>37</v>
      </c>
      <c r="C8456" t="s">
        <v>137</v>
      </c>
      <c r="D8456">
        <v>129</v>
      </c>
      <c r="E8456" t="s">
        <v>466</v>
      </c>
    </row>
    <row r="8457" spans="1:5" x14ac:dyDescent="0.35">
      <c r="A8457">
        <v>2018</v>
      </c>
      <c r="B8457" t="s">
        <v>33</v>
      </c>
      <c r="C8457" t="s">
        <v>162</v>
      </c>
      <c r="E8457" t="s">
        <v>355</v>
      </c>
    </row>
    <row r="8458" spans="1:5" x14ac:dyDescent="0.35">
      <c r="A8458">
        <v>2018</v>
      </c>
      <c r="B8458" t="s">
        <v>34</v>
      </c>
      <c r="C8458" t="s">
        <v>167</v>
      </c>
      <c r="D8458">
        <v>499</v>
      </c>
      <c r="E8458" t="s">
        <v>466</v>
      </c>
    </row>
    <row r="8459" spans="1:5" x14ac:dyDescent="0.35">
      <c r="A8459">
        <v>2018</v>
      </c>
      <c r="B8459" t="s">
        <v>38</v>
      </c>
      <c r="C8459" t="s">
        <v>155</v>
      </c>
      <c r="D8459">
        <v>14</v>
      </c>
      <c r="E8459" t="s">
        <v>467</v>
      </c>
    </row>
    <row r="8460" spans="1:5" x14ac:dyDescent="0.35">
      <c r="A8460">
        <v>2018</v>
      </c>
      <c r="B8460" t="s">
        <v>34</v>
      </c>
      <c r="C8460" t="s">
        <v>188</v>
      </c>
      <c r="D8460">
        <v>318</v>
      </c>
      <c r="E8460" t="s">
        <v>466</v>
      </c>
    </row>
    <row r="8461" spans="1:5" x14ac:dyDescent="0.35">
      <c r="A8461">
        <v>2018</v>
      </c>
      <c r="B8461" t="s">
        <v>35</v>
      </c>
      <c r="C8461" t="s">
        <v>161</v>
      </c>
      <c r="D8461">
        <v>64</v>
      </c>
      <c r="E8461" t="s">
        <v>328</v>
      </c>
    </row>
    <row r="8462" spans="1:5" x14ac:dyDescent="0.35">
      <c r="A8462">
        <v>2018</v>
      </c>
      <c r="B8462" t="s">
        <v>35</v>
      </c>
      <c r="C8462" t="s">
        <v>169</v>
      </c>
      <c r="D8462">
        <v>94</v>
      </c>
      <c r="E8462" t="s">
        <v>466</v>
      </c>
    </row>
    <row r="8463" spans="1:5" x14ac:dyDescent="0.35">
      <c r="A8463">
        <v>2018</v>
      </c>
      <c r="B8463" t="s">
        <v>36</v>
      </c>
      <c r="C8463" t="s">
        <v>154</v>
      </c>
      <c r="D8463">
        <v>39</v>
      </c>
      <c r="E8463" t="s">
        <v>467</v>
      </c>
    </row>
    <row r="8464" spans="1:5" x14ac:dyDescent="0.35">
      <c r="A8464">
        <v>2018</v>
      </c>
      <c r="B8464" t="s">
        <v>36</v>
      </c>
      <c r="C8464" t="s">
        <v>191</v>
      </c>
      <c r="D8464">
        <v>281</v>
      </c>
      <c r="E8464" t="s">
        <v>466</v>
      </c>
    </row>
    <row r="8465" spans="1:5" x14ac:dyDescent="0.35">
      <c r="A8465">
        <v>2018</v>
      </c>
      <c r="B8465" t="s">
        <v>35</v>
      </c>
      <c r="C8465" t="s">
        <v>161</v>
      </c>
      <c r="D8465">
        <v>131</v>
      </c>
      <c r="E8465" t="s">
        <v>355</v>
      </c>
    </row>
    <row r="8466" spans="1:5" x14ac:dyDescent="0.35">
      <c r="A8466">
        <v>2018</v>
      </c>
      <c r="B8466" t="s">
        <v>33</v>
      </c>
      <c r="C8466" t="s">
        <v>192</v>
      </c>
      <c r="D8466">
        <v>178</v>
      </c>
      <c r="E8466" t="s">
        <v>466</v>
      </c>
    </row>
    <row r="8467" spans="1:5" x14ac:dyDescent="0.35">
      <c r="A8467">
        <v>2018</v>
      </c>
      <c r="B8467" t="s">
        <v>34</v>
      </c>
      <c r="C8467" t="s">
        <v>152</v>
      </c>
      <c r="D8467">
        <v>410</v>
      </c>
      <c r="E8467" t="s">
        <v>467</v>
      </c>
    </row>
    <row r="8468" spans="1:5" x14ac:dyDescent="0.35">
      <c r="A8468">
        <v>2018</v>
      </c>
      <c r="B8468" t="s">
        <v>34</v>
      </c>
      <c r="C8468" t="s">
        <v>193</v>
      </c>
      <c r="D8468">
        <v>654</v>
      </c>
      <c r="E8468" t="s">
        <v>466</v>
      </c>
    </row>
    <row r="8469" spans="1:5" x14ac:dyDescent="0.35">
      <c r="A8469">
        <v>2018</v>
      </c>
      <c r="B8469" t="s">
        <v>35</v>
      </c>
      <c r="C8469" t="s">
        <v>160</v>
      </c>
      <c r="D8469">
        <v>214</v>
      </c>
      <c r="E8469" t="s">
        <v>328</v>
      </c>
    </row>
    <row r="8470" spans="1:5" x14ac:dyDescent="0.35">
      <c r="A8470">
        <v>2018</v>
      </c>
      <c r="B8470" t="s">
        <v>34</v>
      </c>
      <c r="C8470" t="s">
        <v>194</v>
      </c>
      <c r="D8470">
        <v>41</v>
      </c>
      <c r="E8470" t="s">
        <v>466</v>
      </c>
    </row>
    <row r="8471" spans="1:5" x14ac:dyDescent="0.35">
      <c r="A8471">
        <v>2018</v>
      </c>
      <c r="B8471" t="s">
        <v>35</v>
      </c>
      <c r="C8471" t="s">
        <v>150</v>
      </c>
      <c r="D8471">
        <v>73</v>
      </c>
      <c r="E8471" t="s">
        <v>467</v>
      </c>
    </row>
    <row r="8472" spans="1:5" x14ac:dyDescent="0.35">
      <c r="A8472">
        <v>2018</v>
      </c>
      <c r="B8472" t="s">
        <v>33</v>
      </c>
      <c r="C8472" t="s">
        <v>195</v>
      </c>
      <c r="D8472">
        <v>113</v>
      </c>
      <c r="E8472" t="s">
        <v>466</v>
      </c>
    </row>
    <row r="8473" spans="1:5" x14ac:dyDescent="0.35">
      <c r="A8473">
        <v>2018</v>
      </c>
      <c r="B8473" t="s">
        <v>35</v>
      </c>
      <c r="C8473" t="s">
        <v>160</v>
      </c>
      <c r="D8473">
        <v>203</v>
      </c>
      <c r="E8473" t="s">
        <v>355</v>
      </c>
    </row>
    <row r="8474" spans="1:5" x14ac:dyDescent="0.35">
      <c r="A8474">
        <v>2018</v>
      </c>
      <c r="B8474" t="s">
        <v>35</v>
      </c>
      <c r="C8474" t="s">
        <v>196</v>
      </c>
      <c r="D8474">
        <v>643</v>
      </c>
      <c r="E8474" t="s">
        <v>466</v>
      </c>
    </row>
    <row r="8475" spans="1:5" x14ac:dyDescent="0.35">
      <c r="A8475">
        <v>2018</v>
      </c>
      <c r="B8475" t="s">
        <v>33</v>
      </c>
      <c r="C8475" t="s">
        <v>162</v>
      </c>
      <c r="D8475">
        <v>29</v>
      </c>
      <c r="E8475" t="s">
        <v>467</v>
      </c>
    </row>
    <row r="8476" spans="1:5" x14ac:dyDescent="0.35">
      <c r="A8476">
        <v>2018</v>
      </c>
      <c r="B8476" t="s">
        <v>34</v>
      </c>
      <c r="C8476" t="s">
        <v>197</v>
      </c>
      <c r="D8476">
        <v>38</v>
      </c>
      <c r="E8476" t="s">
        <v>466</v>
      </c>
    </row>
    <row r="8477" spans="1:5" x14ac:dyDescent="0.35">
      <c r="A8477">
        <v>2018</v>
      </c>
      <c r="B8477" t="s">
        <v>35</v>
      </c>
      <c r="C8477" t="s">
        <v>158</v>
      </c>
      <c r="D8477">
        <v>59</v>
      </c>
      <c r="E8477" t="s">
        <v>328</v>
      </c>
    </row>
    <row r="8478" spans="1:5" x14ac:dyDescent="0.35">
      <c r="A8478">
        <v>2018</v>
      </c>
      <c r="B8478" t="s">
        <v>35</v>
      </c>
      <c r="C8478" t="s">
        <v>198</v>
      </c>
      <c r="D8478">
        <v>1783</v>
      </c>
      <c r="E8478" t="s">
        <v>466</v>
      </c>
    </row>
    <row r="8479" spans="1:5" x14ac:dyDescent="0.35">
      <c r="A8479">
        <v>2018</v>
      </c>
      <c r="B8479" t="s">
        <v>33</v>
      </c>
      <c r="C8479" t="s">
        <v>175</v>
      </c>
      <c r="D8479">
        <v>86</v>
      </c>
      <c r="E8479" t="s">
        <v>467</v>
      </c>
    </row>
    <row r="8480" spans="1:5" x14ac:dyDescent="0.35">
      <c r="A8480">
        <v>2018</v>
      </c>
      <c r="B8480" t="s">
        <v>39</v>
      </c>
      <c r="C8480" t="s">
        <v>39</v>
      </c>
      <c r="D8480">
        <v>2831</v>
      </c>
      <c r="E8480" t="s">
        <v>466</v>
      </c>
    </row>
    <row r="8481" spans="1:5" x14ac:dyDescent="0.35">
      <c r="A8481">
        <v>2018</v>
      </c>
      <c r="B8481" t="s">
        <v>36</v>
      </c>
      <c r="C8481" t="s">
        <v>154</v>
      </c>
      <c r="D8481">
        <v>86</v>
      </c>
      <c r="E8481" t="s">
        <v>355</v>
      </c>
    </row>
    <row r="8482" spans="1:5" x14ac:dyDescent="0.35">
      <c r="A8482">
        <v>2018</v>
      </c>
      <c r="B8482" t="s">
        <v>38</v>
      </c>
      <c r="C8482" t="s">
        <v>199</v>
      </c>
      <c r="D8482">
        <v>100</v>
      </c>
      <c r="E8482" t="s">
        <v>466</v>
      </c>
    </row>
    <row r="8483" spans="1:5" x14ac:dyDescent="0.35">
      <c r="A8483">
        <v>2018</v>
      </c>
      <c r="B8483" t="s">
        <v>35</v>
      </c>
      <c r="C8483" t="s">
        <v>322</v>
      </c>
      <c r="D8483">
        <v>20</v>
      </c>
      <c r="E8483" t="s">
        <v>467</v>
      </c>
    </row>
    <row r="8484" spans="1:5" x14ac:dyDescent="0.35">
      <c r="A8484">
        <v>2018</v>
      </c>
      <c r="B8484" t="s">
        <v>34</v>
      </c>
      <c r="C8484" t="s">
        <v>200</v>
      </c>
      <c r="D8484">
        <v>595</v>
      </c>
      <c r="E8484" t="s">
        <v>466</v>
      </c>
    </row>
    <row r="8485" spans="1:5" x14ac:dyDescent="0.35">
      <c r="A8485">
        <v>2018</v>
      </c>
      <c r="B8485" t="s">
        <v>35</v>
      </c>
      <c r="C8485" t="s">
        <v>158</v>
      </c>
      <c r="D8485">
        <v>35</v>
      </c>
      <c r="E8485" t="s">
        <v>355</v>
      </c>
    </row>
    <row r="8486" spans="1:5" x14ac:dyDescent="0.35">
      <c r="A8486">
        <v>2018</v>
      </c>
      <c r="B8486" t="s">
        <v>38</v>
      </c>
      <c r="C8486" t="s">
        <v>19</v>
      </c>
      <c r="D8486">
        <v>4210</v>
      </c>
      <c r="E8486" t="s">
        <v>466</v>
      </c>
    </row>
    <row r="8487" spans="1:5" x14ac:dyDescent="0.35">
      <c r="A8487">
        <v>2018</v>
      </c>
      <c r="B8487" t="s">
        <v>34</v>
      </c>
      <c r="C8487" t="s">
        <v>178</v>
      </c>
      <c r="D8487">
        <v>59</v>
      </c>
      <c r="E8487" t="s">
        <v>467</v>
      </c>
    </row>
    <row r="8488" spans="1:5" x14ac:dyDescent="0.35">
      <c r="A8488">
        <v>2018</v>
      </c>
      <c r="B8488" t="s">
        <v>34</v>
      </c>
      <c r="C8488" t="s">
        <v>201</v>
      </c>
      <c r="D8488">
        <v>993</v>
      </c>
      <c r="E8488" t="s">
        <v>466</v>
      </c>
    </row>
    <row r="8489" spans="1:5" x14ac:dyDescent="0.35">
      <c r="A8489">
        <v>2018</v>
      </c>
      <c r="B8489" t="s">
        <v>35</v>
      </c>
      <c r="C8489" t="s">
        <v>157</v>
      </c>
      <c r="D8489">
        <v>129</v>
      </c>
      <c r="E8489" t="s">
        <v>355</v>
      </c>
    </row>
    <row r="8490" spans="1:5" x14ac:dyDescent="0.35">
      <c r="A8490">
        <v>2018</v>
      </c>
      <c r="B8490" t="s">
        <v>34</v>
      </c>
      <c r="C8490" t="s">
        <v>202</v>
      </c>
      <c r="D8490">
        <v>155</v>
      </c>
      <c r="E8490" t="s">
        <v>466</v>
      </c>
    </row>
    <row r="8491" spans="1:5" x14ac:dyDescent="0.35">
      <c r="A8491">
        <v>2018</v>
      </c>
      <c r="B8491" t="s">
        <v>39</v>
      </c>
      <c r="C8491" t="s">
        <v>39</v>
      </c>
      <c r="D8491">
        <v>111</v>
      </c>
      <c r="E8491" t="s">
        <v>467</v>
      </c>
    </row>
    <row r="8492" spans="1:5" x14ac:dyDescent="0.35">
      <c r="A8492">
        <v>2018</v>
      </c>
      <c r="B8492" t="s">
        <v>33</v>
      </c>
      <c r="C8492" t="s">
        <v>203</v>
      </c>
      <c r="D8492">
        <v>51</v>
      </c>
      <c r="E8492" t="s">
        <v>466</v>
      </c>
    </row>
    <row r="8493" spans="1:5" x14ac:dyDescent="0.35">
      <c r="A8493">
        <v>2018</v>
      </c>
      <c r="B8493" t="s">
        <v>34</v>
      </c>
      <c r="C8493" t="s">
        <v>18</v>
      </c>
      <c r="D8493">
        <v>60</v>
      </c>
      <c r="E8493" t="s">
        <v>328</v>
      </c>
    </row>
    <row r="8494" spans="1:5" x14ac:dyDescent="0.35">
      <c r="A8494">
        <v>2018</v>
      </c>
      <c r="B8494" t="s">
        <v>33</v>
      </c>
      <c r="C8494" t="s">
        <v>204</v>
      </c>
      <c r="D8494">
        <v>73</v>
      </c>
      <c r="E8494" t="s">
        <v>466</v>
      </c>
    </row>
    <row r="8495" spans="1:5" x14ac:dyDescent="0.35">
      <c r="A8495">
        <v>2018</v>
      </c>
      <c r="C8495" t="s">
        <v>373</v>
      </c>
      <c r="D8495">
        <v>66</v>
      </c>
      <c r="E8495" t="s">
        <v>467</v>
      </c>
    </row>
    <row r="8496" spans="1:5" x14ac:dyDescent="0.35">
      <c r="A8496">
        <v>2018</v>
      </c>
      <c r="B8496" t="s">
        <v>33</v>
      </c>
      <c r="C8496" t="s">
        <v>129</v>
      </c>
      <c r="D8496">
        <v>17</v>
      </c>
      <c r="E8496" t="s">
        <v>466</v>
      </c>
    </row>
    <row r="8497" spans="1:5" x14ac:dyDescent="0.35">
      <c r="A8497">
        <v>2018</v>
      </c>
      <c r="B8497" t="s">
        <v>34</v>
      </c>
      <c r="C8497" t="s">
        <v>18</v>
      </c>
      <c r="D8497">
        <v>380</v>
      </c>
      <c r="E8497" t="s">
        <v>355</v>
      </c>
    </row>
    <row r="8498" spans="1:5" x14ac:dyDescent="0.35">
      <c r="A8498">
        <v>2018</v>
      </c>
      <c r="B8498" t="s">
        <v>37</v>
      </c>
      <c r="C8498" t="s">
        <v>190</v>
      </c>
      <c r="D8498">
        <v>44</v>
      </c>
      <c r="E8498" t="s">
        <v>466</v>
      </c>
    </row>
    <row r="8499" spans="1:5" x14ac:dyDescent="0.35">
      <c r="A8499">
        <v>2018</v>
      </c>
      <c r="B8499" t="s">
        <v>33</v>
      </c>
      <c r="C8499" t="s">
        <v>204</v>
      </c>
      <c r="D8499">
        <v>17</v>
      </c>
      <c r="E8499" t="s">
        <v>467</v>
      </c>
    </row>
    <row r="8500" spans="1:5" x14ac:dyDescent="0.35">
      <c r="A8500">
        <v>2018</v>
      </c>
      <c r="B8500" t="s">
        <v>33</v>
      </c>
      <c r="C8500" t="s">
        <v>189</v>
      </c>
      <c r="D8500">
        <v>60</v>
      </c>
      <c r="E8500" t="s">
        <v>466</v>
      </c>
    </row>
    <row r="8501" spans="1:5" x14ac:dyDescent="0.35">
      <c r="A8501">
        <v>2018</v>
      </c>
      <c r="B8501" t="s">
        <v>38</v>
      </c>
      <c r="C8501" t="s">
        <v>156</v>
      </c>
      <c r="D8501">
        <v>227</v>
      </c>
      <c r="E8501" t="s">
        <v>328</v>
      </c>
    </row>
    <row r="8502" spans="1:5" x14ac:dyDescent="0.35">
      <c r="A8502">
        <v>2018</v>
      </c>
      <c r="B8502" t="s">
        <v>33</v>
      </c>
      <c r="C8502" t="s">
        <v>187</v>
      </c>
      <c r="D8502">
        <v>59</v>
      </c>
      <c r="E8502" t="s">
        <v>466</v>
      </c>
    </row>
    <row r="8503" spans="1:5" x14ac:dyDescent="0.35">
      <c r="A8503">
        <v>2018</v>
      </c>
      <c r="B8503" t="s">
        <v>33</v>
      </c>
      <c r="C8503" t="s">
        <v>203</v>
      </c>
      <c r="D8503">
        <v>12</v>
      </c>
      <c r="E8503" t="s">
        <v>467</v>
      </c>
    </row>
    <row r="8504" spans="1:5" x14ac:dyDescent="0.35">
      <c r="A8504">
        <v>2018</v>
      </c>
      <c r="B8504" t="s">
        <v>34</v>
      </c>
      <c r="C8504" t="s">
        <v>186</v>
      </c>
      <c r="D8504">
        <v>42</v>
      </c>
      <c r="E8504" t="s">
        <v>466</v>
      </c>
    </row>
    <row r="8505" spans="1:5" x14ac:dyDescent="0.35">
      <c r="A8505">
        <v>2018</v>
      </c>
      <c r="B8505" t="s">
        <v>38</v>
      </c>
      <c r="C8505" t="s">
        <v>156</v>
      </c>
      <c r="D8505">
        <v>499</v>
      </c>
      <c r="E8505" t="s">
        <v>355</v>
      </c>
    </row>
    <row r="8506" spans="1:5" x14ac:dyDescent="0.35">
      <c r="A8506">
        <v>2018</v>
      </c>
      <c r="B8506" t="s">
        <v>35</v>
      </c>
      <c r="C8506" t="s">
        <v>215</v>
      </c>
      <c r="D8506">
        <v>16</v>
      </c>
      <c r="E8506" t="s">
        <v>466</v>
      </c>
    </row>
    <row r="8507" spans="1:5" x14ac:dyDescent="0.35">
      <c r="A8507">
        <v>2018</v>
      </c>
      <c r="B8507" t="s">
        <v>34</v>
      </c>
      <c r="C8507" t="s">
        <v>202</v>
      </c>
      <c r="D8507">
        <v>44</v>
      </c>
      <c r="E8507" t="s">
        <v>467</v>
      </c>
    </row>
    <row r="8508" spans="1:5" x14ac:dyDescent="0.35">
      <c r="A8508">
        <v>2018</v>
      </c>
      <c r="B8508" t="s">
        <v>33</v>
      </c>
      <c r="C8508" t="s">
        <v>170</v>
      </c>
      <c r="D8508">
        <v>133</v>
      </c>
      <c r="E8508" t="s">
        <v>466</v>
      </c>
    </row>
    <row r="8509" spans="1:5" x14ac:dyDescent="0.35">
      <c r="A8509">
        <v>2018</v>
      </c>
      <c r="B8509" t="s">
        <v>38</v>
      </c>
      <c r="C8509" t="s">
        <v>155</v>
      </c>
      <c r="E8509" t="s">
        <v>328</v>
      </c>
    </row>
    <row r="8510" spans="1:5" x14ac:dyDescent="0.35">
      <c r="A8510">
        <v>2018</v>
      </c>
      <c r="B8510" t="s">
        <v>34</v>
      </c>
      <c r="C8510" t="s">
        <v>171</v>
      </c>
      <c r="D8510">
        <v>50</v>
      </c>
      <c r="E8510" t="s">
        <v>466</v>
      </c>
    </row>
    <row r="8511" spans="1:5" x14ac:dyDescent="0.35">
      <c r="A8511">
        <v>2018</v>
      </c>
      <c r="B8511" t="s">
        <v>34</v>
      </c>
      <c r="C8511" t="s">
        <v>201</v>
      </c>
      <c r="D8511">
        <v>84</v>
      </c>
      <c r="E8511" t="s">
        <v>467</v>
      </c>
    </row>
    <row r="8512" spans="1:5" x14ac:dyDescent="0.35">
      <c r="A8512">
        <v>2018</v>
      </c>
      <c r="B8512" t="s">
        <v>35</v>
      </c>
      <c r="C8512" t="s">
        <v>172</v>
      </c>
      <c r="D8512">
        <v>117</v>
      </c>
      <c r="E8512" t="s">
        <v>466</v>
      </c>
    </row>
    <row r="8513" spans="1:5" x14ac:dyDescent="0.35">
      <c r="A8513">
        <v>2018</v>
      </c>
      <c r="B8513" t="s">
        <v>38</v>
      </c>
      <c r="C8513" t="s">
        <v>155</v>
      </c>
      <c r="E8513" t="s">
        <v>355</v>
      </c>
    </row>
    <row r="8514" spans="1:5" x14ac:dyDescent="0.35">
      <c r="A8514">
        <v>2018</v>
      </c>
      <c r="B8514" t="s">
        <v>35</v>
      </c>
      <c r="C8514" t="s">
        <v>173</v>
      </c>
      <c r="D8514">
        <v>35</v>
      </c>
      <c r="E8514" t="s">
        <v>466</v>
      </c>
    </row>
    <row r="8515" spans="1:5" x14ac:dyDescent="0.35">
      <c r="A8515">
        <v>2018</v>
      </c>
      <c r="B8515" t="s">
        <v>38</v>
      </c>
      <c r="C8515" t="s">
        <v>19</v>
      </c>
      <c r="D8515">
        <v>1587</v>
      </c>
      <c r="E8515" t="s">
        <v>467</v>
      </c>
    </row>
    <row r="8516" spans="1:5" x14ac:dyDescent="0.35">
      <c r="A8516">
        <v>2018</v>
      </c>
      <c r="B8516" t="s">
        <v>33</v>
      </c>
      <c r="C8516" t="s">
        <v>174</v>
      </c>
      <c r="D8516">
        <v>328</v>
      </c>
      <c r="E8516" t="s">
        <v>466</v>
      </c>
    </row>
    <row r="8517" spans="1:5" x14ac:dyDescent="0.35">
      <c r="A8517">
        <v>2018</v>
      </c>
      <c r="B8517" t="s">
        <v>35</v>
      </c>
      <c r="C8517" t="s">
        <v>157</v>
      </c>
      <c r="D8517">
        <v>43</v>
      </c>
      <c r="E8517" t="s">
        <v>328</v>
      </c>
    </row>
    <row r="8518" spans="1:5" x14ac:dyDescent="0.35">
      <c r="A8518">
        <v>2018</v>
      </c>
      <c r="B8518" t="s">
        <v>33</v>
      </c>
      <c r="C8518" t="s">
        <v>175</v>
      </c>
      <c r="D8518">
        <v>190</v>
      </c>
      <c r="E8518" t="s">
        <v>466</v>
      </c>
    </row>
    <row r="8519" spans="1:5" x14ac:dyDescent="0.35">
      <c r="A8519">
        <v>2018</v>
      </c>
      <c r="B8519" t="s">
        <v>34</v>
      </c>
      <c r="C8519" t="s">
        <v>200</v>
      </c>
      <c r="D8519">
        <v>24</v>
      </c>
      <c r="E8519" t="s">
        <v>467</v>
      </c>
    </row>
    <row r="8520" spans="1:5" x14ac:dyDescent="0.35">
      <c r="A8520">
        <v>2018</v>
      </c>
      <c r="B8520" t="s">
        <v>33</v>
      </c>
      <c r="C8520" t="s">
        <v>176</v>
      </c>
      <c r="D8520">
        <v>83</v>
      </c>
      <c r="E8520" t="s">
        <v>466</v>
      </c>
    </row>
    <row r="8521" spans="1:5" x14ac:dyDescent="0.35">
      <c r="A8521">
        <v>2018</v>
      </c>
      <c r="B8521" t="s">
        <v>35</v>
      </c>
      <c r="C8521" t="s">
        <v>145</v>
      </c>
      <c r="D8521">
        <v>24</v>
      </c>
      <c r="E8521" t="s">
        <v>355</v>
      </c>
    </row>
    <row r="8522" spans="1:5" x14ac:dyDescent="0.35">
      <c r="A8522">
        <v>2018</v>
      </c>
      <c r="B8522" t="s">
        <v>33</v>
      </c>
      <c r="C8522" t="s">
        <v>168</v>
      </c>
      <c r="D8522">
        <v>203</v>
      </c>
      <c r="E8522" t="s">
        <v>466</v>
      </c>
    </row>
    <row r="8523" spans="1:5" x14ac:dyDescent="0.35">
      <c r="A8523">
        <v>2018</v>
      </c>
      <c r="B8523" t="s">
        <v>38</v>
      </c>
      <c r="C8523" t="s">
        <v>199</v>
      </c>
      <c r="D8523">
        <v>9</v>
      </c>
      <c r="E8523" t="s">
        <v>467</v>
      </c>
    </row>
    <row r="8524" spans="1:5" x14ac:dyDescent="0.35">
      <c r="A8524">
        <v>2018</v>
      </c>
      <c r="B8524" t="s">
        <v>35</v>
      </c>
      <c r="C8524" t="s">
        <v>216</v>
      </c>
      <c r="D8524">
        <v>24</v>
      </c>
      <c r="E8524" t="s">
        <v>466</v>
      </c>
    </row>
    <row r="8525" spans="1:5" x14ac:dyDescent="0.35">
      <c r="A8525">
        <v>2018</v>
      </c>
      <c r="B8525" t="s">
        <v>33</v>
      </c>
      <c r="C8525" t="s">
        <v>132</v>
      </c>
      <c r="D8525">
        <v>29</v>
      </c>
      <c r="E8525" t="s">
        <v>355</v>
      </c>
    </row>
    <row r="8526" spans="1:5" x14ac:dyDescent="0.35">
      <c r="A8526">
        <v>2018</v>
      </c>
      <c r="B8526" t="s">
        <v>34</v>
      </c>
      <c r="C8526" t="s">
        <v>178</v>
      </c>
      <c r="D8526">
        <v>331</v>
      </c>
      <c r="E8526" t="s">
        <v>466</v>
      </c>
    </row>
    <row r="8527" spans="1:5" x14ac:dyDescent="0.35">
      <c r="A8527">
        <v>2018</v>
      </c>
      <c r="B8527" t="s">
        <v>35</v>
      </c>
      <c r="C8527" t="s">
        <v>198</v>
      </c>
      <c r="D8527">
        <v>1360</v>
      </c>
      <c r="E8527" t="s">
        <v>467</v>
      </c>
    </row>
    <row r="8528" spans="1:5" x14ac:dyDescent="0.35">
      <c r="A8528">
        <v>2018</v>
      </c>
      <c r="B8528" t="s">
        <v>33</v>
      </c>
      <c r="C8528" t="s">
        <v>179</v>
      </c>
      <c r="D8528">
        <v>197</v>
      </c>
      <c r="E8528" t="s">
        <v>466</v>
      </c>
    </row>
    <row r="8529" spans="1:5" x14ac:dyDescent="0.35">
      <c r="A8529">
        <v>2018</v>
      </c>
      <c r="B8529" t="s">
        <v>34</v>
      </c>
      <c r="C8529" t="s">
        <v>144</v>
      </c>
      <c r="D8529">
        <v>17</v>
      </c>
      <c r="E8529" t="s">
        <v>355</v>
      </c>
    </row>
    <row r="8530" spans="1:5" x14ac:dyDescent="0.35">
      <c r="A8530">
        <v>2018</v>
      </c>
      <c r="B8530" t="s">
        <v>38</v>
      </c>
      <c r="C8530" t="s">
        <v>180</v>
      </c>
      <c r="D8530">
        <v>34</v>
      </c>
      <c r="E8530" t="s">
        <v>466</v>
      </c>
    </row>
    <row r="8531" spans="1:5" x14ac:dyDescent="0.35">
      <c r="A8531">
        <v>2018</v>
      </c>
      <c r="B8531" t="s">
        <v>34</v>
      </c>
      <c r="C8531" t="s">
        <v>197</v>
      </c>
      <c r="D8531">
        <v>27</v>
      </c>
      <c r="E8531" t="s">
        <v>467</v>
      </c>
    </row>
    <row r="8532" spans="1:5" x14ac:dyDescent="0.35">
      <c r="A8532">
        <v>2018</v>
      </c>
      <c r="B8532" t="s">
        <v>33</v>
      </c>
      <c r="C8532" t="s">
        <v>181</v>
      </c>
      <c r="D8532">
        <v>4</v>
      </c>
      <c r="E8532" t="s">
        <v>466</v>
      </c>
    </row>
    <row r="8533" spans="1:5" x14ac:dyDescent="0.35">
      <c r="A8533">
        <v>2018</v>
      </c>
      <c r="B8533" t="s">
        <v>33</v>
      </c>
      <c r="C8533" t="s">
        <v>125</v>
      </c>
      <c r="D8533">
        <v>109</v>
      </c>
      <c r="E8533" t="s">
        <v>355</v>
      </c>
    </row>
    <row r="8534" spans="1:5" x14ac:dyDescent="0.35">
      <c r="A8534">
        <v>2018</v>
      </c>
      <c r="B8534" t="s">
        <v>35</v>
      </c>
      <c r="C8534" t="s">
        <v>182</v>
      </c>
      <c r="D8534">
        <v>192</v>
      </c>
      <c r="E8534" t="s">
        <v>466</v>
      </c>
    </row>
    <row r="8535" spans="1:5" x14ac:dyDescent="0.35">
      <c r="A8535">
        <v>2018</v>
      </c>
      <c r="B8535" t="s">
        <v>35</v>
      </c>
      <c r="C8535" t="s">
        <v>196</v>
      </c>
      <c r="D8535">
        <v>200</v>
      </c>
      <c r="E8535" t="s">
        <v>467</v>
      </c>
    </row>
    <row r="8536" spans="1:5" x14ac:dyDescent="0.35">
      <c r="A8536">
        <v>2018</v>
      </c>
      <c r="B8536" t="s">
        <v>35</v>
      </c>
      <c r="C8536" t="s">
        <v>183</v>
      </c>
      <c r="D8536">
        <v>107</v>
      </c>
      <c r="E8536" t="s">
        <v>466</v>
      </c>
    </row>
    <row r="8537" spans="1:5" x14ac:dyDescent="0.35">
      <c r="A8537">
        <v>2018</v>
      </c>
      <c r="B8537" t="s">
        <v>34</v>
      </c>
      <c r="C8537" t="s">
        <v>124</v>
      </c>
      <c r="D8537">
        <v>23</v>
      </c>
      <c r="E8537" t="s">
        <v>328</v>
      </c>
    </row>
    <row r="8538" spans="1:5" x14ac:dyDescent="0.35">
      <c r="A8538">
        <v>2018</v>
      </c>
      <c r="B8538" t="s">
        <v>34</v>
      </c>
      <c r="C8538" t="s">
        <v>184</v>
      </c>
      <c r="D8538">
        <v>283</v>
      </c>
      <c r="E8538" t="s">
        <v>466</v>
      </c>
    </row>
    <row r="8539" spans="1:5" x14ac:dyDescent="0.35">
      <c r="A8539">
        <v>2018</v>
      </c>
      <c r="B8539" t="s">
        <v>35</v>
      </c>
      <c r="C8539" t="s">
        <v>177</v>
      </c>
      <c r="D8539">
        <v>1263</v>
      </c>
      <c r="E8539" t="s">
        <v>467</v>
      </c>
    </row>
    <row r="8540" spans="1:5" x14ac:dyDescent="0.35">
      <c r="A8540">
        <v>2018</v>
      </c>
      <c r="B8540" t="s">
        <v>34</v>
      </c>
      <c r="C8540" t="s">
        <v>185</v>
      </c>
      <c r="D8540">
        <v>460</v>
      </c>
      <c r="E8540" t="s">
        <v>466</v>
      </c>
    </row>
    <row r="8541" spans="1:5" x14ac:dyDescent="0.35">
      <c r="A8541">
        <v>2018</v>
      </c>
      <c r="B8541" t="s">
        <v>34</v>
      </c>
      <c r="C8541" t="s">
        <v>124</v>
      </c>
      <c r="D8541">
        <v>38</v>
      </c>
      <c r="E8541" t="s">
        <v>355</v>
      </c>
    </row>
    <row r="8542" spans="1:5" x14ac:dyDescent="0.35">
      <c r="A8542">
        <v>2018</v>
      </c>
      <c r="B8542" t="s">
        <v>35</v>
      </c>
      <c r="C8542" t="s">
        <v>177</v>
      </c>
      <c r="D8542">
        <v>1624</v>
      </c>
      <c r="E8542" t="s">
        <v>466</v>
      </c>
    </row>
    <row r="8543" spans="1:5" x14ac:dyDescent="0.35">
      <c r="A8543">
        <v>2018</v>
      </c>
      <c r="B8543" t="s">
        <v>33</v>
      </c>
      <c r="C8543" t="s">
        <v>195</v>
      </c>
      <c r="D8543">
        <v>31</v>
      </c>
      <c r="E8543" t="s">
        <v>467</v>
      </c>
    </row>
    <row r="8544" spans="1:5" x14ac:dyDescent="0.35">
      <c r="A8544">
        <v>2018</v>
      </c>
      <c r="B8544" t="s">
        <v>35</v>
      </c>
      <c r="C8544" t="s">
        <v>128</v>
      </c>
      <c r="E8544" t="s">
        <v>466</v>
      </c>
    </row>
    <row r="8545" spans="1:5" x14ac:dyDescent="0.35">
      <c r="A8545">
        <v>2018</v>
      </c>
      <c r="B8545" t="s">
        <v>35</v>
      </c>
      <c r="C8545" t="s">
        <v>123</v>
      </c>
      <c r="D8545">
        <v>9</v>
      </c>
      <c r="E8545" t="s">
        <v>328</v>
      </c>
    </row>
    <row r="8546" spans="1:5" x14ac:dyDescent="0.35">
      <c r="A8546">
        <v>2018</v>
      </c>
      <c r="B8546" t="s">
        <v>33</v>
      </c>
      <c r="C8546" t="s">
        <v>43</v>
      </c>
      <c r="D8546">
        <v>215</v>
      </c>
      <c r="E8546" t="s">
        <v>466</v>
      </c>
    </row>
    <row r="8547" spans="1:5" x14ac:dyDescent="0.35">
      <c r="A8547">
        <v>2018</v>
      </c>
      <c r="B8547" t="s">
        <v>34</v>
      </c>
      <c r="C8547" t="s">
        <v>193</v>
      </c>
      <c r="D8547">
        <v>123</v>
      </c>
      <c r="E8547" t="s">
        <v>467</v>
      </c>
    </row>
    <row r="8548" spans="1:5" x14ac:dyDescent="0.35">
      <c r="A8548">
        <v>2018</v>
      </c>
      <c r="B8548" t="s">
        <v>33</v>
      </c>
      <c r="C8548" t="s">
        <v>126</v>
      </c>
      <c r="D8548">
        <v>62</v>
      </c>
      <c r="E8548" t="s">
        <v>466</v>
      </c>
    </row>
    <row r="8549" spans="1:5" x14ac:dyDescent="0.35">
      <c r="A8549">
        <v>2018</v>
      </c>
      <c r="B8549" t="s">
        <v>35</v>
      </c>
      <c r="C8549" t="s">
        <v>123</v>
      </c>
      <c r="D8549">
        <v>8</v>
      </c>
      <c r="E8549" t="s">
        <v>355</v>
      </c>
    </row>
    <row r="8550" spans="1:5" x14ac:dyDescent="0.35">
      <c r="A8550">
        <v>2018</v>
      </c>
      <c r="B8550" t="s">
        <v>34</v>
      </c>
      <c r="C8550" t="s">
        <v>64</v>
      </c>
      <c r="D8550">
        <v>97</v>
      </c>
      <c r="E8550" t="s">
        <v>466</v>
      </c>
    </row>
    <row r="8551" spans="1:5" x14ac:dyDescent="0.35">
      <c r="A8551">
        <v>2018</v>
      </c>
      <c r="B8551" t="s">
        <v>33</v>
      </c>
      <c r="C8551" t="s">
        <v>192</v>
      </c>
      <c r="D8551">
        <v>134</v>
      </c>
      <c r="E8551" t="s">
        <v>467</v>
      </c>
    </row>
    <row r="8552" spans="1:5" x14ac:dyDescent="0.35">
      <c r="A8552">
        <v>2018</v>
      </c>
      <c r="B8552" t="s">
        <v>33</v>
      </c>
      <c r="C8552" t="s">
        <v>65</v>
      </c>
      <c r="D8552">
        <v>38</v>
      </c>
      <c r="E8552" t="s">
        <v>466</v>
      </c>
    </row>
    <row r="8553" spans="1:5" x14ac:dyDescent="0.35">
      <c r="A8553">
        <v>2018</v>
      </c>
      <c r="B8553" t="s">
        <v>34</v>
      </c>
      <c r="C8553" t="s">
        <v>122</v>
      </c>
      <c r="D8553">
        <v>5</v>
      </c>
      <c r="E8553" t="s">
        <v>328</v>
      </c>
    </row>
    <row r="8554" spans="1:5" x14ac:dyDescent="0.35">
      <c r="A8554">
        <v>2018</v>
      </c>
      <c r="B8554" t="s">
        <v>33</v>
      </c>
      <c r="C8554" t="s">
        <v>66</v>
      </c>
      <c r="D8554">
        <v>104</v>
      </c>
      <c r="E8554" t="s">
        <v>466</v>
      </c>
    </row>
    <row r="8555" spans="1:5" x14ac:dyDescent="0.35">
      <c r="A8555">
        <v>2018</v>
      </c>
      <c r="B8555" t="s">
        <v>36</v>
      </c>
      <c r="C8555" t="s">
        <v>191</v>
      </c>
      <c r="D8555">
        <v>46</v>
      </c>
      <c r="E8555" t="s">
        <v>467</v>
      </c>
    </row>
    <row r="8556" spans="1:5" x14ac:dyDescent="0.35">
      <c r="A8556">
        <v>2018</v>
      </c>
      <c r="B8556" t="s">
        <v>34</v>
      </c>
      <c r="C8556" t="s">
        <v>67</v>
      </c>
      <c r="D8556">
        <v>354</v>
      </c>
      <c r="E8556" t="s">
        <v>466</v>
      </c>
    </row>
    <row r="8557" spans="1:5" x14ac:dyDescent="0.35">
      <c r="A8557">
        <v>2018</v>
      </c>
      <c r="B8557" t="s">
        <v>34</v>
      </c>
      <c r="C8557" t="s">
        <v>122</v>
      </c>
      <c r="D8557">
        <v>4</v>
      </c>
      <c r="E8557" t="s">
        <v>355</v>
      </c>
    </row>
    <row r="8558" spans="1:5" x14ac:dyDescent="0.35">
      <c r="A8558">
        <v>2018</v>
      </c>
      <c r="B8558" t="s">
        <v>33</v>
      </c>
      <c r="C8558" t="s">
        <v>68</v>
      </c>
      <c r="D8558">
        <v>841</v>
      </c>
      <c r="E8558" t="s">
        <v>466</v>
      </c>
    </row>
    <row r="8559" spans="1:5" x14ac:dyDescent="0.35">
      <c r="A8559">
        <v>2018</v>
      </c>
      <c r="B8559" t="s">
        <v>37</v>
      </c>
      <c r="C8559" t="s">
        <v>190</v>
      </c>
      <c r="D8559">
        <v>7</v>
      </c>
      <c r="E8559" t="s">
        <v>467</v>
      </c>
    </row>
    <row r="8560" spans="1:5" x14ac:dyDescent="0.35">
      <c r="A8560">
        <v>2018</v>
      </c>
      <c r="B8560" t="s">
        <v>36</v>
      </c>
      <c r="C8560" t="s">
        <v>69</v>
      </c>
      <c r="D8560">
        <v>15719</v>
      </c>
      <c r="E8560" t="s">
        <v>466</v>
      </c>
    </row>
    <row r="8561" spans="1:5" x14ac:dyDescent="0.35">
      <c r="A8561">
        <v>2018</v>
      </c>
      <c r="B8561" t="s">
        <v>34</v>
      </c>
      <c r="C8561" t="s">
        <v>121</v>
      </c>
      <c r="D8561">
        <v>6</v>
      </c>
      <c r="E8561" t="s">
        <v>328</v>
      </c>
    </row>
    <row r="8562" spans="1:5" x14ac:dyDescent="0.35">
      <c r="A8562">
        <v>2018</v>
      </c>
      <c r="B8562" t="s">
        <v>33</v>
      </c>
      <c r="C8562" t="s">
        <v>70</v>
      </c>
      <c r="D8562">
        <v>12</v>
      </c>
      <c r="E8562" t="s">
        <v>466</v>
      </c>
    </row>
    <row r="8563" spans="1:5" x14ac:dyDescent="0.35">
      <c r="A8563">
        <v>2018</v>
      </c>
      <c r="B8563" t="s">
        <v>33</v>
      </c>
      <c r="C8563" t="s">
        <v>189</v>
      </c>
      <c r="D8563">
        <v>23</v>
      </c>
      <c r="E8563" t="s">
        <v>467</v>
      </c>
    </row>
    <row r="8564" spans="1:5" x14ac:dyDescent="0.35">
      <c r="A8564">
        <v>2018</v>
      </c>
      <c r="B8564" t="s">
        <v>33</v>
      </c>
      <c r="C8564" t="s">
        <v>71</v>
      </c>
      <c r="D8564">
        <v>24</v>
      </c>
      <c r="E8564" t="s">
        <v>466</v>
      </c>
    </row>
    <row r="8565" spans="1:5" x14ac:dyDescent="0.35">
      <c r="A8565">
        <v>2018</v>
      </c>
      <c r="B8565" t="s">
        <v>34</v>
      </c>
      <c r="C8565" t="s">
        <v>121</v>
      </c>
      <c r="D8565">
        <v>4</v>
      </c>
      <c r="E8565" t="s">
        <v>355</v>
      </c>
    </row>
    <row r="8566" spans="1:5" x14ac:dyDescent="0.35">
      <c r="A8566">
        <v>2018</v>
      </c>
      <c r="B8566" t="s">
        <v>38</v>
      </c>
      <c r="C8566" t="s">
        <v>72</v>
      </c>
      <c r="D8566">
        <v>698</v>
      </c>
      <c r="E8566" t="s">
        <v>466</v>
      </c>
    </row>
    <row r="8567" spans="1:5" x14ac:dyDescent="0.35">
      <c r="A8567">
        <v>2018</v>
      </c>
      <c r="B8567" t="s">
        <v>34</v>
      </c>
      <c r="C8567" t="s">
        <v>188</v>
      </c>
      <c r="D8567">
        <v>83</v>
      </c>
      <c r="E8567" t="s">
        <v>467</v>
      </c>
    </row>
    <row r="8568" spans="1:5" x14ac:dyDescent="0.35">
      <c r="A8568">
        <v>2018</v>
      </c>
      <c r="B8568" t="s">
        <v>33</v>
      </c>
      <c r="C8568" t="s">
        <v>63</v>
      </c>
      <c r="D8568">
        <v>114</v>
      </c>
      <c r="E8568" t="s">
        <v>466</v>
      </c>
    </row>
    <row r="8569" spans="1:5" x14ac:dyDescent="0.35">
      <c r="A8569">
        <v>2018</v>
      </c>
      <c r="B8569" t="s">
        <v>34</v>
      </c>
      <c r="C8569" t="s">
        <v>120</v>
      </c>
      <c r="D8569">
        <v>6</v>
      </c>
      <c r="E8569" t="s">
        <v>328</v>
      </c>
    </row>
    <row r="8570" spans="1:5" x14ac:dyDescent="0.35">
      <c r="A8570">
        <v>2018</v>
      </c>
      <c r="B8570" t="s">
        <v>34</v>
      </c>
      <c r="C8570" t="s">
        <v>73</v>
      </c>
      <c r="D8570">
        <v>5371</v>
      </c>
      <c r="E8570" t="s">
        <v>466</v>
      </c>
    </row>
    <row r="8571" spans="1:5" x14ac:dyDescent="0.35">
      <c r="A8571">
        <v>2018</v>
      </c>
      <c r="B8571" t="s">
        <v>33</v>
      </c>
      <c r="C8571" t="s">
        <v>187</v>
      </c>
      <c r="D8571">
        <v>13</v>
      </c>
      <c r="E8571" t="s">
        <v>467</v>
      </c>
    </row>
    <row r="8572" spans="1:5" x14ac:dyDescent="0.35">
      <c r="A8572">
        <v>2018</v>
      </c>
      <c r="B8572" t="s">
        <v>33</v>
      </c>
      <c r="C8572" t="s">
        <v>74</v>
      </c>
      <c r="D8572">
        <v>413</v>
      </c>
      <c r="E8572" t="s">
        <v>466</v>
      </c>
    </row>
    <row r="8573" spans="1:5" x14ac:dyDescent="0.35">
      <c r="A8573">
        <v>2018</v>
      </c>
      <c r="B8573" t="s">
        <v>34</v>
      </c>
      <c r="C8573" t="s">
        <v>120</v>
      </c>
      <c r="D8573">
        <v>14</v>
      </c>
      <c r="E8573" t="s">
        <v>355</v>
      </c>
    </row>
    <row r="8574" spans="1:5" x14ac:dyDescent="0.35">
      <c r="A8574">
        <v>2018</v>
      </c>
      <c r="B8574" t="s">
        <v>33</v>
      </c>
      <c r="C8574" t="s">
        <v>75</v>
      </c>
      <c r="D8574">
        <v>139</v>
      </c>
      <c r="E8574" t="s">
        <v>466</v>
      </c>
    </row>
    <row r="8575" spans="1:5" x14ac:dyDescent="0.35">
      <c r="A8575">
        <v>2018</v>
      </c>
      <c r="B8575" t="s">
        <v>34</v>
      </c>
      <c r="C8575" t="s">
        <v>185</v>
      </c>
      <c r="D8575">
        <v>395</v>
      </c>
      <c r="E8575" t="s">
        <v>467</v>
      </c>
    </row>
    <row r="8576" spans="1:5" x14ac:dyDescent="0.35">
      <c r="A8576">
        <v>2018</v>
      </c>
      <c r="B8576" t="s">
        <v>36</v>
      </c>
      <c r="C8576" t="s">
        <v>76</v>
      </c>
      <c r="D8576">
        <v>556</v>
      </c>
      <c r="E8576" t="s">
        <v>466</v>
      </c>
    </row>
    <row r="8577" spans="1:5" x14ac:dyDescent="0.35">
      <c r="A8577">
        <v>2018</v>
      </c>
      <c r="B8577" t="s">
        <v>35</v>
      </c>
      <c r="C8577" t="s">
        <v>119</v>
      </c>
      <c r="D8577">
        <v>8</v>
      </c>
      <c r="E8577" t="s">
        <v>328</v>
      </c>
    </row>
    <row r="8578" spans="1:5" x14ac:dyDescent="0.35">
      <c r="A8578">
        <v>2018</v>
      </c>
      <c r="B8578" t="s">
        <v>33</v>
      </c>
      <c r="C8578" t="s">
        <v>77</v>
      </c>
      <c r="D8578">
        <v>165</v>
      </c>
      <c r="E8578" t="s">
        <v>466</v>
      </c>
    </row>
    <row r="8579" spans="1:5" x14ac:dyDescent="0.35">
      <c r="A8579">
        <v>2018</v>
      </c>
      <c r="B8579" t="s">
        <v>34</v>
      </c>
      <c r="C8579" t="s">
        <v>184</v>
      </c>
      <c r="D8579">
        <v>210</v>
      </c>
      <c r="E8579" t="s">
        <v>467</v>
      </c>
    </row>
    <row r="8580" spans="1:5" x14ac:dyDescent="0.35">
      <c r="A8580">
        <v>2018</v>
      </c>
      <c r="B8580" t="s">
        <v>35</v>
      </c>
      <c r="C8580" t="s">
        <v>78</v>
      </c>
      <c r="D8580">
        <v>69</v>
      </c>
      <c r="E8580" t="s">
        <v>466</v>
      </c>
    </row>
    <row r="8581" spans="1:5" x14ac:dyDescent="0.35">
      <c r="A8581">
        <v>2018</v>
      </c>
      <c r="B8581" t="s">
        <v>35</v>
      </c>
      <c r="C8581" t="s">
        <v>119</v>
      </c>
      <c r="D8581">
        <v>5</v>
      </c>
      <c r="E8581" t="s">
        <v>355</v>
      </c>
    </row>
    <row r="8582" spans="1:5" x14ac:dyDescent="0.35">
      <c r="A8582">
        <v>2018</v>
      </c>
      <c r="B8582" t="s">
        <v>36</v>
      </c>
      <c r="C8582" t="s">
        <v>79</v>
      </c>
      <c r="D8582">
        <v>10065</v>
      </c>
      <c r="E8582" t="s">
        <v>466</v>
      </c>
    </row>
    <row r="8583" spans="1:5" x14ac:dyDescent="0.35">
      <c r="A8583">
        <v>2018</v>
      </c>
      <c r="B8583" t="s">
        <v>35</v>
      </c>
      <c r="C8583" t="s">
        <v>183</v>
      </c>
      <c r="D8583">
        <v>93</v>
      </c>
      <c r="E8583" t="s">
        <v>467</v>
      </c>
    </row>
    <row r="8584" spans="1:5" x14ac:dyDescent="0.35">
      <c r="A8584">
        <v>2018</v>
      </c>
      <c r="B8584" t="s">
        <v>34</v>
      </c>
      <c r="C8584" t="s">
        <v>80</v>
      </c>
      <c r="D8584">
        <v>12</v>
      </c>
      <c r="E8584" t="s">
        <v>466</v>
      </c>
    </row>
    <row r="8585" spans="1:5" x14ac:dyDescent="0.35">
      <c r="A8585">
        <v>2018</v>
      </c>
      <c r="B8585" t="s">
        <v>36</v>
      </c>
      <c r="C8585" t="s">
        <v>164</v>
      </c>
      <c r="D8585">
        <v>31</v>
      </c>
      <c r="E8585" t="s">
        <v>355</v>
      </c>
    </row>
    <row r="8586" spans="1:5" x14ac:dyDescent="0.35">
      <c r="A8586">
        <v>2018</v>
      </c>
      <c r="B8586" t="s">
        <v>35</v>
      </c>
      <c r="C8586" t="s">
        <v>81</v>
      </c>
      <c r="D8586">
        <v>219</v>
      </c>
      <c r="E8586" t="s">
        <v>466</v>
      </c>
    </row>
    <row r="8587" spans="1:5" x14ac:dyDescent="0.35">
      <c r="A8587">
        <v>2018</v>
      </c>
      <c r="B8587" t="s">
        <v>35</v>
      </c>
      <c r="C8587" t="s">
        <v>182</v>
      </c>
      <c r="D8587">
        <v>159</v>
      </c>
      <c r="E8587" t="s">
        <v>467</v>
      </c>
    </row>
    <row r="8588" spans="1:5" x14ac:dyDescent="0.35">
      <c r="A8588">
        <v>2018</v>
      </c>
      <c r="B8588" t="s">
        <v>35</v>
      </c>
      <c r="C8588" t="s">
        <v>214</v>
      </c>
      <c r="D8588">
        <v>6</v>
      </c>
      <c r="E8588" t="s">
        <v>466</v>
      </c>
    </row>
    <row r="8589" spans="1:5" x14ac:dyDescent="0.35">
      <c r="A8589">
        <v>2018</v>
      </c>
      <c r="B8589" t="s">
        <v>34</v>
      </c>
      <c r="C8589" t="s">
        <v>118</v>
      </c>
      <c r="D8589">
        <v>66</v>
      </c>
      <c r="E8589" t="s">
        <v>328</v>
      </c>
    </row>
    <row r="8590" spans="1:5" x14ac:dyDescent="0.35">
      <c r="A8590">
        <v>2018</v>
      </c>
      <c r="B8590" t="s">
        <v>38</v>
      </c>
      <c r="C8590" t="s">
        <v>20</v>
      </c>
      <c r="D8590">
        <v>4066</v>
      </c>
      <c r="E8590" t="s">
        <v>466</v>
      </c>
    </row>
    <row r="8591" spans="1:5" x14ac:dyDescent="0.35">
      <c r="A8591">
        <v>2018</v>
      </c>
      <c r="B8591" t="s">
        <v>33</v>
      </c>
      <c r="C8591" t="s">
        <v>179</v>
      </c>
      <c r="D8591">
        <v>27</v>
      </c>
      <c r="E8591" t="s">
        <v>467</v>
      </c>
    </row>
    <row r="8592" spans="1:5" x14ac:dyDescent="0.35">
      <c r="A8592">
        <v>2018</v>
      </c>
      <c r="B8592" t="s">
        <v>35</v>
      </c>
      <c r="C8592" t="s">
        <v>62</v>
      </c>
      <c r="D8592">
        <v>97</v>
      </c>
      <c r="E8592" t="s">
        <v>466</v>
      </c>
    </row>
    <row r="8593" spans="1:5" x14ac:dyDescent="0.35">
      <c r="A8593">
        <v>2018</v>
      </c>
      <c r="B8593" t="s">
        <v>33</v>
      </c>
      <c r="C8593" t="s">
        <v>125</v>
      </c>
      <c r="D8593">
        <v>9</v>
      </c>
      <c r="E8593" t="s">
        <v>328</v>
      </c>
    </row>
    <row r="8594" spans="1:5" x14ac:dyDescent="0.35">
      <c r="A8594">
        <v>2018</v>
      </c>
      <c r="B8594" t="s">
        <v>38</v>
      </c>
      <c r="C8594" t="s">
        <v>21</v>
      </c>
      <c r="D8594">
        <v>8555</v>
      </c>
      <c r="E8594" t="s">
        <v>466</v>
      </c>
    </row>
    <row r="8595" spans="1:5" x14ac:dyDescent="0.35">
      <c r="A8595">
        <v>2018</v>
      </c>
      <c r="B8595" t="s">
        <v>34</v>
      </c>
      <c r="C8595" t="s">
        <v>194</v>
      </c>
      <c r="D8595">
        <v>25</v>
      </c>
      <c r="E8595" t="s">
        <v>467</v>
      </c>
    </row>
    <row r="8596" spans="1:5" x14ac:dyDescent="0.35">
      <c r="A8596">
        <v>2018</v>
      </c>
      <c r="B8596" t="s">
        <v>33</v>
      </c>
      <c r="C8596" t="s">
        <v>61</v>
      </c>
      <c r="D8596">
        <v>8</v>
      </c>
      <c r="E8596" t="s">
        <v>466</v>
      </c>
    </row>
    <row r="8597" spans="1:5" x14ac:dyDescent="0.35">
      <c r="A8597">
        <v>2018</v>
      </c>
      <c r="B8597" t="s">
        <v>35</v>
      </c>
      <c r="C8597" t="s">
        <v>127</v>
      </c>
      <c r="D8597">
        <v>22</v>
      </c>
      <c r="E8597" t="s">
        <v>355</v>
      </c>
    </row>
    <row r="8598" spans="1:5" x14ac:dyDescent="0.35">
      <c r="A8598">
        <v>2018</v>
      </c>
      <c r="B8598" t="s">
        <v>34</v>
      </c>
      <c r="C8598" t="s">
        <v>40</v>
      </c>
      <c r="D8598">
        <v>133</v>
      </c>
      <c r="E8598" t="s">
        <v>466</v>
      </c>
    </row>
    <row r="8599" spans="1:5" x14ac:dyDescent="0.35">
      <c r="A8599">
        <v>2018</v>
      </c>
      <c r="B8599" t="s">
        <v>33</v>
      </c>
      <c r="C8599" t="s">
        <v>149</v>
      </c>
      <c r="D8599">
        <v>1090</v>
      </c>
      <c r="E8599" t="s">
        <v>467</v>
      </c>
    </row>
    <row r="8600" spans="1:5" x14ac:dyDescent="0.35">
      <c r="A8600">
        <v>2018</v>
      </c>
      <c r="B8600" t="s">
        <v>35</v>
      </c>
      <c r="C8600" t="s">
        <v>41</v>
      </c>
      <c r="D8600">
        <v>225</v>
      </c>
      <c r="E8600" t="s">
        <v>466</v>
      </c>
    </row>
    <row r="8601" spans="1:5" x14ac:dyDescent="0.35">
      <c r="A8601">
        <v>2018</v>
      </c>
      <c r="B8601" t="s">
        <v>35</v>
      </c>
      <c r="C8601" t="s">
        <v>127</v>
      </c>
      <c r="D8601">
        <v>24</v>
      </c>
      <c r="E8601" t="s">
        <v>328</v>
      </c>
    </row>
    <row r="8602" spans="1:5" x14ac:dyDescent="0.35">
      <c r="A8602">
        <v>2018</v>
      </c>
      <c r="B8602" t="s">
        <v>33</v>
      </c>
      <c r="C8602" t="s">
        <v>42</v>
      </c>
      <c r="D8602">
        <v>155</v>
      </c>
      <c r="E8602" t="s">
        <v>466</v>
      </c>
    </row>
    <row r="8603" spans="1:5" x14ac:dyDescent="0.35">
      <c r="A8603">
        <v>2018</v>
      </c>
      <c r="B8603" t="s">
        <v>34</v>
      </c>
      <c r="C8603" t="s">
        <v>115</v>
      </c>
      <c r="D8603">
        <v>274</v>
      </c>
      <c r="E8603" t="s">
        <v>467</v>
      </c>
    </row>
    <row r="8604" spans="1:5" x14ac:dyDescent="0.35">
      <c r="A8604">
        <v>2018</v>
      </c>
      <c r="C8604" t="s">
        <v>373</v>
      </c>
      <c r="D8604">
        <v>18</v>
      </c>
      <c r="E8604" t="s">
        <v>466</v>
      </c>
    </row>
    <row r="8605" spans="1:5" x14ac:dyDescent="0.35">
      <c r="A8605">
        <v>2018</v>
      </c>
      <c r="B8605" t="s">
        <v>34</v>
      </c>
      <c r="C8605" t="s">
        <v>131</v>
      </c>
      <c r="E8605" t="s">
        <v>355</v>
      </c>
    </row>
    <row r="8606" spans="1:5" x14ac:dyDescent="0.35">
      <c r="A8606">
        <v>2018</v>
      </c>
      <c r="B8606" t="s">
        <v>36</v>
      </c>
      <c r="C8606" t="s">
        <v>44</v>
      </c>
      <c r="D8606">
        <v>33</v>
      </c>
      <c r="E8606" t="s">
        <v>466</v>
      </c>
    </row>
    <row r="8607" spans="1:5" x14ac:dyDescent="0.35">
      <c r="A8607">
        <v>2018</v>
      </c>
      <c r="B8607" t="s">
        <v>36</v>
      </c>
      <c r="C8607" t="s">
        <v>147</v>
      </c>
      <c r="D8607">
        <v>92</v>
      </c>
      <c r="E8607" t="s">
        <v>467</v>
      </c>
    </row>
    <row r="8608" spans="1:5" x14ac:dyDescent="0.35">
      <c r="A8608">
        <v>2018</v>
      </c>
      <c r="B8608" t="s">
        <v>38</v>
      </c>
      <c r="C8608" t="s">
        <v>45</v>
      </c>
      <c r="D8608">
        <v>338</v>
      </c>
      <c r="E8608" t="s">
        <v>466</v>
      </c>
    </row>
    <row r="8609" spans="1:5" x14ac:dyDescent="0.35">
      <c r="A8609">
        <v>2018</v>
      </c>
      <c r="B8609" t="s">
        <v>33</v>
      </c>
      <c r="C8609" t="s">
        <v>141</v>
      </c>
      <c r="D8609">
        <v>11</v>
      </c>
      <c r="E8609" t="s">
        <v>328</v>
      </c>
    </row>
    <row r="8610" spans="1:5" x14ac:dyDescent="0.35">
      <c r="A8610">
        <v>2018</v>
      </c>
      <c r="B8610" t="s">
        <v>37</v>
      </c>
      <c r="C8610" t="s">
        <v>47</v>
      </c>
      <c r="D8610">
        <v>533</v>
      </c>
      <c r="E8610" t="s">
        <v>466</v>
      </c>
    </row>
    <row r="8611" spans="1:5" x14ac:dyDescent="0.35">
      <c r="A8611">
        <v>2018</v>
      </c>
      <c r="B8611" t="s">
        <v>33</v>
      </c>
      <c r="C8611" t="s">
        <v>68</v>
      </c>
      <c r="D8611">
        <v>102</v>
      </c>
      <c r="E8611" t="s">
        <v>467</v>
      </c>
    </row>
    <row r="8612" spans="1:5" x14ac:dyDescent="0.35">
      <c r="A8612">
        <v>2018</v>
      </c>
      <c r="B8612" t="s">
        <v>35</v>
      </c>
      <c r="C8612" t="s">
        <v>48</v>
      </c>
      <c r="D8612">
        <v>70</v>
      </c>
      <c r="E8612" t="s">
        <v>466</v>
      </c>
    </row>
    <row r="8613" spans="1:5" x14ac:dyDescent="0.35">
      <c r="A8613">
        <v>2018</v>
      </c>
      <c r="B8613" t="s">
        <v>33</v>
      </c>
      <c r="C8613" t="s">
        <v>141</v>
      </c>
      <c r="D8613">
        <v>44</v>
      </c>
      <c r="E8613" t="s">
        <v>355</v>
      </c>
    </row>
    <row r="8614" spans="1:5" x14ac:dyDescent="0.35">
      <c r="A8614">
        <v>2018</v>
      </c>
      <c r="B8614" t="s">
        <v>34</v>
      </c>
      <c r="C8614" t="s">
        <v>49</v>
      </c>
      <c r="D8614">
        <v>90</v>
      </c>
      <c r="E8614" t="s">
        <v>466</v>
      </c>
    </row>
    <row r="8615" spans="1:5" x14ac:dyDescent="0.35">
      <c r="A8615">
        <v>2018</v>
      </c>
      <c r="B8615" t="s">
        <v>36</v>
      </c>
      <c r="C8615" t="s">
        <v>69</v>
      </c>
      <c r="D8615">
        <v>14901</v>
      </c>
      <c r="E8615" t="s">
        <v>467</v>
      </c>
    </row>
    <row r="8616" spans="1:5" x14ac:dyDescent="0.35">
      <c r="A8616">
        <v>2018</v>
      </c>
      <c r="B8616" t="s">
        <v>35</v>
      </c>
      <c r="C8616" t="s">
        <v>127</v>
      </c>
      <c r="D8616">
        <v>147</v>
      </c>
      <c r="E8616" t="s">
        <v>466</v>
      </c>
    </row>
    <row r="8617" spans="1:5" x14ac:dyDescent="0.35">
      <c r="A8617">
        <v>2018</v>
      </c>
      <c r="B8617" t="s">
        <v>35</v>
      </c>
      <c r="C8617" t="s">
        <v>140</v>
      </c>
      <c r="D8617">
        <v>13</v>
      </c>
      <c r="E8617" t="s">
        <v>328</v>
      </c>
    </row>
    <row r="8618" spans="1:5" x14ac:dyDescent="0.35">
      <c r="A8618">
        <v>2018</v>
      </c>
      <c r="B8618" t="s">
        <v>36</v>
      </c>
      <c r="C8618" t="s">
        <v>50</v>
      </c>
      <c r="D8618">
        <v>476</v>
      </c>
      <c r="E8618" t="s">
        <v>466</v>
      </c>
    </row>
    <row r="8619" spans="1:5" x14ac:dyDescent="0.35">
      <c r="A8619">
        <v>2018</v>
      </c>
      <c r="B8619" t="s">
        <v>38</v>
      </c>
      <c r="C8619" t="s">
        <v>72</v>
      </c>
      <c r="D8619">
        <v>443</v>
      </c>
      <c r="E8619" t="s">
        <v>467</v>
      </c>
    </row>
    <row r="8620" spans="1:5" x14ac:dyDescent="0.35">
      <c r="A8620">
        <v>2018</v>
      </c>
      <c r="B8620" t="s">
        <v>34</v>
      </c>
      <c r="C8620" t="s">
        <v>51</v>
      </c>
      <c r="D8620">
        <v>10</v>
      </c>
      <c r="E8620" t="s">
        <v>466</v>
      </c>
    </row>
    <row r="8621" spans="1:5" x14ac:dyDescent="0.35">
      <c r="A8621">
        <v>2018</v>
      </c>
      <c r="B8621" t="s">
        <v>35</v>
      </c>
      <c r="C8621" t="s">
        <v>140</v>
      </c>
      <c r="D8621">
        <v>14</v>
      </c>
      <c r="E8621" t="s">
        <v>355</v>
      </c>
    </row>
    <row r="8622" spans="1:5" x14ac:dyDescent="0.35">
      <c r="A8622">
        <v>2018</v>
      </c>
      <c r="B8622" t="s">
        <v>34</v>
      </c>
      <c r="C8622" t="s">
        <v>52</v>
      </c>
      <c r="D8622">
        <v>1615</v>
      </c>
      <c r="E8622" t="s">
        <v>466</v>
      </c>
    </row>
    <row r="8623" spans="1:5" x14ac:dyDescent="0.35">
      <c r="A8623">
        <v>2018</v>
      </c>
      <c r="B8623" t="s">
        <v>34</v>
      </c>
      <c r="C8623" t="s">
        <v>73</v>
      </c>
      <c r="D8623">
        <v>1924</v>
      </c>
      <c r="E8623" t="s">
        <v>467</v>
      </c>
    </row>
    <row r="8624" spans="1:5" x14ac:dyDescent="0.35">
      <c r="A8624">
        <v>2018</v>
      </c>
      <c r="B8624" t="s">
        <v>36</v>
      </c>
      <c r="C8624" t="s">
        <v>53</v>
      </c>
      <c r="D8624">
        <v>50</v>
      </c>
      <c r="E8624" t="s">
        <v>466</v>
      </c>
    </row>
    <row r="8625" spans="1:5" x14ac:dyDescent="0.35">
      <c r="A8625">
        <v>2018</v>
      </c>
      <c r="B8625" t="s">
        <v>34</v>
      </c>
      <c r="C8625" t="s">
        <v>139</v>
      </c>
      <c r="D8625">
        <v>10</v>
      </c>
      <c r="E8625" t="s">
        <v>328</v>
      </c>
    </row>
    <row r="8626" spans="1:5" x14ac:dyDescent="0.35">
      <c r="A8626">
        <v>2018</v>
      </c>
      <c r="B8626" t="s">
        <v>35</v>
      </c>
      <c r="C8626" t="s">
        <v>54</v>
      </c>
      <c r="D8626">
        <v>76</v>
      </c>
      <c r="E8626" t="s">
        <v>466</v>
      </c>
    </row>
    <row r="8627" spans="1:5" x14ac:dyDescent="0.35">
      <c r="A8627">
        <v>2018</v>
      </c>
      <c r="B8627" t="s">
        <v>38</v>
      </c>
      <c r="C8627" t="s">
        <v>20</v>
      </c>
      <c r="D8627">
        <v>715</v>
      </c>
      <c r="E8627" t="s">
        <v>467</v>
      </c>
    </row>
    <row r="8628" spans="1:5" x14ac:dyDescent="0.35">
      <c r="A8628">
        <v>2018</v>
      </c>
      <c r="B8628" t="s">
        <v>35</v>
      </c>
      <c r="C8628" t="s">
        <v>55</v>
      </c>
      <c r="D8628">
        <v>174</v>
      </c>
      <c r="E8628" t="s">
        <v>466</v>
      </c>
    </row>
    <row r="8629" spans="1:5" x14ac:dyDescent="0.35">
      <c r="A8629">
        <v>2018</v>
      </c>
      <c r="B8629" t="s">
        <v>34</v>
      </c>
      <c r="C8629" t="s">
        <v>139</v>
      </c>
      <c r="D8629">
        <v>35</v>
      </c>
      <c r="E8629" t="s">
        <v>355</v>
      </c>
    </row>
    <row r="8630" spans="1:5" x14ac:dyDescent="0.35">
      <c r="A8630">
        <v>2018</v>
      </c>
      <c r="B8630" t="s">
        <v>36</v>
      </c>
      <c r="C8630" t="s">
        <v>56</v>
      </c>
      <c r="D8630">
        <v>293</v>
      </c>
      <c r="E8630" t="s">
        <v>466</v>
      </c>
    </row>
    <row r="8631" spans="1:5" x14ac:dyDescent="0.35">
      <c r="A8631">
        <v>2018</v>
      </c>
      <c r="B8631" t="s">
        <v>33</v>
      </c>
      <c r="C8631" t="s">
        <v>74</v>
      </c>
      <c r="D8631">
        <v>53</v>
      </c>
      <c r="E8631" t="s">
        <v>467</v>
      </c>
    </row>
    <row r="8632" spans="1:5" x14ac:dyDescent="0.35">
      <c r="A8632">
        <v>2018</v>
      </c>
      <c r="B8632" t="s">
        <v>33</v>
      </c>
      <c r="C8632" t="s">
        <v>57</v>
      </c>
      <c r="D8632">
        <v>60</v>
      </c>
      <c r="E8632" t="s">
        <v>466</v>
      </c>
    </row>
    <row r="8633" spans="1:5" x14ac:dyDescent="0.35">
      <c r="A8633">
        <v>2018</v>
      </c>
      <c r="B8633" t="s">
        <v>35</v>
      </c>
      <c r="C8633" t="s">
        <v>138</v>
      </c>
      <c r="D8633">
        <v>14</v>
      </c>
      <c r="E8633" t="s">
        <v>328</v>
      </c>
    </row>
    <row r="8634" spans="1:5" x14ac:dyDescent="0.35">
      <c r="A8634">
        <v>2018</v>
      </c>
      <c r="B8634" t="s">
        <v>34</v>
      </c>
      <c r="C8634" t="s">
        <v>58</v>
      </c>
      <c r="D8634">
        <v>26</v>
      </c>
      <c r="E8634" t="s">
        <v>466</v>
      </c>
    </row>
    <row r="8635" spans="1:5" x14ac:dyDescent="0.35">
      <c r="A8635">
        <v>2018</v>
      </c>
      <c r="B8635" t="s">
        <v>33</v>
      </c>
      <c r="C8635" t="s">
        <v>75</v>
      </c>
      <c r="D8635">
        <v>20</v>
      </c>
      <c r="E8635" t="s">
        <v>467</v>
      </c>
    </row>
    <row r="8636" spans="1:5" x14ac:dyDescent="0.35">
      <c r="A8636">
        <v>2018</v>
      </c>
      <c r="B8636" t="s">
        <v>38</v>
      </c>
      <c r="C8636" t="s">
        <v>59</v>
      </c>
      <c r="D8636">
        <v>231</v>
      </c>
      <c r="E8636" t="s">
        <v>466</v>
      </c>
    </row>
    <row r="8637" spans="1:5" x14ac:dyDescent="0.35">
      <c r="A8637">
        <v>2018</v>
      </c>
      <c r="B8637" t="s">
        <v>34</v>
      </c>
      <c r="C8637" t="s">
        <v>144</v>
      </c>
      <c r="D8637">
        <v>37</v>
      </c>
      <c r="E8637" t="s">
        <v>328</v>
      </c>
    </row>
    <row r="8638" spans="1:5" x14ac:dyDescent="0.35">
      <c r="A8638">
        <v>2018</v>
      </c>
      <c r="B8638" t="s">
        <v>35</v>
      </c>
      <c r="C8638" t="s">
        <v>60</v>
      </c>
      <c r="D8638">
        <v>117</v>
      </c>
      <c r="E8638" t="s">
        <v>466</v>
      </c>
    </row>
    <row r="8639" spans="1:5" x14ac:dyDescent="0.35">
      <c r="A8639">
        <v>2018</v>
      </c>
      <c r="B8639" t="s">
        <v>36</v>
      </c>
      <c r="C8639" t="s">
        <v>76</v>
      </c>
      <c r="D8639">
        <v>93</v>
      </c>
      <c r="E8639" t="s">
        <v>467</v>
      </c>
    </row>
    <row r="8640" spans="1:5" x14ac:dyDescent="0.35">
      <c r="A8640">
        <v>2018</v>
      </c>
      <c r="B8640" t="s">
        <v>35</v>
      </c>
      <c r="C8640" t="s">
        <v>82</v>
      </c>
      <c r="D8640">
        <v>64</v>
      </c>
      <c r="E8640" t="s">
        <v>466</v>
      </c>
    </row>
    <row r="8641" spans="1:5" x14ac:dyDescent="0.35">
      <c r="A8641">
        <v>2018</v>
      </c>
      <c r="B8641" t="s">
        <v>35</v>
      </c>
      <c r="C8641" t="s">
        <v>138</v>
      </c>
      <c r="D8641">
        <v>29</v>
      </c>
      <c r="E8641" t="s">
        <v>355</v>
      </c>
    </row>
    <row r="8642" spans="1:5" x14ac:dyDescent="0.35">
      <c r="A8642">
        <v>2018</v>
      </c>
      <c r="B8642" t="s">
        <v>33</v>
      </c>
      <c r="C8642" t="s">
        <v>83</v>
      </c>
      <c r="D8642">
        <v>11</v>
      </c>
      <c r="E8642" t="s">
        <v>466</v>
      </c>
    </row>
    <row r="8643" spans="1:5" x14ac:dyDescent="0.35">
      <c r="A8643">
        <v>2018</v>
      </c>
      <c r="B8643" t="s">
        <v>33</v>
      </c>
      <c r="C8643" t="s">
        <v>77</v>
      </c>
      <c r="D8643">
        <v>54</v>
      </c>
      <c r="E8643" t="s">
        <v>467</v>
      </c>
    </row>
    <row r="8644" spans="1:5" x14ac:dyDescent="0.35">
      <c r="A8644">
        <v>2018</v>
      </c>
      <c r="B8644" t="s">
        <v>34</v>
      </c>
      <c r="C8644" t="s">
        <v>46</v>
      </c>
      <c r="D8644">
        <v>709</v>
      </c>
      <c r="E8644" t="s">
        <v>466</v>
      </c>
    </row>
    <row r="8645" spans="1:5" x14ac:dyDescent="0.35">
      <c r="A8645">
        <v>2018</v>
      </c>
      <c r="B8645" t="s">
        <v>36</v>
      </c>
      <c r="C8645" t="s">
        <v>14</v>
      </c>
      <c r="D8645">
        <v>117883</v>
      </c>
      <c r="E8645" t="s">
        <v>328</v>
      </c>
    </row>
    <row r="8646" spans="1:5" x14ac:dyDescent="0.35">
      <c r="A8646">
        <v>2018</v>
      </c>
      <c r="B8646" t="s">
        <v>36</v>
      </c>
      <c r="C8646" t="s">
        <v>85</v>
      </c>
      <c r="D8646">
        <v>3581</v>
      </c>
      <c r="E8646" t="s">
        <v>466</v>
      </c>
    </row>
    <row r="8647" spans="1:5" x14ac:dyDescent="0.35">
      <c r="A8647">
        <v>2018</v>
      </c>
      <c r="B8647" t="s">
        <v>35</v>
      </c>
      <c r="C8647" t="s">
        <v>78</v>
      </c>
      <c r="D8647">
        <v>39</v>
      </c>
      <c r="E8647" t="s">
        <v>467</v>
      </c>
    </row>
    <row r="8648" spans="1:5" x14ac:dyDescent="0.35">
      <c r="A8648">
        <v>2018</v>
      </c>
      <c r="B8648" t="s">
        <v>34</v>
      </c>
      <c r="C8648" t="s">
        <v>22</v>
      </c>
      <c r="D8648">
        <v>12722</v>
      </c>
      <c r="E8648" t="s">
        <v>466</v>
      </c>
    </row>
    <row r="8649" spans="1:5" x14ac:dyDescent="0.35">
      <c r="A8649">
        <v>2018</v>
      </c>
      <c r="B8649" t="s">
        <v>36</v>
      </c>
      <c r="C8649" t="s">
        <v>14</v>
      </c>
      <c r="D8649">
        <v>90180</v>
      </c>
      <c r="E8649" t="s">
        <v>355</v>
      </c>
    </row>
    <row r="8650" spans="1:5" x14ac:dyDescent="0.35">
      <c r="A8650">
        <v>2018</v>
      </c>
      <c r="B8650" t="s">
        <v>34</v>
      </c>
      <c r="C8650" t="s">
        <v>107</v>
      </c>
      <c r="D8650">
        <v>237</v>
      </c>
      <c r="E8650" t="s">
        <v>466</v>
      </c>
    </row>
    <row r="8651" spans="1:5" x14ac:dyDescent="0.35">
      <c r="A8651">
        <v>2018</v>
      </c>
      <c r="B8651" t="s">
        <v>34</v>
      </c>
      <c r="C8651" t="s">
        <v>67</v>
      </c>
      <c r="D8651">
        <v>5</v>
      </c>
      <c r="E8651" t="s">
        <v>467</v>
      </c>
    </row>
    <row r="8652" spans="1:5" x14ac:dyDescent="0.35">
      <c r="A8652">
        <v>2018</v>
      </c>
      <c r="B8652" t="s">
        <v>34</v>
      </c>
      <c r="C8652" t="s">
        <v>108</v>
      </c>
      <c r="D8652">
        <v>1000</v>
      </c>
      <c r="E8652" t="s">
        <v>466</v>
      </c>
    </row>
    <row r="8653" spans="1:5" x14ac:dyDescent="0.35">
      <c r="A8653">
        <v>2018</v>
      </c>
      <c r="B8653" t="s">
        <v>33</v>
      </c>
      <c r="C8653" t="s">
        <v>135</v>
      </c>
      <c r="D8653">
        <v>61</v>
      </c>
      <c r="E8653" t="s">
        <v>328</v>
      </c>
    </row>
    <row r="8654" spans="1:5" x14ac:dyDescent="0.35">
      <c r="A8654">
        <v>2018</v>
      </c>
      <c r="B8654" t="s">
        <v>34</v>
      </c>
      <c r="C8654" t="s">
        <v>109</v>
      </c>
      <c r="D8654">
        <v>335</v>
      </c>
      <c r="E8654" t="s">
        <v>466</v>
      </c>
    </row>
    <row r="8655" spans="1:5" x14ac:dyDescent="0.35">
      <c r="A8655">
        <v>2018</v>
      </c>
      <c r="B8655" t="s">
        <v>36</v>
      </c>
      <c r="C8655" t="s">
        <v>79</v>
      </c>
      <c r="D8655">
        <v>110</v>
      </c>
      <c r="E8655" t="s">
        <v>467</v>
      </c>
    </row>
    <row r="8656" spans="1:5" x14ac:dyDescent="0.35">
      <c r="A8656">
        <v>2018</v>
      </c>
      <c r="B8656" t="s">
        <v>35</v>
      </c>
      <c r="C8656" t="s">
        <v>110</v>
      </c>
      <c r="D8656">
        <v>578</v>
      </c>
      <c r="E8656" t="s">
        <v>466</v>
      </c>
    </row>
    <row r="8657" spans="1:5" x14ac:dyDescent="0.35">
      <c r="A8657">
        <v>2018</v>
      </c>
      <c r="B8657" t="s">
        <v>33</v>
      </c>
      <c r="C8657" t="s">
        <v>135</v>
      </c>
      <c r="D8657">
        <v>38</v>
      </c>
      <c r="E8657" t="s">
        <v>355</v>
      </c>
    </row>
    <row r="8658" spans="1:5" x14ac:dyDescent="0.35">
      <c r="A8658">
        <v>2018</v>
      </c>
      <c r="B8658" t="s">
        <v>34</v>
      </c>
      <c r="C8658" t="s">
        <v>111</v>
      </c>
      <c r="D8658">
        <v>610</v>
      </c>
      <c r="E8658" t="s">
        <v>466</v>
      </c>
    </row>
    <row r="8659" spans="1:5" x14ac:dyDescent="0.35">
      <c r="A8659">
        <v>2018</v>
      </c>
      <c r="B8659" t="s">
        <v>35</v>
      </c>
      <c r="C8659" t="s">
        <v>81</v>
      </c>
      <c r="D8659">
        <v>125</v>
      </c>
      <c r="E8659" t="s">
        <v>467</v>
      </c>
    </row>
    <row r="8660" spans="1:5" x14ac:dyDescent="0.35">
      <c r="A8660">
        <v>2018</v>
      </c>
      <c r="B8660" t="s">
        <v>35</v>
      </c>
      <c r="C8660" t="s">
        <v>112</v>
      </c>
      <c r="D8660">
        <v>945</v>
      </c>
      <c r="E8660" t="s">
        <v>466</v>
      </c>
    </row>
    <row r="8661" spans="1:5" x14ac:dyDescent="0.35">
      <c r="A8661">
        <v>2018</v>
      </c>
      <c r="B8661" t="s">
        <v>37</v>
      </c>
      <c r="C8661" t="s">
        <v>134</v>
      </c>
      <c r="D8661">
        <v>38</v>
      </c>
      <c r="E8661" t="s">
        <v>355</v>
      </c>
    </row>
    <row r="8662" spans="1:5" x14ac:dyDescent="0.35">
      <c r="A8662">
        <v>2018</v>
      </c>
      <c r="B8662" t="s">
        <v>36</v>
      </c>
      <c r="C8662" t="s">
        <v>113</v>
      </c>
      <c r="D8662">
        <v>2018</v>
      </c>
      <c r="E8662" t="s">
        <v>466</v>
      </c>
    </row>
    <row r="8663" spans="1:5" x14ac:dyDescent="0.35">
      <c r="A8663">
        <v>2018</v>
      </c>
      <c r="B8663" t="s">
        <v>35</v>
      </c>
      <c r="C8663" t="s">
        <v>82</v>
      </c>
      <c r="D8663">
        <v>53</v>
      </c>
      <c r="E8663" t="s">
        <v>467</v>
      </c>
    </row>
    <row r="8664" spans="1:5" x14ac:dyDescent="0.35">
      <c r="A8664">
        <v>2018</v>
      </c>
      <c r="B8664" t="s">
        <v>34</v>
      </c>
      <c r="C8664" t="s">
        <v>114</v>
      </c>
      <c r="D8664">
        <v>342</v>
      </c>
      <c r="E8664" t="s">
        <v>466</v>
      </c>
    </row>
    <row r="8665" spans="1:5" x14ac:dyDescent="0.35">
      <c r="A8665">
        <v>2018</v>
      </c>
      <c r="B8665" t="s">
        <v>33</v>
      </c>
      <c r="C8665" t="s">
        <v>132</v>
      </c>
      <c r="D8665">
        <v>33</v>
      </c>
      <c r="E8665" t="s">
        <v>328</v>
      </c>
    </row>
    <row r="8666" spans="1:5" x14ac:dyDescent="0.35">
      <c r="A8666">
        <v>2018</v>
      </c>
      <c r="B8666" t="s">
        <v>35</v>
      </c>
      <c r="C8666" t="s">
        <v>106</v>
      </c>
      <c r="D8666">
        <v>16</v>
      </c>
      <c r="E8666" t="s">
        <v>466</v>
      </c>
    </row>
    <row r="8667" spans="1:5" x14ac:dyDescent="0.35">
      <c r="A8667">
        <v>2018</v>
      </c>
      <c r="B8667" t="s">
        <v>36</v>
      </c>
      <c r="C8667" t="s">
        <v>84</v>
      </c>
      <c r="D8667">
        <v>9</v>
      </c>
      <c r="E8667" t="s">
        <v>467</v>
      </c>
    </row>
    <row r="8668" spans="1:5" x14ac:dyDescent="0.35">
      <c r="A8668">
        <v>2018</v>
      </c>
      <c r="B8668" t="s">
        <v>34</v>
      </c>
      <c r="C8668" t="s">
        <v>115</v>
      </c>
      <c r="D8668">
        <v>667</v>
      </c>
      <c r="E8668" t="s">
        <v>466</v>
      </c>
    </row>
    <row r="8669" spans="1:5" x14ac:dyDescent="0.35">
      <c r="A8669">
        <v>2018</v>
      </c>
      <c r="B8669" t="s">
        <v>34</v>
      </c>
      <c r="C8669" t="s">
        <v>131</v>
      </c>
      <c r="E8669" t="s">
        <v>328</v>
      </c>
    </row>
    <row r="8670" spans="1:5" x14ac:dyDescent="0.35">
      <c r="A8670">
        <v>2018</v>
      </c>
      <c r="B8670" t="s">
        <v>33</v>
      </c>
      <c r="C8670" t="s">
        <v>117</v>
      </c>
      <c r="D8670">
        <v>410</v>
      </c>
      <c r="E8670" t="s">
        <v>466</v>
      </c>
    </row>
    <row r="8671" spans="1:5" x14ac:dyDescent="0.35">
      <c r="A8671">
        <v>2018</v>
      </c>
      <c r="B8671" t="s">
        <v>36</v>
      </c>
      <c r="C8671" t="s">
        <v>85</v>
      </c>
      <c r="D8671">
        <v>503</v>
      </c>
      <c r="E8671" t="s">
        <v>467</v>
      </c>
    </row>
    <row r="8672" spans="1:5" x14ac:dyDescent="0.35">
      <c r="A8672">
        <v>2018</v>
      </c>
      <c r="B8672" t="s">
        <v>34</v>
      </c>
      <c r="C8672" t="s">
        <v>118</v>
      </c>
      <c r="D8672">
        <v>1205</v>
      </c>
      <c r="E8672" t="s">
        <v>466</v>
      </c>
    </row>
    <row r="8673" spans="1:5" x14ac:dyDescent="0.35">
      <c r="A8673">
        <v>2018</v>
      </c>
      <c r="B8673" t="s">
        <v>37</v>
      </c>
      <c r="C8673" t="s">
        <v>137</v>
      </c>
      <c r="D8673">
        <v>97</v>
      </c>
      <c r="E8673" t="s">
        <v>355</v>
      </c>
    </row>
    <row r="8674" spans="1:5" x14ac:dyDescent="0.35">
      <c r="A8674">
        <v>2018</v>
      </c>
      <c r="B8674" t="s">
        <v>35</v>
      </c>
      <c r="C8674" t="s">
        <v>119</v>
      </c>
      <c r="D8674">
        <v>81</v>
      </c>
      <c r="E8674" t="s">
        <v>466</v>
      </c>
    </row>
    <row r="8675" spans="1:5" x14ac:dyDescent="0.35">
      <c r="A8675">
        <v>2018</v>
      </c>
      <c r="B8675" t="s">
        <v>38</v>
      </c>
      <c r="C8675" t="s">
        <v>86</v>
      </c>
      <c r="D8675">
        <v>251</v>
      </c>
      <c r="E8675" t="s">
        <v>467</v>
      </c>
    </row>
    <row r="8676" spans="1:5" x14ac:dyDescent="0.35">
      <c r="A8676">
        <v>2018</v>
      </c>
      <c r="B8676" t="s">
        <v>34</v>
      </c>
      <c r="C8676" t="s">
        <v>120</v>
      </c>
      <c r="D8676">
        <v>95</v>
      </c>
      <c r="E8676" t="s">
        <v>466</v>
      </c>
    </row>
    <row r="8677" spans="1:5" x14ac:dyDescent="0.35">
      <c r="A8677">
        <v>2018</v>
      </c>
      <c r="B8677" t="s">
        <v>36</v>
      </c>
      <c r="C8677" t="s">
        <v>164</v>
      </c>
      <c r="D8677">
        <v>4</v>
      </c>
      <c r="E8677" t="s">
        <v>328</v>
      </c>
    </row>
    <row r="8678" spans="1:5" x14ac:dyDescent="0.35">
      <c r="A8678">
        <v>2018</v>
      </c>
      <c r="B8678" t="s">
        <v>34</v>
      </c>
      <c r="C8678" t="s">
        <v>121</v>
      </c>
      <c r="D8678">
        <v>198</v>
      </c>
      <c r="E8678" t="s">
        <v>466</v>
      </c>
    </row>
    <row r="8679" spans="1:5" x14ac:dyDescent="0.35">
      <c r="A8679">
        <v>2018</v>
      </c>
      <c r="B8679" t="s">
        <v>33</v>
      </c>
      <c r="C8679" t="s">
        <v>87</v>
      </c>
      <c r="D8679">
        <v>238</v>
      </c>
      <c r="E8679" t="s">
        <v>467</v>
      </c>
    </row>
    <row r="8680" spans="1:5" x14ac:dyDescent="0.35">
      <c r="A8680">
        <v>2018</v>
      </c>
      <c r="B8680" t="s">
        <v>35</v>
      </c>
      <c r="C8680" t="s">
        <v>123</v>
      </c>
      <c r="D8680">
        <v>58</v>
      </c>
      <c r="E8680" t="s">
        <v>466</v>
      </c>
    </row>
    <row r="8681" spans="1:5" x14ac:dyDescent="0.35">
      <c r="A8681">
        <v>2018</v>
      </c>
      <c r="B8681" t="s">
        <v>34</v>
      </c>
      <c r="C8681" t="s">
        <v>186</v>
      </c>
      <c r="D8681">
        <v>4</v>
      </c>
      <c r="E8681" t="s">
        <v>328</v>
      </c>
    </row>
    <row r="8682" spans="1:5" x14ac:dyDescent="0.35">
      <c r="A8682">
        <v>2018</v>
      </c>
      <c r="B8682" t="s">
        <v>34</v>
      </c>
      <c r="C8682" t="s">
        <v>124</v>
      </c>
      <c r="D8682">
        <v>247</v>
      </c>
      <c r="E8682" t="s">
        <v>466</v>
      </c>
    </row>
    <row r="8683" spans="1:5" x14ac:dyDescent="0.35">
      <c r="A8683">
        <v>2018</v>
      </c>
      <c r="B8683" t="s">
        <v>36</v>
      </c>
      <c r="C8683" t="s">
        <v>16</v>
      </c>
      <c r="D8683">
        <v>758</v>
      </c>
      <c r="E8683" t="s">
        <v>467</v>
      </c>
    </row>
    <row r="8684" spans="1:5" x14ac:dyDescent="0.35">
      <c r="A8684">
        <v>2018</v>
      </c>
      <c r="B8684" t="s">
        <v>33</v>
      </c>
      <c r="C8684" t="s">
        <v>125</v>
      </c>
      <c r="D8684">
        <v>264</v>
      </c>
      <c r="E8684" t="s">
        <v>466</v>
      </c>
    </row>
    <row r="8685" spans="1:5" x14ac:dyDescent="0.35">
      <c r="A8685">
        <v>2018</v>
      </c>
      <c r="B8685" t="s">
        <v>36</v>
      </c>
      <c r="C8685" t="s">
        <v>165</v>
      </c>
      <c r="E8685" t="s">
        <v>328</v>
      </c>
    </row>
    <row r="8686" spans="1:5" x14ac:dyDescent="0.35">
      <c r="A8686">
        <v>2018</v>
      </c>
      <c r="B8686" t="s">
        <v>36</v>
      </c>
      <c r="C8686" t="s">
        <v>84</v>
      </c>
      <c r="D8686">
        <v>48</v>
      </c>
      <c r="E8686" t="s">
        <v>466</v>
      </c>
    </row>
    <row r="8687" spans="1:5" x14ac:dyDescent="0.35">
      <c r="A8687">
        <v>2018</v>
      </c>
      <c r="B8687" t="s">
        <v>33</v>
      </c>
      <c r="C8687" t="s">
        <v>148</v>
      </c>
      <c r="D8687">
        <v>12</v>
      </c>
      <c r="E8687" t="s">
        <v>467</v>
      </c>
    </row>
    <row r="8688" spans="1:5" x14ac:dyDescent="0.35">
      <c r="A8688">
        <v>2018</v>
      </c>
      <c r="B8688" t="s">
        <v>34</v>
      </c>
      <c r="C8688" t="s">
        <v>116</v>
      </c>
      <c r="D8688">
        <v>153</v>
      </c>
      <c r="E8688" t="s">
        <v>466</v>
      </c>
    </row>
    <row r="8689" spans="1:5" x14ac:dyDescent="0.35">
      <c r="A8689">
        <v>2018</v>
      </c>
      <c r="B8689" t="s">
        <v>35</v>
      </c>
      <c r="C8689" t="s">
        <v>196</v>
      </c>
      <c r="D8689">
        <v>95</v>
      </c>
      <c r="E8689" t="s">
        <v>355</v>
      </c>
    </row>
    <row r="8690" spans="1:5" x14ac:dyDescent="0.35">
      <c r="A8690">
        <v>2018</v>
      </c>
      <c r="B8690" t="s">
        <v>35</v>
      </c>
      <c r="C8690" t="s">
        <v>105</v>
      </c>
      <c r="D8690">
        <v>306</v>
      </c>
      <c r="E8690" t="s">
        <v>466</v>
      </c>
    </row>
    <row r="8691" spans="1:5" x14ac:dyDescent="0.35">
      <c r="A8691">
        <v>2018</v>
      </c>
      <c r="B8691" t="s">
        <v>33</v>
      </c>
      <c r="C8691" t="s">
        <v>89</v>
      </c>
      <c r="D8691">
        <v>21</v>
      </c>
      <c r="E8691" t="s">
        <v>467</v>
      </c>
    </row>
    <row r="8692" spans="1:5" x14ac:dyDescent="0.35">
      <c r="A8692">
        <v>2018</v>
      </c>
      <c r="B8692" t="s">
        <v>34</v>
      </c>
      <c r="C8692" t="s">
        <v>122</v>
      </c>
      <c r="D8692">
        <v>191</v>
      </c>
      <c r="E8692" t="s">
        <v>466</v>
      </c>
    </row>
    <row r="8693" spans="1:5" x14ac:dyDescent="0.35">
      <c r="A8693">
        <v>2018</v>
      </c>
      <c r="B8693" t="s">
        <v>33</v>
      </c>
      <c r="C8693" t="s">
        <v>195</v>
      </c>
      <c r="D8693">
        <v>6</v>
      </c>
      <c r="E8693" t="s">
        <v>328</v>
      </c>
    </row>
    <row r="8694" spans="1:5" x14ac:dyDescent="0.35">
      <c r="A8694">
        <v>2018</v>
      </c>
      <c r="B8694" t="s">
        <v>36</v>
      </c>
      <c r="C8694" t="s">
        <v>104</v>
      </c>
      <c r="D8694">
        <v>1478</v>
      </c>
      <c r="E8694" t="s">
        <v>466</v>
      </c>
    </row>
    <row r="8695" spans="1:5" x14ac:dyDescent="0.35">
      <c r="A8695">
        <v>2018</v>
      </c>
      <c r="B8695" t="s">
        <v>35</v>
      </c>
      <c r="C8695" t="s">
        <v>90</v>
      </c>
      <c r="D8695">
        <v>40</v>
      </c>
      <c r="E8695" t="s">
        <v>467</v>
      </c>
    </row>
    <row r="8696" spans="1:5" x14ac:dyDescent="0.35">
      <c r="A8696">
        <v>2018</v>
      </c>
      <c r="B8696" t="s">
        <v>36</v>
      </c>
      <c r="C8696" t="s">
        <v>17</v>
      </c>
      <c r="D8696">
        <v>103533</v>
      </c>
      <c r="E8696" t="s">
        <v>466</v>
      </c>
    </row>
    <row r="8697" spans="1:5" x14ac:dyDescent="0.35">
      <c r="A8697">
        <v>2018</v>
      </c>
      <c r="B8697" t="s">
        <v>33</v>
      </c>
      <c r="C8697" t="s">
        <v>195</v>
      </c>
      <c r="D8697">
        <v>20</v>
      </c>
      <c r="E8697" t="s">
        <v>355</v>
      </c>
    </row>
    <row r="8698" spans="1:5" x14ac:dyDescent="0.35">
      <c r="A8698">
        <v>2018</v>
      </c>
      <c r="B8698" t="s">
        <v>33</v>
      </c>
      <c r="C8698" t="s">
        <v>87</v>
      </c>
      <c r="D8698">
        <v>476</v>
      </c>
      <c r="E8698" t="s">
        <v>466</v>
      </c>
    </row>
    <row r="8699" spans="1:5" x14ac:dyDescent="0.35">
      <c r="A8699">
        <v>2018</v>
      </c>
      <c r="B8699" t="s">
        <v>34</v>
      </c>
      <c r="C8699" t="s">
        <v>80</v>
      </c>
      <c r="D8699">
        <v>9</v>
      </c>
      <c r="E8699" t="s">
        <v>467</v>
      </c>
    </row>
    <row r="8700" spans="1:5" x14ac:dyDescent="0.35">
      <c r="A8700">
        <v>2018</v>
      </c>
      <c r="B8700" t="s">
        <v>36</v>
      </c>
      <c r="C8700" t="s">
        <v>16</v>
      </c>
      <c r="D8700">
        <v>47993</v>
      </c>
      <c r="E8700" t="s">
        <v>466</v>
      </c>
    </row>
    <row r="8701" spans="1:5" x14ac:dyDescent="0.35">
      <c r="A8701">
        <v>2018</v>
      </c>
      <c r="B8701" t="s">
        <v>34</v>
      </c>
      <c r="C8701" t="s">
        <v>194</v>
      </c>
      <c r="E8701" t="s">
        <v>328</v>
      </c>
    </row>
    <row r="8702" spans="1:5" x14ac:dyDescent="0.35">
      <c r="A8702">
        <v>2018</v>
      </c>
      <c r="B8702" t="s">
        <v>33</v>
      </c>
      <c r="C8702" t="s">
        <v>89</v>
      </c>
      <c r="D8702">
        <v>593</v>
      </c>
      <c r="E8702" t="s">
        <v>466</v>
      </c>
    </row>
    <row r="8703" spans="1:5" x14ac:dyDescent="0.35">
      <c r="A8703">
        <v>2018</v>
      </c>
      <c r="B8703" t="s">
        <v>33</v>
      </c>
      <c r="C8703" t="s">
        <v>91</v>
      </c>
      <c r="D8703">
        <v>35</v>
      </c>
      <c r="E8703" t="s">
        <v>467</v>
      </c>
    </row>
    <row r="8704" spans="1:5" x14ac:dyDescent="0.35">
      <c r="A8704">
        <v>2018</v>
      </c>
      <c r="B8704" t="s">
        <v>35</v>
      </c>
      <c r="C8704" t="s">
        <v>90</v>
      </c>
      <c r="D8704">
        <v>55</v>
      </c>
      <c r="E8704" t="s">
        <v>466</v>
      </c>
    </row>
    <row r="8705" spans="1:5" x14ac:dyDescent="0.35">
      <c r="A8705">
        <v>2018</v>
      </c>
      <c r="B8705" t="s">
        <v>34</v>
      </c>
      <c r="C8705" t="s">
        <v>194</v>
      </c>
      <c r="E8705" t="s">
        <v>355</v>
      </c>
    </row>
    <row r="8706" spans="1:5" x14ac:dyDescent="0.35">
      <c r="A8706">
        <v>2018</v>
      </c>
      <c r="B8706" t="s">
        <v>33</v>
      </c>
      <c r="C8706" t="s">
        <v>91</v>
      </c>
      <c r="D8706">
        <v>180</v>
      </c>
      <c r="E8706" t="s">
        <v>466</v>
      </c>
    </row>
    <row r="8707" spans="1:5" x14ac:dyDescent="0.35">
      <c r="A8707">
        <v>2018</v>
      </c>
      <c r="B8707" t="s">
        <v>33</v>
      </c>
      <c r="C8707" t="s">
        <v>66</v>
      </c>
      <c r="D8707">
        <v>15</v>
      </c>
      <c r="E8707" t="s">
        <v>467</v>
      </c>
    </row>
    <row r="8708" spans="1:5" x14ac:dyDescent="0.35">
      <c r="A8708">
        <v>2018</v>
      </c>
      <c r="B8708" t="s">
        <v>37</v>
      </c>
      <c r="C8708" t="s">
        <v>92</v>
      </c>
      <c r="D8708">
        <v>87</v>
      </c>
      <c r="E8708" t="s">
        <v>466</v>
      </c>
    </row>
    <row r="8709" spans="1:5" x14ac:dyDescent="0.35">
      <c r="A8709">
        <v>2018</v>
      </c>
      <c r="B8709" t="s">
        <v>34</v>
      </c>
      <c r="C8709" t="s">
        <v>193</v>
      </c>
      <c r="D8709">
        <v>48</v>
      </c>
      <c r="E8709" t="s">
        <v>328</v>
      </c>
    </row>
    <row r="8710" spans="1:5" x14ac:dyDescent="0.35">
      <c r="A8710">
        <v>2018</v>
      </c>
      <c r="B8710" t="s">
        <v>35</v>
      </c>
      <c r="C8710" t="s">
        <v>93</v>
      </c>
      <c r="D8710">
        <v>49</v>
      </c>
      <c r="E8710" t="s">
        <v>466</v>
      </c>
    </row>
    <row r="8711" spans="1:5" x14ac:dyDescent="0.35">
      <c r="A8711">
        <v>2018</v>
      </c>
      <c r="B8711" t="s">
        <v>33</v>
      </c>
      <c r="C8711" t="s">
        <v>63</v>
      </c>
      <c r="D8711">
        <v>59</v>
      </c>
      <c r="E8711" t="s">
        <v>467</v>
      </c>
    </row>
    <row r="8712" spans="1:5" x14ac:dyDescent="0.35">
      <c r="A8712">
        <v>2018</v>
      </c>
      <c r="B8712" t="s">
        <v>35</v>
      </c>
      <c r="C8712" t="s">
        <v>94</v>
      </c>
      <c r="D8712">
        <v>1523</v>
      </c>
      <c r="E8712" t="s">
        <v>466</v>
      </c>
    </row>
    <row r="8713" spans="1:5" x14ac:dyDescent="0.35">
      <c r="A8713">
        <v>2018</v>
      </c>
      <c r="B8713" t="s">
        <v>34</v>
      </c>
      <c r="C8713" t="s">
        <v>193</v>
      </c>
      <c r="D8713">
        <v>68</v>
      </c>
      <c r="E8713" t="s">
        <v>355</v>
      </c>
    </row>
    <row r="8714" spans="1:5" x14ac:dyDescent="0.35">
      <c r="A8714">
        <v>2018</v>
      </c>
      <c r="B8714" t="s">
        <v>33</v>
      </c>
      <c r="C8714" t="s">
        <v>95</v>
      </c>
      <c r="D8714">
        <v>35</v>
      </c>
      <c r="E8714" t="s">
        <v>466</v>
      </c>
    </row>
    <row r="8715" spans="1:5" x14ac:dyDescent="0.35">
      <c r="A8715">
        <v>2018</v>
      </c>
      <c r="B8715" t="s">
        <v>34</v>
      </c>
      <c r="C8715" t="s">
        <v>40</v>
      </c>
      <c r="D8715">
        <v>48</v>
      </c>
      <c r="E8715" t="s">
        <v>467</v>
      </c>
    </row>
    <row r="8716" spans="1:5" x14ac:dyDescent="0.35">
      <c r="A8716">
        <v>2018</v>
      </c>
      <c r="B8716" t="s">
        <v>33</v>
      </c>
      <c r="C8716" t="s">
        <v>88</v>
      </c>
      <c r="D8716">
        <v>26</v>
      </c>
      <c r="E8716" t="s">
        <v>466</v>
      </c>
    </row>
    <row r="8717" spans="1:5" x14ac:dyDescent="0.35">
      <c r="A8717">
        <v>2018</v>
      </c>
      <c r="B8717" t="s">
        <v>33</v>
      </c>
      <c r="C8717" t="s">
        <v>192</v>
      </c>
      <c r="D8717">
        <v>4</v>
      </c>
      <c r="E8717" t="s">
        <v>328</v>
      </c>
    </row>
    <row r="8718" spans="1:5" x14ac:dyDescent="0.35">
      <c r="A8718">
        <v>2018</v>
      </c>
      <c r="B8718" t="s">
        <v>34</v>
      </c>
      <c r="C8718" t="s">
        <v>8</v>
      </c>
      <c r="D8718">
        <v>124</v>
      </c>
      <c r="E8718" t="s">
        <v>466</v>
      </c>
    </row>
    <row r="8719" spans="1:5" x14ac:dyDescent="0.35">
      <c r="A8719">
        <v>2018</v>
      </c>
      <c r="B8719" t="s">
        <v>35</v>
      </c>
      <c r="C8719" t="s">
        <v>41</v>
      </c>
      <c r="D8719">
        <v>68</v>
      </c>
      <c r="E8719" t="s">
        <v>467</v>
      </c>
    </row>
    <row r="8720" spans="1:5" x14ac:dyDescent="0.35">
      <c r="A8720">
        <v>2018</v>
      </c>
      <c r="B8720" t="s">
        <v>38</v>
      </c>
      <c r="C8720" t="s">
        <v>103</v>
      </c>
      <c r="D8720">
        <v>433</v>
      </c>
      <c r="E8720" t="s">
        <v>466</v>
      </c>
    </row>
    <row r="8721" spans="1:5" x14ac:dyDescent="0.35">
      <c r="A8721">
        <v>2018</v>
      </c>
      <c r="B8721" t="s">
        <v>33</v>
      </c>
      <c r="C8721" t="s">
        <v>192</v>
      </c>
      <c r="D8721">
        <v>11</v>
      </c>
      <c r="E8721" t="s">
        <v>355</v>
      </c>
    </row>
    <row r="8722" spans="1:5" x14ac:dyDescent="0.35">
      <c r="A8722">
        <v>2018</v>
      </c>
      <c r="B8722" t="s">
        <v>33</v>
      </c>
      <c r="C8722" t="s">
        <v>96</v>
      </c>
      <c r="D8722">
        <v>153</v>
      </c>
      <c r="E8722" t="s">
        <v>466</v>
      </c>
    </row>
    <row r="8723" spans="1:5" x14ac:dyDescent="0.35">
      <c r="A8723">
        <v>2018</v>
      </c>
      <c r="B8723" t="s">
        <v>33</v>
      </c>
      <c r="C8723" t="s">
        <v>42</v>
      </c>
      <c r="D8723">
        <v>98</v>
      </c>
      <c r="E8723" t="s">
        <v>467</v>
      </c>
    </row>
    <row r="8724" spans="1:5" x14ac:dyDescent="0.35">
      <c r="A8724">
        <v>2018</v>
      </c>
      <c r="B8724" t="s">
        <v>33</v>
      </c>
      <c r="C8724" t="s">
        <v>102</v>
      </c>
      <c r="D8724">
        <v>8</v>
      </c>
      <c r="E8724" t="s">
        <v>466</v>
      </c>
    </row>
    <row r="8725" spans="1:5" x14ac:dyDescent="0.35">
      <c r="A8725">
        <v>2018</v>
      </c>
      <c r="B8725" t="s">
        <v>36</v>
      </c>
      <c r="C8725" t="s">
        <v>191</v>
      </c>
      <c r="D8725">
        <v>14</v>
      </c>
      <c r="E8725" t="s">
        <v>328</v>
      </c>
    </row>
    <row r="8726" spans="1:5" x14ac:dyDescent="0.35">
      <c r="A8726">
        <v>2018</v>
      </c>
      <c r="B8726" t="s">
        <v>33</v>
      </c>
      <c r="C8726" t="s">
        <v>101</v>
      </c>
      <c r="D8726">
        <v>256</v>
      </c>
      <c r="E8726" t="s">
        <v>466</v>
      </c>
    </row>
    <row r="8727" spans="1:5" x14ac:dyDescent="0.35">
      <c r="A8727">
        <v>2018</v>
      </c>
      <c r="B8727" t="s">
        <v>33</v>
      </c>
      <c r="C8727" t="s">
        <v>43</v>
      </c>
      <c r="D8727">
        <v>29</v>
      </c>
      <c r="E8727" t="s">
        <v>467</v>
      </c>
    </row>
    <row r="8728" spans="1:5" x14ac:dyDescent="0.35">
      <c r="A8728">
        <v>2018</v>
      </c>
      <c r="B8728" t="s">
        <v>36</v>
      </c>
      <c r="C8728" t="s">
        <v>15</v>
      </c>
      <c r="D8728">
        <v>153814</v>
      </c>
      <c r="E8728" t="s">
        <v>466</v>
      </c>
    </row>
    <row r="8729" spans="1:5" x14ac:dyDescent="0.35">
      <c r="A8729">
        <v>2018</v>
      </c>
      <c r="B8729" t="s">
        <v>36</v>
      </c>
      <c r="C8729" t="s">
        <v>191</v>
      </c>
      <c r="D8729">
        <v>105</v>
      </c>
      <c r="E8729" t="s">
        <v>355</v>
      </c>
    </row>
    <row r="8730" spans="1:5" x14ac:dyDescent="0.35">
      <c r="A8730">
        <v>2018</v>
      </c>
      <c r="B8730" t="s">
        <v>38</v>
      </c>
      <c r="C8730" t="s">
        <v>86</v>
      </c>
      <c r="D8730">
        <v>3277</v>
      </c>
      <c r="E8730" t="s">
        <v>466</v>
      </c>
    </row>
    <row r="8731" spans="1:5" x14ac:dyDescent="0.35">
      <c r="A8731">
        <v>2018</v>
      </c>
      <c r="B8731" t="s">
        <v>36</v>
      </c>
      <c r="C8731" t="s">
        <v>44</v>
      </c>
      <c r="D8731">
        <v>8</v>
      </c>
      <c r="E8731" t="s">
        <v>467</v>
      </c>
    </row>
    <row r="8732" spans="1:5" x14ac:dyDescent="0.35">
      <c r="A8732">
        <v>2018</v>
      </c>
      <c r="B8732" t="s">
        <v>35</v>
      </c>
      <c r="C8732" t="s">
        <v>99</v>
      </c>
      <c r="D8732">
        <v>202</v>
      </c>
      <c r="E8732" t="s">
        <v>466</v>
      </c>
    </row>
    <row r="8733" spans="1:5" x14ac:dyDescent="0.35">
      <c r="A8733">
        <v>2018</v>
      </c>
      <c r="B8733" t="s">
        <v>37</v>
      </c>
      <c r="C8733" t="s">
        <v>190</v>
      </c>
      <c r="D8733">
        <v>4</v>
      </c>
      <c r="E8733" t="s">
        <v>328</v>
      </c>
    </row>
    <row r="8734" spans="1:5" x14ac:dyDescent="0.35">
      <c r="A8734">
        <v>2018</v>
      </c>
      <c r="B8734" t="s">
        <v>33</v>
      </c>
      <c r="C8734" t="s">
        <v>98</v>
      </c>
      <c r="D8734">
        <v>486</v>
      </c>
      <c r="E8734" t="s">
        <v>466</v>
      </c>
    </row>
    <row r="8735" spans="1:5" x14ac:dyDescent="0.35">
      <c r="A8735">
        <v>2018</v>
      </c>
      <c r="B8735" t="s">
        <v>38</v>
      </c>
      <c r="C8735" t="s">
        <v>45</v>
      </c>
      <c r="D8735">
        <v>65</v>
      </c>
      <c r="E8735" t="s">
        <v>467</v>
      </c>
    </row>
    <row r="8736" spans="1:5" x14ac:dyDescent="0.35">
      <c r="A8736">
        <v>2018</v>
      </c>
      <c r="B8736" t="s">
        <v>36</v>
      </c>
      <c r="C8736" t="s">
        <v>100</v>
      </c>
      <c r="D8736">
        <v>33</v>
      </c>
      <c r="E8736" t="s">
        <v>466</v>
      </c>
    </row>
    <row r="8737" spans="1:5" x14ac:dyDescent="0.35">
      <c r="A8737">
        <v>2018</v>
      </c>
      <c r="B8737" t="s">
        <v>37</v>
      </c>
      <c r="C8737" t="s">
        <v>190</v>
      </c>
      <c r="D8737">
        <v>26</v>
      </c>
      <c r="E8737" t="s">
        <v>355</v>
      </c>
    </row>
    <row r="8738" spans="1:5" x14ac:dyDescent="0.35">
      <c r="A8738">
        <v>2018</v>
      </c>
      <c r="B8738" t="s">
        <v>35</v>
      </c>
      <c r="C8738" t="s">
        <v>97</v>
      </c>
      <c r="D8738">
        <v>655</v>
      </c>
      <c r="E8738" t="s">
        <v>466</v>
      </c>
    </row>
    <row r="8739" spans="1:5" x14ac:dyDescent="0.35">
      <c r="A8739">
        <v>2018</v>
      </c>
      <c r="B8739" t="s">
        <v>34</v>
      </c>
      <c r="C8739" t="s">
        <v>46</v>
      </c>
      <c r="D8739">
        <v>19</v>
      </c>
      <c r="E8739" t="s">
        <v>467</v>
      </c>
    </row>
    <row r="8740" spans="1:5" x14ac:dyDescent="0.35">
      <c r="A8740">
        <v>2018</v>
      </c>
      <c r="B8740" t="s">
        <v>33</v>
      </c>
      <c r="C8740" t="s">
        <v>189</v>
      </c>
      <c r="D8740">
        <v>14</v>
      </c>
      <c r="E8740" t="s">
        <v>328</v>
      </c>
    </row>
    <row r="8741" spans="1:5" x14ac:dyDescent="0.35">
      <c r="A8741">
        <v>2018</v>
      </c>
      <c r="B8741" t="s">
        <v>37</v>
      </c>
      <c r="C8741" t="s">
        <v>47</v>
      </c>
      <c r="D8741">
        <v>457</v>
      </c>
      <c r="E8741" t="s">
        <v>467</v>
      </c>
    </row>
    <row r="8742" spans="1:5" x14ac:dyDescent="0.35">
      <c r="A8742">
        <v>2018</v>
      </c>
      <c r="B8742" t="s">
        <v>33</v>
      </c>
      <c r="C8742" t="s">
        <v>189</v>
      </c>
      <c r="D8742">
        <v>8</v>
      </c>
      <c r="E8742" t="s">
        <v>355</v>
      </c>
    </row>
    <row r="8743" spans="1:5" x14ac:dyDescent="0.35">
      <c r="A8743">
        <v>2018</v>
      </c>
      <c r="B8743" t="s">
        <v>35</v>
      </c>
      <c r="C8743" t="s">
        <v>48</v>
      </c>
      <c r="D8743">
        <v>58</v>
      </c>
      <c r="E8743" t="s">
        <v>467</v>
      </c>
    </row>
    <row r="8744" spans="1:5" x14ac:dyDescent="0.35">
      <c r="A8744">
        <v>2018</v>
      </c>
      <c r="B8744" t="s">
        <v>35</v>
      </c>
      <c r="C8744" t="s">
        <v>196</v>
      </c>
      <c r="D8744">
        <v>44</v>
      </c>
      <c r="E8744" t="s">
        <v>328</v>
      </c>
    </row>
    <row r="8745" spans="1:5" x14ac:dyDescent="0.35">
      <c r="A8745">
        <v>2018</v>
      </c>
      <c r="B8745" t="s">
        <v>34</v>
      </c>
      <c r="C8745" t="s">
        <v>49</v>
      </c>
      <c r="D8745">
        <v>11</v>
      </c>
      <c r="E8745" t="s">
        <v>467</v>
      </c>
    </row>
    <row r="8746" spans="1:5" x14ac:dyDescent="0.35">
      <c r="A8746">
        <v>2018</v>
      </c>
      <c r="B8746" t="s">
        <v>34</v>
      </c>
      <c r="C8746" t="s">
        <v>188</v>
      </c>
      <c r="D8746">
        <v>25</v>
      </c>
      <c r="E8746" t="s">
        <v>328</v>
      </c>
    </row>
    <row r="8747" spans="1:5" x14ac:dyDescent="0.35">
      <c r="A8747">
        <v>2018</v>
      </c>
      <c r="B8747" t="s">
        <v>33</v>
      </c>
      <c r="C8747" t="s">
        <v>65</v>
      </c>
      <c r="D8747">
        <v>9</v>
      </c>
      <c r="E8747" t="s">
        <v>467</v>
      </c>
    </row>
    <row r="8748" spans="1:5" x14ac:dyDescent="0.35">
      <c r="A8748">
        <v>2018</v>
      </c>
      <c r="B8748" t="s">
        <v>35</v>
      </c>
      <c r="C8748" t="s">
        <v>198</v>
      </c>
      <c r="D8748">
        <v>158</v>
      </c>
      <c r="E8748" t="s">
        <v>355</v>
      </c>
    </row>
    <row r="8749" spans="1:5" x14ac:dyDescent="0.35">
      <c r="A8749">
        <v>2018</v>
      </c>
      <c r="B8749" t="s">
        <v>36</v>
      </c>
      <c r="C8749" t="s">
        <v>50</v>
      </c>
      <c r="D8749">
        <v>309</v>
      </c>
      <c r="E8749" t="s">
        <v>467</v>
      </c>
    </row>
    <row r="8750" spans="1:5" x14ac:dyDescent="0.35">
      <c r="A8750">
        <v>2018</v>
      </c>
      <c r="B8750" t="s">
        <v>39</v>
      </c>
      <c r="C8750" t="s">
        <v>39</v>
      </c>
      <c r="D8750">
        <v>35</v>
      </c>
      <c r="E8750" t="s">
        <v>355</v>
      </c>
    </row>
    <row r="8751" spans="1:5" x14ac:dyDescent="0.35">
      <c r="A8751">
        <v>2018</v>
      </c>
      <c r="B8751" t="s">
        <v>34</v>
      </c>
      <c r="C8751" t="s">
        <v>52</v>
      </c>
      <c r="D8751">
        <v>174</v>
      </c>
      <c r="E8751" t="s">
        <v>467</v>
      </c>
    </row>
    <row r="8752" spans="1:5" x14ac:dyDescent="0.35">
      <c r="A8752">
        <v>2018</v>
      </c>
      <c r="B8752" t="s">
        <v>34</v>
      </c>
      <c r="C8752" t="s">
        <v>118</v>
      </c>
      <c r="D8752">
        <v>93</v>
      </c>
      <c r="E8752" t="s">
        <v>355</v>
      </c>
    </row>
    <row r="8753" spans="1:5" x14ac:dyDescent="0.35">
      <c r="A8753">
        <v>2018</v>
      </c>
      <c r="B8753" t="s">
        <v>36</v>
      </c>
      <c r="C8753" t="s">
        <v>53</v>
      </c>
      <c r="D8753">
        <v>12</v>
      </c>
      <c r="E8753" t="s">
        <v>467</v>
      </c>
    </row>
    <row r="8754" spans="1:5" x14ac:dyDescent="0.35">
      <c r="A8754">
        <v>2018</v>
      </c>
      <c r="B8754" t="s">
        <v>33</v>
      </c>
      <c r="C8754" t="s">
        <v>204</v>
      </c>
      <c r="D8754">
        <v>9</v>
      </c>
      <c r="E8754" t="s">
        <v>328</v>
      </c>
    </row>
    <row r="8755" spans="1:5" x14ac:dyDescent="0.35">
      <c r="A8755">
        <v>2018</v>
      </c>
      <c r="B8755" t="s">
        <v>35</v>
      </c>
      <c r="C8755" t="s">
        <v>54</v>
      </c>
      <c r="D8755">
        <v>10</v>
      </c>
      <c r="E8755" t="s">
        <v>467</v>
      </c>
    </row>
    <row r="8756" spans="1:5" x14ac:dyDescent="0.35">
      <c r="A8756">
        <v>2018</v>
      </c>
      <c r="B8756" t="s">
        <v>33</v>
      </c>
      <c r="C8756" t="s">
        <v>203</v>
      </c>
      <c r="D8756">
        <v>5</v>
      </c>
      <c r="E8756" t="s">
        <v>328</v>
      </c>
    </row>
    <row r="8757" spans="1:5" x14ac:dyDescent="0.35">
      <c r="A8757">
        <v>2018</v>
      </c>
      <c r="B8757" t="s">
        <v>35</v>
      </c>
      <c r="C8757" t="s">
        <v>55</v>
      </c>
      <c r="D8757">
        <v>141</v>
      </c>
      <c r="E8757" t="s">
        <v>467</v>
      </c>
    </row>
    <row r="8758" spans="1:5" x14ac:dyDescent="0.35">
      <c r="A8758">
        <v>2018</v>
      </c>
      <c r="B8758" t="s">
        <v>33</v>
      </c>
      <c r="C8758" t="s">
        <v>203</v>
      </c>
      <c r="D8758">
        <v>9</v>
      </c>
      <c r="E8758" t="s">
        <v>355</v>
      </c>
    </row>
    <row r="8759" spans="1:5" x14ac:dyDescent="0.35">
      <c r="A8759">
        <v>2018</v>
      </c>
      <c r="B8759" t="s">
        <v>36</v>
      </c>
      <c r="C8759" t="s">
        <v>56</v>
      </c>
      <c r="D8759">
        <v>25</v>
      </c>
      <c r="E8759" t="s">
        <v>467</v>
      </c>
    </row>
    <row r="8760" spans="1:5" x14ac:dyDescent="0.35">
      <c r="A8760">
        <v>2018</v>
      </c>
      <c r="B8760" t="s">
        <v>34</v>
      </c>
      <c r="C8760" t="s">
        <v>202</v>
      </c>
      <c r="D8760">
        <v>4</v>
      </c>
      <c r="E8760" t="s">
        <v>328</v>
      </c>
    </row>
    <row r="8761" spans="1:5" x14ac:dyDescent="0.35">
      <c r="A8761">
        <v>2018</v>
      </c>
      <c r="B8761" t="s">
        <v>33</v>
      </c>
      <c r="C8761" t="s">
        <v>57</v>
      </c>
      <c r="D8761">
        <v>28</v>
      </c>
      <c r="E8761" t="s">
        <v>467</v>
      </c>
    </row>
    <row r="8762" spans="1:5" x14ac:dyDescent="0.35">
      <c r="A8762">
        <v>2018</v>
      </c>
      <c r="B8762" t="s">
        <v>34</v>
      </c>
      <c r="C8762" t="s">
        <v>202</v>
      </c>
      <c r="D8762">
        <v>19</v>
      </c>
      <c r="E8762" t="s">
        <v>355</v>
      </c>
    </row>
    <row r="8763" spans="1:5" x14ac:dyDescent="0.35">
      <c r="A8763">
        <v>2018</v>
      </c>
      <c r="B8763" t="s">
        <v>38</v>
      </c>
      <c r="C8763" t="s">
        <v>59</v>
      </c>
      <c r="D8763">
        <v>35</v>
      </c>
      <c r="E8763" t="s">
        <v>467</v>
      </c>
    </row>
    <row r="8764" spans="1:5" x14ac:dyDescent="0.35">
      <c r="A8764">
        <v>2018</v>
      </c>
      <c r="B8764" t="s">
        <v>34</v>
      </c>
      <c r="C8764" t="s">
        <v>201</v>
      </c>
      <c r="D8764">
        <v>14</v>
      </c>
      <c r="E8764" t="s">
        <v>328</v>
      </c>
    </row>
    <row r="8765" spans="1:5" x14ac:dyDescent="0.35">
      <c r="A8765">
        <v>2018</v>
      </c>
      <c r="B8765" t="s">
        <v>35</v>
      </c>
      <c r="C8765" t="s">
        <v>60</v>
      </c>
      <c r="D8765">
        <v>23</v>
      </c>
      <c r="E8765" t="s">
        <v>467</v>
      </c>
    </row>
    <row r="8766" spans="1:5" x14ac:dyDescent="0.35">
      <c r="A8766">
        <v>2018</v>
      </c>
      <c r="B8766" t="s">
        <v>34</v>
      </c>
      <c r="C8766" t="s">
        <v>201</v>
      </c>
      <c r="D8766">
        <v>102</v>
      </c>
      <c r="E8766" t="s">
        <v>355</v>
      </c>
    </row>
    <row r="8767" spans="1:5" x14ac:dyDescent="0.35">
      <c r="A8767">
        <v>2018</v>
      </c>
      <c r="B8767" t="s">
        <v>38</v>
      </c>
      <c r="C8767" t="s">
        <v>21</v>
      </c>
      <c r="D8767">
        <v>781</v>
      </c>
      <c r="E8767" t="s">
        <v>467</v>
      </c>
    </row>
    <row r="8768" spans="1:5" x14ac:dyDescent="0.35">
      <c r="A8768">
        <v>2018</v>
      </c>
      <c r="B8768" t="s">
        <v>38</v>
      </c>
      <c r="C8768" t="s">
        <v>19</v>
      </c>
      <c r="D8768">
        <v>171</v>
      </c>
      <c r="E8768" t="s">
        <v>328</v>
      </c>
    </row>
    <row r="8769" spans="1:5" x14ac:dyDescent="0.35">
      <c r="A8769">
        <v>2018</v>
      </c>
      <c r="B8769" t="s">
        <v>35</v>
      </c>
      <c r="C8769" t="s">
        <v>62</v>
      </c>
      <c r="D8769">
        <v>30</v>
      </c>
      <c r="E8769" t="s">
        <v>467</v>
      </c>
    </row>
    <row r="8770" spans="1:5" x14ac:dyDescent="0.35">
      <c r="A8770">
        <v>2018</v>
      </c>
      <c r="B8770" t="s">
        <v>38</v>
      </c>
      <c r="C8770" t="s">
        <v>19</v>
      </c>
      <c r="D8770">
        <v>1300</v>
      </c>
      <c r="E8770" t="s">
        <v>355</v>
      </c>
    </row>
    <row r="8771" spans="1:5" x14ac:dyDescent="0.35">
      <c r="A8771">
        <v>2018</v>
      </c>
      <c r="B8771" t="s">
        <v>34</v>
      </c>
      <c r="C8771" t="s">
        <v>51</v>
      </c>
      <c r="D8771">
        <v>7</v>
      </c>
      <c r="E8771" t="s">
        <v>467</v>
      </c>
    </row>
    <row r="8772" spans="1:5" x14ac:dyDescent="0.35">
      <c r="A8772">
        <v>2018</v>
      </c>
      <c r="B8772" t="s">
        <v>34</v>
      </c>
      <c r="C8772" t="s">
        <v>200</v>
      </c>
      <c r="D8772">
        <v>23</v>
      </c>
      <c r="E8772" t="s">
        <v>328</v>
      </c>
    </row>
    <row r="8773" spans="1:5" x14ac:dyDescent="0.35">
      <c r="A8773">
        <v>2018</v>
      </c>
      <c r="B8773" t="s">
        <v>37</v>
      </c>
      <c r="C8773" t="s">
        <v>92</v>
      </c>
      <c r="D8773">
        <v>32</v>
      </c>
      <c r="E8773" t="s">
        <v>467</v>
      </c>
    </row>
    <row r="8774" spans="1:5" x14ac:dyDescent="0.35">
      <c r="A8774">
        <v>2018</v>
      </c>
      <c r="B8774" t="s">
        <v>34</v>
      </c>
      <c r="C8774" t="s">
        <v>200</v>
      </c>
      <c r="D8774">
        <v>13</v>
      </c>
      <c r="E8774" t="s">
        <v>355</v>
      </c>
    </row>
    <row r="8775" spans="1:5" x14ac:dyDescent="0.35">
      <c r="A8775">
        <v>2018</v>
      </c>
      <c r="B8775" t="s">
        <v>34</v>
      </c>
      <c r="C8775" t="s">
        <v>64</v>
      </c>
      <c r="D8775">
        <v>10</v>
      </c>
      <c r="E8775" t="s">
        <v>467</v>
      </c>
    </row>
    <row r="8776" spans="1:5" x14ac:dyDescent="0.35">
      <c r="A8776">
        <v>2018</v>
      </c>
      <c r="B8776" t="s">
        <v>38</v>
      </c>
      <c r="C8776" t="s">
        <v>199</v>
      </c>
      <c r="D8776">
        <v>12</v>
      </c>
      <c r="E8776" t="s">
        <v>328</v>
      </c>
    </row>
    <row r="8777" spans="1:5" x14ac:dyDescent="0.35">
      <c r="A8777">
        <v>2018</v>
      </c>
      <c r="B8777" t="s">
        <v>35</v>
      </c>
      <c r="C8777" t="s">
        <v>94</v>
      </c>
      <c r="D8777">
        <v>1370</v>
      </c>
      <c r="E8777" t="s">
        <v>467</v>
      </c>
    </row>
    <row r="8778" spans="1:5" x14ac:dyDescent="0.35">
      <c r="A8778">
        <v>2018</v>
      </c>
      <c r="B8778" t="s">
        <v>38</v>
      </c>
      <c r="C8778" t="s">
        <v>199</v>
      </c>
      <c r="D8778">
        <v>47</v>
      </c>
      <c r="E8778" t="s">
        <v>355</v>
      </c>
    </row>
    <row r="8779" spans="1:5" x14ac:dyDescent="0.35">
      <c r="A8779">
        <v>2018</v>
      </c>
      <c r="B8779" t="s">
        <v>34</v>
      </c>
      <c r="C8779" t="s">
        <v>118</v>
      </c>
      <c r="D8779">
        <v>896</v>
      </c>
      <c r="E8779" t="s">
        <v>467</v>
      </c>
    </row>
    <row r="8780" spans="1:5" x14ac:dyDescent="0.35">
      <c r="A8780">
        <v>2018</v>
      </c>
      <c r="B8780" t="s">
        <v>39</v>
      </c>
      <c r="C8780" t="s">
        <v>39</v>
      </c>
      <c r="D8780">
        <v>22</v>
      </c>
      <c r="E8780" t="s">
        <v>328</v>
      </c>
    </row>
    <row r="8781" spans="1:5" x14ac:dyDescent="0.35">
      <c r="A8781">
        <v>2018</v>
      </c>
      <c r="B8781" t="s">
        <v>35</v>
      </c>
      <c r="C8781" t="s">
        <v>119</v>
      </c>
      <c r="D8781">
        <v>17</v>
      </c>
      <c r="E8781" t="s">
        <v>467</v>
      </c>
    </row>
    <row r="8782" spans="1:5" x14ac:dyDescent="0.35">
      <c r="A8782">
        <v>2018</v>
      </c>
      <c r="B8782" t="s">
        <v>35</v>
      </c>
      <c r="C8782" t="s">
        <v>198</v>
      </c>
      <c r="D8782">
        <v>66</v>
      </c>
      <c r="E8782" t="s">
        <v>328</v>
      </c>
    </row>
    <row r="8783" spans="1:5" x14ac:dyDescent="0.35">
      <c r="A8783">
        <v>2018</v>
      </c>
      <c r="B8783" t="s">
        <v>34</v>
      </c>
      <c r="C8783" t="s">
        <v>120</v>
      </c>
      <c r="D8783">
        <v>47</v>
      </c>
      <c r="E8783" t="s">
        <v>467</v>
      </c>
    </row>
    <row r="8784" spans="1:5" x14ac:dyDescent="0.35">
      <c r="A8784">
        <v>2018</v>
      </c>
      <c r="B8784" t="s">
        <v>34</v>
      </c>
      <c r="C8784" t="s">
        <v>188</v>
      </c>
      <c r="D8784">
        <v>100</v>
      </c>
      <c r="E8784" t="s">
        <v>355</v>
      </c>
    </row>
    <row r="8785" spans="1:5" x14ac:dyDescent="0.35">
      <c r="A8785">
        <v>2018</v>
      </c>
      <c r="B8785" t="s">
        <v>34</v>
      </c>
      <c r="C8785" t="s">
        <v>121</v>
      </c>
      <c r="D8785">
        <v>10</v>
      </c>
      <c r="E8785" t="s">
        <v>467</v>
      </c>
    </row>
    <row r="8786" spans="1:5" x14ac:dyDescent="0.35">
      <c r="A8786">
        <v>2018</v>
      </c>
      <c r="B8786" t="s">
        <v>33</v>
      </c>
      <c r="C8786" t="s">
        <v>187</v>
      </c>
      <c r="D8786">
        <v>3</v>
      </c>
      <c r="E8786" t="s">
        <v>328</v>
      </c>
    </row>
    <row r="8787" spans="1:5" x14ac:dyDescent="0.35">
      <c r="A8787">
        <v>2018</v>
      </c>
      <c r="B8787" t="s">
        <v>34</v>
      </c>
      <c r="C8787" t="s">
        <v>122</v>
      </c>
      <c r="E8787" t="s">
        <v>467</v>
      </c>
    </row>
    <row r="8788" spans="1:5" x14ac:dyDescent="0.35">
      <c r="A8788">
        <v>2018</v>
      </c>
      <c r="B8788" t="s">
        <v>33</v>
      </c>
      <c r="C8788" t="s">
        <v>187</v>
      </c>
      <c r="D8788">
        <v>18</v>
      </c>
      <c r="E8788" t="s">
        <v>355</v>
      </c>
    </row>
    <row r="8789" spans="1:5" x14ac:dyDescent="0.35">
      <c r="A8789">
        <v>2018</v>
      </c>
      <c r="B8789" t="s">
        <v>35</v>
      </c>
      <c r="C8789" t="s">
        <v>123</v>
      </c>
      <c r="D8789">
        <v>34</v>
      </c>
      <c r="E8789" t="s">
        <v>467</v>
      </c>
    </row>
    <row r="8790" spans="1:5" x14ac:dyDescent="0.35">
      <c r="A8790">
        <v>2018</v>
      </c>
      <c r="B8790" t="s">
        <v>35</v>
      </c>
      <c r="C8790" t="s">
        <v>172</v>
      </c>
      <c r="D8790">
        <v>22</v>
      </c>
      <c r="E8790" t="s">
        <v>328</v>
      </c>
    </row>
    <row r="8791" spans="1:5" x14ac:dyDescent="0.35">
      <c r="A8791">
        <v>2018</v>
      </c>
      <c r="B8791" t="s">
        <v>34</v>
      </c>
      <c r="C8791" t="s">
        <v>124</v>
      </c>
      <c r="D8791">
        <v>109</v>
      </c>
      <c r="E8791" t="s">
        <v>467</v>
      </c>
    </row>
    <row r="8792" spans="1:5" x14ac:dyDescent="0.35">
      <c r="A8792">
        <v>2018</v>
      </c>
      <c r="B8792" t="s">
        <v>35</v>
      </c>
      <c r="C8792" t="s">
        <v>172</v>
      </c>
      <c r="D8792">
        <v>11</v>
      </c>
      <c r="E8792" t="s">
        <v>355</v>
      </c>
    </row>
    <row r="8793" spans="1:5" x14ac:dyDescent="0.35">
      <c r="A8793">
        <v>2018</v>
      </c>
      <c r="B8793" t="s">
        <v>33</v>
      </c>
      <c r="C8793" t="s">
        <v>125</v>
      </c>
      <c r="D8793">
        <v>25</v>
      </c>
      <c r="E8793" t="s">
        <v>467</v>
      </c>
    </row>
    <row r="8794" spans="1:5" x14ac:dyDescent="0.35">
      <c r="A8794">
        <v>2018</v>
      </c>
      <c r="B8794" t="s">
        <v>34</v>
      </c>
      <c r="C8794" t="s">
        <v>171</v>
      </c>
      <c r="E8794" t="s">
        <v>328</v>
      </c>
    </row>
    <row r="8795" spans="1:5" x14ac:dyDescent="0.35">
      <c r="A8795">
        <v>2018</v>
      </c>
      <c r="B8795" t="s">
        <v>33</v>
      </c>
      <c r="C8795" t="s">
        <v>126</v>
      </c>
      <c r="D8795">
        <v>41</v>
      </c>
      <c r="E8795" t="s">
        <v>467</v>
      </c>
    </row>
    <row r="8796" spans="1:5" x14ac:dyDescent="0.35">
      <c r="A8796">
        <v>2018</v>
      </c>
      <c r="B8796" t="s">
        <v>34</v>
      </c>
      <c r="C8796" t="s">
        <v>171</v>
      </c>
      <c r="E8796" t="s">
        <v>355</v>
      </c>
    </row>
    <row r="8797" spans="1:5" x14ac:dyDescent="0.35">
      <c r="A8797">
        <v>2018</v>
      </c>
      <c r="B8797" t="s">
        <v>35</v>
      </c>
      <c r="C8797" t="s">
        <v>127</v>
      </c>
      <c r="D8797">
        <v>85</v>
      </c>
      <c r="E8797" t="s">
        <v>467</v>
      </c>
    </row>
    <row r="8798" spans="1:5" x14ac:dyDescent="0.35">
      <c r="A8798">
        <v>2018</v>
      </c>
      <c r="B8798" t="s">
        <v>33</v>
      </c>
      <c r="C8798" t="s">
        <v>170</v>
      </c>
      <c r="D8798">
        <v>27</v>
      </c>
      <c r="E8798" t="s">
        <v>328</v>
      </c>
    </row>
    <row r="8799" spans="1:5" x14ac:dyDescent="0.35">
      <c r="A8799">
        <v>2018</v>
      </c>
      <c r="B8799" t="s">
        <v>33</v>
      </c>
      <c r="C8799" t="s">
        <v>117</v>
      </c>
      <c r="D8799">
        <v>106</v>
      </c>
      <c r="E8799" t="s">
        <v>467</v>
      </c>
    </row>
    <row r="8800" spans="1:5" x14ac:dyDescent="0.35">
      <c r="A8800">
        <v>2018</v>
      </c>
      <c r="B8800" t="s">
        <v>33</v>
      </c>
      <c r="C8800" t="s">
        <v>170</v>
      </c>
      <c r="D8800">
        <v>54</v>
      </c>
      <c r="E8800" t="s">
        <v>355</v>
      </c>
    </row>
    <row r="8801" spans="1:5" x14ac:dyDescent="0.35">
      <c r="A8801">
        <v>2018</v>
      </c>
      <c r="B8801" t="s">
        <v>34</v>
      </c>
      <c r="C8801" t="s">
        <v>131</v>
      </c>
      <c r="D8801">
        <v>30</v>
      </c>
      <c r="E8801" t="s">
        <v>467</v>
      </c>
    </row>
    <row r="8802" spans="1:5" x14ac:dyDescent="0.35">
      <c r="A8802">
        <v>2018</v>
      </c>
      <c r="B8802" t="s">
        <v>35</v>
      </c>
      <c r="C8802" t="s">
        <v>215</v>
      </c>
      <c r="E8802" t="s">
        <v>328</v>
      </c>
    </row>
    <row r="8803" spans="1:5" x14ac:dyDescent="0.35">
      <c r="A8803">
        <v>2018</v>
      </c>
      <c r="B8803" t="s">
        <v>33</v>
      </c>
      <c r="C8803" t="s">
        <v>136</v>
      </c>
      <c r="D8803">
        <v>10</v>
      </c>
      <c r="E8803" t="s">
        <v>467</v>
      </c>
    </row>
    <row r="8804" spans="1:5" x14ac:dyDescent="0.35">
      <c r="A8804">
        <v>2018</v>
      </c>
      <c r="B8804" t="s">
        <v>35</v>
      </c>
      <c r="C8804" t="s">
        <v>215</v>
      </c>
      <c r="E8804" t="s">
        <v>355</v>
      </c>
    </row>
    <row r="8805" spans="1:5" x14ac:dyDescent="0.35">
      <c r="A8805">
        <v>2018</v>
      </c>
      <c r="B8805" t="s">
        <v>36</v>
      </c>
      <c r="C8805" t="s">
        <v>14</v>
      </c>
      <c r="D8805">
        <v>39947</v>
      </c>
      <c r="E8805" t="s">
        <v>467</v>
      </c>
    </row>
    <row r="8806" spans="1:5" x14ac:dyDescent="0.35">
      <c r="A8806">
        <v>2018</v>
      </c>
      <c r="B8806" t="s">
        <v>35</v>
      </c>
      <c r="C8806" t="s">
        <v>169</v>
      </c>
      <c r="D8806">
        <v>20</v>
      </c>
      <c r="E8806" t="s">
        <v>328</v>
      </c>
    </row>
    <row r="8807" spans="1:5" x14ac:dyDescent="0.35">
      <c r="A8807">
        <v>2018</v>
      </c>
      <c r="B8807" t="s">
        <v>37</v>
      </c>
      <c r="C8807" t="s">
        <v>137</v>
      </c>
      <c r="D8807">
        <v>13</v>
      </c>
      <c r="E8807" t="s">
        <v>467</v>
      </c>
    </row>
    <row r="8808" spans="1:5" x14ac:dyDescent="0.35">
      <c r="A8808">
        <v>2018</v>
      </c>
      <c r="B8808" t="s">
        <v>35</v>
      </c>
      <c r="C8808" t="s">
        <v>169</v>
      </c>
      <c r="D8808">
        <v>13</v>
      </c>
      <c r="E8808" t="s">
        <v>355</v>
      </c>
    </row>
    <row r="8809" spans="1:5" x14ac:dyDescent="0.35">
      <c r="A8809">
        <v>2018</v>
      </c>
      <c r="B8809" t="s">
        <v>35</v>
      </c>
      <c r="C8809" t="s">
        <v>138</v>
      </c>
      <c r="D8809">
        <v>31</v>
      </c>
      <c r="E8809" t="s">
        <v>467</v>
      </c>
    </row>
    <row r="8810" spans="1:5" x14ac:dyDescent="0.35">
      <c r="A8810">
        <v>2018</v>
      </c>
      <c r="B8810" t="s">
        <v>33</v>
      </c>
      <c r="C8810" t="s">
        <v>168</v>
      </c>
      <c r="D8810">
        <v>88</v>
      </c>
      <c r="E8810" t="s">
        <v>328</v>
      </c>
    </row>
    <row r="8811" spans="1:5" x14ac:dyDescent="0.35">
      <c r="A8811">
        <v>2018</v>
      </c>
      <c r="B8811" t="s">
        <v>34</v>
      </c>
      <c r="C8811" t="s">
        <v>139</v>
      </c>
      <c r="D8811">
        <v>52</v>
      </c>
      <c r="E8811" t="s">
        <v>467</v>
      </c>
    </row>
    <row r="8812" spans="1:5" x14ac:dyDescent="0.35">
      <c r="A8812">
        <v>2018</v>
      </c>
      <c r="B8812" t="s">
        <v>33</v>
      </c>
      <c r="C8812" t="s">
        <v>168</v>
      </c>
      <c r="D8812">
        <v>44</v>
      </c>
      <c r="E8812" t="s">
        <v>355</v>
      </c>
    </row>
    <row r="8813" spans="1:5" x14ac:dyDescent="0.35">
      <c r="A8813">
        <v>2018</v>
      </c>
      <c r="B8813" t="s">
        <v>35</v>
      </c>
      <c r="C8813" t="s">
        <v>140</v>
      </c>
      <c r="D8813">
        <v>12</v>
      </c>
      <c r="E8813" t="s">
        <v>467</v>
      </c>
    </row>
    <row r="8814" spans="1:5" x14ac:dyDescent="0.35">
      <c r="A8814">
        <v>2018</v>
      </c>
      <c r="B8814" t="s">
        <v>34</v>
      </c>
      <c r="C8814" t="s">
        <v>167</v>
      </c>
      <c r="D8814">
        <v>30</v>
      </c>
      <c r="E8814" t="s">
        <v>328</v>
      </c>
    </row>
    <row r="8815" spans="1:5" x14ac:dyDescent="0.35">
      <c r="A8815">
        <v>2018</v>
      </c>
      <c r="B8815" t="s">
        <v>33</v>
      </c>
      <c r="C8815" t="s">
        <v>141</v>
      </c>
      <c r="D8815">
        <v>158</v>
      </c>
      <c r="E8815" t="s">
        <v>467</v>
      </c>
    </row>
    <row r="8816" spans="1:5" x14ac:dyDescent="0.35">
      <c r="A8816">
        <v>2018</v>
      </c>
      <c r="B8816" t="s">
        <v>34</v>
      </c>
      <c r="C8816" t="s">
        <v>167</v>
      </c>
      <c r="D8816">
        <v>86</v>
      </c>
      <c r="E8816" t="s">
        <v>355</v>
      </c>
    </row>
    <row r="8817" spans="1:5" x14ac:dyDescent="0.35">
      <c r="A8817">
        <v>2018</v>
      </c>
      <c r="B8817" t="s">
        <v>34</v>
      </c>
      <c r="C8817" t="s">
        <v>144</v>
      </c>
      <c r="D8817">
        <v>39</v>
      </c>
      <c r="E8817" t="s">
        <v>467</v>
      </c>
    </row>
    <row r="8818" spans="1:5" x14ac:dyDescent="0.35">
      <c r="A8818">
        <v>2018</v>
      </c>
      <c r="B8818" t="s">
        <v>37</v>
      </c>
      <c r="C8818" t="s">
        <v>166</v>
      </c>
      <c r="D8818">
        <v>29</v>
      </c>
      <c r="E8818" t="s">
        <v>355</v>
      </c>
    </row>
    <row r="8819" spans="1:5" x14ac:dyDescent="0.35">
      <c r="A8819">
        <v>2018</v>
      </c>
      <c r="B8819" t="s">
        <v>35</v>
      </c>
      <c r="C8819" t="s">
        <v>145</v>
      </c>
      <c r="D8819">
        <v>265</v>
      </c>
      <c r="E8819" t="s">
        <v>467</v>
      </c>
    </row>
    <row r="8820" spans="1:5" x14ac:dyDescent="0.35">
      <c r="A8820">
        <v>2018</v>
      </c>
      <c r="B8820" t="s">
        <v>33</v>
      </c>
      <c r="C8820" t="s">
        <v>174</v>
      </c>
      <c r="D8820">
        <v>126</v>
      </c>
      <c r="E8820" t="s">
        <v>355</v>
      </c>
    </row>
    <row r="8821" spans="1:5" x14ac:dyDescent="0.35">
      <c r="A8821">
        <v>2018</v>
      </c>
      <c r="B8821" t="s">
        <v>37</v>
      </c>
      <c r="C8821" t="s">
        <v>146</v>
      </c>
      <c r="D8821">
        <v>160</v>
      </c>
      <c r="E8821" t="s">
        <v>467</v>
      </c>
    </row>
    <row r="8822" spans="1:5" x14ac:dyDescent="0.35">
      <c r="A8822">
        <v>2018</v>
      </c>
      <c r="B8822" t="s">
        <v>33</v>
      </c>
      <c r="C8822" t="s">
        <v>174</v>
      </c>
      <c r="D8822">
        <v>102</v>
      </c>
      <c r="E8822" t="s">
        <v>328</v>
      </c>
    </row>
    <row r="8823" spans="1:5" x14ac:dyDescent="0.35">
      <c r="A8823">
        <v>2018</v>
      </c>
      <c r="B8823" t="s">
        <v>33</v>
      </c>
      <c r="C8823" t="s">
        <v>132</v>
      </c>
      <c r="D8823">
        <v>40</v>
      </c>
      <c r="E8823" t="s">
        <v>467</v>
      </c>
    </row>
    <row r="8824" spans="1:5" x14ac:dyDescent="0.35">
      <c r="A8824">
        <v>2018</v>
      </c>
      <c r="B8824" t="s">
        <v>33</v>
      </c>
      <c r="C8824" t="s">
        <v>175</v>
      </c>
      <c r="D8824">
        <v>49</v>
      </c>
      <c r="E8824" t="s">
        <v>355</v>
      </c>
    </row>
    <row r="8825" spans="1:5" x14ac:dyDescent="0.35">
      <c r="A8825">
        <v>2018</v>
      </c>
      <c r="B8825" t="s">
        <v>34</v>
      </c>
      <c r="C8825" t="s">
        <v>116</v>
      </c>
      <c r="D8825">
        <v>44</v>
      </c>
      <c r="E8825" t="s">
        <v>467</v>
      </c>
    </row>
    <row r="8826" spans="1:5" x14ac:dyDescent="0.35">
      <c r="A8826">
        <v>2018</v>
      </c>
      <c r="B8826" t="s">
        <v>33</v>
      </c>
      <c r="C8826" t="s">
        <v>175</v>
      </c>
      <c r="D8826">
        <v>13</v>
      </c>
      <c r="E8826" t="s">
        <v>328</v>
      </c>
    </row>
    <row r="8827" spans="1:5" x14ac:dyDescent="0.35">
      <c r="A8827">
        <v>2018</v>
      </c>
      <c r="B8827" t="s">
        <v>33</v>
      </c>
      <c r="C8827" t="s">
        <v>129</v>
      </c>
      <c r="D8827">
        <v>17</v>
      </c>
      <c r="E8827" t="s">
        <v>467</v>
      </c>
    </row>
    <row r="8828" spans="1:5" x14ac:dyDescent="0.35">
      <c r="A8828">
        <v>2018</v>
      </c>
      <c r="B8828" t="s">
        <v>34</v>
      </c>
      <c r="C8828" t="s">
        <v>186</v>
      </c>
      <c r="D8828">
        <v>3</v>
      </c>
      <c r="E8828" t="s">
        <v>355</v>
      </c>
    </row>
    <row r="8829" spans="1:5" x14ac:dyDescent="0.35">
      <c r="A8829">
        <v>2018</v>
      </c>
      <c r="B8829" t="s">
        <v>36</v>
      </c>
      <c r="C8829" t="s">
        <v>113</v>
      </c>
      <c r="D8829">
        <v>308</v>
      </c>
      <c r="E8829" t="s">
        <v>467</v>
      </c>
    </row>
    <row r="8830" spans="1:5" x14ac:dyDescent="0.35">
      <c r="A8830">
        <v>2018</v>
      </c>
      <c r="B8830" t="s">
        <v>34</v>
      </c>
      <c r="C8830" t="s">
        <v>185</v>
      </c>
      <c r="D8830">
        <v>10</v>
      </c>
      <c r="E8830" t="s">
        <v>328</v>
      </c>
    </row>
    <row r="8831" spans="1:5" x14ac:dyDescent="0.35">
      <c r="A8831">
        <v>2018</v>
      </c>
      <c r="B8831" t="s">
        <v>34</v>
      </c>
      <c r="C8831" t="s">
        <v>114</v>
      </c>
      <c r="D8831">
        <v>285</v>
      </c>
      <c r="E8831" t="s">
        <v>467</v>
      </c>
    </row>
    <row r="8832" spans="1:5" x14ac:dyDescent="0.35">
      <c r="A8832">
        <v>2018</v>
      </c>
      <c r="B8832" t="s">
        <v>34</v>
      </c>
      <c r="C8832" t="s">
        <v>185</v>
      </c>
      <c r="D8832">
        <v>23</v>
      </c>
      <c r="E8832" t="s">
        <v>355</v>
      </c>
    </row>
    <row r="8833" spans="1:5" x14ac:dyDescent="0.35">
      <c r="A8833">
        <v>2018</v>
      </c>
      <c r="B8833" t="s">
        <v>33</v>
      </c>
      <c r="C8833" t="s">
        <v>95</v>
      </c>
      <c r="D8833">
        <v>14</v>
      </c>
      <c r="E8833" t="s">
        <v>467</v>
      </c>
    </row>
    <row r="8834" spans="1:5" x14ac:dyDescent="0.35">
      <c r="A8834">
        <v>2018</v>
      </c>
      <c r="B8834" t="s">
        <v>34</v>
      </c>
      <c r="C8834" t="s">
        <v>184</v>
      </c>
      <c r="D8834">
        <v>4</v>
      </c>
      <c r="E8834" t="s">
        <v>328</v>
      </c>
    </row>
    <row r="8835" spans="1:5" x14ac:dyDescent="0.35">
      <c r="A8835">
        <v>2018</v>
      </c>
      <c r="B8835" t="s">
        <v>33</v>
      </c>
      <c r="C8835" t="s">
        <v>96</v>
      </c>
      <c r="D8835">
        <v>14</v>
      </c>
      <c r="E8835" t="s">
        <v>467</v>
      </c>
    </row>
    <row r="8836" spans="1:5" x14ac:dyDescent="0.35">
      <c r="A8836">
        <v>2018</v>
      </c>
      <c r="B8836" t="s">
        <v>34</v>
      </c>
      <c r="C8836" t="s">
        <v>184</v>
      </c>
      <c r="D8836">
        <v>4</v>
      </c>
      <c r="E8836" t="s">
        <v>355</v>
      </c>
    </row>
    <row r="8837" spans="1:5" x14ac:dyDescent="0.35">
      <c r="A8837">
        <v>2018</v>
      </c>
      <c r="B8837" t="s">
        <v>34</v>
      </c>
      <c r="C8837" t="s">
        <v>8</v>
      </c>
      <c r="D8837">
        <v>8</v>
      </c>
      <c r="E8837" t="s">
        <v>467</v>
      </c>
    </row>
    <row r="8838" spans="1:5" x14ac:dyDescent="0.35">
      <c r="A8838">
        <v>2018</v>
      </c>
      <c r="B8838" t="s">
        <v>35</v>
      </c>
      <c r="C8838" t="s">
        <v>182</v>
      </c>
      <c r="D8838">
        <v>11</v>
      </c>
      <c r="E8838" t="s">
        <v>328</v>
      </c>
    </row>
    <row r="8839" spans="1:5" x14ac:dyDescent="0.35">
      <c r="A8839">
        <v>2018</v>
      </c>
      <c r="B8839" t="s">
        <v>35</v>
      </c>
      <c r="C8839" t="s">
        <v>93</v>
      </c>
      <c r="D8839">
        <v>40</v>
      </c>
      <c r="E8839" t="s">
        <v>467</v>
      </c>
    </row>
    <row r="8840" spans="1:5" x14ac:dyDescent="0.35">
      <c r="A8840">
        <v>2018</v>
      </c>
      <c r="B8840" t="s">
        <v>35</v>
      </c>
      <c r="C8840" t="s">
        <v>182</v>
      </c>
      <c r="D8840">
        <v>10</v>
      </c>
      <c r="E8840" t="s">
        <v>355</v>
      </c>
    </row>
    <row r="8841" spans="1:5" x14ac:dyDescent="0.35">
      <c r="A8841">
        <v>2018</v>
      </c>
      <c r="B8841" t="s">
        <v>35</v>
      </c>
      <c r="C8841" t="s">
        <v>97</v>
      </c>
      <c r="D8841">
        <v>503</v>
      </c>
      <c r="E8841" t="s">
        <v>467</v>
      </c>
    </row>
    <row r="8842" spans="1:5" x14ac:dyDescent="0.35">
      <c r="A8842">
        <v>2018</v>
      </c>
      <c r="B8842" t="s">
        <v>36</v>
      </c>
      <c r="C8842" t="s">
        <v>165</v>
      </c>
      <c r="E8842" t="s">
        <v>355</v>
      </c>
    </row>
    <row r="8843" spans="1:5" x14ac:dyDescent="0.35">
      <c r="A8843">
        <v>2018</v>
      </c>
      <c r="B8843" t="s">
        <v>33</v>
      </c>
      <c r="C8843" t="s">
        <v>98</v>
      </c>
      <c r="D8843">
        <v>91</v>
      </c>
      <c r="E8843" t="s">
        <v>467</v>
      </c>
    </row>
    <row r="8844" spans="1:5" x14ac:dyDescent="0.35">
      <c r="A8844">
        <v>2018</v>
      </c>
      <c r="B8844" t="s">
        <v>38</v>
      </c>
      <c r="C8844" t="s">
        <v>180</v>
      </c>
      <c r="D8844">
        <v>3</v>
      </c>
      <c r="E8844" t="s">
        <v>328</v>
      </c>
    </row>
    <row r="8845" spans="1:5" x14ac:dyDescent="0.35">
      <c r="A8845">
        <v>2018</v>
      </c>
      <c r="B8845" t="s">
        <v>36</v>
      </c>
      <c r="C8845" t="s">
        <v>100</v>
      </c>
      <c r="D8845">
        <v>13</v>
      </c>
      <c r="E8845" t="s">
        <v>467</v>
      </c>
    </row>
    <row r="8846" spans="1:5" x14ac:dyDescent="0.35">
      <c r="A8846">
        <v>2018</v>
      </c>
      <c r="B8846" t="s">
        <v>33</v>
      </c>
      <c r="C8846" t="s">
        <v>179</v>
      </c>
      <c r="D8846">
        <v>11</v>
      </c>
      <c r="E8846" t="s">
        <v>328</v>
      </c>
    </row>
    <row r="8847" spans="1:5" x14ac:dyDescent="0.35">
      <c r="A8847">
        <v>2018</v>
      </c>
      <c r="B8847" t="s">
        <v>36</v>
      </c>
      <c r="C8847" t="s">
        <v>15</v>
      </c>
      <c r="D8847">
        <v>2127</v>
      </c>
      <c r="E8847" t="s">
        <v>467</v>
      </c>
    </row>
    <row r="8848" spans="1:5" x14ac:dyDescent="0.35">
      <c r="A8848">
        <v>2018</v>
      </c>
      <c r="B8848" t="s">
        <v>33</v>
      </c>
      <c r="C8848" t="s">
        <v>179</v>
      </c>
      <c r="D8848">
        <v>38</v>
      </c>
      <c r="E8848" t="s">
        <v>355</v>
      </c>
    </row>
    <row r="8849" spans="1:5" x14ac:dyDescent="0.35">
      <c r="A8849">
        <v>2018</v>
      </c>
      <c r="B8849" t="s">
        <v>33</v>
      </c>
      <c r="C8849" t="s">
        <v>101</v>
      </c>
      <c r="D8849">
        <v>28</v>
      </c>
      <c r="E8849" t="s">
        <v>467</v>
      </c>
    </row>
    <row r="8850" spans="1:5" x14ac:dyDescent="0.35">
      <c r="A8850">
        <v>2018</v>
      </c>
      <c r="B8850" t="s">
        <v>34</v>
      </c>
      <c r="C8850" t="s">
        <v>178</v>
      </c>
      <c r="D8850">
        <v>25</v>
      </c>
      <c r="E8850" t="s">
        <v>328</v>
      </c>
    </row>
    <row r="8851" spans="1:5" x14ac:dyDescent="0.35">
      <c r="A8851">
        <v>2018</v>
      </c>
      <c r="B8851" t="s">
        <v>38</v>
      </c>
      <c r="C8851" t="s">
        <v>103</v>
      </c>
      <c r="D8851">
        <v>65</v>
      </c>
      <c r="E8851" t="s">
        <v>467</v>
      </c>
    </row>
    <row r="8852" spans="1:5" x14ac:dyDescent="0.35">
      <c r="A8852">
        <v>2018</v>
      </c>
      <c r="B8852" t="s">
        <v>34</v>
      </c>
      <c r="C8852" t="s">
        <v>178</v>
      </c>
      <c r="D8852">
        <v>20</v>
      </c>
      <c r="E8852" t="s">
        <v>355</v>
      </c>
    </row>
    <row r="8853" spans="1:5" x14ac:dyDescent="0.35">
      <c r="A8853">
        <v>2018</v>
      </c>
      <c r="B8853" t="s">
        <v>35</v>
      </c>
      <c r="C8853" t="s">
        <v>99</v>
      </c>
      <c r="D8853">
        <v>140</v>
      </c>
      <c r="E8853" t="s">
        <v>467</v>
      </c>
    </row>
    <row r="8854" spans="1:5" x14ac:dyDescent="0.35">
      <c r="A8854">
        <v>2018</v>
      </c>
      <c r="B8854" t="s">
        <v>35</v>
      </c>
      <c r="C8854" t="s">
        <v>177</v>
      </c>
      <c r="D8854">
        <v>131</v>
      </c>
      <c r="E8854" t="s">
        <v>328</v>
      </c>
    </row>
    <row r="8855" spans="1:5" x14ac:dyDescent="0.35">
      <c r="A8855">
        <v>2018</v>
      </c>
      <c r="B8855" t="s">
        <v>35</v>
      </c>
      <c r="C8855" t="s">
        <v>112</v>
      </c>
      <c r="D8855">
        <v>748</v>
      </c>
      <c r="E8855" t="s">
        <v>467</v>
      </c>
    </row>
    <row r="8856" spans="1:5" x14ac:dyDescent="0.35">
      <c r="A8856">
        <v>2018</v>
      </c>
      <c r="B8856" t="s">
        <v>35</v>
      </c>
      <c r="C8856" t="s">
        <v>177</v>
      </c>
      <c r="D8856">
        <v>78</v>
      </c>
      <c r="E8856" t="s">
        <v>355</v>
      </c>
    </row>
    <row r="8857" spans="1:5" x14ac:dyDescent="0.35">
      <c r="A8857">
        <v>2018</v>
      </c>
      <c r="B8857" t="s">
        <v>36</v>
      </c>
      <c r="C8857" t="s">
        <v>17</v>
      </c>
      <c r="D8857">
        <v>1059</v>
      </c>
      <c r="E8857" t="s">
        <v>467</v>
      </c>
    </row>
    <row r="8858" spans="1:5" x14ac:dyDescent="0.35">
      <c r="A8858">
        <v>2018</v>
      </c>
      <c r="B8858" t="s">
        <v>33</v>
      </c>
      <c r="C8858" t="s">
        <v>176</v>
      </c>
      <c r="D8858">
        <v>61</v>
      </c>
      <c r="E8858" t="s">
        <v>355</v>
      </c>
    </row>
    <row r="8859" spans="1:5" x14ac:dyDescent="0.35">
      <c r="A8859">
        <v>2018</v>
      </c>
      <c r="B8859" t="s">
        <v>35</v>
      </c>
      <c r="C8859" t="s">
        <v>105</v>
      </c>
      <c r="D8859">
        <v>169</v>
      </c>
      <c r="E8859" t="s">
        <v>467</v>
      </c>
    </row>
    <row r="8860" spans="1:5" x14ac:dyDescent="0.35">
      <c r="A8860">
        <v>2018</v>
      </c>
      <c r="B8860" t="s">
        <v>38</v>
      </c>
      <c r="C8860" t="s">
        <v>180</v>
      </c>
      <c r="D8860">
        <v>17</v>
      </c>
      <c r="E8860" t="s">
        <v>355</v>
      </c>
    </row>
    <row r="8861" spans="1:5" x14ac:dyDescent="0.35">
      <c r="A8861">
        <v>2018</v>
      </c>
      <c r="B8861" t="s">
        <v>35</v>
      </c>
      <c r="C8861" t="s">
        <v>106</v>
      </c>
      <c r="D8861">
        <v>10</v>
      </c>
      <c r="E8861" t="s">
        <v>467</v>
      </c>
    </row>
    <row r="8862" spans="1:5" x14ac:dyDescent="0.35">
      <c r="A8862">
        <v>2018</v>
      </c>
      <c r="B8862" t="s">
        <v>33</v>
      </c>
      <c r="C8862" t="s">
        <v>117</v>
      </c>
      <c r="D8862">
        <v>45</v>
      </c>
      <c r="E8862" t="s">
        <v>328</v>
      </c>
    </row>
    <row r="8863" spans="1:5" x14ac:dyDescent="0.35">
      <c r="A8863">
        <v>2018</v>
      </c>
      <c r="B8863" t="s">
        <v>34</v>
      </c>
      <c r="C8863" t="s">
        <v>22</v>
      </c>
      <c r="D8863">
        <v>2158</v>
      </c>
      <c r="E8863" t="s">
        <v>467</v>
      </c>
    </row>
    <row r="8864" spans="1:5" x14ac:dyDescent="0.35">
      <c r="A8864">
        <v>2018</v>
      </c>
      <c r="B8864" t="s">
        <v>33</v>
      </c>
      <c r="C8864" t="s">
        <v>204</v>
      </c>
      <c r="D8864">
        <v>11</v>
      </c>
      <c r="E8864" t="s">
        <v>355</v>
      </c>
    </row>
    <row r="8865" spans="1:5" x14ac:dyDescent="0.35">
      <c r="A8865">
        <v>2018</v>
      </c>
      <c r="B8865" t="s">
        <v>34</v>
      </c>
      <c r="C8865" t="s">
        <v>107</v>
      </c>
      <c r="D8865">
        <v>45</v>
      </c>
      <c r="E8865" t="s">
        <v>467</v>
      </c>
    </row>
    <row r="8866" spans="1:5" x14ac:dyDescent="0.35">
      <c r="A8866">
        <v>2018</v>
      </c>
      <c r="B8866" t="s">
        <v>34</v>
      </c>
      <c r="C8866" t="s">
        <v>116</v>
      </c>
      <c r="D8866">
        <v>9</v>
      </c>
      <c r="E8866" t="s">
        <v>328</v>
      </c>
    </row>
    <row r="8867" spans="1:5" x14ac:dyDescent="0.35">
      <c r="A8867">
        <v>2018</v>
      </c>
      <c r="B8867" t="s">
        <v>34</v>
      </c>
      <c r="C8867" t="s">
        <v>108</v>
      </c>
      <c r="D8867">
        <v>772</v>
      </c>
      <c r="E8867" t="s">
        <v>467</v>
      </c>
    </row>
    <row r="8868" spans="1:5" x14ac:dyDescent="0.35">
      <c r="A8868">
        <v>2018</v>
      </c>
      <c r="B8868" t="s">
        <v>33</v>
      </c>
      <c r="C8868" t="s">
        <v>68</v>
      </c>
      <c r="D8868">
        <v>23</v>
      </c>
      <c r="E8868" t="s">
        <v>355</v>
      </c>
    </row>
    <row r="8869" spans="1:5" x14ac:dyDescent="0.35">
      <c r="A8869">
        <v>2018</v>
      </c>
      <c r="B8869" t="s">
        <v>34</v>
      </c>
      <c r="C8869" t="s">
        <v>109</v>
      </c>
      <c r="D8869">
        <v>113</v>
      </c>
      <c r="E8869" t="s">
        <v>467</v>
      </c>
    </row>
    <row r="8870" spans="1:5" x14ac:dyDescent="0.35">
      <c r="A8870">
        <v>2018</v>
      </c>
      <c r="B8870" t="s">
        <v>34</v>
      </c>
      <c r="C8870" t="s">
        <v>67</v>
      </c>
      <c r="D8870">
        <v>6</v>
      </c>
      <c r="E8870" t="s">
        <v>328</v>
      </c>
    </row>
    <row r="8871" spans="1:5" x14ac:dyDescent="0.35">
      <c r="A8871">
        <v>2018</v>
      </c>
      <c r="B8871" t="s">
        <v>35</v>
      </c>
      <c r="C8871" t="s">
        <v>110</v>
      </c>
      <c r="D8871">
        <v>487</v>
      </c>
      <c r="E8871" t="s">
        <v>467</v>
      </c>
    </row>
    <row r="8872" spans="1:5" x14ac:dyDescent="0.35">
      <c r="A8872">
        <v>2018</v>
      </c>
      <c r="B8872" t="s">
        <v>34</v>
      </c>
      <c r="C8872" t="s">
        <v>67</v>
      </c>
      <c r="D8872">
        <v>105</v>
      </c>
      <c r="E8872" t="s">
        <v>355</v>
      </c>
    </row>
    <row r="8873" spans="1:5" x14ac:dyDescent="0.35">
      <c r="A8873">
        <v>2018</v>
      </c>
      <c r="B8873" t="s">
        <v>34</v>
      </c>
      <c r="C8873" t="s">
        <v>111</v>
      </c>
      <c r="D8873">
        <v>331</v>
      </c>
      <c r="E8873" t="s">
        <v>467</v>
      </c>
    </row>
    <row r="8874" spans="1:5" x14ac:dyDescent="0.35">
      <c r="A8874">
        <v>2018</v>
      </c>
      <c r="B8874" t="s">
        <v>33</v>
      </c>
      <c r="C8874" t="s">
        <v>66</v>
      </c>
      <c r="D8874">
        <v>9</v>
      </c>
      <c r="E8874" t="s">
        <v>328</v>
      </c>
    </row>
    <row r="8875" spans="1:5" x14ac:dyDescent="0.35">
      <c r="A8875">
        <v>2018</v>
      </c>
      <c r="B8875" t="s">
        <v>36</v>
      </c>
      <c r="C8875" t="s">
        <v>104</v>
      </c>
      <c r="D8875">
        <v>158</v>
      </c>
      <c r="E8875" t="s">
        <v>467</v>
      </c>
    </row>
    <row r="8876" spans="1:5" x14ac:dyDescent="0.35">
      <c r="A8876">
        <v>2018</v>
      </c>
      <c r="B8876" t="s">
        <v>33</v>
      </c>
      <c r="C8876" t="s">
        <v>66</v>
      </c>
      <c r="D8876">
        <v>60</v>
      </c>
      <c r="E8876" t="s">
        <v>355</v>
      </c>
    </row>
    <row r="8877" spans="1:5" x14ac:dyDescent="0.35">
      <c r="A8877">
        <v>2018</v>
      </c>
      <c r="B8877" t="s">
        <v>33</v>
      </c>
      <c r="C8877" t="s">
        <v>65</v>
      </c>
      <c r="D8877">
        <v>6</v>
      </c>
      <c r="E8877" t="s">
        <v>328</v>
      </c>
    </row>
    <row r="8878" spans="1:5" x14ac:dyDescent="0.35">
      <c r="A8878">
        <v>2018</v>
      </c>
      <c r="B8878" t="s">
        <v>33</v>
      </c>
      <c r="C8878" t="s">
        <v>65</v>
      </c>
      <c r="D8878">
        <v>8</v>
      </c>
      <c r="E8878" t="s">
        <v>355</v>
      </c>
    </row>
    <row r="8879" spans="1:5" x14ac:dyDescent="0.35">
      <c r="A8879">
        <v>2018</v>
      </c>
      <c r="B8879" t="s">
        <v>34</v>
      </c>
      <c r="C8879" t="s">
        <v>64</v>
      </c>
      <c r="D8879">
        <v>42</v>
      </c>
      <c r="E8879" t="s">
        <v>355</v>
      </c>
    </row>
    <row r="8880" spans="1:5" x14ac:dyDescent="0.35">
      <c r="A8880">
        <v>2018</v>
      </c>
      <c r="B8880" t="s">
        <v>33</v>
      </c>
      <c r="C8880" t="s">
        <v>63</v>
      </c>
      <c r="D8880">
        <v>25</v>
      </c>
      <c r="E8880" t="s">
        <v>328</v>
      </c>
    </row>
    <row r="8881" spans="1:5" x14ac:dyDescent="0.35">
      <c r="A8881">
        <v>2018</v>
      </c>
      <c r="B8881" t="s">
        <v>33</v>
      </c>
      <c r="C8881" t="s">
        <v>63</v>
      </c>
      <c r="D8881">
        <v>14</v>
      </c>
      <c r="E8881" t="s">
        <v>355</v>
      </c>
    </row>
    <row r="8882" spans="1:5" x14ac:dyDescent="0.35">
      <c r="A8882">
        <v>2018</v>
      </c>
      <c r="B8882" t="s">
        <v>35</v>
      </c>
      <c r="C8882" t="s">
        <v>62</v>
      </c>
      <c r="D8882">
        <v>17</v>
      </c>
      <c r="E8882" t="s">
        <v>328</v>
      </c>
    </row>
    <row r="8883" spans="1:5" x14ac:dyDescent="0.35">
      <c r="A8883">
        <v>2018</v>
      </c>
      <c r="B8883" t="s">
        <v>35</v>
      </c>
      <c r="C8883" t="s">
        <v>62</v>
      </c>
      <c r="D8883">
        <v>20</v>
      </c>
      <c r="E8883" t="s">
        <v>355</v>
      </c>
    </row>
    <row r="8884" spans="1:5" x14ac:dyDescent="0.35">
      <c r="A8884">
        <v>2018</v>
      </c>
      <c r="B8884" t="s">
        <v>38</v>
      </c>
      <c r="C8884" t="s">
        <v>21</v>
      </c>
      <c r="D8884">
        <v>949</v>
      </c>
      <c r="E8884" t="s">
        <v>328</v>
      </c>
    </row>
    <row r="8885" spans="1:5" x14ac:dyDescent="0.35">
      <c r="A8885">
        <v>2018</v>
      </c>
      <c r="B8885" t="s">
        <v>38</v>
      </c>
      <c r="C8885" t="s">
        <v>21</v>
      </c>
      <c r="D8885">
        <v>1184</v>
      </c>
      <c r="E8885" t="s">
        <v>355</v>
      </c>
    </row>
    <row r="8886" spans="1:5" x14ac:dyDescent="0.35">
      <c r="A8886">
        <v>2018</v>
      </c>
      <c r="B8886" t="s">
        <v>35</v>
      </c>
      <c r="C8886" t="s">
        <v>60</v>
      </c>
      <c r="D8886">
        <v>7</v>
      </c>
      <c r="E8886" t="s">
        <v>328</v>
      </c>
    </row>
    <row r="8887" spans="1:5" x14ac:dyDescent="0.35">
      <c r="A8887">
        <v>2018</v>
      </c>
      <c r="B8887" t="s">
        <v>33</v>
      </c>
      <c r="C8887" t="s">
        <v>68</v>
      </c>
      <c r="D8887">
        <v>51</v>
      </c>
      <c r="E8887" t="s">
        <v>328</v>
      </c>
    </row>
    <row r="8888" spans="1:5" x14ac:dyDescent="0.35">
      <c r="A8888">
        <v>2018</v>
      </c>
      <c r="B8888" t="s">
        <v>35</v>
      </c>
      <c r="C8888" t="s">
        <v>60</v>
      </c>
      <c r="D8888">
        <v>36</v>
      </c>
      <c r="E8888" t="s">
        <v>355</v>
      </c>
    </row>
    <row r="8889" spans="1:5" x14ac:dyDescent="0.35">
      <c r="A8889">
        <v>2018</v>
      </c>
      <c r="B8889" t="s">
        <v>36</v>
      </c>
      <c r="C8889" t="s">
        <v>69</v>
      </c>
      <c r="D8889">
        <v>561</v>
      </c>
      <c r="E8889" t="s">
        <v>355</v>
      </c>
    </row>
    <row r="8890" spans="1:5" x14ac:dyDescent="0.35">
      <c r="A8890">
        <v>2018</v>
      </c>
      <c r="B8890" t="s">
        <v>33</v>
      </c>
      <c r="C8890" t="s">
        <v>71</v>
      </c>
      <c r="D8890">
        <v>6</v>
      </c>
      <c r="E8890" t="s">
        <v>355</v>
      </c>
    </row>
    <row r="8891" spans="1:5" x14ac:dyDescent="0.35">
      <c r="A8891">
        <v>2018</v>
      </c>
      <c r="B8891" t="s">
        <v>33</v>
      </c>
      <c r="C8891" t="s">
        <v>77</v>
      </c>
      <c r="D8891">
        <v>28</v>
      </c>
      <c r="E8891" t="s">
        <v>328</v>
      </c>
    </row>
    <row r="8892" spans="1:5" x14ac:dyDescent="0.35">
      <c r="A8892">
        <v>2018</v>
      </c>
      <c r="B8892" t="s">
        <v>33</v>
      </c>
      <c r="C8892" t="s">
        <v>77</v>
      </c>
      <c r="D8892">
        <v>55</v>
      </c>
      <c r="E8892" t="s">
        <v>355</v>
      </c>
    </row>
    <row r="8893" spans="1:5" x14ac:dyDescent="0.35">
      <c r="A8893">
        <v>2018</v>
      </c>
      <c r="B8893" t="s">
        <v>36</v>
      </c>
      <c r="C8893" t="s">
        <v>76</v>
      </c>
      <c r="D8893">
        <v>66</v>
      </c>
      <c r="E8893" t="s">
        <v>328</v>
      </c>
    </row>
    <row r="8894" spans="1:5" x14ac:dyDescent="0.35">
      <c r="A8894">
        <v>2018</v>
      </c>
      <c r="B8894" t="s">
        <v>36</v>
      </c>
      <c r="C8894" t="s">
        <v>76</v>
      </c>
      <c r="D8894">
        <v>255</v>
      </c>
      <c r="E8894" t="s">
        <v>355</v>
      </c>
    </row>
    <row r="8895" spans="1:5" x14ac:dyDescent="0.35">
      <c r="A8895">
        <v>2018</v>
      </c>
      <c r="B8895" t="s">
        <v>33</v>
      </c>
      <c r="C8895" t="s">
        <v>75</v>
      </c>
      <c r="D8895">
        <v>11</v>
      </c>
      <c r="E8895" t="s">
        <v>328</v>
      </c>
    </row>
    <row r="8896" spans="1:5" x14ac:dyDescent="0.35">
      <c r="A8896">
        <v>2018</v>
      </c>
      <c r="B8896" t="s">
        <v>33</v>
      </c>
      <c r="C8896" t="s">
        <v>75</v>
      </c>
      <c r="D8896">
        <v>8</v>
      </c>
      <c r="E8896" t="s">
        <v>355</v>
      </c>
    </row>
    <row r="8897" spans="1:5" x14ac:dyDescent="0.35">
      <c r="A8897">
        <v>2018</v>
      </c>
      <c r="B8897" t="s">
        <v>33</v>
      </c>
      <c r="C8897" t="s">
        <v>74</v>
      </c>
      <c r="D8897">
        <v>60</v>
      </c>
      <c r="E8897" t="s">
        <v>328</v>
      </c>
    </row>
    <row r="8898" spans="1:5" x14ac:dyDescent="0.35">
      <c r="A8898">
        <v>2018</v>
      </c>
      <c r="B8898" t="s">
        <v>33</v>
      </c>
      <c r="C8898" t="s">
        <v>74</v>
      </c>
      <c r="D8898">
        <v>20</v>
      </c>
      <c r="E8898" t="s">
        <v>355</v>
      </c>
    </row>
    <row r="8899" spans="1:5" x14ac:dyDescent="0.35">
      <c r="A8899">
        <v>2018</v>
      </c>
      <c r="B8899" t="s">
        <v>38</v>
      </c>
      <c r="C8899" t="s">
        <v>20</v>
      </c>
      <c r="D8899">
        <v>360</v>
      </c>
      <c r="E8899" t="s">
        <v>328</v>
      </c>
    </row>
    <row r="8900" spans="1:5" x14ac:dyDescent="0.35">
      <c r="A8900">
        <v>2018</v>
      </c>
      <c r="B8900" t="s">
        <v>38</v>
      </c>
      <c r="C8900" t="s">
        <v>20</v>
      </c>
      <c r="D8900">
        <v>2306</v>
      </c>
      <c r="E8900" t="s">
        <v>355</v>
      </c>
    </row>
    <row r="8901" spans="1:5" x14ac:dyDescent="0.35">
      <c r="A8901">
        <v>2018</v>
      </c>
      <c r="B8901" t="s">
        <v>34</v>
      </c>
      <c r="C8901" t="s">
        <v>73</v>
      </c>
      <c r="D8901">
        <v>443</v>
      </c>
      <c r="E8901" t="s">
        <v>328</v>
      </c>
    </row>
    <row r="8902" spans="1:5" x14ac:dyDescent="0.35">
      <c r="A8902">
        <v>2018</v>
      </c>
      <c r="B8902" t="s">
        <v>34</v>
      </c>
      <c r="C8902" t="s">
        <v>73</v>
      </c>
      <c r="D8902">
        <v>593</v>
      </c>
      <c r="E8902" t="s">
        <v>355</v>
      </c>
    </row>
    <row r="8903" spans="1:5" x14ac:dyDescent="0.35">
      <c r="A8903">
        <v>2018</v>
      </c>
      <c r="B8903" t="s">
        <v>38</v>
      </c>
      <c r="C8903" t="s">
        <v>72</v>
      </c>
      <c r="D8903">
        <v>74</v>
      </c>
      <c r="E8903" t="s">
        <v>328</v>
      </c>
    </row>
    <row r="8904" spans="1:5" x14ac:dyDescent="0.35">
      <c r="A8904">
        <v>2018</v>
      </c>
      <c r="B8904" t="s">
        <v>38</v>
      </c>
      <c r="C8904" t="s">
        <v>72</v>
      </c>
      <c r="D8904">
        <v>93</v>
      </c>
      <c r="E8904" t="s">
        <v>355</v>
      </c>
    </row>
    <row r="8905" spans="1:5" x14ac:dyDescent="0.35">
      <c r="A8905">
        <v>2018</v>
      </c>
      <c r="B8905" t="s">
        <v>33</v>
      </c>
      <c r="C8905" t="s">
        <v>71</v>
      </c>
      <c r="D8905">
        <v>7</v>
      </c>
      <c r="E8905" t="s">
        <v>328</v>
      </c>
    </row>
    <row r="8906" spans="1:5" x14ac:dyDescent="0.35">
      <c r="A8906">
        <v>2018</v>
      </c>
      <c r="B8906" t="s">
        <v>36</v>
      </c>
      <c r="C8906" t="s">
        <v>69</v>
      </c>
      <c r="D8906">
        <v>78</v>
      </c>
      <c r="E8906" t="s">
        <v>328</v>
      </c>
    </row>
    <row r="8907" spans="1:5" x14ac:dyDescent="0.35">
      <c r="A8907">
        <v>2018</v>
      </c>
      <c r="B8907" t="s">
        <v>38</v>
      </c>
      <c r="C8907" t="s">
        <v>59</v>
      </c>
      <c r="D8907">
        <v>30</v>
      </c>
      <c r="E8907" t="s">
        <v>328</v>
      </c>
    </row>
    <row r="8908" spans="1:5" x14ac:dyDescent="0.35">
      <c r="A8908">
        <v>2018</v>
      </c>
      <c r="B8908" t="s">
        <v>38</v>
      </c>
      <c r="C8908" t="s">
        <v>59</v>
      </c>
      <c r="D8908">
        <v>90</v>
      </c>
      <c r="E8908" t="s">
        <v>355</v>
      </c>
    </row>
    <row r="8909" spans="1:5" x14ac:dyDescent="0.35">
      <c r="A8909">
        <v>2018</v>
      </c>
      <c r="B8909" t="s">
        <v>33</v>
      </c>
      <c r="C8909" t="s">
        <v>57</v>
      </c>
      <c r="D8909">
        <v>8</v>
      </c>
      <c r="E8909" t="s">
        <v>328</v>
      </c>
    </row>
    <row r="8910" spans="1:5" x14ac:dyDescent="0.35">
      <c r="A8910">
        <v>2018</v>
      </c>
      <c r="B8910" t="s">
        <v>34</v>
      </c>
      <c r="C8910" t="s">
        <v>46</v>
      </c>
      <c r="D8910">
        <v>26</v>
      </c>
      <c r="E8910" t="s">
        <v>355</v>
      </c>
    </row>
    <row r="8911" spans="1:5" x14ac:dyDescent="0.35">
      <c r="A8911">
        <v>2018</v>
      </c>
      <c r="B8911" t="s">
        <v>38</v>
      </c>
      <c r="C8911" t="s">
        <v>45</v>
      </c>
      <c r="D8911">
        <v>32</v>
      </c>
      <c r="E8911" t="s">
        <v>328</v>
      </c>
    </row>
    <row r="8912" spans="1:5" x14ac:dyDescent="0.35">
      <c r="A8912">
        <v>2018</v>
      </c>
      <c r="B8912" t="s">
        <v>38</v>
      </c>
      <c r="C8912" t="s">
        <v>45</v>
      </c>
      <c r="D8912">
        <v>201</v>
      </c>
      <c r="E8912" t="s">
        <v>355</v>
      </c>
    </row>
    <row r="8913" spans="1:5" x14ac:dyDescent="0.35">
      <c r="A8913">
        <v>2018</v>
      </c>
      <c r="B8913" t="s">
        <v>36</v>
      </c>
      <c r="C8913" t="s">
        <v>44</v>
      </c>
      <c r="E8913" t="s">
        <v>328</v>
      </c>
    </row>
    <row r="8914" spans="1:5" x14ac:dyDescent="0.35">
      <c r="A8914">
        <v>2018</v>
      </c>
      <c r="B8914" t="s">
        <v>36</v>
      </c>
      <c r="C8914" t="s">
        <v>44</v>
      </c>
      <c r="E8914" t="s">
        <v>355</v>
      </c>
    </row>
    <row r="8915" spans="1:5" x14ac:dyDescent="0.35">
      <c r="A8915">
        <v>2018</v>
      </c>
      <c r="B8915" t="s">
        <v>33</v>
      </c>
      <c r="C8915" t="s">
        <v>43</v>
      </c>
      <c r="D8915">
        <v>24</v>
      </c>
      <c r="E8915" t="s">
        <v>328</v>
      </c>
    </row>
    <row r="8916" spans="1:5" x14ac:dyDescent="0.35">
      <c r="A8916">
        <v>2018</v>
      </c>
      <c r="B8916" t="s">
        <v>33</v>
      </c>
      <c r="C8916" t="s">
        <v>43</v>
      </c>
      <c r="D8916">
        <v>13</v>
      </c>
      <c r="E8916" t="s">
        <v>355</v>
      </c>
    </row>
    <row r="8917" spans="1:5" x14ac:dyDescent="0.35">
      <c r="A8917">
        <v>2018</v>
      </c>
      <c r="C8917" t="s">
        <v>373</v>
      </c>
      <c r="D8917">
        <v>22</v>
      </c>
      <c r="E8917" t="s">
        <v>328</v>
      </c>
    </row>
    <row r="8918" spans="1:5" x14ac:dyDescent="0.35">
      <c r="A8918">
        <v>2018</v>
      </c>
      <c r="C8918" t="s">
        <v>373</v>
      </c>
      <c r="D8918">
        <v>38</v>
      </c>
      <c r="E8918" t="s">
        <v>355</v>
      </c>
    </row>
    <row r="8919" spans="1:5" x14ac:dyDescent="0.35">
      <c r="A8919">
        <v>2018</v>
      </c>
      <c r="B8919" t="s">
        <v>33</v>
      </c>
      <c r="C8919" t="s">
        <v>42</v>
      </c>
      <c r="D8919">
        <v>5</v>
      </c>
      <c r="E8919" t="s">
        <v>328</v>
      </c>
    </row>
    <row r="8920" spans="1:5" x14ac:dyDescent="0.35">
      <c r="A8920">
        <v>2018</v>
      </c>
      <c r="B8920" t="s">
        <v>33</v>
      </c>
      <c r="C8920" t="s">
        <v>42</v>
      </c>
      <c r="D8920">
        <v>21</v>
      </c>
      <c r="E8920" t="s">
        <v>355</v>
      </c>
    </row>
    <row r="8921" spans="1:5" x14ac:dyDescent="0.35">
      <c r="A8921">
        <v>2018</v>
      </c>
      <c r="B8921" t="s">
        <v>35</v>
      </c>
      <c r="C8921" t="s">
        <v>41</v>
      </c>
      <c r="D8921">
        <v>59</v>
      </c>
      <c r="E8921" t="s">
        <v>328</v>
      </c>
    </row>
    <row r="8922" spans="1:5" x14ac:dyDescent="0.35">
      <c r="A8922">
        <v>2018</v>
      </c>
      <c r="B8922" t="s">
        <v>35</v>
      </c>
      <c r="C8922" t="s">
        <v>41</v>
      </c>
      <c r="D8922">
        <v>38</v>
      </c>
      <c r="E8922" t="s">
        <v>355</v>
      </c>
    </row>
    <row r="8923" spans="1:5" x14ac:dyDescent="0.35">
      <c r="A8923">
        <v>2018</v>
      </c>
      <c r="B8923" t="s">
        <v>34</v>
      </c>
      <c r="C8923" t="s">
        <v>40</v>
      </c>
      <c r="D8923">
        <v>14</v>
      </c>
      <c r="E8923" t="s">
        <v>328</v>
      </c>
    </row>
    <row r="8924" spans="1:5" x14ac:dyDescent="0.35">
      <c r="A8924">
        <v>2018</v>
      </c>
      <c r="B8924" t="s">
        <v>34</v>
      </c>
      <c r="C8924" t="s">
        <v>40</v>
      </c>
      <c r="D8924">
        <v>14</v>
      </c>
      <c r="E8924" t="s">
        <v>355</v>
      </c>
    </row>
    <row r="8925" spans="1:5" x14ac:dyDescent="0.35">
      <c r="A8925">
        <v>2018</v>
      </c>
      <c r="B8925" t="s">
        <v>34</v>
      </c>
      <c r="C8925" t="s">
        <v>46</v>
      </c>
      <c r="D8925">
        <v>5</v>
      </c>
      <c r="E8925" t="s">
        <v>328</v>
      </c>
    </row>
    <row r="8926" spans="1:5" x14ac:dyDescent="0.35">
      <c r="A8926">
        <v>2018</v>
      </c>
      <c r="B8926" t="s">
        <v>37</v>
      </c>
      <c r="C8926" t="s">
        <v>47</v>
      </c>
      <c r="D8926">
        <v>34</v>
      </c>
      <c r="E8926" t="s">
        <v>355</v>
      </c>
    </row>
    <row r="8927" spans="1:5" x14ac:dyDescent="0.35">
      <c r="A8927">
        <v>2018</v>
      </c>
      <c r="B8927" t="s">
        <v>37</v>
      </c>
      <c r="C8927" t="s">
        <v>47</v>
      </c>
      <c r="D8927">
        <v>16</v>
      </c>
      <c r="E8927" t="s">
        <v>328</v>
      </c>
    </row>
    <row r="8928" spans="1:5" x14ac:dyDescent="0.35">
      <c r="A8928">
        <v>2018</v>
      </c>
      <c r="B8928" t="s">
        <v>35</v>
      </c>
      <c r="C8928" t="s">
        <v>48</v>
      </c>
      <c r="D8928">
        <v>4</v>
      </c>
      <c r="E8928" t="s">
        <v>355</v>
      </c>
    </row>
    <row r="8929" spans="1:5" x14ac:dyDescent="0.35">
      <c r="A8929">
        <v>2018</v>
      </c>
      <c r="B8929" t="s">
        <v>33</v>
      </c>
      <c r="C8929" t="s">
        <v>57</v>
      </c>
      <c r="D8929">
        <v>6</v>
      </c>
      <c r="E8929" t="s">
        <v>355</v>
      </c>
    </row>
    <row r="8930" spans="1:5" x14ac:dyDescent="0.35">
      <c r="A8930">
        <v>2018</v>
      </c>
      <c r="B8930" t="s">
        <v>36</v>
      </c>
      <c r="C8930" t="s">
        <v>56</v>
      </c>
      <c r="D8930">
        <v>22</v>
      </c>
      <c r="E8930" t="s">
        <v>328</v>
      </c>
    </row>
    <row r="8931" spans="1:5" x14ac:dyDescent="0.35">
      <c r="A8931">
        <v>2018</v>
      </c>
      <c r="B8931" t="s">
        <v>36</v>
      </c>
      <c r="C8931" t="s">
        <v>56</v>
      </c>
      <c r="D8931">
        <v>111</v>
      </c>
      <c r="E8931" t="s">
        <v>355</v>
      </c>
    </row>
    <row r="8932" spans="1:5" x14ac:dyDescent="0.35">
      <c r="A8932">
        <v>2018</v>
      </c>
      <c r="B8932" t="s">
        <v>35</v>
      </c>
      <c r="C8932" t="s">
        <v>55</v>
      </c>
      <c r="D8932">
        <v>9</v>
      </c>
      <c r="E8932" t="s">
        <v>328</v>
      </c>
    </row>
    <row r="8933" spans="1:5" x14ac:dyDescent="0.35">
      <c r="A8933">
        <v>2018</v>
      </c>
      <c r="B8933" t="s">
        <v>35</v>
      </c>
      <c r="C8933" t="s">
        <v>55</v>
      </c>
      <c r="D8933">
        <v>12</v>
      </c>
      <c r="E8933" t="s">
        <v>355</v>
      </c>
    </row>
    <row r="8934" spans="1:5" x14ac:dyDescent="0.35">
      <c r="A8934">
        <v>2018</v>
      </c>
      <c r="B8934" t="s">
        <v>35</v>
      </c>
      <c r="C8934" t="s">
        <v>54</v>
      </c>
      <c r="D8934">
        <v>4</v>
      </c>
      <c r="E8934" t="s">
        <v>328</v>
      </c>
    </row>
    <row r="8935" spans="1:5" x14ac:dyDescent="0.35">
      <c r="A8935">
        <v>2018</v>
      </c>
      <c r="B8935" t="s">
        <v>35</v>
      </c>
      <c r="C8935" t="s">
        <v>54</v>
      </c>
      <c r="D8935">
        <v>11</v>
      </c>
      <c r="E8935" t="s">
        <v>355</v>
      </c>
    </row>
    <row r="8936" spans="1:5" x14ac:dyDescent="0.35">
      <c r="A8936">
        <v>2018</v>
      </c>
      <c r="B8936" t="s">
        <v>35</v>
      </c>
      <c r="C8936" t="s">
        <v>78</v>
      </c>
      <c r="E8936" t="s">
        <v>355</v>
      </c>
    </row>
    <row r="8937" spans="1:5" x14ac:dyDescent="0.35">
      <c r="A8937">
        <v>2018</v>
      </c>
      <c r="B8937" t="s">
        <v>36</v>
      </c>
      <c r="C8937" t="s">
        <v>53</v>
      </c>
      <c r="D8937">
        <v>3</v>
      </c>
      <c r="E8937" t="s">
        <v>328</v>
      </c>
    </row>
    <row r="8938" spans="1:5" x14ac:dyDescent="0.35">
      <c r="A8938">
        <v>2018</v>
      </c>
      <c r="B8938" t="s">
        <v>34</v>
      </c>
      <c r="C8938" t="s">
        <v>52</v>
      </c>
      <c r="D8938">
        <v>88</v>
      </c>
      <c r="E8938" t="s">
        <v>328</v>
      </c>
    </row>
    <row r="8939" spans="1:5" x14ac:dyDescent="0.35">
      <c r="A8939">
        <v>2018</v>
      </c>
      <c r="B8939" t="s">
        <v>34</v>
      </c>
      <c r="C8939" t="s">
        <v>52</v>
      </c>
      <c r="D8939">
        <v>57</v>
      </c>
      <c r="E8939" t="s">
        <v>355</v>
      </c>
    </row>
    <row r="8940" spans="1:5" x14ac:dyDescent="0.35">
      <c r="A8940">
        <v>2018</v>
      </c>
      <c r="B8940" t="s">
        <v>36</v>
      </c>
      <c r="C8940" t="s">
        <v>50</v>
      </c>
      <c r="D8940">
        <v>14</v>
      </c>
      <c r="E8940" t="s">
        <v>328</v>
      </c>
    </row>
    <row r="8941" spans="1:5" x14ac:dyDescent="0.35">
      <c r="A8941">
        <v>2018</v>
      </c>
      <c r="B8941" t="s">
        <v>36</v>
      </c>
      <c r="C8941" t="s">
        <v>50</v>
      </c>
      <c r="D8941">
        <v>75</v>
      </c>
      <c r="E8941" t="s">
        <v>355</v>
      </c>
    </row>
    <row r="8942" spans="1:5" x14ac:dyDescent="0.35">
      <c r="A8942">
        <v>2018</v>
      </c>
      <c r="B8942" t="s">
        <v>34</v>
      </c>
      <c r="C8942" t="s">
        <v>49</v>
      </c>
      <c r="D8942">
        <v>4</v>
      </c>
      <c r="E8942" t="s">
        <v>328</v>
      </c>
    </row>
    <row r="8943" spans="1:5" x14ac:dyDescent="0.35">
      <c r="A8943">
        <v>2018</v>
      </c>
      <c r="B8943" t="s">
        <v>34</v>
      </c>
      <c r="C8943" t="s">
        <v>49</v>
      </c>
      <c r="D8943">
        <v>14</v>
      </c>
      <c r="E8943" t="s">
        <v>355</v>
      </c>
    </row>
    <row r="8944" spans="1:5" x14ac:dyDescent="0.35">
      <c r="A8944">
        <v>2018</v>
      </c>
      <c r="B8944" t="s">
        <v>35</v>
      </c>
      <c r="C8944" t="s">
        <v>48</v>
      </c>
      <c r="D8944">
        <v>5</v>
      </c>
      <c r="E8944" t="s">
        <v>328</v>
      </c>
    </row>
    <row r="8945" spans="1:5" x14ac:dyDescent="0.35">
      <c r="A8945">
        <v>2018</v>
      </c>
      <c r="B8945" t="s">
        <v>36</v>
      </c>
      <c r="C8945" t="s">
        <v>53</v>
      </c>
      <c r="D8945">
        <v>15</v>
      </c>
      <c r="E8945" t="s">
        <v>355</v>
      </c>
    </row>
    <row r="8946" spans="1:5" x14ac:dyDescent="0.35">
      <c r="A8946">
        <v>2018</v>
      </c>
      <c r="B8946" t="s">
        <v>35</v>
      </c>
      <c r="C8946" t="s">
        <v>78</v>
      </c>
      <c r="E8946" t="s">
        <v>328</v>
      </c>
    </row>
    <row r="8947" spans="1:5" x14ac:dyDescent="0.35">
      <c r="A8947">
        <v>2018</v>
      </c>
      <c r="B8947" t="s">
        <v>33</v>
      </c>
      <c r="C8947" t="s">
        <v>117</v>
      </c>
      <c r="D8947">
        <v>110</v>
      </c>
      <c r="E8947" t="s">
        <v>355</v>
      </c>
    </row>
    <row r="8948" spans="1:5" x14ac:dyDescent="0.35">
      <c r="A8948">
        <v>2018</v>
      </c>
      <c r="B8948" t="s">
        <v>36</v>
      </c>
      <c r="C8948" t="s">
        <v>79</v>
      </c>
      <c r="D8948">
        <v>281</v>
      </c>
      <c r="E8948" t="s">
        <v>328</v>
      </c>
    </row>
    <row r="8949" spans="1:5" x14ac:dyDescent="0.35">
      <c r="A8949">
        <v>2018</v>
      </c>
      <c r="B8949" t="s">
        <v>34</v>
      </c>
      <c r="C8949" t="s">
        <v>22</v>
      </c>
      <c r="D8949">
        <v>380</v>
      </c>
      <c r="E8949" t="s">
        <v>328</v>
      </c>
    </row>
    <row r="8950" spans="1:5" x14ac:dyDescent="0.35">
      <c r="A8950">
        <v>2018</v>
      </c>
      <c r="B8950" t="s">
        <v>34</v>
      </c>
      <c r="C8950" t="s">
        <v>22</v>
      </c>
      <c r="D8950">
        <v>463</v>
      </c>
      <c r="E8950" t="s">
        <v>355</v>
      </c>
    </row>
    <row r="8951" spans="1:5" x14ac:dyDescent="0.35">
      <c r="A8951">
        <v>2018</v>
      </c>
      <c r="B8951" t="s">
        <v>35</v>
      </c>
      <c r="C8951" t="s">
        <v>105</v>
      </c>
      <c r="D8951">
        <v>59</v>
      </c>
      <c r="E8951" t="s">
        <v>328</v>
      </c>
    </row>
    <row r="8952" spans="1:5" x14ac:dyDescent="0.35">
      <c r="A8952">
        <v>2018</v>
      </c>
      <c r="B8952" t="s">
        <v>35</v>
      </c>
      <c r="C8952" t="s">
        <v>105</v>
      </c>
      <c r="D8952">
        <v>25</v>
      </c>
      <c r="E8952" t="s">
        <v>355</v>
      </c>
    </row>
    <row r="8953" spans="1:5" x14ac:dyDescent="0.35">
      <c r="A8953">
        <v>2018</v>
      </c>
      <c r="B8953" t="s">
        <v>36</v>
      </c>
      <c r="C8953" t="s">
        <v>17</v>
      </c>
      <c r="D8953">
        <v>15704</v>
      </c>
      <c r="E8953" t="s">
        <v>328</v>
      </c>
    </row>
    <row r="8954" spans="1:5" x14ac:dyDescent="0.35">
      <c r="A8954">
        <v>2018</v>
      </c>
      <c r="B8954" t="s">
        <v>36</v>
      </c>
      <c r="C8954" t="s">
        <v>17</v>
      </c>
      <c r="D8954">
        <v>12693</v>
      </c>
      <c r="E8954" t="s">
        <v>355</v>
      </c>
    </row>
    <row r="8955" spans="1:5" x14ac:dyDescent="0.35">
      <c r="A8955">
        <v>2018</v>
      </c>
      <c r="B8955" t="s">
        <v>36</v>
      </c>
      <c r="C8955" t="s">
        <v>104</v>
      </c>
      <c r="D8955">
        <v>564</v>
      </c>
      <c r="E8955" t="s">
        <v>328</v>
      </c>
    </row>
    <row r="8956" spans="1:5" x14ac:dyDescent="0.35">
      <c r="A8956">
        <v>2018</v>
      </c>
      <c r="B8956" t="s">
        <v>36</v>
      </c>
      <c r="C8956" t="s">
        <v>104</v>
      </c>
      <c r="D8956">
        <v>462</v>
      </c>
      <c r="E8956" t="s">
        <v>355</v>
      </c>
    </row>
    <row r="8957" spans="1:5" x14ac:dyDescent="0.35">
      <c r="A8957">
        <v>2018</v>
      </c>
      <c r="B8957" t="s">
        <v>38</v>
      </c>
      <c r="C8957" t="s">
        <v>103</v>
      </c>
      <c r="D8957">
        <v>51</v>
      </c>
      <c r="E8957" t="s">
        <v>328</v>
      </c>
    </row>
    <row r="8958" spans="1:5" x14ac:dyDescent="0.35">
      <c r="A8958">
        <v>2018</v>
      </c>
      <c r="B8958" t="s">
        <v>38</v>
      </c>
      <c r="C8958" t="s">
        <v>103</v>
      </c>
      <c r="D8958">
        <v>194</v>
      </c>
      <c r="E8958" t="s">
        <v>355</v>
      </c>
    </row>
    <row r="8959" spans="1:5" x14ac:dyDescent="0.35">
      <c r="A8959">
        <v>2018</v>
      </c>
      <c r="B8959" t="s">
        <v>33</v>
      </c>
      <c r="C8959" t="s">
        <v>101</v>
      </c>
      <c r="D8959">
        <v>135</v>
      </c>
      <c r="E8959" t="s">
        <v>328</v>
      </c>
    </row>
    <row r="8960" spans="1:5" x14ac:dyDescent="0.35">
      <c r="A8960">
        <v>2018</v>
      </c>
      <c r="B8960" t="s">
        <v>33</v>
      </c>
      <c r="C8960" t="s">
        <v>101</v>
      </c>
      <c r="D8960">
        <v>85</v>
      </c>
      <c r="E8960" t="s">
        <v>355</v>
      </c>
    </row>
    <row r="8961" spans="1:5" x14ac:dyDescent="0.35">
      <c r="A8961">
        <v>2018</v>
      </c>
      <c r="B8961" t="s">
        <v>36</v>
      </c>
      <c r="C8961" t="s">
        <v>15</v>
      </c>
      <c r="D8961">
        <v>29344</v>
      </c>
      <c r="E8961" t="s">
        <v>328</v>
      </c>
    </row>
    <row r="8962" spans="1:5" x14ac:dyDescent="0.35">
      <c r="A8962">
        <v>2018</v>
      </c>
      <c r="B8962" t="s">
        <v>36</v>
      </c>
      <c r="C8962" t="s">
        <v>15</v>
      </c>
      <c r="D8962">
        <v>19812</v>
      </c>
      <c r="E8962" t="s">
        <v>355</v>
      </c>
    </row>
    <row r="8963" spans="1:5" x14ac:dyDescent="0.35">
      <c r="A8963">
        <v>2018</v>
      </c>
      <c r="B8963" t="s">
        <v>36</v>
      </c>
      <c r="C8963" t="s">
        <v>100</v>
      </c>
      <c r="E8963" t="s">
        <v>328</v>
      </c>
    </row>
    <row r="8964" spans="1:5" x14ac:dyDescent="0.35">
      <c r="A8964">
        <v>2018</v>
      </c>
      <c r="B8964" t="s">
        <v>34</v>
      </c>
      <c r="C8964" t="s">
        <v>107</v>
      </c>
      <c r="D8964">
        <v>29</v>
      </c>
      <c r="E8964" t="s">
        <v>355</v>
      </c>
    </row>
    <row r="8965" spans="1:5" x14ac:dyDescent="0.35">
      <c r="A8965">
        <v>2018</v>
      </c>
      <c r="B8965" t="s">
        <v>36</v>
      </c>
      <c r="C8965" t="s">
        <v>100</v>
      </c>
      <c r="E8965" t="s">
        <v>355</v>
      </c>
    </row>
    <row r="8966" spans="1:5" x14ac:dyDescent="0.35">
      <c r="A8966">
        <v>2018</v>
      </c>
      <c r="B8966" t="s">
        <v>34</v>
      </c>
      <c r="C8966" t="s">
        <v>107</v>
      </c>
      <c r="D8966">
        <v>87</v>
      </c>
      <c r="E8966" t="s">
        <v>328</v>
      </c>
    </row>
    <row r="8967" spans="1:5" x14ac:dyDescent="0.35">
      <c r="A8967">
        <v>2018</v>
      </c>
      <c r="B8967" t="s">
        <v>34</v>
      </c>
      <c r="C8967" t="s">
        <v>108</v>
      </c>
      <c r="D8967">
        <v>8</v>
      </c>
      <c r="E8967" t="s">
        <v>328</v>
      </c>
    </row>
    <row r="8968" spans="1:5" x14ac:dyDescent="0.35">
      <c r="A8968">
        <v>2018</v>
      </c>
      <c r="B8968" t="s">
        <v>36</v>
      </c>
      <c r="C8968" t="s">
        <v>79</v>
      </c>
      <c r="D8968">
        <v>200</v>
      </c>
      <c r="E8968" t="s">
        <v>355</v>
      </c>
    </row>
    <row r="8969" spans="1:5" x14ac:dyDescent="0.35">
      <c r="A8969">
        <v>2018</v>
      </c>
      <c r="B8969" t="s">
        <v>34</v>
      </c>
      <c r="C8969" t="s">
        <v>115</v>
      </c>
      <c r="D8969">
        <v>28</v>
      </c>
      <c r="E8969" t="s">
        <v>328</v>
      </c>
    </row>
    <row r="8970" spans="1:5" x14ac:dyDescent="0.35">
      <c r="A8970">
        <v>2018</v>
      </c>
      <c r="B8970" t="s">
        <v>34</v>
      </c>
      <c r="C8970" t="s">
        <v>115</v>
      </c>
      <c r="D8970">
        <v>96</v>
      </c>
      <c r="E8970" t="s">
        <v>355</v>
      </c>
    </row>
    <row r="8971" spans="1:5" x14ac:dyDescent="0.35">
      <c r="A8971">
        <v>2018</v>
      </c>
      <c r="B8971" t="s">
        <v>34</v>
      </c>
      <c r="C8971" t="s">
        <v>114</v>
      </c>
      <c r="D8971">
        <v>16</v>
      </c>
      <c r="E8971" t="s">
        <v>328</v>
      </c>
    </row>
    <row r="8972" spans="1:5" x14ac:dyDescent="0.35">
      <c r="A8972">
        <v>2018</v>
      </c>
      <c r="B8972" t="s">
        <v>34</v>
      </c>
      <c r="C8972" t="s">
        <v>114</v>
      </c>
      <c r="D8972">
        <v>24</v>
      </c>
      <c r="E8972" t="s">
        <v>355</v>
      </c>
    </row>
    <row r="8973" spans="1:5" x14ac:dyDescent="0.35">
      <c r="A8973">
        <v>2018</v>
      </c>
      <c r="B8973" t="s">
        <v>36</v>
      </c>
      <c r="C8973" t="s">
        <v>113</v>
      </c>
      <c r="D8973">
        <v>93</v>
      </c>
      <c r="E8973" t="s">
        <v>328</v>
      </c>
    </row>
    <row r="8974" spans="1:5" x14ac:dyDescent="0.35">
      <c r="A8974">
        <v>2018</v>
      </c>
      <c r="B8974" t="s">
        <v>36</v>
      </c>
      <c r="C8974" t="s">
        <v>113</v>
      </c>
      <c r="D8974">
        <v>992</v>
      </c>
      <c r="E8974" t="s">
        <v>355</v>
      </c>
    </row>
    <row r="8975" spans="1:5" x14ac:dyDescent="0.35">
      <c r="A8975">
        <v>2018</v>
      </c>
      <c r="B8975" t="s">
        <v>35</v>
      </c>
      <c r="C8975" t="s">
        <v>112</v>
      </c>
      <c r="D8975">
        <v>78</v>
      </c>
      <c r="E8975" t="s">
        <v>328</v>
      </c>
    </row>
    <row r="8976" spans="1:5" x14ac:dyDescent="0.35">
      <c r="A8976">
        <v>2018</v>
      </c>
      <c r="B8976" t="s">
        <v>35</v>
      </c>
      <c r="C8976" t="s">
        <v>112</v>
      </c>
      <c r="D8976">
        <v>52</v>
      </c>
      <c r="E8976" t="s">
        <v>355</v>
      </c>
    </row>
    <row r="8977" spans="1:5" x14ac:dyDescent="0.35">
      <c r="A8977">
        <v>2018</v>
      </c>
      <c r="B8977" t="s">
        <v>34</v>
      </c>
      <c r="C8977" t="s">
        <v>111</v>
      </c>
      <c r="D8977">
        <v>32</v>
      </c>
      <c r="E8977" t="s">
        <v>328</v>
      </c>
    </row>
    <row r="8978" spans="1:5" x14ac:dyDescent="0.35">
      <c r="A8978">
        <v>2018</v>
      </c>
      <c r="B8978" t="s">
        <v>34</v>
      </c>
      <c r="C8978" t="s">
        <v>111</v>
      </c>
      <c r="D8978">
        <v>105</v>
      </c>
      <c r="E8978" t="s">
        <v>355</v>
      </c>
    </row>
    <row r="8979" spans="1:5" x14ac:dyDescent="0.35">
      <c r="A8979">
        <v>2018</v>
      </c>
      <c r="B8979" t="s">
        <v>35</v>
      </c>
      <c r="C8979" t="s">
        <v>110</v>
      </c>
      <c r="D8979">
        <v>18</v>
      </c>
      <c r="E8979" t="s">
        <v>328</v>
      </c>
    </row>
    <row r="8980" spans="1:5" x14ac:dyDescent="0.35">
      <c r="A8980">
        <v>2018</v>
      </c>
      <c r="B8980" t="s">
        <v>35</v>
      </c>
      <c r="C8980" t="s">
        <v>110</v>
      </c>
      <c r="D8980">
        <v>23</v>
      </c>
      <c r="E8980" t="s">
        <v>355</v>
      </c>
    </row>
    <row r="8981" spans="1:5" x14ac:dyDescent="0.35">
      <c r="A8981">
        <v>2018</v>
      </c>
      <c r="B8981" t="s">
        <v>34</v>
      </c>
      <c r="C8981" t="s">
        <v>109</v>
      </c>
      <c r="D8981">
        <v>10</v>
      </c>
      <c r="E8981" t="s">
        <v>328</v>
      </c>
    </row>
    <row r="8982" spans="1:5" x14ac:dyDescent="0.35">
      <c r="A8982">
        <v>2018</v>
      </c>
      <c r="B8982" t="s">
        <v>34</v>
      </c>
      <c r="C8982" t="s">
        <v>109</v>
      </c>
      <c r="D8982">
        <v>38</v>
      </c>
      <c r="E8982" t="s">
        <v>355</v>
      </c>
    </row>
    <row r="8983" spans="1:5" x14ac:dyDescent="0.35">
      <c r="A8983">
        <v>2018</v>
      </c>
      <c r="B8983" t="s">
        <v>34</v>
      </c>
      <c r="C8983" t="s">
        <v>108</v>
      </c>
      <c r="D8983">
        <v>13</v>
      </c>
      <c r="E8983" t="s">
        <v>355</v>
      </c>
    </row>
    <row r="8984" spans="1:5" x14ac:dyDescent="0.35">
      <c r="A8984">
        <v>2018</v>
      </c>
      <c r="B8984" t="s">
        <v>35</v>
      </c>
      <c r="C8984" t="s">
        <v>99</v>
      </c>
      <c r="D8984">
        <v>9</v>
      </c>
      <c r="E8984" t="s">
        <v>328</v>
      </c>
    </row>
    <row r="8985" spans="1:5" x14ac:dyDescent="0.35">
      <c r="A8985">
        <v>2018</v>
      </c>
      <c r="B8985" t="s">
        <v>34</v>
      </c>
      <c r="C8985" t="s">
        <v>116</v>
      </c>
      <c r="D8985">
        <v>26</v>
      </c>
      <c r="E8985" t="s">
        <v>355</v>
      </c>
    </row>
    <row r="8986" spans="1:5" x14ac:dyDescent="0.35">
      <c r="A8986">
        <v>2018</v>
      </c>
      <c r="B8986" t="s">
        <v>33</v>
      </c>
      <c r="C8986" t="s">
        <v>98</v>
      </c>
      <c r="D8986">
        <v>160</v>
      </c>
      <c r="E8986" t="s">
        <v>328</v>
      </c>
    </row>
    <row r="8987" spans="1:5" x14ac:dyDescent="0.35">
      <c r="A8987">
        <v>2018</v>
      </c>
      <c r="B8987" t="s">
        <v>33</v>
      </c>
      <c r="C8987" t="s">
        <v>88</v>
      </c>
      <c r="E8987" t="s">
        <v>355</v>
      </c>
    </row>
    <row r="8988" spans="1:5" x14ac:dyDescent="0.35">
      <c r="A8988">
        <v>2018</v>
      </c>
      <c r="B8988" t="s">
        <v>36</v>
      </c>
      <c r="C8988" t="s">
        <v>16</v>
      </c>
      <c r="D8988">
        <v>7877</v>
      </c>
      <c r="E8988" t="s">
        <v>328</v>
      </c>
    </row>
    <row r="8989" spans="1:5" x14ac:dyDescent="0.35">
      <c r="A8989">
        <v>2018</v>
      </c>
      <c r="B8989" t="s">
        <v>36</v>
      </c>
      <c r="C8989" t="s">
        <v>16</v>
      </c>
      <c r="D8989">
        <v>7054</v>
      </c>
      <c r="E8989" t="s">
        <v>355</v>
      </c>
    </row>
    <row r="8990" spans="1:5" x14ac:dyDescent="0.35">
      <c r="A8990">
        <v>2018</v>
      </c>
      <c r="B8990" t="s">
        <v>33</v>
      </c>
      <c r="C8990" t="s">
        <v>87</v>
      </c>
      <c r="D8990">
        <v>37</v>
      </c>
      <c r="E8990" t="s">
        <v>328</v>
      </c>
    </row>
    <row r="8991" spans="1:5" x14ac:dyDescent="0.35">
      <c r="A8991">
        <v>2018</v>
      </c>
      <c r="B8991" t="s">
        <v>33</v>
      </c>
      <c r="C8991" t="s">
        <v>87</v>
      </c>
      <c r="D8991">
        <v>56</v>
      </c>
      <c r="E8991" t="s">
        <v>355</v>
      </c>
    </row>
    <row r="8992" spans="1:5" x14ac:dyDescent="0.35">
      <c r="A8992">
        <v>2018</v>
      </c>
      <c r="B8992" t="s">
        <v>38</v>
      </c>
      <c r="C8992" t="s">
        <v>86</v>
      </c>
      <c r="D8992">
        <v>898</v>
      </c>
      <c r="E8992" t="s">
        <v>355</v>
      </c>
    </row>
    <row r="8993" spans="1:5" x14ac:dyDescent="0.35">
      <c r="A8993">
        <v>2018</v>
      </c>
      <c r="B8993" t="s">
        <v>36</v>
      </c>
      <c r="C8993" t="s">
        <v>85</v>
      </c>
      <c r="D8993">
        <v>376</v>
      </c>
      <c r="E8993" t="s">
        <v>328</v>
      </c>
    </row>
    <row r="8994" spans="1:5" x14ac:dyDescent="0.35">
      <c r="A8994">
        <v>2018</v>
      </c>
      <c r="B8994" t="s">
        <v>36</v>
      </c>
      <c r="C8994" t="s">
        <v>85</v>
      </c>
      <c r="D8994">
        <v>1504</v>
      </c>
      <c r="E8994" t="s">
        <v>355</v>
      </c>
    </row>
    <row r="8995" spans="1:5" x14ac:dyDescent="0.35">
      <c r="A8995">
        <v>2018</v>
      </c>
      <c r="B8995" t="s">
        <v>36</v>
      </c>
      <c r="C8995" t="s">
        <v>84</v>
      </c>
      <c r="D8995">
        <v>3</v>
      </c>
      <c r="E8995" t="s">
        <v>328</v>
      </c>
    </row>
    <row r="8996" spans="1:5" x14ac:dyDescent="0.35">
      <c r="A8996">
        <v>2018</v>
      </c>
      <c r="B8996" t="s">
        <v>36</v>
      </c>
      <c r="C8996" t="s">
        <v>84</v>
      </c>
      <c r="D8996">
        <v>17</v>
      </c>
      <c r="E8996" t="s">
        <v>355</v>
      </c>
    </row>
    <row r="8997" spans="1:5" x14ac:dyDescent="0.35">
      <c r="A8997">
        <v>2018</v>
      </c>
      <c r="B8997" t="s">
        <v>35</v>
      </c>
      <c r="C8997" t="s">
        <v>214</v>
      </c>
      <c r="E8997" t="s">
        <v>328</v>
      </c>
    </row>
    <row r="8998" spans="1:5" x14ac:dyDescent="0.35">
      <c r="A8998">
        <v>2018</v>
      </c>
      <c r="B8998" t="s">
        <v>35</v>
      </c>
      <c r="C8998" t="s">
        <v>214</v>
      </c>
      <c r="E8998" t="s">
        <v>355</v>
      </c>
    </row>
    <row r="8999" spans="1:5" x14ac:dyDescent="0.35">
      <c r="A8999">
        <v>2018</v>
      </c>
      <c r="B8999" t="s">
        <v>35</v>
      </c>
      <c r="C8999" t="s">
        <v>81</v>
      </c>
      <c r="D8999">
        <v>29</v>
      </c>
      <c r="E8999" t="s">
        <v>328</v>
      </c>
    </row>
    <row r="9000" spans="1:5" x14ac:dyDescent="0.35">
      <c r="A9000">
        <v>2018</v>
      </c>
      <c r="B9000" t="s">
        <v>35</v>
      </c>
      <c r="C9000" t="s">
        <v>81</v>
      </c>
      <c r="D9000">
        <v>20</v>
      </c>
      <c r="E9000" t="s">
        <v>355</v>
      </c>
    </row>
    <row r="9001" spans="1:5" x14ac:dyDescent="0.35">
      <c r="A9001">
        <v>2018</v>
      </c>
      <c r="B9001" t="s">
        <v>35</v>
      </c>
      <c r="C9001" t="s">
        <v>99</v>
      </c>
      <c r="D9001">
        <v>10</v>
      </c>
      <c r="E9001" t="s">
        <v>355</v>
      </c>
    </row>
    <row r="9002" spans="1:5" x14ac:dyDescent="0.35">
      <c r="A9002">
        <v>2018</v>
      </c>
      <c r="B9002" t="s">
        <v>33</v>
      </c>
      <c r="C9002" t="s">
        <v>88</v>
      </c>
      <c r="E9002" t="s">
        <v>328</v>
      </c>
    </row>
    <row r="9003" spans="1:5" x14ac:dyDescent="0.35">
      <c r="A9003">
        <v>2018</v>
      </c>
      <c r="B9003" t="s">
        <v>33</v>
      </c>
      <c r="C9003" t="s">
        <v>89</v>
      </c>
      <c r="E9003" t="s">
        <v>355</v>
      </c>
    </row>
    <row r="9004" spans="1:5" x14ac:dyDescent="0.35">
      <c r="A9004">
        <v>2018</v>
      </c>
      <c r="B9004" t="s">
        <v>38</v>
      </c>
      <c r="C9004" t="s">
        <v>86</v>
      </c>
      <c r="D9004">
        <v>539</v>
      </c>
      <c r="E9004" t="s">
        <v>328</v>
      </c>
    </row>
    <row r="9005" spans="1:5" x14ac:dyDescent="0.35">
      <c r="A9005">
        <v>2018</v>
      </c>
      <c r="B9005" t="s">
        <v>35</v>
      </c>
      <c r="C9005" t="s">
        <v>90</v>
      </c>
      <c r="D9005">
        <v>5</v>
      </c>
      <c r="E9005" t="s">
        <v>355</v>
      </c>
    </row>
    <row r="9006" spans="1:5" x14ac:dyDescent="0.35">
      <c r="A9006">
        <v>2018</v>
      </c>
      <c r="B9006" t="s">
        <v>33</v>
      </c>
      <c r="C9006" t="s">
        <v>98</v>
      </c>
      <c r="D9006">
        <v>122</v>
      </c>
      <c r="E9006" t="s">
        <v>355</v>
      </c>
    </row>
    <row r="9007" spans="1:5" x14ac:dyDescent="0.35">
      <c r="A9007">
        <v>2018</v>
      </c>
      <c r="B9007" t="s">
        <v>33</v>
      </c>
      <c r="C9007" t="s">
        <v>89</v>
      </c>
      <c r="E9007" t="s">
        <v>328</v>
      </c>
    </row>
    <row r="9008" spans="1:5" x14ac:dyDescent="0.35">
      <c r="A9008">
        <v>2018</v>
      </c>
      <c r="B9008" t="s">
        <v>35</v>
      </c>
      <c r="C9008" t="s">
        <v>97</v>
      </c>
      <c r="D9008">
        <v>52</v>
      </c>
      <c r="E9008" t="s">
        <v>355</v>
      </c>
    </row>
    <row r="9009" spans="1:5" x14ac:dyDescent="0.35">
      <c r="A9009">
        <v>2018</v>
      </c>
      <c r="B9009" t="s">
        <v>34</v>
      </c>
      <c r="C9009" t="s">
        <v>8</v>
      </c>
      <c r="D9009">
        <v>7</v>
      </c>
      <c r="E9009" t="s">
        <v>328</v>
      </c>
    </row>
    <row r="9010" spans="1:5" x14ac:dyDescent="0.35">
      <c r="A9010">
        <v>2018</v>
      </c>
      <c r="B9010" t="s">
        <v>34</v>
      </c>
      <c r="C9010" t="s">
        <v>8</v>
      </c>
      <c r="D9010">
        <v>19</v>
      </c>
      <c r="E9010" t="s">
        <v>355</v>
      </c>
    </row>
    <row r="9011" spans="1:5" x14ac:dyDescent="0.35">
      <c r="A9011">
        <v>2018</v>
      </c>
      <c r="B9011" t="s">
        <v>33</v>
      </c>
      <c r="C9011" t="s">
        <v>96</v>
      </c>
      <c r="D9011">
        <v>43</v>
      </c>
      <c r="E9011" t="s">
        <v>328</v>
      </c>
    </row>
    <row r="9012" spans="1:5" x14ac:dyDescent="0.35">
      <c r="A9012">
        <v>2018</v>
      </c>
      <c r="B9012" t="s">
        <v>33</v>
      </c>
      <c r="C9012" t="s">
        <v>96</v>
      </c>
      <c r="D9012">
        <v>65</v>
      </c>
      <c r="E9012" t="s">
        <v>355</v>
      </c>
    </row>
    <row r="9013" spans="1:5" x14ac:dyDescent="0.35">
      <c r="A9013">
        <v>2018</v>
      </c>
      <c r="B9013" t="s">
        <v>33</v>
      </c>
      <c r="C9013" t="s">
        <v>95</v>
      </c>
      <c r="E9013" t="s">
        <v>328</v>
      </c>
    </row>
    <row r="9014" spans="1:5" x14ac:dyDescent="0.35">
      <c r="A9014">
        <v>2018</v>
      </c>
      <c r="B9014" t="s">
        <v>35</v>
      </c>
      <c r="C9014" t="s">
        <v>97</v>
      </c>
      <c r="D9014">
        <v>31</v>
      </c>
      <c r="E9014" t="s">
        <v>328</v>
      </c>
    </row>
    <row r="9015" spans="1:5" x14ac:dyDescent="0.35">
      <c r="A9015">
        <v>2018</v>
      </c>
      <c r="B9015" t="s">
        <v>35</v>
      </c>
      <c r="C9015" t="s">
        <v>94</v>
      </c>
      <c r="D9015">
        <v>34</v>
      </c>
      <c r="E9015" t="s">
        <v>328</v>
      </c>
    </row>
    <row r="9016" spans="1:5" x14ac:dyDescent="0.35">
      <c r="A9016">
        <v>2018</v>
      </c>
      <c r="B9016" t="s">
        <v>35</v>
      </c>
      <c r="C9016" t="s">
        <v>90</v>
      </c>
      <c r="D9016">
        <v>7</v>
      </c>
      <c r="E9016" t="s">
        <v>328</v>
      </c>
    </row>
    <row r="9017" spans="1:5" x14ac:dyDescent="0.35">
      <c r="A9017">
        <v>2018</v>
      </c>
      <c r="B9017" t="s">
        <v>35</v>
      </c>
      <c r="C9017" t="s">
        <v>94</v>
      </c>
      <c r="D9017">
        <v>54</v>
      </c>
      <c r="E9017" t="s">
        <v>355</v>
      </c>
    </row>
    <row r="9018" spans="1:5" x14ac:dyDescent="0.35">
      <c r="A9018">
        <v>2018</v>
      </c>
      <c r="B9018" t="s">
        <v>37</v>
      </c>
      <c r="C9018" t="s">
        <v>92</v>
      </c>
      <c r="D9018">
        <v>6</v>
      </c>
      <c r="E9018" t="s">
        <v>328</v>
      </c>
    </row>
    <row r="9019" spans="1:5" x14ac:dyDescent="0.35">
      <c r="A9019">
        <v>2018</v>
      </c>
      <c r="B9019" t="s">
        <v>37</v>
      </c>
      <c r="C9019" t="s">
        <v>92</v>
      </c>
      <c r="D9019">
        <v>37</v>
      </c>
      <c r="E9019" t="s">
        <v>355</v>
      </c>
    </row>
    <row r="9020" spans="1:5" x14ac:dyDescent="0.35">
      <c r="A9020">
        <v>2018</v>
      </c>
      <c r="B9020" t="s">
        <v>33</v>
      </c>
      <c r="C9020" t="s">
        <v>91</v>
      </c>
      <c r="D9020">
        <v>21</v>
      </c>
      <c r="E9020" t="s">
        <v>328</v>
      </c>
    </row>
    <row r="9021" spans="1:5" x14ac:dyDescent="0.35">
      <c r="A9021">
        <v>2018</v>
      </c>
      <c r="B9021" t="s">
        <v>33</v>
      </c>
      <c r="C9021" t="s">
        <v>91</v>
      </c>
      <c r="D9021">
        <v>17</v>
      </c>
      <c r="E9021" t="s">
        <v>355</v>
      </c>
    </row>
    <row r="9022" spans="1:5" x14ac:dyDescent="0.35">
      <c r="A9022">
        <v>2018</v>
      </c>
      <c r="B9022" t="s">
        <v>33</v>
      </c>
      <c r="C9022" t="s">
        <v>95</v>
      </c>
      <c r="E9022" t="s">
        <v>355</v>
      </c>
    </row>
    <row r="9023" spans="1:5" x14ac:dyDescent="0.35">
      <c r="A9023">
        <v>2019</v>
      </c>
      <c r="B9023" t="s">
        <v>36</v>
      </c>
      <c r="C9023" t="s">
        <v>164</v>
      </c>
      <c r="D9023">
        <v>48</v>
      </c>
      <c r="E9023" t="s">
        <v>466</v>
      </c>
    </row>
    <row r="9024" spans="1:5" x14ac:dyDescent="0.35">
      <c r="A9024">
        <v>2019</v>
      </c>
      <c r="B9024" t="s">
        <v>36</v>
      </c>
      <c r="C9024" t="s">
        <v>164</v>
      </c>
      <c r="D9024">
        <v>12</v>
      </c>
      <c r="E9024" t="s">
        <v>467</v>
      </c>
    </row>
    <row r="9025" spans="1:5" x14ac:dyDescent="0.35">
      <c r="A9025">
        <v>2019</v>
      </c>
      <c r="B9025" t="s">
        <v>35</v>
      </c>
      <c r="C9025" t="s">
        <v>322</v>
      </c>
      <c r="D9025">
        <v>52</v>
      </c>
      <c r="E9025" t="s">
        <v>466</v>
      </c>
    </row>
    <row r="9026" spans="1:5" x14ac:dyDescent="0.35">
      <c r="A9026">
        <v>2019</v>
      </c>
      <c r="B9026" t="s">
        <v>37</v>
      </c>
      <c r="C9026" t="s">
        <v>153</v>
      </c>
      <c r="D9026">
        <v>10</v>
      </c>
      <c r="E9026" t="s">
        <v>355</v>
      </c>
    </row>
    <row r="9027" spans="1:5" x14ac:dyDescent="0.35">
      <c r="A9027">
        <v>2019</v>
      </c>
      <c r="B9027" t="s">
        <v>35</v>
      </c>
      <c r="C9027" t="s">
        <v>150</v>
      </c>
      <c r="D9027">
        <v>77</v>
      </c>
      <c r="E9027" t="s">
        <v>466</v>
      </c>
    </row>
    <row r="9028" spans="1:5" x14ac:dyDescent="0.35">
      <c r="A9028">
        <v>2019</v>
      </c>
      <c r="B9028" t="s">
        <v>36</v>
      </c>
      <c r="C9028" t="s">
        <v>165</v>
      </c>
      <c r="D9028">
        <v>8</v>
      </c>
      <c r="E9028" t="s">
        <v>467</v>
      </c>
    </row>
    <row r="9029" spans="1:5" x14ac:dyDescent="0.35">
      <c r="A9029">
        <v>2019</v>
      </c>
      <c r="B9029" t="s">
        <v>34</v>
      </c>
      <c r="C9029" t="s">
        <v>151</v>
      </c>
      <c r="D9029">
        <v>10</v>
      </c>
      <c r="E9029" t="s">
        <v>466</v>
      </c>
    </row>
    <row r="9030" spans="1:5" x14ac:dyDescent="0.35">
      <c r="A9030">
        <v>2019</v>
      </c>
      <c r="B9030" t="s">
        <v>34</v>
      </c>
      <c r="C9030" t="s">
        <v>152</v>
      </c>
      <c r="D9030">
        <v>90</v>
      </c>
      <c r="E9030" t="s">
        <v>328</v>
      </c>
    </row>
    <row r="9031" spans="1:5" x14ac:dyDescent="0.35">
      <c r="A9031">
        <v>2019</v>
      </c>
      <c r="B9031" t="s">
        <v>34</v>
      </c>
      <c r="C9031" t="s">
        <v>152</v>
      </c>
      <c r="D9031">
        <v>772</v>
      </c>
      <c r="E9031" t="s">
        <v>466</v>
      </c>
    </row>
    <row r="9032" spans="1:5" x14ac:dyDescent="0.35">
      <c r="A9032">
        <v>2019</v>
      </c>
      <c r="B9032" t="s">
        <v>37</v>
      </c>
      <c r="C9032" t="s">
        <v>166</v>
      </c>
      <c r="D9032">
        <v>9</v>
      </c>
      <c r="E9032" t="s">
        <v>467</v>
      </c>
    </row>
    <row r="9033" spans="1:5" x14ac:dyDescent="0.35">
      <c r="A9033">
        <v>2019</v>
      </c>
      <c r="B9033" t="s">
        <v>37</v>
      </c>
      <c r="C9033" t="s">
        <v>153</v>
      </c>
      <c r="D9033">
        <v>29</v>
      </c>
      <c r="E9033" t="s">
        <v>466</v>
      </c>
    </row>
    <row r="9034" spans="1:5" x14ac:dyDescent="0.35">
      <c r="A9034">
        <v>2019</v>
      </c>
      <c r="B9034" t="s">
        <v>34</v>
      </c>
      <c r="C9034" t="s">
        <v>152</v>
      </c>
      <c r="D9034">
        <v>152</v>
      </c>
      <c r="E9034" t="s">
        <v>355</v>
      </c>
    </row>
    <row r="9035" spans="1:5" x14ac:dyDescent="0.35">
      <c r="A9035">
        <v>2019</v>
      </c>
      <c r="B9035" t="s">
        <v>36</v>
      </c>
      <c r="C9035" t="s">
        <v>154</v>
      </c>
      <c r="D9035">
        <v>193</v>
      </c>
      <c r="E9035" t="s">
        <v>466</v>
      </c>
    </row>
    <row r="9036" spans="1:5" x14ac:dyDescent="0.35">
      <c r="A9036">
        <v>2019</v>
      </c>
      <c r="B9036" t="s">
        <v>34</v>
      </c>
      <c r="C9036" t="s">
        <v>167</v>
      </c>
      <c r="D9036">
        <v>215</v>
      </c>
      <c r="E9036" t="s">
        <v>467</v>
      </c>
    </row>
    <row r="9037" spans="1:5" x14ac:dyDescent="0.35">
      <c r="A9037">
        <v>2019</v>
      </c>
      <c r="B9037" t="s">
        <v>38</v>
      </c>
      <c r="C9037" t="s">
        <v>155</v>
      </c>
      <c r="D9037">
        <v>61</v>
      </c>
      <c r="E9037" t="s">
        <v>466</v>
      </c>
    </row>
    <row r="9038" spans="1:5" x14ac:dyDescent="0.35">
      <c r="A9038">
        <v>2019</v>
      </c>
      <c r="B9038" t="s">
        <v>35</v>
      </c>
      <c r="C9038" t="s">
        <v>150</v>
      </c>
      <c r="D9038">
        <v>7</v>
      </c>
      <c r="E9038" t="s">
        <v>328</v>
      </c>
    </row>
    <row r="9039" spans="1:5" x14ac:dyDescent="0.35">
      <c r="A9039">
        <v>2019</v>
      </c>
      <c r="B9039" t="s">
        <v>38</v>
      </c>
      <c r="C9039" t="s">
        <v>156</v>
      </c>
      <c r="D9039">
        <v>1822</v>
      </c>
      <c r="E9039" t="s">
        <v>466</v>
      </c>
    </row>
    <row r="9040" spans="1:5" x14ac:dyDescent="0.35">
      <c r="A9040">
        <v>2019</v>
      </c>
      <c r="B9040" t="s">
        <v>33</v>
      </c>
      <c r="C9040" t="s">
        <v>168</v>
      </c>
      <c r="D9040">
        <v>47</v>
      </c>
      <c r="E9040" t="s">
        <v>467</v>
      </c>
    </row>
    <row r="9041" spans="1:5" x14ac:dyDescent="0.35">
      <c r="A9041">
        <v>2019</v>
      </c>
      <c r="B9041" t="s">
        <v>34</v>
      </c>
      <c r="C9041" t="s">
        <v>18</v>
      </c>
      <c r="D9041">
        <v>1077</v>
      </c>
      <c r="E9041" t="s">
        <v>466</v>
      </c>
    </row>
    <row r="9042" spans="1:5" x14ac:dyDescent="0.35">
      <c r="A9042">
        <v>2019</v>
      </c>
      <c r="B9042" t="s">
        <v>35</v>
      </c>
      <c r="C9042" t="s">
        <v>150</v>
      </c>
      <c r="D9042">
        <v>3</v>
      </c>
      <c r="E9042" t="s">
        <v>355</v>
      </c>
    </row>
    <row r="9043" spans="1:5" x14ac:dyDescent="0.35">
      <c r="A9043">
        <v>2019</v>
      </c>
      <c r="B9043" t="s">
        <v>35</v>
      </c>
      <c r="C9043" t="s">
        <v>158</v>
      </c>
      <c r="D9043">
        <v>387</v>
      </c>
      <c r="E9043" t="s">
        <v>466</v>
      </c>
    </row>
    <row r="9044" spans="1:5" x14ac:dyDescent="0.35">
      <c r="A9044">
        <v>2019</v>
      </c>
      <c r="B9044" t="s">
        <v>33</v>
      </c>
      <c r="C9044" t="s">
        <v>174</v>
      </c>
      <c r="D9044">
        <v>7</v>
      </c>
      <c r="E9044" t="s">
        <v>467</v>
      </c>
    </row>
    <row r="9045" spans="1:5" x14ac:dyDescent="0.35">
      <c r="A9045">
        <v>2019</v>
      </c>
      <c r="B9045" t="s">
        <v>34</v>
      </c>
      <c r="C9045" t="s">
        <v>159</v>
      </c>
      <c r="D9045">
        <v>20</v>
      </c>
      <c r="E9045" t="s">
        <v>466</v>
      </c>
    </row>
    <row r="9046" spans="1:5" x14ac:dyDescent="0.35">
      <c r="A9046">
        <v>2019</v>
      </c>
      <c r="B9046" t="s">
        <v>35</v>
      </c>
      <c r="C9046" t="s">
        <v>322</v>
      </c>
      <c r="D9046">
        <v>4</v>
      </c>
      <c r="E9046" t="s">
        <v>328</v>
      </c>
    </row>
    <row r="9047" spans="1:5" x14ac:dyDescent="0.35">
      <c r="A9047">
        <v>2019</v>
      </c>
      <c r="B9047" t="s">
        <v>35</v>
      </c>
      <c r="C9047" t="s">
        <v>161</v>
      </c>
      <c r="D9047">
        <v>1422</v>
      </c>
      <c r="E9047" t="s">
        <v>466</v>
      </c>
    </row>
    <row r="9048" spans="1:5" x14ac:dyDescent="0.35">
      <c r="A9048">
        <v>2019</v>
      </c>
      <c r="B9048" t="s">
        <v>33</v>
      </c>
      <c r="C9048" t="s">
        <v>170</v>
      </c>
      <c r="D9048">
        <v>9</v>
      </c>
      <c r="E9048" t="s">
        <v>467</v>
      </c>
    </row>
    <row r="9049" spans="1:5" x14ac:dyDescent="0.35">
      <c r="A9049">
        <v>2019</v>
      </c>
      <c r="B9049" t="s">
        <v>33</v>
      </c>
      <c r="C9049" t="s">
        <v>162</v>
      </c>
      <c r="D9049">
        <v>63</v>
      </c>
      <c r="E9049" t="s">
        <v>466</v>
      </c>
    </row>
    <row r="9050" spans="1:5" x14ac:dyDescent="0.35">
      <c r="A9050">
        <v>2019</v>
      </c>
      <c r="B9050" t="s">
        <v>33</v>
      </c>
      <c r="C9050" t="s">
        <v>148</v>
      </c>
      <c r="D9050">
        <v>4</v>
      </c>
      <c r="E9050" t="s">
        <v>328</v>
      </c>
    </row>
    <row r="9051" spans="1:5" x14ac:dyDescent="0.35">
      <c r="A9051">
        <v>2019</v>
      </c>
      <c r="B9051" t="s">
        <v>36</v>
      </c>
      <c r="C9051" t="s">
        <v>163</v>
      </c>
      <c r="D9051">
        <v>16</v>
      </c>
      <c r="E9051" t="s">
        <v>466</v>
      </c>
    </row>
    <row r="9052" spans="1:5" x14ac:dyDescent="0.35">
      <c r="A9052">
        <v>2019</v>
      </c>
      <c r="B9052" t="s">
        <v>34</v>
      </c>
      <c r="C9052" t="s">
        <v>171</v>
      </c>
      <c r="D9052">
        <v>40</v>
      </c>
      <c r="E9052" t="s">
        <v>467</v>
      </c>
    </row>
    <row r="9053" spans="1:5" x14ac:dyDescent="0.35">
      <c r="A9053">
        <v>2019</v>
      </c>
      <c r="B9053" t="s">
        <v>36</v>
      </c>
      <c r="C9053" t="s">
        <v>165</v>
      </c>
      <c r="D9053">
        <v>27</v>
      </c>
      <c r="E9053" t="s">
        <v>466</v>
      </c>
    </row>
    <row r="9054" spans="1:5" x14ac:dyDescent="0.35">
      <c r="A9054">
        <v>2019</v>
      </c>
      <c r="B9054" t="s">
        <v>33</v>
      </c>
      <c r="C9054" t="s">
        <v>149</v>
      </c>
      <c r="D9054">
        <v>104</v>
      </c>
      <c r="E9054" t="s">
        <v>328</v>
      </c>
    </row>
    <row r="9055" spans="1:5" x14ac:dyDescent="0.35">
      <c r="A9055">
        <v>2019</v>
      </c>
      <c r="B9055" t="s">
        <v>33</v>
      </c>
      <c r="C9055" t="s">
        <v>149</v>
      </c>
      <c r="D9055">
        <v>1733</v>
      </c>
      <c r="E9055" t="s">
        <v>466</v>
      </c>
    </row>
    <row r="9056" spans="1:5" x14ac:dyDescent="0.35">
      <c r="A9056">
        <v>2019</v>
      </c>
      <c r="B9056" t="s">
        <v>35</v>
      </c>
      <c r="C9056" t="s">
        <v>172</v>
      </c>
      <c r="D9056">
        <v>52</v>
      </c>
      <c r="E9056" t="s">
        <v>467</v>
      </c>
    </row>
    <row r="9057" spans="1:5" x14ac:dyDescent="0.35">
      <c r="A9057">
        <v>2019</v>
      </c>
      <c r="B9057" t="s">
        <v>35</v>
      </c>
      <c r="C9057" t="s">
        <v>157</v>
      </c>
      <c r="D9057">
        <v>433</v>
      </c>
      <c r="E9057" t="s">
        <v>466</v>
      </c>
    </row>
    <row r="9058" spans="1:5" x14ac:dyDescent="0.35">
      <c r="A9058">
        <v>2019</v>
      </c>
      <c r="B9058" t="s">
        <v>33</v>
      </c>
      <c r="C9058" t="s">
        <v>149</v>
      </c>
      <c r="D9058">
        <v>349</v>
      </c>
      <c r="E9058" t="s">
        <v>355</v>
      </c>
    </row>
    <row r="9059" spans="1:5" x14ac:dyDescent="0.35">
      <c r="A9059">
        <v>2019</v>
      </c>
      <c r="B9059" t="s">
        <v>35</v>
      </c>
      <c r="C9059" t="s">
        <v>160</v>
      </c>
      <c r="D9059">
        <v>1146</v>
      </c>
      <c r="E9059" t="s">
        <v>466</v>
      </c>
    </row>
    <row r="9060" spans="1:5" x14ac:dyDescent="0.35">
      <c r="A9060">
        <v>2019</v>
      </c>
      <c r="B9060" t="s">
        <v>36</v>
      </c>
      <c r="C9060" t="s">
        <v>163</v>
      </c>
      <c r="E9060" t="s">
        <v>467</v>
      </c>
    </row>
    <row r="9061" spans="1:5" x14ac:dyDescent="0.35">
      <c r="A9061">
        <v>2019</v>
      </c>
      <c r="B9061" t="s">
        <v>35</v>
      </c>
      <c r="C9061" t="s">
        <v>138</v>
      </c>
      <c r="D9061">
        <v>85</v>
      </c>
      <c r="E9061" t="s">
        <v>466</v>
      </c>
    </row>
    <row r="9062" spans="1:5" x14ac:dyDescent="0.35">
      <c r="A9062">
        <v>2019</v>
      </c>
      <c r="B9062" t="s">
        <v>33</v>
      </c>
      <c r="C9062" t="s">
        <v>148</v>
      </c>
      <c r="D9062">
        <v>6</v>
      </c>
      <c r="E9062" t="s">
        <v>355</v>
      </c>
    </row>
    <row r="9063" spans="1:5" x14ac:dyDescent="0.35">
      <c r="A9063">
        <v>2019</v>
      </c>
      <c r="B9063" t="s">
        <v>36</v>
      </c>
      <c r="C9063" t="s">
        <v>147</v>
      </c>
      <c r="D9063">
        <v>15641</v>
      </c>
      <c r="E9063" t="s">
        <v>466</v>
      </c>
    </row>
    <row r="9064" spans="1:5" x14ac:dyDescent="0.35">
      <c r="A9064">
        <v>2019</v>
      </c>
      <c r="B9064" t="s">
        <v>35</v>
      </c>
      <c r="C9064" t="s">
        <v>169</v>
      </c>
      <c r="D9064">
        <v>37</v>
      </c>
      <c r="E9064" t="s">
        <v>467</v>
      </c>
    </row>
    <row r="9065" spans="1:5" x14ac:dyDescent="0.35">
      <c r="A9065">
        <v>2019</v>
      </c>
      <c r="B9065" t="s">
        <v>33</v>
      </c>
      <c r="C9065" t="s">
        <v>130</v>
      </c>
      <c r="D9065">
        <v>4</v>
      </c>
      <c r="E9065" t="s">
        <v>466</v>
      </c>
    </row>
    <row r="9066" spans="1:5" x14ac:dyDescent="0.35">
      <c r="A9066">
        <v>2019</v>
      </c>
      <c r="B9066" t="s">
        <v>36</v>
      </c>
      <c r="C9066" t="s">
        <v>147</v>
      </c>
      <c r="D9066">
        <v>1206</v>
      </c>
      <c r="E9066" t="s">
        <v>328</v>
      </c>
    </row>
    <row r="9067" spans="1:5" x14ac:dyDescent="0.35">
      <c r="A9067">
        <v>2019</v>
      </c>
      <c r="B9067" t="s">
        <v>37</v>
      </c>
      <c r="C9067" t="s">
        <v>166</v>
      </c>
      <c r="D9067">
        <v>33</v>
      </c>
      <c r="E9067" t="s">
        <v>466</v>
      </c>
    </row>
    <row r="9068" spans="1:5" x14ac:dyDescent="0.35">
      <c r="A9068">
        <v>2019</v>
      </c>
      <c r="B9068" t="s">
        <v>33</v>
      </c>
      <c r="C9068" t="s">
        <v>162</v>
      </c>
      <c r="D9068">
        <v>23</v>
      </c>
      <c r="E9068" t="s">
        <v>467</v>
      </c>
    </row>
    <row r="9069" spans="1:5" x14ac:dyDescent="0.35">
      <c r="A9069">
        <v>2019</v>
      </c>
      <c r="B9069" t="s">
        <v>34</v>
      </c>
      <c r="C9069" t="s">
        <v>131</v>
      </c>
      <c r="D9069">
        <v>59</v>
      </c>
      <c r="E9069" t="s">
        <v>466</v>
      </c>
    </row>
    <row r="9070" spans="1:5" x14ac:dyDescent="0.35">
      <c r="A9070">
        <v>2019</v>
      </c>
      <c r="B9070" t="s">
        <v>36</v>
      </c>
      <c r="C9070" t="s">
        <v>147</v>
      </c>
      <c r="D9070">
        <v>1056</v>
      </c>
      <c r="E9070" t="s">
        <v>355</v>
      </c>
    </row>
    <row r="9071" spans="1:5" x14ac:dyDescent="0.35">
      <c r="A9071">
        <v>2019</v>
      </c>
      <c r="B9071" t="s">
        <v>33</v>
      </c>
      <c r="C9071" t="s">
        <v>132</v>
      </c>
      <c r="D9071">
        <v>123</v>
      </c>
      <c r="E9071" t="s">
        <v>466</v>
      </c>
    </row>
    <row r="9072" spans="1:5" x14ac:dyDescent="0.35">
      <c r="A9072">
        <v>2019</v>
      </c>
      <c r="B9072" t="s">
        <v>35</v>
      </c>
      <c r="C9072" t="s">
        <v>150</v>
      </c>
      <c r="D9072">
        <v>56</v>
      </c>
      <c r="E9072" t="s">
        <v>467</v>
      </c>
    </row>
    <row r="9073" spans="1:5" x14ac:dyDescent="0.35">
      <c r="A9073">
        <v>2019</v>
      </c>
      <c r="B9073" t="s">
        <v>35</v>
      </c>
      <c r="C9073" t="s">
        <v>133</v>
      </c>
      <c r="D9073">
        <v>6</v>
      </c>
      <c r="E9073" t="s">
        <v>466</v>
      </c>
    </row>
    <row r="9074" spans="1:5" x14ac:dyDescent="0.35">
      <c r="A9074">
        <v>2019</v>
      </c>
      <c r="B9074" t="s">
        <v>37</v>
      </c>
      <c r="C9074" t="s">
        <v>146</v>
      </c>
      <c r="D9074">
        <v>9</v>
      </c>
      <c r="E9074" t="s">
        <v>328</v>
      </c>
    </row>
    <row r="9075" spans="1:5" x14ac:dyDescent="0.35">
      <c r="A9075">
        <v>2019</v>
      </c>
      <c r="B9075" t="s">
        <v>37</v>
      </c>
      <c r="C9075" t="s">
        <v>134</v>
      </c>
      <c r="D9075">
        <v>44</v>
      </c>
      <c r="E9075" t="s">
        <v>466</v>
      </c>
    </row>
    <row r="9076" spans="1:5" x14ac:dyDescent="0.35">
      <c r="A9076">
        <v>2019</v>
      </c>
      <c r="B9076" t="s">
        <v>35</v>
      </c>
      <c r="C9076" t="s">
        <v>160</v>
      </c>
      <c r="D9076">
        <v>156</v>
      </c>
      <c r="E9076" t="s">
        <v>467</v>
      </c>
    </row>
    <row r="9077" spans="1:5" x14ac:dyDescent="0.35">
      <c r="A9077">
        <v>2019</v>
      </c>
      <c r="B9077" t="s">
        <v>33</v>
      </c>
      <c r="C9077" t="s">
        <v>135</v>
      </c>
      <c r="D9077">
        <v>107</v>
      </c>
      <c r="E9077" t="s">
        <v>466</v>
      </c>
    </row>
    <row r="9078" spans="1:5" x14ac:dyDescent="0.35">
      <c r="A9078">
        <v>2019</v>
      </c>
      <c r="B9078" t="s">
        <v>36</v>
      </c>
      <c r="C9078" t="s">
        <v>154</v>
      </c>
      <c r="D9078">
        <v>95</v>
      </c>
      <c r="E9078" t="s">
        <v>355</v>
      </c>
    </row>
    <row r="9079" spans="1:5" x14ac:dyDescent="0.35">
      <c r="A9079">
        <v>2019</v>
      </c>
      <c r="B9079" t="s">
        <v>33</v>
      </c>
      <c r="C9079" t="s">
        <v>136</v>
      </c>
      <c r="D9079">
        <v>17</v>
      </c>
      <c r="E9079" t="s">
        <v>466</v>
      </c>
    </row>
    <row r="9080" spans="1:5" x14ac:dyDescent="0.35">
      <c r="A9080">
        <v>2019</v>
      </c>
      <c r="B9080" t="s">
        <v>34</v>
      </c>
      <c r="C9080" t="s">
        <v>159</v>
      </c>
      <c r="D9080">
        <v>12</v>
      </c>
      <c r="E9080" t="s">
        <v>467</v>
      </c>
    </row>
    <row r="9081" spans="1:5" x14ac:dyDescent="0.35">
      <c r="A9081">
        <v>2019</v>
      </c>
      <c r="B9081" t="s">
        <v>33</v>
      </c>
      <c r="C9081" t="s">
        <v>148</v>
      </c>
      <c r="D9081">
        <v>38</v>
      </c>
      <c r="E9081" t="s">
        <v>466</v>
      </c>
    </row>
    <row r="9082" spans="1:5" x14ac:dyDescent="0.35">
      <c r="A9082">
        <v>2019</v>
      </c>
      <c r="B9082" t="s">
        <v>35</v>
      </c>
      <c r="C9082" t="s">
        <v>322</v>
      </c>
      <c r="D9082">
        <v>12</v>
      </c>
      <c r="E9082" t="s">
        <v>355</v>
      </c>
    </row>
    <row r="9083" spans="1:5" x14ac:dyDescent="0.35">
      <c r="A9083">
        <v>2019</v>
      </c>
      <c r="B9083" t="s">
        <v>36</v>
      </c>
      <c r="C9083" t="s">
        <v>14</v>
      </c>
      <c r="D9083">
        <v>312130</v>
      </c>
      <c r="E9083" t="s">
        <v>466</v>
      </c>
    </row>
    <row r="9084" spans="1:5" x14ac:dyDescent="0.35">
      <c r="A9084">
        <v>2019</v>
      </c>
      <c r="B9084" t="s">
        <v>35</v>
      </c>
      <c r="C9084" t="s">
        <v>158</v>
      </c>
      <c r="D9084">
        <v>265</v>
      </c>
      <c r="E9084" t="s">
        <v>467</v>
      </c>
    </row>
    <row r="9085" spans="1:5" x14ac:dyDescent="0.35">
      <c r="A9085">
        <v>2019</v>
      </c>
      <c r="B9085" t="s">
        <v>34</v>
      </c>
      <c r="C9085" t="s">
        <v>139</v>
      </c>
      <c r="D9085">
        <v>93</v>
      </c>
      <c r="E9085" t="s">
        <v>466</v>
      </c>
    </row>
    <row r="9086" spans="1:5" x14ac:dyDescent="0.35">
      <c r="A9086">
        <v>2019</v>
      </c>
      <c r="B9086" t="s">
        <v>36</v>
      </c>
      <c r="C9086" t="s">
        <v>154</v>
      </c>
      <c r="D9086">
        <v>7</v>
      </c>
      <c r="E9086" t="s">
        <v>328</v>
      </c>
    </row>
    <row r="9087" spans="1:5" x14ac:dyDescent="0.35">
      <c r="A9087">
        <v>2019</v>
      </c>
      <c r="B9087" t="s">
        <v>35</v>
      </c>
      <c r="C9087" t="s">
        <v>140</v>
      </c>
      <c r="D9087">
        <v>59</v>
      </c>
      <c r="E9087" t="s">
        <v>466</v>
      </c>
    </row>
    <row r="9088" spans="1:5" x14ac:dyDescent="0.35">
      <c r="A9088">
        <v>2019</v>
      </c>
      <c r="B9088" t="s">
        <v>35</v>
      </c>
      <c r="C9088" t="s">
        <v>157</v>
      </c>
      <c r="D9088">
        <v>164</v>
      </c>
      <c r="E9088" t="s">
        <v>467</v>
      </c>
    </row>
    <row r="9089" spans="1:5" x14ac:dyDescent="0.35">
      <c r="A9089">
        <v>2019</v>
      </c>
      <c r="B9089" t="s">
        <v>33</v>
      </c>
      <c r="C9089" t="s">
        <v>141</v>
      </c>
      <c r="D9089">
        <v>154</v>
      </c>
      <c r="E9089" t="s">
        <v>466</v>
      </c>
    </row>
    <row r="9090" spans="1:5" x14ac:dyDescent="0.35">
      <c r="A9090">
        <v>2019</v>
      </c>
      <c r="B9090" t="s">
        <v>36</v>
      </c>
      <c r="C9090" t="s">
        <v>163</v>
      </c>
      <c r="E9090" t="s">
        <v>355</v>
      </c>
    </row>
    <row r="9091" spans="1:5" x14ac:dyDescent="0.35">
      <c r="A9091">
        <v>2019</v>
      </c>
      <c r="B9091" t="s">
        <v>33</v>
      </c>
      <c r="C9091" t="s">
        <v>142</v>
      </c>
      <c r="D9091">
        <v>7</v>
      </c>
      <c r="E9091" t="s">
        <v>466</v>
      </c>
    </row>
    <row r="9092" spans="1:5" x14ac:dyDescent="0.35">
      <c r="A9092">
        <v>2019</v>
      </c>
      <c r="B9092" t="s">
        <v>34</v>
      </c>
      <c r="C9092" t="s">
        <v>18</v>
      </c>
      <c r="D9092">
        <v>419</v>
      </c>
      <c r="E9092" t="s">
        <v>467</v>
      </c>
    </row>
    <row r="9093" spans="1:5" x14ac:dyDescent="0.35">
      <c r="A9093">
        <v>2019</v>
      </c>
      <c r="B9093" t="s">
        <v>33</v>
      </c>
      <c r="C9093" t="s">
        <v>143</v>
      </c>
      <c r="D9093">
        <v>6</v>
      </c>
      <c r="E9093" t="s">
        <v>466</v>
      </c>
    </row>
    <row r="9094" spans="1:5" x14ac:dyDescent="0.35">
      <c r="A9094">
        <v>2019</v>
      </c>
      <c r="B9094" t="s">
        <v>38</v>
      </c>
      <c r="C9094" t="s">
        <v>155</v>
      </c>
      <c r="D9094">
        <v>3</v>
      </c>
      <c r="E9094" t="s">
        <v>328</v>
      </c>
    </row>
    <row r="9095" spans="1:5" x14ac:dyDescent="0.35">
      <c r="A9095">
        <v>2019</v>
      </c>
      <c r="B9095" t="s">
        <v>34</v>
      </c>
      <c r="C9095" t="s">
        <v>144</v>
      </c>
      <c r="D9095">
        <v>445</v>
      </c>
      <c r="E9095" t="s">
        <v>466</v>
      </c>
    </row>
    <row r="9096" spans="1:5" x14ac:dyDescent="0.35">
      <c r="A9096">
        <v>2019</v>
      </c>
      <c r="B9096" t="s">
        <v>38</v>
      </c>
      <c r="C9096" t="s">
        <v>156</v>
      </c>
      <c r="D9096">
        <v>198</v>
      </c>
      <c r="E9096" t="s">
        <v>467</v>
      </c>
    </row>
    <row r="9097" spans="1:5" x14ac:dyDescent="0.35">
      <c r="A9097">
        <v>2019</v>
      </c>
      <c r="B9097" t="s">
        <v>35</v>
      </c>
      <c r="C9097" t="s">
        <v>145</v>
      </c>
      <c r="D9097">
        <v>338</v>
      </c>
      <c r="E9097" t="s">
        <v>466</v>
      </c>
    </row>
    <row r="9098" spans="1:5" x14ac:dyDescent="0.35">
      <c r="A9098">
        <v>2019</v>
      </c>
      <c r="B9098" t="s">
        <v>36</v>
      </c>
      <c r="C9098" t="s">
        <v>163</v>
      </c>
      <c r="E9098" t="s">
        <v>328</v>
      </c>
    </row>
    <row r="9099" spans="1:5" x14ac:dyDescent="0.35">
      <c r="A9099">
        <v>2019</v>
      </c>
      <c r="B9099" t="s">
        <v>37</v>
      </c>
      <c r="C9099" t="s">
        <v>146</v>
      </c>
      <c r="D9099">
        <v>190</v>
      </c>
      <c r="E9099" t="s">
        <v>466</v>
      </c>
    </row>
    <row r="9100" spans="1:5" x14ac:dyDescent="0.35">
      <c r="A9100">
        <v>2019</v>
      </c>
      <c r="B9100" t="s">
        <v>38</v>
      </c>
      <c r="C9100" t="s">
        <v>155</v>
      </c>
      <c r="D9100">
        <v>20</v>
      </c>
      <c r="E9100" t="s">
        <v>467</v>
      </c>
    </row>
    <row r="9101" spans="1:5" x14ac:dyDescent="0.35">
      <c r="A9101">
        <v>2019</v>
      </c>
      <c r="B9101" t="s">
        <v>37</v>
      </c>
      <c r="C9101" t="s">
        <v>137</v>
      </c>
      <c r="D9101">
        <v>101</v>
      </c>
      <c r="E9101" t="s">
        <v>466</v>
      </c>
    </row>
    <row r="9102" spans="1:5" x14ac:dyDescent="0.35">
      <c r="A9102">
        <v>2019</v>
      </c>
      <c r="B9102" t="s">
        <v>37</v>
      </c>
      <c r="C9102" t="s">
        <v>146</v>
      </c>
      <c r="D9102">
        <v>17</v>
      </c>
      <c r="E9102" t="s">
        <v>355</v>
      </c>
    </row>
    <row r="9103" spans="1:5" x14ac:dyDescent="0.35">
      <c r="A9103">
        <v>2019</v>
      </c>
      <c r="B9103" t="s">
        <v>34</v>
      </c>
      <c r="C9103" t="s">
        <v>167</v>
      </c>
      <c r="D9103">
        <v>374</v>
      </c>
      <c r="E9103" t="s">
        <v>466</v>
      </c>
    </row>
    <row r="9104" spans="1:5" x14ac:dyDescent="0.35">
      <c r="A9104">
        <v>2019</v>
      </c>
      <c r="B9104" t="s">
        <v>36</v>
      </c>
      <c r="C9104" t="s">
        <v>154</v>
      </c>
      <c r="D9104">
        <v>33</v>
      </c>
      <c r="E9104" t="s">
        <v>467</v>
      </c>
    </row>
    <row r="9105" spans="1:5" x14ac:dyDescent="0.35">
      <c r="A9105">
        <v>2019</v>
      </c>
      <c r="B9105" t="s">
        <v>34</v>
      </c>
      <c r="C9105" t="s">
        <v>188</v>
      </c>
      <c r="D9105">
        <v>367</v>
      </c>
      <c r="E9105" t="s">
        <v>466</v>
      </c>
    </row>
    <row r="9106" spans="1:5" x14ac:dyDescent="0.35">
      <c r="A9106">
        <v>2019</v>
      </c>
      <c r="B9106" t="s">
        <v>33</v>
      </c>
      <c r="C9106" t="s">
        <v>162</v>
      </c>
      <c r="D9106">
        <v>7</v>
      </c>
      <c r="E9106" t="s">
        <v>328</v>
      </c>
    </row>
    <row r="9107" spans="1:5" x14ac:dyDescent="0.35">
      <c r="A9107">
        <v>2019</v>
      </c>
      <c r="B9107" t="s">
        <v>35</v>
      </c>
      <c r="C9107" t="s">
        <v>169</v>
      </c>
      <c r="D9107">
        <v>107</v>
      </c>
      <c r="E9107" t="s">
        <v>466</v>
      </c>
    </row>
    <row r="9108" spans="1:5" x14ac:dyDescent="0.35">
      <c r="A9108">
        <v>2019</v>
      </c>
      <c r="B9108" t="s">
        <v>34</v>
      </c>
      <c r="C9108" t="s">
        <v>152</v>
      </c>
      <c r="D9108">
        <v>263</v>
      </c>
      <c r="E9108" t="s">
        <v>467</v>
      </c>
    </row>
    <row r="9109" spans="1:5" x14ac:dyDescent="0.35">
      <c r="A9109">
        <v>2019</v>
      </c>
      <c r="B9109" t="s">
        <v>36</v>
      </c>
      <c r="C9109" t="s">
        <v>191</v>
      </c>
      <c r="D9109">
        <v>273</v>
      </c>
      <c r="E9109" t="s">
        <v>466</v>
      </c>
    </row>
    <row r="9110" spans="1:5" x14ac:dyDescent="0.35">
      <c r="A9110">
        <v>2019</v>
      </c>
      <c r="B9110" t="s">
        <v>33</v>
      </c>
      <c r="C9110" t="s">
        <v>162</v>
      </c>
      <c r="D9110">
        <v>8</v>
      </c>
      <c r="E9110" t="s">
        <v>355</v>
      </c>
    </row>
    <row r="9111" spans="1:5" x14ac:dyDescent="0.35">
      <c r="A9111">
        <v>2019</v>
      </c>
      <c r="B9111" t="s">
        <v>33</v>
      </c>
      <c r="C9111" t="s">
        <v>192</v>
      </c>
      <c r="D9111">
        <v>88</v>
      </c>
      <c r="E9111" t="s">
        <v>466</v>
      </c>
    </row>
    <row r="9112" spans="1:5" x14ac:dyDescent="0.35">
      <c r="A9112">
        <v>2019</v>
      </c>
      <c r="B9112" t="s">
        <v>34</v>
      </c>
      <c r="C9112" t="s">
        <v>151</v>
      </c>
      <c r="D9112">
        <v>4</v>
      </c>
      <c r="E9112" t="s">
        <v>467</v>
      </c>
    </row>
    <row r="9113" spans="1:5" x14ac:dyDescent="0.35">
      <c r="A9113">
        <v>2019</v>
      </c>
      <c r="B9113" t="s">
        <v>34</v>
      </c>
      <c r="C9113" t="s">
        <v>193</v>
      </c>
      <c r="D9113">
        <v>766</v>
      </c>
      <c r="E9113" t="s">
        <v>466</v>
      </c>
    </row>
    <row r="9114" spans="1:5" x14ac:dyDescent="0.35">
      <c r="A9114">
        <v>2019</v>
      </c>
      <c r="B9114" t="s">
        <v>35</v>
      </c>
      <c r="C9114" t="s">
        <v>161</v>
      </c>
      <c r="D9114">
        <v>86</v>
      </c>
      <c r="E9114" t="s">
        <v>328</v>
      </c>
    </row>
    <row r="9115" spans="1:5" x14ac:dyDescent="0.35">
      <c r="A9115">
        <v>2019</v>
      </c>
      <c r="B9115" t="s">
        <v>34</v>
      </c>
      <c r="C9115" t="s">
        <v>194</v>
      </c>
      <c r="D9115">
        <v>40</v>
      </c>
      <c r="E9115" t="s">
        <v>466</v>
      </c>
    </row>
    <row r="9116" spans="1:5" x14ac:dyDescent="0.35">
      <c r="A9116">
        <v>2019</v>
      </c>
      <c r="B9116" t="s">
        <v>33</v>
      </c>
      <c r="C9116" t="s">
        <v>175</v>
      </c>
      <c r="D9116">
        <v>73</v>
      </c>
      <c r="E9116" t="s">
        <v>467</v>
      </c>
    </row>
    <row r="9117" spans="1:5" x14ac:dyDescent="0.35">
      <c r="A9117">
        <v>2019</v>
      </c>
      <c r="B9117" t="s">
        <v>33</v>
      </c>
      <c r="C9117" t="s">
        <v>195</v>
      </c>
      <c r="D9117">
        <v>180</v>
      </c>
      <c r="E9117" t="s">
        <v>466</v>
      </c>
    </row>
    <row r="9118" spans="1:5" x14ac:dyDescent="0.35">
      <c r="A9118">
        <v>2019</v>
      </c>
      <c r="B9118" t="s">
        <v>35</v>
      </c>
      <c r="C9118" t="s">
        <v>161</v>
      </c>
      <c r="D9118">
        <v>177</v>
      </c>
      <c r="E9118" t="s">
        <v>355</v>
      </c>
    </row>
    <row r="9119" spans="1:5" x14ac:dyDescent="0.35">
      <c r="A9119">
        <v>2019</v>
      </c>
      <c r="B9119" t="s">
        <v>35</v>
      </c>
      <c r="C9119" t="s">
        <v>196</v>
      </c>
      <c r="D9119">
        <v>626</v>
      </c>
      <c r="E9119" t="s">
        <v>466</v>
      </c>
    </row>
    <row r="9120" spans="1:5" x14ac:dyDescent="0.35">
      <c r="A9120">
        <v>2019</v>
      </c>
      <c r="B9120" t="s">
        <v>35</v>
      </c>
      <c r="C9120" t="s">
        <v>161</v>
      </c>
      <c r="D9120">
        <v>166</v>
      </c>
      <c r="E9120" t="s">
        <v>467</v>
      </c>
    </row>
    <row r="9121" spans="1:5" x14ac:dyDescent="0.35">
      <c r="A9121">
        <v>2019</v>
      </c>
      <c r="B9121" t="s">
        <v>34</v>
      </c>
      <c r="C9121" t="s">
        <v>197</v>
      </c>
      <c r="D9121">
        <v>34</v>
      </c>
      <c r="E9121" t="s">
        <v>466</v>
      </c>
    </row>
    <row r="9122" spans="1:5" x14ac:dyDescent="0.35">
      <c r="A9122">
        <v>2019</v>
      </c>
      <c r="B9122" t="s">
        <v>35</v>
      </c>
      <c r="C9122" t="s">
        <v>160</v>
      </c>
      <c r="D9122">
        <v>181</v>
      </c>
      <c r="E9122" t="s">
        <v>328</v>
      </c>
    </row>
    <row r="9123" spans="1:5" x14ac:dyDescent="0.35">
      <c r="A9123">
        <v>2019</v>
      </c>
      <c r="B9123" t="s">
        <v>35</v>
      </c>
      <c r="C9123" t="s">
        <v>198</v>
      </c>
      <c r="D9123">
        <v>1696</v>
      </c>
      <c r="E9123" t="s">
        <v>466</v>
      </c>
    </row>
    <row r="9124" spans="1:5" x14ac:dyDescent="0.35">
      <c r="A9124">
        <v>2019</v>
      </c>
      <c r="B9124" t="s">
        <v>35</v>
      </c>
      <c r="C9124" t="s">
        <v>177</v>
      </c>
      <c r="D9124">
        <v>1370</v>
      </c>
      <c r="E9124" t="s">
        <v>467</v>
      </c>
    </row>
    <row r="9125" spans="1:5" x14ac:dyDescent="0.35">
      <c r="A9125">
        <v>2019</v>
      </c>
      <c r="B9125" t="s">
        <v>39</v>
      </c>
      <c r="C9125" t="s">
        <v>39</v>
      </c>
      <c r="D9125">
        <v>1465</v>
      </c>
      <c r="E9125" t="s">
        <v>466</v>
      </c>
    </row>
    <row r="9126" spans="1:5" x14ac:dyDescent="0.35">
      <c r="A9126">
        <v>2019</v>
      </c>
      <c r="B9126" t="s">
        <v>38</v>
      </c>
      <c r="C9126" t="s">
        <v>155</v>
      </c>
      <c r="D9126">
        <v>28</v>
      </c>
      <c r="E9126" t="s">
        <v>355</v>
      </c>
    </row>
    <row r="9127" spans="1:5" x14ac:dyDescent="0.35">
      <c r="A9127">
        <v>2019</v>
      </c>
      <c r="B9127" t="s">
        <v>38</v>
      </c>
      <c r="C9127" t="s">
        <v>199</v>
      </c>
      <c r="D9127">
        <v>133</v>
      </c>
      <c r="E9127" t="s">
        <v>466</v>
      </c>
    </row>
    <row r="9128" spans="1:5" x14ac:dyDescent="0.35">
      <c r="A9128">
        <v>2019</v>
      </c>
      <c r="B9128" t="s">
        <v>33</v>
      </c>
      <c r="C9128" t="s">
        <v>204</v>
      </c>
      <c r="D9128">
        <v>13</v>
      </c>
      <c r="E9128" t="s">
        <v>467</v>
      </c>
    </row>
    <row r="9129" spans="1:5" x14ac:dyDescent="0.35">
      <c r="A9129">
        <v>2019</v>
      </c>
      <c r="B9129" t="s">
        <v>34</v>
      </c>
      <c r="C9129" t="s">
        <v>200</v>
      </c>
      <c r="D9129">
        <v>727</v>
      </c>
      <c r="E9129" t="s">
        <v>466</v>
      </c>
    </row>
    <row r="9130" spans="1:5" x14ac:dyDescent="0.35">
      <c r="A9130">
        <v>2019</v>
      </c>
      <c r="B9130" t="s">
        <v>35</v>
      </c>
      <c r="C9130" t="s">
        <v>160</v>
      </c>
      <c r="D9130">
        <v>211</v>
      </c>
      <c r="E9130" t="s">
        <v>355</v>
      </c>
    </row>
    <row r="9131" spans="1:5" x14ac:dyDescent="0.35">
      <c r="A9131">
        <v>2019</v>
      </c>
      <c r="B9131" t="s">
        <v>38</v>
      </c>
      <c r="C9131" t="s">
        <v>19</v>
      </c>
      <c r="D9131">
        <v>10465</v>
      </c>
      <c r="E9131" t="s">
        <v>466</v>
      </c>
    </row>
    <row r="9132" spans="1:5" x14ac:dyDescent="0.35">
      <c r="A9132">
        <v>2019</v>
      </c>
      <c r="B9132" t="s">
        <v>33</v>
      </c>
      <c r="C9132" t="s">
        <v>179</v>
      </c>
      <c r="D9132">
        <v>27</v>
      </c>
      <c r="E9132" t="s">
        <v>467</v>
      </c>
    </row>
    <row r="9133" spans="1:5" x14ac:dyDescent="0.35">
      <c r="A9133">
        <v>2019</v>
      </c>
      <c r="B9133" t="s">
        <v>34</v>
      </c>
      <c r="C9133" t="s">
        <v>201</v>
      </c>
      <c r="D9133">
        <v>1292</v>
      </c>
      <c r="E9133" t="s">
        <v>466</v>
      </c>
    </row>
    <row r="9134" spans="1:5" x14ac:dyDescent="0.35">
      <c r="A9134">
        <v>2019</v>
      </c>
      <c r="B9134" t="s">
        <v>35</v>
      </c>
      <c r="C9134" t="s">
        <v>158</v>
      </c>
      <c r="D9134">
        <v>43</v>
      </c>
      <c r="E9134" t="s">
        <v>355</v>
      </c>
    </row>
    <row r="9135" spans="1:5" x14ac:dyDescent="0.35">
      <c r="A9135">
        <v>2019</v>
      </c>
      <c r="B9135" t="s">
        <v>34</v>
      </c>
      <c r="C9135" t="s">
        <v>202</v>
      </c>
      <c r="D9135">
        <v>103</v>
      </c>
      <c r="E9135" t="s">
        <v>466</v>
      </c>
    </row>
    <row r="9136" spans="1:5" x14ac:dyDescent="0.35">
      <c r="A9136">
        <v>2019</v>
      </c>
      <c r="B9136" t="s">
        <v>39</v>
      </c>
      <c r="C9136" t="s">
        <v>39</v>
      </c>
      <c r="D9136">
        <v>97</v>
      </c>
      <c r="E9136" t="s">
        <v>467</v>
      </c>
    </row>
    <row r="9137" spans="1:5" x14ac:dyDescent="0.35">
      <c r="A9137">
        <v>2019</v>
      </c>
      <c r="B9137" t="s">
        <v>33</v>
      </c>
      <c r="C9137" t="s">
        <v>203</v>
      </c>
      <c r="D9137">
        <v>49</v>
      </c>
      <c r="E9137" t="s">
        <v>466</v>
      </c>
    </row>
    <row r="9138" spans="1:5" x14ac:dyDescent="0.35">
      <c r="A9138">
        <v>2019</v>
      </c>
      <c r="B9138" t="s">
        <v>35</v>
      </c>
      <c r="C9138" t="s">
        <v>157</v>
      </c>
      <c r="D9138">
        <v>32</v>
      </c>
      <c r="E9138" t="s">
        <v>328</v>
      </c>
    </row>
    <row r="9139" spans="1:5" x14ac:dyDescent="0.35">
      <c r="A9139">
        <v>2019</v>
      </c>
      <c r="B9139" t="s">
        <v>33</v>
      </c>
      <c r="C9139" t="s">
        <v>204</v>
      </c>
      <c r="D9139">
        <v>63</v>
      </c>
      <c r="E9139" t="s">
        <v>466</v>
      </c>
    </row>
    <row r="9140" spans="1:5" x14ac:dyDescent="0.35">
      <c r="A9140">
        <v>2019</v>
      </c>
      <c r="C9140" t="s">
        <v>373</v>
      </c>
      <c r="D9140">
        <v>70</v>
      </c>
      <c r="E9140" t="s">
        <v>467</v>
      </c>
    </row>
    <row r="9141" spans="1:5" x14ac:dyDescent="0.35">
      <c r="A9141">
        <v>2019</v>
      </c>
      <c r="B9141" t="s">
        <v>33</v>
      </c>
      <c r="C9141" t="s">
        <v>129</v>
      </c>
      <c r="E9141" t="s">
        <v>466</v>
      </c>
    </row>
    <row r="9142" spans="1:5" x14ac:dyDescent="0.35">
      <c r="A9142">
        <v>2019</v>
      </c>
      <c r="B9142" t="s">
        <v>35</v>
      </c>
      <c r="C9142" t="s">
        <v>157</v>
      </c>
      <c r="D9142">
        <v>140</v>
      </c>
      <c r="E9142" t="s">
        <v>355</v>
      </c>
    </row>
    <row r="9143" spans="1:5" x14ac:dyDescent="0.35">
      <c r="A9143">
        <v>2019</v>
      </c>
      <c r="B9143" t="s">
        <v>37</v>
      </c>
      <c r="C9143" t="s">
        <v>190</v>
      </c>
      <c r="D9143">
        <v>67</v>
      </c>
      <c r="E9143" t="s">
        <v>466</v>
      </c>
    </row>
    <row r="9144" spans="1:5" x14ac:dyDescent="0.35">
      <c r="A9144">
        <v>2019</v>
      </c>
      <c r="B9144" t="s">
        <v>35</v>
      </c>
      <c r="C9144" t="s">
        <v>322</v>
      </c>
      <c r="D9144">
        <v>16</v>
      </c>
      <c r="E9144" t="s">
        <v>467</v>
      </c>
    </row>
    <row r="9145" spans="1:5" x14ac:dyDescent="0.35">
      <c r="A9145">
        <v>2019</v>
      </c>
      <c r="B9145" t="s">
        <v>33</v>
      </c>
      <c r="C9145" t="s">
        <v>189</v>
      </c>
      <c r="D9145">
        <v>61</v>
      </c>
      <c r="E9145" t="s">
        <v>466</v>
      </c>
    </row>
    <row r="9146" spans="1:5" x14ac:dyDescent="0.35">
      <c r="A9146">
        <v>2019</v>
      </c>
      <c r="B9146" t="s">
        <v>34</v>
      </c>
      <c r="C9146" t="s">
        <v>18</v>
      </c>
      <c r="D9146">
        <v>46</v>
      </c>
      <c r="E9146" t="s">
        <v>328</v>
      </c>
    </row>
    <row r="9147" spans="1:5" x14ac:dyDescent="0.35">
      <c r="A9147">
        <v>2019</v>
      </c>
      <c r="B9147" t="s">
        <v>33</v>
      </c>
      <c r="C9147" t="s">
        <v>187</v>
      </c>
      <c r="D9147">
        <v>45</v>
      </c>
      <c r="E9147" t="s">
        <v>466</v>
      </c>
    </row>
    <row r="9148" spans="1:5" x14ac:dyDescent="0.35">
      <c r="A9148">
        <v>2019</v>
      </c>
      <c r="B9148" t="s">
        <v>33</v>
      </c>
      <c r="C9148" t="s">
        <v>203</v>
      </c>
      <c r="D9148">
        <v>16</v>
      </c>
      <c r="E9148" t="s">
        <v>467</v>
      </c>
    </row>
    <row r="9149" spans="1:5" x14ac:dyDescent="0.35">
      <c r="A9149">
        <v>2019</v>
      </c>
      <c r="B9149" t="s">
        <v>34</v>
      </c>
      <c r="C9149" t="s">
        <v>186</v>
      </c>
      <c r="D9149">
        <v>37</v>
      </c>
      <c r="E9149" t="s">
        <v>466</v>
      </c>
    </row>
    <row r="9150" spans="1:5" x14ac:dyDescent="0.35">
      <c r="A9150">
        <v>2019</v>
      </c>
      <c r="B9150" t="s">
        <v>34</v>
      </c>
      <c r="C9150" t="s">
        <v>18</v>
      </c>
      <c r="D9150">
        <v>457</v>
      </c>
      <c r="E9150" t="s">
        <v>355</v>
      </c>
    </row>
    <row r="9151" spans="1:5" x14ac:dyDescent="0.35">
      <c r="A9151">
        <v>2019</v>
      </c>
      <c r="B9151" t="s">
        <v>35</v>
      </c>
      <c r="C9151" t="s">
        <v>215</v>
      </c>
      <c r="D9151">
        <v>12</v>
      </c>
      <c r="E9151" t="s">
        <v>466</v>
      </c>
    </row>
    <row r="9152" spans="1:5" x14ac:dyDescent="0.35">
      <c r="A9152">
        <v>2019</v>
      </c>
      <c r="B9152" t="s">
        <v>34</v>
      </c>
      <c r="C9152" t="s">
        <v>202</v>
      </c>
      <c r="D9152">
        <v>8</v>
      </c>
      <c r="E9152" t="s">
        <v>467</v>
      </c>
    </row>
    <row r="9153" spans="1:5" x14ac:dyDescent="0.35">
      <c r="A9153">
        <v>2019</v>
      </c>
      <c r="B9153" t="s">
        <v>33</v>
      </c>
      <c r="C9153" t="s">
        <v>170</v>
      </c>
      <c r="D9153">
        <v>142</v>
      </c>
      <c r="E9153" t="s">
        <v>466</v>
      </c>
    </row>
    <row r="9154" spans="1:5" x14ac:dyDescent="0.35">
      <c r="A9154">
        <v>2019</v>
      </c>
      <c r="B9154" t="s">
        <v>38</v>
      </c>
      <c r="C9154" t="s">
        <v>156</v>
      </c>
      <c r="D9154">
        <v>236</v>
      </c>
      <c r="E9154" t="s">
        <v>328</v>
      </c>
    </row>
    <row r="9155" spans="1:5" x14ac:dyDescent="0.35">
      <c r="A9155">
        <v>2019</v>
      </c>
      <c r="B9155" t="s">
        <v>34</v>
      </c>
      <c r="C9155" t="s">
        <v>171</v>
      </c>
      <c r="D9155">
        <v>44</v>
      </c>
      <c r="E9155" t="s">
        <v>466</v>
      </c>
    </row>
    <row r="9156" spans="1:5" x14ac:dyDescent="0.35">
      <c r="A9156">
        <v>2019</v>
      </c>
      <c r="B9156" t="s">
        <v>34</v>
      </c>
      <c r="C9156" t="s">
        <v>201</v>
      </c>
      <c r="D9156">
        <v>62</v>
      </c>
      <c r="E9156" t="s">
        <v>467</v>
      </c>
    </row>
    <row r="9157" spans="1:5" x14ac:dyDescent="0.35">
      <c r="A9157">
        <v>2019</v>
      </c>
      <c r="B9157" t="s">
        <v>35</v>
      </c>
      <c r="C9157" t="s">
        <v>172</v>
      </c>
      <c r="D9157">
        <v>85</v>
      </c>
      <c r="E9157" t="s">
        <v>466</v>
      </c>
    </row>
    <row r="9158" spans="1:5" x14ac:dyDescent="0.35">
      <c r="A9158">
        <v>2019</v>
      </c>
      <c r="B9158" t="s">
        <v>38</v>
      </c>
      <c r="C9158" t="s">
        <v>156</v>
      </c>
      <c r="D9158">
        <v>523</v>
      </c>
      <c r="E9158" t="s">
        <v>355</v>
      </c>
    </row>
    <row r="9159" spans="1:5" x14ac:dyDescent="0.35">
      <c r="A9159">
        <v>2019</v>
      </c>
      <c r="B9159" t="s">
        <v>35</v>
      </c>
      <c r="C9159" t="s">
        <v>173</v>
      </c>
      <c r="D9159">
        <v>24</v>
      </c>
      <c r="E9159" t="s">
        <v>466</v>
      </c>
    </row>
    <row r="9160" spans="1:5" x14ac:dyDescent="0.35">
      <c r="A9160">
        <v>2019</v>
      </c>
      <c r="B9160" t="s">
        <v>38</v>
      </c>
      <c r="C9160" t="s">
        <v>19</v>
      </c>
      <c r="D9160">
        <v>593</v>
      </c>
      <c r="E9160" t="s">
        <v>467</v>
      </c>
    </row>
    <row r="9161" spans="1:5" x14ac:dyDescent="0.35">
      <c r="A9161">
        <v>2019</v>
      </c>
      <c r="B9161" t="s">
        <v>33</v>
      </c>
      <c r="C9161" t="s">
        <v>174</v>
      </c>
      <c r="D9161">
        <v>173</v>
      </c>
      <c r="E9161" t="s">
        <v>466</v>
      </c>
    </row>
    <row r="9162" spans="1:5" x14ac:dyDescent="0.35">
      <c r="A9162">
        <v>2019</v>
      </c>
      <c r="B9162" t="s">
        <v>35</v>
      </c>
      <c r="C9162" t="s">
        <v>158</v>
      </c>
      <c r="D9162">
        <v>54</v>
      </c>
      <c r="E9162" t="s">
        <v>328</v>
      </c>
    </row>
    <row r="9163" spans="1:5" x14ac:dyDescent="0.35">
      <c r="A9163">
        <v>2019</v>
      </c>
      <c r="B9163" t="s">
        <v>33</v>
      </c>
      <c r="C9163" t="s">
        <v>175</v>
      </c>
      <c r="D9163">
        <v>209</v>
      </c>
      <c r="E9163" t="s">
        <v>466</v>
      </c>
    </row>
    <row r="9164" spans="1:5" x14ac:dyDescent="0.35">
      <c r="A9164">
        <v>2019</v>
      </c>
      <c r="B9164" t="s">
        <v>34</v>
      </c>
      <c r="C9164" t="s">
        <v>200</v>
      </c>
      <c r="D9164">
        <v>8</v>
      </c>
      <c r="E9164" t="s">
        <v>467</v>
      </c>
    </row>
    <row r="9165" spans="1:5" x14ac:dyDescent="0.35">
      <c r="A9165">
        <v>2019</v>
      </c>
      <c r="B9165" t="s">
        <v>33</v>
      </c>
      <c r="C9165" t="s">
        <v>176</v>
      </c>
      <c r="D9165">
        <v>41</v>
      </c>
      <c r="E9165" t="s">
        <v>466</v>
      </c>
    </row>
    <row r="9166" spans="1:5" x14ac:dyDescent="0.35">
      <c r="A9166">
        <v>2019</v>
      </c>
      <c r="B9166" t="s">
        <v>35</v>
      </c>
      <c r="C9166" t="s">
        <v>145</v>
      </c>
      <c r="D9166">
        <v>16</v>
      </c>
      <c r="E9166" t="s">
        <v>328</v>
      </c>
    </row>
    <row r="9167" spans="1:5" x14ac:dyDescent="0.35">
      <c r="A9167">
        <v>2019</v>
      </c>
      <c r="B9167" t="s">
        <v>33</v>
      </c>
      <c r="C9167" t="s">
        <v>168</v>
      </c>
      <c r="D9167">
        <v>158</v>
      </c>
      <c r="E9167" t="s">
        <v>466</v>
      </c>
    </row>
    <row r="9168" spans="1:5" x14ac:dyDescent="0.35">
      <c r="A9168">
        <v>2019</v>
      </c>
      <c r="B9168" t="s">
        <v>38</v>
      </c>
      <c r="C9168" t="s">
        <v>199</v>
      </c>
      <c r="D9168">
        <v>17</v>
      </c>
      <c r="E9168" t="s">
        <v>467</v>
      </c>
    </row>
    <row r="9169" spans="1:5" x14ac:dyDescent="0.35">
      <c r="A9169">
        <v>2019</v>
      </c>
      <c r="B9169" t="s">
        <v>35</v>
      </c>
      <c r="C9169" t="s">
        <v>216</v>
      </c>
      <c r="D9169">
        <v>18</v>
      </c>
      <c r="E9169" t="s">
        <v>466</v>
      </c>
    </row>
    <row r="9170" spans="1:5" x14ac:dyDescent="0.35">
      <c r="A9170">
        <v>2019</v>
      </c>
      <c r="B9170" t="s">
        <v>37</v>
      </c>
      <c r="C9170" t="s">
        <v>134</v>
      </c>
      <c r="D9170">
        <v>31</v>
      </c>
      <c r="E9170" t="s">
        <v>355</v>
      </c>
    </row>
    <row r="9171" spans="1:5" x14ac:dyDescent="0.35">
      <c r="A9171">
        <v>2019</v>
      </c>
      <c r="B9171" t="s">
        <v>34</v>
      </c>
      <c r="C9171" t="s">
        <v>178</v>
      </c>
      <c r="D9171">
        <v>563</v>
      </c>
      <c r="E9171" t="s">
        <v>466</v>
      </c>
    </row>
    <row r="9172" spans="1:5" x14ac:dyDescent="0.35">
      <c r="A9172">
        <v>2019</v>
      </c>
      <c r="B9172" t="s">
        <v>35</v>
      </c>
      <c r="C9172" t="s">
        <v>198</v>
      </c>
      <c r="D9172">
        <v>1371</v>
      </c>
      <c r="E9172" t="s">
        <v>467</v>
      </c>
    </row>
    <row r="9173" spans="1:5" x14ac:dyDescent="0.35">
      <c r="A9173">
        <v>2019</v>
      </c>
      <c r="B9173" t="s">
        <v>33</v>
      </c>
      <c r="C9173" t="s">
        <v>179</v>
      </c>
      <c r="D9173">
        <v>136</v>
      </c>
      <c r="E9173" t="s">
        <v>466</v>
      </c>
    </row>
    <row r="9174" spans="1:5" x14ac:dyDescent="0.35">
      <c r="A9174">
        <v>2019</v>
      </c>
      <c r="B9174" t="s">
        <v>34</v>
      </c>
      <c r="C9174" t="s">
        <v>144</v>
      </c>
      <c r="D9174">
        <v>143</v>
      </c>
      <c r="E9174" t="s">
        <v>328</v>
      </c>
    </row>
    <row r="9175" spans="1:5" x14ac:dyDescent="0.35">
      <c r="A9175">
        <v>2019</v>
      </c>
      <c r="B9175" t="s">
        <v>38</v>
      </c>
      <c r="C9175" t="s">
        <v>180</v>
      </c>
      <c r="D9175">
        <v>15</v>
      </c>
      <c r="E9175" t="s">
        <v>466</v>
      </c>
    </row>
    <row r="9176" spans="1:5" x14ac:dyDescent="0.35">
      <c r="A9176">
        <v>2019</v>
      </c>
      <c r="B9176" t="s">
        <v>34</v>
      </c>
      <c r="C9176" t="s">
        <v>197</v>
      </c>
      <c r="D9176">
        <v>26</v>
      </c>
      <c r="E9176" t="s">
        <v>467</v>
      </c>
    </row>
    <row r="9177" spans="1:5" x14ac:dyDescent="0.35">
      <c r="A9177">
        <v>2019</v>
      </c>
      <c r="B9177" t="s">
        <v>33</v>
      </c>
      <c r="C9177" t="s">
        <v>181</v>
      </c>
      <c r="E9177" t="s">
        <v>466</v>
      </c>
    </row>
    <row r="9178" spans="1:5" x14ac:dyDescent="0.35">
      <c r="A9178">
        <v>2019</v>
      </c>
      <c r="B9178" t="s">
        <v>35</v>
      </c>
      <c r="C9178" t="s">
        <v>127</v>
      </c>
      <c r="D9178">
        <v>19</v>
      </c>
      <c r="E9178" t="s">
        <v>355</v>
      </c>
    </row>
    <row r="9179" spans="1:5" x14ac:dyDescent="0.35">
      <c r="A9179">
        <v>2019</v>
      </c>
      <c r="B9179" t="s">
        <v>35</v>
      </c>
      <c r="C9179" t="s">
        <v>182</v>
      </c>
      <c r="D9179">
        <v>208</v>
      </c>
      <c r="E9179" t="s">
        <v>466</v>
      </c>
    </row>
    <row r="9180" spans="1:5" x14ac:dyDescent="0.35">
      <c r="A9180">
        <v>2019</v>
      </c>
      <c r="B9180" t="s">
        <v>35</v>
      </c>
      <c r="C9180" t="s">
        <v>196</v>
      </c>
      <c r="D9180">
        <v>99</v>
      </c>
      <c r="E9180" t="s">
        <v>467</v>
      </c>
    </row>
    <row r="9181" spans="1:5" x14ac:dyDescent="0.35">
      <c r="A9181">
        <v>2019</v>
      </c>
      <c r="B9181" t="s">
        <v>35</v>
      </c>
      <c r="C9181" t="s">
        <v>183</v>
      </c>
      <c r="D9181">
        <v>102</v>
      </c>
      <c r="E9181" t="s">
        <v>466</v>
      </c>
    </row>
    <row r="9182" spans="1:5" x14ac:dyDescent="0.35">
      <c r="A9182">
        <v>2019</v>
      </c>
      <c r="B9182" t="s">
        <v>33</v>
      </c>
      <c r="C9182" t="s">
        <v>125</v>
      </c>
      <c r="D9182">
        <v>7</v>
      </c>
      <c r="E9182" t="s">
        <v>328</v>
      </c>
    </row>
    <row r="9183" spans="1:5" x14ac:dyDescent="0.35">
      <c r="A9183">
        <v>2019</v>
      </c>
      <c r="B9183" t="s">
        <v>34</v>
      </c>
      <c r="C9183" t="s">
        <v>184</v>
      </c>
      <c r="D9183">
        <v>176</v>
      </c>
      <c r="E9183" t="s">
        <v>466</v>
      </c>
    </row>
    <row r="9184" spans="1:5" x14ac:dyDescent="0.35">
      <c r="A9184">
        <v>2019</v>
      </c>
      <c r="B9184" t="s">
        <v>33</v>
      </c>
      <c r="C9184" t="s">
        <v>195</v>
      </c>
      <c r="D9184">
        <v>29</v>
      </c>
      <c r="E9184" t="s">
        <v>467</v>
      </c>
    </row>
    <row r="9185" spans="1:5" x14ac:dyDescent="0.35">
      <c r="A9185">
        <v>2019</v>
      </c>
      <c r="B9185" t="s">
        <v>34</v>
      </c>
      <c r="C9185" t="s">
        <v>185</v>
      </c>
      <c r="D9185">
        <v>663</v>
      </c>
      <c r="E9185" t="s">
        <v>466</v>
      </c>
    </row>
    <row r="9186" spans="1:5" x14ac:dyDescent="0.35">
      <c r="A9186">
        <v>2019</v>
      </c>
      <c r="B9186" t="s">
        <v>33</v>
      </c>
      <c r="C9186" t="s">
        <v>125</v>
      </c>
      <c r="D9186">
        <v>109</v>
      </c>
      <c r="E9186" t="s">
        <v>355</v>
      </c>
    </row>
    <row r="9187" spans="1:5" x14ac:dyDescent="0.35">
      <c r="A9187">
        <v>2019</v>
      </c>
      <c r="B9187" t="s">
        <v>35</v>
      </c>
      <c r="C9187" t="s">
        <v>177</v>
      </c>
      <c r="D9187">
        <v>1700</v>
      </c>
      <c r="E9187" t="s">
        <v>466</v>
      </c>
    </row>
    <row r="9188" spans="1:5" x14ac:dyDescent="0.35">
      <c r="A9188">
        <v>2019</v>
      </c>
      <c r="B9188" t="s">
        <v>34</v>
      </c>
      <c r="C9188" t="s">
        <v>194</v>
      </c>
      <c r="D9188">
        <v>12</v>
      </c>
      <c r="E9188" t="s">
        <v>467</v>
      </c>
    </row>
    <row r="9189" spans="1:5" x14ac:dyDescent="0.35">
      <c r="A9189">
        <v>2019</v>
      </c>
      <c r="B9189" t="s">
        <v>35</v>
      </c>
      <c r="C9189" t="s">
        <v>128</v>
      </c>
      <c r="D9189">
        <v>7</v>
      </c>
      <c r="E9189" t="s">
        <v>466</v>
      </c>
    </row>
    <row r="9190" spans="1:5" x14ac:dyDescent="0.35">
      <c r="A9190">
        <v>2019</v>
      </c>
      <c r="B9190" t="s">
        <v>34</v>
      </c>
      <c r="C9190" t="s">
        <v>124</v>
      </c>
      <c r="D9190">
        <v>17</v>
      </c>
      <c r="E9190" t="s">
        <v>328</v>
      </c>
    </row>
    <row r="9191" spans="1:5" x14ac:dyDescent="0.35">
      <c r="A9191">
        <v>2019</v>
      </c>
      <c r="B9191" t="s">
        <v>35</v>
      </c>
      <c r="C9191" t="s">
        <v>127</v>
      </c>
      <c r="D9191">
        <v>136</v>
      </c>
      <c r="E9191" t="s">
        <v>466</v>
      </c>
    </row>
    <row r="9192" spans="1:5" x14ac:dyDescent="0.35">
      <c r="A9192">
        <v>2019</v>
      </c>
      <c r="B9192" t="s">
        <v>34</v>
      </c>
      <c r="C9192" t="s">
        <v>193</v>
      </c>
      <c r="D9192">
        <v>172</v>
      </c>
      <c r="E9192" t="s">
        <v>467</v>
      </c>
    </row>
    <row r="9193" spans="1:5" x14ac:dyDescent="0.35">
      <c r="A9193">
        <v>2019</v>
      </c>
      <c r="B9193" t="s">
        <v>33</v>
      </c>
      <c r="C9193" t="s">
        <v>126</v>
      </c>
      <c r="D9193">
        <v>38</v>
      </c>
      <c r="E9193" t="s">
        <v>466</v>
      </c>
    </row>
    <row r="9194" spans="1:5" x14ac:dyDescent="0.35">
      <c r="A9194">
        <v>2019</v>
      </c>
      <c r="B9194" t="s">
        <v>34</v>
      </c>
      <c r="C9194" t="s">
        <v>124</v>
      </c>
      <c r="D9194">
        <v>35</v>
      </c>
      <c r="E9194" t="s">
        <v>355</v>
      </c>
    </row>
    <row r="9195" spans="1:5" x14ac:dyDescent="0.35">
      <c r="A9195">
        <v>2019</v>
      </c>
      <c r="B9195" t="s">
        <v>34</v>
      </c>
      <c r="C9195" t="s">
        <v>64</v>
      </c>
      <c r="D9195">
        <v>91</v>
      </c>
      <c r="E9195" t="s">
        <v>466</v>
      </c>
    </row>
    <row r="9196" spans="1:5" x14ac:dyDescent="0.35">
      <c r="A9196">
        <v>2019</v>
      </c>
      <c r="B9196" t="s">
        <v>33</v>
      </c>
      <c r="C9196" t="s">
        <v>192</v>
      </c>
      <c r="D9196">
        <v>41</v>
      </c>
      <c r="E9196" t="s">
        <v>467</v>
      </c>
    </row>
    <row r="9197" spans="1:5" x14ac:dyDescent="0.35">
      <c r="A9197">
        <v>2019</v>
      </c>
      <c r="B9197" t="s">
        <v>33</v>
      </c>
      <c r="C9197" t="s">
        <v>65</v>
      </c>
      <c r="D9197">
        <v>33</v>
      </c>
      <c r="E9197" t="s">
        <v>466</v>
      </c>
    </row>
    <row r="9198" spans="1:5" x14ac:dyDescent="0.35">
      <c r="A9198">
        <v>2019</v>
      </c>
      <c r="B9198" t="s">
        <v>35</v>
      </c>
      <c r="C9198" t="s">
        <v>123</v>
      </c>
      <c r="D9198">
        <v>7</v>
      </c>
      <c r="E9198" t="s">
        <v>328</v>
      </c>
    </row>
    <row r="9199" spans="1:5" x14ac:dyDescent="0.35">
      <c r="A9199">
        <v>2019</v>
      </c>
      <c r="B9199" t="s">
        <v>33</v>
      </c>
      <c r="C9199" t="s">
        <v>66</v>
      </c>
      <c r="D9199">
        <v>78</v>
      </c>
      <c r="E9199" t="s">
        <v>466</v>
      </c>
    </row>
    <row r="9200" spans="1:5" x14ac:dyDescent="0.35">
      <c r="A9200">
        <v>2019</v>
      </c>
      <c r="B9200" t="s">
        <v>36</v>
      </c>
      <c r="C9200" t="s">
        <v>191</v>
      </c>
      <c r="D9200">
        <v>53</v>
      </c>
      <c r="E9200" t="s">
        <v>467</v>
      </c>
    </row>
    <row r="9201" spans="1:5" x14ac:dyDescent="0.35">
      <c r="A9201">
        <v>2019</v>
      </c>
      <c r="B9201" t="s">
        <v>34</v>
      </c>
      <c r="C9201" t="s">
        <v>67</v>
      </c>
      <c r="D9201">
        <v>192</v>
      </c>
      <c r="E9201" t="s">
        <v>466</v>
      </c>
    </row>
    <row r="9202" spans="1:5" x14ac:dyDescent="0.35">
      <c r="A9202">
        <v>2019</v>
      </c>
      <c r="B9202" t="s">
        <v>35</v>
      </c>
      <c r="C9202" t="s">
        <v>123</v>
      </c>
      <c r="D9202">
        <v>9</v>
      </c>
      <c r="E9202" t="s">
        <v>355</v>
      </c>
    </row>
    <row r="9203" spans="1:5" x14ac:dyDescent="0.35">
      <c r="A9203">
        <v>2019</v>
      </c>
      <c r="B9203" t="s">
        <v>33</v>
      </c>
      <c r="C9203" t="s">
        <v>68</v>
      </c>
      <c r="D9203">
        <v>2170</v>
      </c>
      <c r="E9203" t="s">
        <v>466</v>
      </c>
    </row>
    <row r="9204" spans="1:5" x14ac:dyDescent="0.35">
      <c r="A9204">
        <v>2019</v>
      </c>
      <c r="B9204" t="s">
        <v>37</v>
      </c>
      <c r="C9204" t="s">
        <v>190</v>
      </c>
      <c r="D9204">
        <v>9</v>
      </c>
      <c r="E9204" t="s">
        <v>467</v>
      </c>
    </row>
    <row r="9205" spans="1:5" x14ac:dyDescent="0.35">
      <c r="A9205">
        <v>2019</v>
      </c>
      <c r="B9205" t="s">
        <v>36</v>
      </c>
      <c r="C9205" t="s">
        <v>69</v>
      </c>
      <c r="D9205">
        <v>12098</v>
      </c>
      <c r="E9205" t="s">
        <v>466</v>
      </c>
    </row>
    <row r="9206" spans="1:5" x14ac:dyDescent="0.35">
      <c r="A9206">
        <v>2019</v>
      </c>
      <c r="B9206" t="s">
        <v>34</v>
      </c>
      <c r="C9206" t="s">
        <v>122</v>
      </c>
      <c r="E9206" t="s">
        <v>328</v>
      </c>
    </row>
    <row r="9207" spans="1:5" x14ac:dyDescent="0.35">
      <c r="A9207">
        <v>2019</v>
      </c>
      <c r="B9207" t="s">
        <v>33</v>
      </c>
      <c r="C9207" t="s">
        <v>70</v>
      </c>
      <c r="D9207">
        <v>16</v>
      </c>
      <c r="E9207" t="s">
        <v>466</v>
      </c>
    </row>
    <row r="9208" spans="1:5" x14ac:dyDescent="0.35">
      <c r="A9208">
        <v>2019</v>
      </c>
      <c r="B9208" t="s">
        <v>33</v>
      </c>
      <c r="C9208" t="s">
        <v>189</v>
      </c>
      <c r="E9208" t="s">
        <v>467</v>
      </c>
    </row>
    <row r="9209" spans="1:5" x14ac:dyDescent="0.35">
      <c r="A9209">
        <v>2019</v>
      </c>
      <c r="B9209" t="s">
        <v>33</v>
      </c>
      <c r="C9209" t="s">
        <v>71</v>
      </c>
      <c r="D9209">
        <v>18</v>
      </c>
      <c r="E9209" t="s">
        <v>466</v>
      </c>
    </row>
    <row r="9210" spans="1:5" x14ac:dyDescent="0.35">
      <c r="A9210">
        <v>2019</v>
      </c>
      <c r="B9210" t="s">
        <v>34</v>
      </c>
      <c r="C9210" t="s">
        <v>122</v>
      </c>
      <c r="E9210" t="s">
        <v>355</v>
      </c>
    </row>
    <row r="9211" spans="1:5" x14ac:dyDescent="0.35">
      <c r="A9211">
        <v>2019</v>
      </c>
      <c r="B9211" t="s">
        <v>38</v>
      </c>
      <c r="C9211" t="s">
        <v>72</v>
      </c>
      <c r="D9211">
        <v>1171</v>
      </c>
      <c r="E9211" t="s">
        <v>466</v>
      </c>
    </row>
    <row r="9212" spans="1:5" x14ac:dyDescent="0.35">
      <c r="A9212">
        <v>2019</v>
      </c>
      <c r="B9212" t="s">
        <v>34</v>
      </c>
      <c r="C9212" t="s">
        <v>188</v>
      </c>
      <c r="D9212">
        <v>106</v>
      </c>
      <c r="E9212" t="s">
        <v>467</v>
      </c>
    </row>
    <row r="9213" spans="1:5" x14ac:dyDescent="0.35">
      <c r="A9213">
        <v>2019</v>
      </c>
      <c r="B9213" t="s">
        <v>33</v>
      </c>
      <c r="C9213" t="s">
        <v>63</v>
      </c>
      <c r="D9213">
        <v>63</v>
      </c>
      <c r="E9213" t="s">
        <v>466</v>
      </c>
    </row>
    <row r="9214" spans="1:5" x14ac:dyDescent="0.35">
      <c r="A9214">
        <v>2019</v>
      </c>
      <c r="B9214" t="s">
        <v>34</v>
      </c>
      <c r="C9214" t="s">
        <v>121</v>
      </c>
      <c r="D9214">
        <v>15</v>
      </c>
      <c r="E9214" t="s">
        <v>328</v>
      </c>
    </row>
    <row r="9215" spans="1:5" x14ac:dyDescent="0.35">
      <c r="A9215">
        <v>2019</v>
      </c>
      <c r="B9215" t="s">
        <v>34</v>
      </c>
      <c r="C9215" t="s">
        <v>73</v>
      </c>
      <c r="D9215">
        <v>6109</v>
      </c>
      <c r="E9215" t="s">
        <v>466</v>
      </c>
    </row>
    <row r="9216" spans="1:5" x14ac:dyDescent="0.35">
      <c r="A9216">
        <v>2019</v>
      </c>
      <c r="B9216" t="s">
        <v>33</v>
      </c>
      <c r="C9216" t="s">
        <v>187</v>
      </c>
      <c r="D9216">
        <v>12</v>
      </c>
      <c r="E9216" t="s">
        <v>467</v>
      </c>
    </row>
    <row r="9217" spans="1:5" x14ac:dyDescent="0.35">
      <c r="A9217">
        <v>2019</v>
      </c>
      <c r="B9217" t="s">
        <v>33</v>
      </c>
      <c r="C9217" t="s">
        <v>74</v>
      </c>
      <c r="D9217">
        <v>1497</v>
      </c>
      <c r="E9217" t="s">
        <v>466</v>
      </c>
    </row>
    <row r="9218" spans="1:5" x14ac:dyDescent="0.35">
      <c r="A9218">
        <v>2019</v>
      </c>
      <c r="B9218" t="s">
        <v>34</v>
      </c>
      <c r="C9218" t="s">
        <v>121</v>
      </c>
      <c r="D9218">
        <v>4</v>
      </c>
      <c r="E9218" t="s">
        <v>355</v>
      </c>
    </row>
    <row r="9219" spans="1:5" x14ac:dyDescent="0.35">
      <c r="A9219">
        <v>2019</v>
      </c>
      <c r="B9219" t="s">
        <v>33</v>
      </c>
      <c r="C9219" t="s">
        <v>75</v>
      </c>
      <c r="D9219">
        <v>323</v>
      </c>
      <c r="E9219" t="s">
        <v>466</v>
      </c>
    </row>
    <row r="9220" spans="1:5" x14ac:dyDescent="0.35">
      <c r="A9220">
        <v>2019</v>
      </c>
      <c r="B9220" t="s">
        <v>34</v>
      </c>
      <c r="C9220" t="s">
        <v>185</v>
      </c>
      <c r="D9220">
        <v>569</v>
      </c>
      <c r="E9220" t="s">
        <v>467</v>
      </c>
    </row>
    <row r="9221" spans="1:5" x14ac:dyDescent="0.35">
      <c r="A9221">
        <v>2019</v>
      </c>
      <c r="B9221" t="s">
        <v>36</v>
      </c>
      <c r="C9221" t="s">
        <v>76</v>
      </c>
      <c r="D9221">
        <v>543</v>
      </c>
      <c r="E9221" t="s">
        <v>466</v>
      </c>
    </row>
    <row r="9222" spans="1:5" x14ac:dyDescent="0.35">
      <c r="A9222">
        <v>2019</v>
      </c>
      <c r="B9222" t="s">
        <v>34</v>
      </c>
      <c r="C9222" t="s">
        <v>120</v>
      </c>
      <c r="D9222">
        <v>5</v>
      </c>
      <c r="E9222" t="s">
        <v>328</v>
      </c>
    </row>
    <row r="9223" spans="1:5" x14ac:dyDescent="0.35">
      <c r="A9223">
        <v>2019</v>
      </c>
      <c r="B9223" t="s">
        <v>33</v>
      </c>
      <c r="C9223" t="s">
        <v>77</v>
      </c>
      <c r="D9223">
        <v>98</v>
      </c>
      <c r="E9223" t="s">
        <v>466</v>
      </c>
    </row>
    <row r="9224" spans="1:5" x14ac:dyDescent="0.35">
      <c r="A9224">
        <v>2019</v>
      </c>
      <c r="B9224" t="s">
        <v>34</v>
      </c>
      <c r="C9224" t="s">
        <v>184</v>
      </c>
      <c r="D9224">
        <v>121</v>
      </c>
      <c r="E9224" t="s">
        <v>467</v>
      </c>
    </row>
    <row r="9225" spans="1:5" x14ac:dyDescent="0.35">
      <c r="A9225">
        <v>2019</v>
      </c>
      <c r="B9225" t="s">
        <v>35</v>
      </c>
      <c r="C9225" t="s">
        <v>78</v>
      </c>
      <c r="D9225">
        <v>43</v>
      </c>
      <c r="E9225" t="s">
        <v>466</v>
      </c>
    </row>
    <row r="9226" spans="1:5" x14ac:dyDescent="0.35">
      <c r="A9226">
        <v>2019</v>
      </c>
      <c r="B9226" t="s">
        <v>34</v>
      </c>
      <c r="C9226" t="s">
        <v>120</v>
      </c>
      <c r="D9226">
        <v>17</v>
      </c>
      <c r="E9226" t="s">
        <v>355</v>
      </c>
    </row>
    <row r="9227" spans="1:5" x14ac:dyDescent="0.35">
      <c r="A9227">
        <v>2019</v>
      </c>
      <c r="B9227" t="s">
        <v>36</v>
      </c>
      <c r="C9227" t="s">
        <v>79</v>
      </c>
      <c r="D9227">
        <v>36082</v>
      </c>
      <c r="E9227" t="s">
        <v>466</v>
      </c>
    </row>
    <row r="9228" spans="1:5" x14ac:dyDescent="0.35">
      <c r="A9228">
        <v>2019</v>
      </c>
      <c r="B9228" t="s">
        <v>35</v>
      </c>
      <c r="C9228" t="s">
        <v>183</v>
      </c>
      <c r="D9228">
        <v>84</v>
      </c>
      <c r="E9228" t="s">
        <v>467</v>
      </c>
    </row>
    <row r="9229" spans="1:5" x14ac:dyDescent="0.35">
      <c r="A9229">
        <v>2019</v>
      </c>
      <c r="B9229" t="s">
        <v>34</v>
      </c>
      <c r="C9229" t="s">
        <v>80</v>
      </c>
      <c r="D9229">
        <v>8</v>
      </c>
      <c r="E9229" t="s">
        <v>466</v>
      </c>
    </row>
    <row r="9230" spans="1:5" x14ac:dyDescent="0.35">
      <c r="A9230">
        <v>2019</v>
      </c>
      <c r="B9230" t="s">
        <v>36</v>
      </c>
      <c r="C9230" t="s">
        <v>164</v>
      </c>
      <c r="D9230">
        <v>16</v>
      </c>
      <c r="E9230" t="s">
        <v>355</v>
      </c>
    </row>
    <row r="9231" spans="1:5" x14ac:dyDescent="0.35">
      <c r="A9231">
        <v>2019</v>
      </c>
      <c r="B9231" t="s">
        <v>35</v>
      </c>
      <c r="C9231" t="s">
        <v>81</v>
      </c>
      <c r="D9231">
        <v>183</v>
      </c>
      <c r="E9231" t="s">
        <v>466</v>
      </c>
    </row>
    <row r="9232" spans="1:5" x14ac:dyDescent="0.35">
      <c r="A9232">
        <v>2019</v>
      </c>
      <c r="B9232" t="s">
        <v>35</v>
      </c>
      <c r="C9232" t="s">
        <v>182</v>
      </c>
      <c r="D9232">
        <v>186</v>
      </c>
      <c r="E9232" t="s">
        <v>467</v>
      </c>
    </row>
    <row r="9233" spans="1:5" x14ac:dyDescent="0.35">
      <c r="A9233">
        <v>2019</v>
      </c>
      <c r="B9233" t="s">
        <v>35</v>
      </c>
      <c r="C9233" t="s">
        <v>214</v>
      </c>
      <c r="E9233" t="s">
        <v>466</v>
      </c>
    </row>
    <row r="9234" spans="1:5" x14ac:dyDescent="0.35">
      <c r="A9234">
        <v>2019</v>
      </c>
      <c r="B9234" t="s">
        <v>35</v>
      </c>
      <c r="C9234" t="s">
        <v>119</v>
      </c>
      <c r="D9234">
        <v>8</v>
      </c>
      <c r="E9234" t="s">
        <v>328</v>
      </c>
    </row>
    <row r="9235" spans="1:5" x14ac:dyDescent="0.35">
      <c r="A9235">
        <v>2019</v>
      </c>
      <c r="B9235" t="s">
        <v>38</v>
      </c>
      <c r="C9235" t="s">
        <v>20</v>
      </c>
      <c r="D9235">
        <v>4705</v>
      </c>
      <c r="E9235" t="s">
        <v>466</v>
      </c>
    </row>
    <row r="9236" spans="1:5" x14ac:dyDescent="0.35">
      <c r="A9236">
        <v>2019</v>
      </c>
      <c r="B9236" t="s">
        <v>34</v>
      </c>
      <c r="C9236" t="s">
        <v>178</v>
      </c>
      <c r="D9236">
        <v>46</v>
      </c>
      <c r="E9236" t="s">
        <v>467</v>
      </c>
    </row>
    <row r="9237" spans="1:5" x14ac:dyDescent="0.35">
      <c r="A9237">
        <v>2019</v>
      </c>
      <c r="B9237" t="s">
        <v>35</v>
      </c>
      <c r="C9237" t="s">
        <v>62</v>
      </c>
      <c r="D9237">
        <v>70</v>
      </c>
      <c r="E9237" t="s">
        <v>466</v>
      </c>
    </row>
    <row r="9238" spans="1:5" x14ac:dyDescent="0.35">
      <c r="A9238">
        <v>2019</v>
      </c>
      <c r="B9238" t="s">
        <v>35</v>
      </c>
      <c r="C9238" t="s">
        <v>127</v>
      </c>
      <c r="D9238">
        <v>17</v>
      </c>
      <c r="E9238" t="s">
        <v>328</v>
      </c>
    </row>
    <row r="9239" spans="1:5" x14ac:dyDescent="0.35">
      <c r="A9239">
        <v>2019</v>
      </c>
      <c r="B9239" t="s">
        <v>38</v>
      </c>
      <c r="C9239" t="s">
        <v>21</v>
      </c>
      <c r="D9239">
        <v>22198</v>
      </c>
      <c r="E9239" t="s">
        <v>466</v>
      </c>
    </row>
    <row r="9240" spans="1:5" x14ac:dyDescent="0.35">
      <c r="A9240">
        <v>2019</v>
      </c>
      <c r="B9240" t="s">
        <v>33</v>
      </c>
      <c r="C9240" t="s">
        <v>149</v>
      </c>
      <c r="D9240">
        <v>395</v>
      </c>
      <c r="E9240" t="s">
        <v>467</v>
      </c>
    </row>
    <row r="9241" spans="1:5" x14ac:dyDescent="0.35">
      <c r="A9241">
        <v>2019</v>
      </c>
      <c r="B9241" t="s">
        <v>33</v>
      </c>
      <c r="C9241" t="s">
        <v>61</v>
      </c>
      <c r="D9241">
        <v>5</v>
      </c>
      <c r="E9241" t="s">
        <v>466</v>
      </c>
    </row>
    <row r="9242" spans="1:5" x14ac:dyDescent="0.35">
      <c r="A9242">
        <v>2019</v>
      </c>
      <c r="B9242" t="s">
        <v>34</v>
      </c>
      <c r="C9242" t="s">
        <v>131</v>
      </c>
      <c r="E9242" t="s">
        <v>355</v>
      </c>
    </row>
    <row r="9243" spans="1:5" x14ac:dyDescent="0.35">
      <c r="A9243">
        <v>2019</v>
      </c>
      <c r="B9243" t="s">
        <v>34</v>
      </c>
      <c r="C9243" t="s">
        <v>40</v>
      </c>
      <c r="D9243">
        <v>108</v>
      </c>
      <c r="E9243" t="s">
        <v>466</v>
      </c>
    </row>
    <row r="9244" spans="1:5" x14ac:dyDescent="0.35">
      <c r="A9244">
        <v>2019</v>
      </c>
      <c r="B9244" t="s">
        <v>35</v>
      </c>
      <c r="C9244" t="s">
        <v>173</v>
      </c>
      <c r="D9244">
        <v>20</v>
      </c>
      <c r="E9244" t="s">
        <v>467</v>
      </c>
    </row>
    <row r="9245" spans="1:5" x14ac:dyDescent="0.35">
      <c r="A9245">
        <v>2019</v>
      </c>
      <c r="B9245" t="s">
        <v>35</v>
      </c>
      <c r="C9245" t="s">
        <v>41</v>
      </c>
      <c r="D9245">
        <v>168</v>
      </c>
      <c r="E9245" t="s">
        <v>466</v>
      </c>
    </row>
    <row r="9246" spans="1:5" x14ac:dyDescent="0.35">
      <c r="A9246">
        <v>2019</v>
      </c>
      <c r="B9246" t="s">
        <v>34</v>
      </c>
      <c r="C9246" t="s">
        <v>131</v>
      </c>
      <c r="E9246" t="s">
        <v>328</v>
      </c>
    </row>
    <row r="9247" spans="1:5" x14ac:dyDescent="0.35">
      <c r="A9247">
        <v>2019</v>
      </c>
      <c r="B9247" t="s">
        <v>33</v>
      </c>
      <c r="C9247" t="s">
        <v>42</v>
      </c>
      <c r="D9247">
        <v>96</v>
      </c>
      <c r="E9247" t="s">
        <v>466</v>
      </c>
    </row>
    <row r="9248" spans="1:5" x14ac:dyDescent="0.35">
      <c r="A9248">
        <v>2019</v>
      </c>
      <c r="B9248" t="s">
        <v>36</v>
      </c>
      <c r="C9248" t="s">
        <v>147</v>
      </c>
      <c r="D9248">
        <v>188</v>
      </c>
      <c r="E9248" t="s">
        <v>467</v>
      </c>
    </row>
    <row r="9249" spans="1:5" x14ac:dyDescent="0.35">
      <c r="A9249">
        <v>2019</v>
      </c>
      <c r="C9249" t="s">
        <v>373</v>
      </c>
      <c r="D9249">
        <v>13</v>
      </c>
      <c r="E9249" t="s">
        <v>466</v>
      </c>
    </row>
    <row r="9250" spans="1:5" x14ac:dyDescent="0.35">
      <c r="A9250">
        <v>2019</v>
      </c>
      <c r="B9250" t="s">
        <v>33</v>
      </c>
      <c r="C9250" t="s">
        <v>132</v>
      </c>
      <c r="D9250">
        <v>36</v>
      </c>
      <c r="E9250" t="s">
        <v>355</v>
      </c>
    </row>
    <row r="9251" spans="1:5" x14ac:dyDescent="0.35">
      <c r="A9251">
        <v>2019</v>
      </c>
      <c r="B9251" t="s">
        <v>33</v>
      </c>
      <c r="C9251" t="s">
        <v>43</v>
      </c>
      <c r="D9251">
        <v>514</v>
      </c>
      <c r="E9251" t="s">
        <v>466</v>
      </c>
    </row>
    <row r="9252" spans="1:5" x14ac:dyDescent="0.35">
      <c r="A9252">
        <v>2019</v>
      </c>
      <c r="B9252" t="s">
        <v>33</v>
      </c>
      <c r="C9252" t="s">
        <v>68</v>
      </c>
      <c r="D9252">
        <v>31</v>
      </c>
      <c r="E9252" t="s">
        <v>467</v>
      </c>
    </row>
    <row r="9253" spans="1:5" x14ac:dyDescent="0.35">
      <c r="A9253">
        <v>2019</v>
      </c>
      <c r="B9253" t="s">
        <v>36</v>
      </c>
      <c r="C9253" t="s">
        <v>44</v>
      </c>
      <c r="D9253">
        <v>26</v>
      </c>
      <c r="E9253" t="s">
        <v>466</v>
      </c>
    </row>
    <row r="9254" spans="1:5" x14ac:dyDescent="0.35">
      <c r="A9254">
        <v>2019</v>
      </c>
      <c r="B9254" t="s">
        <v>34</v>
      </c>
      <c r="C9254" t="s">
        <v>144</v>
      </c>
      <c r="D9254">
        <v>29</v>
      </c>
      <c r="E9254" t="s">
        <v>355</v>
      </c>
    </row>
    <row r="9255" spans="1:5" x14ac:dyDescent="0.35">
      <c r="A9255">
        <v>2019</v>
      </c>
      <c r="B9255" t="s">
        <v>34</v>
      </c>
      <c r="C9255" t="s">
        <v>46</v>
      </c>
      <c r="D9255">
        <v>475</v>
      </c>
      <c r="E9255" t="s">
        <v>466</v>
      </c>
    </row>
    <row r="9256" spans="1:5" x14ac:dyDescent="0.35">
      <c r="A9256">
        <v>2019</v>
      </c>
      <c r="B9256" t="s">
        <v>36</v>
      </c>
      <c r="C9256" t="s">
        <v>69</v>
      </c>
      <c r="D9256">
        <v>11104</v>
      </c>
      <c r="E9256" t="s">
        <v>467</v>
      </c>
    </row>
    <row r="9257" spans="1:5" x14ac:dyDescent="0.35">
      <c r="A9257">
        <v>2019</v>
      </c>
      <c r="B9257" t="s">
        <v>37</v>
      </c>
      <c r="C9257" t="s">
        <v>47</v>
      </c>
      <c r="D9257">
        <v>538</v>
      </c>
      <c r="E9257" t="s">
        <v>466</v>
      </c>
    </row>
    <row r="9258" spans="1:5" x14ac:dyDescent="0.35">
      <c r="A9258">
        <v>2019</v>
      </c>
      <c r="B9258" t="s">
        <v>33</v>
      </c>
      <c r="C9258" t="s">
        <v>141</v>
      </c>
      <c r="D9258">
        <v>13</v>
      </c>
      <c r="E9258" t="s">
        <v>328</v>
      </c>
    </row>
    <row r="9259" spans="1:5" x14ac:dyDescent="0.35">
      <c r="A9259">
        <v>2019</v>
      </c>
      <c r="B9259" t="s">
        <v>35</v>
      </c>
      <c r="C9259" t="s">
        <v>48</v>
      </c>
      <c r="D9259">
        <v>68</v>
      </c>
      <c r="E9259" t="s">
        <v>466</v>
      </c>
    </row>
    <row r="9260" spans="1:5" x14ac:dyDescent="0.35">
      <c r="A9260">
        <v>2019</v>
      </c>
      <c r="B9260" t="s">
        <v>38</v>
      </c>
      <c r="C9260" t="s">
        <v>72</v>
      </c>
      <c r="D9260">
        <v>550</v>
      </c>
      <c r="E9260" t="s">
        <v>467</v>
      </c>
    </row>
    <row r="9261" spans="1:5" x14ac:dyDescent="0.35">
      <c r="A9261">
        <v>2019</v>
      </c>
      <c r="B9261" t="s">
        <v>34</v>
      </c>
      <c r="C9261" t="s">
        <v>49</v>
      </c>
      <c r="D9261">
        <v>57</v>
      </c>
      <c r="E9261" t="s">
        <v>466</v>
      </c>
    </row>
    <row r="9262" spans="1:5" x14ac:dyDescent="0.35">
      <c r="A9262">
        <v>2019</v>
      </c>
      <c r="B9262" t="s">
        <v>33</v>
      </c>
      <c r="C9262" t="s">
        <v>141</v>
      </c>
      <c r="D9262">
        <v>20</v>
      </c>
      <c r="E9262" t="s">
        <v>355</v>
      </c>
    </row>
    <row r="9263" spans="1:5" x14ac:dyDescent="0.35">
      <c r="A9263">
        <v>2019</v>
      </c>
      <c r="B9263" t="s">
        <v>36</v>
      </c>
      <c r="C9263" t="s">
        <v>50</v>
      </c>
      <c r="D9263">
        <v>498</v>
      </c>
      <c r="E9263" t="s">
        <v>466</v>
      </c>
    </row>
    <row r="9264" spans="1:5" x14ac:dyDescent="0.35">
      <c r="A9264">
        <v>2019</v>
      </c>
      <c r="B9264" t="s">
        <v>34</v>
      </c>
      <c r="C9264" t="s">
        <v>73</v>
      </c>
      <c r="D9264">
        <v>1341</v>
      </c>
      <c r="E9264" t="s">
        <v>467</v>
      </c>
    </row>
    <row r="9265" spans="1:5" x14ac:dyDescent="0.35">
      <c r="A9265">
        <v>2019</v>
      </c>
      <c r="B9265" t="s">
        <v>34</v>
      </c>
      <c r="C9265" t="s">
        <v>51</v>
      </c>
      <c r="D9265">
        <v>11</v>
      </c>
      <c r="E9265" t="s">
        <v>466</v>
      </c>
    </row>
    <row r="9266" spans="1:5" x14ac:dyDescent="0.35">
      <c r="A9266">
        <v>2019</v>
      </c>
      <c r="B9266" t="s">
        <v>35</v>
      </c>
      <c r="C9266" t="s">
        <v>140</v>
      </c>
      <c r="D9266">
        <v>14</v>
      </c>
      <c r="E9266" t="s">
        <v>328</v>
      </c>
    </row>
    <row r="9267" spans="1:5" x14ac:dyDescent="0.35">
      <c r="A9267">
        <v>2019</v>
      </c>
      <c r="B9267" t="s">
        <v>34</v>
      </c>
      <c r="C9267" t="s">
        <v>52</v>
      </c>
      <c r="D9267">
        <v>1481</v>
      </c>
      <c r="E9267" t="s">
        <v>466</v>
      </c>
    </row>
    <row r="9268" spans="1:5" x14ac:dyDescent="0.35">
      <c r="A9268">
        <v>2019</v>
      </c>
      <c r="B9268" t="s">
        <v>38</v>
      </c>
      <c r="C9268" t="s">
        <v>20</v>
      </c>
      <c r="D9268">
        <v>841</v>
      </c>
      <c r="E9268" t="s">
        <v>467</v>
      </c>
    </row>
    <row r="9269" spans="1:5" x14ac:dyDescent="0.35">
      <c r="A9269">
        <v>2019</v>
      </c>
      <c r="B9269" t="s">
        <v>36</v>
      </c>
      <c r="C9269" t="s">
        <v>53</v>
      </c>
      <c r="D9269">
        <v>60</v>
      </c>
      <c r="E9269" t="s">
        <v>466</v>
      </c>
    </row>
    <row r="9270" spans="1:5" x14ac:dyDescent="0.35">
      <c r="A9270">
        <v>2019</v>
      </c>
      <c r="B9270" t="s">
        <v>35</v>
      </c>
      <c r="C9270" t="s">
        <v>140</v>
      </c>
      <c r="D9270">
        <v>25</v>
      </c>
      <c r="E9270" t="s">
        <v>355</v>
      </c>
    </row>
    <row r="9271" spans="1:5" x14ac:dyDescent="0.35">
      <c r="A9271">
        <v>2019</v>
      </c>
      <c r="B9271" t="s">
        <v>35</v>
      </c>
      <c r="C9271" t="s">
        <v>54</v>
      </c>
      <c r="D9271">
        <v>94</v>
      </c>
      <c r="E9271" t="s">
        <v>466</v>
      </c>
    </row>
    <row r="9272" spans="1:5" x14ac:dyDescent="0.35">
      <c r="A9272">
        <v>2019</v>
      </c>
      <c r="B9272" t="s">
        <v>33</v>
      </c>
      <c r="C9272" t="s">
        <v>74</v>
      </c>
      <c r="D9272">
        <v>39</v>
      </c>
      <c r="E9272" t="s">
        <v>467</v>
      </c>
    </row>
    <row r="9273" spans="1:5" x14ac:dyDescent="0.35">
      <c r="A9273">
        <v>2019</v>
      </c>
      <c r="B9273" t="s">
        <v>35</v>
      </c>
      <c r="C9273" t="s">
        <v>55</v>
      </c>
      <c r="D9273">
        <v>132</v>
      </c>
      <c r="E9273" t="s">
        <v>466</v>
      </c>
    </row>
    <row r="9274" spans="1:5" x14ac:dyDescent="0.35">
      <c r="A9274">
        <v>2019</v>
      </c>
      <c r="B9274" t="s">
        <v>34</v>
      </c>
      <c r="C9274" t="s">
        <v>139</v>
      </c>
      <c r="D9274">
        <v>10</v>
      </c>
      <c r="E9274" t="s">
        <v>328</v>
      </c>
    </row>
    <row r="9275" spans="1:5" x14ac:dyDescent="0.35">
      <c r="A9275">
        <v>2019</v>
      </c>
      <c r="B9275" t="s">
        <v>36</v>
      </c>
      <c r="C9275" t="s">
        <v>56</v>
      </c>
      <c r="D9275">
        <v>385</v>
      </c>
      <c r="E9275" t="s">
        <v>466</v>
      </c>
    </row>
    <row r="9276" spans="1:5" x14ac:dyDescent="0.35">
      <c r="A9276">
        <v>2019</v>
      </c>
      <c r="B9276" t="s">
        <v>33</v>
      </c>
      <c r="C9276" t="s">
        <v>75</v>
      </c>
      <c r="D9276">
        <v>5</v>
      </c>
      <c r="E9276" t="s">
        <v>467</v>
      </c>
    </row>
    <row r="9277" spans="1:5" x14ac:dyDescent="0.35">
      <c r="A9277">
        <v>2019</v>
      </c>
      <c r="B9277" t="s">
        <v>33</v>
      </c>
      <c r="C9277" t="s">
        <v>57</v>
      </c>
      <c r="D9277">
        <v>37</v>
      </c>
      <c r="E9277" t="s">
        <v>466</v>
      </c>
    </row>
    <row r="9278" spans="1:5" x14ac:dyDescent="0.35">
      <c r="A9278">
        <v>2019</v>
      </c>
      <c r="B9278" t="s">
        <v>34</v>
      </c>
      <c r="C9278" t="s">
        <v>139</v>
      </c>
      <c r="D9278">
        <v>45</v>
      </c>
      <c r="E9278" t="s">
        <v>355</v>
      </c>
    </row>
    <row r="9279" spans="1:5" x14ac:dyDescent="0.35">
      <c r="A9279">
        <v>2019</v>
      </c>
      <c r="B9279" t="s">
        <v>34</v>
      </c>
      <c r="C9279" t="s">
        <v>58</v>
      </c>
      <c r="D9279">
        <v>33</v>
      </c>
      <c r="E9279" t="s">
        <v>466</v>
      </c>
    </row>
    <row r="9280" spans="1:5" x14ac:dyDescent="0.35">
      <c r="A9280">
        <v>2019</v>
      </c>
      <c r="B9280" t="s">
        <v>36</v>
      </c>
      <c r="C9280" t="s">
        <v>76</v>
      </c>
      <c r="D9280">
        <v>78</v>
      </c>
      <c r="E9280" t="s">
        <v>467</v>
      </c>
    </row>
    <row r="9281" spans="1:5" x14ac:dyDescent="0.35">
      <c r="A9281">
        <v>2019</v>
      </c>
      <c r="B9281" t="s">
        <v>38</v>
      </c>
      <c r="C9281" t="s">
        <v>59</v>
      </c>
      <c r="D9281">
        <v>227</v>
      </c>
      <c r="E9281" t="s">
        <v>466</v>
      </c>
    </row>
    <row r="9282" spans="1:5" x14ac:dyDescent="0.35">
      <c r="A9282">
        <v>2019</v>
      </c>
      <c r="B9282" t="s">
        <v>35</v>
      </c>
      <c r="C9282" t="s">
        <v>145</v>
      </c>
      <c r="D9282">
        <v>32</v>
      </c>
      <c r="E9282" t="s">
        <v>355</v>
      </c>
    </row>
    <row r="9283" spans="1:5" x14ac:dyDescent="0.35">
      <c r="A9283">
        <v>2019</v>
      </c>
      <c r="B9283" t="s">
        <v>35</v>
      </c>
      <c r="C9283" t="s">
        <v>60</v>
      </c>
      <c r="D9283">
        <v>111</v>
      </c>
      <c r="E9283" t="s">
        <v>466</v>
      </c>
    </row>
    <row r="9284" spans="1:5" x14ac:dyDescent="0.35">
      <c r="A9284">
        <v>2019</v>
      </c>
      <c r="B9284" t="s">
        <v>33</v>
      </c>
      <c r="C9284" t="s">
        <v>77</v>
      </c>
      <c r="D9284">
        <v>12</v>
      </c>
      <c r="E9284" t="s">
        <v>467</v>
      </c>
    </row>
    <row r="9285" spans="1:5" x14ac:dyDescent="0.35">
      <c r="A9285">
        <v>2019</v>
      </c>
      <c r="B9285" t="s">
        <v>35</v>
      </c>
      <c r="C9285" t="s">
        <v>82</v>
      </c>
      <c r="D9285">
        <v>62</v>
      </c>
      <c r="E9285" t="s">
        <v>466</v>
      </c>
    </row>
    <row r="9286" spans="1:5" x14ac:dyDescent="0.35">
      <c r="A9286">
        <v>2019</v>
      </c>
      <c r="B9286" t="s">
        <v>35</v>
      </c>
      <c r="C9286" t="s">
        <v>138</v>
      </c>
      <c r="D9286">
        <v>15</v>
      </c>
      <c r="E9286" t="s">
        <v>328</v>
      </c>
    </row>
    <row r="9287" spans="1:5" x14ac:dyDescent="0.35">
      <c r="A9287">
        <v>2019</v>
      </c>
      <c r="B9287" t="s">
        <v>33</v>
      </c>
      <c r="C9287" t="s">
        <v>83</v>
      </c>
      <c r="D9287">
        <v>4</v>
      </c>
      <c r="E9287" t="s">
        <v>466</v>
      </c>
    </row>
    <row r="9288" spans="1:5" x14ac:dyDescent="0.35">
      <c r="A9288">
        <v>2019</v>
      </c>
      <c r="B9288" t="s">
        <v>35</v>
      </c>
      <c r="C9288" t="s">
        <v>78</v>
      </c>
      <c r="D9288">
        <v>16</v>
      </c>
      <c r="E9288" t="s">
        <v>467</v>
      </c>
    </row>
    <row r="9289" spans="1:5" x14ac:dyDescent="0.35">
      <c r="A9289">
        <v>2019</v>
      </c>
      <c r="B9289" t="s">
        <v>38</v>
      </c>
      <c r="C9289" t="s">
        <v>45</v>
      </c>
      <c r="D9289">
        <v>469</v>
      </c>
      <c r="E9289" t="s">
        <v>466</v>
      </c>
    </row>
    <row r="9290" spans="1:5" x14ac:dyDescent="0.35">
      <c r="A9290">
        <v>2019</v>
      </c>
      <c r="B9290" t="s">
        <v>37</v>
      </c>
      <c r="C9290" t="s">
        <v>137</v>
      </c>
      <c r="E9290" t="s">
        <v>328</v>
      </c>
    </row>
    <row r="9291" spans="1:5" x14ac:dyDescent="0.35">
      <c r="A9291">
        <v>2019</v>
      </c>
      <c r="B9291" t="s">
        <v>36</v>
      </c>
      <c r="C9291" t="s">
        <v>85</v>
      </c>
      <c r="D9291">
        <v>3836</v>
      </c>
      <c r="E9291" t="s">
        <v>466</v>
      </c>
    </row>
    <row r="9292" spans="1:5" x14ac:dyDescent="0.35">
      <c r="A9292">
        <v>2019</v>
      </c>
      <c r="B9292" t="s">
        <v>34</v>
      </c>
      <c r="C9292" t="s">
        <v>67</v>
      </c>
      <c r="E9292" t="s">
        <v>467</v>
      </c>
    </row>
    <row r="9293" spans="1:5" x14ac:dyDescent="0.35">
      <c r="A9293">
        <v>2019</v>
      </c>
      <c r="B9293" t="s">
        <v>34</v>
      </c>
      <c r="C9293" t="s">
        <v>22</v>
      </c>
      <c r="D9293">
        <v>10834</v>
      </c>
      <c r="E9293" t="s">
        <v>466</v>
      </c>
    </row>
    <row r="9294" spans="1:5" x14ac:dyDescent="0.35">
      <c r="A9294">
        <v>2019</v>
      </c>
      <c r="B9294" t="s">
        <v>37</v>
      </c>
      <c r="C9294" t="s">
        <v>137</v>
      </c>
      <c r="E9294" t="s">
        <v>355</v>
      </c>
    </row>
    <row r="9295" spans="1:5" x14ac:dyDescent="0.35">
      <c r="A9295">
        <v>2019</v>
      </c>
      <c r="B9295" t="s">
        <v>34</v>
      </c>
      <c r="C9295" t="s">
        <v>107</v>
      </c>
      <c r="D9295">
        <v>243</v>
      </c>
      <c r="E9295" t="s">
        <v>466</v>
      </c>
    </row>
    <row r="9296" spans="1:5" x14ac:dyDescent="0.35">
      <c r="A9296">
        <v>2019</v>
      </c>
      <c r="B9296" t="s">
        <v>36</v>
      </c>
      <c r="C9296" t="s">
        <v>79</v>
      </c>
      <c r="D9296">
        <v>103</v>
      </c>
      <c r="E9296" t="s">
        <v>467</v>
      </c>
    </row>
    <row r="9297" spans="1:5" x14ac:dyDescent="0.35">
      <c r="A9297">
        <v>2019</v>
      </c>
      <c r="B9297" t="s">
        <v>34</v>
      </c>
      <c r="C9297" t="s">
        <v>108</v>
      </c>
      <c r="D9297">
        <v>756</v>
      </c>
      <c r="E9297" t="s">
        <v>466</v>
      </c>
    </row>
    <row r="9298" spans="1:5" x14ac:dyDescent="0.35">
      <c r="A9298">
        <v>2019</v>
      </c>
      <c r="B9298" t="s">
        <v>36</v>
      </c>
      <c r="C9298" t="s">
        <v>14</v>
      </c>
      <c r="D9298">
        <v>104258</v>
      </c>
      <c r="E9298" t="s">
        <v>328</v>
      </c>
    </row>
    <row r="9299" spans="1:5" x14ac:dyDescent="0.35">
      <c r="A9299">
        <v>2019</v>
      </c>
      <c r="B9299" t="s">
        <v>34</v>
      </c>
      <c r="C9299" t="s">
        <v>109</v>
      </c>
      <c r="D9299">
        <v>298</v>
      </c>
      <c r="E9299" t="s">
        <v>466</v>
      </c>
    </row>
    <row r="9300" spans="1:5" x14ac:dyDescent="0.35">
      <c r="A9300">
        <v>2019</v>
      </c>
      <c r="B9300" t="s">
        <v>35</v>
      </c>
      <c r="C9300" t="s">
        <v>81</v>
      </c>
      <c r="D9300">
        <v>113</v>
      </c>
      <c r="E9300" t="s">
        <v>467</v>
      </c>
    </row>
    <row r="9301" spans="1:5" x14ac:dyDescent="0.35">
      <c r="A9301">
        <v>2019</v>
      </c>
      <c r="B9301" t="s">
        <v>35</v>
      </c>
      <c r="C9301" t="s">
        <v>110</v>
      </c>
      <c r="D9301">
        <v>706</v>
      </c>
      <c r="E9301" t="s">
        <v>466</v>
      </c>
    </row>
    <row r="9302" spans="1:5" x14ac:dyDescent="0.35">
      <c r="A9302">
        <v>2019</v>
      </c>
      <c r="B9302" t="s">
        <v>36</v>
      </c>
      <c r="C9302" t="s">
        <v>14</v>
      </c>
      <c r="D9302">
        <v>98329</v>
      </c>
      <c r="E9302" t="s">
        <v>355</v>
      </c>
    </row>
    <row r="9303" spans="1:5" x14ac:dyDescent="0.35">
      <c r="A9303">
        <v>2019</v>
      </c>
      <c r="B9303" t="s">
        <v>34</v>
      </c>
      <c r="C9303" t="s">
        <v>111</v>
      </c>
      <c r="D9303">
        <v>424</v>
      </c>
      <c r="E9303" t="s">
        <v>466</v>
      </c>
    </row>
    <row r="9304" spans="1:5" x14ac:dyDescent="0.35">
      <c r="A9304">
        <v>2019</v>
      </c>
      <c r="B9304" t="s">
        <v>35</v>
      </c>
      <c r="C9304" t="s">
        <v>82</v>
      </c>
      <c r="D9304">
        <v>52</v>
      </c>
      <c r="E9304" t="s">
        <v>467</v>
      </c>
    </row>
    <row r="9305" spans="1:5" x14ac:dyDescent="0.35">
      <c r="A9305">
        <v>2019</v>
      </c>
      <c r="B9305" t="s">
        <v>35</v>
      </c>
      <c r="C9305" t="s">
        <v>112</v>
      </c>
      <c r="D9305">
        <v>1002</v>
      </c>
      <c r="E9305" t="s">
        <v>466</v>
      </c>
    </row>
    <row r="9306" spans="1:5" x14ac:dyDescent="0.35">
      <c r="A9306">
        <v>2019</v>
      </c>
      <c r="B9306" t="s">
        <v>33</v>
      </c>
      <c r="C9306" t="s">
        <v>135</v>
      </c>
      <c r="D9306">
        <v>30</v>
      </c>
      <c r="E9306" t="s">
        <v>328</v>
      </c>
    </row>
    <row r="9307" spans="1:5" x14ac:dyDescent="0.35">
      <c r="A9307">
        <v>2019</v>
      </c>
      <c r="B9307" t="s">
        <v>36</v>
      </c>
      <c r="C9307" t="s">
        <v>113</v>
      </c>
      <c r="D9307">
        <v>2105</v>
      </c>
      <c r="E9307" t="s">
        <v>466</v>
      </c>
    </row>
    <row r="9308" spans="1:5" x14ac:dyDescent="0.35">
      <c r="A9308">
        <v>2019</v>
      </c>
      <c r="B9308" t="s">
        <v>36</v>
      </c>
      <c r="C9308" t="s">
        <v>84</v>
      </c>
      <c r="D9308">
        <v>9</v>
      </c>
      <c r="E9308" t="s">
        <v>467</v>
      </c>
    </row>
    <row r="9309" spans="1:5" x14ac:dyDescent="0.35">
      <c r="A9309">
        <v>2019</v>
      </c>
      <c r="B9309" t="s">
        <v>34</v>
      </c>
      <c r="C9309" t="s">
        <v>114</v>
      </c>
      <c r="D9309">
        <v>403</v>
      </c>
      <c r="E9309" t="s">
        <v>466</v>
      </c>
    </row>
    <row r="9310" spans="1:5" x14ac:dyDescent="0.35">
      <c r="A9310">
        <v>2019</v>
      </c>
      <c r="B9310" t="s">
        <v>33</v>
      </c>
      <c r="C9310" t="s">
        <v>135</v>
      </c>
      <c r="D9310">
        <v>11</v>
      </c>
      <c r="E9310" t="s">
        <v>355</v>
      </c>
    </row>
    <row r="9311" spans="1:5" x14ac:dyDescent="0.35">
      <c r="A9311">
        <v>2019</v>
      </c>
      <c r="B9311" t="s">
        <v>35</v>
      </c>
      <c r="C9311" t="s">
        <v>106</v>
      </c>
      <c r="D9311">
        <v>14</v>
      </c>
      <c r="E9311" t="s">
        <v>466</v>
      </c>
    </row>
    <row r="9312" spans="1:5" x14ac:dyDescent="0.35">
      <c r="A9312">
        <v>2019</v>
      </c>
      <c r="B9312" t="s">
        <v>36</v>
      </c>
      <c r="C9312" t="s">
        <v>85</v>
      </c>
      <c r="D9312">
        <v>552</v>
      </c>
      <c r="E9312" t="s">
        <v>467</v>
      </c>
    </row>
    <row r="9313" spans="1:5" x14ac:dyDescent="0.35">
      <c r="A9313">
        <v>2019</v>
      </c>
      <c r="B9313" t="s">
        <v>34</v>
      </c>
      <c r="C9313" t="s">
        <v>115</v>
      </c>
      <c r="D9313">
        <v>583</v>
      </c>
      <c r="E9313" t="s">
        <v>466</v>
      </c>
    </row>
    <row r="9314" spans="1:5" x14ac:dyDescent="0.35">
      <c r="A9314">
        <v>2019</v>
      </c>
      <c r="B9314" t="s">
        <v>33</v>
      </c>
      <c r="C9314" t="s">
        <v>132</v>
      </c>
      <c r="D9314">
        <v>21</v>
      </c>
      <c r="E9314" t="s">
        <v>328</v>
      </c>
    </row>
    <row r="9315" spans="1:5" x14ac:dyDescent="0.35">
      <c r="A9315">
        <v>2019</v>
      </c>
      <c r="B9315" t="s">
        <v>33</v>
      </c>
      <c r="C9315" t="s">
        <v>117</v>
      </c>
      <c r="D9315">
        <v>396</v>
      </c>
      <c r="E9315" t="s">
        <v>466</v>
      </c>
    </row>
    <row r="9316" spans="1:5" x14ac:dyDescent="0.35">
      <c r="A9316">
        <v>2019</v>
      </c>
      <c r="B9316" t="s">
        <v>38</v>
      </c>
      <c r="C9316" t="s">
        <v>86</v>
      </c>
      <c r="D9316">
        <v>398</v>
      </c>
      <c r="E9316" t="s">
        <v>467</v>
      </c>
    </row>
    <row r="9317" spans="1:5" x14ac:dyDescent="0.35">
      <c r="A9317">
        <v>2019</v>
      </c>
      <c r="B9317" t="s">
        <v>34</v>
      </c>
      <c r="C9317" t="s">
        <v>118</v>
      </c>
      <c r="D9317">
        <v>1089</v>
      </c>
      <c r="E9317" t="s">
        <v>466</v>
      </c>
    </row>
    <row r="9318" spans="1:5" x14ac:dyDescent="0.35">
      <c r="A9318">
        <v>2019</v>
      </c>
      <c r="B9318" t="s">
        <v>35</v>
      </c>
      <c r="C9318" t="s">
        <v>138</v>
      </c>
      <c r="D9318">
        <v>21</v>
      </c>
      <c r="E9318" t="s">
        <v>355</v>
      </c>
    </row>
    <row r="9319" spans="1:5" x14ac:dyDescent="0.35">
      <c r="A9319">
        <v>2019</v>
      </c>
      <c r="B9319" t="s">
        <v>35</v>
      </c>
      <c r="C9319" t="s">
        <v>119</v>
      </c>
      <c r="D9319">
        <v>66</v>
      </c>
      <c r="E9319" t="s">
        <v>466</v>
      </c>
    </row>
    <row r="9320" spans="1:5" x14ac:dyDescent="0.35">
      <c r="A9320">
        <v>2019</v>
      </c>
      <c r="B9320" t="s">
        <v>33</v>
      </c>
      <c r="C9320" t="s">
        <v>87</v>
      </c>
      <c r="D9320">
        <v>184</v>
      </c>
      <c r="E9320" t="s">
        <v>467</v>
      </c>
    </row>
    <row r="9321" spans="1:5" x14ac:dyDescent="0.35">
      <c r="A9321">
        <v>2019</v>
      </c>
      <c r="B9321" t="s">
        <v>34</v>
      </c>
      <c r="C9321" t="s">
        <v>120</v>
      </c>
      <c r="D9321">
        <v>90</v>
      </c>
      <c r="E9321" t="s">
        <v>466</v>
      </c>
    </row>
    <row r="9322" spans="1:5" x14ac:dyDescent="0.35">
      <c r="A9322">
        <v>2019</v>
      </c>
      <c r="B9322" t="s">
        <v>36</v>
      </c>
      <c r="C9322" t="s">
        <v>164</v>
      </c>
      <c r="D9322">
        <v>5</v>
      </c>
      <c r="E9322" t="s">
        <v>328</v>
      </c>
    </row>
    <row r="9323" spans="1:5" x14ac:dyDescent="0.35">
      <c r="A9323">
        <v>2019</v>
      </c>
      <c r="B9323" t="s">
        <v>34</v>
      </c>
      <c r="C9323" t="s">
        <v>121</v>
      </c>
      <c r="D9323">
        <v>89</v>
      </c>
      <c r="E9323" t="s">
        <v>466</v>
      </c>
    </row>
    <row r="9324" spans="1:5" x14ac:dyDescent="0.35">
      <c r="A9324">
        <v>2019</v>
      </c>
      <c r="B9324" t="s">
        <v>36</v>
      </c>
      <c r="C9324" t="s">
        <v>16</v>
      </c>
      <c r="D9324">
        <v>997</v>
      </c>
      <c r="E9324" t="s">
        <v>467</v>
      </c>
    </row>
    <row r="9325" spans="1:5" x14ac:dyDescent="0.35">
      <c r="A9325">
        <v>2019</v>
      </c>
      <c r="B9325" t="s">
        <v>33</v>
      </c>
      <c r="C9325" t="s">
        <v>125</v>
      </c>
      <c r="D9325">
        <v>222</v>
      </c>
      <c r="E9325" t="s">
        <v>466</v>
      </c>
    </row>
    <row r="9326" spans="1:5" x14ac:dyDescent="0.35">
      <c r="A9326">
        <v>2019</v>
      </c>
      <c r="B9326" t="s">
        <v>34</v>
      </c>
      <c r="C9326" t="s">
        <v>186</v>
      </c>
      <c r="D9326">
        <v>3</v>
      </c>
      <c r="E9326" t="s">
        <v>355</v>
      </c>
    </row>
    <row r="9327" spans="1:5" x14ac:dyDescent="0.35">
      <c r="A9327">
        <v>2019</v>
      </c>
      <c r="B9327" t="s">
        <v>35</v>
      </c>
      <c r="C9327" t="s">
        <v>123</v>
      </c>
      <c r="D9327">
        <v>70</v>
      </c>
      <c r="E9327" t="s">
        <v>466</v>
      </c>
    </row>
    <row r="9328" spans="1:5" x14ac:dyDescent="0.35">
      <c r="A9328">
        <v>2019</v>
      </c>
      <c r="B9328" t="s">
        <v>33</v>
      </c>
      <c r="C9328" t="s">
        <v>89</v>
      </c>
      <c r="D9328">
        <v>13</v>
      </c>
      <c r="E9328" t="s">
        <v>467</v>
      </c>
    </row>
    <row r="9329" spans="1:5" x14ac:dyDescent="0.35">
      <c r="A9329">
        <v>2019</v>
      </c>
      <c r="B9329" t="s">
        <v>36</v>
      </c>
      <c r="C9329" t="s">
        <v>84</v>
      </c>
      <c r="D9329">
        <v>47</v>
      </c>
      <c r="E9329" t="s">
        <v>466</v>
      </c>
    </row>
    <row r="9330" spans="1:5" x14ac:dyDescent="0.35">
      <c r="A9330">
        <v>2019</v>
      </c>
      <c r="B9330" t="s">
        <v>36</v>
      </c>
      <c r="C9330" t="s">
        <v>165</v>
      </c>
      <c r="D9330">
        <v>4</v>
      </c>
      <c r="E9330" t="s">
        <v>328</v>
      </c>
    </row>
    <row r="9331" spans="1:5" x14ac:dyDescent="0.35">
      <c r="A9331">
        <v>2019</v>
      </c>
      <c r="B9331" t="s">
        <v>34</v>
      </c>
      <c r="C9331" t="s">
        <v>124</v>
      </c>
      <c r="D9331">
        <v>156</v>
      </c>
      <c r="E9331" t="s">
        <v>466</v>
      </c>
    </row>
    <row r="9332" spans="1:5" x14ac:dyDescent="0.35">
      <c r="A9332">
        <v>2019</v>
      </c>
      <c r="B9332" t="s">
        <v>35</v>
      </c>
      <c r="C9332" t="s">
        <v>90</v>
      </c>
      <c r="D9332">
        <v>25</v>
      </c>
      <c r="E9332" t="s">
        <v>467</v>
      </c>
    </row>
    <row r="9333" spans="1:5" x14ac:dyDescent="0.35">
      <c r="A9333">
        <v>2019</v>
      </c>
      <c r="B9333" t="s">
        <v>34</v>
      </c>
      <c r="C9333" t="s">
        <v>116</v>
      </c>
      <c r="D9333">
        <v>195</v>
      </c>
      <c r="E9333" t="s">
        <v>466</v>
      </c>
    </row>
    <row r="9334" spans="1:5" x14ac:dyDescent="0.35">
      <c r="A9334">
        <v>2019</v>
      </c>
      <c r="B9334" t="s">
        <v>33</v>
      </c>
      <c r="C9334" t="s">
        <v>195</v>
      </c>
      <c r="D9334">
        <v>11</v>
      </c>
      <c r="E9334" t="s">
        <v>328</v>
      </c>
    </row>
    <row r="9335" spans="1:5" x14ac:dyDescent="0.35">
      <c r="A9335">
        <v>2019</v>
      </c>
      <c r="B9335" t="s">
        <v>35</v>
      </c>
      <c r="C9335" t="s">
        <v>105</v>
      </c>
      <c r="D9335">
        <v>248</v>
      </c>
      <c r="E9335" t="s">
        <v>466</v>
      </c>
    </row>
    <row r="9336" spans="1:5" x14ac:dyDescent="0.35">
      <c r="A9336">
        <v>2019</v>
      </c>
      <c r="B9336" t="s">
        <v>33</v>
      </c>
      <c r="C9336" t="s">
        <v>91</v>
      </c>
      <c r="D9336">
        <v>22</v>
      </c>
      <c r="E9336" t="s">
        <v>467</v>
      </c>
    </row>
    <row r="9337" spans="1:5" x14ac:dyDescent="0.35">
      <c r="A9337">
        <v>2019</v>
      </c>
      <c r="B9337" t="s">
        <v>34</v>
      </c>
      <c r="C9337" t="s">
        <v>122</v>
      </c>
      <c r="D9337">
        <v>172</v>
      </c>
      <c r="E9337" t="s">
        <v>466</v>
      </c>
    </row>
    <row r="9338" spans="1:5" x14ac:dyDescent="0.35">
      <c r="A9338">
        <v>2019</v>
      </c>
      <c r="B9338" t="s">
        <v>33</v>
      </c>
      <c r="C9338" t="s">
        <v>195</v>
      </c>
      <c r="D9338">
        <v>27</v>
      </c>
      <c r="E9338" t="s">
        <v>355</v>
      </c>
    </row>
    <row r="9339" spans="1:5" x14ac:dyDescent="0.35">
      <c r="A9339">
        <v>2019</v>
      </c>
      <c r="B9339" t="s">
        <v>36</v>
      </c>
      <c r="C9339" t="s">
        <v>104</v>
      </c>
      <c r="D9339">
        <v>4148</v>
      </c>
      <c r="E9339" t="s">
        <v>466</v>
      </c>
    </row>
    <row r="9340" spans="1:5" x14ac:dyDescent="0.35">
      <c r="A9340">
        <v>2019</v>
      </c>
      <c r="B9340" t="s">
        <v>34</v>
      </c>
      <c r="C9340" t="s">
        <v>80</v>
      </c>
      <c r="D9340">
        <v>3</v>
      </c>
      <c r="E9340" t="s">
        <v>467</v>
      </c>
    </row>
    <row r="9341" spans="1:5" x14ac:dyDescent="0.35">
      <c r="A9341">
        <v>2019</v>
      </c>
      <c r="B9341" t="s">
        <v>36</v>
      </c>
      <c r="C9341" t="s">
        <v>17</v>
      </c>
      <c r="D9341">
        <v>276805</v>
      </c>
      <c r="E9341" t="s">
        <v>466</v>
      </c>
    </row>
    <row r="9342" spans="1:5" x14ac:dyDescent="0.35">
      <c r="A9342">
        <v>2019</v>
      </c>
      <c r="B9342" t="s">
        <v>34</v>
      </c>
      <c r="C9342" t="s">
        <v>194</v>
      </c>
      <c r="D9342">
        <v>3</v>
      </c>
      <c r="E9342" t="s">
        <v>328</v>
      </c>
    </row>
    <row r="9343" spans="1:5" x14ac:dyDescent="0.35">
      <c r="A9343">
        <v>2019</v>
      </c>
      <c r="B9343" t="s">
        <v>38</v>
      </c>
      <c r="C9343" t="s">
        <v>86</v>
      </c>
      <c r="D9343">
        <v>15451</v>
      </c>
      <c r="E9343" t="s">
        <v>466</v>
      </c>
    </row>
    <row r="9344" spans="1:5" x14ac:dyDescent="0.35">
      <c r="A9344">
        <v>2019</v>
      </c>
      <c r="B9344" t="s">
        <v>33</v>
      </c>
      <c r="C9344" t="s">
        <v>66</v>
      </c>
      <c r="D9344">
        <v>11</v>
      </c>
      <c r="E9344" t="s">
        <v>467</v>
      </c>
    </row>
    <row r="9345" spans="1:5" x14ac:dyDescent="0.35">
      <c r="A9345">
        <v>2019</v>
      </c>
      <c r="B9345" t="s">
        <v>33</v>
      </c>
      <c r="C9345" t="s">
        <v>88</v>
      </c>
      <c r="D9345">
        <v>22</v>
      </c>
      <c r="E9345" t="s">
        <v>466</v>
      </c>
    </row>
    <row r="9346" spans="1:5" x14ac:dyDescent="0.35">
      <c r="A9346">
        <v>2019</v>
      </c>
      <c r="B9346" t="s">
        <v>34</v>
      </c>
      <c r="C9346" t="s">
        <v>194</v>
      </c>
      <c r="D9346">
        <v>12</v>
      </c>
      <c r="E9346" t="s">
        <v>355</v>
      </c>
    </row>
    <row r="9347" spans="1:5" x14ac:dyDescent="0.35">
      <c r="A9347">
        <v>2019</v>
      </c>
      <c r="B9347" t="s">
        <v>33</v>
      </c>
      <c r="C9347" t="s">
        <v>89</v>
      </c>
      <c r="D9347">
        <v>387</v>
      </c>
      <c r="E9347" t="s">
        <v>466</v>
      </c>
    </row>
    <row r="9348" spans="1:5" x14ac:dyDescent="0.35">
      <c r="A9348">
        <v>2019</v>
      </c>
      <c r="B9348" t="s">
        <v>33</v>
      </c>
      <c r="C9348" t="s">
        <v>148</v>
      </c>
      <c r="D9348">
        <v>12</v>
      </c>
      <c r="E9348" t="s">
        <v>467</v>
      </c>
    </row>
    <row r="9349" spans="1:5" x14ac:dyDescent="0.35">
      <c r="A9349">
        <v>2019</v>
      </c>
      <c r="B9349" t="s">
        <v>35</v>
      </c>
      <c r="C9349" t="s">
        <v>90</v>
      </c>
      <c r="D9349">
        <v>37</v>
      </c>
      <c r="E9349" t="s">
        <v>466</v>
      </c>
    </row>
    <row r="9350" spans="1:5" x14ac:dyDescent="0.35">
      <c r="A9350">
        <v>2019</v>
      </c>
      <c r="B9350" t="s">
        <v>34</v>
      </c>
      <c r="C9350" t="s">
        <v>193</v>
      </c>
      <c r="D9350">
        <v>53</v>
      </c>
      <c r="E9350" t="s">
        <v>328</v>
      </c>
    </row>
    <row r="9351" spans="1:5" x14ac:dyDescent="0.35">
      <c r="A9351">
        <v>2019</v>
      </c>
      <c r="B9351" t="s">
        <v>33</v>
      </c>
      <c r="C9351" t="s">
        <v>91</v>
      </c>
      <c r="D9351">
        <v>134</v>
      </c>
      <c r="E9351" t="s">
        <v>466</v>
      </c>
    </row>
    <row r="9352" spans="1:5" x14ac:dyDescent="0.35">
      <c r="A9352">
        <v>2019</v>
      </c>
      <c r="B9352" t="s">
        <v>34</v>
      </c>
      <c r="C9352" t="s">
        <v>64</v>
      </c>
      <c r="D9352">
        <v>12</v>
      </c>
      <c r="E9352" t="s">
        <v>467</v>
      </c>
    </row>
    <row r="9353" spans="1:5" x14ac:dyDescent="0.35">
      <c r="A9353">
        <v>2019</v>
      </c>
      <c r="B9353" t="s">
        <v>37</v>
      </c>
      <c r="C9353" t="s">
        <v>92</v>
      </c>
      <c r="D9353">
        <v>70</v>
      </c>
      <c r="E9353" t="s">
        <v>466</v>
      </c>
    </row>
    <row r="9354" spans="1:5" x14ac:dyDescent="0.35">
      <c r="A9354">
        <v>2019</v>
      </c>
      <c r="B9354" t="s">
        <v>34</v>
      </c>
      <c r="C9354" t="s">
        <v>193</v>
      </c>
      <c r="D9354">
        <v>116</v>
      </c>
      <c r="E9354" t="s">
        <v>355</v>
      </c>
    </row>
    <row r="9355" spans="1:5" x14ac:dyDescent="0.35">
      <c r="A9355">
        <v>2019</v>
      </c>
      <c r="B9355" t="s">
        <v>35</v>
      </c>
      <c r="C9355" t="s">
        <v>93</v>
      </c>
      <c r="D9355">
        <v>53</v>
      </c>
      <c r="E9355" t="s">
        <v>466</v>
      </c>
    </row>
    <row r="9356" spans="1:5" x14ac:dyDescent="0.35">
      <c r="A9356">
        <v>2019</v>
      </c>
      <c r="B9356" t="s">
        <v>34</v>
      </c>
      <c r="C9356" t="s">
        <v>40</v>
      </c>
      <c r="D9356">
        <v>43</v>
      </c>
      <c r="E9356" t="s">
        <v>467</v>
      </c>
    </row>
    <row r="9357" spans="1:5" x14ac:dyDescent="0.35">
      <c r="A9357">
        <v>2019</v>
      </c>
      <c r="B9357" t="s">
        <v>35</v>
      </c>
      <c r="C9357" t="s">
        <v>94</v>
      </c>
      <c r="D9357">
        <v>928</v>
      </c>
      <c r="E9357" t="s">
        <v>466</v>
      </c>
    </row>
    <row r="9358" spans="1:5" x14ac:dyDescent="0.35">
      <c r="A9358">
        <v>2019</v>
      </c>
      <c r="B9358" t="s">
        <v>33</v>
      </c>
      <c r="C9358" t="s">
        <v>192</v>
      </c>
      <c r="D9358">
        <v>4</v>
      </c>
      <c r="E9358" t="s">
        <v>328</v>
      </c>
    </row>
    <row r="9359" spans="1:5" x14ac:dyDescent="0.35">
      <c r="A9359">
        <v>2019</v>
      </c>
      <c r="B9359" t="s">
        <v>33</v>
      </c>
      <c r="C9359" t="s">
        <v>95</v>
      </c>
      <c r="D9359">
        <v>25</v>
      </c>
      <c r="E9359" t="s">
        <v>466</v>
      </c>
    </row>
    <row r="9360" spans="1:5" x14ac:dyDescent="0.35">
      <c r="A9360">
        <v>2019</v>
      </c>
      <c r="B9360" t="s">
        <v>35</v>
      </c>
      <c r="C9360" t="s">
        <v>41</v>
      </c>
      <c r="D9360">
        <v>40</v>
      </c>
      <c r="E9360" t="s">
        <v>467</v>
      </c>
    </row>
    <row r="9361" spans="1:5" x14ac:dyDescent="0.35">
      <c r="A9361">
        <v>2019</v>
      </c>
      <c r="B9361" t="s">
        <v>36</v>
      </c>
      <c r="C9361" t="s">
        <v>16</v>
      </c>
      <c r="D9361">
        <v>102484</v>
      </c>
      <c r="E9361" t="s">
        <v>466</v>
      </c>
    </row>
    <row r="9362" spans="1:5" x14ac:dyDescent="0.35">
      <c r="A9362">
        <v>2019</v>
      </c>
      <c r="B9362" t="s">
        <v>33</v>
      </c>
      <c r="C9362" t="s">
        <v>192</v>
      </c>
      <c r="D9362">
        <v>22</v>
      </c>
      <c r="E9362" t="s">
        <v>355</v>
      </c>
    </row>
    <row r="9363" spans="1:5" x14ac:dyDescent="0.35">
      <c r="A9363">
        <v>2019</v>
      </c>
      <c r="B9363" t="s">
        <v>34</v>
      </c>
      <c r="C9363" t="s">
        <v>8</v>
      </c>
      <c r="D9363">
        <v>412</v>
      </c>
      <c r="E9363" t="s">
        <v>466</v>
      </c>
    </row>
    <row r="9364" spans="1:5" x14ac:dyDescent="0.35">
      <c r="A9364">
        <v>2019</v>
      </c>
      <c r="B9364" t="s">
        <v>33</v>
      </c>
      <c r="C9364" t="s">
        <v>42</v>
      </c>
      <c r="D9364">
        <v>44</v>
      </c>
      <c r="E9364" t="s">
        <v>467</v>
      </c>
    </row>
    <row r="9365" spans="1:5" x14ac:dyDescent="0.35">
      <c r="A9365">
        <v>2019</v>
      </c>
      <c r="B9365" t="s">
        <v>38</v>
      </c>
      <c r="C9365" t="s">
        <v>103</v>
      </c>
      <c r="D9365">
        <v>502</v>
      </c>
      <c r="E9365" t="s">
        <v>466</v>
      </c>
    </row>
    <row r="9366" spans="1:5" x14ac:dyDescent="0.35">
      <c r="A9366">
        <v>2019</v>
      </c>
      <c r="B9366" t="s">
        <v>36</v>
      </c>
      <c r="C9366" t="s">
        <v>191</v>
      </c>
      <c r="D9366">
        <v>13</v>
      </c>
      <c r="E9366" t="s">
        <v>328</v>
      </c>
    </row>
    <row r="9367" spans="1:5" x14ac:dyDescent="0.35">
      <c r="A9367">
        <v>2019</v>
      </c>
      <c r="B9367" t="s">
        <v>33</v>
      </c>
      <c r="C9367" t="s">
        <v>96</v>
      </c>
      <c r="D9367">
        <v>137</v>
      </c>
      <c r="E9367" t="s">
        <v>466</v>
      </c>
    </row>
    <row r="9368" spans="1:5" x14ac:dyDescent="0.35">
      <c r="A9368">
        <v>2019</v>
      </c>
      <c r="B9368" t="s">
        <v>33</v>
      </c>
      <c r="C9368" t="s">
        <v>43</v>
      </c>
      <c r="D9368">
        <v>25</v>
      </c>
      <c r="E9368" t="s">
        <v>467</v>
      </c>
    </row>
    <row r="9369" spans="1:5" x14ac:dyDescent="0.35">
      <c r="A9369">
        <v>2019</v>
      </c>
      <c r="B9369" t="s">
        <v>33</v>
      </c>
      <c r="C9369" t="s">
        <v>102</v>
      </c>
      <c r="D9369">
        <v>10</v>
      </c>
      <c r="E9369" t="s">
        <v>466</v>
      </c>
    </row>
    <row r="9370" spans="1:5" x14ac:dyDescent="0.35">
      <c r="A9370">
        <v>2019</v>
      </c>
      <c r="B9370" t="s">
        <v>36</v>
      </c>
      <c r="C9370" t="s">
        <v>191</v>
      </c>
      <c r="D9370">
        <v>117</v>
      </c>
      <c r="E9370" t="s">
        <v>355</v>
      </c>
    </row>
    <row r="9371" spans="1:5" x14ac:dyDescent="0.35">
      <c r="A9371">
        <v>2019</v>
      </c>
      <c r="B9371" t="s">
        <v>33</v>
      </c>
      <c r="C9371" t="s">
        <v>101</v>
      </c>
      <c r="D9371">
        <v>193</v>
      </c>
      <c r="E9371" t="s">
        <v>466</v>
      </c>
    </row>
    <row r="9372" spans="1:5" x14ac:dyDescent="0.35">
      <c r="A9372">
        <v>2019</v>
      </c>
      <c r="B9372" t="s">
        <v>36</v>
      </c>
      <c r="C9372" t="s">
        <v>44</v>
      </c>
      <c r="D9372">
        <v>8</v>
      </c>
      <c r="E9372" t="s">
        <v>467</v>
      </c>
    </row>
    <row r="9373" spans="1:5" x14ac:dyDescent="0.35">
      <c r="A9373">
        <v>2019</v>
      </c>
      <c r="B9373" t="s">
        <v>36</v>
      </c>
      <c r="C9373" t="s">
        <v>15</v>
      </c>
      <c r="D9373">
        <v>292022</v>
      </c>
      <c r="E9373" t="s">
        <v>466</v>
      </c>
    </row>
    <row r="9374" spans="1:5" x14ac:dyDescent="0.35">
      <c r="A9374">
        <v>2019</v>
      </c>
      <c r="B9374" t="s">
        <v>37</v>
      </c>
      <c r="C9374" t="s">
        <v>190</v>
      </c>
      <c r="E9374" t="s">
        <v>328</v>
      </c>
    </row>
    <row r="9375" spans="1:5" x14ac:dyDescent="0.35">
      <c r="A9375">
        <v>2019</v>
      </c>
      <c r="B9375" t="s">
        <v>33</v>
      </c>
      <c r="C9375" t="s">
        <v>87</v>
      </c>
      <c r="D9375">
        <v>359</v>
      </c>
      <c r="E9375" t="s">
        <v>466</v>
      </c>
    </row>
    <row r="9376" spans="1:5" x14ac:dyDescent="0.35">
      <c r="A9376">
        <v>2019</v>
      </c>
      <c r="B9376" t="s">
        <v>38</v>
      </c>
      <c r="C9376" t="s">
        <v>45</v>
      </c>
      <c r="D9376">
        <v>88</v>
      </c>
      <c r="E9376" t="s">
        <v>467</v>
      </c>
    </row>
    <row r="9377" spans="1:5" x14ac:dyDescent="0.35">
      <c r="A9377">
        <v>2019</v>
      </c>
      <c r="B9377" t="s">
        <v>35</v>
      </c>
      <c r="C9377" t="s">
        <v>99</v>
      </c>
      <c r="D9377">
        <v>191</v>
      </c>
      <c r="E9377" t="s">
        <v>466</v>
      </c>
    </row>
    <row r="9378" spans="1:5" x14ac:dyDescent="0.35">
      <c r="A9378">
        <v>2019</v>
      </c>
      <c r="B9378" t="s">
        <v>37</v>
      </c>
      <c r="C9378" t="s">
        <v>190</v>
      </c>
      <c r="E9378" t="s">
        <v>355</v>
      </c>
    </row>
    <row r="9379" spans="1:5" x14ac:dyDescent="0.35">
      <c r="A9379">
        <v>2019</v>
      </c>
      <c r="B9379" t="s">
        <v>33</v>
      </c>
      <c r="C9379" t="s">
        <v>98</v>
      </c>
      <c r="D9379">
        <v>538</v>
      </c>
      <c r="E9379" t="s">
        <v>466</v>
      </c>
    </row>
    <row r="9380" spans="1:5" x14ac:dyDescent="0.35">
      <c r="A9380">
        <v>2019</v>
      </c>
      <c r="B9380" t="s">
        <v>34</v>
      </c>
      <c r="C9380" t="s">
        <v>46</v>
      </c>
      <c r="D9380">
        <v>30</v>
      </c>
      <c r="E9380" t="s">
        <v>467</v>
      </c>
    </row>
    <row r="9381" spans="1:5" x14ac:dyDescent="0.35">
      <c r="A9381">
        <v>2019</v>
      </c>
      <c r="B9381" t="s">
        <v>36</v>
      </c>
      <c r="C9381" t="s">
        <v>100</v>
      </c>
      <c r="D9381">
        <v>30</v>
      </c>
      <c r="E9381" t="s">
        <v>466</v>
      </c>
    </row>
    <row r="9382" spans="1:5" x14ac:dyDescent="0.35">
      <c r="A9382">
        <v>2019</v>
      </c>
      <c r="B9382" t="s">
        <v>33</v>
      </c>
      <c r="C9382" t="s">
        <v>189</v>
      </c>
      <c r="D9382">
        <v>8</v>
      </c>
      <c r="E9382" t="s">
        <v>328</v>
      </c>
    </row>
    <row r="9383" spans="1:5" x14ac:dyDescent="0.35">
      <c r="A9383">
        <v>2019</v>
      </c>
      <c r="B9383" t="s">
        <v>35</v>
      </c>
      <c r="C9383" t="s">
        <v>97</v>
      </c>
      <c r="D9383">
        <v>617</v>
      </c>
      <c r="E9383" t="s">
        <v>466</v>
      </c>
    </row>
    <row r="9384" spans="1:5" x14ac:dyDescent="0.35">
      <c r="A9384">
        <v>2019</v>
      </c>
      <c r="B9384" t="s">
        <v>37</v>
      </c>
      <c r="C9384" t="s">
        <v>47</v>
      </c>
      <c r="D9384">
        <v>478</v>
      </c>
      <c r="E9384" t="s">
        <v>467</v>
      </c>
    </row>
    <row r="9385" spans="1:5" x14ac:dyDescent="0.35">
      <c r="A9385">
        <v>2019</v>
      </c>
      <c r="B9385" t="s">
        <v>33</v>
      </c>
      <c r="C9385" t="s">
        <v>189</v>
      </c>
      <c r="D9385">
        <v>11</v>
      </c>
      <c r="E9385" t="s">
        <v>355</v>
      </c>
    </row>
    <row r="9386" spans="1:5" x14ac:dyDescent="0.35">
      <c r="A9386">
        <v>2019</v>
      </c>
      <c r="B9386" t="s">
        <v>35</v>
      </c>
      <c r="C9386" t="s">
        <v>48</v>
      </c>
      <c r="D9386">
        <v>55</v>
      </c>
      <c r="E9386" t="s">
        <v>467</v>
      </c>
    </row>
    <row r="9387" spans="1:5" x14ac:dyDescent="0.35">
      <c r="A9387">
        <v>2019</v>
      </c>
      <c r="B9387" t="s">
        <v>34</v>
      </c>
      <c r="C9387" t="s">
        <v>188</v>
      </c>
      <c r="D9387">
        <v>11</v>
      </c>
      <c r="E9387" t="s">
        <v>328</v>
      </c>
    </row>
    <row r="9388" spans="1:5" x14ac:dyDescent="0.35">
      <c r="A9388">
        <v>2019</v>
      </c>
      <c r="B9388" t="s">
        <v>34</v>
      </c>
      <c r="C9388" t="s">
        <v>49</v>
      </c>
      <c r="D9388">
        <v>9</v>
      </c>
      <c r="E9388" t="s">
        <v>467</v>
      </c>
    </row>
    <row r="9389" spans="1:5" x14ac:dyDescent="0.35">
      <c r="A9389">
        <v>2019</v>
      </c>
      <c r="B9389" t="s">
        <v>35</v>
      </c>
      <c r="C9389" t="s">
        <v>196</v>
      </c>
      <c r="D9389">
        <v>123</v>
      </c>
      <c r="E9389" t="s">
        <v>355</v>
      </c>
    </row>
    <row r="9390" spans="1:5" x14ac:dyDescent="0.35">
      <c r="A9390">
        <v>2019</v>
      </c>
      <c r="B9390" t="s">
        <v>36</v>
      </c>
      <c r="C9390" t="s">
        <v>50</v>
      </c>
      <c r="D9390">
        <v>286</v>
      </c>
      <c r="E9390" t="s">
        <v>467</v>
      </c>
    </row>
    <row r="9391" spans="1:5" x14ac:dyDescent="0.35">
      <c r="A9391">
        <v>2019</v>
      </c>
      <c r="B9391" t="s">
        <v>35</v>
      </c>
      <c r="C9391" t="s">
        <v>196</v>
      </c>
      <c r="D9391">
        <v>50</v>
      </c>
      <c r="E9391" t="s">
        <v>328</v>
      </c>
    </row>
    <row r="9392" spans="1:5" x14ac:dyDescent="0.35">
      <c r="A9392">
        <v>2019</v>
      </c>
      <c r="B9392" t="s">
        <v>34</v>
      </c>
      <c r="C9392" t="s">
        <v>51</v>
      </c>
      <c r="D9392">
        <v>3</v>
      </c>
      <c r="E9392" t="s">
        <v>467</v>
      </c>
    </row>
    <row r="9393" spans="1:5" x14ac:dyDescent="0.35">
      <c r="A9393">
        <v>2019</v>
      </c>
      <c r="B9393" t="s">
        <v>35</v>
      </c>
      <c r="C9393" t="s">
        <v>198</v>
      </c>
      <c r="D9393">
        <v>147</v>
      </c>
      <c r="E9393" t="s">
        <v>355</v>
      </c>
    </row>
    <row r="9394" spans="1:5" x14ac:dyDescent="0.35">
      <c r="A9394">
        <v>2019</v>
      </c>
      <c r="B9394" t="s">
        <v>34</v>
      </c>
      <c r="C9394" t="s">
        <v>52</v>
      </c>
      <c r="D9394">
        <v>82</v>
      </c>
      <c r="E9394" t="s">
        <v>467</v>
      </c>
    </row>
    <row r="9395" spans="1:5" x14ac:dyDescent="0.35">
      <c r="A9395">
        <v>2019</v>
      </c>
      <c r="B9395" t="s">
        <v>35</v>
      </c>
      <c r="C9395" t="s">
        <v>198</v>
      </c>
      <c r="D9395">
        <v>66</v>
      </c>
      <c r="E9395" t="s">
        <v>328</v>
      </c>
    </row>
    <row r="9396" spans="1:5" x14ac:dyDescent="0.35">
      <c r="A9396">
        <v>2019</v>
      </c>
      <c r="B9396" t="s">
        <v>36</v>
      </c>
      <c r="C9396" t="s">
        <v>53</v>
      </c>
      <c r="D9396">
        <v>15</v>
      </c>
      <c r="E9396" t="s">
        <v>467</v>
      </c>
    </row>
    <row r="9397" spans="1:5" x14ac:dyDescent="0.35">
      <c r="A9397">
        <v>2019</v>
      </c>
      <c r="B9397" t="s">
        <v>33</v>
      </c>
      <c r="C9397" t="s">
        <v>204</v>
      </c>
      <c r="D9397">
        <v>6</v>
      </c>
      <c r="E9397" t="s">
        <v>328</v>
      </c>
    </row>
    <row r="9398" spans="1:5" x14ac:dyDescent="0.35">
      <c r="A9398">
        <v>2019</v>
      </c>
      <c r="B9398" t="s">
        <v>35</v>
      </c>
      <c r="C9398" t="s">
        <v>54</v>
      </c>
      <c r="D9398">
        <v>16</v>
      </c>
      <c r="E9398" t="s">
        <v>467</v>
      </c>
    </row>
    <row r="9399" spans="1:5" x14ac:dyDescent="0.35">
      <c r="A9399">
        <v>2019</v>
      </c>
      <c r="B9399" t="s">
        <v>35</v>
      </c>
      <c r="C9399" t="s">
        <v>119</v>
      </c>
      <c r="D9399">
        <v>10</v>
      </c>
      <c r="E9399" t="s">
        <v>355</v>
      </c>
    </row>
    <row r="9400" spans="1:5" x14ac:dyDescent="0.35">
      <c r="A9400">
        <v>2019</v>
      </c>
      <c r="B9400" t="s">
        <v>35</v>
      </c>
      <c r="C9400" t="s">
        <v>55</v>
      </c>
      <c r="D9400">
        <v>114</v>
      </c>
      <c r="E9400" t="s">
        <v>467</v>
      </c>
    </row>
    <row r="9401" spans="1:5" x14ac:dyDescent="0.35">
      <c r="A9401">
        <v>2019</v>
      </c>
      <c r="B9401" t="s">
        <v>33</v>
      </c>
      <c r="C9401" t="s">
        <v>203</v>
      </c>
      <c r="D9401">
        <v>3</v>
      </c>
      <c r="E9401" t="s">
        <v>328</v>
      </c>
    </row>
    <row r="9402" spans="1:5" x14ac:dyDescent="0.35">
      <c r="A9402">
        <v>2019</v>
      </c>
      <c r="B9402" t="s">
        <v>36</v>
      </c>
      <c r="C9402" t="s">
        <v>56</v>
      </c>
      <c r="D9402">
        <v>27</v>
      </c>
      <c r="E9402" t="s">
        <v>467</v>
      </c>
    </row>
    <row r="9403" spans="1:5" x14ac:dyDescent="0.35">
      <c r="A9403">
        <v>2019</v>
      </c>
      <c r="B9403" t="s">
        <v>33</v>
      </c>
      <c r="C9403" t="s">
        <v>203</v>
      </c>
      <c r="D9403">
        <v>15</v>
      </c>
      <c r="E9403" t="s">
        <v>355</v>
      </c>
    </row>
    <row r="9404" spans="1:5" x14ac:dyDescent="0.35">
      <c r="A9404">
        <v>2019</v>
      </c>
      <c r="B9404" t="s">
        <v>33</v>
      </c>
      <c r="C9404" t="s">
        <v>57</v>
      </c>
      <c r="D9404">
        <v>5</v>
      </c>
      <c r="E9404" t="s">
        <v>467</v>
      </c>
    </row>
    <row r="9405" spans="1:5" x14ac:dyDescent="0.35">
      <c r="A9405">
        <v>2019</v>
      </c>
      <c r="B9405" t="s">
        <v>34</v>
      </c>
      <c r="C9405" t="s">
        <v>202</v>
      </c>
      <c r="D9405">
        <v>20</v>
      </c>
      <c r="E9405" t="s">
        <v>328</v>
      </c>
    </row>
    <row r="9406" spans="1:5" x14ac:dyDescent="0.35">
      <c r="A9406">
        <v>2019</v>
      </c>
      <c r="B9406" t="s">
        <v>38</v>
      </c>
      <c r="C9406" t="s">
        <v>59</v>
      </c>
      <c r="D9406">
        <v>32</v>
      </c>
      <c r="E9406" t="s">
        <v>467</v>
      </c>
    </row>
    <row r="9407" spans="1:5" x14ac:dyDescent="0.35">
      <c r="A9407">
        <v>2019</v>
      </c>
      <c r="B9407" t="s">
        <v>34</v>
      </c>
      <c r="C9407" t="s">
        <v>202</v>
      </c>
      <c r="D9407">
        <v>25</v>
      </c>
      <c r="E9407" t="s">
        <v>355</v>
      </c>
    </row>
    <row r="9408" spans="1:5" x14ac:dyDescent="0.35">
      <c r="A9408">
        <v>2019</v>
      </c>
      <c r="B9408" t="s">
        <v>35</v>
      </c>
      <c r="C9408" t="s">
        <v>60</v>
      </c>
      <c r="D9408">
        <v>25</v>
      </c>
      <c r="E9408" t="s">
        <v>467</v>
      </c>
    </row>
    <row r="9409" spans="1:5" x14ac:dyDescent="0.35">
      <c r="A9409">
        <v>2019</v>
      </c>
      <c r="B9409" t="s">
        <v>34</v>
      </c>
      <c r="C9409" t="s">
        <v>201</v>
      </c>
      <c r="D9409">
        <v>17</v>
      </c>
      <c r="E9409" t="s">
        <v>328</v>
      </c>
    </row>
    <row r="9410" spans="1:5" x14ac:dyDescent="0.35">
      <c r="A9410">
        <v>2019</v>
      </c>
      <c r="B9410" t="s">
        <v>38</v>
      </c>
      <c r="C9410" t="s">
        <v>21</v>
      </c>
      <c r="D9410">
        <v>696</v>
      </c>
      <c r="E9410" t="s">
        <v>467</v>
      </c>
    </row>
    <row r="9411" spans="1:5" x14ac:dyDescent="0.35">
      <c r="A9411">
        <v>2019</v>
      </c>
      <c r="B9411" t="s">
        <v>34</v>
      </c>
      <c r="C9411" t="s">
        <v>188</v>
      </c>
      <c r="D9411">
        <v>188</v>
      </c>
      <c r="E9411" t="s">
        <v>355</v>
      </c>
    </row>
    <row r="9412" spans="1:5" x14ac:dyDescent="0.35">
      <c r="A9412">
        <v>2019</v>
      </c>
      <c r="B9412" t="s">
        <v>35</v>
      </c>
      <c r="C9412" t="s">
        <v>62</v>
      </c>
      <c r="D9412">
        <v>29</v>
      </c>
      <c r="E9412" t="s">
        <v>467</v>
      </c>
    </row>
    <row r="9413" spans="1:5" x14ac:dyDescent="0.35">
      <c r="A9413">
        <v>2019</v>
      </c>
      <c r="B9413" t="s">
        <v>34</v>
      </c>
      <c r="C9413" t="s">
        <v>201</v>
      </c>
      <c r="D9413">
        <v>73</v>
      </c>
      <c r="E9413" t="s">
        <v>355</v>
      </c>
    </row>
    <row r="9414" spans="1:5" x14ac:dyDescent="0.35">
      <c r="A9414">
        <v>2019</v>
      </c>
      <c r="B9414" t="s">
        <v>33</v>
      </c>
      <c r="C9414" t="s">
        <v>63</v>
      </c>
      <c r="D9414">
        <v>11</v>
      </c>
      <c r="E9414" t="s">
        <v>467</v>
      </c>
    </row>
    <row r="9415" spans="1:5" x14ac:dyDescent="0.35">
      <c r="A9415">
        <v>2019</v>
      </c>
      <c r="B9415" t="s">
        <v>38</v>
      </c>
      <c r="C9415" t="s">
        <v>19</v>
      </c>
      <c r="D9415">
        <v>1455</v>
      </c>
      <c r="E9415" t="s">
        <v>355</v>
      </c>
    </row>
    <row r="9416" spans="1:5" x14ac:dyDescent="0.35">
      <c r="A9416">
        <v>2019</v>
      </c>
      <c r="B9416" t="s">
        <v>37</v>
      </c>
      <c r="C9416" t="s">
        <v>92</v>
      </c>
      <c r="D9416">
        <v>25</v>
      </c>
      <c r="E9416" t="s">
        <v>467</v>
      </c>
    </row>
    <row r="9417" spans="1:5" x14ac:dyDescent="0.35">
      <c r="A9417">
        <v>2019</v>
      </c>
      <c r="B9417" t="s">
        <v>34</v>
      </c>
      <c r="C9417" t="s">
        <v>200</v>
      </c>
      <c r="D9417">
        <v>27</v>
      </c>
      <c r="E9417" t="s">
        <v>328</v>
      </c>
    </row>
    <row r="9418" spans="1:5" x14ac:dyDescent="0.35">
      <c r="A9418">
        <v>2019</v>
      </c>
      <c r="B9418" t="s">
        <v>35</v>
      </c>
      <c r="C9418" t="s">
        <v>93</v>
      </c>
      <c r="D9418">
        <v>38</v>
      </c>
      <c r="E9418" t="s">
        <v>467</v>
      </c>
    </row>
    <row r="9419" spans="1:5" x14ac:dyDescent="0.35">
      <c r="A9419">
        <v>2019</v>
      </c>
      <c r="B9419" t="s">
        <v>34</v>
      </c>
      <c r="C9419" t="s">
        <v>200</v>
      </c>
      <c r="D9419">
        <v>19</v>
      </c>
      <c r="E9419" t="s">
        <v>355</v>
      </c>
    </row>
    <row r="9420" spans="1:5" x14ac:dyDescent="0.35">
      <c r="A9420">
        <v>2019</v>
      </c>
      <c r="B9420" t="s">
        <v>33</v>
      </c>
      <c r="C9420" t="s">
        <v>65</v>
      </c>
      <c r="D9420">
        <v>7</v>
      </c>
      <c r="E9420" t="s">
        <v>467</v>
      </c>
    </row>
    <row r="9421" spans="1:5" x14ac:dyDescent="0.35">
      <c r="A9421">
        <v>2019</v>
      </c>
      <c r="B9421" t="s">
        <v>38</v>
      </c>
      <c r="C9421" t="s">
        <v>199</v>
      </c>
      <c r="D9421">
        <v>16</v>
      </c>
      <c r="E9421" t="s">
        <v>328</v>
      </c>
    </row>
    <row r="9422" spans="1:5" x14ac:dyDescent="0.35">
      <c r="A9422">
        <v>2019</v>
      </c>
      <c r="B9422" t="s">
        <v>33</v>
      </c>
      <c r="C9422" t="s">
        <v>95</v>
      </c>
      <c r="D9422">
        <v>8</v>
      </c>
      <c r="E9422" t="s">
        <v>467</v>
      </c>
    </row>
    <row r="9423" spans="1:5" x14ac:dyDescent="0.35">
      <c r="A9423">
        <v>2019</v>
      </c>
      <c r="B9423" t="s">
        <v>38</v>
      </c>
      <c r="C9423" t="s">
        <v>199</v>
      </c>
      <c r="D9423">
        <v>55</v>
      </c>
      <c r="E9423" t="s">
        <v>355</v>
      </c>
    </row>
    <row r="9424" spans="1:5" x14ac:dyDescent="0.35">
      <c r="A9424">
        <v>2019</v>
      </c>
      <c r="B9424" t="s">
        <v>35</v>
      </c>
      <c r="C9424" t="s">
        <v>119</v>
      </c>
      <c r="D9424">
        <v>9</v>
      </c>
      <c r="E9424" t="s">
        <v>467</v>
      </c>
    </row>
    <row r="9425" spans="1:5" x14ac:dyDescent="0.35">
      <c r="A9425">
        <v>2019</v>
      </c>
      <c r="B9425" t="s">
        <v>39</v>
      </c>
      <c r="C9425" t="s">
        <v>39</v>
      </c>
      <c r="D9425">
        <v>12</v>
      </c>
      <c r="E9425" t="s">
        <v>328</v>
      </c>
    </row>
    <row r="9426" spans="1:5" x14ac:dyDescent="0.35">
      <c r="A9426">
        <v>2019</v>
      </c>
      <c r="B9426" t="s">
        <v>34</v>
      </c>
      <c r="C9426" t="s">
        <v>120</v>
      </c>
      <c r="D9426">
        <v>48</v>
      </c>
      <c r="E9426" t="s">
        <v>467</v>
      </c>
    </row>
    <row r="9427" spans="1:5" x14ac:dyDescent="0.35">
      <c r="A9427">
        <v>2019</v>
      </c>
      <c r="B9427" t="s">
        <v>39</v>
      </c>
      <c r="C9427" t="s">
        <v>39</v>
      </c>
      <c r="D9427">
        <v>31</v>
      </c>
      <c r="E9427" t="s">
        <v>355</v>
      </c>
    </row>
    <row r="9428" spans="1:5" x14ac:dyDescent="0.35">
      <c r="A9428">
        <v>2019</v>
      </c>
      <c r="B9428" t="s">
        <v>34</v>
      </c>
      <c r="C9428" t="s">
        <v>121</v>
      </c>
      <c r="D9428">
        <v>5</v>
      </c>
      <c r="E9428" t="s">
        <v>467</v>
      </c>
    </row>
    <row r="9429" spans="1:5" x14ac:dyDescent="0.35">
      <c r="A9429">
        <v>2019</v>
      </c>
      <c r="B9429" t="s">
        <v>38</v>
      </c>
      <c r="C9429" t="s">
        <v>19</v>
      </c>
      <c r="D9429">
        <v>167</v>
      </c>
      <c r="E9429" t="s">
        <v>328</v>
      </c>
    </row>
    <row r="9430" spans="1:5" x14ac:dyDescent="0.35">
      <c r="A9430">
        <v>2019</v>
      </c>
      <c r="B9430" t="s">
        <v>34</v>
      </c>
      <c r="C9430" t="s">
        <v>122</v>
      </c>
      <c r="E9430" t="s">
        <v>467</v>
      </c>
    </row>
    <row r="9431" spans="1:5" x14ac:dyDescent="0.35">
      <c r="A9431">
        <v>2019</v>
      </c>
      <c r="B9431" t="s">
        <v>36</v>
      </c>
      <c r="C9431" t="s">
        <v>165</v>
      </c>
      <c r="D9431">
        <v>14</v>
      </c>
      <c r="E9431" t="s">
        <v>355</v>
      </c>
    </row>
    <row r="9432" spans="1:5" x14ac:dyDescent="0.35">
      <c r="A9432">
        <v>2019</v>
      </c>
      <c r="B9432" t="s">
        <v>35</v>
      </c>
      <c r="C9432" t="s">
        <v>123</v>
      </c>
      <c r="D9432">
        <v>51</v>
      </c>
      <c r="E9432" t="s">
        <v>467</v>
      </c>
    </row>
    <row r="9433" spans="1:5" x14ac:dyDescent="0.35">
      <c r="A9433">
        <v>2019</v>
      </c>
      <c r="B9433" t="s">
        <v>33</v>
      </c>
      <c r="C9433" t="s">
        <v>187</v>
      </c>
      <c r="D9433">
        <v>6</v>
      </c>
      <c r="E9433" t="s">
        <v>328</v>
      </c>
    </row>
    <row r="9434" spans="1:5" x14ac:dyDescent="0.35">
      <c r="A9434">
        <v>2019</v>
      </c>
      <c r="B9434" t="s">
        <v>34</v>
      </c>
      <c r="C9434" t="s">
        <v>124</v>
      </c>
      <c r="D9434">
        <v>71</v>
      </c>
      <c r="E9434" t="s">
        <v>467</v>
      </c>
    </row>
    <row r="9435" spans="1:5" x14ac:dyDescent="0.35">
      <c r="A9435">
        <v>2019</v>
      </c>
      <c r="B9435" t="s">
        <v>34</v>
      </c>
      <c r="C9435" t="s">
        <v>186</v>
      </c>
      <c r="D9435">
        <v>3</v>
      </c>
      <c r="E9435" t="s">
        <v>328</v>
      </c>
    </row>
    <row r="9436" spans="1:5" x14ac:dyDescent="0.35">
      <c r="A9436">
        <v>2019</v>
      </c>
      <c r="B9436" t="s">
        <v>33</v>
      </c>
      <c r="C9436" t="s">
        <v>125</v>
      </c>
      <c r="D9436">
        <v>13</v>
      </c>
      <c r="E9436" t="s">
        <v>467</v>
      </c>
    </row>
    <row r="9437" spans="1:5" x14ac:dyDescent="0.35">
      <c r="A9437">
        <v>2019</v>
      </c>
      <c r="B9437" t="s">
        <v>35</v>
      </c>
      <c r="C9437" t="s">
        <v>172</v>
      </c>
      <c r="D9437">
        <v>11</v>
      </c>
      <c r="E9437" t="s">
        <v>328</v>
      </c>
    </row>
    <row r="9438" spans="1:5" x14ac:dyDescent="0.35">
      <c r="A9438">
        <v>2019</v>
      </c>
      <c r="B9438" t="s">
        <v>33</v>
      </c>
      <c r="C9438" t="s">
        <v>126</v>
      </c>
      <c r="D9438">
        <v>27</v>
      </c>
      <c r="E9438" t="s">
        <v>467</v>
      </c>
    </row>
    <row r="9439" spans="1:5" x14ac:dyDescent="0.35">
      <c r="A9439">
        <v>2019</v>
      </c>
      <c r="B9439" t="s">
        <v>35</v>
      </c>
      <c r="C9439" t="s">
        <v>172</v>
      </c>
      <c r="D9439">
        <v>7</v>
      </c>
      <c r="E9439" t="s">
        <v>355</v>
      </c>
    </row>
    <row r="9440" spans="1:5" x14ac:dyDescent="0.35">
      <c r="A9440">
        <v>2019</v>
      </c>
      <c r="B9440" t="s">
        <v>35</v>
      </c>
      <c r="C9440" t="s">
        <v>127</v>
      </c>
      <c r="D9440">
        <v>81</v>
      </c>
      <c r="E9440" t="s">
        <v>467</v>
      </c>
    </row>
    <row r="9441" spans="1:5" x14ac:dyDescent="0.35">
      <c r="A9441">
        <v>2019</v>
      </c>
      <c r="B9441" t="s">
        <v>34</v>
      </c>
      <c r="C9441" t="s">
        <v>171</v>
      </c>
      <c r="D9441">
        <v>3</v>
      </c>
      <c r="E9441" t="s">
        <v>355</v>
      </c>
    </row>
    <row r="9442" spans="1:5" x14ac:dyDescent="0.35">
      <c r="A9442">
        <v>2019</v>
      </c>
      <c r="B9442" t="s">
        <v>34</v>
      </c>
      <c r="C9442" t="s">
        <v>131</v>
      </c>
      <c r="D9442">
        <v>17</v>
      </c>
      <c r="E9442" t="s">
        <v>467</v>
      </c>
    </row>
    <row r="9443" spans="1:5" x14ac:dyDescent="0.35">
      <c r="A9443">
        <v>2019</v>
      </c>
      <c r="B9443" t="s">
        <v>33</v>
      </c>
      <c r="C9443" t="s">
        <v>170</v>
      </c>
      <c r="D9443">
        <v>18</v>
      </c>
      <c r="E9443" t="s">
        <v>328</v>
      </c>
    </row>
    <row r="9444" spans="1:5" x14ac:dyDescent="0.35">
      <c r="A9444">
        <v>2019</v>
      </c>
      <c r="B9444" t="s">
        <v>34</v>
      </c>
      <c r="C9444" t="s">
        <v>118</v>
      </c>
      <c r="D9444">
        <v>805</v>
      </c>
      <c r="E9444" t="s">
        <v>467</v>
      </c>
    </row>
    <row r="9445" spans="1:5" x14ac:dyDescent="0.35">
      <c r="A9445">
        <v>2019</v>
      </c>
      <c r="B9445" t="s">
        <v>33</v>
      </c>
      <c r="C9445" t="s">
        <v>170</v>
      </c>
      <c r="D9445">
        <v>69</v>
      </c>
      <c r="E9445" t="s">
        <v>355</v>
      </c>
    </row>
    <row r="9446" spans="1:5" x14ac:dyDescent="0.35">
      <c r="A9446">
        <v>2019</v>
      </c>
      <c r="B9446" t="s">
        <v>33</v>
      </c>
      <c r="C9446" t="s">
        <v>132</v>
      </c>
      <c r="D9446">
        <v>56</v>
      </c>
      <c r="E9446" t="s">
        <v>467</v>
      </c>
    </row>
    <row r="9447" spans="1:5" x14ac:dyDescent="0.35">
      <c r="A9447">
        <v>2019</v>
      </c>
      <c r="B9447" t="s">
        <v>35</v>
      </c>
      <c r="C9447" t="s">
        <v>215</v>
      </c>
      <c r="E9447" t="s">
        <v>328</v>
      </c>
    </row>
    <row r="9448" spans="1:5" x14ac:dyDescent="0.35">
      <c r="A9448">
        <v>2019</v>
      </c>
      <c r="B9448" t="s">
        <v>36</v>
      </c>
      <c r="C9448" t="s">
        <v>14</v>
      </c>
      <c r="D9448">
        <v>42086</v>
      </c>
      <c r="E9448" t="s">
        <v>467</v>
      </c>
    </row>
    <row r="9449" spans="1:5" x14ac:dyDescent="0.35">
      <c r="A9449">
        <v>2019</v>
      </c>
      <c r="B9449" t="s">
        <v>35</v>
      </c>
      <c r="C9449" t="s">
        <v>215</v>
      </c>
      <c r="E9449" t="s">
        <v>355</v>
      </c>
    </row>
    <row r="9450" spans="1:5" x14ac:dyDescent="0.35">
      <c r="A9450">
        <v>2019</v>
      </c>
      <c r="B9450" t="s">
        <v>37</v>
      </c>
      <c r="C9450" t="s">
        <v>137</v>
      </c>
      <c r="D9450">
        <v>7</v>
      </c>
      <c r="E9450" t="s">
        <v>467</v>
      </c>
    </row>
    <row r="9451" spans="1:5" x14ac:dyDescent="0.35">
      <c r="A9451">
        <v>2019</v>
      </c>
      <c r="B9451" t="s">
        <v>35</v>
      </c>
      <c r="C9451" t="s">
        <v>169</v>
      </c>
      <c r="D9451">
        <v>17</v>
      </c>
      <c r="E9451" t="s">
        <v>328</v>
      </c>
    </row>
    <row r="9452" spans="1:5" x14ac:dyDescent="0.35">
      <c r="A9452">
        <v>2019</v>
      </c>
      <c r="B9452" t="s">
        <v>35</v>
      </c>
      <c r="C9452" t="s">
        <v>138</v>
      </c>
      <c r="D9452">
        <v>24</v>
      </c>
      <c r="E9452" t="s">
        <v>467</v>
      </c>
    </row>
    <row r="9453" spans="1:5" x14ac:dyDescent="0.35">
      <c r="A9453">
        <v>2019</v>
      </c>
      <c r="B9453" t="s">
        <v>35</v>
      </c>
      <c r="C9453" t="s">
        <v>169</v>
      </c>
      <c r="D9453">
        <v>17</v>
      </c>
      <c r="E9453" t="s">
        <v>355</v>
      </c>
    </row>
    <row r="9454" spans="1:5" x14ac:dyDescent="0.35">
      <c r="A9454">
        <v>2019</v>
      </c>
      <c r="B9454" t="s">
        <v>34</v>
      </c>
      <c r="C9454" t="s">
        <v>139</v>
      </c>
      <c r="D9454">
        <v>27</v>
      </c>
      <c r="E9454" t="s">
        <v>467</v>
      </c>
    </row>
    <row r="9455" spans="1:5" x14ac:dyDescent="0.35">
      <c r="A9455">
        <v>2019</v>
      </c>
      <c r="B9455" t="s">
        <v>33</v>
      </c>
      <c r="C9455" t="s">
        <v>168</v>
      </c>
      <c r="D9455">
        <v>25</v>
      </c>
      <c r="E9455" t="s">
        <v>328</v>
      </c>
    </row>
    <row r="9456" spans="1:5" x14ac:dyDescent="0.35">
      <c r="A9456">
        <v>2019</v>
      </c>
      <c r="B9456" t="s">
        <v>35</v>
      </c>
      <c r="C9456" t="s">
        <v>140</v>
      </c>
      <c r="D9456">
        <v>13</v>
      </c>
      <c r="E9456" t="s">
        <v>467</v>
      </c>
    </row>
    <row r="9457" spans="1:5" x14ac:dyDescent="0.35">
      <c r="A9457">
        <v>2019</v>
      </c>
      <c r="B9457" t="s">
        <v>33</v>
      </c>
      <c r="C9457" t="s">
        <v>168</v>
      </c>
      <c r="D9457">
        <v>37</v>
      </c>
      <c r="E9457" t="s">
        <v>355</v>
      </c>
    </row>
    <row r="9458" spans="1:5" x14ac:dyDescent="0.35">
      <c r="A9458">
        <v>2019</v>
      </c>
      <c r="B9458" t="s">
        <v>33</v>
      </c>
      <c r="C9458" t="s">
        <v>141</v>
      </c>
      <c r="D9458">
        <v>78</v>
      </c>
      <c r="E9458" t="s">
        <v>467</v>
      </c>
    </row>
    <row r="9459" spans="1:5" x14ac:dyDescent="0.35">
      <c r="A9459">
        <v>2019</v>
      </c>
      <c r="B9459" t="s">
        <v>34</v>
      </c>
      <c r="C9459" t="s">
        <v>167</v>
      </c>
      <c r="D9459">
        <v>18</v>
      </c>
      <c r="E9459" t="s">
        <v>328</v>
      </c>
    </row>
    <row r="9460" spans="1:5" x14ac:dyDescent="0.35">
      <c r="A9460">
        <v>2019</v>
      </c>
      <c r="B9460" t="s">
        <v>34</v>
      </c>
      <c r="C9460" t="s">
        <v>144</v>
      </c>
      <c r="D9460">
        <v>45</v>
      </c>
      <c r="E9460" t="s">
        <v>467</v>
      </c>
    </row>
    <row r="9461" spans="1:5" x14ac:dyDescent="0.35">
      <c r="A9461">
        <v>2019</v>
      </c>
      <c r="B9461" t="s">
        <v>34</v>
      </c>
      <c r="C9461" t="s">
        <v>167</v>
      </c>
      <c r="D9461">
        <v>66</v>
      </c>
      <c r="E9461" t="s">
        <v>355</v>
      </c>
    </row>
    <row r="9462" spans="1:5" x14ac:dyDescent="0.35">
      <c r="A9462">
        <v>2019</v>
      </c>
      <c r="B9462" t="s">
        <v>35</v>
      </c>
      <c r="C9462" t="s">
        <v>145</v>
      </c>
      <c r="D9462">
        <v>261</v>
      </c>
      <c r="E9462" t="s">
        <v>467</v>
      </c>
    </row>
    <row r="9463" spans="1:5" x14ac:dyDescent="0.35">
      <c r="A9463">
        <v>2019</v>
      </c>
      <c r="B9463" t="s">
        <v>37</v>
      </c>
      <c r="C9463" t="s">
        <v>166</v>
      </c>
      <c r="E9463" t="s">
        <v>328</v>
      </c>
    </row>
    <row r="9464" spans="1:5" x14ac:dyDescent="0.35">
      <c r="A9464">
        <v>2019</v>
      </c>
      <c r="B9464" t="s">
        <v>35</v>
      </c>
      <c r="C9464" t="s">
        <v>94</v>
      </c>
      <c r="D9464">
        <v>753</v>
      </c>
      <c r="E9464" t="s">
        <v>467</v>
      </c>
    </row>
    <row r="9465" spans="1:5" x14ac:dyDescent="0.35">
      <c r="A9465">
        <v>2019</v>
      </c>
      <c r="B9465" t="s">
        <v>37</v>
      </c>
      <c r="C9465" t="s">
        <v>166</v>
      </c>
      <c r="E9465" t="s">
        <v>355</v>
      </c>
    </row>
    <row r="9466" spans="1:5" x14ac:dyDescent="0.35">
      <c r="A9466">
        <v>2019</v>
      </c>
      <c r="B9466" t="s">
        <v>37</v>
      </c>
      <c r="C9466" t="s">
        <v>146</v>
      </c>
      <c r="D9466">
        <v>155</v>
      </c>
      <c r="E9466" t="s">
        <v>467</v>
      </c>
    </row>
    <row r="9467" spans="1:5" x14ac:dyDescent="0.35">
      <c r="A9467">
        <v>2019</v>
      </c>
      <c r="B9467" t="s">
        <v>33</v>
      </c>
      <c r="C9467" t="s">
        <v>174</v>
      </c>
      <c r="D9467">
        <v>96</v>
      </c>
      <c r="E9467" t="s">
        <v>355</v>
      </c>
    </row>
    <row r="9468" spans="1:5" x14ac:dyDescent="0.35">
      <c r="A9468">
        <v>2019</v>
      </c>
      <c r="B9468" t="s">
        <v>33</v>
      </c>
      <c r="C9468" t="s">
        <v>136</v>
      </c>
      <c r="D9468">
        <v>3</v>
      </c>
      <c r="E9468" t="s">
        <v>467</v>
      </c>
    </row>
    <row r="9469" spans="1:5" x14ac:dyDescent="0.35">
      <c r="A9469">
        <v>2019</v>
      </c>
      <c r="B9469" t="s">
        <v>33</v>
      </c>
      <c r="C9469" t="s">
        <v>174</v>
      </c>
      <c r="D9469">
        <v>56</v>
      </c>
      <c r="E9469" t="s">
        <v>328</v>
      </c>
    </row>
    <row r="9470" spans="1:5" x14ac:dyDescent="0.35">
      <c r="A9470">
        <v>2019</v>
      </c>
      <c r="B9470" t="s">
        <v>33</v>
      </c>
      <c r="C9470" t="s">
        <v>117</v>
      </c>
      <c r="D9470">
        <v>84</v>
      </c>
      <c r="E9470" t="s">
        <v>467</v>
      </c>
    </row>
    <row r="9471" spans="1:5" x14ac:dyDescent="0.35">
      <c r="A9471">
        <v>2019</v>
      </c>
      <c r="B9471" t="s">
        <v>33</v>
      </c>
      <c r="C9471" t="s">
        <v>175</v>
      </c>
      <c r="D9471">
        <v>63</v>
      </c>
      <c r="E9471" t="s">
        <v>355</v>
      </c>
    </row>
    <row r="9472" spans="1:5" x14ac:dyDescent="0.35">
      <c r="A9472">
        <v>2019</v>
      </c>
      <c r="B9472" t="s">
        <v>33</v>
      </c>
      <c r="C9472" t="s">
        <v>129</v>
      </c>
      <c r="E9472" t="s">
        <v>467</v>
      </c>
    </row>
    <row r="9473" spans="1:5" x14ac:dyDescent="0.35">
      <c r="A9473">
        <v>2019</v>
      </c>
      <c r="B9473" t="s">
        <v>33</v>
      </c>
      <c r="C9473" t="s">
        <v>175</v>
      </c>
      <c r="D9473">
        <v>15</v>
      </c>
      <c r="E9473" t="s">
        <v>328</v>
      </c>
    </row>
    <row r="9474" spans="1:5" x14ac:dyDescent="0.35">
      <c r="A9474">
        <v>2019</v>
      </c>
      <c r="B9474" t="s">
        <v>34</v>
      </c>
      <c r="C9474" t="s">
        <v>116</v>
      </c>
      <c r="D9474">
        <v>33</v>
      </c>
      <c r="E9474" t="s">
        <v>467</v>
      </c>
    </row>
    <row r="9475" spans="1:5" x14ac:dyDescent="0.35">
      <c r="A9475">
        <v>2019</v>
      </c>
      <c r="B9475" t="s">
        <v>34</v>
      </c>
      <c r="C9475" t="s">
        <v>185</v>
      </c>
      <c r="D9475">
        <v>20</v>
      </c>
      <c r="E9475" t="s">
        <v>328</v>
      </c>
    </row>
    <row r="9476" spans="1:5" x14ac:dyDescent="0.35">
      <c r="A9476">
        <v>2019</v>
      </c>
      <c r="B9476" t="s">
        <v>33</v>
      </c>
      <c r="C9476" t="s">
        <v>96</v>
      </c>
      <c r="D9476">
        <v>9</v>
      </c>
      <c r="E9476" t="s">
        <v>467</v>
      </c>
    </row>
    <row r="9477" spans="1:5" x14ac:dyDescent="0.35">
      <c r="A9477">
        <v>2019</v>
      </c>
      <c r="B9477" t="s">
        <v>34</v>
      </c>
      <c r="C9477" t="s">
        <v>185</v>
      </c>
      <c r="D9477">
        <v>36</v>
      </c>
      <c r="E9477" t="s">
        <v>355</v>
      </c>
    </row>
    <row r="9478" spans="1:5" x14ac:dyDescent="0.35">
      <c r="A9478">
        <v>2019</v>
      </c>
      <c r="B9478" t="s">
        <v>34</v>
      </c>
      <c r="C9478" t="s">
        <v>8</v>
      </c>
      <c r="D9478">
        <v>12</v>
      </c>
      <c r="E9478" t="s">
        <v>467</v>
      </c>
    </row>
    <row r="9479" spans="1:5" x14ac:dyDescent="0.35">
      <c r="A9479">
        <v>2019</v>
      </c>
      <c r="B9479" t="s">
        <v>34</v>
      </c>
      <c r="C9479" t="s">
        <v>184</v>
      </c>
      <c r="D9479">
        <v>7</v>
      </c>
      <c r="E9479" t="s">
        <v>328</v>
      </c>
    </row>
    <row r="9480" spans="1:5" x14ac:dyDescent="0.35">
      <c r="A9480">
        <v>2019</v>
      </c>
      <c r="B9480" t="s">
        <v>35</v>
      </c>
      <c r="C9480" t="s">
        <v>97</v>
      </c>
      <c r="D9480">
        <v>478</v>
      </c>
      <c r="E9480" t="s">
        <v>467</v>
      </c>
    </row>
    <row r="9481" spans="1:5" x14ac:dyDescent="0.35">
      <c r="A9481">
        <v>2019</v>
      </c>
      <c r="B9481" t="s">
        <v>34</v>
      </c>
      <c r="C9481" t="s">
        <v>184</v>
      </c>
      <c r="D9481">
        <v>0</v>
      </c>
      <c r="E9481" t="s">
        <v>355</v>
      </c>
    </row>
    <row r="9482" spans="1:5" x14ac:dyDescent="0.35">
      <c r="A9482">
        <v>2019</v>
      </c>
      <c r="B9482" t="s">
        <v>33</v>
      </c>
      <c r="C9482" t="s">
        <v>98</v>
      </c>
      <c r="D9482">
        <v>75</v>
      </c>
      <c r="E9482" t="s">
        <v>467</v>
      </c>
    </row>
    <row r="9483" spans="1:5" x14ac:dyDescent="0.35">
      <c r="A9483">
        <v>2019</v>
      </c>
      <c r="B9483" t="s">
        <v>35</v>
      </c>
      <c r="C9483" t="s">
        <v>182</v>
      </c>
      <c r="D9483">
        <v>11</v>
      </c>
      <c r="E9483" t="s">
        <v>328</v>
      </c>
    </row>
    <row r="9484" spans="1:5" x14ac:dyDescent="0.35">
      <c r="A9484">
        <v>2019</v>
      </c>
      <c r="B9484" t="s">
        <v>35</v>
      </c>
      <c r="C9484" t="s">
        <v>99</v>
      </c>
      <c r="D9484">
        <v>136</v>
      </c>
      <c r="E9484" t="s">
        <v>467</v>
      </c>
    </row>
    <row r="9485" spans="1:5" x14ac:dyDescent="0.35">
      <c r="A9485">
        <v>2019</v>
      </c>
      <c r="B9485" t="s">
        <v>35</v>
      </c>
      <c r="C9485" t="s">
        <v>182</v>
      </c>
      <c r="D9485">
        <v>9</v>
      </c>
      <c r="E9485" t="s">
        <v>355</v>
      </c>
    </row>
    <row r="9486" spans="1:5" x14ac:dyDescent="0.35">
      <c r="A9486">
        <v>2019</v>
      </c>
      <c r="B9486" t="s">
        <v>36</v>
      </c>
      <c r="C9486" t="s">
        <v>100</v>
      </c>
      <c r="D9486">
        <v>11</v>
      </c>
      <c r="E9486" t="s">
        <v>467</v>
      </c>
    </row>
    <row r="9487" spans="1:5" x14ac:dyDescent="0.35">
      <c r="A9487">
        <v>2019</v>
      </c>
      <c r="B9487" t="s">
        <v>38</v>
      </c>
      <c r="C9487" t="s">
        <v>180</v>
      </c>
      <c r="E9487" t="s">
        <v>328</v>
      </c>
    </row>
    <row r="9488" spans="1:5" x14ac:dyDescent="0.35">
      <c r="A9488">
        <v>2019</v>
      </c>
      <c r="B9488" t="s">
        <v>36</v>
      </c>
      <c r="C9488" t="s">
        <v>15</v>
      </c>
      <c r="D9488">
        <v>2624</v>
      </c>
      <c r="E9488" t="s">
        <v>467</v>
      </c>
    </row>
    <row r="9489" spans="1:5" x14ac:dyDescent="0.35">
      <c r="A9489">
        <v>2019</v>
      </c>
      <c r="B9489" t="s">
        <v>33</v>
      </c>
      <c r="C9489" t="s">
        <v>187</v>
      </c>
      <c r="D9489">
        <v>16</v>
      </c>
      <c r="E9489" t="s">
        <v>355</v>
      </c>
    </row>
    <row r="9490" spans="1:5" x14ac:dyDescent="0.35">
      <c r="A9490">
        <v>2019</v>
      </c>
      <c r="B9490" t="s">
        <v>38</v>
      </c>
      <c r="C9490" t="s">
        <v>103</v>
      </c>
      <c r="D9490">
        <v>82</v>
      </c>
      <c r="E9490" t="s">
        <v>467</v>
      </c>
    </row>
    <row r="9491" spans="1:5" x14ac:dyDescent="0.35">
      <c r="A9491">
        <v>2019</v>
      </c>
      <c r="B9491" t="s">
        <v>38</v>
      </c>
      <c r="C9491" t="s">
        <v>180</v>
      </c>
      <c r="E9491" t="s">
        <v>355</v>
      </c>
    </row>
    <row r="9492" spans="1:5" x14ac:dyDescent="0.35">
      <c r="A9492">
        <v>2019</v>
      </c>
      <c r="B9492" t="s">
        <v>36</v>
      </c>
      <c r="C9492" t="s">
        <v>104</v>
      </c>
      <c r="D9492">
        <v>112</v>
      </c>
      <c r="E9492" t="s">
        <v>467</v>
      </c>
    </row>
    <row r="9493" spans="1:5" x14ac:dyDescent="0.35">
      <c r="A9493">
        <v>2019</v>
      </c>
      <c r="B9493" t="s">
        <v>33</v>
      </c>
      <c r="C9493" t="s">
        <v>179</v>
      </c>
      <c r="E9493" t="s">
        <v>355</v>
      </c>
    </row>
    <row r="9494" spans="1:5" x14ac:dyDescent="0.35">
      <c r="A9494">
        <v>2019</v>
      </c>
      <c r="B9494" t="s">
        <v>36</v>
      </c>
      <c r="C9494" t="s">
        <v>17</v>
      </c>
      <c r="D9494">
        <v>1535</v>
      </c>
      <c r="E9494" t="s">
        <v>467</v>
      </c>
    </row>
    <row r="9495" spans="1:5" x14ac:dyDescent="0.35">
      <c r="A9495">
        <v>2019</v>
      </c>
      <c r="B9495" t="s">
        <v>34</v>
      </c>
      <c r="C9495" t="s">
        <v>178</v>
      </c>
      <c r="D9495">
        <v>97</v>
      </c>
      <c r="E9495" t="s">
        <v>328</v>
      </c>
    </row>
    <row r="9496" spans="1:5" x14ac:dyDescent="0.35">
      <c r="A9496">
        <v>2019</v>
      </c>
      <c r="B9496" t="s">
        <v>35</v>
      </c>
      <c r="C9496" t="s">
        <v>105</v>
      </c>
      <c r="D9496">
        <v>155</v>
      </c>
      <c r="E9496" t="s">
        <v>467</v>
      </c>
    </row>
    <row r="9497" spans="1:5" x14ac:dyDescent="0.35">
      <c r="A9497">
        <v>2019</v>
      </c>
      <c r="B9497" t="s">
        <v>34</v>
      </c>
      <c r="C9497" t="s">
        <v>178</v>
      </c>
      <c r="D9497">
        <v>11</v>
      </c>
      <c r="E9497" t="s">
        <v>355</v>
      </c>
    </row>
    <row r="9498" spans="1:5" x14ac:dyDescent="0.35">
      <c r="A9498">
        <v>2019</v>
      </c>
      <c r="B9498" t="s">
        <v>33</v>
      </c>
      <c r="C9498" t="s">
        <v>101</v>
      </c>
      <c r="D9498">
        <v>17</v>
      </c>
      <c r="E9498" t="s">
        <v>467</v>
      </c>
    </row>
    <row r="9499" spans="1:5" x14ac:dyDescent="0.35">
      <c r="A9499">
        <v>2019</v>
      </c>
      <c r="B9499" t="s">
        <v>35</v>
      </c>
      <c r="C9499" t="s">
        <v>177</v>
      </c>
      <c r="D9499">
        <v>151</v>
      </c>
      <c r="E9499" t="s">
        <v>328</v>
      </c>
    </row>
    <row r="9500" spans="1:5" x14ac:dyDescent="0.35">
      <c r="A9500">
        <v>2019</v>
      </c>
      <c r="B9500" t="s">
        <v>34</v>
      </c>
      <c r="C9500" t="s">
        <v>22</v>
      </c>
      <c r="D9500">
        <v>1374</v>
      </c>
      <c r="E9500" t="s">
        <v>467</v>
      </c>
    </row>
    <row r="9501" spans="1:5" x14ac:dyDescent="0.35">
      <c r="A9501">
        <v>2019</v>
      </c>
      <c r="B9501" t="s">
        <v>35</v>
      </c>
      <c r="C9501" t="s">
        <v>177</v>
      </c>
      <c r="D9501">
        <v>66</v>
      </c>
      <c r="E9501" t="s">
        <v>355</v>
      </c>
    </row>
    <row r="9502" spans="1:5" x14ac:dyDescent="0.35">
      <c r="A9502">
        <v>2019</v>
      </c>
      <c r="B9502" t="s">
        <v>34</v>
      </c>
      <c r="C9502" t="s">
        <v>107</v>
      </c>
      <c r="D9502">
        <v>56</v>
      </c>
      <c r="E9502" t="s">
        <v>467</v>
      </c>
    </row>
    <row r="9503" spans="1:5" x14ac:dyDescent="0.35">
      <c r="A9503">
        <v>2019</v>
      </c>
      <c r="B9503" t="s">
        <v>33</v>
      </c>
      <c r="C9503" t="s">
        <v>176</v>
      </c>
      <c r="E9503" t="s">
        <v>328</v>
      </c>
    </row>
    <row r="9504" spans="1:5" x14ac:dyDescent="0.35">
      <c r="A9504">
        <v>2019</v>
      </c>
      <c r="B9504" t="s">
        <v>34</v>
      </c>
      <c r="C9504" t="s">
        <v>108</v>
      </c>
      <c r="D9504">
        <v>575</v>
      </c>
      <c r="E9504" t="s">
        <v>467</v>
      </c>
    </row>
    <row r="9505" spans="1:5" x14ac:dyDescent="0.35">
      <c r="A9505">
        <v>2019</v>
      </c>
      <c r="B9505" t="s">
        <v>33</v>
      </c>
      <c r="C9505" t="s">
        <v>176</v>
      </c>
      <c r="E9505" t="s">
        <v>355</v>
      </c>
    </row>
    <row r="9506" spans="1:5" x14ac:dyDescent="0.35">
      <c r="A9506">
        <v>2019</v>
      </c>
      <c r="B9506" t="s">
        <v>34</v>
      </c>
      <c r="C9506" t="s">
        <v>109</v>
      </c>
      <c r="D9506">
        <v>85</v>
      </c>
      <c r="E9506" t="s">
        <v>467</v>
      </c>
    </row>
    <row r="9507" spans="1:5" x14ac:dyDescent="0.35">
      <c r="A9507">
        <v>2019</v>
      </c>
      <c r="B9507" t="s">
        <v>33</v>
      </c>
      <c r="C9507" t="s">
        <v>179</v>
      </c>
      <c r="E9507" t="s">
        <v>328</v>
      </c>
    </row>
    <row r="9508" spans="1:5" x14ac:dyDescent="0.35">
      <c r="A9508">
        <v>2019</v>
      </c>
      <c r="B9508" t="s">
        <v>35</v>
      </c>
      <c r="C9508" t="s">
        <v>110</v>
      </c>
      <c r="D9508">
        <v>658</v>
      </c>
      <c r="E9508" t="s">
        <v>467</v>
      </c>
    </row>
    <row r="9509" spans="1:5" x14ac:dyDescent="0.35">
      <c r="A9509">
        <v>2019</v>
      </c>
      <c r="B9509" t="s">
        <v>33</v>
      </c>
      <c r="C9509" t="s">
        <v>204</v>
      </c>
      <c r="D9509">
        <v>13</v>
      </c>
      <c r="E9509" t="s">
        <v>355</v>
      </c>
    </row>
    <row r="9510" spans="1:5" x14ac:dyDescent="0.35">
      <c r="A9510">
        <v>2019</v>
      </c>
      <c r="B9510" t="s">
        <v>34</v>
      </c>
      <c r="C9510" t="s">
        <v>111</v>
      </c>
      <c r="D9510">
        <v>143</v>
      </c>
      <c r="E9510" t="s">
        <v>467</v>
      </c>
    </row>
    <row r="9511" spans="1:5" x14ac:dyDescent="0.35">
      <c r="A9511">
        <v>2019</v>
      </c>
      <c r="B9511" t="s">
        <v>34</v>
      </c>
      <c r="C9511" t="s">
        <v>118</v>
      </c>
      <c r="D9511">
        <v>75</v>
      </c>
      <c r="E9511" t="s">
        <v>328</v>
      </c>
    </row>
    <row r="9512" spans="1:5" x14ac:dyDescent="0.35">
      <c r="A9512">
        <v>2019</v>
      </c>
      <c r="B9512" t="s">
        <v>35</v>
      </c>
      <c r="C9512" t="s">
        <v>112</v>
      </c>
      <c r="D9512">
        <v>787</v>
      </c>
      <c r="E9512" t="s">
        <v>467</v>
      </c>
    </row>
    <row r="9513" spans="1:5" x14ac:dyDescent="0.35">
      <c r="A9513">
        <v>2019</v>
      </c>
      <c r="B9513" t="s">
        <v>33</v>
      </c>
      <c r="C9513" t="s">
        <v>117</v>
      </c>
      <c r="D9513">
        <v>30</v>
      </c>
      <c r="E9513" t="s">
        <v>328</v>
      </c>
    </row>
    <row r="9514" spans="1:5" x14ac:dyDescent="0.35">
      <c r="A9514">
        <v>2019</v>
      </c>
      <c r="B9514" t="s">
        <v>36</v>
      </c>
      <c r="C9514" t="s">
        <v>113</v>
      </c>
      <c r="D9514">
        <v>297</v>
      </c>
      <c r="E9514" t="s">
        <v>467</v>
      </c>
    </row>
    <row r="9515" spans="1:5" x14ac:dyDescent="0.35">
      <c r="A9515">
        <v>2019</v>
      </c>
      <c r="B9515" t="s">
        <v>33</v>
      </c>
      <c r="C9515" t="s">
        <v>68</v>
      </c>
      <c r="D9515">
        <v>57</v>
      </c>
      <c r="E9515" t="s">
        <v>328</v>
      </c>
    </row>
    <row r="9516" spans="1:5" x14ac:dyDescent="0.35">
      <c r="A9516">
        <v>2019</v>
      </c>
      <c r="B9516" t="s">
        <v>35</v>
      </c>
      <c r="C9516" t="s">
        <v>106</v>
      </c>
      <c r="D9516">
        <v>13</v>
      </c>
      <c r="E9516" t="s">
        <v>467</v>
      </c>
    </row>
    <row r="9517" spans="1:5" x14ac:dyDescent="0.35">
      <c r="A9517">
        <v>2019</v>
      </c>
      <c r="B9517" t="s">
        <v>33</v>
      </c>
      <c r="C9517" t="s">
        <v>68</v>
      </c>
      <c r="D9517">
        <v>20</v>
      </c>
      <c r="E9517" t="s">
        <v>355</v>
      </c>
    </row>
    <row r="9518" spans="1:5" x14ac:dyDescent="0.35">
      <c r="A9518">
        <v>2019</v>
      </c>
      <c r="B9518" t="s">
        <v>34</v>
      </c>
      <c r="C9518" t="s">
        <v>114</v>
      </c>
      <c r="D9518">
        <v>359</v>
      </c>
      <c r="E9518" t="s">
        <v>467</v>
      </c>
    </row>
    <row r="9519" spans="1:5" x14ac:dyDescent="0.35">
      <c r="A9519">
        <v>2019</v>
      </c>
      <c r="B9519" t="s">
        <v>34</v>
      </c>
      <c r="C9519" t="s">
        <v>67</v>
      </c>
      <c r="D9519">
        <v>10</v>
      </c>
      <c r="E9519" t="s">
        <v>328</v>
      </c>
    </row>
    <row r="9520" spans="1:5" x14ac:dyDescent="0.35">
      <c r="A9520">
        <v>2019</v>
      </c>
      <c r="B9520" t="s">
        <v>34</v>
      </c>
      <c r="C9520" t="s">
        <v>115</v>
      </c>
      <c r="D9520">
        <v>164</v>
      </c>
      <c r="E9520" t="s">
        <v>467</v>
      </c>
    </row>
    <row r="9521" spans="1:5" x14ac:dyDescent="0.35">
      <c r="A9521">
        <v>2019</v>
      </c>
      <c r="B9521" t="s">
        <v>34</v>
      </c>
      <c r="C9521" t="s">
        <v>67</v>
      </c>
      <c r="D9521">
        <v>71</v>
      </c>
      <c r="E9521" t="s">
        <v>355</v>
      </c>
    </row>
    <row r="9522" spans="1:5" x14ac:dyDescent="0.35">
      <c r="A9522">
        <v>2019</v>
      </c>
      <c r="B9522" t="s">
        <v>33</v>
      </c>
      <c r="C9522" t="s">
        <v>66</v>
      </c>
      <c r="D9522">
        <v>5</v>
      </c>
      <c r="E9522" t="s">
        <v>328</v>
      </c>
    </row>
    <row r="9523" spans="1:5" x14ac:dyDescent="0.35">
      <c r="A9523">
        <v>2019</v>
      </c>
      <c r="B9523" t="s">
        <v>33</v>
      </c>
      <c r="C9523" t="s">
        <v>66</v>
      </c>
      <c r="D9523">
        <v>49</v>
      </c>
      <c r="E9523" t="s">
        <v>355</v>
      </c>
    </row>
    <row r="9524" spans="1:5" x14ac:dyDescent="0.35">
      <c r="A9524">
        <v>2019</v>
      </c>
      <c r="B9524" t="s">
        <v>33</v>
      </c>
      <c r="C9524" t="s">
        <v>65</v>
      </c>
      <c r="E9524" t="s">
        <v>328</v>
      </c>
    </row>
    <row r="9525" spans="1:5" x14ac:dyDescent="0.35">
      <c r="A9525">
        <v>2019</v>
      </c>
      <c r="B9525" t="s">
        <v>33</v>
      </c>
      <c r="C9525" t="s">
        <v>65</v>
      </c>
      <c r="E9525" t="s">
        <v>355</v>
      </c>
    </row>
    <row r="9526" spans="1:5" x14ac:dyDescent="0.35">
      <c r="A9526">
        <v>2019</v>
      </c>
      <c r="B9526" t="s">
        <v>34</v>
      </c>
      <c r="C9526" t="s">
        <v>64</v>
      </c>
      <c r="E9526" t="s">
        <v>328</v>
      </c>
    </row>
    <row r="9527" spans="1:5" x14ac:dyDescent="0.35">
      <c r="A9527">
        <v>2019</v>
      </c>
      <c r="B9527" t="s">
        <v>34</v>
      </c>
      <c r="C9527" t="s">
        <v>64</v>
      </c>
      <c r="E9527" t="s">
        <v>355</v>
      </c>
    </row>
    <row r="9528" spans="1:5" x14ac:dyDescent="0.35">
      <c r="A9528">
        <v>2019</v>
      </c>
      <c r="B9528" t="s">
        <v>33</v>
      </c>
      <c r="C9528" t="s">
        <v>63</v>
      </c>
      <c r="D9528">
        <v>11</v>
      </c>
      <c r="E9528" t="s">
        <v>328</v>
      </c>
    </row>
    <row r="9529" spans="1:5" x14ac:dyDescent="0.35">
      <c r="A9529">
        <v>2019</v>
      </c>
      <c r="B9529" t="s">
        <v>33</v>
      </c>
      <c r="C9529" t="s">
        <v>63</v>
      </c>
      <c r="D9529">
        <v>12</v>
      </c>
      <c r="E9529" t="s">
        <v>355</v>
      </c>
    </row>
    <row r="9530" spans="1:5" x14ac:dyDescent="0.35">
      <c r="A9530">
        <v>2019</v>
      </c>
      <c r="B9530" t="s">
        <v>35</v>
      </c>
      <c r="C9530" t="s">
        <v>62</v>
      </c>
      <c r="D9530">
        <v>9</v>
      </c>
      <c r="E9530" t="s">
        <v>328</v>
      </c>
    </row>
    <row r="9531" spans="1:5" x14ac:dyDescent="0.35">
      <c r="A9531">
        <v>2019</v>
      </c>
      <c r="B9531" t="s">
        <v>35</v>
      </c>
      <c r="C9531" t="s">
        <v>62</v>
      </c>
      <c r="D9531">
        <v>18</v>
      </c>
      <c r="E9531" t="s">
        <v>355</v>
      </c>
    </row>
    <row r="9532" spans="1:5" x14ac:dyDescent="0.35">
      <c r="A9532">
        <v>2019</v>
      </c>
      <c r="B9532" t="s">
        <v>38</v>
      </c>
      <c r="C9532" t="s">
        <v>21</v>
      </c>
      <c r="D9532">
        <v>919</v>
      </c>
      <c r="E9532" t="s">
        <v>328</v>
      </c>
    </row>
    <row r="9533" spans="1:5" x14ac:dyDescent="0.35">
      <c r="A9533">
        <v>2019</v>
      </c>
      <c r="B9533" t="s">
        <v>36</v>
      </c>
      <c r="C9533" t="s">
        <v>69</v>
      </c>
      <c r="D9533">
        <v>756</v>
      </c>
      <c r="E9533" t="s">
        <v>355</v>
      </c>
    </row>
    <row r="9534" spans="1:5" x14ac:dyDescent="0.35">
      <c r="A9534">
        <v>2019</v>
      </c>
      <c r="B9534" t="s">
        <v>35</v>
      </c>
      <c r="C9534" t="s">
        <v>60</v>
      </c>
      <c r="D9534">
        <v>7</v>
      </c>
      <c r="E9534" t="s">
        <v>328</v>
      </c>
    </row>
    <row r="9535" spans="1:5" x14ac:dyDescent="0.35">
      <c r="A9535">
        <v>2019</v>
      </c>
      <c r="B9535" t="s">
        <v>36</v>
      </c>
      <c r="C9535" t="s">
        <v>69</v>
      </c>
      <c r="D9535">
        <v>111</v>
      </c>
      <c r="E9535" t="s">
        <v>328</v>
      </c>
    </row>
    <row r="9536" spans="1:5" x14ac:dyDescent="0.35">
      <c r="A9536">
        <v>2019</v>
      </c>
      <c r="B9536" t="s">
        <v>33</v>
      </c>
      <c r="C9536" t="s">
        <v>71</v>
      </c>
      <c r="E9536" t="s">
        <v>328</v>
      </c>
    </row>
    <row r="9537" spans="1:5" x14ac:dyDescent="0.35">
      <c r="A9537">
        <v>2019</v>
      </c>
      <c r="B9537" t="s">
        <v>35</v>
      </c>
      <c r="C9537" t="s">
        <v>78</v>
      </c>
      <c r="E9537" t="s">
        <v>355</v>
      </c>
    </row>
    <row r="9538" spans="1:5" x14ac:dyDescent="0.35">
      <c r="A9538">
        <v>2019</v>
      </c>
      <c r="B9538" t="s">
        <v>33</v>
      </c>
      <c r="C9538" t="s">
        <v>77</v>
      </c>
      <c r="D9538">
        <v>8</v>
      </c>
      <c r="E9538" t="s">
        <v>328</v>
      </c>
    </row>
    <row r="9539" spans="1:5" x14ac:dyDescent="0.35">
      <c r="A9539">
        <v>2019</v>
      </c>
      <c r="B9539" t="s">
        <v>33</v>
      </c>
      <c r="C9539" t="s">
        <v>77</v>
      </c>
      <c r="D9539">
        <v>28</v>
      </c>
      <c r="E9539" t="s">
        <v>355</v>
      </c>
    </row>
    <row r="9540" spans="1:5" x14ac:dyDescent="0.35">
      <c r="A9540">
        <v>2019</v>
      </c>
      <c r="B9540" t="s">
        <v>36</v>
      </c>
      <c r="C9540" t="s">
        <v>76</v>
      </c>
      <c r="D9540">
        <v>43</v>
      </c>
      <c r="E9540" t="s">
        <v>328</v>
      </c>
    </row>
    <row r="9541" spans="1:5" x14ac:dyDescent="0.35">
      <c r="A9541">
        <v>2019</v>
      </c>
      <c r="B9541" t="s">
        <v>36</v>
      </c>
      <c r="C9541" t="s">
        <v>76</v>
      </c>
      <c r="D9541">
        <v>310</v>
      </c>
      <c r="E9541" t="s">
        <v>355</v>
      </c>
    </row>
    <row r="9542" spans="1:5" x14ac:dyDescent="0.35">
      <c r="A9542">
        <v>2019</v>
      </c>
      <c r="B9542" t="s">
        <v>33</v>
      </c>
      <c r="C9542" t="s">
        <v>75</v>
      </c>
      <c r="D9542">
        <v>12</v>
      </c>
      <c r="E9542" t="s">
        <v>328</v>
      </c>
    </row>
    <row r="9543" spans="1:5" x14ac:dyDescent="0.35">
      <c r="A9543">
        <v>2019</v>
      </c>
      <c r="B9543" t="s">
        <v>33</v>
      </c>
      <c r="C9543" t="s">
        <v>75</v>
      </c>
      <c r="D9543">
        <v>3</v>
      </c>
      <c r="E9543" t="s">
        <v>355</v>
      </c>
    </row>
    <row r="9544" spans="1:5" x14ac:dyDescent="0.35">
      <c r="A9544">
        <v>2019</v>
      </c>
      <c r="B9544" t="s">
        <v>33</v>
      </c>
      <c r="C9544" t="s">
        <v>74</v>
      </c>
      <c r="D9544">
        <v>44</v>
      </c>
      <c r="E9544" t="s">
        <v>328</v>
      </c>
    </row>
    <row r="9545" spans="1:5" x14ac:dyDescent="0.35">
      <c r="A9545">
        <v>2019</v>
      </c>
      <c r="B9545" t="s">
        <v>33</v>
      </c>
      <c r="C9545" t="s">
        <v>74</v>
      </c>
      <c r="D9545">
        <v>39</v>
      </c>
      <c r="E9545" t="s">
        <v>355</v>
      </c>
    </row>
    <row r="9546" spans="1:5" x14ac:dyDescent="0.35">
      <c r="A9546">
        <v>2019</v>
      </c>
      <c r="B9546" t="s">
        <v>38</v>
      </c>
      <c r="C9546" t="s">
        <v>20</v>
      </c>
      <c r="D9546">
        <v>315</v>
      </c>
      <c r="E9546" t="s">
        <v>328</v>
      </c>
    </row>
    <row r="9547" spans="1:5" x14ac:dyDescent="0.35">
      <c r="A9547">
        <v>2019</v>
      </c>
      <c r="B9547" t="s">
        <v>38</v>
      </c>
      <c r="C9547" t="s">
        <v>20</v>
      </c>
      <c r="D9547">
        <v>2564</v>
      </c>
      <c r="E9547" t="s">
        <v>355</v>
      </c>
    </row>
    <row r="9548" spans="1:5" x14ac:dyDescent="0.35">
      <c r="A9548">
        <v>2019</v>
      </c>
      <c r="B9548" t="s">
        <v>34</v>
      </c>
      <c r="C9548" t="s">
        <v>73</v>
      </c>
      <c r="D9548">
        <v>409</v>
      </c>
      <c r="E9548" t="s">
        <v>328</v>
      </c>
    </row>
    <row r="9549" spans="1:5" x14ac:dyDescent="0.35">
      <c r="A9549">
        <v>2019</v>
      </c>
      <c r="B9549" t="s">
        <v>34</v>
      </c>
      <c r="C9549" t="s">
        <v>73</v>
      </c>
      <c r="D9549">
        <v>956</v>
      </c>
      <c r="E9549" t="s">
        <v>355</v>
      </c>
    </row>
    <row r="9550" spans="1:5" x14ac:dyDescent="0.35">
      <c r="A9550">
        <v>2019</v>
      </c>
      <c r="B9550" t="s">
        <v>38</v>
      </c>
      <c r="C9550" t="s">
        <v>72</v>
      </c>
      <c r="D9550">
        <v>70</v>
      </c>
      <c r="E9550" t="s">
        <v>328</v>
      </c>
    </row>
    <row r="9551" spans="1:5" x14ac:dyDescent="0.35">
      <c r="A9551">
        <v>2019</v>
      </c>
      <c r="B9551" t="s">
        <v>38</v>
      </c>
      <c r="C9551" t="s">
        <v>72</v>
      </c>
      <c r="D9551">
        <v>144</v>
      </c>
      <c r="E9551" t="s">
        <v>355</v>
      </c>
    </row>
    <row r="9552" spans="1:5" x14ac:dyDescent="0.35">
      <c r="A9552">
        <v>2019</v>
      </c>
      <c r="B9552" t="s">
        <v>33</v>
      </c>
      <c r="C9552" t="s">
        <v>71</v>
      </c>
      <c r="E9552" t="s">
        <v>355</v>
      </c>
    </row>
    <row r="9553" spans="1:5" x14ac:dyDescent="0.35">
      <c r="A9553">
        <v>2019</v>
      </c>
      <c r="B9553" t="s">
        <v>35</v>
      </c>
      <c r="C9553" t="s">
        <v>60</v>
      </c>
      <c r="D9553">
        <v>28</v>
      </c>
      <c r="E9553" t="s">
        <v>355</v>
      </c>
    </row>
    <row r="9554" spans="1:5" x14ac:dyDescent="0.35">
      <c r="A9554">
        <v>2019</v>
      </c>
      <c r="B9554" t="s">
        <v>38</v>
      </c>
      <c r="C9554" t="s">
        <v>59</v>
      </c>
      <c r="D9554">
        <v>20</v>
      </c>
      <c r="E9554" t="s">
        <v>328</v>
      </c>
    </row>
    <row r="9555" spans="1:5" x14ac:dyDescent="0.35">
      <c r="A9555">
        <v>2019</v>
      </c>
      <c r="B9555" t="s">
        <v>38</v>
      </c>
      <c r="C9555" t="s">
        <v>59</v>
      </c>
      <c r="D9555">
        <v>89</v>
      </c>
      <c r="E9555" t="s">
        <v>355</v>
      </c>
    </row>
    <row r="9556" spans="1:5" x14ac:dyDescent="0.35">
      <c r="A9556">
        <v>2019</v>
      </c>
      <c r="B9556" t="s">
        <v>34</v>
      </c>
      <c r="C9556" t="s">
        <v>46</v>
      </c>
      <c r="D9556">
        <v>41</v>
      </c>
      <c r="E9556" t="s">
        <v>355</v>
      </c>
    </row>
    <row r="9557" spans="1:5" x14ac:dyDescent="0.35">
      <c r="A9557">
        <v>2019</v>
      </c>
      <c r="B9557" t="s">
        <v>38</v>
      </c>
      <c r="C9557" t="s">
        <v>45</v>
      </c>
      <c r="D9557">
        <v>37</v>
      </c>
      <c r="E9557" t="s">
        <v>328</v>
      </c>
    </row>
    <row r="9558" spans="1:5" x14ac:dyDescent="0.35">
      <c r="A9558">
        <v>2019</v>
      </c>
      <c r="B9558" t="s">
        <v>38</v>
      </c>
      <c r="C9558" t="s">
        <v>45</v>
      </c>
      <c r="D9558">
        <v>287</v>
      </c>
      <c r="E9558" t="s">
        <v>355</v>
      </c>
    </row>
    <row r="9559" spans="1:5" x14ac:dyDescent="0.35">
      <c r="A9559">
        <v>2019</v>
      </c>
      <c r="B9559" t="s">
        <v>36</v>
      </c>
      <c r="C9559" t="s">
        <v>44</v>
      </c>
      <c r="D9559">
        <v>12</v>
      </c>
      <c r="E9559" t="s">
        <v>355</v>
      </c>
    </row>
    <row r="9560" spans="1:5" x14ac:dyDescent="0.35">
      <c r="A9560">
        <v>2019</v>
      </c>
      <c r="B9560" t="s">
        <v>33</v>
      </c>
      <c r="C9560" t="s">
        <v>43</v>
      </c>
      <c r="D9560">
        <v>30</v>
      </c>
      <c r="E9560" t="s">
        <v>328</v>
      </c>
    </row>
    <row r="9561" spans="1:5" x14ac:dyDescent="0.35">
      <c r="A9561">
        <v>2019</v>
      </c>
      <c r="B9561" t="s">
        <v>33</v>
      </c>
      <c r="C9561" t="s">
        <v>43</v>
      </c>
      <c r="D9561">
        <v>14</v>
      </c>
      <c r="E9561" t="s">
        <v>355</v>
      </c>
    </row>
    <row r="9562" spans="1:5" x14ac:dyDescent="0.35">
      <c r="A9562">
        <v>2019</v>
      </c>
      <c r="C9562" t="s">
        <v>373</v>
      </c>
      <c r="D9562">
        <v>25</v>
      </c>
      <c r="E9562" t="s">
        <v>328</v>
      </c>
    </row>
    <row r="9563" spans="1:5" x14ac:dyDescent="0.35">
      <c r="A9563">
        <v>2019</v>
      </c>
      <c r="C9563" t="s">
        <v>373</v>
      </c>
      <c r="D9563">
        <v>57</v>
      </c>
      <c r="E9563" t="s">
        <v>355</v>
      </c>
    </row>
    <row r="9564" spans="1:5" x14ac:dyDescent="0.35">
      <c r="A9564">
        <v>2019</v>
      </c>
      <c r="B9564" t="s">
        <v>33</v>
      </c>
      <c r="C9564" t="s">
        <v>42</v>
      </c>
      <c r="D9564">
        <v>13</v>
      </c>
      <c r="E9564" t="s">
        <v>328</v>
      </c>
    </row>
    <row r="9565" spans="1:5" x14ac:dyDescent="0.35">
      <c r="A9565">
        <v>2019</v>
      </c>
      <c r="B9565" t="s">
        <v>33</v>
      </c>
      <c r="C9565" t="s">
        <v>42</v>
      </c>
      <c r="D9565">
        <v>14</v>
      </c>
      <c r="E9565" t="s">
        <v>355</v>
      </c>
    </row>
    <row r="9566" spans="1:5" x14ac:dyDescent="0.35">
      <c r="A9566">
        <v>2019</v>
      </c>
      <c r="B9566" t="s">
        <v>35</v>
      </c>
      <c r="C9566" t="s">
        <v>41</v>
      </c>
      <c r="D9566">
        <v>50</v>
      </c>
      <c r="E9566" t="s">
        <v>328</v>
      </c>
    </row>
    <row r="9567" spans="1:5" x14ac:dyDescent="0.35">
      <c r="A9567">
        <v>2019</v>
      </c>
      <c r="B9567" t="s">
        <v>35</v>
      </c>
      <c r="C9567" t="s">
        <v>41</v>
      </c>
      <c r="D9567">
        <v>34</v>
      </c>
      <c r="E9567" t="s">
        <v>355</v>
      </c>
    </row>
    <row r="9568" spans="1:5" x14ac:dyDescent="0.35">
      <c r="A9568">
        <v>2019</v>
      </c>
      <c r="B9568" t="s">
        <v>34</v>
      </c>
      <c r="C9568" t="s">
        <v>40</v>
      </c>
      <c r="D9568">
        <v>11</v>
      </c>
      <c r="E9568" t="s">
        <v>328</v>
      </c>
    </row>
    <row r="9569" spans="1:5" x14ac:dyDescent="0.35">
      <c r="A9569">
        <v>2019</v>
      </c>
      <c r="B9569" t="s">
        <v>34</v>
      </c>
      <c r="C9569" t="s">
        <v>40</v>
      </c>
      <c r="D9569">
        <v>19</v>
      </c>
      <c r="E9569" t="s">
        <v>355</v>
      </c>
    </row>
    <row r="9570" spans="1:5" x14ac:dyDescent="0.35">
      <c r="A9570">
        <v>2019</v>
      </c>
      <c r="B9570" t="s">
        <v>34</v>
      </c>
      <c r="C9570" t="s">
        <v>118</v>
      </c>
      <c r="D9570">
        <v>109</v>
      </c>
      <c r="E9570" t="s">
        <v>355</v>
      </c>
    </row>
    <row r="9571" spans="1:5" x14ac:dyDescent="0.35">
      <c r="A9571">
        <v>2019</v>
      </c>
      <c r="B9571" t="s">
        <v>34</v>
      </c>
      <c r="C9571" t="s">
        <v>46</v>
      </c>
      <c r="D9571">
        <v>17</v>
      </c>
      <c r="E9571" t="s">
        <v>328</v>
      </c>
    </row>
    <row r="9572" spans="1:5" x14ac:dyDescent="0.35">
      <c r="A9572">
        <v>2019</v>
      </c>
      <c r="B9572" t="s">
        <v>37</v>
      </c>
      <c r="C9572" t="s">
        <v>47</v>
      </c>
      <c r="D9572">
        <v>28</v>
      </c>
      <c r="E9572" t="s">
        <v>355</v>
      </c>
    </row>
    <row r="9573" spans="1:5" x14ac:dyDescent="0.35">
      <c r="A9573">
        <v>2019</v>
      </c>
      <c r="B9573" t="s">
        <v>37</v>
      </c>
      <c r="C9573" t="s">
        <v>47</v>
      </c>
      <c r="D9573">
        <v>13</v>
      </c>
      <c r="E9573" t="s">
        <v>328</v>
      </c>
    </row>
    <row r="9574" spans="1:5" x14ac:dyDescent="0.35">
      <c r="A9574">
        <v>2019</v>
      </c>
      <c r="B9574" t="s">
        <v>35</v>
      </c>
      <c r="C9574" t="s">
        <v>48</v>
      </c>
      <c r="E9574" t="s">
        <v>355</v>
      </c>
    </row>
    <row r="9575" spans="1:5" x14ac:dyDescent="0.35">
      <c r="A9575">
        <v>2019</v>
      </c>
      <c r="B9575" t="s">
        <v>33</v>
      </c>
      <c r="C9575" t="s">
        <v>57</v>
      </c>
      <c r="D9575">
        <v>5</v>
      </c>
      <c r="E9575" t="s">
        <v>328</v>
      </c>
    </row>
    <row r="9576" spans="1:5" x14ac:dyDescent="0.35">
      <c r="A9576">
        <v>2019</v>
      </c>
      <c r="B9576" t="s">
        <v>33</v>
      </c>
      <c r="C9576" t="s">
        <v>57</v>
      </c>
      <c r="D9576">
        <v>7</v>
      </c>
      <c r="E9576" t="s">
        <v>355</v>
      </c>
    </row>
    <row r="9577" spans="1:5" x14ac:dyDescent="0.35">
      <c r="A9577">
        <v>2019</v>
      </c>
      <c r="B9577" t="s">
        <v>36</v>
      </c>
      <c r="C9577" t="s">
        <v>56</v>
      </c>
      <c r="D9577">
        <v>29</v>
      </c>
      <c r="E9577" t="s">
        <v>328</v>
      </c>
    </row>
    <row r="9578" spans="1:5" x14ac:dyDescent="0.35">
      <c r="A9578">
        <v>2019</v>
      </c>
      <c r="B9578" t="s">
        <v>36</v>
      </c>
      <c r="C9578" t="s">
        <v>56</v>
      </c>
      <c r="D9578">
        <v>80</v>
      </c>
      <c r="E9578" t="s">
        <v>355</v>
      </c>
    </row>
    <row r="9579" spans="1:5" x14ac:dyDescent="0.35">
      <c r="A9579">
        <v>2019</v>
      </c>
      <c r="B9579" t="s">
        <v>35</v>
      </c>
      <c r="C9579" t="s">
        <v>55</v>
      </c>
      <c r="D9579">
        <v>3</v>
      </c>
      <c r="E9579" t="s">
        <v>328</v>
      </c>
    </row>
    <row r="9580" spans="1:5" x14ac:dyDescent="0.35">
      <c r="A9580">
        <v>2019</v>
      </c>
      <c r="B9580" t="s">
        <v>35</v>
      </c>
      <c r="C9580" t="s">
        <v>55</v>
      </c>
      <c r="D9580">
        <v>6</v>
      </c>
      <c r="E9580" t="s">
        <v>355</v>
      </c>
    </row>
    <row r="9581" spans="1:5" x14ac:dyDescent="0.35">
      <c r="A9581">
        <v>2019</v>
      </c>
      <c r="B9581" t="s">
        <v>35</v>
      </c>
      <c r="C9581" t="s">
        <v>54</v>
      </c>
      <c r="D9581">
        <v>11</v>
      </c>
      <c r="E9581" t="s">
        <v>328</v>
      </c>
    </row>
    <row r="9582" spans="1:5" x14ac:dyDescent="0.35">
      <c r="A9582">
        <v>2019</v>
      </c>
      <c r="B9582" t="s">
        <v>35</v>
      </c>
      <c r="C9582" t="s">
        <v>78</v>
      </c>
      <c r="E9582" t="s">
        <v>328</v>
      </c>
    </row>
    <row r="9583" spans="1:5" x14ac:dyDescent="0.35">
      <c r="A9583">
        <v>2019</v>
      </c>
      <c r="B9583" t="s">
        <v>35</v>
      </c>
      <c r="C9583" t="s">
        <v>54</v>
      </c>
      <c r="D9583">
        <v>19</v>
      </c>
      <c r="E9583" t="s">
        <v>355</v>
      </c>
    </row>
    <row r="9584" spans="1:5" x14ac:dyDescent="0.35">
      <c r="A9584">
        <v>2019</v>
      </c>
      <c r="B9584" t="s">
        <v>34</v>
      </c>
      <c r="C9584" t="s">
        <v>52</v>
      </c>
      <c r="D9584">
        <v>109</v>
      </c>
      <c r="E9584" t="s">
        <v>328</v>
      </c>
    </row>
    <row r="9585" spans="1:5" x14ac:dyDescent="0.35">
      <c r="A9585">
        <v>2019</v>
      </c>
      <c r="B9585" t="s">
        <v>34</v>
      </c>
      <c r="C9585" t="s">
        <v>52</v>
      </c>
      <c r="D9585">
        <v>48</v>
      </c>
      <c r="E9585" t="s">
        <v>355</v>
      </c>
    </row>
    <row r="9586" spans="1:5" x14ac:dyDescent="0.35">
      <c r="A9586">
        <v>2019</v>
      </c>
      <c r="B9586" t="s">
        <v>36</v>
      </c>
      <c r="C9586" t="s">
        <v>50</v>
      </c>
      <c r="D9586">
        <v>15</v>
      </c>
      <c r="E9586" t="s">
        <v>328</v>
      </c>
    </row>
    <row r="9587" spans="1:5" x14ac:dyDescent="0.35">
      <c r="A9587">
        <v>2019</v>
      </c>
      <c r="B9587" t="s">
        <v>36</v>
      </c>
      <c r="C9587" t="s">
        <v>50</v>
      </c>
      <c r="D9587">
        <v>89</v>
      </c>
      <c r="E9587" t="s">
        <v>355</v>
      </c>
    </row>
    <row r="9588" spans="1:5" x14ac:dyDescent="0.35">
      <c r="A9588">
        <v>2019</v>
      </c>
      <c r="B9588" t="s">
        <v>34</v>
      </c>
      <c r="C9588" t="s">
        <v>49</v>
      </c>
      <c r="E9588" t="s">
        <v>328</v>
      </c>
    </row>
    <row r="9589" spans="1:5" x14ac:dyDescent="0.35">
      <c r="A9589">
        <v>2019</v>
      </c>
      <c r="B9589" t="s">
        <v>34</v>
      </c>
      <c r="C9589" t="s">
        <v>49</v>
      </c>
      <c r="E9589" t="s">
        <v>355</v>
      </c>
    </row>
    <row r="9590" spans="1:5" x14ac:dyDescent="0.35">
      <c r="A9590">
        <v>2019</v>
      </c>
      <c r="B9590" t="s">
        <v>35</v>
      </c>
      <c r="C9590" t="s">
        <v>48</v>
      </c>
      <c r="E9590" t="s">
        <v>328</v>
      </c>
    </row>
    <row r="9591" spans="1:5" x14ac:dyDescent="0.35">
      <c r="A9591">
        <v>2019</v>
      </c>
      <c r="B9591" t="s">
        <v>36</v>
      </c>
      <c r="C9591" t="s">
        <v>53</v>
      </c>
      <c r="D9591">
        <v>34</v>
      </c>
      <c r="E9591" t="s">
        <v>355</v>
      </c>
    </row>
    <row r="9592" spans="1:5" x14ac:dyDescent="0.35">
      <c r="A9592">
        <v>2019</v>
      </c>
      <c r="B9592" t="s">
        <v>36</v>
      </c>
      <c r="C9592" t="s">
        <v>79</v>
      </c>
      <c r="D9592">
        <v>163</v>
      </c>
      <c r="E9592" t="s">
        <v>355</v>
      </c>
    </row>
    <row r="9593" spans="1:5" x14ac:dyDescent="0.35">
      <c r="A9593">
        <v>2019</v>
      </c>
      <c r="B9593" t="s">
        <v>38</v>
      </c>
      <c r="C9593" t="s">
        <v>21</v>
      </c>
      <c r="D9593">
        <v>1484</v>
      </c>
      <c r="E9593" t="s">
        <v>355</v>
      </c>
    </row>
    <row r="9594" spans="1:5" x14ac:dyDescent="0.35">
      <c r="A9594">
        <v>2019</v>
      </c>
      <c r="B9594" t="s">
        <v>35</v>
      </c>
      <c r="C9594" t="s">
        <v>81</v>
      </c>
      <c r="D9594">
        <v>11</v>
      </c>
      <c r="E9594" t="s">
        <v>355</v>
      </c>
    </row>
    <row r="9595" spans="1:5" x14ac:dyDescent="0.35">
      <c r="A9595">
        <v>2019</v>
      </c>
      <c r="B9595" t="s">
        <v>34</v>
      </c>
      <c r="C9595" t="s">
        <v>107</v>
      </c>
      <c r="D9595">
        <v>41</v>
      </c>
      <c r="E9595" t="s">
        <v>355</v>
      </c>
    </row>
    <row r="9596" spans="1:5" x14ac:dyDescent="0.35">
      <c r="A9596">
        <v>2019</v>
      </c>
      <c r="B9596" t="s">
        <v>34</v>
      </c>
      <c r="C9596" t="s">
        <v>22</v>
      </c>
      <c r="D9596">
        <v>1182</v>
      </c>
      <c r="E9596" t="s">
        <v>328</v>
      </c>
    </row>
    <row r="9597" spans="1:5" x14ac:dyDescent="0.35">
      <c r="A9597">
        <v>2019</v>
      </c>
      <c r="B9597" t="s">
        <v>34</v>
      </c>
      <c r="C9597" t="s">
        <v>22</v>
      </c>
      <c r="D9597">
        <v>629</v>
      </c>
      <c r="E9597" t="s">
        <v>355</v>
      </c>
    </row>
    <row r="9598" spans="1:5" x14ac:dyDescent="0.35">
      <c r="A9598">
        <v>2019</v>
      </c>
      <c r="B9598" t="s">
        <v>35</v>
      </c>
      <c r="C9598" t="s">
        <v>105</v>
      </c>
      <c r="D9598">
        <v>42</v>
      </c>
      <c r="E9598" t="s">
        <v>328</v>
      </c>
    </row>
    <row r="9599" spans="1:5" x14ac:dyDescent="0.35">
      <c r="A9599">
        <v>2019</v>
      </c>
      <c r="B9599" t="s">
        <v>35</v>
      </c>
      <c r="C9599" t="s">
        <v>105</v>
      </c>
      <c r="D9599">
        <v>23</v>
      </c>
      <c r="E9599" t="s">
        <v>355</v>
      </c>
    </row>
    <row r="9600" spans="1:5" x14ac:dyDescent="0.35">
      <c r="A9600">
        <v>2019</v>
      </c>
      <c r="B9600" t="s">
        <v>36</v>
      </c>
      <c r="C9600" t="s">
        <v>17</v>
      </c>
      <c r="D9600">
        <v>22656</v>
      </c>
      <c r="E9600" t="s">
        <v>328</v>
      </c>
    </row>
    <row r="9601" spans="1:5" x14ac:dyDescent="0.35">
      <c r="A9601">
        <v>2019</v>
      </c>
      <c r="B9601" t="s">
        <v>36</v>
      </c>
      <c r="C9601" t="s">
        <v>17</v>
      </c>
      <c r="D9601">
        <v>17995</v>
      </c>
      <c r="E9601" t="s">
        <v>355</v>
      </c>
    </row>
    <row r="9602" spans="1:5" x14ac:dyDescent="0.35">
      <c r="A9602">
        <v>2019</v>
      </c>
      <c r="B9602" t="s">
        <v>36</v>
      </c>
      <c r="C9602" t="s">
        <v>104</v>
      </c>
      <c r="D9602">
        <v>299</v>
      </c>
      <c r="E9602" t="s">
        <v>328</v>
      </c>
    </row>
    <row r="9603" spans="1:5" x14ac:dyDescent="0.35">
      <c r="A9603">
        <v>2019</v>
      </c>
      <c r="B9603" t="s">
        <v>36</v>
      </c>
      <c r="C9603" t="s">
        <v>104</v>
      </c>
      <c r="D9603">
        <v>429</v>
      </c>
      <c r="E9603" t="s">
        <v>355</v>
      </c>
    </row>
    <row r="9604" spans="1:5" x14ac:dyDescent="0.35">
      <c r="A9604">
        <v>2019</v>
      </c>
      <c r="B9604" t="s">
        <v>38</v>
      </c>
      <c r="C9604" t="s">
        <v>103</v>
      </c>
      <c r="D9604">
        <v>40</v>
      </c>
      <c r="E9604" t="s">
        <v>328</v>
      </c>
    </row>
    <row r="9605" spans="1:5" x14ac:dyDescent="0.35">
      <c r="A9605">
        <v>2019</v>
      </c>
      <c r="B9605" t="s">
        <v>38</v>
      </c>
      <c r="C9605" t="s">
        <v>103</v>
      </c>
      <c r="D9605">
        <v>309</v>
      </c>
      <c r="E9605" t="s">
        <v>355</v>
      </c>
    </row>
    <row r="9606" spans="1:5" x14ac:dyDescent="0.35">
      <c r="A9606">
        <v>2019</v>
      </c>
      <c r="B9606" t="s">
        <v>33</v>
      </c>
      <c r="C9606" t="s">
        <v>101</v>
      </c>
      <c r="D9606">
        <v>45</v>
      </c>
      <c r="E9606" t="s">
        <v>328</v>
      </c>
    </row>
    <row r="9607" spans="1:5" x14ac:dyDescent="0.35">
      <c r="A9607">
        <v>2019</v>
      </c>
      <c r="B9607" t="s">
        <v>33</v>
      </c>
      <c r="C9607" t="s">
        <v>101</v>
      </c>
      <c r="D9607">
        <v>57</v>
      </c>
      <c r="E9607" t="s">
        <v>355</v>
      </c>
    </row>
    <row r="9608" spans="1:5" x14ac:dyDescent="0.35">
      <c r="A9608">
        <v>2019</v>
      </c>
      <c r="B9608" t="s">
        <v>36</v>
      </c>
      <c r="C9608" t="s">
        <v>15</v>
      </c>
      <c r="D9608">
        <v>30221</v>
      </c>
      <c r="E9608" t="s">
        <v>328</v>
      </c>
    </row>
    <row r="9609" spans="1:5" x14ac:dyDescent="0.35">
      <c r="A9609">
        <v>2019</v>
      </c>
      <c r="B9609" t="s">
        <v>36</v>
      </c>
      <c r="C9609" t="s">
        <v>15</v>
      </c>
      <c r="D9609">
        <v>23125</v>
      </c>
      <c r="E9609" t="s">
        <v>355</v>
      </c>
    </row>
    <row r="9610" spans="1:5" x14ac:dyDescent="0.35">
      <c r="A9610">
        <v>2019</v>
      </c>
      <c r="B9610" t="s">
        <v>34</v>
      </c>
      <c r="C9610" t="s">
        <v>107</v>
      </c>
      <c r="D9610">
        <v>49</v>
      </c>
      <c r="E9610" t="s">
        <v>328</v>
      </c>
    </row>
    <row r="9611" spans="1:5" x14ac:dyDescent="0.35">
      <c r="A9611">
        <v>2019</v>
      </c>
      <c r="B9611" t="s">
        <v>34</v>
      </c>
      <c r="C9611" t="s">
        <v>108</v>
      </c>
      <c r="D9611">
        <v>16</v>
      </c>
      <c r="E9611" t="s">
        <v>355</v>
      </c>
    </row>
    <row r="9612" spans="1:5" x14ac:dyDescent="0.35">
      <c r="A9612">
        <v>2019</v>
      </c>
      <c r="B9612" t="s">
        <v>34</v>
      </c>
      <c r="C9612" t="s">
        <v>108</v>
      </c>
      <c r="D9612">
        <v>10</v>
      </c>
      <c r="E9612" t="s">
        <v>328</v>
      </c>
    </row>
    <row r="9613" spans="1:5" x14ac:dyDescent="0.35">
      <c r="A9613">
        <v>2019</v>
      </c>
      <c r="B9613" t="s">
        <v>34</v>
      </c>
      <c r="C9613" t="s">
        <v>109</v>
      </c>
      <c r="D9613">
        <v>66</v>
      </c>
      <c r="E9613" t="s">
        <v>355</v>
      </c>
    </row>
    <row r="9614" spans="1:5" x14ac:dyDescent="0.35">
      <c r="A9614">
        <v>2019</v>
      </c>
      <c r="B9614" t="s">
        <v>36</v>
      </c>
      <c r="C9614" t="s">
        <v>79</v>
      </c>
      <c r="D9614">
        <v>958</v>
      </c>
      <c r="E9614" t="s">
        <v>328</v>
      </c>
    </row>
    <row r="9615" spans="1:5" x14ac:dyDescent="0.35">
      <c r="A9615">
        <v>2019</v>
      </c>
      <c r="B9615" t="s">
        <v>34</v>
      </c>
      <c r="C9615" t="s">
        <v>116</v>
      </c>
      <c r="D9615">
        <v>13</v>
      </c>
      <c r="E9615" t="s">
        <v>328</v>
      </c>
    </row>
    <row r="9616" spans="1:5" x14ac:dyDescent="0.35">
      <c r="A9616">
        <v>2019</v>
      </c>
      <c r="B9616" t="s">
        <v>34</v>
      </c>
      <c r="C9616" t="s">
        <v>116</v>
      </c>
      <c r="D9616">
        <v>50</v>
      </c>
      <c r="E9616" t="s">
        <v>355</v>
      </c>
    </row>
    <row r="9617" spans="1:5" x14ac:dyDescent="0.35">
      <c r="A9617">
        <v>2019</v>
      </c>
      <c r="B9617" t="s">
        <v>34</v>
      </c>
      <c r="C9617" t="s">
        <v>115</v>
      </c>
      <c r="D9617">
        <v>40</v>
      </c>
      <c r="E9617" t="s">
        <v>328</v>
      </c>
    </row>
    <row r="9618" spans="1:5" x14ac:dyDescent="0.35">
      <c r="A9618">
        <v>2019</v>
      </c>
      <c r="B9618" t="s">
        <v>34</v>
      </c>
      <c r="C9618" t="s">
        <v>115</v>
      </c>
      <c r="D9618">
        <v>98</v>
      </c>
      <c r="E9618" t="s">
        <v>355</v>
      </c>
    </row>
    <row r="9619" spans="1:5" x14ac:dyDescent="0.35">
      <c r="A9619">
        <v>2019</v>
      </c>
      <c r="B9619" t="s">
        <v>34</v>
      </c>
      <c r="C9619" t="s">
        <v>114</v>
      </c>
      <c r="D9619">
        <v>6</v>
      </c>
      <c r="E9619" t="s">
        <v>328</v>
      </c>
    </row>
    <row r="9620" spans="1:5" x14ac:dyDescent="0.35">
      <c r="A9620">
        <v>2019</v>
      </c>
      <c r="B9620" t="s">
        <v>34</v>
      </c>
      <c r="C9620" t="s">
        <v>114</v>
      </c>
      <c r="D9620">
        <v>23</v>
      </c>
      <c r="E9620" t="s">
        <v>355</v>
      </c>
    </row>
    <row r="9621" spans="1:5" x14ac:dyDescent="0.35">
      <c r="A9621">
        <v>2019</v>
      </c>
      <c r="B9621" t="s">
        <v>36</v>
      </c>
      <c r="C9621" t="s">
        <v>100</v>
      </c>
      <c r="D9621">
        <v>16</v>
      </c>
      <c r="E9621" t="s">
        <v>355</v>
      </c>
    </row>
    <row r="9622" spans="1:5" x14ac:dyDescent="0.35">
      <c r="A9622">
        <v>2019</v>
      </c>
      <c r="B9622" t="s">
        <v>36</v>
      </c>
      <c r="C9622" t="s">
        <v>113</v>
      </c>
      <c r="D9622">
        <v>99</v>
      </c>
      <c r="E9622" t="s">
        <v>328</v>
      </c>
    </row>
    <row r="9623" spans="1:5" x14ac:dyDescent="0.35">
      <c r="A9623">
        <v>2019</v>
      </c>
      <c r="B9623" t="s">
        <v>35</v>
      </c>
      <c r="C9623" t="s">
        <v>112</v>
      </c>
      <c r="D9623">
        <v>69</v>
      </c>
      <c r="E9623" t="s">
        <v>328</v>
      </c>
    </row>
    <row r="9624" spans="1:5" x14ac:dyDescent="0.35">
      <c r="A9624">
        <v>2019</v>
      </c>
      <c r="B9624" t="s">
        <v>35</v>
      </c>
      <c r="C9624" t="s">
        <v>112</v>
      </c>
      <c r="D9624">
        <v>55</v>
      </c>
      <c r="E9624" t="s">
        <v>355</v>
      </c>
    </row>
    <row r="9625" spans="1:5" x14ac:dyDescent="0.35">
      <c r="A9625">
        <v>2019</v>
      </c>
      <c r="B9625" t="s">
        <v>34</v>
      </c>
      <c r="C9625" t="s">
        <v>111</v>
      </c>
      <c r="D9625">
        <v>22</v>
      </c>
      <c r="E9625" t="s">
        <v>328</v>
      </c>
    </row>
    <row r="9626" spans="1:5" x14ac:dyDescent="0.35">
      <c r="A9626">
        <v>2019</v>
      </c>
      <c r="B9626" t="s">
        <v>34</v>
      </c>
      <c r="C9626" t="s">
        <v>111</v>
      </c>
      <c r="D9626">
        <v>132</v>
      </c>
      <c r="E9626" t="s">
        <v>355</v>
      </c>
    </row>
    <row r="9627" spans="1:5" x14ac:dyDescent="0.35">
      <c r="A9627">
        <v>2019</v>
      </c>
      <c r="B9627" t="s">
        <v>35</v>
      </c>
      <c r="C9627" t="s">
        <v>110</v>
      </c>
      <c r="D9627">
        <v>19</v>
      </c>
      <c r="E9627" t="s">
        <v>328</v>
      </c>
    </row>
    <row r="9628" spans="1:5" x14ac:dyDescent="0.35">
      <c r="A9628">
        <v>2019</v>
      </c>
      <c r="B9628" t="s">
        <v>35</v>
      </c>
      <c r="C9628" t="s">
        <v>110</v>
      </c>
      <c r="D9628">
        <v>14</v>
      </c>
      <c r="E9628" t="s">
        <v>355</v>
      </c>
    </row>
    <row r="9629" spans="1:5" x14ac:dyDescent="0.35">
      <c r="A9629">
        <v>2019</v>
      </c>
      <c r="B9629" t="s">
        <v>34</v>
      </c>
      <c r="C9629" t="s">
        <v>109</v>
      </c>
      <c r="D9629">
        <v>15</v>
      </c>
      <c r="E9629" t="s">
        <v>328</v>
      </c>
    </row>
    <row r="9630" spans="1:5" x14ac:dyDescent="0.35">
      <c r="A9630">
        <v>2019</v>
      </c>
      <c r="B9630" t="s">
        <v>36</v>
      </c>
      <c r="C9630" t="s">
        <v>113</v>
      </c>
      <c r="D9630">
        <v>1241</v>
      </c>
      <c r="E9630" t="s">
        <v>355</v>
      </c>
    </row>
    <row r="9631" spans="1:5" x14ac:dyDescent="0.35">
      <c r="A9631">
        <v>2019</v>
      </c>
      <c r="B9631" t="s">
        <v>35</v>
      </c>
      <c r="C9631" t="s">
        <v>99</v>
      </c>
      <c r="D9631">
        <v>20</v>
      </c>
      <c r="E9631" t="s">
        <v>328</v>
      </c>
    </row>
    <row r="9632" spans="1:5" x14ac:dyDescent="0.35">
      <c r="A9632">
        <v>2019</v>
      </c>
      <c r="B9632" t="s">
        <v>33</v>
      </c>
      <c r="C9632" t="s">
        <v>117</v>
      </c>
      <c r="D9632">
        <v>129</v>
      </c>
      <c r="E9632" t="s">
        <v>355</v>
      </c>
    </row>
    <row r="9633" spans="1:5" x14ac:dyDescent="0.35">
      <c r="A9633">
        <v>2019</v>
      </c>
      <c r="B9633" t="s">
        <v>33</v>
      </c>
      <c r="C9633" t="s">
        <v>98</v>
      </c>
      <c r="D9633">
        <v>100</v>
      </c>
      <c r="E9633" t="s">
        <v>328</v>
      </c>
    </row>
    <row r="9634" spans="1:5" x14ac:dyDescent="0.35">
      <c r="A9634">
        <v>2019</v>
      </c>
      <c r="B9634" t="s">
        <v>33</v>
      </c>
      <c r="C9634" t="s">
        <v>88</v>
      </c>
      <c r="E9634" t="s">
        <v>328</v>
      </c>
    </row>
    <row r="9635" spans="1:5" x14ac:dyDescent="0.35">
      <c r="A9635">
        <v>2019</v>
      </c>
      <c r="B9635" t="s">
        <v>33</v>
      </c>
      <c r="C9635" t="s">
        <v>88</v>
      </c>
      <c r="E9635" t="s">
        <v>355</v>
      </c>
    </row>
    <row r="9636" spans="1:5" x14ac:dyDescent="0.35">
      <c r="A9636">
        <v>2019</v>
      </c>
      <c r="B9636" t="s">
        <v>36</v>
      </c>
      <c r="C9636" t="s">
        <v>16</v>
      </c>
      <c r="D9636">
        <v>9240</v>
      </c>
      <c r="E9636" t="s">
        <v>328</v>
      </c>
    </row>
    <row r="9637" spans="1:5" x14ac:dyDescent="0.35">
      <c r="A9637">
        <v>2019</v>
      </c>
      <c r="B9637" t="s">
        <v>36</v>
      </c>
      <c r="C9637" t="s">
        <v>16</v>
      </c>
      <c r="D9637">
        <v>8798</v>
      </c>
      <c r="E9637" t="s">
        <v>355</v>
      </c>
    </row>
    <row r="9638" spans="1:5" x14ac:dyDescent="0.35">
      <c r="A9638">
        <v>2019</v>
      </c>
      <c r="B9638" t="s">
        <v>33</v>
      </c>
      <c r="C9638" t="s">
        <v>87</v>
      </c>
      <c r="D9638">
        <v>22</v>
      </c>
      <c r="E9638" t="s">
        <v>328</v>
      </c>
    </row>
    <row r="9639" spans="1:5" x14ac:dyDescent="0.35">
      <c r="A9639">
        <v>2019</v>
      </c>
      <c r="B9639" t="s">
        <v>33</v>
      </c>
      <c r="C9639" t="s">
        <v>87</v>
      </c>
      <c r="D9639">
        <v>60</v>
      </c>
      <c r="E9639" t="s">
        <v>355</v>
      </c>
    </row>
    <row r="9640" spans="1:5" x14ac:dyDescent="0.35">
      <c r="A9640">
        <v>2019</v>
      </c>
      <c r="B9640" t="s">
        <v>38</v>
      </c>
      <c r="C9640" t="s">
        <v>86</v>
      </c>
      <c r="D9640">
        <v>1006</v>
      </c>
      <c r="E9640" t="s">
        <v>328</v>
      </c>
    </row>
    <row r="9641" spans="1:5" x14ac:dyDescent="0.35">
      <c r="A9641">
        <v>2019</v>
      </c>
      <c r="B9641" t="s">
        <v>38</v>
      </c>
      <c r="C9641" t="s">
        <v>86</v>
      </c>
      <c r="D9641">
        <v>1479</v>
      </c>
      <c r="E9641" t="s">
        <v>355</v>
      </c>
    </row>
    <row r="9642" spans="1:5" x14ac:dyDescent="0.35">
      <c r="A9642">
        <v>2019</v>
      </c>
      <c r="B9642" t="s">
        <v>36</v>
      </c>
      <c r="C9642" t="s">
        <v>85</v>
      </c>
      <c r="D9642">
        <v>584</v>
      </c>
      <c r="E9642" t="s">
        <v>328</v>
      </c>
    </row>
    <row r="9643" spans="1:5" x14ac:dyDescent="0.35">
      <c r="A9643">
        <v>2019</v>
      </c>
      <c r="B9643" t="s">
        <v>36</v>
      </c>
      <c r="C9643" t="s">
        <v>85</v>
      </c>
      <c r="D9643">
        <v>1619</v>
      </c>
      <c r="E9643" t="s">
        <v>355</v>
      </c>
    </row>
    <row r="9644" spans="1:5" x14ac:dyDescent="0.35">
      <c r="A9644">
        <v>2019</v>
      </c>
      <c r="B9644" t="s">
        <v>36</v>
      </c>
      <c r="C9644" t="s">
        <v>84</v>
      </c>
      <c r="E9644" t="s">
        <v>328</v>
      </c>
    </row>
    <row r="9645" spans="1:5" x14ac:dyDescent="0.35">
      <c r="A9645">
        <v>2019</v>
      </c>
      <c r="B9645" t="s">
        <v>36</v>
      </c>
      <c r="C9645" t="s">
        <v>84</v>
      </c>
      <c r="E9645" t="s">
        <v>355</v>
      </c>
    </row>
    <row r="9646" spans="1:5" x14ac:dyDescent="0.35">
      <c r="A9646">
        <v>2019</v>
      </c>
      <c r="B9646" t="s">
        <v>35</v>
      </c>
      <c r="C9646" t="s">
        <v>214</v>
      </c>
      <c r="E9646" t="s">
        <v>328</v>
      </c>
    </row>
    <row r="9647" spans="1:5" x14ac:dyDescent="0.35">
      <c r="A9647">
        <v>2019</v>
      </c>
      <c r="B9647" t="s">
        <v>35</v>
      </c>
      <c r="C9647" t="s">
        <v>214</v>
      </c>
      <c r="E9647" t="s">
        <v>355</v>
      </c>
    </row>
    <row r="9648" spans="1:5" x14ac:dyDescent="0.35">
      <c r="A9648">
        <v>2019</v>
      </c>
      <c r="B9648" t="s">
        <v>35</v>
      </c>
      <c r="C9648" t="s">
        <v>99</v>
      </c>
      <c r="D9648">
        <v>14</v>
      </c>
      <c r="E9648" t="s">
        <v>355</v>
      </c>
    </row>
    <row r="9649" spans="1:5" x14ac:dyDescent="0.35">
      <c r="A9649">
        <v>2019</v>
      </c>
      <c r="B9649" t="s">
        <v>33</v>
      </c>
      <c r="C9649" t="s">
        <v>89</v>
      </c>
      <c r="D9649">
        <v>5</v>
      </c>
      <c r="E9649" t="s">
        <v>355</v>
      </c>
    </row>
    <row r="9650" spans="1:5" x14ac:dyDescent="0.35">
      <c r="A9650">
        <v>2019</v>
      </c>
      <c r="B9650" t="s">
        <v>33</v>
      </c>
      <c r="C9650" t="s">
        <v>89</v>
      </c>
      <c r="D9650">
        <v>43</v>
      </c>
      <c r="E9650" t="s">
        <v>328</v>
      </c>
    </row>
    <row r="9651" spans="1:5" x14ac:dyDescent="0.35">
      <c r="A9651">
        <v>2019</v>
      </c>
      <c r="B9651" t="s">
        <v>35</v>
      </c>
      <c r="C9651" t="s">
        <v>81</v>
      </c>
      <c r="D9651">
        <v>42</v>
      </c>
      <c r="E9651" t="s">
        <v>328</v>
      </c>
    </row>
    <row r="9652" spans="1:5" x14ac:dyDescent="0.35">
      <c r="A9652">
        <v>2019</v>
      </c>
      <c r="B9652" t="s">
        <v>35</v>
      </c>
      <c r="C9652" t="s">
        <v>90</v>
      </c>
      <c r="D9652">
        <v>5</v>
      </c>
      <c r="E9652" t="s">
        <v>328</v>
      </c>
    </row>
    <row r="9653" spans="1:5" x14ac:dyDescent="0.35">
      <c r="A9653">
        <v>2019</v>
      </c>
      <c r="B9653" t="s">
        <v>35</v>
      </c>
      <c r="C9653" t="s">
        <v>90</v>
      </c>
      <c r="D9653">
        <v>5</v>
      </c>
      <c r="E9653" t="s">
        <v>355</v>
      </c>
    </row>
    <row r="9654" spans="1:5" x14ac:dyDescent="0.35">
      <c r="A9654">
        <v>2019</v>
      </c>
      <c r="B9654" t="s">
        <v>33</v>
      </c>
      <c r="C9654" t="s">
        <v>98</v>
      </c>
      <c r="D9654">
        <v>188</v>
      </c>
      <c r="E9654" t="s">
        <v>355</v>
      </c>
    </row>
    <row r="9655" spans="1:5" x14ac:dyDescent="0.35">
      <c r="A9655">
        <v>2019</v>
      </c>
      <c r="B9655" t="s">
        <v>35</v>
      </c>
      <c r="C9655" t="s">
        <v>97</v>
      </c>
      <c r="D9655">
        <v>28</v>
      </c>
      <c r="E9655" t="s">
        <v>328</v>
      </c>
    </row>
    <row r="9656" spans="1:5" x14ac:dyDescent="0.35">
      <c r="A9656">
        <v>2019</v>
      </c>
      <c r="B9656" t="s">
        <v>35</v>
      </c>
      <c r="C9656" t="s">
        <v>97</v>
      </c>
      <c r="D9656">
        <v>44</v>
      </c>
      <c r="E9656" t="s">
        <v>355</v>
      </c>
    </row>
    <row r="9657" spans="1:5" x14ac:dyDescent="0.35">
      <c r="A9657">
        <v>2019</v>
      </c>
      <c r="B9657" t="s">
        <v>34</v>
      </c>
      <c r="C9657" t="s">
        <v>8</v>
      </c>
      <c r="D9657">
        <v>19</v>
      </c>
      <c r="E9657" t="s">
        <v>328</v>
      </c>
    </row>
    <row r="9658" spans="1:5" x14ac:dyDescent="0.35">
      <c r="A9658">
        <v>2019</v>
      </c>
      <c r="B9658" t="s">
        <v>33</v>
      </c>
      <c r="C9658" t="s">
        <v>96</v>
      </c>
      <c r="D9658">
        <v>58</v>
      </c>
      <c r="E9658" t="s">
        <v>328</v>
      </c>
    </row>
    <row r="9659" spans="1:5" x14ac:dyDescent="0.35">
      <c r="A9659">
        <v>2019</v>
      </c>
      <c r="B9659" t="s">
        <v>33</v>
      </c>
      <c r="C9659" t="s">
        <v>96</v>
      </c>
      <c r="D9659">
        <v>70</v>
      </c>
      <c r="E9659" t="s">
        <v>355</v>
      </c>
    </row>
    <row r="9660" spans="1:5" x14ac:dyDescent="0.35">
      <c r="A9660">
        <v>2019</v>
      </c>
      <c r="B9660" t="s">
        <v>34</v>
      </c>
      <c r="C9660" t="s">
        <v>8</v>
      </c>
      <c r="D9660">
        <v>25</v>
      </c>
      <c r="E9660" t="s">
        <v>355</v>
      </c>
    </row>
    <row r="9661" spans="1:5" x14ac:dyDescent="0.35">
      <c r="A9661">
        <v>2019</v>
      </c>
      <c r="B9661" t="s">
        <v>33</v>
      </c>
      <c r="C9661" t="s">
        <v>95</v>
      </c>
      <c r="D9661">
        <v>5</v>
      </c>
      <c r="E9661" t="s">
        <v>355</v>
      </c>
    </row>
    <row r="9662" spans="1:5" x14ac:dyDescent="0.35">
      <c r="A9662">
        <v>2019</v>
      </c>
      <c r="B9662" t="s">
        <v>35</v>
      </c>
      <c r="C9662" t="s">
        <v>94</v>
      </c>
      <c r="D9662">
        <v>39</v>
      </c>
      <c r="E9662" t="s">
        <v>328</v>
      </c>
    </row>
    <row r="9663" spans="1:5" x14ac:dyDescent="0.35">
      <c r="A9663">
        <v>2019</v>
      </c>
      <c r="B9663" t="s">
        <v>35</v>
      </c>
      <c r="C9663" t="s">
        <v>94</v>
      </c>
      <c r="D9663">
        <v>44</v>
      </c>
      <c r="E9663" t="s">
        <v>355</v>
      </c>
    </row>
    <row r="9664" spans="1:5" x14ac:dyDescent="0.35">
      <c r="A9664">
        <v>2019</v>
      </c>
      <c r="B9664" t="s">
        <v>37</v>
      </c>
      <c r="C9664" t="s">
        <v>92</v>
      </c>
      <c r="E9664" t="s">
        <v>328</v>
      </c>
    </row>
    <row r="9665" spans="1:5" x14ac:dyDescent="0.35">
      <c r="A9665">
        <v>2019</v>
      </c>
      <c r="B9665" t="s">
        <v>37</v>
      </c>
      <c r="C9665" t="s">
        <v>92</v>
      </c>
      <c r="E9665" t="s">
        <v>355</v>
      </c>
    </row>
    <row r="9666" spans="1:5" x14ac:dyDescent="0.35">
      <c r="A9666">
        <v>2019</v>
      </c>
      <c r="B9666" t="s">
        <v>33</v>
      </c>
      <c r="C9666" t="s">
        <v>91</v>
      </c>
      <c r="D9666">
        <v>18</v>
      </c>
      <c r="E9666" t="s">
        <v>328</v>
      </c>
    </row>
    <row r="9667" spans="1:5" x14ac:dyDescent="0.35">
      <c r="A9667">
        <v>2019</v>
      </c>
      <c r="B9667" t="s">
        <v>33</v>
      </c>
      <c r="C9667" t="s">
        <v>91</v>
      </c>
      <c r="D9667">
        <v>27</v>
      </c>
      <c r="E9667" t="s">
        <v>355</v>
      </c>
    </row>
    <row r="9668" spans="1:5" x14ac:dyDescent="0.35">
      <c r="A9668">
        <v>2019</v>
      </c>
      <c r="B9668" t="s">
        <v>33</v>
      </c>
      <c r="C9668" t="s">
        <v>95</v>
      </c>
      <c r="D9668">
        <v>3</v>
      </c>
      <c r="E9668" t="s">
        <v>328</v>
      </c>
    </row>
    <row r="9669" spans="1:5" x14ac:dyDescent="0.35">
      <c r="A9669">
        <v>2020</v>
      </c>
      <c r="B9669" t="s">
        <v>36</v>
      </c>
      <c r="C9669" t="s">
        <v>164</v>
      </c>
      <c r="D9669">
        <v>42</v>
      </c>
      <c r="E9669" t="s">
        <v>466</v>
      </c>
    </row>
    <row r="9670" spans="1:5" x14ac:dyDescent="0.35">
      <c r="A9670">
        <v>2020</v>
      </c>
      <c r="B9670" t="s">
        <v>35</v>
      </c>
      <c r="C9670" t="s">
        <v>173</v>
      </c>
      <c r="D9670">
        <v>3</v>
      </c>
      <c r="E9670" t="s">
        <v>467</v>
      </c>
    </row>
    <row r="9671" spans="1:5" x14ac:dyDescent="0.35">
      <c r="A9671">
        <v>2020</v>
      </c>
      <c r="B9671" t="s">
        <v>35</v>
      </c>
      <c r="C9671" t="s">
        <v>322</v>
      </c>
      <c r="D9671">
        <v>24</v>
      </c>
      <c r="E9671" t="s">
        <v>466</v>
      </c>
    </row>
    <row r="9672" spans="1:5" x14ac:dyDescent="0.35">
      <c r="A9672">
        <v>2020</v>
      </c>
      <c r="B9672" t="s">
        <v>35</v>
      </c>
      <c r="C9672" t="s">
        <v>150</v>
      </c>
      <c r="E9672" t="s">
        <v>355</v>
      </c>
    </row>
    <row r="9673" spans="1:5" x14ac:dyDescent="0.35">
      <c r="A9673">
        <v>2020</v>
      </c>
      <c r="B9673" t="s">
        <v>35</v>
      </c>
      <c r="C9673" t="s">
        <v>150</v>
      </c>
      <c r="D9673">
        <v>41</v>
      </c>
      <c r="E9673" t="s">
        <v>466</v>
      </c>
    </row>
    <row r="9674" spans="1:5" x14ac:dyDescent="0.35">
      <c r="A9674">
        <v>2020</v>
      </c>
      <c r="B9674" t="s">
        <v>36</v>
      </c>
      <c r="C9674" t="s">
        <v>164</v>
      </c>
      <c r="D9674">
        <v>8</v>
      </c>
      <c r="E9674" t="s">
        <v>467</v>
      </c>
    </row>
    <row r="9675" spans="1:5" x14ac:dyDescent="0.35">
      <c r="A9675">
        <v>2020</v>
      </c>
      <c r="B9675" t="s">
        <v>34</v>
      </c>
      <c r="C9675" t="s">
        <v>151</v>
      </c>
      <c r="D9675">
        <v>6</v>
      </c>
      <c r="E9675" t="s">
        <v>466</v>
      </c>
    </row>
    <row r="9676" spans="1:5" x14ac:dyDescent="0.35">
      <c r="A9676">
        <v>2020</v>
      </c>
      <c r="B9676" t="s">
        <v>36</v>
      </c>
      <c r="C9676" t="s">
        <v>154</v>
      </c>
      <c r="D9676">
        <v>57</v>
      </c>
      <c r="E9676" t="s">
        <v>355</v>
      </c>
    </row>
    <row r="9677" spans="1:5" x14ac:dyDescent="0.35">
      <c r="A9677">
        <v>2020</v>
      </c>
      <c r="B9677" t="s">
        <v>34</v>
      </c>
      <c r="C9677" t="s">
        <v>152</v>
      </c>
      <c r="D9677">
        <v>557</v>
      </c>
      <c r="E9677" t="s">
        <v>466</v>
      </c>
    </row>
    <row r="9678" spans="1:5" x14ac:dyDescent="0.35">
      <c r="A9678">
        <v>2020</v>
      </c>
      <c r="B9678" t="s">
        <v>36</v>
      </c>
      <c r="C9678" t="s">
        <v>165</v>
      </c>
      <c r="D9678">
        <v>6</v>
      </c>
      <c r="E9678" t="s">
        <v>467</v>
      </c>
    </row>
    <row r="9679" spans="1:5" x14ac:dyDescent="0.35">
      <c r="A9679">
        <v>2020</v>
      </c>
      <c r="B9679" t="s">
        <v>37</v>
      </c>
      <c r="C9679" t="s">
        <v>153</v>
      </c>
      <c r="D9679">
        <v>11</v>
      </c>
      <c r="E9679" t="s">
        <v>466</v>
      </c>
    </row>
    <row r="9680" spans="1:5" x14ac:dyDescent="0.35">
      <c r="A9680">
        <v>2020</v>
      </c>
      <c r="B9680" t="s">
        <v>37</v>
      </c>
      <c r="C9680" t="s">
        <v>153</v>
      </c>
      <c r="D9680">
        <v>4</v>
      </c>
      <c r="E9680" t="s">
        <v>355</v>
      </c>
    </row>
    <row r="9681" spans="1:5" x14ac:dyDescent="0.35">
      <c r="A9681">
        <v>2020</v>
      </c>
      <c r="B9681" t="s">
        <v>36</v>
      </c>
      <c r="C9681" t="s">
        <v>154</v>
      </c>
      <c r="D9681">
        <v>131</v>
      </c>
      <c r="E9681" t="s">
        <v>466</v>
      </c>
    </row>
    <row r="9682" spans="1:5" x14ac:dyDescent="0.35">
      <c r="A9682">
        <v>2020</v>
      </c>
      <c r="B9682" t="s">
        <v>37</v>
      </c>
      <c r="C9682" t="s">
        <v>166</v>
      </c>
      <c r="D9682">
        <v>11</v>
      </c>
      <c r="E9682" t="s">
        <v>467</v>
      </c>
    </row>
    <row r="9683" spans="1:5" x14ac:dyDescent="0.35">
      <c r="A9683">
        <v>2020</v>
      </c>
      <c r="B9683" t="s">
        <v>38</v>
      </c>
      <c r="C9683" t="s">
        <v>155</v>
      </c>
      <c r="D9683">
        <v>66</v>
      </c>
      <c r="E9683" t="s">
        <v>466</v>
      </c>
    </row>
    <row r="9684" spans="1:5" x14ac:dyDescent="0.35">
      <c r="A9684">
        <v>2020</v>
      </c>
      <c r="B9684" t="s">
        <v>34</v>
      </c>
      <c r="C9684" t="s">
        <v>152</v>
      </c>
      <c r="D9684">
        <v>99</v>
      </c>
      <c r="E9684" t="s">
        <v>328</v>
      </c>
    </row>
    <row r="9685" spans="1:5" x14ac:dyDescent="0.35">
      <c r="A9685">
        <v>2020</v>
      </c>
      <c r="B9685" t="s">
        <v>34</v>
      </c>
      <c r="C9685" t="s">
        <v>18</v>
      </c>
      <c r="D9685">
        <v>787</v>
      </c>
      <c r="E9685" t="s">
        <v>466</v>
      </c>
    </row>
    <row r="9686" spans="1:5" x14ac:dyDescent="0.35">
      <c r="A9686">
        <v>2020</v>
      </c>
      <c r="B9686" t="s">
        <v>34</v>
      </c>
      <c r="C9686" t="s">
        <v>167</v>
      </c>
      <c r="D9686">
        <v>69</v>
      </c>
      <c r="E9686" t="s">
        <v>467</v>
      </c>
    </row>
    <row r="9687" spans="1:5" x14ac:dyDescent="0.35">
      <c r="A9687">
        <v>2020</v>
      </c>
      <c r="B9687" t="s">
        <v>35</v>
      </c>
      <c r="C9687" t="s">
        <v>157</v>
      </c>
      <c r="D9687">
        <v>393</v>
      </c>
      <c r="E9687" t="s">
        <v>466</v>
      </c>
    </row>
    <row r="9688" spans="1:5" x14ac:dyDescent="0.35">
      <c r="A9688">
        <v>2020</v>
      </c>
      <c r="B9688" t="s">
        <v>34</v>
      </c>
      <c r="C9688" t="s">
        <v>152</v>
      </c>
      <c r="D9688">
        <v>145</v>
      </c>
      <c r="E9688" t="s">
        <v>355</v>
      </c>
    </row>
    <row r="9689" spans="1:5" x14ac:dyDescent="0.35">
      <c r="A9689">
        <v>2020</v>
      </c>
      <c r="B9689" t="s">
        <v>35</v>
      </c>
      <c r="C9689" t="s">
        <v>158</v>
      </c>
      <c r="D9689">
        <v>205</v>
      </c>
      <c r="E9689" t="s">
        <v>466</v>
      </c>
    </row>
    <row r="9690" spans="1:5" x14ac:dyDescent="0.35">
      <c r="A9690">
        <v>2020</v>
      </c>
      <c r="B9690" t="s">
        <v>34</v>
      </c>
      <c r="C9690" t="s">
        <v>171</v>
      </c>
      <c r="D9690">
        <v>26</v>
      </c>
      <c r="E9690" t="s">
        <v>467</v>
      </c>
    </row>
    <row r="9691" spans="1:5" x14ac:dyDescent="0.35">
      <c r="A9691">
        <v>2020</v>
      </c>
      <c r="B9691" t="s">
        <v>35</v>
      </c>
      <c r="C9691" t="s">
        <v>160</v>
      </c>
      <c r="D9691">
        <v>774</v>
      </c>
      <c r="E9691" t="s">
        <v>466</v>
      </c>
    </row>
    <row r="9692" spans="1:5" x14ac:dyDescent="0.35">
      <c r="A9692">
        <v>2020</v>
      </c>
      <c r="B9692" t="s">
        <v>35</v>
      </c>
      <c r="C9692" t="s">
        <v>150</v>
      </c>
      <c r="E9692" t="s">
        <v>328</v>
      </c>
    </row>
    <row r="9693" spans="1:5" x14ac:dyDescent="0.35">
      <c r="A9693">
        <v>2020</v>
      </c>
      <c r="B9693" t="s">
        <v>35</v>
      </c>
      <c r="C9693" t="s">
        <v>161</v>
      </c>
      <c r="D9693">
        <v>885</v>
      </c>
      <c r="E9693" t="s">
        <v>466</v>
      </c>
    </row>
    <row r="9694" spans="1:5" x14ac:dyDescent="0.35">
      <c r="A9694">
        <v>2020</v>
      </c>
      <c r="B9694" t="s">
        <v>35</v>
      </c>
      <c r="C9694" t="s">
        <v>169</v>
      </c>
      <c r="D9694">
        <v>19</v>
      </c>
      <c r="E9694" t="s">
        <v>467</v>
      </c>
    </row>
    <row r="9695" spans="1:5" x14ac:dyDescent="0.35">
      <c r="A9695">
        <v>2020</v>
      </c>
      <c r="B9695" t="s">
        <v>33</v>
      </c>
      <c r="C9695" t="s">
        <v>162</v>
      </c>
      <c r="D9695">
        <v>45</v>
      </c>
      <c r="E9695" t="s">
        <v>466</v>
      </c>
    </row>
    <row r="9696" spans="1:5" x14ac:dyDescent="0.35">
      <c r="A9696">
        <v>2020</v>
      </c>
      <c r="B9696" t="s">
        <v>35</v>
      </c>
      <c r="C9696" t="s">
        <v>322</v>
      </c>
      <c r="D9696">
        <v>5</v>
      </c>
      <c r="E9696" t="s">
        <v>328</v>
      </c>
    </row>
    <row r="9697" spans="1:5" x14ac:dyDescent="0.35">
      <c r="A9697">
        <v>2020</v>
      </c>
      <c r="B9697" t="s">
        <v>36</v>
      </c>
      <c r="C9697" t="s">
        <v>163</v>
      </c>
      <c r="D9697">
        <v>13</v>
      </c>
      <c r="E9697" t="s">
        <v>466</v>
      </c>
    </row>
    <row r="9698" spans="1:5" x14ac:dyDescent="0.35">
      <c r="A9698">
        <v>2020</v>
      </c>
      <c r="B9698" t="s">
        <v>33</v>
      </c>
      <c r="C9698" t="s">
        <v>170</v>
      </c>
      <c r="D9698">
        <v>5</v>
      </c>
      <c r="E9698" t="s">
        <v>467</v>
      </c>
    </row>
    <row r="9699" spans="1:5" x14ac:dyDescent="0.35">
      <c r="A9699">
        <v>2020</v>
      </c>
      <c r="B9699" t="s">
        <v>33</v>
      </c>
      <c r="C9699" t="s">
        <v>149</v>
      </c>
      <c r="D9699">
        <v>832</v>
      </c>
      <c r="E9699" t="s">
        <v>466</v>
      </c>
    </row>
    <row r="9700" spans="1:5" x14ac:dyDescent="0.35">
      <c r="A9700">
        <v>2020</v>
      </c>
      <c r="B9700" t="s">
        <v>37</v>
      </c>
      <c r="C9700" t="s">
        <v>146</v>
      </c>
      <c r="E9700" t="s">
        <v>328</v>
      </c>
    </row>
    <row r="9701" spans="1:5" x14ac:dyDescent="0.35">
      <c r="A9701">
        <v>2020</v>
      </c>
      <c r="B9701" t="s">
        <v>38</v>
      </c>
      <c r="C9701" t="s">
        <v>156</v>
      </c>
      <c r="D9701">
        <v>1120</v>
      </c>
      <c r="E9701" t="s">
        <v>466</v>
      </c>
    </row>
    <row r="9702" spans="1:5" x14ac:dyDescent="0.35">
      <c r="A9702">
        <v>2020</v>
      </c>
      <c r="B9702" t="s">
        <v>35</v>
      </c>
      <c r="C9702" t="s">
        <v>172</v>
      </c>
      <c r="D9702">
        <v>29</v>
      </c>
      <c r="E9702" t="s">
        <v>467</v>
      </c>
    </row>
    <row r="9703" spans="1:5" x14ac:dyDescent="0.35">
      <c r="A9703">
        <v>2020</v>
      </c>
      <c r="B9703" t="s">
        <v>34</v>
      </c>
      <c r="C9703" t="s">
        <v>159</v>
      </c>
      <c r="D9703">
        <v>6</v>
      </c>
      <c r="E9703" t="s">
        <v>466</v>
      </c>
    </row>
    <row r="9704" spans="1:5" x14ac:dyDescent="0.35">
      <c r="A9704">
        <v>2020</v>
      </c>
      <c r="B9704" t="s">
        <v>33</v>
      </c>
      <c r="C9704" t="s">
        <v>149</v>
      </c>
      <c r="D9704">
        <v>63</v>
      </c>
      <c r="E9704" t="s">
        <v>328</v>
      </c>
    </row>
    <row r="9705" spans="1:5" x14ac:dyDescent="0.35">
      <c r="A9705">
        <v>2020</v>
      </c>
      <c r="B9705" t="s">
        <v>34</v>
      </c>
      <c r="C9705" t="s">
        <v>139</v>
      </c>
      <c r="D9705">
        <v>72</v>
      </c>
      <c r="E9705" t="s">
        <v>466</v>
      </c>
    </row>
    <row r="9706" spans="1:5" x14ac:dyDescent="0.35">
      <c r="A9706">
        <v>2020</v>
      </c>
      <c r="B9706" t="s">
        <v>36</v>
      </c>
      <c r="C9706" t="s">
        <v>163</v>
      </c>
      <c r="D9706">
        <v>5</v>
      </c>
      <c r="E9706" t="s">
        <v>467</v>
      </c>
    </row>
    <row r="9707" spans="1:5" x14ac:dyDescent="0.35">
      <c r="A9707">
        <v>2020</v>
      </c>
      <c r="B9707" t="s">
        <v>36</v>
      </c>
      <c r="C9707" t="s">
        <v>147</v>
      </c>
      <c r="D9707">
        <v>3123</v>
      </c>
      <c r="E9707" t="s">
        <v>466</v>
      </c>
    </row>
    <row r="9708" spans="1:5" x14ac:dyDescent="0.35">
      <c r="A9708">
        <v>2020</v>
      </c>
      <c r="B9708" t="s">
        <v>33</v>
      </c>
      <c r="C9708" t="s">
        <v>149</v>
      </c>
      <c r="D9708">
        <v>175</v>
      </c>
      <c r="E9708" t="s">
        <v>355</v>
      </c>
    </row>
    <row r="9709" spans="1:5" x14ac:dyDescent="0.35">
      <c r="A9709">
        <v>2020</v>
      </c>
      <c r="B9709" t="s">
        <v>33</v>
      </c>
      <c r="C9709" t="s">
        <v>129</v>
      </c>
      <c r="D9709">
        <v>7</v>
      </c>
      <c r="E9709" t="s">
        <v>466</v>
      </c>
    </row>
    <row r="9710" spans="1:5" x14ac:dyDescent="0.35">
      <c r="A9710">
        <v>2020</v>
      </c>
      <c r="B9710" t="s">
        <v>33</v>
      </c>
      <c r="C9710" t="s">
        <v>168</v>
      </c>
      <c r="D9710">
        <v>16</v>
      </c>
      <c r="E9710" t="s">
        <v>467</v>
      </c>
    </row>
    <row r="9711" spans="1:5" x14ac:dyDescent="0.35">
      <c r="A9711">
        <v>2020</v>
      </c>
      <c r="B9711" t="s">
        <v>33</v>
      </c>
      <c r="C9711" t="s">
        <v>130</v>
      </c>
      <c r="D9711">
        <v>4</v>
      </c>
      <c r="E9711" t="s">
        <v>466</v>
      </c>
    </row>
    <row r="9712" spans="1:5" x14ac:dyDescent="0.35">
      <c r="A9712">
        <v>2020</v>
      </c>
      <c r="B9712" t="s">
        <v>33</v>
      </c>
      <c r="C9712" t="s">
        <v>148</v>
      </c>
      <c r="E9712" t="s">
        <v>328</v>
      </c>
    </row>
    <row r="9713" spans="1:5" x14ac:dyDescent="0.35">
      <c r="A9713">
        <v>2020</v>
      </c>
      <c r="B9713" t="s">
        <v>34</v>
      </c>
      <c r="C9713" t="s">
        <v>131</v>
      </c>
      <c r="D9713">
        <v>39</v>
      </c>
      <c r="E9713" t="s">
        <v>466</v>
      </c>
    </row>
    <row r="9714" spans="1:5" x14ac:dyDescent="0.35">
      <c r="A9714">
        <v>2020</v>
      </c>
      <c r="B9714" t="s">
        <v>33</v>
      </c>
      <c r="C9714" t="s">
        <v>162</v>
      </c>
      <c r="D9714">
        <v>5</v>
      </c>
      <c r="E9714" t="s">
        <v>467</v>
      </c>
    </row>
    <row r="9715" spans="1:5" x14ac:dyDescent="0.35">
      <c r="A9715">
        <v>2020</v>
      </c>
      <c r="B9715" t="s">
        <v>33</v>
      </c>
      <c r="C9715" t="s">
        <v>132</v>
      </c>
      <c r="D9715">
        <v>62</v>
      </c>
      <c r="E9715" t="s">
        <v>466</v>
      </c>
    </row>
    <row r="9716" spans="1:5" x14ac:dyDescent="0.35">
      <c r="A9716">
        <v>2020</v>
      </c>
      <c r="B9716" t="s">
        <v>33</v>
      </c>
      <c r="C9716" t="s">
        <v>148</v>
      </c>
      <c r="E9716" t="s">
        <v>355</v>
      </c>
    </row>
    <row r="9717" spans="1:5" x14ac:dyDescent="0.35">
      <c r="A9717">
        <v>2020</v>
      </c>
      <c r="B9717" t="s">
        <v>35</v>
      </c>
      <c r="C9717" t="s">
        <v>133</v>
      </c>
      <c r="E9717" t="s">
        <v>466</v>
      </c>
    </row>
    <row r="9718" spans="1:5" x14ac:dyDescent="0.35">
      <c r="A9718">
        <v>2020</v>
      </c>
      <c r="B9718" t="s">
        <v>34</v>
      </c>
      <c r="C9718" t="s">
        <v>152</v>
      </c>
      <c r="D9718">
        <v>195</v>
      </c>
      <c r="E9718" t="s">
        <v>467</v>
      </c>
    </row>
    <row r="9719" spans="1:5" x14ac:dyDescent="0.35">
      <c r="A9719">
        <v>2020</v>
      </c>
      <c r="B9719" t="s">
        <v>37</v>
      </c>
      <c r="C9719" t="s">
        <v>134</v>
      </c>
      <c r="D9719">
        <v>47</v>
      </c>
      <c r="E9719" t="s">
        <v>466</v>
      </c>
    </row>
    <row r="9720" spans="1:5" x14ac:dyDescent="0.35">
      <c r="A9720">
        <v>2020</v>
      </c>
      <c r="B9720" t="s">
        <v>36</v>
      </c>
      <c r="C9720" t="s">
        <v>147</v>
      </c>
      <c r="D9720">
        <v>832</v>
      </c>
      <c r="E9720" t="s">
        <v>328</v>
      </c>
    </row>
    <row r="9721" spans="1:5" x14ac:dyDescent="0.35">
      <c r="A9721">
        <v>2020</v>
      </c>
      <c r="B9721" t="s">
        <v>33</v>
      </c>
      <c r="C9721" t="s">
        <v>135</v>
      </c>
      <c r="D9721">
        <v>87</v>
      </c>
      <c r="E9721" t="s">
        <v>466</v>
      </c>
    </row>
    <row r="9722" spans="1:5" x14ac:dyDescent="0.35">
      <c r="A9722">
        <v>2020</v>
      </c>
      <c r="B9722" t="s">
        <v>35</v>
      </c>
      <c r="C9722" t="s">
        <v>160</v>
      </c>
      <c r="D9722">
        <v>85</v>
      </c>
      <c r="E9722" t="s">
        <v>467</v>
      </c>
    </row>
    <row r="9723" spans="1:5" x14ac:dyDescent="0.35">
      <c r="A9723">
        <v>2020</v>
      </c>
      <c r="B9723" t="s">
        <v>33</v>
      </c>
      <c r="C9723" t="s">
        <v>136</v>
      </c>
      <c r="D9723">
        <v>8</v>
      </c>
      <c r="E9723" t="s">
        <v>466</v>
      </c>
    </row>
    <row r="9724" spans="1:5" x14ac:dyDescent="0.35">
      <c r="A9724">
        <v>2020</v>
      </c>
      <c r="B9724" t="s">
        <v>36</v>
      </c>
      <c r="C9724" t="s">
        <v>147</v>
      </c>
      <c r="D9724">
        <v>625</v>
      </c>
      <c r="E9724" t="s">
        <v>355</v>
      </c>
    </row>
    <row r="9725" spans="1:5" x14ac:dyDescent="0.35">
      <c r="A9725">
        <v>2020</v>
      </c>
      <c r="B9725" t="s">
        <v>33</v>
      </c>
      <c r="C9725" t="s">
        <v>148</v>
      </c>
      <c r="D9725">
        <v>26</v>
      </c>
      <c r="E9725" t="s">
        <v>466</v>
      </c>
    </row>
    <row r="9726" spans="1:5" x14ac:dyDescent="0.35">
      <c r="A9726">
        <v>2020</v>
      </c>
      <c r="B9726" t="s">
        <v>34</v>
      </c>
      <c r="C9726" t="s">
        <v>159</v>
      </c>
      <c r="E9726" t="s">
        <v>467</v>
      </c>
    </row>
    <row r="9727" spans="1:5" x14ac:dyDescent="0.35">
      <c r="A9727">
        <v>2020</v>
      </c>
      <c r="B9727" t="s">
        <v>36</v>
      </c>
      <c r="C9727" t="s">
        <v>14</v>
      </c>
      <c r="D9727">
        <v>362105</v>
      </c>
      <c r="E9727" t="s">
        <v>466</v>
      </c>
    </row>
    <row r="9728" spans="1:5" x14ac:dyDescent="0.35">
      <c r="A9728">
        <v>2020</v>
      </c>
      <c r="B9728" t="s">
        <v>36</v>
      </c>
      <c r="C9728" t="s">
        <v>163</v>
      </c>
      <c r="E9728" t="s">
        <v>328</v>
      </c>
    </row>
    <row r="9729" spans="1:5" x14ac:dyDescent="0.35">
      <c r="A9729">
        <v>2020</v>
      </c>
      <c r="B9729" t="s">
        <v>35</v>
      </c>
      <c r="C9729" t="s">
        <v>138</v>
      </c>
      <c r="D9729">
        <v>67</v>
      </c>
      <c r="E9729" t="s">
        <v>466</v>
      </c>
    </row>
    <row r="9730" spans="1:5" x14ac:dyDescent="0.35">
      <c r="A9730">
        <v>2020</v>
      </c>
      <c r="B9730" t="s">
        <v>35</v>
      </c>
      <c r="C9730" t="s">
        <v>158</v>
      </c>
      <c r="D9730">
        <v>135</v>
      </c>
      <c r="E9730" t="s">
        <v>467</v>
      </c>
    </row>
    <row r="9731" spans="1:5" x14ac:dyDescent="0.35">
      <c r="A9731">
        <v>2020</v>
      </c>
      <c r="B9731" t="s">
        <v>35</v>
      </c>
      <c r="C9731" t="s">
        <v>140</v>
      </c>
      <c r="D9731">
        <v>36</v>
      </c>
      <c r="E9731" t="s">
        <v>466</v>
      </c>
    </row>
    <row r="9732" spans="1:5" x14ac:dyDescent="0.35">
      <c r="A9732">
        <v>2020</v>
      </c>
      <c r="B9732" t="s">
        <v>35</v>
      </c>
      <c r="C9732" t="s">
        <v>322</v>
      </c>
      <c r="D9732">
        <v>7</v>
      </c>
      <c r="E9732" t="s">
        <v>355</v>
      </c>
    </row>
    <row r="9733" spans="1:5" x14ac:dyDescent="0.35">
      <c r="A9733">
        <v>2020</v>
      </c>
      <c r="B9733" t="s">
        <v>33</v>
      </c>
      <c r="C9733" t="s">
        <v>141</v>
      </c>
      <c r="D9733">
        <v>153</v>
      </c>
      <c r="E9733" t="s">
        <v>466</v>
      </c>
    </row>
    <row r="9734" spans="1:5" x14ac:dyDescent="0.35">
      <c r="A9734">
        <v>2020</v>
      </c>
      <c r="B9734" t="s">
        <v>35</v>
      </c>
      <c r="C9734" t="s">
        <v>157</v>
      </c>
      <c r="D9734">
        <v>181</v>
      </c>
      <c r="E9734" t="s">
        <v>467</v>
      </c>
    </row>
    <row r="9735" spans="1:5" x14ac:dyDescent="0.35">
      <c r="A9735">
        <v>2020</v>
      </c>
      <c r="B9735" t="s">
        <v>33</v>
      </c>
      <c r="C9735" t="s">
        <v>142</v>
      </c>
      <c r="E9735" t="s">
        <v>466</v>
      </c>
    </row>
    <row r="9736" spans="1:5" x14ac:dyDescent="0.35">
      <c r="A9736">
        <v>2020</v>
      </c>
      <c r="B9736" t="s">
        <v>36</v>
      </c>
      <c r="C9736" t="s">
        <v>154</v>
      </c>
      <c r="D9736">
        <v>7</v>
      </c>
      <c r="E9736" t="s">
        <v>328</v>
      </c>
    </row>
    <row r="9737" spans="1:5" x14ac:dyDescent="0.35">
      <c r="A9737">
        <v>2020</v>
      </c>
      <c r="B9737" t="s">
        <v>33</v>
      </c>
      <c r="C9737" t="s">
        <v>143</v>
      </c>
      <c r="E9737" t="s">
        <v>466</v>
      </c>
    </row>
    <row r="9738" spans="1:5" x14ac:dyDescent="0.35">
      <c r="A9738">
        <v>2020</v>
      </c>
      <c r="B9738" t="s">
        <v>34</v>
      </c>
      <c r="C9738" t="s">
        <v>18</v>
      </c>
      <c r="D9738">
        <v>254</v>
      </c>
      <c r="E9738" t="s">
        <v>467</v>
      </c>
    </row>
    <row r="9739" spans="1:5" x14ac:dyDescent="0.35">
      <c r="A9739">
        <v>2020</v>
      </c>
      <c r="B9739" t="s">
        <v>34</v>
      </c>
      <c r="C9739" t="s">
        <v>144</v>
      </c>
      <c r="D9739">
        <v>217</v>
      </c>
      <c r="E9739" t="s">
        <v>466</v>
      </c>
    </row>
    <row r="9740" spans="1:5" x14ac:dyDescent="0.35">
      <c r="A9740">
        <v>2020</v>
      </c>
      <c r="B9740" t="s">
        <v>35</v>
      </c>
      <c r="C9740" t="s">
        <v>157</v>
      </c>
      <c r="D9740">
        <v>51</v>
      </c>
      <c r="E9740" t="s">
        <v>328</v>
      </c>
    </row>
    <row r="9741" spans="1:5" x14ac:dyDescent="0.35">
      <c r="A9741">
        <v>2020</v>
      </c>
      <c r="B9741" t="s">
        <v>35</v>
      </c>
      <c r="C9741" t="s">
        <v>145</v>
      </c>
      <c r="D9741">
        <v>187</v>
      </c>
      <c r="E9741" t="s">
        <v>466</v>
      </c>
    </row>
    <row r="9742" spans="1:5" x14ac:dyDescent="0.35">
      <c r="A9742">
        <v>2020</v>
      </c>
      <c r="B9742" t="s">
        <v>38</v>
      </c>
      <c r="C9742" t="s">
        <v>156</v>
      </c>
      <c r="D9742">
        <v>116</v>
      </c>
      <c r="E9742" t="s">
        <v>467</v>
      </c>
    </row>
    <row r="9743" spans="1:5" x14ac:dyDescent="0.35">
      <c r="A9743">
        <v>2020</v>
      </c>
      <c r="B9743" t="s">
        <v>37</v>
      </c>
      <c r="C9743" t="s">
        <v>146</v>
      </c>
      <c r="D9743">
        <v>138</v>
      </c>
      <c r="E9743" t="s">
        <v>466</v>
      </c>
    </row>
    <row r="9744" spans="1:5" x14ac:dyDescent="0.35">
      <c r="A9744">
        <v>2020</v>
      </c>
      <c r="B9744" t="s">
        <v>38</v>
      </c>
      <c r="C9744" t="s">
        <v>155</v>
      </c>
      <c r="E9744" t="s">
        <v>328</v>
      </c>
    </row>
    <row r="9745" spans="1:5" x14ac:dyDescent="0.35">
      <c r="A9745">
        <v>2020</v>
      </c>
      <c r="B9745" t="s">
        <v>37</v>
      </c>
      <c r="C9745" t="s">
        <v>137</v>
      </c>
      <c r="D9745">
        <v>70</v>
      </c>
      <c r="E9745" t="s">
        <v>466</v>
      </c>
    </row>
    <row r="9746" spans="1:5" x14ac:dyDescent="0.35">
      <c r="A9746">
        <v>2020</v>
      </c>
      <c r="B9746" t="s">
        <v>38</v>
      </c>
      <c r="C9746" t="s">
        <v>155</v>
      </c>
      <c r="D9746">
        <v>18</v>
      </c>
      <c r="E9746" t="s">
        <v>467</v>
      </c>
    </row>
    <row r="9747" spans="1:5" x14ac:dyDescent="0.35">
      <c r="A9747">
        <v>2020</v>
      </c>
      <c r="B9747" t="s">
        <v>36</v>
      </c>
      <c r="C9747" t="s">
        <v>165</v>
      </c>
      <c r="D9747">
        <v>22</v>
      </c>
      <c r="E9747" t="s">
        <v>466</v>
      </c>
    </row>
    <row r="9748" spans="1:5" x14ac:dyDescent="0.35">
      <c r="A9748">
        <v>2020</v>
      </c>
      <c r="B9748" t="s">
        <v>37</v>
      </c>
      <c r="C9748" t="s">
        <v>146</v>
      </c>
      <c r="E9748" t="s">
        <v>355</v>
      </c>
    </row>
    <row r="9749" spans="1:5" x14ac:dyDescent="0.35">
      <c r="A9749">
        <v>2020</v>
      </c>
      <c r="B9749" t="s">
        <v>34</v>
      </c>
      <c r="C9749" t="s">
        <v>186</v>
      </c>
      <c r="D9749">
        <v>27</v>
      </c>
      <c r="E9749" t="s">
        <v>466</v>
      </c>
    </row>
    <row r="9750" spans="1:5" x14ac:dyDescent="0.35">
      <c r="A9750">
        <v>2020</v>
      </c>
      <c r="B9750" t="s">
        <v>36</v>
      </c>
      <c r="C9750" t="s">
        <v>154</v>
      </c>
      <c r="D9750">
        <v>15</v>
      </c>
      <c r="E9750" t="s">
        <v>467</v>
      </c>
    </row>
    <row r="9751" spans="1:5" x14ac:dyDescent="0.35">
      <c r="A9751">
        <v>2020</v>
      </c>
      <c r="B9751" t="s">
        <v>34</v>
      </c>
      <c r="C9751" t="s">
        <v>167</v>
      </c>
      <c r="D9751">
        <v>155</v>
      </c>
      <c r="E9751" t="s">
        <v>466</v>
      </c>
    </row>
    <row r="9752" spans="1:5" x14ac:dyDescent="0.35">
      <c r="A9752">
        <v>2020</v>
      </c>
      <c r="B9752" t="s">
        <v>36</v>
      </c>
      <c r="C9752" t="s">
        <v>163</v>
      </c>
      <c r="E9752" t="s">
        <v>355</v>
      </c>
    </row>
    <row r="9753" spans="1:5" x14ac:dyDescent="0.35">
      <c r="A9753">
        <v>2020</v>
      </c>
      <c r="B9753" t="s">
        <v>37</v>
      </c>
      <c r="C9753" t="s">
        <v>190</v>
      </c>
      <c r="D9753">
        <v>46</v>
      </c>
      <c r="E9753" t="s">
        <v>466</v>
      </c>
    </row>
    <row r="9754" spans="1:5" x14ac:dyDescent="0.35">
      <c r="A9754">
        <v>2020</v>
      </c>
      <c r="B9754" t="s">
        <v>35</v>
      </c>
      <c r="C9754" t="s">
        <v>150</v>
      </c>
      <c r="D9754">
        <v>30</v>
      </c>
      <c r="E9754" t="s">
        <v>467</v>
      </c>
    </row>
    <row r="9755" spans="1:5" x14ac:dyDescent="0.35">
      <c r="A9755">
        <v>2020</v>
      </c>
      <c r="B9755" t="s">
        <v>36</v>
      </c>
      <c r="C9755" t="s">
        <v>191</v>
      </c>
      <c r="D9755">
        <v>163</v>
      </c>
      <c r="E9755" t="s">
        <v>466</v>
      </c>
    </row>
    <row r="9756" spans="1:5" x14ac:dyDescent="0.35">
      <c r="A9756">
        <v>2020</v>
      </c>
      <c r="B9756" t="s">
        <v>33</v>
      </c>
      <c r="C9756" t="s">
        <v>162</v>
      </c>
      <c r="D9756">
        <v>3</v>
      </c>
      <c r="E9756" t="s">
        <v>328</v>
      </c>
    </row>
    <row r="9757" spans="1:5" x14ac:dyDescent="0.35">
      <c r="A9757">
        <v>2020</v>
      </c>
      <c r="B9757" t="s">
        <v>33</v>
      </c>
      <c r="C9757" t="s">
        <v>192</v>
      </c>
      <c r="D9757">
        <v>89</v>
      </c>
      <c r="E9757" t="s">
        <v>466</v>
      </c>
    </row>
    <row r="9758" spans="1:5" x14ac:dyDescent="0.35">
      <c r="A9758">
        <v>2020</v>
      </c>
      <c r="B9758" t="s">
        <v>34</v>
      </c>
      <c r="C9758" t="s">
        <v>151</v>
      </c>
      <c r="D9758">
        <v>4</v>
      </c>
      <c r="E9758" t="s">
        <v>467</v>
      </c>
    </row>
    <row r="9759" spans="1:5" x14ac:dyDescent="0.35">
      <c r="A9759">
        <v>2020</v>
      </c>
      <c r="B9759" t="s">
        <v>34</v>
      </c>
      <c r="C9759" t="s">
        <v>193</v>
      </c>
      <c r="D9759">
        <v>385</v>
      </c>
      <c r="E9759" t="s">
        <v>466</v>
      </c>
    </row>
    <row r="9760" spans="1:5" x14ac:dyDescent="0.35">
      <c r="A9760">
        <v>2020</v>
      </c>
      <c r="B9760" t="s">
        <v>33</v>
      </c>
      <c r="C9760" t="s">
        <v>162</v>
      </c>
      <c r="D9760">
        <v>6</v>
      </c>
      <c r="E9760" t="s">
        <v>355</v>
      </c>
    </row>
    <row r="9761" spans="1:5" x14ac:dyDescent="0.35">
      <c r="A9761">
        <v>2020</v>
      </c>
      <c r="B9761" t="s">
        <v>34</v>
      </c>
      <c r="C9761" t="s">
        <v>194</v>
      </c>
      <c r="E9761" t="s">
        <v>466</v>
      </c>
    </row>
    <row r="9762" spans="1:5" x14ac:dyDescent="0.35">
      <c r="A9762">
        <v>2020</v>
      </c>
      <c r="B9762" t="s">
        <v>33</v>
      </c>
      <c r="C9762" t="s">
        <v>174</v>
      </c>
      <c r="D9762">
        <v>9</v>
      </c>
      <c r="E9762" t="s">
        <v>467</v>
      </c>
    </row>
    <row r="9763" spans="1:5" x14ac:dyDescent="0.35">
      <c r="A9763">
        <v>2020</v>
      </c>
      <c r="B9763" t="s">
        <v>33</v>
      </c>
      <c r="C9763" t="s">
        <v>195</v>
      </c>
      <c r="D9763">
        <v>88</v>
      </c>
      <c r="E9763" t="s">
        <v>466</v>
      </c>
    </row>
    <row r="9764" spans="1:5" x14ac:dyDescent="0.35">
      <c r="A9764">
        <v>2020</v>
      </c>
      <c r="B9764" t="s">
        <v>35</v>
      </c>
      <c r="C9764" t="s">
        <v>161</v>
      </c>
      <c r="D9764">
        <v>72</v>
      </c>
      <c r="E9764" t="s">
        <v>328</v>
      </c>
    </row>
    <row r="9765" spans="1:5" x14ac:dyDescent="0.35">
      <c r="A9765">
        <v>2020</v>
      </c>
      <c r="B9765" t="s">
        <v>35</v>
      </c>
      <c r="C9765" t="s">
        <v>196</v>
      </c>
      <c r="D9765">
        <v>327</v>
      </c>
      <c r="E9765" t="s">
        <v>466</v>
      </c>
    </row>
    <row r="9766" spans="1:5" x14ac:dyDescent="0.35">
      <c r="A9766">
        <v>2020</v>
      </c>
      <c r="B9766" t="s">
        <v>35</v>
      </c>
      <c r="C9766" t="s">
        <v>161</v>
      </c>
      <c r="D9766">
        <v>149</v>
      </c>
      <c r="E9766" t="s">
        <v>467</v>
      </c>
    </row>
    <row r="9767" spans="1:5" x14ac:dyDescent="0.35">
      <c r="A9767">
        <v>2020</v>
      </c>
      <c r="B9767" t="s">
        <v>34</v>
      </c>
      <c r="C9767" t="s">
        <v>197</v>
      </c>
      <c r="D9767">
        <v>19</v>
      </c>
      <c r="E9767" t="s">
        <v>466</v>
      </c>
    </row>
    <row r="9768" spans="1:5" x14ac:dyDescent="0.35">
      <c r="A9768">
        <v>2020</v>
      </c>
      <c r="B9768" t="s">
        <v>35</v>
      </c>
      <c r="C9768" t="s">
        <v>161</v>
      </c>
      <c r="D9768">
        <v>122</v>
      </c>
      <c r="E9768" t="s">
        <v>355</v>
      </c>
    </row>
    <row r="9769" spans="1:5" x14ac:dyDescent="0.35">
      <c r="A9769">
        <v>2020</v>
      </c>
      <c r="B9769" t="s">
        <v>33</v>
      </c>
      <c r="C9769" t="s">
        <v>189</v>
      </c>
      <c r="D9769">
        <v>56</v>
      </c>
      <c r="E9769" t="s">
        <v>466</v>
      </c>
    </row>
    <row r="9770" spans="1:5" x14ac:dyDescent="0.35">
      <c r="A9770">
        <v>2020</v>
      </c>
      <c r="B9770" t="s">
        <v>33</v>
      </c>
      <c r="C9770" t="s">
        <v>175</v>
      </c>
      <c r="D9770">
        <v>47</v>
      </c>
      <c r="E9770" t="s">
        <v>467</v>
      </c>
    </row>
    <row r="9771" spans="1:5" x14ac:dyDescent="0.35">
      <c r="A9771">
        <v>2020</v>
      </c>
      <c r="B9771" t="s">
        <v>35</v>
      </c>
      <c r="C9771" t="s">
        <v>198</v>
      </c>
      <c r="D9771">
        <v>930</v>
      </c>
      <c r="E9771" t="s">
        <v>466</v>
      </c>
    </row>
    <row r="9772" spans="1:5" x14ac:dyDescent="0.35">
      <c r="A9772">
        <v>2020</v>
      </c>
      <c r="B9772" t="s">
        <v>35</v>
      </c>
      <c r="C9772" t="s">
        <v>160</v>
      </c>
      <c r="D9772">
        <v>122</v>
      </c>
      <c r="E9772" t="s">
        <v>328</v>
      </c>
    </row>
    <row r="9773" spans="1:5" x14ac:dyDescent="0.35">
      <c r="A9773">
        <v>2020</v>
      </c>
      <c r="B9773" t="s">
        <v>38</v>
      </c>
      <c r="C9773" t="s">
        <v>199</v>
      </c>
      <c r="D9773">
        <v>60</v>
      </c>
      <c r="E9773" t="s">
        <v>466</v>
      </c>
    </row>
    <row r="9774" spans="1:5" x14ac:dyDescent="0.35">
      <c r="A9774">
        <v>2020</v>
      </c>
      <c r="B9774" t="s">
        <v>33</v>
      </c>
      <c r="C9774" t="s">
        <v>203</v>
      </c>
      <c r="D9774">
        <v>4</v>
      </c>
      <c r="E9774" t="s">
        <v>467</v>
      </c>
    </row>
    <row r="9775" spans="1:5" x14ac:dyDescent="0.35">
      <c r="A9775">
        <v>2020</v>
      </c>
      <c r="B9775" t="s">
        <v>34</v>
      </c>
      <c r="C9775" t="s">
        <v>200</v>
      </c>
      <c r="D9775">
        <v>302</v>
      </c>
      <c r="E9775" t="s">
        <v>466</v>
      </c>
    </row>
    <row r="9776" spans="1:5" x14ac:dyDescent="0.35">
      <c r="A9776">
        <v>2020</v>
      </c>
      <c r="B9776" t="s">
        <v>35</v>
      </c>
      <c r="C9776" t="s">
        <v>160</v>
      </c>
      <c r="D9776">
        <v>156</v>
      </c>
      <c r="E9776" t="s">
        <v>355</v>
      </c>
    </row>
    <row r="9777" spans="1:5" x14ac:dyDescent="0.35">
      <c r="A9777">
        <v>2020</v>
      </c>
      <c r="B9777" t="s">
        <v>38</v>
      </c>
      <c r="C9777" t="s">
        <v>19</v>
      </c>
      <c r="D9777">
        <v>4265</v>
      </c>
      <c r="E9777" t="s">
        <v>466</v>
      </c>
    </row>
    <row r="9778" spans="1:5" x14ac:dyDescent="0.35">
      <c r="A9778">
        <v>2020</v>
      </c>
      <c r="B9778" t="s">
        <v>34</v>
      </c>
      <c r="C9778" t="s">
        <v>178</v>
      </c>
      <c r="D9778">
        <v>29</v>
      </c>
      <c r="E9778" t="s">
        <v>467</v>
      </c>
    </row>
    <row r="9779" spans="1:5" x14ac:dyDescent="0.35">
      <c r="A9779">
        <v>2020</v>
      </c>
      <c r="B9779" t="s">
        <v>34</v>
      </c>
      <c r="C9779" t="s">
        <v>201</v>
      </c>
      <c r="D9779">
        <v>717</v>
      </c>
      <c r="E9779" t="s">
        <v>466</v>
      </c>
    </row>
    <row r="9780" spans="1:5" x14ac:dyDescent="0.35">
      <c r="A9780">
        <v>2020</v>
      </c>
      <c r="B9780" t="s">
        <v>35</v>
      </c>
      <c r="C9780" t="s">
        <v>158</v>
      </c>
      <c r="D9780">
        <v>30</v>
      </c>
      <c r="E9780" t="s">
        <v>328</v>
      </c>
    </row>
    <row r="9781" spans="1:5" x14ac:dyDescent="0.35">
      <c r="A9781">
        <v>2020</v>
      </c>
      <c r="B9781" t="s">
        <v>34</v>
      </c>
      <c r="C9781" t="s">
        <v>202</v>
      </c>
      <c r="D9781">
        <v>66</v>
      </c>
      <c r="E9781" t="s">
        <v>466</v>
      </c>
    </row>
    <row r="9782" spans="1:5" x14ac:dyDescent="0.35">
      <c r="A9782">
        <v>2020</v>
      </c>
      <c r="B9782" t="s">
        <v>35</v>
      </c>
      <c r="C9782" t="s">
        <v>322</v>
      </c>
      <c r="D9782">
        <v>7</v>
      </c>
      <c r="E9782" t="s">
        <v>467</v>
      </c>
    </row>
    <row r="9783" spans="1:5" x14ac:dyDescent="0.35">
      <c r="A9783">
        <v>2020</v>
      </c>
      <c r="B9783" t="s">
        <v>33</v>
      </c>
      <c r="C9783" t="s">
        <v>203</v>
      </c>
      <c r="D9783">
        <v>38</v>
      </c>
      <c r="E9783" t="s">
        <v>466</v>
      </c>
    </row>
    <row r="9784" spans="1:5" x14ac:dyDescent="0.35">
      <c r="A9784">
        <v>2020</v>
      </c>
      <c r="B9784" t="s">
        <v>35</v>
      </c>
      <c r="C9784" t="s">
        <v>158</v>
      </c>
      <c r="D9784">
        <v>12</v>
      </c>
      <c r="E9784" t="s">
        <v>355</v>
      </c>
    </row>
    <row r="9785" spans="1:5" x14ac:dyDescent="0.35">
      <c r="A9785">
        <v>2020</v>
      </c>
      <c r="B9785" t="s">
        <v>33</v>
      </c>
      <c r="C9785" t="s">
        <v>204</v>
      </c>
      <c r="D9785">
        <v>26</v>
      </c>
      <c r="E9785" t="s">
        <v>466</v>
      </c>
    </row>
    <row r="9786" spans="1:5" x14ac:dyDescent="0.35">
      <c r="A9786">
        <v>2020</v>
      </c>
      <c r="B9786" t="s">
        <v>39</v>
      </c>
      <c r="C9786" t="s">
        <v>39</v>
      </c>
      <c r="D9786">
        <v>15</v>
      </c>
      <c r="E9786" t="s">
        <v>467</v>
      </c>
    </row>
    <row r="9787" spans="1:5" x14ac:dyDescent="0.35">
      <c r="A9787">
        <v>2020</v>
      </c>
      <c r="B9787" t="s">
        <v>35</v>
      </c>
      <c r="C9787" t="s">
        <v>128</v>
      </c>
      <c r="D9787">
        <v>5</v>
      </c>
      <c r="E9787" t="s">
        <v>466</v>
      </c>
    </row>
    <row r="9788" spans="1:5" x14ac:dyDescent="0.35">
      <c r="A9788">
        <v>2020</v>
      </c>
      <c r="B9788" t="s">
        <v>35</v>
      </c>
      <c r="C9788" t="s">
        <v>157</v>
      </c>
      <c r="D9788">
        <v>91</v>
      </c>
      <c r="E9788" t="s">
        <v>355</v>
      </c>
    </row>
    <row r="9789" spans="1:5" x14ac:dyDescent="0.35">
      <c r="A9789">
        <v>2020</v>
      </c>
      <c r="B9789" t="s">
        <v>39</v>
      </c>
      <c r="C9789" t="s">
        <v>39</v>
      </c>
      <c r="D9789">
        <v>1304</v>
      </c>
      <c r="E9789" t="s">
        <v>466</v>
      </c>
    </row>
    <row r="9790" spans="1:5" x14ac:dyDescent="0.35">
      <c r="A9790">
        <v>2020</v>
      </c>
      <c r="C9790" t="s">
        <v>373</v>
      </c>
      <c r="D9790">
        <v>35</v>
      </c>
      <c r="E9790" t="s">
        <v>467</v>
      </c>
    </row>
    <row r="9791" spans="1:5" x14ac:dyDescent="0.35">
      <c r="A9791">
        <v>2020</v>
      </c>
      <c r="B9791" t="s">
        <v>37</v>
      </c>
      <c r="C9791" t="s">
        <v>166</v>
      </c>
      <c r="D9791">
        <v>24</v>
      </c>
      <c r="E9791" t="s">
        <v>466</v>
      </c>
    </row>
    <row r="9792" spans="1:5" x14ac:dyDescent="0.35">
      <c r="A9792">
        <v>2020</v>
      </c>
      <c r="B9792" t="s">
        <v>34</v>
      </c>
      <c r="C9792" t="s">
        <v>18</v>
      </c>
      <c r="D9792">
        <v>38</v>
      </c>
      <c r="E9792" t="s">
        <v>328</v>
      </c>
    </row>
    <row r="9793" spans="1:5" x14ac:dyDescent="0.35">
      <c r="A9793">
        <v>2020</v>
      </c>
      <c r="B9793" t="s">
        <v>34</v>
      </c>
      <c r="C9793" t="s">
        <v>188</v>
      </c>
      <c r="D9793">
        <v>202</v>
      </c>
      <c r="E9793" t="s">
        <v>466</v>
      </c>
    </row>
    <row r="9794" spans="1:5" x14ac:dyDescent="0.35">
      <c r="A9794">
        <v>2020</v>
      </c>
      <c r="B9794" t="s">
        <v>33</v>
      </c>
      <c r="C9794" t="s">
        <v>204</v>
      </c>
      <c r="D9794">
        <v>5</v>
      </c>
      <c r="E9794" t="s">
        <v>467</v>
      </c>
    </row>
    <row r="9795" spans="1:5" x14ac:dyDescent="0.35">
      <c r="A9795">
        <v>2020</v>
      </c>
      <c r="B9795" t="s">
        <v>34</v>
      </c>
      <c r="C9795" t="s">
        <v>185</v>
      </c>
      <c r="D9795">
        <v>385</v>
      </c>
      <c r="E9795" t="s">
        <v>466</v>
      </c>
    </row>
    <row r="9796" spans="1:5" x14ac:dyDescent="0.35">
      <c r="A9796">
        <v>2020</v>
      </c>
      <c r="B9796" t="s">
        <v>34</v>
      </c>
      <c r="C9796" t="s">
        <v>18</v>
      </c>
      <c r="D9796">
        <v>285</v>
      </c>
      <c r="E9796" t="s">
        <v>355</v>
      </c>
    </row>
    <row r="9797" spans="1:5" x14ac:dyDescent="0.35">
      <c r="A9797">
        <v>2020</v>
      </c>
      <c r="B9797" t="s">
        <v>33</v>
      </c>
      <c r="C9797" t="s">
        <v>168</v>
      </c>
      <c r="D9797">
        <v>120</v>
      </c>
      <c r="E9797" t="s">
        <v>466</v>
      </c>
    </row>
    <row r="9798" spans="1:5" x14ac:dyDescent="0.35">
      <c r="A9798">
        <v>2020</v>
      </c>
      <c r="B9798" t="s">
        <v>34</v>
      </c>
      <c r="C9798" t="s">
        <v>201</v>
      </c>
      <c r="D9798">
        <v>24</v>
      </c>
      <c r="E9798" t="s">
        <v>467</v>
      </c>
    </row>
    <row r="9799" spans="1:5" x14ac:dyDescent="0.35">
      <c r="A9799">
        <v>2020</v>
      </c>
      <c r="B9799" t="s">
        <v>35</v>
      </c>
      <c r="C9799" t="s">
        <v>169</v>
      </c>
      <c r="D9799">
        <v>56</v>
      </c>
      <c r="E9799" t="s">
        <v>466</v>
      </c>
    </row>
    <row r="9800" spans="1:5" x14ac:dyDescent="0.35">
      <c r="A9800">
        <v>2020</v>
      </c>
      <c r="B9800" t="s">
        <v>38</v>
      </c>
      <c r="C9800" t="s">
        <v>156</v>
      </c>
      <c r="D9800">
        <v>162</v>
      </c>
      <c r="E9800" t="s">
        <v>328</v>
      </c>
    </row>
    <row r="9801" spans="1:5" x14ac:dyDescent="0.35">
      <c r="A9801">
        <v>2020</v>
      </c>
      <c r="B9801" t="s">
        <v>35</v>
      </c>
      <c r="C9801" t="s">
        <v>215</v>
      </c>
      <c r="D9801">
        <v>10</v>
      </c>
      <c r="E9801" t="s">
        <v>466</v>
      </c>
    </row>
    <row r="9802" spans="1:5" x14ac:dyDescent="0.35">
      <c r="A9802">
        <v>2020</v>
      </c>
      <c r="B9802" t="s">
        <v>38</v>
      </c>
      <c r="C9802" t="s">
        <v>19</v>
      </c>
      <c r="D9802">
        <v>235</v>
      </c>
      <c r="E9802" t="s">
        <v>467</v>
      </c>
    </row>
    <row r="9803" spans="1:5" x14ac:dyDescent="0.35">
      <c r="A9803">
        <v>2020</v>
      </c>
      <c r="B9803" t="s">
        <v>33</v>
      </c>
      <c r="C9803" t="s">
        <v>170</v>
      </c>
      <c r="D9803">
        <v>90</v>
      </c>
      <c r="E9803" t="s">
        <v>466</v>
      </c>
    </row>
    <row r="9804" spans="1:5" x14ac:dyDescent="0.35">
      <c r="A9804">
        <v>2020</v>
      </c>
      <c r="B9804" t="s">
        <v>38</v>
      </c>
      <c r="C9804" t="s">
        <v>156</v>
      </c>
      <c r="D9804">
        <v>328</v>
      </c>
      <c r="E9804" t="s">
        <v>355</v>
      </c>
    </row>
    <row r="9805" spans="1:5" x14ac:dyDescent="0.35">
      <c r="A9805">
        <v>2020</v>
      </c>
      <c r="B9805" t="s">
        <v>35</v>
      </c>
      <c r="C9805" t="s">
        <v>172</v>
      </c>
      <c r="D9805">
        <v>50</v>
      </c>
      <c r="E9805" t="s">
        <v>466</v>
      </c>
    </row>
    <row r="9806" spans="1:5" x14ac:dyDescent="0.35">
      <c r="A9806">
        <v>2020</v>
      </c>
      <c r="B9806" t="s">
        <v>34</v>
      </c>
      <c r="C9806" t="s">
        <v>200</v>
      </c>
      <c r="D9806">
        <v>14</v>
      </c>
      <c r="E9806" t="s">
        <v>467</v>
      </c>
    </row>
    <row r="9807" spans="1:5" x14ac:dyDescent="0.35">
      <c r="A9807">
        <v>2020</v>
      </c>
      <c r="B9807" t="s">
        <v>35</v>
      </c>
      <c r="C9807" t="s">
        <v>173</v>
      </c>
      <c r="D9807">
        <v>5</v>
      </c>
      <c r="E9807" t="s">
        <v>466</v>
      </c>
    </row>
    <row r="9808" spans="1:5" x14ac:dyDescent="0.35">
      <c r="A9808">
        <v>2020</v>
      </c>
      <c r="B9808" t="s">
        <v>38</v>
      </c>
      <c r="C9808" t="s">
        <v>155</v>
      </c>
      <c r="E9808" t="s">
        <v>355</v>
      </c>
    </row>
    <row r="9809" spans="1:5" x14ac:dyDescent="0.35">
      <c r="A9809">
        <v>2020</v>
      </c>
      <c r="B9809" t="s">
        <v>33</v>
      </c>
      <c r="C9809" t="s">
        <v>174</v>
      </c>
      <c r="D9809">
        <v>157</v>
      </c>
      <c r="E9809" t="s">
        <v>466</v>
      </c>
    </row>
    <row r="9810" spans="1:5" x14ac:dyDescent="0.35">
      <c r="A9810">
        <v>2020</v>
      </c>
      <c r="B9810" t="s">
        <v>38</v>
      </c>
      <c r="C9810" t="s">
        <v>199</v>
      </c>
      <c r="D9810">
        <v>10</v>
      </c>
      <c r="E9810" t="s">
        <v>467</v>
      </c>
    </row>
    <row r="9811" spans="1:5" x14ac:dyDescent="0.35">
      <c r="A9811">
        <v>2020</v>
      </c>
      <c r="B9811" t="s">
        <v>33</v>
      </c>
      <c r="C9811" t="s">
        <v>175</v>
      </c>
      <c r="D9811">
        <v>122</v>
      </c>
      <c r="E9811" t="s">
        <v>466</v>
      </c>
    </row>
    <row r="9812" spans="1:5" x14ac:dyDescent="0.35">
      <c r="A9812">
        <v>2020</v>
      </c>
      <c r="B9812" t="s">
        <v>35</v>
      </c>
      <c r="C9812" t="s">
        <v>145</v>
      </c>
      <c r="D9812">
        <v>17</v>
      </c>
      <c r="E9812" t="s">
        <v>328</v>
      </c>
    </row>
    <row r="9813" spans="1:5" x14ac:dyDescent="0.35">
      <c r="A9813">
        <v>2020</v>
      </c>
      <c r="B9813" t="s">
        <v>33</v>
      </c>
      <c r="C9813" t="s">
        <v>187</v>
      </c>
      <c r="D9813">
        <v>38</v>
      </c>
      <c r="E9813" t="s">
        <v>466</v>
      </c>
    </row>
    <row r="9814" spans="1:5" x14ac:dyDescent="0.35">
      <c r="A9814">
        <v>2020</v>
      </c>
      <c r="B9814" t="s">
        <v>35</v>
      </c>
      <c r="C9814" t="s">
        <v>198</v>
      </c>
      <c r="D9814">
        <v>694</v>
      </c>
      <c r="E9814" t="s">
        <v>467</v>
      </c>
    </row>
    <row r="9815" spans="1:5" x14ac:dyDescent="0.35">
      <c r="A9815">
        <v>2020</v>
      </c>
      <c r="B9815" t="s">
        <v>33</v>
      </c>
      <c r="C9815" t="s">
        <v>176</v>
      </c>
      <c r="D9815">
        <v>35</v>
      </c>
      <c r="E9815" t="s">
        <v>466</v>
      </c>
    </row>
    <row r="9816" spans="1:5" x14ac:dyDescent="0.35">
      <c r="A9816">
        <v>2020</v>
      </c>
      <c r="B9816" t="s">
        <v>33</v>
      </c>
      <c r="C9816" t="s">
        <v>132</v>
      </c>
      <c r="D9816">
        <v>8</v>
      </c>
      <c r="E9816" t="s">
        <v>328</v>
      </c>
    </row>
    <row r="9817" spans="1:5" x14ac:dyDescent="0.35">
      <c r="A9817">
        <v>2020</v>
      </c>
      <c r="B9817" t="s">
        <v>35</v>
      </c>
      <c r="C9817" t="s">
        <v>177</v>
      </c>
      <c r="D9817">
        <v>1094</v>
      </c>
      <c r="E9817" t="s">
        <v>466</v>
      </c>
    </row>
    <row r="9818" spans="1:5" x14ac:dyDescent="0.35">
      <c r="A9818">
        <v>2020</v>
      </c>
      <c r="B9818" t="s">
        <v>34</v>
      </c>
      <c r="C9818" t="s">
        <v>197</v>
      </c>
      <c r="D9818">
        <v>18</v>
      </c>
      <c r="E9818" t="s">
        <v>467</v>
      </c>
    </row>
    <row r="9819" spans="1:5" x14ac:dyDescent="0.35">
      <c r="A9819">
        <v>2020</v>
      </c>
      <c r="B9819" t="s">
        <v>34</v>
      </c>
      <c r="C9819" t="s">
        <v>178</v>
      </c>
      <c r="D9819">
        <v>296</v>
      </c>
      <c r="E9819" t="s">
        <v>466</v>
      </c>
    </row>
    <row r="9820" spans="1:5" x14ac:dyDescent="0.35">
      <c r="A9820">
        <v>2020</v>
      </c>
      <c r="B9820" t="s">
        <v>34</v>
      </c>
      <c r="C9820" t="s">
        <v>144</v>
      </c>
      <c r="D9820">
        <v>82</v>
      </c>
      <c r="E9820" t="s">
        <v>328</v>
      </c>
    </row>
    <row r="9821" spans="1:5" x14ac:dyDescent="0.35">
      <c r="A9821">
        <v>2020</v>
      </c>
      <c r="B9821" t="s">
        <v>33</v>
      </c>
      <c r="C9821" t="s">
        <v>179</v>
      </c>
      <c r="D9821">
        <v>142</v>
      </c>
      <c r="E9821" t="s">
        <v>466</v>
      </c>
    </row>
    <row r="9822" spans="1:5" x14ac:dyDescent="0.35">
      <c r="A9822">
        <v>2020</v>
      </c>
      <c r="B9822" t="s">
        <v>35</v>
      </c>
      <c r="C9822" t="s">
        <v>196</v>
      </c>
      <c r="D9822">
        <v>80</v>
      </c>
      <c r="E9822" t="s">
        <v>467</v>
      </c>
    </row>
    <row r="9823" spans="1:5" x14ac:dyDescent="0.35">
      <c r="A9823">
        <v>2020</v>
      </c>
      <c r="B9823" t="s">
        <v>38</v>
      </c>
      <c r="C9823" t="s">
        <v>180</v>
      </c>
      <c r="D9823">
        <v>9</v>
      </c>
      <c r="E9823" t="s">
        <v>466</v>
      </c>
    </row>
    <row r="9824" spans="1:5" x14ac:dyDescent="0.35">
      <c r="A9824">
        <v>2020</v>
      </c>
      <c r="B9824" t="s">
        <v>35</v>
      </c>
      <c r="C9824" t="s">
        <v>127</v>
      </c>
      <c r="D9824">
        <v>13</v>
      </c>
      <c r="E9824" t="s">
        <v>355</v>
      </c>
    </row>
    <row r="9825" spans="1:5" x14ac:dyDescent="0.35">
      <c r="A9825">
        <v>2020</v>
      </c>
      <c r="B9825" t="s">
        <v>33</v>
      </c>
      <c r="C9825" t="s">
        <v>181</v>
      </c>
      <c r="E9825" t="s">
        <v>466</v>
      </c>
    </row>
    <row r="9826" spans="1:5" x14ac:dyDescent="0.35">
      <c r="A9826">
        <v>2020</v>
      </c>
      <c r="B9826" t="s">
        <v>33</v>
      </c>
      <c r="C9826" t="s">
        <v>195</v>
      </c>
      <c r="D9826">
        <v>10</v>
      </c>
      <c r="E9826" t="s">
        <v>467</v>
      </c>
    </row>
    <row r="9827" spans="1:5" x14ac:dyDescent="0.35">
      <c r="A9827">
        <v>2020</v>
      </c>
      <c r="B9827" t="s">
        <v>35</v>
      </c>
      <c r="C9827" t="s">
        <v>182</v>
      </c>
      <c r="D9827">
        <v>104</v>
      </c>
      <c r="E9827" t="s">
        <v>466</v>
      </c>
    </row>
    <row r="9828" spans="1:5" x14ac:dyDescent="0.35">
      <c r="A9828">
        <v>2020</v>
      </c>
      <c r="B9828" t="s">
        <v>33</v>
      </c>
      <c r="C9828" t="s">
        <v>125</v>
      </c>
      <c r="D9828">
        <v>6</v>
      </c>
      <c r="E9828" t="s">
        <v>328</v>
      </c>
    </row>
    <row r="9829" spans="1:5" x14ac:dyDescent="0.35">
      <c r="A9829">
        <v>2020</v>
      </c>
      <c r="B9829" t="s">
        <v>35</v>
      </c>
      <c r="C9829" t="s">
        <v>183</v>
      </c>
      <c r="D9829">
        <v>58</v>
      </c>
      <c r="E9829" t="s">
        <v>466</v>
      </c>
    </row>
    <row r="9830" spans="1:5" x14ac:dyDescent="0.35">
      <c r="A9830">
        <v>2020</v>
      </c>
      <c r="B9830" t="s">
        <v>34</v>
      </c>
      <c r="C9830" t="s">
        <v>194</v>
      </c>
      <c r="E9830" t="s">
        <v>467</v>
      </c>
    </row>
    <row r="9831" spans="1:5" x14ac:dyDescent="0.35">
      <c r="A9831">
        <v>2020</v>
      </c>
      <c r="B9831" t="s">
        <v>34</v>
      </c>
      <c r="C9831" t="s">
        <v>184</v>
      </c>
      <c r="D9831">
        <v>151</v>
      </c>
      <c r="E9831" t="s">
        <v>466</v>
      </c>
    </row>
    <row r="9832" spans="1:5" x14ac:dyDescent="0.35">
      <c r="A9832">
        <v>2020</v>
      </c>
      <c r="B9832" t="s">
        <v>33</v>
      </c>
      <c r="C9832" t="s">
        <v>125</v>
      </c>
      <c r="D9832">
        <v>111</v>
      </c>
      <c r="E9832" t="s">
        <v>355</v>
      </c>
    </row>
    <row r="9833" spans="1:5" x14ac:dyDescent="0.35">
      <c r="A9833">
        <v>2020</v>
      </c>
      <c r="B9833" t="s">
        <v>35</v>
      </c>
      <c r="C9833" t="s">
        <v>216</v>
      </c>
      <c r="D9833">
        <v>9</v>
      </c>
      <c r="E9833" t="s">
        <v>466</v>
      </c>
    </row>
    <row r="9834" spans="1:5" x14ac:dyDescent="0.35">
      <c r="A9834">
        <v>2020</v>
      </c>
      <c r="B9834" t="s">
        <v>34</v>
      </c>
      <c r="C9834" t="s">
        <v>193</v>
      </c>
      <c r="D9834">
        <v>82</v>
      </c>
      <c r="E9834" t="s">
        <v>467</v>
      </c>
    </row>
    <row r="9835" spans="1:5" x14ac:dyDescent="0.35">
      <c r="A9835">
        <v>2020</v>
      </c>
      <c r="B9835" t="s">
        <v>35</v>
      </c>
      <c r="C9835" t="s">
        <v>127</v>
      </c>
      <c r="D9835">
        <v>84</v>
      </c>
      <c r="E9835" t="s">
        <v>466</v>
      </c>
    </row>
    <row r="9836" spans="1:5" x14ac:dyDescent="0.35">
      <c r="A9836">
        <v>2020</v>
      </c>
      <c r="B9836" t="s">
        <v>34</v>
      </c>
      <c r="C9836" t="s">
        <v>124</v>
      </c>
      <c r="D9836">
        <v>18</v>
      </c>
      <c r="E9836" t="s">
        <v>328</v>
      </c>
    </row>
    <row r="9837" spans="1:5" x14ac:dyDescent="0.35">
      <c r="A9837">
        <v>2020</v>
      </c>
      <c r="B9837" t="s">
        <v>34</v>
      </c>
      <c r="C9837" t="s">
        <v>171</v>
      </c>
      <c r="D9837">
        <v>37</v>
      </c>
      <c r="E9837" t="s">
        <v>466</v>
      </c>
    </row>
    <row r="9838" spans="1:5" x14ac:dyDescent="0.35">
      <c r="A9838">
        <v>2020</v>
      </c>
      <c r="B9838" t="s">
        <v>33</v>
      </c>
      <c r="C9838" t="s">
        <v>192</v>
      </c>
      <c r="D9838">
        <v>25</v>
      </c>
      <c r="E9838" t="s">
        <v>467</v>
      </c>
    </row>
    <row r="9839" spans="1:5" x14ac:dyDescent="0.35">
      <c r="A9839">
        <v>2020</v>
      </c>
      <c r="B9839" t="s">
        <v>33</v>
      </c>
      <c r="C9839" t="s">
        <v>125</v>
      </c>
      <c r="D9839">
        <v>153</v>
      </c>
      <c r="E9839" t="s">
        <v>466</v>
      </c>
    </row>
    <row r="9840" spans="1:5" x14ac:dyDescent="0.35">
      <c r="A9840">
        <v>2020</v>
      </c>
      <c r="B9840" t="s">
        <v>34</v>
      </c>
      <c r="C9840" t="s">
        <v>124</v>
      </c>
      <c r="D9840">
        <v>33</v>
      </c>
      <c r="E9840" t="s">
        <v>355</v>
      </c>
    </row>
    <row r="9841" spans="1:5" x14ac:dyDescent="0.35">
      <c r="A9841">
        <v>2020</v>
      </c>
      <c r="B9841" t="s">
        <v>35</v>
      </c>
      <c r="C9841" t="s">
        <v>62</v>
      </c>
      <c r="D9841">
        <v>53</v>
      </c>
      <c r="E9841" t="s">
        <v>466</v>
      </c>
    </row>
    <row r="9842" spans="1:5" x14ac:dyDescent="0.35">
      <c r="A9842">
        <v>2020</v>
      </c>
      <c r="B9842" t="s">
        <v>36</v>
      </c>
      <c r="C9842" t="s">
        <v>191</v>
      </c>
      <c r="D9842">
        <v>37</v>
      </c>
      <c r="E9842" t="s">
        <v>467</v>
      </c>
    </row>
    <row r="9843" spans="1:5" x14ac:dyDescent="0.35">
      <c r="A9843">
        <v>2020</v>
      </c>
      <c r="B9843" t="s">
        <v>33</v>
      </c>
      <c r="C9843" t="s">
        <v>63</v>
      </c>
      <c r="D9843">
        <v>62</v>
      </c>
      <c r="E9843" t="s">
        <v>466</v>
      </c>
    </row>
    <row r="9844" spans="1:5" x14ac:dyDescent="0.35">
      <c r="A9844">
        <v>2020</v>
      </c>
      <c r="B9844" t="s">
        <v>35</v>
      </c>
      <c r="C9844" t="s">
        <v>123</v>
      </c>
      <c r="D9844">
        <v>7</v>
      </c>
      <c r="E9844" t="s">
        <v>328</v>
      </c>
    </row>
    <row r="9845" spans="1:5" x14ac:dyDescent="0.35">
      <c r="A9845">
        <v>2020</v>
      </c>
      <c r="B9845" t="s">
        <v>34</v>
      </c>
      <c r="C9845" t="s">
        <v>64</v>
      </c>
      <c r="D9845">
        <v>88</v>
      </c>
      <c r="E9845" t="s">
        <v>466</v>
      </c>
    </row>
    <row r="9846" spans="1:5" x14ac:dyDescent="0.35">
      <c r="A9846">
        <v>2020</v>
      </c>
      <c r="B9846" t="s">
        <v>37</v>
      </c>
      <c r="C9846" t="s">
        <v>190</v>
      </c>
      <c r="D9846">
        <v>4</v>
      </c>
      <c r="E9846" t="s">
        <v>467</v>
      </c>
    </row>
    <row r="9847" spans="1:5" x14ac:dyDescent="0.35">
      <c r="A9847">
        <v>2020</v>
      </c>
      <c r="B9847" t="s">
        <v>33</v>
      </c>
      <c r="C9847" t="s">
        <v>65</v>
      </c>
      <c r="D9847">
        <v>23</v>
      </c>
      <c r="E9847" t="s">
        <v>466</v>
      </c>
    </row>
    <row r="9848" spans="1:5" x14ac:dyDescent="0.35">
      <c r="A9848">
        <v>2020</v>
      </c>
      <c r="B9848" t="s">
        <v>35</v>
      </c>
      <c r="C9848" t="s">
        <v>123</v>
      </c>
      <c r="D9848">
        <v>11</v>
      </c>
      <c r="E9848" t="s">
        <v>355</v>
      </c>
    </row>
    <row r="9849" spans="1:5" x14ac:dyDescent="0.35">
      <c r="A9849">
        <v>2020</v>
      </c>
      <c r="B9849" t="s">
        <v>33</v>
      </c>
      <c r="C9849" t="s">
        <v>66</v>
      </c>
      <c r="D9849">
        <v>56</v>
      </c>
      <c r="E9849" t="s">
        <v>466</v>
      </c>
    </row>
    <row r="9850" spans="1:5" x14ac:dyDescent="0.35">
      <c r="A9850">
        <v>2020</v>
      </c>
      <c r="B9850" t="s">
        <v>33</v>
      </c>
      <c r="C9850" t="s">
        <v>189</v>
      </c>
      <c r="D9850">
        <v>6</v>
      </c>
      <c r="E9850" t="s">
        <v>467</v>
      </c>
    </row>
    <row r="9851" spans="1:5" x14ac:dyDescent="0.35">
      <c r="A9851">
        <v>2020</v>
      </c>
      <c r="B9851" t="s">
        <v>34</v>
      </c>
      <c r="C9851" t="s">
        <v>67</v>
      </c>
      <c r="D9851">
        <v>110</v>
      </c>
      <c r="E9851" t="s">
        <v>466</v>
      </c>
    </row>
    <row r="9852" spans="1:5" x14ac:dyDescent="0.35">
      <c r="A9852">
        <v>2020</v>
      </c>
      <c r="B9852" t="s">
        <v>34</v>
      </c>
      <c r="C9852" t="s">
        <v>122</v>
      </c>
      <c r="E9852" t="s">
        <v>328</v>
      </c>
    </row>
    <row r="9853" spans="1:5" x14ac:dyDescent="0.35">
      <c r="A9853">
        <v>2020</v>
      </c>
      <c r="B9853" t="s">
        <v>33</v>
      </c>
      <c r="C9853" t="s">
        <v>68</v>
      </c>
      <c r="D9853">
        <v>1307</v>
      </c>
      <c r="E9853" t="s">
        <v>466</v>
      </c>
    </row>
    <row r="9854" spans="1:5" x14ac:dyDescent="0.35">
      <c r="A9854">
        <v>2020</v>
      </c>
      <c r="B9854" t="s">
        <v>34</v>
      </c>
      <c r="C9854" t="s">
        <v>188</v>
      </c>
      <c r="D9854">
        <v>55</v>
      </c>
      <c r="E9854" t="s">
        <v>467</v>
      </c>
    </row>
    <row r="9855" spans="1:5" x14ac:dyDescent="0.35">
      <c r="A9855">
        <v>2020</v>
      </c>
      <c r="B9855" t="s">
        <v>36</v>
      </c>
      <c r="C9855" t="s">
        <v>69</v>
      </c>
      <c r="D9855">
        <v>8693</v>
      </c>
      <c r="E9855" t="s">
        <v>466</v>
      </c>
    </row>
    <row r="9856" spans="1:5" x14ac:dyDescent="0.35">
      <c r="A9856">
        <v>2020</v>
      </c>
      <c r="B9856" t="s">
        <v>34</v>
      </c>
      <c r="C9856" t="s">
        <v>122</v>
      </c>
      <c r="E9856" t="s">
        <v>355</v>
      </c>
    </row>
    <row r="9857" spans="1:5" x14ac:dyDescent="0.35">
      <c r="A9857">
        <v>2020</v>
      </c>
      <c r="B9857" t="s">
        <v>33</v>
      </c>
      <c r="C9857" t="s">
        <v>70</v>
      </c>
      <c r="D9857">
        <v>12</v>
      </c>
      <c r="E9857" t="s">
        <v>466</v>
      </c>
    </row>
    <row r="9858" spans="1:5" x14ac:dyDescent="0.35">
      <c r="A9858">
        <v>2020</v>
      </c>
      <c r="B9858" t="s">
        <v>33</v>
      </c>
      <c r="C9858" t="s">
        <v>187</v>
      </c>
      <c r="E9858" t="s">
        <v>467</v>
      </c>
    </row>
    <row r="9859" spans="1:5" x14ac:dyDescent="0.35">
      <c r="A9859">
        <v>2020</v>
      </c>
      <c r="B9859" t="s">
        <v>38</v>
      </c>
      <c r="C9859" t="s">
        <v>21</v>
      </c>
      <c r="D9859">
        <v>9228</v>
      </c>
      <c r="E9859" t="s">
        <v>466</v>
      </c>
    </row>
    <row r="9860" spans="1:5" x14ac:dyDescent="0.35">
      <c r="A9860">
        <v>2020</v>
      </c>
      <c r="B9860" t="s">
        <v>34</v>
      </c>
      <c r="C9860" t="s">
        <v>121</v>
      </c>
      <c r="E9860" t="s">
        <v>328</v>
      </c>
    </row>
    <row r="9861" spans="1:5" x14ac:dyDescent="0.35">
      <c r="A9861">
        <v>2020</v>
      </c>
      <c r="B9861" t="s">
        <v>33</v>
      </c>
      <c r="C9861" t="s">
        <v>71</v>
      </c>
      <c r="D9861">
        <v>11</v>
      </c>
      <c r="E9861" t="s">
        <v>466</v>
      </c>
    </row>
    <row r="9862" spans="1:5" x14ac:dyDescent="0.35">
      <c r="A9862">
        <v>2020</v>
      </c>
      <c r="B9862" t="s">
        <v>34</v>
      </c>
      <c r="C9862" t="s">
        <v>185</v>
      </c>
      <c r="D9862">
        <v>335</v>
      </c>
      <c r="E9862" t="s">
        <v>467</v>
      </c>
    </row>
    <row r="9863" spans="1:5" x14ac:dyDescent="0.35">
      <c r="A9863">
        <v>2020</v>
      </c>
      <c r="B9863" t="s">
        <v>34</v>
      </c>
      <c r="C9863" t="s">
        <v>73</v>
      </c>
      <c r="D9863">
        <v>3871</v>
      </c>
      <c r="E9863" t="s">
        <v>466</v>
      </c>
    </row>
    <row r="9864" spans="1:5" x14ac:dyDescent="0.35">
      <c r="A9864">
        <v>2020</v>
      </c>
      <c r="B9864" t="s">
        <v>34</v>
      </c>
      <c r="C9864" t="s">
        <v>121</v>
      </c>
      <c r="E9864" t="s">
        <v>355</v>
      </c>
    </row>
    <row r="9865" spans="1:5" x14ac:dyDescent="0.35">
      <c r="A9865">
        <v>2020</v>
      </c>
      <c r="B9865" t="s">
        <v>38</v>
      </c>
      <c r="C9865" t="s">
        <v>20</v>
      </c>
      <c r="D9865">
        <v>2970</v>
      </c>
      <c r="E9865" t="s">
        <v>466</v>
      </c>
    </row>
    <row r="9866" spans="1:5" x14ac:dyDescent="0.35">
      <c r="A9866">
        <v>2020</v>
      </c>
      <c r="B9866" t="s">
        <v>34</v>
      </c>
      <c r="C9866" t="s">
        <v>184</v>
      </c>
      <c r="D9866">
        <v>57</v>
      </c>
      <c r="E9866" t="s">
        <v>467</v>
      </c>
    </row>
    <row r="9867" spans="1:5" x14ac:dyDescent="0.35">
      <c r="A9867">
        <v>2020</v>
      </c>
      <c r="B9867" t="s">
        <v>33</v>
      </c>
      <c r="C9867" t="s">
        <v>74</v>
      </c>
      <c r="D9867">
        <v>574</v>
      </c>
      <c r="E9867" t="s">
        <v>466</v>
      </c>
    </row>
    <row r="9868" spans="1:5" x14ac:dyDescent="0.35">
      <c r="A9868">
        <v>2020</v>
      </c>
      <c r="B9868" t="s">
        <v>34</v>
      </c>
      <c r="C9868" t="s">
        <v>120</v>
      </c>
      <c r="D9868">
        <v>4</v>
      </c>
      <c r="E9868" t="s">
        <v>328</v>
      </c>
    </row>
    <row r="9869" spans="1:5" x14ac:dyDescent="0.35">
      <c r="A9869">
        <v>2020</v>
      </c>
      <c r="B9869" t="s">
        <v>33</v>
      </c>
      <c r="C9869" t="s">
        <v>75</v>
      </c>
      <c r="D9869">
        <v>143</v>
      </c>
      <c r="E9869" t="s">
        <v>466</v>
      </c>
    </row>
    <row r="9870" spans="1:5" x14ac:dyDescent="0.35">
      <c r="A9870">
        <v>2020</v>
      </c>
      <c r="B9870" t="s">
        <v>35</v>
      </c>
      <c r="C9870" t="s">
        <v>183</v>
      </c>
      <c r="D9870">
        <v>49</v>
      </c>
      <c r="E9870" t="s">
        <v>467</v>
      </c>
    </row>
    <row r="9871" spans="1:5" x14ac:dyDescent="0.35">
      <c r="A9871">
        <v>2020</v>
      </c>
      <c r="B9871" t="s">
        <v>36</v>
      </c>
      <c r="C9871" t="s">
        <v>76</v>
      </c>
      <c r="D9871">
        <v>395</v>
      </c>
      <c r="E9871" t="s">
        <v>466</v>
      </c>
    </row>
    <row r="9872" spans="1:5" x14ac:dyDescent="0.35">
      <c r="A9872">
        <v>2020</v>
      </c>
      <c r="B9872" t="s">
        <v>34</v>
      </c>
      <c r="C9872" t="s">
        <v>120</v>
      </c>
      <c r="D9872">
        <v>11</v>
      </c>
      <c r="E9872" t="s">
        <v>355</v>
      </c>
    </row>
    <row r="9873" spans="1:5" x14ac:dyDescent="0.35">
      <c r="A9873">
        <v>2020</v>
      </c>
      <c r="B9873" t="s">
        <v>33</v>
      </c>
      <c r="C9873" t="s">
        <v>77</v>
      </c>
      <c r="D9873">
        <v>79</v>
      </c>
      <c r="E9873" t="s">
        <v>466</v>
      </c>
    </row>
    <row r="9874" spans="1:5" x14ac:dyDescent="0.35">
      <c r="A9874">
        <v>2020</v>
      </c>
      <c r="B9874" t="s">
        <v>35</v>
      </c>
      <c r="C9874" t="s">
        <v>182</v>
      </c>
      <c r="D9874">
        <v>84</v>
      </c>
      <c r="E9874" t="s">
        <v>467</v>
      </c>
    </row>
    <row r="9875" spans="1:5" x14ac:dyDescent="0.35">
      <c r="A9875">
        <v>2020</v>
      </c>
      <c r="B9875" t="s">
        <v>35</v>
      </c>
      <c r="C9875" t="s">
        <v>78</v>
      </c>
      <c r="D9875">
        <v>26</v>
      </c>
      <c r="E9875" t="s">
        <v>466</v>
      </c>
    </row>
    <row r="9876" spans="1:5" x14ac:dyDescent="0.35">
      <c r="A9876">
        <v>2020</v>
      </c>
      <c r="B9876" t="s">
        <v>35</v>
      </c>
      <c r="C9876" t="s">
        <v>119</v>
      </c>
      <c r="D9876">
        <v>6</v>
      </c>
      <c r="E9876" t="s">
        <v>328</v>
      </c>
    </row>
    <row r="9877" spans="1:5" x14ac:dyDescent="0.35">
      <c r="A9877">
        <v>2020</v>
      </c>
      <c r="B9877" t="s">
        <v>36</v>
      </c>
      <c r="C9877" t="s">
        <v>79</v>
      </c>
      <c r="D9877">
        <v>15048</v>
      </c>
      <c r="E9877" t="s">
        <v>466</v>
      </c>
    </row>
    <row r="9878" spans="1:5" x14ac:dyDescent="0.35">
      <c r="A9878">
        <v>2020</v>
      </c>
      <c r="B9878" t="s">
        <v>33</v>
      </c>
      <c r="C9878" t="s">
        <v>179</v>
      </c>
      <c r="D9878">
        <v>45</v>
      </c>
      <c r="E9878" t="s">
        <v>467</v>
      </c>
    </row>
    <row r="9879" spans="1:5" x14ac:dyDescent="0.35">
      <c r="A9879">
        <v>2020</v>
      </c>
      <c r="B9879" t="s">
        <v>34</v>
      </c>
      <c r="C9879" t="s">
        <v>80</v>
      </c>
      <c r="D9879">
        <v>7</v>
      </c>
      <c r="E9879" t="s">
        <v>466</v>
      </c>
    </row>
    <row r="9880" spans="1:5" x14ac:dyDescent="0.35">
      <c r="A9880">
        <v>2020</v>
      </c>
      <c r="B9880" t="s">
        <v>36</v>
      </c>
      <c r="C9880" t="s">
        <v>164</v>
      </c>
      <c r="E9880" t="s">
        <v>355</v>
      </c>
    </row>
    <row r="9881" spans="1:5" x14ac:dyDescent="0.35">
      <c r="A9881">
        <v>2020</v>
      </c>
      <c r="B9881" t="s">
        <v>38</v>
      </c>
      <c r="C9881" t="s">
        <v>72</v>
      </c>
      <c r="D9881">
        <v>1345</v>
      </c>
      <c r="E9881" t="s">
        <v>466</v>
      </c>
    </row>
    <row r="9882" spans="1:5" x14ac:dyDescent="0.35">
      <c r="A9882">
        <v>2020</v>
      </c>
      <c r="B9882" t="s">
        <v>35</v>
      </c>
      <c r="C9882" t="s">
        <v>177</v>
      </c>
      <c r="D9882">
        <v>886</v>
      </c>
      <c r="E9882" t="s">
        <v>467</v>
      </c>
    </row>
    <row r="9883" spans="1:5" x14ac:dyDescent="0.35">
      <c r="A9883">
        <v>2020</v>
      </c>
      <c r="B9883" t="s">
        <v>33</v>
      </c>
      <c r="C9883" t="s">
        <v>61</v>
      </c>
      <c r="D9883">
        <v>8</v>
      </c>
      <c r="E9883" t="s">
        <v>466</v>
      </c>
    </row>
    <row r="9884" spans="1:5" x14ac:dyDescent="0.35">
      <c r="A9884">
        <v>2020</v>
      </c>
      <c r="B9884" t="s">
        <v>35</v>
      </c>
      <c r="C9884" t="s">
        <v>127</v>
      </c>
      <c r="D9884">
        <v>10</v>
      </c>
      <c r="E9884" t="s">
        <v>328</v>
      </c>
    </row>
    <row r="9885" spans="1:5" x14ac:dyDescent="0.35">
      <c r="A9885">
        <v>2020</v>
      </c>
      <c r="B9885" t="s">
        <v>35</v>
      </c>
      <c r="C9885" t="s">
        <v>60</v>
      </c>
      <c r="D9885">
        <v>84</v>
      </c>
      <c r="E9885" t="s">
        <v>466</v>
      </c>
    </row>
    <row r="9886" spans="1:5" x14ac:dyDescent="0.35">
      <c r="A9886">
        <v>2020</v>
      </c>
      <c r="B9886" t="s">
        <v>33</v>
      </c>
      <c r="C9886" t="s">
        <v>149</v>
      </c>
      <c r="D9886">
        <v>156</v>
      </c>
      <c r="E9886" t="s">
        <v>467</v>
      </c>
    </row>
    <row r="9887" spans="1:5" x14ac:dyDescent="0.35">
      <c r="A9887">
        <v>2020</v>
      </c>
      <c r="B9887" t="s">
        <v>38</v>
      </c>
      <c r="C9887" t="s">
        <v>59</v>
      </c>
      <c r="D9887">
        <v>135</v>
      </c>
      <c r="E9887" t="s">
        <v>466</v>
      </c>
    </row>
    <row r="9888" spans="1:5" x14ac:dyDescent="0.35">
      <c r="A9888">
        <v>2020</v>
      </c>
      <c r="B9888" t="s">
        <v>35</v>
      </c>
      <c r="C9888" t="s">
        <v>145</v>
      </c>
      <c r="D9888">
        <v>17</v>
      </c>
      <c r="E9888" t="s">
        <v>355</v>
      </c>
    </row>
    <row r="9889" spans="1:5" x14ac:dyDescent="0.35">
      <c r="A9889">
        <v>2020</v>
      </c>
      <c r="B9889" t="s">
        <v>34</v>
      </c>
      <c r="C9889" t="s">
        <v>40</v>
      </c>
      <c r="D9889">
        <v>63</v>
      </c>
      <c r="E9889" t="s">
        <v>466</v>
      </c>
    </row>
    <row r="9890" spans="1:5" x14ac:dyDescent="0.35">
      <c r="A9890">
        <v>2020</v>
      </c>
      <c r="B9890" t="s">
        <v>34</v>
      </c>
      <c r="C9890" t="s">
        <v>202</v>
      </c>
      <c r="E9890" t="s">
        <v>467</v>
      </c>
    </row>
    <row r="9891" spans="1:5" x14ac:dyDescent="0.35">
      <c r="A9891">
        <v>2020</v>
      </c>
      <c r="B9891" t="s">
        <v>35</v>
      </c>
      <c r="C9891" t="s">
        <v>41</v>
      </c>
      <c r="D9891">
        <v>118</v>
      </c>
      <c r="E9891" t="s">
        <v>466</v>
      </c>
    </row>
    <row r="9892" spans="1:5" x14ac:dyDescent="0.35">
      <c r="A9892">
        <v>2020</v>
      </c>
      <c r="B9892" t="s">
        <v>34</v>
      </c>
      <c r="C9892" t="s">
        <v>131</v>
      </c>
      <c r="D9892">
        <v>19</v>
      </c>
      <c r="E9892" t="s">
        <v>355</v>
      </c>
    </row>
    <row r="9893" spans="1:5" x14ac:dyDescent="0.35">
      <c r="A9893">
        <v>2020</v>
      </c>
      <c r="B9893" t="s">
        <v>33</v>
      </c>
      <c r="C9893" t="s">
        <v>42</v>
      </c>
      <c r="D9893">
        <v>218</v>
      </c>
      <c r="E9893" t="s">
        <v>466</v>
      </c>
    </row>
    <row r="9894" spans="1:5" x14ac:dyDescent="0.35">
      <c r="A9894">
        <v>2020</v>
      </c>
      <c r="B9894" t="s">
        <v>36</v>
      </c>
      <c r="C9894" t="s">
        <v>147</v>
      </c>
      <c r="D9894">
        <v>112</v>
      </c>
      <c r="E9894" t="s">
        <v>467</v>
      </c>
    </row>
    <row r="9895" spans="1:5" x14ac:dyDescent="0.35">
      <c r="A9895">
        <v>2020</v>
      </c>
      <c r="C9895" t="s">
        <v>373</v>
      </c>
      <c r="D9895">
        <v>15</v>
      </c>
      <c r="E9895" t="s">
        <v>466</v>
      </c>
    </row>
    <row r="9896" spans="1:5" x14ac:dyDescent="0.35">
      <c r="A9896">
        <v>2020</v>
      </c>
      <c r="B9896" t="s">
        <v>33</v>
      </c>
      <c r="C9896" t="s">
        <v>132</v>
      </c>
      <c r="D9896">
        <v>7</v>
      </c>
      <c r="E9896" t="s">
        <v>355</v>
      </c>
    </row>
    <row r="9897" spans="1:5" x14ac:dyDescent="0.35">
      <c r="A9897">
        <v>2020</v>
      </c>
      <c r="B9897" t="s">
        <v>33</v>
      </c>
      <c r="C9897" t="s">
        <v>43</v>
      </c>
      <c r="D9897">
        <v>531</v>
      </c>
      <c r="E9897" t="s">
        <v>466</v>
      </c>
    </row>
    <row r="9898" spans="1:5" x14ac:dyDescent="0.35">
      <c r="A9898">
        <v>2020</v>
      </c>
      <c r="B9898" t="s">
        <v>35</v>
      </c>
      <c r="C9898" t="s">
        <v>60</v>
      </c>
      <c r="D9898">
        <v>9</v>
      </c>
      <c r="E9898" t="s">
        <v>467</v>
      </c>
    </row>
    <row r="9899" spans="1:5" x14ac:dyDescent="0.35">
      <c r="A9899">
        <v>2020</v>
      </c>
      <c r="B9899" t="s">
        <v>36</v>
      </c>
      <c r="C9899" t="s">
        <v>44</v>
      </c>
      <c r="D9899">
        <v>20</v>
      </c>
      <c r="E9899" t="s">
        <v>466</v>
      </c>
    </row>
    <row r="9900" spans="1:5" x14ac:dyDescent="0.35">
      <c r="A9900">
        <v>2020</v>
      </c>
      <c r="B9900" t="s">
        <v>34</v>
      </c>
      <c r="C9900" t="s">
        <v>144</v>
      </c>
      <c r="D9900">
        <v>22</v>
      </c>
      <c r="E9900" t="s">
        <v>355</v>
      </c>
    </row>
    <row r="9901" spans="1:5" x14ac:dyDescent="0.35">
      <c r="A9901">
        <v>2020</v>
      </c>
      <c r="B9901" t="s">
        <v>38</v>
      </c>
      <c r="C9901" t="s">
        <v>45</v>
      </c>
      <c r="D9901">
        <v>423</v>
      </c>
      <c r="E9901" t="s">
        <v>466</v>
      </c>
    </row>
    <row r="9902" spans="1:5" x14ac:dyDescent="0.35">
      <c r="A9902">
        <v>2020</v>
      </c>
      <c r="B9902" t="s">
        <v>38</v>
      </c>
      <c r="C9902" t="s">
        <v>59</v>
      </c>
      <c r="D9902">
        <v>19</v>
      </c>
      <c r="E9902" t="s">
        <v>467</v>
      </c>
    </row>
    <row r="9903" spans="1:5" x14ac:dyDescent="0.35">
      <c r="A9903">
        <v>2020</v>
      </c>
      <c r="B9903" t="s">
        <v>34</v>
      </c>
      <c r="C9903" t="s">
        <v>46</v>
      </c>
      <c r="D9903">
        <v>214</v>
      </c>
      <c r="E9903" t="s">
        <v>466</v>
      </c>
    </row>
    <row r="9904" spans="1:5" x14ac:dyDescent="0.35">
      <c r="A9904">
        <v>2020</v>
      </c>
      <c r="B9904" t="s">
        <v>33</v>
      </c>
      <c r="C9904" t="s">
        <v>141</v>
      </c>
      <c r="D9904">
        <v>8</v>
      </c>
      <c r="E9904" t="s">
        <v>328</v>
      </c>
    </row>
    <row r="9905" spans="1:5" x14ac:dyDescent="0.35">
      <c r="A9905">
        <v>2020</v>
      </c>
      <c r="B9905" t="s">
        <v>37</v>
      </c>
      <c r="C9905" t="s">
        <v>47</v>
      </c>
      <c r="D9905">
        <v>394</v>
      </c>
      <c r="E9905" t="s">
        <v>466</v>
      </c>
    </row>
    <row r="9906" spans="1:5" x14ac:dyDescent="0.35">
      <c r="A9906">
        <v>2020</v>
      </c>
      <c r="B9906" t="s">
        <v>33</v>
      </c>
      <c r="C9906" t="s">
        <v>57</v>
      </c>
      <c r="D9906">
        <v>5</v>
      </c>
      <c r="E9906" t="s">
        <v>467</v>
      </c>
    </row>
    <row r="9907" spans="1:5" x14ac:dyDescent="0.35">
      <c r="A9907">
        <v>2020</v>
      </c>
      <c r="B9907" t="s">
        <v>35</v>
      </c>
      <c r="C9907" t="s">
        <v>48</v>
      </c>
      <c r="D9907">
        <v>38</v>
      </c>
      <c r="E9907" t="s">
        <v>466</v>
      </c>
    </row>
    <row r="9908" spans="1:5" x14ac:dyDescent="0.35">
      <c r="A9908">
        <v>2020</v>
      </c>
      <c r="B9908" t="s">
        <v>33</v>
      </c>
      <c r="C9908" t="s">
        <v>141</v>
      </c>
      <c r="D9908">
        <v>19</v>
      </c>
      <c r="E9908" t="s">
        <v>355</v>
      </c>
    </row>
    <row r="9909" spans="1:5" x14ac:dyDescent="0.35">
      <c r="A9909">
        <v>2020</v>
      </c>
      <c r="B9909" t="s">
        <v>33</v>
      </c>
      <c r="C9909" t="s">
        <v>126</v>
      </c>
      <c r="D9909">
        <v>24</v>
      </c>
      <c r="E9909" t="s">
        <v>466</v>
      </c>
    </row>
    <row r="9910" spans="1:5" x14ac:dyDescent="0.35">
      <c r="A9910">
        <v>2020</v>
      </c>
      <c r="B9910" t="s">
        <v>36</v>
      </c>
      <c r="C9910" t="s">
        <v>56</v>
      </c>
      <c r="D9910">
        <v>13</v>
      </c>
      <c r="E9910" t="s">
        <v>467</v>
      </c>
    </row>
    <row r="9911" spans="1:5" x14ac:dyDescent="0.35">
      <c r="A9911">
        <v>2020</v>
      </c>
      <c r="B9911" t="s">
        <v>34</v>
      </c>
      <c r="C9911" t="s">
        <v>49</v>
      </c>
      <c r="D9911">
        <v>30</v>
      </c>
      <c r="E9911" t="s">
        <v>466</v>
      </c>
    </row>
    <row r="9912" spans="1:5" x14ac:dyDescent="0.35">
      <c r="A9912">
        <v>2020</v>
      </c>
      <c r="B9912" t="s">
        <v>35</v>
      </c>
      <c r="C9912" t="s">
        <v>140</v>
      </c>
      <c r="D9912">
        <v>5</v>
      </c>
      <c r="E9912" t="s">
        <v>328</v>
      </c>
    </row>
    <row r="9913" spans="1:5" x14ac:dyDescent="0.35">
      <c r="A9913">
        <v>2020</v>
      </c>
      <c r="B9913" t="s">
        <v>36</v>
      </c>
      <c r="C9913" t="s">
        <v>50</v>
      </c>
      <c r="D9913">
        <v>271</v>
      </c>
      <c r="E9913" t="s">
        <v>466</v>
      </c>
    </row>
    <row r="9914" spans="1:5" x14ac:dyDescent="0.35">
      <c r="A9914">
        <v>2020</v>
      </c>
      <c r="B9914" t="s">
        <v>35</v>
      </c>
      <c r="C9914" t="s">
        <v>55</v>
      </c>
      <c r="D9914">
        <v>47</v>
      </c>
      <c r="E9914" t="s">
        <v>467</v>
      </c>
    </row>
    <row r="9915" spans="1:5" x14ac:dyDescent="0.35">
      <c r="A9915">
        <v>2020</v>
      </c>
      <c r="B9915" t="s">
        <v>34</v>
      </c>
      <c r="C9915" t="s">
        <v>51</v>
      </c>
      <c r="E9915" t="s">
        <v>466</v>
      </c>
    </row>
    <row r="9916" spans="1:5" x14ac:dyDescent="0.35">
      <c r="A9916">
        <v>2020</v>
      </c>
      <c r="B9916" t="s">
        <v>35</v>
      </c>
      <c r="C9916" t="s">
        <v>140</v>
      </c>
      <c r="D9916">
        <v>15</v>
      </c>
      <c r="E9916" t="s">
        <v>355</v>
      </c>
    </row>
    <row r="9917" spans="1:5" x14ac:dyDescent="0.35">
      <c r="A9917">
        <v>2020</v>
      </c>
      <c r="B9917" t="s">
        <v>34</v>
      </c>
      <c r="C9917" t="s">
        <v>52</v>
      </c>
      <c r="D9917">
        <v>795</v>
      </c>
      <c r="E9917" t="s">
        <v>466</v>
      </c>
    </row>
    <row r="9918" spans="1:5" x14ac:dyDescent="0.35">
      <c r="A9918">
        <v>2020</v>
      </c>
      <c r="B9918" t="s">
        <v>35</v>
      </c>
      <c r="C9918" t="s">
        <v>54</v>
      </c>
      <c r="D9918">
        <v>6</v>
      </c>
      <c r="E9918" t="s">
        <v>467</v>
      </c>
    </row>
    <row r="9919" spans="1:5" x14ac:dyDescent="0.35">
      <c r="A9919">
        <v>2020</v>
      </c>
      <c r="B9919" t="s">
        <v>36</v>
      </c>
      <c r="C9919" t="s">
        <v>53</v>
      </c>
      <c r="D9919">
        <v>17</v>
      </c>
      <c r="E9919" t="s">
        <v>466</v>
      </c>
    </row>
    <row r="9920" spans="1:5" x14ac:dyDescent="0.35">
      <c r="A9920">
        <v>2020</v>
      </c>
      <c r="B9920" t="s">
        <v>34</v>
      </c>
      <c r="C9920" t="s">
        <v>139</v>
      </c>
      <c r="D9920">
        <v>9</v>
      </c>
      <c r="E9920" t="s">
        <v>328</v>
      </c>
    </row>
    <row r="9921" spans="1:5" x14ac:dyDescent="0.35">
      <c r="A9921">
        <v>2020</v>
      </c>
      <c r="B9921" t="s">
        <v>35</v>
      </c>
      <c r="C9921" t="s">
        <v>54</v>
      </c>
      <c r="D9921">
        <v>38</v>
      </c>
      <c r="E9921" t="s">
        <v>466</v>
      </c>
    </row>
    <row r="9922" spans="1:5" x14ac:dyDescent="0.35">
      <c r="A9922">
        <v>2020</v>
      </c>
      <c r="B9922" t="s">
        <v>36</v>
      </c>
      <c r="C9922" t="s">
        <v>53</v>
      </c>
      <c r="D9922">
        <v>7</v>
      </c>
      <c r="E9922" t="s">
        <v>467</v>
      </c>
    </row>
    <row r="9923" spans="1:5" x14ac:dyDescent="0.35">
      <c r="A9923">
        <v>2020</v>
      </c>
      <c r="B9923" t="s">
        <v>35</v>
      </c>
      <c r="C9923" t="s">
        <v>55</v>
      </c>
      <c r="D9923">
        <v>65</v>
      </c>
      <c r="E9923" t="s">
        <v>466</v>
      </c>
    </row>
    <row r="9924" spans="1:5" x14ac:dyDescent="0.35">
      <c r="A9924">
        <v>2020</v>
      </c>
      <c r="B9924" t="s">
        <v>34</v>
      </c>
      <c r="C9924" t="s">
        <v>139</v>
      </c>
      <c r="D9924">
        <v>31</v>
      </c>
      <c r="E9924" t="s">
        <v>355</v>
      </c>
    </row>
    <row r="9925" spans="1:5" x14ac:dyDescent="0.35">
      <c r="A9925">
        <v>2020</v>
      </c>
      <c r="B9925" t="s">
        <v>36</v>
      </c>
      <c r="C9925" t="s">
        <v>56</v>
      </c>
      <c r="D9925">
        <v>169</v>
      </c>
      <c r="E9925" t="s">
        <v>466</v>
      </c>
    </row>
    <row r="9926" spans="1:5" x14ac:dyDescent="0.35">
      <c r="A9926">
        <v>2020</v>
      </c>
      <c r="B9926" t="s">
        <v>34</v>
      </c>
      <c r="C9926" t="s">
        <v>52</v>
      </c>
      <c r="D9926">
        <v>52</v>
      </c>
      <c r="E9926" t="s">
        <v>467</v>
      </c>
    </row>
    <row r="9927" spans="1:5" x14ac:dyDescent="0.35">
      <c r="A9927">
        <v>2020</v>
      </c>
      <c r="B9927" t="s">
        <v>33</v>
      </c>
      <c r="C9927" t="s">
        <v>57</v>
      </c>
      <c r="D9927">
        <v>36</v>
      </c>
      <c r="E9927" t="s">
        <v>466</v>
      </c>
    </row>
    <row r="9928" spans="1:5" x14ac:dyDescent="0.35">
      <c r="A9928">
        <v>2020</v>
      </c>
      <c r="B9928" t="s">
        <v>35</v>
      </c>
      <c r="C9928" t="s">
        <v>138</v>
      </c>
      <c r="D9928">
        <v>6</v>
      </c>
      <c r="E9928" t="s">
        <v>328</v>
      </c>
    </row>
    <row r="9929" spans="1:5" x14ac:dyDescent="0.35">
      <c r="A9929">
        <v>2020</v>
      </c>
      <c r="B9929" t="s">
        <v>34</v>
      </c>
      <c r="C9929" t="s">
        <v>58</v>
      </c>
      <c r="D9929">
        <v>14</v>
      </c>
      <c r="E9929" t="s">
        <v>466</v>
      </c>
    </row>
    <row r="9930" spans="1:5" x14ac:dyDescent="0.35">
      <c r="A9930">
        <v>2020</v>
      </c>
      <c r="B9930" t="s">
        <v>34</v>
      </c>
      <c r="C9930" t="s">
        <v>51</v>
      </c>
      <c r="E9930" t="s">
        <v>467</v>
      </c>
    </row>
    <row r="9931" spans="1:5" x14ac:dyDescent="0.35">
      <c r="A9931">
        <v>2020</v>
      </c>
      <c r="B9931" t="s">
        <v>35</v>
      </c>
      <c r="C9931" t="s">
        <v>81</v>
      </c>
      <c r="D9931">
        <v>88</v>
      </c>
      <c r="E9931" t="s">
        <v>466</v>
      </c>
    </row>
    <row r="9932" spans="1:5" x14ac:dyDescent="0.35">
      <c r="A9932">
        <v>2020</v>
      </c>
      <c r="B9932" t="s">
        <v>35</v>
      </c>
      <c r="C9932" t="s">
        <v>138</v>
      </c>
      <c r="D9932">
        <v>21</v>
      </c>
      <c r="E9932" t="s">
        <v>355</v>
      </c>
    </row>
    <row r="9933" spans="1:5" x14ac:dyDescent="0.35">
      <c r="A9933">
        <v>2020</v>
      </c>
      <c r="B9933" t="s">
        <v>35</v>
      </c>
      <c r="C9933" t="s">
        <v>214</v>
      </c>
      <c r="E9933" t="s">
        <v>466</v>
      </c>
    </row>
    <row r="9934" spans="1:5" x14ac:dyDescent="0.35">
      <c r="A9934">
        <v>2020</v>
      </c>
      <c r="B9934" t="s">
        <v>36</v>
      </c>
      <c r="C9934" t="s">
        <v>50</v>
      </c>
      <c r="D9934">
        <v>124</v>
      </c>
      <c r="E9934" t="s">
        <v>467</v>
      </c>
    </row>
    <row r="9935" spans="1:5" x14ac:dyDescent="0.35">
      <c r="A9935">
        <v>2020</v>
      </c>
      <c r="B9935" t="s">
        <v>33</v>
      </c>
      <c r="C9935" t="s">
        <v>89</v>
      </c>
      <c r="D9935">
        <v>268</v>
      </c>
      <c r="E9935" t="s">
        <v>466</v>
      </c>
    </row>
    <row r="9936" spans="1:5" x14ac:dyDescent="0.35">
      <c r="A9936">
        <v>2020</v>
      </c>
      <c r="B9936" t="s">
        <v>37</v>
      </c>
      <c r="C9936" t="s">
        <v>137</v>
      </c>
      <c r="D9936">
        <v>24</v>
      </c>
      <c r="E9936" t="s">
        <v>355</v>
      </c>
    </row>
    <row r="9937" spans="1:5" x14ac:dyDescent="0.35">
      <c r="A9937">
        <v>2020</v>
      </c>
      <c r="B9937" t="s">
        <v>33</v>
      </c>
      <c r="C9937" t="s">
        <v>83</v>
      </c>
      <c r="D9937">
        <v>3</v>
      </c>
      <c r="E9937" t="s">
        <v>466</v>
      </c>
    </row>
    <row r="9938" spans="1:5" x14ac:dyDescent="0.35">
      <c r="A9938">
        <v>2020</v>
      </c>
      <c r="B9938" t="s">
        <v>38</v>
      </c>
      <c r="C9938" t="s">
        <v>21</v>
      </c>
      <c r="D9938">
        <v>610</v>
      </c>
      <c r="E9938" t="s">
        <v>467</v>
      </c>
    </row>
    <row r="9939" spans="1:5" x14ac:dyDescent="0.35">
      <c r="A9939">
        <v>2020</v>
      </c>
      <c r="B9939" t="s">
        <v>35</v>
      </c>
      <c r="C9939" t="s">
        <v>106</v>
      </c>
      <c r="D9939">
        <v>4</v>
      </c>
      <c r="E9939" t="s">
        <v>466</v>
      </c>
    </row>
    <row r="9940" spans="1:5" x14ac:dyDescent="0.35">
      <c r="A9940">
        <v>2020</v>
      </c>
      <c r="B9940" t="s">
        <v>36</v>
      </c>
      <c r="C9940" t="s">
        <v>14</v>
      </c>
      <c r="D9940">
        <v>70268</v>
      </c>
      <c r="E9940" t="s">
        <v>328</v>
      </c>
    </row>
    <row r="9941" spans="1:5" x14ac:dyDescent="0.35">
      <c r="A9941">
        <v>2020</v>
      </c>
      <c r="B9941" t="s">
        <v>34</v>
      </c>
      <c r="C9941" t="s">
        <v>22</v>
      </c>
      <c r="D9941">
        <v>3413</v>
      </c>
      <c r="E9941" t="s">
        <v>466</v>
      </c>
    </row>
    <row r="9942" spans="1:5" x14ac:dyDescent="0.35">
      <c r="A9942">
        <v>2020</v>
      </c>
      <c r="B9942" t="s">
        <v>34</v>
      </c>
      <c r="C9942" t="s">
        <v>49</v>
      </c>
      <c r="D9942">
        <v>4</v>
      </c>
      <c r="E9942" t="s">
        <v>467</v>
      </c>
    </row>
    <row r="9943" spans="1:5" x14ac:dyDescent="0.35">
      <c r="A9943">
        <v>2020</v>
      </c>
      <c r="B9943" t="s">
        <v>34</v>
      </c>
      <c r="C9943" t="s">
        <v>107</v>
      </c>
      <c r="D9943">
        <v>247</v>
      </c>
      <c r="E9943" t="s">
        <v>466</v>
      </c>
    </row>
    <row r="9944" spans="1:5" x14ac:dyDescent="0.35">
      <c r="A9944">
        <v>2020</v>
      </c>
      <c r="B9944" t="s">
        <v>36</v>
      </c>
      <c r="C9944" t="s">
        <v>14</v>
      </c>
      <c r="D9944">
        <v>78438</v>
      </c>
      <c r="E9944" t="s">
        <v>355</v>
      </c>
    </row>
    <row r="9945" spans="1:5" x14ac:dyDescent="0.35">
      <c r="A9945">
        <v>2020</v>
      </c>
      <c r="B9945" t="s">
        <v>34</v>
      </c>
      <c r="C9945" t="s">
        <v>108</v>
      </c>
      <c r="D9945">
        <v>439</v>
      </c>
      <c r="E9945" t="s">
        <v>466</v>
      </c>
    </row>
    <row r="9946" spans="1:5" x14ac:dyDescent="0.35">
      <c r="A9946">
        <v>2020</v>
      </c>
      <c r="B9946" t="s">
        <v>37</v>
      </c>
      <c r="C9946" t="s">
        <v>47</v>
      </c>
      <c r="D9946">
        <v>340</v>
      </c>
      <c r="E9946" t="s">
        <v>467</v>
      </c>
    </row>
    <row r="9947" spans="1:5" x14ac:dyDescent="0.35">
      <c r="A9947">
        <v>2020</v>
      </c>
      <c r="B9947" t="s">
        <v>34</v>
      </c>
      <c r="C9947" t="s">
        <v>109</v>
      </c>
      <c r="D9947">
        <v>180</v>
      </c>
      <c r="E9947" t="s">
        <v>466</v>
      </c>
    </row>
    <row r="9948" spans="1:5" x14ac:dyDescent="0.35">
      <c r="A9948">
        <v>2020</v>
      </c>
      <c r="B9948" t="s">
        <v>33</v>
      </c>
      <c r="C9948" t="s">
        <v>135</v>
      </c>
      <c r="D9948">
        <v>19</v>
      </c>
      <c r="E9948" t="s">
        <v>328</v>
      </c>
    </row>
    <row r="9949" spans="1:5" x14ac:dyDescent="0.35">
      <c r="A9949">
        <v>2020</v>
      </c>
      <c r="B9949" t="s">
        <v>35</v>
      </c>
      <c r="C9949" t="s">
        <v>110</v>
      </c>
      <c r="D9949">
        <v>341</v>
      </c>
      <c r="E9949" t="s">
        <v>466</v>
      </c>
    </row>
    <row r="9950" spans="1:5" x14ac:dyDescent="0.35">
      <c r="A9950">
        <v>2020</v>
      </c>
      <c r="B9950" t="s">
        <v>34</v>
      </c>
      <c r="C9950" t="s">
        <v>46</v>
      </c>
      <c r="D9950">
        <v>34</v>
      </c>
      <c r="E9950" t="s">
        <v>467</v>
      </c>
    </row>
    <row r="9951" spans="1:5" x14ac:dyDescent="0.35">
      <c r="A9951">
        <v>2020</v>
      </c>
      <c r="B9951" t="s">
        <v>34</v>
      </c>
      <c r="C9951" t="s">
        <v>111</v>
      </c>
      <c r="D9951">
        <v>324</v>
      </c>
      <c r="E9951" t="s">
        <v>466</v>
      </c>
    </row>
    <row r="9952" spans="1:5" x14ac:dyDescent="0.35">
      <c r="A9952">
        <v>2020</v>
      </c>
      <c r="B9952" t="s">
        <v>33</v>
      </c>
      <c r="C9952" t="s">
        <v>135</v>
      </c>
      <c r="D9952">
        <v>6</v>
      </c>
      <c r="E9952" t="s">
        <v>355</v>
      </c>
    </row>
    <row r="9953" spans="1:5" x14ac:dyDescent="0.35">
      <c r="A9953">
        <v>2020</v>
      </c>
      <c r="B9953" t="s">
        <v>35</v>
      </c>
      <c r="C9953" t="s">
        <v>112</v>
      </c>
      <c r="D9953">
        <v>661</v>
      </c>
      <c r="E9953" t="s">
        <v>466</v>
      </c>
    </row>
    <row r="9954" spans="1:5" x14ac:dyDescent="0.35">
      <c r="A9954">
        <v>2020</v>
      </c>
      <c r="B9954" t="s">
        <v>38</v>
      </c>
      <c r="C9954" t="s">
        <v>45</v>
      </c>
      <c r="D9954">
        <v>95</v>
      </c>
      <c r="E9954" t="s">
        <v>467</v>
      </c>
    </row>
    <row r="9955" spans="1:5" x14ac:dyDescent="0.35">
      <c r="A9955">
        <v>2020</v>
      </c>
      <c r="B9955" t="s">
        <v>36</v>
      </c>
      <c r="C9955" t="s">
        <v>113</v>
      </c>
      <c r="D9955">
        <v>1902</v>
      </c>
      <c r="E9955" t="s">
        <v>466</v>
      </c>
    </row>
    <row r="9956" spans="1:5" x14ac:dyDescent="0.35">
      <c r="A9956">
        <v>2020</v>
      </c>
      <c r="B9956" t="s">
        <v>37</v>
      </c>
      <c r="C9956" t="s">
        <v>134</v>
      </c>
      <c r="D9956">
        <v>17</v>
      </c>
      <c r="E9956" t="s">
        <v>355</v>
      </c>
    </row>
    <row r="9957" spans="1:5" x14ac:dyDescent="0.35">
      <c r="A9957">
        <v>2020</v>
      </c>
      <c r="B9957" t="s">
        <v>35</v>
      </c>
      <c r="C9957" t="s">
        <v>105</v>
      </c>
      <c r="D9957">
        <v>165</v>
      </c>
      <c r="E9957" t="s">
        <v>466</v>
      </c>
    </row>
    <row r="9958" spans="1:5" x14ac:dyDescent="0.35">
      <c r="A9958">
        <v>2020</v>
      </c>
      <c r="B9958" t="s">
        <v>36</v>
      </c>
      <c r="C9958" t="s">
        <v>44</v>
      </c>
      <c r="D9958">
        <v>3</v>
      </c>
      <c r="E9958" t="s">
        <v>467</v>
      </c>
    </row>
    <row r="9959" spans="1:5" x14ac:dyDescent="0.35">
      <c r="A9959">
        <v>2020</v>
      </c>
      <c r="B9959" t="s">
        <v>34</v>
      </c>
      <c r="C9959" t="s">
        <v>124</v>
      </c>
      <c r="D9959">
        <v>184</v>
      </c>
      <c r="E9959" t="s">
        <v>466</v>
      </c>
    </row>
    <row r="9960" spans="1:5" x14ac:dyDescent="0.35">
      <c r="A9960">
        <v>2020</v>
      </c>
      <c r="B9960" t="s">
        <v>34</v>
      </c>
      <c r="C9960" t="s">
        <v>131</v>
      </c>
      <c r="D9960">
        <v>4</v>
      </c>
      <c r="E9960" t="s">
        <v>328</v>
      </c>
    </row>
    <row r="9961" spans="1:5" x14ac:dyDescent="0.35">
      <c r="A9961">
        <v>2020</v>
      </c>
      <c r="B9961" t="s">
        <v>34</v>
      </c>
      <c r="C9961" t="s">
        <v>122</v>
      </c>
      <c r="D9961">
        <v>145</v>
      </c>
      <c r="E9961" t="s">
        <v>466</v>
      </c>
    </row>
    <row r="9962" spans="1:5" x14ac:dyDescent="0.35">
      <c r="A9962">
        <v>2020</v>
      </c>
      <c r="B9962" t="s">
        <v>33</v>
      </c>
      <c r="C9962" t="s">
        <v>43</v>
      </c>
      <c r="D9962">
        <v>8</v>
      </c>
      <c r="E9962" t="s">
        <v>467</v>
      </c>
    </row>
    <row r="9963" spans="1:5" x14ac:dyDescent="0.35">
      <c r="A9963">
        <v>2020</v>
      </c>
      <c r="B9963" t="s">
        <v>34</v>
      </c>
      <c r="C9963" t="s">
        <v>121</v>
      </c>
      <c r="D9963">
        <v>53</v>
      </c>
      <c r="E9963" t="s">
        <v>466</v>
      </c>
    </row>
    <row r="9964" spans="1:5" x14ac:dyDescent="0.35">
      <c r="A9964">
        <v>2020</v>
      </c>
      <c r="B9964" t="s">
        <v>36</v>
      </c>
      <c r="C9964" t="s">
        <v>164</v>
      </c>
      <c r="E9964" t="s">
        <v>328</v>
      </c>
    </row>
    <row r="9965" spans="1:5" x14ac:dyDescent="0.35">
      <c r="A9965">
        <v>2020</v>
      </c>
      <c r="B9965" t="s">
        <v>34</v>
      </c>
      <c r="C9965" t="s">
        <v>120</v>
      </c>
      <c r="D9965">
        <v>55</v>
      </c>
      <c r="E9965" t="s">
        <v>466</v>
      </c>
    </row>
    <row r="9966" spans="1:5" x14ac:dyDescent="0.35">
      <c r="A9966">
        <v>2020</v>
      </c>
      <c r="B9966" t="s">
        <v>33</v>
      </c>
      <c r="C9966" t="s">
        <v>42</v>
      </c>
      <c r="D9966">
        <v>27</v>
      </c>
      <c r="E9966" t="s">
        <v>467</v>
      </c>
    </row>
    <row r="9967" spans="1:5" x14ac:dyDescent="0.35">
      <c r="A9967">
        <v>2020</v>
      </c>
      <c r="B9967" t="s">
        <v>35</v>
      </c>
      <c r="C9967" t="s">
        <v>119</v>
      </c>
      <c r="D9967">
        <v>63</v>
      </c>
      <c r="E9967" t="s">
        <v>466</v>
      </c>
    </row>
    <row r="9968" spans="1:5" x14ac:dyDescent="0.35">
      <c r="A9968">
        <v>2020</v>
      </c>
      <c r="B9968" t="s">
        <v>35</v>
      </c>
      <c r="C9968" t="s">
        <v>119</v>
      </c>
      <c r="D9968">
        <v>13</v>
      </c>
      <c r="E9968" t="s">
        <v>355</v>
      </c>
    </row>
    <row r="9969" spans="1:5" x14ac:dyDescent="0.35">
      <c r="A9969">
        <v>2020</v>
      </c>
      <c r="B9969" t="s">
        <v>34</v>
      </c>
      <c r="C9969" t="s">
        <v>118</v>
      </c>
      <c r="D9969">
        <v>1078</v>
      </c>
      <c r="E9969" t="s">
        <v>466</v>
      </c>
    </row>
    <row r="9970" spans="1:5" x14ac:dyDescent="0.35">
      <c r="A9970">
        <v>2020</v>
      </c>
      <c r="B9970" t="s">
        <v>35</v>
      </c>
      <c r="C9970" t="s">
        <v>41</v>
      </c>
      <c r="D9970">
        <v>24</v>
      </c>
      <c r="E9970" t="s">
        <v>467</v>
      </c>
    </row>
    <row r="9971" spans="1:5" x14ac:dyDescent="0.35">
      <c r="A9971">
        <v>2020</v>
      </c>
      <c r="B9971" t="s">
        <v>33</v>
      </c>
      <c r="C9971" t="s">
        <v>117</v>
      </c>
      <c r="D9971">
        <v>274</v>
      </c>
      <c r="E9971" t="s">
        <v>466</v>
      </c>
    </row>
    <row r="9972" spans="1:5" x14ac:dyDescent="0.35">
      <c r="A9972">
        <v>2020</v>
      </c>
      <c r="B9972" t="s">
        <v>36</v>
      </c>
      <c r="C9972" t="s">
        <v>165</v>
      </c>
      <c r="E9972" t="s">
        <v>328</v>
      </c>
    </row>
    <row r="9973" spans="1:5" x14ac:dyDescent="0.35">
      <c r="A9973">
        <v>2020</v>
      </c>
      <c r="B9973" t="s">
        <v>34</v>
      </c>
      <c r="C9973" t="s">
        <v>115</v>
      </c>
      <c r="D9973">
        <v>414</v>
      </c>
      <c r="E9973" t="s">
        <v>466</v>
      </c>
    </row>
    <row r="9974" spans="1:5" x14ac:dyDescent="0.35">
      <c r="A9974">
        <v>2020</v>
      </c>
      <c r="B9974" t="s">
        <v>34</v>
      </c>
      <c r="C9974" t="s">
        <v>40</v>
      </c>
      <c r="D9974">
        <v>23</v>
      </c>
      <c r="E9974" t="s">
        <v>467</v>
      </c>
    </row>
    <row r="9975" spans="1:5" x14ac:dyDescent="0.35">
      <c r="A9975">
        <v>2020</v>
      </c>
      <c r="B9975" t="s">
        <v>35</v>
      </c>
      <c r="C9975" t="s">
        <v>82</v>
      </c>
      <c r="D9975">
        <v>54</v>
      </c>
      <c r="E9975" t="s">
        <v>466</v>
      </c>
    </row>
    <row r="9976" spans="1:5" x14ac:dyDescent="0.35">
      <c r="A9976">
        <v>2020</v>
      </c>
      <c r="B9976" t="s">
        <v>33</v>
      </c>
      <c r="C9976" t="s">
        <v>195</v>
      </c>
      <c r="D9976">
        <v>17</v>
      </c>
      <c r="E9976" t="s">
        <v>328</v>
      </c>
    </row>
    <row r="9977" spans="1:5" x14ac:dyDescent="0.35">
      <c r="A9977">
        <v>2020</v>
      </c>
      <c r="B9977" t="s">
        <v>34</v>
      </c>
      <c r="C9977" t="s">
        <v>114</v>
      </c>
      <c r="D9977">
        <v>353</v>
      </c>
      <c r="E9977" t="s">
        <v>466</v>
      </c>
    </row>
    <row r="9978" spans="1:5" x14ac:dyDescent="0.35">
      <c r="A9978">
        <v>2020</v>
      </c>
      <c r="B9978" t="s">
        <v>33</v>
      </c>
      <c r="C9978" t="s">
        <v>89</v>
      </c>
      <c r="D9978">
        <v>6</v>
      </c>
      <c r="E9978" t="s">
        <v>467</v>
      </c>
    </row>
    <row r="9979" spans="1:5" x14ac:dyDescent="0.35">
      <c r="A9979">
        <v>2020</v>
      </c>
      <c r="B9979" t="s">
        <v>35</v>
      </c>
      <c r="C9979" t="s">
        <v>123</v>
      </c>
      <c r="D9979">
        <v>57</v>
      </c>
      <c r="E9979" t="s">
        <v>466</v>
      </c>
    </row>
    <row r="9980" spans="1:5" x14ac:dyDescent="0.35">
      <c r="A9980">
        <v>2020</v>
      </c>
      <c r="B9980" t="s">
        <v>33</v>
      </c>
      <c r="C9980" t="s">
        <v>195</v>
      </c>
      <c r="D9980">
        <v>11</v>
      </c>
      <c r="E9980" t="s">
        <v>355</v>
      </c>
    </row>
    <row r="9981" spans="1:5" x14ac:dyDescent="0.35">
      <c r="A9981">
        <v>2020</v>
      </c>
      <c r="B9981" t="s">
        <v>36</v>
      </c>
      <c r="C9981" t="s">
        <v>17</v>
      </c>
      <c r="D9981">
        <v>52920</v>
      </c>
      <c r="E9981" t="s">
        <v>466</v>
      </c>
    </row>
    <row r="9982" spans="1:5" x14ac:dyDescent="0.35">
      <c r="A9982">
        <v>2020</v>
      </c>
      <c r="B9982" t="s">
        <v>35</v>
      </c>
      <c r="C9982" t="s">
        <v>90</v>
      </c>
      <c r="D9982">
        <v>18</v>
      </c>
      <c r="E9982" t="s">
        <v>467</v>
      </c>
    </row>
    <row r="9983" spans="1:5" x14ac:dyDescent="0.35">
      <c r="A9983">
        <v>2020</v>
      </c>
      <c r="B9983" t="s">
        <v>34</v>
      </c>
      <c r="C9983" t="s">
        <v>116</v>
      </c>
      <c r="D9983">
        <v>142</v>
      </c>
      <c r="E9983" t="s">
        <v>466</v>
      </c>
    </row>
    <row r="9984" spans="1:5" x14ac:dyDescent="0.35">
      <c r="A9984">
        <v>2020</v>
      </c>
      <c r="B9984" t="s">
        <v>34</v>
      </c>
      <c r="C9984" t="s">
        <v>194</v>
      </c>
      <c r="D9984">
        <v>0</v>
      </c>
      <c r="E9984" t="s">
        <v>355</v>
      </c>
    </row>
    <row r="9985" spans="1:5" x14ac:dyDescent="0.35">
      <c r="A9985">
        <v>2020</v>
      </c>
      <c r="B9985" t="s">
        <v>38</v>
      </c>
      <c r="C9985" t="s">
        <v>103</v>
      </c>
      <c r="D9985">
        <v>276</v>
      </c>
      <c r="E9985" t="s">
        <v>466</v>
      </c>
    </row>
    <row r="9986" spans="1:5" x14ac:dyDescent="0.35">
      <c r="A9986">
        <v>2020</v>
      </c>
      <c r="B9986" t="s">
        <v>35</v>
      </c>
      <c r="C9986" t="s">
        <v>48</v>
      </c>
      <c r="D9986">
        <v>29</v>
      </c>
      <c r="E9986" t="s">
        <v>467</v>
      </c>
    </row>
    <row r="9987" spans="1:5" x14ac:dyDescent="0.35">
      <c r="A9987">
        <v>2020</v>
      </c>
      <c r="B9987" t="s">
        <v>36</v>
      </c>
      <c r="C9987" t="s">
        <v>85</v>
      </c>
      <c r="D9987">
        <v>3056</v>
      </c>
      <c r="E9987" t="s">
        <v>466</v>
      </c>
    </row>
    <row r="9988" spans="1:5" x14ac:dyDescent="0.35">
      <c r="A9988">
        <v>2020</v>
      </c>
      <c r="B9988" t="s">
        <v>34</v>
      </c>
      <c r="C9988" t="s">
        <v>193</v>
      </c>
      <c r="D9988">
        <v>30</v>
      </c>
      <c r="E9988" t="s">
        <v>328</v>
      </c>
    </row>
    <row r="9989" spans="1:5" x14ac:dyDescent="0.35">
      <c r="A9989">
        <v>2020</v>
      </c>
      <c r="B9989" t="s">
        <v>36</v>
      </c>
      <c r="C9989" t="s">
        <v>104</v>
      </c>
      <c r="D9989">
        <v>6316</v>
      </c>
      <c r="E9989" t="s">
        <v>466</v>
      </c>
    </row>
    <row r="9990" spans="1:5" x14ac:dyDescent="0.35">
      <c r="A9990">
        <v>2020</v>
      </c>
      <c r="B9990" t="s">
        <v>33</v>
      </c>
      <c r="C9990" t="s">
        <v>91</v>
      </c>
      <c r="D9990">
        <v>18</v>
      </c>
      <c r="E9990" t="s">
        <v>467</v>
      </c>
    </row>
    <row r="9991" spans="1:5" x14ac:dyDescent="0.35">
      <c r="A9991">
        <v>2020</v>
      </c>
      <c r="B9991" t="s">
        <v>36</v>
      </c>
      <c r="C9991" t="s">
        <v>84</v>
      </c>
      <c r="D9991">
        <v>30</v>
      </c>
      <c r="E9991" t="s">
        <v>466</v>
      </c>
    </row>
    <row r="9992" spans="1:5" x14ac:dyDescent="0.35">
      <c r="A9992">
        <v>2020</v>
      </c>
      <c r="B9992" t="s">
        <v>34</v>
      </c>
      <c r="C9992" t="s">
        <v>193</v>
      </c>
      <c r="D9992">
        <v>86</v>
      </c>
      <c r="E9992" t="s">
        <v>355</v>
      </c>
    </row>
    <row r="9993" spans="1:5" x14ac:dyDescent="0.35">
      <c r="A9993">
        <v>2020</v>
      </c>
      <c r="B9993" t="s">
        <v>33</v>
      </c>
      <c r="C9993" t="s">
        <v>87</v>
      </c>
      <c r="D9993">
        <v>301</v>
      </c>
      <c r="E9993" t="s">
        <v>466</v>
      </c>
    </row>
    <row r="9994" spans="1:5" x14ac:dyDescent="0.35">
      <c r="A9994">
        <v>2020</v>
      </c>
      <c r="B9994" t="s">
        <v>36</v>
      </c>
      <c r="C9994" t="s">
        <v>16</v>
      </c>
      <c r="D9994">
        <v>773</v>
      </c>
      <c r="E9994" t="s">
        <v>467</v>
      </c>
    </row>
    <row r="9995" spans="1:5" x14ac:dyDescent="0.35">
      <c r="A9995">
        <v>2020</v>
      </c>
      <c r="B9995" t="s">
        <v>36</v>
      </c>
      <c r="C9995" t="s">
        <v>16</v>
      </c>
      <c r="D9995">
        <v>23887</v>
      </c>
      <c r="E9995" t="s">
        <v>466</v>
      </c>
    </row>
    <row r="9996" spans="1:5" x14ac:dyDescent="0.35">
      <c r="A9996">
        <v>2020</v>
      </c>
      <c r="B9996" t="s">
        <v>33</v>
      </c>
      <c r="C9996" t="s">
        <v>192</v>
      </c>
      <c r="D9996">
        <v>3</v>
      </c>
      <c r="E9996" t="s">
        <v>328</v>
      </c>
    </row>
    <row r="9997" spans="1:5" x14ac:dyDescent="0.35">
      <c r="A9997">
        <v>2020</v>
      </c>
      <c r="B9997" t="s">
        <v>33</v>
      </c>
      <c r="C9997" t="s">
        <v>88</v>
      </c>
      <c r="D9997">
        <v>25</v>
      </c>
      <c r="E9997" t="s">
        <v>466</v>
      </c>
    </row>
    <row r="9998" spans="1:5" x14ac:dyDescent="0.35">
      <c r="A9998">
        <v>2020</v>
      </c>
      <c r="B9998" t="s">
        <v>34</v>
      </c>
      <c r="C9998" t="s">
        <v>64</v>
      </c>
      <c r="D9998">
        <v>6</v>
      </c>
      <c r="E9998" t="s">
        <v>467</v>
      </c>
    </row>
    <row r="9999" spans="1:5" x14ac:dyDescent="0.35">
      <c r="A9999">
        <v>2020</v>
      </c>
      <c r="B9999" t="s">
        <v>35</v>
      </c>
      <c r="C9999" t="s">
        <v>90</v>
      </c>
      <c r="D9999">
        <v>24</v>
      </c>
      <c r="E9999" t="s">
        <v>466</v>
      </c>
    </row>
    <row r="10000" spans="1:5" x14ac:dyDescent="0.35">
      <c r="A10000">
        <v>2020</v>
      </c>
      <c r="B10000" t="s">
        <v>33</v>
      </c>
      <c r="C10000" t="s">
        <v>192</v>
      </c>
      <c r="D10000">
        <v>11</v>
      </c>
      <c r="E10000" t="s">
        <v>355</v>
      </c>
    </row>
    <row r="10001" spans="1:5" x14ac:dyDescent="0.35">
      <c r="A10001">
        <v>2020</v>
      </c>
      <c r="B10001" t="s">
        <v>33</v>
      </c>
      <c r="C10001" t="s">
        <v>91</v>
      </c>
      <c r="D10001">
        <v>132</v>
      </c>
      <c r="E10001" t="s">
        <v>466</v>
      </c>
    </row>
    <row r="10002" spans="1:5" x14ac:dyDescent="0.35">
      <c r="A10002">
        <v>2020</v>
      </c>
      <c r="B10002" t="s">
        <v>33</v>
      </c>
      <c r="C10002" t="s">
        <v>148</v>
      </c>
      <c r="D10002">
        <v>3</v>
      </c>
      <c r="E10002" t="s">
        <v>467</v>
      </c>
    </row>
    <row r="10003" spans="1:5" x14ac:dyDescent="0.35">
      <c r="A10003">
        <v>2020</v>
      </c>
      <c r="B10003" t="s">
        <v>37</v>
      </c>
      <c r="C10003" t="s">
        <v>92</v>
      </c>
      <c r="D10003">
        <v>42</v>
      </c>
      <c r="E10003" t="s">
        <v>466</v>
      </c>
    </row>
    <row r="10004" spans="1:5" x14ac:dyDescent="0.35">
      <c r="A10004">
        <v>2020</v>
      </c>
      <c r="B10004" t="s">
        <v>36</v>
      </c>
      <c r="C10004" t="s">
        <v>191</v>
      </c>
      <c r="D10004">
        <v>8</v>
      </c>
      <c r="E10004" t="s">
        <v>328</v>
      </c>
    </row>
    <row r="10005" spans="1:5" x14ac:dyDescent="0.35">
      <c r="A10005">
        <v>2020</v>
      </c>
      <c r="B10005" t="s">
        <v>35</v>
      </c>
      <c r="C10005" t="s">
        <v>93</v>
      </c>
      <c r="D10005">
        <v>18</v>
      </c>
      <c r="E10005" t="s">
        <v>466</v>
      </c>
    </row>
    <row r="10006" spans="1:5" x14ac:dyDescent="0.35">
      <c r="A10006">
        <v>2020</v>
      </c>
      <c r="B10006" t="s">
        <v>33</v>
      </c>
      <c r="C10006" t="s">
        <v>87</v>
      </c>
      <c r="D10006">
        <v>113</v>
      </c>
      <c r="E10006" t="s">
        <v>467</v>
      </c>
    </row>
    <row r="10007" spans="1:5" x14ac:dyDescent="0.35">
      <c r="A10007">
        <v>2020</v>
      </c>
      <c r="B10007" t="s">
        <v>38</v>
      </c>
      <c r="C10007" t="s">
        <v>86</v>
      </c>
      <c r="D10007">
        <v>13808</v>
      </c>
      <c r="E10007" t="s">
        <v>466</v>
      </c>
    </row>
    <row r="10008" spans="1:5" x14ac:dyDescent="0.35">
      <c r="A10008">
        <v>2020</v>
      </c>
      <c r="B10008" t="s">
        <v>36</v>
      </c>
      <c r="C10008" t="s">
        <v>191</v>
      </c>
      <c r="D10008">
        <v>77</v>
      </c>
      <c r="E10008" t="s">
        <v>355</v>
      </c>
    </row>
    <row r="10009" spans="1:5" x14ac:dyDescent="0.35">
      <c r="A10009">
        <v>2020</v>
      </c>
      <c r="B10009" t="s">
        <v>33</v>
      </c>
      <c r="C10009" t="s">
        <v>95</v>
      </c>
      <c r="D10009">
        <v>17</v>
      </c>
      <c r="E10009" t="s">
        <v>466</v>
      </c>
    </row>
    <row r="10010" spans="1:5" x14ac:dyDescent="0.35">
      <c r="A10010">
        <v>2020</v>
      </c>
      <c r="B10010" t="s">
        <v>38</v>
      </c>
      <c r="C10010" t="s">
        <v>86</v>
      </c>
      <c r="D10010">
        <v>358</v>
      </c>
      <c r="E10010" t="s">
        <v>467</v>
      </c>
    </row>
    <row r="10011" spans="1:5" x14ac:dyDescent="0.35">
      <c r="A10011">
        <v>2020</v>
      </c>
      <c r="B10011" t="s">
        <v>33</v>
      </c>
      <c r="C10011" t="s">
        <v>96</v>
      </c>
      <c r="D10011">
        <v>66</v>
      </c>
      <c r="E10011" t="s">
        <v>466</v>
      </c>
    </row>
    <row r="10012" spans="1:5" x14ac:dyDescent="0.35">
      <c r="A10012">
        <v>2020</v>
      </c>
      <c r="B10012" t="s">
        <v>37</v>
      </c>
      <c r="C10012" t="s">
        <v>190</v>
      </c>
      <c r="D10012">
        <v>3</v>
      </c>
      <c r="E10012" t="s">
        <v>328</v>
      </c>
    </row>
    <row r="10013" spans="1:5" x14ac:dyDescent="0.35">
      <c r="A10013">
        <v>2020</v>
      </c>
      <c r="B10013" t="s">
        <v>34</v>
      </c>
      <c r="C10013" t="s">
        <v>8</v>
      </c>
      <c r="D10013">
        <v>127</v>
      </c>
      <c r="E10013" t="s">
        <v>466</v>
      </c>
    </row>
    <row r="10014" spans="1:5" x14ac:dyDescent="0.35">
      <c r="A10014">
        <v>2020</v>
      </c>
      <c r="B10014" t="s">
        <v>36</v>
      </c>
      <c r="C10014" t="s">
        <v>85</v>
      </c>
      <c r="D10014">
        <v>446</v>
      </c>
      <c r="E10014" t="s">
        <v>467</v>
      </c>
    </row>
    <row r="10015" spans="1:5" x14ac:dyDescent="0.35">
      <c r="A10015">
        <v>2020</v>
      </c>
      <c r="B10015" t="s">
        <v>35</v>
      </c>
      <c r="C10015" t="s">
        <v>97</v>
      </c>
      <c r="D10015">
        <v>392</v>
      </c>
      <c r="E10015" t="s">
        <v>466</v>
      </c>
    </row>
    <row r="10016" spans="1:5" x14ac:dyDescent="0.35">
      <c r="A10016">
        <v>2020</v>
      </c>
      <c r="B10016" t="s">
        <v>37</v>
      </c>
      <c r="C10016" t="s">
        <v>190</v>
      </c>
      <c r="D10016">
        <v>32</v>
      </c>
      <c r="E10016" t="s">
        <v>355</v>
      </c>
    </row>
    <row r="10017" spans="1:5" x14ac:dyDescent="0.35">
      <c r="A10017">
        <v>2020</v>
      </c>
      <c r="B10017" t="s">
        <v>33</v>
      </c>
      <c r="C10017" t="s">
        <v>98</v>
      </c>
      <c r="D10017">
        <v>520</v>
      </c>
      <c r="E10017" t="s">
        <v>466</v>
      </c>
    </row>
    <row r="10018" spans="1:5" x14ac:dyDescent="0.35">
      <c r="A10018">
        <v>2020</v>
      </c>
      <c r="B10018" t="s">
        <v>36</v>
      </c>
      <c r="C10018" t="s">
        <v>84</v>
      </c>
      <c r="D10018">
        <v>11</v>
      </c>
      <c r="E10018" t="s">
        <v>467</v>
      </c>
    </row>
    <row r="10019" spans="1:5" x14ac:dyDescent="0.35">
      <c r="A10019">
        <v>2020</v>
      </c>
      <c r="B10019" t="s">
        <v>35</v>
      </c>
      <c r="C10019" t="s">
        <v>99</v>
      </c>
      <c r="D10019">
        <v>84</v>
      </c>
      <c r="E10019" t="s">
        <v>466</v>
      </c>
    </row>
    <row r="10020" spans="1:5" x14ac:dyDescent="0.35">
      <c r="A10020">
        <v>2020</v>
      </c>
      <c r="B10020" t="s">
        <v>33</v>
      </c>
      <c r="C10020" t="s">
        <v>189</v>
      </c>
      <c r="D10020">
        <v>7</v>
      </c>
      <c r="E10020" t="s">
        <v>328</v>
      </c>
    </row>
    <row r="10021" spans="1:5" x14ac:dyDescent="0.35">
      <c r="A10021">
        <v>2020</v>
      </c>
      <c r="B10021" t="s">
        <v>36</v>
      </c>
      <c r="C10021" t="s">
        <v>100</v>
      </c>
      <c r="D10021">
        <v>24</v>
      </c>
      <c r="E10021" t="s">
        <v>466</v>
      </c>
    </row>
    <row r="10022" spans="1:5" x14ac:dyDescent="0.35">
      <c r="A10022">
        <v>2020</v>
      </c>
      <c r="B10022" t="s">
        <v>35</v>
      </c>
      <c r="C10022" t="s">
        <v>82</v>
      </c>
      <c r="D10022">
        <v>45</v>
      </c>
      <c r="E10022" t="s">
        <v>467</v>
      </c>
    </row>
    <row r="10023" spans="1:5" x14ac:dyDescent="0.35">
      <c r="A10023">
        <v>2020</v>
      </c>
      <c r="B10023" t="s">
        <v>33</v>
      </c>
      <c r="C10023" t="s">
        <v>102</v>
      </c>
      <c r="D10023">
        <v>8</v>
      </c>
      <c r="E10023" t="s">
        <v>466</v>
      </c>
    </row>
    <row r="10024" spans="1:5" x14ac:dyDescent="0.35">
      <c r="A10024">
        <v>2020</v>
      </c>
      <c r="B10024" t="s">
        <v>33</v>
      </c>
      <c r="C10024" t="s">
        <v>189</v>
      </c>
      <c r="D10024">
        <v>7</v>
      </c>
      <c r="E10024" t="s">
        <v>355</v>
      </c>
    </row>
    <row r="10025" spans="1:5" x14ac:dyDescent="0.35">
      <c r="A10025">
        <v>2020</v>
      </c>
      <c r="B10025" t="s">
        <v>33</v>
      </c>
      <c r="C10025" t="s">
        <v>101</v>
      </c>
      <c r="D10025">
        <v>147</v>
      </c>
      <c r="E10025" t="s">
        <v>466</v>
      </c>
    </row>
    <row r="10026" spans="1:5" x14ac:dyDescent="0.35">
      <c r="A10026">
        <v>2020</v>
      </c>
      <c r="B10026" t="s">
        <v>35</v>
      </c>
      <c r="C10026" t="s">
        <v>81</v>
      </c>
      <c r="D10026">
        <v>53</v>
      </c>
      <c r="E10026" t="s">
        <v>467</v>
      </c>
    </row>
    <row r="10027" spans="1:5" x14ac:dyDescent="0.35">
      <c r="A10027">
        <v>2020</v>
      </c>
      <c r="B10027" t="s">
        <v>35</v>
      </c>
      <c r="C10027" t="s">
        <v>94</v>
      </c>
      <c r="D10027">
        <v>554</v>
      </c>
      <c r="E10027" t="s">
        <v>466</v>
      </c>
    </row>
    <row r="10028" spans="1:5" x14ac:dyDescent="0.35">
      <c r="A10028">
        <v>2020</v>
      </c>
      <c r="B10028" t="s">
        <v>34</v>
      </c>
      <c r="C10028" t="s">
        <v>188</v>
      </c>
      <c r="D10028">
        <v>8</v>
      </c>
      <c r="E10028" t="s">
        <v>328</v>
      </c>
    </row>
    <row r="10029" spans="1:5" x14ac:dyDescent="0.35">
      <c r="A10029">
        <v>2020</v>
      </c>
      <c r="B10029" t="s">
        <v>36</v>
      </c>
      <c r="C10029" t="s">
        <v>15</v>
      </c>
      <c r="D10029">
        <v>62848</v>
      </c>
      <c r="E10029" t="s">
        <v>466</v>
      </c>
    </row>
    <row r="10030" spans="1:5" x14ac:dyDescent="0.35">
      <c r="A10030">
        <v>2020</v>
      </c>
      <c r="B10030" t="s">
        <v>34</v>
      </c>
      <c r="C10030" t="s">
        <v>80</v>
      </c>
      <c r="D10030">
        <v>6</v>
      </c>
      <c r="E10030" t="s">
        <v>467</v>
      </c>
    </row>
    <row r="10031" spans="1:5" x14ac:dyDescent="0.35">
      <c r="A10031">
        <v>2020</v>
      </c>
      <c r="B10031" t="s">
        <v>34</v>
      </c>
      <c r="C10031" t="s">
        <v>188</v>
      </c>
      <c r="D10031">
        <v>96</v>
      </c>
      <c r="E10031" t="s">
        <v>355</v>
      </c>
    </row>
    <row r="10032" spans="1:5" x14ac:dyDescent="0.35">
      <c r="A10032">
        <v>2020</v>
      </c>
      <c r="B10032" t="s">
        <v>36</v>
      </c>
      <c r="C10032" t="s">
        <v>79</v>
      </c>
      <c r="D10032">
        <v>103</v>
      </c>
      <c r="E10032" t="s">
        <v>467</v>
      </c>
    </row>
    <row r="10033" spans="1:5" x14ac:dyDescent="0.35">
      <c r="A10033">
        <v>2020</v>
      </c>
      <c r="B10033" t="s">
        <v>35</v>
      </c>
      <c r="C10033" t="s">
        <v>196</v>
      </c>
      <c r="D10033">
        <v>86</v>
      </c>
      <c r="E10033" t="s">
        <v>355</v>
      </c>
    </row>
    <row r="10034" spans="1:5" x14ac:dyDescent="0.35">
      <c r="A10034">
        <v>2020</v>
      </c>
      <c r="B10034" t="s">
        <v>35</v>
      </c>
      <c r="C10034" t="s">
        <v>78</v>
      </c>
      <c r="D10034">
        <v>8</v>
      </c>
      <c r="E10034" t="s">
        <v>467</v>
      </c>
    </row>
    <row r="10035" spans="1:5" x14ac:dyDescent="0.35">
      <c r="A10035">
        <v>2020</v>
      </c>
      <c r="B10035" t="s">
        <v>33</v>
      </c>
      <c r="C10035" t="s">
        <v>187</v>
      </c>
      <c r="E10035" t="s">
        <v>328</v>
      </c>
    </row>
    <row r="10036" spans="1:5" x14ac:dyDescent="0.35">
      <c r="A10036">
        <v>2020</v>
      </c>
      <c r="B10036" t="s">
        <v>33</v>
      </c>
      <c r="C10036" t="s">
        <v>63</v>
      </c>
      <c r="D10036">
        <v>5</v>
      </c>
      <c r="E10036" t="s">
        <v>467</v>
      </c>
    </row>
    <row r="10037" spans="1:5" x14ac:dyDescent="0.35">
      <c r="A10037">
        <v>2020</v>
      </c>
      <c r="B10037" t="s">
        <v>35</v>
      </c>
      <c r="C10037" t="s">
        <v>196</v>
      </c>
      <c r="D10037">
        <v>50</v>
      </c>
      <c r="E10037" t="s">
        <v>328</v>
      </c>
    </row>
    <row r="10038" spans="1:5" x14ac:dyDescent="0.35">
      <c r="A10038">
        <v>2020</v>
      </c>
      <c r="B10038" t="s">
        <v>33</v>
      </c>
      <c r="C10038" t="s">
        <v>77</v>
      </c>
      <c r="D10038">
        <v>8</v>
      </c>
      <c r="E10038" t="s">
        <v>467</v>
      </c>
    </row>
    <row r="10039" spans="1:5" x14ac:dyDescent="0.35">
      <c r="A10039">
        <v>2020</v>
      </c>
      <c r="B10039" t="s">
        <v>35</v>
      </c>
      <c r="C10039" t="s">
        <v>198</v>
      </c>
      <c r="D10039">
        <v>77</v>
      </c>
      <c r="E10039" t="s">
        <v>328</v>
      </c>
    </row>
    <row r="10040" spans="1:5" x14ac:dyDescent="0.35">
      <c r="A10040">
        <v>2020</v>
      </c>
      <c r="B10040" t="s">
        <v>33</v>
      </c>
      <c r="C10040" t="s">
        <v>75</v>
      </c>
      <c r="E10040" t="s">
        <v>467</v>
      </c>
    </row>
    <row r="10041" spans="1:5" x14ac:dyDescent="0.35">
      <c r="A10041">
        <v>2020</v>
      </c>
      <c r="B10041" t="s">
        <v>33</v>
      </c>
      <c r="C10041" t="s">
        <v>204</v>
      </c>
      <c r="D10041">
        <v>14</v>
      </c>
      <c r="E10041" t="s">
        <v>355</v>
      </c>
    </row>
    <row r="10042" spans="1:5" x14ac:dyDescent="0.35">
      <c r="A10042">
        <v>2020</v>
      </c>
      <c r="B10042" t="s">
        <v>33</v>
      </c>
      <c r="C10042" t="s">
        <v>74</v>
      </c>
      <c r="D10042">
        <v>13</v>
      </c>
      <c r="E10042" t="s">
        <v>467</v>
      </c>
    </row>
    <row r="10043" spans="1:5" x14ac:dyDescent="0.35">
      <c r="A10043">
        <v>2020</v>
      </c>
      <c r="B10043" t="s">
        <v>33</v>
      </c>
      <c r="C10043" t="s">
        <v>203</v>
      </c>
      <c r="D10043">
        <v>5</v>
      </c>
      <c r="E10043" t="s">
        <v>328</v>
      </c>
    </row>
    <row r="10044" spans="1:5" x14ac:dyDescent="0.35">
      <c r="A10044">
        <v>2020</v>
      </c>
      <c r="B10044" t="s">
        <v>38</v>
      </c>
      <c r="C10044" t="s">
        <v>20</v>
      </c>
      <c r="D10044">
        <v>493</v>
      </c>
      <c r="E10044" t="s">
        <v>467</v>
      </c>
    </row>
    <row r="10045" spans="1:5" x14ac:dyDescent="0.35">
      <c r="A10045">
        <v>2020</v>
      </c>
      <c r="B10045" t="s">
        <v>33</v>
      </c>
      <c r="C10045" t="s">
        <v>203</v>
      </c>
      <c r="D10045">
        <v>11</v>
      </c>
      <c r="E10045" t="s">
        <v>355</v>
      </c>
    </row>
    <row r="10046" spans="1:5" x14ac:dyDescent="0.35">
      <c r="A10046">
        <v>2020</v>
      </c>
      <c r="B10046" t="s">
        <v>34</v>
      </c>
      <c r="C10046" t="s">
        <v>73</v>
      </c>
      <c r="D10046">
        <v>909</v>
      </c>
      <c r="E10046" t="s">
        <v>467</v>
      </c>
    </row>
    <row r="10047" spans="1:5" x14ac:dyDescent="0.35">
      <c r="A10047">
        <v>2020</v>
      </c>
      <c r="B10047" t="s">
        <v>34</v>
      </c>
      <c r="C10047" t="s">
        <v>202</v>
      </c>
      <c r="D10047">
        <v>9</v>
      </c>
      <c r="E10047" t="s">
        <v>328</v>
      </c>
    </row>
    <row r="10048" spans="1:5" x14ac:dyDescent="0.35">
      <c r="A10048">
        <v>2020</v>
      </c>
      <c r="B10048" t="s">
        <v>38</v>
      </c>
      <c r="C10048" t="s">
        <v>72</v>
      </c>
      <c r="D10048">
        <v>467</v>
      </c>
      <c r="E10048" t="s">
        <v>467</v>
      </c>
    </row>
    <row r="10049" spans="1:5" x14ac:dyDescent="0.35">
      <c r="A10049">
        <v>2020</v>
      </c>
      <c r="B10049" t="s">
        <v>34</v>
      </c>
      <c r="C10049" t="s">
        <v>202</v>
      </c>
      <c r="D10049">
        <v>7</v>
      </c>
      <c r="E10049" t="s">
        <v>355</v>
      </c>
    </row>
    <row r="10050" spans="1:5" x14ac:dyDescent="0.35">
      <c r="A10050">
        <v>2020</v>
      </c>
      <c r="B10050" t="s">
        <v>36</v>
      </c>
      <c r="C10050" t="s">
        <v>69</v>
      </c>
      <c r="D10050">
        <v>7440</v>
      </c>
      <c r="E10050" t="s">
        <v>467</v>
      </c>
    </row>
    <row r="10051" spans="1:5" x14ac:dyDescent="0.35">
      <c r="A10051">
        <v>2020</v>
      </c>
      <c r="B10051" t="s">
        <v>34</v>
      </c>
      <c r="C10051" t="s">
        <v>201</v>
      </c>
      <c r="D10051">
        <v>29</v>
      </c>
      <c r="E10051" t="s">
        <v>328</v>
      </c>
    </row>
    <row r="10052" spans="1:5" x14ac:dyDescent="0.35">
      <c r="A10052">
        <v>2020</v>
      </c>
      <c r="B10052" t="s">
        <v>33</v>
      </c>
      <c r="C10052" t="s">
        <v>68</v>
      </c>
      <c r="D10052">
        <v>12</v>
      </c>
      <c r="E10052" t="s">
        <v>467</v>
      </c>
    </row>
    <row r="10053" spans="1:5" x14ac:dyDescent="0.35">
      <c r="A10053">
        <v>2020</v>
      </c>
      <c r="B10053" t="s">
        <v>34</v>
      </c>
      <c r="C10053" t="s">
        <v>201</v>
      </c>
      <c r="D10053">
        <v>80</v>
      </c>
      <c r="E10053" t="s">
        <v>355</v>
      </c>
    </row>
    <row r="10054" spans="1:5" x14ac:dyDescent="0.35">
      <c r="A10054">
        <v>2020</v>
      </c>
      <c r="B10054" t="s">
        <v>34</v>
      </c>
      <c r="C10054" t="s">
        <v>67</v>
      </c>
      <c r="D10054">
        <v>6</v>
      </c>
      <c r="E10054" t="s">
        <v>467</v>
      </c>
    </row>
    <row r="10055" spans="1:5" x14ac:dyDescent="0.35">
      <c r="A10055">
        <v>2020</v>
      </c>
      <c r="B10055" t="s">
        <v>38</v>
      </c>
      <c r="C10055" t="s">
        <v>19</v>
      </c>
      <c r="D10055">
        <v>101</v>
      </c>
      <c r="E10055" t="s">
        <v>328</v>
      </c>
    </row>
    <row r="10056" spans="1:5" x14ac:dyDescent="0.35">
      <c r="A10056">
        <v>2020</v>
      </c>
      <c r="B10056" t="s">
        <v>33</v>
      </c>
      <c r="C10056" t="s">
        <v>66</v>
      </c>
      <c r="D10056">
        <v>6</v>
      </c>
      <c r="E10056" t="s">
        <v>467</v>
      </c>
    </row>
    <row r="10057" spans="1:5" x14ac:dyDescent="0.35">
      <c r="A10057">
        <v>2020</v>
      </c>
      <c r="B10057" t="s">
        <v>38</v>
      </c>
      <c r="C10057" t="s">
        <v>19</v>
      </c>
      <c r="D10057">
        <v>707</v>
      </c>
      <c r="E10057" t="s">
        <v>355</v>
      </c>
    </row>
    <row r="10058" spans="1:5" x14ac:dyDescent="0.35">
      <c r="A10058">
        <v>2020</v>
      </c>
      <c r="B10058" t="s">
        <v>33</v>
      </c>
      <c r="C10058" t="s">
        <v>65</v>
      </c>
      <c r="D10058">
        <v>3</v>
      </c>
      <c r="E10058" t="s">
        <v>467</v>
      </c>
    </row>
    <row r="10059" spans="1:5" x14ac:dyDescent="0.35">
      <c r="A10059">
        <v>2020</v>
      </c>
      <c r="B10059" t="s">
        <v>34</v>
      </c>
      <c r="C10059" t="s">
        <v>200</v>
      </c>
      <c r="D10059">
        <v>40</v>
      </c>
      <c r="E10059" t="s">
        <v>328</v>
      </c>
    </row>
    <row r="10060" spans="1:5" x14ac:dyDescent="0.35">
      <c r="A10060">
        <v>2020</v>
      </c>
      <c r="B10060" t="s">
        <v>36</v>
      </c>
      <c r="C10060" t="s">
        <v>76</v>
      </c>
      <c r="D10060">
        <v>65</v>
      </c>
      <c r="E10060" t="s">
        <v>467</v>
      </c>
    </row>
    <row r="10061" spans="1:5" x14ac:dyDescent="0.35">
      <c r="A10061">
        <v>2020</v>
      </c>
      <c r="B10061" t="s">
        <v>34</v>
      </c>
      <c r="C10061" t="s">
        <v>200</v>
      </c>
      <c r="D10061">
        <v>5</v>
      </c>
      <c r="E10061" t="s">
        <v>355</v>
      </c>
    </row>
    <row r="10062" spans="1:5" x14ac:dyDescent="0.35">
      <c r="A10062">
        <v>2020</v>
      </c>
      <c r="B10062" t="s">
        <v>37</v>
      </c>
      <c r="C10062" t="s">
        <v>92</v>
      </c>
      <c r="D10062">
        <v>12</v>
      </c>
      <c r="E10062" t="s">
        <v>467</v>
      </c>
    </row>
    <row r="10063" spans="1:5" x14ac:dyDescent="0.35">
      <c r="A10063">
        <v>2020</v>
      </c>
      <c r="B10063" t="s">
        <v>38</v>
      </c>
      <c r="C10063" t="s">
        <v>199</v>
      </c>
      <c r="D10063">
        <v>6</v>
      </c>
      <c r="E10063" t="s">
        <v>328</v>
      </c>
    </row>
    <row r="10064" spans="1:5" x14ac:dyDescent="0.35">
      <c r="A10064">
        <v>2020</v>
      </c>
      <c r="B10064" t="s">
        <v>35</v>
      </c>
      <c r="C10064" t="s">
        <v>62</v>
      </c>
      <c r="D10064">
        <v>16</v>
      </c>
      <c r="E10064" t="s">
        <v>467</v>
      </c>
    </row>
    <row r="10065" spans="1:5" x14ac:dyDescent="0.35">
      <c r="A10065">
        <v>2020</v>
      </c>
      <c r="B10065" t="s">
        <v>38</v>
      </c>
      <c r="C10065" t="s">
        <v>199</v>
      </c>
      <c r="D10065">
        <v>23</v>
      </c>
      <c r="E10065" t="s">
        <v>355</v>
      </c>
    </row>
    <row r="10066" spans="1:5" x14ac:dyDescent="0.35">
      <c r="A10066">
        <v>2020</v>
      </c>
      <c r="B10066" t="s">
        <v>35</v>
      </c>
      <c r="C10066" t="s">
        <v>94</v>
      </c>
      <c r="D10066">
        <v>382</v>
      </c>
      <c r="E10066" t="s">
        <v>467</v>
      </c>
    </row>
    <row r="10067" spans="1:5" x14ac:dyDescent="0.35">
      <c r="A10067">
        <v>2020</v>
      </c>
      <c r="B10067" t="s">
        <v>39</v>
      </c>
      <c r="C10067" t="s">
        <v>39</v>
      </c>
      <c r="D10067">
        <v>20</v>
      </c>
      <c r="E10067" t="s">
        <v>328</v>
      </c>
    </row>
    <row r="10068" spans="1:5" x14ac:dyDescent="0.35">
      <c r="A10068">
        <v>2020</v>
      </c>
      <c r="B10068" t="s">
        <v>35</v>
      </c>
      <c r="C10068" t="s">
        <v>119</v>
      </c>
      <c r="D10068">
        <v>6</v>
      </c>
      <c r="E10068" t="s">
        <v>467</v>
      </c>
    </row>
    <row r="10069" spans="1:5" x14ac:dyDescent="0.35">
      <c r="A10069">
        <v>2020</v>
      </c>
      <c r="B10069" t="s">
        <v>39</v>
      </c>
      <c r="C10069" t="s">
        <v>39</v>
      </c>
      <c r="D10069">
        <v>14</v>
      </c>
      <c r="E10069" t="s">
        <v>355</v>
      </c>
    </row>
    <row r="10070" spans="1:5" x14ac:dyDescent="0.35">
      <c r="A10070">
        <v>2020</v>
      </c>
      <c r="B10070" t="s">
        <v>34</v>
      </c>
      <c r="C10070" t="s">
        <v>120</v>
      </c>
      <c r="D10070">
        <v>32</v>
      </c>
      <c r="E10070" t="s">
        <v>467</v>
      </c>
    </row>
    <row r="10071" spans="1:5" x14ac:dyDescent="0.35">
      <c r="A10071">
        <v>2020</v>
      </c>
      <c r="B10071" t="s">
        <v>35</v>
      </c>
      <c r="C10071" t="s">
        <v>198</v>
      </c>
      <c r="D10071">
        <v>96</v>
      </c>
      <c r="E10071" t="s">
        <v>355</v>
      </c>
    </row>
    <row r="10072" spans="1:5" x14ac:dyDescent="0.35">
      <c r="A10072">
        <v>2020</v>
      </c>
      <c r="B10072" t="s">
        <v>34</v>
      </c>
      <c r="C10072" t="s">
        <v>121</v>
      </c>
      <c r="D10072">
        <v>3</v>
      </c>
      <c r="E10072" t="s">
        <v>467</v>
      </c>
    </row>
    <row r="10073" spans="1:5" x14ac:dyDescent="0.35">
      <c r="A10073">
        <v>2020</v>
      </c>
      <c r="B10073" t="s">
        <v>33</v>
      </c>
      <c r="C10073" t="s">
        <v>187</v>
      </c>
      <c r="E10073" t="s">
        <v>355</v>
      </c>
    </row>
    <row r="10074" spans="1:5" x14ac:dyDescent="0.35">
      <c r="A10074">
        <v>2020</v>
      </c>
      <c r="B10074" t="s">
        <v>34</v>
      </c>
      <c r="C10074" t="s">
        <v>122</v>
      </c>
      <c r="E10074" t="s">
        <v>467</v>
      </c>
    </row>
    <row r="10075" spans="1:5" x14ac:dyDescent="0.35">
      <c r="A10075">
        <v>2020</v>
      </c>
      <c r="B10075" t="s">
        <v>34</v>
      </c>
      <c r="C10075" t="s">
        <v>186</v>
      </c>
      <c r="E10075" t="s">
        <v>328</v>
      </c>
    </row>
    <row r="10076" spans="1:5" x14ac:dyDescent="0.35">
      <c r="A10076">
        <v>2020</v>
      </c>
      <c r="B10076" t="s">
        <v>35</v>
      </c>
      <c r="C10076" t="s">
        <v>123</v>
      </c>
      <c r="D10076">
        <v>35</v>
      </c>
      <c r="E10076" t="s">
        <v>467</v>
      </c>
    </row>
    <row r="10077" spans="1:5" x14ac:dyDescent="0.35">
      <c r="A10077">
        <v>2020</v>
      </c>
      <c r="B10077" t="s">
        <v>34</v>
      </c>
      <c r="C10077" t="s">
        <v>186</v>
      </c>
      <c r="E10077" t="s">
        <v>355</v>
      </c>
    </row>
    <row r="10078" spans="1:5" x14ac:dyDescent="0.35">
      <c r="A10078">
        <v>2020</v>
      </c>
      <c r="B10078" t="s">
        <v>34</v>
      </c>
      <c r="C10078" t="s">
        <v>124</v>
      </c>
      <c r="D10078">
        <v>90</v>
      </c>
      <c r="E10078" t="s">
        <v>467</v>
      </c>
    </row>
    <row r="10079" spans="1:5" x14ac:dyDescent="0.35">
      <c r="A10079">
        <v>2020</v>
      </c>
      <c r="B10079" t="s">
        <v>35</v>
      </c>
      <c r="C10079" t="s">
        <v>172</v>
      </c>
      <c r="E10079" t="s">
        <v>328</v>
      </c>
    </row>
    <row r="10080" spans="1:5" x14ac:dyDescent="0.35">
      <c r="A10080">
        <v>2020</v>
      </c>
      <c r="B10080" t="s">
        <v>33</v>
      </c>
      <c r="C10080" t="s">
        <v>125</v>
      </c>
      <c r="D10080">
        <v>8</v>
      </c>
      <c r="E10080" t="s">
        <v>467</v>
      </c>
    </row>
    <row r="10081" spans="1:5" x14ac:dyDescent="0.35">
      <c r="A10081">
        <v>2020</v>
      </c>
      <c r="B10081" t="s">
        <v>35</v>
      </c>
      <c r="C10081" t="s">
        <v>172</v>
      </c>
      <c r="E10081" t="s">
        <v>355</v>
      </c>
    </row>
    <row r="10082" spans="1:5" x14ac:dyDescent="0.35">
      <c r="A10082">
        <v>2020</v>
      </c>
      <c r="B10082" t="s">
        <v>33</v>
      </c>
      <c r="C10082" t="s">
        <v>126</v>
      </c>
      <c r="D10082">
        <v>13</v>
      </c>
      <c r="E10082" t="s">
        <v>467</v>
      </c>
    </row>
    <row r="10083" spans="1:5" x14ac:dyDescent="0.35">
      <c r="A10083">
        <v>2020</v>
      </c>
      <c r="B10083" t="s">
        <v>34</v>
      </c>
      <c r="C10083" t="s">
        <v>171</v>
      </c>
      <c r="D10083">
        <v>3</v>
      </c>
      <c r="E10083" t="s">
        <v>328</v>
      </c>
    </row>
    <row r="10084" spans="1:5" x14ac:dyDescent="0.35">
      <c r="A10084">
        <v>2020</v>
      </c>
      <c r="B10084" t="s">
        <v>35</v>
      </c>
      <c r="C10084" t="s">
        <v>127</v>
      </c>
      <c r="D10084">
        <v>54</v>
      </c>
      <c r="E10084" t="s">
        <v>467</v>
      </c>
    </row>
    <row r="10085" spans="1:5" x14ac:dyDescent="0.35">
      <c r="A10085">
        <v>2020</v>
      </c>
      <c r="B10085" t="s">
        <v>34</v>
      </c>
      <c r="C10085" t="s">
        <v>171</v>
      </c>
      <c r="D10085">
        <v>4</v>
      </c>
      <c r="E10085" t="s">
        <v>355</v>
      </c>
    </row>
    <row r="10086" spans="1:5" x14ac:dyDescent="0.35">
      <c r="A10086">
        <v>2020</v>
      </c>
      <c r="B10086" t="s">
        <v>34</v>
      </c>
      <c r="C10086" t="s">
        <v>131</v>
      </c>
      <c r="D10086">
        <v>11</v>
      </c>
      <c r="E10086" t="s">
        <v>467</v>
      </c>
    </row>
    <row r="10087" spans="1:5" x14ac:dyDescent="0.35">
      <c r="A10087">
        <v>2020</v>
      </c>
      <c r="B10087" t="s">
        <v>33</v>
      </c>
      <c r="C10087" t="s">
        <v>170</v>
      </c>
      <c r="D10087">
        <v>12</v>
      </c>
      <c r="E10087" t="s">
        <v>328</v>
      </c>
    </row>
    <row r="10088" spans="1:5" x14ac:dyDescent="0.35">
      <c r="A10088">
        <v>2020</v>
      </c>
      <c r="B10088" t="s">
        <v>34</v>
      </c>
      <c r="C10088" t="s">
        <v>118</v>
      </c>
      <c r="D10088">
        <v>761</v>
      </c>
      <c r="E10088" t="s">
        <v>467</v>
      </c>
    </row>
    <row r="10089" spans="1:5" x14ac:dyDescent="0.35">
      <c r="A10089">
        <v>2020</v>
      </c>
      <c r="B10089" t="s">
        <v>33</v>
      </c>
      <c r="C10089" t="s">
        <v>170</v>
      </c>
      <c r="D10089">
        <v>12</v>
      </c>
      <c r="E10089" t="s">
        <v>355</v>
      </c>
    </row>
    <row r="10090" spans="1:5" x14ac:dyDescent="0.35">
      <c r="A10090">
        <v>2020</v>
      </c>
      <c r="B10090" t="s">
        <v>33</v>
      </c>
      <c r="C10090" t="s">
        <v>132</v>
      </c>
      <c r="D10090">
        <v>18</v>
      </c>
      <c r="E10090" t="s">
        <v>467</v>
      </c>
    </row>
    <row r="10091" spans="1:5" x14ac:dyDescent="0.35">
      <c r="A10091">
        <v>2020</v>
      </c>
      <c r="B10091" t="s">
        <v>35</v>
      </c>
      <c r="C10091" t="s">
        <v>215</v>
      </c>
      <c r="E10091" t="s">
        <v>328</v>
      </c>
    </row>
    <row r="10092" spans="1:5" x14ac:dyDescent="0.35">
      <c r="A10092">
        <v>2020</v>
      </c>
      <c r="B10092" t="s">
        <v>36</v>
      </c>
      <c r="C10092" t="s">
        <v>14</v>
      </c>
      <c r="D10092">
        <v>27252</v>
      </c>
      <c r="E10092" t="s">
        <v>467</v>
      </c>
    </row>
    <row r="10093" spans="1:5" x14ac:dyDescent="0.35">
      <c r="A10093">
        <v>2020</v>
      </c>
      <c r="B10093" t="s">
        <v>35</v>
      </c>
      <c r="C10093" t="s">
        <v>215</v>
      </c>
      <c r="E10093" t="s">
        <v>355</v>
      </c>
    </row>
    <row r="10094" spans="1:5" x14ac:dyDescent="0.35">
      <c r="A10094">
        <v>2020</v>
      </c>
      <c r="B10094" t="s">
        <v>37</v>
      </c>
      <c r="C10094" t="s">
        <v>137</v>
      </c>
      <c r="D10094">
        <v>5</v>
      </c>
      <c r="E10094" t="s">
        <v>467</v>
      </c>
    </row>
    <row r="10095" spans="1:5" x14ac:dyDescent="0.35">
      <c r="A10095">
        <v>2020</v>
      </c>
      <c r="B10095" t="s">
        <v>35</v>
      </c>
      <c r="C10095" t="s">
        <v>169</v>
      </c>
      <c r="D10095">
        <v>9</v>
      </c>
      <c r="E10095" t="s">
        <v>328</v>
      </c>
    </row>
    <row r="10096" spans="1:5" x14ac:dyDescent="0.35">
      <c r="A10096">
        <v>2020</v>
      </c>
      <c r="B10096" t="s">
        <v>35</v>
      </c>
      <c r="C10096" t="s">
        <v>138</v>
      </c>
      <c r="D10096">
        <v>23</v>
      </c>
      <c r="E10096" t="s">
        <v>467</v>
      </c>
    </row>
    <row r="10097" spans="1:5" x14ac:dyDescent="0.35">
      <c r="A10097">
        <v>2020</v>
      </c>
      <c r="B10097" t="s">
        <v>35</v>
      </c>
      <c r="C10097" t="s">
        <v>169</v>
      </c>
      <c r="D10097">
        <v>17</v>
      </c>
      <c r="E10097" t="s">
        <v>355</v>
      </c>
    </row>
    <row r="10098" spans="1:5" x14ac:dyDescent="0.35">
      <c r="A10098">
        <v>2020</v>
      </c>
      <c r="B10098" t="s">
        <v>34</v>
      </c>
      <c r="C10098" t="s">
        <v>139</v>
      </c>
      <c r="D10098">
        <v>26</v>
      </c>
      <c r="E10098" t="s">
        <v>467</v>
      </c>
    </row>
    <row r="10099" spans="1:5" x14ac:dyDescent="0.35">
      <c r="A10099">
        <v>2020</v>
      </c>
      <c r="B10099" t="s">
        <v>33</v>
      </c>
      <c r="C10099" t="s">
        <v>168</v>
      </c>
      <c r="D10099">
        <v>26</v>
      </c>
      <c r="E10099" t="s">
        <v>328</v>
      </c>
    </row>
    <row r="10100" spans="1:5" x14ac:dyDescent="0.35">
      <c r="A10100">
        <v>2020</v>
      </c>
      <c r="B10100" t="s">
        <v>35</v>
      </c>
      <c r="C10100" t="s">
        <v>140</v>
      </c>
      <c r="D10100">
        <v>6</v>
      </c>
      <c r="E10100" t="s">
        <v>467</v>
      </c>
    </row>
    <row r="10101" spans="1:5" x14ac:dyDescent="0.35">
      <c r="A10101">
        <v>2020</v>
      </c>
      <c r="B10101" t="s">
        <v>33</v>
      </c>
      <c r="C10101" t="s">
        <v>168</v>
      </c>
      <c r="D10101">
        <v>40</v>
      </c>
      <c r="E10101" t="s">
        <v>355</v>
      </c>
    </row>
    <row r="10102" spans="1:5" x14ac:dyDescent="0.35">
      <c r="A10102">
        <v>2020</v>
      </c>
      <c r="B10102" t="s">
        <v>33</v>
      </c>
      <c r="C10102" t="s">
        <v>141</v>
      </c>
      <c r="D10102">
        <v>45</v>
      </c>
      <c r="E10102" t="s">
        <v>467</v>
      </c>
    </row>
    <row r="10103" spans="1:5" x14ac:dyDescent="0.35">
      <c r="A10103">
        <v>2020</v>
      </c>
      <c r="B10103" t="s">
        <v>34</v>
      </c>
      <c r="C10103" t="s">
        <v>167</v>
      </c>
      <c r="D10103">
        <v>14</v>
      </c>
      <c r="E10103" t="s">
        <v>328</v>
      </c>
    </row>
    <row r="10104" spans="1:5" x14ac:dyDescent="0.35">
      <c r="A10104">
        <v>2020</v>
      </c>
      <c r="B10104" t="s">
        <v>34</v>
      </c>
      <c r="C10104" t="s">
        <v>144</v>
      </c>
      <c r="D10104">
        <v>26</v>
      </c>
      <c r="E10104" t="s">
        <v>467</v>
      </c>
    </row>
    <row r="10105" spans="1:5" x14ac:dyDescent="0.35">
      <c r="A10105">
        <v>2020</v>
      </c>
      <c r="B10105" t="s">
        <v>34</v>
      </c>
      <c r="C10105" t="s">
        <v>167</v>
      </c>
      <c r="D10105">
        <v>29</v>
      </c>
      <c r="E10105" t="s">
        <v>355</v>
      </c>
    </row>
    <row r="10106" spans="1:5" x14ac:dyDescent="0.35">
      <c r="A10106">
        <v>2020</v>
      </c>
      <c r="B10106" t="s">
        <v>35</v>
      </c>
      <c r="C10106" t="s">
        <v>145</v>
      </c>
      <c r="D10106">
        <v>144</v>
      </c>
      <c r="E10106" t="s">
        <v>467</v>
      </c>
    </row>
    <row r="10107" spans="1:5" x14ac:dyDescent="0.35">
      <c r="A10107">
        <v>2020</v>
      </c>
      <c r="B10107" t="s">
        <v>37</v>
      </c>
      <c r="C10107" t="s">
        <v>166</v>
      </c>
      <c r="D10107">
        <v>6</v>
      </c>
      <c r="E10107" t="s">
        <v>355</v>
      </c>
    </row>
    <row r="10108" spans="1:5" x14ac:dyDescent="0.35">
      <c r="A10108">
        <v>2020</v>
      </c>
      <c r="B10108" t="s">
        <v>35</v>
      </c>
      <c r="C10108" t="s">
        <v>93</v>
      </c>
      <c r="D10108">
        <v>16</v>
      </c>
      <c r="E10108" t="s">
        <v>467</v>
      </c>
    </row>
    <row r="10109" spans="1:5" x14ac:dyDescent="0.35">
      <c r="A10109">
        <v>2020</v>
      </c>
      <c r="B10109" t="s">
        <v>33</v>
      </c>
      <c r="C10109" t="s">
        <v>174</v>
      </c>
      <c r="D10109">
        <v>86</v>
      </c>
      <c r="E10109" t="s">
        <v>355</v>
      </c>
    </row>
    <row r="10110" spans="1:5" x14ac:dyDescent="0.35">
      <c r="A10110">
        <v>2020</v>
      </c>
      <c r="B10110" t="s">
        <v>37</v>
      </c>
      <c r="C10110" t="s">
        <v>146</v>
      </c>
      <c r="D10110">
        <v>113</v>
      </c>
      <c r="E10110" t="s">
        <v>467</v>
      </c>
    </row>
    <row r="10111" spans="1:5" x14ac:dyDescent="0.35">
      <c r="A10111">
        <v>2020</v>
      </c>
      <c r="B10111" t="s">
        <v>33</v>
      </c>
      <c r="C10111" t="s">
        <v>174</v>
      </c>
      <c r="D10111">
        <v>26</v>
      </c>
      <c r="E10111" t="s">
        <v>328</v>
      </c>
    </row>
    <row r="10112" spans="1:5" x14ac:dyDescent="0.35">
      <c r="A10112">
        <v>2020</v>
      </c>
      <c r="B10112" t="s">
        <v>33</v>
      </c>
      <c r="C10112" t="s">
        <v>136</v>
      </c>
      <c r="D10112">
        <v>5</v>
      </c>
      <c r="E10112" t="s">
        <v>467</v>
      </c>
    </row>
    <row r="10113" spans="1:5" x14ac:dyDescent="0.35">
      <c r="A10113">
        <v>2020</v>
      </c>
      <c r="B10113" t="s">
        <v>33</v>
      </c>
      <c r="C10113" t="s">
        <v>175</v>
      </c>
      <c r="D10113">
        <v>31</v>
      </c>
      <c r="E10113" t="s">
        <v>355</v>
      </c>
    </row>
    <row r="10114" spans="1:5" x14ac:dyDescent="0.35">
      <c r="A10114">
        <v>2020</v>
      </c>
      <c r="B10114" t="s">
        <v>33</v>
      </c>
      <c r="C10114" t="s">
        <v>117</v>
      </c>
      <c r="D10114">
        <v>49</v>
      </c>
      <c r="E10114" t="s">
        <v>467</v>
      </c>
    </row>
    <row r="10115" spans="1:5" x14ac:dyDescent="0.35">
      <c r="A10115">
        <v>2020</v>
      </c>
      <c r="B10115" t="s">
        <v>33</v>
      </c>
      <c r="C10115" t="s">
        <v>175</v>
      </c>
      <c r="D10115">
        <v>8</v>
      </c>
      <c r="E10115" t="s">
        <v>328</v>
      </c>
    </row>
    <row r="10116" spans="1:5" x14ac:dyDescent="0.35">
      <c r="A10116">
        <v>2020</v>
      </c>
      <c r="B10116" t="s">
        <v>33</v>
      </c>
      <c r="C10116" t="s">
        <v>129</v>
      </c>
      <c r="E10116" t="s">
        <v>467</v>
      </c>
    </row>
    <row r="10117" spans="1:5" x14ac:dyDescent="0.35">
      <c r="A10117">
        <v>2020</v>
      </c>
      <c r="B10117" t="s">
        <v>34</v>
      </c>
      <c r="C10117" t="s">
        <v>185</v>
      </c>
      <c r="D10117">
        <v>20</v>
      </c>
      <c r="E10117" t="s">
        <v>328</v>
      </c>
    </row>
    <row r="10118" spans="1:5" x14ac:dyDescent="0.35">
      <c r="A10118">
        <v>2020</v>
      </c>
      <c r="B10118" t="s">
        <v>36</v>
      </c>
      <c r="C10118" t="s">
        <v>15</v>
      </c>
      <c r="D10118">
        <v>2157</v>
      </c>
      <c r="E10118" t="s">
        <v>467</v>
      </c>
    </row>
    <row r="10119" spans="1:5" x14ac:dyDescent="0.35">
      <c r="A10119">
        <v>2020</v>
      </c>
      <c r="B10119" t="s">
        <v>34</v>
      </c>
      <c r="C10119" t="s">
        <v>185</v>
      </c>
      <c r="D10119">
        <v>29</v>
      </c>
      <c r="E10119" t="s">
        <v>355</v>
      </c>
    </row>
    <row r="10120" spans="1:5" x14ac:dyDescent="0.35">
      <c r="A10120">
        <v>2020</v>
      </c>
      <c r="B10120" t="s">
        <v>33</v>
      </c>
      <c r="C10120" t="s">
        <v>96</v>
      </c>
      <c r="D10120">
        <v>4</v>
      </c>
      <c r="E10120" t="s">
        <v>467</v>
      </c>
    </row>
    <row r="10121" spans="1:5" x14ac:dyDescent="0.35">
      <c r="A10121">
        <v>2020</v>
      </c>
      <c r="B10121" t="s">
        <v>34</v>
      </c>
      <c r="C10121" t="s">
        <v>184</v>
      </c>
      <c r="E10121" t="s">
        <v>328</v>
      </c>
    </row>
    <row r="10122" spans="1:5" x14ac:dyDescent="0.35">
      <c r="A10122">
        <v>2020</v>
      </c>
      <c r="B10122" t="s">
        <v>34</v>
      </c>
      <c r="C10122" t="s">
        <v>116</v>
      </c>
      <c r="D10122">
        <v>28</v>
      </c>
      <c r="E10122" t="s">
        <v>467</v>
      </c>
    </row>
    <row r="10123" spans="1:5" x14ac:dyDescent="0.35">
      <c r="A10123">
        <v>2020</v>
      </c>
      <c r="B10123" t="s">
        <v>34</v>
      </c>
      <c r="C10123" t="s">
        <v>184</v>
      </c>
      <c r="E10123" t="s">
        <v>355</v>
      </c>
    </row>
    <row r="10124" spans="1:5" x14ac:dyDescent="0.35">
      <c r="A10124">
        <v>2020</v>
      </c>
      <c r="B10124" t="s">
        <v>34</v>
      </c>
      <c r="C10124" t="s">
        <v>8</v>
      </c>
      <c r="D10124">
        <v>5</v>
      </c>
      <c r="E10124" t="s">
        <v>467</v>
      </c>
    </row>
    <row r="10125" spans="1:5" x14ac:dyDescent="0.35">
      <c r="A10125">
        <v>2020</v>
      </c>
      <c r="B10125" t="s">
        <v>35</v>
      </c>
      <c r="C10125" t="s">
        <v>182</v>
      </c>
      <c r="D10125">
        <v>5</v>
      </c>
      <c r="E10125" t="s">
        <v>328</v>
      </c>
    </row>
    <row r="10126" spans="1:5" x14ac:dyDescent="0.35">
      <c r="A10126">
        <v>2020</v>
      </c>
      <c r="B10126" t="s">
        <v>35</v>
      </c>
      <c r="C10126" t="s">
        <v>97</v>
      </c>
      <c r="D10126">
        <v>301</v>
      </c>
      <c r="E10126" t="s">
        <v>467</v>
      </c>
    </row>
    <row r="10127" spans="1:5" x14ac:dyDescent="0.35">
      <c r="A10127">
        <v>2020</v>
      </c>
      <c r="B10127" t="s">
        <v>35</v>
      </c>
      <c r="C10127" t="s">
        <v>182</v>
      </c>
      <c r="D10127">
        <v>5</v>
      </c>
      <c r="E10127" t="s">
        <v>355</v>
      </c>
    </row>
    <row r="10128" spans="1:5" x14ac:dyDescent="0.35">
      <c r="A10128">
        <v>2020</v>
      </c>
      <c r="B10128" t="s">
        <v>33</v>
      </c>
      <c r="C10128" t="s">
        <v>98</v>
      </c>
      <c r="D10128">
        <v>62</v>
      </c>
      <c r="E10128" t="s">
        <v>467</v>
      </c>
    </row>
    <row r="10129" spans="1:5" x14ac:dyDescent="0.35">
      <c r="A10129">
        <v>2020</v>
      </c>
      <c r="B10129" t="s">
        <v>38</v>
      </c>
      <c r="C10129" t="s">
        <v>180</v>
      </c>
      <c r="E10129" t="s">
        <v>328</v>
      </c>
    </row>
    <row r="10130" spans="1:5" x14ac:dyDescent="0.35">
      <c r="A10130">
        <v>2020</v>
      </c>
      <c r="B10130" t="s">
        <v>35</v>
      </c>
      <c r="C10130" t="s">
        <v>99</v>
      </c>
      <c r="D10130">
        <v>62</v>
      </c>
      <c r="E10130" t="s">
        <v>467</v>
      </c>
    </row>
    <row r="10131" spans="1:5" x14ac:dyDescent="0.35">
      <c r="A10131">
        <v>2020</v>
      </c>
      <c r="B10131" t="s">
        <v>36</v>
      </c>
      <c r="C10131" t="s">
        <v>165</v>
      </c>
      <c r="E10131" t="s">
        <v>355</v>
      </c>
    </row>
    <row r="10132" spans="1:5" x14ac:dyDescent="0.35">
      <c r="A10132">
        <v>2020</v>
      </c>
      <c r="B10132" t="s">
        <v>36</v>
      </c>
      <c r="C10132" t="s">
        <v>100</v>
      </c>
      <c r="D10132">
        <v>5</v>
      </c>
      <c r="E10132" t="s">
        <v>467</v>
      </c>
    </row>
    <row r="10133" spans="1:5" x14ac:dyDescent="0.35">
      <c r="A10133">
        <v>2020</v>
      </c>
      <c r="B10133" t="s">
        <v>38</v>
      </c>
      <c r="C10133" t="s">
        <v>180</v>
      </c>
      <c r="D10133">
        <v>0</v>
      </c>
      <c r="E10133" t="s">
        <v>355</v>
      </c>
    </row>
    <row r="10134" spans="1:5" x14ac:dyDescent="0.35">
      <c r="A10134">
        <v>2020</v>
      </c>
      <c r="B10134" t="s">
        <v>33</v>
      </c>
      <c r="C10134" t="s">
        <v>101</v>
      </c>
      <c r="D10134">
        <v>9</v>
      </c>
      <c r="E10134" t="s">
        <v>467</v>
      </c>
    </row>
    <row r="10135" spans="1:5" x14ac:dyDescent="0.35">
      <c r="A10135">
        <v>2020</v>
      </c>
      <c r="B10135" t="s">
        <v>33</v>
      </c>
      <c r="C10135" t="s">
        <v>179</v>
      </c>
      <c r="E10135" t="s">
        <v>355</v>
      </c>
    </row>
    <row r="10136" spans="1:5" x14ac:dyDescent="0.35">
      <c r="A10136">
        <v>2020</v>
      </c>
      <c r="B10136" t="s">
        <v>38</v>
      </c>
      <c r="C10136" t="s">
        <v>103</v>
      </c>
      <c r="D10136">
        <v>59</v>
      </c>
      <c r="E10136" t="s">
        <v>467</v>
      </c>
    </row>
    <row r="10137" spans="1:5" x14ac:dyDescent="0.35">
      <c r="A10137">
        <v>2020</v>
      </c>
      <c r="B10137" t="s">
        <v>34</v>
      </c>
      <c r="C10137" t="s">
        <v>178</v>
      </c>
      <c r="D10137">
        <v>110</v>
      </c>
      <c r="E10137" t="s">
        <v>328</v>
      </c>
    </row>
    <row r="10138" spans="1:5" x14ac:dyDescent="0.35">
      <c r="A10138">
        <v>2020</v>
      </c>
      <c r="B10138" t="s">
        <v>36</v>
      </c>
      <c r="C10138" t="s">
        <v>104</v>
      </c>
      <c r="D10138">
        <v>85</v>
      </c>
      <c r="E10138" t="s">
        <v>467</v>
      </c>
    </row>
    <row r="10139" spans="1:5" x14ac:dyDescent="0.35">
      <c r="A10139">
        <v>2020</v>
      </c>
      <c r="B10139" t="s">
        <v>34</v>
      </c>
      <c r="C10139" t="s">
        <v>178</v>
      </c>
      <c r="D10139">
        <v>12</v>
      </c>
      <c r="E10139" t="s">
        <v>355</v>
      </c>
    </row>
    <row r="10140" spans="1:5" x14ac:dyDescent="0.35">
      <c r="A10140">
        <v>2020</v>
      </c>
      <c r="B10140" t="s">
        <v>33</v>
      </c>
      <c r="C10140" t="s">
        <v>95</v>
      </c>
      <c r="D10140">
        <v>5</v>
      </c>
      <c r="E10140" t="s">
        <v>467</v>
      </c>
    </row>
    <row r="10141" spans="1:5" x14ac:dyDescent="0.35">
      <c r="A10141">
        <v>2020</v>
      </c>
      <c r="B10141" t="s">
        <v>35</v>
      </c>
      <c r="C10141" t="s">
        <v>177</v>
      </c>
      <c r="D10141">
        <v>130</v>
      </c>
      <c r="E10141" t="s">
        <v>328</v>
      </c>
    </row>
    <row r="10142" spans="1:5" x14ac:dyDescent="0.35">
      <c r="A10142">
        <v>2020</v>
      </c>
      <c r="B10142" t="s">
        <v>35</v>
      </c>
      <c r="C10142" t="s">
        <v>105</v>
      </c>
      <c r="D10142">
        <v>94</v>
      </c>
      <c r="E10142" t="s">
        <v>467</v>
      </c>
    </row>
    <row r="10143" spans="1:5" x14ac:dyDescent="0.35">
      <c r="A10143">
        <v>2020</v>
      </c>
      <c r="B10143" t="s">
        <v>33</v>
      </c>
      <c r="C10143" t="s">
        <v>204</v>
      </c>
      <c r="D10143">
        <v>4</v>
      </c>
      <c r="E10143" t="s">
        <v>328</v>
      </c>
    </row>
    <row r="10144" spans="1:5" x14ac:dyDescent="0.35">
      <c r="A10144">
        <v>2020</v>
      </c>
      <c r="B10144" t="s">
        <v>36</v>
      </c>
      <c r="C10144" t="s">
        <v>17</v>
      </c>
      <c r="D10144">
        <v>1243</v>
      </c>
      <c r="E10144" t="s">
        <v>467</v>
      </c>
    </row>
    <row r="10145" spans="1:5" x14ac:dyDescent="0.35">
      <c r="A10145">
        <v>2020</v>
      </c>
      <c r="B10145" t="s">
        <v>35</v>
      </c>
      <c r="C10145" t="s">
        <v>177</v>
      </c>
      <c r="D10145">
        <v>62</v>
      </c>
      <c r="E10145" t="s">
        <v>355</v>
      </c>
    </row>
    <row r="10146" spans="1:5" x14ac:dyDescent="0.35">
      <c r="A10146">
        <v>2020</v>
      </c>
      <c r="B10146" t="s">
        <v>35</v>
      </c>
      <c r="C10146" t="s">
        <v>106</v>
      </c>
      <c r="E10146" t="s">
        <v>467</v>
      </c>
    </row>
    <row r="10147" spans="1:5" x14ac:dyDescent="0.35">
      <c r="A10147">
        <v>2020</v>
      </c>
      <c r="B10147" t="s">
        <v>33</v>
      </c>
      <c r="C10147" t="s">
        <v>176</v>
      </c>
      <c r="D10147">
        <v>41</v>
      </c>
      <c r="E10147" t="s">
        <v>355</v>
      </c>
    </row>
    <row r="10148" spans="1:5" x14ac:dyDescent="0.35">
      <c r="A10148">
        <v>2020</v>
      </c>
      <c r="B10148" t="s">
        <v>34</v>
      </c>
      <c r="C10148" t="s">
        <v>22</v>
      </c>
      <c r="D10148">
        <v>944</v>
      </c>
      <c r="E10148" t="s">
        <v>467</v>
      </c>
    </row>
    <row r="10149" spans="1:5" x14ac:dyDescent="0.35">
      <c r="A10149">
        <v>2020</v>
      </c>
      <c r="B10149" t="s">
        <v>33</v>
      </c>
      <c r="C10149" t="s">
        <v>179</v>
      </c>
      <c r="E10149" t="s">
        <v>328</v>
      </c>
    </row>
    <row r="10150" spans="1:5" x14ac:dyDescent="0.35">
      <c r="A10150">
        <v>2020</v>
      </c>
      <c r="B10150" t="s">
        <v>34</v>
      </c>
      <c r="C10150" t="s">
        <v>107</v>
      </c>
      <c r="D10150">
        <v>55</v>
      </c>
      <c r="E10150" t="s">
        <v>467</v>
      </c>
    </row>
    <row r="10151" spans="1:5" x14ac:dyDescent="0.35">
      <c r="A10151">
        <v>2020</v>
      </c>
      <c r="B10151" t="s">
        <v>34</v>
      </c>
      <c r="C10151" t="s">
        <v>118</v>
      </c>
      <c r="D10151">
        <v>87</v>
      </c>
      <c r="E10151" t="s">
        <v>328</v>
      </c>
    </row>
    <row r="10152" spans="1:5" x14ac:dyDescent="0.35">
      <c r="A10152">
        <v>2020</v>
      </c>
      <c r="B10152" t="s">
        <v>34</v>
      </c>
      <c r="C10152" t="s">
        <v>108</v>
      </c>
      <c r="D10152">
        <v>283</v>
      </c>
      <c r="E10152" t="s">
        <v>467</v>
      </c>
    </row>
    <row r="10153" spans="1:5" x14ac:dyDescent="0.35">
      <c r="A10153">
        <v>2020</v>
      </c>
      <c r="B10153" t="s">
        <v>34</v>
      </c>
      <c r="C10153" t="s">
        <v>67</v>
      </c>
      <c r="E10153" t="s">
        <v>328</v>
      </c>
    </row>
    <row r="10154" spans="1:5" x14ac:dyDescent="0.35">
      <c r="A10154">
        <v>2020</v>
      </c>
      <c r="B10154" t="s">
        <v>34</v>
      </c>
      <c r="C10154" t="s">
        <v>109</v>
      </c>
      <c r="D10154">
        <v>30</v>
      </c>
      <c r="E10154" t="s">
        <v>467</v>
      </c>
    </row>
    <row r="10155" spans="1:5" x14ac:dyDescent="0.35">
      <c r="A10155">
        <v>2020</v>
      </c>
      <c r="B10155" t="s">
        <v>33</v>
      </c>
      <c r="C10155" t="s">
        <v>117</v>
      </c>
      <c r="D10155">
        <v>31</v>
      </c>
      <c r="E10155" t="s">
        <v>328</v>
      </c>
    </row>
    <row r="10156" spans="1:5" x14ac:dyDescent="0.35">
      <c r="A10156">
        <v>2020</v>
      </c>
      <c r="B10156" t="s">
        <v>35</v>
      </c>
      <c r="C10156" t="s">
        <v>110</v>
      </c>
      <c r="D10156">
        <v>313</v>
      </c>
      <c r="E10156" t="s">
        <v>467</v>
      </c>
    </row>
    <row r="10157" spans="1:5" x14ac:dyDescent="0.35">
      <c r="A10157">
        <v>2020</v>
      </c>
      <c r="B10157" t="s">
        <v>33</v>
      </c>
      <c r="C10157" t="s">
        <v>68</v>
      </c>
      <c r="D10157">
        <v>44</v>
      </c>
      <c r="E10157" t="s">
        <v>328</v>
      </c>
    </row>
    <row r="10158" spans="1:5" x14ac:dyDescent="0.35">
      <c r="A10158">
        <v>2020</v>
      </c>
      <c r="B10158" t="s">
        <v>34</v>
      </c>
      <c r="C10158" t="s">
        <v>111</v>
      </c>
      <c r="D10158">
        <v>101</v>
      </c>
      <c r="E10158" t="s">
        <v>467</v>
      </c>
    </row>
    <row r="10159" spans="1:5" x14ac:dyDescent="0.35">
      <c r="A10159">
        <v>2020</v>
      </c>
      <c r="B10159" t="s">
        <v>33</v>
      </c>
      <c r="C10159" t="s">
        <v>68</v>
      </c>
      <c r="D10159">
        <v>15</v>
      </c>
      <c r="E10159" t="s">
        <v>355</v>
      </c>
    </row>
    <row r="10160" spans="1:5" x14ac:dyDescent="0.35">
      <c r="A10160">
        <v>2020</v>
      </c>
      <c r="B10160" t="s">
        <v>35</v>
      </c>
      <c r="C10160" t="s">
        <v>112</v>
      </c>
      <c r="D10160">
        <v>507</v>
      </c>
      <c r="E10160" t="s">
        <v>467</v>
      </c>
    </row>
    <row r="10161" spans="1:5" x14ac:dyDescent="0.35">
      <c r="A10161">
        <v>2020</v>
      </c>
      <c r="B10161" t="s">
        <v>34</v>
      </c>
      <c r="C10161" t="s">
        <v>67</v>
      </c>
      <c r="E10161" t="s">
        <v>355</v>
      </c>
    </row>
    <row r="10162" spans="1:5" x14ac:dyDescent="0.35">
      <c r="A10162">
        <v>2020</v>
      </c>
      <c r="B10162" t="s">
        <v>36</v>
      </c>
      <c r="C10162" t="s">
        <v>113</v>
      </c>
      <c r="D10162">
        <v>242</v>
      </c>
      <c r="E10162" t="s">
        <v>467</v>
      </c>
    </row>
    <row r="10163" spans="1:5" x14ac:dyDescent="0.35">
      <c r="A10163">
        <v>2020</v>
      </c>
      <c r="B10163" t="s">
        <v>33</v>
      </c>
      <c r="C10163" t="s">
        <v>66</v>
      </c>
      <c r="D10163">
        <v>14</v>
      </c>
      <c r="E10163" t="s">
        <v>355</v>
      </c>
    </row>
    <row r="10164" spans="1:5" x14ac:dyDescent="0.35">
      <c r="A10164">
        <v>2020</v>
      </c>
      <c r="B10164" t="s">
        <v>34</v>
      </c>
      <c r="C10164" t="s">
        <v>114</v>
      </c>
      <c r="D10164">
        <v>309</v>
      </c>
      <c r="E10164" t="s">
        <v>467</v>
      </c>
    </row>
    <row r="10165" spans="1:5" x14ac:dyDescent="0.35">
      <c r="A10165">
        <v>2020</v>
      </c>
      <c r="B10165" t="s">
        <v>33</v>
      </c>
      <c r="C10165" t="s">
        <v>65</v>
      </c>
      <c r="E10165" t="s">
        <v>328</v>
      </c>
    </row>
    <row r="10166" spans="1:5" x14ac:dyDescent="0.35">
      <c r="A10166">
        <v>2020</v>
      </c>
      <c r="B10166" t="s">
        <v>34</v>
      </c>
      <c r="C10166" t="s">
        <v>115</v>
      </c>
      <c r="D10166">
        <v>103</v>
      </c>
      <c r="E10166" t="s">
        <v>467</v>
      </c>
    </row>
    <row r="10167" spans="1:5" x14ac:dyDescent="0.35">
      <c r="A10167">
        <v>2020</v>
      </c>
      <c r="B10167" t="s">
        <v>33</v>
      </c>
      <c r="C10167" t="s">
        <v>65</v>
      </c>
      <c r="E10167" t="s">
        <v>355</v>
      </c>
    </row>
    <row r="10168" spans="1:5" x14ac:dyDescent="0.35">
      <c r="A10168">
        <v>2020</v>
      </c>
      <c r="B10168" t="s">
        <v>34</v>
      </c>
      <c r="C10168" t="s">
        <v>64</v>
      </c>
      <c r="D10168">
        <v>4</v>
      </c>
      <c r="E10168" t="s">
        <v>328</v>
      </c>
    </row>
    <row r="10169" spans="1:5" x14ac:dyDescent="0.35">
      <c r="A10169">
        <v>2020</v>
      </c>
      <c r="B10169" t="s">
        <v>34</v>
      </c>
      <c r="C10169" t="s">
        <v>64</v>
      </c>
      <c r="D10169">
        <v>34</v>
      </c>
      <c r="E10169" t="s">
        <v>355</v>
      </c>
    </row>
    <row r="10170" spans="1:5" x14ac:dyDescent="0.35">
      <c r="A10170">
        <v>2020</v>
      </c>
      <c r="B10170" t="s">
        <v>33</v>
      </c>
      <c r="C10170" t="s">
        <v>63</v>
      </c>
      <c r="E10170" t="s">
        <v>328</v>
      </c>
    </row>
    <row r="10171" spans="1:5" x14ac:dyDescent="0.35">
      <c r="A10171">
        <v>2020</v>
      </c>
      <c r="B10171" t="s">
        <v>33</v>
      </c>
      <c r="C10171" t="s">
        <v>63</v>
      </c>
      <c r="E10171" t="s">
        <v>355</v>
      </c>
    </row>
    <row r="10172" spans="1:5" x14ac:dyDescent="0.35">
      <c r="A10172">
        <v>2020</v>
      </c>
      <c r="B10172" t="s">
        <v>35</v>
      </c>
      <c r="C10172" t="s">
        <v>62</v>
      </c>
      <c r="D10172">
        <v>8</v>
      </c>
      <c r="E10172" t="s">
        <v>328</v>
      </c>
    </row>
    <row r="10173" spans="1:5" x14ac:dyDescent="0.35">
      <c r="A10173">
        <v>2020</v>
      </c>
      <c r="B10173" t="s">
        <v>35</v>
      </c>
      <c r="C10173" t="s">
        <v>62</v>
      </c>
      <c r="D10173">
        <v>18</v>
      </c>
      <c r="E10173" t="s">
        <v>355</v>
      </c>
    </row>
    <row r="10174" spans="1:5" x14ac:dyDescent="0.35">
      <c r="A10174">
        <v>2020</v>
      </c>
      <c r="B10174" t="s">
        <v>38</v>
      </c>
      <c r="C10174" t="s">
        <v>21</v>
      </c>
      <c r="D10174">
        <v>965</v>
      </c>
      <c r="E10174" t="s">
        <v>328</v>
      </c>
    </row>
    <row r="10175" spans="1:5" x14ac:dyDescent="0.35">
      <c r="A10175">
        <v>2020</v>
      </c>
      <c r="B10175" t="s">
        <v>38</v>
      </c>
      <c r="C10175" t="s">
        <v>21</v>
      </c>
      <c r="D10175">
        <v>1330</v>
      </c>
      <c r="E10175" t="s">
        <v>355</v>
      </c>
    </row>
    <row r="10176" spans="1:5" x14ac:dyDescent="0.35">
      <c r="A10176">
        <v>2020</v>
      </c>
      <c r="B10176" t="s">
        <v>35</v>
      </c>
      <c r="C10176" t="s">
        <v>60</v>
      </c>
      <c r="D10176">
        <v>6</v>
      </c>
      <c r="E10176" t="s">
        <v>328</v>
      </c>
    </row>
    <row r="10177" spans="1:5" x14ac:dyDescent="0.35">
      <c r="A10177">
        <v>2020</v>
      </c>
      <c r="B10177" t="s">
        <v>36</v>
      </c>
      <c r="C10177" t="s">
        <v>69</v>
      </c>
      <c r="D10177">
        <v>572</v>
      </c>
      <c r="E10177" t="s">
        <v>355</v>
      </c>
    </row>
    <row r="10178" spans="1:5" x14ac:dyDescent="0.35">
      <c r="A10178">
        <v>2020</v>
      </c>
      <c r="B10178" t="s">
        <v>35</v>
      </c>
      <c r="C10178" t="s">
        <v>60</v>
      </c>
      <c r="D10178">
        <v>21</v>
      </c>
      <c r="E10178" t="s">
        <v>355</v>
      </c>
    </row>
    <row r="10179" spans="1:5" x14ac:dyDescent="0.35">
      <c r="A10179">
        <v>2020</v>
      </c>
      <c r="B10179" t="s">
        <v>36</v>
      </c>
      <c r="C10179" t="s">
        <v>69</v>
      </c>
      <c r="D10179">
        <v>88</v>
      </c>
      <c r="E10179" t="s">
        <v>328</v>
      </c>
    </row>
    <row r="10180" spans="1:5" x14ac:dyDescent="0.35">
      <c r="A10180">
        <v>2020</v>
      </c>
      <c r="B10180" t="s">
        <v>33</v>
      </c>
      <c r="C10180" t="s">
        <v>71</v>
      </c>
      <c r="E10180" t="s">
        <v>328</v>
      </c>
    </row>
    <row r="10181" spans="1:5" x14ac:dyDescent="0.35">
      <c r="A10181">
        <v>2020</v>
      </c>
      <c r="B10181" t="s">
        <v>35</v>
      </c>
      <c r="C10181" t="s">
        <v>78</v>
      </c>
      <c r="E10181" t="s">
        <v>355</v>
      </c>
    </row>
    <row r="10182" spans="1:5" x14ac:dyDescent="0.35">
      <c r="A10182">
        <v>2020</v>
      </c>
      <c r="B10182" t="s">
        <v>33</v>
      </c>
      <c r="C10182" t="s">
        <v>77</v>
      </c>
      <c r="D10182">
        <v>15</v>
      </c>
      <c r="E10182" t="s">
        <v>328</v>
      </c>
    </row>
    <row r="10183" spans="1:5" x14ac:dyDescent="0.35">
      <c r="A10183">
        <v>2020</v>
      </c>
      <c r="B10183" t="s">
        <v>33</v>
      </c>
      <c r="C10183" t="s">
        <v>77</v>
      </c>
      <c r="D10183">
        <v>26</v>
      </c>
      <c r="E10183" t="s">
        <v>355</v>
      </c>
    </row>
    <row r="10184" spans="1:5" x14ac:dyDescent="0.35">
      <c r="A10184">
        <v>2020</v>
      </c>
      <c r="B10184" t="s">
        <v>36</v>
      </c>
      <c r="C10184" t="s">
        <v>76</v>
      </c>
      <c r="D10184">
        <v>61</v>
      </c>
      <c r="E10184" t="s">
        <v>328</v>
      </c>
    </row>
    <row r="10185" spans="1:5" x14ac:dyDescent="0.35">
      <c r="A10185">
        <v>2020</v>
      </c>
      <c r="B10185" t="s">
        <v>36</v>
      </c>
      <c r="C10185" t="s">
        <v>76</v>
      </c>
      <c r="D10185">
        <v>190</v>
      </c>
      <c r="E10185" t="s">
        <v>355</v>
      </c>
    </row>
    <row r="10186" spans="1:5" x14ac:dyDescent="0.35">
      <c r="A10186">
        <v>2020</v>
      </c>
      <c r="B10186" t="s">
        <v>33</v>
      </c>
      <c r="C10186" t="s">
        <v>75</v>
      </c>
      <c r="D10186">
        <v>7</v>
      </c>
      <c r="E10186" t="s">
        <v>328</v>
      </c>
    </row>
    <row r="10187" spans="1:5" x14ac:dyDescent="0.35">
      <c r="A10187">
        <v>2020</v>
      </c>
      <c r="B10187" t="s">
        <v>33</v>
      </c>
      <c r="C10187" t="s">
        <v>75</v>
      </c>
      <c r="D10187">
        <v>6</v>
      </c>
      <c r="E10187" t="s">
        <v>355</v>
      </c>
    </row>
    <row r="10188" spans="1:5" x14ac:dyDescent="0.35">
      <c r="A10188">
        <v>2020</v>
      </c>
      <c r="B10188" t="s">
        <v>33</v>
      </c>
      <c r="C10188" t="s">
        <v>74</v>
      </c>
      <c r="D10188">
        <v>84</v>
      </c>
      <c r="E10188" t="s">
        <v>328</v>
      </c>
    </row>
    <row r="10189" spans="1:5" x14ac:dyDescent="0.35">
      <c r="A10189">
        <v>2020</v>
      </c>
      <c r="B10189" t="s">
        <v>33</v>
      </c>
      <c r="C10189" t="s">
        <v>74</v>
      </c>
      <c r="D10189">
        <v>15</v>
      </c>
      <c r="E10189" t="s">
        <v>355</v>
      </c>
    </row>
    <row r="10190" spans="1:5" x14ac:dyDescent="0.35">
      <c r="A10190">
        <v>2020</v>
      </c>
      <c r="B10190" t="s">
        <v>38</v>
      </c>
      <c r="C10190" t="s">
        <v>20</v>
      </c>
      <c r="D10190">
        <v>349</v>
      </c>
      <c r="E10190" t="s">
        <v>328</v>
      </c>
    </row>
    <row r="10191" spans="1:5" x14ac:dyDescent="0.35">
      <c r="A10191">
        <v>2020</v>
      </c>
      <c r="B10191" t="s">
        <v>38</v>
      </c>
      <c r="C10191" t="s">
        <v>20</v>
      </c>
      <c r="D10191">
        <v>1601</v>
      </c>
      <c r="E10191" t="s">
        <v>355</v>
      </c>
    </row>
    <row r="10192" spans="1:5" x14ac:dyDescent="0.35">
      <c r="A10192">
        <v>2020</v>
      </c>
      <c r="B10192" t="s">
        <v>34</v>
      </c>
      <c r="C10192" t="s">
        <v>73</v>
      </c>
      <c r="D10192">
        <v>231</v>
      </c>
      <c r="E10192" t="s">
        <v>328</v>
      </c>
    </row>
    <row r="10193" spans="1:5" x14ac:dyDescent="0.35">
      <c r="A10193">
        <v>2020</v>
      </c>
      <c r="B10193" t="s">
        <v>34</v>
      </c>
      <c r="C10193" t="s">
        <v>73</v>
      </c>
      <c r="D10193">
        <v>405</v>
      </c>
      <c r="E10193" t="s">
        <v>355</v>
      </c>
    </row>
    <row r="10194" spans="1:5" x14ac:dyDescent="0.35">
      <c r="A10194">
        <v>2020</v>
      </c>
      <c r="B10194" t="s">
        <v>38</v>
      </c>
      <c r="C10194" t="s">
        <v>72</v>
      </c>
      <c r="D10194">
        <v>162</v>
      </c>
      <c r="E10194" t="s">
        <v>328</v>
      </c>
    </row>
    <row r="10195" spans="1:5" x14ac:dyDescent="0.35">
      <c r="A10195">
        <v>2020</v>
      </c>
      <c r="B10195" t="s">
        <v>38</v>
      </c>
      <c r="C10195" t="s">
        <v>72</v>
      </c>
      <c r="D10195">
        <v>112</v>
      </c>
      <c r="E10195" t="s">
        <v>355</v>
      </c>
    </row>
    <row r="10196" spans="1:5" x14ac:dyDescent="0.35">
      <c r="A10196">
        <v>2020</v>
      </c>
      <c r="B10196" t="s">
        <v>33</v>
      </c>
      <c r="C10196" t="s">
        <v>71</v>
      </c>
      <c r="E10196" t="s">
        <v>355</v>
      </c>
    </row>
    <row r="10197" spans="1:5" x14ac:dyDescent="0.35">
      <c r="A10197">
        <v>2020</v>
      </c>
      <c r="B10197" t="s">
        <v>35</v>
      </c>
      <c r="C10197" t="s">
        <v>78</v>
      </c>
      <c r="E10197" t="s">
        <v>328</v>
      </c>
    </row>
    <row r="10198" spans="1:5" x14ac:dyDescent="0.35">
      <c r="A10198">
        <v>2020</v>
      </c>
      <c r="B10198" t="s">
        <v>38</v>
      </c>
      <c r="C10198" t="s">
        <v>59</v>
      </c>
      <c r="D10198">
        <v>15</v>
      </c>
      <c r="E10198" t="s">
        <v>328</v>
      </c>
    </row>
    <row r="10199" spans="1:5" x14ac:dyDescent="0.35">
      <c r="A10199">
        <v>2020</v>
      </c>
      <c r="B10199" t="s">
        <v>33</v>
      </c>
      <c r="C10199" t="s">
        <v>57</v>
      </c>
      <c r="E10199" t="s">
        <v>328</v>
      </c>
    </row>
    <row r="10200" spans="1:5" x14ac:dyDescent="0.35">
      <c r="A10200">
        <v>2020</v>
      </c>
      <c r="B10200" t="s">
        <v>34</v>
      </c>
      <c r="C10200" t="s">
        <v>46</v>
      </c>
      <c r="D10200">
        <v>29</v>
      </c>
      <c r="E10200" t="s">
        <v>355</v>
      </c>
    </row>
    <row r="10201" spans="1:5" x14ac:dyDescent="0.35">
      <c r="A10201">
        <v>2020</v>
      </c>
      <c r="B10201" t="s">
        <v>38</v>
      </c>
      <c r="C10201" t="s">
        <v>45</v>
      </c>
      <c r="D10201">
        <v>33</v>
      </c>
      <c r="E10201" t="s">
        <v>328</v>
      </c>
    </row>
    <row r="10202" spans="1:5" x14ac:dyDescent="0.35">
      <c r="A10202">
        <v>2020</v>
      </c>
      <c r="B10202" t="s">
        <v>38</v>
      </c>
      <c r="C10202" t="s">
        <v>45</v>
      </c>
      <c r="D10202">
        <v>265</v>
      </c>
      <c r="E10202" t="s">
        <v>355</v>
      </c>
    </row>
    <row r="10203" spans="1:5" x14ac:dyDescent="0.35">
      <c r="A10203">
        <v>2020</v>
      </c>
      <c r="B10203" t="s">
        <v>36</v>
      </c>
      <c r="C10203" t="s">
        <v>44</v>
      </c>
      <c r="E10203" t="s">
        <v>328</v>
      </c>
    </row>
    <row r="10204" spans="1:5" x14ac:dyDescent="0.35">
      <c r="A10204">
        <v>2020</v>
      </c>
      <c r="B10204" t="s">
        <v>36</v>
      </c>
      <c r="C10204" t="s">
        <v>44</v>
      </c>
      <c r="E10204" t="s">
        <v>355</v>
      </c>
    </row>
    <row r="10205" spans="1:5" x14ac:dyDescent="0.35">
      <c r="A10205">
        <v>2020</v>
      </c>
      <c r="B10205" t="s">
        <v>33</v>
      </c>
      <c r="C10205" t="s">
        <v>43</v>
      </c>
      <c r="E10205" t="s">
        <v>328</v>
      </c>
    </row>
    <row r="10206" spans="1:5" x14ac:dyDescent="0.35">
      <c r="A10206">
        <v>2020</v>
      </c>
      <c r="B10206" t="s">
        <v>33</v>
      </c>
      <c r="C10206" t="s">
        <v>43</v>
      </c>
      <c r="E10206" t="s">
        <v>355</v>
      </c>
    </row>
    <row r="10207" spans="1:5" x14ac:dyDescent="0.35">
      <c r="A10207">
        <v>2020</v>
      </c>
      <c r="C10207" t="s">
        <v>373</v>
      </c>
      <c r="D10207">
        <v>18</v>
      </c>
      <c r="E10207" t="s">
        <v>328</v>
      </c>
    </row>
    <row r="10208" spans="1:5" x14ac:dyDescent="0.35">
      <c r="A10208">
        <v>2020</v>
      </c>
      <c r="C10208" t="s">
        <v>373</v>
      </c>
      <c r="D10208">
        <v>25</v>
      </c>
      <c r="E10208" t="s">
        <v>355</v>
      </c>
    </row>
    <row r="10209" spans="1:5" x14ac:dyDescent="0.35">
      <c r="A10209">
        <v>2020</v>
      </c>
      <c r="B10209" t="s">
        <v>33</v>
      </c>
      <c r="C10209" t="s">
        <v>42</v>
      </c>
      <c r="E10209" t="s">
        <v>328</v>
      </c>
    </row>
    <row r="10210" spans="1:5" x14ac:dyDescent="0.35">
      <c r="A10210">
        <v>2020</v>
      </c>
      <c r="B10210" t="s">
        <v>33</v>
      </c>
      <c r="C10210" t="s">
        <v>42</v>
      </c>
      <c r="E10210" t="s">
        <v>355</v>
      </c>
    </row>
    <row r="10211" spans="1:5" x14ac:dyDescent="0.35">
      <c r="A10211">
        <v>2020</v>
      </c>
      <c r="B10211" t="s">
        <v>35</v>
      </c>
      <c r="C10211" t="s">
        <v>41</v>
      </c>
      <c r="D10211">
        <v>20</v>
      </c>
      <c r="E10211" t="s">
        <v>355</v>
      </c>
    </row>
    <row r="10212" spans="1:5" x14ac:dyDescent="0.35">
      <c r="A10212">
        <v>2020</v>
      </c>
      <c r="B10212" t="s">
        <v>34</v>
      </c>
      <c r="C10212" t="s">
        <v>40</v>
      </c>
      <c r="D10212">
        <v>14</v>
      </c>
      <c r="E10212" t="s">
        <v>328</v>
      </c>
    </row>
    <row r="10213" spans="1:5" x14ac:dyDescent="0.35">
      <c r="A10213">
        <v>2020</v>
      </c>
      <c r="B10213" t="s">
        <v>34</v>
      </c>
      <c r="C10213" t="s">
        <v>40</v>
      </c>
      <c r="D10213">
        <v>12</v>
      </c>
      <c r="E10213" t="s">
        <v>355</v>
      </c>
    </row>
    <row r="10214" spans="1:5" x14ac:dyDescent="0.35">
      <c r="A10214">
        <v>2020</v>
      </c>
      <c r="B10214" t="s">
        <v>34</v>
      </c>
      <c r="C10214" t="s">
        <v>118</v>
      </c>
      <c r="D10214">
        <v>70</v>
      </c>
      <c r="E10214" t="s">
        <v>355</v>
      </c>
    </row>
    <row r="10215" spans="1:5" x14ac:dyDescent="0.35">
      <c r="A10215">
        <v>2020</v>
      </c>
      <c r="B10215" t="s">
        <v>34</v>
      </c>
      <c r="C10215" t="s">
        <v>46</v>
      </c>
      <c r="D10215">
        <v>15</v>
      </c>
      <c r="E10215" t="s">
        <v>328</v>
      </c>
    </row>
    <row r="10216" spans="1:5" x14ac:dyDescent="0.35">
      <c r="A10216">
        <v>2020</v>
      </c>
      <c r="B10216" t="s">
        <v>38</v>
      </c>
      <c r="C10216" t="s">
        <v>59</v>
      </c>
      <c r="D10216">
        <v>61</v>
      </c>
      <c r="E10216" t="s">
        <v>355</v>
      </c>
    </row>
    <row r="10217" spans="1:5" x14ac:dyDescent="0.35">
      <c r="A10217">
        <v>2020</v>
      </c>
      <c r="B10217" t="s">
        <v>37</v>
      </c>
      <c r="C10217" t="s">
        <v>47</v>
      </c>
      <c r="D10217">
        <v>27</v>
      </c>
      <c r="E10217" t="s">
        <v>355</v>
      </c>
    </row>
    <row r="10218" spans="1:5" x14ac:dyDescent="0.35">
      <c r="A10218">
        <v>2020</v>
      </c>
      <c r="B10218" t="s">
        <v>35</v>
      </c>
      <c r="C10218" t="s">
        <v>48</v>
      </c>
      <c r="E10218" t="s">
        <v>355</v>
      </c>
    </row>
    <row r="10219" spans="1:5" x14ac:dyDescent="0.35">
      <c r="A10219">
        <v>2020</v>
      </c>
      <c r="B10219" t="s">
        <v>33</v>
      </c>
      <c r="C10219" t="s">
        <v>57</v>
      </c>
      <c r="E10219" t="s">
        <v>355</v>
      </c>
    </row>
    <row r="10220" spans="1:5" x14ac:dyDescent="0.35">
      <c r="A10220">
        <v>2020</v>
      </c>
      <c r="B10220" t="s">
        <v>36</v>
      </c>
      <c r="C10220" t="s">
        <v>56</v>
      </c>
      <c r="D10220">
        <v>33</v>
      </c>
      <c r="E10220" t="s">
        <v>328</v>
      </c>
    </row>
    <row r="10221" spans="1:5" x14ac:dyDescent="0.35">
      <c r="A10221">
        <v>2020</v>
      </c>
      <c r="B10221" t="s">
        <v>36</v>
      </c>
      <c r="C10221" t="s">
        <v>56</v>
      </c>
      <c r="D10221">
        <v>67</v>
      </c>
      <c r="E10221" t="s">
        <v>355</v>
      </c>
    </row>
    <row r="10222" spans="1:5" x14ac:dyDescent="0.35">
      <c r="A10222">
        <v>2020</v>
      </c>
      <c r="B10222" t="s">
        <v>35</v>
      </c>
      <c r="C10222" t="s">
        <v>55</v>
      </c>
      <c r="D10222">
        <v>4</v>
      </c>
      <c r="E10222" t="s">
        <v>328</v>
      </c>
    </row>
    <row r="10223" spans="1:5" x14ac:dyDescent="0.35">
      <c r="A10223">
        <v>2020</v>
      </c>
      <c r="B10223" t="s">
        <v>35</v>
      </c>
      <c r="C10223" t="s">
        <v>55</v>
      </c>
      <c r="D10223">
        <v>10</v>
      </c>
      <c r="E10223" t="s">
        <v>355</v>
      </c>
    </row>
    <row r="10224" spans="1:5" x14ac:dyDescent="0.35">
      <c r="A10224">
        <v>2020</v>
      </c>
      <c r="B10224" t="s">
        <v>35</v>
      </c>
      <c r="C10224" t="s">
        <v>54</v>
      </c>
      <c r="D10224">
        <v>5</v>
      </c>
      <c r="E10224" t="s">
        <v>328</v>
      </c>
    </row>
    <row r="10225" spans="1:5" x14ac:dyDescent="0.35">
      <c r="A10225">
        <v>2020</v>
      </c>
      <c r="B10225" t="s">
        <v>35</v>
      </c>
      <c r="C10225" t="s">
        <v>54</v>
      </c>
      <c r="D10225">
        <v>7</v>
      </c>
      <c r="E10225" t="s">
        <v>355</v>
      </c>
    </row>
    <row r="10226" spans="1:5" x14ac:dyDescent="0.35">
      <c r="A10226">
        <v>2020</v>
      </c>
      <c r="B10226" t="s">
        <v>36</v>
      </c>
      <c r="C10226" t="s">
        <v>53</v>
      </c>
      <c r="D10226">
        <v>9</v>
      </c>
      <c r="E10226" t="s">
        <v>355</v>
      </c>
    </row>
    <row r="10227" spans="1:5" x14ac:dyDescent="0.35">
      <c r="A10227">
        <v>2020</v>
      </c>
      <c r="B10227" t="s">
        <v>34</v>
      </c>
      <c r="C10227" t="s">
        <v>52</v>
      </c>
      <c r="D10227">
        <v>261</v>
      </c>
      <c r="E10227" t="s">
        <v>328</v>
      </c>
    </row>
    <row r="10228" spans="1:5" x14ac:dyDescent="0.35">
      <c r="A10228">
        <v>2020</v>
      </c>
      <c r="B10228" t="s">
        <v>34</v>
      </c>
      <c r="C10228" t="s">
        <v>52</v>
      </c>
      <c r="D10228">
        <v>45</v>
      </c>
      <c r="E10228" t="s">
        <v>355</v>
      </c>
    </row>
    <row r="10229" spans="1:5" x14ac:dyDescent="0.35">
      <c r="A10229">
        <v>2020</v>
      </c>
      <c r="B10229" t="s">
        <v>36</v>
      </c>
      <c r="C10229" t="s">
        <v>50</v>
      </c>
      <c r="D10229">
        <v>16</v>
      </c>
      <c r="E10229" t="s">
        <v>328</v>
      </c>
    </row>
    <row r="10230" spans="1:5" x14ac:dyDescent="0.35">
      <c r="A10230">
        <v>2020</v>
      </c>
      <c r="B10230" t="s">
        <v>36</v>
      </c>
      <c r="C10230" t="s">
        <v>50</v>
      </c>
      <c r="D10230">
        <v>58</v>
      </c>
      <c r="E10230" t="s">
        <v>355</v>
      </c>
    </row>
    <row r="10231" spans="1:5" x14ac:dyDescent="0.35">
      <c r="A10231">
        <v>2020</v>
      </c>
      <c r="B10231" t="s">
        <v>34</v>
      </c>
      <c r="C10231" t="s">
        <v>49</v>
      </c>
      <c r="E10231" t="s">
        <v>328</v>
      </c>
    </row>
    <row r="10232" spans="1:5" x14ac:dyDescent="0.35">
      <c r="A10232">
        <v>2020</v>
      </c>
      <c r="B10232" t="s">
        <v>34</v>
      </c>
      <c r="C10232" t="s">
        <v>49</v>
      </c>
      <c r="E10232" t="s">
        <v>355</v>
      </c>
    </row>
    <row r="10233" spans="1:5" x14ac:dyDescent="0.35">
      <c r="A10233">
        <v>2020</v>
      </c>
      <c r="B10233" t="s">
        <v>35</v>
      </c>
      <c r="C10233" t="s">
        <v>48</v>
      </c>
      <c r="E10233" t="s">
        <v>328</v>
      </c>
    </row>
    <row r="10234" spans="1:5" x14ac:dyDescent="0.35">
      <c r="A10234">
        <v>2020</v>
      </c>
      <c r="B10234" t="s">
        <v>37</v>
      </c>
      <c r="C10234" t="s">
        <v>47</v>
      </c>
      <c r="D10234">
        <v>18</v>
      </c>
      <c r="E10234" t="s">
        <v>328</v>
      </c>
    </row>
    <row r="10235" spans="1:5" x14ac:dyDescent="0.35">
      <c r="A10235">
        <v>2020</v>
      </c>
      <c r="B10235" t="s">
        <v>36</v>
      </c>
      <c r="C10235" t="s">
        <v>79</v>
      </c>
      <c r="D10235">
        <v>246</v>
      </c>
      <c r="E10235" t="s">
        <v>355</v>
      </c>
    </row>
    <row r="10236" spans="1:5" x14ac:dyDescent="0.35">
      <c r="A10236">
        <v>2020</v>
      </c>
      <c r="B10236" t="s">
        <v>35</v>
      </c>
      <c r="C10236" t="s">
        <v>41</v>
      </c>
      <c r="D10236">
        <v>37</v>
      </c>
      <c r="E10236" t="s">
        <v>328</v>
      </c>
    </row>
    <row r="10237" spans="1:5" x14ac:dyDescent="0.35">
      <c r="A10237">
        <v>2020</v>
      </c>
      <c r="B10237" t="s">
        <v>35</v>
      </c>
      <c r="C10237" t="s">
        <v>81</v>
      </c>
      <c r="D10237">
        <v>11</v>
      </c>
      <c r="E10237" t="s">
        <v>355</v>
      </c>
    </row>
    <row r="10238" spans="1:5" x14ac:dyDescent="0.35">
      <c r="A10238">
        <v>2020</v>
      </c>
      <c r="B10238" t="s">
        <v>34</v>
      </c>
      <c r="C10238" t="s">
        <v>107</v>
      </c>
      <c r="D10238">
        <v>46</v>
      </c>
      <c r="E10238" t="s">
        <v>328</v>
      </c>
    </row>
    <row r="10239" spans="1:5" x14ac:dyDescent="0.35">
      <c r="A10239">
        <v>2020</v>
      </c>
      <c r="B10239" t="s">
        <v>34</v>
      </c>
      <c r="C10239" t="s">
        <v>107</v>
      </c>
      <c r="D10239">
        <v>33</v>
      </c>
      <c r="E10239" t="s">
        <v>355</v>
      </c>
    </row>
    <row r="10240" spans="1:5" x14ac:dyDescent="0.35">
      <c r="A10240">
        <v>2020</v>
      </c>
      <c r="B10240" t="s">
        <v>34</v>
      </c>
      <c r="C10240" t="s">
        <v>22</v>
      </c>
      <c r="D10240">
        <v>1997</v>
      </c>
      <c r="E10240" t="s">
        <v>328</v>
      </c>
    </row>
    <row r="10241" spans="1:5" x14ac:dyDescent="0.35">
      <c r="A10241">
        <v>2020</v>
      </c>
      <c r="B10241" t="s">
        <v>34</v>
      </c>
      <c r="C10241" t="s">
        <v>22</v>
      </c>
      <c r="D10241">
        <v>549</v>
      </c>
      <c r="E10241" t="s">
        <v>355</v>
      </c>
    </row>
    <row r="10242" spans="1:5" x14ac:dyDescent="0.35">
      <c r="A10242">
        <v>2020</v>
      </c>
      <c r="B10242" t="s">
        <v>35</v>
      </c>
      <c r="C10242" t="s">
        <v>105</v>
      </c>
      <c r="D10242">
        <v>30</v>
      </c>
      <c r="E10242" t="s">
        <v>328</v>
      </c>
    </row>
    <row r="10243" spans="1:5" x14ac:dyDescent="0.35">
      <c r="A10243">
        <v>2020</v>
      </c>
      <c r="B10243" t="s">
        <v>35</v>
      </c>
      <c r="C10243" t="s">
        <v>105</v>
      </c>
      <c r="D10243">
        <v>15</v>
      </c>
      <c r="E10243" t="s">
        <v>355</v>
      </c>
    </row>
    <row r="10244" spans="1:5" x14ac:dyDescent="0.35">
      <c r="A10244">
        <v>2020</v>
      </c>
      <c r="B10244" t="s">
        <v>36</v>
      </c>
      <c r="C10244" t="s">
        <v>17</v>
      </c>
      <c r="D10244">
        <v>10968</v>
      </c>
      <c r="E10244" t="s">
        <v>328</v>
      </c>
    </row>
    <row r="10245" spans="1:5" x14ac:dyDescent="0.35">
      <c r="A10245">
        <v>2020</v>
      </c>
      <c r="B10245" t="s">
        <v>36</v>
      </c>
      <c r="C10245" t="s">
        <v>17</v>
      </c>
      <c r="D10245">
        <v>9605</v>
      </c>
      <c r="E10245" t="s">
        <v>355</v>
      </c>
    </row>
    <row r="10246" spans="1:5" x14ac:dyDescent="0.35">
      <c r="A10246">
        <v>2020</v>
      </c>
      <c r="B10246" t="s">
        <v>36</v>
      </c>
      <c r="C10246" t="s">
        <v>104</v>
      </c>
      <c r="D10246">
        <v>524</v>
      </c>
      <c r="E10246" t="s">
        <v>328</v>
      </c>
    </row>
    <row r="10247" spans="1:5" x14ac:dyDescent="0.35">
      <c r="A10247">
        <v>2020</v>
      </c>
      <c r="B10247" t="s">
        <v>36</v>
      </c>
      <c r="C10247" t="s">
        <v>104</v>
      </c>
      <c r="D10247">
        <v>391</v>
      </c>
      <c r="E10247" t="s">
        <v>355</v>
      </c>
    </row>
    <row r="10248" spans="1:5" x14ac:dyDescent="0.35">
      <c r="A10248">
        <v>2020</v>
      </c>
      <c r="B10248" t="s">
        <v>38</v>
      </c>
      <c r="C10248" t="s">
        <v>103</v>
      </c>
      <c r="D10248">
        <v>26</v>
      </c>
      <c r="E10248" t="s">
        <v>328</v>
      </c>
    </row>
    <row r="10249" spans="1:5" x14ac:dyDescent="0.35">
      <c r="A10249">
        <v>2020</v>
      </c>
      <c r="B10249" t="s">
        <v>38</v>
      </c>
      <c r="C10249" t="s">
        <v>103</v>
      </c>
      <c r="D10249">
        <v>155</v>
      </c>
      <c r="E10249" t="s">
        <v>355</v>
      </c>
    </row>
    <row r="10250" spans="1:5" x14ac:dyDescent="0.35">
      <c r="A10250">
        <v>2020</v>
      </c>
      <c r="B10250" t="s">
        <v>33</v>
      </c>
      <c r="C10250" t="s">
        <v>101</v>
      </c>
      <c r="D10250">
        <v>18</v>
      </c>
      <c r="E10250" t="s">
        <v>328</v>
      </c>
    </row>
    <row r="10251" spans="1:5" x14ac:dyDescent="0.35">
      <c r="A10251">
        <v>2020</v>
      </c>
      <c r="B10251" t="s">
        <v>33</v>
      </c>
      <c r="C10251" t="s">
        <v>101</v>
      </c>
      <c r="D10251">
        <v>23</v>
      </c>
      <c r="E10251" t="s">
        <v>355</v>
      </c>
    </row>
    <row r="10252" spans="1:5" x14ac:dyDescent="0.35">
      <c r="A10252">
        <v>2020</v>
      </c>
      <c r="B10252" t="s">
        <v>36</v>
      </c>
      <c r="C10252" t="s">
        <v>15</v>
      </c>
      <c r="D10252">
        <v>18077</v>
      </c>
      <c r="E10252" t="s">
        <v>328</v>
      </c>
    </row>
    <row r="10253" spans="1:5" x14ac:dyDescent="0.35">
      <c r="A10253">
        <v>2020</v>
      </c>
      <c r="B10253" t="s">
        <v>34</v>
      </c>
      <c r="C10253" t="s">
        <v>108</v>
      </c>
      <c r="D10253">
        <v>15</v>
      </c>
      <c r="E10253" t="s">
        <v>355</v>
      </c>
    </row>
    <row r="10254" spans="1:5" x14ac:dyDescent="0.35">
      <c r="A10254">
        <v>2020</v>
      </c>
      <c r="B10254" t="s">
        <v>36</v>
      </c>
      <c r="C10254" t="s">
        <v>15</v>
      </c>
      <c r="D10254">
        <v>10290</v>
      </c>
      <c r="E10254" t="s">
        <v>355</v>
      </c>
    </row>
    <row r="10255" spans="1:5" x14ac:dyDescent="0.35">
      <c r="A10255">
        <v>2020</v>
      </c>
      <c r="B10255" t="s">
        <v>34</v>
      </c>
      <c r="C10255" t="s">
        <v>108</v>
      </c>
      <c r="D10255">
        <v>5</v>
      </c>
      <c r="E10255" t="s">
        <v>328</v>
      </c>
    </row>
    <row r="10256" spans="1:5" x14ac:dyDescent="0.35">
      <c r="A10256">
        <v>2020</v>
      </c>
      <c r="B10256" t="s">
        <v>34</v>
      </c>
      <c r="C10256" t="s">
        <v>109</v>
      </c>
      <c r="D10256">
        <v>14</v>
      </c>
      <c r="E10256" t="s">
        <v>328</v>
      </c>
    </row>
    <row r="10257" spans="1:5" x14ac:dyDescent="0.35">
      <c r="A10257">
        <v>2020</v>
      </c>
      <c r="B10257" t="s">
        <v>33</v>
      </c>
      <c r="C10257" t="s">
        <v>117</v>
      </c>
      <c r="D10257">
        <v>94</v>
      </c>
      <c r="E10257" t="s">
        <v>355</v>
      </c>
    </row>
    <row r="10258" spans="1:5" x14ac:dyDescent="0.35">
      <c r="A10258">
        <v>2020</v>
      </c>
      <c r="B10258" t="s">
        <v>36</v>
      </c>
      <c r="C10258" t="s">
        <v>79</v>
      </c>
      <c r="D10258">
        <v>1352</v>
      </c>
      <c r="E10258" t="s">
        <v>328</v>
      </c>
    </row>
    <row r="10259" spans="1:5" x14ac:dyDescent="0.35">
      <c r="A10259">
        <v>2020</v>
      </c>
      <c r="B10259" t="s">
        <v>34</v>
      </c>
      <c r="C10259" t="s">
        <v>116</v>
      </c>
      <c r="D10259">
        <v>19</v>
      </c>
      <c r="E10259" t="s">
        <v>328</v>
      </c>
    </row>
    <row r="10260" spans="1:5" x14ac:dyDescent="0.35">
      <c r="A10260">
        <v>2020</v>
      </c>
      <c r="B10260" t="s">
        <v>34</v>
      </c>
      <c r="C10260" t="s">
        <v>115</v>
      </c>
      <c r="D10260">
        <v>24</v>
      </c>
      <c r="E10260" t="s">
        <v>328</v>
      </c>
    </row>
    <row r="10261" spans="1:5" x14ac:dyDescent="0.35">
      <c r="A10261">
        <v>2020</v>
      </c>
      <c r="B10261" t="s">
        <v>34</v>
      </c>
      <c r="C10261" t="s">
        <v>115</v>
      </c>
      <c r="D10261">
        <v>68</v>
      </c>
      <c r="E10261" t="s">
        <v>355</v>
      </c>
    </row>
    <row r="10262" spans="1:5" x14ac:dyDescent="0.35">
      <c r="A10262">
        <v>2020</v>
      </c>
      <c r="B10262" t="s">
        <v>34</v>
      </c>
      <c r="C10262" t="s">
        <v>114</v>
      </c>
      <c r="D10262">
        <v>15</v>
      </c>
      <c r="E10262" t="s">
        <v>328</v>
      </c>
    </row>
    <row r="10263" spans="1:5" x14ac:dyDescent="0.35">
      <c r="A10263">
        <v>2020</v>
      </c>
      <c r="B10263" t="s">
        <v>34</v>
      </c>
      <c r="C10263" t="s">
        <v>114</v>
      </c>
      <c r="D10263">
        <v>11</v>
      </c>
      <c r="E10263" t="s">
        <v>355</v>
      </c>
    </row>
    <row r="10264" spans="1:5" x14ac:dyDescent="0.35">
      <c r="A10264">
        <v>2020</v>
      </c>
      <c r="B10264" t="s">
        <v>36</v>
      </c>
      <c r="C10264" t="s">
        <v>113</v>
      </c>
      <c r="D10264">
        <v>72</v>
      </c>
      <c r="E10264" t="s">
        <v>328</v>
      </c>
    </row>
    <row r="10265" spans="1:5" x14ac:dyDescent="0.35">
      <c r="A10265">
        <v>2020</v>
      </c>
      <c r="B10265" t="s">
        <v>36</v>
      </c>
      <c r="C10265" t="s">
        <v>113</v>
      </c>
      <c r="D10265">
        <v>1171</v>
      </c>
      <c r="E10265" t="s">
        <v>355</v>
      </c>
    </row>
    <row r="10266" spans="1:5" x14ac:dyDescent="0.35">
      <c r="A10266">
        <v>2020</v>
      </c>
      <c r="B10266" t="s">
        <v>35</v>
      </c>
      <c r="C10266" t="s">
        <v>112</v>
      </c>
      <c r="D10266">
        <v>90</v>
      </c>
      <c r="E10266" t="s">
        <v>328</v>
      </c>
    </row>
    <row r="10267" spans="1:5" x14ac:dyDescent="0.35">
      <c r="A10267">
        <v>2020</v>
      </c>
      <c r="B10267" t="s">
        <v>35</v>
      </c>
      <c r="C10267" t="s">
        <v>112</v>
      </c>
      <c r="D10267">
        <v>26</v>
      </c>
      <c r="E10267" t="s">
        <v>355</v>
      </c>
    </row>
    <row r="10268" spans="1:5" x14ac:dyDescent="0.35">
      <c r="A10268">
        <v>2020</v>
      </c>
      <c r="B10268" t="s">
        <v>34</v>
      </c>
      <c r="C10268" t="s">
        <v>111</v>
      </c>
      <c r="D10268">
        <v>15</v>
      </c>
      <c r="E10268" t="s">
        <v>328</v>
      </c>
    </row>
    <row r="10269" spans="1:5" x14ac:dyDescent="0.35">
      <c r="A10269">
        <v>2020</v>
      </c>
      <c r="B10269" t="s">
        <v>34</v>
      </c>
      <c r="C10269" t="s">
        <v>111</v>
      </c>
      <c r="D10269">
        <v>113</v>
      </c>
      <c r="E10269" t="s">
        <v>355</v>
      </c>
    </row>
    <row r="10270" spans="1:5" x14ac:dyDescent="0.35">
      <c r="A10270">
        <v>2020</v>
      </c>
      <c r="B10270" t="s">
        <v>35</v>
      </c>
      <c r="C10270" t="s">
        <v>110</v>
      </c>
      <c r="D10270">
        <v>7</v>
      </c>
      <c r="E10270" t="s">
        <v>328</v>
      </c>
    </row>
    <row r="10271" spans="1:5" x14ac:dyDescent="0.35">
      <c r="A10271">
        <v>2020</v>
      </c>
      <c r="B10271" t="s">
        <v>35</v>
      </c>
      <c r="C10271" t="s">
        <v>110</v>
      </c>
      <c r="D10271">
        <v>10</v>
      </c>
      <c r="E10271" t="s">
        <v>355</v>
      </c>
    </row>
    <row r="10272" spans="1:5" x14ac:dyDescent="0.35">
      <c r="A10272">
        <v>2020</v>
      </c>
      <c r="B10272" t="s">
        <v>34</v>
      </c>
      <c r="C10272" t="s">
        <v>109</v>
      </c>
      <c r="D10272">
        <v>22</v>
      </c>
      <c r="E10272" t="s">
        <v>355</v>
      </c>
    </row>
    <row r="10273" spans="1:5" x14ac:dyDescent="0.35">
      <c r="A10273">
        <v>2020</v>
      </c>
      <c r="B10273" t="s">
        <v>36</v>
      </c>
      <c r="C10273" t="s">
        <v>100</v>
      </c>
      <c r="D10273">
        <v>7</v>
      </c>
      <c r="E10273" t="s">
        <v>355</v>
      </c>
    </row>
    <row r="10274" spans="1:5" x14ac:dyDescent="0.35">
      <c r="A10274">
        <v>2020</v>
      </c>
      <c r="B10274" t="s">
        <v>34</v>
      </c>
      <c r="C10274" t="s">
        <v>116</v>
      </c>
      <c r="D10274">
        <v>34</v>
      </c>
      <c r="E10274" t="s">
        <v>355</v>
      </c>
    </row>
    <row r="10275" spans="1:5" x14ac:dyDescent="0.35">
      <c r="A10275">
        <v>2020</v>
      </c>
      <c r="B10275" t="s">
        <v>35</v>
      </c>
      <c r="C10275" t="s">
        <v>99</v>
      </c>
      <c r="D10275">
        <v>7</v>
      </c>
      <c r="E10275" t="s">
        <v>355</v>
      </c>
    </row>
    <row r="10276" spans="1:5" x14ac:dyDescent="0.35">
      <c r="A10276">
        <v>2020</v>
      </c>
      <c r="B10276" t="s">
        <v>33</v>
      </c>
      <c r="C10276" t="s">
        <v>89</v>
      </c>
      <c r="D10276">
        <v>6</v>
      </c>
      <c r="E10276" t="s">
        <v>355</v>
      </c>
    </row>
    <row r="10277" spans="1:5" x14ac:dyDescent="0.35">
      <c r="A10277">
        <v>2020</v>
      </c>
      <c r="B10277" t="s">
        <v>33</v>
      </c>
      <c r="C10277" t="s">
        <v>88</v>
      </c>
      <c r="D10277">
        <v>4</v>
      </c>
      <c r="E10277" t="s">
        <v>328</v>
      </c>
    </row>
    <row r="10278" spans="1:5" x14ac:dyDescent="0.35">
      <c r="A10278">
        <v>2020</v>
      </c>
      <c r="B10278" t="s">
        <v>33</v>
      </c>
      <c r="C10278" t="s">
        <v>88</v>
      </c>
      <c r="D10278">
        <v>7</v>
      </c>
      <c r="E10278" t="s">
        <v>355</v>
      </c>
    </row>
    <row r="10279" spans="1:5" x14ac:dyDescent="0.35">
      <c r="A10279">
        <v>2020</v>
      </c>
      <c r="B10279" t="s">
        <v>36</v>
      </c>
      <c r="C10279" t="s">
        <v>16</v>
      </c>
      <c r="D10279">
        <v>7126</v>
      </c>
      <c r="E10279" t="s">
        <v>328</v>
      </c>
    </row>
    <row r="10280" spans="1:5" x14ac:dyDescent="0.35">
      <c r="A10280">
        <v>2020</v>
      </c>
      <c r="B10280" t="s">
        <v>36</v>
      </c>
      <c r="C10280" t="s">
        <v>16</v>
      </c>
      <c r="D10280">
        <v>5041</v>
      </c>
      <c r="E10280" t="s">
        <v>355</v>
      </c>
    </row>
    <row r="10281" spans="1:5" x14ac:dyDescent="0.35">
      <c r="A10281">
        <v>2020</v>
      </c>
      <c r="B10281" t="s">
        <v>33</v>
      </c>
      <c r="C10281" t="s">
        <v>87</v>
      </c>
      <c r="D10281">
        <v>48</v>
      </c>
      <c r="E10281" t="s">
        <v>328</v>
      </c>
    </row>
    <row r="10282" spans="1:5" x14ac:dyDescent="0.35">
      <c r="A10282">
        <v>2020</v>
      </c>
      <c r="B10282" t="s">
        <v>33</v>
      </c>
      <c r="C10282" t="s">
        <v>87</v>
      </c>
      <c r="D10282">
        <v>53</v>
      </c>
      <c r="E10282" t="s">
        <v>355</v>
      </c>
    </row>
    <row r="10283" spans="1:5" x14ac:dyDescent="0.35">
      <c r="A10283">
        <v>2020</v>
      </c>
      <c r="B10283" t="s">
        <v>38</v>
      </c>
      <c r="C10283" t="s">
        <v>86</v>
      </c>
      <c r="D10283">
        <v>1612</v>
      </c>
      <c r="E10283" t="s">
        <v>328</v>
      </c>
    </row>
    <row r="10284" spans="1:5" x14ac:dyDescent="0.35">
      <c r="A10284">
        <v>2020</v>
      </c>
      <c r="B10284" t="s">
        <v>38</v>
      </c>
      <c r="C10284" t="s">
        <v>86</v>
      </c>
      <c r="D10284">
        <v>1507</v>
      </c>
      <c r="E10284" t="s">
        <v>355</v>
      </c>
    </row>
    <row r="10285" spans="1:5" x14ac:dyDescent="0.35">
      <c r="A10285">
        <v>2020</v>
      </c>
      <c r="B10285" t="s">
        <v>36</v>
      </c>
      <c r="C10285" t="s">
        <v>85</v>
      </c>
      <c r="D10285">
        <v>433</v>
      </c>
      <c r="E10285" t="s">
        <v>328</v>
      </c>
    </row>
    <row r="10286" spans="1:5" x14ac:dyDescent="0.35">
      <c r="A10286">
        <v>2020</v>
      </c>
      <c r="B10286" t="s">
        <v>36</v>
      </c>
      <c r="C10286" t="s">
        <v>85</v>
      </c>
      <c r="D10286">
        <v>1490</v>
      </c>
      <c r="E10286" t="s">
        <v>355</v>
      </c>
    </row>
    <row r="10287" spans="1:5" x14ac:dyDescent="0.35">
      <c r="A10287">
        <v>2020</v>
      </c>
      <c r="B10287" t="s">
        <v>36</v>
      </c>
      <c r="C10287" t="s">
        <v>84</v>
      </c>
      <c r="E10287" t="s">
        <v>328</v>
      </c>
    </row>
    <row r="10288" spans="1:5" x14ac:dyDescent="0.35">
      <c r="A10288">
        <v>2020</v>
      </c>
      <c r="B10288" t="s">
        <v>36</v>
      </c>
      <c r="C10288" t="s">
        <v>84</v>
      </c>
      <c r="E10288" t="s">
        <v>355</v>
      </c>
    </row>
    <row r="10289" spans="1:5" x14ac:dyDescent="0.35">
      <c r="A10289">
        <v>2020</v>
      </c>
      <c r="B10289" t="s">
        <v>35</v>
      </c>
      <c r="C10289" t="s">
        <v>81</v>
      </c>
      <c r="D10289">
        <v>13</v>
      </c>
      <c r="E10289" t="s">
        <v>328</v>
      </c>
    </row>
    <row r="10290" spans="1:5" x14ac:dyDescent="0.35">
      <c r="A10290">
        <v>2020</v>
      </c>
      <c r="B10290" t="s">
        <v>35</v>
      </c>
      <c r="C10290" t="s">
        <v>99</v>
      </c>
      <c r="D10290">
        <v>7</v>
      </c>
      <c r="E10290" t="s">
        <v>328</v>
      </c>
    </row>
    <row r="10291" spans="1:5" x14ac:dyDescent="0.35">
      <c r="A10291">
        <v>2020</v>
      </c>
      <c r="B10291" t="s">
        <v>33</v>
      </c>
      <c r="C10291" t="s">
        <v>89</v>
      </c>
      <c r="D10291">
        <v>31</v>
      </c>
      <c r="E10291" t="s">
        <v>328</v>
      </c>
    </row>
    <row r="10292" spans="1:5" x14ac:dyDescent="0.35">
      <c r="A10292">
        <v>2020</v>
      </c>
      <c r="B10292" t="s">
        <v>35</v>
      </c>
      <c r="C10292" t="s">
        <v>90</v>
      </c>
      <c r="E10292" t="s">
        <v>355</v>
      </c>
    </row>
    <row r="10293" spans="1:5" x14ac:dyDescent="0.35">
      <c r="A10293">
        <v>2020</v>
      </c>
      <c r="B10293" t="s">
        <v>35</v>
      </c>
      <c r="C10293" t="s">
        <v>214</v>
      </c>
      <c r="E10293" t="s">
        <v>355</v>
      </c>
    </row>
    <row r="10294" spans="1:5" x14ac:dyDescent="0.35">
      <c r="A10294">
        <v>2020</v>
      </c>
      <c r="B10294" t="s">
        <v>33</v>
      </c>
      <c r="C10294" t="s">
        <v>91</v>
      </c>
      <c r="D10294">
        <v>29</v>
      </c>
      <c r="E10294" t="s">
        <v>355</v>
      </c>
    </row>
    <row r="10295" spans="1:5" x14ac:dyDescent="0.35">
      <c r="A10295">
        <v>2020</v>
      </c>
      <c r="B10295" t="s">
        <v>35</v>
      </c>
      <c r="C10295" t="s">
        <v>90</v>
      </c>
      <c r="E10295" t="s">
        <v>328</v>
      </c>
    </row>
    <row r="10296" spans="1:5" x14ac:dyDescent="0.35">
      <c r="A10296">
        <v>2020</v>
      </c>
      <c r="B10296" t="s">
        <v>33</v>
      </c>
      <c r="C10296" t="s">
        <v>98</v>
      </c>
      <c r="D10296">
        <v>104</v>
      </c>
      <c r="E10296" t="s">
        <v>355</v>
      </c>
    </row>
    <row r="10297" spans="1:5" x14ac:dyDescent="0.35">
      <c r="A10297">
        <v>2020</v>
      </c>
      <c r="B10297" t="s">
        <v>33</v>
      </c>
      <c r="C10297" t="s">
        <v>98</v>
      </c>
      <c r="D10297">
        <v>53</v>
      </c>
      <c r="E10297" t="s">
        <v>328</v>
      </c>
    </row>
    <row r="10298" spans="1:5" x14ac:dyDescent="0.35">
      <c r="A10298">
        <v>2020</v>
      </c>
      <c r="B10298" t="s">
        <v>35</v>
      </c>
      <c r="C10298" t="s">
        <v>97</v>
      </c>
      <c r="D10298">
        <v>33</v>
      </c>
      <c r="E10298" t="s">
        <v>355</v>
      </c>
    </row>
    <row r="10299" spans="1:5" x14ac:dyDescent="0.35">
      <c r="A10299">
        <v>2020</v>
      </c>
      <c r="B10299" t="s">
        <v>34</v>
      </c>
      <c r="C10299" t="s">
        <v>8</v>
      </c>
      <c r="D10299">
        <v>32</v>
      </c>
      <c r="E10299" t="s">
        <v>328</v>
      </c>
    </row>
    <row r="10300" spans="1:5" x14ac:dyDescent="0.35">
      <c r="A10300">
        <v>2020</v>
      </c>
      <c r="B10300" t="s">
        <v>34</v>
      </c>
      <c r="C10300" t="s">
        <v>8</v>
      </c>
      <c r="D10300">
        <v>20</v>
      </c>
      <c r="E10300" t="s">
        <v>355</v>
      </c>
    </row>
    <row r="10301" spans="1:5" x14ac:dyDescent="0.35">
      <c r="A10301">
        <v>2020</v>
      </c>
      <c r="B10301" t="s">
        <v>33</v>
      </c>
      <c r="C10301" t="s">
        <v>96</v>
      </c>
      <c r="D10301">
        <v>17</v>
      </c>
      <c r="E10301" t="s">
        <v>328</v>
      </c>
    </row>
    <row r="10302" spans="1:5" x14ac:dyDescent="0.35">
      <c r="A10302">
        <v>2020</v>
      </c>
      <c r="B10302" t="s">
        <v>35</v>
      </c>
      <c r="C10302" t="s">
        <v>97</v>
      </c>
      <c r="D10302">
        <v>23</v>
      </c>
      <c r="E10302" t="s">
        <v>328</v>
      </c>
    </row>
    <row r="10303" spans="1:5" x14ac:dyDescent="0.35">
      <c r="A10303">
        <v>2020</v>
      </c>
      <c r="B10303" t="s">
        <v>33</v>
      </c>
      <c r="C10303" t="s">
        <v>95</v>
      </c>
      <c r="D10303">
        <v>3</v>
      </c>
      <c r="E10303" t="s">
        <v>328</v>
      </c>
    </row>
    <row r="10304" spans="1:5" x14ac:dyDescent="0.35">
      <c r="A10304">
        <v>2020</v>
      </c>
      <c r="B10304" t="s">
        <v>33</v>
      </c>
      <c r="C10304" t="s">
        <v>95</v>
      </c>
      <c r="D10304">
        <v>5</v>
      </c>
      <c r="E10304" t="s">
        <v>355</v>
      </c>
    </row>
    <row r="10305" spans="1:5" x14ac:dyDescent="0.35">
      <c r="A10305">
        <v>2020</v>
      </c>
      <c r="B10305" t="s">
        <v>35</v>
      </c>
      <c r="C10305" t="s">
        <v>94</v>
      </c>
      <c r="D10305">
        <v>47</v>
      </c>
      <c r="E10305" t="s">
        <v>328</v>
      </c>
    </row>
    <row r="10306" spans="1:5" x14ac:dyDescent="0.35">
      <c r="A10306">
        <v>2020</v>
      </c>
      <c r="B10306" t="s">
        <v>35</v>
      </c>
      <c r="C10306" t="s">
        <v>94</v>
      </c>
      <c r="D10306">
        <v>35</v>
      </c>
      <c r="E10306" t="s">
        <v>355</v>
      </c>
    </row>
    <row r="10307" spans="1:5" x14ac:dyDescent="0.35">
      <c r="A10307">
        <v>2020</v>
      </c>
      <c r="B10307" t="s">
        <v>37</v>
      </c>
      <c r="C10307" t="s">
        <v>92</v>
      </c>
      <c r="E10307" t="s">
        <v>328</v>
      </c>
    </row>
    <row r="10308" spans="1:5" x14ac:dyDescent="0.35">
      <c r="A10308">
        <v>2020</v>
      </c>
      <c r="B10308" t="s">
        <v>37</v>
      </c>
      <c r="C10308" t="s">
        <v>92</v>
      </c>
      <c r="E10308" t="s">
        <v>355</v>
      </c>
    </row>
    <row r="10309" spans="1:5" x14ac:dyDescent="0.35">
      <c r="A10309">
        <v>2020</v>
      </c>
      <c r="B10309" t="s">
        <v>33</v>
      </c>
      <c r="C10309" t="s">
        <v>96</v>
      </c>
      <c r="D10309">
        <v>27</v>
      </c>
      <c r="E10309" t="s">
        <v>355</v>
      </c>
    </row>
    <row r="10310" spans="1:5" x14ac:dyDescent="0.35">
      <c r="A10310">
        <v>2020</v>
      </c>
      <c r="B10310" t="s">
        <v>33</v>
      </c>
      <c r="C10310" t="s">
        <v>91</v>
      </c>
      <c r="D10310">
        <v>18</v>
      </c>
      <c r="E10310" t="s">
        <v>328</v>
      </c>
    </row>
    <row r="10311" spans="1:5" x14ac:dyDescent="0.35">
      <c r="A10311">
        <v>2021</v>
      </c>
      <c r="B10311" t="s">
        <v>36</v>
      </c>
      <c r="C10311" t="s">
        <v>154</v>
      </c>
      <c r="D10311">
        <v>615</v>
      </c>
      <c r="E10311" t="s">
        <v>466</v>
      </c>
    </row>
    <row r="10312" spans="1:5" x14ac:dyDescent="0.35">
      <c r="A10312">
        <v>2021</v>
      </c>
      <c r="B10312" t="s">
        <v>37</v>
      </c>
      <c r="C10312" t="s">
        <v>166</v>
      </c>
      <c r="D10312">
        <v>3</v>
      </c>
      <c r="E10312" t="s">
        <v>467</v>
      </c>
    </row>
    <row r="10313" spans="1:5" x14ac:dyDescent="0.35">
      <c r="A10313">
        <v>2021</v>
      </c>
      <c r="B10313" t="s">
        <v>35</v>
      </c>
      <c r="C10313" t="s">
        <v>150</v>
      </c>
      <c r="D10313">
        <v>21</v>
      </c>
      <c r="E10313" t="s">
        <v>466</v>
      </c>
    </row>
    <row r="10314" spans="1:5" x14ac:dyDescent="0.35">
      <c r="A10314">
        <v>2021</v>
      </c>
      <c r="B10314" t="s">
        <v>34</v>
      </c>
      <c r="C10314" t="s">
        <v>152</v>
      </c>
      <c r="D10314">
        <v>31</v>
      </c>
      <c r="E10314" t="s">
        <v>328</v>
      </c>
    </row>
    <row r="10315" spans="1:5" x14ac:dyDescent="0.35">
      <c r="A10315">
        <v>2021</v>
      </c>
      <c r="B10315" t="s">
        <v>34</v>
      </c>
      <c r="C10315" t="s">
        <v>152</v>
      </c>
      <c r="D10315">
        <v>487</v>
      </c>
      <c r="E10315" t="s">
        <v>466</v>
      </c>
    </row>
    <row r="10316" spans="1:5" x14ac:dyDescent="0.35">
      <c r="A10316">
        <v>2021</v>
      </c>
      <c r="B10316" t="s">
        <v>34</v>
      </c>
      <c r="C10316" t="s">
        <v>167</v>
      </c>
      <c r="D10316">
        <v>35</v>
      </c>
      <c r="E10316" t="s">
        <v>467</v>
      </c>
    </row>
    <row r="10317" spans="1:5" x14ac:dyDescent="0.35">
      <c r="A10317">
        <v>2021</v>
      </c>
      <c r="B10317" t="s">
        <v>34</v>
      </c>
      <c r="C10317" t="s">
        <v>151</v>
      </c>
      <c r="D10317">
        <v>6</v>
      </c>
      <c r="E10317" t="s">
        <v>466</v>
      </c>
    </row>
    <row r="10318" spans="1:5" x14ac:dyDescent="0.35">
      <c r="A10318">
        <v>2021</v>
      </c>
      <c r="B10318" t="s">
        <v>34</v>
      </c>
      <c r="C10318" t="s">
        <v>152</v>
      </c>
      <c r="D10318">
        <v>91</v>
      </c>
      <c r="E10318" t="s">
        <v>355</v>
      </c>
    </row>
    <row r="10319" spans="1:5" x14ac:dyDescent="0.35">
      <c r="A10319">
        <v>2021</v>
      </c>
      <c r="B10319" t="s">
        <v>35</v>
      </c>
      <c r="C10319" t="s">
        <v>322</v>
      </c>
      <c r="D10319">
        <v>19</v>
      </c>
      <c r="E10319" t="s">
        <v>466</v>
      </c>
    </row>
    <row r="10320" spans="1:5" x14ac:dyDescent="0.35">
      <c r="A10320">
        <v>2021</v>
      </c>
      <c r="B10320" t="s">
        <v>33</v>
      </c>
      <c r="C10320" t="s">
        <v>168</v>
      </c>
      <c r="D10320">
        <v>11</v>
      </c>
      <c r="E10320" t="s">
        <v>467</v>
      </c>
    </row>
    <row r="10321" spans="1:5" x14ac:dyDescent="0.35">
      <c r="A10321">
        <v>2021</v>
      </c>
      <c r="B10321" t="s">
        <v>37</v>
      </c>
      <c r="C10321" t="s">
        <v>153</v>
      </c>
      <c r="D10321">
        <v>6</v>
      </c>
      <c r="E10321" t="s">
        <v>466</v>
      </c>
    </row>
    <row r="10322" spans="1:5" x14ac:dyDescent="0.35">
      <c r="A10322">
        <v>2021</v>
      </c>
      <c r="B10322" t="s">
        <v>35</v>
      </c>
      <c r="C10322" t="s">
        <v>150</v>
      </c>
      <c r="E10322" t="s">
        <v>328</v>
      </c>
    </row>
    <row r="10323" spans="1:5" x14ac:dyDescent="0.35">
      <c r="A10323">
        <v>2021</v>
      </c>
      <c r="B10323" t="s">
        <v>38</v>
      </c>
      <c r="C10323" t="s">
        <v>155</v>
      </c>
      <c r="D10323">
        <v>107</v>
      </c>
      <c r="E10323" t="s">
        <v>466</v>
      </c>
    </row>
    <row r="10324" spans="1:5" x14ac:dyDescent="0.35">
      <c r="A10324">
        <v>2021</v>
      </c>
      <c r="B10324" t="s">
        <v>36</v>
      </c>
      <c r="C10324" t="s">
        <v>165</v>
      </c>
      <c r="D10324">
        <v>4</v>
      </c>
      <c r="E10324" t="s">
        <v>467</v>
      </c>
    </row>
    <row r="10325" spans="1:5" x14ac:dyDescent="0.35">
      <c r="A10325">
        <v>2021</v>
      </c>
      <c r="B10325" t="s">
        <v>35</v>
      </c>
      <c r="C10325" t="s">
        <v>158</v>
      </c>
      <c r="D10325">
        <v>134</v>
      </c>
      <c r="E10325" t="s">
        <v>466</v>
      </c>
    </row>
    <row r="10326" spans="1:5" x14ac:dyDescent="0.35">
      <c r="A10326">
        <v>2021</v>
      </c>
      <c r="B10326" t="s">
        <v>35</v>
      </c>
      <c r="C10326" t="s">
        <v>150</v>
      </c>
      <c r="E10326" t="s">
        <v>355</v>
      </c>
    </row>
    <row r="10327" spans="1:5" x14ac:dyDescent="0.35">
      <c r="A10327">
        <v>2021</v>
      </c>
      <c r="B10327" t="s">
        <v>34</v>
      </c>
      <c r="C10327" t="s">
        <v>18</v>
      </c>
      <c r="D10327">
        <v>791</v>
      </c>
      <c r="E10327" t="s">
        <v>466</v>
      </c>
    </row>
    <row r="10328" spans="1:5" x14ac:dyDescent="0.35">
      <c r="A10328">
        <v>2021</v>
      </c>
      <c r="B10328" t="s">
        <v>35</v>
      </c>
      <c r="C10328" t="s">
        <v>169</v>
      </c>
      <c r="D10328">
        <v>9</v>
      </c>
      <c r="E10328" t="s">
        <v>467</v>
      </c>
    </row>
    <row r="10329" spans="1:5" x14ac:dyDescent="0.35">
      <c r="A10329">
        <v>2021</v>
      </c>
      <c r="B10329" t="s">
        <v>35</v>
      </c>
      <c r="C10329" t="s">
        <v>157</v>
      </c>
      <c r="D10329">
        <v>143</v>
      </c>
      <c r="E10329" t="s">
        <v>466</v>
      </c>
    </row>
    <row r="10330" spans="1:5" x14ac:dyDescent="0.35">
      <c r="A10330">
        <v>2021</v>
      </c>
      <c r="B10330" t="s">
        <v>35</v>
      </c>
      <c r="C10330" t="s">
        <v>322</v>
      </c>
      <c r="D10330">
        <v>6</v>
      </c>
      <c r="E10330" t="s">
        <v>355</v>
      </c>
    </row>
    <row r="10331" spans="1:5" x14ac:dyDescent="0.35">
      <c r="A10331">
        <v>2021</v>
      </c>
      <c r="B10331" t="s">
        <v>34</v>
      </c>
      <c r="C10331" t="s">
        <v>159</v>
      </c>
      <c r="D10331">
        <v>4</v>
      </c>
      <c r="E10331" t="s">
        <v>466</v>
      </c>
    </row>
    <row r="10332" spans="1:5" x14ac:dyDescent="0.35">
      <c r="A10332">
        <v>2021</v>
      </c>
      <c r="B10332" t="s">
        <v>35</v>
      </c>
      <c r="C10332" t="s">
        <v>150</v>
      </c>
      <c r="D10332">
        <v>17</v>
      </c>
      <c r="E10332" t="s">
        <v>467</v>
      </c>
    </row>
    <row r="10333" spans="1:5" x14ac:dyDescent="0.35">
      <c r="A10333">
        <v>2021</v>
      </c>
      <c r="B10333" t="s">
        <v>35</v>
      </c>
      <c r="C10333" t="s">
        <v>160</v>
      </c>
      <c r="D10333">
        <v>4596</v>
      </c>
      <c r="E10333" t="s">
        <v>466</v>
      </c>
    </row>
    <row r="10334" spans="1:5" x14ac:dyDescent="0.35">
      <c r="A10334">
        <v>2021</v>
      </c>
      <c r="B10334" t="s">
        <v>33</v>
      </c>
      <c r="C10334" t="s">
        <v>148</v>
      </c>
      <c r="E10334" t="s">
        <v>355</v>
      </c>
    </row>
    <row r="10335" spans="1:5" x14ac:dyDescent="0.35">
      <c r="A10335">
        <v>2021</v>
      </c>
      <c r="B10335" t="s">
        <v>35</v>
      </c>
      <c r="C10335" t="s">
        <v>161</v>
      </c>
      <c r="D10335">
        <v>4336</v>
      </c>
      <c r="E10335" t="s">
        <v>466</v>
      </c>
    </row>
    <row r="10336" spans="1:5" x14ac:dyDescent="0.35">
      <c r="A10336">
        <v>2021</v>
      </c>
      <c r="B10336" t="s">
        <v>34</v>
      </c>
      <c r="C10336" t="s">
        <v>171</v>
      </c>
      <c r="D10336">
        <v>8</v>
      </c>
      <c r="E10336" t="s">
        <v>467</v>
      </c>
    </row>
    <row r="10337" spans="1:5" x14ac:dyDescent="0.35">
      <c r="A10337">
        <v>2021</v>
      </c>
      <c r="B10337" t="s">
        <v>33</v>
      </c>
      <c r="C10337" t="s">
        <v>162</v>
      </c>
      <c r="D10337">
        <v>92</v>
      </c>
      <c r="E10337" t="s">
        <v>466</v>
      </c>
    </row>
    <row r="10338" spans="1:5" x14ac:dyDescent="0.35">
      <c r="A10338">
        <v>2021</v>
      </c>
      <c r="B10338" t="s">
        <v>33</v>
      </c>
      <c r="C10338" t="s">
        <v>149</v>
      </c>
      <c r="D10338">
        <v>88</v>
      </c>
      <c r="E10338" t="s">
        <v>355</v>
      </c>
    </row>
    <row r="10339" spans="1:5" x14ac:dyDescent="0.35">
      <c r="A10339">
        <v>2021</v>
      </c>
      <c r="B10339" t="s">
        <v>33</v>
      </c>
      <c r="C10339" t="s">
        <v>149</v>
      </c>
      <c r="D10339">
        <v>554</v>
      </c>
      <c r="E10339" t="s">
        <v>466</v>
      </c>
    </row>
    <row r="10340" spans="1:5" x14ac:dyDescent="0.35">
      <c r="A10340">
        <v>2021</v>
      </c>
      <c r="B10340" t="s">
        <v>35</v>
      </c>
      <c r="C10340" t="s">
        <v>172</v>
      </c>
      <c r="D10340">
        <v>23</v>
      </c>
      <c r="E10340" t="s">
        <v>467</v>
      </c>
    </row>
    <row r="10341" spans="1:5" x14ac:dyDescent="0.35">
      <c r="A10341">
        <v>2021</v>
      </c>
      <c r="B10341" t="s">
        <v>36</v>
      </c>
      <c r="C10341" t="s">
        <v>163</v>
      </c>
      <c r="D10341">
        <v>8</v>
      </c>
      <c r="E10341" t="s">
        <v>466</v>
      </c>
    </row>
    <row r="10342" spans="1:5" x14ac:dyDescent="0.35">
      <c r="A10342">
        <v>2021</v>
      </c>
      <c r="B10342" t="s">
        <v>33</v>
      </c>
      <c r="C10342" t="s">
        <v>148</v>
      </c>
      <c r="E10342" t="s">
        <v>328</v>
      </c>
    </row>
    <row r="10343" spans="1:5" x14ac:dyDescent="0.35">
      <c r="A10343">
        <v>2021</v>
      </c>
      <c r="B10343" t="s">
        <v>38</v>
      </c>
      <c r="C10343" t="s">
        <v>156</v>
      </c>
      <c r="D10343">
        <v>4053</v>
      </c>
      <c r="E10343" t="s">
        <v>466</v>
      </c>
    </row>
    <row r="10344" spans="1:5" x14ac:dyDescent="0.35">
      <c r="A10344">
        <v>2021</v>
      </c>
      <c r="B10344" t="s">
        <v>36</v>
      </c>
      <c r="C10344" t="s">
        <v>164</v>
      </c>
      <c r="D10344">
        <v>6</v>
      </c>
      <c r="E10344" t="s">
        <v>467</v>
      </c>
    </row>
    <row r="10345" spans="1:5" x14ac:dyDescent="0.35">
      <c r="A10345">
        <v>2021</v>
      </c>
      <c r="B10345" t="s">
        <v>33</v>
      </c>
      <c r="C10345" t="s">
        <v>148</v>
      </c>
      <c r="D10345">
        <v>52</v>
      </c>
      <c r="E10345" t="s">
        <v>466</v>
      </c>
    </row>
    <row r="10346" spans="1:5" x14ac:dyDescent="0.35">
      <c r="A10346">
        <v>2021</v>
      </c>
      <c r="B10346" t="s">
        <v>36</v>
      </c>
      <c r="C10346" t="s">
        <v>147</v>
      </c>
      <c r="D10346">
        <v>629</v>
      </c>
      <c r="E10346" t="s">
        <v>328</v>
      </c>
    </row>
    <row r="10347" spans="1:5" x14ac:dyDescent="0.35">
      <c r="A10347">
        <v>2021</v>
      </c>
      <c r="B10347" t="s">
        <v>35</v>
      </c>
      <c r="C10347" t="s">
        <v>138</v>
      </c>
      <c r="D10347">
        <v>68</v>
      </c>
      <c r="E10347" t="s">
        <v>466</v>
      </c>
    </row>
    <row r="10348" spans="1:5" x14ac:dyDescent="0.35">
      <c r="A10348">
        <v>2021</v>
      </c>
      <c r="B10348" t="s">
        <v>35</v>
      </c>
      <c r="C10348" t="s">
        <v>173</v>
      </c>
      <c r="D10348">
        <v>9</v>
      </c>
      <c r="E10348" t="s">
        <v>467</v>
      </c>
    </row>
    <row r="10349" spans="1:5" x14ac:dyDescent="0.35">
      <c r="A10349">
        <v>2021</v>
      </c>
      <c r="B10349" t="s">
        <v>37</v>
      </c>
      <c r="C10349" t="s">
        <v>146</v>
      </c>
      <c r="D10349">
        <v>50</v>
      </c>
      <c r="E10349" t="s">
        <v>466</v>
      </c>
    </row>
    <row r="10350" spans="1:5" x14ac:dyDescent="0.35">
      <c r="A10350">
        <v>2021</v>
      </c>
      <c r="B10350" t="s">
        <v>36</v>
      </c>
      <c r="C10350" t="s">
        <v>147</v>
      </c>
      <c r="D10350">
        <v>405</v>
      </c>
      <c r="E10350" t="s">
        <v>355</v>
      </c>
    </row>
    <row r="10351" spans="1:5" x14ac:dyDescent="0.35">
      <c r="A10351">
        <v>2021</v>
      </c>
      <c r="B10351" t="s">
        <v>36</v>
      </c>
      <c r="C10351" t="s">
        <v>164</v>
      </c>
      <c r="D10351">
        <v>36</v>
      </c>
      <c r="E10351" t="s">
        <v>466</v>
      </c>
    </row>
    <row r="10352" spans="1:5" x14ac:dyDescent="0.35">
      <c r="A10352">
        <v>2021</v>
      </c>
      <c r="B10352" t="s">
        <v>33</v>
      </c>
      <c r="C10352" t="s">
        <v>170</v>
      </c>
      <c r="E10352" t="s">
        <v>467</v>
      </c>
    </row>
    <row r="10353" spans="1:5" x14ac:dyDescent="0.35">
      <c r="A10353">
        <v>2021</v>
      </c>
      <c r="B10353" t="s">
        <v>33</v>
      </c>
      <c r="C10353" t="s">
        <v>129</v>
      </c>
      <c r="D10353">
        <v>23</v>
      </c>
      <c r="E10353" t="s">
        <v>466</v>
      </c>
    </row>
    <row r="10354" spans="1:5" x14ac:dyDescent="0.35">
      <c r="A10354">
        <v>2021</v>
      </c>
      <c r="B10354" t="s">
        <v>37</v>
      </c>
      <c r="C10354" t="s">
        <v>146</v>
      </c>
      <c r="D10354">
        <v>9</v>
      </c>
      <c r="E10354" t="s">
        <v>355</v>
      </c>
    </row>
    <row r="10355" spans="1:5" x14ac:dyDescent="0.35">
      <c r="A10355">
        <v>2021</v>
      </c>
      <c r="B10355" t="s">
        <v>33</v>
      </c>
      <c r="C10355" t="s">
        <v>130</v>
      </c>
      <c r="D10355">
        <v>6</v>
      </c>
      <c r="E10355" t="s">
        <v>466</v>
      </c>
    </row>
    <row r="10356" spans="1:5" x14ac:dyDescent="0.35">
      <c r="A10356">
        <v>2021</v>
      </c>
      <c r="B10356" t="s">
        <v>36</v>
      </c>
      <c r="C10356" t="s">
        <v>163</v>
      </c>
      <c r="E10356" t="s">
        <v>467</v>
      </c>
    </row>
    <row r="10357" spans="1:5" x14ac:dyDescent="0.35">
      <c r="A10357">
        <v>2021</v>
      </c>
      <c r="B10357" t="s">
        <v>34</v>
      </c>
      <c r="C10357" t="s">
        <v>131</v>
      </c>
      <c r="D10357">
        <v>17</v>
      </c>
      <c r="E10357" t="s">
        <v>466</v>
      </c>
    </row>
    <row r="10358" spans="1:5" x14ac:dyDescent="0.35">
      <c r="A10358">
        <v>2021</v>
      </c>
      <c r="B10358" t="s">
        <v>35</v>
      </c>
      <c r="C10358" t="s">
        <v>145</v>
      </c>
      <c r="D10358">
        <v>3</v>
      </c>
      <c r="E10358" t="s">
        <v>328</v>
      </c>
    </row>
    <row r="10359" spans="1:5" x14ac:dyDescent="0.35">
      <c r="A10359">
        <v>2021</v>
      </c>
      <c r="B10359" t="s">
        <v>33</v>
      </c>
      <c r="C10359" t="s">
        <v>132</v>
      </c>
      <c r="D10359">
        <v>145</v>
      </c>
      <c r="E10359" t="s">
        <v>466</v>
      </c>
    </row>
    <row r="10360" spans="1:5" x14ac:dyDescent="0.35">
      <c r="A10360">
        <v>2021</v>
      </c>
      <c r="B10360" t="s">
        <v>34</v>
      </c>
      <c r="C10360" t="s">
        <v>152</v>
      </c>
      <c r="D10360">
        <v>140</v>
      </c>
      <c r="E10360" t="s">
        <v>467</v>
      </c>
    </row>
    <row r="10361" spans="1:5" x14ac:dyDescent="0.35">
      <c r="A10361">
        <v>2021</v>
      </c>
      <c r="B10361" t="s">
        <v>35</v>
      </c>
      <c r="C10361" t="s">
        <v>133</v>
      </c>
      <c r="E10361" t="s">
        <v>466</v>
      </c>
    </row>
    <row r="10362" spans="1:5" x14ac:dyDescent="0.35">
      <c r="A10362">
        <v>2021</v>
      </c>
      <c r="B10362" t="s">
        <v>33</v>
      </c>
      <c r="C10362" t="s">
        <v>149</v>
      </c>
      <c r="D10362">
        <v>28</v>
      </c>
      <c r="E10362" t="s">
        <v>328</v>
      </c>
    </row>
    <row r="10363" spans="1:5" x14ac:dyDescent="0.35">
      <c r="A10363">
        <v>2021</v>
      </c>
      <c r="B10363" t="s">
        <v>37</v>
      </c>
      <c r="C10363" t="s">
        <v>134</v>
      </c>
      <c r="D10363">
        <v>15</v>
      </c>
      <c r="E10363" t="s">
        <v>466</v>
      </c>
    </row>
    <row r="10364" spans="1:5" x14ac:dyDescent="0.35">
      <c r="A10364">
        <v>2021</v>
      </c>
      <c r="B10364" t="s">
        <v>35</v>
      </c>
      <c r="C10364" t="s">
        <v>161</v>
      </c>
      <c r="D10364">
        <v>60</v>
      </c>
      <c r="E10364" t="s">
        <v>467</v>
      </c>
    </row>
    <row r="10365" spans="1:5" x14ac:dyDescent="0.35">
      <c r="A10365">
        <v>2021</v>
      </c>
      <c r="B10365" t="s">
        <v>33</v>
      </c>
      <c r="C10365" t="s">
        <v>135</v>
      </c>
      <c r="D10365">
        <v>101</v>
      </c>
      <c r="E10365" t="s">
        <v>466</v>
      </c>
    </row>
    <row r="10366" spans="1:5" x14ac:dyDescent="0.35">
      <c r="A10366">
        <v>2021</v>
      </c>
      <c r="B10366" t="s">
        <v>37</v>
      </c>
      <c r="C10366" t="s">
        <v>153</v>
      </c>
      <c r="D10366">
        <v>5</v>
      </c>
      <c r="E10366" t="s">
        <v>355</v>
      </c>
    </row>
    <row r="10367" spans="1:5" x14ac:dyDescent="0.35">
      <c r="A10367">
        <v>2021</v>
      </c>
      <c r="B10367" t="s">
        <v>36</v>
      </c>
      <c r="C10367" t="s">
        <v>147</v>
      </c>
      <c r="D10367">
        <v>52633</v>
      </c>
      <c r="E10367" t="s">
        <v>466</v>
      </c>
    </row>
    <row r="10368" spans="1:5" x14ac:dyDescent="0.35">
      <c r="A10368">
        <v>2021</v>
      </c>
      <c r="B10368" t="s">
        <v>35</v>
      </c>
      <c r="C10368" t="s">
        <v>160</v>
      </c>
      <c r="D10368">
        <v>64</v>
      </c>
      <c r="E10368" t="s">
        <v>467</v>
      </c>
    </row>
    <row r="10369" spans="1:5" x14ac:dyDescent="0.35">
      <c r="A10369">
        <v>2021</v>
      </c>
      <c r="B10369" t="s">
        <v>33</v>
      </c>
      <c r="C10369" t="s">
        <v>136</v>
      </c>
      <c r="D10369">
        <v>21</v>
      </c>
      <c r="E10369" t="s">
        <v>466</v>
      </c>
    </row>
    <row r="10370" spans="1:5" x14ac:dyDescent="0.35">
      <c r="A10370">
        <v>2021</v>
      </c>
      <c r="B10370" t="s">
        <v>34</v>
      </c>
      <c r="C10370" t="s">
        <v>18</v>
      </c>
      <c r="D10370">
        <v>21</v>
      </c>
      <c r="E10370" t="s">
        <v>328</v>
      </c>
    </row>
    <row r="10371" spans="1:5" x14ac:dyDescent="0.35">
      <c r="A10371">
        <v>2021</v>
      </c>
      <c r="B10371" t="s">
        <v>37</v>
      </c>
      <c r="C10371" t="s">
        <v>137</v>
      </c>
      <c r="D10371">
        <v>49</v>
      </c>
      <c r="E10371" t="s">
        <v>466</v>
      </c>
    </row>
    <row r="10372" spans="1:5" x14ac:dyDescent="0.35">
      <c r="A10372">
        <v>2021</v>
      </c>
      <c r="B10372" t="s">
        <v>34</v>
      </c>
      <c r="C10372" t="s">
        <v>159</v>
      </c>
      <c r="D10372">
        <v>3</v>
      </c>
      <c r="E10372" t="s">
        <v>467</v>
      </c>
    </row>
    <row r="10373" spans="1:5" x14ac:dyDescent="0.35">
      <c r="A10373">
        <v>2021</v>
      </c>
      <c r="B10373" t="s">
        <v>34</v>
      </c>
      <c r="C10373" t="s">
        <v>139</v>
      </c>
      <c r="D10373">
        <v>48</v>
      </c>
      <c r="E10373" t="s">
        <v>466</v>
      </c>
    </row>
    <row r="10374" spans="1:5" x14ac:dyDescent="0.35">
      <c r="A10374">
        <v>2021</v>
      </c>
      <c r="B10374" t="s">
        <v>36</v>
      </c>
      <c r="C10374" t="s">
        <v>154</v>
      </c>
      <c r="D10374">
        <v>8</v>
      </c>
      <c r="E10374" t="s">
        <v>328</v>
      </c>
    </row>
    <row r="10375" spans="1:5" x14ac:dyDescent="0.35">
      <c r="A10375">
        <v>2021</v>
      </c>
      <c r="B10375" t="s">
        <v>35</v>
      </c>
      <c r="C10375" t="s">
        <v>140</v>
      </c>
      <c r="D10375">
        <v>14</v>
      </c>
      <c r="E10375" t="s">
        <v>466</v>
      </c>
    </row>
    <row r="10376" spans="1:5" x14ac:dyDescent="0.35">
      <c r="A10376">
        <v>2021</v>
      </c>
      <c r="B10376" t="s">
        <v>35</v>
      </c>
      <c r="C10376" t="s">
        <v>158</v>
      </c>
      <c r="D10376">
        <v>72</v>
      </c>
      <c r="E10376" t="s">
        <v>467</v>
      </c>
    </row>
    <row r="10377" spans="1:5" x14ac:dyDescent="0.35">
      <c r="A10377">
        <v>2021</v>
      </c>
      <c r="B10377" t="s">
        <v>33</v>
      </c>
      <c r="C10377" t="s">
        <v>141</v>
      </c>
      <c r="D10377">
        <v>379</v>
      </c>
      <c r="E10377" t="s">
        <v>466</v>
      </c>
    </row>
    <row r="10378" spans="1:5" x14ac:dyDescent="0.35">
      <c r="A10378">
        <v>2021</v>
      </c>
      <c r="B10378" t="s">
        <v>33</v>
      </c>
      <c r="C10378" t="s">
        <v>162</v>
      </c>
      <c r="D10378">
        <v>3</v>
      </c>
      <c r="E10378" t="s">
        <v>328</v>
      </c>
    </row>
    <row r="10379" spans="1:5" x14ac:dyDescent="0.35">
      <c r="A10379">
        <v>2021</v>
      </c>
      <c r="B10379" t="s">
        <v>33</v>
      </c>
      <c r="C10379" t="s">
        <v>142</v>
      </c>
      <c r="E10379" t="s">
        <v>466</v>
      </c>
    </row>
    <row r="10380" spans="1:5" x14ac:dyDescent="0.35">
      <c r="A10380">
        <v>2021</v>
      </c>
      <c r="B10380" t="s">
        <v>35</v>
      </c>
      <c r="C10380" t="s">
        <v>157</v>
      </c>
      <c r="D10380">
        <v>81</v>
      </c>
      <c r="E10380" t="s">
        <v>467</v>
      </c>
    </row>
    <row r="10381" spans="1:5" x14ac:dyDescent="0.35">
      <c r="A10381">
        <v>2021</v>
      </c>
      <c r="B10381" t="s">
        <v>33</v>
      </c>
      <c r="C10381" t="s">
        <v>143</v>
      </c>
      <c r="D10381">
        <v>6</v>
      </c>
      <c r="E10381" t="s">
        <v>466</v>
      </c>
    </row>
    <row r="10382" spans="1:5" x14ac:dyDescent="0.35">
      <c r="A10382">
        <v>2021</v>
      </c>
      <c r="B10382" t="s">
        <v>35</v>
      </c>
      <c r="C10382" t="s">
        <v>145</v>
      </c>
      <c r="D10382">
        <v>10</v>
      </c>
      <c r="E10382" t="s">
        <v>355</v>
      </c>
    </row>
    <row r="10383" spans="1:5" x14ac:dyDescent="0.35">
      <c r="A10383">
        <v>2021</v>
      </c>
      <c r="B10383" t="s">
        <v>34</v>
      </c>
      <c r="C10383" t="s">
        <v>144</v>
      </c>
      <c r="D10383">
        <v>478</v>
      </c>
      <c r="E10383" t="s">
        <v>466</v>
      </c>
    </row>
    <row r="10384" spans="1:5" x14ac:dyDescent="0.35">
      <c r="A10384">
        <v>2021</v>
      </c>
      <c r="B10384" t="s">
        <v>34</v>
      </c>
      <c r="C10384" t="s">
        <v>18</v>
      </c>
      <c r="D10384">
        <v>243</v>
      </c>
      <c r="E10384" t="s">
        <v>467</v>
      </c>
    </row>
    <row r="10385" spans="1:5" x14ac:dyDescent="0.35">
      <c r="A10385">
        <v>2021</v>
      </c>
      <c r="B10385" t="s">
        <v>35</v>
      </c>
      <c r="C10385" t="s">
        <v>145</v>
      </c>
      <c r="D10385">
        <v>229</v>
      </c>
      <c r="E10385" t="s">
        <v>466</v>
      </c>
    </row>
    <row r="10386" spans="1:5" x14ac:dyDescent="0.35">
      <c r="A10386">
        <v>2021</v>
      </c>
      <c r="B10386" t="s">
        <v>35</v>
      </c>
      <c r="C10386" t="s">
        <v>161</v>
      </c>
      <c r="D10386">
        <v>39</v>
      </c>
      <c r="E10386" t="s">
        <v>328</v>
      </c>
    </row>
    <row r="10387" spans="1:5" x14ac:dyDescent="0.35">
      <c r="A10387">
        <v>2021</v>
      </c>
      <c r="B10387" t="s">
        <v>36</v>
      </c>
      <c r="C10387" t="s">
        <v>14</v>
      </c>
      <c r="D10387">
        <v>695582</v>
      </c>
      <c r="E10387" t="s">
        <v>466</v>
      </c>
    </row>
    <row r="10388" spans="1:5" x14ac:dyDescent="0.35">
      <c r="A10388">
        <v>2021</v>
      </c>
      <c r="B10388" t="s">
        <v>38</v>
      </c>
      <c r="C10388" t="s">
        <v>156</v>
      </c>
      <c r="D10388">
        <v>142</v>
      </c>
      <c r="E10388" t="s">
        <v>467</v>
      </c>
    </row>
    <row r="10389" spans="1:5" x14ac:dyDescent="0.35">
      <c r="A10389">
        <v>2021</v>
      </c>
      <c r="B10389" t="s">
        <v>36</v>
      </c>
      <c r="C10389" t="s">
        <v>165</v>
      </c>
      <c r="D10389">
        <v>25</v>
      </c>
      <c r="E10389" t="s">
        <v>466</v>
      </c>
    </row>
    <row r="10390" spans="1:5" x14ac:dyDescent="0.35">
      <c r="A10390">
        <v>2021</v>
      </c>
      <c r="B10390" t="s">
        <v>35</v>
      </c>
      <c r="C10390" t="s">
        <v>160</v>
      </c>
      <c r="D10390">
        <v>92</v>
      </c>
      <c r="E10390" t="s">
        <v>328</v>
      </c>
    </row>
    <row r="10391" spans="1:5" x14ac:dyDescent="0.35">
      <c r="A10391">
        <v>2021</v>
      </c>
      <c r="B10391" t="s">
        <v>33</v>
      </c>
      <c r="C10391" t="s">
        <v>187</v>
      </c>
      <c r="D10391">
        <v>26</v>
      </c>
      <c r="E10391" t="s">
        <v>466</v>
      </c>
    </row>
    <row r="10392" spans="1:5" x14ac:dyDescent="0.35">
      <c r="A10392">
        <v>2021</v>
      </c>
      <c r="B10392" t="s">
        <v>38</v>
      </c>
      <c r="C10392" t="s">
        <v>155</v>
      </c>
      <c r="D10392">
        <v>11</v>
      </c>
      <c r="E10392" t="s">
        <v>467</v>
      </c>
    </row>
    <row r="10393" spans="1:5" x14ac:dyDescent="0.35">
      <c r="A10393">
        <v>2021</v>
      </c>
      <c r="B10393" t="s">
        <v>34</v>
      </c>
      <c r="C10393" t="s">
        <v>167</v>
      </c>
      <c r="D10393">
        <v>90</v>
      </c>
      <c r="E10393" t="s">
        <v>466</v>
      </c>
    </row>
    <row r="10394" spans="1:5" x14ac:dyDescent="0.35">
      <c r="A10394">
        <v>2021</v>
      </c>
      <c r="B10394" t="s">
        <v>35</v>
      </c>
      <c r="C10394" t="s">
        <v>160</v>
      </c>
      <c r="D10394">
        <v>155</v>
      </c>
      <c r="E10394" t="s">
        <v>355</v>
      </c>
    </row>
    <row r="10395" spans="1:5" x14ac:dyDescent="0.35">
      <c r="A10395">
        <v>2021</v>
      </c>
      <c r="B10395" t="s">
        <v>33</v>
      </c>
      <c r="C10395" t="s">
        <v>189</v>
      </c>
      <c r="D10395">
        <v>135</v>
      </c>
      <c r="E10395" t="s">
        <v>466</v>
      </c>
    </row>
    <row r="10396" spans="1:5" x14ac:dyDescent="0.35">
      <c r="A10396">
        <v>2021</v>
      </c>
      <c r="B10396" t="s">
        <v>36</v>
      </c>
      <c r="C10396" t="s">
        <v>154</v>
      </c>
      <c r="D10396">
        <v>22</v>
      </c>
      <c r="E10396" t="s">
        <v>467</v>
      </c>
    </row>
    <row r="10397" spans="1:5" x14ac:dyDescent="0.35">
      <c r="A10397">
        <v>2021</v>
      </c>
      <c r="B10397" t="s">
        <v>37</v>
      </c>
      <c r="C10397" t="s">
        <v>190</v>
      </c>
      <c r="D10397">
        <v>11</v>
      </c>
      <c r="E10397" t="s">
        <v>466</v>
      </c>
    </row>
    <row r="10398" spans="1:5" x14ac:dyDescent="0.35">
      <c r="A10398">
        <v>2021</v>
      </c>
      <c r="B10398" t="s">
        <v>35</v>
      </c>
      <c r="C10398" t="s">
        <v>158</v>
      </c>
      <c r="D10398">
        <v>10</v>
      </c>
      <c r="E10398" t="s">
        <v>328</v>
      </c>
    </row>
    <row r="10399" spans="1:5" x14ac:dyDescent="0.35">
      <c r="A10399">
        <v>2021</v>
      </c>
      <c r="B10399" t="s">
        <v>36</v>
      </c>
      <c r="C10399" t="s">
        <v>191</v>
      </c>
      <c r="D10399">
        <v>104</v>
      </c>
      <c r="E10399" t="s">
        <v>466</v>
      </c>
    </row>
    <row r="10400" spans="1:5" x14ac:dyDescent="0.35">
      <c r="A10400">
        <v>2021</v>
      </c>
      <c r="B10400" t="s">
        <v>34</v>
      </c>
      <c r="C10400" t="s">
        <v>151</v>
      </c>
      <c r="E10400" t="s">
        <v>467</v>
      </c>
    </row>
    <row r="10401" spans="1:5" x14ac:dyDescent="0.35">
      <c r="A10401">
        <v>2021</v>
      </c>
      <c r="B10401" t="s">
        <v>33</v>
      </c>
      <c r="C10401" t="s">
        <v>192</v>
      </c>
      <c r="D10401">
        <v>330</v>
      </c>
      <c r="E10401" t="s">
        <v>466</v>
      </c>
    </row>
    <row r="10402" spans="1:5" x14ac:dyDescent="0.35">
      <c r="A10402">
        <v>2021</v>
      </c>
      <c r="B10402" t="s">
        <v>36</v>
      </c>
      <c r="C10402" t="s">
        <v>154</v>
      </c>
      <c r="D10402">
        <v>102</v>
      </c>
      <c r="E10402" t="s">
        <v>355</v>
      </c>
    </row>
    <row r="10403" spans="1:5" x14ac:dyDescent="0.35">
      <c r="A10403">
        <v>2021</v>
      </c>
      <c r="B10403" t="s">
        <v>34</v>
      </c>
      <c r="C10403" t="s">
        <v>193</v>
      </c>
      <c r="D10403">
        <v>1638</v>
      </c>
      <c r="E10403" t="s">
        <v>466</v>
      </c>
    </row>
    <row r="10404" spans="1:5" x14ac:dyDescent="0.35">
      <c r="A10404">
        <v>2021</v>
      </c>
      <c r="B10404" t="s">
        <v>33</v>
      </c>
      <c r="C10404" t="s">
        <v>174</v>
      </c>
      <c r="D10404">
        <v>9</v>
      </c>
      <c r="E10404" t="s">
        <v>467</v>
      </c>
    </row>
    <row r="10405" spans="1:5" x14ac:dyDescent="0.35">
      <c r="A10405">
        <v>2021</v>
      </c>
      <c r="B10405" t="s">
        <v>34</v>
      </c>
      <c r="C10405" t="s">
        <v>194</v>
      </c>
      <c r="D10405">
        <v>3</v>
      </c>
      <c r="E10405" t="s">
        <v>466</v>
      </c>
    </row>
    <row r="10406" spans="1:5" x14ac:dyDescent="0.35">
      <c r="A10406">
        <v>2021</v>
      </c>
      <c r="B10406" t="s">
        <v>35</v>
      </c>
      <c r="C10406" t="s">
        <v>158</v>
      </c>
      <c r="D10406">
        <v>14</v>
      </c>
      <c r="E10406" t="s">
        <v>355</v>
      </c>
    </row>
    <row r="10407" spans="1:5" x14ac:dyDescent="0.35">
      <c r="A10407">
        <v>2021</v>
      </c>
      <c r="B10407" t="s">
        <v>35</v>
      </c>
      <c r="C10407" t="s">
        <v>196</v>
      </c>
      <c r="D10407">
        <v>832</v>
      </c>
      <c r="E10407" t="s">
        <v>466</v>
      </c>
    </row>
    <row r="10408" spans="1:5" x14ac:dyDescent="0.35">
      <c r="A10408">
        <v>2021</v>
      </c>
      <c r="B10408" t="s">
        <v>33</v>
      </c>
      <c r="C10408" t="s">
        <v>162</v>
      </c>
      <c r="E10408" t="s">
        <v>467</v>
      </c>
    </row>
    <row r="10409" spans="1:5" x14ac:dyDescent="0.35">
      <c r="A10409">
        <v>2021</v>
      </c>
      <c r="B10409" t="s">
        <v>34</v>
      </c>
      <c r="C10409" t="s">
        <v>197</v>
      </c>
      <c r="D10409">
        <v>12</v>
      </c>
      <c r="E10409" t="s">
        <v>466</v>
      </c>
    </row>
    <row r="10410" spans="1:5" x14ac:dyDescent="0.35">
      <c r="A10410">
        <v>2021</v>
      </c>
      <c r="B10410" t="s">
        <v>35</v>
      </c>
      <c r="C10410" t="s">
        <v>157</v>
      </c>
      <c r="D10410">
        <v>46</v>
      </c>
      <c r="E10410" t="s">
        <v>355</v>
      </c>
    </row>
    <row r="10411" spans="1:5" x14ac:dyDescent="0.35">
      <c r="A10411">
        <v>2021</v>
      </c>
      <c r="B10411" t="s">
        <v>35</v>
      </c>
      <c r="C10411" t="s">
        <v>198</v>
      </c>
      <c r="D10411">
        <v>525</v>
      </c>
      <c r="E10411" t="s">
        <v>466</v>
      </c>
    </row>
    <row r="10412" spans="1:5" x14ac:dyDescent="0.35">
      <c r="A10412">
        <v>2021</v>
      </c>
      <c r="B10412" t="s">
        <v>33</v>
      </c>
      <c r="C10412" t="s">
        <v>175</v>
      </c>
      <c r="D10412">
        <v>37</v>
      </c>
      <c r="E10412" t="s">
        <v>467</v>
      </c>
    </row>
    <row r="10413" spans="1:5" x14ac:dyDescent="0.35">
      <c r="A10413">
        <v>2021</v>
      </c>
      <c r="B10413" t="s">
        <v>39</v>
      </c>
      <c r="C10413" t="s">
        <v>39</v>
      </c>
      <c r="D10413">
        <v>1293</v>
      </c>
      <c r="E10413" t="s">
        <v>466</v>
      </c>
    </row>
    <row r="10414" spans="1:5" x14ac:dyDescent="0.35">
      <c r="A10414">
        <v>2021</v>
      </c>
      <c r="B10414" t="s">
        <v>34</v>
      </c>
      <c r="C10414" t="s">
        <v>18</v>
      </c>
      <c r="D10414">
        <v>301</v>
      </c>
      <c r="E10414" t="s">
        <v>355</v>
      </c>
    </row>
    <row r="10415" spans="1:5" x14ac:dyDescent="0.35">
      <c r="A10415">
        <v>2021</v>
      </c>
      <c r="B10415" t="s">
        <v>38</v>
      </c>
      <c r="C10415" t="s">
        <v>199</v>
      </c>
      <c r="D10415">
        <v>208</v>
      </c>
      <c r="E10415" t="s">
        <v>466</v>
      </c>
    </row>
    <row r="10416" spans="1:5" x14ac:dyDescent="0.35">
      <c r="A10416">
        <v>2021</v>
      </c>
      <c r="B10416" t="s">
        <v>33</v>
      </c>
      <c r="C10416" t="s">
        <v>204</v>
      </c>
      <c r="D10416">
        <v>7</v>
      </c>
      <c r="E10416" t="s">
        <v>467</v>
      </c>
    </row>
    <row r="10417" spans="1:5" x14ac:dyDescent="0.35">
      <c r="A10417">
        <v>2021</v>
      </c>
      <c r="B10417" t="s">
        <v>34</v>
      </c>
      <c r="C10417" t="s">
        <v>200</v>
      </c>
      <c r="D10417">
        <v>739</v>
      </c>
      <c r="E10417" t="s">
        <v>466</v>
      </c>
    </row>
    <row r="10418" spans="1:5" x14ac:dyDescent="0.35">
      <c r="A10418">
        <v>2021</v>
      </c>
      <c r="B10418" t="s">
        <v>38</v>
      </c>
      <c r="C10418" t="s">
        <v>156</v>
      </c>
      <c r="D10418">
        <v>130</v>
      </c>
      <c r="E10418" t="s">
        <v>328</v>
      </c>
    </row>
    <row r="10419" spans="1:5" x14ac:dyDescent="0.35">
      <c r="A10419">
        <v>2021</v>
      </c>
      <c r="B10419" t="s">
        <v>38</v>
      </c>
      <c r="C10419" t="s">
        <v>19</v>
      </c>
      <c r="D10419">
        <v>52590</v>
      </c>
      <c r="E10419" t="s">
        <v>466</v>
      </c>
    </row>
    <row r="10420" spans="1:5" x14ac:dyDescent="0.35">
      <c r="A10420">
        <v>2021</v>
      </c>
      <c r="B10420" t="s">
        <v>34</v>
      </c>
      <c r="C10420" t="s">
        <v>178</v>
      </c>
      <c r="D10420">
        <v>16</v>
      </c>
      <c r="E10420" t="s">
        <v>467</v>
      </c>
    </row>
    <row r="10421" spans="1:5" x14ac:dyDescent="0.35">
      <c r="A10421">
        <v>2021</v>
      </c>
      <c r="B10421" t="s">
        <v>34</v>
      </c>
      <c r="C10421" t="s">
        <v>201</v>
      </c>
      <c r="D10421">
        <v>293</v>
      </c>
      <c r="E10421" t="s">
        <v>466</v>
      </c>
    </row>
    <row r="10422" spans="1:5" x14ac:dyDescent="0.35">
      <c r="A10422">
        <v>2021</v>
      </c>
      <c r="B10422" t="s">
        <v>38</v>
      </c>
      <c r="C10422" t="s">
        <v>156</v>
      </c>
      <c r="D10422">
        <v>497</v>
      </c>
      <c r="E10422" t="s">
        <v>355</v>
      </c>
    </row>
    <row r="10423" spans="1:5" x14ac:dyDescent="0.35">
      <c r="A10423">
        <v>2021</v>
      </c>
      <c r="B10423" t="s">
        <v>34</v>
      </c>
      <c r="C10423" t="s">
        <v>202</v>
      </c>
      <c r="D10423">
        <v>64</v>
      </c>
      <c r="E10423" t="s">
        <v>466</v>
      </c>
    </row>
    <row r="10424" spans="1:5" x14ac:dyDescent="0.35">
      <c r="A10424">
        <v>2021</v>
      </c>
      <c r="B10424" t="s">
        <v>35</v>
      </c>
      <c r="C10424" t="s">
        <v>322</v>
      </c>
      <c r="D10424">
        <v>3</v>
      </c>
      <c r="E10424" t="s">
        <v>467</v>
      </c>
    </row>
    <row r="10425" spans="1:5" x14ac:dyDescent="0.35">
      <c r="A10425">
        <v>2021</v>
      </c>
      <c r="B10425" t="s">
        <v>33</v>
      </c>
      <c r="C10425" t="s">
        <v>203</v>
      </c>
      <c r="D10425">
        <v>12</v>
      </c>
      <c r="E10425" t="s">
        <v>466</v>
      </c>
    </row>
    <row r="10426" spans="1:5" x14ac:dyDescent="0.35">
      <c r="A10426">
        <v>2021</v>
      </c>
      <c r="B10426" t="s">
        <v>38</v>
      </c>
      <c r="C10426" t="s">
        <v>155</v>
      </c>
      <c r="D10426">
        <v>3</v>
      </c>
      <c r="E10426" t="s">
        <v>328</v>
      </c>
    </row>
    <row r="10427" spans="1:5" x14ac:dyDescent="0.35">
      <c r="A10427">
        <v>2021</v>
      </c>
      <c r="B10427" t="s">
        <v>33</v>
      </c>
      <c r="C10427" t="s">
        <v>204</v>
      </c>
      <c r="D10427">
        <v>33</v>
      </c>
      <c r="E10427" t="s">
        <v>466</v>
      </c>
    </row>
    <row r="10428" spans="1:5" x14ac:dyDescent="0.35">
      <c r="A10428">
        <v>2021</v>
      </c>
      <c r="B10428" t="s">
        <v>39</v>
      </c>
      <c r="C10428" t="s">
        <v>39</v>
      </c>
      <c r="D10428">
        <v>31</v>
      </c>
      <c r="E10428" t="s">
        <v>467</v>
      </c>
    </row>
    <row r="10429" spans="1:5" x14ac:dyDescent="0.35">
      <c r="A10429">
        <v>2021</v>
      </c>
      <c r="B10429" t="s">
        <v>34</v>
      </c>
      <c r="C10429" t="s">
        <v>188</v>
      </c>
      <c r="D10429">
        <v>257</v>
      </c>
      <c r="E10429" t="s">
        <v>466</v>
      </c>
    </row>
    <row r="10430" spans="1:5" x14ac:dyDescent="0.35">
      <c r="A10430">
        <v>2021</v>
      </c>
      <c r="B10430" t="s">
        <v>38</v>
      </c>
      <c r="C10430" t="s">
        <v>155</v>
      </c>
      <c r="D10430">
        <v>62</v>
      </c>
      <c r="E10430" t="s">
        <v>355</v>
      </c>
    </row>
    <row r="10431" spans="1:5" x14ac:dyDescent="0.35">
      <c r="A10431">
        <v>2021</v>
      </c>
      <c r="B10431" t="s">
        <v>35</v>
      </c>
      <c r="C10431" t="s">
        <v>128</v>
      </c>
      <c r="D10431">
        <v>3</v>
      </c>
      <c r="E10431" t="s">
        <v>466</v>
      </c>
    </row>
    <row r="10432" spans="1:5" x14ac:dyDescent="0.35">
      <c r="A10432">
        <v>2021</v>
      </c>
      <c r="C10432" t="s">
        <v>373</v>
      </c>
      <c r="D10432">
        <v>18</v>
      </c>
      <c r="E10432" t="s">
        <v>467</v>
      </c>
    </row>
    <row r="10433" spans="1:5" x14ac:dyDescent="0.35">
      <c r="A10433">
        <v>2021</v>
      </c>
      <c r="B10433" t="s">
        <v>34</v>
      </c>
      <c r="C10433" t="s">
        <v>186</v>
      </c>
      <c r="D10433">
        <v>43</v>
      </c>
      <c r="E10433" t="s">
        <v>466</v>
      </c>
    </row>
    <row r="10434" spans="1:5" x14ac:dyDescent="0.35">
      <c r="A10434">
        <v>2021</v>
      </c>
      <c r="B10434" t="s">
        <v>35</v>
      </c>
      <c r="C10434" t="s">
        <v>157</v>
      </c>
      <c r="D10434">
        <v>4</v>
      </c>
      <c r="E10434" t="s">
        <v>328</v>
      </c>
    </row>
    <row r="10435" spans="1:5" x14ac:dyDescent="0.35">
      <c r="A10435">
        <v>2021</v>
      </c>
      <c r="B10435" t="s">
        <v>34</v>
      </c>
      <c r="C10435" t="s">
        <v>185</v>
      </c>
      <c r="D10435">
        <v>442</v>
      </c>
      <c r="E10435" t="s">
        <v>466</v>
      </c>
    </row>
    <row r="10436" spans="1:5" x14ac:dyDescent="0.35">
      <c r="A10436">
        <v>2021</v>
      </c>
      <c r="B10436" t="s">
        <v>33</v>
      </c>
      <c r="C10436" t="s">
        <v>203</v>
      </c>
      <c r="D10436">
        <v>6</v>
      </c>
      <c r="E10436" t="s">
        <v>467</v>
      </c>
    </row>
    <row r="10437" spans="1:5" x14ac:dyDescent="0.35">
      <c r="A10437">
        <v>2021</v>
      </c>
      <c r="B10437" t="s">
        <v>33</v>
      </c>
      <c r="C10437" t="s">
        <v>168</v>
      </c>
      <c r="D10437">
        <v>753</v>
      </c>
      <c r="E10437" t="s">
        <v>466</v>
      </c>
    </row>
    <row r="10438" spans="1:5" x14ac:dyDescent="0.35">
      <c r="A10438">
        <v>2021</v>
      </c>
      <c r="B10438" t="s">
        <v>33</v>
      </c>
      <c r="C10438" t="s">
        <v>162</v>
      </c>
      <c r="D10438">
        <v>4</v>
      </c>
      <c r="E10438" t="s">
        <v>355</v>
      </c>
    </row>
    <row r="10439" spans="1:5" x14ac:dyDescent="0.35">
      <c r="A10439">
        <v>2021</v>
      </c>
      <c r="B10439" t="s">
        <v>35</v>
      </c>
      <c r="C10439" t="s">
        <v>169</v>
      </c>
      <c r="D10439">
        <v>55</v>
      </c>
      <c r="E10439" t="s">
        <v>466</v>
      </c>
    </row>
    <row r="10440" spans="1:5" x14ac:dyDescent="0.35">
      <c r="A10440">
        <v>2021</v>
      </c>
      <c r="B10440" t="s">
        <v>34</v>
      </c>
      <c r="C10440" t="s">
        <v>201</v>
      </c>
      <c r="D10440">
        <v>14</v>
      </c>
      <c r="E10440" t="s">
        <v>467</v>
      </c>
    </row>
    <row r="10441" spans="1:5" x14ac:dyDescent="0.35">
      <c r="A10441">
        <v>2021</v>
      </c>
      <c r="B10441" t="s">
        <v>35</v>
      </c>
      <c r="C10441" t="s">
        <v>215</v>
      </c>
      <c r="E10441" t="s">
        <v>466</v>
      </c>
    </row>
    <row r="10442" spans="1:5" x14ac:dyDescent="0.35">
      <c r="A10442">
        <v>2021</v>
      </c>
      <c r="B10442" t="s">
        <v>33</v>
      </c>
      <c r="C10442" t="s">
        <v>132</v>
      </c>
      <c r="D10442">
        <v>5</v>
      </c>
      <c r="E10442" t="s">
        <v>355</v>
      </c>
    </row>
    <row r="10443" spans="1:5" x14ac:dyDescent="0.35">
      <c r="A10443">
        <v>2021</v>
      </c>
      <c r="B10443" t="s">
        <v>33</v>
      </c>
      <c r="C10443" t="s">
        <v>170</v>
      </c>
      <c r="D10443">
        <v>145</v>
      </c>
      <c r="E10443" t="s">
        <v>466</v>
      </c>
    </row>
    <row r="10444" spans="1:5" x14ac:dyDescent="0.35">
      <c r="A10444">
        <v>2021</v>
      </c>
      <c r="B10444" t="s">
        <v>38</v>
      </c>
      <c r="C10444" t="s">
        <v>19</v>
      </c>
      <c r="D10444">
        <v>184</v>
      </c>
      <c r="E10444" t="s">
        <v>467</v>
      </c>
    </row>
    <row r="10445" spans="1:5" x14ac:dyDescent="0.35">
      <c r="A10445">
        <v>2021</v>
      </c>
      <c r="B10445" t="s">
        <v>35</v>
      </c>
      <c r="C10445" t="s">
        <v>172</v>
      </c>
      <c r="D10445">
        <v>36</v>
      </c>
      <c r="E10445" t="s">
        <v>466</v>
      </c>
    </row>
    <row r="10446" spans="1:5" x14ac:dyDescent="0.35">
      <c r="A10446">
        <v>2021</v>
      </c>
      <c r="B10446" t="s">
        <v>34</v>
      </c>
      <c r="C10446" t="s">
        <v>144</v>
      </c>
      <c r="D10446">
        <v>13</v>
      </c>
      <c r="E10446" t="s">
        <v>355</v>
      </c>
    </row>
    <row r="10447" spans="1:5" x14ac:dyDescent="0.35">
      <c r="A10447">
        <v>2021</v>
      </c>
      <c r="B10447" t="s">
        <v>35</v>
      </c>
      <c r="C10447" t="s">
        <v>173</v>
      </c>
      <c r="D10447">
        <v>13</v>
      </c>
      <c r="E10447" t="s">
        <v>466</v>
      </c>
    </row>
    <row r="10448" spans="1:5" x14ac:dyDescent="0.35">
      <c r="A10448">
        <v>2021</v>
      </c>
      <c r="B10448" t="s">
        <v>34</v>
      </c>
      <c r="C10448" t="s">
        <v>200</v>
      </c>
      <c r="D10448">
        <v>3</v>
      </c>
      <c r="E10448" t="s">
        <v>467</v>
      </c>
    </row>
    <row r="10449" spans="1:5" x14ac:dyDescent="0.35">
      <c r="A10449">
        <v>2021</v>
      </c>
      <c r="B10449" t="s">
        <v>33</v>
      </c>
      <c r="C10449" t="s">
        <v>174</v>
      </c>
      <c r="D10449">
        <v>154</v>
      </c>
      <c r="E10449" t="s">
        <v>466</v>
      </c>
    </row>
    <row r="10450" spans="1:5" x14ac:dyDescent="0.35">
      <c r="A10450">
        <v>2021</v>
      </c>
      <c r="B10450" t="s">
        <v>33</v>
      </c>
      <c r="C10450" t="s">
        <v>125</v>
      </c>
      <c r="D10450">
        <v>39</v>
      </c>
      <c r="E10450" t="s">
        <v>355</v>
      </c>
    </row>
    <row r="10451" spans="1:5" x14ac:dyDescent="0.35">
      <c r="A10451">
        <v>2021</v>
      </c>
      <c r="B10451" t="s">
        <v>33</v>
      </c>
      <c r="C10451" t="s">
        <v>175</v>
      </c>
      <c r="D10451">
        <v>99</v>
      </c>
      <c r="E10451" t="s">
        <v>466</v>
      </c>
    </row>
    <row r="10452" spans="1:5" x14ac:dyDescent="0.35">
      <c r="A10452">
        <v>2021</v>
      </c>
      <c r="B10452" t="s">
        <v>38</v>
      </c>
      <c r="C10452" t="s">
        <v>199</v>
      </c>
      <c r="D10452">
        <v>5</v>
      </c>
      <c r="E10452" t="s">
        <v>467</v>
      </c>
    </row>
    <row r="10453" spans="1:5" x14ac:dyDescent="0.35">
      <c r="A10453">
        <v>2021</v>
      </c>
      <c r="B10453" t="s">
        <v>37</v>
      </c>
      <c r="C10453" t="s">
        <v>166</v>
      </c>
      <c r="D10453">
        <v>11</v>
      </c>
      <c r="E10453" t="s">
        <v>466</v>
      </c>
    </row>
    <row r="10454" spans="1:5" x14ac:dyDescent="0.35">
      <c r="A10454">
        <v>2021</v>
      </c>
      <c r="B10454" t="s">
        <v>34</v>
      </c>
      <c r="C10454" t="s">
        <v>124</v>
      </c>
      <c r="E10454" t="s">
        <v>328</v>
      </c>
    </row>
    <row r="10455" spans="1:5" x14ac:dyDescent="0.35">
      <c r="A10455">
        <v>2021</v>
      </c>
      <c r="B10455" t="s">
        <v>33</v>
      </c>
      <c r="C10455" t="s">
        <v>176</v>
      </c>
      <c r="D10455">
        <v>15</v>
      </c>
      <c r="E10455" t="s">
        <v>466</v>
      </c>
    </row>
    <row r="10456" spans="1:5" x14ac:dyDescent="0.35">
      <c r="A10456">
        <v>2021</v>
      </c>
      <c r="B10456" t="s">
        <v>35</v>
      </c>
      <c r="C10456" t="s">
        <v>198</v>
      </c>
      <c r="D10456">
        <v>335</v>
      </c>
      <c r="E10456" t="s">
        <v>467</v>
      </c>
    </row>
    <row r="10457" spans="1:5" x14ac:dyDescent="0.35">
      <c r="A10457">
        <v>2021</v>
      </c>
      <c r="B10457" t="s">
        <v>35</v>
      </c>
      <c r="C10457" t="s">
        <v>177</v>
      </c>
      <c r="D10457">
        <v>927</v>
      </c>
      <c r="E10457" t="s">
        <v>466</v>
      </c>
    </row>
    <row r="10458" spans="1:5" x14ac:dyDescent="0.35">
      <c r="A10458">
        <v>2021</v>
      </c>
      <c r="B10458" t="s">
        <v>34</v>
      </c>
      <c r="C10458" t="s">
        <v>124</v>
      </c>
      <c r="E10458" t="s">
        <v>355</v>
      </c>
    </row>
    <row r="10459" spans="1:5" x14ac:dyDescent="0.35">
      <c r="A10459">
        <v>2021</v>
      </c>
      <c r="B10459" t="s">
        <v>34</v>
      </c>
      <c r="C10459" t="s">
        <v>178</v>
      </c>
      <c r="D10459">
        <v>123</v>
      </c>
      <c r="E10459" t="s">
        <v>466</v>
      </c>
    </row>
    <row r="10460" spans="1:5" x14ac:dyDescent="0.35">
      <c r="A10460">
        <v>2021</v>
      </c>
      <c r="B10460" t="s">
        <v>34</v>
      </c>
      <c r="C10460" t="s">
        <v>197</v>
      </c>
      <c r="D10460">
        <v>10</v>
      </c>
      <c r="E10460" t="s">
        <v>467</v>
      </c>
    </row>
    <row r="10461" spans="1:5" x14ac:dyDescent="0.35">
      <c r="A10461">
        <v>2021</v>
      </c>
      <c r="B10461" t="s">
        <v>33</v>
      </c>
      <c r="C10461" t="s">
        <v>179</v>
      </c>
      <c r="D10461">
        <v>62</v>
      </c>
      <c r="E10461" t="s">
        <v>466</v>
      </c>
    </row>
    <row r="10462" spans="1:5" x14ac:dyDescent="0.35">
      <c r="A10462">
        <v>2021</v>
      </c>
      <c r="B10462" t="s">
        <v>35</v>
      </c>
      <c r="C10462" t="s">
        <v>123</v>
      </c>
      <c r="D10462">
        <v>3</v>
      </c>
      <c r="E10462" t="s">
        <v>328</v>
      </c>
    </row>
    <row r="10463" spans="1:5" x14ac:dyDescent="0.35">
      <c r="A10463">
        <v>2021</v>
      </c>
      <c r="B10463" t="s">
        <v>38</v>
      </c>
      <c r="C10463" t="s">
        <v>180</v>
      </c>
      <c r="D10463">
        <v>6</v>
      </c>
      <c r="E10463" t="s">
        <v>466</v>
      </c>
    </row>
    <row r="10464" spans="1:5" x14ac:dyDescent="0.35">
      <c r="A10464">
        <v>2021</v>
      </c>
      <c r="B10464" t="s">
        <v>35</v>
      </c>
      <c r="C10464" t="s">
        <v>196</v>
      </c>
      <c r="D10464">
        <v>49</v>
      </c>
      <c r="E10464" t="s">
        <v>467</v>
      </c>
    </row>
    <row r="10465" spans="1:5" x14ac:dyDescent="0.35">
      <c r="A10465">
        <v>2021</v>
      </c>
      <c r="B10465" t="s">
        <v>33</v>
      </c>
      <c r="C10465" t="s">
        <v>181</v>
      </c>
      <c r="D10465">
        <v>4</v>
      </c>
      <c r="E10465" t="s">
        <v>466</v>
      </c>
    </row>
    <row r="10466" spans="1:5" x14ac:dyDescent="0.35">
      <c r="A10466">
        <v>2021</v>
      </c>
      <c r="B10466" t="s">
        <v>35</v>
      </c>
      <c r="C10466" t="s">
        <v>123</v>
      </c>
      <c r="D10466">
        <v>9</v>
      </c>
      <c r="E10466" t="s">
        <v>355</v>
      </c>
    </row>
    <row r="10467" spans="1:5" x14ac:dyDescent="0.35">
      <c r="A10467">
        <v>2021</v>
      </c>
      <c r="B10467" t="s">
        <v>35</v>
      </c>
      <c r="C10467" t="s">
        <v>182</v>
      </c>
      <c r="D10467">
        <v>51</v>
      </c>
      <c r="E10467" t="s">
        <v>466</v>
      </c>
    </row>
    <row r="10468" spans="1:5" x14ac:dyDescent="0.35">
      <c r="A10468">
        <v>2021</v>
      </c>
      <c r="B10468" t="s">
        <v>33</v>
      </c>
      <c r="C10468" t="s">
        <v>195</v>
      </c>
      <c r="D10468">
        <v>5</v>
      </c>
      <c r="E10468" t="s">
        <v>467</v>
      </c>
    </row>
    <row r="10469" spans="1:5" x14ac:dyDescent="0.35">
      <c r="A10469">
        <v>2021</v>
      </c>
      <c r="B10469" t="s">
        <v>35</v>
      </c>
      <c r="C10469" t="s">
        <v>183</v>
      </c>
      <c r="D10469">
        <v>33</v>
      </c>
      <c r="E10469" t="s">
        <v>466</v>
      </c>
    </row>
    <row r="10470" spans="1:5" x14ac:dyDescent="0.35">
      <c r="A10470">
        <v>2021</v>
      </c>
      <c r="B10470" t="s">
        <v>34</v>
      </c>
      <c r="C10470" t="s">
        <v>122</v>
      </c>
      <c r="D10470">
        <v>0</v>
      </c>
      <c r="E10470" t="s">
        <v>355</v>
      </c>
    </row>
    <row r="10471" spans="1:5" x14ac:dyDescent="0.35">
      <c r="A10471">
        <v>2021</v>
      </c>
      <c r="B10471" t="s">
        <v>34</v>
      </c>
      <c r="C10471" t="s">
        <v>184</v>
      </c>
      <c r="D10471">
        <v>100</v>
      </c>
      <c r="E10471" t="s">
        <v>466</v>
      </c>
    </row>
    <row r="10472" spans="1:5" x14ac:dyDescent="0.35">
      <c r="A10472">
        <v>2021</v>
      </c>
      <c r="B10472" t="s">
        <v>34</v>
      </c>
      <c r="C10472" t="s">
        <v>194</v>
      </c>
      <c r="E10472" t="s">
        <v>467</v>
      </c>
    </row>
    <row r="10473" spans="1:5" x14ac:dyDescent="0.35">
      <c r="A10473">
        <v>2021</v>
      </c>
      <c r="B10473" t="s">
        <v>35</v>
      </c>
      <c r="C10473" t="s">
        <v>216</v>
      </c>
      <c r="E10473" t="s">
        <v>466</v>
      </c>
    </row>
    <row r="10474" spans="1:5" x14ac:dyDescent="0.35">
      <c r="A10474">
        <v>2021</v>
      </c>
      <c r="B10474" t="s">
        <v>33</v>
      </c>
      <c r="C10474" t="s">
        <v>125</v>
      </c>
      <c r="D10474">
        <v>4</v>
      </c>
      <c r="E10474" t="s">
        <v>328</v>
      </c>
    </row>
    <row r="10475" spans="1:5" x14ac:dyDescent="0.35">
      <c r="A10475">
        <v>2021</v>
      </c>
      <c r="B10475" t="s">
        <v>35</v>
      </c>
      <c r="C10475" t="s">
        <v>127</v>
      </c>
      <c r="D10475">
        <v>53</v>
      </c>
      <c r="E10475" t="s">
        <v>466</v>
      </c>
    </row>
    <row r="10476" spans="1:5" x14ac:dyDescent="0.35">
      <c r="A10476">
        <v>2021</v>
      </c>
      <c r="B10476" t="s">
        <v>34</v>
      </c>
      <c r="C10476" t="s">
        <v>193</v>
      </c>
      <c r="D10476">
        <v>70</v>
      </c>
      <c r="E10476" t="s">
        <v>467</v>
      </c>
    </row>
    <row r="10477" spans="1:5" x14ac:dyDescent="0.35">
      <c r="A10477">
        <v>2021</v>
      </c>
      <c r="B10477" t="s">
        <v>33</v>
      </c>
      <c r="C10477" t="s">
        <v>195</v>
      </c>
      <c r="D10477">
        <v>40</v>
      </c>
      <c r="E10477" t="s">
        <v>466</v>
      </c>
    </row>
    <row r="10478" spans="1:5" x14ac:dyDescent="0.35">
      <c r="A10478">
        <v>2021</v>
      </c>
      <c r="B10478" t="s">
        <v>34</v>
      </c>
      <c r="C10478" t="s">
        <v>121</v>
      </c>
      <c r="D10478">
        <v>5</v>
      </c>
      <c r="E10478" t="s">
        <v>328</v>
      </c>
    </row>
    <row r="10479" spans="1:5" x14ac:dyDescent="0.35">
      <c r="A10479">
        <v>2021</v>
      </c>
      <c r="B10479" t="s">
        <v>33</v>
      </c>
      <c r="C10479" t="s">
        <v>125</v>
      </c>
      <c r="D10479">
        <v>103</v>
      </c>
      <c r="E10479" t="s">
        <v>466</v>
      </c>
    </row>
    <row r="10480" spans="1:5" x14ac:dyDescent="0.35">
      <c r="A10480">
        <v>2021</v>
      </c>
      <c r="B10480" t="s">
        <v>33</v>
      </c>
      <c r="C10480" t="s">
        <v>192</v>
      </c>
      <c r="D10480">
        <v>13</v>
      </c>
      <c r="E10480" t="s">
        <v>467</v>
      </c>
    </row>
    <row r="10481" spans="1:5" x14ac:dyDescent="0.35">
      <c r="A10481">
        <v>2021</v>
      </c>
      <c r="B10481" t="s">
        <v>35</v>
      </c>
      <c r="C10481" t="s">
        <v>62</v>
      </c>
      <c r="D10481">
        <v>41</v>
      </c>
      <c r="E10481" t="s">
        <v>466</v>
      </c>
    </row>
    <row r="10482" spans="1:5" x14ac:dyDescent="0.35">
      <c r="A10482">
        <v>2021</v>
      </c>
      <c r="B10482" t="s">
        <v>34</v>
      </c>
      <c r="C10482" t="s">
        <v>120</v>
      </c>
      <c r="D10482">
        <v>6</v>
      </c>
      <c r="E10482" t="s">
        <v>355</v>
      </c>
    </row>
    <row r="10483" spans="1:5" x14ac:dyDescent="0.35">
      <c r="A10483">
        <v>2021</v>
      </c>
      <c r="B10483" t="s">
        <v>33</v>
      </c>
      <c r="C10483" t="s">
        <v>63</v>
      </c>
      <c r="D10483">
        <v>223</v>
      </c>
      <c r="E10483" t="s">
        <v>466</v>
      </c>
    </row>
    <row r="10484" spans="1:5" x14ac:dyDescent="0.35">
      <c r="A10484">
        <v>2021</v>
      </c>
      <c r="B10484" t="s">
        <v>36</v>
      </c>
      <c r="C10484" t="s">
        <v>191</v>
      </c>
      <c r="D10484">
        <v>13</v>
      </c>
      <c r="E10484" t="s">
        <v>467</v>
      </c>
    </row>
    <row r="10485" spans="1:5" x14ac:dyDescent="0.35">
      <c r="A10485">
        <v>2021</v>
      </c>
      <c r="B10485" t="s">
        <v>34</v>
      </c>
      <c r="C10485" t="s">
        <v>64</v>
      </c>
      <c r="D10485">
        <v>46</v>
      </c>
      <c r="E10485" t="s">
        <v>466</v>
      </c>
    </row>
    <row r="10486" spans="1:5" x14ac:dyDescent="0.35">
      <c r="A10486">
        <v>2021</v>
      </c>
      <c r="B10486" t="s">
        <v>35</v>
      </c>
      <c r="C10486" t="s">
        <v>119</v>
      </c>
      <c r="D10486">
        <v>5</v>
      </c>
      <c r="E10486" t="s">
        <v>328</v>
      </c>
    </row>
    <row r="10487" spans="1:5" x14ac:dyDescent="0.35">
      <c r="A10487">
        <v>2021</v>
      </c>
      <c r="B10487" t="s">
        <v>33</v>
      </c>
      <c r="C10487" t="s">
        <v>65</v>
      </c>
      <c r="D10487">
        <v>20</v>
      </c>
      <c r="E10487" t="s">
        <v>466</v>
      </c>
    </row>
    <row r="10488" spans="1:5" x14ac:dyDescent="0.35">
      <c r="A10488">
        <v>2021</v>
      </c>
      <c r="B10488" t="s">
        <v>37</v>
      </c>
      <c r="C10488" t="s">
        <v>190</v>
      </c>
      <c r="E10488" t="s">
        <v>467</v>
      </c>
    </row>
    <row r="10489" spans="1:5" x14ac:dyDescent="0.35">
      <c r="A10489">
        <v>2021</v>
      </c>
      <c r="B10489" t="s">
        <v>33</v>
      </c>
      <c r="C10489" t="s">
        <v>66</v>
      </c>
      <c r="D10489">
        <v>28</v>
      </c>
      <c r="E10489" t="s">
        <v>466</v>
      </c>
    </row>
    <row r="10490" spans="1:5" x14ac:dyDescent="0.35">
      <c r="A10490">
        <v>2021</v>
      </c>
      <c r="B10490" t="s">
        <v>35</v>
      </c>
      <c r="C10490" t="s">
        <v>119</v>
      </c>
      <c r="D10490">
        <v>9</v>
      </c>
      <c r="E10490" t="s">
        <v>355</v>
      </c>
    </row>
    <row r="10491" spans="1:5" x14ac:dyDescent="0.35">
      <c r="A10491">
        <v>2021</v>
      </c>
      <c r="B10491" t="s">
        <v>34</v>
      </c>
      <c r="C10491" t="s">
        <v>67</v>
      </c>
      <c r="D10491">
        <v>39</v>
      </c>
      <c r="E10491" t="s">
        <v>466</v>
      </c>
    </row>
    <row r="10492" spans="1:5" x14ac:dyDescent="0.35">
      <c r="A10492">
        <v>2021</v>
      </c>
      <c r="B10492" t="s">
        <v>33</v>
      </c>
      <c r="C10492" t="s">
        <v>189</v>
      </c>
      <c r="E10492" t="s">
        <v>467</v>
      </c>
    </row>
    <row r="10493" spans="1:5" x14ac:dyDescent="0.35">
      <c r="A10493">
        <v>2021</v>
      </c>
      <c r="B10493" t="s">
        <v>33</v>
      </c>
      <c r="C10493" t="s">
        <v>68</v>
      </c>
      <c r="D10493">
        <v>509</v>
      </c>
      <c r="E10493" t="s">
        <v>466</v>
      </c>
    </row>
    <row r="10494" spans="1:5" x14ac:dyDescent="0.35">
      <c r="A10494">
        <v>2021</v>
      </c>
      <c r="B10494" t="s">
        <v>34</v>
      </c>
      <c r="C10494" t="s">
        <v>118</v>
      </c>
      <c r="D10494">
        <v>36</v>
      </c>
      <c r="E10494" t="s">
        <v>328</v>
      </c>
    </row>
    <row r="10495" spans="1:5" x14ac:dyDescent="0.35">
      <c r="A10495">
        <v>2021</v>
      </c>
      <c r="B10495" t="s">
        <v>36</v>
      </c>
      <c r="C10495" t="s">
        <v>69</v>
      </c>
      <c r="D10495">
        <v>9454</v>
      </c>
      <c r="E10495" t="s">
        <v>466</v>
      </c>
    </row>
    <row r="10496" spans="1:5" x14ac:dyDescent="0.35">
      <c r="A10496">
        <v>2021</v>
      </c>
      <c r="B10496" t="s">
        <v>34</v>
      </c>
      <c r="C10496" t="s">
        <v>188</v>
      </c>
      <c r="D10496">
        <v>89</v>
      </c>
      <c r="E10496" t="s">
        <v>467</v>
      </c>
    </row>
    <row r="10497" spans="1:5" x14ac:dyDescent="0.35">
      <c r="A10497">
        <v>2021</v>
      </c>
      <c r="B10497" t="s">
        <v>33</v>
      </c>
      <c r="C10497" t="s">
        <v>70</v>
      </c>
      <c r="D10497">
        <v>11</v>
      </c>
      <c r="E10497" t="s">
        <v>466</v>
      </c>
    </row>
    <row r="10498" spans="1:5" x14ac:dyDescent="0.35">
      <c r="A10498">
        <v>2021</v>
      </c>
      <c r="B10498" t="s">
        <v>36</v>
      </c>
      <c r="C10498" t="s">
        <v>163</v>
      </c>
      <c r="D10498">
        <v>4</v>
      </c>
      <c r="E10498" t="s">
        <v>355</v>
      </c>
    </row>
    <row r="10499" spans="1:5" x14ac:dyDescent="0.35">
      <c r="A10499">
        <v>2021</v>
      </c>
      <c r="B10499" t="s">
        <v>38</v>
      </c>
      <c r="C10499" t="s">
        <v>21</v>
      </c>
      <c r="D10499">
        <v>58151</v>
      </c>
      <c r="E10499" t="s">
        <v>466</v>
      </c>
    </row>
    <row r="10500" spans="1:5" x14ac:dyDescent="0.35">
      <c r="A10500">
        <v>2021</v>
      </c>
      <c r="B10500" t="s">
        <v>33</v>
      </c>
      <c r="C10500" t="s">
        <v>187</v>
      </c>
      <c r="D10500">
        <v>5</v>
      </c>
      <c r="E10500" t="s">
        <v>467</v>
      </c>
    </row>
    <row r="10501" spans="1:5" x14ac:dyDescent="0.35">
      <c r="A10501">
        <v>2021</v>
      </c>
      <c r="B10501" t="s">
        <v>33</v>
      </c>
      <c r="C10501" t="s">
        <v>71</v>
      </c>
      <c r="D10501">
        <v>19</v>
      </c>
      <c r="E10501" t="s">
        <v>466</v>
      </c>
    </row>
    <row r="10502" spans="1:5" x14ac:dyDescent="0.35">
      <c r="A10502">
        <v>2021</v>
      </c>
      <c r="B10502" t="s">
        <v>34</v>
      </c>
      <c r="C10502" t="s">
        <v>118</v>
      </c>
      <c r="D10502">
        <v>46</v>
      </c>
      <c r="E10502" t="s">
        <v>355</v>
      </c>
    </row>
    <row r="10503" spans="1:5" x14ac:dyDescent="0.35">
      <c r="A10503">
        <v>2021</v>
      </c>
      <c r="B10503" t="s">
        <v>34</v>
      </c>
      <c r="C10503" t="s">
        <v>73</v>
      </c>
      <c r="D10503">
        <v>1468</v>
      </c>
      <c r="E10503" t="s">
        <v>466</v>
      </c>
    </row>
    <row r="10504" spans="1:5" x14ac:dyDescent="0.35">
      <c r="A10504">
        <v>2021</v>
      </c>
      <c r="B10504" t="s">
        <v>34</v>
      </c>
      <c r="C10504" t="s">
        <v>185</v>
      </c>
      <c r="D10504">
        <v>351</v>
      </c>
      <c r="E10504" t="s">
        <v>467</v>
      </c>
    </row>
    <row r="10505" spans="1:5" x14ac:dyDescent="0.35">
      <c r="A10505">
        <v>2021</v>
      </c>
      <c r="B10505" t="s">
        <v>38</v>
      </c>
      <c r="C10505" t="s">
        <v>20</v>
      </c>
      <c r="D10505">
        <v>10381</v>
      </c>
      <c r="E10505" t="s">
        <v>466</v>
      </c>
    </row>
    <row r="10506" spans="1:5" x14ac:dyDescent="0.35">
      <c r="A10506">
        <v>2021</v>
      </c>
      <c r="B10506" t="s">
        <v>34</v>
      </c>
      <c r="C10506" t="s">
        <v>121</v>
      </c>
      <c r="D10506">
        <v>10</v>
      </c>
      <c r="E10506" t="s">
        <v>355</v>
      </c>
    </row>
    <row r="10507" spans="1:5" x14ac:dyDescent="0.35">
      <c r="A10507">
        <v>2021</v>
      </c>
      <c r="B10507" t="s">
        <v>33</v>
      </c>
      <c r="C10507" t="s">
        <v>74</v>
      </c>
      <c r="D10507">
        <v>408</v>
      </c>
      <c r="E10507" t="s">
        <v>466</v>
      </c>
    </row>
    <row r="10508" spans="1:5" x14ac:dyDescent="0.35">
      <c r="A10508">
        <v>2021</v>
      </c>
      <c r="B10508" t="s">
        <v>34</v>
      </c>
      <c r="C10508" t="s">
        <v>184</v>
      </c>
      <c r="D10508">
        <v>13</v>
      </c>
      <c r="E10508" t="s">
        <v>467</v>
      </c>
    </row>
    <row r="10509" spans="1:5" x14ac:dyDescent="0.35">
      <c r="A10509">
        <v>2021</v>
      </c>
      <c r="B10509" t="s">
        <v>33</v>
      </c>
      <c r="C10509" t="s">
        <v>75</v>
      </c>
      <c r="D10509">
        <v>180</v>
      </c>
      <c r="E10509" t="s">
        <v>466</v>
      </c>
    </row>
    <row r="10510" spans="1:5" x14ac:dyDescent="0.35">
      <c r="A10510">
        <v>2021</v>
      </c>
      <c r="B10510" t="s">
        <v>35</v>
      </c>
      <c r="C10510" t="s">
        <v>127</v>
      </c>
      <c r="D10510">
        <v>4</v>
      </c>
      <c r="E10510" t="s">
        <v>355</v>
      </c>
    </row>
    <row r="10511" spans="1:5" x14ac:dyDescent="0.35">
      <c r="A10511">
        <v>2021</v>
      </c>
      <c r="B10511" t="s">
        <v>36</v>
      </c>
      <c r="C10511" t="s">
        <v>76</v>
      </c>
      <c r="D10511">
        <v>780</v>
      </c>
      <c r="E10511" t="s">
        <v>466</v>
      </c>
    </row>
    <row r="10512" spans="1:5" x14ac:dyDescent="0.35">
      <c r="A10512">
        <v>2021</v>
      </c>
      <c r="B10512" t="s">
        <v>35</v>
      </c>
      <c r="C10512" t="s">
        <v>183</v>
      </c>
      <c r="D10512">
        <v>25</v>
      </c>
      <c r="E10512" t="s">
        <v>467</v>
      </c>
    </row>
    <row r="10513" spans="1:5" x14ac:dyDescent="0.35">
      <c r="A10513">
        <v>2021</v>
      </c>
      <c r="B10513" t="s">
        <v>33</v>
      </c>
      <c r="C10513" t="s">
        <v>77</v>
      </c>
      <c r="D10513">
        <v>167</v>
      </c>
      <c r="E10513" t="s">
        <v>466</v>
      </c>
    </row>
    <row r="10514" spans="1:5" x14ac:dyDescent="0.35">
      <c r="A10514">
        <v>2021</v>
      </c>
      <c r="B10514" t="s">
        <v>35</v>
      </c>
      <c r="C10514" t="s">
        <v>127</v>
      </c>
      <c r="D10514">
        <v>4</v>
      </c>
      <c r="E10514" t="s">
        <v>328</v>
      </c>
    </row>
    <row r="10515" spans="1:5" x14ac:dyDescent="0.35">
      <c r="A10515">
        <v>2021</v>
      </c>
      <c r="B10515" t="s">
        <v>35</v>
      </c>
      <c r="C10515" t="s">
        <v>78</v>
      </c>
      <c r="D10515">
        <v>27</v>
      </c>
      <c r="E10515" t="s">
        <v>466</v>
      </c>
    </row>
    <row r="10516" spans="1:5" x14ac:dyDescent="0.35">
      <c r="A10516">
        <v>2021</v>
      </c>
      <c r="B10516" t="s">
        <v>35</v>
      </c>
      <c r="C10516" t="s">
        <v>182</v>
      </c>
      <c r="D10516">
        <v>36</v>
      </c>
      <c r="E10516" t="s">
        <v>467</v>
      </c>
    </row>
    <row r="10517" spans="1:5" x14ac:dyDescent="0.35">
      <c r="A10517">
        <v>2021</v>
      </c>
      <c r="B10517" t="s">
        <v>36</v>
      </c>
      <c r="C10517" t="s">
        <v>79</v>
      </c>
      <c r="D10517">
        <v>40549</v>
      </c>
      <c r="E10517" t="s">
        <v>466</v>
      </c>
    </row>
    <row r="10518" spans="1:5" x14ac:dyDescent="0.35">
      <c r="A10518">
        <v>2021</v>
      </c>
      <c r="B10518" t="s">
        <v>34</v>
      </c>
      <c r="C10518" t="s">
        <v>131</v>
      </c>
      <c r="E10518" t="s">
        <v>355</v>
      </c>
    </row>
    <row r="10519" spans="1:5" x14ac:dyDescent="0.35">
      <c r="A10519">
        <v>2021</v>
      </c>
      <c r="B10519" t="s">
        <v>34</v>
      </c>
      <c r="C10519" t="s">
        <v>80</v>
      </c>
      <c r="E10519" t="s">
        <v>466</v>
      </c>
    </row>
    <row r="10520" spans="1:5" x14ac:dyDescent="0.35">
      <c r="A10520">
        <v>2021</v>
      </c>
      <c r="B10520" t="s">
        <v>33</v>
      </c>
      <c r="C10520" t="s">
        <v>179</v>
      </c>
      <c r="D10520">
        <v>6</v>
      </c>
      <c r="E10520" t="s">
        <v>467</v>
      </c>
    </row>
    <row r="10521" spans="1:5" x14ac:dyDescent="0.35">
      <c r="A10521">
        <v>2021</v>
      </c>
      <c r="B10521" t="s">
        <v>38</v>
      </c>
      <c r="C10521" t="s">
        <v>72</v>
      </c>
      <c r="D10521">
        <v>7933</v>
      </c>
      <c r="E10521" t="s">
        <v>466</v>
      </c>
    </row>
    <row r="10522" spans="1:5" x14ac:dyDescent="0.35">
      <c r="A10522">
        <v>2021</v>
      </c>
      <c r="B10522" t="s">
        <v>33</v>
      </c>
      <c r="C10522" t="s">
        <v>141</v>
      </c>
      <c r="D10522">
        <v>7</v>
      </c>
      <c r="E10522" t="s">
        <v>328</v>
      </c>
    </row>
    <row r="10523" spans="1:5" x14ac:dyDescent="0.35">
      <c r="A10523">
        <v>2021</v>
      </c>
      <c r="B10523" t="s">
        <v>33</v>
      </c>
      <c r="C10523" t="s">
        <v>61</v>
      </c>
      <c r="D10523">
        <v>4</v>
      </c>
      <c r="E10523" t="s">
        <v>466</v>
      </c>
    </row>
    <row r="10524" spans="1:5" x14ac:dyDescent="0.35">
      <c r="A10524">
        <v>2021</v>
      </c>
      <c r="B10524" t="s">
        <v>35</v>
      </c>
      <c r="C10524" t="s">
        <v>177</v>
      </c>
      <c r="D10524">
        <v>713</v>
      </c>
      <c r="E10524" t="s">
        <v>467</v>
      </c>
    </row>
    <row r="10525" spans="1:5" x14ac:dyDescent="0.35">
      <c r="A10525">
        <v>2021</v>
      </c>
      <c r="B10525" t="s">
        <v>35</v>
      </c>
      <c r="C10525" t="s">
        <v>60</v>
      </c>
      <c r="D10525">
        <v>38</v>
      </c>
      <c r="E10525" t="s">
        <v>466</v>
      </c>
    </row>
    <row r="10526" spans="1:5" x14ac:dyDescent="0.35">
      <c r="A10526">
        <v>2021</v>
      </c>
      <c r="B10526" t="s">
        <v>33</v>
      </c>
      <c r="C10526" t="s">
        <v>141</v>
      </c>
      <c r="D10526">
        <v>15</v>
      </c>
      <c r="E10526" t="s">
        <v>355</v>
      </c>
    </row>
    <row r="10527" spans="1:5" x14ac:dyDescent="0.35">
      <c r="A10527">
        <v>2021</v>
      </c>
      <c r="B10527" t="s">
        <v>38</v>
      </c>
      <c r="C10527" t="s">
        <v>59</v>
      </c>
      <c r="D10527">
        <v>306</v>
      </c>
      <c r="E10527" t="s">
        <v>466</v>
      </c>
    </row>
    <row r="10528" spans="1:5" x14ac:dyDescent="0.35">
      <c r="A10528">
        <v>2021</v>
      </c>
      <c r="B10528" t="s">
        <v>33</v>
      </c>
      <c r="C10528" t="s">
        <v>149</v>
      </c>
      <c r="D10528">
        <v>60</v>
      </c>
      <c r="E10528" t="s">
        <v>467</v>
      </c>
    </row>
    <row r="10529" spans="1:5" x14ac:dyDescent="0.35">
      <c r="A10529">
        <v>2021</v>
      </c>
      <c r="B10529" t="s">
        <v>34</v>
      </c>
      <c r="C10529" t="s">
        <v>40</v>
      </c>
      <c r="D10529">
        <v>145</v>
      </c>
      <c r="E10529" t="s">
        <v>466</v>
      </c>
    </row>
    <row r="10530" spans="1:5" x14ac:dyDescent="0.35">
      <c r="A10530">
        <v>2021</v>
      </c>
      <c r="B10530" t="s">
        <v>35</v>
      </c>
      <c r="C10530" t="s">
        <v>140</v>
      </c>
      <c r="D10530">
        <v>4</v>
      </c>
      <c r="E10530" t="s">
        <v>328</v>
      </c>
    </row>
    <row r="10531" spans="1:5" x14ac:dyDescent="0.35">
      <c r="A10531">
        <v>2021</v>
      </c>
      <c r="B10531" t="s">
        <v>35</v>
      </c>
      <c r="C10531" t="s">
        <v>41</v>
      </c>
      <c r="D10531">
        <v>68</v>
      </c>
      <c r="E10531" t="s">
        <v>466</v>
      </c>
    </row>
    <row r="10532" spans="1:5" x14ac:dyDescent="0.35">
      <c r="A10532">
        <v>2021</v>
      </c>
      <c r="B10532" t="s">
        <v>34</v>
      </c>
      <c r="C10532" t="s">
        <v>202</v>
      </c>
      <c r="E10532" t="s">
        <v>467</v>
      </c>
    </row>
    <row r="10533" spans="1:5" x14ac:dyDescent="0.35">
      <c r="A10533">
        <v>2021</v>
      </c>
      <c r="B10533" t="s">
        <v>33</v>
      </c>
      <c r="C10533" t="s">
        <v>42</v>
      </c>
      <c r="D10533">
        <v>506</v>
      </c>
      <c r="E10533" t="s">
        <v>466</v>
      </c>
    </row>
    <row r="10534" spans="1:5" x14ac:dyDescent="0.35">
      <c r="A10534">
        <v>2021</v>
      </c>
      <c r="B10534" t="s">
        <v>35</v>
      </c>
      <c r="C10534" t="s">
        <v>140</v>
      </c>
      <c r="D10534">
        <v>4</v>
      </c>
      <c r="E10534" t="s">
        <v>355</v>
      </c>
    </row>
    <row r="10535" spans="1:5" x14ac:dyDescent="0.35">
      <c r="A10535">
        <v>2021</v>
      </c>
      <c r="C10535" t="s">
        <v>373</v>
      </c>
      <c r="D10535">
        <v>13</v>
      </c>
      <c r="E10535" t="s">
        <v>466</v>
      </c>
    </row>
    <row r="10536" spans="1:5" x14ac:dyDescent="0.35">
      <c r="A10536">
        <v>2021</v>
      </c>
      <c r="B10536" t="s">
        <v>36</v>
      </c>
      <c r="C10536" t="s">
        <v>147</v>
      </c>
      <c r="D10536">
        <v>54</v>
      </c>
      <c r="E10536" t="s">
        <v>467</v>
      </c>
    </row>
    <row r="10537" spans="1:5" x14ac:dyDescent="0.35">
      <c r="A10537">
        <v>2021</v>
      </c>
      <c r="B10537" t="s">
        <v>33</v>
      </c>
      <c r="C10537" t="s">
        <v>43</v>
      </c>
      <c r="D10537">
        <v>258</v>
      </c>
      <c r="E10537" t="s">
        <v>466</v>
      </c>
    </row>
    <row r="10538" spans="1:5" x14ac:dyDescent="0.35">
      <c r="A10538">
        <v>2021</v>
      </c>
      <c r="B10538" t="s">
        <v>34</v>
      </c>
      <c r="C10538" t="s">
        <v>139</v>
      </c>
      <c r="D10538">
        <v>22</v>
      </c>
      <c r="E10538" t="s">
        <v>355</v>
      </c>
    </row>
    <row r="10539" spans="1:5" x14ac:dyDescent="0.35">
      <c r="A10539">
        <v>2021</v>
      </c>
      <c r="B10539" t="s">
        <v>36</v>
      </c>
      <c r="C10539" t="s">
        <v>44</v>
      </c>
      <c r="D10539">
        <v>18</v>
      </c>
      <c r="E10539" t="s">
        <v>466</v>
      </c>
    </row>
    <row r="10540" spans="1:5" x14ac:dyDescent="0.35">
      <c r="A10540">
        <v>2021</v>
      </c>
      <c r="B10540" t="s">
        <v>33</v>
      </c>
      <c r="C10540" t="s">
        <v>68</v>
      </c>
      <c r="E10540" t="s">
        <v>467</v>
      </c>
    </row>
    <row r="10541" spans="1:5" x14ac:dyDescent="0.35">
      <c r="A10541">
        <v>2021</v>
      </c>
      <c r="B10541" t="s">
        <v>38</v>
      </c>
      <c r="C10541" t="s">
        <v>45</v>
      </c>
      <c r="D10541">
        <v>724</v>
      </c>
      <c r="E10541" t="s">
        <v>466</v>
      </c>
    </row>
    <row r="10542" spans="1:5" x14ac:dyDescent="0.35">
      <c r="A10542">
        <v>2021</v>
      </c>
      <c r="B10542" t="s">
        <v>35</v>
      </c>
      <c r="C10542" t="s">
        <v>138</v>
      </c>
      <c r="E10542" t="s">
        <v>328</v>
      </c>
    </row>
    <row r="10543" spans="1:5" x14ac:dyDescent="0.35">
      <c r="A10543">
        <v>2021</v>
      </c>
      <c r="B10543" t="s">
        <v>34</v>
      </c>
      <c r="C10543" t="s">
        <v>46</v>
      </c>
      <c r="D10543">
        <v>914</v>
      </c>
      <c r="E10543" t="s">
        <v>466</v>
      </c>
    </row>
    <row r="10544" spans="1:5" x14ac:dyDescent="0.35">
      <c r="A10544">
        <v>2021</v>
      </c>
      <c r="B10544" t="s">
        <v>36</v>
      </c>
      <c r="C10544" t="s">
        <v>69</v>
      </c>
      <c r="D10544">
        <v>7088</v>
      </c>
      <c r="E10544" t="s">
        <v>467</v>
      </c>
    </row>
    <row r="10545" spans="1:5" x14ac:dyDescent="0.35">
      <c r="A10545">
        <v>2021</v>
      </c>
      <c r="B10545" t="s">
        <v>37</v>
      </c>
      <c r="C10545" t="s">
        <v>47</v>
      </c>
      <c r="D10545">
        <v>127</v>
      </c>
      <c r="E10545" t="s">
        <v>466</v>
      </c>
    </row>
    <row r="10546" spans="1:5" x14ac:dyDescent="0.35">
      <c r="A10546">
        <v>2021</v>
      </c>
      <c r="B10546" t="s">
        <v>35</v>
      </c>
      <c r="C10546" t="s">
        <v>138</v>
      </c>
      <c r="E10546" t="s">
        <v>355</v>
      </c>
    </row>
    <row r="10547" spans="1:5" x14ac:dyDescent="0.35">
      <c r="A10547">
        <v>2021</v>
      </c>
      <c r="B10547" t="s">
        <v>35</v>
      </c>
      <c r="C10547" t="s">
        <v>48</v>
      </c>
      <c r="D10547">
        <v>28</v>
      </c>
      <c r="E10547" t="s">
        <v>466</v>
      </c>
    </row>
    <row r="10548" spans="1:5" x14ac:dyDescent="0.35">
      <c r="A10548">
        <v>2021</v>
      </c>
      <c r="B10548" t="s">
        <v>38</v>
      </c>
      <c r="C10548" t="s">
        <v>72</v>
      </c>
      <c r="D10548">
        <v>787</v>
      </c>
      <c r="E10548" t="s">
        <v>467</v>
      </c>
    </row>
    <row r="10549" spans="1:5" x14ac:dyDescent="0.35">
      <c r="A10549">
        <v>2021</v>
      </c>
      <c r="B10549" t="s">
        <v>33</v>
      </c>
      <c r="C10549" t="s">
        <v>126</v>
      </c>
      <c r="D10549">
        <v>22</v>
      </c>
      <c r="E10549" t="s">
        <v>466</v>
      </c>
    </row>
    <row r="10550" spans="1:5" x14ac:dyDescent="0.35">
      <c r="A10550">
        <v>2021</v>
      </c>
      <c r="B10550" t="s">
        <v>37</v>
      </c>
      <c r="C10550" t="s">
        <v>137</v>
      </c>
      <c r="D10550">
        <v>0</v>
      </c>
      <c r="E10550" t="s">
        <v>355</v>
      </c>
    </row>
    <row r="10551" spans="1:5" x14ac:dyDescent="0.35">
      <c r="A10551">
        <v>2021</v>
      </c>
      <c r="B10551" t="s">
        <v>34</v>
      </c>
      <c r="C10551" t="s">
        <v>49</v>
      </c>
      <c r="D10551">
        <v>38</v>
      </c>
      <c r="E10551" t="s">
        <v>466</v>
      </c>
    </row>
    <row r="10552" spans="1:5" x14ac:dyDescent="0.35">
      <c r="A10552">
        <v>2021</v>
      </c>
      <c r="B10552" t="s">
        <v>34</v>
      </c>
      <c r="C10552" t="s">
        <v>73</v>
      </c>
      <c r="D10552">
        <v>297</v>
      </c>
      <c r="E10552" t="s">
        <v>467</v>
      </c>
    </row>
    <row r="10553" spans="1:5" x14ac:dyDescent="0.35">
      <c r="A10553">
        <v>2021</v>
      </c>
      <c r="B10553" t="s">
        <v>36</v>
      </c>
      <c r="C10553" t="s">
        <v>50</v>
      </c>
      <c r="D10553">
        <v>637</v>
      </c>
      <c r="E10553" t="s">
        <v>466</v>
      </c>
    </row>
    <row r="10554" spans="1:5" x14ac:dyDescent="0.35">
      <c r="A10554">
        <v>2021</v>
      </c>
      <c r="B10554" t="s">
        <v>36</v>
      </c>
      <c r="C10554" t="s">
        <v>14</v>
      </c>
      <c r="D10554">
        <v>12672</v>
      </c>
      <c r="E10554" t="s">
        <v>328</v>
      </c>
    </row>
    <row r="10555" spans="1:5" x14ac:dyDescent="0.35">
      <c r="A10555">
        <v>2021</v>
      </c>
      <c r="B10555" t="s">
        <v>34</v>
      </c>
      <c r="C10555" t="s">
        <v>51</v>
      </c>
      <c r="D10555">
        <v>8</v>
      </c>
      <c r="E10555" t="s">
        <v>466</v>
      </c>
    </row>
    <row r="10556" spans="1:5" x14ac:dyDescent="0.35">
      <c r="A10556">
        <v>2021</v>
      </c>
      <c r="B10556" t="s">
        <v>38</v>
      </c>
      <c r="C10556" t="s">
        <v>20</v>
      </c>
      <c r="D10556">
        <v>597</v>
      </c>
      <c r="E10556" t="s">
        <v>467</v>
      </c>
    </row>
    <row r="10557" spans="1:5" x14ac:dyDescent="0.35">
      <c r="A10557">
        <v>2021</v>
      </c>
      <c r="B10557" t="s">
        <v>34</v>
      </c>
      <c r="C10557" t="s">
        <v>52</v>
      </c>
      <c r="D10557">
        <v>1097</v>
      </c>
      <c r="E10557" t="s">
        <v>466</v>
      </c>
    </row>
    <row r="10558" spans="1:5" x14ac:dyDescent="0.35">
      <c r="A10558">
        <v>2021</v>
      </c>
      <c r="B10558" t="s">
        <v>36</v>
      </c>
      <c r="C10558" t="s">
        <v>14</v>
      </c>
      <c r="D10558">
        <v>37978</v>
      </c>
      <c r="E10558" t="s">
        <v>355</v>
      </c>
    </row>
    <row r="10559" spans="1:5" x14ac:dyDescent="0.35">
      <c r="A10559">
        <v>2021</v>
      </c>
      <c r="B10559" t="s">
        <v>36</v>
      </c>
      <c r="C10559" t="s">
        <v>53</v>
      </c>
      <c r="D10559">
        <v>18</v>
      </c>
      <c r="E10559" t="s">
        <v>466</v>
      </c>
    </row>
    <row r="10560" spans="1:5" x14ac:dyDescent="0.35">
      <c r="A10560">
        <v>2021</v>
      </c>
      <c r="B10560" t="s">
        <v>33</v>
      </c>
      <c r="C10560" t="s">
        <v>74</v>
      </c>
      <c r="D10560">
        <v>6</v>
      </c>
      <c r="E10560" t="s">
        <v>467</v>
      </c>
    </row>
    <row r="10561" spans="1:5" x14ac:dyDescent="0.35">
      <c r="A10561">
        <v>2021</v>
      </c>
      <c r="B10561" t="s">
        <v>35</v>
      </c>
      <c r="C10561" t="s">
        <v>54</v>
      </c>
      <c r="D10561">
        <v>442</v>
      </c>
      <c r="E10561" t="s">
        <v>466</v>
      </c>
    </row>
    <row r="10562" spans="1:5" x14ac:dyDescent="0.35">
      <c r="A10562">
        <v>2021</v>
      </c>
      <c r="B10562" t="s">
        <v>33</v>
      </c>
      <c r="C10562" t="s">
        <v>135</v>
      </c>
      <c r="E10562" t="s">
        <v>328</v>
      </c>
    </row>
    <row r="10563" spans="1:5" x14ac:dyDescent="0.35">
      <c r="A10563">
        <v>2021</v>
      </c>
      <c r="B10563" t="s">
        <v>35</v>
      </c>
      <c r="C10563" t="s">
        <v>55</v>
      </c>
      <c r="D10563">
        <v>37</v>
      </c>
      <c r="E10563" t="s">
        <v>466</v>
      </c>
    </row>
    <row r="10564" spans="1:5" x14ac:dyDescent="0.35">
      <c r="A10564">
        <v>2021</v>
      </c>
      <c r="B10564" t="s">
        <v>33</v>
      </c>
      <c r="C10564" t="s">
        <v>75</v>
      </c>
      <c r="E10564" t="s">
        <v>467</v>
      </c>
    </row>
    <row r="10565" spans="1:5" x14ac:dyDescent="0.35">
      <c r="A10565">
        <v>2021</v>
      </c>
      <c r="B10565" t="s">
        <v>36</v>
      </c>
      <c r="C10565" t="s">
        <v>56</v>
      </c>
      <c r="D10565">
        <v>400</v>
      </c>
      <c r="E10565" t="s">
        <v>466</v>
      </c>
    </row>
    <row r="10566" spans="1:5" x14ac:dyDescent="0.35">
      <c r="A10566">
        <v>2021</v>
      </c>
      <c r="B10566" t="s">
        <v>33</v>
      </c>
      <c r="C10566" t="s">
        <v>135</v>
      </c>
      <c r="E10566" t="s">
        <v>355</v>
      </c>
    </row>
    <row r="10567" spans="1:5" x14ac:dyDescent="0.35">
      <c r="A10567">
        <v>2021</v>
      </c>
      <c r="B10567" t="s">
        <v>33</v>
      </c>
      <c r="C10567" t="s">
        <v>57</v>
      </c>
      <c r="D10567">
        <v>86</v>
      </c>
      <c r="E10567" t="s">
        <v>466</v>
      </c>
    </row>
    <row r="10568" spans="1:5" x14ac:dyDescent="0.35">
      <c r="A10568">
        <v>2021</v>
      </c>
      <c r="B10568" t="s">
        <v>36</v>
      </c>
      <c r="C10568" t="s">
        <v>76</v>
      </c>
      <c r="D10568">
        <v>65</v>
      </c>
      <c r="E10568" t="s">
        <v>467</v>
      </c>
    </row>
    <row r="10569" spans="1:5" x14ac:dyDescent="0.35">
      <c r="A10569">
        <v>2021</v>
      </c>
      <c r="B10569" t="s">
        <v>34</v>
      </c>
      <c r="C10569" t="s">
        <v>58</v>
      </c>
      <c r="D10569">
        <v>15</v>
      </c>
      <c r="E10569" t="s">
        <v>466</v>
      </c>
    </row>
    <row r="10570" spans="1:5" x14ac:dyDescent="0.35">
      <c r="A10570">
        <v>2021</v>
      </c>
      <c r="B10570" t="s">
        <v>37</v>
      </c>
      <c r="C10570" t="s">
        <v>134</v>
      </c>
      <c r="D10570">
        <v>0</v>
      </c>
      <c r="E10570" t="s">
        <v>355</v>
      </c>
    </row>
    <row r="10571" spans="1:5" x14ac:dyDescent="0.35">
      <c r="A10571">
        <v>2021</v>
      </c>
      <c r="B10571" t="s">
        <v>35</v>
      </c>
      <c r="C10571" t="s">
        <v>81</v>
      </c>
      <c r="D10571">
        <v>53</v>
      </c>
      <c r="E10571" t="s">
        <v>466</v>
      </c>
    </row>
    <row r="10572" spans="1:5" x14ac:dyDescent="0.35">
      <c r="A10572">
        <v>2021</v>
      </c>
      <c r="B10572" t="s">
        <v>33</v>
      </c>
      <c r="C10572" t="s">
        <v>77</v>
      </c>
      <c r="D10572">
        <v>7</v>
      </c>
      <c r="E10572" t="s">
        <v>467</v>
      </c>
    </row>
    <row r="10573" spans="1:5" x14ac:dyDescent="0.35">
      <c r="A10573">
        <v>2021</v>
      </c>
      <c r="B10573" t="s">
        <v>35</v>
      </c>
      <c r="C10573" t="s">
        <v>214</v>
      </c>
      <c r="E10573" t="s">
        <v>466</v>
      </c>
    </row>
    <row r="10574" spans="1:5" x14ac:dyDescent="0.35">
      <c r="A10574">
        <v>2021</v>
      </c>
      <c r="B10574" t="s">
        <v>33</v>
      </c>
      <c r="C10574" t="s">
        <v>132</v>
      </c>
      <c r="D10574">
        <v>6</v>
      </c>
      <c r="E10574" t="s">
        <v>328</v>
      </c>
    </row>
    <row r="10575" spans="1:5" x14ac:dyDescent="0.35">
      <c r="A10575">
        <v>2021</v>
      </c>
      <c r="B10575" t="s">
        <v>34</v>
      </c>
      <c r="C10575" t="s">
        <v>171</v>
      </c>
      <c r="D10575">
        <v>12</v>
      </c>
      <c r="E10575" t="s">
        <v>466</v>
      </c>
    </row>
    <row r="10576" spans="1:5" x14ac:dyDescent="0.35">
      <c r="A10576">
        <v>2021</v>
      </c>
      <c r="B10576" t="s">
        <v>35</v>
      </c>
      <c r="C10576" t="s">
        <v>78</v>
      </c>
      <c r="D10576">
        <v>10</v>
      </c>
      <c r="E10576" t="s">
        <v>467</v>
      </c>
    </row>
    <row r="10577" spans="1:5" x14ac:dyDescent="0.35">
      <c r="A10577">
        <v>2021</v>
      </c>
      <c r="B10577" t="s">
        <v>33</v>
      </c>
      <c r="C10577" t="s">
        <v>83</v>
      </c>
      <c r="D10577">
        <v>8</v>
      </c>
      <c r="E10577" t="s">
        <v>466</v>
      </c>
    </row>
    <row r="10578" spans="1:5" x14ac:dyDescent="0.35">
      <c r="A10578">
        <v>2021</v>
      </c>
      <c r="B10578" t="s">
        <v>34</v>
      </c>
      <c r="C10578" t="s">
        <v>131</v>
      </c>
      <c r="E10578" t="s">
        <v>328</v>
      </c>
    </row>
    <row r="10579" spans="1:5" x14ac:dyDescent="0.35">
      <c r="A10579">
        <v>2021</v>
      </c>
      <c r="B10579" t="s">
        <v>35</v>
      </c>
      <c r="C10579" t="s">
        <v>105</v>
      </c>
      <c r="D10579">
        <v>61</v>
      </c>
      <c r="E10579" t="s">
        <v>466</v>
      </c>
    </row>
    <row r="10580" spans="1:5" x14ac:dyDescent="0.35">
      <c r="A10580">
        <v>2021</v>
      </c>
      <c r="B10580" t="s">
        <v>34</v>
      </c>
      <c r="C10580" t="s">
        <v>67</v>
      </c>
      <c r="D10580">
        <v>4</v>
      </c>
      <c r="E10580" t="s">
        <v>467</v>
      </c>
    </row>
    <row r="10581" spans="1:5" x14ac:dyDescent="0.35">
      <c r="A10581">
        <v>2021</v>
      </c>
      <c r="B10581" t="s">
        <v>35</v>
      </c>
      <c r="C10581" t="s">
        <v>106</v>
      </c>
      <c r="D10581">
        <v>5</v>
      </c>
      <c r="E10581" t="s">
        <v>466</v>
      </c>
    </row>
    <row r="10582" spans="1:5" x14ac:dyDescent="0.35">
      <c r="A10582">
        <v>2021</v>
      </c>
      <c r="B10582" t="s">
        <v>34</v>
      </c>
      <c r="C10582" t="s">
        <v>144</v>
      </c>
      <c r="D10582">
        <v>17</v>
      </c>
      <c r="E10582" t="s">
        <v>328</v>
      </c>
    </row>
    <row r="10583" spans="1:5" x14ac:dyDescent="0.35">
      <c r="A10583">
        <v>2021</v>
      </c>
      <c r="B10583" t="s">
        <v>34</v>
      </c>
      <c r="C10583" t="s">
        <v>22</v>
      </c>
      <c r="D10583">
        <v>4816</v>
      </c>
      <c r="E10583" t="s">
        <v>466</v>
      </c>
    </row>
    <row r="10584" spans="1:5" x14ac:dyDescent="0.35">
      <c r="A10584">
        <v>2021</v>
      </c>
      <c r="B10584" t="s">
        <v>36</v>
      </c>
      <c r="C10584" t="s">
        <v>79</v>
      </c>
      <c r="D10584">
        <v>16</v>
      </c>
      <c r="E10584" t="s">
        <v>467</v>
      </c>
    </row>
    <row r="10585" spans="1:5" x14ac:dyDescent="0.35">
      <c r="A10585">
        <v>2021</v>
      </c>
      <c r="B10585" t="s">
        <v>34</v>
      </c>
      <c r="C10585" t="s">
        <v>107</v>
      </c>
      <c r="D10585">
        <v>112</v>
      </c>
      <c r="E10585" t="s">
        <v>466</v>
      </c>
    </row>
    <row r="10586" spans="1:5" x14ac:dyDescent="0.35">
      <c r="A10586">
        <v>2021</v>
      </c>
      <c r="B10586" t="s">
        <v>36</v>
      </c>
      <c r="C10586" t="s">
        <v>164</v>
      </c>
      <c r="E10586" t="s">
        <v>355</v>
      </c>
    </row>
    <row r="10587" spans="1:5" x14ac:dyDescent="0.35">
      <c r="A10587">
        <v>2021</v>
      </c>
      <c r="B10587" t="s">
        <v>34</v>
      </c>
      <c r="C10587" t="s">
        <v>108</v>
      </c>
      <c r="D10587">
        <v>427</v>
      </c>
      <c r="E10587" t="s">
        <v>466</v>
      </c>
    </row>
    <row r="10588" spans="1:5" x14ac:dyDescent="0.35">
      <c r="A10588">
        <v>2021</v>
      </c>
      <c r="B10588" t="s">
        <v>35</v>
      </c>
      <c r="C10588" t="s">
        <v>81</v>
      </c>
      <c r="D10588">
        <v>24</v>
      </c>
      <c r="E10588" t="s">
        <v>467</v>
      </c>
    </row>
    <row r="10589" spans="1:5" x14ac:dyDescent="0.35">
      <c r="A10589">
        <v>2021</v>
      </c>
      <c r="B10589" t="s">
        <v>34</v>
      </c>
      <c r="C10589" t="s">
        <v>109</v>
      </c>
      <c r="D10589">
        <v>102</v>
      </c>
      <c r="E10589" t="s">
        <v>466</v>
      </c>
    </row>
    <row r="10590" spans="1:5" x14ac:dyDescent="0.35">
      <c r="A10590">
        <v>2021</v>
      </c>
      <c r="B10590" t="s">
        <v>33</v>
      </c>
      <c r="C10590" t="s">
        <v>187</v>
      </c>
      <c r="D10590">
        <v>7</v>
      </c>
      <c r="E10590" t="s">
        <v>355</v>
      </c>
    </row>
    <row r="10591" spans="1:5" x14ac:dyDescent="0.35">
      <c r="A10591">
        <v>2021</v>
      </c>
      <c r="B10591" t="s">
        <v>35</v>
      </c>
      <c r="C10591" t="s">
        <v>110</v>
      </c>
      <c r="D10591">
        <v>122</v>
      </c>
      <c r="E10591" t="s">
        <v>466</v>
      </c>
    </row>
    <row r="10592" spans="1:5" x14ac:dyDescent="0.35">
      <c r="A10592">
        <v>2021</v>
      </c>
      <c r="B10592" t="s">
        <v>35</v>
      </c>
      <c r="C10592" t="s">
        <v>82</v>
      </c>
      <c r="D10592">
        <v>10</v>
      </c>
      <c r="E10592" t="s">
        <v>467</v>
      </c>
    </row>
    <row r="10593" spans="1:5" x14ac:dyDescent="0.35">
      <c r="A10593">
        <v>2021</v>
      </c>
      <c r="B10593" t="s">
        <v>34</v>
      </c>
      <c r="C10593" t="s">
        <v>111</v>
      </c>
      <c r="D10593">
        <v>267</v>
      </c>
      <c r="E10593" t="s">
        <v>466</v>
      </c>
    </row>
    <row r="10594" spans="1:5" x14ac:dyDescent="0.35">
      <c r="A10594">
        <v>2021</v>
      </c>
      <c r="B10594" t="s">
        <v>36</v>
      </c>
      <c r="C10594" t="s">
        <v>165</v>
      </c>
      <c r="D10594">
        <v>9</v>
      </c>
      <c r="E10594" t="s">
        <v>355</v>
      </c>
    </row>
    <row r="10595" spans="1:5" x14ac:dyDescent="0.35">
      <c r="A10595">
        <v>2021</v>
      </c>
      <c r="B10595" t="s">
        <v>35</v>
      </c>
      <c r="C10595" t="s">
        <v>112</v>
      </c>
      <c r="D10595">
        <v>473</v>
      </c>
      <c r="E10595" t="s">
        <v>466</v>
      </c>
    </row>
    <row r="10596" spans="1:5" x14ac:dyDescent="0.35">
      <c r="A10596">
        <v>2021</v>
      </c>
      <c r="B10596" t="s">
        <v>36</v>
      </c>
      <c r="C10596" t="s">
        <v>84</v>
      </c>
      <c r="D10596">
        <v>8</v>
      </c>
      <c r="E10596" t="s">
        <v>467</v>
      </c>
    </row>
    <row r="10597" spans="1:5" x14ac:dyDescent="0.35">
      <c r="A10597">
        <v>2021</v>
      </c>
      <c r="B10597" t="s">
        <v>36</v>
      </c>
      <c r="C10597" t="s">
        <v>113</v>
      </c>
      <c r="D10597">
        <v>2131</v>
      </c>
      <c r="E10597" t="s">
        <v>466</v>
      </c>
    </row>
    <row r="10598" spans="1:5" x14ac:dyDescent="0.35">
      <c r="A10598">
        <v>2021</v>
      </c>
      <c r="B10598" t="s">
        <v>35</v>
      </c>
      <c r="C10598" t="s">
        <v>196</v>
      </c>
      <c r="D10598">
        <v>14</v>
      </c>
      <c r="E10598" t="s">
        <v>328</v>
      </c>
    </row>
    <row r="10599" spans="1:5" x14ac:dyDescent="0.35">
      <c r="A10599">
        <v>2021</v>
      </c>
      <c r="B10599" t="s">
        <v>34</v>
      </c>
      <c r="C10599" t="s">
        <v>124</v>
      </c>
      <c r="D10599">
        <v>160</v>
      </c>
      <c r="E10599" t="s">
        <v>466</v>
      </c>
    </row>
    <row r="10600" spans="1:5" x14ac:dyDescent="0.35">
      <c r="A10600">
        <v>2021</v>
      </c>
      <c r="B10600" t="s">
        <v>36</v>
      </c>
      <c r="C10600" t="s">
        <v>85</v>
      </c>
      <c r="D10600">
        <v>399</v>
      </c>
      <c r="E10600" t="s">
        <v>467</v>
      </c>
    </row>
    <row r="10601" spans="1:5" x14ac:dyDescent="0.35">
      <c r="A10601">
        <v>2021</v>
      </c>
      <c r="B10601" t="s">
        <v>35</v>
      </c>
      <c r="C10601" t="s">
        <v>123</v>
      </c>
      <c r="D10601">
        <v>21</v>
      </c>
      <c r="E10601" t="s">
        <v>466</v>
      </c>
    </row>
    <row r="10602" spans="1:5" x14ac:dyDescent="0.35">
      <c r="A10602">
        <v>2021</v>
      </c>
      <c r="B10602" t="s">
        <v>35</v>
      </c>
      <c r="C10602" t="s">
        <v>196</v>
      </c>
      <c r="D10602">
        <v>69</v>
      </c>
      <c r="E10602" t="s">
        <v>355</v>
      </c>
    </row>
    <row r="10603" spans="1:5" x14ac:dyDescent="0.35">
      <c r="A10603">
        <v>2021</v>
      </c>
      <c r="B10603" t="s">
        <v>34</v>
      </c>
      <c r="C10603" t="s">
        <v>122</v>
      </c>
      <c r="D10603">
        <v>75</v>
      </c>
      <c r="E10603" t="s">
        <v>466</v>
      </c>
    </row>
    <row r="10604" spans="1:5" x14ac:dyDescent="0.35">
      <c r="A10604">
        <v>2021</v>
      </c>
      <c r="B10604" t="s">
        <v>38</v>
      </c>
      <c r="C10604" t="s">
        <v>86</v>
      </c>
      <c r="D10604">
        <v>228</v>
      </c>
      <c r="E10604" t="s">
        <v>467</v>
      </c>
    </row>
    <row r="10605" spans="1:5" x14ac:dyDescent="0.35">
      <c r="A10605">
        <v>2021</v>
      </c>
      <c r="B10605" t="s">
        <v>34</v>
      </c>
      <c r="C10605" t="s">
        <v>121</v>
      </c>
      <c r="D10605">
        <v>74</v>
      </c>
      <c r="E10605" t="s">
        <v>466</v>
      </c>
    </row>
    <row r="10606" spans="1:5" x14ac:dyDescent="0.35">
      <c r="A10606">
        <v>2021</v>
      </c>
      <c r="B10606" t="s">
        <v>33</v>
      </c>
      <c r="C10606" t="s">
        <v>195</v>
      </c>
      <c r="D10606">
        <v>3</v>
      </c>
      <c r="E10606" t="s">
        <v>328</v>
      </c>
    </row>
    <row r="10607" spans="1:5" x14ac:dyDescent="0.35">
      <c r="A10607">
        <v>2021</v>
      </c>
      <c r="B10607" t="s">
        <v>34</v>
      </c>
      <c r="C10607" t="s">
        <v>120</v>
      </c>
      <c r="D10607">
        <v>18</v>
      </c>
      <c r="E10607" t="s">
        <v>466</v>
      </c>
    </row>
    <row r="10608" spans="1:5" x14ac:dyDescent="0.35">
      <c r="A10608">
        <v>2021</v>
      </c>
      <c r="B10608" t="s">
        <v>33</v>
      </c>
      <c r="C10608" t="s">
        <v>87</v>
      </c>
      <c r="D10608">
        <v>43</v>
      </c>
      <c r="E10608" t="s">
        <v>467</v>
      </c>
    </row>
    <row r="10609" spans="1:5" x14ac:dyDescent="0.35">
      <c r="A10609">
        <v>2021</v>
      </c>
      <c r="B10609" t="s">
        <v>35</v>
      </c>
      <c r="C10609" t="s">
        <v>119</v>
      </c>
      <c r="D10609">
        <v>40</v>
      </c>
      <c r="E10609" t="s">
        <v>466</v>
      </c>
    </row>
    <row r="10610" spans="1:5" x14ac:dyDescent="0.35">
      <c r="A10610">
        <v>2021</v>
      </c>
      <c r="B10610" t="s">
        <v>33</v>
      </c>
      <c r="C10610" t="s">
        <v>195</v>
      </c>
      <c r="D10610">
        <v>8</v>
      </c>
      <c r="E10610" t="s">
        <v>355</v>
      </c>
    </row>
    <row r="10611" spans="1:5" x14ac:dyDescent="0.35">
      <c r="A10611">
        <v>2021</v>
      </c>
      <c r="B10611" t="s">
        <v>34</v>
      </c>
      <c r="C10611" t="s">
        <v>118</v>
      </c>
      <c r="D10611">
        <v>775</v>
      </c>
      <c r="E10611" t="s">
        <v>466</v>
      </c>
    </row>
    <row r="10612" spans="1:5" x14ac:dyDescent="0.35">
      <c r="A10612">
        <v>2021</v>
      </c>
      <c r="B10612" t="s">
        <v>36</v>
      </c>
      <c r="C10612" t="s">
        <v>16</v>
      </c>
      <c r="D10612">
        <v>313</v>
      </c>
      <c r="E10612" t="s">
        <v>467</v>
      </c>
    </row>
    <row r="10613" spans="1:5" x14ac:dyDescent="0.35">
      <c r="A10613">
        <v>2021</v>
      </c>
      <c r="B10613" t="s">
        <v>34</v>
      </c>
      <c r="C10613" t="s">
        <v>114</v>
      </c>
      <c r="D10613">
        <v>296</v>
      </c>
      <c r="E10613" t="s">
        <v>466</v>
      </c>
    </row>
    <row r="10614" spans="1:5" x14ac:dyDescent="0.35">
      <c r="A10614">
        <v>2021</v>
      </c>
      <c r="B10614" t="s">
        <v>34</v>
      </c>
      <c r="C10614" t="s">
        <v>194</v>
      </c>
      <c r="D10614">
        <v>0</v>
      </c>
      <c r="E10614" t="s">
        <v>355</v>
      </c>
    </row>
    <row r="10615" spans="1:5" x14ac:dyDescent="0.35">
      <c r="A10615">
        <v>2021</v>
      </c>
      <c r="B10615" t="s">
        <v>34</v>
      </c>
      <c r="C10615" t="s">
        <v>116</v>
      </c>
      <c r="D10615">
        <v>91</v>
      </c>
      <c r="E10615" t="s">
        <v>466</v>
      </c>
    </row>
    <row r="10616" spans="1:5" x14ac:dyDescent="0.35">
      <c r="A10616">
        <v>2021</v>
      </c>
      <c r="B10616" t="s">
        <v>33</v>
      </c>
      <c r="C10616" t="s">
        <v>148</v>
      </c>
      <c r="E10616" t="s">
        <v>467</v>
      </c>
    </row>
    <row r="10617" spans="1:5" x14ac:dyDescent="0.35">
      <c r="A10617">
        <v>2021</v>
      </c>
      <c r="B10617" t="s">
        <v>34</v>
      </c>
      <c r="C10617" t="s">
        <v>115</v>
      </c>
      <c r="D10617">
        <v>236</v>
      </c>
      <c r="E10617" t="s">
        <v>466</v>
      </c>
    </row>
    <row r="10618" spans="1:5" x14ac:dyDescent="0.35">
      <c r="A10618">
        <v>2021</v>
      </c>
      <c r="B10618" t="s">
        <v>34</v>
      </c>
      <c r="C10618" t="s">
        <v>193</v>
      </c>
      <c r="D10618">
        <v>16</v>
      </c>
      <c r="E10618" t="s">
        <v>328</v>
      </c>
    </row>
    <row r="10619" spans="1:5" x14ac:dyDescent="0.35">
      <c r="A10619">
        <v>2021</v>
      </c>
      <c r="B10619" t="s">
        <v>35</v>
      </c>
      <c r="C10619" t="s">
        <v>82</v>
      </c>
      <c r="D10619">
        <v>19</v>
      </c>
      <c r="E10619" t="s">
        <v>466</v>
      </c>
    </row>
    <row r="10620" spans="1:5" x14ac:dyDescent="0.35">
      <c r="A10620">
        <v>2021</v>
      </c>
      <c r="B10620" t="s">
        <v>33</v>
      </c>
      <c r="C10620" t="s">
        <v>89</v>
      </c>
      <c r="D10620">
        <v>8</v>
      </c>
      <c r="E10620" t="s">
        <v>467</v>
      </c>
    </row>
    <row r="10621" spans="1:5" x14ac:dyDescent="0.35">
      <c r="A10621">
        <v>2021</v>
      </c>
      <c r="B10621" t="s">
        <v>36</v>
      </c>
      <c r="C10621" t="s">
        <v>17</v>
      </c>
      <c r="D10621">
        <v>331397</v>
      </c>
      <c r="E10621" t="s">
        <v>466</v>
      </c>
    </row>
    <row r="10622" spans="1:5" x14ac:dyDescent="0.35">
      <c r="A10622">
        <v>2021</v>
      </c>
      <c r="B10622" t="s">
        <v>35</v>
      </c>
      <c r="C10622" t="s">
        <v>198</v>
      </c>
      <c r="D10622">
        <v>74</v>
      </c>
      <c r="E10622" t="s">
        <v>355</v>
      </c>
    </row>
    <row r="10623" spans="1:5" x14ac:dyDescent="0.35">
      <c r="A10623">
        <v>2021</v>
      </c>
      <c r="B10623" t="s">
        <v>36</v>
      </c>
      <c r="C10623" t="s">
        <v>104</v>
      </c>
      <c r="D10623">
        <v>50608</v>
      </c>
      <c r="E10623" t="s">
        <v>466</v>
      </c>
    </row>
    <row r="10624" spans="1:5" x14ac:dyDescent="0.35">
      <c r="A10624">
        <v>2021</v>
      </c>
      <c r="B10624" t="s">
        <v>35</v>
      </c>
      <c r="C10624" t="s">
        <v>90</v>
      </c>
      <c r="D10624">
        <v>11</v>
      </c>
      <c r="E10624" t="s">
        <v>467</v>
      </c>
    </row>
    <row r="10625" spans="1:5" x14ac:dyDescent="0.35">
      <c r="A10625">
        <v>2021</v>
      </c>
      <c r="B10625" t="s">
        <v>33</v>
      </c>
      <c r="C10625" t="s">
        <v>117</v>
      </c>
      <c r="D10625">
        <v>231</v>
      </c>
      <c r="E10625" t="s">
        <v>466</v>
      </c>
    </row>
    <row r="10626" spans="1:5" x14ac:dyDescent="0.35">
      <c r="A10626">
        <v>2021</v>
      </c>
      <c r="B10626" t="s">
        <v>34</v>
      </c>
      <c r="C10626" t="s">
        <v>193</v>
      </c>
      <c r="D10626">
        <v>82</v>
      </c>
      <c r="E10626" t="s">
        <v>355</v>
      </c>
    </row>
    <row r="10627" spans="1:5" x14ac:dyDescent="0.35">
      <c r="A10627">
        <v>2021</v>
      </c>
      <c r="B10627" t="s">
        <v>33</v>
      </c>
      <c r="C10627" t="s">
        <v>102</v>
      </c>
      <c r="D10627">
        <v>13</v>
      </c>
      <c r="E10627" t="s">
        <v>466</v>
      </c>
    </row>
    <row r="10628" spans="1:5" x14ac:dyDescent="0.35">
      <c r="A10628">
        <v>2021</v>
      </c>
      <c r="B10628" t="s">
        <v>34</v>
      </c>
      <c r="C10628" t="s">
        <v>80</v>
      </c>
      <c r="E10628" t="s">
        <v>467</v>
      </c>
    </row>
    <row r="10629" spans="1:5" x14ac:dyDescent="0.35">
      <c r="A10629">
        <v>2021</v>
      </c>
      <c r="B10629" t="s">
        <v>36</v>
      </c>
      <c r="C10629" t="s">
        <v>84</v>
      </c>
      <c r="D10629">
        <v>27</v>
      </c>
      <c r="E10629" t="s">
        <v>466</v>
      </c>
    </row>
    <row r="10630" spans="1:5" x14ac:dyDescent="0.35">
      <c r="A10630">
        <v>2021</v>
      </c>
      <c r="B10630" t="s">
        <v>33</v>
      </c>
      <c r="C10630" t="s">
        <v>192</v>
      </c>
      <c r="E10630" t="s">
        <v>355</v>
      </c>
    </row>
    <row r="10631" spans="1:5" x14ac:dyDescent="0.35">
      <c r="A10631">
        <v>2021</v>
      </c>
      <c r="B10631" t="s">
        <v>38</v>
      </c>
      <c r="C10631" t="s">
        <v>103</v>
      </c>
      <c r="D10631">
        <v>275</v>
      </c>
      <c r="E10631" t="s">
        <v>466</v>
      </c>
    </row>
    <row r="10632" spans="1:5" x14ac:dyDescent="0.35">
      <c r="A10632">
        <v>2021</v>
      </c>
      <c r="B10632" t="s">
        <v>33</v>
      </c>
      <c r="C10632" t="s">
        <v>91</v>
      </c>
      <c r="D10632">
        <v>17</v>
      </c>
      <c r="E10632" t="s">
        <v>467</v>
      </c>
    </row>
    <row r="10633" spans="1:5" x14ac:dyDescent="0.35">
      <c r="A10633">
        <v>2021</v>
      </c>
      <c r="B10633" t="s">
        <v>38</v>
      </c>
      <c r="C10633" t="s">
        <v>86</v>
      </c>
      <c r="D10633">
        <v>102575</v>
      </c>
      <c r="E10633" t="s">
        <v>466</v>
      </c>
    </row>
    <row r="10634" spans="1:5" x14ac:dyDescent="0.35">
      <c r="A10634">
        <v>2021</v>
      </c>
      <c r="B10634" t="s">
        <v>36</v>
      </c>
      <c r="C10634" t="s">
        <v>191</v>
      </c>
      <c r="D10634">
        <v>4</v>
      </c>
      <c r="E10634" t="s">
        <v>328</v>
      </c>
    </row>
    <row r="10635" spans="1:5" x14ac:dyDescent="0.35">
      <c r="A10635">
        <v>2021</v>
      </c>
      <c r="B10635" t="s">
        <v>33</v>
      </c>
      <c r="C10635" t="s">
        <v>87</v>
      </c>
      <c r="D10635">
        <v>206</v>
      </c>
      <c r="E10635" t="s">
        <v>466</v>
      </c>
    </row>
    <row r="10636" spans="1:5" x14ac:dyDescent="0.35">
      <c r="A10636">
        <v>2021</v>
      </c>
      <c r="B10636" t="s">
        <v>33</v>
      </c>
      <c r="C10636" t="s">
        <v>66</v>
      </c>
      <c r="D10636">
        <v>4</v>
      </c>
      <c r="E10636" t="s">
        <v>467</v>
      </c>
    </row>
    <row r="10637" spans="1:5" x14ac:dyDescent="0.35">
      <c r="A10637">
        <v>2021</v>
      </c>
      <c r="B10637" t="s">
        <v>36</v>
      </c>
      <c r="C10637" t="s">
        <v>16</v>
      </c>
      <c r="D10637">
        <v>104586</v>
      </c>
      <c r="E10637" t="s">
        <v>466</v>
      </c>
    </row>
    <row r="10638" spans="1:5" x14ac:dyDescent="0.35">
      <c r="A10638">
        <v>2021</v>
      </c>
      <c r="B10638" t="s">
        <v>36</v>
      </c>
      <c r="C10638" t="s">
        <v>191</v>
      </c>
      <c r="D10638">
        <v>52</v>
      </c>
      <c r="E10638" t="s">
        <v>355</v>
      </c>
    </row>
    <row r="10639" spans="1:5" x14ac:dyDescent="0.35">
      <c r="A10639">
        <v>2021</v>
      </c>
      <c r="B10639" t="s">
        <v>33</v>
      </c>
      <c r="C10639" t="s">
        <v>88</v>
      </c>
      <c r="D10639">
        <v>16</v>
      </c>
      <c r="E10639" t="s">
        <v>466</v>
      </c>
    </row>
    <row r="10640" spans="1:5" x14ac:dyDescent="0.35">
      <c r="A10640">
        <v>2021</v>
      </c>
      <c r="B10640" t="s">
        <v>34</v>
      </c>
      <c r="C10640" t="s">
        <v>64</v>
      </c>
      <c r="E10640" t="s">
        <v>467</v>
      </c>
    </row>
    <row r="10641" spans="1:5" x14ac:dyDescent="0.35">
      <c r="A10641">
        <v>2021</v>
      </c>
      <c r="B10641" t="s">
        <v>33</v>
      </c>
      <c r="C10641" t="s">
        <v>89</v>
      </c>
      <c r="D10641">
        <v>129</v>
      </c>
      <c r="E10641" t="s">
        <v>466</v>
      </c>
    </row>
    <row r="10642" spans="1:5" x14ac:dyDescent="0.35">
      <c r="A10642">
        <v>2021</v>
      </c>
      <c r="B10642" t="s">
        <v>37</v>
      </c>
      <c r="C10642" t="s">
        <v>190</v>
      </c>
      <c r="D10642">
        <v>0</v>
      </c>
      <c r="E10642" t="s">
        <v>355</v>
      </c>
    </row>
    <row r="10643" spans="1:5" x14ac:dyDescent="0.35">
      <c r="A10643">
        <v>2021</v>
      </c>
      <c r="B10643" t="s">
        <v>35</v>
      </c>
      <c r="C10643" t="s">
        <v>90</v>
      </c>
      <c r="D10643">
        <v>17</v>
      </c>
      <c r="E10643" t="s">
        <v>466</v>
      </c>
    </row>
    <row r="10644" spans="1:5" x14ac:dyDescent="0.35">
      <c r="A10644">
        <v>2021</v>
      </c>
      <c r="B10644" t="s">
        <v>34</v>
      </c>
      <c r="C10644" t="s">
        <v>40</v>
      </c>
      <c r="D10644">
        <v>9</v>
      </c>
      <c r="E10644" t="s">
        <v>467</v>
      </c>
    </row>
    <row r="10645" spans="1:5" x14ac:dyDescent="0.35">
      <c r="A10645">
        <v>2021</v>
      </c>
      <c r="B10645" t="s">
        <v>33</v>
      </c>
      <c r="C10645" t="s">
        <v>91</v>
      </c>
      <c r="D10645">
        <v>129</v>
      </c>
      <c r="E10645" t="s">
        <v>466</v>
      </c>
    </row>
    <row r="10646" spans="1:5" x14ac:dyDescent="0.35">
      <c r="A10646">
        <v>2021</v>
      </c>
      <c r="B10646" t="s">
        <v>33</v>
      </c>
      <c r="C10646" t="s">
        <v>189</v>
      </c>
      <c r="D10646">
        <v>5</v>
      </c>
      <c r="E10646" t="s">
        <v>328</v>
      </c>
    </row>
    <row r="10647" spans="1:5" x14ac:dyDescent="0.35">
      <c r="A10647">
        <v>2021</v>
      </c>
      <c r="B10647" t="s">
        <v>37</v>
      </c>
      <c r="C10647" t="s">
        <v>92</v>
      </c>
      <c r="D10647">
        <v>11</v>
      </c>
      <c r="E10647" t="s">
        <v>466</v>
      </c>
    </row>
    <row r="10648" spans="1:5" x14ac:dyDescent="0.35">
      <c r="A10648">
        <v>2021</v>
      </c>
      <c r="B10648" t="s">
        <v>35</v>
      </c>
      <c r="C10648" t="s">
        <v>41</v>
      </c>
      <c r="D10648">
        <v>22</v>
      </c>
      <c r="E10648" t="s">
        <v>467</v>
      </c>
    </row>
    <row r="10649" spans="1:5" x14ac:dyDescent="0.35">
      <c r="A10649">
        <v>2021</v>
      </c>
      <c r="B10649" t="s">
        <v>36</v>
      </c>
      <c r="C10649" t="s">
        <v>85</v>
      </c>
      <c r="D10649">
        <v>3934</v>
      </c>
      <c r="E10649" t="s">
        <v>466</v>
      </c>
    </row>
    <row r="10650" spans="1:5" x14ac:dyDescent="0.35">
      <c r="A10650">
        <v>2021</v>
      </c>
      <c r="B10650" t="s">
        <v>33</v>
      </c>
      <c r="C10650" t="s">
        <v>189</v>
      </c>
      <c r="D10650">
        <v>6</v>
      </c>
      <c r="E10650" t="s">
        <v>355</v>
      </c>
    </row>
    <row r="10651" spans="1:5" x14ac:dyDescent="0.35">
      <c r="A10651">
        <v>2021</v>
      </c>
      <c r="B10651" t="s">
        <v>35</v>
      </c>
      <c r="C10651" t="s">
        <v>94</v>
      </c>
      <c r="D10651">
        <v>581</v>
      </c>
      <c r="E10651" t="s">
        <v>466</v>
      </c>
    </row>
    <row r="10652" spans="1:5" x14ac:dyDescent="0.35">
      <c r="A10652">
        <v>2021</v>
      </c>
      <c r="B10652" t="s">
        <v>33</v>
      </c>
      <c r="C10652" t="s">
        <v>42</v>
      </c>
      <c r="E10652" t="s">
        <v>467</v>
      </c>
    </row>
    <row r="10653" spans="1:5" x14ac:dyDescent="0.35">
      <c r="A10653">
        <v>2021</v>
      </c>
      <c r="B10653" t="s">
        <v>35</v>
      </c>
      <c r="C10653" t="s">
        <v>93</v>
      </c>
      <c r="D10653">
        <v>11</v>
      </c>
      <c r="E10653" t="s">
        <v>466</v>
      </c>
    </row>
    <row r="10654" spans="1:5" x14ac:dyDescent="0.35">
      <c r="A10654">
        <v>2021</v>
      </c>
      <c r="B10654" t="s">
        <v>33</v>
      </c>
      <c r="C10654" t="s">
        <v>192</v>
      </c>
      <c r="E10654" t="s">
        <v>328</v>
      </c>
    </row>
    <row r="10655" spans="1:5" x14ac:dyDescent="0.35">
      <c r="A10655">
        <v>2021</v>
      </c>
      <c r="B10655" t="s">
        <v>33</v>
      </c>
      <c r="C10655" t="s">
        <v>101</v>
      </c>
      <c r="D10655">
        <v>273</v>
      </c>
      <c r="E10655" t="s">
        <v>466</v>
      </c>
    </row>
    <row r="10656" spans="1:5" x14ac:dyDescent="0.35">
      <c r="A10656">
        <v>2021</v>
      </c>
      <c r="B10656" t="s">
        <v>33</v>
      </c>
      <c r="C10656" t="s">
        <v>43</v>
      </c>
      <c r="D10656">
        <v>6</v>
      </c>
      <c r="E10656" t="s">
        <v>467</v>
      </c>
    </row>
    <row r="10657" spans="1:5" x14ac:dyDescent="0.35">
      <c r="A10657">
        <v>2021</v>
      </c>
      <c r="B10657" t="s">
        <v>36</v>
      </c>
      <c r="C10657" t="s">
        <v>100</v>
      </c>
      <c r="D10657">
        <v>13</v>
      </c>
      <c r="E10657" t="s">
        <v>466</v>
      </c>
    </row>
    <row r="10658" spans="1:5" x14ac:dyDescent="0.35">
      <c r="A10658">
        <v>2021</v>
      </c>
      <c r="B10658" t="s">
        <v>34</v>
      </c>
      <c r="C10658" t="s">
        <v>188</v>
      </c>
      <c r="D10658">
        <v>8</v>
      </c>
      <c r="E10658" t="s">
        <v>328</v>
      </c>
    </row>
    <row r="10659" spans="1:5" x14ac:dyDescent="0.35">
      <c r="A10659">
        <v>2021</v>
      </c>
      <c r="B10659" t="s">
        <v>35</v>
      </c>
      <c r="C10659" t="s">
        <v>99</v>
      </c>
      <c r="D10659">
        <v>48</v>
      </c>
      <c r="E10659" t="s">
        <v>466</v>
      </c>
    </row>
    <row r="10660" spans="1:5" x14ac:dyDescent="0.35">
      <c r="A10660">
        <v>2021</v>
      </c>
      <c r="B10660" t="s">
        <v>36</v>
      </c>
      <c r="C10660" t="s">
        <v>44</v>
      </c>
      <c r="D10660">
        <v>4</v>
      </c>
      <c r="E10660" t="s">
        <v>467</v>
      </c>
    </row>
    <row r="10661" spans="1:5" x14ac:dyDescent="0.35">
      <c r="A10661">
        <v>2021</v>
      </c>
      <c r="B10661" t="s">
        <v>36</v>
      </c>
      <c r="C10661" t="s">
        <v>15</v>
      </c>
      <c r="D10661">
        <v>293954</v>
      </c>
      <c r="E10661" t="s">
        <v>466</v>
      </c>
    </row>
    <row r="10662" spans="1:5" x14ac:dyDescent="0.35">
      <c r="A10662">
        <v>2021</v>
      </c>
      <c r="B10662" t="s">
        <v>35</v>
      </c>
      <c r="C10662" t="s">
        <v>198</v>
      </c>
      <c r="D10662">
        <v>15</v>
      </c>
      <c r="E10662" t="s">
        <v>328</v>
      </c>
    </row>
    <row r="10663" spans="1:5" x14ac:dyDescent="0.35">
      <c r="A10663">
        <v>2021</v>
      </c>
      <c r="B10663" t="s">
        <v>35</v>
      </c>
      <c r="C10663" t="s">
        <v>97</v>
      </c>
      <c r="D10663">
        <v>243</v>
      </c>
      <c r="E10663" t="s">
        <v>466</v>
      </c>
    </row>
    <row r="10664" spans="1:5" x14ac:dyDescent="0.35">
      <c r="A10664">
        <v>2021</v>
      </c>
      <c r="B10664" t="s">
        <v>38</v>
      </c>
      <c r="C10664" t="s">
        <v>45</v>
      </c>
      <c r="D10664">
        <v>72</v>
      </c>
      <c r="E10664" t="s">
        <v>467</v>
      </c>
    </row>
    <row r="10665" spans="1:5" x14ac:dyDescent="0.35">
      <c r="A10665">
        <v>2021</v>
      </c>
      <c r="B10665" t="s">
        <v>34</v>
      </c>
      <c r="C10665" t="s">
        <v>8</v>
      </c>
      <c r="D10665">
        <v>275</v>
      </c>
      <c r="E10665" t="s">
        <v>466</v>
      </c>
    </row>
    <row r="10666" spans="1:5" x14ac:dyDescent="0.35">
      <c r="A10666">
        <v>2021</v>
      </c>
      <c r="B10666" t="s">
        <v>39</v>
      </c>
      <c r="C10666" t="s">
        <v>39</v>
      </c>
      <c r="D10666">
        <v>6</v>
      </c>
      <c r="E10666" t="s">
        <v>328</v>
      </c>
    </row>
    <row r="10667" spans="1:5" x14ac:dyDescent="0.35">
      <c r="A10667">
        <v>2021</v>
      </c>
      <c r="B10667" t="s">
        <v>33</v>
      </c>
      <c r="C10667" t="s">
        <v>96</v>
      </c>
      <c r="D10667">
        <v>36</v>
      </c>
      <c r="E10667" t="s">
        <v>466</v>
      </c>
    </row>
    <row r="10668" spans="1:5" x14ac:dyDescent="0.35">
      <c r="A10668">
        <v>2021</v>
      </c>
      <c r="B10668" t="s">
        <v>34</v>
      </c>
      <c r="C10668" t="s">
        <v>46</v>
      </c>
      <c r="D10668">
        <v>33</v>
      </c>
      <c r="E10668" t="s">
        <v>467</v>
      </c>
    </row>
    <row r="10669" spans="1:5" x14ac:dyDescent="0.35">
      <c r="A10669">
        <v>2021</v>
      </c>
      <c r="B10669" t="s">
        <v>33</v>
      </c>
      <c r="C10669" t="s">
        <v>95</v>
      </c>
      <c r="D10669">
        <v>5</v>
      </c>
      <c r="E10669" t="s">
        <v>466</v>
      </c>
    </row>
    <row r="10670" spans="1:5" x14ac:dyDescent="0.35">
      <c r="A10670">
        <v>2021</v>
      </c>
      <c r="B10670" t="s">
        <v>33</v>
      </c>
      <c r="C10670" t="s">
        <v>117</v>
      </c>
      <c r="D10670">
        <v>11</v>
      </c>
      <c r="E10670" t="s">
        <v>328</v>
      </c>
    </row>
    <row r="10671" spans="1:5" x14ac:dyDescent="0.35">
      <c r="A10671">
        <v>2021</v>
      </c>
      <c r="B10671" t="s">
        <v>33</v>
      </c>
      <c r="C10671" t="s">
        <v>98</v>
      </c>
      <c r="D10671">
        <v>590</v>
      </c>
      <c r="E10671" t="s">
        <v>466</v>
      </c>
    </row>
    <row r="10672" spans="1:5" x14ac:dyDescent="0.35">
      <c r="A10672">
        <v>2021</v>
      </c>
      <c r="B10672" t="s">
        <v>37</v>
      </c>
      <c r="C10672" t="s">
        <v>47</v>
      </c>
      <c r="D10672">
        <v>98</v>
      </c>
      <c r="E10672" t="s">
        <v>467</v>
      </c>
    </row>
    <row r="10673" spans="1:5" x14ac:dyDescent="0.35">
      <c r="A10673">
        <v>2021</v>
      </c>
      <c r="B10673" t="s">
        <v>33</v>
      </c>
      <c r="C10673" t="s">
        <v>204</v>
      </c>
      <c r="D10673">
        <v>3</v>
      </c>
      <c r="E10673" t="s">
        <v>355</v>
      </c>
    </row>
    <row r="10674" spans="1:5" x14ac:dyDescent="0.35">
      <c r="A10674">
        <v>2021</v>
      </c>
      <c r="B10674" t="s">
        <v>35</v>
      </c>
      <c r="C10674" t="s">
        <v>48</v>
      </c>
      <c r="D10674">
        <v>24</v>
      </c>
      <c r="E10674" t="s">
        <v>467</v>
      </c>
    </row>
    <row r="10675" spans="1:5" x14ac:dyDescent="0.35">
      <c r="A10675">
        <v>2021</v>
      </c>
      <c r="B10675" t="s">
        <v>33</v>
      </c>
      <c r="C10675" t="s">
        <v>203</v>
      </c>
      <c r="E10675" t="s">
        <v>328</v>
      </c>
    </row>
    <row r="10676" spans="1:5" x14ac:dyDescent="0.35">
      <c r="A10676">
        <v>2021</v>
      </c>
      <c r="B10676" t="s">
        <v>34</v>
      </c>
      <c r="C10676" t="s">
        <v>49</v>
      </c>
      <c r="E10676" t="s">
        <v>467</v>
      </c>
    </row>
    <row r="10677" spans="1:5" x14ac:dyDescent="0.35">
      <c r="A10677">
        <v>2021</v>
      </c>
      <c r="B10677" t="s">
        <v>33</v>
      </c>
      <c r="C10677" t="s">
        <v>203</v>
      </c>
      <c r="E10677" t="s">
        <v>355</v>
      </c>
    </row>
    <row r="10678" spans="1:5" x14ac:dyDescent="0.35">
      <c r="A10678">
        <v>2021</v>
      </c>
      <c r="B10678" t="s">
        <v>33</v>
      </c>
      <c r="C10678" t="s">
        <v>65</v>
      </c>
      <c r="E10678" t="s">
        <v>467</v>
      </c>
    </row>
    <row r="10679" spans="1:5" x14ac:dyDescent="0.35">
      <c r="A10679">
        <v>2021</v>
      </c>
      <c r="B10679" t="s">
        <v>34</v>
      </c>
      <c r="C10679" t="s">
        <v>202</v>
      </c>
      <c r="E10679" t="s">
        <v>328</v>
      </c>
    </row>
    <row r="10680" spans="1:5" x14ac:dyDescent="0.35">
      <c r="A10680">
        <v>2021</v>
      </c>
      <c r="B10680" t="s">
        <v>36</v>
      </c>
      <c r="C10680" t="s">
        <v>50</v>
      </c>
      <c r="D10680">
        <v>469</v>
      </c>
      <c r="E10680" t="s">
        <v>467</v>
      </c>
    </row>
    <row r="10681" spans="1:5" x14ac:dyDescent="0.35">
      <c r="A10681">
        <v>2021</v>
      </c>
      <c r="B10681" t="s">
        <v>34</v>
      </c>
      <c r="C10681" t="s">
        <v>202</v>
      </c>
      <c r="E10681" t="s">
        <v>355</v>
      </c>
    </row>
    <row r="10682" spans="1:5" x14ac:dyDescent="0.35">
      <c r="A10682">
        <v>2021</v>
      </c>
      <c r="B10682" t="s">
        <v>34</v>
      </c>
      <c r="C10682" t="s">
        <v>52</v>
      </c>
      <c r="D10682">
        <v>29</v>
      </c>
      <c r="E10682" t="s">
        <v>467</v>
      </c>
    </row>
    <row r="10683" spans="1:5" x14ac:dyDescent="0.35">
      <c r="A10683">
        <v>2021</v>
      </c>
      <c r="B10683" t="s">
        <v>39</v>
      </c>
      <c r="C10683" t="s">
        <v>39</v>
      </c>
      <c r="D10683">
        <v>9</v>
      </c>
      <c r="E10683" t="s">
        <v>355</v>
      </c>
    </row>
    <row r="10684" spans="1:5" x14ac:dyDescent="0.35">
      <c r="A10684">
        <v>2021</v>
      </c>
      <c r="B10684" t="s">
        <v>36</v>
      </c>
      <c r="C10684" t="s">
        <v>53</v>
      </c>
      <c r="E10684" t="s">
        <v>467</v>
      </c>
    </row>
    <row r="10685" spans="1:5" x14ac:dyDescent="0.35">
      <c r="A10685">
        <v>2021</v>
      </c>
      <c r="B10685" t="s">
        <v>34</v>
      </c>
      <c r="C10685" t="s">
        <v>201</v>
      </c>
      <c r="D10685">
        <v>12</v>
      </c>
      <c r="E10685" t="s">
        <v>328</v>
      </c>
    </row>
    <row r="10686" spans="1:5" x14ac:dyDescent="0.35">
      <c r="A10686">
        <v>2021</v>
      </c>
      <c r="B10686" t="s">
        <v>35</v>
      </c>
      <c r="C10686" t="s">
        <v>54</v>
      </c>
      <c r="D10686">
        <v>3</v>
      </c>
      <c r="E10686" t="s">
        <v>467</v>
      </c>
    </row>
    <row r="10687" spans="1:5" x14ac:dyDescent="0.35">
      <c r="A10687">
        <v>2021</v>
      </c>
      <c r="B10687" t="s">
        <v>38</v>
      </c>
      <c r="C10687" t="s">
        <v>19</v>
      </c>
      <c r="D10687">
        <v>85</v>
      </c>
      <c r="E10687" t="s">
        <v>328</v>
      </c>
    </row>
    <row r="10688" spans="1:5" x14ac:dyDescent="0.35">
      <c r="A10688">
        <v>2021</v>
      </c>
      <c r="B10688" t="s">
        <v>35</v>
      </c>
      <c r="C10688" t="s">
        <v>55</v>
      </c>
      <c r="D10688">
        <v>27</v>
      </c>
      <c r="E10688" t="s">
        <v>467</v>
      </c>
    </row>
    <row r="10689" spans="1:5" x14ac:dyDescent="0.35">
      <c r="A10689">
        <v>2021</v>
      </c>
      <c r="B10689" t="s">
        <v>38</v>
      </c>
      <c r="C10689" t="s">
        <v>19</v>
      </c>
      <c r="D10689">
        <v>684</v>
      </c>
      <c r="E10689" t="s">
        <v>355</v>
      </c>
    </row>
    <row r="10690" spans="1:5" x14ac:dyDescent="0.35">
      <c r="A10690">
        <v>2021</v>
      </c>
      <c r="B10690" t="s">
        <v>36</v>
      </c>
      <c r="C10690" t="s">
        <v>56</v>
      </c>
      <c r="D10690">
        <v>8</v>
      </c>
      <c r="E10690" t="s">
        <v>467</v>
      </c>
    </row>
    <row r="10691" spans="1:5" x14ac:dyDescent="0.35">
      <c r="A10691">
        <v>2021</v>
      </c>
      <c r="B10691" t="s">
        <v>34</v>
      </c>
      <c r="C10691" t="s">
        <v>200</v>
      </c>
      <c r="D10691">
        <v>13</v>
      </c>
      <c r="E10691" t="s">
        <v>328</v>
      </c>
    </row>
    <row r="10692" spans="1:5" x14ac:dyDescent="0.35">
      <c r="A10692">
        <v>2021</v>
      </c>
      <c r="B10692" t="s">
        <v>33</v>
      </c>
      <c r="C10692" t="s">
        <v>57</v>
      </c>
      <c r="E10692" t="s">
        <v>467</v>
      </c>
    </row>
    <row r="10693" spans="1:5" x14ac:dyDescent="0.35">
      <c r="A10693">
        <v>2021</v>
      </c>
      <c r="B10693" t="s">
        <v>34</v>
      </c>
      <c r="C10693" t="s">
        <v>200</v>
      </c>
      <c r="D10693">
        <v>6</v>
      </c>
      <c r="E10693" t="s">
        <v>355</v>
      </c>
    </row>
    <row r="10694" spans="1:5" x14ac:dyDescent="0.35">
      <c r="A10694">
        <v>2021</v>
      </c>
      <c r="B10694" t="s">
        <v>38</v>
      </c>
      <c r="C10694" t="s">
        <v>59</v>
      </c>
      <c r="D10694">
        <v>20</v>
      </c>
      <c r="E10694" t="s">
        <v>467</v>
      </c>
    </row>
    <row r="10695" spans="1:5" x14ac:dyDescent="0.35">
      <c r="A10695">
        <v>2021</v>
      </c>
      <c r="B10695" t="s">
        <v>38</v>
      </c>
      <c r="C10695" t="s">
        <v>199</v>
      </c>
      <c r="D10695">
        <v>7</v>
      </c>
      <c r="E10695" t="s">
        <v>328</v>
      </c>
    </row>
    <row r="10696" spans="1:5" x14ac:dyDescent="0.35">
      <c r="A10696">
        <v>2021</v>
      </c>
      <c r="B10696" t="s">
        <v>35</v>
      </c>
      <c r="C10696" t="s">
        <v>60</v>
      </c>
      <c r="D10696">
        <v>7</v>
      </c>
      <c r="E10696" t="s">
        <v>467</v>
      </c>
    </row>
    <row r="10697" spans="1:5" x14ac:dyDescent="0.35">
      <c r="A10697">
        <v>2021</v>
      </c>
      <c r="B10697" t="s">
        <v>38</v>
      </c>
      <c r="C10697" t="s">
        <v>199</v>
      </c>
      <c r="D10697">
        <v>37</v>
      </c>
      <c r="E10697" t="s">
        <v>355</v>
      </c>
    </row>
    <row r="10698" spans="1:5" x14ac:dyDescent="0.35">
      <c r="A10698">
        <v>2021</v>
      </c>
      <c r="B10698" t="s">
        <v>38</v>
      </c>
      <c r="C10698" t="s">
        <v>21</v>
      </c>
      <c r="D10698">
        <v>410</v>
      </c>
      <c r="E10698" t="s">
        <v>467</v>
      </c>
    </row>
    <row r="10699" spans="1:5" x14ac:dyDescent="0.35">
      <c r="A10699">
        <v>2021</v>
      </c>
      <c r="B10699" t="s">
        <v>34</v>
      </c>
      <c r="C10699" t="s">
        <v>201</v>
      </c>
      <c r="D10699">
        <v>30</v>
      </c>
      <c r="E10699" t="s">
        <v>355</v>
      </c>
    </row>
    <row r="10700" spans="1:5" x14ac:dyDescent="0.35">
      <c r="A10700">
        <v>2021</v>
      </c>
      <c r="B10700" t="s">
        <v>33</v>
      </c>
      <c r="C10700" t="s">
        <v>63</v>
      </c>
      <c r="D10700">
        <v>5</v>
      </c>
      <c r="E10700" t="s">
        <v>467</v>
      </c>
    </row>
    <row r="10701" spans="1:5" x14ac:dyDescent="0.35">
      <c r="A10701">
        <v>2021</v>
      </c>
      <c r="B10701" t="s">
        <v>36</v>
      </c>
      <c r="C10701" t="s">
        <v>164</v>
      </c>
      <c r="E10701" t="s">
        <v>328</v>
      </c>
    </row>
    <row r="10702" spans="1:5" x14ac:dyDescent="0.35">
      <c r="A10702">
        <v>2021</v>
      </c>
      <c r="B10702" t="s">
        <v>34</v>
      </c>
      <c r="C10702" t="s">
        <v>51</v>
      </c>
      <c r="D10702">
        <v>4</v>
      </c>
      <c r="E10702" t="s">
        <v>467</v>
      </c>
    </row>
    <row r="10703" spans="1:5" x14ac:dyDescent="0.35">
      <c r="A10703">
        <v>2021</v>
      </c>
      <c r="B10703" t="s">
        <v>34</v>
      </c>
      <c r="C10703" t="s">
        <v>188</v>
      </c>
      <c r="D10703">
        <v>125</v>
      </c>
      <c r="E10703" t="s">
        <v>355</v>
      </c>
    </row>
    <row r="10704" spans="1:5" x14ac:dyDescent="0.35">
      <c r="A10704">
        <v>2021</v>
      </c>
      <c r="B10704" t="s">
        <v>37</v>
      </c>
      <c r="C10704" t="s">
        <v>92</v>
      </c>
      <c r="E10704" t="s">
        <v>467</v>
      </c>
    </row>
    <row r="10705" spans="1:5" x14ac:dyDescent="0.35">
      <c r="A10705">
        <v>2021</v>
      </c>
      <c r="B10705" t="s">
        <v>34</v>
      </c>
      <c r="C10705" t="s">
        <v>186</v>
      </c>
      <c r="D10705">
        <v>3</v>
      </c>
      <c r="E10705" t="s">
        <v>355</v>
      </c>
    </row>
    <row r="10706" spans="1:5" x14ac:dyDescent="0.35">
      <c r="A10706">
        <v>2021</v>
      </c>
      <c r="B10706" t="s">
        <v>35</v>
      </c>
      <c r="C10706" t="s">
        <v>62</v>
      </c>
      <c r="D10706">
        <v>7</v>
      </c>
      <c r="E10706" t="s">
        <v>467</v>
      </c>
    </row>
    <row r="10707" spans="1:5" x14ac:dyDescent="0.35">
      <c r="A10707">
        <v>2021</v>
      </c>
      <c r="B10707" t="s">
        <v>35</v>
      </c>
      <c r="C10707" t="s">
        <v>172</v>
      </c>
      <c r="E10707" t="s">
        <v>328</v>
      </c>
    </row>
    <row r="10708" spans="1:5" x14ac:dyDescent="0.35">
      <c r="A10708">
        <v>2021</v>
      </c>
      <c r="B10708" t="s">
        <v>35</v>
      </c>
      <c r="C10708" t="s">
        <v>94</v>
      </c>
      <c r="D10708">
        <v>197</v>
      </c>
      <c r="E10708" t="s">
        <v>467</v>
      </c>
    </row>
    <row r="10709" spans="1:5" x14ac:dyDescent="0.35">
      <c r="A10709">
        <v>2021</v>
      </c>
      <c r="B10709" t="s">
        <v>35</v>
      </c>
      <c r="C10709" t="s">
        <v>172</v>
      </c>
      <c r="E10709" t="s">
        <v>355</v>
      </c>
    </row>
    <row r="10710" spans="1:5" x14ac:dyDescent="0.35">
      <c r="A10710">
        <v>2021</v>
      </c>
      <c r="B10710" t="s">
        <v>34</v>
      </c>
      <c r="C10710" t="s">
        <v>116</v>
      </c>
      <c r="D10710">
        <v>22</v>
      </c>
      <c r="E10710" t="s">
        <v>467</v>
      </c>
    </row>
    <row r="10711" spans="1:5" x14ac:dyDescent="0.35">
      <c r="A10711">
        <v>2021</v>
      </c>
      <c r="B10711" t="s">
        <v>34</v>
      </c>
      <c r="C10711" t="s">
        <v>171</v>
      </c>
      <c r="D10711">
        <v>3</v>
      </c>
      <c r="E10711" t="s">
        <v>355</v>
      </c>
    </row>
    <row r="10712" spans="1:5" x14ac:dyDescent="0.35">
      <c r="A10712">
        <v>2021</v>
      </c>
      <c r="B10712" t="s">
        <v>34</v>
      </c>
      <c r="C10712" t="s">
        <v>115</v>
      </c>
      <c r="D10712">
        <v>79</v>
      </c>
      <c r="E10712" t="s">
        <v>467</v>
      </c>
    </row>
    <row r="10713" spans="1:5" x14ac:dyDescent="0.35">
      <c r="A10713">
        <v>2021</v>
      </c>
      <c r="B10713" t="s">
        <v>33</v>
      </c>
      <c r="C10713" t="s">
        <v>170</v>
      </c>
      <c r="D10713">
        <v>5</v>
      </c>
      <c r="E10713" t="s">
        <v>328</v>
      </c>
    </row>
    <row r="10714" spans="1:5" x14ac:dyDescent="0.35">
      <c r="A10714">
        <v>2021</v>
      </c>
      <c r="B10714" t="s">
        <v>34</v>
      </c>
      <c r="C10714" t="s">
        <v>114</v>
      </c>
      <c r="D10714">
        <v>244</v>
      </c>
      <c r="E10714" t="s">
        <v>467</v>
      </c>
    </row>
    <row r="10715" spans="1:5" x14ac:dyDescent="0.35">
      <c r="A10715">
        <v>2021</v>
      </c>
      <c r="B10715" t="s">
        <v>33</v>
      </c>
      <c r="C10715" t="s">
        <v>170</v>
      </c>
      <c r="D10715">
        <v>23</v>
      </c>
      <c r="E10715" t="s">
        <v>355</v>
      </c>
    </row>
    <row r="10716" spans="1:5" x14ac:dyDescent="0.35">
      <c r="A10716">
        <v>2021</v>
      </c>
      <c r="B10716" t="s">
        <v>36</v>
      </c>
      <c r="C10716" t="s">
        <v>113</v>
      </c>
      <c r="D10716">
        <v>190</v>
      </c>
      <c r="E10716" t="s">
        <v>467</v>
      </c>
    </row>
    <row r="10717" spans="1:5" x14ac:dyDescent="0.35">
      <c r="A10717">
        <v>2021</v>
      </c>
      <c r="B10717" t="s">
        <v>35</v>
      </c>
      <c r="C10717" t="s">
        <v>169</v>
      </c>
      <c r="D10717">
        <v>8</v>
      </c>
      <c r="E10717" t="s">
        <v>328</v>
      </c>
    </row>
    <row r="10718" spans="1:5" x14ac:dyDescent="0.35">
      <c r="A10718">
        <v>2021</v>
      </c>
      <c r="B10718" t="s">
        <v>35</v>
      </c>
      <c r="C10718" t="s">
        <v>112</v>
      </c>
      <c r="D10718">
        <v>335</v>
      </c>
      <c r="E10718" t="s">
        <v>467</v>
      </c>
    </row>
    <row r="10719" spans="1:5" x14ac:dyDescent="0.35">
      <c r="A10719">
        <v>2021</v>
      </c>
      <c r="B10719" t="s">
        <v>33</v>
      </c>
      <c r="C10719" t="s">
        <v>174</v>
      </c>
      <c r="E10719" t="s">
        <v>355</v>
      </c>
    </row>
    <row r="10720" spans="1:5" x14ac:dyDescent="0.35">
      <c r="A10720">
        <v>2021</v>
      </c>
      <c r="B10720" t="s">
        <v>34</v>
      </c>
      <c r="C10720" t="s">
        <v>111</v>
      </c>
      <c r="D10720">
        <v>65</v>
      </c>
      <c r="E10720" t="s">
        <v>467</v>
      </c>
    </row>
    <row r="10721" spans="1:5" x14ac:dyDescent="0.35">
      <c r="A10721">
        <v>2021</v>
      </c>
      <c r="B10721" t="s">
        <v>35</v>
      </c>
      <c r="C10721" t="s">
        <v>169</v>
      </c>
      <c r="D10721">
        <v>13</v>
      </c>
      <c r="E10721" t="s">
        <v>355</v>
      </c>
    </row>
    <row r="10722" spans="1:5" x14ac:dyDescent="0.35">
      <c r="A10722">
        <v>2021</v>
      </c>
      <c r="B10722" t="s">
        <v>35</v>
      </c>
      <c r="C10722" t="s">
        <v>110</v>
      </c>
      <c r="D10722">
        <v>87</v>
      </c>
      <c r="E10722" t="s">
        <v>467</v>
      </c>
    </row>
    <row r="10723" spans="1:5" x14ac:dyDescent="0.35">
      <c r="A10723">
        <v>2021</v>
      </c>
      <c r="B10723" t="s">
        <v>33</v>
      </c>
      <c r="C10723" t="s">
        <v>168</v>
      </c>
      <c r="D10723">
        <v>12</v>
      </c>
      <c r="E10723" t="s">
        <v>355</v>
      </c>
    </row>
    <row r="10724" spans="1:5" x14ac:dyDescent="0.35">
      <c r="A10724">
        <v>2021</v>
      </c>
      <c r="B10724" t="s">
        <v>34</v>
      </c>
      <c r="C10724" t="s">
        <v>109</v>
      </c>
      <c r="D10724">
        <v>20</v>
      </c>
      <c r="E10724" t="s">
        <v>467</v>
      </c>
    </row>
    <row r="10725" spans="1:5" x14ac:dyDescent="0.35">
      <c r="A10725">
        <v>2021</v>
      </c>
      <c r="B10725" t="s">
        <v>34</v>
      </c>
      <c r="C10725" t="s">
        <v>167</v>
      </c>
      <c r="D10725">
        <v>6</v>
      </c>
      <c r="E10725" t="s">
        <v>328</v>
      </c>
    </row>
    <row r="10726" spans="1:5" x14ac:dyDescent="0.35">
      <c r="A10726">
        <v>2021</v>
      </c>
      <c r="B10726" t="s">
        <v>34</v>
      </c>
      <c r="C10726" t="s">
        <v>108</v>
      </c>
      <c r="D10726">
        <v>38</v>
      </c>
      <c r="E10726" t="s">
        <v>467</v>
      </c>
    </row>
    <row r="10727" spans="1:5" x14ac:dyDescent="0.35">
      <c r="A10727">
        <v>2021</v>
      </c>
      <c r="B10727" t="s">
        <v>34</v>
      </c>
      <c r="C10727" t="s">
        <v>167</v>
      </c>
      <c r="D10727">
        <v>13</v>
      </c>
      <c r="E10727" t="s">
        <v>355</v>
      </c>
    </row>
    <row r="10728" spans="1:5" x14ac:dyDescent="0.35">
      <c r="A10728">
        <v>2021</v>
      </c>
      <c r="B10728" t="s">
        <v>34</v>
      </c>
      <c r="C10728" t="s">
        <v>107</v>
      </c>
      <c r="D10728">
        <v>39</v>
      </c>
      <c r="E10728" t="s">
        <v>467</v>
      </c>
    </row>
    <row r="10729" spans="1:5" x14ac:dyDescent="0.35">
      <c r="A10729">
        <v>2021</v>
      </c>
      <c r="B10729" t="s">
        <v>37</v>
      </c>
      <c r="C10729" t="s">
        <v>166</v>
      </c>
      <c r="E10729" t="s">
        <v>328</v>
      </c>
    </row>
    <row r="10730" spans="1:5" x14ac:dyDescent="0.35">
      <c r="A10730">
        <v>2021</v>
      </c>
      <c r="B10730" t="s">
        <v>33</v>
      </c>
      <c r="C10730" t="s">
        <v>117</v>
      </c>
      <c r="D10730">
        <v>44</v>
      </c>
      <c r="E10730" t="s">
        <v>467</v>
      </c>
    </row>
    <row r="10731" spans="1:5" x14ac:dyDescent="0.35">
      <c r="A10731">
        <v>2021</v>
      </c>
      <c r="B10731" t="s">
        <v>37</v>
      </c>
      <c r="C10731" t="s">
        <v>166</v>
      </c>
      <c r="E10731" t="s">
        <v>355</v>
      </c>
    </row>
    <row r="10732" spans="1:5" x14ac:dyDescent="0.35">
      <c r="A10732">
        <v>2021</v>
      </c>
      <c r="B10732" t="s">
        <v>35</v>
      </c>
      <c r="C10732" t="s">
        <v>97</v>
      </c>
      <c r="D10732">
        <v>169</v>
      </c>
      <c r="E10732" t="s">
        <v>467</v>
      </c>
    </row>
    <row r="10733" spans="1:5" x14ac:dyDescent="0.35">
      <c r="A10733">
        <v>2021</v>
      </c>
      <c r="B10733" t="s">
        <v>36</v>
      </c>
      <c r="C10733" t="s">
        <v>165</v>
      </c>
      <c r="D10733">
        <v>6</v>
      </c>
      <c r="E10733" t="s">
        <v>328</v>
      </c>
    </row>
    <row r="10734" spans="1:5" x14ac:dyDescent="0.35">
      <c r="A10734">
        <v>2021</v>
      </c>
      <c r="B10734" t="s">
        <v>35</v>
      </c>
      <c r="C10734" t="s">
        <v>105</v>
      </c>
      <c r="D10734">
        <v>43</v>
      </c>
      <c r="E10734" t="s">
        <v>467</v>
      </c>
    </row>
    <row r="10735" spans="1:5" x14ac:dyDescent="0.35">
      <c r="A10735">
        <v>2021</v>
      </c>
      <c r="B10735" t="s">
        <v>33</v>
      </c>
      <c r="C10735" t="s">
        <v>168</v>
      </c>
      <c r="D10735">
        <v>12</v>
      </c>
      <c r="E10735" t="s">
        <v>328</v>
      </c>
    </row>
    <row r="10736" spans="1:5" x14ac:dyDescent="0.35">
      <c r="A10736">
        <v>2021</v>
      </c>
      <c r="B10736" t="s">
        <v>36</v>
      </c>
      <c r="C10736" t="s">
        <v>17</v>
      </c>
      <c r="D10736">
        <v>340</v>
      </c>
      <c r="E10736" t="s">
        <v>467</v>
      </c>
    </row>
    <row r="10737" spans="1:5" x14ac:dyDescent="0.35">
      <c r="A10737">
        <v>2021</v>
      </c>
      <c r="B10737" t="s">
        <v>33</v>
      </c>
      <c r="C10737" t="s">
        <v>187</v>
      </c>
      <c r="D10737">
        <v>3</v>
      </c>
      <c r="E10737" t="s">
        <v>328</v>
      </c>
    </row>
    <row r="10738" spans="1:5" x14ac:dyDescent="0.35">
      <c r="A10738">
        <v>2021</v>
      </c>
      <c r="B10738" t="s">
        <v>36</v>
      </c>
      <c r="C10738" t="s">
        <v>104</v>
      </c>
      <c r="D10738">
        <v>69</v>
      </c>
      <c r="E10738" t="s">
        <v>467</v>
      </c>
    </row>
    <row r="10739" spans="1:5" x14ac:dyDescent="0.35">
      <c r="A10739">
        <v>2021</v>
      </c>
      <c r="B10739" t="s">
        <v>33</v>
      </c>
      <c r="C10739" t="s">
        <v>174</v>
      </c>
      <c r="E10739" t="s">
        <v>328</v>
      </c>
    </row>
    <row r="10740" spans="1:5" x14ac:dyDescent="0.35">
      <c r="A10740">
        <v>2021</v>
      </c>
      <c r="B10740" t="s">
        <v>38</v>
      </c>
      <c r="C10740" t="s">
        <v>103</v>
      </c>
      <c r="D10740">
        <v>53</v>
      </c>
      <c r="E10740" t="s">
        <v>467</v>
      </c>
    </row>
    <row r="10741" spans="1:5" x14ac:dyDescent="0.35">
      <c r="A10741">
        <v>2021</v>
      </c>
      <c r="B10741" t="s">
        <v>33</v>
      </c>
      <c r="C10741" t="s">
        <v>175</v>
      </c>
      <c r="D10741">
        <v>8</v>
      </c>
      <c r="E10741" t="s">
        <v>328</v>
      </c>
    </row>
    <row r="10742" spans="1:5" x14ac:dyDescent="0.35">
      <c r="A10742">
        <v>2021</v>
      </c>
      <c r="B10742" t="s">
        <v>33</v>
      </c>
      <c r="C10742" t="s">
        <v>101</v>
      </c>
      <c r="E10742" t="s">
        <v>467</v>
      </c>
    </row>
    <row r="10743" spans="1:5" x14ac:dyDescent="0.35">
      <c r="A10743">
        <v>2021</v>
      </c>
      <c r="B10743" t="s">
        <v>34</v>
      </c>
      <c r="C10743" t="s">
        <v>185</v>
      </c>
      <c r="D10743">
        <v>4</v>
      </c>
      <c r="E10743" t="s">
        <v>328</v>
      </c>
    </row>
    <row r="10744" spans="1:5" x14ac:dyDescent="0.35">
      <c r="A10744">
        <v>2021</v>
      </c>
      <c r="B10744" t="s">
        <v>36</v>
      </c>
      <c r="C10744" t="s">
        <v>15</v>
      </c>
      <c r="D10744">
        <v>752</v>
      </c>
      <c r="E10744" t="s">
        <v>467</v>
      </c>
    </row>
    <row r="10745" spans="1:5" x14ac:dyDescent="0.35">
      <c r="A10745">
        <v>2021</v>
      </c>
      <c r="B10745" t="s">
        <v>34</v>
      </c>
      <c r="C10745" t="s">
        <v>185</v>
      </c>
      <c r="D10745">
        <v>18</v>
      </c>
      <c r="E10745" t="s">
        <v>355</v>
      </c>
    </row>
    <row r="10746" spans="1:5" x14ac:dyDescent="0.35">
      <c r="A10746">
        <v>2021</v>
      </c>
      <c r="B10746" t="s">
        <v>36</v>
      </c>
      <c r="C10746" t="s">
        <v>100</v>
      </c>
      <c r="D10746">
        <v>5</v>
      </c>
      <c r="E10746" t="s">
        <v>467</v>
      </c>
    </row>
    <row r="10747" spans="1:5" x14ac:dyDescent="0.35">
      <c r="A10747">
        <v>2021</v>
      </c>
      <c r="B10747" t="s">
        <v>34</v>
      </c>
      <c r="C10747" t="s">
        <v>184</v>
      </c>
      <c r="E10747" t="s">
        <v>355</v>
      </c>
    </row>
    <row r="10748" spans="1:5" x14ac:dyDescent="0.35">
      <c r="A10748">
        <v>2021</v>
      </c>
      <c r="B10748" t="s">
        <v>35</v>
      </c>
      <c r="C10748" t="s">
        <v>99</v>
      </c>
      <c r="D10748">
        <v>21</v>
      </c>
      <c r="E10748" t="s">
        <v>467</v>
      </c>
    </row>
    <row r="10749" spans="1:5" x14ac:dyDescent="0.35">
      <c r="A10749">
        <v>2021</v>
      </c>
      <c r="B10749" t="s">
        <v>35</v>
      </c>
      <c r="C10749" t="s">
        <v>182</v>
      </c>
      <c r="E10749" t="s">
        <v>328</v>
      </c>
    </row>
    <row r="10750" spans="1:5" x14ac:dyDescent="0.35">
      <c r="A10750">
        <v>2021</v>
      </c>
      <c r="B10750" t="s">
        <v>33</v>
      </c>
      <c r="C10750" t="s">
        <v>98</v>
      </c>
      <c r="D10750">
        <v>20</v>
      </c>
      <c r="E10750" t="s">
        <v>467</v>
      </c>
    </row>
    <row r="10751" spans="1:5" x14ac:dyDescent="0.35">
      <c r="A10751">
        <v>2021</v>
      </c>
      <c r="B10751" t="s">
        <v>35</v>
      </c>
      <c r="C10751" t="s">
        <v>182</v>
      </c>
      <c r="E10751" t="s">
        <v>355</v>
      </c>
    </row>
    <row r="10752" spans="1:5" x14ac:dyDescent="0.35">
      <c r="A10752">
        <v>2021</v>
      </c>
      <c r="B10752" t="s">
        <v>35</v>
      </c>
      <c r="C10752" t="s">
        <v>93</v>
      </c>
      <c r="D10752">
        <v>7</v>
      </c>
      <c r="E10752" t="s">
        <v>467</v>
      </c>
    </row>
    <row r="10753" spans="1:5" x14ac:dyDescent="0.35">
      <c r="A10753">
        <v>2021</v>
      </c>
      <c r="B10753" t="s">
        <v>38</v>
      </c>
      <c r="C10753" t="s">
        <v>180</v>
      </c>
      <c r="E10753" t="s">
        <v>328</v>
      </c>
    </row>
    <row r="10754" spans="1:5" x14ac:dyDescent="0.35">
      <c r="A10754">
        <v>2021</v>
      </c>
      <c r="B10754" t="s">
        <v>35</v>
      </c>
      <c r="C10754" t="s">
        <v>106</v>
      </c>
      <c r="E10754" t="s">
        <v>467</v>
      </c>
    </row>
    <row r="10755" spans="1:5" x14ac:dyDescent="0.35">
      <c r="A10755">
        <v>2021</v>
      </c>
      <c r="B10755" t="s">
        <v>33</v>
      </c>
      <c r="C10755" t="s">
        <v>175</v>
      </c>
      <c r="D10755">
        <v>31</v>
      </c>
      <c r="E10755" t="s">
        <v>355</v>
      </c>
    </row>
    <row r="10756" spans="1:5" x14ac:dyDescent="0.35">
      <c r="A10756">
        <v>2021</v>
      </c>
      <c r="B10756" t="s">
        <v>34</v>
      </c>
      <c r="C10756" t="s">
        <v>118</v>
      </c>
      <c r="D10756">
        <v>580</v>
      </c>
      <c r="E10756" t="s">
        <v>467</v>
      </c>
    </row>
    <row r="10757" spans="1:5" x14ac:dyDescent="0.35">
      <c r="A10757">
        <v>2021</v>
      </c>
      <c r="B10757" t="s">
        <v>38</v>
      </c>
      <c r="C10757" t="s">
        <v>180</v>
      </c>
      <c r="E10757" t="s">
        <v>355</v>
      </c>
    </row>
    <row r="10758" spans="1:5" x14ac:dyDescent="0.35">
      <c r="A10758">
        <v>2021</v>
      </c>
      <c r="B10758" t="s">
        <v>34</v>
      </c>
      <c r="C10758" t="s">
        <v>22</v>
      </c>
      <c r="D10758">
        <v>460</v>
      </c>
      <c r="E10758" t="s">
        <v>467</v>
      </c>
    </row>
    <row r="10759" spans="1:5" x14ac:dyDescent="0.35">
      <c r="A10759">
        <v>2021</v>
      </c>
      <c r="B10759" t="s">
        <v>33</v>
      </c>
      <c r="C10759" t="s">
        <v>179</v>
      </c>
      <c r="E10759" t="s">
        <v>355</v>
      </c>
    </row>
    <row r="10760" spans="1:5" x14ac:dyDescent="0.35">
      <c r="A10760">
        <v>2021</v>
      </c>
      <c r="B10760" t="s">
        <v>34</v>
      </c>
      <c r="C10760" t="s">
        <v>120</v>
      </c>
      <c r="D10760">
        <v>8</v>
      </c>
      <c r="E10760" t="s">
        <v>467</v>
      </c>
    </row>
    <row r="10761" spans="1:5" x14ac:dyDescent="0.35">
      <c r="A10761">
        <v>2021</v>
      </c>
      <c r="B10761" t="s">
        <v>34</v>
      </c>
      <c r="C10761" t="s">
        <v>178</v>
      </c>
      <c r="D10761">
        <v>64</v>
      </c>
      <c r="E10761" t="s">
        <v>328</v>
      </c>
    </row>
    <row r="10762" spans="1:5" x14ac:dyDescent="0.35">
      <c r="A10762">
        <v>2021</v>
      </c>
      <c r="B10762" t="s">
        <v>35</v>
      </c>
      <c r="C10762" t="s">
        <v>119</v>
      </c>
      <c r="E10762" t="s">
        <v>467</v>
      </c>
    </row>
    <row r="10763" spans="1:5" x14ac:dyDescent="0.35">
      <c r="A10763">
        <v>2021</v>
      </c>
      <c r="B10763" t="s">
        <v>34</v>
      </c>
      <c r="C10763" t="s">
        <v>178</v>
      </c>
      <c r="D10763">
        <v>7</v>
      </c>
      <c r="E10763" t="s">
        <v>355</v>
      </c>
    </row>
    <row r="10764" spans="1:5" x14ac:dyDescent="0.35">
      <c r="A10764">
        <v>2021</v>
      </c>
      <c r="B10764" t="s">
        <v>33</v>
      </c>
      <c r="C10764" t="s">
        <v>95</v>
      </c>
      <c r="E10764" t="s">
        <v>467</v>
      </c>
    </row>
    <row r="10765" spans="1:5" x14ac:dyDescent="0.35">
      <c r="A10765">
        <v>2021</v>
      </c>
      <c r="B10765" t="s">
        <v>35</v>
      </c>
      <c r="C10765" t="s">
        <v>177</v>
      </c>
      <c r="D10765">
        <v>67</v>
      </c>
      <c r="E10765" t="s">
        <v>328</v>
      </c>
    </row>
    <row r="10766" spans="1:5" x14ac:dyDescent="0.35">
      <c r="A10766">
        <v>2021</v>
      </c>
      <c r="B10766" t="s">
        <v>33</v>
      </c>
      <c r="C10766" t="s">
        <v>96</v>
      </c>
      <c r="D10766">
        <v>3</v>
      </c>
      <c r="E10766" t="s">
        <v>467</v>
      </c>
    </row>
    <row r="10767" spans="1:5" x14ac:dyDescent="0.35">
      <c r="A10767">
        <v>2021</v>
      </c>
      <c r="B10767" t="s">
        <v>35</v>
      </c>
      <c r="C10767" t="s">
        <v>177</v>
      </c>
      <c r="D10767">
        <v>20</v>
      </c>
      <c r="E10767" t="s">
        <v>355</v>
      </c>
    </row>
    <row r="10768" spans="1:5" x14ac:dyDescent="0.35">
      <c r="A10768">
        <v>2021</v>
      </c>
      <c r="B10768" t="s">
        <v>34</v>
      </c>
      <c r="C10768" t="s">
        <v>8</v>
      </c>
      <c r="D10768">
        <v>12</v>
      </c>
      <c r="E10768" t="s">
        <v>467</v>
      </c>
    </row>
    <row r="10769" spans="1:5" x14ac:dyDescent="0.35">
      <c r="A10769">
        <v>2021</v>
      </c>
      <c r="B10769" t="s">
        <v>33</v>
      </c>
      <c r="C10769" t="s">
        <v>176</v>
      </c>
      <c r="D10769">
        <v>22</v>
      </c>
      <c r="E10769" t="s">
        <v>355</v>
      </c>
    </row>
    <row r="10770" spans="1:5" x14ac:dyDescent="0.35">
      <c r="A10770">
        <v>2021</v>
      </c>
      <c r="B10770" t="s">
        <v>37</v>
      </c>
      <c r="C10770" t="s">
        <v>146</v>
      </c>
      <c r="D10770">
        <v>30</v>
      </c>
      <c r="E10770" t="s">
        <v>467</v>
      </c>
    </row>
    <row r="10771" spans="1:5" x14ac:dyDescent="0.35">
      <c r="A10771">
        <v>2021</v>
      </c>
      <c r="B10771" t="s">
        <v>33</v>
      </c>
      <c r="C10771" t="s">
        <v>179</v>
      </c>
      <c r="E10771" t="s">
        <v>328</v>
      </c>
    </row>
    <row r="10772" spans="1:5" x14ac:dyDescent="0.35">
      <c r="A10772">
        <v>2021</v>
      </c>
      <c r="B10772" t="s">
        <v>35</v>
      </c>
      <c r="C10772" t="s">
        <v>145</v>
      </c>
      <c r="D10772">
        <v>195</v>
      </c>
      <c r="E10772" t="s">
        <v>467</v>
      </c>
    </row>
    <row r="10773" spans="1:5" x14ac:dyDescent="0.35">
      <c r="A10773">
        <v>2021</v>
      </c>
      <c r="B10773" t="s">
        <v>33</v>
      </c>
      <c r="C10773" t="s">
        <v>117</v>
      </c>
      <c r="D10773">
        <v>94</v>
      </c>
      <c r="E10773" t="s">
        <v>355</v>
      </c>
    </row>
    <row r="10774" spans="1:5" x14ac:dyDescent="0.35">
      <c r="A10774">
        <v>2021</v>
      </c>
      <c r="B10774" t="s">
        <v>33</v>
      </c>
      <c r="C10774" t="s">
        <v>141</v>
      </c>
      <c r="D10774">
        <v>10</v>
      </c>
      <c r="E10774" t="s">
        <v>467</v>
      </c>
    </row>
    <row r="10775" spans="1:5" x14ac:dyDescent="0.35">
      <c r="A10775">
        <v>2021</v>
      </c>
      <c r="B10775" t="s">
        <v>35</v>
      </c>
      <c r="C10775" t="s">
        <v>161</v>
      </c>
      <c r="D10775">
        <v>94</v>
      </c>
      <c r="E10775" t="s">
        <v>355</v>
      </c>
    </row>
    <row r="10776" spans="1:5" x14ac:dyDescent="0.35">
      <c r="A10776">
        <v>2021</v>
      </c>
      <c r="B10776" t="s">
        <v>35</v>
      </c>
      <c r="C10776" t="s">
        <v>140</v>
      </c>
      <c r="E10776" t="s">
        <v>467</v>
      </c>
    </row>
    <row r="10777" spans="1:5" x14ac:dyDescent="0.35">
      <c r="A10777">
        <v>2021</v>
      </c>
      <c r="B10777" t="s">
        <v>34</v>
      </c>
      <c r="C10777" t="s">
        <v>116</v>
      </c>
      <c r="D10777">
        <v>21</v>
      </c>
      <c r="E10777" t="s">
        <v>355</v>
      </c>
    </row>
    <row r="10778" spans="1:5" x14ac:dyDescent="0.35">
      <c r="A10778">
        <v>2021</v>
      </c>
      <c r="B10778" t="s">
        <v>34</v>
      </c>
      <c r="C10778" t="s">
        <v>139</v>
      </c>
      <c r="D10778">
        <v>14</v>
      </c>
      <c r="E10778" t="s">
        <v>467</v>
      </c>
    </row>
    <row r="10779" spans="1:5" x14ac:dyDescent="0.35">
      <c r="A10779">
        <v>2021</v>
      </c>
      <c r="B10779" t="s">
        <v>34</v>
      </c>
      <c r="C10779" t="s">
        <v>67</v>
      </c>
      <c r="E10779" t="s">
        <v>355</v>
      </c>
    </row>
    <row r="10780" spans="1:5" x14ac:dyDescent="0.35">
      <c r="A10780">
        <v>2021</v>
      </c>
      <c r="B10780" t="s">
        <v>35</v>
      </c>
      <c r="C10780" t="s">
        <v>138</v>
      </c>
      <c r="D10780">
        <v>12</v>
      </c>
      <c r="E10780" t="s">
        <v>467</v>
      </c>
    </row>
    <row r="10781" spans="1:5" x14ac:dyDescent="0.35">
      <c r="A10781">
        <v>2021</v>
      </c>
      <c r="B10781" t="s">
        <v>33</v>
      </c>
      <c r="C10781" t="s">
        <v>66</v>
      </c>
      <c r="E10781" t="s">
        <v>328</v>
      </c>
    </row>
    <row r="10782" spans="1:5" x14ac:dyDescent="0.35">
      <c r="A10782">
        <v>2021</v>
      </c>
      <c r="B10782" t="s">
        <v>37</v>
      </c>
      <c r="C10782" t="s">
        <v>137</v>
      </c>
      <c r="D10782">
        <v>4</v>
      </c>
      <c r="E10782" t="s">
        <v>467</v>
      </c>
    </row>
    <row r="10783" spans="1:5" x14ac:dyDescent="0.35">
      <c r="A10783">
        <v>2021</v>
      </c>
      <c r="B10783" t="s">
        <v>33</v>
      </c>
      <c r="C10783" t="s">
        <v>66</v>
      </c>
      <c r="E10783" t="s">
        <v>355</v>
      </c>
    </row>
    <row r="10784" spans="1:5" x14ac:dyDescent="0.35">
      <c r="A10784">
        <v>2021</v>
      </c>
      <c r="B10784" t="s">
        <v>34</v>
      </c>
      <c r="C10784" t="s">
        <v>144</v>
      </c>
      <c r="D10784">
        <v>22</v>
      </c>
      <c r="E10784" t="s">
        <v>467</v>
      </c>
    </row>
    <row r="10785" spans="1:5" x14ac:dyDescent="0.35">
      <c r="A10785">
        <v>2021</v>
      </c>
      <c r="B10785" t="s">
        <v>33</v>
      </c>
      <c r="C10785" t="s">
        <v>65</v>
      </c>
      <c r="E10785" t="s">
        <v>328</v>
      </c>
    </row>
    <row r="10786" spans="1:5" x14ac:dyDescent="0.35">
      <c r="A10786">
        <v>2021</v>
      </c>
      <c r="B10786" t="s">
        <v>33</v>
      </c>
      <c r="C10786" t="s">
        <v>136</v>
      </c>
      <c r="E10786" t="s">
        <v>467</v>
      </c>
    </row>
    <row r="10787" spans="1:5" x14ac:dyDescent="0.35">
      <c r="A10787">
        <v>2021</v>
      </c>
      <c r="B10787" t="s">
        <v>33</v>
      </c>
      <c r="C10787" t="s">
        <v>65</v>
      </c>
      <c r="E10787" t="s">
        <v>355</v>
      </c>
    </row>
    <row r="10788" spans="1:5" x14ac:dyDescent="0.35">
      <c r="A10788">
        <v>2021</v>
      </c>
      <c r="B10788" t="s">
        <v>34</v>
      </c>
      <c r="C10788" t="s">
        <v>121</v>
      </c>
      <c r="D10788">
        <v>10</v>
      </c>
      <c r="E10788" t="s">
        <v>467</v>
      </c>
    </row>
    <row r="10789" spans="1:5" x14ac:dyDescent="0.35">
      <c r="A10789">
        <v>2021</v>
      </c>
      <c r="B10789" t="s">
        <v>34</v>
      </c>
      <c r="C10789" t="s">
        <v>64</v>
      </c>
      <c r="D10789">
        <v>8</v>
      </c>
      <c r="E10789" t="s">
        <v>355</v>
      </c>
    </row>
    <row r="10790" spans="1:5" x14ac:dyDescent="0.35">
      <c r="A10790">
        <v>2021</v>
      </c>
      <c r="B10790" t="s">
        <v>36</v>
      </c>
      <c r="C10790" t="s">
        <v>14</v>
      </c>
      <c r="D10790">
        <v>30993</v>
      </c>
      <c r="E10790" t="s">
        <v>467</v>
      </c>
    </row>
    <row r="10791" spans="1:5" x14ac:dyDescent="0.35">
      <c r="A10791">
        <v>2021</v>
      </c>
      <c r="B10791" t="s">
        <v>33</v>
      </c>
      <c r="C10791" t="s">
        <v>68</v>
      </c>
      <c r="D10791">
        <v>8</v>
      </c>
      <c r="E10791" t="s">
        <v>355</v>
      </c>
    </row>
    <row r="10792" spans="1:5" x14ac:dyDescent="0.35">
      <c r="A10792">
        <v>2021</v>
      </c>
      <c r="B10792" t="s">
        <v>34</v>
      </c>
      <c r="C10792" t="s">
        <v>122</v>
      </c>
      <c r="E10792" t="s">
        <v>467</v>
      </c>
    </row>
    <row r="10793" spans="1:5" x14ac:dyDescent="0.35">
      <c r="A10793">
        <v>2021</v>
      </c>
      <c r="B10793" t="s">
        <v>33</v>
      </c>
      <c r="C10793" t="s">
        <v>63</v>
      </c>
      <c r="D10793">
        <v>4</v>
      </c>
      <c r="E10793" t="s">
        <v>328</v>
      </c>
    </row>
    <row r="10794" spans="1:5" x14ac:dyDescent="0.35">
      <c r="A10794">
        <v>2021</v>
      </c>
      <c r="B10794" t="s">
        <v>35</v>
      </c>
      <c r="C10794" t="s">
        <v>123</v>
      </c>
      <c r="D10794">
        <v>7</v>
      </c>
      <c r="E10794" t="s">
        <v>467</v>
      </c>
    </row>
    <row r="10795" spans="1:5" x14ac:dyDescent="0.35">
      <c r="A10795">
        <v>2021</v>
      </c>
      <c r="B10795" t="s">
        <v>35</v>
      </c>
      <c r="C10795" t="s">
        <v>62</v>
      </c>
      <c r="E10795" t="s">
        <v>328</v>
      </c>
    </row>
    <row r="10796" spans="1:5" x14ac:dyDescent="0.35">
      <c r="A10796">
        <v>2021</v>
      </c>
      <c r="B10796" t="s">
        <v>33</v>
      </c>
      <c r="C10796" t="s">
        <v>125</v>
      </c>
      <c r="E10796" t="s">
        <v>467</v>
      </c>
    </row>
    <row r="10797" spans="1:5" x14ac:dyDescent="0.35">
      <c r="A10797">
        <v>2021</v>
      </c>
      <c r="B10797" t="s">
        <v>35</v>
      </c>
      <c r="C10797" t="s">
        <v>62</v>
      </c>
      <c r="E10797" t="s">
        <v>355</v>
      </c>
    </row>
    <row r="10798" spans="1:5" x14ac:dyDescent="0.35">
      <c r="A10798">
        <v>2021</v>
      </c>
      <c r="B10798" t="s">
        <v>34</v>
      </c>
      <c r="C10798" t="s">
        <v>124</v>
      </c>
      <c r="D10798">
        <v>48</v>
      </c>
      <c r="E10798" t="s">
        <v>467</v>
      </c>
    </row>
    <row r="10799" spans="1:5" x14ac:dyDescent="0.35">
      <c r="A10799">
        <v>2021</v>
      </c>
      <c r="B10799" t="s">
        <v>38</v>
      </c>
      <c r="C10799" t="s">
        <v>21</v>
      </c>
      <c r="D10799">
        <v>1517</v>
      </c>
      <c r="E10799" t="s">
        <v>328</v>
      </c>
    </row>
    <row r="10800" spans="1:5" x14ac:dyDescent="0.35">
      <c r="A10800">
        <v>2021</v>
      </c>
      <c r="B10800" t="s">
        <v>35</v>
      </c>
      <c r="C10800" t="s">
        <v>127</v>
      </c>
      <c r="D10800">
        <v>32</v>
      </c>
      <c r="E10800" t="s">
        <v>467</v>
      </c>
    </row>
    <row r="10801" spans="1:5" x14ac:dyDescent="0.35">
      <c r="A10801">
        <v>2021</v>
      </c>
      <c r="B10801" t="s">
        <v>38</v>
      </c>
      <c r="C10801" t="s">
        <v>21</v>
      </c>
      <c r="D10801">
        <v>448</v>
      </c>
      <c r="E10801" t="s">
        <v>355</v>
      </c>
    </row>
    <row r="10802" spans="1:5" x14ac:dyDescent="0.35">
      <c r="A10802">
        <v>2021</v>
      </c>
      <c r="B10802" t="s">
        <v>33</v>
      </c>
      <c r="C10802" t="s">
        <v>129</v>
      </c>
      <c r="E10802" t="s">
        <v>467</v>
      </c>
    </row>
    <row r="10803" spans="1:5" x14ac:dyDescent="0.35">
      <c r="A10803">
        <v>2021</v>
      </c>
      <c r="B10803" t="s">
        <v>35</v>
      </c>
      <c r="C10803" t="s">
        <v>60</v>
      </c>
      <c r="E10803" t="s">
        <v>328</v>
      </c>
    </row>
    <row r="10804" spans="1:5" x14ac:dyDescent="0.35">
      <c r="A10804">
        <v>2021</v>
      </c>
      <c r="B10804" t="s">
        <v>34</v>
      </c>
      <c r="C10804" t="s">
        <v>131</v>
      </c>
      <c r="D10804">
        <v>8</v>
      </c>
      <c r="E10804" t="s">
        <v>467</v>
      </c>
    </row>
    <row r="10805" spans="1:5" x14ac:dyDescent="0.35">
      <c r="A10805">
        <v>2021</v>
      </c>
      <c r="B10805" t="s">
        <v>35</v>
      </c>
      <c r="C10805" t="s">
        <v>60</v>
      </c>
      <c r="E10805" t="s">
        <v>355</v>
      </c>
    </row>
    <row r="10806" spans="1:5" x14ac:dyDescent="0.35">
      <c r="A10806">
        <v>2021</v>
      </c>
      <c r="B10806" t="s">
        <v>33</v>
      </c>
      <c r="C10806" t="s">
        <v>132</v>
      </c>
      <c r="D10806">
        <v>3</v>
      </c>
      <c r="E10806" t="s">
        <v>467</v>
      </c>
    </row>
    <row r="10807" spans="1:5" x14ac:dyDescent="0.35">
      <c r="A10807">
        <v>2021</v>
      </c>
      <c r="B10807" t="s">
        <v>33</v>
      </c>
      <c r="C10807" t="s">
        <v>63</v>
      </c>
      <c r="D10807">
        <v>3</v>
      </c>
      <c r="E10807" t="s">
        <v>355</v>
      </c>
    </row>
    <row r="10808" spans="1:5" x14ac:dyDescent="0.35">
      <c r="A10808">
        <v>2021</v>
      </c>
      <c r="B10808" t="s">
        <v>33</v>
      </c>
      <c r="C10808" t="s">
        <v>126</v>
      </c>
      <c r="E10808" t="s">
        <v>467</v>
      </c>
    </row>
    <row r="10809" spans="1:5" x14ac:dyDescent="0.35">
      <c r="A10809">
        <v>2021</v>
      </c>
      <c r="B10809" t="s">
        <v>38</v>
      </c>
      <c r="C10809" t="s">
        <v>59</v>
      </c>
      <c r="D10809">
        <v>12</v>
      </c>
      <c r="E10809" t="s">
        <v>328</v>
      </c>
    </row>
    <row r="10810" spans="1:5" x14ac:dyDescent="0.35">
      <c r="A10810">
        <v>2021</v>
      </c>
      <c r="B10810" t="s">
        <v>33</v>
      </c>
      <c r="C10810" t="s">
        <v>68</v>
      </c>
      <c r="D10810">
        <v>76</v>
      </c>
      <c r="E10810" t="s">
        <v>328</v>
      </c>
    </row>
    <row r="10811" spans="1:5" x14ac:dyDescent="0.35">
      <c r="A10811">
        <v>2021</v>
      </c>
      <c r="B10811" t="s">
        <v>36</v>
      </c>
      <c r="C10811" t="s">
        <v>69</v>
      </c>
      <c r="D10811">
        <v>33</v>
      </c>
      <c r="E10811" t="s">
        <v>328</v>
      </c>
    </row>
    <row r="10812" spans="1:5" x14ac:dyDescent="0.35">
      <c r="A10812">
        <v>2021</v>
      </c>
      <c r="B10812" t="s">
        <v>33</v>
      </c>
      <c r="C10812" t="s">
        <v>77</v>
      </c>
      <c r="D10812">
        <v>6</v>
      </c>
      <c r="E10812" t="s">
        <v>355</v>
      </c>
    </row>
    <row r="10813" spans="1:5" x14ac:dyDescent="0.35">
      <c r="A10813">
        <v>2021</v>
      </c>
      <c r="B10813" t="s">
        <v>36</v>
      </c>
      <c r="C10813" t="s">
        <v>76</v>
      </c>
      <c r="D10813">
        <v>42</v>
      </c>
      <c r="E10813" t="s">
        <v>328</v>
      </c>
    </row>
    <row r="10814" spans="1:5" x14ac:dyDescent="0.35">
      <c r="A10814">
        <v>2021</v>
      </c>
      <c r="B10814" t="s">
        <v>36</v>
      </c>
      <c r="C10814" t="s">
        <v>76</v>
      </c>
      <c r="D10814">
        <v>260</v>
      </c>
      <c r="E10814" t="s">
        <v>355</v>
      </c>
    </row>
    <row r="10815" spans="1:5" x14ac:dyDescent="0.35">
      <c r="A10815">
        <v>2021</v>
      </c>
      <c r="B10815" t="s">
        <v>33</v>
      </c>
      <c r="C10815" t="s">
        <v>75</v>
      </c>
      <c r="E10815" t="s">
        <v>328</v>
      </c>
    </row>
    <row r="10816" spans="1:5" x14ac:dyDescent="0.35">
      <c r="A10816">
        <v>2021</v>
      </c>
      <c r="B10816" t="s">
        <v>33</v>
      </c>
      <c r="C10816" t="s">
        <v>75</v>
      </c>
      <c r="E10816" t="s">
        <v>355</v>
      </c>
    </row>
    <row r="10817" spans="1:5" x14ac:dyDescent="0.35">
      <c r="A10817">
        <v>2021</v>
      </c>
      <c r="B10817" t="s">
        <v>33</v>
      </c>
      <c r="C10817" t="s">
        <v>74</v>
      </c>
      <c r="D10817">
        <v>38</v>
      </c>
      <c r="E10817" t="s">
        <v>328</v>
      </c>
    </row>
    <row r="10818" spans="1:5" x14ac:dyDescent="0.35">
      <c r="A10818">
        <v>2021</v>
      </c>
      <c r="B10818" t="s">
        <v>36</v>
      </c>
      <c r="C10818" t="s">
        <v>69</v>
      </c>
      <c r="D10818">
        <v>416</v>
      </c>
      <c r="E10818" t="s">
        <v>355</v>
      </c>
    </row>
    <row r="10819" spans="1:5" x14ac:dyDescent="0.35">
      <c r="A10819">
        <v>2021</v>
      </c>
      <c r="B10819" t="s">
        <v>33</v>
      </c>
      <c r="C10819" t="s">
        <v>74</v>
      </c>
      <c r="D10819">
        <v>17</v>
      </c>
      <c r="E10819" t="s">
        <v>355</v>
      </c>
    </row>
    <row r="10820" spans="1:5" x14ac:dyDescent="0.35">
      <c r="A10820">
        <v>2021</v>
      </c>
      <c r="B10820" t="s">
        <v>38</v>
      </c>
      <c r="C10820" t="s">
        <v>20</v>
      </c>
      <c r="D10820">
        <v>2721</v>
      </c>
      <c r="E10820" t="s">
        <v>355</v>
      </c>
    </row>
    <row r="10821" spans="1:5" x14ac:dyDescent="0.35">
      <c r="A10821">
        <v>2021</v>
      </c>
      <c r="B10821" t="s">
        <v>34</v>
      </c>
      <c r="C10821" t="s">
        <v>73</v>
      </c>
      <c r="D10821">
        <v>69</v>
      </c>
      <c r="E10821" t="s">
        <v>328</v>
      </c>
    </row>
    <row r="10822" spans="1:5" x14ac:dyDescent="0.35">
      <c r="A10822">
        <v>2021</v>
      </c>
      <c r="B10822" t="s">
        <v>34</v>
      </c>
      <c r="C10822" t="s">
        <v>73</v>
      </c>
      <c r="D10822">
        <v>123</v>
      </c>
      <c r="E10822" t="s">
        <v>355</v>
      </c>
    </row>
    <row r="10823" spans="1:5" x14ac:dyDescent="0.35">
      <c r="A10823">
        <v>2021</v>
      </c>
      <c r="B10823" t="s">
        <v>38</v>
      </c>
      <c r="C10823" t="s">
        <v>72</v>
      </c>
      <c r="D10823">
        <v>92</v>
      </c>
      <c r="E10823" t="s">
        <v>328</v>
      </c>
    </row>
    <row r="10824" spans="1:5" x14ac:dyDescent="0.35">
      <c r="A10824">
        <v>2021</v>
      </c>
      <c r="B10824" t="s">
        <v>38</v>
      </c>
      <c r="C10824" t="s">
        <v>72</v>
      </c>
      <c r="D10824">
        <v>75</v>
      </c>
      <c r="E10824" t="s">
        <v>355</v>
      </c>
    </row>
    <row r="10825" spans="1:5" x14ac:dyDescent="0.35">
      <c r="A10825">
        <v>2021</v>
      </c>
      <c r="B10825" t="s">
        <v>33</v>
      </c>
      <c r="C10825" t="s">
        <v>71</v>
      </c>
      <c r="D10825">
        <v>0</v>
      </c>
      <c r="E10825" t="s">
        <v>355</v>
      </c>
    </row>
    <row r="10826" spans="1:5" x14ac:dyDescent="0.35">
      <c r="A10826">
        <v>2021</v>
      </c>
      <c r="B10826" t="s">
        <v>38</v>
      </c>
      <c r="C10826" t="s">
        <v>20</v>
      </c>
      <c r="D10826">
        <v>300</v>
      </c>
      <c r="E10826" t="s">
        <v>328</v>
      </c>
    </row>
    <row r="10827" spans="1:5" x14ac:dyDescent="0.35">
      <c r="A10827">
        <v>2021</v>
      </c>
      <c r="B10827" t="s">
        <v>33</v>
      </c>
      <c r="C10827" t="s">
        <v>77</v>
      </c>
      <c r="D10827">
        <v>5</v>
      </c>
      <c r="E10827" t="s">
        <v>328</v>
      </c>
    </row>
    <row r="10828" spans="1:5" x14ac:dyDescent="0.35">
      <c r="A10828">
        <v>2021</v>
      </c>
      <c r="B10828" t="s">
        <v>38</v>
      </c>
      <c r="C10828" t="s">
        <v>59</v>
      </c>
      <c r="D10828">
        <v>93</v>
      </c>
      <c r="E10828" t="s">
        <v>355</v>
      </c>
    </row>
    <row r="10829" spans="1:5" x14ac:dyDescent="0.35">
      <c r="A10829">
        <v>2021</v>
      </c>
      <c r="B10829" t="s">
        <v>33</v>
      </c>
      <c r="C10829" t="s">
        <v>57</v>
      </c>
      <c r="E10829" t="s">
        <v>355</v>
      </c>
    </row>
    <row r="10830" spans="1:5" x14ac:dyDescent="0.35">
      <c r="A10830">
        <v>2021</v>
      </c>
      <c r="B10830" t="s">
        <v>34</v>
      </c>
      <c r="C10830" t="s">
        <v>46</v>
      </c>
      <c r="D10830">
        <v>10</v>
      </c>
      <c r="E10830" t="s">
        <v>328</v>
      </c>
    </row>
    <row r="10831" spans="1:5" x14ac:dyDescent="0.35">
      <c r="A10831">
        <v>2021</v>
      </c>
      <c r="B10831" t="s">
        <v>34</v>
      </c>
      <c r="C10831" t="s">
        <v>46</v>
      </c>
      <c r="D10831">
        <v>57</v>
      </c>
      <c r="E10831" t="s">
        <v>355</v>
      </c>
    </row>
    <row r="10832" spans="1:5" x14ac:dyDescent="0.35">
      <c r="A10832">
        <v>2021</v>
      </c>
      <c r="B10832" t="s">
        <v>38</v>
      </c>
      <c r="C10832" t="s">
        <v>45</v>
      </c>
      <c r="D10832">
        <v>49</v>
      </c>
      <c r="E10832" t="s">
        <v>328</v>
      </c>
    </row>
    <row r="10833" spans="1:5" x14ac:dyDescent="0.35">
      <c r="A10833">
        <v>2021</v>
      </c>
      <c r="B10833" t="s">
        <v>38</v>
      </c>
      <c r="C10833" t="s">
        <v>45</v>
      </c>
      <c r="D10833">
        <v>431</v>
      </c>
      <c r="E10833" t="s">
        <v>355</v>
      </c>
    </row>
    <row r="10834" spans="1:5" x14ac:dyDescent="0.35">
      <c r="A10834">
        <v>2021</v>
      </c>
      <c r="B10834" t="s">
        <v>36</v>
      </c>
      <c r="C10834" t="s">
        <v>44</v>
      </c>
      <c r="D10834">
        <v>8</v>
      </c>
      <c r="E10834" t="s">
        <v>355</v>
      </c>
    </row>
    <row r="10835" spans="1:5" x14ac:dyDescent="0.35">
      <c r="A10835">
        <v>2021</v>
      </c>
      <c r="B10835" t="s">
        <v>33</v>
      </c>
      <c r="C10835" t="s">
        <v>43</v>
      </c>
      <c r="D10835">
        <v>8</v>
      </c>
      <c r="E10835" t="s">
        <v>328</v>
      </c>
    </row>
    <row r="10836" spans="1:5" x14ac:dyDescent="0.35">
      <c r="A10836">
        <v>2021</v>
      </c>
      <c r="B10836" t="s">
        <v>37</v>
      </c>
      <c r="C10836" t="s">
        <v>47</v>
      </c>
      <c r="D10836">
        <v>12</v>
      </c>
      <c r="E10836" t="s">
        <v>355</v>
      </c>
    </row>
    <row r="10837" spans="1:5" x14ac:dyDescent="0.35">
      <c r="A10837">
        <v>2021</v>
      </c>
      <c r="B10837" t="s">
        <v>33</v>
      </c>
      <c r="C10837" t="s">
        <v>43</v>
      </c>
      <c r="D10837">
        <v>0</v>
      </c>
      <c r="E10837" t="s">
        <v>355</v>
      </c>
    </row>
    <row r="10838" spans="1:5" x14ac:dyDescent="0.35">
      <c r="A10838">
        <v>2021</v>
      </c>
      <c r="C10838" t="s">
        <v>373</v>
      </c>
      <c r="D10838">
        <v>23</v>
      </c>
      <c r="E10838" t="s">
        <v>355</v>
      </c>
    </row>
    <row r="10839" spans="1:5" x14ac:dyDescent="0.35">
      <c r="A10839">
        <v>2021</v>
      </c>
      <c r="B10839" t="s">
        <v>33</v>
      </c>
      <c r="C10839" t="s">
        <v>42</v>
      </c>
      <c r="D10839">
        <v>5</v>
      </c>
      <c r="E10839" t="s">
        <v>355</v>
      </c>
    </row>
    <row r="10840" spans="1:5" x14ac:dyDescent="0.35">
      <c r="A10840">
        <v>2021</v>
      </c>
      <c r="B10840" t="s">
        <v>35</v>
      </c>
      <c r="C10840" t="s">
        <v>41</v>
      </c>
      <c r="D10840">
        <v>6</v>
      </c>
      <c r="E10840" t="s">
        <v>328</v>
      </c>
    </row>
    <row r="10841" spans="1:5" x14ac:dyDescent="0.35">
      <c r="A10841">
        <v>2021</v>
      </c>
      <c r="B10841" t="s">
        <v>35</v>
      </c>
      <c r="C10841" t="s">
        <v>41</v>
      </c>
      <c r="D10841">
        <v>11</v>
      </c>
      <c r="E10841" t="s">
        <v>355</v>
      </c>
    </row>
    <row r="10842" spans="1:5" x14ac:dyDescent="0.35">
      <c r="A10842">
        <v>2021</v>
      </c>
      <c r="B10842" t="s">
        <v>34</v>
      </c>
      <c r="C10842" t="s">
        <v>40</v>
      </c>
      <c r="E10842" t="s">
        <v>328</v>
      </c>
    </row>
    <row r="10843" spans="1:5" x14ac:dyDescent="0.35">
      <c r="A10843">
        <v>2021</v>
      </c>
      <c r="B10843" t="s">
        <v>34</v>
      </c>
      <c r="C10843" t="s">
        <v>116</v>
      </c>
      <c r="D10843">
        <v>9</v>
      </c>
      <c r="E10843" t="s">
        <v>328</v>
      </c>
    </row>
    <row r="10844" spans="1:5" x14ac:dyDescent="0.35">
      <c r="A10844">
        <v>2021</v>
      </c>
      <c r="C10844" t="s">
        <v>373</v>
      </c>
      <c r="D10844">
        <v>10</v>
      </c>
      <c r="E10844" t="s">
        <v>328</v>
      </c>
    </row>
    <row r="10845" spans="1:5" x14ac:dyDescent="0.35">
      <c r="A10845">
        <v>2021</v>
      </c>
      <c r="B10845" t="s">
        <v>33</v>
      </c>
      <c r="C10845" t="s">
        <v>57</v>
      </c>
      <c r="E10845" t="s">
        <v>328</v>
      </c>
    </row>
    <row r="10846" spans="1:5" x14ac:dyDescent="0.35">
      <c r="A10846">
        <v>2021</v>
      </c>
      <c r="B10846" t="s">
        <v>37</v>
      </c>
      <c r="C10846" t="s">
        <v>47</v>
      </c>
      <c r="D10846">
        <v>3</v>
      </c>
      <c r="E10846" t="s">
        <v>328</v>
      </c>
    </row>
    <row r="10847" spans="1:5" x14ac:dyDescent="0.35">
      <c r="A10847">
        <v>2021</v>
      </c>
      <c r="B10847" t="s">
        <v>35</v>
      </c>
      <c r="C10847" t="s">
        <v>48</v>
      </c>
      <c r="E10847" t="s">
        <v>328</v>
      </c>
    </row>
    <row r="10848" spans="1:5" x14ac:dyDescent="0.35">
      <c r="A10848">
        <v>2021</v>
      </c>
      <c r="B10848" t="s">
        <v>36</v>
      </c>
      <c r="C10848" t="s">
        <v>56</v>
      </c>
      <c r="D10848">
        <v>10</v>
      </c>
      <c r="E10848" t="s">
        <v>328</v>
      </c>
    </row>
    <row r="10849" spans="1:5" x14ac:dyDescent="0.35">
      <c r="A10849">
        <v>2021</v>
      </c>
      <c r="B10849" t="s">
        <v>36</v>
      </c>
      <c r="C10849" t="s">
        <v>56</v>
      </c>
      <c r="D10849">
        <v>66</v>
      </c>
      <c r="E10849" t="s">
        <v>355</v>
      </c>
    </row>
    <row r="10850" spans="1:5" x14ac:dyDescent="0.35">
      <c r="A10850">
        <v>2021</v>
      </c>
      <c r="B10850" t="s">
        <v>35</v>
      </c>
      <c r="C10850" t="s">
        <v>55</v>
      </c>
      <c r="E10850" t="s">
        <v>328</v>
      </c>
    </row>
    <row r="10851" spans="1:5" x14ac:dyDescent="0.35">
      <c r="A10851">
        <v>2021</v>
      </c>
      <c r="B10851" t="s">
        <v>35</v>
      </c>
      <c r="C10851" t="s">
        <v>55</v>
      </c>
      <c r="E10851" t="s">
        <v>355</v>
      </c>
    </row>
    <row r="10852" spans="1:5" x14ac:dyDescent="0.35">
      <c r="A10852">
        <v>2021</v>
      </c>
      <c r="B10852" t="s">
        <v>35</v>
      </c>
      <c r="C10852" t="s">
        <v>54</v>
      </c>
      <c r="E10852" t="s">
        <v>328</v>
      </c>
    </row>
    <row r="10853" spans="1:5" x14ac:dyDescent="0.35">
      <c r="A10853">
        <v>2021</v>
      </c>
      <c r="B10853" t="s">
        <v>35</v>
      </c>
      <c r="C10853" t="s">
        <v>54</v>
      </c>
      <c r="E10853" t="s">
        <v>355</v>
      </c>
    </row>
    <row r="10854" spans="1:5" x14ac:dyDescent="0.35">
      <c r="A10854">
        <v>2021</v>
      </c>
      <c r="B10854" t="s">
        <v>35</v>
      </c>
      <c r="C10854" t="s">
        <v>48</v>
      </c>
      <c r="E10854" t="s">
        <v>355</v>
      </c>
    </row>
    <row r="10855" spans="1:5" x14ac:dyDescent="0.35">
      <c r="A10855">
        <v>2021</v>
      </c>
      <c r="B10855" t="s">
        <v>36</v>
      </c>
      <c r="C10855" t="s">
        <v>53</v>
      </c>
      <c r="E10855" t="s">
        <v>328</v>
      </c>
    </row>
    <row r="10856" spans="1:5" x14ac:dyDescent="0.35">
      <c r="A10856">
        <v>2021</v>
      </c>
      <c r="B10856" t="s">
        <v>34</v>
      </c>
      <c r="C10856" t="s">
        <v>52</v>
      </c>
      <c r="D10856">
        <v>15</v>
      </c>
      <c r="E10856" t="s">
        <v>328</v>
      </c>
    </row>
    <row r="10857" spans="1:5" x14ac:dyDescent="0.35">
      <c r="A10857">
        <v>2021</v>
      </c>
      <c r="B10857" t="s">
        <v>34</v>
      </c>
      <c r="C10857" t="s">
        <v>52</v>
      </c>
      <c r="D10857">
        <v>13</v>
      </c>
      <c r="E10857" t="s">
        <v>355</v>
      </c>
    </row>
    <row r="10858" spans="1:5" x14ac:dyDescent="0.35">
      <c r="A10858">
        <v>2021</v>
      </c>
      <c r="B10858" t="s">
        <v>36</v>
      </c>
      <c r="C10858" t="s">
        <v>50</v>
      </c>
      <c r="D10858">
        <v>21</v>
      </c>
      <c r="E10858" t="s">
        <v>328</v>
      </c>
    </row>
    <row r="10859" spans="1:5" x14ac:dyDescent="0.35">
      <c r="A10859">
        <v>2021</v>
      </c>
      <c r="B10859" t="s">
        <v>36</v>
      </c>
      <c r="C10859" t="s">
        <v>50</v>
      </c>
      <c r="D10859">
        <v>77</v>
      </c>
      <c r="E10859" t="s">
        <v>355</v>
      </c>
    </row>
    <row r="10860" spans="1:5" x14ac:dyDescent="0.35">
      <c r="A10860">
        <v>2021</v>
      </c>
      <c r="B10860" t="s">
        <v>34</v>
      </c>
      <c r="C10860" t="s">
        <v>49</v>
      </c>
      <c r="E10860" t="s">
        <v>328</v>
      </c>
    </row>
    <row r="10861" spans="1:5" x14ac:dyDescent="0.35">
      <c r="A10861">
        <v>2021</v>
      </c>
      <c r="B10861" t="s">
        <v>34</v>
      </c>
      <c r="C10861" t="s">
        <v>49</v>
      </c>
      <c r="E10861" t="s">
        <v>355</v>
      </c>
    </row>
    <row r="10862" spans="1:5" x14ac:dyDescent="0.35">
      <c r="A10862">
        <v>2021</v>
      </c>
      <c r="B10862" t="s">
        <v>36</v>
      </c>
      <c r="C10862" t="s">
        <v>53</v>
      </c>
      <c r="E10862" t="s">
        <v>355</v>
      </c>
    </row>
    <row r="10863" spans="1:5" x14ac:dyDescent="0.35">
      <c r="A10863">
        <v>2021</v>
      </c>
      <c r="B10863" t="s">
        <v>35</v>
      </c>
      <c r="C10863" t="s">
        <v>78</v>
      </c>
      <c r="D10863">
        <v>6</v>
      </c>
      <c r="E10863" t="s">
        <v>355</v>
      </c>
    </row>
    <row r="10864" spans="1:5" x14ac:dyDescent="0.35">
      <c r="A10864">
        <v>2021</v>
      </c>
      <c r="B10864" t="s">
        <v>34</v>
      </c>
      <c r="C10864" t="s">
        <v>40</v>
      </c>
      <c r="E10864" t="s">
        <v>355</v>
      </c>
    </row>
    <row r="10865" spans="1:5" x14ac:dyDescent="0.35">
      <c r="A10865">
        <v>2021</v>
      </c>
      <c r="B10865" t="s">
        <v>36</v>
      </c>
      <c r="C10865" t="s">
        <v>79</v>
      </c>
      <c r="D10865">
        <v>27</v>
      </c>
      <c r="E10865" t="s">
        <v>355</v>
      </c>
    </row>
    <row r="10866" spans="1:5" x14ac:dyDescent="0.35">
      <c r="A10866">
        <v>2021</v>
      </c>
      <c r="B10866" t="s">
        <v>35</v>
      </c>
      <c r="C10866" t="s">
        <v>78</v>
      </c>
      <c r="D10866">
        <v>3</v>
      </c>
      <c r="E10866" t="s">
        <v>328</v>
      </c>
    </row>
    <row r="10867" spans="1:5" x14ac:dyDescent="0.35">
      <c r="A10867">
        <v>2021</v>
      </c>
      <c r="B10867" t="s">
        <v>34</v>
      </c>
      <c r="C10867" t="s">
        <v>22</v>
      </c>
      <c r="D10867">
        <v>534</v>
      </c>
      <c r="E10867" t="s">
        <v>355</v>
      </c>
    </row>
    <row r="10868" spans="1:5" x14ac:dyDescent="0.35">
      <c r="A10868">
        <v>2021</v>
      </c>
      <c r="B10868" t="s">
        <v>35</v>
      </c>
      <c r="C10868" t="s">
        <v>105</v>
      </c>
      <c r="D10868">
        <v>7</v>
      </c>
      <c r="E10868" t="s">
        <v>328</v>
      </c>
    </row>
    <row r="10869" spans="1:5" x14ac:dyDescent="0.35">
      <c r="A10869">
        <v>2021</v>
      </c>
      <c r="B10869" t="s">
        <v>35</v>
      </c>
      <c r="C10869" t="s">
        <v>105</v>
      </c>
      <c r="D10869">
        <v>13</v>
      </c>
      <c r="E10869" t="s">
        <v>355</v>
      </c>
    </row>
    <row r="10870" spans="1:5" x14ac:dyDescent="0.35">
      <c r="A10870">
        <v>2021</v>
      </c>
      <c r="B10870" t="s">
        <v>36</v>
      </c>
      <c r="C10870" t="s">
        <v>17</v>
      </c>
      <c r="D10870">
        <v>1856</v>
      </c>
      <c r="E10870" t="s">
        <v>328</v>
      </c>
    </row>
    <row r="10871" spans="1:5" x14ac:dyDescent="0.35">
      <c r="A10871">
        <v>2021</v>
      </c>
      <c r="B10871" t="s">
        <v>36</v>
      </c>
      <c r="C10871" t="s">
        <v>17</v>
      </c>
      <c r="D10871">
        <v>3197</v>
      </c>
      <c r="E10871" t="s">
        <v>355</v>
      </c>
    </row>
    <row r="10872" spans="1:5" x14ac:dyDescent="0.35">
      <c r="A10872">
        <v>2021</v>
      </c>
      <c r="B10872" t="s">
        <v>34</v>
      </c>
      <c r="C10872" t="s">
        <v>107</v>
      </c>
      <c r="D10872">
        <v>32</v>
      </c>
      <c r="E10872" t="s">
        <v>355</v>
      </c>
    </row>
    <row r="10873" spans="1:5" x14ac:dyDescent="0.35">
      <c r="A10873">
        <v>2021</v>
      </c>
      <c r="B10873" t="s">
        <v>36</v>
      </c>
      <c r="C10873" t="s">
        <v>104</v>
      </c>
      <c r="D10873">
        <v>195</v>
      </c>
      <c r="E10873" t="s">
        <v>328</v>
      </c>
    </row>
    <row r="10874" spans="1:5" x14ac:dyDescent="0.35">
      <c r="A10874">
        <v>2021</v>
      </c>
      <c r="B10874" t="s">
        <v>38</v>
      </c>
      <c r="C10874" t="s">
        <v>103</v>
      </c>
      <c r="D10874">
        <v>30</v>
      </c>
      <c r="E10874" t="s">
        <v>328</v>
      </c>
    </row>
    <row r="10875" spans="1:5" x14ac:dyDescent="0.35">
      <c r="A10875">
        <v>2021</v>
      </c>
      <c r="B10875" t="s">
        <v>38</v>
      </c>
      <c r="C10875" t="s">
        <v>103</v>
      </c>
      <c r="D10875">
        <v>137</v>
      </c>
      <c r="E10875" t="s">
        <v>355</v>
      </c>
    </row>
    <row r="10876" spans="1:5" x14ac:dyDescent="0.35">
      <c r="A10876">
        <v>2021</v>
      </c>
      <c r="B10876" t="s">
        <v>33</v>
      </c>
      <c r="C10876" t="s">
        <v>101</v>
      </c>
      <c r="D10876">
        <v>10</v>
      </c>
      <c r="E10876" t="s">
        <v>328</v>
      </c>
    </row>
    <row r="10877" spans="1:5" x14ac:dyDescent="0.35">
      <c r="A10877">
        <v>2021</v>
      </c>
      <c r="B10877" t="s">
        <v>33</v>
      </c>
      <c r="C10877" t="s">
        <v>101</v>
      </c>
      <c r="D10877">
        <v>16</v>
      </c>
      <c r="E10877" t="s">
        <v>355</v>
      </c>
    </row>
    <row r="10878" spans="1:5" x14ac:dyDescent="0.35">
      <c r="A10878">
        <v>2021</v>
      </c>
      <c r="B10878" t="s">
        <v>36</v>
      </c>
      <c r="C10878" t="s">
        <v>15</v>
      </c>
      <c r="D10878">
        <v>3317</v>
      </c>
      <c r="E10878" t="s">
        <v>328</v>
      </c>
    </row>
    <row r="10879" spans="1:5" x14ac:dyDescent="0.35">
      <c r="A10879">
        <v>2021</v>
      </c>
      <c r="B10879" t="s">
        <v>36</v>
      </c>
      <c r="C10879" t="s">
        <v>15</v>
      </c>
      <c r="D10879">
        <v>4406</v>
      </c>
      <c r="E10879" t="s">
        <v>355</v>
      </c>
    </row>
    <row r="10880" spans="1:5" x14ac:dyDescent="0.35">
      <c r="A10880">
        <v>2021</v>
      </c>
      <c r="B10880" t="s">
        <v>36</v>
      </c>
      <c r="C10880" t="s">
        <v>104</v>
      </c>
      <c r="D10880">
        <v>203</v>
      </c>
      <c r="E10880" t="s">
        <v>355</v>
      </c>
    </row>
    <row r="10881" spans="1:5" x14ac:dyDescent="0.35">
      <c r="A10881">
        <v>2021</v>
      </c>
      <c r="B10881" t="s">
        <v>36</v>
      </c>
      <c r="C10881" t="s">
        <v>100</v>
      </c>
      <c r="D10881">
        <v>3</v>
      </c>
      <c r="E10881" t="s">
        <v>355</v>
      </c>
    </row>
    <row r="10882" spans="1:5" x14ac:dyDescent="0.35">
      <c r="A10882">
        <v>2021</v>
      </c>
      <c r="B10882" t="s">
        <v>34</v>
      </c>
      <c r="C10882" t="s">
        <v>107</v>
      </c>
      <c r="D10882">
        <v>17</v>
      </c>
      <c r="E10882" t="s">
        <v>328</v>
      </c>
    </row>
    <row r="10883" spans="1:5" x14ac:dyDescent="0.35">
      <c r="A10883">
        <v>2021</v>
      </c>
      <c r="B10883" t="s">
        <v>34</v>
      </c>
      <c r="C10883" t="s">
        <v>108</v>
      </c>
      <c r="E10883" t="s">
        <v>328</v>
      </c>
    </row>
    <row r="10884" spans="1:5" x14ac:dyDescent="0.35">
      <c r="A10884">
        <v>2021</v>
      </c>
      <c r="B10884" t="s">
        <v>34</v>
      </c>
      <c r="C10884" t="s">
        <v>115</v>
      </c>
      <c r="D10884">
        <v>20</v>
      </c>
      <c r="E10884" t="s">
        <v>328</v>
      </c>
    </row>
    <row r="10885" spans="1:5" x14ac:dyDescent="0.35">
      <c r="A10885">
        <v>2021</v>
      </c>
      <c r="B10885" t="s">
        <v>34</v>
      </c>
      <c r="C10885" t="s">
        <v>115</v>
      </c>
      <c r="D10885">
        <v>65</v>
      </c>
      <c r="E10885" t="s">
        <v>355</v>
      </c>
    </row>
    <row r="10886" spans="1:5" x14ac:dyDescent="0.35">
      <c r="A10886">
        <v>2021</v>
      </c>
      <c r="B10886" t="s">
        <v>34</v>
      </c>
      <c r="C10886" t="s">
        <v>114</v>
      </c>
      <c r="D10886">
        <v>4</v>
      </c>
      <c r="E10886" t="s">
        <v>328</v>
      </c>
    </row>
    <row r="10887" spans="1:5" x14ac:dyDescent="0.35">
      <c r="A10887">
        <v>2021</v>
      </c>
      <c r="B10887" t="s">
        <v>34</v>
      </c>
      <c r="C10887" t="s">
        <v>114</v>
      </c>
      <c r="D10887">
        <v>9</v>
      </c>
      <c r="E10887" t="s">
        <v>355</v>
      </c>
    </row>
    <row r="10888" spans="1:5" x14ac:dyDescent="0.35">
      <c r="A10888">
        <v>2021</v>
      </c>
      <c r="B10888" t="s">
        <v>36</v>
      </c>
      <c r="C10888" t="s">
        <v>113</v>
      </c>
      <c r="D10888">
        <v>73</v>
      </c>
      <c r="E10888" t="s">
        <v>328</v>
      </c>
    </row>
    <row r="10889" spans="1:5" x14ac:dyDescent="0.35">
      <c r="A10889">
        <v>2021</v>
      </c>
      <c r="B10889" t="s">
        <v>36</v>
      </c>
      <c r="C10889" t="s">
        <v>113</v>
      </c>
      <c r="D10889">
        <v>1221</v>
      </c>
      <c r="E10889" t="s">
        <v>355</v>
      </c>
    </row>
    <row r="10890" spans="1:5" x14ac:dyDescent="0.35">
      <c r="A10890">
        <v>2021</v>
      </c>
      <c r="B10890" t="s">
        <v>34</v>
      </c>
      <c r="C10890" t="s">
        <v>108</v>
      </c>
      <c r="E10890" t="s">
        <v>355</v>
      </c>
    </row>
    <row r="10891" spans="1:5" x14ac:dyDescent="0.35">
      <c r="A10891">
        <v>2021</v>
      </c>
      <c r="B10891" t="s">
        <v>35</v>
      </c>
      <c r="C10891" t="s">
        <v>112</v>
      </c>
      <c r="D10891">
        <v>26</v>
      </c>
      <c r="E10891" t="s">
        <v>328</v>
      </c>
    </row>
    <row r="10892" spans="1:5" x14ac:dyDescent="0.35">
      <c r="A10892">
        <v>2021</v>
      </c>
      <c r="B10892" t="s">
        <v>34</v>
      </c>
      <c r="C10892" t="s">
        <v>111</v>
      </c>
      <c r="D10892">
        <v>10</v>
      </c>
      <c r="E10892" t="s">
        <v>328</v>
      </c>
    </row>
    <row r="10893" spans="1:5" x14ac:dyDescent="0.35">
      <c r="A10893">
        <v>2021</v>
      </c>
      <c r="B10893" t="s">
        <v>34</v>
      </c>
      <c r="C10893" t="s">
        <v>111</v>
      </c>
      <c r="D10893">
        <v>113</v>
      </c>
      <c r="E10893" t="s">
        <v>355</v>
      </c>
    </row>
    <row r="10894" spans="1:5" x14ac:dyDescent="0.35">
      <c r="A10894">
        <v>2021</v>
      </c>
      <c r="B10894" t="s">
        <v>35</v>
      </c>
      <c r="C10894" t="s">
        <v>110</v>
      </c>
      <c r="D10894">
        <v>5</v>
      </c>
      <c r="E10894" t="s">
        <v>328</v>
      </c>
    </row>
    <row r="10895" spans="1:5" x14ac:dyDescent="0.35">
      <c r="A10895">
        <v>2021</v>
      </c>
      <c r="B10895" t="s">
        <v>35</v>
      </c>
      <c r="C10895" t="s">
        <v>110</v>
      </c>
      <c r="D10895">
        <v>5</v>
      </c>
      <c r="E10895" t="s">
        <v>355</v>
      </c>
    </row>
    <row r="10896" spans="1:5" x14ac:dyDescent="0.35">
      <c r="A10896">
        <v>2021</v>
      </c>
      <c r="B10896" t="s">
        <v>34</v>
      </c>
      <c r="C10896" t="s">
        <v>109</v>
      </c>
      <c r="D10896">
        <v>10</v>
      </c>
      <c r="E10896" t="s">
        <v>328</v>
      </c>
    </row>
    <row r="10897" spans="1:5" x14ac:dyDescent="0.35">
      <c r="A10897">
        <v>2021</v>
      </c>
      <c r="B10897" t="s">
        <v>34</v>
      </c>
      <c r="C10897" t="s">
        <v>109</v>
      </c>
      <c r="D10897">
        <v>22</v>
      </c>
      <c r="E10897" t="s">
        <v>355</v>
      </c>
    </row>
    <row r="10898" spans="1:5" x14ac:dyDescent="0.35">
      <c r="A10898">
        <v>2021</v>
      </c>
      <c r="B10898" t="s">
        <v>35</v>
      </c>
      <c r="C10898" t="s">
        <v>112</v>
      </c>
      <c r="D10898">
        <v>21</v>
      </c>
      <c r="E10898" t="s">
        <v>355</v>
      </c>
    </row>
    <row r="10899" spans="1:5" x14ac:dyDescent="0.35">
      <c r="A10899">
        <v>2021</v>
      </c>
      <c r="B10899" t="s">
        <v>35</v>
      </c>
      <c r="C10899" t="s">
        <v>99</v>
      </c>
      <c r="D10899">
        <v>4</v>
      </c>
      <c r="E10899" t="s">
        <v>328</v>
      </c>
    </row>
    <row r="10900" spans="1:5" x14ac:dyDescent="0.35">
      <c r="A10900">
        <v>2021</v>
      </c>
      <c r="B10900" t="s">
        <v>34</v>
      </c>
      <c r="C10900" t="s">
        <v>22</v>
      </c>
      <c r="D10900">
        <v>178</v>
      </c>
      <c r="E10900" t="s">
        <v>328</v>
      </c>
    </row>
    <row r="10901" spans="1:5" x14ac:dyDescent="0.35">
      <c r="A10901">
        <v>2021</v>
      </c>
      <c r="B10901" t="s">
        <v>33</v>
      </c>
      <c r="C10901" t="s">
        <v>98</v>
      </c>
      <c r="D10901">
        <v>27</v>
      </c>
      <c r="E10901" t="s">
        <v>328</v>
      </c>
    </row>
    <row r="10902" spans="1:5" x14ac:dyDescent="0.35">
      <c r="A10902">
        <v>2021</v>
      </c>
      <c r="B10902" t="s">
        <v>33</v>
      </c>
      <c r="C10902" t="s">
        <v>88</v>
      </c>
      <c r="E10902" t="s">
        <v>355</v>
      </c>
    </row>
    <row r="10903" spans="1:5" x14ac:dyDescent="0.35">
      <c r="A10903">
        <v>2021</v>
      </c>
      <c r="B10903" t="s">
        <v>36</v>
      </c>
      <c r="C10903" t="s">
        <v>16</v>
      </c>
      <c r="D10903">
        <v>755</v>
      </c>
      <c r="E10903" t="s">
        <v>328</v>
      </c>
    </row>
    <row r="10904" spans="1:5" x14ac:dyDescent="0.35">
      <c r="A10904">
        <v>2021</v>
      </c>
      <c r="B10904" t="s">
        <v>36</v>
      </c>
      <c r="C10904" t="s">
        <v>16</v>
      </c>
      <c r="D10904">
        <v>2035</v>
      </c>
      <c r="E10904" t="s">
        <v>355</v>
      </c>
    </row>
    <row r="10905" spans="1:5" x14ac:dyDescent="0.35">
      <c r="A10905">
        <v>2021</v>
      </c>
      <c r="B10905" t="s">
        <v>33</v>
      </c>
      <c r="C10905" t="s">
        <v>87</v>
      </c>
      <c r="D10905">
        <v>28</v>
      </c>
      <c r="E10905" t="s">
        <v>328</v>
      </c>
    </row>
    <row r="10906" spans="1:5" x14ac:dyDescent="0.35">
      <c r="A10906">
        <v>2021</v>
      </c>
      <c r="B10906" t="s">
        <v>33</v>
      </c>
      <c r="C10906" t="s">
        <v>87</v>
      </c>
      <c r="D10906">
        <v>35</v>
      </c>
      <c r="E10906" t="s">
        <v>355</v>
      </c>
    </row>
    <row r="10907" spans="1:5" x14ac:dyDescent="0.35">
      <c r="A10907">
        <v>2021</v>
      </c>
      <c r="B10907" t="s">
        <v>38</v>
      </c>
      <c r="C10907" t="s">
        <v>86</v>
      </c>
      <c r="D10907">
        <v>1070</v>
      </c>
      <c r="E10907" t="s">
        <v>328</v>
      </c>
    </row>
    <row r="10908" spans="1:5" x14ac:dyDescent="0.35">
      <c r="A10908">
        <v>2021</v>
      </c>
      <c r="B10908" t="s">
        <v>33</v>
      </c>
      <c r="C10908" t="s">
        <v>88</v>
      </c>
      <c r="E10908" t="s">
        <v>328</v>
      </c>
    </row>
    <row r="10909" spans="1:5" x14ac:dyDescent="0.35">
      <c r="A10909">
        <v>2021</v>
      </c>
      <c r="B10909" t="s">
        <v>38</v>
      </c>
      <c r="C10909" t="s">
        <v>86</v>
      </c>
      <c r="D10909">
        <v>784</v>
      </c>
      <c r="E10909" t="s">
        <v>355</v>
      </c>
    </row>
    <row r="10910" spans="1:5" x14ac:dyDescent="0.35">
      <c r="A10910">
        <v>2021</v>
      </c>
      <c r="B10910" t="s">
        <v>36</v>
      </c>
      <c r="C10910" t="s">
        <v>85</v>
      </c>
      <c r="D10910">
        <v>1368</v>
      </c>
      <c r="E10910" t="s">
        <v>355</v>
      </c>
    </row>
    <row r="10911" spans="1:5" x14ac:dyDescent="0.35">
      <c r="A10911">
        <v>2021</v>
      </c>
      <c r="B10911" t="s">
        <v>36</v>
      </c>
      <c r="C10911" t="s">
        <v>84</v>
      </c>
      <c r="E10911" t="s">
        <v>328</v>
      </c>
    </row>
    <row r="10912" spans="1:5" x14ac:dyDescent="0.35">
      <c r="A10912">
        <v>2021</v>
      </c>
      <c r="B10912" t="s">
        <v>36</v>
      </c>
      <c r="C10912" t="s">
        <v>84</v>
      </c>
      <c r="E10912" t="s">
        <v>355</v>
      </c>
    </row>
    <row r="10913" spans="1:5" x14ac:dyDescent="0.35">
      <c r="A10913">
        <v>2021</v>
      </c>
      <c r="B10913" t="s">
        <v>35</v>
      </c>
      <c r="C10913" t="s">
        <v>81</v>
      </c>
      <c r="D10913">
        <v>7</v>
      </c>
      <c r="E10913" t="s">
        <v>328</v>
      </c>
    </row>
    <row r="10914" spans="1:5" x14ac:dyDescent="0.35">
      <c r="A10914">
        <v>2021</v>
      </c>
      <c r="B10914" t="s">
        <v>35</v>
      </c>
      <c r="C10914" t="s">
        <v>81</v>
      </c>
      <c r="D10914">
        <v>7</v>
      </c>
      <c r="E10914" t="s">
        <v>355</v>
      </c>
    </row>
    <row r="10915" spans="1:5" x14ac:dyDescent="0.35">
      <c r="A10915">
        <v>2021</v>
      </c>
      <c r="B10915" t="s">
        <v>35</v>
      </c>
      <c r="C10915" t="s">
        <v>99</v>
      </c>
      <c r="D10915">
        <v>4</v>
      </c>
      <c r="E10915" t="s">
        <v>355</v>
      </c>
    </row>
    <row r="10916" spans="1:5" x14ac:dyDescent="0.35">
      <c r="A10916">
        <v>2021</v>
      </c>
      <c r="B10916" t="s">
        <v>36</v>
      </c>
      <c r="C10916" t="s">
        <v>85</v>
      </c>
      <c r="D10916">
        <v>360</v>
      </c>
      <c r="E10916" t="s">
        <v>328</v>
      </c>
    </row>
    <row r="10917" spans="1:5" x14ac:dyDescent="0.35">
      <c r="A10917">
        <v>2021</v>
      </c>
      <c r="B10917" t="s">
        <v>33</v>
      </c>
      <c r="C10917" t="s">
        <v>89</v>
      </c>
      <c r="E10917" t="s">
        <v>355</v>
      </c>
    </row>
    <row r="10918" spans="1:5" x14ac:dyDescent="0.35">
      <c r="A10918">
        <v>2021</v>
      </c>
      <c r="B10918" t="s">
        <v>36</v>
      </c>
      <c r="C10918" t="s">
        <v>79</v>
      </c>
      <c r="D10918">
        <v>71</v>
      </c>
      <c r="E10918" t="s">
        <v>328</v>
      </c>
    </row>
    <row r="10919" spans="1:5" x14ac:dyDescent="0.35">
      <c r="A10919">
        <v>2021</v>
      </c>
      <c r="B10919" t="s">
        <v>35</v>
      </c>
      <c r="C10919" t="s">
        <v>90</v>
      </c>
      <c r="D10919">
        <v>5</v>
      </c>
      <c r="E10919" t="s">
        <v>355</v>
      </c>
    </row>
    <row r="10920" spans="1:5" x14ac:dyDescent="0.35">
      <c r="A10920">
        <v>2021</v>
      </c>
      <c r="B10920" t="s">
        <v>33</v>
      </c>
      <c r="C10920" t="s">
        <v>98</v>
      </c>
      <c r="D10920">
        <v>58</v>
      </c>
      <c r="E10920" t="s">
        <v>355</v>
      </c>
    </row>
    <row r="10921" spans="1:5" x14ac:dyDescent="0.35">
      <c r="A10921">
        <v>2021</v>
      </c>
      <c r="B10921" t="s">
        <v>35</v>
      </c>
      <c r="C10921" t="s">
        <v>97</v>
      </c>
      <c r="D10921">
        <v>9</v>
      </c>
      <c r="E10921" t="s">
        <v>328</v>
      </c>
    </row>
    <row r="10922" spans="1:5" x14ac:dyDescent="0.35">
      <c r="A10922">
        <v>2021</v>
      </c>
      <c r="B10922" t="s">
        <v>35</v>
      </c>
      <c r="C10922" t="s">
        <v>97</v>
      </c>
      <c r="D10922">
        <v>19</v>
      </c>
      <c r="E10922" t="s">
        <v>355</v>
      </c>
    </row>
    <row r="10923" spans="1:5" x14ac:dyDescent="0.35">
      <c r="A10923">
        <v>2021</v>
      </c>
      <c r="B10923" t="s">
        <v>34</v>
      </c>
      <c r="C10923" t="s">
        <v>8</v>
      </c>
      <c r="D10923">
        <v>3</v>
      </c>
      <c r="E10923" t="s">
        <v>328</v>
      </c>
    </row>
    <row r="10924" spans="1:5" x14ac:dyDescent="0.35">
      <c r="A10924">
        <v>2021</v>
      </c>
      <c r="B10924" t="s">
        <v>33</v>
      </c>
      <c r="C10924" t="s">
        <v>89</v>
      </c>
      <c r="E10924" t="s">
        <v>328</v>
      </c>
    </row>
    <row r="10925" spans="1:5" x14ac:dyDescent="0.35">
      <c r="A10925">
        <v>2021</v>
      </c>
      <c r="B10925" t="s">
        <v>33</v>
      </c>
      <c r="C10925" t="s">
        <v>96</v>
      </c>
      <c r="D10925">
        <v>4</v>
      </c>
      <c r="E10925" t="s">
        <v>328</v>
      </c>
    </row>
    <row r="10926" spans="1:5" x14ac:dyDescent="0.35">
      <c r="A10926">
        <v>2021</v>
      </c>
      <c r="B10926" t="s">
        <v>33</v>
      </c>
      <c r="C10926" t="s">
        <v>96</v>
      </c>
      <c r="D10926">
        <v>12</v>
      </c>
      <c r="E10926" t="s">
        <v>355</v>
      </c>
    </row>
    <row r="10927" spans="1:5" x14ac:dyDescent="0.35">
      <c r="A10927">
        <v>2021</v>
      </c>
      <c r="B10927" t="s">
        <v>34</v>
      </c>
      <c r="C10927" t="s">
        <v>8</v>
      </c>
      <c r="D10927">
        <v>15</v>
      </c>
      <c r="E10927" t="s">
        <v>355</v>
      </c>
    </row>
    <row r="10928" spans="1:5" x14ac:dyDescent="0.35">
      <c r="A10928">
        <v>2021</v>
      </c>
      <c r="B10928" t="s">
        <v>33</v>
      </c>
      <c r="C10928" t="s">
        <v>95</v>
      </c>
      <c r="E10928" t="s">
        <v>355</v>
      </c>
    </row>
    <row r="10929" spans="1:5" x14ac:dyDescent="0.35">
      <c r="A10929">
        <v>2021</v>
      </c>
      <c r="B10929" t="s">
        <v>35</v>
      </c>
      <c r="C10929" t="s">
        <v>94</v>
      </c>
      <c r="D10929">
        <v>14</v>
      </c>
      <c r="E10929" t="s">
        <v>328</v>
      </c>
    </row>
    <row r="10930" spans="1:5" x14ac:dyDescent="0.35">
      <c r="A10930">
        <v>2021</v>
      </c>
      <c r="B10930" t="s">
        <v>35</v>
      </c>
      <c r="C10930" t="s">
        <v>94</v>
      </c>
      <c r="D10930">
        <v>7</v>
      </c>
      <c r="E10930" t="s">
        <v>355</v>
      </c>
    </row>
    <row r="10931" spans="1:5" x14ac:dyDescent="0.35">
      <c r="A10931">
        <v>2021</v>
      </c>
      <c r="B10931" t="s">
        <v>37</v>
      </c>
      <c r="C10931" t="s">
        <v>92</v>
      </c>
      <c r="D10931">
        <v>4</v>
      </c>
      <c r="E10931" t="s">
        <v>355</v>
      </c>
    </row>
    <row r="10932" spans="1:5" x14ac:dyDescent="0.35">
      <c r="A10932">
        <v>2021</v>
      </c>
      <c r="B10932" t="s">
        <v>33</v>
      </c>
      <c r="C10932" t="s">
        <v>91</v>
      </c>
      <c r="D10932">
        <v>7</v>
      </c>
      <c r="E10932" t="s">
        <v>328</v>
      </c>
    </row>
    <row r="10933" spans="1:5" x14ac:dyDescent="0.35">
      <c r="A10933">
        <v>2021</v>
      </c>
      <c r="B10933" t="s">
        <v>33</v>
      </c>
      <c r="C10933" t="s">
        <v>91</v>
      </c>
      <c r="D10933">
        <v>32</v>
      </c>
      <c r="E10933" t="s">
        <v>355</v>
      </c>
    </row>
    <row r="10934" spans="1:5" x14ac:dyDescent="0.35">
      <c r="A10934">
        <v>2021</v>
      </c>
      <c r="B10934" t="s">
        <v>33</v>
      </c>
      <c r="C10934" t="s">
        <v>95</v>
      </c>
      <c r="E10934" t="s">
        <v>328</v>
      </c>
    </row>
    <row r="10935" spans="1:5" x14ac:dyDescent="0.35">
      <c r="A10935">
        <v>2022</v>
      </c>
      <c r="B10935" t="s">
        <v>38</v>
      </c>
      <c r="C10935" t="s">
        <v>156</v>
      </c>
      <c r="D10935">
        <v>55677</v>
      </c>
      <c r="E10935" t="s">
        <v>466</v>
      </c>
    </row>
    <row r="10936" spans="1:5" x14ac:dyDescent="0.35">
      <c r="A10936">
        <v>2022</v>
      </c>
      <c r="B10936" t="s">
        <v>36</v>
      </c>
      <c r="C10936" t="s">
        <v>165</v>
      </c>
      <c r="D10936">
        <v>7</v>
      </c>
      <c r="E10936" t="s">
        <v>467</v>
      </c>
    </row>
    <row r="10937" spans="1:5" x14ac:dyDescent="0.35">
      <c r="A10937">
        <v>2022</v>
      </c>
      <c r="B10937" t="s">
        <v>34</v>
      </c>
      <c r="C10937" t="s">
        <v>151</v>
      </c>
      <c r="D10937">
        <v>10</v>
      </c>
      <c r="E10937" t="s">
        <v>466</v>
      </c>
    </row>
    <row r="10938" spans="1:5" x14ac:dyDescent="0.35">
      <c r="A10938">
        <v>2022</v>
      </c>
      <c r="B10938" t="s">
        <v>35</v>
      </c>
      <c r="C10938" t="s">
        <v>150</v>
      </c>
      <c r="E10938" t="s">
        <v>355</v>
      </c>
    </row>
    <row r="10939" spans="1:5" x14ac:dyDescent="0.35">
      <c r="A10939">
        <v>2022</v>
      </c>
      <c r="B10939" t="s">
        <v>34</v>
      </c>
      <c r="C10939" t="s">
        <v>152</v>
      </c>
      <c r="D10939">
        <v>867</v>
      </c>
      <c r="E10939" t="s">
        <v>466</v>
      </c>
    </row>
    <row r="10940" spans="1:5" x14ac:dyDescent="0.35">
      <c r="A10940">
        <v>2022</v>
      </c>
      <c r="B10940" t="s">
        <v>33</v>
      </c>
      <c r="C10940" t="s">
        <v>168</v>
      </c>
      <c r="D10940">
        <v>10</v>
      </c>
      <c r="E10940" t="s">
        <v>467</v>
      </c>
    </row>
    <row r="10941" spans="1:5" x14ac:dyDescent="0.35">
      <c r="A10941">
        <v>2022</v>
      </c>
      <c r="B10941" t="s">
        <v>37</v>
      </c>
      <c r="C10941" t="s">
        <v>153</v>
      </c>
      <c r="D10941">
        <v>10</v>
      </c>
      <c r="E10941" t="s">
        <v>466</v>
      </c>
    </row>
    <row r="10942" spans="1:5" x14ac:dyDescent="0.35">
      <c r="A10942">
        <v>2022</v>
      </c>
      <c r="B10942" t="s">
        <v>35</v>
      </c>
      <c r="C10942" t="s">
        <v>322</v>
      </c>
      <c r="D10942">
        <v>6</v>
      </c>
      <c r="E10942" t="s">
        <v>355</v>
      </c>
    </row>
    <row r="10943" spans="1:5" x14ac:dyDescent="0.35">
      <c r="A10943">
        <v>2022</v>
      </c>
      <c r="B10943" t="s">
        <v>36</v>
      </c>
      <c r="C10943" t="s">
        <v>154</v>
      </c>
      <c r="D10943">
        <v>1694</v>
      </c>
      <c r="E10943" t="s">
        <v>466</v>
      </c>
    </row>
    <row r="10944" spans="1:5" x14ac:dyDescent="0.35">
      <c r="A10944">
        <v>2022</v>
      </c>
      <c r="B10944" t="s">
        <v>37</v>
      </c>
      <c r="C10944" t="s">
        <v>166</v>
      </c>
      <c r="D10944">
        <v>15</v>
      </c>
      <c r="E10944" t="s">
        <v>467</v>
      </c>
    </row>
    <row r="10945" spans="1:5" x14ac:dyDescent="0.35">
      <c r="A10945">
        <v>2022</v>
      </c>
      <c r="B10945" t="s">
        <v>38</v>
      </c>
      <c r="C10945" t="s">
        <v>155</v>
      </c>
      <c r="D10945">
        <v>88</v>
      </c>
      <c r="E10945" t="s">
        <v>466</v>
      </c>
    </row>
    <row r="10946" spans="1:5" x14ac:dyDescent="0.35">
      <c r="A10946">
        <v>2022</v>
      </c>
      <c r="B10946" t="s">
        <v>33</v>
      </c>
      <c r="C10946" t="s">
        <v>149</v>
      </c>
      <c r="D10946">
        <v>16</v>
      </c>
      <c r="E10946" t="s">
        <v>328</v>
      </c>
    </row>
    <row r="10947" spans="1:5" x14ac:dyDescent="0.35">
      <c r="A10947">
        <v>2022</v>
      </c>
      <c r="B10947" t="s">
        <v>35</v>
      </c>
      <c r="C10947" t="s">
        <v>150</v>
      </c>
      <c r="D10947">
        <v>42</v>
      </c>
      <c r="E10947" t="s">
        <v>466</v>
      </c>
    </row>
    <row r="10948" spans="1:5" x14ac:dyDescent="0.35">
      <c r="A10948">
        <v>2022</v>
      </c>
      <c r="B10948" t="s">
        <v>34</v>
      </c>
      <c r="C10948" t="s">
        <v>167</v>
      </c>
      <c r="D10948">
        <v>47</v>
      </c>
      <c r="E10948" t="s">
        <v>467</v>
      </c>
    </row>
    <row r="10949" spans="1:5" x14ac:dyDescent="0.35">
      <c r="A10949">
        <v>2022</v>
      </c>
      <c r="B10949" t="s">
        <v>35</v>
      </c>
      <c r="C10949" t="s">
        <v>160</v>
      </c>
      <c r="D10949">
        <v>7114</v>
      </c>
      <c r="E10949" t="s">
        <v>466</v>
      </c>
    </row>
    <row r="10950" spans="1:5" x14ac:dyDescent="0.35">
      <c r="A10950">
        <v>2022</v>
      </c>
      <c r="B10950" t="s">
        <v>33</v>
      </c>
      <c r="C10950" t="s">
        <v>149</v>
      </c>
      <c r="D10950">
        <v>63</v>
      </c>
      <c r="E10950" t="s">
        <v>355</v>
      </c>
    </row>
    <row r="10951" spans="1:5" x14ac:dyDescent="0.35">
      <c r="A10951">
        <v>2022</v>
      </c>
      <c r="B10951" t="s">
        <v>35</v>
      </c>
      <c r="C10951" t="s">
        <v>157</v>
      </c>
      <c r="D10951">
        <v>444</v>
      </c>
      <c r="E10951" t="s">
        <v>466</v>
      </c>
    </row>
    <row r="10952" spans="1:5" x14ac:dyDescent="0.35">
      <c r="A10952">
        <v>2022</v>
      </c>
      <c r="B10952" t="s">
        <v>35</v>
      </c>
      <c r="C10952" t="s">
        <v>169</v>
      </c>
      <c r="D10952">
        <v>12</v>
      </c>
      <c r="E10952" t="s">
        <v>467</v>
      </c>
    </row>
    <row r="10953" spans="1:5" x14ac:dyDescent="0.35">
      <c r="A10953">
        <v>2022</v>
      </c>
      <c r="B10953" t="s">
        <v>35</v>
      </c>
      <c r="C10953" t="s">
        <v>158</v>
      </c>
      <c r="D10953">
        <v>508</v>
      </c>
      <c r="E10953" t="s">
        <v>466</v>
      </c>
    </row>
    <row r="10954" spans="1:5" x14ac:dyDescent="0.35">
      <c r="A10954">
        <v>2022</v>
      </c>
      <c r="B10954" t="s">
        <v>33</v>
      </c>
      <c r="C10954" t="s">
        <v>148</v>
      </c>
      <c r="E10954" t="s">
        <v>328</v>
      </c>
    </row>
    <row r="10955" spans="1:5" x14ac:dyDescent="0.35">
      <c r="A10955">
        <v>2022</v>
      </c>
      <c r="B10955" t="s">
        <v>34</v>
      </c>
      <c r="C10955" t="s">
        <v>159</v>
      </c>
      <c r="D10955">
        <v>4</v>
      </c>
      <c r="E10955" t="s">
        <v>466</v>
      </c>
    </row>
    <row r="10956" spans="1:5" x14ac:dyDescent="0.35">
      <c r="A10956">
        <v>2022</v>
      </c>
      <c r="B10956" t="s">
        <v>33</v>
      </c>
      <c r="C10956" t="s">
        <v>174</v>
      </c>
      <c r="D10956">
        <v>19</v>
      </c>
      <c r="E10956" t="s">
        <v>467</v>
      </c>
    </row>
    <row r="10957" spans="1:5" x14ac:dyDescent="0.35">
      <c r="A10957">
        <v>2022</v>
      </c>
      <c r="B10957" t="s">
        <v>35</v>
      </c>
      <c r="C10957" t="s">
        <v>161</v>
      </c>
      <c r="D10957">
        <v>22301</v>
      </c>
      <c r="E10957" t="s">
        <v>466</v>
      </c>
    </row>
    <row r="10958" spans="1:5" x14ac:dyDescent="0.35">
      <c r="A10958">
        <v>2022</v>
      </c>
      <c r="B10958" t="s">
        <v>33</v>
      </c>
      <c r="C10958" t="s">
        <v>148</v>
      </c>
      <c r="E10958" t="s">
        <v>355</v>
      </c>
    </row>
    <row r="10959" spans="1:5" x14ac:dyDescent="0.35">
      <c r="A10959">
        <v>2022</v>
      </c>
      <c r="B10959" t="s">
        <v>33</v>
      </c>
      <c r="C10959" t="s">
        <v>162</v>
      </c>
      <c r="D10959">
        <v>112</v>
      </c>
      <c r="E10959" t="s">
        <v>466</v>
      </c>
    </row>
    <row r="10960" spans="1:5" x14ac:dyDescent="0.35">
      <c r="A10960">
        <v>2022</v>
      </c>
      <c r="B10960" t="s">
        <v>34</v>
      </c>
      <c r="C10960" t="s">
        <v>171</v>
      </c>
      <c r="D10960">
        <v>30</v>
      </c>
      <c r="E10960" t="s">
        <v>467</v>
      </c>
    </row>
    <row r="10961" spans="1:5" x14ac:dyDescent="0.35">
      <c r="A10961">
        <v>2022</v>
      </c>
      <c r="B10961" t="s">
        <v>36</v>
      </c>
      <c r="C10961" t="s">
        <v>163</v>
      </c>
      <c r="D10961">
        <v>15</v>
      </c>
      <c r="E10961" t="s">
        <v>466</v>
      </c>
    </row>
    <row r="10962" spans="1:5" x14ac:dyDescent="0.35">
      <c r="A10962">
        <v>2022</v>
      </c>
      <c r="B10962" t="s">
        <v>34</v>
      </c>
      <c r="C10962" t="s">
        <v>144</v>
      </c>
      <c r="D10962">
        <v>20</v>
      </c>
      <c r="E10962" t="s">
        <v>328</v>
      </c>
    </row>
    <row r="10963" spans="1:5" x14ac:dyDescent="0.35">
      <c r="A10963">
        <v>2022</v>
      </c>
      <c r="B10963" t="s">
        <v>36</v>
      </c>
      <c r="C10963" t="s">
        <v>164</v>
      </c>
      <c r="D10963">
        <v>40</v>
      </c>
      <c r="E10963" t="s">
        <v>466</v>
      </c>
    </row>
    <row r="10964" spans="1:5" x14ac:dyDescent="0.35">
      <c r="A10964">
        <v>2022</v>
      </c>
      <c r="B10964" t="s">
        <v>35</v>
      </c>
      <c r="C10964" t="s">
        <v>172</v>
      </c>
      <c r="D10964">
        <v>41</v>
      </c>
      <c r="E10964" t="s">
        <v>467</v>
      </c>
    </row>
    <row r="10965" spans="1:5" x14ac:dyDescent="0.35">
      <c r="A10965">
        <v>2022</v>
      </c>
      <c r="B10965" t="s">
        <v>36</v>
      </c>
      <c r="C10965" t="s">
        <v>165</v>
      </c>
      <c r="D10965">
        <v>27</v>
      </c>
      <c r="E10965" t="s">
        <v>466</v>
      </c>
    </row>
    <row r="10966" spans="1:5" x14ac:dyDescent="0.35">
      <c r="A10966">
        <v>2022</v>
      </c>
      <c r="B10966" t="s">
        <v>36</v>
      </c>
      <c r="C10966" t="s">
        <v>147</v>
      </c>
      <c r="D10966">
        <v>454</v>
      </c>
      <c r="E10966" t="s">
        <v>355</v>
      </c>
    </row>
    <row r="10967" spans="1:5" x14ac:dyDescent="0.35">
      <c r="A10967">
        <v>2022</v>
      </c>
      <c r="B10967" t="s">
        <v>35</v>
      </c>
      <c r="C10967" t="s">
        <v>322</v>
      </c>
      <c r="D10967">
        <v>16</v>
      </c>
      <c r="E10967" t="s">
        <v>466</v>
      </c>
    </row>
    <row r="10968" spans="1:5" x14ac:dyDescent="0.35">
      <c r="A10968">
        <v>2022</v>
      </c>
      <c r="B10968" t="s">
        <v>35</v>
      </c>
      <c r="C10968" t="s">
        <v>173</v>
      </c>
      <c r="D10968">
        <v>9</v>
      </c>
      <c r="E10968" t="s">
        <v>467</v>
      </c>
    </row>
    <row r="10969" spans="1:5" x14ac:dyDescent="0.35">
      <c r="A10969">
        <v>2022</v>
      </c>
      <c r="B10969" t="s">
        <v>34</v>
      </c>
      <c r="C10969" t="s">
        <v>18</v>
      </c>
      <c r="D10969">
        <v>1557</v>
      </c>
      <c r="E10969" t="s">
        <v>466</v>
      </c>
    </row>
    <row r="10970" spans="1:5" x14ac:dyDescent="0.35">
      <c r="A10970">
        <v>2022</v>
      </c>
      <c r="B10970" t="s">
        <v>37</v>
      </c>
      <c r="C10970" t="s">
        <v>146</v>
      </c>
      <c r="E10970" t="s">
        <v>328</v>
      </c>
    </row>
    <row r="10971" spans="1:5" x14ac:dyDescent="0.35">
      <c r="A10971">
        <v>2022</v>
      </c>
      <c r="B10971" t="s">
        <v>33</v>
      </c>
      <c r="C10971" t="s">
        <v>149</v>
      </c>
      <c r="D10971">
        <v>1265</v>
      </c>
      <c r="E10971" t="s">
        <v>466</v>
      </c>
    </row>
    <row r="10972" spans="1:5" x14ac:dyDescent="0.35">
      <c r="A10972">
        <v>2022</v>
      </c>
      <c r="B10972" t="s">
        <v>36</v>
      </c>
      <c r="C10972" t="s">
        <v>164</v>
      </c>
      <c r="D10972">
        <v>6</v>
      </c>
      <c r="E10972" t="s">
        <v>467</v>
      </c>
    </row>
    <row r="10973" spans="1:5" x14ac:dyDescent="0.35">
      <c r="A10973">
        <v>2022</v>
      </c>
      <c r="B10973" t="s">
        <v>34</v>
      </c>
      <c r="C10973" t="s">
        <v>139</v>
      </c>
      <c r="D10973">
        <v>79</v>
      </c>
      <c r="E10973" t="s">
        <v>466</v>
      </c>
    </row>
    <row r="10974" spans="1:5" x14ac:dyDescent="0.35">
      <c r="A10974">
        <v>2022</v>
      </c>
      <c r="B10974" t="s">
        <v>37</v>
      </c>
      <c r="C10974" t="s">
        <v>146</v>
      </c>
      <c r="E10974" t="s">
        <v>355</v>
      </c>
    </row>
    <row r="10975" spans="1:5" x14ac:dyDescent="0.35">
      <c r="A10975">
        <v>2022</v>
      </c>
      <c r="B10975" t="s">
        <v>36</v>
      </c>
      <c r="C10975" t="s">
        <v>147</v>
      </c>
      <c r="D10975">
        <v>175054</v>
      </c>
      <c r="E10975" t="s">
        <v>466</v>
      </c>
    </row>
    <row r="10976" spans="1:5" x14ac:dyDescent="0.35">
      <c r="A10976">
        <v>2022</v>
      </c>
      <c r="B10976" t="s">
        <v>33</v>
      </c>
      <c r="C10976" t="s">
        <v>170</v>
      </c>
      <c r="D10976">
        <v>5</v>
      </c>
      <c r="E10976" t="s">
        <v>467</v>
      </c>
    </row>
    <row r="10977" spans="1:5" x14ac:dyDescent="0.35">
      <c r="A10977">
        <v>2022</v>
      </c>
      <c r="B10977" t="s">
        <v>33</v>
      </c>
      <c r="C10977" t="s">
        <v>130</v>
      </c>
      <c r="D10977">
        <v>17</v>
      </c>
      <c r="E10977" t="s">
        <v>466</v>
      </c>
    </row>
    <row r="10978" spans="1:5" x14ac:dyDescent="0.35">
      <c r="A10978">
        <v>2022</v>
      </c>
      <c r="B10978" t="s">
        <v>35</v>
      </c>
      <c r="C10978" t="s">
        <v>145</v>
      </c>
      <c r="D10978">
        <v>10</v>
      </c>
      <c r="E10978" t="s">
        <v>328</v>
      </c>
    </row>
    <row r="10979" spans="1:5" x14ac:dyDescent="0.35">
      <c r="A10979">
        <v>2022</v>
      </c>
      <c r="B10979" t="s">
        <v>34</v>
      </c>
      <c r="C10979" t="s">
        <v>131</v>
      </c>
      <c r="D10979">
        <v>33</v>
      </c>
      <c r="E10979" t="s">
        <v>466</v>
      </c>
    </row>
    <row r="10980" spans="1:5" x14ac:dyDescent="0.35">
      <c r="A10980">
        <v>2022</v>
      </c>
      <c r="B10980" t="s">
        <v>36</v>
      </c>
      <c r="C10980" t="s">
        <v>163</v>
      </c>
      <c r="D10980">
        <v>4</v>
      </c>
      <c r="E10980" t="s">
        <v>467</v>
      </c>
    </row>
    <row r="10981" spans="1:5" x14ac:dyDescent="0.35">
      <c r="A10981">
        <v>2022</v>
      </c>
      <c r="B10981" t="s">
        <v>33</v>
      </c>
      <c r="C10981" t="s">
        <v>132</v>
      </c>
      <c r="D10981">
        <v>346</v>
      </c>
      <c r="E10981" t="s">
        <v>466</v>
      </c>
    </row>
    <row r="10982" spans="1:5" x14ac:dyDescent="0.35">
      <c r="A10982">
        <v>2022</v>
      </c>
      <c r="B10982" t="s">
        <v>35</v>
      </c>
      <c r="C10982" t="s">
        <v>145</v>
      </c>
      <c r="D10982">
        <v>9</v>
      </c>
      <c r="E10982" t="s">
        <v>355</v>
      </c>
    </row>
    <row r="10983" spans="1:5" x14ac:dyDescent="0.35">
      <c r="A10983">
        <v>2022</v>
      </c>
      <c r="B10983" t="s">
        <v>35</v>
      </c>
      <c r="C10983" t="s">
        <v>133</v>
      </c>
      <c r="D10983">
        <v>4</v>
      </c>
      <c r="E10983" t="s">
        <v>466</v>
      </c>
    </row>
    <row r="10984" spans="1:5" x14ac:dyDescent="0.35">
      <c r="A10984">
        <v>2022</v>
      </c>
      <c r="B10984" t="s">
        <v>34</v>
      </c>
      <c r="C10984" t="s">
        <v>151</v>
      </c>
      <c r="D10984">
        <v>3</v>
      </c>
      <c r="E10984" t="s">
        <v>467</v>
      </c>
    </row>
    <row r="10985" spans="1:5" x14ac:dyDescent="0.35">
      <c r="A10985">
        <v>2022</v>
      </c>
      <c r="B10985" t="s">
        <v>37</v>
      </c>
      <c r="C10985" t="s">
        <v>134</v>
      </c>
      <c r="D10985">
        <v>27</v>
      </c>
      <c r="E10985" t="s">
        <v>466</v>
      </c>
    </row>
    <row r="10986" spans="1:5" x14ac:dyDescent="0.35">
      <c r="A10986">
        <v>2022</v>
      </c>
      <c r="B10986" t="s">
        <v>35</v>
      </c>
      <c r="C10986" t="s">
        <v>150</v>
      </c>
      <c r="E10986" t="s">
        <v>328</v>
      </c>
    </row>
    <row r="10987" spans="1:5" x14ac:dyDescent="0.35">
      <c r="A10987">
        <v>2022</v>
      </c>
      <c r="B10987" t="s">
        <v>33</v>
      </c>
      <c r="C10987" t="s">
        <v>135</v>
      </c>
      <c r="D10987">
        <v>356</v>
      </c>
      <c r="E10987" t="s">
        <v>466</v>
      </c>
    </row>
    <row r="10988" spans="1:5" x14ac:dyDescent="0.35">
      <c r="A10988">
        <v>2022</v>
      </c>
      <c r="B10988" t="s">
        <v>35</v>
      </c>
      <c r="C10988" t="s">
        <v>161</v>
      </c>
      <c r="D10988">
        <v>106</v>
      </c>
      <c r="E10988" t="s">
        <v>467</v>
      </c>
    </row>
    <row r="10989" spans="1:5" x14ac:dyDescent="0.35">
      <c r="A10989">
        <v>2022</v>
      </c>
      <c r="B10989" t="s">
        <v>33</v>
      </c>
      <c r="C10989" t="s">
        <v>136</v>
      </c>
      <c r="D10989">
        <v>43</v>
      </c>
      <c r="E10989" t="s">
        <v>466</v>
      </c>
    </row>
    <row r="10990" spans="1:5" x14ac:dyDescent="0.35">
      <c r="A10990">
        <v>2022</v>
      </c>
      <c r="B10990" t="s">
        <v>36</v>
      </c>
      <c r="C10990" t="s">
        <v>147</v>
      </c>
      <c r="D10990">
        <v>2226</v>
      </c>
      <c r="E10990" t="s">
        <v>328</v>
      </c>
    </row>
    <row r="10991" spans="1:5" x14ac:dyDescent="0.35">
      <c r="A10991">
        <v>2022</v>
      </c>
      <c r="B10991" t="s">
        <v>36</v>
      </c>
      <c r="C10991" t="s">
        <v>14</v>
      </c>
      <c r="D10991">
        <v>836844</v>
      </c>
      <c r="E10991" t="s">
        <v>466</v>
      </c>
    </row>
    <row r="10992" spans="1:5" x14ac:dyDescent="0.35">
      <c r="A10992">
        <v>2022</v>
      </c>
      <c r="B10992" t="s">
        <v>35</v>
      </c>
      <c r="C10992" t="s">
        <v>160</v>
      </c>
      <c r="D10992">
        <v>97</v>
      </c>
      <c r="E10992" t="s">
        <v>467</v>
      </c>
    </row>
    <row r="10993" spans="1:5" x14ac:dyDescent="0.35">
      <c r="A10993">
        <v>2022</v>
      </c>
      <c r="B10993" t="s">
        <v>37</v>
      </c>
      <c r="C10993" t="s">
        <v>137</v>
      </c>
      <c r="D10993">
        <v>61</v>
      </c>
      <c r="E10993" t="s">
        <v>466</v>
      </c>
    </row>
    <row r="10994" spans="1:5" x14ac:dyDescent="0.35">
      <c r="A10994">
        <v>2022</v>
      </c>
      <c r="B10994" t="s">
        <v>34</v>
      </c>
      <c r="C10994" t="s">
        <v>152</v>
      </c>
      <c r="D10994">
        <v>65</v>
      </c>
      <c r="E10994" t="s">
        <v>355</v>
      </c>
    </row>
    <row r="10995" spans="1:5" x14ac:dyDescent="0.35">
      <c r="A10995">
        <v>2022</v>
      </c>
      <c r="B10995" t="s">
        <v>35</v>
      </c>
      <c r="C10995" t="s">
        <v>138</v>
      </c>
      <c r="D10995">
        <v>321</v>
      </c>
      <c r="E10995" t="s">
        <v>466</v>
      </c>
    </row>
    <row r="10996" spans="1:5" x14ac:dyDescent="0.35">
      <c r="A10996">
        <v>2022</v>
      </c>
      <c r="B10996" t="s">
        <v>34</v>
      </c>
      <c r="C10996" t="s">
        <v>159</v>
      </c>
      <c r="E10996" t="s">
        <v>467</v>
      </c>
    </row>
    <row r="10997" spans="1:5" x14ac:dyDescent="0.35">
      <c r="A10997">
        <v>2022</v>
      </c>
      <c r="B10997" t="s">
        <v>35</v>
      </c>
      <c r="C10997" t="s">
        <v>140</v>
      </c>
      <c r="D10997">
        <v>15</v>
      </c>
      <c r="E10997" t="s">
        <v>466</v>
      </c>
    </row>
    <row r="10998" spans="1:5" x14ac:dyDescent="0.35">
      <c r="A10998">
        <v>2022</v>
      </c>
      <c r="B10998" t="s">
        <v>38</v>
      </c>
      <c r="C10998" t="s">
        <v>156</v>
      </c>
      <c r="D10998">
        <v>811</v>
      </c>
      <c r="E10998" t="s">
        <v>328</v>
      </c>
    </row>
    <row r="10999" spans="1:5" x14ac:dyDescent="0.35">
      <c r="A10999">
        <v>2022</v>
      </c>
      <c r="B10999" t="s">
        <v>33</v>
      </c>
      <c r="C10999" t="s">
        <v>141</v>
      </c>
      <c r="D10999">
        <v>738</v>
      </c>
      <c r="E10999" t="s">
        <v>466</v>
      </c>
    </row>
    <row r="11000" spans="1:5" x14ac:dyDescent="0.35">
      <c r="A11000">
        <v>2022</v>
      </c>
      <c r="B11000" t="s">
        <v>35</v>
      </c>
      <c r="C11000" t="s">
        <v>158</v>
      </c>
      <c r="D11000">
        <v>346</v>
      </c>
      <c r="E11000" t="s">
        <v>467</v>
      </c>
    </row>
    <row r="11001" spans="1:5" x14ac:dyDescent="0.35">
      <c r="A11001">
        <v>2022</v>
      </c>
      <c r="B11001" t="s">
        <v>33</v>
      </c>
      <c r="C11001" t="s">
        <v>142</v>
      </c>
      <c r="D11001">
        <v>16</v>
      </c>
      <c r="E11001" t="s">
        <v>466</v>
      </c>
    </row>
    <row r="11002" spans="1:5" x14ac:dyDescent="0.35">
      <c r="A11002">
        <v>2022</v>
      </c>
      <c r="B11002" t="s">
        <v>37</v>
      </c>
      <c r="C11002" t="s">
        <v>153</v>
      </c>
      <c r="D11002">
        <v>3</v>
      </c>
      <c r="E11002" t="s">
        <v>355</v>
      </c>
    </row>
    <row r="11003" spans="1:5" x14ac:dyDescent="0.35">
      <c r="A11003">
        <v>2022</v>
      </c>
      <c r="B11003" t="s">
        <v>33</v>
      </c>
      <c r="C11003" t="s">
        <v>143</v>
      </c>
      <c r="D11003">
        <v>21</v>
      </c>
      <c r="E11003" t="s">
        <v>466</v>
      </c>
    </row>
    <row r="11004" spans="1:5" x14ac:dyDescent="0.35">
      <c r="A11004">
        <v>2022</v>
      </c>
      <c r="B11004" t="s">
        <v>35</v>
      </c>
      <c r="C11004" t="s">
        <v>157</v>
      </c>
      <c r="D11004">
        <v>289</v>
      </c>
      <c r="E11004" t="s">
        <v>467</v>
      </c>
    </row>
    <row r="11005" spans="1:5" x14ac:dyDescent="0.35">
      <c r="A11005">
        <v>2022</v>
      </c>
      <c r="B11005" t="s">
        <v>34</v>
      </c>
      <c r="C11005" t="s">
        <v>144</v>
      </c>
      <c r="D11005">
        <v>1618</v>
      </c>
      <c r="E11005" t="s">
        <v>466</v>
      </c>
    </row>
    <row r="11006" spans="1:5" x14ac:dyDescent="0.35">
      <c r="A11006">
        <v>2022</v>
      </c>
      <c r="B11006" t="s">
        <v>36</v>
      </c>
      <c r="C11006" t="s">
        <v>154</v>
      </c>
      <c r="D11006">
        <v>120</v>
      </c>
      <c r="E11006" t="s">
        <v>355</v>
      </c>
    </row>
    <row r="11007" spans="1:5" x14ac:dyDescent="0.35">
      <c r="A11007">
        <v>2022</v>
      </c>
      <c r="B11007" t="s">
        <v>35</v>
      </c>
      <c r="C11007" t="s">
        <v>145</v>
      </c>
      <c r="D11007">
        <v>442</v>
      </c>
      <c r="E11007" t="s">
        <v>466</v>
      </c>
    </row>
    <row r="11008" spans="1:5" x14ac:dyDescent="0.35">
      <c r="A11008">
        <v>2022</v>
      </c>
      <c r="B11008" t="s">
        <v>34</v>
      </c>
      <c r="C11008" t="s">
        <v>18</v>
      </c>
      <c r="D11008">
        <v>624</v>
      </c>
      <c r="E11008" t="s">
        <v>467</v>
      </c>
    </row>
    <row r="11009" spans="1:5" x14ac:dyDescent="0.35">
      <c r="A11009">
        <v>2022</v>
      </c>
      <c r="B11009" t="s">
        <v>37</v>
      </c>
      <c r="C11009" t="s">
        <v>146</v>
      </c>
      <c r="D11009">
        <v>115</v>
      </c>
      <c r="E11009" t="s">
        <v>466</v>
      </c>
    </row>
    <row r="11010" spans="1:5" x14ac:dyDescent="0.35">
      <c r="A11010">
        <v>2022</v>
      </c>
      <c r="B11010" t="s">
        <v>36</v>
      </c>
      <c r="C11010" t="s">
        <v>154</v>
      </c>
      <c r="D11010">
        <v>16</v>
      </c>
      <c r="E11010" t="s">
        <v>328</v>
      </c>
    </row>
    <row r="11011" spans="1:5" x14ac:dyDescent="0.35">
      <c r="A11011">
        <v>2022</v>
      </c>
      <c r="B11011" t="s">
        <v>33</v>
      </c>
      <c r="C11011" t="s">
        <v>148</v>
      </c>
      <c r="D11011">
        <v>85</v>
      </c>
      <c r="E11011" t="s">
        <v>466</v>
      </c>
    </row>
    <row r="11012" spans="1:5" x14ac:dyDescent="0.35">
      <c r="A11012">
        <v>2022</v>
      </c>
      <c r="B11012" t="s">
        <v>38</v>
      </c>
      <c r="C11012" t="s">
        <v>156</v>
      </c>
      <c r="D11012">
        <v>166</v>
      </c>
      <c r="E11012" t="s">
        <v>467</v>
      </c>
    </row>
    <row r="11013" spans="1:5" x14ac:dyDescent="0.35">
      <c r="A11013">
        <v>2022</v>
      </c>
      <c r="B11013" t="s">
        <v>37</v>
      </c>
      <c r="C11013" t="s">
        <v>166</v>
      </c>
      <c r="D11013">
        <v>21</v>
      </c>
      <c r="E11013" t="s">
        <v>466</v>
      </c>
    </row>
    <row r="11014" spans="1:5" x14ac:dyDescent="0.35">
      <c r="A11014">
        <v>2022</v>
      </c>
      <c r="B11014" t="s">
        <v>38</v>
      </c>
      <c r="C11014" t="s">
        <v>155</v>
      </c>
      <c r="E11014" t="s">
        <v>355</v>
      </c>
    </row>
    <row r="11015" spans="1:5" x14ac:dyDescent="0.35">
      <c r="A11015">
        <v>2022</v>
      </c>
      <c r="B11015" t="s">
        <v>33</v>
      </c>
      <c r="C11015" t="s">
        <v>187</v>
      </c>
      <c r="D11015">
        <v>51</v>
      </c>
      <c r="E11015" t="s">
        <v>466</v>
      </c>
    </row>
    <row r="11016" spans="1:5" x14ac:dyDescent="0.35">
      <c r="A11016">
        <v>2022</v>
      </c>
      <c r="B11016" t="s">
        <v>38</v>
      </c>
      <c r="C11016" t="s">
        <v>155</v>
      </c>
      <c r="D11016">
        <v>3</v>
      </c>
      <c r="E11016" t="s">
        <v>467</v>
      </c>
    </row>
    <row r="11017" spans="1:5" x14ac:dyDescent="0.35">
      <c r="A11017">
        <v>2022</v>
      </c>
      <c r="B11017" t="s">
        <v>33</v>
      </c>
      <c r="C11017" t="s">
        <v>168</v>
      </c>
      <c r="D11017">
        <v>2854</v>
      </c>
      <c r="E11017" t="s">
        <v>466</v>
      </c>
    </row>
    <row r="11018" spans="1:5" x14ac:dyDescent="0.35">
      <c r="A11018">
        <v>2022</v>
      </c>
      <c r="B11018" t="s">
        <v>38</v>
      </c>
      <c r="C11018" t="s">
        <v>155</v>
      </c>
      <c r="E11018" t="s">
        <v>328</v>
      </c>
    </row>
    <row r="11019" spans="1:5" x14ac:dyDescent="0.35">
      <c r="A11019">
        <v>2022</v>
      </c>
      <c r="B11019" t="s">
        <v>33</v>
      </c>
      <c r="C11019" t="s">
        <v>189</v>
      </c>
      <c r="D11019">
        <v>289</v>
      </c>
      <c r="E11019" t="s">
        <v>466</v>
      </c>
    </row>
    <row r="11020" spans="1:5" x14ac:dyDescent="0.35">
      <c r="A11020">
        <v>2022</v>
      </c>
      <c r="B11020" t="s">
        <v>36</v>
      </c>
      <c r="C11020" t="s">
        <v>154</v>
      </c>
      <c r="D11020">
        <v>33</v>
      </c>
      <c r="E11020" t="s">
        <v>467</v>
      </c>
    </row>
    <row r="11021" spans="1:5" x14ac:dyDescent="0.35">
      <c r="A11021">
        <v>2022</v>
      </c>
      <c r="B11021" t="s">
        <v>37</v>
      </c>
      <c r="C11021" t="s">
        <v>190</v>
      </c>
      <c r="D11021">
        <v>17</v>
      </c>
      <c r="E11021" t="s">
        <v>466</v>
      </c>
    </row>
    <row r="11022" spans="1:5" x14ac:dyDescent="0.35">
      <c r="A11022">
        <v>2022</v>
      </c>
      <c r="B11022" t="s">
        <v>38</v>
      </c>
      <c r="C11022" t="s">
        <v>156</v>
      </c>
      <c r="D11022">
        <v>547</v>
      </c>
      <c r="E11022" t="s">
        <v>355</v>
      </c>
    </row>
    <row r="11023" spans="1:5" x14ac:dyDescent="0.35">
      <c r="A11023">
        <v>2022</v>
      </c>
      <c r="B11023" t="s">
        <v>36</v>
      </c>
      <c r="C11023" t="s">
        <v>191</v>
      </c>
      <c r="D11023">
        <v>228</v>
      </c>
      <c r="E11023" t="s">
        <v>466</v>
      </c>
    </row>
    <row r="11024" spans="1:5" x14ac:dyDescent="0.35">
      <c r="A11024">
        <v>2022</v>
      </c>
      <c r="B11024" t="s">
        <v>34</v>
      </c>
      <c r="C11024" t="s">
        <v>152</v>
      </c>
      <c r="D11024">
        <v>199</v>
      </c>
      <c r="E11024" t="s">
        <v>467</v>
      </c>
    </row>
    <row r="11025" spans="1:5" x14ac:dyDescent="0.35">
      <c r="A11025">
        <v>2022</v>
      </c>
      <c r="B11025" t="s">
        <v>33</v>
      </c>
      <c r="C11025" t="s">
        <v>192</v>
      </c>
      <c r="D11025">
        <v>602</v>
      </c>
      <c r="E11025" t="s">
        <v>466</v>
      </c>
    </row>
    <row r="11026" spans="1:5" x14ac:dyDescent="0.35">
      <c r="A11026">
        <v>2022</v>
      </c>
      <c r="B11026" t="s">
        <v>34</v>
      </c>
      <c r="C11026" t="s">
        <v>18</v>
      </c>
      <c r="D11026">
        <v>435</v>
      </c>
      <c r="E11026" t="s">
        <v>355</v>
      </c>
    </row>
    <row r="11027" spans="1:5" x14ac:dyDescent="0.35">
      <c r="A11027">
        <v>2022</v>
      </c>
      <c r="B11027" t="s">
        <v>34</v>
      </c>
      <c r="C11027" t="s">
        <v>193</v>
      </c>
      <c r="D11027">
        <v>15998</v>
      </c>
      <c r="E11027" t="s">
        <v>466</v>
      </c>
    </row>
    <row r="11028" spans="1:5" x14ac:dyDescent="0.35">
      <c r="A11028">
        <v>2022</v>
      </c>
      <c r="B11028" t="s">
        <v>35</v>
      </c>
      <c r="C11028" t="s">
        <v>150</v>
      </c>
      <c r="D11028">
        <v>29</v>
      </c>
      <c r="E11028" t="s">
        <v>467</v>
      </c>
    </row>
    <row r="11029" spans="1:5" x14ac:dyDescent="0.35">
      <c r="A11029">
        <v>2022</v>
      </c>
      <c r="B11029" t="s">
        <v>34</v>
      </c>
      <c r="C11029" t="s">
        <v>194</v>
      </c>
      <c r="D11029">
        <v>8</v>
      </c>
      <c r="E11029" t="s">
        <v>466</v>
      </c>
    </row>
    <row r="11030" spans="1:5" x14ac:dyDescent="0.35">
      <c r="A11030">
        <v>2022</v>
      </c>
      <c r="B11030" t="s">
        <v>34</v>
      </c>
      <c r="C11030" t="s">
        <v>18</v>
      </c>
      <c r="D11030">
        <v>16</v>
      </c>
      <c r="E11030" t="s">
        <v>328</v>
      </c>
    </row>
    <row r="11031" spans="1:5" x14ac:dyDescent="0.35">
      <c r="A11031">
        <v>2022</v>
      </c>
      <c r="B11031" t="s">
        <v>33</v>
      </c>
      <c r="C11031" t="s">
        <v>195</v>
      </c>
      <c r="D11031">
        <v>62</v>
      </c>
      <c r="E11031" t="s">
        <v>466</v>
      </c>
    </row>
    <row r="11032" spans="1:5" x14ac:dyDescent="0.35">
      <c r="A11032">
        <v>2022</v>
      </c>
      <c r="B11032" t="s">
        <v>33</v>
      </c>
      <c r="C11032" t="s">
        <v>162</v>
      </c>
      <c r="D11032">
        <v>19</v>
      </c>
      <c r="E11032" t="s">
        <v>467</v>
      </c>
    </row>
    <row r="11033" spans="1:5" x14ac:dyDescent="0.35">
      <c r="A11033">
        <v>2022</v>
      </c>
      <c r="B11033" t="s">
        <v>35</v>
      </c>
      <c r="C11033" t="s">
        <v>196</v>
      </c>
      <c r="D11033">
        <v>3450</v>
      </c>
      <c r="E11033" t="s">
        <v>466</v>
      </c>
    </row>
    <row r="11034" spans="1:5" x14ac:dyDescent="0.35">
      <c r="A11034">
        <v>2022</v>
      </c>
      <c r="B11034" t="s">
        <v>35</v>
      </c>
      <c r="C11034" t="s">
        <v>157</v>
      </c>
      <c r="D11034">
        <v>45</v>
      </c>
      <c r="E11034" t="s">
        <v>355</v>
      </c>
    </row>
    <row r="11035" spans="1:5" x14ac:dyDescent="0.35">
      <c r="A11035">
        <v>2022</v>
      </c>
      <c r="B11035" t="s">
        <v>34</v>
      </c>
      <c r="C11035" t="s">
        <v>188</v>
      </c>
      <c r="D11035">
        <v>227</v>
      </c>
      <c r="E11035" t="s">
        <v>466</v>
      </c>
    </row>
    <row r="11036" spans="1:5" x14ac:dyDescent="0.35">
      <c r="A11036">
        <v>2022</v>
      </c>
      <c r="B11036" t="s">
        <v>33</v>
      </c>
      <c r="C11036" t="s">
        <v>175</v>
      </c>
      <c r="D11036">
        <v>56</v>
      </c>
      <c r="E11036" t="s">
        <v>467</v>
      </c>
    </row>
    <row r="11037" spans="1:5" x14ac:dyDescent="0.35">
      <c r="A11037">
        <v>2022</v>
      </c>
      <c r="B11037" t="s">
        <v>34</v>
      </c>
      <c r="C11037" t="s">
        <v>197</v>
      </c>
      <c r="D11037">
        <v>31</v>
      </c>
      <c r="E11037" t="s">
        <v>466</v>
      </c>
    </row>
    <row r="11038" spans="1:5" x14ac:dyDescent="0.35">
      <c r="A11038">
        <v>2022</v>
      </c>
      <c r="B11038" t="s">
        <v>35</v>
      </c>
      <c r="C11038" t="s">
        <v>157</v>
      </c>
      <c r="D11038">
        <v>19</v>
      </c>
      <c r="E11038" t="s">
        <v>328</v>
      </c>
    </row>
    <row r="11039" spans="1:5" x14ac:dyDescent="0.35">
      <c r="A11039">
        <v>2022</v>
      </c>
      <c r="B11039" t="s">
        <v>39</v>
      </c>
      <c r="C11039" t="s">
        <v>39</v>
      </c>
      <c r="D11039">
        <v>1149</v>
      </c>
      <c r="E11039" t="s">
        <v>466</v>
      </c>
    </row>
    <row r="11040" spans="1:5" x14ac:dyDescent="0.35">
      <c r="A11040">
        <v>2022</v>
      </c>
      <c r="B11040" t="s">
        <v>34</v>
      </c>
      <c r="C11040" t="s">
        <v>202</v>
      </c>
      <c r="D11040">
        <v>9</v>
      </c>
      <c r="E11040" t="s">
        <v>467</v>
      </c>
    </row>
    <row r="11041" spans="1:5" x14ac:dyDescent="0.35">
      <c r="A11041">
        <v>2022</v>
      </c>
      <c r="B11041" t="s">
        <v>38</v>
      </c>
      <c r="C11041" t="s">
        <v>199</v>
      </c>
      <c r="D11041">
        <v>417</v>
      </c>
      <c r="E11041" t="s">
        <v>466</v>
      </c>
    </row>
    <row r="11042" spans="1:5" x14ac:dyDescent="0.35">
      <c r="A11042">
        <v>2022</v>
      </c>
      <c r="B11042" t="s">
        <v>35</v>
      </c>
      <c r="C11042" t="s">
        <v>158</v>
      </c>
      <c r="D11042">
        <v>12</v>
      </c>
      <c r="E11042" t="s">
        <v>355</v>
      </c>
    </row>
    <row r="11043" spans="1:5" x14ac:dyDescent="0.35">
      <c r="A11043">
        <v>2022</v>
      </c>
      <c r="B11043" t="s">
        <v>34</v>
      </c>
      <c r="C11043" t="s">
        <v>200</v>
      </c>
      <c r="D11043">
        <v>3637</v>
      </c>
      <c r="E11043" t="s">
        <v>466</v>
      </c>
    </row>
    <row r="11044" spans="1:5" x14ac:dyDescent="0.35">
      <c r="A11044">
        <v>2022</v>
      </c>
      <c r="B11044" t="s">
        <v>34</v>
      </c>
      <c r="C11044" t="s">
        <v>178</v>
      </c>
      <c r="D11044">
        <v>52</v>
      </c>
      <c r="E11044" t="s">
        <v>467</v>
      </c>
    </row>
    <row r="11045" spans="1:5" x14ac:dyDescent="0.35">
      <c r="A11045">
        <v>2022</v>
      </c>
      <c r="B11045" t="s">
        <v>38</v>
      </c>
      <c r="C11045" t="s">
        <v>19</v>
      </c>
      <c r="D11045">
        <v>206075</v>
      </c>
      <c r="E11045" t="s">
        <v>466</v>
      </c>
    </row>
    <row r="11046" spans="1:5" x14ac:dyDescent="0.35">
      <c r="A11046">
        <v>2022</v>
      </c>
      <c r="B11046" t="s">
        <v>35</v>
      </c>
      <c r="C11046" t="s">
        <v>158</v>
      </c>
      <c r="D11046">
        <v>15</v>
      </c>
      <c r="E11046" t="s">
        <v>328</v>
      </c>
    </row>
    <row r="11047" spans="1:5" x14ac:dyDescent="0.35">
      <c r="A11047">
        <v>2022</v>
      </c>
      <c r="B11047" t="s">
        <v>34</v>
      </c>
      <c r="C11047" t="s">
        <v>201</v>
      </c>
      <c r="D11047">
        <v>687</v>
      </c>
      <c r="E11047" t="s">
        <v>466</v>
      </c>
    </row>
    <row r="11048" spans="1:5" x14ac:dyDescent="0.35">
      <c r="A11048">
        <v>2022</v>
      </c>
      <c r="B11048" t="s">
        <v>39</v>
      </c>
      <c r="C11048" t="s">
        <v>39</v>
      </c>
      <c r="D11048">
        <v>24</v>
      </c>
      <c r="E11048" t="s">
        <v>467</v>
      </c>
    </row>
    <row r="11049" spans="1:5" x14ac:dyDescent="0.35">
      <c r="A11049">
        <v>2022</v>
      </c>
      <c r="B11049" t="s">
        <v>34</v>
      </c>
      <c r="C11049" t="s">
        <v>202</v>
      </c>
      <c r="D11049">
        <v>138</v>
      </c>
      <c r="E11049" t="s">
        <v>466</v>
      </c>
    </row>
    <row r="11050" spans="1:5" x14ac:dyDescent="0.35">
      <c r="A11050">
        <v>2022</v>
      </c>
      <c r="B11050" t="s">
        <v>35</v>
      </c>
      <c r="C11050" t="s">
        <v>160</v>
      </c>
      <c r="D11050">
        <v>152</v>
      </c>
      <c r="E11050" t="s">
        <v>355</v>
      </c>
    </row>
    <row r="11051" spans="1:5" x14ac:dyDescent="0.35">
      <c r="A11051">
        <v>2022</v>
      </c>
      <c r="B11051" t="s">
        <v>33</v>
      </c>
      <c r="C11051" t="s">
        <v>203</v>
      </c>
      <c r="D11051">
        <v>26</v>
      </c>
      <c r="E11051" t="s">
        <v>466</v>
      </c>
    </row>
    <row r="11052" spans="1:5" x14ac:dyDescent="0.35">
      <c r="A11052">
        <v>2022</v>
      </c>
      <c r="C11052" t="s">
        <v>373</v>
      </c>
      <c r="D11052">
        <v>46</v>
      </c>
      <c r="E11052" t="s">
        <v>467</v>
      </c>
    </row>
    <row r="11053" spans="1:5" x14ac:dyDescent="0.35">
      <c r="A11053">
        <v>2022</v>
      </c>
      <c r="B11053" t="s">
        <v>33</v>
      </c>
      <c r="C11053" t="s">
        <v>204</v>
      </c>
      <c r="D11053">
        <v>66</v>
      </c>
      <c r="E11053" t="s">
        <v>466</v>
      </c>
    </row>
    <row r="11054" spans="1:5" x14ac:dyDescent="0.35">
      <c r="A11054">
        <v>2022</v>
      </c>
      <c r="B11054" t="s">
        <v>35</v>
      </c>
      <c r="C11054" t="s">
        <v>160</v>
      </c>
      <c r="D11054">
        <v>66</v>
      </c>
      <c r="E11054" t="s">
        <v>328</v>
      </c>
    </row>
    <row r="11055" spans="1:5" x14ac:dyDescent="0.35">
      <c r="A11055">
        <v>2022</v>
      </c>
      <c r="B11055" t="s">
        <v>35</v>
      </c>
      <c r="C11055" t="s">
        <v>198</v>
      </c>
      <c r="D11055">
        <v>1498</v>
      </c>
      <c r="E11055" t="s">
        <v>466</v>
      </c>
    </row>
    <row r="11056" spans="1:5" x14ac:dyDescent="0.35">
      <c r="A11056">
        <v>2022</v>
      </c>
      <c r="B11056" t="s">
        <v>33</v>
      </c>
      <c r="C11056" t="s">
        <v>204</v>
      </c>
      <c r="D11056">
        <v>19</v>
      </c>
      <c r="E11056" t="s">
        <v>467</v>
      </c>
    </row>
    <row r="11057" spans="1:5" x14ac:dyDescent="0.35">
      <c r="A11057">
        <v>2022</v>
      </c>
      <c r="B11057" t="s">
        <v>34</v>
      </c>
      <c r="C11057" t="s">
        <v>167</v>
      </c>
      <c r="D11057">
        <v>106</v>
      </c>
      <c r="E11057" t="s">
        <v>466</v>
      </c>
    </row>
    <row r="11058" spans="1:5" x14ac:dyDescent="0.35">
      <c r="A11058">
        <v>2022</v>
      </c>
      <c r="B11058" t="s">
        <v>34</v>
      </c>
      <c r="C11058" t="s">
        <v>152</v>
      </c>
      <c r="D11058">
        <v>37</v>
      </c>
      <c r="E11058" t="s">
        <v>328</v>
      </c>
    </row>
    <row r="11059" spans="1:5" x14ac:dyDescent="0.35">
      <c r="A11059">
        <v>2022</v>
      </c>
      <c r="B11059" t="s">
        <v>33</v>
      </c>
      <c r="C11059" t="s">
        <v>129</v>
      </c>
      <c r="D11059">
        <v>11</v>
      </c>
      <c r="E11059" t="s">
        <v>466</v>
      </c>
    </row>
    <row r="11060" spans="1:5" x14ac:dyDescent="0.35">
      <c r="A11060">
        <v>2022</v>
      </c>
      <c r="B11060" t="s">
        <v>33</v>
      </c>
      <c r="C11060" t="s">
        <v>203</v>
      </c>
      <c r="D11060">
        <v>7</v>
      </c>
      <c r="E11060" t="s">
        <v>467</v>
      </c>
    </row>
    <row r="11061" spans="1:5" x14ac:dyDescent="0.35">
      <c r="A11061">
        <v>2022</v>
      </c>
      <c r="B11061" t="s">
        <v>34</v>
      </c>
      <c r="C11061" t="s">
        <v>185</v>
      </c>
      <c r="D11061">
        <v>644</v>
      </c>
      <c r="E11061" t="s">
        <v>466</v>
      </c>
    </row>
    <row r="11062" spans="1:5" x14ac:dyDescent="0.35">
      <c r="A11062">
        <v>2022</v>
      </c>
      <c r="B11062" t="s">
        <v>34</v>
      </c>
      <c r="C11062" t="s">
        <v>144</v>
      </c>
      <c r="D11062">
        <v>21</v>
      </c>
      <c r="E11062" t="s">
        <v>355</v>
      </c>
    </row>
    <row r="11063" spans="1:5" x14ac:dyDescent="0.35">
      <c r="A11063">
        <v>2022</v>
      </c>
      <c r="B11063" t="s">
        <v>35</v>
      </c>
      <c r="C11063" t="s">
        <v>169</v>
      </c>
      <c r="D11063">
        <v>73</v>
      </c>
      <c r="E11063" t="s">
        <v>466</v>
      </c>
    </row>
    <row r="11064" spans="1:5" x14ac:dyDescent="0.35">
      <c r="A11064">
        <v>2022</v>
      </c>
      <c r="B11064" t="s">
        <v>35</v>
      </c>
      <c r="C11064" t="s">
        <v>322</v>
      </c>
      <c r="D11064">
        <v>4</v>
      </c>
      <c r="E11064" t="s">
        <v>467</v>
      </c>
    </row>
    <row r="11065" spans="1:5" x14ac:dyDescent="0.35">
      <c r="A11065">
        <v>2022</v>
      </c>
      <c r="B11065" t="s">
        <v>35</v>
      </c>
      <c r="C11065" t="s">
        <v>215</v>
      </c>
      <c r="E11065" t="s">
        <v>466</v>
      </c>
    </row>
    <row r="11066" spans="1:5" x14ac:dyDescent="0.35">
      <c r="A11066">
        <v>2022</v>
      </c>
      <c r="B11066" t="s">
        <v>33</v>
      </c>
      <c r="C11066" t="s">
        <v>117</v>
      </c>
      <c r="D11066">
        <v>90</v>
      </c>
      <c r="E11066" t="s">
        <v>355</v>
      </c>
    </row>
    <row r="11067" spans="1:5" x14ac:dyDescent="0.35">
      <c r="A11067">
        <v>2022</v>
      </c>
      <c r="B11067" t="s">
        <v>33</v>
      </c>
      <c r="C11067" t="s">
        <v>170</v>
      </c>
      <c r="D11067">
        <v>221</v>
      </c>
      <c r="E11067" t="s">
        <v>466</v>
      </c>
    </row>
    <row r="11068" spans="1:5" x14ac:dyDescent="0.35">
      <c r="A11068">
        <v>2022</v>
      </c>
      <c r="B11068" t="s">
        <v>34</v>
      </c>
      <c r="C11068" t="s">
        <v>201</v>
      </c>
      <c r="D11068">
        <v>59</v>
      </c>
      <c r="E11068" t="s">
        <v>467</v>
      </c>
    </row>
    <row r="11069" spans="1:5" x14ac:dyDescent="0.35">
      <c r="A11069">
        <v>2022</v>
      </c>
      <c r="B11069" t="s">
        <v>34</v>
      </c>
      <c r="C11069" t="s">
        <v>171</v>
      </c>
      <c r="D11069">
        <v>44</v>
      </c>
      <c r="E11069" t="s">
        <v>466</v>
      </c>
    </row>
    <row r="11070" spans="1:5" x14ac:dyDescent="0.35">
      <c r="A11070">
        <v>2022</v>
      </c>
      <c r="B11070" t="s">
        <v>33</v>
      </c>
      <c r="C11070" t="s">
        <v>141</v>
      </c>
      <c r="D11070">
        <v>16</v>
      </c>
      <c r="E11070" t="s">
        <v>355</v>
      </c>
    </row>
    <row r="11071" spans="1:5" x14ac:dyDescent="0.35">
      <c r="A11071">
        <v>2022</v>
      </c>
      <c r="B11071" t="s">
        <v>35</v>
      </c>
      <c r="C11071" t="s">
        <v>172</v>
      </c>
      <c r="D11071">
        <v>50</v>
      </c>
      <c r="E11071" t="s">
        <v>466</v>
      </c>
    </row>
    <row r="11072" spans="1:5" x14ac:dyDescent="0.35">
      <c r="A11072">
        <v>2022</v>
      </c>
      <c r="B11072" t="s">
        <v>38</v>
      </c>
      <c r="C11072" t="s">
        <v>19</v>
      </c>
      <c r="D11072">
        <v>195</v>
      </c>
      <c r="E11072" t="s">
        <v>467</v>
      </c>
    </row>
    <row r="11073" spans="1:5" x14ac:dyDescent="0.35">
      <c r="A11073">
        <v>2022</v>
      </c>
      <c r="B11073" t="s">
        <v>35</v>
      </c>
      <c r="C11073" t="s">
        <v>173</v>
      </c>
      <c r="D11073">
        <v>14</v>
      </c>
      <c r="E11073" t="s">
        <v>466</v>
      </c>
    </row>
    <row r="11074" spans="1:5" x14ac:dyDescent="0.35">
      <c r="A11074">
        <v>2022</v>
      </c>
      <c r="B11074" t="s">
        <v>33</v>
      </c>
      <c r="C11074" t="s">
        <v>125</v>
      </c>
      <c r="E11074" t="s">
        <v>355</v>
      </c>
    </row>
    <row r="11075" spans="1:5" x14ac:dyDescent="0.35">
      <c r="A11075">
        <v>2022</v>
      </c>
      <c r="B11075" t="s">
        <v>33</v>
      </c>
      <c r="C11075" t="s">
        <v>174</v>
      </c>
      <c r="D11075">
        <v>1301</v>
      </c>
      <c r="E11075" t="s">
        <v>466</v>
      </c>
    </row>
    <row r="11076" spans="1:5" x14ac:dyDescent="0.35">
      <c r="A11076">
        <v>2022</v>
      </c>
      <c r="B11076" t="s">
        <v>34</v>
      </c>
      <c r="C11076" t="s">
        <v>200</v>
      </c>
      <c r="D11076">
        <v>9</v>
      </c>
      <c r="E11076" t="s">
        <v>467</v>
      </c>
    </row>
    <row r="11077" spans="1:5" x14ac:dyDescent="0.35">
      <c r="A11077">
        <v>2022</v>
      </c>
      <c r="B11077" t="s">
        <v>33</v>
      </c>
      <c r="C11077" t="s">
        <v>175</v>
      </c>
      <c r="D11077">
        <v>159</v>
      </c>
      <c r="E11077" t="s">
        <v>466</v>
      </c>
    </row>
    <row r="11078" spans="1:5" x14ac:dyDescent="0.35">
      <c r="A11078">
        <v>2022</v>
      </c>
      <c r="B11078" t="s">
        <v>34</v>
      </c>
      <c r="C11078" t="s">
        <v>124</v>
      </c>
      <c r="D11078">
        <v>3</v>
      </c>
      <c r="E11078" t="s">
        <v>328</v>
      </c>
    </row>
    <row r="11079" spans="1:5" x14ac:dyDescent="0.35">
      <c r="A11079">
        <v>2022</v>
      </c>
      <c r="B11079" t="s">
        <v>34</v>
      </c>
      <c r="C11079" t="s">
        <v>186</v>
      </c>
      <c r="D11079">
        <v>426</v>
      </c>
      <c r="E11079" t="s">
        <v>466</v>
      </c>
    </row>
    <row r="11080" spans="1:5" x14ac:dyDescent="0.35">
      <c r="A11080">
        <v>2022</v>
      </c>
      <c r="B11080" t="s">
        <v>38</v>
      </c>
      <c r="C11080" t="s">
        <v>199</v>
      </c>
      <c r="D11080">
        <v>8</v>
      </c>
      <c r="E11080" t="s">
        <v>467</v>
      </c>
    </row>
    <row r="11081" spans="1:5" x14ac:dyDescent="0.35">
      <c r="A11081">
        <v>2022</v>
      </c>
      <c r="B11081" t="s">
        <v>33</v>
      </c>
      <c r="C11081" t="s">
        <v>176</v>
      </c>
      <c r="D11081">
        <v>10</v>
      </c>
      <c r="E11081" t="s">
        <v>466</v>
      </c>
    </row>
    <row r="11082" spans="1:5" x14ac:dyDescent="0.35">
      <c r="A11082">
        <v>2022</v>
      </c>
      <c r="B11082" t="s">
        <v>34</v>
      </c>
      <c r="C11082" t="s">
        <v>124</v>
      </c>
      <c r="D11082">
        <v>28</v>
      </c>
      <c r="E11082" t="s">
        <v>355</v>
      </c>
    </row>
    <row r="11083" spans="1:5" x14ac:dyDescent="0.35">
      <c r="A11083">
        <v>2022</v>
      </c>
      <c r="B11083" t="s">
        <v>35</v>
      </c>
      <c r="C11083" t="s">
        <v>177</v>
      </c>
      <c r="D11083">
        <v>1845</v>
      </c>
      <c r="E11083" t="s">
        <v>466</v>
      </c>
    </row>
    <row r="11084" spans="1:5" x14ac:dyDescent="0.35">
      <c r="A11084">
        <v>2022</v>
      </c>
      <c r="B11084" t="s">
        <v>35</v>
      </c>
      <c r="C11084" t="s">
        <v>198</v>
      </c>
      <c r="D11084">
        <v>1103</v>
      </c>
      <c r="E11084" t="s">
        <v>467</v>
      </c>
    </row>
    <row r="11085" spans="1:5" x14ac:dyDescent="0.35">
      <c r="A11085">
        <v>2022</v>
      </c>
      <c r="B11085" t="s">
        <v>34</v>
      </c>
      <c r="C11085" t="s">
        <v>178</v>
      </c>
      <c r="D11085">
        <v>386</v>
      </c>
      <c r="E11085" t="s">
        <v>466</v>
      </c>
    </row>
    <row r="11086" spans="1:5" x14ac:dyDescent="0.35">
      <c r="A11086">
        <v>2022</v>
      </c>
      <c r="B11086" t="s">
        <v>35</v>
      </c>
      <c r="C11086" t="s">
        <v>123</v>
      </c>
      <c r="D11086">
        <v>3</v>
      </c>
      <c r="E11086" t="s">
        <v>328</v>
      </c>
    </row>
    <row r="11087" spans="1:5" x14ac:dyDescent="0.35">
      <c r="A11087">
        <v>2022</v>
      </c>
      <c r="B11087" t="s">
        <v>33</v>
      </c>
      <c r="C11087" t="s">
        <v>179</v>
      </c>
      <c r="D11087">
        <v>105</v>
      </c>
      <c r="E11087" t="s">
        <v>466</v>
      </c>
    </row>
    <row r="11088" spans="1:5" x14ac:dyDescent="0.35">
      <c r="A11088">
        <v>2022</v>
      </c>
      <c r="B11088" t="s">
        <v>34</v>
      </c>
      <c r="C11088" t="s">
        <v>197</v>
      </c>
      <c r="D11088">
        <v>16</v>
      </c>
      <c r="E11088" t="s">
        <v>467</v>
      </c>
    </row>
    <row r="11089" spans="1:5" x14ac:dyDescent="0.35">
      <c r="A11089">
        <v>2022</v>
      </c>
      <c r="B11089" t="s">
        <v>38</v>
      </c>
      <c r="C11089" t="s">
        <v>180</v>
      </c>
      <c r="D11089">
        <v>47</v>
      </c>
      <c r="E11089" t="s">
        <v>466</v>
      </c>
    </row>
    <row r="11090" spans="1:5" x14ac:dyDescent="0.35">
      <c r="A11090">
        <v>2022</v>
      </c>
      <c r="B11090" t="s">
        <v>35</v>
      </c>
      <c r="C11090" t="s">
        <v>123</v>
      </c>
      <c r="D11090">
        <v>5</v>
      </c>
      <c r="E11090" t="s">
        <v>355</v>
      </c>
    </row>
    <row r="11091" spans="1:5" x14ac:dyDescent="0.35">
      <c r="A11091">
        <v>2022</v>
      </c>
      <c r="B11091" t="s">
        <v>33</v>
      </c>
      <c r="C11091" t="s">
        <v>181</v>
      </c>
      <c r="D11091">
        <v>3</v>
      </c>
      <c r="E11091" t="s">
        <v>466</v>
      </c>
    </row>
    <row r="11092" spans="1:5" x14ac:dyDescent="0.35">
      <c r="A11092">
        <v>2022</v>
      </c>
      <c r="B11092" t="s">
        <v>35</v>
      </c>
      <c r="C11092" t="s">
        <v>196</v>
      </c>
      <c r="D11092">
        <v>113</v>
      </c>
      <c r="E11092" t="s">
        <v>467</v>
      </c>
    </row>
    <row r="11093" spans="1:5" x14ac:dyDescent="0.35">
      <c r="A11093">
        <v>2022</v>
      </c>
      <c r="B11093" t="s">
        <v>35</v>
      </c>
      <c r="C11093" t="s">
        <v>182</v>
      </c>
      <c r="D11093">
        <v>171</v>
      </c>
      <c r="E11093" t="s">
        <v>466</v>
      </c>
    </row>
    <row r="11094" spans="1:5" x14ac:dyDescent="0.35">
      <c r="A11094">
        <v>2022</v>
      </c>
      <c r="B11094" t="s">
        <v>34</v>
      </c>
      <c r="C11094" t="s">
        <v>122</v>
      </c>
      <c r="D11094">
        <v>7</v>
      </c>
      <c r="E11094" t="s">
        <v>355</v>
      </c>
    </row>
    <row r="11095" spans="1:5" x14ac:dyDescent="0.35">
      <c r="A11095">
        <v>2022</v>
      </c>
      <c r="B11095" t="s">
        <v>35</v>
      </c>
      <c r="C11095" t="s">
        <v>183</v>
      </c>
      <c r="D11095">
        <v>97</v>
      </c>
      <c r="E11095" t="s">
        <v>466</v>
      </c>
    </row>
    <row r="11096" spans="1:5" x14ac:dyDescent="0.35">
      <c r="A11096">
        <v>2022</v>
      </c>
      <c r="B11096" t="s">
        <v>35</v>
      </c>
      <c r="C11096" t="s">
        <v>177</v>
      </c>
      <c r="D11096">
        <v>1376</v>
      </c>
      <c r="E11096" t="s">
        <v>467</v>
      </c>
    </row>
    <row r="11097" spans="1:5" x14ac:dyDescent="0.35">
      <c r="A11097">
        <v>2022</v>
      </c>
      <c r="B11097" t="s">
        <v>34</v>
      </c>
      <c r="C11097" t="s">
        <v>184</v>
      </c>
      <c r="D11097">
        <v>339</v>
      </c>
      <c r="E11097" t="s">
        <v>466</v>
      </c>
    </row>
    <row r="11098" spans="1:5" x14ac:dyDescent="0.35">
      <c r="A11098">
        <v>2022</v>
      </c>
      <c r="B11098" t="s">
        <v>33</v>
      </c>
      <c r="C11098" t="s">
        <v>125</v>
      </c>
      <c r="E11098" t="s">
        <v>328</v>
      </c>
    </row>
    <row r="11099" spans="1:5" x14ac:dyDescent="0.35">
      <c r="A11099">
        <v>2022</v>
      </c>
      <c r="B11099" t="s">
        <v>35</v>
      </c>
      <c r="C11099" t="s">
        <v>216</v>
      </c>
      <c r="E11099" t="s">
        <v>466</v>
      </c>
    </row>
    <row r="11100" spans="1:5" x14ac:dyDescent="0.35">
      <c r="A11100">
        <v>2022</v>
      </c>
      <c r="B11100" t="s">
        <v>33</v>
      </c>
      <c r="C11100" t="s">
        <v>195</v>
      </c>
      <c r="D11100">
        <v>13</v>
      </c>
      <c r="E11100" t="s">
        <v>467</v>
      </c>
    </row>
    <row r="11101" spans="1:5" x14ac:dyDescent="0.35">
      <c r="A11101">
        <v>2022</v>
      </c>
      <c r="B11101" t="s">
        <v>35</v>
      </c>
      <c r="C11101" t="s">
        <v>128</v>
      </c>
      <c r="D11101">
        <v>12</v>
      </c>
      <c r="E11101" t="s">
        <v>466</v>
      </c>
    </row>
    <row r="11102" spans="1:5" x14ac:dyDescent="0.35">
      <c r="A11102">
        <v>2022</v>
      </c>
      <c r="B11102" t="s">
        <v>34</v>
      </c>
      <c r="C11102" t="s">
        <v>121</v>
      </c>
      <c r="E11102" t="s">
        <v>328</v>
      </c>
    </row>
    <row r="11103" spans="1:5" x14ac:dyDescent="0.35">
      <c r="A11103">
        <v>2022</v>
      </c>
      <c r="B11103" t="s">
        <v>34</v>
      </c>
      <c r="C11103" t="s">
        <v>109</v>
      </c>
      <c r="D11103">
        <v>147</v>
      </c>
      <c r="E11103" t="s">
        <v>466</v>
      </c>
    </row>
    <row r="11104" spans="1:5" x14ac:dyDescent="0.35">
      <c r="A11104">
        <v>2022</v>
      </c>
      <c r="B11104" t="s">
        <v>34</v>
      </c>
      <c r="C11104" t="s">
        <v>193</v>
      </c>
      <c r="D11104">
        <v>123</v>
      </c>
      <c r="E11104" t="s">
        <v>467</v>
      </c>
    </row>
    <row r="11105" spans="1:5" x14ac:dyDescent="0.35">
      <c r="A11105">
        <v>2022</v>
      </c>
      <c r="B11105" t="s">
        <v>33</v>
      </c>
      <c r="C11105" t="s">
        <v>126</v>
      </c>
      <c r="D11105">
        <v>60</v>
      </c>
      <c r="E11105" t="s">
        <v>466</v>
      </c>
    </row>
    <row r="11106" spans="1:5" x14ac:dyDescent="0.35">
      <c r="A11106">
        <v>2022</v>
      </c>
      <c r="B11106" t="s">
        <v>34</v>
      </c>
      <c r="C11106" t="s">
        <v>120</v>
      </c>
      <c r="E11106" t="s">
        <v>328</v>
      </c>
    </row>
    <row r="11107" spans="1:5" x14ac:dyDescent="0.35">
      <c r="A11107">
        <v>2022</v>
      </c>
      <c r="B11107" t="s">
        <v>35</v>
      </c>
      <c r="C11107" t="s">
        <v>62</v>
      </c>
      <c r="D11107">
        <v>56</v>
      </c>
      <c r="E11107" t="s">
        <v>466</v>
      </c>
    </row>
    <row r="11108" spans="1:5" x14ac:dyDescent="0.35">
      <c r="A11108">
        <v>2022</v>
      </c>
      <c r="B11108" t="s">
        <v>33</v>
      </c>
      <c r="C11108" t="s">
        <v>192</v>
      </c>
      <c r="D11108">
        <v>108</v>
      </c>
      <c r="E11108" t="s">
        <v>467</v>
      </c>
    </row>
    <row r="11109" spans="1:5" x14ac:dyDescent="0.35">
      <c r="A11109">
        <v>2022</v>
      </c>
      <c r="B11109" t="s">
        <v>33</v>
      </c>
      <c r="C11109" t="s">
        <v>63</v>
      </c>
      <c r="D11109">
        <v>378</v>
      </c>
      <c r="E11109" t="s">
        <v>466</v>
      </c>
    </row>
    <row r="11110" spans="1:5" x14ac:dyDescent="0.35">
      <c r="A11110">
        <v>2022</v>
      </c>
      <c r="B11110" t="s">
        <v>34</v>
      </c>
      <c r="C11110" t="s">
        <v>120</v>
      </c>
      <c r="E11110" t="s">
        <v>355</v>
      </c>
    </row>
    <row r="11111" spans="1:5" x14ac:dyDescent="0.35">
      <c r="A11111">
        <v>2022</v>
      </c>
      <c r="B11111" t="s">
        <v>34</v>
      </c>
      <c r="C11111" t="s">
        <v>64</v>
      </c>
      <c r="D11111">
        <v>65</v>
      </c>
      <c r="E11111" t="s">
        <v>466</v>
      </c>
    </row>
    <row r="11112" spans="1:5" x14ac:dyDescent="0.35">
      <c r="A11112">
        <v>2022</v>
      </c>
      <c r="B11112" t="s">
        <v>36</v>
      </c>
      <c r="C11112" t="s">
        <v>191</v>
      </c>
      <c r="D11112">
        <v>25</v>
      </c>
      <c r="E11112" t="s">
        <v>467</v>
      </c>
    </row>
    <row r="11113" spans="1:5" x14ac:dyDescent="0.35">
      <c r="A11113">
        <v>2022</v>
      </c>
      <c r="B11113" t="s">
        <v>33</v>
      </c>
      <c r="C11113" t="s">
        <v>65</v>
      </c>
      <c r="D11113">
        <v>45</v>
      </c>
      <c r="E11113" t="s">
        <v>466</v>
      </c>
    </row>
    <row r="11114" spans="1:5" x14ac:dyDescent="0.35">
      <c r="A11114">
        <v>2022</v>
      </c>
      <c r="B11114" t="s">
        <v>35</v>
      </c>
      <c r="C11114" t="s">
        <v>119</v>
      </c>
      <c r="D11114">
        <v>5</v>
      </c>
      <c r="E11114" t="s">
        <v>355</v>
      </c>
    </row>
    <row r="11115" spans="1:5" x14ac:dyDescent="0.35">
      <c r="A11115">
        <v>2022</v>
      </c>
      <c r="B11115" t="s">
        <v>33</v>
      </c>
      <c r="C11115" t="s">
        <v>66</v>
      </c>
      <c r="D11115">
        <v>33</v>
      </c>
      <c r="E11115" t="s">
        <v>466</v>
      </c>
    </row>
    <row r="11116" spans="1:5" x14ac:dyDescent="0.35">
      <c r="A11116">
        <v>2022</v>
      </c>
      <c r="B11116" t="s">
        <v>37</v>
      </c>
      <c r="C11116" t="s">
        <v>190</v>
      </c>
      <c r="D11116">
        <v>4</v>
      </c>
      <c r="E11116" t="s">
        <v>467</v>
      </c>
    </row>
    <row r="11117" spans="1:5" x14ac:dyDescent="0.35">
      <c r="A11117">
        <v>2022</v>
      </c>
      <c r="B11117" t="s">
        <v>34</v>
      </c>
      <c r="C11117" t="s">
        <v>67</v>
      </c>
      <c r="D11117">
        <v>30</v>
      </c>
      <c r="E11117" t="s">
        <v>466</v>
      </c>
    </row>
    <row r="11118" spans="1:5" x14ac:dyDescent="0.35">
      <c r="A11118">
        <v>2022</v>
      </c>
      <c r="B11118" t="s">
        <v>34</v>
      </c>
      <c r="C11118" t="s">
        <v>118</v>
      </c>
      <c r="D11118">
        <v>9</v>
      </c>
      <c r="E11118" t="s">
        <v>328</v>
      </c>
    </row>
    <row r="11119" spans="1:5" x14ac:dyDescent="0.35">
      <c r="A11119">
        <v>2022</v>
      </c>
      <c r="B11119" t="s">
        <v>33</v>
      </c>
      <c r="C11119" t="s">
        <v>68</v>
      </c>
      <c r="D11119">
        <v>1706</v>
      </c>
      <c r="E11119" t="s">
        <v>466</v>
      </c>
    </row>
    <row r="11120" spans="1:5" x14ac:dyDescent="0.35">
      <c r="A11120">
        <v>2022</v>
      </c>
      <c r="B11120" t="s">
        <v>33</v>
      </c>
      <c r="C11120" t="s">
        <v>189</v>
      </c>
      <c r="D11120">
        <v>8</v>
      </c>
      <c r="E11120" t="s">
        <v>467</v>
      </c>
    </row>
    <row r="11121" spans="1:5" x14ac:dyDescent="0.35">
      <c r="A11121">
        <v>2022</v>
      </c>
      <c r="B11121" t="s">
        <v>36</v>
      </c>
      <c r="C11121" t="s">
        <v>69</v>
      </c>
      <c r="D11121">
        <v>19847</v>
      </c>
      <c r="E11121" t="s">
        <v>466</v>
      </c>
    </row>
    <row r="11122" spans="1:5" x14ac:dyDescent="0.35">
      <c r="A11122">
        <v>2022</v>
      </c>
      <c r="B11122" t="s">
        <v>34</v>
      </c>
      <c r="C11122" t="s">
        <v>118</v>
      </c>
      <c r="D11122">
        <v>41</v>
      </c>
      <c r="E11122" t="s">
        <v>355</v>
      </c>
    </row>
    <row r="11123" spans="1:5" x14ac:dyDescent="0.35">
      <c r="A11123">
        <v>2022</v>
      </c>
      <c r="B11123" t="s">
        <v>33</v>
      </c>
      <c r="C11123" t="s">
        <v>70</v>
      </c>
      <c r="D11123">
        <v>25</v>
      </c>
      <c r="E11123" t="s">
        <v>466</v>
      </c>
    </row>
    <row r="11124" spans="1:5" x14ac:dyDescent="0.35">
      <c r="A11124">
        <v>2022</v>
      </c>
      <c r="B11124" t="s">
        <v>34</v>
      </c>
      <c r="C11124" t="s">
        <v>188</v>
      </c>
      <c r="D11124">
        <v>91</v>
      </c>
      <c r="E11124" t="s">
        <v>467</v>
      </c>
    </row>
    <row r="11125" spans="1:5" x14ac:dyDescent="0.35">
      <c r="A11125">
        <v>2022</v>
      </c>
      <c r="B11125" t="s">
        <v>38</v>
      </c>
      <c r="C11125" t="s">
        <v>21</v>
      </c>
      <c r="D11125">
        <v>60219</v>
      </c>
      <c r="E11125" t="s">
        <v>466</v>
      </c>
    </row>
    <row r="11126" spans="1:5" x14ac:dyDescent="0.35">
      <c r="A11126">
        <v>2022</v>
      </c>
      <c r="B11126" t="s">
        <v>33</v>
      </c>
      <c r="C11126" t="s">
        <v>117</v>
      </c>
      <c r="D11126">
        <v>10</v>
      </c>
      <c r="E11126" t="s">
        <v>328</v>
      </c>
    </row>
    <row r="11127" spans="1:5" x14ac:dyDescent="0.35">
      <c r="A11127">
        <v>2022</v>
      </c>
      <c r="B11127" t="s">
        <v>33</v>
      </c>
      <c r="C11127" t="s">
        <v>71</v>
      </c>
      <c r="D11127">
        <v>20</v>
      </c>
      <c r="E11127" t="s">
        <v>466</v>
      </c>
    </row>
    <row r="11128" spans="1:5" x14ac:dyDescent="0.35">
      <c r="A11128">
        <v>2022</v>
      </c>
      <c r="B11128" t="s">
        <v>33</v>
      </c>
      <c r="C11128" t="s">
        <v>187</v>
      </c>
      <c r="D11128">
        <v>18</v>
      </c>
      <c r="E11128" t="s">
        <v>467</v>
      </c>
    </row>
    <row r="11129" spans="1:5" x14ac:dyDescent="0.35">
      <c r="A11129">
        <v>2022</v>
      </c>
      <c r="B11129" t="s">
        <v>34</v>
      </c>
      <c r="C11129" t="s">
        <v>73</v>
      </c>
      <c r="D11129">
        <v>5773</v>
      </c>
      <c r="E11129" t="s">
        <v>466</v>
      </c>
    </row>
    <row r="11130" spans="1:5" x14ac:dyDescent="0.35">
      <c r="A11130">
        <v>2022</v>
      </c>
      <c r="B11130" t="s">
        <v>34</v>
      </c>
      <c r="C11130" t="s">
        <v>121</v>
      </c>
      <c r="E11130" t="s">
        <v>355</v>
      </c>
    </row>
    <row r="11131" spans="1:5" x14ac:dyDescent="0.35">
      <c r="A11131">
        <v>2022</v>
      </c>
      <c r="B11131" t="s">
        <v>38</v>
      </c>
      <c r="C11131" t="s">
        <v>20</v>
      </c>
      <c r="D11131">
        <v>140059</v>
      </c>
      <c r="E11131" t="s">
        <v>466</v>
      </c>
    </row>
    <row r="11132" spans="1:5" x14ac:dyDescent="0.35">
      <c r="A11132">
        <v>2022</v>
      </c>
      <c r="B11132" t="s">
        <v>34</v>
      </c>
      <c r="C11132" t="s">
        <v>185</v>
      </c>
      <c r="D11132">
        <v>499</v>
      </c>
      <c r="E11132" t="s">
        <v>467</v>
      </c>
    </row>
    <row r="11133" spans="1:5" x14ac:dyDescent="0.35">
      <c r="A11133">
        <v>2022</v>
      </c>
      <c r="B11133" t="s">
        <v>33</v>
      </c>
      <c r="C11133" t="s">
        <v>74</v>
      </c>
      <c r="D11133">
        <v>879</v>
      </c>
      <c r="E11133" t="s">
        <v>466</v>
      </c>
    </row>
    <row r="11134" spans="1:5" x14ac:dyDescent="0.35">
      <c r="A11134">
        <v>2022</v>
      </c>
      <c r="B11134" t="s">
        <v>33</v>
      </c>
      <c r="C11134" t="s">
        <v>141</v>
      </c>
      <c r="D11134">
        <v>4</v>
      </c>
      <c r="E11134" t="s">
        <v>328</v>
      </c>
    </row>
    <row r="11135" spans="1:5" x14ac:dyDescent="0.35">
      <c r="A11135">
        <v>2022</v>
      </c>
      <c r="B11135" t="s">
        <v>33</v>
      </c>
      <c r="C11135" t="s">
        <v>75</v>
      </c>
      <c r="D11135">
        <v>682</v>
      </c>
      <c r="E11135" t="s">
        <v>466</v>
      </c>
    </row>
    <row r="11136" spans="1:5" x14ac:dyDescent="0.35">
      <c r="A11136">
        <v>2022</v>
      </c>
      <c r="B11136" t="s">
        <v>34</v>
      </c>
      <c r="C11136" t="s">
        <v>184</v>
      </c>
      <c r="D11136">
        <v>50</v>
      </c>
      <c r="E11136" t="s">
        <v>467</v>
      </c>
    </row>
    <row r="11137" spans="1:5" x14ac:dyDescent="0.35">
      <c r="A11137">
        <v>2022</v>
      </c>
      <c r="B11137" t="s">
        <v>36</v>
      </c>
      <c r="C11137" t="s">
        <v>76</v>
      </c>
      <c r="D11137">
        <v>1174</v>
      </c>
      <c r="E11137" t="s">
        <v>466</v>
      </c>
    </row>
    <row r="11138" spans="1:5" x14ac:dyDescent="0.35">
      <c r="A11138">
        <v>2022</v>
      </c>
      <c r="B11138" t="s">
        <v>35</v>
      </c>
      <c r="C11138" t="s">
        <v>127</v>
      </c>
      <c r="E11138" t="s">
        <v>355</v>
      </c>
    </row>
    <row r="11139" spans="1:5" x14ac:dyDescent="0.35">
      <c r="A11139">
        <v>2022</v>
      </c>
      <c r="B11139" t="s">
        <v>33</v>
      </c>
      <c r="C11139" t="s">
        <v>77</v>
      </c>
      <c r="D11139">
        <v>238</v>
      </c>
      <c r="E11139" t="s">
        <v>466</v>
      </c>
    </row>
    <row r="11140" spans="1:5" x14ac:dyDescent="0.35">
      <c r="A11140">
        <v>2022</v>
      </c>
      <c r="B11140" t="s">
        <v>35</v>
      </c>
      <c r="C11140" t="s">
        <v>183</v>
      </c>
      <c r="D11140">
        <v>54</v>
      </c>
      <c r="E11140" t="s">
        <v>467</v>
      </c>
    </row>
    <row r="11141" spans="1:5" x14ac:dyDescent="0.35">
      <c r="A11141">
        <v>2022</v>
      </c>
      <c r="B11141" t="s">
        <v>35</v>
      </c>
      <c r="C11141" t="s">
        <v>78</v>
      </c>
      <c r="D11141">
        <v>64</v>
      </c>
      <c r="E11141" t="s">
        <v>466</v>
      </c>
    </row>
    <row r="11142" spans="1:5" x14ac:dyDescent="0.35">
      <c r="A11142">
        <v>2022</v>
      </c>
      <c r="B11142" t="s">
        <v>34</v>
      </c>
      <c r="C11142" t="s">
        <v>131</v>
      </c>
      <c r="E11142" t="s">
        <v>355</v>
      </c>
    </row>
    <row r="11143" spans="1:5" x14ac:dyDescent="0.35">
      <c r="A11143">
        <v>2022</v>
      </c>
      <c r="B11143" t="s">
        <v>36</v>
      </c>
      <c r="C11143" t="s">
        <v>79</v>
      </c>
      <c r="D11143">
        <v>233602</v>
      </c>
      <c r="E11143" t="s">
        <v>466</v>
      </c>
    </row>
    <row r="11144" spans="1:5" x14ac:dyDescent="0.35">
      <c r="A11144">
        <v>2022</v>
      </c>
      <c r="B11144" t="s">
        <v>35</v>
      </c>
      <c r="C11144" t="s">
        <v>182</v>
      </c>
      <c r="D11144">
        <v>129</v>
      </c>
      <c r="E11144" t="s">
        <v>467</v>
      </c>
    </row>
    <row r="11145" spans="1:5" x14ac:dyDescent="0.35">
      <c r="A11145">
        <v>2022</v>
      </c>
      <c r="B11145" t="s">
        <v>34</v>
      </c>
      <c r="C11145" t="s">
        <v>80</v>
      </c>
      <c r="D11145">
        <v>4</v>
      </c>
      <c r="E11145" t="s">
        <v>466</v>
      </c>
    </row>
    <row r="11146" spans="1:5" x14ac:dyDescent="0.35">
      <c r="A11146">
        <v>2022</v>
      </c>
      <c r="B11146" t="s">
        <v>35</v>
      </c>
      <c r="C11146" t="s">
        <v>140</v>
      </c>
      <c r="E11146" t="s">
        <v>355</v>
      </c>
    </row>
    <row r="11147" spans="1:5" x14ac:dyDescent="0.35">
      <c r="A11147">
        <v>2022</v>
      </c>
      <c r="B11147" t="s">
        <v>38</v>
      </c>
      <c r="C11147" t="s">
        <v>72</v>
      </c>
      <c r="D11147">
        <v>10047</v>
      </c>
      <c r="E11147" t="s">
        <v>466</v>
      </c>
    </row>
    <row r="11148" spans="1:5" x14ac:dyDescent="0.35">
      <c r="A11148">
        <v>2022</v>
      </c>
      <c r="B11148" t="s">
        <v>33</v>
      </c>
      <c r="C11148" t="s">
        <v>179</v>
      </c>
      <c r="D11148">
        <v>9</v>
      </c>
      <c r="E11148" t="s">
        <v>467</v>
      </c>
    </row>
    <row r="11149" spans="1:5" x14ac:dyDescent="0.35">
      <c r="A11149">
        <v>2022</v>
      </c>
      <c r="B11149" t="s">
        <v>35</v>
      </c>
      <c r="C11149" t="s">
        <v>81</v>
      </c>
      <c r="D11149">
        <v>121</v>
      </c>
      <c r="E11149" t="s">
        <v>466</v>
      </c>
    </row>
    <row r="11150" spans="1:5" x14ac:dyDescent="0.35">
      <c r="A11150">
        <v>2022</v>
      </c>
      <c r="B11150" t="s">
        <v>34</v>
      </c>
      <c r="C11150" t="s">
        <v>139</v>
      </c>
      <c r="E11150" t="s">
        <v>328</v>
      </c>
    </row>
    <row r="11151" spans="1:5" x14ac:dyDescent="0.35">
      <c r="A11151">
        <v>2022</v>
      </c>
      <c r="B11151" t="s">
        <v>33</v>
      </c>
      <c r="C11151" t="s">
        <v>61</v>
      </c>
      <c r="D11151">
        <v>9</v>
      </c>
      <c r="E11151" t="s">
        <v>466</v>
      </c>
    </row>
    <row r="11152" spans="1:5" x14ac:dyDescent="0.35">
      <c r="A11152">
        <v>2022</v>
      </c>
      <c r="B11152" t="s">
        <v>34</v>
      </c>
      <c r="C11152" t="s">
        <v>194</v>
      </c>
      <c r="E11152" t="s">
        <v>467</v>
      </c>
    </row>
    <row r="11153" spans="1:5" x14ac:dyDescent="0.35">
      <c r="A11153">
        <v>2022</v>
      </c>
      <c r="B11153" t="s">
        <v>38</v>
      </c>
      <c r="C11153" t="s">
        <v>59</v>
      </c>
      <c r="D11153">
        <v>1442</v>
      </c>
      <c r="E11153" t="s">
        <v>466</v>
      </c>
    </row>
    <row r="11154" spans="1:5" x14ac:dyDescent="0.35">
      <c r="A11154">
        <v>2022</v>
      </c>
      <c r="B11154" t="s">
        <v>34</v>
      </c>
      <c r="C11154" t="s">
        <v>139</v>
      </c>
      <c r="E11154" t="s">
        <v>355</v>
      </c>
    </row>
    <row r="11155" spans="1:5" x14ac:dyDescent="0.35">
      <c r="A11155">
        <v>2022</v>
      </c>
      <c r="B11155" t="s">
        <v>34</v>
      </c>
      <c r="C11155" t="s">
        <v>40</v>
      </c>
      <c r="D11155">
        <v>1069</v>
      </c>
      <c r="E11155" t="s">
        <v>466</v>
      </c>
    </row>
    <row r="11156" spans="1:5" x14ac:dyDescent="0.35">
      <c r="A11156">
        <v>2022</v>
      </c>
      <c r="B11156" t="s">
        <v>33</v>
      </c>
      <c r="C11156" t="s">
        <v>149</v>
      </c>
      <c r="D11156">
        <v>282</v>
      </c>
      <c r="E11156" t="s">
        <v>467</v>
      </c>
    </row>
    <row r="11157" spans="1:5" x14ac:dyDescent="0.35">
      <c r="A11157">
        <v>2022</v>
      </c>
      <c r="B11157" t="s">
        <v>35</v>
      </c>
      <c r="C11157" t="s">
        <v>41</v>
      </c>
      <c r="D11157">
        <v>192</v>
      </c>
      <c r="E11157" t="s">
        <v>466</v>
      </c>
    </row>
    <row r="11158" spans="1:5" x14ac:dyDescent="0.35">
      <c r="A11158">
        <v>2022</v>
      </c>
      <c r="B11158" t="s">
        <v>35</v>
      </c>
      <c r="C11158" t="s">
        <v>138</v>
      </c>
      <c r="D11158">
        <v>3</v>
      </c>
      <c r="E11158" t="s">
        <v>328</v>
      </c>
    </row>
    <row r="11159" spans="1:5" x14ac:dyDescent="0.35">
      <c r="A11159">
        <v>2022</v>
      </c>
      <c r="B11159" t="s">
        <v>33</v>
      </c>
      <c r="C11159" t="s">
        <v>42</v>
      </c>
      <c r="D11159">
        <v>1285</v>
      </c>
      <c r="E11159" t="s">
        <v>466</v>
      </c>
    </row>
    <row r="11160" spans="1:5" x14ac:dyDescent="0.35">
      <c r="A11160">
        <v>2022</v>
      </c>
      <c r="B11160" t="s">
        <v>37</v>
      </c>
      <c r="C11160" t="s">
        <v>146</v>
      </c>
      <c r="D11160">
        <v>83</v>
      </c>
      <c r="E11160" t="s">
        <v>467</v>
      </c>
    </row>
    <row r="11161" spans="1:5" x14ac:dyDescent="0.35">
      <c r="A11161">
        <v>2022</v>
      </c>
      <c r="C11161" t="s">
        <v>373</v>
      </c>
      <c r="D11161">
        <v>21</v>
      </c>
      <c r="E11161" t="s">
        <v>466</v>
      </c>
    </row>
    <row r="11162" spans="1:5" x14ac:dyDescent="0.35">
      <c r="A11162">
        <v>2022</v>
      </c>
      <c r="B11162" t="s">
        <v>35</v>
      </c>
      <c r="C11162" t="s">
        <v>138</v>
      </c>
      <c r="D11162">
        <v>5</v>
      </c>
      <c r="E11162" t="s">
        <v>355</v>
      </c>
    </row>
    <row r="11163" spans="1:5" x14ac:dyDescent="0.35">
      <c r="A11163">
        <v>2022</v>
      </c>
      <c r="B11163" t="s">
        <v>33</v>
      </c>
      <c r="C11163" t="s">
        <v>43</v>
      </c>
      <c r="D11163">
        <v>2286</v>
      </c>
      <c r="E11163" t="s">
        <v>466</v>
      </c>
    </row>
    <row r="11164" spans="1:5" x14ac:dyDescent="0.35">
      <c r="A11164">
        <v>2022</v>
      </c>
      <c r="B11164" t="s">
        <v>36</v>
      </c>
      <c r="C11164" t="s">
        <v>147</v>
      </c>
      <c r="D11164">
        <v>120</v>
      </c>
      <c r="E11164" t="s">
        <v>467</v>
      </c>
    </row>
    <row r="11165" spans="1:5" x14ac:dyDescent="0.35">
      <c r="A11165">
        <v>2022</v>
      </c>
      <c r="B11165" t="s">
        <v>36</v>
      </c>
      <c r="C11165" t="s">
        <v>44</v>
      </c>
      <c r="D11165">
        <v>23</v>
      </c>
      <c r="E11165" t="s">
        <v>466</v>
      </c>
    </row>
    <row r="11166" spans="1:5" x14ac:dyDescent="0.35">
      <c r="A11166">
        <v>2022</v>
      </c>
      <c r="B11166" t="s">
        <v>37</v>
      </c>
      <c r="C11166" t="s">
        <v>137</v>
      </c>
      <c r="D11166">
        <v>7</v>
      </c>
      <c r="E11166" t="s">
        <v>355</v>
      </c>
    </row>
    <row r="11167" spans="1:5" x14ac:dyDescent="0.35">
      <c r="A11167">
        <v>2022</v>
      </c>
      <c r="B11167" t="s">
        <v>38</v>
      </c>
      <c r="C11167" t="s">
        <v>45</v>
      </c>
      <c r="D11167">
        <v>1179</v>
      </c>
      <c r="E11167" t="s">
        <v>466</v>
      </c>
    </row>
    <row r="11168" spans="1:5" x14ac:dyDescent="0.35">
      <c r="A11168">
        <v>2022</v>
      </c>
      <c r="B11168" t="s">
        <v>34</v>
      </c>
      <c r="C11168" t="s">
        <v>67</v>
      </c>
      <c r="D11168">
        <v>5</v>
      </c>
      <c r="E11168" t="s">
        <v>467</v>
      </c>
    </row>
    <row r="11169" spans="1:5" x14ac:dyDescent="0.35">
      <c r="A11169">
        <v>2022</v>
      </c>
      <c r="B11169" t="s">
        <v>34</v>
      </c>
      <c r="C11169" t="s">
        <v>46</v>
      </c>
      <c r="D11169">
        <v>3430</v>
      </c>
      <c r="E11169" t="s">
        <v>466</v>
      </c>
    </row>
    <row r="11170" spans="1:5" x14ac:dyDescent="0.35">
      <c r="A11170">
        <v>2022</v>
      </c>
      <c r="B11170" t="s">
        <v>35</v>
      </c>
      <c r="C11170" t="s">
        <v>127</v>
      </c>
      <c r="E11170" t="s">
        <v>328</v>
      </c>
    </row>
    <row r="11171" spans="1:5" x14ac:dyDescent="0.35">
      <c r="A11171">
        <v>2022</v>
      </c>
      <c r="B11171" t="s">
        <v>37</v>
      </c>
      <c r="C11171" t="s">
        <v>47</v>
      </c>
      <c r="D11171">
        <v>445</v>
      </c>
      <c r="E11171" t="s">
        <v>466</v>
      </c>
    </row>
    <row r="11172" spans="1:5" x14ac:dyDescent="0.35">
      <c r="A11172">
        <v>2022</v>
      </c>
      <c r="B11172" t="s">
        <v>33</v>
      </c>
      <c r="C11172" t="s">
        <v>68</v>
      </c>
      <c r="D11172">
        <v>26</v>
      </c>
      <c r="E11172" t="s">
        <v>467</v>
      </c>
    </row>
    <row r="11173" spans="1:5" x14ac:dyDescent="0.35">
      <c r="A11173">
        <v>2022</v>
      </c>
      <c r="B11173" t="s">
        <v>35</v>
      </c>
      <c r="C11173" t="s">
        <v>60</v>
      </c>
      <c r="D11173">
        <v>57</v>
      </c>
      <c r="E11173" t="s">
        <v>466</v>
      </c>
    </row>
    <row r="11174" spans="1:5" x14ac:dyDescent="0.35">
      <c r="A11174">
        <v>2022</v>
      </c>
      <c r="B11174" t="s">
        <v>36</v>
      </c>
      <c r="C11174" t="s">
        <v>14</v>
      </c>
      <c r="D11174">
        <v>21266</v>
      </c>
      <c r="E11174" t="s">
        <v>328</v>
      </c>
    </row>
    <row r="11175" spans="1:5" x14ac:dyDescent="0.35">
      <c r="A11175">
        <v>2022</v>
      </c>
      <c r="B11175" t="s">
        <v>35</v>
      </c>
      <c r="C11175" t="s">
        <v>48</v>
      </c>
      <c r="D11175">
        <v>55</v>
      </c>
      <c r="E11175" t="s">
        <v>466</v>
      </c>
    </row>
    <row r="11176" spans="1:5" x14ac:dyDescent="0.35">
      <c r="A11176">
        <v>2022</v>
      </c>
      <c r="B11176" t="s">
        <v>36</v>
      </c>
      <c r="C11176" t="s">
        <v>69</v>
      </c>
      <c r="D11176">
        <v>15693</v>
      </c>
      <c r="E11176" t="s">
        <v>467</v>
      </c>
    </row>
    <row r="11177" spans="1:5" x14ac:dyDescent="0.35">
      <c r="A11177">
        <v>2022</v>
      </c>
      <c r="B11177" t="s">
        <v>36</v>
      </c>
      <c r="C11177" t="s">
        <v>50</v>
      </c>
      <c r="D11177">
        <v>897</v>
      </c>
      <c r="E11177" t="s">
        <v>466</v>
      </c>
    </row>
    <row r="11178" spans="1:5" x14ac:dyDescent="0.35">
      <c r="A11178">
        <v>2022</v>
      </c>
      <c r="B11178" t="s">
        <v>33</v>
      </c>
      <c r="C11178" t="s">
        <v>135</v>
      </c>
      <c r="D11178">
        <v>4</v>
      </c>
      <c r="E11178" t="s">
        <v>328</v>
      </c>
    </row>
    <row r="11179" spans="1:5" x14ac:dyDescent="0.35">
      <c r="A11179">
        <v>2022</v>
      </c>
      <c r="B11179" t="s">
        <v>34</v>
      </c>
      <c r="C11179" t="s">
        <v>51</v>
      </c>
      <c r="E11179" t="s">
        <v>466</v>
      </c>
    </row>
    <row r="11180" spans="1:5" x14ac:dyDescent="0.35">
      <c r="A11180">
        <v>2022</v>
      </c>
      <c r="B11180" t="s">
        <v>38</v>
      </c>
      <c r="C11180" t="s">
        <v>72</v>
      </c>
      <c r="D11180">
        <v>1436</v>
      </c>
      <c r="E11180" t="s">
        <v>467</v>
      </c>
    </row>
    <row r="11181" spans="1:5" x14ac:dyDescent="0.35">
      <c r="A11181">
        <v>2022</v>
      </c>
      <c r="B11181" t="s">
        <v>34</v>
      </c>
      <c r="C11181" t="s">
        <v>52</v>
      </c>
      <c r="D11181">
        <v>2759</v>
      </c>
      <c r="E11181" t="s">
        <v>466</v>
      </c>
    </row>
    <row r="11182" spans="1:5" x14ac:dyDescent="0.35">
      <c r="A11182">
        <v>2022</v>
      </c>
      <c r="B11182" t="s">
        <v>33</v>
      </c>
      <c r="C11182" t="s">
        <v>135</v>
      </c>
      <c r="D11182">
        <v>0</v>
      </c>
      <c r="E11182" t="s">
        <v>355</v>
      </c>
    </row>
    <row r="11183" spans="1:5" x14ac:dyDescent="0.35">
      <c r="A11183">
        <v>2022</v>
      </c>
      <c r="B11183" t="s">
        <v>36</v>
      </c>
      <c r="C11183" t="s">
        <v>53</v>
      </c>
      <c r="D11183">
        <v>31</v>
      </c>
      <c r="E11183" t="s">
        <v>466</v>
      </c>
    </row>
    <row r="11184" spans="1:5" x14ac:dyDescent="0.35">
      <c r="A11184">
        <v>2022</v>
      </c>
      <c r="B11184" t="s">
        <v>34</v>
      </c>
      <c r="C11184" t="s">
        <v>73</v>
      </c>
      <c r="D11184">
        <v>1848</v>
      </c>
      <c r="E11184" t="s">
        <v>467</v>
      </c>
    </row>
    <row r="11185" spans="1:5" x14ac:dyDescent="0.35">
      <c r="A11185">
        <v>2022</v>
      </c>
      <c r="B11185" t="s">
        <v>35</v>
      </c>
      <c r="C11185" t="s">
        <v>54</v>
      </c>
      <c r="D11185">
        <v>1863</v>
      </c>
      <c r="E11185" t="s">
        <v>466</v>
      </c>
    </row>
    <row r="11186" spans="1:5" x14ac:dyDescent="0.35">
      <c r="A11186">
        <v>2022</v>
      </c>
      <c r="B11186" t="s">
        <v>37</v>
      </c>
      <c r="C11186" t="s">
        <v>134</v>
      </c>
      <c r="D11186">
        <v>0</v>
      </c>
      <c r="E11186" t="s">
        <v>355</v>
      </c>
    </row>
    <row r="11187" spans="1:5" x14ac:dyDescent="0.35">
      <c r="A11187">
        <v>2022</v>
      </c>
      <c r="B11187" t="s">
        <v>35</v>
      </c>
      <c r="C11187" t="s">
        <v>55</v>
      </c>
      <c r="D11187">
        <v>231</v>
      </c>
      <c r="E11187" t="s">
        <v>466</v>
      </c>
    </row>
    <row r="11188" spans="1:5" x14ac:dyDescent="0.35">
      <c r="A11188">
        <v>2022</v>
      </c>
      <c r="B11188" t="s">
        <v>38</v>
      </c>
      <c r="C11188" t="s">
        <v>20</v>
      </c>
      <c r="D11188">
        <v>936</v>
      </c>
      <c r="E11188" t="s">
        <v>467</v>
      </c>
    </row>
    <row r="11189" spans="1:5" x14ac:dyDescent="0.35">
      <c r="A11189">
        <v>2022</v>
      </c>
      <c r="B11189" t="s">
        <v>36</v>
      </c>
      <c r="C11189" t="s">
        <v>56</v>
      </c>
      <c r="D11189">
        <v>984</v>
      </c>
      <c r="E11189" t="s">
        <v>466</v>
      </c>
    </row>
    <row r="11190" spans="1:5" x14ac:dyDescent="0.35">
      <c r="A11190">
        <v>2022</v>
      </c>
      <c r="B11190" t="s">
        <v>33</v>
      </c>
      <c r="C11190" t="s">
        <v>132</v>
      </c>
      <c r="D11190">
        <v>5</v>
      </c>
      <c r="E11190" t="s">
        <v>328</v>
      </c>
    </row>
    <row r="11191" spans="1:5" x14ac:dyDescent="0.35">
      <c r="A11191">
        <v>2022</v>
      </c>
      <c r="B11191" t="s">
        <v>33</v>
      </c>
      <c r="C11191" t="s">
        <v>57</v>
      </c>
      <c r="D11191">
        <v>203</v>
      </c>
      <c r="E11191" t="s">
        <v>466</v>
      </c>
    </row>
    <row r="11192" spans="1:5" x14ac:dyDescent="0.35">
      <c r="A11192">
        <v>2022</v>
      </c>
      <c r="B11192" t="s">
        <v>33</v>
      </c>
      <c r="C11192" t="s">
        <v>74</v>
      </c>
      <c r="D11192">
        <v>33</v>
      </c>
      <c r="E11192" t="s">
        <v>467</v>
      </c>
    </row>
    <row r="11193" spans="1:5" x14ac:dyDescent="0.35">
      <c r="A11193">
        <v>2022</v>
      </c>
      <c r="B11193" t="s">
        <v>34</v>
      </c>
      <c r="C11193" t="s">
        <v>58</v>
      </c>
      <c r="D11193">
        <v>17</v>
      </c>
      <c r="E11193" t="s">
        <v>466</v>
      </c>
    </row>
    <row r="11194" spans="1:5" x14ac:dyDescent="0.35">
      <c r="A11194">
        <v>2022</v>
      </c>
      <c r="B11194" t="s">
        <v>33</v>
      </c>
      <c r="C11194" t="s">
        <v>132</v>
      </c>
      <c r="D11194">
        <v>5</v>
      </c>
      <c r="E11194" t="s">
        <v>355</v>
      </c>
    </row>
    <row r="11195" spans="1:5" x14ac:dyDescent="0.35">
      <c r="A11195">
        <v>2022</v>
      </c>
      <c r="B11195" t="s">
        <v>34</v>
      </c>
      <c r="C11195" t="s">
        <v>49</v>
      </c>
      <c r="D11195">
        <v>362</v>
      </c>
      <c r="E11195" t="s">
        <v>466</v>
      </c>
    </row>
    <row r="11196" spans="1:5" x14ac:dyDescent="0.35">
      <c r="A11196">
        <v>2022</v>
      </c>
      <c r="B11196" t="s">
        <v>33</v>
      </c>
      <c r="C11196" t="s">
        <v>75</v>
      </c>
      <c r="D11196">
        <v>10</v>
      </c>
      <c r="E11196" t="s">
        <v>467</v>
      </c>
    </row>
    <row r="11197" spans="1:5" x14ac:dyDescent="0.35">
      <c r="A11197">
        <v>2022</v>
      </c>
      <c r="B11197" t="s">
        <v>35</v>
      </c>
      <c r="C11197" t="s">
        <v>214</v>
      </c>
      <c r="E11197" t="s">
        <v>466</v>
      </c>
    </row>
    <row r="11198" spans="1:5" x14ac:dyDescent="0.35">
      <c r="A11198">
        <v>2022</v>
      </c>
      <c r="B11198" t="s">
        <v>34</v>
      </c>
      <c r="C11198" t="s">
        <v>131</v>
      </c>
      <c r="E11198" t="s">
        <v>328</v>
      </c>
    </row>
    <row r="11199" spans="1:5" x14ac:dyDescent="0.35">
      <c r="A11199">
        <v>2022</v>
      </c>
      <c r="B11199" t="s">
        <v>35</v>
      </c>
      <c r="C11199" t="s">
        <v>82</v>
      </c>
      <c r="D11199">
        <v>40</v>
      </c>
      <c r="E11199" t="s">
        <v>466</v>
      </c>
    </row>
    <row r="11200" spans="1:5" x14ac:dyDescent="0.35">
      <c r="A11200">
        <v>2022</v>
      </c>
      <c r="B11200" t="s">
        <v>36</v>
      </c>
      <c r="C11200" t="s">
        <v>76</v>
      </c>
      <c r="D11200">
        <v>76</v>
      </c>
      <c r="E11200" t="s">
        <v>467</v>
      </c>
    </row>
    <row r="11201" spans="1:5" x14ac:dyDescent="0.35">
      <c r="A11201">
        <v>2022</v>
      </c>
      <c r="B11201" t="s">
        <v>33</v>
      </c>
      <c r="C11201" t="s">
        <v>83</v>
      </c>
      <c r="D11201">
        <v>5</v>
      </c>
      <c r="E11201" t="s">
        <v>466</v>
      </c>
    </row>
    <row r="11202" spans="1:5" x14ac:dyDescent="0.35">
      <c r="A11202">
        <v>2022</v>
      </c>
      <c r="B11202" t="s">
        <v>36</v>
      </c>
      <c r="C11202" t="s">
        <v>14</v>
      </c>
      <c r="D11202">
        <v>40781</v>
      </c>
      <c r="E11202" t="s">
        <v>355</v>
      </c>
    </row>
    <row r="11203" spans="1:5" x14ac:dyDescent="0.35">
      <c r="A11203">
        <v>2022</v>
      </c>
      <c r="B11203" t="s">
        <v>35</v>
      </c>
      <c r="C11203" t="s">
        <v>106</v>
      </c>
      <c r="D11203">
        <v>15</v>
      </c>
      <c r="E11203" t="s">
        <v>466</v>
      </c>
    </row>
    <row r="11204" spans="1:5" x14ac:dyDescent="0.35">
      <c r="A11204">
        <v>2022</v>
      </c>
      <c r="B11204" t="s">
        <v>33</v>
      </c>
      <c r="C11204" t="s">
        <v>77</v>
      </c>
      <c r="D11204">
        <v>6</v>
      </c>
      <c r="E11204" t="s">
        <v>467</v>
      </c>
    </row>
    <row r="11205" spans="1:5" x14ac:dyDescent="0.35">
      <c r="A11205">
        <v>2022</v>
      </c>
      <c r="B11205" t="s">
        <v>34</v>
      </c>
      <c r="C11205" t="s">
        <v>22</v>
      </c>
      <c r="D11205">
        <v>27292</v>
      </c>
      <c r="E11205" t="s">
        <v>466</v>
      </c>
    </row>
    <row r="11206" spans="1:5" x14ac:dyDescent="0.35">
      <c r="A11206">
        <v>2022</v>
      </c>
      <c r="B11206" t="s">
        <v>35</v>
      </c>
      <c r="C11206" t="s">
        <v>161</v>
      </c>
      <c r="D11206">
        <v>73</v>
      </c>
      <c r="E11206" t="s">
        <v>355</v>
      </c>
    </row>
    <row r="11207" spans="1:5" x14ac:dyDescent="0.35">
      <c r="A11207">
        <v>2022</v>
      </c>
      <c r="B11207" t="s">
        <v>34</v>
      </c>
      <c r="C11207" t="s">
        <v>107</v>
      </c>
      <c r="D11207">
        <v>314</v>
      </c>
      <c r="E11207" t="s">
        <v>466</v>
      </c>
    </row>
    <row r="11208" spans="1:5" x14ac:dyDescent="0.35">
      <c r="A11208">
        <v>2022</v>
      </c>
      <c r="B11208" t="s">
        <v>35</v>
      </c>
      <c r="C11208" t="s">
        <v>78</v>
      </c>
      <c r="D11208">
        <v>47</v>
      </c>
      <c r="E11208" t="s">
        <v>467</v>
      </c>
    </row>
    <row r="11209" spans="1:5" x14ac:dyDescent="0.35">
      <c r="A11209">
        <v>2022</v>
      </c>
      <c r="B11209" t="s">
        <v>34</v>
      </c>
      <c r="C11209" t="s">
        <v>108</v>
      </c>
      <c r="D11209">
        <v>2026</v>
      </c>
      <c r="E11209" t="s">
        <v>466</v>
      </c>
    </row>
    <row r="11210" spans="1:5" x14ac:dyDescent="0.35">
      <c r="A11210">
        <v>2022</v>
      </c>
      <c r="B11210" t="s">
        <v>34</v>
      </c>
      <c r="C11210" t="s">
        <v>185</v>
      </c>
      <c r="D11210">
        <v>32</v>
      </c>
      <c r="E11210" t="s">
        <v>355</v>
      </c>
    </row>
    <row r="11211" spans="1:5" x14ac:dyDescent="0.35">
      <c r="A11211">
        <v>2022</v>
      </c>
      <c r="B11211" t="s">
        <v>35</v>
      </c>
      <c r="C11211" t="s">
        <v>110</v>
      </c>
      <c r="D11211">
        <v>570</v>
      </c>
      <c r="E11211" t="s">
        <v>466</v>
      </c>
    </row>
    <row r="11212" spans="1:5" x14ac:dyDescent="0.35">
      <c r="A11212">
        <v>2022</v>
      </c>
      <c r="B11212" t="s">
        <v>36</v>
      </c>
      <c r="C11212" t="s">
        <v>79</v>
      </c>
      <c r="D11212">
        <v>46</v>
      </c>
      <c r="E11212" t="s">
        <v>467</v>
      </c>
    </row>
    <row r="11213" spans="1:5" x14ac:dyDescent="0.35">
      <c r="A11213">
        <v>2022</v>
      </c>
      <c r="B11213" t="s">
        <v>34</v>
      </c>
      <c r="C11213" t="s">
        <v>111</v>
      </c>
      <c r="D11213">
        <v>329</v>
      </c>
      <c r="E11213" t="s">
        <v>466</v>
      </c>
    </row>
    <row r="11214" spans="1:5" x14ac:dyDescent="0.35">
      <c r="A11214">
        <v>2022</v>
      </c>
      <c r="B11214" t="s">
        <v>33</v>
      </c>
      <c r="C11214" t="s">
        <v>162</v>
      </c>
      <c r="E11214" t="s">
        <v>355</v>
      </c>
    </row>
    <row r="11215" spans="1:5" x14ac:dyDescent="0.35">
      <c r="A11215">
        <v>2022</v>
      </c>
      <c r="B11215" t="s">
        <v>35</v>
      </c>
      <c r="C11215" t="s">
        <v>112</v>
      </c>
      <c r="D11215">
        <v>1107</v>
      </c>
      <c r="E11215" t="s">
        <v>466</v>
      </c>
    </row>
    <row r="11216" spans="1:5" x14ac:dyDescent="0.35">
      <c r="A11216">
        <v>2022</v>
      </c>
      <c r="B11216" t="s">
        <v>34</v>
      </c>
      <c r="C11216" t="s">
        <v>80</v>
      </c>
      <c r="E11216" t="s">
        <v>467</v>
      </c>
    </row>
    <row r="11217" spans="1:5" x14ac:dyDescent="0.35">
      <c r="A11217">
        <v>2022</v>
      </c>
      <c r="B11217" t="s">
        <v>36</v>
      </c>
      <c r="C11217" t="s">
        <v>113</v>
      </c>
      <c r="D11217">
        <v>5305</v>
      </c>
      <c r="E11217" t="s">
        <v>466</v>
      </c>
    </row>
    <row r="11218" spans="1:5" x14ac:dyDescent="0.35">
      <c r="A11218">
        <v>2022</v>
      </c>
      <c r="B11218" t="s">
        <v>33</v>
      </c>
      <c r="C11218" t="s">
        <v>195</v>
      </c>
      <c r="E11218" t="s">
        <v>355</v>
      </c>
    </row>
    <row r="11219" spans="1:5" x14ac:dyDescent="0.35">
      <c r="A11219">
        <v>2022</v>
      </c>
      <c r="B11219" t="s">
        <v>34</v>
      </c>
      <c r="C11219" t="s">
        <v>114</v>
      </c>
      <c r="D11219">
        <v>478</v>
      </c>
      <c r="E11219" t="s">
        <v>466</v>
      </c>
    </row>
    <row r="11220" spans="1:5" x14ac:dyDescent="0.35">
      <c r="A11220">
        <v>2022</v>
      </c>
      <c r="B11220" t="s">
        <v>35</v>
      </c>
      <c r="C11220" t="s">
        <v>81</v>
      </c>
      <c r="D11220">
        <v>98</v>
      </c>
      <c r="E11220" t="s">
        <v>467</v>
      </c>
    </row>
    <row r="11221" spans="1:5" x14ac:dyDescent="0.35">
      <c r="A11221">
        <v>2022</v>
      </c>
      <c r="B11221" t="s">
        <v>35</v>
      </c>
      <c r="C11221" t="s">
        <v>105</v>
      </c>
      <c r="D11221">
        <v>184</v>
      </c>
      <c r="E11221" t="s">
        <v>466</v>
      </c>
    </row>
    <row r="11222" spans="1:5" x14ac:dyDescent="0.35">
      <c r="A11222">
        <v>2022</v>
      </c>
      <c r="B11222" t="s">
        <v>34</v>
      </c>
      <c r="C11222" t="s">
        <v>194</v>
      </c>
      <c r="E11222" t="s">
        <v>328</v>
      </c>
    </row>
    <row r="11223" spans="1:5" x14ac:dyDescent="0.35">
      <c r="A11223">
        <v>2022</v>
      </c>
      <c r="B11223" t="s">
        <v>34</v>
      </c>
      <c r="C11223" t="s">
        <v>115</v>
      </c>
      <c r="D11223">
        <v>249</v>
      </c>
      <c r="E11223" t="s">
        <v>466</v>
      </c>
    </row>
    <row r="11224" spans="1:5" x14ac:dyDescent="0.35">
      <c r="A11224">
        <v>2022</v>
      </c>
      <c r="B11224" t="s">
        <v>35</v>
      </c>
      <c r="C11224" t="s">
        <v>82</v>
      </c>
      <c r="D11224">
        <v>39</v>
      </c>
      <c r="E11224" t="s">
        <v>467</v>
      </c>
    </row>
    <row r="11225" spans="1:5" x14ac:dyDescent="0.35">
      <c r="A11225">
        <v>2022</v>
      </c>
      <c r="B11225" t="s">
        <v>33</v>
      </c>
      <c r="C11225" t="s">
        <v>117</v>
      </c>
      <c r="D11225">
        <v>220</v>
      </c>
      <c r="E11225" t="s">
        <v>466</v>
      </c>
    </row>
    <row r="11226" spans="1:5" x14ac:dyDescent="0.35">
      <c r="A11226">
        <v>2022</v>
      </c>
      <c r="B11226" t="s">
        <v>34</v>
      </c>
      <c r="C11226" t="s">
        <v>194</v>
      </c>
      <c r="D11226">
        <v>0</v>
      </c>
      <c r="E11226" t="s">
        <v>355</v>
      </c>
    </row>
    <row r="11227" spans="1:5" x14ac:dyDescent="0.35">
      <c r="A11227">
        <v>2022</v>
      </c>
      <c r="B11227" t="s">
        <v>34</v>
      </c>
      <c r="C11227" t="s">
        <v>118</v>
      </c>
      <c r="D11227">
        <v>983</v>
      </c>
      <c r="E11227" t="s">
        <v>466</v>
      </c>
    </row>
    <row r="11228" spans="1:5" x14ac:dyDescent="0.35">
      <c r="A11228">
        <v>2022</v>
      </c>
      <c r="B11228" t="s">
        <v>36</v>
      </c>
      <c r="C11228" t="s">
        <v>84</v>
      </c>
      <c r="D11228">
        <v>5</v>
      </c>
      <c r="E11228" t="s">
        <v>467</v>
      </c>
    </row>
    <row r="11229" spans="1:5" x14ac:dyDescent="0.35">
      <c r="A11229">
        <v>2022</v>
      </c>
      <c r="B11229" t="s">
        <v>35</v>
      </c>
      <c r="C11229" t="s">
        <v>119</v>
      </c>
      <c r="D11229">
        <v>104</v>
      </c>
      <c r="E11229" t="s">
        <v>466</v>
      </c>
    </row>
    <row r="11230" spans="1:5" x14ac:dyDescent="0.35">
      <c r="A11230">
        <v>2022</v>
      </c>
      <c r="B11230" t="s">
        <v>34</v>
      </c>
      <c r="C11230" t="s">
        <v>193</v>
      </c>
      <c r="D11230">
        <v>136</v>
      </c>
      <c r="E11230" t="s">
        <v>328</v>
      </c>
    </row>
    <row r="11231" spans="1:5" x14ac:dyDescent="0.35">
      <c r="A11231">
        <v>2022</v>
      </c>
      <c r="B11231" t="s">
        <v>34</v>
      </c>
      <c r="C11231" t="s">
        <v>120</v>
      </c>
      <c r="D11231">
        <v>26</v>
      </c>
      <c r="E11231" t="s">
        <v>466</v>
      </c>
    </row>
    <row r="11232" spans="1:5" x14ac:dyDescent="0.35">
      <c r="A11232">
        <v>2022</v>
      </c>
      <c r="B11232" t="s">
        <v>36</v>
      </c>
      <c r="C11232" t="s">
        <v>85</v>
      </c>
      <c r="D11232">
        <v>356</v>
      </c>
      <c r="E11232" t="s">
        <v>467</v>
      </c>
    </row>
    <row r="11233" spans="1:5" x14ac:dyDescent="0.35">
      <c r="A11233">
        <v>2022</v>
      </c>
      <c r="B11233" t="s">
        <v>34</v>
      </c>
      <c r="C11233" t="s">
        <v>121</v>
      </c>
      <c r="D11233">
        <v>789</v>
      </c>
      <c r="E11233" t="s">
        <v>466</v>
      </c>
    </row>
    <row r="11234" spans="1:5" x14ac:dyDescent="0.35">
      <c r="A11234">
        <v>2022</v>
      </c>
      <c r="B11234" t="s">
        <v>34</v>
      </c>
      <c r="C11234" t="s">
        <v>193</v>
      </c>
      <c r="D11234">
        <v>78</v>
      </c>
      <c r="E11234" t="s">
        <v>355</v>
      </c>
    </row>
    <row r="11235" spans="1:5" x14ac:dyDescent="0.35">
      <c r="A11235">
        <v>2022</v>
      </c>
      <c r="B11235" t="s">
        <v>34</v>
      </c>
      <c r="C11235" t="s">
        <v>122</v>
      </c>
      <c r="D11235">
        <v>52</v>
      </c>
      <c r="E11235" t="s">
        <v>466</v>
      </c>
    </row>
    <row r="11236" spans="1:5" x14ac:dyDescent="0.35">
      <c r="A11236">
        <v>2022</v>
      </c>
      <c r="B11236" t="s">
        <v>38</v>
      </c>
      <c r="C11236" t="s">
        <v>86</v>
      </c>
      <c r="D11236">
        <v>192</v>
      </c>
      <c r="E11236" t="s">
        <v>467</v>
      </c>
    </row>
    <row r="11237" spans="1:5" x14ac:dyDescent="0.35">
      <c r="A11237">
        <v>2022</v>
      </c>
      <c r="B11237" t="s">
        <v>35</v>
      </c>
      <c r="C11237" t="s">
        <v>123</v>
      </c>
      <c r="D11237">
        <v>50</v>
      </c>
      <c r="E11237" t="s">
        <v>466</v>
      </c>
    </row>
    <row r="11238" spans="1:5" x14ac:dyDescent="0.35">
      <c r="A11238">
        <v>2022</v>
      </c>
      <c r="B11238" t="s">
        <v>33</v>
      </c>
      <c r="C11238" t="s">
        <v>192</v>
      </c>
      <c r="D11238">
        <v>5</v>
      </c>
      <c r="E11238" t="s">
        <v>355</v>
      </c>
    </row>
    <row r="11239" spans="1:5" x14ac:dyDescent="0.35">
      <c r="A11239">
        <v>2022</v>
      </c>
      <c r="B11239" t="s">
        <v>34</v>
      </c>
      <c r="C11239" t="s">
        <v>124</v>
      </c>
      <c r="D11239">
        <v>294</v>
      </c>
      <c r="E11239" t="s">
        <v>466</v>
      </c>
    </row>
    <row r="11240" spans="1:5" x14ac:dyDescent="0.35">
      <c r="A11240">
        <v>2022</v>
      </c>
      <c r="B11240" t="s">
        <v>33</v>
      </c>
      <c r="C11240" t="s">
        <v>87</v>
      </c>
      <c r="D11240">
        <v>60</v>
      </c>
      <c r="E11240" t="s">
        <v>467</v>
      </c>
    </row>
    <row r="11241" spans="1:5" x14ac:dyDescent="0.35">
      <c r="A11241">
        <v>2022</v>
      </c>
      <c r="B11241" t="s">
        <v>33</v>
      </c>
      <c r="C11241" t="s">
        <v>125</v>
      </c>
      <c r="D11241">
        <v>86</v>
      </c>
      <c r="E11241" t="s">
        <v>466</v>
      </c>
    </row>
    <row r="11242" spans="1:5" x14ac:dyDescent="0.35">
      <c r="A11242">
        <v>2022</v>
      </c>
      <c r="B11242" t="s">
        <v>33</v>
      </c>
      <c r="C11242" t="s">
        <v>195</v>
      </c>
      <c r="E11242" t="s">
        <v>328</v>
      </c>
    </row>
    <row r="11243" spans="1:5" x14ac:dyDescent="0.35">
      <c r="A11243">
        <v>2022</v>
      </c>
      <c r="B11243" t="s">
        <v>34</v>
      </c>
      <c r="C11243" t="s">
        <v>116</v>
      </c>
      <c r="D11243">
        <v>507</v>
      </c>
      <c r="E11243" t="s">
        <v>466</v>
      </c>
    </row>
    <row r="11244" spans="1:5" x14ac:dyDescent="0.35">
      <c r="A11244">
        <v>2022</v>
      </c>
      <c r="B11244" t="s">
        <v>36</v>
      </c>
      <c r="C11244" t="s">
        <v>16</v>
      </c>
      <c r="D11244">
        <v>214</v>
      </c>
      <c r="E11244" t="s">
        <v>467</v>
      </c>
    </row>
    <row r="11245" spans="1:5" x14ac:dyDescent="0.35">
      <c r="A11245">
        <v>2022</v>
      </c>
      <c r="B11245" t="s">
        <v>36</v>
      </c>
      <c r="C11245" t="s">
        <v>17</v>
      </c>
      <c r="D11245">
        <v>230593</v>
      </c>
      <c r="E11245" t="s">
        <v>466</v>
      </c>
    </row>
    <row r="11246" spans="1:5" x14ac:dyDescent="0.35">
      <c r="A11246">
        <v>2022</v>
      </c>
      <c r="B11246" t="s">
        <v>36</v>
      </c>
      <c r="C11246" t="s">
        <v>191</v>
      </c>
      <c r="D11246">
        <v>6</v>
      </c>
      <c r="E11246" t="s">
        <v>328</v>
      </c>
    </row>
    <row r="11247" spans="1:5" x14ac:dyDescent="0.35">
      <c r="A11247">
        <v>2022</v>
      </c>
      <c r="B11247" t="s">
        <v>36</v>
      </c>
      <c r="C11247" t="s">
        <v>104</v>
      </c>
      <c r="D11247">
        <v>60598</v>
      </c>
      <c r="E11247" t="s">
        <v>466</v>
      </c>
    </row>
    <row r="11248" spans="1:5" x14ac:dyDescent="0.35">
      <c r="A11248">
        <v>2022</v>
      </c>
      <c r="B11248" t="s">
        <v>33</v>
      </c>
      <c r="C11248" t="s">
        <v>89</v>
      </c>
      <c r="D11248">
        <v>26</v>
      </c>
      <c r="E11248" t="s">
        <v>467</v>
      </c>
    </row>
    <row r="11249" spans="1:5" x14ac:dyDescent="0.35">
      <c r="A11249">
        <v>2022</v>
      </c>
      <c r="B11249" t="s">
        <v>38</v>
      </c>
      <c r="C11249" t="s">
        <v>103</v>
      </c>
      <c r="D11249">
        <v>301</v>
      </c>
      <c r="E11249" t="s">
        <v>466</v>
      </c>
    </row>
    <row r="11250" spans="1:5" x14ac:dyDescent="0.35">
      <c r="A11250">
        <v>2022</v>
      </c>
      <c r="B11250" t="s">
        <v>37</v>
      </c>
      <c r="C11250" t="s">
        <v>190</v>
      </c>
      <c r="D11250">
        <v>4</v>
      </c>
      <c r="E11250" t="s">
        <v>355</v>
      </c>
    </row>
    <row r="11251" spans="1:5" x14ac:dyDescent="0.35">
      <c r="A11251">
        <v>2022</v>
      </c>
      <c r="B11251" t="s">
        <v>36</v>
      </c>
      <c r="C11251" t="s">
        <v>84</v>
      </c>
      <c r="D11251">
        <v>36</v>
      </c>
      <c r="E11251" t="s">
        <v>466</v>
      </c>
    </row>
    <row r="11252" spans="1:5" x14ac:dyDescent="0.35">
      <c r="A11252">
        <v>2022</v>
      </c>
      <c r="B11252" t="s">
        <v>33</v>
      </c>
      <c r="C11252" t="s">
        <v>66</v>
      </c>
      <c r="D11252">
        <v>9</v>
      </c>
      <c r="E11252" t="s">
        <v>467</v>
      </c>
    </row>
    <row r="11253" spans="1:5" x14ac:dyDescent="0.35">
      <c r="A11253">
        <v>2022</v>
      </c>
      <c r="B11253" t="s">
        <v>36</v>
      </c>
      <c r="C11253" t="s">
        <v>85</v>
      </c>
      <c r="D11253">
        <v>8628</v>
      </c>
      <c r="E11253" t="s">
        <v>466</v>
      </c>
    </row>
    <row r="11254" spans="1:5" x14ac:dyDescent="0.35">
      <c r="A11254">
        <v>2022</v>
      </c>
      <c r="B11254" t="s">
        <v>33</v>
      </c>
      <c r="C11254" t="s">
        <v>189</v>
      </c>
      <c r="E11254" t="s">
        <v>328</v>
      </c>
    </row>
    <row r="11255" spans="1:5" x14ac:dyDescent="0.35">
      <c r="A11255">
        <v>2022</v>
      </c>
      <c r="B11255" t="s">
        <v>38</v>
      </c>
      <c r="C11255" t="s">
        <v>86</v>
      </c>
      <c r="D11255">
        <v>33255</v>
      </c>
      <c r="E11255" t="s">
        <v>466</v>
      </c>
    </row>
    <row r="11256" spans="1:5" x14ac:dyDescent="0.35">
      <c r="A11256">
        <v>2022</v>
      </c>
      <c r="B11256" t="s">
        <v>33</v>
      </c>
      <c r="C11256" t="s">
        <v>65</v>
      </c>
      <c r="D11256">
        <v>7</v>
      </c>
      <c r="E11256" t="s">
        <v>467</v>
      </c>
    </row>
    <row r="11257" spans="1:5" x14ac:dyDescent="0.35">
      <c r="A11257">
        <v>2022</v>
      </c>
      <c r="B11257" t="s">
        <v>33</v>
      </c>
      <c r="C11257" t="s">
        <v>87</v>
      </c>
      <c r="D11257">
        <v>258</v>
      </c>
      <c r="E11257" t="s">
        <v>466</v>
      </c>
    </row>
    <row r="11258" spans="1:5" x14ac:dyDescent="0.35">
      <c r="A11258">
        <v>2022</v>
      </c>
      <c r="B11258" t="s">
        <v>33</v>
      </c>
      <c r="C11258" t="s">
        <v>189</v>
      </c>
      <c r="E11258" t="s">
        <v>355</v>
      </c>
    </row>
    <row r="11259" spans="1:5" x14ac:dyDescent="0.35">
      <c r="A11259">
        <v>2022</v>
      </c>
      <c r="B11259" t="s">
        <v>36</v>
      </c>
      <c r="C11259" t="s">
        <v>16</v>
      </c>
      <c r="D11259">
        <v>104261</v>
      </c>
      <c r="E11259" t="s">
        <v>466</v>
      </c>
    </row>
    <row r="11260" spans="1:5" x14ac:dyDescent="0.35">
      <c r="A11260">
        <v>2022</v>
      </c>
      <c r="B11260" t="s">
        <v>34</v>
      </c>
      <c r="C11260" t="s">
        <v>64</v>
      </c>
      <c r="D11260">
        <v>5</v>
      </c>
      <c r="E11260" t="s">
        <v>467</v>
      </c>
    </row>
    <row r="11261" spans="1:5" x14ac:dyDescent="0.35">
      <c r="A11261">
        <v>2022</v>
      </c>
      <c r="B11261" t="s">
        <v>33</v>
      </c>
      <c r="C11261" t="s">
        <v>89</v>
      </c>
      <c r="D11261">
        <v>737</v>
      </c>
      <c r="E11261" t="s">
        <v>466</v>
      </c>
    </row>
    <row r="11262" spans="1:5" x14ac:dyDescent="0.35">
      <c r="A11262">
        <v>2022</v>
      </c>
      <c r="B11262" t="s">
        <v>34</v>
      </c>
      <c r="C11262" t="s">
        <v>188</v>
      </c>
      <c r="D11262">
        <v>4</v>
      </c>
      <c r="E11262" t="s">
        <v>328</v>
      </c>
    </row>
    <row r="11263" spans="1:5" x14ac:dyDescent="0.35">
      <c r="A11263">
        <v>2022</v>
      </c>
      <c r="B11263" t="s">
        <v>35</v>
      </c>
      <c r="C11263" t="s">
        <v>90</v>
      </c>
      <c r="D11263">
        <v>22</v>
      </c>
      <c r="E11263" t="s">
        <v>466</v>
      </c>
    </row>
    <row r="11264" spans="1:5" x14ac:dyDescent="0.35">
      <c r="A11264">
        <v>2022</v>
      </c>
      <c r="B11264" t="s">
        <v>33</v>
      </c>
      <c r="C11264" t="s">
        <v>63</v>
      </c>
      <c r="E11264" t="s">
        <v>467</v>
      </c>
    </row>
    <row r="11265" spans="1:5" x14ac:dyDescent="0.35">
      <c r="A11265">
        <v>2022</v>
      </c>
      <c r="B11265" t="s">
        <v>33</v>
      </c>
      <c r="C11265" t="s">
        <v>91</v>
      </c>
      <c r="D11265">
        <v>322</v>
      </c>
      <c r="E11265" t="s">
        <v>466</v>
      </c>
    </row>
    <row r="11266" spans="1:5" x14ac:dyDescent="0.35">
      <c r="A11266">
        <v>2022</v>
      </c>
      <c r="B11266" t="s">
        <v>34</v>
      </c>
      <c r="C11266" t="s">
        <v>188</v>
      </c>
      <c r="D11266">
        <v>106</v>
      </c>
      <c r="E11266" t="s">
        <v>355</v>
      </c>
    </row>
    <row r="11267" spans="1:5" x14ac:dyDescent="0.35">
      <c r="A11267">
        <v>2022</v>
      </c>
      <c r="B11267" t="s">
        <v>37</v>
      </c>
      <c r="C11267" t="s">
        <v>92</v>
      </c>
      <c r="D11267">
        <v>50</v>
      </c>
      <c r="E11267" t="s">
        <v>466</v>
      </c>
    </row>
    <row r="11268" spans="1:5" x14ac:dyDescent="0.35">
      <c r="A11268">
        <v>2022</v>
      </c>
      <c r="B11268" t="s">
        <v>34</v>
      </c>
      <c r="C11268" t="s">
        <v>40</v>
      </c>
      <c r="D11268">
        <v>84</v>
      </c>
      <c r="E11268" t="s">
        <v>467</v>
      </c>
    </row>
    <row r="11269" spans="1:5" x14ac:dyDescent="0.35">
      <c r="A11269">
        <v>2022</v>
      </c>
      <c r="B11269" t="s">
        <v>35</v>
      </c>
      <c r="C11269" t="s">
        <v>93</v>
      </c>
      <c r="D11269">
        <v>52</v>
      </c>
      <c r="E11269" t="s">
        <v>466</v>
      </c>
    </row>
    <row r="11270" spans="1:5" x14ac:dyDescent="0.35">
      <c r="A11270">
        <v>2022</v>
      </c>
      <c r="B11270" t="s">
        <v>33</v>
      </c>
      <c r="C11270" t="s">
        <v>187</v>
      </c>
      <c r="E11270" t="s">
        <v>328</v>
      </c>
    </row>
    <row r="11271" spans="1:5" x14ac:dyDescent="0.35">
      <c r="A11271">
        <v>2022</v>
      </c>
      <c r="B11271" t="s">
        <v>35</v>
      </c>
      <c r="C11271" t="s">
        <v>94</v>
      </c>
      <c r="D11271">
        <v>3689</v>
      </c>
      <c r="E11271" t="s">
        <v>466</v>
      </c>
    </row>
    <row r="11272" spans="1:5" x14ac:dyDescent="0.35">
      <c r="A11272">
        <v>2022</v>
      </c>
      <c r="B11272" t="s">
        <v>35</v>
      </c>
      <c r="C11272" t="s">
        <v>41</v>
      </c>
      <c r="D11272">
        <v>26</v>
      </c>
      <c r="E11272" t="s">
        <v>467</v>
      </c>
    </row>
    <row r="11273" spans="1:5" x14ac:dyDescent="0.35">
      <c r="A11273">
        <v>2022</v>
      </c>
      <c r="B11273" t="s">
        <v>33</v>
      </c>
      <c r="C11273" t="s">
        <v>95</v>
      </c>
      <c r="D11273">
        <v>17</v>
      </c>
      <c r="E11273" t="s">
        <v>466</v>
      </c>
    </row>
    <row r="11274" spans="1:5" x14ac:dyDescent="0.35">
      <c r="A11274">
        <v>2022</v>
      </c>
      <c r="B11274" t="s">
        <v>36</v>
      </c>
      <c r="C11274" t="s">
        <v>191</v>
      </c>
      <c r="D11274">
        <v>75</v>
      </c>
      <c r="E11274" t="s">
        <v>355</v>
      </c>
    </row>
    <row r="11275" spans="1:5" x14ac:dyDescent="0.35">
      <c r="A11275">
        <v>2022</v>
      </c>
      <c r="B11275" t="s">
        <v>33</v>
      </c>
      <c r="C11275" t="s">
        <v>96</v>
      </c>
      <c r="D11275">
        <v>105</v>
      </c>
      <c r="E11275" t="s">
        <v>466</v>
      </c>
    </row>
    <row r="11276" spans="1:5" x14ac:dyDescent="0.35">
      <c r="A11276">
        <v>2022</v>
      </c>
      <c r="B11276" t="s">
        <v>33</v>
      </c>
      <c r="C11276" t="s">
        <v>42</v>
      </c>
      <c r="D11276">
        <v>150</v>
      </c>
      <c r="E11276" t="s">
        <v>467</v>
      </c>
    </row>
    <row r="11277" spans="1:5" x14ac:dyDescent="0.35">
      <c r="A11277">
        <v>2022</v>
      </c>
      <c r="B11277" t="s">
        <v>34</v>
      </c>
      <c r="C11277" t="s">
        <v>8</v>
      </c>
      <c r="D11277">
        <v>6394</v>
      </c>
      <c r="E11277" t="s">
        <v>466</v>
      </c>
    </row>
    <row r="11278" spans="1:5" x14ac:dyDescent="0.35">
      <c r="A11278">
        <v>2022</v>
      </c>
      <c r="B11278" t="s">
        <v>33</v>
      </c>
      <c r="C11278" t="s">
        <v>187</v>
      </c>
      <c r="E11278" t="s">
        <v>355</v>
      </c>
    </row>
    <row r="11279" spans="1:5" x14ac:dyDescent="0.35">
      <c r="A11279">
        <v>2022</v>
      </c>
      <c r="B11279" t="s">
        <v>35</v>
      </c>
      <c r="C11279" t="s">
        <v>97</v>
      </c>
      <c r="D11279">
        <v>718</v>
      </c>
      <c r="E11279" t="s">
        <v>466</v>
      </c>
    </row>
    <row r="11280" spans="1:5" x14ac:dyDescent="0.35">
      <c r="A11280">
        <v>2022</v>
      </c>
      <c r="B11280" t="s">
        <v>33</v>
      </c>
      <c r="C11280" t="s">
        <v>43</v>
      </c>
      <c r="D11280">
        <v>8</v>
      </c>
      <c r="E11280" t="s">
        <v>467</v>
      </c>
    </row>
    <row r="11281" spans="1:5" x14ac:dyDescent="0.35">
      <c r="A11281">
        <v>2022</v>
      </c>
      <c r="B11281" t="s">
        <v>33</v>
      </c>
      <c r="C11281" t="s">
        <v>98</v>
      </c>
      <c r="D11281">
        <v>2509</v>
      </c>
      <c r="E11281" t="s">
        <v>466</v>
      </c>
    </row>
    <row r="11282" spans="1:5" x14ac:dyDescent="0.35">
      <c r="A11282">
        <v>2022</v>
      </c>
      <c r="B11282" t="s">
        <v>35</v>
      </c>
      <c r="C11282" t="s">
        <v>196</v>
      </c>
      <c r="D11282">
        <v>27</v>
      </c>
      <c r="E11282" t="s">
        <v>355</v>
      </c>
    </row>
    <row r="11283" spans="1:5" x14ac:dyDescent="0.35">
      <c r="A11283">
        <v>2022</v>
      </c>
      <c r="B11283" t="s">
        <v>35</v>
      </c>
      <c r="C11283" t="s">
        <v>99</v>
      </c>
      <c r="D11283">
        <v>153</v>
      </c>
      <c r="E11283" t="s">
        <v>466</v>
      </c>
    </row>
    <row r="11284" spans="1:5" x14ac:dyDescent="0.35">
      <c r="A11284">
        <v>2022</v>
      </c>
      <c r="B11284" t="s">
        <v>36</v>
      </c>
      <c r="C11284" t="s">
        <v>44</v>
      </c>
      <c r="D11284">
        <v>3</v>
      </c>
      <c r="E11284" t="s">
        <v>467</v>
      </c>
    </row>
    <row r="11285" spans="1:5" x14ac:dyDescent="0.35">
      <c r="A11285">
        <v>2022</v>
      </c>
      <c r="B11285" t="s">
        <v>36</v>
      </c>
      <c r="C11285" t="s">
        <v>100</v>
      </c>
      <c r="D11285">
        <v>20</v>
      </c>
      <c r="E11285" t="s">
        <v>466</v>
      </c>
    </row>
    <row r="11286" spans="1:5" x14ac:dyDescent="0.35">
      <c r="A11286">
        <v>2022</v>
      </c>
      <c r="B11286" t="s">
        <v>35</v>
      </c>
      <c r="C11286" t="s">
        <v>198</v>
      </c>
      <c r="D11286">
        <v>65</v>
      </c>
      <c r="E11286" t="s">
        <v>355</v>
      </c>
    </row>
    <row r="11287" spans="1:5" x14ac:dyDescent="0.35">
      <c r="A11287">
        <v>2022</v>
      </c>
      <c r="B11287" t="s">
        <v>36</v>
      </c>
      <c r="C11287" t="s">
        <v>15</v>
      </c>
      <c r="D11287">
        <v>243913</v>
      </c>
      <c r="E11287" t="s">
        <v>466</v>
      </c>
    </row>
    <row r="11288" spans="1:5" x14ac:dyDescent="0.35">
      <c r="A11288">
        <v>2022</v>
      </c>
      <c r="B11288" t="s">
        <v>38</v>
      </c>
      <c r="C11288" t="s">
        <v>45</v>
      </c>
      <c r="D11288">
        <v>112</v>
      </c>
      <c r="E11288" t="s">
        <v>467</v>
      </c>
    </row>
    <row r="11289" spans="1:5" x14ac:dyDescent="0.35">
      <c r="A11289">
        <v>2022</v>
      </c>
      <c r="B11289" t="s">
        <v>33</v>
      </c>
      <c r="C11289" t="s">
        <v>101</v>
      </c>
      <c r="D11289">
        <v>621</v>
      </c>
      <c r="E11289" t="s">
        <v>466</v>
      </c>
    </row>
    <row r="11290" spans="1:5" x14ac:dyDescent="0.35">
      <c r="A11290">
        <v>2022</v>
      </c>
      <c r="B11290" t="s">
        <v>34</v>
      </c>
      <c r="C11290" t="s">
        <v>116</v>
      </c>
      <c r="D11290">
        <v>6</v>
      </c>
      <c r="E11290" t="s">
        <v>328</v>
      </c>
    </row>
    <row r="11291" spans="1:5" x14ac:dyDescent="0.35">
      <c r="A11291">
        <v>2022</v>
      </c>
      <c r="B11291" t="s">
        <v>33</v>
      </c>
      <c r="C11291" t="s">
        <v>102</v>
      </c>
      <c r="D11291">
        <v>50</v>
      </c>
      <c r="E11291" t="s">
        <v>466</v>
      </c>
    </row>
    <row r="11292" spans="1:5" x14ac:dyDescent="0.35">
      <c r="A11292">
        <v>2022</v>
      </c>
      <c r="B11292" t="s">
        <v>34</v>
      </c>
      <c r="C11292" t="s">
        <v>46</v>
      </c>
      <c r="D11292">
        <v>23</v>
      </c>
      <c r="E11292" t="s">
        <v>467</v>
      </c>
    </row>
    <row r="11293" spans="1:5" x14ac:dyDescent="0.35">
      <c r="A11293">
        <v>2022</v>
      </c>
      <c r="B11293" t="s">
        <v>35</v>
      </c>
      <c r="C11293" t="s">
        <v>127</v>
      </c>
      <c r="D11293">
        <v>105</v>
      </c>
      <c r="E11293" t="s">
        <v>466</v>
      </c>
    </row>
    <row r="11294" spans="1:5" x14ac:dyDescent="0.35">
      <c r="A11294">
        <v>2022</v>
      </c>
      <c r="B11294" t="s">
        <v>34</v>
      </c>
      <c r="C11294" t="s">
        <v>202</v>
      </c>
      <c r="D11294">
        <v>9</v>
      </c>
      <c r="E11294" t="s">
        <v>328</v>
      </c>
    </row>
    <row r="11295" spans="1:5" x14ac:dyDescent="0.35">
      <c r="A11295">
        <v>2022</v>
      </c>
      <c r="B11295" t="s">
        <v>33</v>
      </c>
      <c r="C11295" t="s">
        <v>88</v>
      </c>
      <c r="D11295">
        <v>53</v>
      </c>
      <c r="E11295" t="s">
        <v>466</v>
      </c>
    </row>
    <row r="11296" spans="1:5" x14ac:dyDescent="0.35">
      <c r="A11296">
        <v>2022</v>
      </c>
      <c r="B11296" t="s">
        <v>37</v>
      </c>
      <c r="C11296" t="s">
        <v>47</v>
      </c>
      <c r="D11296">
        <v>357</v>
      </c>
      <c r="E11296" t="s">
        <v>467</v>
      </c>
    </row>
    <row r="11297" spans="1:5" x14ac:dyDescent="0.35">
      <c r="A11297">
        <v>2022</v>
      </c>
      <c r="B11297" t="s">
        <v>34</v>
      </c>
      <c r="C11297" t="s">
        <v>202</v>
      </c>
      <c r="D11297">
        <v>9</v>
      </c>
      <c r="E11297" t="s">
        <v>355</v>
      </c>
    </row>
    <row r="11298" spans="1:5" x14ac:dyDescent="0.35">
      <c r="A11298">
        <v>2022</v>
      </c>
      <c r="B11298" t="s">
        <v>35</v>
      </c>
      <c r="C11298" t="s">
        <v>48</v>
      </c>
      <c r="D11298">
        <v>39</v>
      </c>
      <c r="E11298" t="s">
        <v>467</v>
      </c>
    </row>
    <row r="11299" spans="1:5" x14ac:dyDescent="0.35">
      <c r="A11299">
        <v>2022</v>
      </c>
      <c r="B11299" t="s">
        <v>34</v>
      </c>
      <c r="C11299" t="s">
        <v>201</v>
      </c>
      <c r="D11299">
        <v>5</v>
      </c>
      <c r="E11299" t="s">
        <v>328</v>
      </c>
    </row>
    <row r="11300" spans="1:5" x14ac:dyDescent="0.35">
      <c r="A11300">
        <v>2022</v>
      </c>
      <c r="B11300" t="s">
        <v>34</v>
      </c>
      <c r="C11300" t="s">
        <v>49</v>
      </c>
      <c r="D11300">
        <v>3</v>
      </c>
      <c r="E11300" t="s">
        <v>467</v>
      </c>
    </row>
    <row r="11301" spans="1:5" x14ac:dyDescent="0.35">
      <c r="A11301">
        <v>2022</v>
      </c>
      <c r="B11301" t="s">
        <v>34</v>
      </c>
      <c r="C11301" t="s">
        <v>201</v>
      </c>
      <c r="D11301">
        <v>26</v>
      </c>
      <c r="E11301" t="s">
        <v>355</v>
      </c>
    </row>
    <row r="11302" spans="1:5" x14ac:dyDescent="0.35">
      <c r="A11302">
        <v>2022</v>
      </c>
      <c r="B11302" t="s">
        <v>35</v>
      </c>
      <c r="C11302" t="s">
        <v>90</v>
      </c>
      <c r="D11302">
        <v>17</v>
      </c>
      <c r="E11302" t="s">
        <v>467</v>
      </c>
    </row>
    <row r="11303" spans="1:5" x14ac:dyDescent="0.35">
      <c r="A11303">
        <v>2022</v>
      </c>
      <c r="B11303" t="s">
        <v>38</v>
      </c>
      <c r="C11303" t="s">
        <v>19</v>
      </c>
      <c r="D11303">
        <v>107</v>
      </c>
      <c r="E11303" t="s">
        <v>328</v>
      </c>
    </row>
    <row r="11304" spans="1:5" x14ac:dyDescent="0.35">
      <c r="A11304">
        <v>2022</v>
      </c>
      <c r="B11304" t="s">
        <v>36</v>
      </c>
      <c r="C11304" t="s">
        <v>50</v>
      </c>
      <c r="D11304">
        <v>727</v>
      </c>
      <c r="E11304" t="s">
        <v>467</v>
      </c>
    </row>
    <row r="11305" spans="1:5" x14ac:dyDescent="0.35">
      <c r="A11305">
        <v>2022</v>
      </c>
      <c r="B11305" t="s">
        <v>35</v>
      </c>
      <c r="C11305" t="s">
        <v>196</v>
      </c>
      <c r="D11305">
        <v>15</v>
      </c>
      <c r="E11305" t="s">
        <v>328</v>
      </c>
    </row>
    <row r="11306" spans="1:5" x14ac:dyDescent="0.35">
      <c r="A11306">
        <v>2022</v>
      </c>
      <c r="B11306" t="s">
        <v>34</v>
      </c>
      <c r="C11306" t="s">
        <v>52</v>
      </c>
      <c r="D11306">
        <v>80</v>
      </c>
      <c r="E11306" t="s">
        <v>467</v>
      </c>
    </row>
    <row r="11307" spans="1:5" x14ac:dyDescent="0.35">
      <c r="A11307">
        <v>2022</v>
      </c>
      <c r="B11307" t="s">
        <v>38</v>
      </c>
      <c r="C11307" t="s">
        <v>19</v>
      </c>
      <c r="D11307">
        <v>381</v>
      </c>
      <c r="E11307" t="s">
        <v>355</v>
      </c>
    </row>
    <row r="11308" spans="1:5" x14ac:dyDescent="0.35">
      <c r="A11308">
        <v>2022</v>
      </c>
      <c r="B11308" t="s">
        <v>36</v>
      </c>
      <c r="C11308" t="s">
        <v>53</v>
      </c>
      <c r="D11308">
        <v>8</v>
      </c>
      <c r="E11308" t="s">
        <v>467</v>
      </c>
    </row>
    <row r="11309" spans="1:5" x14ac:dyDescent="0.35">
      <c r="A11309">
        <v>2022</v>
      </c>
      <c r="B11309" t="s">
        <v>34</v>
      </c>
      <c r="C11309" t="s">
        <v>200</v>
      </c>
      <c r="D11309">
        <v>5</v>
      </c>
      <c r="E11309" t="s">
        <v>355</v>
      </c>
    </row>
    <row r="11310" spans="1:5" x14ac:dyDescent="0.35">
      <c r="A11310">
        <v>2022</v>
      </c>
      <c r="B11310" t="s">
        <v>35</v>
      </c>
      <c r="C11310" t="s">
        <v>54</v>
      </c>
      <c r="D11310">
        <v>3</v>
      </c>
      <c r="E11310" t="s">
        <v>467</v>
      </c>
    </row>
    <row r="11311" spans="1:5" x14ac:dyDescent="0.35">
      <c r="A11311">
        <v>2022</v>
      </c>
      <c r="B11311" t="s">
        <v>38</v>
      </c>
      <c r="C11311" t="s">
        <v>199</v>
      </c>
      <c r="D11311">
        <v>5</v>
      </c>
      <c r="E11311" t="s">
        <v>328</v>
      </c>
    </row>
    <row r="11312" spans="1:5" x14ac:dyDescent="0.35">
      <c r="A11312">
        <v>2022</v>
      </c>
      <c r="B11312" t="s">
        <v>35</v>
      </c>
      <c r="C11312" t="s">
        <v>55</v>
      </c>
      <c r="D11312">
        <v>86</v>
      </c>
      <c r="E11312" t="s">
        <v>467</v>
      </c>
    </row>
    <row r="11313" spans="1:5" x14ac:dyDescent="0.35">
      <c r="A11313">
        <v>2022</v>
      </c>
      <c r="B11313" t="s">
        <v>38</v>
      </c>
      <c r="C11313" t="s">
        <v>199</v>
      </c>
      <c r="D11313">
        <v>22</v>
      </c>
      <c r="E11313" t="s">
        <v>355</v>
      </c>
    </row>
    <row r="11314" spans="1:5" x14ac:dyDescent="0.35">
      <c r="A11314">
        <v>2022</v>
      </c>
      <c r="B11314" t="s">
        <v>36</v>
      </c>
      <c r="C11314" t="s">
        <v>56</v>
      </c>
      <c r="D11314">
        <v>31</v>
      </c>
      <c r="E11314" t="s">
        <v>467</v>
      </c>
    </row>
    <row r="11315" spans="1:5" x14ac:dyDescent="0.35">
      <c r="A11315">
        <v>2022</v>
      </c>
      <c r="B11315" t="s">
        <v>39</v>
      </c>
      <c r="C11315" t="s">
        <v>39</v>
      </c>
      <c r="D11315">
        <v>4</v>
      </c>
      <c r="E11315" t="s">
        <v>328</v>
      </c>
    </row>
    <row r="11316" spans="1:5" x14ac:dyDescent="0.35">
      <c r="A11316">
        <v>2022</v>
      </c>
      <c r="B11316" t="s">
        <v>33</v>
      </c>
      <c r="C11316" t="s">
        <v>57</v>
      </c>
      <c r="E11316" t="s">
        <v>467</v>
      </c>
    </row>
    <row r="11317" spans="1:5" x14ac:dyDescent="0.35">
      <c r="A11317">
        <v>2022</v>
      </c>
      <c r="B11317" t="s">
        <v>39</v>
      </c>
      <c r="C11317" t="s">
        <v>39</v>
      </c>
      <c r="D11317">
        <v>12</v>
      </c>
      <c r="E11317" t="s">
        <v>355</v>
      </c>
    </row>
    <row r="11318" spans="1:5" x14ac:dyDescent="0.35">
      <c r="A11318">
        <v>2022</v>
      </c>
      <c r="B11318" t="s">
        <v>38</v>
      </c>
      <c r="C11318" t="s">
        <v>59</v>
      </c>
      <c r="D11318">
        <v>24</v>
      </c>
      <c r="E11318" t="s">
        <v>467</v>
      </c>
    </row>
    <row r="11319" spans="1:5" x14ac:dyDescent="0.35">
      <c r="A11319">
        <v>2022</v>
      </c>
      <c r="B11319" t="s">
        <v>35</v>
      </c>
      <c r="C11319" t="s">
        <v>198</v>
      </c>
      <c r="D11319">
        <v>29</v>
      </c>
      <c r="E11319" t="s">
        <v>328</v>
      </c>
    </row>
    <row r="11320" spans="1:5" x14ac:dyDescent="0.35">
      <c r="A11320">
        <v>2022</v>
      </c>
      <c r="B11320" t="s">
        <v>35</v>
      </c>
      <c r="C11320" t="s">
        <v>60</v>
      </c>
      <c r="D11320">
        <v>10</v>
      </c>
      <c r="E11320" t="s">
        <v>467</v>
      </c>
    </row>
    <row r="11321" spans="1:5" x14ac:dyDescent="0.35">
      <c r="A11321">
        <v>2022</v>
      </c>
      <c r="B11321" t="s">
        <v>34</v>
      </c>
      <c r="C11321" t="s">
        <v>200</v>
      </c>
      <c r="D11321">
        <v>47</v>
      </c>
      <c r="E11321" t="s">
        <v>328</v>
      </c>
    </row>
    <row r="11322" spans="1:5" x14ac:dyDescent="0.35">
      <c r="A11322">
        <v>2022</v>
      </c>
      <c r="B11322" t="s">
        <v>38</v>
      </c>
      <c r="C11322" t="s">
        <v>21</v>
      </c>
      <c r="D11322">
        <v>692</v>
      </c>
      <c r="E11322" t="s">
        <v>467</v>
      </c>
    </row>
    <row r="11323" spans="1:5" x14ac:dyDescent="0.35">
      <c r="A11323">
        <v>2022</v>
      </c>
      <c r="B11323" t="s">
        <v>35</v>
      </c>
      <c r="C11323" t="s">
        <v>161</v>
      </c>
      <c r="D11323">
        <v>50</v>
      </c>
      <c r="E11323" t="s">
        <v>328</v>
      </c>
    </row>
    <row r="11324" spans="1:5" x14ac:dyDescent="0.35">
      <c r="A11324">
        <v>2022</v>
      </c>
      <c r="B11324" t="s">
        <v>35</v>
      </c>
      <c r="C11324" t="s">
        <v>62</v>
      </c>
      <c r="D11324">
        <v>14</v>
      </c>
      <c r="E11324" t="s">
        <v>467</v>
      </c>
    </row>
    <row r="11325" spans="1:5" x14ac:dyDescent="0.35">
      <c r="A11325">
        <v>2022</v>
      </c>
      <c r="B11325" t="s">
        <v>34</v>
      </c>
      <c r="C11325" t="s">
        <v>186</v>
      </c>
      <c r="E11325" t="s">
        <v>328</v>
      </c>
    </row>
    <row r="11326" spans="1:5" x14ac:dyDescent="0.35">
      <c r="A11326">
        <v>2022</v>
      </c>
      <c r="B11326" t="s">
        <v>34</v>
      </c>
      <c r="C11326" t="s">
        <v>51</v>
      </c>
      <c r="E11326" t="s">
        <v>467</v>
      </c>
    </row>
    <row r="11327" spans="1:5" x14ac:dyDescent="0.35">
      <c r="A11327">
        <v>2022</v>
      </c>
      <c r="B11327" t="s">
        <v>34</v>
      </c>
      <c r="C11327" t="s">
        <v>185</v>
      </c>
      <c r="D11327">
        <v>13</v>
      </c>
      <c r="E11327" t="s">
        <v>328</v>
      </c>
    </row>
    <row r="11328" spans="1:5" x14ac:dyDescent="0.35">
      <c r="A11328">
        <v>2022</v>
      </c>
      <c r="B11328" t="s">
        <v>33</v>
      </c>
      <c r="C11328" t="s">
        <v>91</v>
      </c>
      <c r="D11328">
        <v>29</v>
      </c>
      <c r="E11328" t="s">
        <v>467</v>
      </c>
    </row>
    <row r="11329" spans="1:5" x14ac:dyDescent="0.35">
      <c r="A11329">
        <v>2022</v>
      </c>
      <c r="B11329" t="s">
        <v>33</v>
      </c>
      <c r="C11329" t="s">
        <v>170</v>
      </c>
      <c r="D11329">
        <v>10</v>
      </c>
      <c r="E11329" t="s">
        <v>355</v>
      </c>
    </row>
    <row r="11330" spans="1:5" x14ac:dyDescent="0.35">
      <c r="A11330">
        <v>2022</v>
      </c>
      <c r="B11330" t="s">
        <v>37</v>
      </c>
      <c r="C11330" t="s">
        <v>92</v>
      </c>
      <c r="D11330">
        <v>14</v>
      </c>
      <c r="E11330" t="s">
        <v>467</v>
      </c>
    </row>
    <row r="11331" spans="1:5" x14ac:dyDescent="0.35">
      <c r="A11331">
        <v>2022</v>
      </c>
      <c r="B11331" t="s">
        <v>35</v>
      </c>
      <c r="C11331" t="s">
        <v>169</v>
      </c>
      <c r="E11331" t="s">
        <v>328</v>
      </c>
    </row>
    <row r="11332" spans="1:5" x14ac:dyDescent="0.35">
      <c r="A11332">
        <v>2022</v>
      </c>
      <c r="B11332" t="s">
        <v>35</v>
      </c>
      <c r="C11332" t="s">
        <v>93</v>
      </c>
      <c r="D11332">
        <v>36</v>
      </c>
      <c r="E11332" t="s">
        <v>467</v>
      </c>
    </row>
    <row r="11333" spans="1:5" x14ac:dyDescent="0.35">
      <c r="A11333">
        <v>2022</v>
      </c>
      <c r="B11333" t="s">
        <v>35</v>
      </c>
      <c r="C11333" t="s">
        <v>169</v>
      </c>
      <c r="E11333" t="s">
        <v>355</v>
      </c>
    </row>
    <row r="11334" spans="1:5" x14ac:dyDescent="0.35">
      <c r="A11334">
        <v>2022</v>
      </c>
      <c r="B11334" t="s">
        <v>34</v>
      </c>
      <c r="C11334" t="s">
        <v>118</v>
      </c>
      <c r="D11334">
        <v>713</v>
      </c>
      <c r="E11334" t="s">
        <v>467</v>
      </c>
    </row>
    <row r="11335" spans="1:5" x14ac:dyDescent="0.35">
      <c r="A11335">
        <v>2022</v>
      </c>
      <c r="B11335" t="s">
        <v>33</v>
      </c>
      <c r="C11335" t="s">
        <v>168</v>
      </c>
      <c r="D11335">
        <v>17</v>
      </c>
      <c r="E11335" t="s">
        <v>328</v>
      </c>
    </row>
    <row r="11336" spans="1:5" x14ac:dyDescent="0.35">
      <c r="A11336">
        <v>2022</v>
      </c>
      <c r="B11336" t="s">
        <v>35</v>
      </c>
      <c r="C11336" t="s">
        <v>119</v>
      </c>
      <c r="D11336">
        <v>10</v>
      </c>
      <c r="E11336" t="s">
        <v>467</v>
      </c>
    </row>
    <row r="11337" spans="1:5" x14ac:dyDescent="0.35">
      <c r="A11337">
        <v>2022</v>
      </c>
      <c r="B11337" t="s">
        <v>33</v>
      </c>
      <c r="C11337" t="s">
        <v>168</v>
      </c>
      <c r="D11337">
        <v>12</v>
      </c>
      <c r="E11337" t="s">
        <v>355</v>
      </c>
    </row>
    <row r="11338" spans="1:5" x14ac:dyDescent="0.35">
      <c r="A11338">
        <v>2022</v>
      </c>
      <c r="B11338" t="s">
        <v>34</v>
      </c>
      <c r="C11338" t="s">
        <v>120</v>
      </c>
      <c r="D11338">
        <v>13</v>
      </c>
      <c r="E11338" t="s">
        <v>467</v>
      </c>
    </row>
    <row r="11339" spans="1:5" x14ac:dyDescent="0.35">
      <c r="A11339">
        <v>2022</v>
      </c>
      <c r="B11339" t="s">
        <v>34</v>
      </c>
      <c r="C11339" t="s">
        <v>167</v>
      </c>
      <c r="D11339">
        <v>6</v>
      </c>
      <c r="E11339" t="s">
        <v>328</v>
      </c>
    </row>
    <row r="11340" spans="1:5" x14ac:dyDescent="0.35">
      <c r="A11340">
        <v>2022</v>
      </c>
      <c r="B11340" t="s">
        <v>34</v>
      </c>
      <c r="C11340" t="s">
        <v>121</v>
      </c>
      <c r="D11340">
        <v>6</v>
      </c>
      <c r="E11340" t="s">
        <v>467</v>
      </c>
    </row>
    <row r="11341" spans="1:5" x14ac:dyDescent="0.35">
      <c r="A11341">
        <v>2022</v>
      </c>
      <c r="B11341" t="s">
        <v>34</v>
      </c>
      <c r="C11341" t="s">
        <v>171</v>
      </c>
      <c r="E11341" t="s">
        <v>355</v>
      </c>
    </row>
    <row r="11342" spans="1:5" x14ac:dyDescent="0.35">
      <c r="A11342">
        <v>2022</v>
      </c>
      <c r="B11342" t="s">
        <v>34</v>
      </c>
      <c r="C11342" t="s">
        <v>122</v>
      </c>
      <c r="E11342" t="s">
        <v>467</v>
      </c>
    </row>
    <row r="11343" spans="1:5" x14ac:dyDescent="0.35">
      <c r="A11343">
        <v>2022</v>
      </c>
      <c r="B11343" t="s">
        <v>34</v>
      </c>
      <c r="C11343" t="s">
        <v>167</v>
      </c>
      <c r="D11343">
        <v>12</v>
      </c>
      <c r="E11343" t="s">
        <v>355</v>
      </c>
    </row>
    <row r="11344" spans="1:5" x14ac:dyDescent="0.35">
      <c r="A11344">
        <v>2022</v>
      </c>
      <c r="B11344" t="s">
        <v>35</v>
      </c>
      <c r="C11344" t="s">
        <v>123</v>
      </c>
      <c r="D11344">
        <v>31</v>
      </c>
      <c r="E11344" t="s">
        <v>467</v>
      </c>
    </row>
    <row r="11345" spans="1:5" x14ac:dyDescent="0.35">
      <c r="A11345">
        <v>2022</v>
      </c>
      <c r="B11345" t="s">
        <v>36</v>
      </c>
      <c r="C11345" t="s">
        <v>165</v>
      </c>
      <c r="D11345">
        <v>3</v>
      </c>
      <c r="E11345" t="s">
        <v>328</v>
      </c>
    </row>
    <row r="11346" spans="1:5" x14ac:dyDescent="0.35">
      <c r="A11346">
        <v>2022</v>
      </c>
      <c r="B11346" t="s">
        <v>34</v>
      </c>
      <c r="C11346" t="s">
        <v>124</v>
      </c>
      <c r="D11346">
        <v>69</v>
      </c>
      <c r="E11346" t="s">
        <v>467</v>
      </c>
    </row>
    <row r="11347" spans="1:5" x14ac:dyDescent="0.35">
      <c r="A11347">
        <v>2022</v>
      </c>
      <c r="B11347" t="s">
        <v>36</v>
      </c>
      <c r="C11347" t="s">
        <v>165</v>
      </c>
      <c r="D11347">
        <v>10</v>
      </c>
      <c r="E11347" t="s">
        <v>355</v>
      </c>
    </row>
    <row r="11348" spans="1:5" x14ac:dyDescent="0.35">
      <c r="A11348">
        <v>2022</v>
      </c>
      <c r="B11348" t="s">
        <v>33</v>
      </c>
      <c r="C11348" t="s">
        <v>125</v>
      </c>
      <c r="D11348">
        <v>4</v>
      </c>
      <c r="E11348" t="s">
        <v>467</v>
      </c>
    </row>
    <row r="11349" spans="1:5" x14ac:dyDescent="0.35">
      <c r="A11349">
        <v>2022</v>
      </c>
      <c r="B11349" t="s">
        <v>36</v>
      </c>
      <c r="C11349" t="s">
        <v>164</v>
      </c>
      <c r="E11349" t="s">
        <v>328</v>
      </c>
    </row>
    <row r="11350" spans="1:5" x14ac:dyDescent="0.35">
      <c r="A11350">
        <v>2022</v>
      </c>
      <c r="B11350" t="s">
        <v>33</v>
      </c>
      <c r="C11350" t="s">
        <v>126</v>
      </c>
      <c r="D11350">
        <v>5</v>
      </c>
      <c r="E11350" t="s">
        <v>467</v>
      </c>
    </row>
    <row r="11351" spans="1:5" x14ac:dyDescent="0.35">
      <c r="A11351">
        <v>2022</v>
      </c>
      <c r="B11351" t="s">
        <v>36</v>
      </c>
      <c r="C11351" t="s">
        <v>164</v>
      </c>
      <c r="E11351" t="s">
        <v>355</v>
      </c>
    </row>
    <row r="11352" spans="1:5" x14ac:dyDescent="0.35">
      <c r="A11352">
        <v>2022</v>
      </c>
      <c r="B11352" t="s">
        <v>35</v>
      </c>
      <c r="C11352" t="s">
        <v>127</v>
      </c>
      <c r="D11352">
        <v>80</v>
      </c>
      <c r="E11352" t="s">
        <v>467</v>
      </c>
    </row>
    <row r="11353" spans="1:5" x14ac:dyDescent="0.35">
      <c r="A11353">
        <v>2022</v>
      </c>
      <c r="B11353" t="s">
        <v>36</v>
      </c>
      <c r="C11353" t="s">
        <v>163</v>
      </c>
      <c r="D11353">
        <v>6</v>
      </c>
      <c r="E11353" t="s">
        <v>355</v>
      </c>
    </row>
    <row r="11354" spans="1:5" x14ac:dyDescent="0.35">
      <c r="A11354">
        <v>2022</v>
      </c>
      <c r="B11354" t="s">
        <v>33</v>
      </c>
      <c r="C11354" t="s">
        <v>117</v>
      </c>
      <c r="D11354">
        <v>46</v>
      </c>
      <c r="E11354" t="s">
        <v>467</v>
      </c>
    </row>
    <row r="11355" spans="1:5" x14ac:dyDescent="0.35">
      <c r="A11355">
        <v>2022</v>
      </c>
      <c r="B11355" t="s">
        <v>33</v>
      </c>
      <c r="C11355" t="s">
        <v>162</v>
      </c>
      <c r="E11355" t="s">
        <v>328</v>
      </c>
    </row>
    <row r="11356" spans="1:5" x14ac:dyDescent="0.35">
      <c r="A11356">
        <v>2022</v>
      </c>
      <c r="B11356" t="s">
        <v>33</v>
      </c>
      <c r="C11356" t="s">
        <v>129</v>
      </c>
      <c r="E11356" t="s">
        <v>467</v>
      </c>
    </row>
    <row r="11357" spans="1:5" x14ac:dyDescent="0.35">
      <c r="A11357">
        <v>2022</v>
      </c>
      <c r="B11357" t="s">
        <v>37</v>
      </c>
      <c r="C11357" t="s">
        <v>166</v>
      </c>
      <c r="D11357">
        <v>0</v>
      </c>
      <c r="E11357" t="s">
        <v>355</v>
      </c>
    </row>
    <row r="11358" spans="1:5" x14ac:dyDescent="0.35">
      <c r="A11358">
        <v>2022</v>
      </c>
      <c r="B11358" t="s">
        <v>33</v>
      </c>
      <c r="C11358" t="s">
        <v>132</v>
      </c>
      <c r="D11358">
        <v>13</v>
      </c>
      <c r="E11358" t="s">
        <v>467</v>
      </c>
    </row>
    <row r="11359" spans="1:5" x14ac:dyDescent="0.35">
      <c r="A11359">
        <v>2022</v>
      </c>
      <c r="B11359" t="s">
        <v>34</v>
      </c>
      <c r="C11359" t="s">
        <v>186</v>
      </c>
      <c r="E11359" t="s">
        <v>355</v>
      </c>
    </row>
    <row r="11360" spans="1:5" x14ac:dyDescent="0.35">
      <c r="A11360">
        <v>2022</v>
      </c>
      <c r="B11360" t="s">
        <v>33</v>
      </c>
      <c r="C11360" t="s">
        <v>136</v>
      </c>
      <c r="D11360">
        <v>4</v>
      </c>
      <c r="E11360" t="s">
        <v>467</v>
      </c>
    </row>
    <row r="11361" spans="1:5" x14ac:dyDescent="0.35">
      <c r="A11361">
        <v>2022</v>
      </c>
      <c r="B11361" t="s">
        <v>34</v>
      </c>
      <c r="C11361" t="s">
        <v>171</v>
      </c>
      <c r="E11361" t="s">
        <v>328</v>
      </c>
    </row>
    <row r="11362" spans="1:5" x14ac:dyDescent="0.35">
      <c r="A11362">
        <v>2022</v>
      </c>
      <c r="B11362" t="s">
        <v>36</v>
      </c>
      <c r="C11362" t="s">
        <v>14</v>
      </c>
      <c r="D11362">
        <v>42218</v>
      </c>
      <c r="E11362" t="s">
        <v>467</v>
      </c>
    </row>
    <row r="11363" spans="1:5" x14ac:dyDescent="0.35">
      <c r="A11363">
        <v>2022</v>
      </c>
      <c r="B11363" t="s">
        <v>33</v>
      </c>
      <c r="C11363" t="s">
        <v>174</v>
      </c>
      <c r="D11363">
        <v>5</v>
      </c>
      <c r="E11363" t="s">
        <v>355</v>
      </c>
    </row>
    <row r="11364" spans="1:5" x14ac:dyDescent="0.35">
      <c r="A11364">
        <v>2022</v>
      </c>
      <c r="B11364" t="s">
        <v>37</v>
      </c>
      <c r="C11364" t="s">
        <v>137</v>
      </c>
      <c r="D11364">
        <v>5</v>
      </c>
      <c r="E11364" t="s">
        <v>467</v>
      </c>
    </row>
    <row r="11365" spans="1:5" x14ac:dyDescent="0.35">
      <c r="A11365">
        <v>2022</v>
      </c>
      <c r="B11365" t="s">
        <v>34</v>
      </c>
      <c r="C11365" t="s">
        <v>184</v>
      </c>
      <c r="E11365" t="s">
        <v>328</v>
      </c>
    </row>
    <row r="11366" spans="1:5" x14ac:dyDescent="0.35">
      <c r="A11366">
        <v>2022</v>
      </c>
      <c r="B11366" t="s">
        <v>35</v>
      </c>
      <c r="C11366" t="s">
        <v>138</v>
      </c>
      <c r="D11366">
        <v>11</v>
      </c>
      <c r="E11366" t="s">
        <v>467</v>
      </c>
    </row>
    <row r="11367" spans="1:5" x14ac:dyDescent="0.35">
      <c r="A11367">
        <v>2022</v>
      </c>
      <c r="B11367" t="s">
        <v>34</v>
      </c>
      <c r="C11367" t="s">
        <v>184</v>
      </c>
      <c r="E11367" t="s">
        <v>355</v>
      </c>
    </row>
    <row r="11368" spans="1:5" x14ac:dyDescent="0.35">
      <c r="A11368">
        <v>2022</v>
      </c>
      <c r="B11368" t="s">
        <v>34</v>
      </c>
      <c r="C11368" t="s">
        <v>139</v>
      </c>
      <c r="D11368">
        <v>19</v>
      </c>
      <c r="E11368" t="s">
        <v>467</v>
      </c>
    </row>
    <row r="11369" spans="1:5" x14ac:dyDescent="0.35">
      <c r="A11369">
        <v>2022</v>
      </c>
      <c r="B11369" t="s">
        <v>35</v>
      </c>
      <c r="C11369" t="s">
        <v>182</v>
      </c>
      <c r="E11369" t="s">
        <v>328</v>
      </c>
    </row>
    <row r="11370" spans="1:5" x14ac:dyDescent="0.35">
      <c r="A11370">
        <v>2022</v>
      </c>
      <c r="B11370" t="s">
        <v>35</v>
      </c>
      <c r="C11370" t="s">
        <v>140</v>
      </c>
      <c r="E11370" t="s">
        <v>467</v>
      </c>
    </row>
    <row r="11371" spans="1:5" x14ac:dyDescent="0.35">
      <c r="A11371">
        <v>2022</v>
      </c>
      <c r="B11371" t="s">
        <v>35</v>
      </c>
      <c r="C11371" t="s">
        <v>182</v>
      </c>
      <c r="E11371" t="s">
        <v>355</v>
      </c>
    </row>
    <row r="11372" spans="1:5" x14ac:dyDescent="0.35">
      <c r="A11372">
        <v>2022</v>
      </c>
      <c r="B11372" t="s">
        <v>33</v>
      </c>
      <c r="C11372" t="s">
        <v>141</v>
      </c>
      <c r="D11372">
        <v>91</v>
      </c>
      <c r="E11372" t="s">
        <v>467</v>
      </c>
    </row>
    <row r="11373" spans="1:5" x14ac:dyDescent="0.35">
      <c r="A11373">
        <v>2022</v>
      </c>
      <c r="B11373" t="s">
        <v>38</v>
      </c>
      <c r="C11373" t="s">
        <v>180</v>
      </c>
      <c r="D11373">
        <v>8</v>
      </c>
      <c r="E11373" t="s">
        <v>355</v>
      </c>
    </row>
    <row r="11374" spans="1:5" x14ac:dyDescent="0.35">
      <c r="A11374">
        <v>2022</v>
      </c>
      <c r="B11374" t="s">
        <v>34</v>
      </c>
      <c r="C11374" t="s">
        <v>144</v>
      </c>
      <c r="D11374">
        <v>28</v>
      </c>
      <c r="E11374" t="s">
        <v>467</v>
      </c>
    </row>
    <row r="11375" spans="1:5" x14ac:dyDescent="0.35">
      <c r="A11375">
        <v>2022</v>
      </c>
      <c r="B11375" t="s">
        <v>33</v>
      </c>
      <c r="C11375" t="s">
        <v>179</v>
      </c>
      <c r="D11375">
        <v>6</v>
      </c>
      <c r="E11375" t="s">
        <v>355</v>
      </c>
    </row>
    <row r="11376" spans="1:5" x14ac:dyDescent="0.35">
      <c r="A11376">
        <v>2022</v>
      </c>
      <c r="B11376" t="s">
        <v>35</v>
      </c>
      <c r="C11376" t="s">
        <v>145</v>
      </c>
      <c r="D11376">
        <v>319</v>
      </c>
      <c r="E11376" t="s">
        <v>467</v>
      </c>
    </row>
    <row r="11377" spans="1:5" x14ac:dyDescent="0.35">
      <c r="A11377">
        <v>2022</v>
      </c>
      <c r="B11377" t="s">
        <v>35</v>
      </c>
      <c r="C11377" t="s">
        <v>172</v>
      </c>
      <c r="E11377" t="s">
        <v>355</v>
      </c>
    </row>
    <row r="11378" spans="1:5" x14ac:dyDescent="0.35">
      <c r="A11378">
        <v>2022</v>
      </c>
      <c r="B11378" t="s">
        <v>34</v>
      </c>
      <c r="C11378" t="s">
        <v>131</v>
      </c>
      <c r="D11378">
        <v>11</v>
      </c>
      <c r="E11378" t="s">
        <v>467</v>
      </c>
    </row>
    <row r="11379" spans="1:5" x14ac:dyDescent="0.35">
      <c r="A11379">
        <v>2022</v>
      </c>
      <c r="B11379" t="s">
        <v>34</v>
      </c>
      <c r="C11379" t="s">
        <v>178</v>
      </c>
      <c r="D11379">
        <v>42</v>
      </c>
      <c r="E11379" t="s">
        <v>328</v>
      </c>
    </row>
    <row r="11380" spans="1:5" x14ac:dyDescent="0.35">
      <c r="A11380">
        <v>2022</v>
      </c>
      <c r="B11380" t="s">
        <v>33</v>
      </c>
      <c r="C11380" t="s">
        <v>148</v>
      </c>
      <c r="D11380">
        <v>8</v>
      </c>
      <c r="E11380" t="s">
        <v>467</v>
      </c>
    </row>
    <row r="11381" spans="1:5" x14ac:dyDescent="0.35">
      <c r="A11381">
        <v>2022</v>
      </c>
      <c r="B11381" t="s">
        <v>35</v>
      </c>
      <c r="C11381" t="s">
        <v>177</v>
      </c>
      <c r="D11381">
        <v>77</v>
      </c>
      <c r="E11381" t="s">
        <v>328</v>
      </c>
    </row>
    <row r="11382" spans="1:5" x14ac:dyDescent="0.35">
      <c r="A11382">
        <v>2022</v>
      </c>
      <c r="B11382" t="s">
        <v>34</v>
      </c>
      <c r="C11382" t="s">
        <v>116</v>
      </c>
      <c r="D11382">
        <v>26</v>
      </c>
      <c r="E11382" t="s">
        <v>467</v>
      </c>
    </row>
    <row r="11383" spans="1:5" x14ac:dyDescent="0.35">
      <c r="A11383">
        <v>2022</v>
      </c>
      <c r="B11383" t="s">
        <v>35</v>
      </c>
      <c r="C11383" t="s">
        <v>177</v>
      </c>
      <c r="D11383">
        <v>23</v>
      </c>
      <c r="E11383" t="s">
        <v>355</v>
      </c>
    </row>
    <row r="11384" spans="1:5" x14ac:dyDescent="0.35">
      <c r="A11384">
        <v>2022</v>
      </c>
      <c r="B11384" t="s">
        <v>36</v>
      </c>
      <c r="C11384" t="s">
        <v>113</v>
      </c>
      <c r="D11384">
        <v>197</v>
      </c>
      <c r="E11384" t="s">
        <v>467</v>
      </c>
    </row>
    <row r="11385" spans="1:5" x14ac:dyDescent="0.35">
      <c r="A11385">
        <v>2022</v>
      </c>
      <c r="B11385" t="s">
        <v>33</v>
      </c>
      <c r="C11385" t="s">
        <v>176</v>
      </c>
      <c r="D11385">
        <v>3</v>
      </c>
      <c r="E11385" t="s">
        <v>355</v>
      </c>
    </row>
    <row r="11386" spans="1:5" x14ac:dyDescent="0.35">
      <c r="A11386">
        <v>2022</v>
      </c>
      <c r="B11386" t="s">
        <v>35</v>
      </c>
      <c r="C11386" t="s">
        <v>94</v>
      </c>
      <c r="D11386">
        <v>506</v>
      </c>
      <c r="E11386" t="s">
        <v>467</v>
      </c>
    </row>
    <row r="11387" spans="1:5" x14ac:dyDescent="0.35">
      <c r="A11387">
        <v>2022</v>
      </c>
      <c r="B11387" t="s">
        <v>33</v>
      </c>
      <c r="C11387" t="s">
        <v>175</v>
      </c>
      <c r="E11387" t="s">
        <v>328</v>
      </c>
    </row>
    <row r="11388" spans="1:5" x14ac:dyDescent="0.35">
      <c r="A11388">
        <v>2022</v>
      </c>
      <c r="B11388" t="s">
        <v>33</v>
      </c>
      <c r="C11388" t="s">
        <v>95</v>
      </c>
      <c r="E11388" t="s">
        <v>467</v>
      </c>
    </row>
    <row r="11389" spans="1:5" x14ac:dyDescent="0.35">
      <c r="A11389">
        <v>2022</v>
      </c>
      <c r="B11389" t="s">
        <v>33</v>
      </c>
      <c r="C11389" t="s">
        <v>175</v>
      </c>
      <c r="E11389" t="s">
        <v>355</v>
      </c>
    </row>
    <row r="11390" spans="1:5" x14ac:dyDescent="0.35">
      <c r="A11390">
        <v>2022</v>
      </c>
      <c r="B11390" t="s">
        <v>33</v>
      </c>
      <c r="C11390" t="s">
        <v>96</v>
      </c>
      <c r="D11390">
        <v>4</v>
      </c>
      <c r="E11390" t="s">
        <v>467</v>
      </c>
    </row>
    <row r="11391" spans="1:5" x14ac:dyDescent="0.35">
      <c r="A11391">
        <v>2022</v>
      </c>
      <c r="B11391" t="s">
        <v>33</v>
      </c>
      <c r="C11391" t="s">
        <v>174</v>
      </c>
      <c r="D11391">
        <v>5</v>
      </c>
      <c r="E11391" t="s">
        <v>328</v>
      </c>
    </row>
    <row r="11392" spans="1:5" x14ac:dyDescent="0.35">
      <c r="A11392">
        <v>2022</v>
      </c>
      <c r="B11392" t="s">
        <v>34</v>
      </c>
      <c r="C11392" t="s">
        <v>8</v>
      </c>
      <c r="D11392">
        <v>13</v>
      </c>
      <c r="E11392" t="s">
        <v>467</v>
      </c>
    </row>
    <row r="11393" spans="1:5" x14ac:dyDescent="0.35">
      <c r="A11393">
        <v>2022</v>
      </c>
      <c r="B11393" t="s">
        <v>34</v>
      </c>
      <c r="C11393" t="s">
        <v>178</v>
      </c>
      <c r="D11393">
        <v>17</v>
      </c>
      <c r="E11393" t="s">
        <v>355</v>
      </c>
    </row>
    <row r="11394" spans="1:5" x14ac:dyDescent="0.35">
      <c r="A11394">
        <v>2022</v>
      </c>
      <c r="B11394" t="s">
        <v>35</v>
      </c>
      <c r="C11394" t="s">
        <v>97</v>
      </c>
      <c r="D11394">
        <v>497</v>
      </c>
      <c r="E11394" t="s">
        <v>467</v>
      </c>
    </row>
    <row r="11395" spans="1:5" x14ac:dyDescent="0.35">
      <c r="A11395">
        <v>2022</v>
      </c>
      <c r="B11395" t="s">
        <v>34</v>
      </c>
      <c r="C11395" t="s">
        <v>116</v>
      </c>
      <c r="D11395">
        <v>23</v>
      </c>
      <c r="E11395" t="s">
        <v>355</v>
      </c>
    </row>
    <row r="11396" spans="1:5" x14ac:dyDescent="0.35">
      <c r="A11396">
        <v>2022</v>
      </c>
      <c r="B11396" t="s">
        <v>33</v>
      </c>
      <c r="C11396" t="s">
        <v>98</v>
      </c>
      <c r="D11396">
        <v>51</v>
      </c>
      <c r="E11396" t="s">
        <v>467</v>
      </c>
    </row>
    <row r="11397" spans="1:5" x14ac:dyDescent="0.35">
      <c r="A11397">
        <v>2022</v>
      </c>
      <c r="B11397" t="s">
        <v>36</v>
      </c>
      <c r="C11397" t="s">
        <v>79</v>
      </c>
      <c r="D11397">
        <v>29</v>
      </c>
      <c r="E11397" t="s">
        <v>328</v>
      </c>
    </row>
    <row r="11398" spans="1:5" x14ac:dyDescent="0.35">
      <c r="A11398">
        <v>2022</v>
      </c>
      <c r="B11398" t="s">
        <v>35</v>
      </c>
      <c r="C11398" t="s">
        <v>99</v>
      </c>
      <c r="D11398">
        <v>79</v>
      </c>
      <c r="E11398" t="s">
        <v>467</v>
      </c>
    </row>
    <row r="11399" spans="1:5" x14ac:dyDescent="0.35">
      <c r="A11399">
        <v>2022</v>
      </c>
      <c r="B11399" t="s">
        <v>34</v>
      </c>
      <c r="C11399" t="s">
        <v>115</v>
      </c>
      <c r="D11399">
        <v>55</v>
      </c>
      <c r="E11399" t="s">
        <v>355</v>
      </c>
    </row>
    <row r="11400" spans="1:5" x14ac:dyDescent="0.35">
      <c r="A11400">
        <v>2022</v>
      </c>
      <c r="B11400" t="s">
        <v>36</v>
      </c>
      <c r="C11400" t="s">
        <v>100</v>
      </c>
      <c r="E11400" t="s">
        <v>467</v>
      </c>
    </row>
    <row r="11401" spans="1:5" x14ac:dyDescent="0.35">
      <c r="A11401">
        <v>2022</v>
      </c>
      <c r="B11401" t="s">
        <v>35</v>
      </c>
      <c r="C11401" t="s">
        <v>60</v>
      </c>
      <c r="E11401" t="s">
        <v>355</v>
      </c>
    </row>
    <row r="11402" spans="1:5" x14ac:dyDescent="0.35">
      <c r="A11402">
        <v>2022</v>
      </c>
      <c r="B11402" t="s">
        <v>36</v>
      </c>
      <c r="C11402" t="s">
        <v>15</v>
      </c>
      <c r="D11402">
        <v>523</v>
      </c>
      <c r="E11402" t="s">
        <v>467</v>
      </c>
    </row>
    <row r="11403" spans="1:5" x14ac:dyDescent="0.35">
      <c r="A11403">
        <v>2022</v>
      </c>
      <c r="B11403" t="s">
        <v>35</v>
      </c>
      <c r="C11403" t="s">
        <v>60</v>
      </c>
      <c r="E11403" t="s">
        <v>328</v>
      </c>
    </row>
    <row r="11404" spans="1:5" x14ac:dyDescent="0.35">
      <c r="A11404">
        <v>2022</v>
      </c>
      <c r="B11404" t="s">
        <v>33</v>
      </c>
      <c r="C11404" t="s">
        <v>101</v>
      </c>
      <c r="D11404">
        <v>3</v>
      </c>
      <c r="E11404" t="s">
        <v>467</v>
      </c>
    </row>
    <row r="11405" spans="1:5" x14ac:dyDescent="0.35">
      <c r="A11405">
        <v>2022</v>
      </c>
      <c r="B11405" t="s">
        <v>38</v>
      </c>
      <c r="C11405" t="s">
        <v>21</v>
      </c>
      <c r="D11405">
        <v>972</v>
      </c>
      <c r="E11405" t="s">
        <v>355</v>
      </c>
    </row>
    <row r="11406" spans="1:5" x14ac:dyDescent="0.35">
      <c r="A11406">
        <v>2022</v>
      </c>
      <c r="B11406" t="s">
        <v>34</v>
      </c>
      <c r="C11406" t="s">
        <v>115</v>
      </c>
      <c r="D11406">
        <v>59</v>
      </c>
      <c r="E11406" t="s">
        <v>467</v>
      </c>
    </row>
    <row r="11407" spans="1:5" x14ac:dyDescent="0.35">
      <c r="A11407">
        <v>2022</v>
      </c>
      <c r="B11407" t="s">
        <v>38</v>
      </c>
      <c r="C11407" t="s">
        <v>21</v>
      </c>
      <c r="D11407">
        <v>1535</v>
      </c>
      <c r="E11407" t="s">
        <v>328</v>
      </c>
    </row>
    <row r="11408" spans="1:5" x14ac:dyDescent="0.35">
      <c r="A11408">
        <v>2022</v>
      </c>
      <c r="B11408" t="s">
        <v>38</v>
      </c>
      <c r="C11408" t="s">
        <v>103</v>
      </c>
      <c r="D11408">
        <v>39</v>
      </c>
      <c r="E11408" t="s">
        <v>467</v>
      </c>
    </row>
    <row r="11409" spans="1:5" x14ac:dyDescent="0.35">
      <c r="A11409">
        <v>2022</v>
      </c>
      <c r="B11409" t="s">
        <v>35</v>
      </c>
      <c r="C11409" t="s">
        <v>62</v>
      </c>
      <c r="E11409" t="s">
        <v>355</v>
      </c>
    </row>
    <row r="11410" spans="1:5" x14ac:dyDescent="0.35">
      <c r="A11410">
        <v>2022</v>
      </c>
      <c r="B11410" t="s">
        <v>36</v>
      </c>
      <c r="C11410" t="s">
        <v>17</v>
      </c>
      <c r="D11410">
        <v>336</v>
      </c>
      <c r="E11410" t="s">
        <v>467</v>
      </c>
    </row>
    <row r="11411" spans="1:5" x14ac:dyDescent="0.35">
      <c r="A11411">
        <v>2022</v>
      </c>
      <c r="B11411" t="s">
        <v>35</v>
      </c>
      <c r="C11411" t="s">
        <v>62</v>
      </c>
      <c r="E11411" t="s">
        <v>328</v>
      </c>
    </row>
    <row r="11412" spans="1:5" x14ac:dyDescent="0.35">
      <c r="A11412">
        <v>2022</v>
      </c>
      <c r="B11412" t="s">
        <v>35</v>
      </c>
      <c r="C11412" t="s">
        <v>105</v>
      </c>
      <c r="D11412">
        <v>110</v>
      </c>
      <c r="E11412" t="s">
        <v>467</v>
      </c>
    </row>
    <row r="11413" spans="1:5" x14ac:dyDescent="0.35">
      <c r="A11413">
        <v>2022</v>
      </c>
      <c r="B11413" t="s">
        <v>33</v>
      </c>
      <c r="C11413" t="s">
        <v>63</v>
      </c>
      <c r="D11413">
        <v>5</v>
      </c>
      <c r="E11413" t="s">
        <v>355</v>
      </c>
    </row>
    <row r="11414" spans="1:5" x14ac:dyDescent="0.35">
      <c r="A11414">
        <v>2022</v>
      </c>
      <c r="B11414" t="s">
        <v>35</v>
      </c>
      <c r="C11414" t="s">
        <v>106</v>
      </c>
      <c r="D11414">
        <v>12</v>
      </c>
      <c r="E11414" t="s">
        <v>467</v>
      </c>
    </row>
    <row r="11415" spans="1:5" x14ac:dyDescent="0.35">
      <c r="A11415">
        <v>2022</v>
      </c>
      <c r="B11415" t="s">
        <v>33</v>
      </c>
      <c r="C11415" t="s">
        <v>63</v>
      </c>
      <c r="D11415">
        <v>10</v>
      </c>
      <c r="E11415" t="s">
        <v>328</v>
      </c>
    </row>
    <row r="11416" spans="1:5" x14ac:dyDescent="0.35">
      <c r="A11416">
        <v>2022</v>
      </c>
      <c r="B11416" t="s">
        <v>34</v>
      </c>
      <c r="C11416" t="s">
        <v>22</v>
      </c>
      <c r="D11416">
        <v>1778</v>
      </c>
      <c r="E11416" t="s">
        <v>467</v>
      </c>
    </row>
    <row r="11417" spans="1:5" x14ac:dyDescent="0.35">
      <c r="A11417">
        <v>2022</v>
      </c>
      <c r="B11417" t="s">
        <v>34</v>
      </c>
      <c r="C11417" t="s">
        <v>64</v>
      </c>
      <c r="D11417">
        <v>0</v>
      </c>
      <c r="E11417" t="s">
        <v>355</v>
      </c>
    </row>
    <row r="11418" spans="1:5" x14ac:dyDescent="0.35">
      <c r="A11418">
        <v>2022</v>
      </c>
      <c r="B11418" t="s">
        <v>34</v>
      </c>
      <c r="C11418" t="s">
        <v>107</v>
      </c>
      <c r="D11418">
        <v>62</v>
      </c>
      <c r="E11418" t="s">
        <v>467</v>
      </c>
    </row>
    <row r="11419" spans="1:5" x14ac:dyDescent="0.35">
      <c r="A11419">
        <v>2022</v>
      </c>
      <c r="B11419" t="s">
        <v>33</v>
      </c>
      <c r="C11419" t="s">
        <v>65</v>
      </c>
      <c r="D11419">
        <v>0</v>
      </c>
      <c r="E11419" t="s">
        <v>355</v>
      </c>
    </row>
    <row r="11420" spans="1:5" x14ac:dyDescent="0.35">
      <c r="A11420">
        <v>2022</v>
      </c>
      <c r="B11420" t="s">
        <v>34</v>
      </c>
      <c r="C11420" t="s">
        <v>108</v>
      </c>
      <c r="D11420">
        <v>703</v>
      </c>
      <c r="E11420" t="s">
        <v>467</v>
      </c>
    </row>
    <row r="11421" spans="1:5" x14ac:dyDescent="0.35">
      <c r="A11421">
        <v>2022</v>
      </c>
      <c r="B11421" t="s">
        <v>33</v>
      </c>
      <c r="C11421" t="s">
        <v>66</v>
      </c>
      <c r="D11421">
        <v>7</v>
      </c>
      <c r="E11421" t="s">
        <v>355</v>
      </c>
    </row>
    <row r="11422" spans="1:5" x14ac:dyDescent="0.35">
      <c r="A11422">
        <v>2022</v>
      </c>
      <c r="B11422" t="s">
        <v>34</v>
      </c>
      <c r="C11422" t="s">
        <v>109</v>
      </c>
      <c r="D11422">
        <v>34</v>
      </c>
      <c r="E11422" t="s">
        <v>467</v>
      </c>
    </row>
    <row r="11423" spans="1:5" x14ac:dyDescent="0.35">
      <c r="A11423">
        <v>2022</v>
      </c>
      <c r="B11423" t="s">
        <v>34</v>
      </c>
      <c r="C11423" t="s">
        <v>67</v>
      </c>
      <c r="E11423" t="s">
        <v>355</v>
      </c>
    </row>
    <row r="11424" spans="1:5" x14ac:dyDescent="0.35">
      <c r="A11424">
        <v>2022</v>
      </c>
      <c r="B11424" t="s">
        <v>35</v>
      </c>
      <c r="C11424" t="s">
        <v>110</v>
      </c>
      <c r="D11424">
        <v>456</v>
      </c>
      <c r="E11424" t="s">
        <v>467</v>
      </c>
    </row>
    <row r="11425" spans="1:5" x14ac:dyDescent="0.35">
      <c r="A11425">
        <v>2022</v>
      </c>
      <c r="B11425" t="s">
        <v>34</v>
      </c>
      <c r="C11425" t="s">
        <v>67</v>
      </c>
      <c r="E11425" t="s">
        <v>328</v>
      </c>
    </row>
    <row r="11426" spans="1:5" x14ac:dyDescent="0.35">
      <c r="A11426">
        <v>2022</v>
      </c>
      <c r="B11426" t="s">
        <v>34</v>
      </c>
      <c r="C11426" t="s">
        <v>111</v>
      </c>
      <c r="D11426">
        <v>72</v>
      </c>
      <c r="E11426" t="s">
        <v>467</v>
      </c>
    </row>
    <row r="11427" spans="1:5" x14ac:dyDescent="0.35">
      <c r="A11427">
        <v>2022</v>
      </c>
      <c r="B11427" t="s">
        <v>33</v>
      </c>
      <c r="C11427" t="s">
        <v>68</v>
      </c>
      <c r="D11427">
        <v>12</v>
      </c>
      <c r="E11427" t="s">
        <v>355</v>
      </c>
    </row>
    <row r="11428" spans="1:5" x14ac:dyDescent="0.35">
      <c r="A11428">
        <v>2022</v>
      </c>
      <c r="B11428" t="s">
        <v>35</v>
      </c>
      <c r="C11428" t="s">
        <v>112</v>
      </c>
      <c r="D11428">
        <v>826</v>
      </c>
      <c r="E11428" t="s">
        <v>467</v>
      </c>
    </row>
    <row r="11429" spans="1:5" x14ac:dyDescent="0.35">
      <c r="A11429">
        <v>2022</v>
      </c>
      <c r="B11429" t="s">
        <v>33</v>
      </c>
      <c r="C11429" t="s">
        <v>68</v>
      </c>
      <c r="D11429">
        <v>20</v>
      </c>
      <c r="E11429" t="s">
        <v>328</v>
      </c>
    </row>
    <row r="11430" spans="1:5" x14ac:dyDescent="0.35">
      <c r="A11430">
        <v>2022</v>
      </c>
      <c r="B11430" t="s">
        <v>36</v>
      </c>
      <c r="C11430" t="s">
        <v>104</v>
      </c>
      <c r="D11430">
        <v>56</v>
      </c>
      <c r="E11430" t="s">
        <v>467</v>
      </c>
    </row>
    <row r="11431" spans="1:5" x14ac:dyDescent="0.35">
      <c r="A11431">
        <v>2022</v>
      </c>
      <c r="B11431" t="s">
        <v>36</v>
      </c>
      <c r="C11431" t="s">
        <v>69</v>
      </c>
      <c r="D11431">
        <v>524</v>
      </c>
      <c r="E11431" t="s">
        <v>355</v>
      </c>
    </row>
    <row r="11432" spans="1:5" x14ac:dyDescent="0.35">
      <c r="A11432">
        <v>2022</v>
      </c>
      <c r="B11432" t="s">
        <v>34</v>
      </c>
      <c r="C11432" t="s">
        <v>114</v>
      </c>
      <c r="D11432">
        <v>384</v>
      </c>
      <c r="E11432" t="s">
        <v>467</v>
      </c>
    </row>
    <row r="11433" spans="1:5" x14ac:dyDescent="0.35">
      <c r="A11433">
        <v>2022</v>
      </c>
      <c r="B11433" t="s">
        <v>36</v>
      </c>
      <c r="C11433" t="s">
        <v>69</v>
      </c>
      <c r="D11433">
        <v>36</v>
      </c>
      <c r="E11433" t="s">
        <v>328</v>
      </c>
    </row>
    <row r="11434" spans="1:5" x14ac:dyDescent="0.35">
      <c r="A11434">
        <v>2022</v>
      </c>
      <c r="B11434" t="s">
        <v>33</v>
      </c>
      <c r="C11434" t="s">
        <v>77</v>
      </c>
      <c r="D11434">
        <v>8</v>
      </c>
      <c r="E11434" t="s">
        <v>355</v>
      </c>
    </row>
    <row r="11435" spans="1:5" x14ac:dyDescent="0.35">
      <c r="A11435">
        <v>2022</v>
      </c>
      <c r="B11435" t="s">
        <v>36</v>
      </c>
      <c r="C11435" t="s">
        <v>76</v>
      </c>
      <c r="D11435">
        <v>62</v>
      </c>
      <c r="E11435" t="s">
        <v>328</v>
      </c>
    </row>
    <row r="11436" spans="1:5" x14ac:dyDescent="0.35">
      <c r="A11436">
        <v>2022</v>
      </c>
      <c r="B11436" t="s">
        <v>36</v>
      </c>
      <c r="C11436" t="s">
        <v>76</v>
      </c>
      <c r="D11436">
        <v>358</v>
      </c>
      <c r="E11436" t="s">
        <v>355</v>
      </c>
    </row>
    <row r="11437" spans="1:5" x14ac:dyDescent="0.35">
      <c r="A11437">
        <v>2022</v>
      </c>
      <c r="B11437" t="s">
        <v>33</v>
      </c>
      <c r="C11437" t="s">
        <v>75</v>
      </c>
      <c r="E11437" t="s">
        <v>328</v>
      </c>
    </row>
    <row r="11438" spans="1:5" x14ac:dyDescent="0.35">
      <c r="A11438">
        <v>2022</v>
      </c>
      <c r="B11438" t="s">
        <v>33</v>
      </c>
      <c r="C11438" t="s">
        <v>75</v>
      </c>
      <c r="E11438" t="s">
        <v>355</v>
      </c>
    </row>
    <row r="11439" spans="1:5" x14ac:dyDescent="0.35">
      <c r="A11439">
        <v>2022</v>
      </c>
      <c r="B11439" t="s">
        <v>33</v>
      </c>
      <c r="C11439" t="s">
        <v>74</v>
      </c>
      <c r="D11439">
        <v>24</v>
      </c>
      <c r="E11439" t="s">
        <v>328</v>
      </c>
    </row>
    <row r="11440" spans="1:5" x14ac:dyDescent="0.35">
      <c r="A11440">
        <v>2022</v>
      </c>
      <c r="B11440" t="s">
        <v>38</v>
      </c>
      <c r="C11440" t="s">
        <v>59</v>
      </c>
      <c r="D11440">
        <v>30</v>
      </c>
      <c r="E11440" t="s">
        <v>328</v>
      </c>
    </row>
    <row r="11441" spans="1:5" x14ac:dyDescent="0.35">
      <c r="A11441">
        <v>2022</v>
      </c>
      <c r="B11441" t="s">
        <v>33</v>
      </c>
      <c r="C11441" t="s">
        <v>74</v>
      </c>
      <c r="D11441">
        <v>11</v>
      </c>
      <c r="E11441" t="s">
        <v>355</v>
      </c>
    </row>
    <row r="11442" spans="1:5" x14ac:dyDescent="0.35">
      <c r="A11442">
        <v>2022</v>
      </c>
      <c r="B11442" t="s">
        <v>38</v>
      </c>
      <c r="C11442" t="s">
        <v>20</v>
      </c>
      <c r="D11442">
        <v>2702</v>
      </c>
      <c r="E11442" t="s">
        <v>355</v>
      </c>
    </row>
    <row r="11443" spans="1:5" x14ac:dyDescent="0.35">
      <c r="A11443">
        <v>2022</v>
      </c>
      <c r="B11443" t="s">
        <v>34</v>
      </c>
      <c r="C11443" t="s">
        <v>73</v>
      </c>
      <c r="D11443">
        <v>67</v>
      </c>
      <c r="E11443" t="s">
        <v>328</v>
      </c>
    </row>
    <row r="11444" spans="1:5" x14ac:dyDescent="0.35">
      <c r="A11444">
        <v>2022</v>
      </c>
      <c r="B11444" t="s">
        <v>34</v>
      </c>
      <c r="C11444" t="s">
        <v>73</v>
      </c>
      <c r="D11444">
        <v>197</v>
      </c>
      <c r="E11444" t="s">
        <v>355</v>
      </c>
    </row>
    <row r="11445" spans="1:5" x14ac:dyDescent="0.35">
      <c r="A11445">
        <v>2022</v>
      </c>
      <c r="B11445" t="s">
        <v>38</v>
      </c>
      <c r="C11445" t="s">
        <v>72</v>
      </c>
      <c r="D11445">
        <v>72</v>
      </c>
      <c r="E11445" t="s">
        <v>328</v>
      </c>
    </row>
    <row r="11446" spans="1:5" x14ac:dyDescent="0.35">
      <c r="A11446">
        <v>2022</v>
      </c>
      <c r="B11446" t="s">
        <v>38</v>
      </c>
      <c r="C11446" t="s">
        <v>72</v>
      </c>
      <c r="D11446">
        <v>76</v>
      </c>
      <c r="E11446" t="s">
        <v>355</v>
      </c>
    </row>
    <row r="11447" spans="1:5" x14ac:dyDescent="0.35">
      <c r="A11447">
        <v>2022</v>
      </c>
      <c r="B11447" t="s">
        <v>33</v>
      </c>
      <c r="C11447" t="s">
        <v>71</v>
      </c>
      <c r="E11447" t="s">
        <v>355</v>
      </c>
    </row>
    <row r="11448" spans="1:5" x14ac:dyDescent="0.35">
      <c r="A11448">
        <v>2022</v>
      </c>
      <c r="B11448" t="s">
        <v>38</v>
      </c>
      <c r="C11448" t="s">
        <v>20</v>
      </c>
      <c r="D11448">
        <v>3121</v>
      </c>
      <c r="E11448" t="s">
        <v>328</v>
      </c>
    </row>
    <row r="11449" spans="1:5" x14ac:dyDescent="0.35">
      <c r="A11449">
        <v>2022</v>
      </c>
      <c r="B11449" t="s">
        <v>38</v>
      </c>
      <c r="C11449" t="s">
        <v>59</v>
      </c>
      <c r="D11449">
        <v>80</v>
      </c>
      <c r="E11449" t="s">
        <v>355</v>
      </c>
    </row>
    <row r="11450" spans="1:5" x14ac:dyDescent="0.35">
      <c r="A11450">
        <v>2022</v>
      </c>
      <c r="B11450" t="s">
        <v>33</v>
      </c>
      <c r="C11450" t="s">
        <v>57</v>
      </c>
      <c r="E11450" t="s">
        <v>328</v>
      </c>
    </row>
    <row r="11451" spans="1:5" x14ac:dyDescent="0.35">
      <c r="A11451">
        <v>2022</v>
      </c>
      <c r="B11451" t="s">
        <v>33</v>
      </c>
      <c r="C11451" t="s">
        <v>57</v>
      </c>
      <c r="D11451">
        <v>0</v>
      </c>
      <c r="E11451" t="s">
        <v>355</v>
      </c>
    </row>
    <row r="11452" spans="1:5" x14ac:dyDescent="0.35">
      <c r="A11452">
        <v>2022</v>
      </c>
      <c r="B11452" t="s">
        <v>38</v>
      </c>
      <c r="C11452" t="s">
        <v>45</v>
      </c>
      <c r="D11452">
        <v>26</v>
      </c>
      <c r="E11452" t="s">
        <v>328</v>
      </c>
    </row>
    <row r="11453" spans="1:5" x14ac:dyDescent="0.35">
      <c r="A11453">
        <v>2022</v>
      </c>
      <c r="B11453" t="s">
        <v>38</v>
      </c>
      <c r="C11453" t="s">
        <v>45</v>
      </c>
      <c r="D11453">
        <v>435</v>
      </c>
      <c r="E11453" t="s">
        <v>355</v>
      </c>
    </row>
    <row r="11454" spans="1:5" x14ac:dyDescent="0.35">
      <c r="A11454">
        <v>2022</v>
      </c>
      <c r="B11454" t="s">
        <v>36</v>
      </c>
      <c r="C11454" t="s">
        <v>44</v>
      </c>
      <c r="D11454">
        <v>12</v>
      </c>
      <c r="E11454" t="s">
        <v>355</v>
      </c>
    </row>
    <row r="11455" spans="1:5" x14ac:dyDescent="0.35">
      <c r="A11455">
        <v>2022</v>
      </c>
      <c r="B11455" t="s">
        <v>33</v>
      </c>
      <c r="C11455" t="s">
        <v>43</v>
      </c>
      <c r="D11455">
        <v>11</v>
      </c>
      <c r="E11455" t="s">
        <v>328</v>
      </c>
    </row>
    <row r="11456" spans="1:5" x14ac:dyDescent="0.35">
      <c r="A11456">
        <v>2022</v>
      </c>
      <c r="B11456" t="s">
        <v>33</v>
      </c>
      <c r="C11456" t="s">
        <v>43</v>
      </c>
      <c r="D11456">
        <v>6</v>
      </c>
      <c r="E11456" t="s">
        <v>355</v>
      </c>
    </row>
    <row r="11457" spans="1:5" x14ac:dyDescent="0.35">
      <c r="A11457">
        <v>2022</v>
      </c>
      <c r="C11457" t="s">
        <v>373</v>
      </c>
      <c r="D11457">
        <v>13</v>
      </c>
      <c r="E11457" t="s">
        <v>328</v>
      </c>
    </row>
    <row r="11458" spans="1:5" x14ac:dyDescent="0.35">
      <c r="A11458">
        <v>2022</v>
      </c>
      <c r="B11458" t="s">
        <v>34</v>
      </c>
      <c r="C11458" t="s">
        <v>46</v>
      </c>
      <c r="D11458">
        <v>37</v>
      </c>
      <c r="E11458" t="s">
        <v>355</v>
      </c>
    </row>
    <row r="11459" spans="1:5" x14ac:dyDescent="0.35">
      <c r="A11459">
        <v>2022</v>
      </c>
      <c r="C11459" t="s">
        <v>373</v>
      </c>
      <c r="D11459">
        <v>36</v>
      </c>
      <c r="E11459" t="s">
        <v>355</v>
      </c>
    </row>
    <row r="11460" spans="1:5" x14ac:dyDescent="0.35">
      <c r="A11460">
        <v>2022</v>
      </c>
      <c r="B11460" t="s">
        <v>33</v>
      </c>
      <c r="C11460" t="s">
        <v>42</v>
      </c>
      <c r="E11460" t="s">
        <v>355</v>
      </c>
    </row>
    <row r="11461" spans="1:5" x14ac:dyDescent="0.35">
      <c r="A11461">
        <v>2022</v>
      </c>
      <c r="B11461" t="s">
        <v>35</v>
      </c>
      <c r="C11461" t="s">
        <v>41</v>
      </c>
      <c r="D11461">
        <v>8</v>
      </c>
      <c r="E11461" t="s">
        <v>328</v>
      </c>
    </row>
    <row r="11462" spans="1:5" x14ac:dyDescent="0.35">
      <c r="A11462">
        <v>2022</v>
      </c>
      <c r="B11462" t="s">
        <v>35</v>
      </c>
      <c r="C11462" t="s">
        <v>41</v>
      </c>
      <c r="D11462">
        <v>11</v>
      </c>
      <c r="E11462" t="s">
        <v>355</v>
      </c>
    </row>
    <row r="11463" spans="1:5" x14ac:dyDescent="0.35">
      <c r="A11463">
        <v>2022</v>
      </c>
      <c r="B11463" t="s">
        <v>34</v>
      </c>
      <c r="C11463" t="s">
        <v>40</v>
      </c>
      <c r="D11463">
        <v>3</v>
      </c>
      <c r="E11463" t="s">
        <v>328</v>
      </c>
    </row>
    <row r="11464" spans="1:5" x14ac:dyDescent="0.35">
      <c r="A11464">
        <v>2022</v>
      </c>
      <c r="B11464" t="s">
        <v>34</v>
      </c>
      <c r="C11464" t="s">
        <v>40</v>
      </c>
      <c r="D11464">
        <v>6</v>
      </c>
      <c r="E11464" t="s">
        <v>355</v>
      </c>
    </row>
    <row r="11465" spans="1:5" x14ac:dyDescent="0.35">
      <c r="A11465">
        <v>2022</v>
      </c>
      <c r="B11465" t="s">
        <v>33</v>
      </c>
      <c r="C11465" t="s">
        <v>203</v>
      </c>
      <c r="D11465">
        <v>11</v>
      </c>
      <c r="E11465" t="s">
        <v>355</v>
      </c>
    </row>
    <row r="11466" spans="1:5" x14ac:dyDescent="0.35">
      <c r="A11466">
        <v>2022</v>
      </c>
      <c r="B11466" t="s">
        <v>33</v>
      </c>
      <c r="C11466" t="s">
        <v>42</v>
      </c>
      <c r="E11466" t="s">
        <v>328</v>
      </c>
    </row>
    <row r="11467" spans="1:5" x14ac:dyDescent="0.35">
      <c r="A11467">
        <v>2022</v>
      </c>
      <c r="B11467" t="s">
        <v>33</v>
      </c>
      <c r="C11467" t="s">
        <v>77</v>
      </c>
      <c r="D11467">
        <v>3</v>
      </c>
      <c r="E11467" t="s">
        <v>328</v>
      </c>
    </row>
    <row r="11468" spans="1:5" x14ac:dyDescent="0.35">
      <c r="A11468">
        <v>2022</v>
      </c>
      <c r="B11468" t="s">
        <v>34</v>
      </c>
      <c r="C11468" t="s">
        <v>46</v>
      </c>
      <c r="D11468">
        <v>5</v>
      </c>
      <c r="E11468" t="s">
        <v>328</v>
      </c>
    </row>
    <row r="11469" spans="1:5" x14ac:dyDescent="0.35">
      <c r="A11469">
        <v>2022</v>
      </c>
      <c r="B11469" t="s">
        <v>37</v>
      </c>
      <c r="C11469" t="s">
        <v>47</v>
      </c>
      <c r="E11469" t="s">
        <v>328</v>
      </c>
    </row>
    <row r="11470" spans="1:5" x14ac:dyDescent="0.35">
      <c r="A11470">
        <v>2022</v>
      </c>
      <c r="B11470" t="s">
        <v>36</v>
      </c>
      <c r="C11470" t="s">
        <v>56</v>
      </c>
      <c r="D11470">
        <v>31</v>
      </c>
      <c r="E11470" t="s">
        <v>328</v>
      </c>
    </row>
    <row r="11471" spans="1:5" x14ac:dyDescent="0.35">
      <c r="A11471">
        <v>2022</v>
      </c>
      <c r="B11471" t="s">
        <v>36</v>
      </c>
      <c r="C11471" t="s">
        <v>56</v>
      </c>
      <c r="D11471">
        <v>117</v>
      </c>
      <c r="E11471" t="s">
        <v>355</v>
      </c>
    </row>
    <row r="11472" spans="1:5" x14ac:dyDescent="0.35">
      <c r="A11472">
        <v>2022</v>
      </c>
      <c r="B11472" t="s">
        <v>35</v>
      </c>
      <c r="C11472" t="s">
        <v>55</v>
      </c>
      <c r="D11472">
        <v>3</v>
      </c>
      <c r="E11472" t="s">
        <v>328</v>
      </c>
    </row>
    <row r="11473" spans="1:5" x14ac:dyDescent="0.35">
      <c r="A11473">
        <v>2022</v>
      </c>
      <c r="B11473" t="s">
        <v>35</v>
      </c>
      <c r="C11473" t="s">
        <v>55</v>
      </c>
      <c r="D11473">
        <v>3</v>
      </c>
      <c r="E11473" t="s">
        <v>355</v>
      </c>
    </row>
    <row r="11474" spans="1:5" x14ac:dyDescent="0.35">
      <c r="A11474">
        <v>2022</v>
      </c>
      <c r="B11474" t="s">
        <v>35</v>
      </c>
      <c r="C11474" t="s">
        <v>54</v>
      </c>
      <c r="D11474">
        <v>4</v>
      </c>
      <c r="E11474" t="s">
        <v>355</v>
      </c>
    </row>
    <row r="11475" spans="1:5" x14ac:dyDescent="0.35">
      <c r="A11475">
        <v>2022</v>
      </c>
      <c r="B11475" t="s">
        <v>36</v>
      </c>
      <c r="C11475" t="s">
        <v>53</v>
      </c>
      <c r="E11475" t="s">
        <v>328</v>
      </c>
    </row>
    <row r="11476" spans="1:5" x14ac:dyDescent="0.35">
      <c r="A11476">
        <v>2022</v>
      </c>
      <c r="B11476" t="s">
        <v>37</v>
      </c>
      <c r="C11476" t="s">
        <v>47</v>
      </c>
      <c r="E11476" t="s">
        <v>355</v>
      </c>
    </row>
    <row r="11477" spans="1:5" x14ac:dyDescent="0.35">
      <c r="A11477">
        <v>2022</v>
      </c>
      <c r="B11477" t="s">
        <v>36</v>
      </c>
      <c r="C11477" t="s">
        <v>53</v>
      </c>
      <c r="E11477" t="s">
        <v>355</v>
      </c>
    </row>
    <row r="11478" spans="1:5" x14ac:dyDescent="0.35">
      <c r="A11478">
        <v>2022</v>
      </c>
      <c r="B11478" t="s">
        <v>34</v>
      </c>
      <c r="C11478" t="s">
        <v>52</v>
      </c>
      <c r="D11478">
        <v>23</v>
      </c>
      <c r="E11478" t="s">
        <v>355</v>
      </c>
    </row>
    <row r="11479" spans="1:5" x14ac:dyDescent="0.35">
      <c r="A11479">
        <v>2022</v>
      </c>
      <c r="B11479" t="s">
        <v>36</v>
      </c>
      <c r="C11479" t="s">
        <v>50</v>
      </c>
      <c r="D11479">
        <v>15</v>
      </c>
      <c r="E11479" t="s">
        <v>328</v>
      </c>
    </row>
    <row r="11480" spans="1:5" x14ac:dyDescent="0.35">
      <c r="A11480">
        <v>2022</v>
      </c>
      <c r="B11480" t="s">
        <v>36</v>
      </c>
      <c r="C11480" t="s">
        <v>50</v>
      </c>
      <c r="D11480">
        <v>42</v>
      </c>
      <c r="E11480" t="s">
        <v>355</v>
      </c>
    </row>
    <row r="11481" spans="1:5" x14ac:dyDescent="0.35">
      <c r="A11481">
        <v>2022</v>
      </c>
      <c r="B11481" t="s">
        <v>34</v>
      </c>
      <c r="C11481" t="s">
        <v>49</v>
      </c>
      <c r="D11481">
        <v>3</v>
      </c>
      <c r="E11481" t="s">
        <v>328</v>
      </c>
    </row>
    <row r="11482" spans="1:5" x14ac:dyDescent="0.35">
      <c r="A11482">
        <v>2022</v>
      </c>
      <c r="B11482" t="s">
        <v>34</v>
      </c>
      <c r="C11482" t="s">
        <v>49</v>
      </c>
      <c r="D11482">
        <v>3</v>
      </c>
      <c r="E11482" t="s">
        <v>355</v>
      </c>
    </row>
    <row r="11483" spans="1:5" x14ac:dyDescent="0.35">
      <c r="A11483">
        <v>2022</v>
      </c>
      <c r="B11483" t="s">
        <v>35</v>
      </c>
      <c r="C11483" t="s">
        <v>48</v>
      </c>
      <c r="D11483">
        <v>4</v>
      </c>
      <c r="E11483" t="s">
        <v>355</v>
      </c>
    </row>
    <row r="11484" spans="1:5" x14ac:dyDescent="0.35">
      <c r="A11484">
        <v>2022</v>
      </c>
      <c r="B11484" t="s">
        <v>34</v>
      </c>
      <c r="C11484" t="s">
        <v>52</v>
      </c>
      <c r="D11484">
        <v>56</v>
      </c>
      <c r="E11484" t="s">
        <v>328</v>
      </c>
    </row>
    <row r="11485" spans="1:5" x14ac:dyDescent="0.35">
      <c r="A11485">
        <v>2022</v>
      </c>
      <c r="B11485" t="s">
        <v>35</v>
      </c>
      <c r="C11485" t="s">
        <v>78</v>
      </c>
      <c r="E11485" t="s">
        <v>355</v>
      </c>
    </row>
    <row r="11486" spans="1:5" x14ac:dyDescent="0.35">
      <c r="A11486">
        <v>2022</v>
      </c>
      <c r="B11486" t="s">
        <v>35</v>
      </c>
      <c r="C11486" t="s">
        <v>78</v>
      </c>
      <c r="E11486" t="s">
        <v>328</v>
      </c>
    </row>
    <row r="11487" spans="1:5" x14ac:dyDescent="0.35">
      <c r="A11487">
        <v>2022</v>
      </c>
      <c r="B11487" t="s">
        <v>36</v>
      </c>
      <c r="C11487" t="s">
        <v>79</v>
      </c>
      <c r="D11487">
        <v>27</v>
      </c>
      <c r="E11487" t="s">
        <v>355</v>
      </c>
    </row>
    <row r="11488" spans="1:5" x14ac:dyDescent="0.35">
      <c r="A11488">
        <v>2022</v>
      </c>
      <c r="B11488" t="s">
        <v>35</v>
      </c>
      <c r="C11488" t="s">
        <v>105</v>
      </c>
      <c r="D11488">
        <v>12</v>
      </c>
      <c r="E11488" t="s">
        <v>328</v>
      </c>
    </row>
    <row r="11489" spans="1:5" x14ac:dyDescent="0.35">
      <c r="A11489">
        <v>2022</v>
      </c>
      <c r="B11489" t="s">
        <v>35</v>
      </c>
      <c r="C11489" t="s">
        <v>105</v>
      </c>
      <c r="D11489">
        <v>3</v>
      </c>
      <c r="E11489" t="s">
        <v>355</v>
      </c>
    </row>
    <row r="11490" spans="1:5" x14ac:dyDescent="0.35">
      <c r="A11490">
        <v>2022</v>
      </c>
      <c r="B11490" t="s">
        <v>36</v>
      </c>
      <c r="C11490" t="s">
        <v>17</v>
      </c>
      <c r="D11490">
        <v>2831</v>
      </c>
      <c r="E11490" t="s">
        <v>328</v>
      </c>
    </row>
    <row r="11491" spans="1:5" x14ac:dyDescent="0.35">
      <c r="A11491">
        <v>2022</v>
      </c>
      <c r="B11491" t="s">
        <v>36</v>
      </c>
      <c r="C11491" t="s">
        <v>17</v>
      </c>
      <c r="D11491">
        <v>3714</v>
      </c>
      <c r="E11491" t="s">
        <v>355</v>
      </c>
    </row>
    <row r="11492" spans="1:5" x14ac:dyDescent="0.35">
      <c r="A11492">
        <v>2022</v>
      </c>
      <c r="B11492" t="s">
        <v>36</v>
      </c>
      <c r="C11492" t="s">
        <v>104</v>
      </c>
      <c r="D11492">
        <v>1420</v>
      </c>
      <c r="E11492" t="s">
        <v>328</v>
      </c>
    </row>
    <row r="11493" spans="1:5" x14ac:dyDescent="0.35">
      <c r="A11493">
        <v>2022</v>
      </c>
      <c r="B11493" t="s">
        <v>36</v>
      </c>
      <c r="C11493" t="s">
        <v>104</v>
      </c>
      <c r="D11493">
        <v>123</v>
      </c>
      <c r="E11493" t="s">
        <v>355</v>
      </c>
    </row>
    <row r="11494" spans="1:5" x14ac:dyDescent="0.35">
      <c r="A11494">
        <v>2022</v>
      </c>
      <c r="B11494" t="s">
        <v>34</v>
      </c>
      <c r="C11494" t="s">
        <v>22</v>
      </c>
      <c r="D11494">
        <v>544</v>
      </c>
      <c r="E11494" t="s">
        <v>355</v>
      </c>
    </row>
    <row r="11495" spans="1:5" x14ac:dyDescent="0.35">
      <c r="A11495">
        <v>2022</v>
      </c>
      <c r="B11495" t="s">
        <v>38</v>
      </c>
      <c r="C11495" t="s">
        <v>103</v>
      </c>
      <c r="D11495">
        <v>24</v>
      </c>
      <c r="E11495" t="s">
        <v>328</v>
      </c>
    </row>
    <row r="11496" spans="1:5" x14ac:dyDescent="0.35">
      <c r="A11496">
        <v>2022</v>
      </c>
      <c r="B11496" t="s">
        <v>33</v>
      </c>
      <c r="C11496" t="s">
        <v>101</v>
      </c>
      <c r="D11496">
        <v>5</v>
      </c>
      <c r="E11496" t="s">
        <v>328</v>
      </c>
    </row>
    <row r="11497" spans="1:5" x14ac:dyDescent="0.35">
      <c r="A11497">
        <v>2022</v>
      </c>
      <c r="B11497" t="s">
        <v>33</v>
      </c>
      <c r="C11497" t="s">
        <v>101</v>
      </c>
      <c r="D11497">
        <v>10</v>
      </c>
      <c r="E11497" t="s">
        <v>355</v>
      </c>
    </row>
    <row r="11498" spans="1:5" x14ac:dyDescent="0.35">
      <c r="A11498">
        <v>2022</v>
      </c>
      <c r="B11498" t="s">
        <v>36</v>
      </c>
      <c r="C11498" t="s">
        <v>15</v>
      </c>
      <c r="D11498">
        <v>3291</v>
      </c>
      <c r="E11498" t="s">
        <v>328</v>
      </c>
    </row>
    <row r="11499" spans="1:5" x14ac:dyDescent="0.35">
      <c r="A11499">
        <v>2022</v>
      </c>
      <c r="B11499" t="s">
        <v>36</v>
      </c>
      <c r="C11499" t="s">
        <v>15</v>
      </c>
      <c r="D11499">
        <v>3511</v>
      </c>
      <c r="E11499" t="s">
        <v>355</v>
      </c>
    </row>
    <row r="11500" spans="1:5" x14ac:dyDescent="0.35">
      <c r="A11500">
        <v>2022</v>
      </c>
      <c r="B11500" t="s">
        <v>36</v>
      </c>
      <c r="C11500" t="s">
        <v>100</v>
      </c>
      <c r="E11500" t="s">
        <v>328</v>
      </c>
    </row>
    <row r="11501" spans="1:5" x14ac:dyDescent="0.35">
      <c r="A11501">
        <v>2022</v>
      </c>
      <c r="B11501" t="s">
        <v>36</v>
      </c>
      <c r="C11501" t="s">
        <v>100</v>
      </c>
      <c r="E11501" t="s">
        <v>355</v>
      </c>
    </row>
    <row r="11502" spans="1:5" x14ac:dyDescent="0.35">
      <c r="A11502">
        <v>2022</v>
      </c>
      <c r="B11502" t="s">
        <v>38</v>
      </c>
      <c r="C11502" t="s">
        <v>103</v>
      </c>
      <c r="D11502">
        <v>99</v>
      </c>
      <c r="E11502" t="s">
        <v>355</v>
      </c>
    </row>
    <row r="11503" spans="1:5" x14ac:dyDescent="0.35">
      <c r="A11503">
        <v>2022</v>
      </c>
      <c r="B11503" t="s">
        <v>35</v>
      </c>
      <c r="C11503" t="s">
        <v>99</v>
      </c>
      <c r="D11503">
        <v>9</v>
      </c>
      <c r="E11503" t="s">
        <v>328</v>
      </c>
    </row>
    <row r="11504" spans="1:5" x14ac:dyDescent="0.35">
      <c r="A11504">
        <v>2022</v>
      </c>
      <c r="B11504" t="s">
        <v>34</v>
      </c>
      <c r="C11504" t="s">
        <v>22</v>
      </c>
      <c r="D11504">
        <v>189</v>
      </c>
      <c r="E11504" t="s">
        <v>328</v>
      </c>
    </row>
    <row r="11505" spans="1:5" x14ac:dyDescent="0.35">
      <c r="A11505">
        <v>2022</v>
      </c>
      <c r="B11505" t="s">
        <v>34</v>
      </c>
      <c r="C11505" t="s">
        <v>107</v>
      </c>
      <c r="D11505">
        <v>5</v>
      </c>
      <c r="E11505" t="s">
        <v>328</v>
      </c>
    </row>
    <row r="11506" spans="1:5" x14ac:dyDescent="0.35">
      <c r="A11506">
        <v>2022</v>
      </c>
      <c r="B11506" t="s">
        <v>34</v>
      </c>
      <c r="C11506" t="s">
        <v>114</v>
      </c>
      <c r="D11506">
        <v>5</v>
      </c>
      <c r="E11506" t="s">
        <v>328</v>
      </c>
    </row>
    <row r="11507" spans="1:5" x14ac:dyDescent="0.35">
      <c r="A11507">
        <v>2022</v>
      </c>
      <c r="B11507" t="s">
        <v>34</v>
      </c>
      <c r="C11507" t="s">
        <v>114</v>
      </c>
      <c r="D11507">
        <v>18</v>
      </c>
      <c r="E11507" t="s">
        <v>355</v>
      </c>
    </row>
    <row r="11508" spans="1:5" x14ac:dyDescent="0.35">
      <c r="A11508">
        <v>2022</v>
      </c>
      <c r="B11508" t="s">
        <v>36</v>
      </c>
      <c r="C11508" t="s">
        <v>113</v>
      </c>
      <c r="D11508">
        <v>65</v>
      </c>
      <c r="E11508" t="s">
        <v>328</v>
      </c>
    </row>
    <row r="11509" spans="1:5" x14ac:dyDescent="0.35">
      <c r="A11509">
        <v>2022</v>
      </c>
      <c r="B11509" t="s">
        <v>36</v>
      </c>
      <c r="C11509" t="s">
        <v>113</v>
      </c>
      <c r="D11509">
        <v>914</v>
      </c>
      <c r="E11509" t="s">
        <v>355</v>
      </c>
    </row>
    <row r="11510" spans="1:5" x14ac:dyDescent="0.35">
      <c r="A11510">
        <v>2022</v>
      </c>
      <c r="B11510" t="s">
        <v>35</v>
      </c>
      <c r="C11510" t="s">
        <v>112</v>
      </c>
      <c r="D11510">
        <v>28</v>
      </c>
      <c r="E11510" t="s">
        <v>328</v>
      </c>
    </row>
    <row r="11511" spans="1:5" x14ac:dyDescent="0.35">
      <c r="A11511">
        <v>2022</v>
      </c>
      <c r="B11511" t="s">
        <v>35</v>
      </c>
      <c r="C11511" t="s">
        <v>112</v>
      </c>
      <c r="D11511">
        <v>22</v>
      </c>
      <c r="E11511" t="s">
        <v>355</v>
      </c>
    </row>
    <row r="11512" spans="1:5" x14ac:dyDescent="0.35">
      <c r="A11512">
        <v>2022</v>
      </c>
      <c r="B11512" t="s">
        <v>34</v>
      </c>
      <c r="C11512" t="s">
        <v>107</v>
      </c>
      <c r="D11512">
        <v>62</v>
      </c>
      <c r="E11512" t="s">
        <v>355</v>
      </c>
    </row>
    <row r="11513" spans="1:5" x14ac:dyDescent="0.35">
      <c r="A11513">
        <v>2022</v>
      </c>
      <c r="B11513" t="s">
        <v>34</v>
      </c>
      <c r="C11513" t="s">
        <v>111</v>
      </c>
      <c r="D11513">
        <v>4</v>
      </c>
      <c r="E11513" t="s">
        <v>328</v>
      </c>
    </row>
    <row r="11514" spans="1:5" x14ac:dyDescent="0.35">
      <c r="A11514">
        <v>2022</v>
      </c>
      <c r="B11514" t="s">
        <v>35</v>
      </c>
      <c r="C11514" t="s">
        <v>110</v>
      </c>
      <c r="D11514">
        <v>9</v>
      </c>
      <c r="E11514" t="s">
        <v>328</v>
      </c>
    </row>
    <row r="11515" spans="1:5" x14ac:dyDescent="0.35">
      <c r="A11515">
        <v>2022</v>
      </c>
      <c r="B11515" t="s">
        <v>35</v>
      </c>
      <c r="C11515" t="s">
        <v>110</v>
      </c>
      <c r="D11515">
        <v>4</v>
      </c>
      <c r="E11515" t="s">
        <v>355</v>
      </c>
    </row>
    <row r="11516" spans="1:5" x14ac:dyDescent="0.35">
      <c r="A11516">
        <v>2022</v>
      </c>
      <c r="B11516" t="s">
        <v>34</v>
      </c>
      <c r="C11516" t="s">
        <v>109</v>
      </c>
      <c r="D11516">
        <v>3</v>
      </c>
      <c r="E11516" t="s">
        <v>328</v>
      </c>
    </row>
    <row r="11517" spans="1:5" x14ac:dyDescent="0.35">
      <c r="A11517">
        <v>2022</v>
      </c>
      <c r="B11517" t="s">
        <v>34</v>
      </c>
      <c r="C11517" t="s">
        <v>109</v>
      </c>
      <c r="D11517">
        <v>12</v>
      </c>
      <c r="E11517" t="s">
        <v>355</v>
      </c>
    </row>
    <row r="11518" spans="1:5" x14ac:dyDescent="0.35">
      <c r="A11518">
        <v>2022</v>
      </c>
      <c r="B11518" t="s">
        <v>34</v>
      </c>
      <c r="C11518" t="s">
        <v>108</v>
      </c>
      <c r="D11518">
        <v>8</v>
      </c>
      <c r="E11518" t="s">
        <v>328</v>
      </c>
    </row>
    <row r="11519" spans="1:5" x14ac:dyDescent="0.35">
      <c r="A11519">
        <v>2022</v>
      </c>
      <c r="B11519" t="s">
        <v>34</v>
      </c>
      <c r="C11519" t="s">
        <v>108</v>
      </c>
      <c r="D11519">
        <v>13</v>
      </c>
      <c r="E11519" t="s">
        <v>355</v>
      </c>
    </row>
    <row r="11520" spans="1:5" x14ac:dyDescent="0.35">
      <c r="A11520">
        <v>2022</v>
      </c>
      <c r="B11520" t="s">
        <v>34</v>
      </c>
      <c r="C11520" t="s">
        <v>111</v>
      </c>
      <c r="D11520">
        <v>78</v>
      </c>
      <c r="E11520" t="s">
        <v>355</v>
      </c>
    </row>
    <row r="11521" spans="1:5" x14ac:dyDescent="0.35">
      <c r="A11521">
        <v>2022</v>
      </c>
      <c r="B11521" t="s">
        <v>34</v>
      </c>
      <c r="C11521" t="s">
        <v>115</v>
      </c>
      <c r="D11521">
        <v>7</v>
      </c>
      <c r="E11521" t="s">
        <v>328</v>
      </c>
    </row>
    <row r="11522" spans="1:5" x14ac:dyDescent="0.35">
      <c r="A11522">
        <v>2022</v>
      </c>
      <c r="B11522" t="s">
        <v>35</v>
      </c>
      <c r="C11522" t="s">
        <v>99</v>
      </c>
      <c r="D11522">
        <v>6</v>
      </c>
      <c r="E11522" t="s">
        <v>355</v>
      </c>
    </row>
    <row r="11523" spans="1:5" x14ac:dyDescent="0.35">
      <c r="A11523">
        <v>2022</v>
      </c>
      <c r="B11523" t="s">
        <v>33</v>
      </c>
      <c r="C11523" t="s">
        <v>98</v>
      </c>
      <c r="D11523">
        <v>57</v>
      </c>
      <c r="E11523" t="s">
        <v>355</v>
      </c>
    </row>
    <row r="11524" spans="1:5" x14ac:dyDescent="0.35">
      <c r="A11524">
        <v>2022</v>
      </c>
      <c r="B11524" t="s">
        <v>33</v>
      </c>
      <c r="C11524" t="s">
        <v>88</v>
      </c>
      <c r="E11524" t="s">
        <v>328</v>
      </c>
    </row>
    <row r="11525" spans="1:5" x14ac:dyDescent="0.35">
      <c r="A11525">
        <v>2022</v>
      </c>
      <c r="B11525" t="s">
        <v>33</v>
      </c>
      <c r="C11525" t="s">
        <v>88</v>
      </c>
      <c r="E11525" t="s">
        <v>355</v>
      </c>
    </row>
    <row r="11526" spans="1:5" x14ac:dyDescent="0.35">
      <c r="A11526">
        <v>2022</v>
      </c>
      <c r="B11526" t="s">
        <v>36</v>
      </c>
      <c r="C11526" t="s">
        <v>16</v>
      </c>
      <c r="D11526">
        <v>5313</v>
      </c>
      <c r="E11526" t="s">
        <v>328</v>
      </c>
    </row>
    <row r="11527" spans="1:5" x14ac:dyDescent="0.35">
      <c r="A11527">
        <v>2022</v>
      </c>
      <c r="B11527" t="s">
        <v>36</v>
      </c>
      <c r="C11527" t="s">
        <v>16</v>
      </c>
      <c r="D11527">
        <v>2012</v>
      </c>
      <c r="E11527" t="s">
        <v>355</v>
      </c>
    </row>
    <row r="11528" spans="1:5" x14ac:dyDescent="0.35">
      <c r="A11528">
        <v>2022</v>
      </c>
      <c r="B11528" t="s">
        <v>33</v>
      </c>
      <c r="C11528" t="s">
        <v>87</v>
      </c>
      <c r="D11528">
        <v>13</v>
      </c>
      <c r="E11528" t="s">
        <v>328</v>
      </c>
    </row>
    <row r="11529" spans="1:5" x14ac:dyDescent="0.35">
      <c r="A11529">
        <v>2022</v>
      </c>
      <c r="B11529" t="s">
        <v>33</v>
      </c>
      <c r="C11529" t="s">
        <v>87</v>
      </c>
      <c r="D11529">
        <v>27</v>
      </c>
      <c r="E11529" t="s">
        <v>355</v>
      </c>
    </row>
    <row r="11530" spans="1:5" x14ac:dyDescent="0.35">
      <c r="A11530">
        <v>2022</v>
      </c>
      <c r="B11530" t="s">
        <v>33</v>
      </c>
      <c r="C11530" t="s">
        <v>89</v>
      </c>
      <c r="D11530">
        <v>5</v>
      </c>
      <c r="E11530" t="s">
        <v>355</v>
      </c>
    </row>
    <row r="11531" spans="1:5" x14ac:dyDescent="0.35">
      <c r="A11531">
        <v>2022</v>
      </c>
      <c r="B11531" t="s">
        <v>38</v>
      </c>
      <c r="C11531" t="s">
        <v>86</v>
      </c>
      <c r="D11531">
        <v>1147</v>
      </c>
      <c r="E11531" t="s">
        <v>328</v>
      </c>
    </row>
    <row r="11532" spans="1:5" x14ac:dyDescent="0.35">
      <c r="A11532">
        <v>2022</v>
      </c>
      <c r="B11532" t="s">
        <v>36</v>
      </c>
      <c r="C11532" t="s">
        <v>85</v>
      </c>
      <c r="D11532">
        <v>622</v>
      </c>
      <c r="E11532" t="s">
        <v>328</v>
      </c>
    </row>
    <row r="11533" spans="1:5" x14ac:dyDescent="0.35">
      <c r="A11533">
        <v>2022</v>
      </c>
      <c r="B11533" t="s">
        <v>36</v>
      </c>
      <c r="C11533" t="s">
        <v>85</v>
      </c>
      <c r="D11533">
        <v>1100</v>
      </c>
      <c r="E11533" t="s">
        <v>355</v>
      </c>
    </row>
    <row r="11534" spans="1:5" x14ac:dyDescent="0.35">
      <c r="A11534">
        <v>2022</v>
      </c>
      <c r="B11534" t="s">
        <v>36</v>
      </c>
      <c r="C11534" t="s">
        <v>84</v>
      </c>
      <c r="D11534">
        <v>3</v>
      </c>
      <c r="E11534" t="s">
        <v>328</v>
      </c>
    </row>
    <row r="11535" spans="1:5" x14ac:dyDescent="0.35">
      <c r="A11535">
        <v>2022</v>
      </c>
      <c r="B11535" t="s">
        <v>36</v>
      </c>
      <c r="C11535" t="s">
        <v>84</v>
      </c>
      <c r="D11535">
        <v>6</v>
      </c>
      <c r="E11535" t="s">
        <v>355</v>
      </c>
    </row>
    <row r="11536" spans="1:5" x14ac:dyDescent="0.35">
      <c r="A11536">
        <v>2022</v>
      </c>
      <c r="B11536" t="s">
        <v>35</v>
      </c>
      <c r="C11536" t="s">
        <v>81</v>
      </c>
      <c r="D11536">
        <v>3</v>
      </c>
      <c r="E11536" t="s">
        <v>328</v>
      </c>
    </row>
    <row r="11537" spans="1:5" x14ac:dyDescent="0.35">
      <c r="A11537">
        <v>2022</v>
      </c>
      <c r="B11537" t="s">
        <v>35</v>
      </c>
      <c r="C11537" t="s">
        <v>81</v>
      </c>
      <c r="D11537">
        <v>3</v>
      </c>
      <c r="E11537" t="s">
        <v>355</v>
      </c>
    </row>
    <row r="11538" spans="1:5" x14ac:dyDescent="0.35">
      <c r="A11538">
        <v>2022</v>
      </c>
      <c r="B11538" t="s">
        <v>38</v>
      </c>
      <c r="C11538" t="s">
        <v>86</v>
      </c>
      <c r="D11538">
        <v>674</v>
      </c>
      <c r="E11538" t="s">
        <v>355</v>
      </c>
    </row>
    <row r="11539" spans="1:5" x14ac:dyDescent="0.35">
      <c r="A11539">
        <v>2022</v>
      </c>
      <c r="B11539" t="s">
        <v>33</v>
      </c>
      <c r="C11539" t="s">
        <v>98</v>
      </c>
      <c r="D11539">
        <v>34</v>
      </c>
      <c r="E11539" t="s">
        <v>328</v>
      </c>
    </row>
    <row r="11540" spans="1:5" x14ac:dyDescent="0.35">
      <c r="A11540">
        <v>2022</v>
      </c>
      <c r="B11540" t="s">
        <v>33</v>
      </c>
      <c r="C11540" t="s">
        <v>89</v>
      </c>
      <c r="D11540">
        <v>15</v>
      </c>
      <c r="E11540" t="s">
        <v>328</v>
      </c>
    </row>
    <row r="11541" spans="1:5" x14ac:dyDescent="0.35">
      <c r="A11541">
        <v>2022</v>
      </c>
      <c r="B11541" t="s">
        <v>35</v>
      </c>
      <c r="C11541" t="s">
        <v>90</v>
      </c>
      <c r="E11541" t="s">
        <v>328</v>
      </c>
    </row>
    <row r="11542" spans="1:5" x14ac:dyDescent="0.35">
      <c r="A11542">
        <v>2022</v>
      </c>
      <c r="B11542" t="s">
        <v>35</v>
      </c>
      <c r="C11542" t="s">
        <v>97</v>
      </c>
      <c r="D11542">
        <v>18</v>
      </c>
      <c r="E11542" t="s">
        <v>328</v>
      </c>
    </row>
    <row r="11543" spans="1:5" x14ac:dyDescent="0.35">
      <c r="A11543">
        <v>2022</v>
      </c>
      <c r="B11543" t="s">
        <v>35</v>
      </c>
      <c r="C11543" t="s">
        <v>97</v>
      </c>
      <c r="D11543">
        <v>28</v>
      </c>
      <c r="E11543" t="s">
        <v>355</v>
      </c>
    </row>
    <row r="11544" spans="1:5" x14ac:dyDescent="0.35">
      <c r="A11544">
        <v>2022</v>
      </c>
      <c r="B11544" t="s">
        <v>34</v>
      </c>
      <c r="C11544" t="s">
        <v>8</v>
      </c>
      <c r="D11544">
        <v>7</v>
      </c>
      <c r="E11544" t="s">
        <v>328</v>
      </c>
    </row>
    <row r="11545" spans="1:5" x14ac:dyDescent="0.35">
      <c r="A11545">
        <v>2022</v>
      </c>
      <c r="B11545" t="s">
        <v>34</v>
      </c>
      <c r="C11545" t="s">
        <v>8</v>
      </c>
      <c r="D11545">
        <v>12</v>
      </c>
      <c r="E11545" t="s">
        <v>355</v>
      </c>
    </row>
    <row r="11546" spans="1:5" x14ac:dyDescent="0.35">
      <c r="A11546">
        <v>2022</v>
      </c>
      <c r="B11546" t="s">
        <v>33</v>
      </c>
      <c r="C11546" t="s">
        <v>96</v>
      </c>
      <c r="E11546" t="s">
        <v>328</v>
      </c>
    </row>
    <row r="11547" spans="1:5" x14ac:dyDescent="0.35">
      <c r="A11547">
        <v>2022</v>
      </c>
      <c r="B11547" t="s">
        <v>33</v>
      </c>
      <c r="C11547" t="s">
        <v>96</v>
      </c>
      <c r="E11547" t="s">
        <v>355</v>
      </c>
    </row>
    <row r="11548" spans="1:5" x14ac:dyDescent="0.35">
      <c r="A11548">
        <v>2022</v>
      </c>
      <c r="B11548" t="s">
        <v>35</v>
      </c>
      <c r="C11548" t="s">
        <v>90</v>
      </c>
      <c r="E11548" t="s">
        <v>355</v>
      </c>
    </row>
    <row r="11549" spans="1:5" x14ac:dyDescent="0.35">
      <c r="A11549">
        <v>2022</v>
      </c>
      <c r="B11549" t="s">
        <v>33</v>
      </c>
      <c r="C11549" t="s">
        <v>95</v>
      </c>
      <c r="E11549" t="s">
        <v>328</v>
      </c>
    </row>
    <row r="11550" spans="1:5" x14ac:dyDescent="0.35">
      <c r="A11550">
        <v>2022</v>
      </c>
      <c r="B11550" t="s">
        <v>35</v>
      </c>
      <c r="C11550" t="s">
        <v>94</v>
      </c>
      <c r="D11550">
        <v>21</v>
      </c>
      <c r="E11550" t="s">
        <v>328</v>
      </c>
    </row>
    <row r="11551" spans="1:5" x14ac:dyDescent="0.35">
      <c r="A11551">
        <v>2022</v>
      </c>
      <c r="B11551" t="s">
        <v>35</v>
      </c>
      <c r="C11551" t="s">
        <v>94</v>
      </c>
      <c r="D11551">
        <v>16</v>
      </c>
      <c r="E11551" t="s">
        <v>355</v>
      </c>
    </row>
    <row r="11552" spans="1:5" x14ac:dyDescent="0.35">
      <c r="A11552">
        <v>2022</v>
      </c>
      <c r="B11552" t="s">
        <v>37</v>
      </c>
      <c r="C11552" t="s">
        <v>92</v>
      </c>
      <c r="E11552" t="s">
        <v>328</v>
      </c>
    </row>
    <row r="11553" spans="1:5" x14ac:dyDescent="0.35">
      <c r="A11553">
        <v>2022</v>
      </c>
      <c r="B11553" t="s">
        <v>37</v>
      </c>
      <c r="C11553" t="s">
        <v>92</v>
      </c>
      <c r="E11553" t="s">
        <v>355</v>
      </c>
    </row>
    <row r="11554" spans="1:5" x14ac:dyDescent="0.35">
      <c r="A11554">
        <v>2022</v>
      </c>
      <c r="B11554" t="s">
        <v>33</v>
      </c>
      <c r="C11554" t="s">
        <v>91</v>
      </c>
      <c r="D11554">
        <v>3</v>
      </c>
      <c r="E11554" t="s">
        <v>328</v>
      </c>
    </row>
    <row r="11555" spans="1:5" x14ac:dyDescent="0.35">
      <c r="A11555">
        <v>2022</v>
      </c>
      <c r="B11555" t="s">
        <v>33</v>
      </c>
      <c r="C11555" t="s">
        <v>91</v>
      </c>
      <c r="D11555">
        <v>8</v>
      </c>
      <c r="E11555" t="s">
        <v>355</v>
      </c>
    </row>
    <row r="11556" spans="1:5" x14ac:dyDescent="0.35">
      <c r="A11556">
        <v>2022</v>
      </c>
      <c r="B11556" t="s">
        <v>33</v>
      </c>
      <c r="C11556" t="s">
        <v>95</v>
      </c>
      <c r="E11556" t="s">
        <v>355</v>
      </c>
    </row>
    <row r="11557" spans="1:5" x14ac:dyDescent="0.35">
      <c r="A11557">
        <v>2022</v>
      </c>
      <c r="B11557" t="s">
        <v>33</v>
      </c>
      <c r="C11557" t="s">
        <v>204</v>
      </c>
      <c r="D11557">
        <v>11</v>
      </c>
      <c r="E11557" t="s">
        <v>355</v>
      </c>
    </row>
    <row r="11558" spans="1:5" x14ac:dyDescent="0.35">
      <c r="A11558">
        <v>2000</v>
      </c>
      <c r="B11558" t="s">
        <v>34</v>
      </c>
      <c r="C11558" t="s">
        <v>40</v>
      </c>
    </row>
    <row r="11559" spans="1:5" x14ac:dyDescent="0.35">
      <c r="A11559">
        <v>2000</v>
      </c>
      <c r="B11559" t="s">
        <v>38</v>
      </c>
      <c r="C11559" t="s">
        <v>155</v>
      </c>
    </row>
    <row r="11560" spans="1:5" x14ac:dyDescent="0.35">
      <c r="A11560">
        <v>2000</v>
      </c>
      <c r="B11560" t="s">
        <v>38</v>
      </c>
      <c r="C11560" t="s">
        <v>155</v>
      </c>
    </row>
    <row r="11561" spans="1:5" x14ac:dyDescent="0.35">
      <c r="A11561">
        <v>2000</v>
      </c>
      <c r="B11561" t="s">
        <v>36</v>
      </c>
      <c r="C11561" t="s">
        <v>154</v>
      </c>
    </row>
    <row r="11562" spans="1:5" x14ac:dyDescent="0.35">
      <c r="A11562">
        <v>2000</v>
      </c>
      <c r="B11562" t="s">
        <v>36</v>
      </c>
      <c r="C11562" t="s">
        <v>154</v>
      </c>
    </row>
    <row r="11563" spans="1:5" x14ac:dyDescent="0.35">
      <c r="A11563">
        <v>2000</v>
      </c>
      <c r="B11563" t="s">
        <v>37</v>
      </c>
      <c r="C11563" t="s">
        <v>153</v>
      </c>
    </row>
    <row r="11564" spans="1:5" x14ac:dyDescent="0.35">
      <c r="A11564">
        <v>2000</v>
      </c>
      <c r="B11564" t="s">
        <v>34</v>
      </c>
      <c r="C11564" t="s">
        <v>152</v>
      </c>
    </row>
    <row r="11565" spans="1:5" x14ac:dyDescent="0.35">
      <c r="A11565">
        <v>2000</v>
      </c>
      <c r="B11565" t="s">
        <v>34</v>
      </c>
      <c r="C11565" t="s">
        <v>152</v>
      </c>
    </row>
    <row r="11566" spans="1:5" x14ac:dyDescent="0.35">
      <c r="A11566">
        <v>2000</v>
      </c>
      <c r="B11566" t="s">
        <v>35</v>
      </c>
      <c r="C11566" t="s">
        <v>150</v>
      </c>
    </row>
    <row r="11567" spans="1:5" x14ac:dyDescent="0.35">
      <c r="A11567">
        <v>2000</v>
      </c>
      <c r="B11567" t="s">
        <v>35</v>
      </c>
      <c r="C11567" t="s">
        <v>150</v>
      </c>
    </row>
    <row r="11568" spans="1:5" x14ac:dyDescent="0.35">
      <c r="A11568">
        <v>2000</v>
      </c>
      <c r="B11568" t="s">
        <v>35</v>
      </c>
      <c r="C11568" t="s">
        <v>322</v>
      </c>
    </row>
    <row r="11569" spans="1:3" x14ac:dyDescent="0.35">
      <c r="A11569">
        <v>2000</v>
      </c>
      <c r="B11569" t="s">
        <v>35</v>
      </c>
      <c r="C11569" t="s">
        <v>322</v>
      </c>
    </row>
    <row r="11570" spans="1:3" x14ac:dyDescent="0.35">
      <c r="A11570">
        <v>2000</v>
      </c>
      <c r="B11570" t="s">
        <v>33</v>
      </c>
      <c r="C11570" t="s">
        <v>149</v>
      </c>
    </row>
    <row r="11571" spans="1:3" x14ac:dyDescent="0.35">
      <c r="A11571">
        <v>2000</v>
      </c>
      <c r="B11571" t="s">
        <v>33</v>
      </c>
      <c r="C11571" t="s">
        <v>149</v>
      </c>
    </row>
    <row r="11572" spans="1:3" x14ac:dyDescent="0.35">
      <c r="A11572">
        <v>2000</v>
      </c>
      <c r="B11572" t="s">
        <v>33</v>
      </c>
      <c r="C11572" t="s">
        <v>148</v>
      </c>
    </row>
    <row r="11573" spans="1:3" x14ac:dyDescent="0.35">
      <c r="A11573">
        <v>2000</v>
      </c>
      <c r="B11573" t="s">
        <v>33</v>
      </c>
      <c r="C11573" t="s">
        <v>148</v>
      </c>
    </row>
    <row r="11574" spans="1:3" x14ac:dyDescent="0.35">
      <c r="A11574">
        <v>2000</v>
      </c>
      <c r="B11574" t="s">
        <v>38</v>
      </c>
      <c r="C11574" t="s">
        <v>156</v>
      </c>
    </row>
    <row r="11575" spans="1:3" x14ac:dyDescent="0.35">
      <c r="A11575">
        <v>2000</v>
      </c>
      <c r="B11575" t="s">
        <v>38</v>
      </c>
      <c r="C11575" t="s">
        <v>156</v>
      </c>
    </row>
    <row r="11576" spans="1:3" x14ac:dyDescent="0.35">
      <c r="A11576">
        <v>2000</v>
      </c>
      <c r="B11576" t="s">
        <v>34</v>
      </c>
      <c r="C11576" t="s">
        <v>18</v>
      </c>
    </row>
    <row r="11577" spans="1:3" x14ac:dyDescent="0.35">
      <c r="A11577">
        <v>2000</v>
      </c>
      <c r="B11577" t="s">
        <v>34</v>
      </c>
      <c r="C11577" t="s">
        <v>18</v>
      </c>
    </row>
    <row r="11578" spans="1:3" x14ac:dyDescent="0.35">
      <c r="A11578">
        <v>2000</v>
      </c>
      <c r="B11578" t="s">
        <v>37</v>
      </c>
      <c r="C11578" t="s">
        <v>166</v>
      </c>
    </row>
    <row r="11579" spans="1:3" x14ac:dyDescent="0.35">
      <c r="A11579">
        <v>2000</v>
      </c>
      <c r="B11579" t="s">
        <v>36</v>
      </c>
      <c r="C11579" t="s">
        <v>165</v>
      </c>
    </row>
    <row r="11580" spans="1:3" x14ac:dyDescent="0.35">
      <c r="A11580">
        <v>2000</v>
      </c>
      <c r="B11580" t="s">
        <v>36</v>
      </c>
      <c r="C11580" t="s">
        <v>165</v>
      </c>
    </row>
    <row r="11581" spans="1:3" x14ac:dyDescent="0.35">
      <c r="A11581">
        <v>2000</v>
      </c>
      <c r="B11581" t="s">
        <v>36</v>
      </c>
      <c r="C11581" t="s">
        <v>164</v>
      </c>
    </row>
    <row r="11582" spans="1:3" x14ac:dyDescent="0.35">
      <c r="A11582">
        <v>2000</v>
      </c>
      <c r="B11582" t="s">
        <v>36</v>
      </c>
      <c r="C11582" t="s">
        <v>164</v>
      </c>
    </row>
    <row r="11583" spans="1:3" x14ac:dyDescent="0.35">
      <c r="A11583">
        <v>2000</v>
      </c>
      <c r="B11583" t="s">
        <v>36</v>
      </c>
      <c r="C11583" t="s">
        <v>163</v>
      </c>
    </row>
    <row r="11584" spans="1:3" x14ac:dyDescent="0.35">
      <c r="A11584">
        <v>2000</v>
      </c>
      <c r="B11584" t="s">
        <v>36</v>
      </c>
      <c r="C11584" t="s">
        <v>163</v>
      </c>
    </row>
    <row r="11585" spans="1:3" x14ac:dyDescent="0.35">
      <c r="A11585">
        <v>2000</v>
      </c>
      <c r="B11585" t="s">
        <v>36</v>
      </c>
      <c r="C11585" t="s">
        <v>147</v>
      </c>
    </row>
    <row r="11586" spans="1:3" x14ac:dyDescent="0.35">
      <c r="A11586">
        <v>2000</v>
      </c>
      <c r="B11586" t="s">
        <v>33</v>
      </c>
      <c r="C11586" t="s">
        <v>162</v>
      </c>
    </row>
    <row r="11587" spans="1:3" x14ac:dyDescent="0.35">
      <c r="A11587">
        <v>2000</v>
      </c>
      <c r="B11587" t="s">
        <v>35</v>
      </c>
      <c r="C11587" t="s">
        <v>161</v>
      </c>
    </row>
    <row r="11588" spans="1:3" x14ac:dyDescent="0.35">
      <c r="A11588">
        <v>2000</v>
      </c>
      <c r="B11588" t="s">
        <v>35</v>
      </c>
      <c r="C11588" t="s">
        <v>160</v>
      </c>
    </row>
    <row r="11589" spans="1:3" x14ac:dyDescent="0.35">
      <c r="A11589">
        <v>2000</v>
      </c>
      <c r="B11589" t="s">
        <v>35</v>
      </c>
      <c r="C11589" t="s">
        <v>160</v>
      </c>
    </row>
    <row r="11590" spans="1:3" x14ac:dyDescent="0.35">
      <c r="A11590">
        <v>2000</v>
      </c>
      <c r="B11590" t="s">
        <v>35</v>
      </c>
      <c r="C11590" t="s">
        <v>158</v>
      </c>
    </row>
    <row r="11591" spans="1:3" x14ac:dyDescent="0.35">
      <c r="A11591">
        <v>2000</v>
      </c>
      <c r="B11591" t="s">
        <v>35</v>
      </c>
      <c r="C11591" t="s">
        <v>158</v>
      </c>
    </row>
    <row r="11592" spans="1:3" x14ac:dyDescent="0.35">
      <c r="A11592">
        <v>2000</v>
      </c>
      <c r="B11592" t="s">
        <v>35</v>
      </c>
      <c r="C11592" t="s">
        <v>157</v>
      </c>
    </row>
    <row r="11593" spans="1:3" x14ac:dyDescent="0.35">
      <c r="A11593">
        <v>2000</v>
      </c>
      <c r="B11593" t="s">
        <v>35</v>
      </c>
      <c r="C11593" t="s">
        <v>157</v>
      </c>
    </row>
    <row r="11594" spans="1:3" x14ac:dyDescent="0.35">
      <c r="A11594">
        <v>2000</v>
      </c>
      <c r="B11594" t="s">
        <v>35</v>
      </c>
      <c r="C11594" t="s">
        <v>161</v>
      </c>
    </row>
    <row r="11595" spans="1:3" x14ac:dyDescent="0.35">
      <c r="A11595">
        <v>2000</v>
      </c>
      <c r="B11595" t="s">
        <v>36</v>
      </c>
      <c r="C11595" t="s">
        <v>147</v>
      </c>
    </row>
    <row r="11596" spans="1:3" x14ac:dyDescent="0.35">
      <c r="A11596">
        <v>2000</v>
      </c>
      <c r="B11596" t="s">
        <v>37</v>
      </c>
      <c r="C11596" t="s">
        <v>146</v>
      </c>
    </row>
    <row r="11597" spans="1:3" x14ac:dyDescent="0.35">
      <c r="A11597">
        <v>2000</v>
      </c>
      <c r="B11597" t="s">
        <v>37</v>
      </c>
      <c r="C11597" t="s">
        <v>146</v>
      </c>
    </row>
    <row r="11598" spans="1:3" x14ac:dyDescent="0.35">
      <c r="A11598">
        <v>2000</v>
      </c>
      <c r="B11598" t="s">
        <v>33</v>
      </c>
      <c r="C11598" t="s">
        <v>132</v>
      </c>
    </row>
    <row r="11599" spans="1:3" x14ac:dyDescent="0.35">
      <c r="A11599">
        <v>2000</v>
      </c>
      <c r="B11599" t="s">
        <v>33</v>
      </c>
      <c r="C11599" t="s">
        <v>132</v>
      </c>
    </row>
    <row r="11600" spans="1:3" x14ac:dyDescent="0.35">
      <c r="A11600">
        <v>2000</v>
      </c>
      <c r="B11600" t="s">
        <v>34</v>
      </c>
      <c r="C11600" t="s">
        <v>131</v>
      </c>
    </row>
    <row r="11601" spans="1:3" x14ac:dyDescent="0.35">
      <c r="A11601">
        <v>2000</v>
      </c>
      <c r="B11601" t="s">
        <v>34</v>
      </c>
      <c r="C11601" t="s">
        <v>131</v>
      </c>
    </row>
    <row r="11602" spans="1:3" x14ac:dyDescent="0.35">
      <c r="A11602">
        <v>2000</v>
      </c>
      <c r="B11602" t="s">
        <v>33</v>
      </c>
      <c r="C11602" t="s">
        <v>130</v>
      </c>
    </row>
    <row r="11603" spans="1:3" x14ac:dyDescent="0.35">
      <c r="A11603">
        <v>2000</v>
      </c>
      <c r="B11603" t="s">
        <v>33</v>
      </c>
      <c r="C11603" t="s">
        <v>130</v>
      </c>
    </row>
    <row r="11604" spans="1:3" x14ac:dyDescent="0.35">
      <c r="A11604">
        <v>2000</v>
      </c>
      <c r="B11604" t="s">
        <v>35</v>
      </c>
      <c r="C11604" t="s">
        <v>127</v>
      </c>
    </row>
    <row r="11605" spans="1:3" x14ac:dyDescent="0.35">
      <c r="A11605">
        <v>2000</v>
      </c>
      <c r="B11605" t="s">
        <v>37</v>
      </c>
      <c r="C11605" t="s">
        <v>134</v>
      </c>
    </row>
    <row r="11606" spans="1:3" x14ac:dyDescent="0.35">
      <c r="A11606">
        <v>2000</v>
      </c>
      <c r="B11606" t="s">
        <v>35</v>
      </c>
      <c r="C11606" t="s">
        <v>127</v>
      </c>
    </row>
    <row r="11607" spans="1:3" x14ac:dyDescent="0.35">
      <c r="A11607">
        <v>2000</v>
      </c>
      <c r="B11607" t="s">
        <v>33</v>
      </c>
      <c r="C11607" t="s">
        <v>125</v>
      </c>
    </row>
    <row r="11608" spans="1:3" x14ac:dyDescent="0.35">
      <c r="A11608">
        <v>2000</v>
      </c>
      <c r="B11608" t="s">
        <v>34</v>
      </c>
      <c r="C11608" t="s">
        <v>124</v>
      </c>
    </row>
    <row r="11609" spans="1:3" x14ac:dyDescent="0.35">
      <c r="A11609">
        <v>2000</v>
      </c>
      <c r="B11609" t="s">
        <v>34</v>
      </c>
      <c r="C11609" t="s">
        <v>124</v>
      </c>
    </row>
    <row r="11610" spans="1:3" x14ac:dyDescent="0.35">
      <c r="A11610">
        <v>2000</v>
      </c>
      <c r="B11610" t="s">
        <v>35</v>
      </c>
      <c r="C11610" t="s">
        <v>123</v>
      </c>
    </row>
    <row r="11611" spans="1:3" x14ac:dyDescent="0.35">
      <c r="A11611">
        <v>2000</v>
      </c>
      <c r="B11611" t="s">
        <v>35</v>
      </c>
      <c r="C11611" t="s">
        <v>123</v>
      </c>
    </row>
    <row r="11612" spans="1:3" x14ac:dyDescent="0.35">
      <c r="A11612">
        <v>2000</v>
      </c>
      <c r="B11612" t="s">
        <v>34</v>
      </c>
      <c r="C11612" t="s">
        <v>122</v>
      </c>
    </row>
    <row r="11613" spans="1:3" x14ac:dyDescent="0.35">
      <c r="A11613">
        <v>2000</v>
      </c>
      <c r="B11613" t="s">
        <v>34</v>
      </c>
      <c r="C11613" t="s">
        <v>122</v>
      </c>
    </row>
    <row r="11614" spans="1:3" x14ac:dyDescent="0.35">
      <c r="A11614">
        <v>2000</v>
      </c>
      <c r="B11614" t="s">
        <v>33</v>
      </c>
      <c r="C11614" t="s">
        <v>125</v>
      </c>
    </row>
    <row r="11615" spans="1:3" x14ac:dyDescent="0.35">
      <c r="A11615">
        <v>2000</v>
      </c>
      <c r="B11615" t="s">
        <v>37</v>
      </c>
      <c r="C11615" t="s">
        <v>166</v>
      </c>
    </row>
    <row r="11616" spans="1:3" x14ac:dyDescent="0.35">
      <c r="A11616">
        <v>2000</v>
      </c>
      <c r="B11616" t="s">
        <v>37</v>
      </c>
      <c r="C11616" t="s">
        <v>134</v>
      </c>
    </row>
    <row r="11617" spans="1:3" x14ac:dyDescent="0.35">
      <c r="A11617">
        <v>2000</v>
      </c>
      <c r="B11617" t="s">
        <v>33</v>
      </c>
      <c r="C11617" t="s">
        <v>135</v>
      </c>
    </row>
    <row r="11618" spans="1:3" x14ac:dyDescent="0.35">
      <c r="A11618">
        <v>2000</v>
      </c>
      <c r="B11618" t="s">
        <v>35</v>
      </c>
      <c r="C11618" t="s">
        <v>145</v>
      </c>
    </row>
    <row r="11619" spans="1:3" x14ac:dyDescent="0.35">
      <c r="A11619">
        <v>2000</v>
      </c>
      <c r="B11619" t="s">
        <v>35</v>
      </c>
      <c r="C11619" t="s">
        <v>145</v>
      </c>
    </row>
    <row r="11620" spans="1:3" x14ac:dyDescent="0.35">
      <c r="A11620">
        <v>2000</v>
      </c>
      <c r="B11620" t="s">
        <v>34</v>
      </c>
      <c r="C11620" t="s">
        <v>144</v>
      </c>
    </row>
    <row r="11621" spans="1:3" x14ac:dyDescent="0.35">
      <c r="A11621">
        <v>2000</v>
      </c>
      <c r="B11621" t="s">
        <v>34</v>
      </c>
      <c r="C11621" t="s">
        <v>144</v>
      </c>
    </row>
    <row r="11622" spans="1:3" x14ac:dyDescent="0.35">
      <c r="A11622">
        <v>2000</v>
      </c>
      <c r="B11622" t="s">
        <v>33</v>
      </c>
      <c r="C11622" t="s">
        <v>141</v>
      </c>
    </row>
    <row r="11623" spans="1:3" x14ac:dyDescent="0.35">
      <c r="A11623">
        <v>2000</v>
      </c>
      <c r="B11623" t="s">
        <v>33</v>
      </c>
      <c r="C11623" t="s">
        <v>141</v>
      </c>
    </row>
    <row r="11624" spans="1:3" x14ac:dyDescent="0.35">
      <c r="A11624">
        <v>2000</v>
      </c>
      <c r="B11624" t="s">
        <v>35</v>
      </c>
      <c r="C11624" t="s">
        <v>140</v>
      </c>
    </row>
    <row r="11625" spans="1:3" x14ac:dyDescent="0.35">
      <c r="A11625">
        <v>2000</v>
      </c>
      <c r="B11625" t="s">
        <v>33</v>
      </c>
      <c r="C11625" t="s">
        <v>135</v>
      </c>
    </row>
    <row r="11626" spans="1:3" x14ac:dyDescent="0.35">
      <c r="A11626">
        <v>2000</v>
      </c>
      <c r="B11626" t="s">
        <v>35</v>
      </c>
      <c r="C11626" t="s">
        <v>140</v>
      </c>
    </row>
    <row r="11627" spans="1:3" x14ac:dyDescent="0.35">
      <c r="A11627">
        <v>2000</v>
      </c>
      <c r="B11627" t="s">
        <v>34</v>
      </c>
      <c r="C11627" t="s">
        <v>139</v>
      </c>
    </row>
    <row r="11628" spans="1:3" x14ac:dyDescent="0.35">
      <c r="A11628">
        <v>2000</v>
      </c>
      <c r="B11628" t="s">
        <v>35</v>
      </c>
      <c r="C11628" t="s">
        <v>138</v>
      </c>
    </row>
    <row r="11629" spans="1:3" x14ac:dyDescent="0.35">
      <c r="A11629">
        <v>2000</v>
      </c>
      <c r="B11629" t="s">
        <v>35</v>
      </c>
      <c r="C11629" t="s">
        <v>138</v>
      </c>
    </row>
    <row r="11630" spans="1:3" x14ac:dyDescent="0.35">
      <c r="A11630">
        <v>2000</v>
      </c>
      <c r="B11630" t="s">
        <v>37</v>
      </c>
      <c r="C11630" t="s">
        <v>137</v>
      </c>
    </row>
    <row r="11631" spans="1:3" x14ac:dyDescent="0.35">
      <c r="A11631">
        <v>2000</v>
      </c>
      <c r="B11631" t="s">
        <v>37</v>
      </c>
      <c r="C11631" t="s">
        <v>137</v>
      </c>
    </row>
    <row r="11632" spans="1:3" x14ac:dyDescent="0.35">
      <c r="A11632">
        <v>2000</v>
      </c>
      <c r="B11632" t="s">
        <v>36</v>
      </c>
      <c r="C11632" t="s">
        <v>14</v>
      </c>
    </row>
    <row r="11633" spans="1:3" x14ac:dyDescent="0.35">
      <c r="A11633">
        <v>2000</v>
      </c>
      <c r="B11633" t="s">
        <v>36</v>
      </c>
      <c r="C11633" t="s">
        <v>14</v>
      </c>
    </row>
    <row r="11634" spans="1:3" x14ac:dyDescent="0.35">
      <c r="A11634">
        <v>2000</v>
      </c>
      <c r="B11634" t="s">
        <v>34</v>
      </c>
      <c r="C11634" t="s">
        <v>139</v>
      </c>
    </row>
    <row r="11635" spans="1:3" x14ac:dyDescent="0.35">
      <c r="A11635">
        <v>2000</v>
      </c>
      <c r="B11635" t="s">
        <v>34</v>
      </c>
      <c r="C11635" t="s">
        <v>121</v>
      </c>
    </row>
    <row r="11636" spans="1:3" x14ac:dyDescent="0.35">
      <c r="A11636">
        <v>2000</v>
      </c>
      <c r="B11636" t="s">
        <v>34</v>
      </c>
      <c r="C11636" t="s">
        <v>167</v>
      </c>
    </row>
    <row r="11637" spans="1:3" x14ac:dyDescent="0.35">
      <c r="A11637">
        <v>2000</v>
      </c>
      <c r="B11637" t="s">
        <v>33</v>
      </c>
      <c r="C11637" t="s">
        <v>168</v>
      </c>
    </row>
    <row r="11638" spans="1:3" x14ac:dyDescent="0.35">
      <c r="A11638">
        <v>2000</v>
      </c>
      <c r="B11638" t="s">
        <v>35</v>
      </c>
      <c r="C11638" t="s">
        <v>196</v>
      </c>
    </row>
    <row r="11639" spans="1:3" x14ac:dyDescent="0.35">
      <c r="A11639">
        <v>2000</v>
      </c>
      <c r="B11639" t="s">
        <v>35</v>
      </c>
      <c r="C11639" t="s">
        <v>196</v>
      </c>
    </row>
    <row r="11640" spans="1:3" x14ac:dyDescent="0.35">
      <c r="A11640">
        <v>2000</v>
      </c>
      <c r="B11640" t="s">
        <v>33</v>
      </c>
      <c r="C11640" t="s">
        <v>195</v>
      </c>
    </row>
    <row r="11641" spans="1:3" x14ac:dyDescent="0.35">
      <c r="A11641">
        <v>2000</v>
      </c>
      <c r="B11641" t="s">
        <v>33</v>
      </c>
      <c r="C11641" t="s">
        <v>195</v>
      </c>
    </row>
    <row r="11642" spans="1:3" x14ac:dyDescent="0.35">
      <c r="A11642">
        <v>2000</v>
      </c>
      <c r="B11642" t="s">
        <v>36</v>
      </c>
      <c r="C11642" t="s">
        <v>372</v>
      </c>
    </row>
    <row r="11643" spans="1:3" x14ac:dyDescent="0.35">
      <c r="A11643">
        <v>2000</v>
      </c>
      <c r="B11643" t="s">
        <v>34</v>
      </c>
      <c r="C11643" t="s">
        <v>193</v>
      </c>
    </row>
    <row r="11644" spans="1:3" x14ac:dyDescent="0.35">
      <c r="A11644">
        <v>2000</v>
      </c>
      <c r="B11644" t="s">
        <v>34</v>
      </c>
      <c r="C11644" t="s">
        <v>193</v>
      </c>
    </row>
    <row r="11645" spans="1:3" x14ac:dyDescent="0.35">
      <c r="A11645">
        <v>2000</v>
      </c>
      <c r="B11645" t="s">
        <v>33</v>
      </c>
      <c r="C11645" t="s">
        <v>192</v>
      </c>
    </row>
    <row r="11646" spans="1:3" x14ac:dyDescent="0.35">
      <c r="A11646">
        <v>2000</v>
      </c>
      <c r="B11646" t="s">
        <v>33</v>
      </c>
      <c r="C11646" t="s">
        <v>192</v>
      </c>
    </row>
    <row r="11647" spans="1:3" x14ac:dyDescent="0.35">
      <c r="A11647">
        <v>2000</v>
      </c>
      <c r="B11647" t="s">
        <v>36</v>
      </c>
      <c r="C11647" t="s">
        <v>191</v>
      </c>
    </row>
    <row r="11648" spans="1:3" x14ac:dyDescent="0.35">
      <c r="A11648">
        <v>2000</v>
      </c>
      <c r="B11648" t="s">
        <v>36</v>
      </c>
      <c r="C11648" t="s">
        <v>191</v>
      </c>
    </row>
    <row r="11649" spans="1:3" x14ac:dyDescent="0.35">
      <c r="A11649">
        <v>2000</v>
      </c>
      <c r="B11649" t="s">
        <v>37</v>
      </c>
      <c r="C11649" t="s">
        <v>190</v>
      </c>
    </row>
    <row r="11650" spans="1:3" x14ac:dyDescent="0.35">
      <c r="A11650">
        <v>2000</v>
      </c>
      <c r="B11650" t="s">
        <v>37</v>
      </c>
      <c r="C11650" t="s">
        <v>190</v>
      </c>
    </row>
    <row r="11651" spans="1:3" x14ac:dyDescent="0.35">
      <c r="A11651">
        <v>2000</v>
      </c>
      <c r="B11651" t="s">
        <v>33</v>
      </c>
      <c r="C11651" t="s">
        <v>189</v>
      </c>
    </row>
    <row r="11652" spans="1:3" x14ac:dyDescent="0.35">
      <c r="A11652">
        <v>2000</v>
      </c>
      <c r="B11652" t="s">
        <v>33</v>
      </c>
      <c r="C11652" t="s">
        <v>189</v>
      </c>
    </row>
    <row r="11653" spans="1:3" x14ac:dyDescent="0.35">
      <c r="A11653">
        <v>2000</v>
      </c>
      <c r="B11653" t="s">
        <v>34</v>
      </c>
      <c r="C11653" t="s">
        <v>197</v>
      </c>
    </row>
    <row r="11654" spans="1:3" x14ac:dyDescent="0.35">
      <c r="A11654">
        <v>2000</v>
      </c>
      <c r="B11654" t="s">
        <v>34</v>
      </c>
      <c r="C11654" t="s">
        <v>197</v>
      </c>
    </row>
    <row r="11655" spans="1:3" x14ac:dyDescent="0.35">
      <c r="A11655">
        <v>2000</v>
      </c>
      <c r="B11655" t="s">
        <v>35</v>
      </c>
      <c r="C11655" t="s">
        <v>198</v>
      </c>
    </row>
    <row r="11656" spans="1:3" x14ac:dyDescent="0.35">
      <c r="A11656">
        <v>2000</v>
      </c>
      <c r="B11656" t="s">
        <v>35</v>
      </c>
      <c r="C11656" t="s">
        <v>198</v>
      </c>
    </row>
    <row r="11657" spans="1:3" x14ac:dyDescent="0.35">
      <c r="A11657">
        <v>2000</v>
      </c>
      <c r="B11657" t="s">
        <v>33</v>
      </c>
      <c r="C11657" t="s">
        <v>204</v>
      </c>
    </row>
    <row r="11658" spans="1:3" x14ac:dyDescent="0.35">
      <c r="A11658">
        <v>2000</v>
      </c>
      <c r="B11658" t="s">
        <v>33</v>
      </c>
      <c r="C11658" t="s">
        <v>204</v>
      </c>
    </row>
    <row r="11659" spans="1:3" x14ac:dyDescent="0.35">
      <c r="A11659">
        <v>2000</v>
      </c>
      <c r="B11659" t="s">
        <v>33</v>
      </c>
      <c r="C11659" t="s">
        <v>203</v>
      </c>
    </row>
    <row r="11660" spans="1:3" x14ac:dyDescent="0.35">
      <c r="A11660">
        <v>2000</v>
      </c>
      <c r="B11660" t="s">
        <v>33</v>
      </c>
      <c r="C11660" t="s">
        <v>203</v>
      </c>
    </row>
    <row r="11661" spans="1:3" x14ac:dyDescent="0.35">
      <c r="A11661">
        <v>2000</v>
      </c>
      <c r="B11661" t="s">
        <v>34</v>
      </c>
      <c r="C11661" t="s">
        <v>202</v>
      </c>
    </row>
    <row r="11662" spans="1:3" x14ac:dyDescent="0.35">
      <c r="A11662">
        <v>2000</v>
      </c>
      <c r="B11662" t="s">
        <v>34</v>
      </c>
      <c r="C11662" t="s">
        <v>202</v>
      </c>
    </row>
    <row r="11663" spans="1:3" x14ac:dyDescent="0.35">
      <c r="A11663">
        <v>2000</v>
      </c>
      <c r="B11663" t="s">
        <v>34</v>
      </c>
      <c r="C11663" t="s">
        <v>201</v>
      </c>
    </row>
    <row r="11664" spans="1:3" x14ac:dyDescent="0.35">
      <c r="A11664">
        <v>2000</v>
      </c>
      <c r="B11664" t="s">
        <v>34</v>
      </c>
      <c r="C11664" t="s">
        <v>188</v>
      </c>
    </row>
    <row r="11665" spans="1:3" x14ac:dyDescent="0.35">
      <c r="A11665">
        <v>2000</v>
      </c>
      <c r="B11665" t="s">
        <v>34</v>
      </c>
      <c r="C11665" t="s">
        <v>201</v>
      </c>
    </row>
    <row r="11666" spans="1:3" x14ac:dyDescent="0.35">
      <c r="A11666">
        <v>2000</v>
      </c>
      <c r="B11666" t="s">
        <v>38</v>
      </c>
      <c r="C11666" t="s">
        <v>19</v>
      </c>
    </row>
    <row r="11667" spans="1:3" x14ac:dyDescent="0.35">
      <c r="A11667">
        <v>2000</v>
      </c>
      <c r="B11667" t="s">
        <v>34</v>
      </c>
      <c r="C11667" t="s">
        <v>200</v>
      </c>
    </row>
    <row r="11668" spans="1:3" x14ac:dyDescent="0.35">
      <c r="A11668">
        <v>2000</v>
      </c>
      <c r="B11668" t="s">
        <v>34</v>
      </c>
      <c r="C11668" t="s">
        <v>200</v>
      </c>
    </row>
    <row r="11669" spans="1:3" x14ac:dyDescent="0.35">
      <c r="A11669">
        <v>2000</v>
      </c>
      <c r="B11669" t="s">
        <v>38</v>
      </c>
      <c r="C11669" t="s">
        <v>199</v>
      </c>
    </row>
    <row r="11670" spans="1:3" x14ac:dyDescent="0.35">
      <c r="A11670">
        <v>2000</v>
      </c>
      <c r="B11670" t="s">
        <v>38</v>
      </c>
      <c r="C11670" t="s">
        <v>199</v>
      </c>
    </row>
    <row r="11671" spans="1:3" x14ac:dyDescent="0.35">
      <c r="A11671">
        <v>2000</v>
      </c>
      <c r="B11671" t="s">
        <v>39</v>
      </c>
      <c r="C11671" t="s">
        <v>39</v>
      </c>
    </row>
    <row r="11672" spans="1:3" x14ac:dyDescent="0.35">
      <c r="A11672">
        <v>2000</v>
      </c>
      <c r="B11672" t="s">
        <v>39</v>
      </c>
      <c r="C11672" t="s">
        <v>39</v>
      </c>
    </row>
    <row r="11673" spans="1:3" x14ac:dyDescent="0.35">
      <c r="A11673">
        <v>2000</v>
      </c>
      <c r="B11673" t="s">
        <v>38</v>
      </c>
      <c r="C11673" t="s">
        <v>19</v>
      </c>
    </row>
    <row r="11674" spans="1:3" x14ac:dyDescent="0.35">
      <c r="A11674">
        <v>2000</v>
      </c>
      <c r="B11674" t="s">
        <v>34</v>
      </c>
      <c r="C11674" t="s">
        <v>188</v>
      </c>
    </row>
    <row r="11675" spans="1:3" x14ac:dyDescent="0.35">
      <c r="A11675">
        <v>2000</v>
      </c>
      <c r="B11675" t="s">
        <v>33</v>
      </c>
      <c r="C11675" t="s">
        <v>187</v>
      </c>
    </row>
    <row r="11676" spans="1:3" x14ac:dyDescent="0.35">
      <c r="A11676">
        <v>2000</v>
      </c>
      <c r="B11676" t="s">
        <v>33</v>
      </c>
      <c r="C11676" t="s">
        <v>187</v>
      </c>
    </row>
    <row r="11677" spans="1:3" x14ac:dyDescent="0.35">
      <c r="A11677">
        <v>2000</v>
      </c>
      <c r="B11677" t="s">
        <v>33</v>
      </c>
      <c r="C11677" t="s">
        <v>176</v>
      </c>
    </row>
    <row r="11678" spans="1:3" x14ac:dyDescent="0.35">
      <c r="A11678">
        <v>2000</v>
      </c>
      <c r="B11678" t="s">
        <v>33</v>
      </c>
      <c r="C11678" t="s">
        <v>175</v>
      </c>
    </row>
    <row r="11679" spans="1:3" x14ac:dyDescent="0.35">
      <c r="A11679">
        <v>2000</v>
      </c>
      <c r="B11679" t="s">
        <v>33</v>
      </c>
      <c r="C11679" t="s">
        <v>175</v>
      </c>
    </row>
    <row r="11680" spans="1:3" x14ac:dyDescent="0.35">
      <c r="A11680">
        <v>2000</v>
      </c>
      <c r="B11680" t="s">
        <v>33</v>
      </c>
      <c r="C11680" t="s">
        <v>174</v>
      </c>
    </row>
    <row r="11681" spans="1:3" x14ac:dyDescent="0.35">
      <c r="A11681">
        <v>2000</v>
      </c>
      <c r="B11681" t="s">
        <v>33</v>
      </c>
      <c r="C11681" t="s">
        <v>174</v>
      </c>
    </row>
    <row r="11682" spans="1:3" x14ac:dyDescent="0.35">
      <c r="A11682">
        <v>2000</v>
      </c>
      <c r="B11682" t="s">
        <v>35</v>
      </c>
      <c r="C11682" t="s">
        <v>173</v>
      </c>
    </row>
    <row r="11683" spans="1:3" x14ac:dyDescent="0.35">
      <c r="A11683">
        <v>2000</v>
      </c>
      <c r="B11683" t="s">
        <v>35</v>
      </c>
      <c r="C11683" t="s">
        <v>172</v>
      </c>
    </row>
    <row r="11684" spans="1:3" x14ac:dyDescent="0.35">
      <c r="A11684">
        <v>2000</v>
      </c>
      <c r="B11684" t="s">
        <v>33</v>
      </c>
      <c r="C11684" t="s">
        <v>176</v>
      </c>
    </row>
    <row r="11685" spans="1:3" x14ac:dyDescent="0.35">
      <c r="A11685">
        <v>2000</v>
      </c>
      <c r="B11685" t="s">
        <v>35</v>
      </c>
      <c r="C11685" t="s">
        <v>172</v>
      </c>
    </row>
    <row r="11686" spans="1:3" x14ac:dyDescent="0.35">
      <c r="A11686">
        <v>2000</v>
      </c>
      <c r="B11686" t="s">
        <v>34</v>
      </c>
      <c r="C11686" t="s">
        <v>171</v>
      </c>
    </row>
    <row r="11687" spans="1:3" x14ac:dyDescent="0.35">
      <c r="A11687">
        <v>2000</v>
      </c>
      <c r="B11687" t="s">
        <v>33</v>
      </c>
      <c r="C11687" t="s">
        <v>170</v>
      </c>
    </row>
    <row r="11688" spans="1:3" x14ac:dyDescent="0.35">
      <c r="A11688">
        <v>2000</v>
      </c>
      <c r="B11688" t="s">
        <v>33</v>
      </c>
      <c r="C11688" t="s">
        <v>170</v>
      </c>
    </row>
    <row r="11689" spans="1:3" x14ac:dyDescent="0.35">
      <c r="A11689">
        <v>2000</v>
      </c>
      <c r="B11689" t="s">
        <v>35</v>
      </c>
      <c r="C11689" t="s">
        <v>215</v>
      </c>
    </row>
    <row r="11690" spans="1:3" x14ac:dyDescent="0.35">
      <c r="A11690">
        <v>2000</v>
      </c>
      <c r="B11690" t="s">
        <v>35</v>
      </c>
      <c r="C11690" t="s">
        <v>215</v>
      </c>
    </row>
    <row r="11691" spans="1:3" x14ac:dyDescent="0.35">
      <c r="A11691">
        <v>2000</v>
      </c>
      <c r="B11691" t="s">
        <v>35</v>
      </c>
      <c r="C11691" t="s">
        <v>169</v>
      </c>
    </row>
    <row r="11692" spans="1:3" x14ac:dyDescent="0.35">
      <c r="A11692">
        <v>2000</v>
      </c>
      <c r="B11692" t="s">
        <v>35</v>
      </c>
      <c r="C11692" t="s">
        <v>169</v>
      </c>
    </row>
    <row r="11693" spans="1:3" x14ac:dyDescent="0.35">
      <c r="A11693">
        <v>2000</v>
      </c>
      <c r="B11693" t="s">
        <v>34</v>
      </c>
      <c r="C11693" t="s">
        <v>171</v>
      </c>
    </row>
    <row r="11694" spans="1:3" x14ac:dyDescent="0.35">
      <c r="A11694">
        <v>2000</v>
      </c>
      <c r="B11694" t="s">
        <v>33</v>
      </c>
      <c r="C11694" t="s">
        <v>168</v>
      </c>
    </row>
    <row r="11695" spans="1:3" x14ac:dyDescent="0.35">
      <c r="A11695">
        <v>2000</v>
      </c>
      <c r="B11695" t="s">
        <v>35</v>
      </c>
      <c r="C11695" t="s">
        <v>216</v>
      </c>
    </row>
    <row r="11696" spans="1:3" x14ac:dyDescent="0.35">
      <c r="A11696">
        <v>2000</v>
      </c>
      <c r="B11696" t="s">
        <v>35</v>
      </c>
      <c r="C11696" t="s">
        <v>177</v>
      </c>
    </row>
    <row r="11697" spans="1:3" x14ac:dyDescent="0.35">
      <c r="A11697">
        <v>2000</v>
      </c>
      <c r="B11697" t="s">
        <v>34</v>
      </c>
      <c r="C11697" t="s">
        <v>186</v>
      </c>
    </row>
    <row r="11698" spans="1:3" x14ac:dyDescent="0.35">
      <c r="A11698">
        <v>2000</v>
      </c>
      <c r="B11698" t="s">
        <v>34</v>
      </c>
      <c r="C11698" t="s">
        <v>185</v>
      </c>
    </row>
    <row r="11699" spans="1:3" x14ac:dyDescent="0.35">
      <c r="A11699">
        <v>2000</v>
      </c>
      <c r="B11699" t="s">
        <v>34</v>
      </c>
      <c r="C11699" t="s">
        <v>185</v>
      </c>
    </row>
    <row r="11700" spans="1:3" x14ac:dyDescent="0.35">
      <c r="A11700">
        <v>2000</v>
      </c>
      <c r="B11700" t="s">
        <v>34</v>
      </c>
      <c r="C11700" t="s">
        <v>184</v>
      </c>
    </row>
    <row r="11701" spans="1:3" x14ac:dyDescent="0.35">
      <c r="A11701">
        <v>2000</v>
      </c>
      <c r="B11701" t="s">
        <v>34</v>
      </c>
      <c r="C11701" t="s">
        <v>184</v>
      </c>
    </row>
    <row r="11702" spans="1:3" x14ac:dyDescent="0.35">
      <c r="A11702">
        <v>2000</v>
      </c>
      <c r="B11702" t="s">
        <v>35</v>
      </c>
      <c r="C11702" t="s">
        <v>183</v>
      </c>
    </row>
    <row r="11703" spans="1:3" x14ac:dyDescent="0.35">
      <c r="A11703">
        <v>2000</v>
      </c>
      <c r="B11703" t="s">
        <v>35</v>
      </c>
      <c r="C11703" t="s">
        <v>183</v>
      </c>
    </row>
    <row r="11704" spans="1:3" x14ac:dyDescent="0.35">
      <c r="A11704">
        <v>2000</v>
      </c>
      <c r="B11704" t="s">
        <v>35</v>
      </c>
      <c r="C11704" t="s">
        <v>216</v>
      </c>
    </row>
    <row r="11705" spans="1:3" x14ac:dyDescent="0.35">
      <c r="A11705">
        <v>2000</v>
      </c>
      <c r="B11705" t="s">
        <v>35</v>
      </c>
      <c r="C11705" t="s">
        <v>182</v>
      </c>
    </row>
    <row r="11706" spans="1:3" x14ac:dyDescent="0.35">
      <c r="A11706">
        <v>2000</v>
      </c>
      <c r="B11706" t="s">
        <v>38</v>
      </c>
      <c r="C11706" t="s">
        <v>180</v>
      </c>
    </row>
    <row r="11707" spans="1:3" x14ac:dyDescent="0.35">
      <c r="A11707">
        <v>2000</v>
      </c>
      <c r="B11707" t="s">
        <v>38</v>
      </c>
      <c r="C11707" t="s">
        <v>180</v>
      </c>
    </row>
    <row r="11708" spans="1:3" x14ac:dyDescent="0.35">
      <c r="A11708">
        <v>2000</v>
      </c>
      <c r="B11708" t="s">
        <v>33</v>
      </c>
      <c r="C11708" t="s">
        <v>179</v>
      </c>
    </row>
    <row r="11709" spans="1:3" x14ac:dyDescent="0.35">
      <c r="A11709">
        <v>2000</v>
      </c>
      <c r="B11709" t="s">
        <v>33</v>
      </c>
      <c r="C11709" t="s">
        <v>179</v>
      </c>
    </row>
    <row r="11710" spans="1:3" x14ac:dyDescent="0.35">
      <c r="A11710">
        <v>2000</v>
      </c>
      <c r="B11710" t="s">
        <v>34</v>
      </c>
      <c r="C11710" t="s">
        <v>178</v>
      </c>
    </row>
    <row r="11711" spans="1:3" x14ac:dyDescent="0.35">
      <c r="A11711">
        <v>2000</v>
      </c>
      <c r="B11711" t="s">
        <v>34</v>
      </c>
      <c r="C11711" t="s">
        <v>178</v>
      </c>
    </row>
    <row r="11712" spans="1:3" x14ac:dyDescent="0.35">
      <c r="A11712">
        <v>2000</v>
      </c>
      <c r="B11712" t="s">
        <v>35</v>
      </c>
      <c r="C11712" t="s">
        <v>177</v>
      </c>
    </row>
    <row r="11713" spans="1:3" x14ac:dyDescent="0.35">
      <c r="A11713">
        <v>2000</v>
      </c>
      <c r="B11713" t="s">
        <v>35</v>
      </c>
      <c r="C11713" t="s">
        <v>182</v>
      </c>
    </row>
    <row r="11714" spans="1:3" x14ac:dyDescent="0.35">
      <c r="A11714">
        <v>2000</v>
      </c>
      <c r="B11714" t="s">
        <v>34</v>
      </c>
      <c r="C11714" t="s">
        <v>120</v>
      </c>
    </row>
    <row r="11715" spans="1:3" x14ac:dyDescent="0.35">
      <c r="A11715">
        <v>2000</v>
      </c>
      <c r="B11715" t="s">
        <v>34</v>
      </c>
      <c r="C11715" t="s">
        <v>167</v>
      </c>
    </row>
    <row r="11716" spans="1:3" x14ac:dyDescent="0.35">
      <c r="A11716">
        <v>2000</v>
      </c>
      <c r="B11716" t="s">
        <v>35</v>
      </c>
      <c r="C11716" t="s">
        <v>119</v>
      </c>
    </row>
    <row r="11717" spans="1:3" x14ac:dyDescent="0.35">
      <c r="A11717">
        <v>2000</v>
      </c>
      <c r="B11717" t="s">
        <v>33</v>
      </c>
      <c r="C11717" t="s">
        <v>71</v>
      </c>
    </row>
    <row r="11718" spans="1:3" x14ac:dyDescent="0.35">
      <c r="A11718">
        <v>2000</v>
      </c>
      <c r="B11718" t="s">
        <v>36</v>
      </c>
      <c r="C11718" t="s">
        <v>69</v>
      </c>
    </row>
    <row r="11719" spans="1:3" x14ac:dyDescent="0.35">
      <c r="A11719">
        <v>2000</v>
      </c>
      <c r="B11719" t="s">
        <v>36</v>
      </c>
      <c r="C11719" t="s">
        <v>69</v>
      </c>
    </row>
    <row r="11720" spans="1:3" x14ac:dyDescent="0.35">
      <c r="A11720">
        <v>2000</v>
      </c>
      <c r="B11720" t="s">
        <v>33</v>
      </c>
      <c r="C11720" t="s">
        <v>68</v>
      </c>
    </row>
    <row r="11721" spans="1:3" x14ac:dyDescent="0.35">
      <c r="A11721">
        <v>2000</v>
      </c>
      <c r="B11721" t="s">
        <v>33</v>
      </c>
      <c r="C11721" t="s">
        <v>68</v>
      </c>
    </row>
    <row r="11722" spans="1:3" x14ac:dyDescent="0.35">
      <c r="A11722">
        <v>2000</v>
      </c>
      <c r="B11722" t="s">
        <v>34</v>
      </c>
      <c r="C11722" t="s">
        <v>67</v>
      </c>
    </row>
    <row r="11723" spans="1:3" x14ac:dyDescent="0.35">
      <c r="A11723">
        <v>2000</v>
      </c>
      <c r="B11723" t="s">
        <v>34</v>
      </c>
      <c r="C11723" t="s">
        <v>67</v>
      </c>
    </row>
    <row r="11724" spans="1:3" x14ac:dyDescent="0.35">
      <c r="A11724">
        <v>2000</v>
      </c>
      <c r="B11724" t="s">
        <v>38</v>
      </c>
      <c r="C11724" t="s">
        <v>72</v>
      </c>
    </row>
    <row r="11725" spans="1:3" x14ac:dyDescent="0.35">
      <c r="A11725">
        <v>2000</v>
      </c>
      <c r="B11725" t="s">
        <v>33</v>
      </c>
      <c r="C11725" t="s">
        <v>66</v>
      </c>
    </row>
    <row r="11726" spans="1:3" x14ac:dyDescent="0.35">
      <c r="A11726">
        <v>2000</v>
      </c>
      <c r="B11726" t="s">
        <v>34</v>
      </c>
      <c r="C11726" t="s">
        <v>64</v>
      </c>
    </row>
    <row r="11727" spans="1:3" x14ac:dyDescent="0.35">
      <c r="A11727">
        <v>2000</v>
      </c>
      <c r="B11727" t="s">
        <v>34</v>
      </c>
      <c r="C11727" t="s">
        <v>64</v>
      </c>
    </row>
    <row r="11728" spans="1:3" x14ac:dyDescent="0.35">
      <c r="A11728">
        <v>2000</v>
      </c>
      <c r="B11728" t="s">
        <v>33</v>
      </c>
      <c r="C11728" t="s">
        <v>63</v>
      </c>
    </row>
    <row r="11729" spans="1:3" x14ac:dyDescent="0.35">
      <c r="A11729">
        <v>2000</v>
      </c>
      <c r="B11729" t="s">
        <v>33</v>
      </c>
      <c r="C11729" t="s">
        <v>63</v>
      </c>
    </row>
    <row r="11730" spans="1:3" x14ac:dyDescent="0.35">
      <c r="A11730">
        <v>2000</v>
      </c>
      <c r="B11730" t="s">
        <v>35</v>
      </c>
      <c r="C11730" t="s">
        <v>62</v>
      </c>
    </row>
    <row r="11731" spans="1:3" x14ac:dyDescent="0.35">
      <c r="A11731">
        <v>2000</v>
      </c>
      <c r="B11731" t="s">
        <v>35</v>
      </c>
      <c r="C11731" t="s">
        <v>62</v>
      </c>
    </row>
    <row r="11732" spans="1:3" x14ac:dyDescent="0.35">
      <c r="A11732">
        <v>2000</v>
      </c>
      <c r="B11732" t="s">
        <v>38</v>
      </c>
      <c r="C11732" t="s">
        <v>21</v>
      </c>
    </row>
    <row r="11733" spans="1:3" x14ac:dyDescent="0.35">
      <c r="A11733">
        <v>2000</v>
      </c>
      <c r="B11733" t="s">
        <v>33</v>
      </c>
      <c r="C11733" t="s">
        <v>66</v>
      </c>
    </row>
    <row r="11734" spans="1:3" x14ac:dyDescent="0.35">
      <c r="A11734">
        <v>2000</v>
      </c>
      <c r="B11734" t="s">
        <v>35</v>
      </c>
      <c r="C11734" t="s">
        <v>60</v>
      </c>
    </row>
    <row r="11735" spans="1:3" x14ac:dyDescent="0.35">
      <c r="A11735">
        <v>2000</v>
      </c>
      <c r="B11735" t="s">
        <v>38</v>
      </c>
      <c r="C11735" t="s">
        <v>72</v>
      </c>
    </row>
    <row r="11736" spans="1:3" x14ac:dyDescent="0.35">
      <c r="A11736">
        <v>2000</v>
      </c>
      <c r="B11736" t="s">
        <v>34</v>
      </c>
      <c r="C11736" t="s">
        <v>73</v>
      </c>
    </row>
    <row r="11737" spans="1:3" x14ac:dyDescent="0.35">
      <c r="A11737">
        <v>2000</v>
      </c>
      <c r="B11737" t="s">
        <v>35</v>
      </c>
      <c r="C11737" t="s">
        <v>81</v>
      </c>
    </row>
    <row r="11738" spans="1:3" x14ac:dyDescent="0.35">
      <c r="A11738">
        <v>2000</v>
      </c>
      <c r="B11738" t="s">
        <v>35</v>
      </c>
      <c r="C11738" t="s">
        <v>81</v>
      </c>
    </row>
    <row r="11739" spans="1:3" x14ac:dyDescent="0.35">
      <c r="A11739">
        <v>2000</v>
      </c>
      <c r="B11739" t="s">
        <v>36</v>
      </c>
      <c r="C11739" t="s">
        <v>79</v>
      </c>
    </row>
    <row r="11740" spans="1:3" x14ac:dyDescent="0.35">
      <c r="A11740">
        <v>2000</v>
      </c>
      <c r="B11740" t="s">
        <v>36</v>
      </c>
      <c r="C11740" t="s">
        <v>79</v>
      </c>
    </row>
    <row r="11741" spans="1:3" x14ac:dyDescent="0.35">
      <c r="A11741">
        <v>2000</v>
      </c>
      <c r="B11741" t="s">
        <v>35</v>
      </c>
      <c r="C11741" t="s">
        <v>78</v>
      </c>
    </row>
    <row r="11742" spans="1:3" x14ac:dyDescent="0.35">
      <c r="A11742">
        <v>2000</v>
      </c>
      <c r="B11742" t="s">
        <v>35</v>
      </c>
      <c r="C11742" t="s">
        <v>78</v>
      </c>
    </row>
    <row r="11743" spans="1:3" x14ac:dyDescent="0.35">
      <c r="A11743">
        <v>2000</v>
      </c>
      <c r="B11743" t="s">
        <v>33</v>
      </c>
      <c r="C11743" t="s">
        <v>77</v>
      </c>
    </row>
    <row r="11744" spans="1:3" x14ac:dyDescent="0.35">
      <c r="A11744">
        <v>2000</v>
      </c>
      <c r="B11744" t="s">
        <v>34</v>
      </c>
      <c r="C11744" t="s">
        <v>73</v>
      </c>
    </row>
    <row r="11745" spans="1:3" x14ac:dyDescent="0.35">
      <c r="A11745">
        <v>2000</v>
      </c>
      <c r="B11745" t="s">
        <v>33</v>
      </c>
      <c r="C11745" t="s">
        <v>77</v>
      </c>
    </row>
    <row r="11746" spans="1:3" x14ac:dyDescent="0.35">
      <c r="A11746">
        <v>2000</v>
      </c>
      <c r="B11746" t="s">
        <v>36</v>
      </c>
      <c r="C11746" t="s">
        <v>76</v>
      </c>
    </row>
    <row r="11747" spans="1:3" x14ac:dyDescent="0.35">
      <c r="A11747">
        <v>2000</v>
      </c>
      <c r="B11747" t="s">
        <v>33</v>
      </c>
      <c r="C11747" t="s">
        <v>75</v>
      </c>
    </row>
    <row r="11748" spans="1:3" x14ac:dyDescent="0.35">
      <c r="A11748">
        <v>2000</v>
      </c>
      <c r="B11748" t="s">
        <v>33</v>
      </c>
      <c r="C11748" t="s">
        <v>75</v>
      </c>
    </row>
    <row r="11749" spans="1:3" x14ac:dyDescent="0.35">
      <c r="A11749">
        <v>2000</v>
      </c>
      <c r="B11749" t="s">
        <v>33</v>
      </c>
      <c r="C11749" t="s">
        <v>74</v>
      </c>
    </row>
    <row r="11750" spans="1:3" x14ac:dyDescent="0.35">
      <c r="A11750">
        <v>2000</v>
      </c>
      <c r="B11750" t="s">
        <v>33</v>
      </c>
      <c r="C11750" t="s">
        <v>74</v>
      </c>
    </row>
    <row r="11751" spans="1:3" x14ac:dyDescent="0.35">
      <c r="A11751">
        <v>2000</v>
      </c>
      <c r="B11751" t="s">
        <v>38</v>
      </c>
      <c r="C11751" t="s">
        <v>20</v>
      </c>
    </row>
    <row r="11752" spans="1:3" x14ac:dyDescent="0.35">
      <c r="A11752">
        <v>2000</v>
      </c>
      <c r="B11752" t="s">
        <v>38</v>
      </c>
      <c r="C11752" t="s">
        <v>20</v>
      </c>
    </row>
    <row r="11753" spans="1:3" x14ac:dyDescent="0.35">
      <c r="A11753">
        <v>2000</v>
      </c>
      <c r="B11753" t="s">
        <v>36</v>
      </c>
      <c r="C11753" t="s">
        <v>76</v>
      </c>
    </row>
    <row r="11754" spans="1:3" x14ac:dyDescent="0.35">
      <c r="A11754">
        <v>2000</v>
      </c>
      <c r="B11754" t="s">
        <v>35</v>
      </c>
      <c r="C11754" t="s">
        <v>214</v>
      </c>
    </row>
    <row r="11755" spans="1:3" x14ac:dyDescent="0.35">
      <c r="A11755">
        <v>2000</v>
      </c>
      <c r="B11755" t="s">
        <v>35</v>
      </c>
      <c r="C11755" t="s">
        <v>60</v>
      </c>
    </row>
    <row r="11756" spans="1:3" x14ac:dyDescent="0.35">
      <c r="A11756">
        <v>2000</v>
      </c>
      <c r="B11756" t="s">
        <v>38</v>
      </c>
      <c r="C11756" t="s">
        <v>59</v>
      </c>
    </row>
    <row r="11757" spans="1:3" x14ac:dyDescent="0.35">
      <c r="A11757">
        <v>2000</v>
      </c>
      <c r="B11757" t="s">
        <v>34</v>
      </c>
      <c r="C11757" t="s">
        <v>46</v>
      </c>
    </row>
    <row r="11758" spans="1:3" x14ac:dyDescent="0.35">
      <c r="A11758">
        <v>2000</v>
      </c>
      <c r="B11758" t="s">
        <v>34</v>
      </c>
      <c r="C11758" t="s">
        <v>46</v>
      </c>
    </row>
    <row r="11759" spans="1:3" x14ac:dyDescent="0.35">
      <c r="A11759">
        <v>2000</v>
      </c>
      <c r="B11759" t="s">
        <v>38</v>
      </c>
      <c r="C11759" t="s">
        <v>45</v>
      </c>
    </row>
    <row r="11760" spans="1:3" x14ac:dyDescent="0.35">
      <c r="A11760">
        <v>2000</v>
      </c>
      <c r="B11760" t="s">
        <v>38</v>
      </c>
      <c r="C11760" t="s">
        <v>45</v>
      </c>
    </row>
    <row r="11761" spans="1:3" x14ac:dyDescent="0.35">
      <c r="A11761">
        <v>2000</v>
      </c>
      <c r="B11761" t="s">
        <v>36</v>
      </c>
      <c r="C11761" t="s">
        <v>44</v>
      </c>
    </row>
    <row r="11762" spans="1:3" x14ac:dyDescent="0.35">
      <c r="A11762">
        <v>2000</v>
      </c>
      <c r="B11762" t="s">
        <v>36</v>
      </c>
      <c r="C11762" t="s">
        <v>44</v>
      </c>
    </row>
    <row r="11763" spans="1:3" x14ac:dyDescent="0.35">
      <c r="A11763">
        <v>2000</v>
      </c>
      <c r="B11763" t="s">
        <v>33</v>
      </c>
      <c r="C11763" t="s">
        <v>43</v>
      </c>
    </row>
    <row r="11764" spans="1:3" x14ac:dyDescent="0.35">
      <c r="A11764">
        <v>2000</v>
      </c>
      <c r="B11764" t="s">
        <v>37</v>
      </c>
      <c r="C11764" t="s">
        <v>47</v>
      </c>
    </row>
    <row r="11765" spans="1:3" x14ac:dyDescent="0.35">
      <c r="A11765">
        <v>2000</v>
      </c>
      <c r="B11765" t="s">
        <v>33</v>
      </c>
      <c r="C11765" t="s">
        <v>43</v>
      </c>
    </row>
    <row r="11766" spans="1:3" x14ac:dyDescent="0.35">
      <c r="A11766">
        <v>2000</v>
      </c>
      <c r="C11766" t="s">
        <v>373</v>
      </c>
    </row>
    <row r="11767" spans="1:3" x14ac:dyDescent="0.35">
      <c r="A11767">
        <v>2000</v>
      </c>
      <c r="B11767" t="s">
        <v>33</v>
      </c>
      <c r="C11767" t="s">
        <v>42</v>
      </c>
    </row>
    <row r="11768" spans="1:3" x14ac:dyDescent="0.35">
      <c r="A11768">
        <v>2000</v>
      </c>
      <c r="B11768" t="s">
        <v>33</v>
      </c>
      <c r="C11768" t="s">
        <v>42</v>
      </c>
    </row>
    <row r="11769" spans="1:3" x14ac:dyDescent="0.35">
      <c r="A11769">
        <v>2000</v>
      </c>
      <c r="B11769" t="s">
        <v>35</v>
      </c>
      <c r="C11769" t="s">
        <v>41</v>
      </c>
    </row>
    <row r="11770" spans="1:3" x14ac:dyDescent="0.35">
      <c r="A11770">
        <v>2000</v>
      </c>
      <c r="B11770" t="s">
        <v>35</v>
      </c>
      <c r="C11770" t="s">
        <v>41</v>
      </c>
    </row>
    <row r="11771" spans="1:3" x14ac:dyDescent="0.35">
      <c r="A11771">
        <v>2000</v>
      </c>
      <c r="B11771" t="s">
        <v>34</v>
      </c>
      <c r="C11771" t="s">
        <v>40</v>
      </c>
    </row>
    <row r="11772" spans="1:3" x14ac:dyDescent="0.35">
      <c r="A11772">
        <v>2000</v>
      </c>
      <c r="B11772" t="s">
        <v>34</v>
      </c>
      <c r="C11772" t="s">
        <v>120</v>
      </c>
    </row>
    <row r="11773" spans="1:3" x14ac:dyDescent="0.35">
      <c r="A11773">
        <v>2000</v>
      </c>
      <c r="C11773" t="s">
        <v>373</v>
      </c>
    </row>
    <row r="11774" spans="1:3" x14ac:dyDescent="0.35">
      <c r="A11774">
        <v>2000</v>
      </c>
      <c r="B11774" t="s">
        <v>38</v>
      </c>
      <c r="C11774" t="s">
        <v>59</v>
      </c>
    </row>
    <row r="11775" spans="1:3" x14ac:dyDescent="0.35">
      <c r="A11775">
        <v>2000</v>
      </c>
      <c r="B11775" t="s">
        <v>37</v>
      </c>
      <c r="C11775" t="s">
        <v>47</v>
      </c>
    </row>
    <row r="11776" spans="1:3" x14ac:dyDescent="0.35">
      <c r="A11776">
        <v>2000</v>
      </c>
      <c r="B11776" t="s">
        <v>35</v>
      </c>
      <c r="C11776" t="s">
        <v>48</v>
      </c>
    </row>
    <row r="11777" spans="1:3" x14ac:dyDescent="0.35">
      <c r="A11777">
        <v>2000</v>
      </c>
      <c r="B11777" t="s">
        <v>36</v>
      </c>
      <c r="C11777" t="s">
        <v>363</v>
      </c>
    </row>
    <row r="11778" spans="1:3" x14ac:dyDescent="0.35">
      <c r="A11778">
        <v>2000</v>
      </c>
      <c r="B11778" t="s">
        <v>33</v>
      </c>
      <c r="C11778" t="s">
        <v>57</v>
      </c>
    </row>
    <row r="11779" spans="1:3" x14ac:dyDescent="0.35">
      <c r="A11779">
        <v>2000</v>
      </c>
      <c r="B11779" t="s">
        <v>36</v>
      </c>
      <c r="C11779" t="s">
        <v>56</v>
      </c>
    </row>
    <row r="11780" spans="1:3" x14ac:dyDescent="0.35">
      <c r="A11780">
        <v>2000</v>
      </c>
      <c r="B11780" t="s">
        <v>36</v>
      </c>
      <c r="C11780" t="s">
        <v>56</v>
      </c>
    </row>
    <row r="11781" spans="1:3" x14ac:dyDescent="0.35">
      <c r="A11781">
        <v>2000</v>
      </c>
      <c r="B11781" t="s">
        <v>35</v>
      </c>
      <c r="C11781" t="s">
        <v>55</v>
      </c>
    </row>
    <row r="11782" spans="1:3" x14ac:dyDescent="0.35">
      <c r="A11782">
        <v>2000</v>
      </c>
      <c r="B11782" t="s">
        <v>35</v>
      </c>
      <c r="C11782" t="s">
        <v>55</v>
      </c>
    </row>
    <row r="11783" spans="1:3" x14ac:dyDescent="0.35">
      <c r="A11783">
        <v>2000</v>
      </c>
      <c r="B11783" t="s">
        <v>35</v>
      </c>
      <c r="C11783" t="s">
        <v>54</v>
      </c>
    </row>
    <row r="11784" spans="1:3" x14ac:dyDescent="0.35">
      <c r="A11784">
        <v>2000</v>
      </c>
      <c r="B11784" t="s">
        <v>35</v>
      </c>
      <c r="C11784" t="s">
        <v>48</v>
      </c>
    </row>
    <row r="11785" spans="1:3" x14ac:dyDescent="0.35">
      <c r="A11785">
        <v>2000</v>
      </c>
      <c r="B11785" t="s">
        <v>35</v>
      </c>
      <c r="C11785" t="s">
        <v>54</v>
      </c>
    </row>
    <row r="11786" spans="1:3" x14ac:dyDescent="0.35">
      <c r="A11786">
        <v>2000</v>
      </c>
      <c r="B11786" t="s">
        <v>36</v>
      </c>
      <c r="C11786" t="s">
        <v>53</v>
      </c>
    </row>
    <row r="11787" spans="1:3" x14ac:dyDescent="0.35">
      <c r="A11787">
        <v>2000</v>
      </c>
      <c r="B11787" t="s">
        <v>34</v>
      </c>
      <c r="C11787" t="s">
        <v>52</v>
      </c>
    </row>
    <row r="11788" spans="1:3" x14ac:dyDescent="0.35">
      <c r="A11788">
        <v>2000</v>
      </c>
      <c r="B11788" t="s">
        <v>34</v>
      </c>
      <c r="C11788" t="s">
        <v>52</v>
      </c>
    </row>
    <row r="11789" spans="1:3" x14ac:dyDescent="0.35">
      <c r="A11789">
        <v>2000</v>
      </c>
      <c r="B11789" t="s">
        <v>36</v>
      </c>
      <c r="C11789" t="s">
        <v>50</v>
      </c>
    </row>
    <row r="11790" spans="1:3" x14ac:dyDescent="0.35">
      <c r="A11790">
        <v>2000</v>
      </c>
      <c r="B11790" t="s">
        <v>36</v>
      </c>
      <c r="C11790" t="s">
        <v>50</v>
      </c>
    </row>
    <row r="11791" spans="1:3" x14ac:dyDescent="0.35">
      <c r="A11791">
        <v>2000</v>
      </c>
      <c r="B11791" t="s">
        <v>34</v>
      </c>
      <c r="C11791" t="s">
        <v>49</v>
      </c>
    </row>
    <row r="11792" spans="1:3" x14ac:dyDescent="0.35">
      <c r="A11792">
        <v>2000</v>
      </c>
      <c r="B11792" t="s">
        <v>34</v>
      </c>
      <c r="C11792" t="s">
        <v>49</v>
      </c>
    </row>
    <row r="11793" spans="1:3" x14ac:dyDescent="0.35">
      <c r="A11793">
        <v>2000</v>
      </c>
      <c r="B11793" t="s">
        <v>36</v>
      </c>
      <c r="C11793" t="s">
        <v>53</v>
      </c>
    </row>
    <row r="11794" spans="1:3" x14ac:dyDescent="0.35">
      <c r="A11794">
        <v>2000</v>
      </c>
      <c r="B11794" t="s">
        <v>35</v>
      </c>
      <c r="C11794" t="s">
        <v>214</v>
      </c>
    </row>
    <row r="11795" spans="1:3" x14ac:dyDescent="0.35">
      <c r="A11795">
        <v>2000</v>
      </c>
      <c r="B11795" t="s">
        <v>38</v>
      </c>
      <c r="C11795" t="s">
        <v>21</v>
      </c>
    </row>
    <row r="11796" spans="1:3" x14ac:dyDescent="0.35">
      <c r="A11796">
        <v>2000</v>
      </c>
      <c r="B11796" t="s">
        <v>35</v>
      </c>
      <c r="C11796" t="s">
        <v>82</v>
      </c>
    </row>
    <row r="11797" spans="1:3" x14ac:dyDescent="0.35">
      <c r="A11797">
        <v>2000</v>
      </c>
      <c r="B11797" t="s">
        <v>34</v>
      </c>
      <c r="C11797" t="s">
        <v>108</v>
      </c>
    </row>
    <row r="11798" spans="1:3" x14ac:dyDescent="0.35">
      <c r="A11798">
        <v>2000</v>
      </c>
      <c r="B11798" t="s">
        <v>34</v>
      </c>
      <c r="C11798" t="s">
        <v>107</v>
      </c>
    </row>
    <row r="11799" spans="1:3" x14ac:dyDescent="0.35">
      <c r="A11799">
        <v>2000</v>
      </c>
      <c r="B11799" t="s">
        <v>34</v>
      </c>
      <c r="C11799" t="s">
        <v>107</v>
      </c>
    </row>
    <row r="11800" spans="1:3" x14ac:dyDescent="0.35">
      <c r="A11800">
        <v>2000</v>
      </c>
      <c r="B11800" t="s">
        <v>34</v>
      </c>
      <c r="C11800" t="s">
        <v>22</v>
      </c>
    </row>
    <row r="11801" spans="1:3" x14ac:dyDescent="0.35">
      <c r="A11801">
        <v>2000</v>
      </c>
      <c r="B11801" t="s">
        <v>34</v>
      </c>
      <c r="C11801" t="s">
        <v>22</v>
      </c>
    </row>
    <row r="11802" spans="1:3" x14ac:dyDescent="0.35">
      <c r="A11802">
        <v>2000</v>
      </c>
      <c r="B11802" t="s">
        <v>35</v>
      </c>
      <c r="C11802" t="s">
        <v>105</v>
      </c>
    </row>
    <row r="11803" spans="1:3" x14ac:dyDescent="0.35">
      <c r="A11803">
        <v>2000</v>
      </c>
      <c r="B11803" t="s">
        <v>35</v>
      </c>
      <c r="C11803" t="s">
        <v>105</v>
      </c>
    </row>
    <row r="11804" spans="1:3" x14ac:dyDescent="0.35">
      <c r="A11804">
        <v>2000</v>
      </c>
      <c r="B11804" t="s">
        <v>34</v>
      </c>
      <c r="C11804" t="s">
        <v>108</v>
      </c>
    </row>
    <row r="11805" spans="1:3" x14ac:dyDescent="0.35">
      <c r="A11805">
        <v>2000</v>
      </c>
      <c r="B11805" t="s">
        <v>34</v>
      </c>
      <c r="C11805" t="s">
        <v>368</v>
      </c>
    </row>
    <row r="11806" spans="1:3" x14ac:dyDescent="0.35">
      <c r="A11806">
        <v>2000</v>
      </c>
      <c r="B11806" t="s">
        <v>36</v>
      </c>
      <c r="C11806" t="s">
        <v>17</v>
      </c>
    </row>
    <row r="11807" spans="1:3" x14ac:dyDescent="0.35">
      <c r="A11807">
        <v>2000</v>
      </c>
      <c r="B11807" t="s">
        <v>36</v>
      </c>
      <c r="C11807" t="s">
        <v>17</v>
      </c>
    </row>
    <row r="11808" spans="1:3" x14ac:dyDescent="0.35">
      <c r="A11808">
        <v>2000</v>
      </c>
      <c r="B11808" t="s">
        <v>36</v>
      </c>
      <c r="C11808" t="s">
        <v>104</v>
      </c>
    </row>
    <row r="11809" spans="1:3" x14ac:dyDescent="0.35">
      <c r="A11809">
        <v>2000</v>
      </c>
      <c r="B11809" t="s">
        <v>36</v>
      </c>
      <c r="C11809" t="s">
        <v>104</v>
      </c>
    </row>
    <row r="11810" spans="1:3" x14ac:dyDescent="0.35">
      <c r="A11810">
        <v>2000</v>
      </c>
      <c r="B11810" t="s">
        <v>38</v>
      </c>
      <c r="C11810" t="s">
        <v>103</v>
      </c>
    </row>
    <row r="11811" spans="1:3" x14ac:dyDescent="0.35">
      <c r="A11811">
        <v>2000</v>
      </c>
      <c r="B11811" t="s">
        <v>38</v>
      </c>
      <c r="C11811" t="s">
        <v>103</v>
      </c>
    </row>
    <row r="11812" spans="1:3" x14ac:dyDescent="0.35">
      <c r="A11812">
        <v>2000</v>
      </c>
      <c r="B11812" t="s">
        <v>33</v>
      </c>
      <c r="C11812" t="s">
        <v>101</v>
      </c>
    </row>
    <row r="11813" spans="1:3" x14ac:dyDescent="0.35">
      <c r="A11813">
        <v>2000</v>
      </c>
      <c r="B11813" t="s">
        <v>34</v>
      </c>
      <c r="C11813" t="s">
        <v>368</v>
      </c>
    </row>
    <row r="11814" spans="1:3" x14ac:dyDescent="0.35">
      <c r="A11814">
        <v>2000</v>
      </c>
      <c r="B11814" t="s">
        <v>33</v>
      </c>
      <c r="C11814" t="s">
        <v>101</v>
      </c>
    </row>
    <row r="11815" spans="1:3" x14ac:dyDescent="0.35">
      <c r="A11815">
        <v>2000</v>
      </c>
      <c r="B11815" t="s">
        <v>34</v>
      </c>
      <c r="C11815" t="s">
        <v>109</v>
      </c>
    </row>
    <row r="11816" spans="1:3" x14ac:dyDescent="0.35">
      <c r="A11816">
        <v>2000</v>
      </c>
      <c r="B11816" t="s">
        <v>35</v>
      </c>
      <c r="C11816" t="s">
        <v>110</v>
      </c>
    </row>
    <row r="11817" spans="1:3" x14ac:dyDescent="0.35">
      <c r="A11817">
        <v>2000</v>
      </c>
      <c r="B11817" t="s">
        <v>34</v>
      </c>
      <c r="C11817" t="s">
        <v>118</v>
      </c>
    </row>
    <row r="11818" spans="1:3" x14ac:dyDescent="0.35">
      <c r="A11818">
        <v>2000</v>
      </c>
      <c r="B11818" t="s">
        <v>34</v>
      </c>
      <c r="C11818" t="s">
        <v>118</v>
      </c>
    </row>
    <row r="11819" spans="1:3" x14ac:dyDescent="0.35">
      <c r="A11819">
        <v>2000</v>
      </c>
      <c r="B11819" t="s">
        <v>33</v>
      </c>
      <c r="C11819" t="s">
        <v>117</v>
      </c>
    </row>
    <row r="11820" spans="1:3" x14ac:dyDescent="0.35">
      <c r="A11820">
        <v>2000</v>
      </c>
      <c r="B11820" t="s">
        <v>33</v>
      </c>
      <c r="C11820" t="s">
        <v>117</v>
      </c>
    </row>
    <row r="11821" spans="1:3" x14ac:dyDescent="0.35">
      <c r="A11821">
        <v>2000</v>
      </c>
      <c r="B11821" t="s">
        <v>34</v>
      </c>
      <c r="C11821" t="s">
        <v>116</v>
      </c>
    </row>
    <row r="11822" spans="1:3" x14ac:dyDescent="0.35">
      <c r="A11822">
        <v>2000</v>
      </c>
      <c r="B11822" t="s">
        <v>34</v>
      </c>
      <c r="C11822" t="s">
        <v>115</v>
      </c>
    </row>
    <row r="11823" spans="1:3" x14ac:dyDescent="0.35">
      <c r="A11823">
        <v>2000</v>
      </c>
      <c r="B11823" t="s">
        <v>34</v>
      </c>
      <c r="C11823" t="s">
        <v>115</v>
      </c>
    </row>
    <row r="11824" spans="1:3" x14ac:dyDescent="0.35">
      <c r="A11824">
        <v>2000</v>
      </c>
      <c r="B11824" t="s">
        <v>34</v>
      </c>
      <c r="C11824" t="s">
        <v>109</v>
      </c>
    </row>
    <row r="11825" spans="1:3" x14ac:dyDescent="0.35">
      <c r="A11825">
        <v>2000</v>
      </c>
      <c r="B11825" t="s">
        <v>34</v>
      </c>
      <c r="C11825" t="s">
        <v>114</v>
      </c>
    </row>
    <row r="11826" spans="1:3" x14ac:dyDescent="0.35">
      <c r="A11826">
        <v>2000</v>
      </c>
      <c r="B11826" t="s">
        <v>36</v>
      </c>
      <c r="C11826" t="s">
        <v>113</v>
      </c>
    </row>
    <row r="11827" spans="1:3" x14ac:dyDescent="0.35">
      <c r="A11827">
        <v>2000</v>
      </c>
      <c r="B11827" t="s">
        <v>36</v>
      </c>
      <c r="C11827" t="s">
        <v>113</v>
      </c>
    </row>
    <row r="11828" spans="1:3" x14ac:dyDescent="0.35">
      <c r="A11828">
        <v>2000</v>
      </c>
      <c r="B11828" t="s">
        <v>35</v>
      </c>
      <c r="C11828" t="s">
        <v>112</v>
      </c>
    </row>
    <row r="11829" spans="1:3" x14ac:dyDescent="0.35">
      <c r="A11829">
        <v>2000</v>
      </c>
      <c r="B11829" t="s">
        <v>35</v>
      </c>
      <c r="C11829" t="s">
        <v>112</v>
      </c>
    </row>
    <row r="11830" spans="1:3" x14ac:dyDescent="0.35">
      <c r="A11830">
        <v>2000</v>
      </c>
      <c r="B11830" t="s">
        <v>34</v>
      </c>
      <c r="C11830" t="s">
        <v>111</v>
      </c>
    </row>
    <row r="11831" spans="1:3" x14ac:dyDescent="0.35">
      <c r="A11831">
        <v>2000</v>
      </c>
      <c r="B11831" t="s">
        <v>34</v>
      </c>
      <c r="C11831" t="s">
        <v>111</v>
      </c>
    </row>
    <row r="11832" spans="1:3" x14ac:dyDescent="0.35">
      <c r="A11832">
        <v>2000</v>
      </c>
      <c r="B11832" t="s">
        <v>35</v>
      </c>
      <c r="C11832" t="s">
        <v>110</v>
      </c>
    </row>
    <row r="11833" spans="1:3" x14ac:dyDescent="0.35">
      <c r="A11833">
        <v>2000</v>
      </c>
      <c r="B11833" t="s">
        <v>34</v>
      </c>
      <c r="C11833" t="s">
        <v>114</v>
      </c>
    </row>
    <row r="11834" spans="1:3" x14ac:dyDescent="0.35">
      <c r="A11834">
        <v>2000</v>
      </c>
      <c r="B11834" t="s">
        <v>36</v>
      </c>
      <c r="C11834" t="s">
        <v>15</v>
      </c>
    </row>
    <row r="11835" spans="1:3" x14ac:dyDescent="0.35">
      <c r="A11835">
        <v>2000</v>
      </c>
      <c r="B11835" t="s">
        <v>35</v>
      </c>
      <c r="C11835" t="s">
        <v>119</v>
      </c>
    </row>
    <row r="11836" spans="1:3" x14ac:dyDescent="0.35">
      <c r="A11836">
        <v>2000</v>
      </c>
      <c r="B11836" t="s">
        <v>36</v>
      </c>
      <c r="C11836" t="s">
        <v>16</v>
      </c>
    </row>
    <row r="11837" spans="1:3" x14ac:dyDescent="0.35">
      <c r="A11837">
        <v>2000</v>
      </c>
      <c r="B11837" t="s">
        <v>35</v>
      </c>
      <c r="C11837" t="s">
        <v>90</v>
      </c>
    </row>
    <row r="11838" spans="1:3" x14ac:dyDescent="0.35">
      <c r="A11838">
        <v>2000</v>
      </c>
      <c r="B11838" t="s">
        <v>35</v>
      </c>
      <c r="C11838" t="s">
        <v>90</v>
      </c>
    </row>
    <row r="11839" spans="1:3" x14ac:dyDescent="0.35">
      <c r="A11839">
        <v>2000</v>
      </c>
      <c r="B11839" t="s">
        <v>33</v>
      </c>
      <c r="C11839" t="s">
        <v>89</v>
      </c>
    </row>
    <row r="11840" spans="1:3" x14ac:dyDescent="0.35">
      <c r="A11840">
        <v>2000</v>
      </c>
      <c r="B11840" t="s">
        <v>33</v>
      </c>
      <c r="C11840" t="s">
        <v>89</v>
      </c>
    </row>
    <row r="11841" spans="1:3" x14ac:dyDescent="0.35">
      <c r="A11841">
        <v>2000</v>
      </c>
      <c r="B11841" t="s">
        <v>36</v>
      </c>
      <c r="C11841" t="s">
        <v>16</v>
      </c>
    </row>
    <row r="11842" spans="1:3" x14ac:dyDescent="0.35">
      <c r="A11842">
        <v>2000</v>
      </c>
      <c r="B11842" t="s">
        <v>36</v>
      </c>
      <c r="C11842" t="s">
        <v>15</v>
      </c>
    </row>
    <row r="11843" spans="1:3" x14ac:dyDescent="0.35">
      <c r="A11843">
        <v>2000</v>
      </c>
      <c r="B11843" t="s">
        <v>33</v>
      </c>
      <c r="C11843" t="s">
        <v>87</v>
      </c>
    </row>
    <row r="11844" spans="1:3" x14ac:dyDescent="0.35">
      <c r="A11844">
        <v>2000</v>
      </c>
      <c r="B11844" t="s">
        <v>33</v>
      </c>
      <c r="C11844" t="s">
        <v>87</v>
      </c>
    </row>
    <row r="11845" spans="1:3" x14ac:dyDescent="0.35">
      <c r="A11845">
        <v>2000</v>
      </c>
      <c r="B11845" t="s">
        <v>38</v>
      </c>
      <c r="C11845" t="s">
        <v>86</v>
      </c>
    </row>
    <row r="11846" spans="1:3" x14ac:dyDescent="0.35">
      <c r="A11846">
        <v>2000</v>
      </c>
      <c r="B11846" t="s">
        <v>38</v>
      </c>
      <c r="C11846" t="s">
        <v>86</v>
      </c>
    </row>
    <row r="11847" spans="1:3" x14ac:dyDescent="0.35">
      <c r="A11847">
        <v>2000</v>
      </c>
      <c r="B11847" t="s">
        <v>36</v>
      </c>
      <c r="C11847" t="s">
        <v>85</v>
      </c>
    </row>
    <row r="11848" spans="1:3" x14ac:dyDescent="0.35">
      <c r="A11848">
        <v>2000</v>
      </c>
      <c r="B11848" t="s">
        <v>36</v>
      </c>
      <c r="C11848" t="s">
        <v>85</v>
      </c>
    </row>
    <row r="11849" spans="1:3" x14ac:dyDescent="0.35">
      <c r="A11849">
        <v>2000</v>
      </c>
      <c r="B11849" t="s">
        <v>36</v>
      </c>
      <c r="C11849" t="s">
        <v>84</v>
      </c>
    </row>
    <row r="11850" spans="1:3" x14ac:dyDescent="0.35">
      <c r="A11850">
        <v>2000</v>
      </c>
      <c r="B11850" t="s">
        <v>36</v>
      </c>
      <c r="C11850" t="s">
        <v>84</v>
      </c>
    </row>
    <row r="11851" spans="1:3" x14ac:dyDescent="0.35">
      <c r="A11851">
        <v>2000</v>
      </c>
      <c r="B11851" t="s">
        <v>35</v>
      </c>
      <c r="C11851" t="s">
        <v>82</v>
      </c>
    </row>
    <row r="11852" spans="1:3" x14ac:dyDescent="0.35">
      <c r="A11852">
        <v>2000</v>
      </c>
      <c r="B11852" t="s">
        <v>33</v>
      </c>
      <c r="C11852" t="s">
        <v>91</v>
      </c>
    </row>
    <row r="11853" spans="1:3" x14ac:dyDescent="0.35">
      <c r="A11853">
        <v>2000</v>
      </c>
      <c r="B11853" t="s">
        <v>37</v>
      </c>
      <c r="C11853" t="s">
        <v>92</v>
      </c>
    </row>
    <row r="11854" spans="1:3" x14ac:dyDescent="0.35">
      <c r="A11854">
        <v>2000</v>
      </c>
      <c r="B11854" t="s">
        <v>33</v>
      </c>
      <c r="C11854" t="s">
        <v>91</v>
      </c>
    </row>
    <row r="11855" spans="1:3" x14ac:dyDescent="0.35">
      <c r="A11855">
        <v>2000</v>
      </c>
      <c r="B11855" t="s">
        <v>35</v>
      </c>
      <c r="C11855" t="s">
        <v>93</v>
      </c>
    </row>
    <row r="11856" spans="1:3" x14ac:dyDescent="0.35">
      <c r="A11856">
        <v>2000</v>
      </c>
      <c r="B11856" t="s">
        <v>36</v>
      </c>
      <c r="C11856" t="s">
        <v>100</v>
      </c>
    </row>
    <row r="11857" spans="1:3" x14ac:dyDescent="0.35">
      <c r="A11857">
        <v>2000</v>
      </c>
      <c r="B11857" t="s">
        <v>36</v>
      </c>
      <c r="C11857" t="s">
        <v>100</v>
      </c>
    </row>
    <row r="11858" spans="1:3" x14ac:dyDescent="0.35">
      <c r="A11858">
        <v>2000</v>
      </c>
      <c r="B11858" t="s">
        <v>35</v>
      </c>
      <c r="C11858" t="s">
        <v>99</v>
      </c>
    </row>
    <row r="11859" spans="1:3" x14ac:dyDescent="0.35">
      <c r="A11859">
        <v>2000</v>
      </c>
      <c r="B11859" t="s">
        <v>35</v>
      </c>
      <c r="C11859" t="s">
        <v>99</v>
      </c>
    </row>
    <row r="11860" spans="1:3" x14ac:dyDescent="0.35">
      <c r="A11860">
        <v>2000</v>
      </c>
      <c r="B11860" t="s">
        <v>33</v>
      </c>
      <c r="C11860" t="s">
        <v>98</v>
      </c>
    </row>
    <row r="11861" spans="1:3" x14ac:dyDescent="0.35">
      <c r="A11861">
        <v>2000</v>
      </c>
      <c r="B11861" t="s">
        <v>37</v>
      </c>
      <c r="C11861" t="s">
        <v>92</v>
      </c>
    </row>
    <row r="11862" spans="1:3" x14ac:dyDescent="0.35">
      <c r="A11862">
        <v>2000</v>
      </c>
      <c r="B11862" t="s">
        <v>35</v>
      </c>
      <c r="C11862" t="s">
        <v>97</v>
      </c>
    </row>
    <row r="11863" spans="1:3" x14ac:dyDescent="0.35">
      <c r="A11863">
        <v>2000</v>
      </c>
      <c r="B11863" t="s">
        <v>35</v>
      </c>
      <c r="C11863" t="s">
        <v>97</v>
      </c>
    </row>
    <row r="11864" spans="1:3" x14ac:dyDescent="0.35">
      <c r="A11864">
        <v>2000</v>
      </c>
      <c r="B11864" t="s">
        <v>33</v>
      </c>
      <c r="C11864" t="s">
        <v>98</v>
      </c>
    </row>
    <row r="11865" spans="1:3" x14ac:dyDescent="0.35">
      <c r="A11865">
        <v>2000</v>
      </c>
      <c r="B11865" t="s">
        <v>34</v>
      </c>
      <c r="C11865" t="s">
        <v>8</v>
      </c>
    </row>
    <row r="11866" spans="1:3" x14ac:dyDescent="0.35">
      <c r="A11866">
        <v>2000</v>
      </c>
      <c r="B11866" t="s">
        <v>33</v>
      </c>
      <c r="C11866" t="s">
        <v>96</v>
      </c>
    </row>
    <row r="11867" spans="1:3" x14ac:dyDescent="0.35">
      <c r="A11867">
        <v>2000</v>
      </c>
      <c r="B11867" t="s">
        <v>33</v>
      </c>
      <c r="C11867" t="s">
        <v>96</v>
      </c>
    </row>
    <row r="11868" spans="1:3" x14ac:dyDescent="0.35">
      <c r="A11868">
        <v>2000</v>
      </c>
      <c r="B11868" t="s">
        <v>33</v>
      </c>
      <c r="C11868" t="s">
        <v>95</v>
      </c>
    </row>
    <row r="11869" spans="1:3" x14ac:dyDescent="0.35">
      <c r="A11869">
        <v>2000</v>
      </c>
      <c r="B11869" t="s">
        <v>35</v>
      </c>
      <c r="C11869" t="s">
        <v>94</v>
      </c>
    </row>
    <row r="11870" spans="1:3" x14ac:dyDescent="0.35">
      <c r="A11870">
        <v>2000</v>
      </c>
      <c r="B11870" t="s">
        <v>35</v>
      </c>
      <c r="C11870" t="s">
        <v>94</v>
      </c>
    </row>
    <row r="11871" spans="1:3" x14ac:dyDescent="0.35">
      <c r="A11871">
        <v>2000</v>
      </c>
      <c r="B11871" t="s">
        <v>35</v>
      </c>
      <c r="C11871" t="s">
        <v>93</v>
      </c>
    </row>
    <row r="11872" spans="1:3" x14ac:dyDescent="0.35">
      <c r="A11872">
        <v>2000</v>
      </c>
      <c r="B11872" t="s">
        <v>34</v>
      </c>
      <c r="C11872" t="s">
        <v>8</v>
      </c>
    </row>
    <row r="11873" spans="1:3" x14ac:dyDescent="0.35">
      <c r="A11873">
        <v>2000</v>
      </c>
      <c r="B11873" t="s">
        <v>34</v>
      </c>
      <c r="C11873" t="s">
        <v>40</v>
      </c>
    </row>
    <row r="11874" spans="1:3" x14ac:dyDescent="0.35">
      <c r="A11874">
        <v>2000</v>
      </c>
      <c r="B11874" t="s">
        <v>35</v>
      </c>
      <c r="C11874" t="s">
        <v>41</v>
      </c>
    </row>
    <row r="11875" spans="1:3" x14ac:dyDescent="0.35">
      <c r="A11875">
        <v>2000</v>
      </c>
      <c r="B11875" t="s">
        <v>33</v>
      </c>
      <c r="C11875" t="s">
        <v>42</v>
      </c>
    </row>
    <row r="11876" spans="1:3" x14ac:dyDescent="0.35">
      <c r="A11876">
        <v>2000</v>
      </c>
      <c r="C11876" t="s">
        <v>373</v>
      </c>
    </row>
    <row r="11877" spans="1:3" x14ac:dyDescent="0.35">
      <c r="A11877">
        <v>2000</v>
      </c>
      <c r="B11877" t="s">
        <v>33</v>
      </c>
      <c r="C11877" t="s">
        <v>43</v>
      </c>
    </row>
    <row r="11878" spans="1:3" x14ac:dyDescent="0.35">
      <c r="A11878">
        <v>2000</v>
      </c>
      <c r="B11878" t="s">
        <v>36</v>
      </c>
      <c r="C11878" t="s">
        <v>44</v>
      </c>
    </row>
    <row r="11879" spans="1:3" x14ac:dyDescent="0.35">
      <c r="A11879">
        <v>2000</v>
      </c>
      <c r="B11879" t="s">
        <v>38</v>
      </c>
      <c r="C11879" t="s">
        <v>45</v>
      </c>
    </row>
    <row r="11880" spans="1:3" x14ac:dyDescent="0.35">
      <c r="A11880">
        <v>2000</v>
      </c>
      <c r="B11880" t="s">
        <v>34</v>
      </c>
      <c r="C11880" t="s">
        <v>46</v>
      </c>
    </row>
    <row r="11881" spans="1:3" x14ac:dyDescent="0.35">
      <c r="A11881">
        <v>2000</v>
      </c>
      <c r="B11881" t="s">
        <v>37</v>
      </c>
      <c r="C11881" t="s">
        <v>47</v>
      </c>
    </row>
    <row r="11882" spans="1:3" x14ac:dyDescent="0.35">
      <c r="A11882">
        <v>2000</v>
      </c>
      <c r="B11882" t="s">
        <v>35</v>
      </c>
      <c r="C11882" t="s">
        <v>48</v>
      </c>
    </row>
    <row r="11883" spans="1:3" x14ac:dyDescent="0.35">
      <c r="A11883">
        <v>2000</v>
      </c>
      <c r="B11883" t="s">
        <v>34</v>
      </c>
      <c r="C11883" t="s">
        <v>49</v>
      </c>
    </row>
    <row r="11884" spans="1:3" x14ac:dyDescent="0.35">
      <c r="A11884">
        <v>2000</v>
      </c>
      <c r="B11884" t="s">
        <v>36</v>
      </c>
      <c r="C11884" t="s">
        <v>50</v>
      </c>
    </row>
    <row r="11885" spans="1:3" x14ac:dyDescent="0.35">
      <c r="A11885">
        <v>2000</v>
      </c>
      <c r="B11885" t="s">
        <v>34</v>
      </c>
      <c r="C11885" t="s">
        <v>51</v>
      </c>
    </row>
    <row r="11886" spans="1:3" x14ac:dyDescent="0.35">
      <c r="A11886">
        <v>2000</v>
      </c>
      <c r="B11886" t="s">
        <v>34</v>
      </c>
      <c r="C11886" t="s">
        <v>52</v>
      </c>
    </row>
    <row r="11887" spans="1:3" x14ac:dyDescent="0.35">
      <c r="A11887">
        <v>2000</v>
      </c>
      <c r="B11887" t="s">
        <v>36</v>
      </c>
      <c r="C11887" t="s">
        <v>53</v>
      </c>
    </row>
    <row r="11888" spans="1:3" x14ac:dyDescent="0.35">
      <c r="A11888">
        <v>2000</v>
      </c>
      <c r="B11888" t="s">
        <v>35</v>
      </c>
      <c r="C11888" t="s">
        <v>54</v>
      </c>
    </row>
    <row r="11889" spans="1:3" x14ac:dyDescent="0.35">
      <c r="A11889">
        <v>2000</v>
      </c>
      <c r="B11889" t="s">
        <v>35</v>
      </c>
      <c r="C11889" t="s">
        <v>55</v>
      </c>
    </row>
    <row r="11890" spans="1:3" x14ac:dyDescent="0.35">
      <c r="A11890">
        <v>2000</v>
      </c>
      <c r="B11890" t="s">
        <v>36</v>
      </c>
      <c r="C11890" t="s">
        <v>56</v>
      </c>
    </row>
    <row r="11891" spans="1:3" x14ac:dyDescent="0.35">
      <c r="A11891">
        <v>2000</v>
      </c>
      <c r="B11891" t="s">
        <v>33</v>
      </c>
      <c r="C11891" t="s">
        <v>57</v>
      </c>
    </row>
    <row r="11892" spans="1:3" x14ac:dyDescent="0.35">
      <c r="A11892">
        <v>2000</v>
      </c>
      <c r="B11892" t="s">
        <v>36</v>
      </c>
      <c r="C11892" t="s">
        <v>363</v>
      </c>
    </row>
    <row r="11893" spans="1:3" x14ac:dyDescent="0.35">
      <c r="A11893">
        <v>2000</v>
      </c>
      <c r="B11893" t="s">
        <v>38</v>
      </c>
      <c r="C11893" t="s">
        <v>59</v>
      </c>
    </row>
    <row r="11894" spans="1:3" x14ac:dyDescent="0.35">
      <c r="A11894">
        <v>2000</v>
      </c>
      <c r="B11894" t="s">
        <v>35</v>
      </c>
      <c r="C11894" t="s">
        <v>60</v>
      </c>
    </row>
    <row r="11895" spans="1:3" x14ac:dyDescent="0.35">
      <c r="A11895">
        <v>2000</v>
      </c>
      <c r="B11895" t="s">
        <v>38</v>
      </c>
      <c r="C11895" t="s">
        <v>21</v>
      </c>
    </row>
    <row r="11896" spans="1:3" x14ac:dyDescent="0.35">
      <c r="A11896">
        <v>2000</v>
      </c>
      <c r="B11896" t="s">
        <v>36</v>
      </c>
      <c r="C11896" t="s">
        <v>364</v>
      </c>
    </row>
    <row r="11897" spans="1:3" x14ac:dyDescent="0.35">
      <c r="A11897">
        <v>2000</v>
      </c>
      <c r="B11897" t="s">
        <v>35</v>
      </c>
      <c r="C11897" t="s">
        <v>62</v>
      </c>
    </row>
    <row r="11898" spans="1:3" x14ac:dyDescent="0.35">
      <c r="A11898">
        <v>2000</v>
      </c>
      <c r="B11898" t="s">
        <v>33</v>
      </c>
      <c r="C11898" t="s">
        <v>63</v>
      </c>
    </row>
    <row r="11899" spans="1:3" x14ac:dyDescent="0.35">
      <c r="A11899">
        <v>2000</v>
      </c>
      <c r="B11899" t="s">
        <v>34</v>
      </c>
      <c r="C11899" t="s">
        <v>64</v>
      </c>
    </row>
    <row r="11900" spans="1:3" x14ac:dyDescent="0.35">
      <c r="A11900">
        <v>2000</v>
      </c>
      <c r="B11900" t="s">
        <v>33</v>
      </c>
      <c r="C11900" t="s">
        <v>65</v>
      </c>
    </row>
    <row r="11901" spans="1:3" x14ac:dyDescent="0.35">
      <c r="A11901">
        <v>2000</v>
      </c>
      <c r="B11901" t="s">
        <v>33</v>
      </c>
      <c r="C11901" t="s">
        <v>66</v>
      </c>
    </row>
    <row r="11902" spans="1:3" x14ac:dyDescent="0.35">
      <c r="A11902">
        <v>2000</v>
      </c>
      <c r="B11902" t="s">
        <v>34</v>
      </c>
      <c r="C11902" t="s">
        <v>67</v>
      </c>
    </row>
    <row r="11903" spans="1:3" x14ac:dyDescent="0.35">
      <c r="A11903">
        <v>2000</v>
      </c>
      <c r="B11903" t="s">
        <v>33</v>
      </c>
      <c r="C11903" t="s">
        <v>68</v>
      </c>
    </row>
    <row r="11904" spans="1:3" x14ac:dyDescent="0.35">
      <c r="A11904">
        <v>2000</v>
      </c>
      <c r="B11904" t="s">
        <v>36</v>
      </c>
      <c r="C11904" t="s">
        <v>69</v>
      </c>
    </row>
    <row r="11905" spans="1:3" x14ac:dyDescent="0.35">
      <c r="A11905">
        <v>2000</v>
      </c>
      <c r="B11905" t="s">
        <v>36</v>
      </c>
      <c r="C11905" t="s">
        <v>365</v>
      </c>
    </row>
    <row r="11906" spans="1:3" x14ac:dyDescent="0.35">
      <c r="A11906">
        <v>2000</v>
      </c>
      <c r="B11906" t="s">
        <v>33</v>
      </c>
      <c r="C11906" t="s">
        <v>70</v>
      </c>
    </row>
    <row r="11907" spans="1:3" x14ac:dyDescent="0.35">
      <c r="A11907">
        <v>2000</v>
      </c>
      <c r="B11907" t="s">
        <v>33</v>
      </c>
      <c r="C11907" t="s">
        <v>71</v>
      </c>
    </row>
    <row r="11908" spans="1:3" x14ac:dyDescent="0.35">
      <c r="A11908">
        <v>2000</v>
      </c>
      <c r="B11908" t="s">
        <v>38</v>
      </c>
      <c r="C11908" t="s">
        <v>72</v>
      </c>
    </row>
    <row r="11909" spans="1:3" x14ac:dyDescent="0.35">
      <c r="A11909">
        <v>2000</v>
      </c>
      <c r="B11909" t="s">
        <v>34</v>
      </c>
      <c r="C11909" t="s">
        <v>73</v>
      </c>
    </row>
    <row r="11910" spans="1:3" x14ac:dyDescent="0.35">
      <c r="A11910">
        <v>2000</v>
      </c>
      <c r="B11910" t="s">
        <v>38</v>
      </c>
      <c r="C11910" t="s">
        <v>20</v>
      </c>
    </row>
    <row r="11911" spans="1:3" x14ac:dyDescent="0.35">
      <c r="A11911">
        <v>2000</v>
      </c>
      <c r="B11911" t="s">
        <v>33</v>
      </c>
      <c r="C11911" t="s">
        <v>74</v>
      </c>
    </row>
    <row r="11912" spans="1:3" x14ac:dyDescent="0.35">
      <c r="A11912">
        <v>2000</v>
      </c>
      <c r="B11912" t="s">
        <v>33</v>
      </c>
      <c r="C11912" t="s">
        <v>75</v>
      </c>
    </row>
    <row r="11913" spans="1:3" x14ac:dyDescent="0.35">
      <c r="A11913">
        <v>2000</v>
      </c>
      <c r="B11913" t="s">
        <v>36</v>
      </c>
      <c r="C11913" t="s">
        <v>76</v>
      </c>
    </row>
    <row r="11914" spans="1:3" x14ac:dyDescent="0.35">
      <c r="A11914">
        <v>2000</v>
      </c>
      <c r="B11914" t="s">
        <v>33</v>
      </c>
      <c r="C11914" t="s">
        <v>77</v>
      </c>
    </row>
    <row r="11915" spans="1:3" x14ac:dyDescent="0.35">
      <c r="A11915">
        <v>2000</v>
      </c>
      <c r="B11915" t="s">
        <v>35</v>
      </c>
      <c r="C11915" t="s">
        <v>78</v>
      </c>
    </row>
    <row r="11916" spans="1:3" x14ac:dyDescent="0.35">
      <c r="A11916">
        <v>2000</v>
      </c>
      <c r="B11916" t="s">
        <v>36</v>
      </c>
      <c r="C11916" t="s">
        <v>79</v>
      </c>
    </row>
    <row r="11917" spans="1:3" x14ac:dyDescent="0.35">
      <c r="A11917">
        <v>2000</v>
      </c>
      <c r="B11917" t="s">
        <v>35</v>
      </c>
      <c r="C11917" t="s">
        <v>81</v>
      </c>
    </row>
    <row r="11918" spans="1:3" x14ac:dyDescent="0.35">
      <c r="A11918">
        <v>2000</v>
      </c>
      <c r="B11918" t="s">
        <v>35</v>
      </c>
      <c r="C11918" t="s">
        <v>214</v>
      </c>
    </row>
    <row r="11919" spans="1:3" x14ac:dyDescent="0.35">
      <c r="A11919">
        <v>2000</v>
      </c>
      <c r="B11919" t="s">
        <v>35</v>
      </c>
      <c r="C11919" t="s">
        <v>82</v>
      </c>
    </row>
    <row r="11920" spans="1:3" x14ac:dyDescent="0.35">
      <c r="A11920">
        <v>2000</v>
      </c>
      <c r="B11920" t="s">
        <v>36</v>
      </c>
      <c r="C11920" t="s">
        <v>84</v>
      </c>
    </row>
    <row r="11921" spans="1:3" x14ac:dyDescent="0.35">
      <c r="A11921">
        <v>2000</v>
      </c>
      <c r="B11921" t="s">
        <v>36</v>
      </c>
      <c r="C11921" t="s">
        <v>85</v>
      </c>
    </row>
    <row r="11922" spans="1:3" x14ac:dyDescent="0.35">
      <c r="A11922">
        <v>2000</v>
      </c>
      <c r="B11922" t="s">
        <v>38</v>
      </c>
      <c r="C11922" t="s">
        <v>86</v>
      </c>
    </row>
    <row r="11923" spans="1:3" x14ac:dyDescent="0.35">
      <c r="A11923">
        <v>2000</v>
      </c>
      <c r="B11923" t="s">
        <v>33</v>
      </c>
      <c r="C11923" t="s">
        <v>87</v>
      </c>
    </row>
    <row r="11924" spans="1:3" x14ac:dyDescent="0.35">
      <c r="A11924">
        <v>2000</v>
      </c>
      <c r="B11924" t="s">
        <v>36</v>
      </c>
      <c r="C11924" t="s">
        <v>16</v>
      </c>
    </row>
    <row r="11925" spans="1:3" x14ac:dyDescent="0.35">
      <c r="A11925">
        <v>2000</v>
      </c>
      <c r="B11925" t="s">
        <v>33</v>
      </c>
      <c r="C11925" t="s">
        <v>88</v>
      </c>
    </row>
    <row r="11926" spans="1:3" x14ac:dyDescent="0.35">
      <c r="A11926">
        <v>2000</v>
      </c>
      <c r="B11926" t="s">
        <v>33</v>
      </c>
      <c r="C11926" t="s">
        <v>89</v>
      </c>
    </row>
    <row r="11927" spans="1:3" x14ac:dyDescent="0.35">
      <c r="A11927">
        <v>2000</v>
      </c>
      <c r="B11927" t="s">
        <v>35</v>
      </c>
      <c r="C11927" t="s">
        <v>90</v>
      </c>
    </row>
    <row r="11928" spans="1:3" x14ac:dyDescent="0.35">
      <c r="A11928">
        <v>2000</v>
      </c>
      <c r="B11928" t="s">
        <v>33</v>
      </c>
      <c r="C11928" t="s">
        <v>91</v>
      </c>
    </row>
    <row r="11929" spans="1:3" x14ac:dyDescent="0.35">
      <c r="A11929">
        <v>2000</v>
      </c>
      <c r="B11929" t="s">
        <v>37</v>
      </c>
      <c r="C11929" t="s">
        <v>92</v>
      </c>
    </row>
    <row r="11930" spans="1:3" x14ac:dyDescent="0.35">
      <c r="A11930">
        <v>2000</v>
      </c>
      <c r="B11930" t="s">
        <v>35</v>
      </c>
      <c r="C11930" t="s">
        <v>94</v>
      </c>
    </row>
    <row r="11931" spans="1:3" x14ac:dyDescent="0.35">
      <c r="A11931">
        <v>2000</v>
      </c>
      <c r="B11931" t="s">
        <v>33</v>
      </c>
      <c r="C11931" t="s">
        <v>95</v>
      </c>
    </row>
    <row r="11932" spans="1:3" x14ac:dyDescent="0.35">
      <c r="A11932">
        <v>2000</v>
      </c>
      <c r="B11932" t="s">
        <v>33</v>
      </c>
      <c r="C11932" t="s">
        <v>96</v>
      </c>
    </row>
    <row r="11933" spans="1:3" x14ac:dyDescent="0.35">
      <c r="A11933">
        <v>2000</v>
      </c>
      <c r="B11933" t="s">
        <v>34</v>
      </c>
      <c r="C11933" t="s">
        <v>8</v>
      </c>
    </row>
    <row r="11934" spans="1:3" x14ac:dyDescent="0.35">
      <c r="A11934">
        <v>2000</v>
      </c>
      <c r="B11934" t="s">
        <v>35</v>
      </c>
      <c r="C11934" t="s">
        <v>97</v>
      </c>
    </row>
    <row r="11935" spans="1:3" x14ac:dyDescent="0.35">
      <c r="A11935">
        <v>2000</v>
      </c>
      <c r="B11935" t="s">
        <v>33</v>
      </c>
      <c r="C11935" t="s">
        <v>98</v>
      </c>
    </row>
    <row r="11936" spans="1:3" x14ac:dyDescent="0.35">
      <c r="A11936">
        <v>2000</v>
      </c>
      <c r="B11936" t="s">
        <v>35</v>
      </c>
      <c r="C11936" t="s">
        <v>99</v>
      </c>
    </row>
    <row r="11937" spans="1:3" x14ac:dyDescent="0.35">
      <c r="A11937">
        <v>2000</v>
      </c>
      <c r="B11937" t="s">
        <v>36</v>
      </c>
      <c r="C11937" t="s">
        <v>100</v>
      </c>
    </row>
    <row r="11938" spans="1:3" x14ac:dyDescent="0.35">
      <c r="A11938">
        <v>2000</v>
      </c>
      <c r="B11938" t="s">
        <v>37</v>
      </c>
      <c r="C11938" t="s">
        <v>367</v>
      </c>
    </row>
    <row r="11939" spans="1:3" x14ac:dyDescent="0.35">
      <c r="A11939">
        <v>2000</v>
      </c>
      <c r="B11939" t="s">
        <v>36</v>
      </c>
      <c r="C11939" t="s">
        <v>15</v>
      </c>
    </row>
    <row r="11940" spans="1:3" x14ac:dyDescent="0.35">
      <c r="A11940">
        <v>2000</v>
      </c>
      <c r="B11940" t="s">
        <v>33</v>
      </c>
      <c r="C11940" t="s">
        <v>101</v>
      </c>
    </row>
    <row r="11941" spans="1:3" x14ac:dyDescent="0.35">
      <c r="A11941">
        <v>2000</v>
      </c>
      <c r="B11941" t="s">
        <v>33</v>
      </c>
      <c r="C11941" t="s">
        <v>102</v>
      </c>
    </row>
    <row r="11942" spans="1:3" x14ac:dyDescent="0.35">
      <c r="A11942">
        <v>2000</v>
      </c>
      <c r="B11942" t="s">
        <v>38</v>
      </c>
      <c r="C11942" t="s">
        <v>103</v>
      </c>
    </row>
    <row r="11943" spans="1:3" x14ac:dyDescent="0.35">
      <c r="A11943">
        <v>2000</v>
      </c>
      <c r="B11943" t="s">
        <v>36</v>
      </c>
      <c r="C11943" t="s">
        <v>104</v>
      </c>
    </row>
    <row r="11944" spans="1:3" x14ac:dyDescent="0.35">
      <c r="A11944">
        <v>2000</v>
      </c>
      <c r="B11944" t="s">
        <v>36</v>
      </c>
      <c r="C11944" t="s">
        <v>17</v>
      </c>
    </row>
    <row r="11945" spans="1:3" x14ac:dyDescent="0.35">
      <c r="A11945">
        <v>2000</v>
      </c>
      <c r="B11945" t="s">
        <v>34</v>
      </c>
      <c r="C11945" t="s">
        <v>368</v>
      </c>
    </row>
    <row r="11946" spans="1:3" x14ac:dyDescent="0.35">
      <c r="A11946">
        <v>2000</v>
      </c>
      <c r="B11946" t="s">
        <v>35</v>
      </c>
      <c r="C11946" t="s">
        <v>105</v>
      </c>
    </row>
    <row r="11947" spans="1:3" x14ac:dyDescent="0.35">
      <c r="A11947">
        <v>2000</v>
      </c>
      <c r="B11947" t="s">
        <v>35</v>
      </c>
      <c r="C11947" t="s">
        <v>106</v>
      </c>
    </row>
    <row r="11948" spans="1:3" x14ac:dyDescent="0.35">
      <c r="A11948">
        <v>2000</v>
      </c>
      <c r="B11948" t="s">
        <v>34</v>
      </c>
      <c r="C11948" t="s">
        <v>22</v>
      </c>
    </row>
    <row r="11949" spans="1:3" x14ac:dyDescent="0.35">
      <c r="A11949">
        <v>2000</v>
      </c>
      <c r="B11949" t="s">
        <v>34</v>
      </c>
      <c r="C11949" t="s">
        <v>107</v>
      </c>
    </row>
    <row r="11950" spans="1:3" x14ac:dyDescent="0.35">
      <c r="A11950">
        <v>2000</v>
      </c>
      <c r="B11950" t="s">
        <v>34</v>
      </c>
      <c r="C11950" t="s">
        <v>108</v>
      </c>
    </row>
    <row r="11951" spans="1:3" x14ac:dyDescent="0.35">
      <c r="A11951">
        <v>2000</v>
      </c>
      <c r="B11951" t="s">
        <v>34</v>
      </c>
      <c r="C11951" t="s">
        <v>109</v>
      </c>
    </row>
    <row r="11952" spans="1:3" x14ac:dyDescent="0.35">
      <c r="A11952">
        <v>2000</v>
      </c>
      <c r="B11952" t="s">
        <v>35</v>
      </c>
      <c r="C11952" t="s">
        <v>110</v>
      </c>
    </row>
    <row r="11953" spans="1:3" x14ac:dyDescent="0.35">
      <c r="A11953">
        <v>2000</v>
      </c>
      <c r="B11953" t="s">
        <v>34</v>
      </c>
      <c r="C11953" t="s">
        <v>111</v>
      </c>
    </row>
    <row r="11954" spans="1:3" x14ac:dyDescent="0.35">
      <c r="A11954">
        <v>2000</v>
      </c>
      <c r="B11954" t="s">
        <v>35</v>
      </c>
      <c r="C11954" t="s">
        <v>112</v>
      </c>
    </row>
    <row r="11955" spans="1:3" x14ac:dyDescent="0.35">
      <c r="A11955">
        <v>2000</v>
      </c>
      <c r="B11955" t="s">
        <v>36</v>
      </c>
      <c r="C11955" t="s">
        <v>113</v>
      </c>
    </row>
    <row r="11956" spans="1:3" x14ac:dyDescent="0.35">
      <c r="A11956">
        <v>2000</v>
      </c>
      <c r="B11956" t="s">
        <v>34</v>
      </c>
      <c r="C11956" t="s">
        <v>114</v>
      </c>
    </row>
    <row r="11957" spans="1:3" x14ac:dyDescent="0.35">
      <c r="A11957">
        <v>2000</v>
      </c>
      <c r="B11957" t="s">
        <v>34</v>
      </c>
      <c r="C11957" t="s">
        <v>115</v>
      </c>
    </row>
    <row r="11958" spans="1:3" x14ac:dyDescent="0.35">
      <c r="A11958">
        <v>2000</v>
      </c>
      <c r="B11958" t="s">
        <v>34</v>
      </c>
      <c r="C11958" t="s">
        <v>116</v>
      </c>
    </row>
    <row r="11959" spans="1:3" x14ac:dyDescent="0.35">
      <c r="A11959">
        <v>2000</v>
      </c>
      <c r="B11959" t="s">
        <v>33</v>
      </c>
      <c r="C11959" t="s">
        <v>117</v>
      </c>
    </row>
    <row r="11960" spans="1:3" x14ac:dyDescent="0.35">
      <c r="A11960">
        <v>2000</v>
      </c>
      <c r="B11960" t="s">
        <v>34</v>
      </c>
      <c r="C11960" t="s">
        <v>118</v>
      </c>
    </row>
    <row r="11961" spans="1:3" x14ac:dyDescent="0.35">
      <c r="A11961">
        <v>2000</v>
      </c>
      <c r="B11961" t="s">
        <v>35</v>
      </c>
      <c r="C11961" t="s">
        <v>119</v>
      </c>
    </row>
    <row r="11962" spans="1:3" x14ac:dyDescent="0.35">
      <c r="A11962">
        <v>2000</v>
      </c>
      <c r="B11962" t="s">
        <v>34</v>
      </c>
      <c r="C11962" t="s">
        <v>120</v>
      </c>
    </row>
    <row r="11963" spans="1:3" x14ac:dyDescent="0.35">
      <c r="A11963">
        <v>2000</v>
      </c>
      <c r="B11963" t="s">
        <v>34</v>
      </c>
      <c r="C11963" t="s">
        <v>121</v>
      </c>
    </row>
    <row r="11964" spans="1:3" x14ac:dyDescent="0.35">
      <c r="A11964">
        <v>2000</v>
      </c>
      <c r="B11964" t="s">
        <v>34</v>
      </c>
      <c r="C11964" t="s">
        <v>122</v>
      </c>
    </row>
    <row r="11965" spans="1:3" x14ac:dyDescent="0.35">
      <c r="A11965">
        <v>2000</v>
      </c>
      <c r="B11965" t="s">
        <v>35</v>
      </c>
      <c r="C11965" t="s">
        <v>123</v>
      </c>
    </row>
    <row r="11966" spans="1:3" x14ac:dyDescent="0.35">
      <c r="A11966">
        <v>2000</v>
      </c>
      <c r="B11966" t="s">
        <v>34</v>
      </c>
      <c r="C11966" t="s">
        <v>124</v>
      </c>
    </row>
    <row r="11967" spans="1:3" x14ac:dyDescent="0.35">
      <c r="A11967">
        <v>2000</v>
      </c>
      <c r="B11967" t="s">
        <v>33</v>
      </c>
      <c r="C11967" t="s">
        <v>125</v>
      </c>
    </row>
    <row r="11968" spans="1:3" x14ac:dyDescent="0.35">
      <c r="A11968">
        <v>2000</v>
      </c>
      <c r="B11968" t="s">
        <v>33</v>
      </c>
      <c r="C11968" t="s">
        <v>126</v>
      </c>
    </row>
    <row r="11969" spans="1:3" x14ac:dyDescent="0.35">
      <c r="A11969">
        <v>2000</v>
      </c>
      <c r="B11969" t="s">
        <v>35</v>
      </c>
      <c r="C11969" t="s">
        <v>127</v>
      </c>
    </row>
    <row r="11970" spans="1:3" x14ac:dyDescent="0.35">
      <c r="A11970">
        <v>2000</v>
      </c>
      <c r="B11970" t="s">
        <v>34</v>
      </c>
      <c r="C11970" t="s">
        <v>369</v>
      </c>
    </row>
    <row r="11971" spans="1:3" x14ac:dyDescent="0.35">
      <c r="A11971">
        <v>2000</v>
      </c>
      <c r="B11971" t="s">
        <v>33</v>
      </c>
      <c r="C11971" t="s">
        <v>130</v>
      </c>
    </row>
    <row r="11972" spans="1:3" x14ac:dyDescent="0.35">
      <c r="A11972">
        <v>2000</v>
      </c>
      <c r="B11972" t="s">
        <v>34</v>
      </c>
      <c r="C11972" t="s">
        <v>131</v>
      </c>
    </row>
    <row r="11973" spans="1:3" x14ac:dyDescent="0.35">
      <c r="A11973">
        <v>2000</v>
      </c>
      <c r="B11973" t="s">
        <v>33</v>
      </c>
      <c r="C11973" t="s">
        <v>132</v>
      </c>
    </row>
    <row r="11974" spans="1:3" x14ac:dyDescent="0.35">
      <c r="A11974">
        <v>2000</v>
      </c>
      <c r="B11974" t="s">
        <v>35</v>
      </c>
      <c r="C11974" t="s">
        <v>133</v>
      </c>
    </row>
    <row r="11975" spans="1:3" x14ac:dyDescent="0.35">
      <c r="A11975">
        <v>2000</v>
      </c>
      <c r="B11975" t="s">
        <v>37</v>
      </c>
      <c r="C11975" t="s">
        <v>134</v>
      </c>
    </row>
    <row r="11976" spans="1:3" x14ac:dyDescent="0.35">
      <c r="A11976">
        <v>2000</v>
      </c>
      <c r="B11976" t="s">
        <v>33</v>
      </c>
      <c r="C11976" t="s">
        <v>135</v>
      </c>
    </row>
    <row r="11977" spans="1:3" x14ac:dyDescent="0.35">
      <c r="A11977">
        <v>2000</v>
      </c>
      <c r="B11977" t="s">
        <v>36</v>
      </c>
      <c r="C11977" t="s">
        <v>14</v>
      </c>
    </row>
    <row r="11978" spans="1:3" x14ac:dyDescent="0.35">
      <c r="A11978">
        <v>2000</v>
      </c>
      <c r="B11978" t="s">
        <v>37</v>
      </c>
      <c r="C11978" t="s">
        <v>137</v>
      </c>
    </row>
    <row r="11979" spans="1:3" x14ac:dyDescent="0.35">
      <c r="A11979">
        <v>2000</v>
      </c>
      <c r="B11979" t="s">
        <v>35</v>
      </c>
      <c r="C11979" t="s">
        <v>138</v>
      </c>
    </row>
    <row r="11980" spans="1:3" x14ac:dyDescent="0.35">
      <c r="A11980">
        <v>2000</v>
      </c>
      <c r="B11980" t="s">
        <v>34</v>
      </c>
      <c r="C11980" t="s">
        <v>139</v>
      </c>
    </row>
    <row r="11981" spans="1:3" x14ac:dyDescent="0.35">
      <c r="A11981">
        <v>2000</v>
      </c>
      <c r="B11981" t="s">
        <v>35</v>
      </c>
      <c r="C11981" t="s">
        <v>140</v>
      </c>
    </row>
    <row r="11982" spans="1:3" x14ac:dyDescent="0.35">
      <c r="A11982">
        <v>2000</v>
      </c>
      <c r="B11982" t="s">
        <v>36</v>
      </c>
      <c r="C11982" t="s">
        <v>370</v>
      </c>
    </row>
    <row r="11983" spans="1:3" x14ac:dyDescent="0.35">
      <c r="A11983">
        <v>2000</v>
      </c>
      <c r="B11983" t="s">
        <v>33</v>
      </c>
      <c r="C11983" t="s">
        <v>141</v>
      </c>
    </row>
    <row r="11984" spans="1:3" x14ac:dyDescent="0.35">
      <c r="A11984">
        <v>2000</v>
      </c>
      <c r="B11984" t="s">
        <v>34</v>
      </c>
      <c r="C11984" t="s">
        <v>144</v>
      </c>
    </row>
    <row r="11985" spans="1:3" x14ac:dyDescent="0.35">
      <c r="A11985">
        <v>2000</v>
      </c>
      <c r="B11985" t="s">
        <v>35</v>
      </c>
      <c r="C11985" t="s">
        <v>145</v>
      </c>
    </row>
    <row r="11986" spans="1:3" x14ac:dyDescent="0.35">
      <c r="A11986">
        <v>2000</v>
      </c>
      <c r="B11986" t="s">
        <v>36</v>
      </c>
      <c r="C11986" t="s">
        <v>371</v>
      </c>
    </row>
    <row r="11987" spans="1:3" x14ac:dyDescent="0.35">
      <c r="A11987">
        <v>2000</v>
      </c>
      <c r="B11987" t="s">
        <v>37</v>
      </c>
      <c r="C11987" t="s">
        <v>146</v>
      </c>
    </row>
    <row r="11988" spans="1:3" x14ac:dyDescent="0.35">
      <c r="A11988">
        <v>2000</v>
      </c>
      <c r="B11988" t="s">
        <v>36</v>
      </c>
      <c r="C11988" t="s">
        <v>147</v>
      </c>
    </row>
    <row r="11989" spans="1:3" x14ac:dyDescent="0.35">
      <c r="A11989">
        <v>2000</v>
      </c>
      <c r="B11989" t="s">
        <v>33</v>
      </c>
      <c r="C11989" t="s">
        <v>148</v>
      </c>
    </row>
    <row r="11990" spans="1:3" x14ac:dyDescent="0.35">
      <c r="A11990">
        <v>2000</v>
      </c>
      <c r="B11990" t="s">
        <v>33</v>
      </c>
      <c r="C11990" t="s">
        <v>149</v>
      </c>
    </row>
    <row r="11991" spans="1:3" x14ac:dyDescent="0.35">
      <c r="A11991">
        <v>2000</v>
      </c>
      <c r="B11991" t="s">
        <v>35</v>
      </c>
      <c r="C11991" t="s">
        <v>322</v>
      </c>
    </row>
    <row r="11992" spans="1:3" x14ac:dyDescent="0.35">
      <c r="A11992">
        <v>2000</v>
      </c>
      <c r="B11992" t="s">
        <v>35</v>
      </c>
      <c r="C11992" t="s">
        <v>150</v>
      </c>
    </row>
    <row r="11993" spans="1:3" x14ac:dyDescent="0.35">
      <c r="A11993">
        <v>2000</v>
      </c>
      <c r="B11993" t="s">
        <v>34</v>
      </c>
      <c r="C11993" t="s">
        <v>152</v>
      </c>
    </row>
    <row r="11994" spans="1:3" x14ac:dyDescent="0.35">
      <c r="A11994">
        <v>2000</v>
      </c>
      <c r="B11994" t="s">
        <v>37</v>
      </c>
      <c r="C11994" t="s">
        <v>153</v>
      </c>
    </row>
    <row r="11995" spans="1:3" x14ac:dyDescent="0.35">
      <c r="A11995">
        <v>2000</v>
      </c>
      <c r="B11995" t="s">
        <v>36</v>
      </c>
      <c r="C11995" t="s">
        <v>154</v>
      </c>
    </row>
    <row r="11996" spans="1:3" x14ac:dyDescent="0.35">
      <c r="A11996">
        <v>2000</v>
      </c>
      <c r="B11996" t="s">
        <v>38</v>
      </c>
      <c r="C11996" t="s">
        <v>155</v>
      </c>
    </row>
    <row r="11997" spans="1:3" x14ac:dyDescent="0.35">
      <c r="A11997">
        <v>2000</v>
      </c>
      <c r="B11997" t="s">
        <v>38</v>
      </c>
      <c r="C11997" t="s">
        <v>156</v>
      </c>
    </row>
    <row r="11998" spans="1:3" x14ac:dyDescent="0.35">
      <c r="A11998">
        <v>2000</v>
      </c>
      <c r="B11998" t="s">
        <v>34</v>
      </c>
      <c r="C11998" t="s">
        <v>18</v>
      </c>
    </row>
    <row r="11999" spans="1:3" x14ac:dyDescent="0.35">
      <c r="A11999">
        <v>2000</v>
      </c>
      <c r="B11999" t="s">
        <v>35</v>
      </c>
      <c r="C11999" t="s">
        <v>157</v>
      </c>
    </row>
    <row r="12000" spans="1:3" x14ac:dyDescent="0.35">
      <c r="A12000">
        <v>2000</v>
      </c>
      <c r="B12000" t="s">
        <v>35</v>
      </c>
      <c r="C12000" t="s">
        <v>158</v>
      </c>
    </row>
    <row r="12001" spans="1:3" x14ac:dyDescent="0.35">
      <c r="A12001">
        <v>2000</v>
      </c>
      <c r="B12001" t="s">
        <v>35</v>
      </c>
      <c r="C12001" t="s">
        <v>160</v>
      </c>
    </row>
    <row r="12002" spans="1:3" x14ac:dyDescent="0.35">
      <c r="A12002">
        <v>2000</v>
      </c>
      <c r="B12002" t="s">
        <v>35</v>
      </c>
      <c r="C12002" t="s">
        <v>161</v>
      </c>
    </row>
    <row r="12003" spans="1:3" x14ac:dyDescent="0.35">
      <c r="A12003">
        <v>2000</v>
      </c>
      <c r="B12003" t="s">
        <v>33</v>
      </c>
      <c r="C12003" t="s">
        <v>162</v>
      </c>
    </row>
    <row r="12004" spans="1:3" x14ac:dyDescent="0.35">
      <c r="A12004">
        <v>2000</v>
      </c>
      <c r="B12004" t="s">
        <v>36</v>
      </c>
      <c r="C12004" t="s">
        <v>163</v>
      </c>
    </row>
    <row r="12005" spans="1:3" x14ac:dyDescent="0.35">
      <c r="A12005">
        <v>2000</v>
      </c>
      <c r="B12005" t="s">
        <v>36</v>
      </c>
      <c r="C12005" t="s">
        <v>164</v>
      </c>
    </row>
    <row r="12006" spans="1:3" x14ac:dyDescent="0.35">
      <c r="A12006">
        <v>2000</v>
      </c>
      <c r="B12006" t="s">
        <v>36</v>
      </c>
      <c r="C12006" t="s">
        <v>165</v>
      </c>
    </row>
    <row r="12007" spans="1:3" x14ac:dyDescent="0.35">
      <c r="A12007">
        <v>2000</v>
      </c>
      <c r="B12007" t="s">
        <v>37</v>
      </c>
      <c r="C12007" t="s">
        <v>166</v>
      </c>
    </row>
    <row r="12008" spans="1:3" x14ac:dyDescent="0.35">
      <c r="A12008">
        <v>2000</v>
      </c>
      <c r="B12008" t="s">
        <v>34</v>
      </c>
      <c r="C12008" t="s">
        <v>167</v>
      </c>
    </row>
    <row r="12009" spans="1:3" x14ac:dyDescent="0.35">
      <c r="A12009">
        <v>2000</v>
      </c>
      <c r="B12009" t="s">
        <v>33</v>
      </c>
      <c r="C12009" t="s">
        <v>168</v>
      </c>
    </row>
    <row r="12010" spans="1:3" x14ac:dyDescent="0.35">
      <c r="A12010">
        <v>2000</v>
      </c>
      <c r="B12010" t="s">
        <v>35</v>
      </c>
      <c r="C12010" t="s">
        <v>169</v>
      </c>
    </row>
    <row r="12011" spans="1:3" x14ac:dyDescent="0.35">
      <c r="A12011">
        <v>2000</v>
      </c>
      <c r="B12011" t="s">
        <v>35</v>
      </c>
      <c r="C12011" t="s">
        <v>215</v>
      </c>
    </row>
    <row r="12012" spans="1:3" x14ac:dyDescent="0.35">
      <c r="A12012">
        <v>2000</v>
      </c>
      <c r="B12012" t="s">
        <v>33</v>
      </c>
      <c r="C12012" t="s">
        <v>170</v>
      </c>
    </row>
    <row r="12013" spans="1:3" x14ac:dyDescent="0.35">
      <c r="A12013">
        <v>2000</v>
      </c>
      <c r="B12013" t="s">
        <v>34</v>
      </c>
      <c r="C12013" t="s">
        <v>171</v>
      </c>
    </row>
    <row r="12014" spans="1:3" x14ac:dyDescent="0.35">
      <c r="A12014">
        <v>2000</v>
      </c>
      <c r="B12014" t="s">
        <v>35</v>
      </c>
      <c r="C12014" t="s">
        <v>172</v>
      </c>
    </row>
    <row r="12015" spans="1:3" x14ac:dyDescent="0.35">
      <c r="A12015">
        <v>2000</v>
      </c>
      <c r="B12015" t="s">
        <v>35</v>
      </c>
      <c r="C12015" t="s">
        <v>173</v>
      </c>
    </row>
    <row r="12016" spans="1:3" x14ac:dyDescent="0.35">
      <c r="A12016">
        <v>2000</v>
      </c>
      <c r="B12016" t="s">
        <v>33</v>
      </c>
      <c r="C12016" t="s">
        <v>174</v>
      </c>
    </row>
    <row r="12017" spans="1:3" x14ac:dyDescent="0.35">
      <c r="A12017">
        <v>2000</v>
      </c>
      <c r="B12017" t="s">
        <v>33</v>
      </c>
      <c r="C12017" t="s">
        <v>175</v>
      </c>
    </row>
    <row r="12018" spans="1:3" x14ac:dyDescent="0.35">
      <c r="A12018">
        <v>2000</v>
      </c>
      <c r="B12018" t="s">
        <v>33</v>
      </c>
      <c r="C12018" t="s">
        <v>176</v>
      </c>
    </row>
    <row r="12019" spans="1:3" x14ac:dyDescent="0.35">
      <c r="A12019">
        <v>2000</v>
      </c>
      <c r="B12019" t="s">
        <v>35</v>
      </c>
      <c r="C12019" t="s">
        <v>216</v>
      </c>
    </row>
    <row r="12020" spans="1:3" x14ac:dyDescent="0.35">
      <c r="A12020">
        <v>2000</v>
      </c>
      <c r="B12020" t="s">
        <v>35</v>
      </c>
      <c r="C12020" t="s">
        <v>177</v>
      </c>
    </row>
    <row r="12021" spans="1:3" x14ac:dyDescent="0.35">
      <c r="A12021">
        <v>2000</v>
      </c>
      <c r="B12021" t="s">
        <v>34</v>
      </c>
      <c r="C12021" t="s">
        <v>178</v>
      </c>
    </row>
    <row r="12022" spans="1:3" x14ac:dyDescent="0.35">
      <c r="A12022">
        <v>2000</v>
      </c>
      <c r="B12022" t="s">
        <v>33</v>
      </c>
      <c r="C12022" t="s">
        <v>179</v>
      </c>
    </row>
    <row r="12023" spans="1:3" x14ac:dyDescent="0.35">
      <c r="A12023">
        <v>2000</v>
      </c>
      <c r="B12023" t="s">
        <v>38</v>
      </c>
      <c r="C12023" t="s">
        <v>180</v>
      </c>
    </row>
    <row r="12024" spans="1:3" x14ac:dyDescent="0.35">
      <c r="A12024">
        <v>2000</v>
      </c>
      <c r="B12024" t="s">
        <v>35</v>
      </c>
      <c r="C12024" t="s">
        <v>182</v>
      </c>
    </row>
    <row r="12025" spans="1:3" x14ac:dyDescent="0.35">
      <c r="A12025">
        <v>2000</v>
      </c>
      <c r="B12025" t="s">
        <v>35</v>
      </c>
      <c r="C12025" t="s">
        <v>183</v>
      </c>
    </row>
    <row r="12026" spans="1:3" x14ac:dyDescent="0.35">
      <c r="A12026">
        <v>2000</v>
      </c>
      <c r="B12026" t="s">
        <v>34</v>
      </c>
      <c r="C12026" t="s">
        <v>184</v>
      </c>
    </row>
    <row r="12027" spans="1:3" x14ac:dyDescent="0.35">
      <c r="A12027">
        <v>2000</v>
      </c>
      <c r="B12027" t="s">
        <v>34</v>
      </c>
      <c r="C12027" t="s">
        <v>185</v>
      </c>
    </row>
    <row r="12028" spans="1:3" x14ac:dyDescent="0.35">
      <c r="A12028">
        <v>2000</v>
      </c>
      <c r="B12028" t="s">
        <v>34</v>
      </c>
      <c r="C12028" t="s">
        <v>186</v>
      </c>
    </row>
    <row r="12029" spans="1:3" x14ac:dyDescent="0.35">
      <c r="A12029">
        <v>2000</v>
      </c>
      <c r="B12029" t="s">
        <v>33</v>
      </c>
      <c r="C12029" t="s">
        <v>187</v>
      </c>
    </row>
    <row r="12030" spans="1:3" x14ac:dyDescent="0.35">
      <c r="A12030">
        <v>2000</v>
      </c>
      <c r="B12030" t="s">
        <v>34</v>
      </c>
      <c r="C12030" t="s">
        <v>188</v>
      </c>
    </row>
    <row r="12031" spans="1:3" x14ac:dyDescent="0.35">
      <c r="A12031">
        <v>2000</v>
      </c>
      <c r="B12031" t="s">
        <v>33</v>
      </c>
      <c r="C12031" t="s">
        <v>189</v>
      </c>
    </row>
    <row r="12032" spans="1:3" x14ac:dyDescent="0.35">
      <c r="A12032">
        <v>2000</v>
      </c>
      <c r="B12032" t="s">
        <v>37</v>
      </c>
      <c r="C12032" t="s">
        <v>190</v>
      </c>
    </row>
    <row r="12033" spans="1:3" x14ac:dyDescent="0.35">
      <c r="A12033">
        <v>2000</v>
      </c>
      <c r="B12033" t="s">
        <v>36</v>
      </c>
      <c r="C12033" t="s">
        <v>191</v>
      </c>
    </row>
    <row r="12034" spans="1:3" x14ac:dyDescent="0.35">
      <c r="A12034">
        <v>2000</v>
      </c>
      <c r="B12034" t="s">
        <v>33</v>
      </c>
      <c r="C12034" t="s">
        <v>192</v>
      </c>
    </row>
    <row r="12035" spans="1:3" x14ac:dyDescent="0.35">
      <c r="A12035">
        <v>2000</v>
      </c>
      <c r="B12035" t="s">
        <v>34</v>
      </c>
      <c r="C12035" t="s">
        <v>193</v>
      </c>
    </row>
    <row r="12036" spans="1:3" x14ac:dyDescent="0.35">
      <c r="A12036">
        <v>2000</v>
      </c>
      <c r="B12036" t="s">
        <v>34</v>
      </c>
      <c r="C12036" t="s">
        <v>194</v>
      </c>
    </row>
    <row r="12037" spans="1:3" x14ac:dyDescent="0.35">
      <c r="A12037">
        <v>2000</v>
      </c>
      <c r="B12037" t="s">
        <v>36</v>
      </c>
      <c r="C12037" t="s">
        <v>372</v>
      </c>
    </row>
    <row r="12038" spans="1:3" x14ac:dyDescent="0.35">
      <c r="A12038">
        <v>2000</v>
      </c>
      <c r="B12038" t="s">
        <v>33</v>
      </c>
      <c r="C12038" t="s">
        <v>195</v>
      </c>
    </row>
    <row r="12039" spans="1:3" x14ac:dyDescent="0.35">
      <c r="A12039">
        <v>2000</v>
      </c>
      <c r="B12039" t="s">
        <v>35</v>
      </c>
      <c r="C12039" t="s">
        <v>196</v>
      </c>
    </row>
    <row r="12040" spans="1:3" x14ac:dyDescent="0.35">
      <c r="A12040">
        <v>2000</v>
      </c>
      <c r="B12040" t="s">
        <v>34</v>
      </c>
      <c r="C12040" t="s">
        <v>197</v>
      </c>
    </row>
    <row r="12041" spans="1:3" x14ac:dyDescent="0.35">
      <c r="A12041">
        <v>2000</v>
      </c>
      <c r="B12041" t="s">
        <v>35</v>
      </c>
      <c r="C12041" t="s">
        <v>198</v>
      </c>
    </row>
    <row r="12042" spans="1:3" x14ac:dyDescent="0.35">
      <c r="A12042">
        <v>2000</v>
      </c>
      <c r="B12042" t="s">
        <v>39</v>
      </c>
      <c r="C12042" t="s">
        <v>39</v>
      </c>
    </row>
    <row r="12043" spans="1:3" x14ac:dyDescent="0.35">
      <c r="A12043">
        <v>2000</v>
      </c>
      <c r="B12043" t="s">
        <v>38</v>
      </c>
      <c r="C12043" t="s">
        <v>199</v>
      </c>
    </row>
    <row r="12044" spans="1:3" x14ac:dyDescent="0.35">
      <c r="A12044">
        <v>2000</v>
      </c>
      <c r="B12044" t="s">
        <v>34</v>
      </c>
      <c r="C12044" t="s">
        <v>200</v>
      </c>
    </row>
    <row r="12045" spans="1:3" x14ac:dyDescent="0.35">
      <c r="A12045">
        <v>2000</v>
      </c>
      <c r="B12045" t="s">
        <v>38</v>
      </c>
      <c r="C12045" t="s">
        <v>19</v>
      </c>
    </row>
    <row r="12046" spans="1:3" x14ac:dyDescent="0.35">
      <c r="A12046">
        <v>2000</v>
      </c>
      <c r="B12046" t="s">
        <v>34</v>
      </c>
      <c r="C12046" t="s">
        <v>201</v>
      </c>
    </row>
    <row r="12047" spans="1:3" x14ac:dyDescent="0.35">
      <c r="A12047">
        <v>2000</v>
      </c>
      <c r="B12047" t="s">
        <v>34</v>
      </c>
      <c r="C12047" t="s">
        <v>202</v>
      </c>
    </row>
    <row r="12048" spans="1:3" x14ac:dyDescent="0.35">
      <c r="A12048">
        <v>2000</v>
      </c>
      <c r="B12048" t="s">
        <v>33</v>
      </c>
      <c r="C12048" t="s">
        <v>203</v>
      </c>
    </row>
    <row r="12049" spans="1:3" x14ac:dyDescent="0.35">
      <c r="A12049">
        <v>2000</v>
      </c>
      <c r="B12049" t="s">
        <v>33</v>
      </c>
      <c r="C12049" t="s">
        <v>204</v>
      </c>
    </row>
    <row r="12051" spans="1:3" x14ac:dyDescent="0.35">
      <c r="A12051" t="s">
        <v>468</v>
      </c>
    </row>
  </sheetData>
  <autoFilter ref="A1:E11557" xr:uid="{7E786462-21A1-4D71-A659-4DADDC2F1D3E}">
    <sortState xmlns:xlrd2="http://schemas.microsoft.com/office/spreadsheetml/2017/richdata2" ref="A2:E11557">
      <sortCondition ref="A1:A1155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FFDCE-87C8-45F0-8BA4-85B2A0E646FC}">
  <sheetPr>
    <tabColor rgb="FF92D050"/>
  </sheetPr>
  <dimension ref="A1:F1691"/>
  <sheetViews>
    <sheetView zoomScaleNormal="100" workbookViewId="0">
      <selection activeCell="D23" sqref="D23"/>
    </sheetView>
  </sheetViews>
  <sheetFormatPr defaultRowHeight="14.5" x14ac:dyDescent="0.35"/>
  <cols>
    <col min="1" max="1" width="10.81640625" customWidth="1"/>
    <col min="2" max="2" width="14.7265625" customWidth="1"/>
    <col min="3" max="3" width="18.6328125" bestFit="1" customWidth="1"/>
    <col min="4" max="4" width="18.26953125" customWidth="1"/>
    <col min="5" max="5" width="19.36328125" customWidth="1"/>
    <col min="6" max="6" width="15.7265625" customWidth="1"/>
  </cols>
  <sheetData>
    <row r="1" spans="1:6" x14ac:dyDescent="0.35">
      <c r="A1" t="s">
        <v>24</v>
      </c>
      <c r="B1" t="s">
        <v>279</v>
      </c>
      <c r="C1" t="s">
        <v>280</v>
      </c>
      <c r="D1" t="s">
        <v>282</v>
      </c>
      <c r="E1" t="s">
        <v>464</v>
      </c>
      <c r="F1" t="s">
        <v>465</v>
      </c>
    </row>
    <row r="2" spans="1:6" x14ac:dyDescent="0.35">
      <c r="A2">
        <v>2004</v>
      </c>
      <c r="B2" t="s">
        <v>288</v>
      </c>
      <c r="C2" t="s">
        <v>232</v>
      </c>
      <c r="D2" t="s">
        <v>416</v>
      </c>
      <c r="E2">
        <v>2701</v>
      </c>
      <c r="F2" t="s">
        <v>299</v>
      </c>
    </row>
    <row r="3" spans="1:6" x14ac:dyDescent="0.35">
      <c r="A3">
        <v>2004</v>
      </c>
      <c r="B3" t="s">
        <v>288</v>
      </c>
      <c r="C3" t="s">
        <v>232</v>
      </c>
      <c r="D3" t="s">
        <v>415</v>
      </c>
      <c r="E3">
        <v>847</v>
      </c>
      <c r="F3" t="s">
        <v>299</v>
      </c>
    </row>
    <row r="4" spans="1:6" x14ac:dyDescent="0.35">
      <c r="A4">
        <v>2004</v>
      </c>
      <c r="B4" t="s">
        <v>288</v>
      </c>
      <c r="C4" t="s">
        <v>232</v>
      </c>
      <c r="D4" t="s">
        <v>232</v>
      </c>
      <c r="E4">
        <v>21113</v>
      </c>
      <c r="F4" t="s">
        <v>299</v>
      </c>
    </row>
    <row r="5" spans="1:6" x14ac:dyDescent="0.35">
      <c r="A5">
        <v>2004</v>
      </c>
      <c r="B5" t="s">
        <v>288</v>
      </c>
      <c r="C5" t="s">
        <v>232</v>
      </c>
      <c r="D5" t="s">
        <v>405</v>
      </c>
      <c r="E5">
        <v>1354</v>
      </c>
      <c r="F5" t="s">
        <v>299</v>
      </c>
    </row>
    <row r="6" spans="1:6" x14ac:dyDescent="0.35">
      <c r="A6">
        <v>2004</v>
      </c>
      <c r="B6" t="s">
        <v>288</v>
      </c>
      <c r="C6" t="s">
        <v>232</v>
      </c>
      <c r="D6" t="s">
        <v>406</v>
      </c>
      <c r="E6">
        <v>671</v>
      </c>
      <c r="F6" t="s">
        <v>299</v>
      </c>
    </row>
    <row r="7" spans="1:6" x14ac:dyDescent="0.35">
      <c r="A7">
        <v>2004</v>
      </c>
      <c r="B7" t="s">
        <v>288</v>
      </c>
      <c r="C7" t="s">
        <v>232</v>
      </c>
      <c r="D7" t="s">
        <v>407</v>
      </c>
      <c r="E7">
        <v>1912</v>
      </c>
      <c r="F7" t="s">
        <v>299</v>
      </c>
    </row>
    <row r="8" spans="1:6" x14ac:dyDescent="0.35">
      <c r="A8">
        <v>2004</v>
      </c>
      <c r="B8" t="s">
        <v>288</v>
      </c>
      <c r="C8" t="s">
        <v>232</v>
      </c>
      <c r="D8" t="s">
        <v>408</v>
      </c>
      <c r="E8">
        <v>1225</v>
      </c>
      <c r="F8" t="s">
        <v>299</v>
      </c>
    </row>
    <row r="9" spans="1:6" x14ac:dyDescent="0.35">
      <c r="A9">
        <v>2004</v>
      </c>
      <c r="B9" t="s">
        <v>288</v>
      </c>
      <c r="C9" t="s">
        <v>232</v>
      </c>
      <c r="D9" t="s">
        <v>410</v>
      </c>
      <c r="E9">
        <v>263</v>
      </c>
      <c r="F9" t="s">
        <v>299</v>
      </c>
    </row>
    <row r="10" spans="1:6" x14ac:dyDescent="0.35">
      <c r="A10">
        <v>2004</v>
      </c>
      <c r="B10" t="s">
        <v>288</v>
      </c>
      <c r="C10" t="s">
        <v>232</v>
      </c>
      <c r="D10" t="s">
        <v>427</v>
      </c>
      <c r="E10">
        <v>1850</v>
      </c>
      <c r="F10" t="s">
        <v>299</v>
      </c>
    </row>
    <row r="11" spans="1:6" x14ac:dyDescent="0.35">
      <c r="A11">
        <v>2004</v>
      </c>
      <c r="B11" t="s">
        <v>288</v>
      </c>
      <c r="C11" t="s">
        <v>232</v>
      </c>
      <c r="D11" t="s">
        <v>412</v>
      </c>
      <c r="E11">
        <v>4602</v>
      </c>
      <c r="F11" t="s">
        <v>299</v>
      </c>
    </row>
    <row r="12" spans="1:6" x14ac:dyDescent="0.35">
      <c r="A12">
        <v>2004</v>
      </c>
      <c r="B12" t="s">
        <v>288</v>
      </c>
      <c r="C12" t="s">
        <v>232</v>
      </c>
      <c r="D12" t="s">
        <v>413</v>
      </c>
      <c r="E12">
        <v>2889</v>
      </c>
      <c r="F12" t="s">
        <v>299</v>
      </c>
    </row>
    <row r="13" spans="1:6" x14ac:dyDescent="0.35">
      <c r="A13">
        <v>2004</v>
      </c>
      <c r="B13" t="s">
        <v>288</v>
      </c>
      <c r="C13" t="s">
        <v>232</v>
      </c>
      <c r="D13" t="s">
        <v>414</v>
      </c>
      <c r="E13">
        <v>1813</v>
      </c>
      <c r="F13" t="s">
        <v>299</v>
      </c>
    </row>
    <row r="14" spans="1:6" x14ac:dyDescent="0.35">
      <c r="A14">
        <v>2004</v>
      </c>
      <c r="B14" t="s">
        <v>288</v>
      </c>
      <c r="C14" t="s">
        <v>232</v>
      </c>
      <c r="D14" t="s">
        <v>409</v>
      </c>
      <c r="E14">
        <v>986</v>
      </c>
      <c r="F14" t="s">
        <v>299</v>
      </c>
    </row>
    <row r="15" spans="1:6" x14ac:dyDescent="0.35">
      <c r="A15">
        <v>2004</v>
      </c>
      <c r="B15" t="s">
        <v>288</v>
      </c>
      <c r="C15" t="s">
        <v>222</v>
      </c>
      <c r="D15" t="s">
        <v>222</v>
      </c>
      <c r="E15">
        <v>1139282</v>
      </c>
      <c r="F15" t="s">
        <v>299</v>
      </c>
    </row>
    <row r="16" spans="1:6" x14ac:dyDescent="0.35">
      <c r="A16">
        <v>2004</v>
      </c>
      <c r="B16" t="s">
        <v>288</v>
      </c>
      <c r="C16" t="s">
        <v>222</v>
      </c>
      <c r="D16" t="s">
        <v>403</v>
      </c>
      <c r="E16">
        <v>491771</v>
      </c>
      <c r="F16" t="s">
        <v>299</v>
      </c>
    </row>
    <row r="17" spans="1:6" x14ac:dyDescent="0.35">
      <c r="A17">
        <v>2004</v>
      </c>
      <c r="B17" t="s">
        <v>288</v>
      </c>
      <c r="C17" t="s">
        <v>222</v>
      </c>
      <c r="D17" t="s">
        <v>404</v>
      </c>
      <c r="E17">
        <v>98060</v>
      </c>
      <c r="F17" t="s">
        <v>299</v>
      </c>
    </row>
    <row r="18" spans="1:6" x14ac:dyDescent="0.35">
      <c r="A18">
        <v>2004</v>
      </c>
      <c r="B18" t="s">
        <v>288</v>
      </c>
      <c r="C18" t="s">
        <v>222</v>
      </c>
      <c r="D18" t="s">
        <v>402</v>
      </c>
      <c r="E18">
        <v>138608</v>
      </c>
      <c r="F18" t="s">
        <v>299</v>
      </c>
    </row>
    <row r="19" spans="1:6" x14ac:dyDescent="0.35">
      <c r="A19">
        <v>2004</v>
      </c>
      <c r="B19" t="s">
        <v>288</v>
      </c>
      <c r="C19" t="s">
        <v>222</v>
      </c>
      <c r="D19" t="s">
        <v>400</v>
      </c>
      <c r="E19">
        <v>74706</v>
      </c>
      <c r="F19" t="s">
        <v>299</v>
      </c>
    </row>
    <row r="20" spans="1:6" x14ac:dyDescent="0.35">
      <c r="A20">
        <v>2004</v>
      </c>
      <c r="B20" t="s">
        <v>288</v>
      </c>
      <c r="C20" t="s">
        <v>222</v>
      </c>
      <c r="D20" t="s">
        <v>398</v>
      </c>
      <c r="E20">
        <v>74467</v>
      </c>
      <c r="F20" t="s">
        <v>299</v>
      </c>
    </row>
    <row r="21" spans="1:6" x14ac:dyDescent="0.35">
      <c r="A21">
        <v>2004</v>
      </c>
      <c r="B21" t="s">
        <v>288</v>
      </c>
      <c r="C21" t="s">
        <v>222</v>
      </c>
      <c r="D21" t="s">
        <v>428</v>
      </c>
      <c r="E21">
        <v>10530</v>
      </c>
      <c r="F21" t="s">
        <v>299</v>
      </c>
    </row>
    <row r="22" spans="1:6" x14ac:dyDescent="0.35">
      <c r="A22">
        <v>2004</v>
      </c>
      <c r="B22" t="s">
        <v>288</v>
      </c>
      <c r="C22" t="s">
        <v>222</v>
      </c>
      <c r="D22" t="s">
        <v>397</v>
      </c>
      <c r="E22">
        <v>53794</v>
      </c>
      <c r="F22" t="s">
        <v>299</v>
      </c>
    </row>
    <row r="23" spans="1:6" x14ac:dyDescent="0.35">
      <c r="A23">
        <v>2004</v>
      </c>
      <c r="B23" t="s">
        <v>288</v>
      </c>
      <c r="C23" t="s">
        <v>222</v>
      </c>
      <c r="D23" t="s">
        <v>401</v>
      </c>
      <c r="E23">
        <v>92947</v>
      </c>
      <c r="F23" t="s">
        <v>299</v>
      </c>
    </row>
    <row r="24" spans="1:6" x14ac:dyDescent="0.35">
      <c r="A24">
        <v>2004</v>
      </c>
      <c r="B24" t="s">
        <v>288</v>
      </c>
      <c r="C24" t="s">
        <v>222</v>
      </c>
      <c r="D24" t="s">
        <v>399</v>
      </c>
      <c r="E24">
        <v>104399</v>
      </c>
      <c r="F24" t="s">
        <v>299</v>
      </c>
    </row>
    <row r="25" spans="1:6" x14ac:dyDescent="0.35">
      <c r="A25">
        <v>2004</v>
      </c>
      <c r="B25" t="s">
        <v>291</v>
      </c>
      <c r="C25" t="s">
        <v>425</v>
      </c>
      <c r="D25" t="s">
        <v>270</v>
      </c>
      <c r="F25" t="s">
        <v>302</v>
      </c>
    </row>
    <row r="26" spans="1:6" x14ac:dyDescent="0.35">
      <c r="A26">
        <v>2004</v>
      </c>
      <c r="B26" t="s">
        <v>291</v>
      </c>
      <c r="C26" t="s">
        <v>425</v>
      </c>
      <c r="D26" t="s">
        <v>273</v>
      </c>
      <c r="F26" t="s">
        <v>302</v>
      </c>
    </row>
    <row r="27" spans="1:6" x14ac:dyDescent="0.35">
      <c r="A27">
        <v>2004</v>
      </c>
      <c r="B27" t="s">
        <v>291</v>
      </c>
      <c r="C27" t="s">
        <v>425</v>
      </c>
      <c r="D27" t="s">
        <v>39</v>
      </c>
      <c r="F27" t="s">
        <v>302</v>
      </c>
    </row>
    <row r="28" spans="1:6" x14ac:dyDescent="0.35">
      <c r="A28">
        <v>2004</v>
      </c>
      <c r="B28" t="s">
        <v>291</v>
      </c>
      <c r="C28" t="s">
        <v>425</v>
      </c>
      <c r="D28" t="s">
        <v>272</v>
      </c>
      <c r="F28" t="s">
        <v>302</v>
      </c>
    </row>
    <row r="29" spans="1:6" x14ac:dyDescent="0.35">
      <c r="A29">
        <v>2004</v>
      </c>
      <c r="B29" t="s">
        <v>291</v>
      </c>
      <c r="C29" t="s">
        <v>425</v>
      </c>
      <c r="D29" t="s">
        <v>268</v>
      </c>
      <c r="F29" t="s">
        <v>302</v>
      </c>
    </row>
    <row r="30" spans="1:6" x14ac:dyDescent="0.35">
      <c r="A30">
        <v>2004</v>
      </c>
      <c r="B30" t="s">
        <v>291</v>
      </c>
      <c r="C30" t="s">
        <v>425</v>
      </c>
      <c r="D30" t="s">
        <v>267</v>
      </c>
      <c r="F30" t="s">
        <v>302</v>
      </c>
    </row>
    <row r="31" spans="1:6" x14ac:dyDescent="0.35">
      <c r="A31">
        <v>2004</v>
      </c>
      <c r="B31" t="s">
        <v>291</v>
      </c>
      <c r="C31" t="s">
        <v>425</v>
      </c>
      <c r="D31" t="s">
        <v>266</v>
      </c>
      <c r="F31" t="s">
        <v>302</v>
      </c>
    </row>
    <row r="32" spans="1:6" x14ac:dyDescent="0.35">
      <c r="A32">
        <v>2004</v>
      </c>
      <c r="B32" t="s">
        <v>291</v>
      </c>
      <c r="C32" t="s">
        <v>425</v>
      </c>
      <c r="D32" t="s">
        <v>265</v>
      </c>
      <c r="F32" t="s">
        <v>302</v>
      </c>
    </row>
    <row r="33" spans="1:6" x14ac:dyDescent="0.35">
      <c r="A33">
        <v>2004</v>
      </c>
      <c r="B33" t="s">
        <v>291</v>
      </c>
      <c r="C33" t="s">
        <v>425</v>
      </c>
      <c r="D33" t="s">
        <v>419</v>
      </c>
      <c r="F33" t="s">
        <v>302</v>
      </c>
    </row>
    <row r="34" spans="1:6" x14ac:dyDescent="0.35">
      <c r="A34">
        <v>2004</v>
      </c>
      <c r="B34" t="s">
        <v>291</v>
      </c>
      <c r="C34" t="s">
        <v>425</v>
      </c>
      <c r="D34" t="s">
        <v>240</v>
      </c>
      <c r="F34" t="s">
        <v>302</v>
      </c>
    </row>
    <row r="35" spans="1:6" x14ac:dyDescent="0.35">
      <c r="A35">
        <v>2004</v>
      </c>
      <c r="B35" t="s">
        <v>291</v>
      </c>
      <c r="C35" t="s">
        <v>425</v>
      </c>
      <c r="D35" t="s">
        <v>239</v>
      </c>
      <c r="F35" t="s">
        <v>302</v>
      </c>
    </row>
    <row r="36" spans="1:6" x14ac:dyDescent="0.35">
      <c r="A36">
        <v>2004</v>
      </c>
      <c r="B36" t="s">
        <v>291</v>
      </c>
      <c r="C36" t="s">
        <v>425</v>
      </c>
      <c r="D36" t="s">
        <v>249</v>
      </c>
      <c r="F36" t="s">
        <v>302</v>
      </c>
    </row>
    <row r="37" spans="1:6" x14ac:dyDescent="0.35">
      <c r="A37">
        <v>2004</v>
      </c>
      <c r="B37" t="s">
        <v>291</v>
      </c>
      <c r="C37" t="s">
        <v>425</v>
      </c>
      <c r="D37" t="s">
        <v>248</v>
      </c>
      <c r="F37" t="s">
        <v>302</v>
      </c>
    </row>
    <row r="38" spans="1:6" x14ac:dyDescent="0.35">
      <c r="A38">
        <v>2004</v>
      </c>
      <c r="B38" t="s">
        <v>291</v>
      </c>
      <c r="C38" t="s">
        <v>425</v>
      </c>
      <c r="D38" t="s">
        <v>229</v>
      </c>
      <c r="F38" t="s">
        <v>302</v>
      </c>
    </row>
    <row r="39" spans="1:6" x14ac:dyDescent="0.35">
      <c r="A39">
        <v>2004</v>
      </c>
      <c r="B39" t="s">
        <v>291</v>
      </c>
      <c r="C39" t="s">
        <v>425</v>
      </c>
      <c r="D39" t="s">
        <v>417</v>
      </c>
      <c r="F39" t="s">
        <v>302</v>
      </c>
    </row>
    <row r="40" spans="1:6" x14ac:dyDescent="0.35">
      <c r="A40">
        <v>2004</v>
      </c>
      <c r="B40" t="s">
        <v>291</v>
      </c>
      <c r="C40" t="s">
        <v>425</v>
      </c>
      <c r="D40" t="s">
        <v>235</v>
      </c>
      <c r="F40" t="s">
        <v>302</v>
      </c>
    </row>
    <row r="41" spans="1:6" x14ac:dyDescent="0.35">
      <c r="A41">
        <v>2004</v>
      </c>
      <c r="B41" t="s">
        <v>291</v>
      </c>
      <c r="C41" t="s">
        <v>425</v>
      </c>
      <c r="D41" t="s">
        <v>260</v>
      </c>
      <c r="F41" t="s">
        <v>302</v>
      </c>
    </row>
    <row r="42" spans="1:6" x14ac:dyDescent="0.35">
      <c r="A42">
        <v>2004</v>
      </c>
      <c r="B42" t="s">
        <v>291</v>
      </c>
      <c r="C42" t="s">
        <v>425</v>
      </c>
      <c r="D42" t="s">
        <v>259</v>
      </c>
      <c r="F42" t="s">
        <v>302</v>
      </c>
    </row>
    <row r="43" spans="1:6" x14ac:dyDescent="0.35">
      <c r="A43">
        <v>2004</v>
      </c>
      <c r="B43" t="s">
        <v>291</v>
      </c>
      <c r="C43" t="s">
        <v>425</v>
      </c>
      <c r="D43" t="s">
        <v>247</v>
      </c>
      <c r="F43" t="s">
        <v>302</v>
      </c>
    </row>
    <row r="44" spans="1:6" x14ac:dyDescent="0.35">
      <c r="A44">
        <v>2004</v>
      </c>
      <c r="B44" t="s">
        <v>291</v>
      </c>
      <c r="C44" t="s">
        <v>425</v>
      </c>
      <c r="D44" t="s">
        <v>234</v>
      </c>
      <c r="F44" t="s">
        <v>302</v>
      </c>
    </row>
    <row r="45" spans="1:6" x14ac:dyDescent="0.35">
      <c r="A45">
        <v>2004</v>
      </c>
      <c r="B45" t="s">
        <v>291</v>
      </c>
      <c r="C45" t="s">
        <v>425</v>
      </c>
      <c r="D45" t="s">
        <v>254</v>
      </c>
      <c r="F45" t="s">
        <v>302</v>
      </c>
    </row>
    <row r="46" spans="1:6" x14ac:dyDescent="0.35">
      <c r="A46">
        <v>2004</v>
      </c>
      <c r="B46" t="s">
        <v>291</v>
      </c>
      <c r="C46" t="s">
        <v>425</v>
      </c>
      <c r="D46" t="s">
        <v>252</v>
      </c>
      <c r="F46" t="s">
        <v>302</v>
      </c>
    </row>
    <row r="47" spans="1:6" x14ac:dyDescent="0.35">
      <c r="A47">
        <v>2004</v>
      </c>
      <c r="B47" t="s">
        <v>291</v>
      </c>
      <c r="C47" t="s">
        <v>425</v>
      </c>
      <c r="D47" t="s">
        <v>244</v>
      </c>
      <c r="F47" t="s">
        <v>302</v>
      </c>
    </row>
    <row r="48" spans="1:6" x14ac:dyDescent="0.35">
      <c r="A48">
        <v>2004</v>
      </c>
      <c r="B48" t="s">
        <v>291</v>
      </c>
      <c r="C48" t="s">
        <v>425</v>
      </c>
      <c r="D48" t="s">
        <v>245</v>
      </c>
      <c r="F48" t="s">
        <v>302</v>
      </c>
    </row>
    <row r="49" spans="1:6" x14ac:dyDescent="0.35">
      <c r="A49">
        <v>2004</v>
      </c>
      <c r="B49" t="s">
        <v>291</v>
      </c>
      <c r="C49" t="s">
        <v>425</v>
      </c>
      <c r="D49" t="s">
        <v>246</v>
      </c>
      <c r="F49" t="s">
        <v>302</v>
      </c>
    </row>
    <row r="50" spans="1:6" x14ac:dyDescent="0.35">
      <c r="A50">
        <v>2004</v>
      </c>
      <c r="B50" t="s">
        <v>291</v>
      </c>
      <c r="C50" t="s">
        <v>425</v>
      </c>
      <c r="D50" t="s">
        <v>269</v>
      </c>
      <c r="F50" t="s">
        <v>302</v>
      </c>
    </row>
    <row r="51" spans="1:6" x14ac:dyDescent="0.35">
      <c r="A51">
        <v>2004</v>
      </c>
      <c r="B51" t="s">
        <v>290</v>
      </c>
      <c r="C51" t="s">
        <v>426</v>
      </c>
      <c r="D51" t="s">
        <v>418</v>
      </c>
      <c r="F51" t="s">
        <v>301</v>
      </c>
    </row>
    <row r="52" spans="1:6" x14ac:dyDescent="0.35">
      <c r="A52">
        <v>2004</v>
      </c>
      <c r="B52" t="s">
        <v>290</v>
      </c>
      <c r="C52" t="s">
        <v>425</v>
      </c>
      <c r="D52" t="s">
        <v>240</v>
      </c>
      <c r="E52">
        <v>2357</v>
      </c>
      <c r="F52" t="s">
        <v>301</v>
      </c>
    </row>
    <row r="53" spans="1:6" x14ac:dyDescent="0.35">
      <c r="A53">
        <v>2004</v>
      </c>
      <c r="B53" t="s">
        <v>290</v>
      </c>
      <c r="C53" t="s">
        <v>425</v>
      </c>
      <c r="D53" t="s">
        <v>239</v>
      </c>
      <c r="E53">
        <v>1815</v>
      </c>
      <c r="F53" t="s">
        <v>301</v>
      </c>
    </row>
    <row r="54" spans="1:6" x14ac:dyDescent="0.35">
      <c r="A54">
        <v>2004</v>
      </c>
      <c r="B54" t="s">
        <v>290</v>
      </c>
      <c r="C54" t="s">
        <v>425</v>
      </c>
      <c r="D54" t="s">
        <v>249</v>
      </c>
      <c r="E54">
        <v>13253</v>
      </c>
      <c r="F54" t="s">
        <v>301</v>
      </c>
    </row>
    <row r="55" spans="1:6" x14ac:dyDescent="0.35">
      <c r="A55">
        <v>2004</v>
      </c>
      <c r="B55" t="s">
        <v>290</v>
      </c>
      <c r="C55" t="s">
        <v>425</v>
      </c>
      <c r="D55" t="s">
        <v>248</v>
      </c>
      <c r="E55">
        <v>4251</v>
      </c>
      <c r="F55" t="s">
        <v>301</v>
      </c>
    </row>
    <row r="56" spans="1:6" x14ac:dyDescent="0.35">
      <c r="A56">
        <v>2004</v>
      </c>
      <c r="B56" t="s">
        <v>290</v>
      </c>
      <c r="C56" t="s">
        <v>425</v>
      </c>
      <c r="D56" t="s">
        <v>261</v>
      </c>
      <c r="E56">
        <v>425</v>
      </c>
      <c r="F56" t="s">
        <v>301</v>
      </c>
    </row>
    <row r="57" spans="1:6" x14ac:dyDescent="0.35">
      <c r="A57">
        <v>2004</v>
      </c>
      <c r="B57" t="s">
        <v>290</v>
      </c>
      <c r="C57" t="s">
        <v>425</v>
      </c>
      <c r="D57" t="s">
        <v>417</v>
      </c>
      <c r="E57">
        <v>2017</v>
      </c>
      <c r="F57" t="s">
        <v>301</v>
      </c>
    </row>
    <row r="58" spans="1:6" x14ac:dyDescent="0.35">
      <c r="A58">
        <v>2004</v>
      </c>
      <c r="B58" t="s">
        <v>290</v>
      </c>
      <c r="C58" t="s">
        <v>425</v>
      </c>
      <c r="D58" t="s">
        <v>235</v>
      </c>
      <c r="E58">
        <v>2239</v>
      </c>
      <c r="F58" t="s">
        <v>301</v>
      </c>
    </row>
    <row r="59" spans="1:6" x14ac:dyDescent="0.35">
      <c r="A59">
        <v>2004</v>
      </c>
      <c r="B59" t="s">
        <v>290</v>
      </c>
      <c r="C59" t="s">
        <v>425</v>
      </c>
      <c r="D59" t="s">
        <v>260</v>
      </c>
      <c r="E59">
        <v>5943</v>
      </c>
      <c r="F59" t="s">
        <v>301</v>
      </c>
    </row>
    <row r="60" spans="1:6" x14ac:dyDescent="0.35">
      <c r="A60">
        <v>2004</v>
      </c>
      <c r="B60" t="s">
        <v>290</v>
      </c>
      <c r="C60" t="s">
        <v>425</v>
      </c>
      <c r="D60" t="s">
        <v>259</v>
      </c>
      <c r="E60">
        <v>5160</v>
      </c>
      <c r="F60" t="s">
        <v>301</v>
      </c>
    </row>
    <row r="61" spans="1:6" x14ac:dyDescent="0.35">
      <c r="A61">
        <v>2004</v>
      </c>
      <c r="B61" t="s">
        <v>290</v>
      </c>
      <c r="C61" t="s">
        <v>425</v>
      </c>
      <c r="D61" t="s">
        <v>247</v>
      </c>
      <c r="E61">
        <v>8113</v>
      </c>
      <c r="F61" t="s">
        <v>301</v>
      </c>
    </row>
    <row r="62" spans="1:6" x14ac:dyDescent="0.35">
      <c r="A62">
        <v>2004</v>
      </c>
      <c r="B62" t="s">
        <v>290</v>
      </c>
      <c r="C62" t="s">
        <v>425</v>
      </c>
      <c r="D62" t="s">
        <v>234</v>
      </c>
      <c r="E62">
        <v>1031</v>
      </c>
      <c r="F62" t="s">
        <v>301</v>
      </c>
    </row>
    <row r="63" spans="1:6" x14ac:dyDescent="0.35">
      <c r="A63">
        <v>2004</v>
      </c>
      <c r="B63" t="s">
        <v>290</v>
      </c>
      <c r="C63" t="s">
        <v>425</v>
      </c>
      <c r="D63" t="s">
        <v>246</v>
      </c>
      <c r="E63">
        <v>3141</v>
      </c>
      <c r="F63" t="s">
        <v>301</v>
      </c>
    </row>
    <row r="64" spans="1:6" x14ac:dyDescent="0.35">
      <c r="A64">
        <v>2004</v>
      </c>
      <c r="B64" t="s">
        <v>290</v>
      </c>
      <c r="C64" t="s">
        <v>425</v>
      </c>
      <c r="D64" t="s">
        <v>245</v>
      </c>
      <c r="E64">
        <v>990</v>
      </c>
      <c r="F64" t="s">
        <v>301</v>
      </c>
    </row>
    <row r="65" spans="1:6" x14ac:dyDescent="0.35">
      <c r="A65">
        <v>2004</v>
      </c>
      <c r="B65" t="s">
        <v>290</v>
      </c>
      <c r="C65" t="s">
        <v>425</v>
      </c>
      <c r="D65" t="s">
        <v>244</v>
      </c>
      <c r="E65">
        <v>3237</v>
      </c>
      <c r="F65" t="s">
        <v>301</v>
      </c>
    </row>
    <row r="66" spans="1:6" x14ac:dyDescent="0.35">
      <c r="A66">
        <v>2004</v>
      </c>
      <c r="B66" t="s">
        <v>290</v>
      </c>
      <c r="C66" t="s">
        <v>425</v>
      </c>
      <c r="D66" t="s">
        <v>250</v>
      </c>
      <c r="E66">
        <v>4019</v>
      </c>
      <c r="F66" t="s">
        <v>301</v>
      </c>
    </row>
    <row r="67" spans="1:6" x14ac:dyDescent="0.35">
      <c r="A67">
        <v>2004</v>
      </c>
      <c r="B67" t="s">
        <v>290</v>
      </c>
      <c r="C67" t="s">
        <v>425</v>
      </c>
      <c r="D67" t="s">
        <v>265</v>
      </c>
      <c r="E67">
        <v>1892</v>
      </c>
      <c r="F67" t="s">
        <v>301</v>
      </c>
    </row>
    <row r="68" spans="1:6" x14ac:dyDescent="0.35">
      <c r="A68">
        <v>2004</v>
      </c>
      <c r="B68" t="s">
        <v>290</v>
      </c>
      <c r="C68" t="s">
        <v>425</v>
      </c>
      <c r="D68" t="s">
        <v>266</v>
      </c>
      <c r="E68">
        <v>2506</v>
      </c>
      <c r="F68" t="s">
        <v>301</v>
      </c>
    </row>
    <row r="69" spans="1:6" x14ac:dyDescent="0.35">
      <c r="A69">
        <v>2004</v>
      </c>
      <c r="B69" t="s">
        <v>290</v>
      </c>
      <c r="C69" t="s">
        <v>425</v>
      </c>
      <c r="D69" t="s">
        <v>267</v>
      </c>
      <c r="E69">
        <v>12385</v>
      </c>
      <c r="F69" t="s">
        <v>301</v>
      </c>
    </row>
    <row r="70" spans="1:6" x14ac:dyDescent="0.35">
      <c r="A70">
        <v>2004</v>
      </c>
      <c r="B70" t="s">
        <v>290</v>
      </c>
      <c r="C70" t="s">
        <v>425</v>
      </c>
      <c r="D70" t="s">
        <v>268</v>
      </c>
      <c r="E70">
        <v>2596</v>
      </c>
      <c r="F70" t="s">
        <v>301</v>
      </c>
    </row>
    <row r="71" spans="1:6" x14ac:dyDescent="0.35">
      <c r="A71">
        <v>2004</v>
      </c>
      <c r="B71" t="s">
        <v>290</v>
      </c>
      <c r="C71" t="s">
        <v>425</v>
      </c>
      <c r="D71" t="s">
        <v>269</v>
      </c>
      <c r="E71">
        <v>3943</v>
      </c>
      <c r="F71" t="s">
        <v>301</v>
      </c>
    </row>
    <row r="72" spans="1:6" x14ac:dyDescent="0.35">
      <c r="A72">
        <v>2004</v>
      </c>
      <c r="B72" t="s">
        <v>290</v>
      </c>
      <c r="C72" t="s">
        <v>425</v>
      </c>
      <c r="D72" t="s">
        <v>229</v>
      </c>
      <c r="E72">
        <v>5291</v>
      </c>
      <c r="F72" t="s">
        <v>301</v>
      </c>
    </row>
    <row r="73" spans="1:6" x14ac:dyDescent="0.35">
      <c r="A73">
        <v>2004</v>
      </c>
      <c r="B73" t="s">
        <v>290</v>
      </c>
      <c r="C73" t="s">
        <v>425</v>
      </c>
      <c r="D73" t="s">
        <v>252</v>
      </c>
      <c r="E73">
        <v>9088</v>
      </c>
      <c r="F73" t="s">
        <v>301</v>
      </c>
    </row>
    <row r="74" spans="1:6" x14ac:dyDescent="0.35">
      <c r="A74">
        <v>2004</v>
      </c>
      <c r="B74" t="s">
        <v>290</v>
      </c>
      <c r="C74" t="s">
        <v>425</v>
      </c>
      <c r="D74" t="s">
        <v>253</v>
      </c>
      <c r="E74">
        <v>1185</v>
      </c>
      <c r="F74" t="s">
        <v>301</v>
      </c>
    </row>
    <row r="75" spans="1:6" x14ac:dyDescent="0.35">
      <c r="A75">
        <v>2004</v>
      </c>
      <c r="B75" t="s">
        <v>290</v>
      </c>
      <c r="C75" t="s">
        <v>425</v>
      </c>
      <c r="D75" t="s">
        <v>254</v>
      </c>
      <c r="E75">
        <v>3254</v>
      </c>
      <c r="F75" t="s">
        <v>301</v>
      </c>
    </row>
    <row r="76" spans="1:6" x14ac:dyDescent="0.35">
      <c r="A76">
        <v>2004</v>
      </c>
      <c r="B76" t="s">
        <v>290</v>
      </c>
      <c r="C76" t="s">
        <v>425</v>
      </c>
      <c r="D76" t="s">
        <v>270</v>
      </c>
      <c r="E76">
        <v>2135</v>
      </c>
      <c r="F76" t="s">
        <v>301</v>
      </c>
    </row>
    <row r="77" spans="1:6" x14ac:dyDescent="0.35">
      <c r="A77">
        <v>2004</v>
      </c>
      <c r="B77" t="s">
        <v>290</v>
      </c>
      <c r="C77" t="s">
        <v>425</v>
      </c>
      <c r="D77" t="s">
        <v>255</v>
      </c>
      <c r="E77">
        <v>1571</v>
      </c>
      <c r="F77" t="s">
        <v>301</v>
      </c>
    </row>
    <row r="78" spans="1:6" x14ac:dyDescent="0.35">
      <c r="A78">
        <v>2005</v>
      </c>
      <c r="B78" t="s">
        <v>288</v>
      </c>
      <c r="C78" t="s">
        <v>232</v>
      </c>
      <c r="D78" t="s">
        <v>409</v>
      </c>
      <c r="E78">
        <v>948</v>
      </c>
      <c r="F78" t="s">
        <v>299</v>
      </c>
    </row>
    <row r="79" spans="1:6" x14ac:dyDescent="0.35">
      <c r="A79">
        <v>2005</v>
      </c>
      <c r="B79" t="s">
        <v>288</v>
      </c>
      <c r="C79" t="s">
        <v>232</v>
      </c>
      <c r="D79" t="s">
        <v>408</v>
      </c>
      <c r="E79">
        <v>754</v>
      </c>
      <c r="F79" t="s">
        <v>299</v>
      </c>
    </row>
    <row r="80" spans="1:6" x14ac:dyDescent="0.35">
      <c r="A80">
        <v>2005</v>
      </c>
      <c r="B80" t="s">
        <v>288</v>
      </c>
      <c r="C80" t="s">
        <v>232</v>
      </c>
      <c r="D80" t="s">
        <v>407</v>
      </c>
      <c r="E80">
        <v>1793</v>
      </c>
      <c r="F80" t="s">
        <v>299</v>
      </c>
    </row>
    <row r="81" spans="1:6" x14ac:dyDescent="0.35">
      <c r="A81">
        <v>2005</v>
      </c>
      <c r="B81" t="s">
        <v>288</v>
      </c>
      <c r="C81" t="s">
        <v>232</v>
      </c>
      <c r="D81" t="s">
        <v>406</v>
      </c>
      <c r="E81">
        <v>406</v>
      </c>
      <c r="F81" t="s">
        <v>299</v>
      </c>
    </row>
    <row r="82" spans="1:6" x14ac:dyDescent="0.35">
      <c r="A82">
        <v>2005</v>
      </c>
      <c r="B82" t="s">
        <v>288</v>
      </c>
      <c r="C82" t="s">
        <v>232</v>
      </c>
      <c r="D82" t="s">
        <v>414</v>
      </c>
      <c r="E82">
        <v>1619</v>
      </c>
      <c r="F82" t="s">
        <v>299</v>
      </c>
    </row>
    <row r="83" spans="1:6" x14ac:dyDescent="0.35">
      <c r="A83">
        <v>2005</v>
      </c>
      <c r="B83" t="s">
        <v>288</v>
      </c>
      <c r="C83" t="s">
        <v>232</v>
      </c>
      <c r="D83" t="s">
        <v>412</v>
      </c>
      <c r="E83">
        <v>7243</v>
      </c>
      <c r="F83" t="s">
        <v>299</v>
      </c>
    </row>
    <row r="84" spans="1:6" x14ac:dyDescent="0.35">
      <c r="A84">
        <v>2005</v>
      </c>
      <c r="B84" t="s">
        <v>288</v>
      </c>
      <c r="C84" t="s">
        <v>232</v>
      </c>
      <c r="D84" t="s">
        <v>415</v>
      </c>
      <c r="E84">
        <v>279</v>
      </c>
      <c r="F84" t="s">
        <v>299</v>
      </c>
    </row>
    <row r="85" spans="1:6" x14ac:dyDescent="0.35">
      <c r="A85">
        <v>2005</v>
      </c>
      <c r="B85" t="s">
        <v>288</v>
      </c>
      <c r="C85" t="s">
        <v>232</v>
      </c>
      <c r="D85" t="s">
        <v>427</v>
      </c>
      <c r="F85" t="s">
        <v>299</v>
      </c>
    </row>
    <row r="86" spans="1:6" x14ac:dyDescent="0.35">
      <c r="A86">
        <v>2005</v>
      </c>
      <c r="B86" t="s">
        <v>288</v>
      </c>
      <c r="C86" t="s">
        <v>232</v>
      </c>
      <c r="D86" t="s">
        <v>416</v>
      </c>
      <c r="E86">
        <v>1936</v>
      </c>
      <c r="F86" t="s">
        <v>299</v>
      </c>
    </row>
    <row r="87" spans="1:6" x14ac:dyDescent="0.35">
      <c r="A87">
        <v>2005</v>
      </c>
      <c r="B87" t="s">
        <v>288</v>
      </c>
      <c r="C87" t="s">
        <v>232</v>
      </c>
      <c r="D87" t="s">
        <v>410</v>
      </c>
      <c r="E87">
        <v>233</v>
      </c>
      <c r="F87" t="s">
        <v>299</v>
      </c>
    </row>
    <row r="88" spans="1:6" x14ac:dyDescent="0.35">
      <c r="A88">
        <v>2005</v>
      </c>
      <c r="B88" t="s">
        <v>288</v>
      </c>
      <c r="C88" t="s">
        <v>232</v>
      </c>
      <c r="D88" t="s">
        <v>413</v>
      </c>
      <c r="E88">
        <v>1358</v>
      </c>
      <c r="F88" t="s">
        <v>299</v>
      </c>
    </row>
    <row r="89" spans="1:6" x14ac:dyDescent="0.35">
      <c r="A89">
        <v>2005</v>
      </c>
      <c r="B89" t="s">
        <v>288</v>
      </c>
      <c r="C89" t="s">
        <v>232</v>
      </c>
      <c r="D89" t="s">
        <v>232</v>
      </c>
      <c r="E89">
        <v>17569</v>
      </c>
      <c r="F89" t="s">
        <v>299</v>
      </c>
    </row>
    <row r="90" spans="1:6" x14ac:dyDescent="0.35">
      <c r="A90">
        <v>2005</v>
      </c>
      <c r="B90" t="s">
        <v>288</v>
      </c>
      <c r="C90" t="s">
        <v>232</v>
      </c>
      <c r="D90" t="s">
        <v>405</v>
      </c>
      <c r="E90">
        <v>1000</v>
      </c>
      <c r="F90" t="s">
        <v>299</v>
      </c>
    </row>
    <row r="91" spans="1:6" x14ac:dyDescent="0.35">
      <c r="A91">
        <v>2005</v>
      </c>
      <c r="B91" t="s">
        <v>288</v>
      </c>
      <c r="C91" t="s">
        <v>222</v>
      </c>
      <c r="D91" t="s">
        <v>401</v>
      </c>
      <c r="E91">
        <v>134161</v>
      </c>
      <c r="F91" t="s">
        <v>299</v>
      </c>
    </row>
    <row r="92" spans="1:6" x14ac:dyDescent="0.35">
      <c r="A92">
        <v>2005</v>
      </c>
      <c r="B92" t="s">
        <v>288</v>
      </c>
      <c r="C92" t="s">
        <v>222</v>
      </c>
      <c r="D92" t="s">
        <v>222</v>
      </c>
      <c r="E92">
        <v>1171462</v>
      </c>
      <c r="F92" t="s">
        <v>299</v>
      </c>
    </row>
    <row r="93" spans="1:6" x14ac:dyDescent="0.35">
      <c r="A93">
        <v>2005</v>
      </c>
      <c r="B93" t="s">
        <v>288</v>
      </c>
      <c r="C93" t="s">
        <v>222</v>
      </c>
      <c r="D93" t="s">
        <v>397</v>
      </c>
      <c r="E93">
        <v>68504</v>
      </c>
      <c r="F93" t="s">
        <v>299</v>
      </c>
    </row>
    <row r="94" spans="1:6" x14ac:dyDescent="0.35">
      <c r="A94">
        <v>2005</v>
      </c>
      <c r="B94" t="s">
        <v>288</v>
      </c>
      <c r="C94" t="s">
        <v>222</v>
      </c>
      <c r="D94" t="s">
        <v>400</v>
      </c>
      <c r="E94">
        <v>75330</v>
      </c>
      <c r="F94" t="s">
        <v>299</v>
      </c>
    </row>
    <row r="95" spans="1:6" x14ac:dyDescent="0.35">
      <c r="A95">
        <v>2005</v>
      </c>
      <c r="B95" t="s">
        <v>288</v>
      </c>
      <c r="C95" t="s">
        <v>222</v>
      </c>
      <c r="D95" t="s">
        <v>399</v>
      </c>
      <c r="E95">
        <v>122691</v>
      </c>
      <c r="F95" t="s">
        <v>299</v>
      </c>
    </row>
    <row r="96" spans="1:6" x14ac:dyDescent="0.35">
      <c r="A96">
        <v>2005</v>
      </c>
      <c r="B96" t="s">
        <v>288</v>
      </c>
      <c r="C96" t="s">
        <v>222</v>
      </c>
      <c r="D96" t="s">
        <v>404</v>
      </c>
      <c r="E96">
        <v>138430</v>
      </c>
      <c r="F96" t="s">
        <v>299</v>
      </c>
    </row>
    <row r="97" spans="1:6" x14ac:dyDescent="0.35">
      <c r="A97">
        <v>2005</v>
      </c>
      <c r="B97" t="s">
        <v>288</v>
      </c>
      <c r="C97" t="s">
        <v>222</v>
      </c>
      <c r="D97" t="s">
        <v>428</v>
      </c>
      <c r="E97">
        <v>10536</v>
      </c>
      <c r="F97" t="s">
        <v>299</v>
      </c>
    </row>
    <row r="98" spans="1:6" x14ac:dyDescent="0.35">
      <c r="A98">
        <v>2005</v>
      </c>
      <c r="B98" t="s">
        <v>288</v>
      </c>
      <c r="C98" t="s">
        <v>222</v>
      </c>
      <c r="D98" t="s">
        <v>403</v>
      </c>
      <c r="E98">
        <v>439105</v>
      </c>
      <c r="F98" t="s">
        <v>299</v>
      </c>
    </row>
    <row r="99" spans="1:6" x14ac:dyDescent="0.35">
      <c r="A99">
        <v>2005</v>
      </c>
      <c r="B99" t="s">
        <v>288</v>
      </c>
      <c r="C99" t="s">
        <v>222</v>
      </c>
      <c r="D99" t="s">
        <v>402</v>
      </c>
      <c r="E99">
        <v>126915</v>
      </c>
      <c r="F99" t="s">
        <v>299</v>
      </c>
    </row>
    <row r="100" spans="1:6" x14ac:dyDescent="0.35">
      <c r="A100">
        <v>2005</v>
      </c>
      <c r="B100" t="s">
        <v>288</v>
      </c>
      <c r="C100" t="s">
        <v>222</v>
      </c>
      <c r="D100" t="s">
        <v>398</v>
      </c>
      <c r="E100">
        <v>55790</v>
      </c>
      <c r="F100" t="s">
        <v>299</v>
      </c>
    </row>
    <row r="101" spans="1:6" x14ac:dyDescent="0.35">
      <c r="A101">
        <v>2005</v>
      </c>
      <c r="B101" t="s">
        <v>291</v>
      </c>
      <c r="C101" t="s">
        <v>425</v>
      </c>
      <c r="D101" t="s">
        <v>247</v>
      </c>
      <c r="F101" t="s">
        <v>302</v>
      </c>
    </row>
    <row r="102" spans="1:6" x14ac:dyDescent="0.35">
      <c r="A102">
        <v>2005</v>
      </c>
      <c r="B102" t="s">
        <v>291</v>
      </c>
      <c r="C102" t="s">
        <v>425</v>
      </c>
      <c r="D102" t="s">
        <v>265</v>
      </c>
      <c r="F102" t="s">
        <v>302</v>
      </c>
    </row>
    <row r="103" spans="1:6" x14ac:dyDescent="0.35">
      <c r="A103">
        <v>2005</v>
      </c>
      <c r="B103" t="s">
        <v>291</v>
      </c>
      <c r="C103" t="s">
        <v>425</v>
      </c>
      <c r="D103" t="s">
        <v>269</v>
      </c>
      <c r="F103" t="s">
        <v>302</v>
      </c>
    </row>
    <row r="104" spans="1:6" x14ac:dyDescent="0.35">
      <c r="A104">
        <v>2005</v>
      </c>
      <c r="B104" t="s">
        <v>291</v>
      </c>
      <c r="C104" t="s">
        <v>425</v>
      </c>
      <c r="D104" t="s">
        <v>259</v>
      </c>
      <c r="F104" t="s">
        <v>302</v>
      </c>
    </row>
    <row r="105" spans="1:6" x14ac:dyDescent="0.35">
      <c r="A105">
        <v>2005</v>
      </c>
      <c r="B105" t="s">
        <v>291</v>
      </c>
      <c r="C105" t="s">
        <v>425</v>
      </c>
      <c r="D105" t="s">
        <v>270</v>
      </c>
      <c r="F105" t="s">
        <v>302</v>
      </c>
    </row>
    <row r="106" spans="1:6" x14ac:dyDescent="0.35">
      <c r="A106">
        <v>2005</v>
      </c>
      <c r="B106" t="s">
        <v>291</v>
      </c>
      <c r="C106" t="s">
        <v>425</v>
      </c>
      <c r="D106" t="s">
        <v>268</v>
      </c>
      <c r="F106" t="s">
        <v>302</v>
      </c>
    </row>
    <row r="107" spans="1:6" x14ac:dyDescent="0.35">
      <c r="A107">
        <v>2005</v>
      </c>
      <c r="B107" t="s">
        <v>291</v>
      </c>
      <c r="C107" t="s">
        <v>425</v>
      </c>
      <c r="D107" t="s">
        <v>252</v>
      </c>
      <c r="F107" t="s">
        <v>302</v>
      </c>
    </row>
    <row r="108" spans="1:6" x14ac:dyDescent="0.35">
      <c r="A108">
        <v>2005</v>
      </c>
      <c r="B108" t="s">
        <v>291</v>
      </c>
      <c r="C108" t="s">
        <v>425</v>
      </c>
      <c r="D108" t="s">
        <v>419</v>
      </c>
      <c r="F108" t="s">
        <v>302</v>
      </c>
    </row>
    <row r="109" spans="1:6" x14ac:dyDescent="0.35">
      <c r="A109">
        <v>2005</v>
      </c>
      <c r="B109" t="s">
        <v>291</v>
      </c>
      <c r="C109" t="s">
        <v>425</v>
      </c>
      <c r="D109" t="s">
        <v>244</v>
      </c>
      <c r="F109" t="s">
        <v>302</v>
      </c>
    </row>
    <row r="110" spans="1:6" x14ac:dyDescent="0.35">
      <c r="A110">
        <v>2005</v>
      </c>
      <c r="B110" t="s">
        <v>291</v>
      </c>
      <c r="C110" t="s">
        <v>425</v>
      </c>
      <c r="D110" t="s">
        <v>273</v>
      </c>
      <c r="F110" t="s">
        <v>302</v>
      </c>
    </row>
    <row r="111" spans="1:6" x14ac:dyDescent="0.35">
      <c r="A111">
        <v>2005</v>
      </c>
      <c r="B111" t="s">
        <v>291</v>
      </c>
      <c r="C111" t="s">
        <v>425</v>
      </c>
      <c r="D111" t="s">
        <v>245</v>
      </c>
      <c r="F111" t="s">
        <v>302</v>
      </c>
    </row>
    <row r="112" spans="1:6" x14ac:dyDescent="0.35">
      <c r="A112">
        <v>2005</v>
      </c>
      <c r="B112" t="s">
        <v>291</v>
      </c>
      <c r="C112" t="s">
        <v>425</v>
      </c>
      <c r="D112" t="s">
        <v>246</v>
      </c>
      <c r="F112" t="s">
        <v>302</v>
      </c>
    </row>
    <row r="113" spans="1:6" x14ac:dyDescent="0.35">
      <c r="A113">
        <v>2005</v>
      </c>
      <c r="B113" t="s">
        <v>291</v>
      </c>
      <c r="C113" t="s">
        <v>425</v>
      </c>
      <c r="D113" t="s">
        <v>234</v>
      </c>
      <c r="F113" t="s">
        <v>302</v>
      </c>
    </row>
    <row r="114" spans="1:6" x14ac:dyDescent="0.35">
      <c r="A114">
        <v>2005</v>
      </c>
      <c r="B114" t="s">
        <v>291</v>
      </c>
      <c r="C114" t="s">
        <v>425</v>
      </c>
      <c r="D114" t="s">
        <v>260</v>
      </c>
      <c r="F114" t="s">
        <v>302</v>
      </c>
    </row>
    <row r="115" spans="1:6" x14ac:dyDescent="0.35">
      <c r="A115">
        <v>2005</v>
      </c>
      <c r="B115" t="s">
        <v>291</v>
      </c>
      <c r="C115" t="s">
        <v>425</v>
      </c>
      <c r="D115" t="s">
        <v>267</v>
      </c>
      <c r="F115" t="s">
        <v>302</v>
      </c>
    </row>
    <row r="116" spans="1:6" x14ac:dyDescent="0.35">
      <c r="A116">
        <v>2005</v>
      </c>
      <c r="B116" t="s">
        <v>291</v>
      </c>
      <c r="C116" t="s">
        <v>425</v>
      </c>
      <c r="D116" t="s">
        <v>240</v>
      </c>
      <c r="F116" t="s">
        <v>302</v>
      </c>
    </row>
    <row r="117" spans="1:6" x14ac:dyDescent="0.35">
      <c r="A117">
        <v>2005</v>
      </c>
      <c r="B117" t="s">
        <v>291</v>
      </c>
      <c r="C117" t="s">
        <v>425</v>
      </c>
      <c r="D117" t="s">
        <v>229</v>
      </c>
      <c r="F117" t="s">
        <v>302</v>
      </c>
    </row>
    <row r="118" spans="1:6" x14ac:dyDescent="0.35">
      <c r="A118">
        <v>2005</v>
      </c>
      <c r="B118" t="s">
        <v>291</v>
      </c>
      <c r="C118" t="s">
        <v>425</v>
      </c>
      <c r="D118" t="s">
        <v>272</v>
      </c>
      <c r="F118" t="s">
        <v>302</v>
      </c>
    </row>
    <row r="119" spans="1:6" x14ac:dyDescent="0.35">
      <c r="A119">
        <v>2005</v>
      </c>
      <c r="B119" t="s">
        <v>291</v>
      </c>
      <c r="C119" t="s">
        <v>425</v>
      </c>
      <c r="D119" t="s">
        <v>254</v>
      </c>
      <c r="F119" t="s">
        <v>302</v>
      </c>
    </row>
    <row r="120" spans="1:6" x14ac:dyDescent="0.35">
      <c r="A120">
        <v>2005</v>
      </c>
      <c r="B120" t="s">
        <v>291</v>
      </c>
      <c r="C120" t="s">
        <v>425</v>
      </c>
      <c r="D120" t="s">
        <v>39</v>
      </c>
      <c r="F120" t="s">
        <v>302</v>
      </c>
    </row>
    <row r="121" spans="1:6" x14ac:dyDescent="0.35">
      <c r="A121">
        <v>2005</v>
      </c>
      <c r="B121" t="s">
        <v>291</v>
      </c>
      <c r="C121" t="s">
        <v>425</v>
      </c>
      <c r="D121" t="s">
        <v>248</v>
      </c>
      <c r="F121" t="s">
        <v>302</v>
      </c>
    </row>
    <row r="122" spans="1:6" x14ac:dyDescent="0.35">
      <c r="A122">
        <v>2005</v>
      </c>
      <c r="B122" t="s">
        <v>291</v>
      </c>
      <c r="C122" t="s">
        <v>425</v>
      </c>
      <c r="D122" t="s">
        <v>249</v>
      </c>
      <c r="F122" t="s">
        <v>302</v>
      </c>
    </row>
    <row r="123" spans="1:6" x14ac:dyDescent="0.35">
      <c r="A123">
        <v>2005</v>
      </c>
      <c r="B123" t="s">
        <v>291</v>
      </c>
      <c r="C123" t="s">
        <v>425</v>
      </c>
      <c r="D123" t="s">
        <v>239</v>
      </c>
      <c r="F123" t="s">
        <v>302</v>
      </c>
    </row>
    <row r="124" spans="1:6" x14ac:dyDescent="0.35">
      <c r="A124">
        <v>2005</v>
      </c>
      <c r="B124" t="s">
        <v>291</v>
      </c>
      <c r="C124" t="s">
        <v>425</v>
      </c>
      <c r="D124" t="s">
        <v>266</v>
      </c>
      <c r="F124" t="s">
        <v>302</v>
      </c>
    </row>
    <row r="125" spans="1:6" x14ac:dyDescent="0.35">
      <c r="A125">
        <v>2005</v>
      </c>
      <c r="B125" t="s">
        <v>291</v>
      </c>
      <c r="C125" t="s">
        <v>425</v>
      </c>
      <c r="D125" t="s">
        <v>417</v>
      </c>
      <c r="F125" t="s">
        <v>302</v>
      </c>
    </row>
    <row r="126" spans="1:6" x14ac:dyDescent="0.35">
      <c r="A126">
        <v>2005</v>
      </c>
      <c r="B126" t="s">
        <v>291</v>
      </c>
      <c r="C126" t="s">
        <v>425</v>
      </c>
      <c r="D126" t="s">
        <v>235</v>
      </c>
      <c r="F126" t="s">
        <v>302</v>
      </c>
    </row>
    <row r="127" spans="1:6" x14ac:dyDescent="0.35">
      <c r="A127">
        <v>2005</v>
      </c>
      <c r="B127" t="s">
        <v>290</v>
      </c>
      <c r="C127" t="s">
        <v>426</v>
      </c>
      <c r="D127" t="s">
        <v>418</v>
      </c>
      <c r="F127" t="s">
        <v>301</v>
      </c>
    </row>
    <row r="128" spans="1:6" x14ac:dyDescent="0.35">
      <c r="A128">
        <v>2005</v>
      </c>
      <c r="B128" t="s">
        <v>290</v>
      </c>
      <c r="C128" t="s">
        <v>425</v>
      </c>
      <c r="D128" t="s">
        <v>245</v>
      </c>
      <c r="F128" t="s">
        <v>301</v>
      </c>
    </row>
    <row r="129" spans="1:6" x14ac:dyDescent="0.35">
      <c r="A129">
        <v>2005</v>
      </c>
      <c r="B129" t="s">
        <v>290</v>
      </c>
      <c r="C129" t="s">
        <v>425</v>
      </c>
      <c r="D129" t="s">
        <v>229</v>
      </c>
      <c r="F129" t="s">
        <v>301</v>
      </c>
    </row>
    <row r="130" spans="1:6" x14ac:dyDescent="0.35">
      <c r="A130">
        <v>2005</v>
      </c>
      <c r="B130" t="s">
        <v>290</v>
      </c>
      <c r="C130" t="s">
        <v>425</v>
      </c>
      <c r="D130" t="s">
        <v>246</v>
      </c>
      <c r="F130" t="s">
        <v>301</v>
      </c>
    </row>
    <row r="131" spans="1:6" x14ac:dyDescent="0.35">
      <c r="A131">
        <v>2005</v>
      </c>
      <c r="B131" t="s">
        <v>290</v>
      </c>
      <c r="C131" t="s">
        <v>425</v>
      </c>
      <c r="D131" t="s">
        <v>269</v>
      </c>
      <c r="F131" t="s">
        <v>301</v>
      </c>
    </row>
    <row r="132" spans="1:6" x14ac:dyDescent="0.35">
      <c r="A132">
        <v>2005</v>
      </c>
      <c r="B132" t="s">
        <v>290</v>
      </c>
      <c r="C132" t="s">
        <v>425</v>
      </c>
      <c r="D132" t="s">
        <v>234</v>
      </c>
      <c r="F132" t="s">
        <v>301</v>
      </c>
    </row>
    <row r="133" spans="1:6" x14ac:dyDescent="0.35">
      <c r="A133">
        <v>2005</v>
      </c>
      <c r="B133" t="s">
        <v>290</v>
      </c>
      <c r="C133" t="s">
        <v>425</v>
      </c>
      <c r="D133" t="s">
        <v>268</v>
      </c>
      <c r="F133" t="s">
        <v>301</v>
      </c>
    </row>
    <row r="134" spans="1:6" x14ac:dyDescent="0.35">
      <c r="A134">
        <v>2005</v>
      </c>
      <c r="B134" t="s">
        <v>290</v>
      </c>
      <c r="C134" t="s">
        <v>425</v>
      </c>
      <c r="D134" t="s">
        <v>247</v>
      </c>
      <c r="F134" t="s">
        <v>301</v>
      </c>
    </row>
    <row r="135" spans="1:6" x14ac:dyDescent="0.35">
      <c r="A135">
        <v>2005</v>
      </c>
      <c r="B135" t="s">
        <v>290</v>
      </c>
      <c r="C135" t="s">
        <v>425</v>
      </c>
      <c r="D135" t="s">
        <v>252</v>
      </c>
      <c r="F135" t="s">
        <v>301</v>
      </c>
    </row>
    <row r="136" spans="1:6" x14ac:dyDescent="0.35">
      <c r="A136">
        <v>2005</v>
      </c>
      <c r="B136" t="s">
        <v>290</v>
      </c>
      <c r="C136" t="s">
        <v>425</v>
      </c>
      <c r="D136" t="s">
        <v>253</v>
      </c>
      <c r="F136" t="s">
        <v>301</v>
      </c>
    </row>
    <row r="137" spans="1:6" x14ac:dyDescent="0.35">
      <c r="A137">
        <v>2005</v>
      </c>
      <c r="B137" t="s">
        <v>290</v>
      </c>
      <c r="C137" t="s">
        <v>425</v>
      </c>
      <c r="D137" t="s">
        <v>244</v>
      </c>
      <c r="F137" t="s">
        <v>301</v>
      </c>
    </row>
    <row r="138" spans="1:6" x14ac:dyDescent="0.35">
      <c r="A138">
        <v>2005</v>
      </c>
      <c r="B138" t="s">
        <v>290</v>
      </c>
      <c r="C138" t="s">
        <v>425</v>
      </c>
      <c r="D138" t="s">
        <v>267</v>
      </c>
      <c r="F138" t="s">
        <v>301</v>
      </c>
    </row>
    <row r="139" spans="1:6" x14ac:dyDescent="0.35">
      <c r="A139">
        <v>2005</v>
      </c>
      <c r="B139" t="s">
        <v>290</v>
      </c>
      <c r="C139" t="s">
        <v>425</v>
      </c>
      <c r="D139" t="s">
        <v>270</v>
      </c>
      <c r="F139" t="s">
        <v>301</v>
      </c>
    </row>
    <row r="140" spans="1:6" x14ac:dyDescent="0.35">
      <c r="A140">
        <v>2005</v>
      </c>
      <c r="B140" t="s">
        <v>290</v>
      </c>
      <c r="C140" t="s">
        <v>425</v>
      </c>
      <c r="D140" t="s">
        <v>255</v>
      </c>
      <c r="F140" t="s">
        <v>301</v>
      </c>
    </row>
    <row r="141" spans="1:6" x14ac:dyDescent="0.35">
      <c r="A141">
        <v>2005</v>
      </c>
      <c r="B141" t="s">
        <v>290</v>
      </c>
      <c r="C141" t="s">
        <v>425</v>
      </c>
      <c r="D141" t="s">
        <v>254</v>
      </c>
      <c r="F141" t="s">
        <v>301</v>
      </c>
    </row>
    <row r="142" spans="1:6" x14ac:dyDescent="0.35">
      <c r="A142">
        <v>2005</v>
      </c>
      <c r="B142" t="s">
        <v>290</v>
      </c>
      <c r="C142" t="s">
        <v>425</v>
      </c>
      <c r="D142" t="s">
        <v>250</v>
      </c>
      <c r="F142" t="s">
        <v>301</v>
      </c>
    </row>
    <row r="143" spans="1:6" x14ac:dyDescent="0.35">
      <c r="A143">
        <v>2005</v>
      </c>
      <c r="B143" t="s">
        <v>290</v>
      </c>
      <c r="C143" t="s">
        <v>425</v>
      </c>
      <c r="D143" t="s">
        <v>417</v>
      </c>
      <c r="F143" t="s">
        <v>301</v>
      </c>
    </row>
    <row r="144" spans="1:6" x14ac:dyDescent="0.35">
      <c r="A144">
        <v>2005</v>
      </c>
      <c r="B144" t="s">
        <v>290</v>
      </c>
      <c r="C144" t="s">
        <v>425</v>
      </c>
      <c r="D144" t="s">
        <v>261</v>
      </c>
      <c r="F144" t="s">
        <v>301</v>
      </c>
    </row>
    <row r="145" spans="1:6" x14ac:dyDescent="0.35">
      <c r="A145">
        <v>2005</v>
      </c>
      <c r="B145" t="s">
        <v>290</v>
      </c>
      <c r="C145" t="s">
        <v>425</v>
      </c>
      <c r="D145" t="s">
        <v>239</v>
      </c>
      <c r="F145" t="s">
        <v>301</v>
      </c>
    </row>
    <row r="146" spans="1:6" x14ac:dyDescent="0.35">
      <c r="A146">
        <v>2005</v>
      </c>
      <c r="B146" t="s">
        <v>290</v>
      </c>
      <c r="C146" t="s">
        <v>425</v>
      </c>
      <c r="D146" t="s">
        <v>248</v>
      </c>
      <c r="F146" t="s">
        <v>301</v>
      </c>
    </row>
    <row r="147" spans="1:6" x14ac:dyDescent="0.35">
      <c r="A147">
        <v>2005</v>
      </c>
      <c r="B147" t="s">
        <v>290</v>
      </c>
      <c r="C147" t="s">
        <v>425</v>
      </c>
      <c r="D147" t="s">
        <v>249</v>
      </c>
      <c r="F147" t="s">
        <v>301</v>
      </c>
    </row>
    <row r="148" spans="1:6" x14ac:dyDescent="0.35">
      <c r="A148">
        <v>2005</v>
      </c>
      <c r="B148" t="s">
        <v>290</v>
      </c>
      <c r="C148" t="s">
        <v>425</v>
      </c>
      <c r="D148" t="s">
        <v>240</v>
      </c>
      <c r="F148" t="s">
        <v>301</v>
      </c>
    </row>
    <row r="149" spans="1:6" x14ac:dyDescent="0.35">
      <c r="A149">
        <v>2005</v>
      </c>
      <c r="B149" t="s">
        <v>290</v>
      </c>
      <c r="C149" t="s">
        <v>425</v>
      </c>
      <c r="D149" t="s">
        <v>260</v>
      </c>
      <c r="F149" t="s">
        <v>301</v>
      </c>
    </row>
    <row r="150" spans="1:6" x14ac:dyDescent="0.35">
      <c r="A150">
        <v>2005</v>
      </c>
      <c r="B150" t="s">
        <v>290</v>
      </c>
      <c r="C150" t="s">
        <v>425</v>
      </c>
      <c r="D150" t="s">
        <v>235</v>
      </c>
      <c r="F150" t="s">
        <v>301</v>
      </c>
    </row>
    <row r="151" spans="1:6" x14ac:dyDescent="0.35">
      <c r="A151">
        <v>2005</v>
      </c>
      <c r="B151" t="s">
        <v>290</v>
      </c>
      <c r="C151" t="s">
        <v>425</v>
      </c>
      <c r="D151" t="s">
        <v>265</v>
      </c>
      <c r="F151" t="s">
        <v>301</v>
      </c>
    </row>
    <row r="152" spans="1:6" x14ac:dyDescent="0.35">
      <c r="A152">
        <v>2005</v>
      </c>
      <c r="B152" t="s">
        <v>290</v>
      </c>
      <c r="C152" t="s">
        <v>425</v>
      </c>
      <c r="D152" t="s">
        <v>259</v>
      </c>
      <c r="F152" t="s">
        <v>301</v>
      </c>
    </row>
    <row r="153" spans="1:6" x14ac:dyDescent="0.35">
      <c r="A153">
        <v>2005</v>
      </c>
      <c r="B153" t="s">
        <v>290</v>
      </c>
      <c r="C153" t="s">
        <v>425</v>
      </c>
      <c r="D153" t="s">
        <v>266</v>
      </c>
      <c r="F153" t="s">
        <v>301</v>
      </c>
    </row>
    <row r="154" spans="1:6" x14ac:dyDescent="0.35">
      <c r="A154">
        <v>2006</v>
      </c>
      <c r="B154" t="s">
        <v>288</v>
      </c>
      <c r="C154" t="s">
        <v>232</v>
      </c>
      <c r="D154" t="s">
        <v>415</v>
      </c>
      <c r="F154" t="s">
        <v>299</v>
      </c>
    </row>
    <row r="155" spans="1:6" x14ac:dyDescent="0.35">
      <c r="A155">
        <v>2006</v>
      </c>
      <c r="B155" t="s">
        <v>288</v>
      </c>
      <c r="C155" t="s">
        <v>232</v>
      </c>
      <c r="D155" t="s">
        <v>414</v>
      </c>
      <c r="F155" t="s">
        <v>299</v>
      </c>
    </row>
    <row r="156" spans="1:6" x14ac:dyDescent="0.35">
      <c r="A156">
        <v>2006</v>
      </c>
      <c r="B156" t="s">
        <v>288</v>
      </c>
      <c r="C156" t="s">
        <v>232</v>
      </c>
      <c r="D156" t="s">
        <v>416</v>
      </c>
      <c r="F156" t="s">
        <v>299</v>
      </c>
    </row>
    <row r="157" spans="1:6" x14ac:dyDescent="0.35">
      <c r="A157">
        <v>2006</v>
      </c>
      <c r="B157" t="s">
        <v>288</v>
      </c>
      <c r="C157" t="s">
        <v>232</v>
      </c>
      <c r="D157" t="s">
        <v>413</v>
      </c>
      <c r="F157" t="s">
        <v>299</v>
      </c>
    </row>
    <row r="158" spans="1:6" x14ac:dyDescent="0.35">
      <c r="A158">
        <v>2006</v>
      </c>
      <c r="B158" t="s">
        <v>288</v>
      </c>
      <c r="C158" t="s">
        <v>232</v>
      </c>
      <c r="D158" t="s">
        <v>410</v>
      </c>
      <c r="F158" t="s">
        <v>299</v>
      </c>
    </row>
    <row r="159" spans="1:6" x14ac:dyDescent="0.35">
      <c r="A159">
        <v>2006</v>
      </c>
      <c r="B159" t="s">
        <v>288</v>
      </c>
      <c r="C159" t="s">
        <v>232</v>
      </c>
      <c r="D159" t="s">
        <v>232</v>
      </c>
      <c r="F159" t="s">
        <v>299</v>
      </c>
    </row>
    <row r="160" spans="1:6" x14ac:dyDescent="0.35">
      <c r="A160">
        <v>2006</v>
      </c>
      <c r="B160" t="s">
        <v>288</v>
      </c>
      <c r="C160" t="s">
        <v>232</v>
      </c>
      <c r="D160" t="s">
        <v>409</v>
      </c>
      <c r="F160" t="s">
        <v>299</v>
      </c>
    </row>
    <row r="161" spans="1:6" x14ac:dyDescent="0.35">
      <c r="A161">
        <v>2006</v>
      </c>
      <c r="B161" t="s">
        <v>288</v>
      </c>
      <c r="C161" t="s">
        <v>232</v>
      </c>
      <c r="D161" t="s">
        <v>405</v>
      </c>
      <c r="F161" t="s">
        <v>299</v>
      </c>
    </row>
    <row r="162" spans="1:6" x14ac:dyDescent="0.35">
      <c r="A162">
        <v>2006</v>
      </c>
      <c r="B162" t="s">
        <v>288</v>
      </c>
      <c r="C162" t="s">
        <v>232</v>
      </c>
      <c r="D162" t="s">
        <v>408</v>
      </c>
      <c r="F162" t="s">
        <v>299</v>
      </c>
    </row>
    <row r="163" spans="1:6" x14ac:dyDescent="0.35">
      <c r="A163">
        <v>2006</v>
      </c>
      <c r="B163" t="s">
        <v>288</v>
      </c>
      <c r="C163" t="s">
        <v>232</v>
      </c>
      <c r="D163" t="s">
        <v>406</v>
      </c>
      <c r="F163" t="s">
        <v>299</v>
      </c>
    </row>
    <row r="164" spans="1:6" x14ac:dyDescent="0.35">
      <c r="A164">
        <v>2006</v>
      </c>
      <c r="B164" t="s">
        <v>288</v>
      </c>
      <c r="C164" t="s">
        <v>232</v>
      </c>
      <c r="D164" t="s">
        <v>407</v>
      </c>
      <c r="F164" t="s">
        <v>299</v>
      </c>
    </row>
    <row r="165" spans="1:6" x14ac:dyDescent="0.35">
      <c r="A165">
        <v>2006</v>
      </c>
      <c r="B165" t="s">
        <v>288</v>
      </c>
      <c r="C165" t="s">
        <v>232</v>
      </c>
      <c r="D165" t="s">
        <v>427</v>
      </c>
      <c r="F165" t="s">
        <v>299</v>
      </c>
    </row>
    <row r="166" spans="1:6" x14ac:dyDescent="0.35">
      <c r="A166">
        <v>2006</v>
      </c>
      <c r="B166" t="s">
        <v>288</v>
      </c>
      <c r="C166" t="s">
        <v>232</v>
      </c>
      <c r="D166" t="s">
        <v>412</v>
      </c>
      <c r="F166" t="s">
        <v>299</v>
      </c>
    </row>
    <row r="167" spans="1:6" x14ac:dyDescent="0.35">
      <c r="A167">
        <v>2006</v>
      </c>
      <c r="B167" t="s">
        <v>288</v>
      </c>
      <c r="C167" t="s">
        <v>222</v>
      </c>
      <c r="D167" t="s">
        <v>400</v>
      </c>
      <c r="F167" t="s">
        <v>299</v>
      </c>
    </row>
    <row r="168" spans="1:6" x14ac:dyDescent="0.35">
      <c r="A168">
        <v>2006</v>
      </c>
      <c r="B168" t="s">
        <v>288</v>
      </c>
      <c r="C168" t="s">
        <v>222</v>
      </c>
      <c r="D168" t="s">
        <v>222</v>
      </c>
      <c r="F168" t="s">
        <v>299</v>
      </c>
    </row>
    <row r="169" spans="1:6" x14ac:dyDescent="0.35">
      <c r="A169">
        <v>2006</v>
      </c>
      <c r="B169" t="s">
        <v>288</v>
      </c>
      <c r="C169" t="s">
        <v>222</v>
      </c>
      <c r="D169" t="s">
        <v>399</v>
      </c>
      <c r="F169" t="s">
        <v>299</v>
      </c>
    </row>
    <row r="170" spans="1:6" x14ac:dyDescent="0.35">
      <c r="A170">
        <v>2006</v>
      </c>
      <c r="B170" t="s">
        <v>288</v>
      </c>
      <c r="C170" t="s">
        <v>222</v>
      </c>
      <c r="D170" t="s">
        <v>398</v>
      </c>
      <c r="F170" t="s">
        <v>299</v>
      </c>
    </row>
    <row r="171" spans="1:6" x14ac:dyDescent="0.35">
      <c r="A171">
        <v>2006</v>
      </c>
      <c r="B171" t="s">
        <v>288</v>
      </c>
      <c r="C171" t="s">
        <v>222</v>
      </c>
      <c r="D171" t="s">
        <v>428</v>
      </c>
      <c r="F171" t="s">
        <v>299</v>
      </c>
    </row>
    <row r="172" spans="1:6" x14ac:dyDescent="0.35">
      <c r="A172">
        <v>2006</v>
      </c>
      <c r="B172" t="s">
        <v>288</v>
      </c>
      <c r="C172" t="s">
        <v>222</v>
      </c>
      <c r="D172" t="s">
        <v>401</v>
      </c>
      <c r="F172" t="s">
        <v>299</v>
      </c>
    </row>
    <row r="173" spans="1:6" x14ac:dyDescent="0.35">
      <c r="A173">
        <v>2006</v>
      </c>
      <c r="B173" t="s">
        <v>288</v>
      </c>
      <c r="C173" t="s">
        <v>222</v>
      </c>
      <c r="D173" t="s">
        <v>404</v>
      </c>
      <c r="F173" t="s">
        <v>299</v>
      </c>
    </row>
    <row r="174" spans="1:6" x14ac:dyDescent="0.35">
      <c r="A174">
        <v>2006</v>
      </c>
      <c r="B174" t="s">
        <v>288</v>
      </c>
      <c r="C174" t="s">
        <v>222</v>
      </c>
      <c r="D174" t="s">
        <v>402</v>
      </c>
      <c r="F174" t="s">
        <v>299</v>
      </c>
    </row>
    <row r="175" spans="1:6" x14ac:dyDescent="0.35">
      <c r="A175">
        <v>2006</v>
      </c>
      <c r="B175" t="s">
        <v>288</v>
      </c>
      <c r="C175" t="s">
        <v>222</v>
      </c>
      <c r="D175" t="s">
        <v>397</v>
      </c>
      <c r="F175" t="s">
        <v>299</v>
      </c>
    </row>
    <row r="176" spans="1:6" x14ac:dyDescent="0.35">
      <c r="A176">
        <v>2006</v>
      </c>
      <c r="B176" t="s">
        <v>288</v>
      </c>
      <c r="C176" t="s">
        <v>222</v>
      </c>
      <c r="D176" t="s">
        <v>403</v>
      </c>
      <c r="F176" t="s">
        <v>299</v>
      </c>
    </row>
    <row r="177" spans="1:6" x14ac:dyDescent="0.35">
      <c r="A177">
        <v>2006</v>
      </c>
      <c r="B177" t="s">
        <v>291</v>
      </c>
      <c r="C177" t="s">
        <v>425</v>
      </c>
      <c r="D177" t="s">
        <v>265</v>
      </c>
      <c r="F177" t="s">
        <v>302</v>
      </c>
    </row>
    <row r="178" spans="1:6" x14ac:dyDescent="0.35">
      <c r="A178">
        <v>2006</v>
      </c>
      <c r="B178" t="s">
        <v>291</v>
      </c>
      <c r="C178" t="s">
        <v>425</v>
      </c>
      <c r="D178" t="s">
        <v>267</v>
      </c>
      <c r="F178" t="s">
        <v>302</v>
      </c>
    </row>
    <row r="179" spans="1:6" x14ac:dyDescent="0.35">
      <c r="A179">
        <v>2006</v>
      </c>
      <c r="B179" t="s">
        <v>291</v>
      </c>
      <c r="C179" t="s">
        <v>425</v>
      </c>
      <c r="D179" t="s">
        <v>269</v>
      </c>
      <c r="F179" t="s">
        <v>302</v>
      </c>
    </row>
    <row r="180" spans="1:6" x14ac:dyDescent="0.35">
      <c r="A180">
        <v>2006</v>
      </c>
      <c r="B180" t="s">
        <v>291</v>
      </c>
      <c r="C180" t="s">
        <v>425</v>
      </c>
      <c r="D180" t="s">
        <v>254</v>
      </c>
      <c r="F180" t="s">
        <v>302</v>
      </c>
    </row>
    <row r="181" spans="1:6" x14ac:dyDescent="0.35">
      <c r="A181">
        <v>2006</v>
      </c>
      <c r="B181" t="s">
        <v>291</v>
      </c>
      <c r="C181" t="s">
        <v>425</v>
      </c>
      <c r="D181" t="s">
        <v>252</v>
      </c>
      <c r="F181" t="s">
        <v>302</v>
      </c>
    </row>
    <row r="182" spans="1:6" x14ac:dyDescent="0.35">
      <c r="A182">
        <v>2006</v>
      </c>
      <c r="B182" t="s">
        <v>291</v>
      </c>
      <c r="C182" t="s">
        <v>425</v>
      </c>
      <c r="D182" t="s">
        <v>270</v>
      </c>
      <c r="F182" t="s">
        <v>302</v>
      </c>
    </row>
    <row r="183" spans="1:6" x14ac:dyDescent="0.35">
      <c r="A183">
        <v>2006</v>
      </c>
      <c r="B183" t="s">
        <v>291</v>
      </c>
      <c r="C183" t="s">
        <v>425</v>
      </c>
      <c r="D183" t="s">
        <v>266</v>
      </c>
      <c r="F183" t="s">
        <v>302</v>
      </c>
    </row>
    <row r="184" spans="1:6" x14ac:dyDescent="0.35">
      <c r="A184">
        <v>2006</v>
      </c>
      <c r="B184" t="s">
        <v>291</v>
      </c>
      <c r="C184" t="s">
        <v>425</v>
      </c>
      <c r="D184" t="s">
        <v>273</v>
      </c>
      <c r="F184" t="s">
        <v>302</v>
      </c>
    </row>
    <row r="185" spans="1:6" x14ac:dyDescent="0.35">
      <c r="A185">
        <v>2006</v>
      </c>
      <c r="B185" t="s">
        <v>291</v>
      </c>
      <c r="C185" t="s">
        <v>425</v>
      </c>
      <c r="D185" t="s">
        <v>417</v>
      </c>
      <c r="F185" t="s">
        <v>302</v>
      </c>
    </row>
    <row r="186" spans="1:6" x14ac:dyDescent="0.35">
      <c r="A186">
        <v>2006</v>
      </c>
      <c r="B186" t="s">
        <v>291</v>
      </c>
      <c r="C186" t="s">
        <v>425</v>
      </c>
      <c r="D186" t="s">
        <v>246</v>
      </c>
      <c r="F186" t="s">
        <v>302</v>
      </c>
    </row>
    <row r="187" spans="1:6" x14ac:dyDescent="0.35">
      <c r="A187">
        <v>2006</v>
      </c>
      <c r="B187" t="s">
        <v>291</v>
      </c>
      <c r="C187" t="s">
        <v>425</v>
      </c>
      <c r="D187" t="s">
        <v>235</v>
      </c>
      <c r="F187" t="s">
        <v>302</v>
      </c>
    </row>
    <row r="188" spans="1:6" x14ac:dyDescent="0.35">
      <c r="A188">
        <v>2006</v>
      </c>
      <c r="B188" t="s">
        <v>291</v>
      </c>
      <c r="C188" t="s">
        <v>425</v>
      </c>
      <c r="D188" t="s">
        <v>234</v>
      </c>
      <c r="F188" t="s">
        <v>302</v>
      </c>
    </row>
    <row r="189" spans="1:6" x14ac:dyDescent="0.35">
      <c r="A189">
        <v>2006</v>
      </c>
      <c r="B189" t="s">
        <v>291</v>
      </c>
      <c r="C189" t="s">
        <v>425</v>
      </c>
      <c r="D189" t="s">
        <v>272</v>
      </c>
      <c r="F189" t="s">
        <v>302</v>
      </c>
    </row>
    <row r="190" spans="1:6" x14ac:dyDescent="0.35">
      <c r="A190">
        <v>2006</v>
      </c>
      <c r="B190" t="s">
        <v>291</v>
      </c>
      <c r="C190" t="s">
        <v>425</v>
      </c>
      <c r="D190" t="s">
        <v>39</v>
      </c>
      <c r="F190" t="s">
        <v>302</v>
      </c>
    </row>
    <row r="191" spans="1:6" x14ac:dyDescent="0.35">
      <c r="A191">
        <v>2006</v>
      </c>
      <c r="B191" t="s">
        <v>291</v>
      </c>
      <c r="C191" t="s">
        <v>425</v>
      </c>
      <c r="D191" t="s">
        <v>229</v>
      </c>
      <c r="F191" t="s">
        <v>302</v>
      </c>
    </row>
    <row r="192" spans="1:6" x14ac:dyDescent="0.35">
      <c r="A192">
        <v>2006</v>
      </c>
      <c r="B192" t="s">
        <v>291</v>
      </c>
      <c r="C192" t="s">
        <v>425</v>
      </c>
      <c r="D192" t="s">
        <v>247</v>
      </c>
      <c r="F192" t="s">
        <v>302</v>
      </c>
    </row>
    <row r="193" spans="1:6" x14ac:dyDescent="0.35">
      <c r="A193">
        <v>2006</v>
      </c>
      <c r="B193" t="s">
        <v>291</v>
      </c>
      <c r="C193" t="s">
        <v>425</v>
      </c>
      <c r="D193" t="s">
        <v>240</v>
      </c>
      <c r="F193" t="s">
        <v>302</v>
      </c>
    </row>
    <row r="194" spans="1:6" x14ac:dyDescent="0.35">
      <c r="A194">
        <v>2006</v>
      </c>
      <c r="B194" t="s">
        <v>291</v>
      </c>
      <c r="C194" t="s">
        <v>425</v>
      </c>
      <c r="D194" t="s">
        <v>260</v>
      </c>
      <c r="F194" t="s">
        <v>302</v>
      </c>
    </row>
    <row r="195" spans="1:6" x14ac:dyDescent="0.35">
      <c r="A195">
        <v>2006</v>
      </c>
      <c r="B195" t="s">
        <v>291</v>
      </c>
      <c r="C195" t="s">
        <v>425</v>
      </c>
      <c r="D195" t="s">
        <v>259</v>
      </c>
      <c r="F195" t="s">
        <v>302</v>
      </c>
    </row>
    <row r="196" spans="1:6" x14ac:dyDescent="0.35">
      <c r="A196">
        <v>2006</v>
      </c>
      <c r="B196" t="s">
        <v>291</v>
      </c>
      <c r="C196" t="s">
        <v>425</v>
      </c>
      <c r="D196" t="s">
        <v>245</v>
      </c>
      <c r="F196" t="s">
        <v>302</v>
      </c>
    </row>
    <row r="197" spans="1:6" x14ac:dyDescent="0.35">
      <c r="A197">
        <v>2006</v>
      </c>
      <c r="B197" t="s">
        <v>291</v>
      </c>
      <c r="C197" t="s">
        <v>425</v>
      </c>
      <c r="D197" t="s">
        <v>249</v>
      </c>
      <c r="F197" t="s">
        <v>302</v>
      </c>
    </row>
    <row r="198" spans="1:6" x14ac:dyDescent="0.35">
      <c r="A198">
        <v>2006</v>
      </c>
      <c r="B198" t="s">
        <v>291</v>
      </c>
      <c r="C198" t="s">
        <v>425</v>
      </c>
      <c r="D198" t="s">
        <v>239</v>
      </c>
      <c r="F198" t="s">
        <v>302</v>
      </c>
    </row>
    <row r="199" spans="1:6" x14ac:dyDescent="0.35">
      <c r="A199">
        <v>2006</v>
      </c>
      <c r="B199" t="s">
        <v>291</v>
      </c>
      <c r="C199" t="s">
        <v>425</v>
      </c>
      <c r="D199" t="s">
        <v>248</v>
      </c>
      <c r="F199" t="s">
        <v>302</v>
      </c>
    </row>
    <row r="200" spans="1:6" x14ac:dyDescent="0.35">
      <c r="A200">
        <v>2006</v>
      </c>
      <c r="B200" t="s">
        <v>291</v>
      </c>
      <c r="C200" t="s">
        <v>425</v>
      </c>
      <c r="D200" t="s">
        <v>244</v>
      </c>
      <c r="F200" t="s">
        <v>302</v>
      </c>
    </row>
    <row r="201" spans="1:6" x14ac:dyDescent="0.35">
      <c r="A201">
        <v>2006</v>
      </c>
      <c r="B201" t="s">
        <v>291</v>
      </c>
      <c r="C201" t="s">
        <v>425</v>
      </c>
      <c r="D201" t="s">
        <v>419</v>
      </c>
      <c r="F201" t="s">
        <v>302</v>
      </c>
    </row>
    <row r="202" spans="1:6" x14ac:dyDescent="0.35">
      <c r="A202">
        <v>2006</v>
      </c>
      <c r="B202" t="s">
        <v>291</v>
      </c>
      <c r="C202" t="s">
        <v>425</v>
      </c>
      <c r="D202" t="s">
        <v>268</v>
      </c>
      <c r="F202" t="s">
        <v>302</v>
      </c>
    </row>
    <row r="203" spans="1:6" x14ac:dyDescent="0.35">
      <c r="A203">
        <v>2006</v>
      </c>
      <c r="B203" t="s">
        <v>290</v>
      </c>
      <c r="C203" t="s">
        <v>426</v>
      </c>
      <c r="D203" t="s">
        <v>418</v>
      </c>
      <c r="F203" t="s">
        <v>301</v>
      </c>
    </row>
    <row r="204" spans="1:6" x14ac:dyDescent="0.35">
      <c r="A204">
        <v>2006</v>
      </c>
      <c r="B204" t="s">
        <v>290</v>
      </c>
      <c r="C204" t="s">
        <v>425</v>
      </c>
      <c r="D204" t="s">
        <v>255</v>
      </c>
      <c r="F204" t="s">
        <v>301</v>
      </c>
    </row>
    <row r="205" spans="1:6" x14ac:dyDescent="0.35">
      <c r="A205">
        <v>2006</v>
      </c>
      <c r="B205" t="s">
        <v>290</v>
      </c>
      <c r="C205" t="s">
        <v>425</v>
      </c>
      <c r="D205" t="s">
        <v>266</v>
      </c>
      <c r="F205" t="s">
        <v>301</v>
      </c>
    </row>
    <row r="206" spans="1:6" x14ac:dyDescent="0.35">
      <c r="A206">
        <v>2006</v>
      </c>
      <c r="B206" t="s">
        <v>290</v>
      </c>
      <c r="C206" t="s">
        <v>425</v>
      </c>
      <c r="D206" t="s">
        <v>261</v>
      </c>
      <c r="F206" t="s">
        <v>301</v>
      </c>
    </row>
    <row r="207" spans="1:6" x14ac:dyDescent="0.35">
      <c r="A207">
        <v>2006</v>
      </c>
      <c r="B207" t="s">
        <v>290</v>
      </c>
      <c r="C207" t="s">
        <v>425</v>
      </c>
      <c r="D207" t="s">
        <v>239</v>
      </c>
      <c r="F207" t="s">
        <v>301</v>
      </c>
    </row>
    <row r="208" spans="1:6" x14ac:dyDescent="0.35">
      <c r="A208">
        <v>2006</v>
      </c>
      <c r="B208" t="s">
        <v>290</v>
      </c>
      <c r="C208" t="s">
        <v>425</v>
      </c>
      <c r="D208" t="s">
        <v>259</v>
      </c>
      <c r="F208" t="s">
        <v>301</v>
      </c>
    </row>
    <row r="209" spans="1:6" x14ac:dyDescent="0.35">
      <c r="A209">
        <v>2006</v>
      </c>
      <c r="B209" t="s">
        <v>290</v>
      </c>
      <c r="C209" t="s">
        <v>425</v>
      </c>
      <c r="D209" t="s">
        <v>248</v>
      </c>
      <c r="F209" t="s">
        <v>301</v>
      </c>
    </row>
    <row r="210" spans="1:6" x14ac:dyDescent="0.35">
      <c r="A210">
        <v>2006</v>
      </c>
      <c r="B210" t="s">
        <v>290</v>
      </c>
      <c r="C210" t="s">
        <v>425</v>
      </c>
      <c r="D210" t="s">
        <v>247</v>
      </c>
      <c r="F210" t="s">
        <v>301</v>
      </c>
    </row>
    <row r="211" spans="1:6" x14ac:dyDescent="0.35">
      <c r="A211">
        <v>2006</v>
      </c>
      <c r="B211" t="s">
        <v>290</v>
      </c>
      <c r="C211" t="s">
        <v>425</v>
      </c>
      <c r="D211" t="s">
        <v>267</v>
      </c>
      <c r="F211" t="s">
        <v>301</v>
      </c>
    </row>
    <row r="212" spans="1:6" x14ac:dyDescent="0.35">
      <c r="A212">
        <v>2006</v>
      </c>
      <c r="B212" t="s">
        <v>290</v>
      </c>
      <c r="C212" t="s">
        <v>425</v>
      </c>
      <c r="D212" t="s">
        <v>270</v>
      </c>
      <c r="F212" t="s">
        <v>301</v>
      </c>
    </row>
    <row r="213" spans="1:6" x14ac:dyDescent="0.35">
      <c r="A213">
        <v>2006</v>
      </c>
      <c r="B213" t="s">
        <v>290</v>
      </c>
      <c r="C213" t="s">
        <v>425</v>
      </c>
      <c r="D213" t="s">
        <v>246</v>
      </c>
      <c r="F213" t="s">
        <v>301</v>
      </c>
    </row>
    <row r="214" spans="1:6" x14ac:dyDescent="0.35">
      <c r="A214">
        <v>2006</v>
      </c>
      <c r="B214" t="s">
        <v>290</v>
      </c>
      <c r="C214" t="s">
        <v>425</v>
      </c>
      <c r="D214" t="s">
        <v>235</v>
      </c>
      <c r="F214" t="s">
        <v>301</v>
      </c>
    </row>
    <row r="215" spans="1:6" x14ac:dyDescent="0.35">
      <c r="A215">
        <v>2006</v>
      </c>
      <c r="B215" t="s">
        <v>290</v>
      </c>
      <c r="C215" t="s">
        <v>425</v>
      </c>
      <c r="D215" t="s">
        <v>229</v>
      </c>
      <c r="F215" t="s">
        <v>301</v>
      </c>
    </row>
    <row r="216" spans="1:6" x14ac:dyDescent="0.35">
      <c r="A216">
        <v>2006</v>
      </c>
      <c r="B216" t="s">
        <v>290</v>
      </c>
      <c r="C216" t="s">
        <v>425</v>
      </c>
      <c r="D216" t="s">
        <v>245</v>
      </c>
      <c r="F216" t="s">
        <v>301</v>
      </c>
    </row>
    <row r="217" spans="1:6" x14ac:dyDescent="0.35">
      <c r="A217">
        <v>2006</v>
      </c>
      <c r="B217" t="s">
        <v>290</v>
      </c>
      <c r="C217" t="s">
        <v>425</v>
      </c>
      <c r="D217" t="s">
        <v>250</v>
      </c>
      <c r="F217" t="s">
        <v>301</v>
      </c>
    </row>
    <row r="218" spans="1:6" x14ac:dyDescent="0.35">
      <c r="A218">
        <v>2006</v>
      </c>
      <c r="B218" t="s">
        <v>290</v>
      </c>
      <c r="C218" t="s">
        <v>425</v>
      </c>
      <c r="D218" t="s">
        <v>252</v>
      </c>
      <c r="F218" t="s">
        <v>301</v>
      </c>
    </row>
    <row r="219" spans="1:6" x14ac:dyDescent="0.35">
      <c r="A219">
        <v>2006</v>
      </c>
      <c r="B219" t="s">
        <v>290</v>
      </c>
      <c r="C219" t="s">
        <v>425</v>
      </c>
      <c r="D219" t="s">
        <v>265</v>
      </c>
      <c r="F219" t="s">
        <v>301</v>
      </c>
    </row>
    <row r="220" spans="1:6" x14ac:dyDescent="0.35">
      <c r="A220">
        <v>2006</v>
      </c>
      <c r="B220" t="s">
        <v>290</v>
      </c>
      <c r="C220" t="s">
        <v>425</v>
      </c>
      <c r="D220" t="s">
        <v>244</v>
      </c>
      <c r="F220" t="s">
        <v>301</v>
      </c>
    </row>
    <row r="221" spans="1:6" x14ac:dyDescent="0.35">
      <c r="A221">
        <v>2006</v>
      </c>
      <c r="B221" t="s">
        <v>290</v>
      </c>
      <c r="C221" t="s">
        <v>425</v>
      </c>
      <c r="D221" t="s">
        <v>260</v>
      </c>
      <c r="F221" t="s">
        <v>301</v>
      </c>
    </row>
    <row r="222" spans="1:6" x14ac:dyDescent="0.35">
      <c r="A222">
        <v>2006</v>
      </c>
      <c r="B222" t="s">
        <v>290</v>
      </c>
      <c r="C222" t="s">
        <v>425</v>
      </c>
      <c r="D222" t="s">
        <v>253</v>
      </c>
      <c r="F222" t="s">
        <v>301</v>
      </c>
    </row>
    <row r="223" spans="1:6" x14ac:dyDescent="0.35">
      <c r="A223">
        <v>2006</v>
      </c>
      <c r="B223" t="s">
        <v>290</v>
      </c>
      <c r="C223" t="s">
        <v>425</v>
      </c>
      <c r="D223" t="s">
        <v>417</v>
      </c>
      <c r="F223" t="s">
        <v>301</v>
      </c>
    </row>
    <row r="224" spans="1:6" x14ac:dyDescent="0.35">
      <c r="A224">
        <v>2006</v>
      </c>
      <c r="B224" t="s">
        <v>290</v>
      </c>
      <c r="C224" t="s">
        <v>425</v>
      </c>
      <c r="D224" t="s">
        <v>234</v>
      </c>
      <c r="F224" t="s">
        <v>301</v>
      </c>
    </row>
    <row r="225" spans="1:6" x14ac:dyDescent="0.35">
      <c r="A225">
        <v>2006</v>
      </c>
      <c r="B225" t="s">
        <v>290</v>
      </c>
      <c r="C225" t="s">
        <v>425</v>
      </c>
      <c r="D225" t="s">
        <v>268</v>
      </c>
      <c r="F225" t="s">
        <v>301</v>
      </c>
    </row>
    <row r="226" spans="1:6" x14ac:dyDescent="0.35">
      <c r="A226">
        <v>2006</v>
      </c>
      <c r="B226" t="s">
        <v>290</v>
      </c>
      <c r="C226" t="s">
        <v>425</v>
      </c>
      <c r="D226" t="s">
        <v>254</v>
      </c>
      <c r="F226" t="s">
        <v>301</v>
      </c>
    </row>
    <row r="227" spans="1:6" x14ac:dyDescent="0.35">
      <c r="A227">
        <v>2006</v>
      </c>
      <c r="B227" t="s">
        <v>290</v>
      </c>
      <c r="C227" t="s">
        <v>425</v>
      </c>
      <c r="D227" t="s">
        <v>240</v>
      </c>
      <c r="F227" t="s">
        <v>301</v>
      </c>
    </row>
    <row r="228" spans="1:6" x14ac:dyDescent="0.35">
      <c r="A228">
        <v>2006</v>
      </c>
      <c r="B228" t="s">
        <v>290</v>
      </c>
      <c r="C228" t="s">
        <v>425</v>
      </c>
      <c r="D228" t="s">
        <v>269</v>
      </c>
      <c r="F228" t="s">
        <v>301</v>
      </c>
    </row>
    <row r="229" spans="1:6" x14ac:dyDescent="0.35">
      <c r="A229">
        <v>2006</v>
      </c>
      <c r="B229" t="s">
        <v>290</v>
      </c>
      <c r="C229" t="s">
        <v>425</v>
      </c>
      <c r="D229" t="s">
        <v>249</v>
      </c>
      <c r="F229" t="s">
        <v>301</v>
      </c>
    </row>
    <row r="230" spans="1:6" x14ac:dyDescent="0.35">
      <c r="A230">
        <v>2007</v>
      </c>
      <c r="B230" t="s">
        <v>288</v>
      </c>
      <c r="C230" t="s">
        <v>232</v>
      </c>
      <c r="D230" t="s">
        <v>405</v>
      </c>
      <c r="F230" t="s">
        <v>299</v>
      </c>
    </row>
    <row r="231" spans="1:6" x14ac:dyDescent="0.35">
      <c r="A231">
        <v>2007</v>
      </c>
      <c r="B231" t="s">
        <v>288</v>
      </c>
      <c r="C231" t="s">
        <v>232</v>
      </c>
      <c r="D231" t="s">
        <v>406</v>
      </c>
      <c r="F231" t="s">
        <v>299</v>
      </c>
    </row>
    <row r="232" spans="1:6" x14ac:dyDescent="0.35">
      <c r="A232">
        <v>2007</v>
      </c>
      <c r="B232" t="s">
        <v>288</v>
      </c>
      <c r="C232" t="s">
        <v>232</v>
      </c>
      <c r="D232" t="s">
        <v>232</v>
      </c>
      <c r="F232" t="s">
        <v>299</v>
      </c>
    </row>
    <row r="233" spans="1:6" x14ac:dyDescent="0.35">
      <c r="A233">
        <v>2007</v>
      </c>
      <c r="B233" t="s">
        <v>288</v>
      </c>
      <c r="C233" t="s">
        <v>232</v>
      </c>
      <c r="D233" t="s">
        <v>413</v>
      </c>
      <c r="F233" t="s">
        <v>299</v>
      </c>
    </row>
    <row r="234" spans="1:6" x14ac:dyDescent="0.35">
      <c r="A234">
        <v>2007</v>
      </c>
      <c r="B234" t="s">
        <v>288</v>
      </c>
      <c r="C234" t="s">
        <v>232</v>
      </c>
      <c r="D234" t="s">
        <v>416</v>
      </c>
      <c r="F234" t="s">
        <v>299</v>
      </c>
    </row>
    <row r="235" spans="1:6" x14ac:dyDescent="0.35">
      <c r="A235">
        <v>2007</v>
      </c>
      <c r="B235" t="s">
        <v>288</v>
      </c>
      <c r="C235" t="s">
        <v>232</v>
      </c>
      <c r="D235" t="s">
        <v>410</v>
      </c>
      <c r="F235" t="s">
        <v>299</v>
      </c>
    </row>
    <row r="236" spans="1:6" x14ac:dyDescent="0.35">
      <c r="A236">
        <v>2007</v>
      </c>
      <c r="B236" t="s">
        <v>288</v>
      </c>
      <c r="C236" t="s">
        <v>232</v>
      </c>
      <c r="D236" t="s">
        <v>409</v>
      </c>
      <c r="F236" t="s">
        <v>299</v>
      </c>
    </row>
    <row r="237" spans="1:6" x14ac:dyDescent="0.35">
      <c r="A237">
        <v>2007</v>
      </c>
      <c r="B237" t="s">
        <v>288</v>
      </c>
      <c r="C237" t="s">
        <v>232</v>
      </c>
      <c r="D237" t="s">
        <v>415</v>
      </c>
      <c r="F237" t="s">
        <v>299</v>
      </c>
    </row>
    <row r="238" spans="1:6" x14ac:dyDescent="0.35">
      <c r="A238">
        <v>2007</v>
      </c>
      <c r="B238" t="s">
        <v>288</v>
      </c>
      <c r="C238" t="s">
        <v>232</v>
      </c>
      <c r="D238" t="s">
        <v>427</v>
      </c>
      <c r="F238" t="s">
        <v>299</v>
      </c>
    </row>
    <row r="239" spans="1:6" x14ac:dyDescent="0.35">
      <c r="A239">
        <v>2007</v>
      </c>
      <c r="B239" t="s">
        <v>288</v>
      </c>
      <c r="C239" t="s">
        <v>232</v>
      </c>
      <c r="D239" t="s">
        <v>407</v>
      </c>
      <c r="F239" t="s">
        <v>299</v>
      </c>
    </row>
    <row r="240" spans="1:6" x14ac:dyDescent="0.35">
      <c r="A240">
        <v>2007</v>
      </c>
      <c r="B240" t="s">
        <v>288</v>
      </c>
      <c r="C240" t="s">
        <v>232</v>
      </c>
      <c r="D240" t="s">
        <v>412</v>
      </c>
      <c r="F240" t="s">
        <v>299</v>
      </c>
    </row>
    <row r="241" spans="1:6" x14ac:dyDescent="0.35">
      <c r="A241">
        <v>2007</v>
      </c>
      <c r="B241" t="s">
        <v>288</v>
      </c>
      <c r="C241" t="s">
        <v>232</v>
      </c>
      <c r="D241" t="s">
        <v>414</v>
      </c>
      <c r="F241" t="s">
        <v>299</v>
      </c>
    </row>
    <row r="242" spans="1:6" x14ac:dyDescent="0.35">
      <c r="A242">
        <v>2007</v>
      </c>
      <c r="B242" t="s">
        <v>288</v>
      </c>
      <c r="C242" t="s">
        <v>232</v>
      </c>
      <c r="D242" t="s">
        <v>408</v>
      </c>
      <c r="F242" t="s">
        <v>299</v>
      </c>
    </row>
    <row r="243" spans="1:6" x14ac:dyDescent="0.35">
      <c r="A243">
        <v>2007</v>
      </c>
      <c r="B243" t="s">
        <v>288</v>
      </c>
      <c r="C243" t="s">
        <v>222</v>
      </c>
      <c r="D243" t="s">
        <v>222</v>
      </c>
      <c r="F243" t="s">
        <v>299</v>
      </c>
    </row>
    <row r="244" spans="1:6" x14ac:dyDescent="0.35">
      <c r="A244">
        <v>2007</v>
      </c>
      <c r="B244" t="s">
        <v>288</v>
      </c>
      <c r="C244" t="s">
        <v>222</v>
      </c>
      <c r="D244" t="s">
        <v>402</v>
      </c>
      <c r="F244" t="s">
        <v>299</v>
      </c>
    </row>
    <row r="245" spans="1:6" x14ac:dyDescent="0.35">
      <c r="A245">
        <v>2007</v>
      </c>
      <c r="B245" t="s">
        <v>288</v>
      </c>
      <c r="C245" t="s">
        <v>222</v>
      </c>
      <c r="D245" t="s">
        <v>401</v>
      </c>
      <c r="F245" t="s">
        <v>299</v>
      </c>
    </row>
    <row r="246" spans="1:6" x14ac:dyDescent="0.35">
      <c r="A246">
        <v>2007</v>
      </c>
      <c r="B246" t="s">
        <v>288</v>
      </c>
      <c r="C246" t="s">
        <v>222</v>
      </c>
      <c r="D246" t="s">
        <v>404</v>
      </c>
      <c r="F246" t="s">
        <v>299</v>
      </c>
    </row>
    <row r="247" spans="1:6" x14ac:dyDescent="0.35">
      <c r="A247">
        <v>2007</v>
      </c>
      <c r="B247" t="s">
        <v>288</v>
      </c>
      <c r="C247" t="s">
        <v>222</v>
      </c>
      <c r="D247" t="s">
        <v>403</v>
      </c>
      <c r="F247" t="s">
        <v>299</v>
      </c>
    </row>
    <row r="248" spans="1:6" x14ac:dyDescent="0.35">
      <c r="A248">
        <v>2007</v>
      </c>
      <c r="B248" t="s">
        <v>288</v>
      </c>
      <c r="C248" t="s">
        <v>222</v>
      </c>
      <c r="D248" t="s">
        <v>399</v>
      </c>
      <c r="F248" t="s">
        <v>299</v>
      </c>
    </row>
    <row r="249" spans="1:6" x14ac:dyDescent="0.35">
      <c r="A249">
        <v>2007</v>
      </c>
      <c r="B249" t="s">
        <v>288</v>
      </c>
      <c r="C249" t="s">
        <v>222</v>
      </c>
      <c r="D249" t="s">
        <v>428</v>
      </c>
      <c r="F249" t="s">
        <v>299</v>
      </c>
    </row>
    <row r="250" spans="1:6" x14ac:dyDescent="0.35">
      <c r="A250">
        <v>2007</v>
      </c>
      <c r="B250" t="s">
        <v>288</v>
      </c>
      <c r="C250" t="s">
        <v>222</v>
      </c>
      <c r="D250" t="s">
        <v>398</v>
      </c>
      <c r="F250" t="s">
        <v>299</v>
      </c>
    </row>
    <row r="251" spans="1:6" x14ac:dyDescent="0.35">
      <c r="A251">
        <v>2007</v>
      </c>
      <c r="B251" t="s">
        <v>288</v>
      </c>
      <c r="C251" t="s">
        <v>222</v>
      </c>
      <c r="D251" t="s">
        <v>397</v>
      </c>
      <c r="F251" t="s">
        <v>299</v>
      </c>
    </row>
    <row r="252" spans="1:6" x14ac:dyDescent="0.35">
      <c r="A252">
        <v>2007</v>
      </c>
      <c r="B252" t="s">
        <v>288</v>
      </c>
      <c r="C252" t="s">
        <v>222</v>
      </c>
      <c r="D252" t="s">
        <v>400</v>
      </c>
      <c r="F252" t="s">
        <v>299</v>
      </c>
    </row>
    <row r="253" spans="1:6" x14ac:dyDescent="0.35">
      <c r="A253">
        <v>2007</v>
      </c>
      <c r="B253" t="s">
        <v>291</v>
      </c>
      <c r="C253" t="s">
        <v>425</v>
      </c>
      <c r="D253" t="s">
        <v>260</v>
      </c>
      <c r="F253" t="s">
        <v>302</v>
      </c>
    </row>
    <row r="254" spans="1:6" x14ac:dyDescent="0.35">
      <c r="A254">
        <v>2007</v>
      </c>
      <c r="B254" t="s">
        <v>291</v>
      </c>
      <c r="C254" t="s">
        <v>425</v>
      </c>
      <c r="D254" t="s">
        <v>239</v>
      </c>
      <c r="F254" t="s">
        <v>302</v>
      </c>
    </row>
    <row r="255" spans="1:6" x14ac:dyDescent="0.35">
      <c r="A255">
        <v>2007</v>
      </c>
      <c r="B255" t="s">
        <v>291</v>
      </c>
      <c r="C255" t="s">
        <v>425</v>
      </c>
      <c r="D255" t="s">
        <v>265</v>
      </c>
      <c r="F255" t="s">
        <v>302</v>
      </c>
    </row>
    <row r="256" spans="1:6" x14ac:dyDescent="0.35">
      <c r="A256">
        <v>2007</v>
      </c>
      <c r="B256" t="s">
        <v>291</v>
      </c>
      <c r="C256" t="s">
        <v>425</v>
      </c>
      <c r="D256" t="s">
        <v>229</v>
      </c>
      <c r="F256" t="s">
        <v>302</v>
      </c>
    </row>
    <row r="257" spans="1:6" x14ac:dyDescent="0.35">
      <c r="A257">
        <v>2007</v>
      </c>
      <c r="B257" t="s">
        <v>291</v>
      </c>
      <c r="C257" t="s">
        <v>425</v>
      </c>
      <c r="D257" t="s">
        <v>269</v>
      </c>
      <c r="F257" t="s">
        <v>302</v>
      </c>
    </row>
    <row r="258" spans="1:6" x14ac:dyDescent="0.35">
      <c r="A258">
        <v>2007</v>
      </c>
      <c r="B258" t="s">
        <v>291</v>
      </c>
      <c r="C258" t="s">
        <v>425</v>
      </c>
      <c r="D258" t="s">
        <v>417</v>
      </c>
      <c r="F258" t="s">
        <v>302</v>
      </c>
    </row>
    <row r="259" spans="1:6" x14ac:dyDescent="0.35">
      <c r="A259">
        <v>2007</v>
      </c>
      <c r="B259" t="s">
        <v>291</v>
      </c>
      <c r="C259" t="s">
        <v>425</v>
      </c>
      <c r="D259" t="s">
        <v>248</v>
      </c>
      <c r="F259" t="s">
        <v>302</v>
      </c>
    </row>
    <row r="260" spans="1:6" x14ac:dyDescent="0.35">
      <c r="A260">
        <v>2007</v>
      </c>
      <c r="B260" t="s">
        <v>291</v>
      </c>
      <c r="C260" t="s">
        <v>425</v>
      </c>
      <c r="D260" t="s">
        <v>272</v>
      </c>
      <c r="F260" t="s">
        <v>302</v>
      </c>
    </row>
    <row r="261" spans="1:6" x14ac:dyDescent="0.35">
      <c r="A261">
        <v>2007</v>
      </c>
      <c r="B261" t="s">
        <v>291</v>
      </c>
      <c r="C261" t="s">
        <v>425</v>
      </c>
      <c r="D261" t="s">
        <v>240</v>
      </c>
      <c r="F261" t="s">
        <v>302</v>
      </c>
    </row>
    <row r="262" spans="1:6" x14ac:dyDescent="0.35">
      <c r="A262">
        <v>2007</v>
      </c>
      <c r="B262" t="s">
        <v>291</v>
      </c>
      <c r="C262" t="s">
        <v>425</v>
      </c>
      <c r="D262" t="s">
        <v>235</v>
      </c>
      <c r="F262" t="s">
        <v>302</v>
      </c>
    </row>
    <row r="263" spans="1:6" x14ac:dyDescent="0.35">
      <c r="A263">
        <v>2007</v>
      </c>
      <c r="B263" t="s">
        <v>291</v>
      </c>
      <c r="C263" t="s">
        <v>425</v>
      </c>
      <c r="D263" t="s">
        <v>249</v>
      </c>
      <c r="F263" t="s">
        <v>302</v>
      </c>
    </row>
    <row r="264" spans="1:6" x14ac:dyDescent="0.35">
      <c r="A264">
        <v>2007</v>
      </c>
      <c r="B264" t="s">
        <v>291</v>
      </c>
      <c r="C264" t="s">
        <v>425</v>
      </c>
      <c r="D264" t="s">
        <v>254</v>
      </c>
      <c r="F264" t="s">
        <v>302</v>
      </c>
    </row>
    <row r="265" spans="1:6" x14ac:dyDescent="0.35">
      <c r="A265">
        <v>2007</v>
      </c>
      <c r="B265" t="s">
        <v>291</v>
      </c>
      <c r="C265" t="s">
        <v>425</v>
      </c>
      <c r="D265" t="s">
        <v>259</v>
      </c>
      <c r="F265" t="s">
        <v>302</v>
      </c>
    </row>
    <row r="266" spans="1:6" x14ac:dyDescent="0.35">
      <c r="A266">
        <v>2007</v>
      </c>
      <c r="B266" t="s">
        <v>291</v>
      </c>
      <c r="C266" t="s">
        <v>425</v>
      </c>
      <c r="D266" t="s">
        <v>234</v>
      </c>
      <c r="F266" t="s">
        <v>302</v>
      </c>
    </row>
    <row r="267" spans="1:6" x14ac:dyDescent="0.35">
      <c r="A267">
        <v>2007</v>
      </c>
      <c r="B267" t="s">
        <v>291</v>
      </c>
      <c r="C267" t="s">
        <v>425</v>
      </c>
      <c r="D267" t="s">
        <v>273</v>
      </c>
      <c r="F267" t="s">
        <v>302</v>
      </c>
    </row>
    <row r="268" spans="1:6" x14ac:dyDescent="0.35">
      <c r="A268">
        <v>2007</v>
      </c>
      <c r="B268" t="s">
        <v>291</v>
      </c>
      <c r="C268" t="s">
        <v>425</v>
      </c>
      <c r="D268" t="s">
        <v>39</v>
      </c>
      <c r="F268" t="s">
        <v>302</v>
      </c>
    </row>
    <row r="269" spans="1:6" x14ac:dyDescent="0.35">
      <c r="A269">
        <v>2007</v>
      </c>
      <c r="B269" t="s">
        <v>291</v>
      </c>
      <c r="C269" t="s">
        <v>425</v>
      </c>
      <c r="D269" t="s">
        <v>252</v>
      </c>
      <c r="F269" t="s">
        <v>302</v>
      </c>
    </row>
    <row r="270" spans="1:6" x14ac:dyDescent="0.35">
      <c r="A270">
        <v>2007</v>
      </c>
      <c r="B270" t="s">
        <v>291</v>
      </c>
      <c r="C270" t="s">
        <v>425</v>
      </c>
      <c r="D270" t="s">
        <v>246</v>
      </c>
      <c r="F270" t="s">
        <v>302</v>
      </c>
    </row>
    <row r="271" spans="1:6" x14ac:dyDescent="0.35">
      <c r="A271">
        <v>2007</v>
      </c>
      <c r="B271" t="s">
        <v>291</v>
      </c>
      <c r="C271" t="s">
        <v>425</v>
      </c>
      <c r="D271" t="s">
        <v>270</v>
      </c>
      <c r="F271" t="s">
        <v>302</v>
      </c>
    </row>
    <row r="272" spans="1:6" x14ac:dyDescent="0.35">
      <c r="A272">
        <v>2007</v>
      </c>
      <c r="B272" t="s">
        <v>291</v>
      </c>
      <c r="C272" t="s">
        <v>425</v>
      </c>
      <c r="D272" t="s">
        <v>268</v>
      </c>
      <c r="F272" t="s">
        <v>302</v>
      </c>
    </row>
    <row r="273" spans="1:6" x14ac:dyDescent="0.35">
      <c r="A273">
        <v>2007</v>
      </c>
      <c r="B273" t="s">
        <v>291</v>
      </c>
      <c r="C273" t="s">
        <v>425</v>
      </c>
      <c r="D273" t="s">
        <v>267</v>
      </c>
      <c r="F273" t="s">
        <v>302</v>
      </c>
    </row>
    <row r="274" spans="1:6" x14ac:dyDescent="0.35">
      <c r="A274">
        <v>2007</v>
      </c>
      <c r="B274" t="s">
        <v>291</v>
      </c>
      <c r="C274" t="s">
        <v>425</v>
      </c>
      <c r="D274" t="s">
        <v>245</v>
      </c>
      <c r="F274" t="s">
        <v>302</v>
      </c>
    </row>
    <row r="275" spans="1:6" x14ac:dyDescent="0.35">
      <c r="A275">
        <v>2007</v>
      </c>
      <c r="B275" t="s">
        <v>291</v>
      </c>
      <c r="C275" t="s">
        <v>425</v>
      </c>
      <c r="D275" t="s">
        <v>244</v>
      </c>
      <c r="F275" t="s">
        <v>302</v>
      </c>
    </row>
    <row r="276" spans="1:6" x14ac:dyDescent="0.35">
      <c r="A276">
        <v>2007</v>
      </c>
      <c r="B276" t="s">
        <v>291</v>
      </c>
      <c r="C276" t="s">
        <v>425</v>
      </c>
      <c r="D276" t="s">
        <v>247</v>
      </c>
      <c r="F276" t="s">
        <v>302</v>
      </c>
    </row>
    <row r="277" spans="1:6" x14ac:dyDescent="0.35">
      <c r="A277">
        <v>2007</v>
      </c>
      <c r="B277" t="s">
        <v>291</v>
      </c>
      <c r="C277" t="s">
        <v>425</v>
      </c>
      <c r="D277" t="s">
        <v>266</v>
      </c>
      <c r="F277" t="s">
        <v>302</v>
      </c>
    </row>
    <row r="278" spans="1:6" x14ac:dyDescent="0.35">
      <c r="A278">
        <v>2007</v>
      </c>
      <c r="B278" t="s">
        <v>291</v>
      </c>
      <c r="C278" t="s">
        <v>425</v>
      </c>
      <c r="D278" t="s">
        <v>419</v>
      </c>
      <c r="F278" t="s">
        <v>302</v>
      </c>
    </row>
    <row r="279" spans="1:6" x14ac:dyDescent="0.35">
      <c r="A279">
        <v>2007</v>
      </c>
      <c r="B279" t="s">
        <v>290</v>
      </c>
      <c r="C279" t="s">
        <v>426</v>
      </c>
      <c r="D279" t="s">
        <v>418</v>
      </c>
      <c r="F279" t="s">
        <v>301</v>
      </c>
    </row>
    <row r="280" spans="1:6" x14ac:dyDescent="0.35">
      <c r="A280">
        <v>2007</v>
      </c>
      <c r="B280" t="s">
        <v>290</v>
      </c>
      <c r="C280" t="s">
        <v>425</v>
      </c>
      <c r="D280" t="s">
        <v>259</v>
      </c>
      <c r="F280" t="s">
        <v>301</v>
      </c>
    </row>
    <row r="281" spans="1:6" x14ac:dyDescent="0.35">
      <c r="A281">
        <v>2007</v>
      </c>
      <c r="B281" t="s">
        <v>290</v>
      </c>
      <c r="C281" t="s">
        <v>425</v>
      </c>
      <c r="D281" t="s">
        <v>248</v>
      </c>
      <c r="F281" t="s">
        <v>301</v>
      </c>
    </row>
    <row r="282" spans="1:6" x14ac:dyDescent="0.35">
      <c r="A282">
        <v>2007</v>
      </c>
      <c r="B282" t="s">
        <v>290</v>
      </c>
      <c r="C282" t="s">
        <v>425</v>
      </c>
      <c r="D282" t="s">
        <v>266</v>
      </c>
      <c r="F282" t="s">
        <v>301</v>
      </c>
    </row>
    <row r="283" spans="1:6" x14ac:dyDescent="0.35">
      <c r="A283">
        <v>2007</v>
      </c>
      <c r="B283" t="s">
        <v>290</v>
      </c>
      <c r="C283" t="s">
        <v>425</v>
      </c>
      <c r="D283" t="s">
        <v>240</v>
      </c>
      <c r="F283" t="s">
        <v>301</v>
      </c>
    </row>
    <row r="284" spans="1:6" x14ac:dyDescent="0.35">
      <c r="A284">
        <v>2007</v>
      </c>
      <c r="B284" t="s">
        <v>290</v>
      </c>
      <c r="C284" t="s">
        <v>425</v>
      </c>
      <c r="D284" t="s">
        <v>249</v>
      </c>
      <c r="F284" t="s">
        <v>301</v>
      </c>
    </row>
    <row r="285" spans="1:6" x14ac:dyDescent="0.35">
      <c r="A285">
        <v>2007</v>
      </c>
      <c r="B285" t="s">
        <v>290</v>
      </c>
      <c r="C285" t="s">
        <v>425</v>
      </c>
      <c r="D285" t="s">
        <v>267</v>
      </c>
      <c r="F285" t="s">
        <v>301</v>
      </c>
    </row>
    <row r="286" spans="1:6" x14ac:dyDescent="0.35">
      <c r="A286">
        <v>2007</v>
      </c>
      <c r="B286" t="s">
        <v>290</v>
      </c>
      <c r="C286" t="s">
        <v>425</v>
      </c>
      <c r="D286" t="s">
        <v>247</v>
      </c>
      <c r="F286" t="s">
        <v>301</v>
      </c>
    </row>
    <row r="287" spans="1:6" x14ac:dyDescent="0.35">
      <c r="A287">
        <v>2007</v>
      </c>
      <c r="B287" t="s">
        <v>290</v>
      </c>
      <c r="C287" t="s">
        <v>425</v>
      </c>
      <c r="D287" t="s">
        <v>260</v>
      </c>
      <c r="F287" t="s">
        <v>301</v>
      </c>
    </row>
    <row r="288" spans="1:6" x14ac:dyDescent="0.35">
      <c r="A288">
        <v>2007</v>
      </c>
      <c r="B288" t="s">
        <v>290</v>
      </c>
      <c r="C288" t="s">
        <v>425</v>
      </c>
      <c r="D288" t="s">
        <v>417</v>
      </c>
      <c r="F288" t="s">
        <v>301</v>
      </c>
    </row>
    <row r="289" spans="1:6" x14ac:dyDescent="0.35">
      <c r="A289">
        <v>2007</v>
      </c>
      <c r="B289" t="s">
        <v>290</v>
      </c>
      <c r="C289" t="s">
        <v>425</v>
      </c>
      <c r="D289" t="s">
        <v>250</v>
      </c>
      <c r="F289" t="s">
        <v>301</v>
      </c>
    </row>
    <row r="290" spans="1:6" x14ac:dyDescent="0.35">
      <c r="A290">
        <v>2007</v>
      </c>
      <c r="B290" t="s">
        <v>290</v>
      </c>
      <c r="C290" t="s">
        <v>425</v>
      </c>
      <c r="D290" t="s">
        <v>235</v>
      </c>
      <c r="F290" t="s">
        <v>301</v>
      </c>
    </row>
    <row r="291" spans="1:6" x14ac:dyDescent="0.35">
      <c r="A291">
        <v>2007</v>
      </c>
      <c r="B291" t="s">
        <v>290</v>
      </c>
      <c r="C291" t="s">
        <v>425</v>
      </c>
      <c r="D291" t="s">
        <v>239</v>
      </c>
      <c r="F291" t="s">
        <v>301</v>
      </c>
    </row>
    <row r="292" spans="1:6" x14ac:dyDescent="0.35">
      <c r="A292">
        <v>2007</v>
      </c>
      <c r="B292" t="s">
        <v>290</v>
      </c>
      <c r="C292" t="s">
        <v>425</v>
      </c>
      <c r="D292" t="s">
        <v>265</v>
      </c>
      <c r="F292" t="s">
        <v>301</v>
      </c>
    </row>
    <row r="293" spans="1:6" x14ac:dyDescent="0.35">
      <c r="A293">
        <v>2007</v>
      </c>
      <c r="B293" t="s">
        <v>290</v>
      </c>
      <c r="C293" t="s">
        <v>425</v>
      </c>
      <c r="D293" t="s">
        <v>261</v>
      </c>
      <c r="F293" t="s">
        <v>301</v>
      </c>
    </row>
    <row r="294" spans="1:6" x14ac:dyDescent="0.35">
      <c r="A294">
        <v>2007</v>
      </c>
      <c r="B294" t="s">
        <v>290</v>
      </c>
      <c r="C294" t="s">
        <v>425</v>
      </c>
      <c r="D294" t="s">
        <v>229</v>
      </c>
      <c r="F294" t="s">
        <v>301</v>
      </c>
    </row>
    <row r="295" spans="1:6" x14ac:dyDescent="0.35">
      <c r="A295">
        <v>2007</v>
      </c>
      <c r="B295" t="s">
        <v>290</v>
      </c>
      <c r="C295" t="s">
        <v>425</v>
      </c>
      <c r="D295" t="s">
        <v>245</v>
      </c>
      <c r="F295" t="s">
        <v>301</v>
      </c>
    </row>
    <row r="296" spans="1:6" x14ac:dyDescent="0.35">
      <c r="A296">
        <v>2007</v>
      </c>
      <c r="B296" t="s">
        <v>290</v>
      </c>
      <c r="C296" t="s">
        <v>425</v>
      </c>
      <c r="D296" t="s">
        <v>252</v>
      </c>
      <c r="F296" t="s">
        <v>301</v>
      </c>
    </row>
    <row r="297" spans="1:6" x14ac:dyDescent="0.35">
      <c r="A297">
        <v>2007</v>
      </c>
      <c r="B297" t="s">
        <v>290</v>
      </c>
      <c r="C297" t="s">
        <v>425</v>
      </c>
      <c r="D297" t="s">
        <v>244</v>
      </c>
      <c r="F297" t="s">
        <v>301</v>
      </c>
    </row>
    <row r="298" spans="1:6" x14ac:dyDescent="0.35">
      <c r="A298">
        <v>2007</v>
      </c>
      <c r="B298" t="s">
        <v>290</v>
      </c>
      <c r="C298" t="s">
        <v>425</v>
      </c>
      <c r="D298" t="s">
        <v>255</v>
      </c>
      <c r="F298" t="s">
        <v>301</v>
      </c>
    </row>
    <row r="299" spans="1:6" x14ac:dyDescent="0.35">
      <c r="A299">
        <v>2007</v>
      </c>
      <c r="B299" t="s">
        <v>290</v>
      </c>
      <c r="C299" t="s">
        <v>425</v>
      </c>
      <c r="D299" t="s">
        <v>253</v>
      </c>
      <c r="F299" t="s">
        <v>301</v>
      </c>
    </row>
    <row r="300" spans="1:6" x14ac:dyDescent="0.35">
      <c r="A300">
        <v>2007</v>
      </c>
      <c r="B300" t="s">
        <v>290</v>
      </c>
      <c r="C300" t="s">
        <v>425</v>
      </c>
      <c r="D300" t="s">
        <v>269</v>
      </c>
      <c r="F300" t="s">
        <v>301</v>
      </c>
    </row>
    <row r="301" spans="1:6" x14ac:dyDescent="0.35">
      <c r="A301">
        <v>2007</v>
      </c>
      <c r="B301" t="s">
        <v>290</v>
      </c>
      <c r="C301" t="s">
        <v>425</v>
      </c>
      <c r="D301" t="s">
        <v>234</v>
      </c>
      <c r="F301" t="s">
        <v>301</v>
      </c>
    </row>
    <row r="302" spans="1:6" x14ac:dyDescent="0.35">
      <c r="A302">
        <v>2007</v>
      </c>
      <c r="B302" t="s">
        <v>290</v>
      </c>
      <c r="C302" t="s">
        <v>425</v>
      </c>
      <c r="D302" t="s">
        <v>254</v>
      </c>
      <c r="F302" t="s">
        <v>301</v>
      </c>
    </row>
    <row r="303" spans="1:6" x14ac:dyDescent="0.35">
      <c r="A303">
        <v>2007</v>
      </c>
      <c r="B303" t="s">
        <v>290</v>
      </c>
      <c r="C303" t="s">
        <v>425</v>
      </c>
      <c r="D303" t="s">
        <v>270</v>
      </c>
      <c r="F303" t="s">
        <v>301</v>
      </c>
    </row>
    <row r="304" spans="1:6" x14ac:dyDescent="0.35">
      <c r="A304">
        <v>2007</v>
      </c>
      <c r="B304" t="s">
        <v>290</v>
      </c>
      <c r="C304" t="s">
        <v>425</v>
      </c>
      <c r="D304" t="s">
        <v>268</v>
      </c>
      <c r="F304" t="s">
        <v>301</v>
      </c>
    </row>
    <row r="305" spans="1:6" x14ac:dyDescent="0.35">
      <c r="A305">
        <v>2007</v>
      </c>
      <c r="B305" t="s">
        <v>290</v>
      </c>
      <c r="C305" t="s">
        <v>425</v>
      </c>
      <c r="D305" t="s">
        <v>246</v>
      </c>
      <c r="F305" t="s">
        <v>301</v>
      </c>
    </row>
    <row r="306" spans="1:6" x14ac:dyDescent="0.35">
      <c r="A306">
        <v>2008</v>
      </c>
      <c r="B306" t="s">
        <v>288</v>
      </c>
      <c r="C306" t="s">
        <v>232</v>
      </c>
      <c r="D306" t="s">
        <v>405</v>
      </c>
      <c r="F306" t="s">
        <v>299</v>
      </c>
    </row>
    <row r="307" spans="1:6" x14ac:dyDescent="0.35">
      <c r="A307">
        <v>2008</v>
      </c>
      <c r="B307" t="s">
        <v>288</v>
      </c>
      <c r="C307" t="s">
        <v>232</v>
      </c>
      <c r="D307" t="s">
        <v>412</v>
      </c>
      <c r="F307" t="s">
        <v>299</v>
      </c>
    </row>
    <row r="308" spans="1:6" x14ac:dyDescent="0.35">
      <c r="A308">
        <v>2008</v>
      </c>
      <c r="B308" t="s">
        <v>288</v>
      </c>
      <c r="C308" t="s">
        <v>232</v>
      </c>
      <c r="D308" t="s">
        <v>414</v>
      </c>
      <c r="F308" t="s">
        <v>299</v>
      </c>
    </row>
    <row r="309" spans="1:6" x14ac:dyDescent="0.35">
      <c r="A309">
        <v>2008</v>
      </c>
      <c r="B309" t="s">
        <v>288</v>
      </c>
      <c r="C309" t="s">
        <v>232</v>
      </c>
      <c r="D309" t="s">
        <v>232</v>
      </c>
      <c r="F309" t="s">
        <v>299</v>
      </c>
    </row>
    <row r="310" spans="1:6" x14ac:dyDescent="0.35">
      <c r="A310">
        <v>2008</v>
      </c>
      <c r="B310" t="s">
        <v>288</v>
      </c>
      <c r="C310" t="s">
        <v>232</v>
      </c>
      <c r="D310" t="s">
        <v>415</v>
      </c>
      <c r="F310" t="s">
        <v>299</v>
      </c>
    </row>
    <row r="311" spans="1:6" x14ac:dyDescent="0.35">
      <c r="A311">
        <v>2008</v>
      </c>
      <c r="B311" t="s">
        <v>288</v>
      </c>
      <c r="C311" t="s">
        <v>232</v>
      </c>
      <c r="D311" t="s">
        <v>427</v>
      </c>
      <c r="F311" t="s">
        <v>299</v>
      </c>
    </row>
    <row r="312" spans="1:6" x14ac:dyDescent="0.35">
      <c r="A312">
        <v>2008</v>
      </c>
      <c r="B312" t="s">
        <v>288</v>
      </c>
      <c r="C312" t="s">
        <v>232</v>
      </c>
      <c r="D312" t="s">
        <v>416</v>
      </c>
      <c r="F312" t="s">
        <v>299</v>
      </c>
    </row>
    <row r="313" spans="1:6" x14ac:dyDescent="0.35">
      <c r="A313">
        <v>2008</v>
      </c>
      <c r="B313" t="s">
        <v>288</v>
      </c>
      <c r="C313" t="s">
        <v>232</v>
      </c>
      <c r="D313" t="s">
        <v>413</v>
      </c>
      <c r="F313" t="s">
        <v>299</v>
      </c>
    </row>
    <row r="314" spans="1:6" x14ac:dyDescent="0.35">
      <c r="A314">
        <v>2008</v>
      </c>
      <c r="B314" t="s">
        <v>288</v>
      </c>
      <c r="C314" t="s">
        <v>232</v>
      </c>
      <c r="D314" t="s">
        <v>408</v>
      </c>
      <c r="F314" t="s">
        <v>299</v>
      </c>
    </row>
    <row r="315" spans="1:6" x14ac:dyDescent="0.35">
      <c r="A315">
        <v>2008</v>
      </c>
      <c r="B315" t="s">
        <v>288</v>
      </c>
      <c r="C315" t="s">
        <v>232</v>
      </c>
      <c r="D315" t="s">
        <v>410</v>
      </c>
      <c r="F315" t="s">
        <v>299</v>
      </c>
    </row>
    <row r="316" spans="1:6" x14ac:dyDescent="0.35">
      <c r="A316">
        <v>2008</v>
      </c>
      <c r="B316" t="s">
        <v>288</v>
      </c>
      <c r="C316" t="s">
        <v>232</v>
      </c>
      <c r="D316" t="s">
        <v>407</v>
      </c>
      <c r="F316" t="s">
        <v>299</v>
      </c>
    </row>
    <row r="317" spans="1:6" x14ac:dyDescent="0.35">
      <c r="A317">
        <v>2008</v>
      </c>
      <c r="B317" t="s">
        <v>288</v>
      </c>
      <c r="C317" t="s">
        <v>232</v>
      </c>
      <c r="D317" t="s">
        <v>409</v>
      </c>
      <c r="F317" t="s">
        <v>299</v>
      </c>
    </row>
    <row r="318" spans="1:6" x14ac:dyDescent="0.35">
      <c r="A318">
        <v>2008</v>
      </c>
      <c r="B318" t="s">
        <v>288</v>
      </c>
      <c r="C318" t="s">
        <v>232</v>
      </c>
      <c r="D318" t="s">
        <v>406</v>
      </c>
      <c r="F318" t="s">
        <v>299</v>
      </c>
    </row>
    <row r="319" spans="1:6" x14ac:dyDescent="0.35">
      <c r="A319">
        <v>2008</v>
      </c>
      <c r="B319" t="s">
        <v>288</v>
      </c>
      <c r="C319" t="s">
        <v>222</v>
      </c>
      <c r="D319" t="s">
        <v>222</v>
      </c>
      <c r="F319" t="s">
        <v>299</v>
      </c>
    </row>
    <row r="320" spans="1:6" x14ac:dyDescent="0.35">
      <c r="A320">
        <v>2008</v>
      </c>
      <c r="B320" t="s">
        <v>288</v>
      </c>
      <c r="C320" t="s">
        <v>222</v>
      </c>
      <c r="D320" t="s">
        <v>397</v>
      </c>
      <c r="F320" t="s">
        <v>299</v>
      </c>
    </row>
    <row r="321" spans="1:6" x14ac:dyDescent="0.35">
      <c r="A321">
        <v>2008</v>
      </c>
      <c r="B321" t="s">
        <v>288</v>
      </c>
      <c r="C321" t="s">
        <v>222</v>
      </c>
      <c r="D321" t="s">
        <v>428</v>
      </c>
      <c r="F321" t="s">
        <v>299</v>
      </c>
    </row>
    <row r="322" spans="1:6" x14ac:dyDescent="0.35">
      <c r="A322">
        <v>2008</v>
      </c>
      <c r="B322" t="s">
        <v>288</v>
      </c>
      <c r="C322" t="s">
        <v>222</v>
      </c>
      <c r="D322" t="s">
        <v>398</v>
      </c>
      <c r="F322" t="s">
        <v>299</v>
      </c>
    </row>
    <row r="323" spans="1:6" x14ac:dyDescent="0.35">
      <c r="A323">
        <v>2008</v>
      </c>
      <c r="B323" t="s">
        <v>288</v>
      </c>
      <c r="C323" t="s">
        <v>222</v>
      </c>
      <c r="D323" t="s">
        <v>400</v>
      </c>
      <c r="F323" t="s">
        <v>299</v>
      </c>
    </row>
    <row r="324" spans="1:6" x14ac:dyDescent="0.35">
      <c r="A324">
        <v>2008</v>
      </c>
      <c r="B324" t="s">
        <v>288</v>
      </c>
      <c r="C324" t="s">
        <v>222</v>
      </c>
      <c r="D324" t="s">
        <v>401</v>
      </c>
      <c r="F324" t="s">
        <v>299</v>
      </c>
    </row>
    <row r="325" spans="1:6" x14ac:dyDescent="0.35">
      <c r="A325">
        <v>2008</v>
      </c>
      <c r="B325" t="s">
        <v>288</v>
      </c>
      <c r="C325" t="s">
        <v>222</v>
      </c>
      <c r="D325" t="s">
        <v>399</v>
      </c>
      <c r="F325" t="s">
        <v>299</v>
      </c>
    </row>
    <row r="326" spans="1:6" x14ac:dyDescent="0.35">
      <c r="A326">
        <v>2008</v>
      </c>
      <c r="B326" t="s">
        <v>288</v>
      </c>
      <c r="C326" t="s">
        <v>222</v>
      </c>
      <c r="D326" t="s">
        <v>403</v>
      </c>
      <c r="F326" t="s">
        <v>299</v>
      </c>
    </row>
    <row r="327" spans="1:6" x14ac:dyDescent="0.35">
      <c r="A327">
        <v>2008</v>
      </c>
      <c r="B327" t="s">
        <v>288</v>
      </c>
      <c r="C327" t="s">
        <v>222</v>
      </c>
      <c r="D327" t="s">
        <v>404</v>
      </c>
      <c r="F327" t="s">
        <v>299</v>
      </c>
    </row>
    <row r="328" spans="1:6" x14ac:dyDescent="0.35">
      <c r="A328">
        <v>2008</v>
      </c>
      <c r="B328" t="s">
        <v>288</v>
      </c>
      <c r="C328" t="s">
        <v>222</v>
      </c>
      <c r="D328" t="s">
        <v>402</v>
      </c>
      <c r="F328" t="s">
        <v>299</v>
      </c>
    </row>
    <row r="329" spans="1:6" x14ac:dyDescent="0.35">
      <c r="A329">
        <v>2008</v>
      </c>
      <c r="B329" t="s">
        <v>291</v>
      </c>
      <c r="C329" t="s">
        <v>425</v>
      </c>
      <c r="D329" t="s">
        <v>269</v>
      </c>
      <c r="F329" t="s">
        <v>302</v>
      </c>
    </row>
    <row r="330" spans="1:6" x14ac:dyDescent="0.35">
      <c r="A330">
        <v>2008</v>
      </c>
      <c r="B330" t="s">
        <v>291</v>
      </c>
      <c r="C330" t="s">
        <v>425</v>
      </c>
      <c r="D330" t="s">
        <v>417</v>
      </c>
      <c r="F330" t="s">
        <v>302</v>
      </c>
    </row>
    <row r="331" spans="1:6" x14ac:dyDescent="0.35">
      <c r="A331">
        <v>2008</v>
      </c>
      <c r="B331" t="s">
        <v>291</v>
      </c>
      <c r="C331" t="s">
        <v>425</v>
      </c>
      <c r="D331" t="s">
        <v>419</v>
      </c>
      <c r="F331" t="s">
        <v>302</v>
      </c>
    </row>
    <row r="332" spans="1:6" x14ac:dyDescent="0.35">
      <c r="A332">
        <v>2008</v>
      </c>
      <c r="B332" t="s">
        <v>291</v>
      </c>
      <c r="C332" t="s">
        <v>425</v>
      </c>
      <c r="D332" t="s">
        <v>249</v>
      </c>
      <c r="F332" t="s">
        <v>302</v>
      </c>
    </row>
    <row r="333" spans="1:6" x14ac:dyDescent="0.35">
      <c r="A333">
        <v>2008</v>
      </c>
      <c r="B333" t="s">
        <v>291</v>
      </c>
      <c r="C333" t="s">
        <v>425</v>
      </c>
      <c r="D333" t="s">
        <v>248</v>
      </c>
      <c r="F333" t="s">
        <v>302</v>
      </c>
    </row>
    <row r="334" spans="1:6" x14ac:dyDescent="0.35">
      <c r="A334">
        <v>2008</v>
      </c>
      <c r="B334" t="s">
        <v>291</v>
      </c>
      <c r="C334" t="s">
        <v>425</v>
      </c>
      <c r="D334" t="s">
        <v>244</v>
      </c>
      <c r="F334" t="s">
        <v>302</v>
      </c>
    </row>
    <row r="335" spans="1:6" x14ac:dyDescent="0.35">
      <c r="A335">
        <v>2008</v>
      </c>
      <c r="B335" t="s">
        <v>291</v>
      </c>
      <c r="C335" t="s">
        <v>425</v>
      </c>
      <c r="D335" t="s">
        <v>229</v>
      </c>
      <c r="F335" t="s">
        <v>302</v>
      </c>
    </row>
    <row r="336" spans="1:6" x14ac:dyDescent="0.35">
      <c r="A336">
        <v>2008</v>
      </c>
      <c r="B336" t="s">
        <v>291</v>
      </c>
      <c r="C336" t="s">
        <v>425</v>
      </c>
      <c r="D336" t="s">
        <v>240</v>
      </c>
      <c r="F336" t="s">
        <v>302</v>
      </c>
    </row>
    <row r="337" spans="1:6" x14ac:dyDescent="0.35">
      <c r="A337">
        <v>2008</v>
      </c>
      <c r="B337" t="s">
        <v>291</v>
      </c>
      <c r="C337" t="s">
        <v>425</v>
      </c>
      <c r="D337" t="s">
        <v>247</v>
      </c>
      <c r="F337" t="s">
        <v>302</v>
      </c>
    </row>
    <row r="338" spans="1:6" x14ac:dyDescent="0.35">
      <c r="A338">
        <v>2008</v>
      </c>
      <c r="B338" t="s">
        <v>291</v>
      </c>
      <c r="C338" t="s">
        <v>425</v>
      </c>
      <c r="D338" t="s">
        <v>265</v>
      </c>
      <c r="F338" t="s">
        <v>302</v>
      </c>
    </row>
    <row r="339" spans="1:6" x14ac:dyDescent="0.35">
      <c r="A339">
        <v>2008</v>
      </c>
      <c r="B339" t="s">
        <v>291</v>
      </c>
      <c r="C339" t="s">
        <v>425</v>
      </c>
      <c r="D339" t="s">
        <v>260</v>
      </c>
      <c r="F339" t="s">
        <v>302</v>
      </c>
    </row>
    <row r="340" spans="1:6" x14ac:dyDescent="0.35">
      <c r="A340">
        <v>2008</v>
      </c>
      <c r="B340" t="s">
        <v>291</v>
      </c>
      <c r="C340" t="s">
        <v>425</v>
      </c>
      <c r="D340" t="s">
        <v>234</v>
      </c>
      <c r="F340" t="s">
        <v>302</v>
      </c>
    </row>
    <row r="341" spans="1:6" x14ac:dyDescent="0.35">
      <c r="A341">
        <v>2008</v>
      </c>
      <c r="B341" t="s">
        <v>291</v>
      </c>
      <c r="C341" t="s">
        <v>425</v>
      </c>
      <c r="D341" t="s">
        <v>252</v>
      </c>
      <c r="F341" t="s">
        <v>302</v>
      </c>
    </row>
    <row r="342" spans="1:6" x14ac:dyDescent="0.35">
      <c r="A342">
        <v>2008</v>
      </c>
      <c r="B342" t="s">
        <v>291</v>
      </c>
      <c r="C342" t="s">
        <v>425</v>
      </c>
      <c r="D342" t="s">
        <v>246</v>
      </c>
      <c r="F342" t="s">
        <v>302</v>
      </c>
    </row>
    <row r="343" spans="1:6" x14ac:dyDescent="0.35">
      <c r="A343">
        <v>2008</v>
      </c>
      <c r="B343" t="s">
        <v>291</v>
      </c>
      <c r="C343" t="s">
        <v>425</v>
      </c>
      <c r="D343" t="s">
        <v>235</v>
      </c>
      <c r="F343" t="s">
        <v>302</v>
      </c>
    </row>
    <row r="344" spans="1:6" x14ac:dyDescent="0.35">
      <c r="A344">
        <v>2008</v>
      </c>
      <c r="B344" t="s">
        <v>291</v>
      </c>
      <c r="C344" t="s">
        <v>425</v>
      </c>
      <c r="D344" t="s">
        <v>245</v>
      </c>
      <c r="F344" t="s">
        <v>302</v>
      </c>
    </row>
    <row r="345" spans="1:6" x14ac:dyDescent="0.35">
      <c r="A345">
        <v>2008</v>
      </c>
      <c r="B345" t="s">
        <v>291</v>
      </c>
      <c r="C345" t="s">
        <v>425</v>
      </c>
      <c r="D345" t="s">
        <v>259</v>
      </c>
      <c r="F345" t="s">
        <v>302</v>
      </c>
    </row>
    <row r="346" spans="1:6" x14ac:dyDescent="0.35">
      <c r="A346">
        <v>2008</v>
      </c>
      <c r="B346" t="s">
        <v>291</v>
      </c>
      <c r="C346" t="s">
        <v>425</v>
      </c>
      <c r="D346" t="s">
        <v>239</v>
      </c>
      <c r="F346" t="s">
        <v>302</v>
      </c>
    </row>
    <row r="347" spans="1:6" x14ac:dyDescent="0.35">
      <c r="A347">
        <v>2008</v>
      </c>
      <c r="B347" t="s">
        <v>291</v>
      </c>
      <c r="C347" t="s">
        <v>425</v>
      </c>
      <c r="D347" t="s">
        <v>268</v>
      </c>
      <c r="F347" t="s">
        <v>302</v>
      </c>
    </row>
    <row r="348" spans="1:6" x14ac:dyDescent="0.35">
      <c r="A348">
        <v>2008</v>
      </c>
      <c r="B348" t="s">
        <v>291</v>
      </c>
      <c r="C348" t="s">
        <v>425</v>
      </c>
      <c r="D348" t="s">
        <v>267</v>
      </c>
      <c r="F348" t="s">
        <v>302</v>
      </c>
    </row>
    <row r="349" spans="1:6" x14ac:dyDescent="0.35">
      <c r="A349">
        <v>2008</v>
      </c>
      <c r="B349" t="s">
        <v>291</v>
      </c>
      <c r="C349" t="s">
        <v>425</v>
      </c>
      <c r="D349" t="s">
        <v>254</v>
      </c>
      <c r="F349" t="s">
        <v>302</v>
      </c>
    </row>
    <row r="350" spans="1:6" x14ac:dyDescent="0.35">
      <c r="A350">
        <v>2008</v>
      </c>
      <c r="B350" t="s">
        <v>291</v>
      </c>
      <c r="C350" t="s">
        <v>425</v>
      </c>
      <c r="D350" t="s">
        <v>272</v>
      </c>
      <c r="F350" t="s">
        <v>302</v>
      </c>
    </row>
    <row r="351" spans="1:6" x14ac:dyDescent="0.35">
      <c r="A351">
        <v>2008</v>
      </c>
      <c r="B351" t="s">
        <v>291</v>
      </c>
      <c r="C351" t="s">
        <v>425</v>
      </c>
      <c r="D351" t="s">
        <v>270</v>
      </c>
      <c r="F351" t="s">
        <v>302</v>
      </c>
    </row>
    <row r="352" spans="1:6" x14ac:dyDescent="0.35">
      <c r="A352">
        <v>2008</v>
      </c>
      <c r="B352" t="s">
        <v>291</v>
      </c>
      <c r="C352" t="s">
        <v>425</v>
      </c>
      <c r="D352" t="s">
        <v>266</v>
      </c>
      <c r="F352" t="s">
        <v>302</v>
      </c>
    </row>
    <row r="353" spans="1:6" x14ac:dyDescent="0.35">
      <c r="A353">
        <v>2008</v>
      </c>
      <c r="B353" t="s">
        <v>291</v>
      </c>
      <c r="C353" t="s">
        <v>425</v>
      </c>
      <c r="D353" t="s">
        <v>39</v>
      </c>
      <c r="F353" t="s">
        <v>302</v>
      </c>
    </row>
    <row r="354" spans="1:6" x14ac:dyDescent="0.35">
      <c r="A354">
        <v>2008</v>
      </c>
      <c r="B354" t="s">
        <v>291</v>
      </c>
      <c r="C354" t="s">
        <v>425</v>
      </c>
      <c r="D354" t="s">
        <v>273</v>
      </c>
      <c r="F354" t="s">
        <v>302</v>
      </c>
    </row>
    <row r="355" spans="1:6" x14ac:dyDescent="0.35">
      <c r="A355">
        <v>2008</v>
      </c>
      <c r="B355" t="s">
        <v>290</v>
      </c>
      <c r="C355" t="s">
        <v>426</v>
      </c>
      <c r="D355" t="s">
        <v>418</v>
      </c>
      <c r="E355">
        <v>21</v>
      </c>
      <c r="F355" t="s">
        <v>301</v>
      </c>
    </row>
    <row r="356" spans="1:6" x14ac:dyDescent="0.35">
      <c r="A356">
        <v>2008</v>
      </c>
      <c r="B356" t="s">
        <v>290</v>
      </c>
      <c r="C356" t="s">
        <v>425</v>
      </c>
      <c r="D356" t="s">
        <v>255</v>
      </c>
      <c r="E356">
        <v>1001</v>
      </c>
      <c r="F356" t="s">
        <v>301</v>
      </c>
    </row>
    <row r="357" spans="1:6" x14ac:dyDescent="0.35">
      <c r="A357">
        <v>2008</v>
      </c>
      <c r="B357" t="s">
        <v>290</v>
      </c>
      <c r="C357" t="s">
        <v>425</v>
      </c>
      <c r="D357" t="s">
        <v>239</v>
      </c>
      <c r="E357">
        <v>763</v>
      </c>
      <c r="F357" t="s">
        <v>301</v>
      </c>
    </row>
    <row r="358" spans="1:6" x14ac:dyDescent="0.35">
      <c r="A358">
        <v>2008</v>
      </c>
      <c r="B358" t="s">
        <v>290</v>
      </c>
      <c r="C358" t="s">
        <v>425</v>
      </c>
      <c r="D358" t="s">
        <v>270</v>
      </c>
      <c r="E358">
        <v>1149</v>
      </c>
      <c r="F358" t="s">
        <v>301</v>
      </c>
    </row>
    <row r="359" spans="1:6" x14ac:dyDescent="0.35">
      <c r="A359">
        <v>2008</v>
      </c>
      <c r="B359" t="s">
        <v>290</v>
      </c>
      <c r="C359" t="s">
        <v>425</v>
      </c>
      <c r="D359" t="s">
        <v>253</v>
      </c>
      <c r="E359">
        <v>503</v>
      </c>
      <c r="F359" t="s">
        <v>301</v>
      </c>
    </row>
    <row r="360" spans="1:6" x14ac:dyDescent="0.35">
      <c r="A360">
        <v>2008</v>
      </c>
      <c r="B360" t="s">
        <v>290</v>
      </c>
      <c r="C360" t="s">
        <v>425</v>
      </c>
      <c r="D360" t="s">
        <v>267</v>
      </c>
      <c r="E360">
        <v>1189</v>
      </c>
      <c r="F360" t="s">
        <v>301</v>
      </c>
    </row>
    <row r="361" spans="1:6" x14ac:dyDescent="0.35">
      <c r="A361">
        <v>2008</v>
      </c>
      <c r="B361" t="s">
        <v>290</v>
      </c>
      <c r="C361" t="s">
        <v>425</v>
      </c>
      <c r="D361" t="s">
        <v>268</v>
      </c>
      <c r="E361">
        <v>1145</v>
      </c>
      <c r="F361" t="s">
        <v>301</v>
      </c>
    </row>
    <row r="362" spans="1:6" x14ac:dyDescent="0.35">
      <c r="A362">
        <v>2008</v>
      </c>
      <c r="B362" t="s">
        <v>290</v>
      </c>
      <c r="C362" t="s">
        <v>425</v>
      </c>
      <c r="D362" t="s">
        <v>266</v>
      </c>
      <c r="E362">
        <v>2295</v>
      </c>
      <c r="F362" t="s">
        <v>301</v>
      </c>
    </row>
    <row r="363" spans="1:6" x14ac:dyDescent="0.35">
      <c r="A363">
        <v>2008</v>
      </c>
      <c r="B363" t="s">
        <v>290</v>
      </c>
      <c r="C363" t="s">
        <v>425</v>
      </c>
      <c r="D363" t="s">
        <v>269</v>
      </c>
      <c r="E363">
        <v>1171</v>
      </c>
      <c r="F363" t="s">
        <v>301</v>
      </c>
    </row>
    <row r="364" spans="1:6" x14ac:dyDescent="0.35">
      <c r="A364">
        <v>2008</v>
      </c>
      <c r="B364" t="s">
        <v>290</v>
      </c>
      <c r="C364" t="s">
        <v>425</v>
      </c>
      <c r="D364" t="s">
        <v>229</v>
      </c>
      <c r="E364">
        <v>725</v>
      </c>
      <c r="F364" t="s">
        <v>301</v>
      </c>
    </row>
    <row r="365" spans="1:6" x14ac:dyDescent="0.35">
      <c r="A365">
        <v>2008</v>
      </c>
      <c r="B365" t="s">
        <v>290</v>
      </c>
      <c r="C365" t="s">
        <v>425</v>
      </c>
      <c r="D365" t="s">
        <v>265</v>
      </c>
      <c r="E365">
        <v>273</v>
      </c>
      <c r="F365" t="s">
        <v>301</v>
      </c>
    </row>
    <row r="366" spans="1:6" x14ac:dyDescent="0.35">
      <c r="A366">
        <v>2008</v>
      </c>
      <c r="B366" t="s">
        <v>290</v>
      </c>
      <c r="C366" t="s">
        <v>425</v>
      </c>
      <c r="D366" t="s">
        <v>252</v>
      </c>
      <c r="E366">
        <v>896</v>
      </c>
      <c r="F366" t="s">
        <v>301</v>
      </c>
    </row>
    <row r="367" spans="1:6" x14ac:dyDescent="0.35">
      <c r="A367">
        <v>2008</v>
      </c>
      <c r="B367" t="s">
        <v>290</v>
      </c>
      <c r="C367" t="s">
        <v>425</v>
      </c>
      <c r="D367" t="s">
        <v>250</v>
      </c>
      <c r="E367">
        <v>725</v>
      </c>
      <c r="F367" t="s">
        <v>301</v>
      </c>
    </row>
    <row r="368" spans="1:6" x14ac:dyDescent="0.35">
      <c r="A368">
        <v>2008</v>
      </c>
      <c r="B368" t="s">
        <v>290</v>
      </c>
      <c r="C368" t="s">
        <v>425</v>
      </c>
      <c r="D368" t="s">
        <v>254</v>
      </c>
      <c r="E368">
        <v>1103</v>
      </c>
      <c r="F368" t="s">
        <v>301</v>
      </c>
    </row>
    <row r="369" spans="1:6" x14ac:dyDescent="0.35">
      <c r="A369">
        <v>2008</v>
      </c>
      <c r="B369" t="s">
        <v>290</v>
      </c>
      <c r="C369" t="s">
        <v>425</v>
      </c>
      <c r="D369" t="s">
        <v>240</v>
      </c>
      <c r="E369">
        <v>3229</v>
      </c>
      <c r="F369" t="s">
        <v>301</v>
      </c>
    </row>
    <row r="370" spans="1:6" x14ac:dyDescent="0.35">
      <c r="A370">
        <v>2008</v>
      </c>
      <c r="B370" t="s">
        <v>290</v>
      </c>
      <c r="C370" t="s">
        <v>425</v>
      </c>
      <c r="D370" t="s">
        <v>249</v>
      </c>
      <c r="E370">
        <v>1641</v>
      </c>
      <c r="F370" t="s">
        <v>301</v>
      </c>
    </row>
    <row r="371" spans="1:6" x14ac:dyDescent="0.35">
      <c r="A371">
        <v>2008</v>
      </c>
      <c r="B371" t="s">
        <v>290</v>
      </c>
      <c r="C371" t="s">
        <v>425</v>
      </c>
      <c r="D371" t="s">
        <v>235</v>
      </c>
      <c r="E371">
        <v>808</v>
      </c>
      <c r="F371" t="s">
        <v>301</v>
      </c>
    </row>
    <row r="372" spans="1:6" x14ac:dyDescent="0.35">
      <c r="A372">
        <v>2008</v>
      </c>
      <c r="B372" t="s">
        <v>290</v>
      </c>
      <c r="C372" t="s">
        <v>425</v>
      </c>
      <c r="D372" t="s">
        <v>260</v>
      </c>
      <c r="E372">
        <v>2063</v>
      </c>
      <c r="F372" t="s">
        <v>301</v>
      </c>
    </row>
    <row r="373" spans="1:6" x14ac:dyDescent="0.35">
      <c r="A373">
        <v>2008</v>
      </c>
      <c r="B373" t="s">
        <v>290</v>
      </c>
      <c r="C373" t="s">
        <v>425</v>
      </c>
      <c r="D373" t="s">
        <v>247</v>
      </c>
      <c r="E373">
        <v>2929</v>
      </c>
      <c r="F373" t="s">
        <v>301</v>
      </c>
    </row>
    <row r="374" spans="1:6" x14ac:dyDescent="0.35">
      <c r="A374">
        <v>2008</v>
      </c>
      <c r="B374" t="s">
        <v>290</v>
      </c>
      <c r="C374" t="s">
        <v>425</v>
      </c>
      <c r="D374" t="s">
        <v>244</v>
      </c>
      <c r="E374">
        <v>1663</v>
      </c>
      <c r="F374" t="s">
        <v>301</v>
      </c>
    </row>
    <row r="375" spans="1:6" x14ac:dyDescent="0.35">
      <c r="A375">
        <v>2008</v>
      </c>
      <c r="B375" t="s">
        <v>290</v>
      </c>
      <c r="C375" t="s">
        <v>425</v>
      </c>
      <c r="D375" t="s">
        <v>234</v>
      </c>
      <c r="E375">
        <v>438</v>
      </c>
      <c r="F375" t="s">
        <v>301</v>
      </c>
    </row>
    <row r="376" spans="1:6" x14ac:dyDescent="0.35">
      <c r="A376">
        <v>2008</v>
      </c>
      <c r="B376" t="s">
        <v>290</v>
      </c>
      <c r="C376" t="s">
        <v>425</v>
      </c>
      <c r="D376" t="s">
        <v>245</v>
      </c>
      <c r="E376">
        <v>511</v>
      </c>
      <c r="F376" t="s">
        <v>301</v>
      </c>
    </row>
    <row r="377" spans="1:6" x14ac:dyDescent="0.35">
      <c r="A377">
        <v>2008</v>
      </c>
      <c r="B377" t="s">
        <v>290</v>
      </c>
      <c r="C377" t="s">
        <v>425</v>
      </c>
      <c r="D377" t="s">
        <v>246</v>
      </c>
      <c r="E377">
        <v>826</v>
      </c>
      <c r="F377" t="s">
        <v>301</v>
      </c>
    </row>
    <row r="378" spans="1:6" x14ac:dyDescent="0.35">
      <c r="A378">
        <v>2008</v>
      </c>
      <c r="B378" t="s">
        <v>290</v>
      </c>
      <c r="C378" t="s">
        <v>425</v>
      </c>
      <c r="D378" t="s">
        <v>259</v>
      </c>
      <c r="E378">
        <v>973</v>
      </c>
      <c r="F378" t="s">
        <v>301</v>
      </c>
    </row>
    <row r="379" spans="1:6" x14ac:dyDescent="0.35">
      <c r="A379">
        <v>2008</v>
      </c>
      <c r="B379" t="s">
        <v>290</v>
      </c>
      <c r="C379" t="s">
        <v>425</v>
      </c>
      <c r="D379" t="s">
        <v>417</v>
      </c>
      <c r="E379">
        <v>1103</v>
      </c>
      <c r="F379" t="s">
        <v>301</v>
      </c>
    </row>
    <row r="380" spans="1:6" x14ac:dyDescent="0.35">
      <c r="A380">
        <v>2008</v>
      </c>
      <c r="B380" t="s">
        <v>290</v>
      </c>
      <c r="C380" t="s">
        <v>425</v>
      </c>
      <c r="D380" t="s">
        <v>248</v>
      </c>
      <c r="E380">
        <v>1612</v>
      </c>
      <c r="F380" t="s">
        <v>301</v>
      </c>
    </row>
    <row r="381" spans="1:6" x14ac:dyDescent="0.35">
      <c r="A381">
        <v>2008</v>
      </c>
      <c r="B381" t="s">
        <v>290</v>
      </c>
      <c r="C381" t="s">
        <v>425</v>
      </c>
      <c r="D381" t="s">
        <v>261</v>
      </c>
      <c r="E381">
        <v>368</v>
      </c>
      <c r="F381" t="s">
        <v>301</v>
      </c>
    </row>
    <row r="382" spans="1:6" x14ac:dyDescent="0.35">
      <c r="A382">
        <v>2009</v>
      </c>
      <c r="B382" t="s">
        <v>288</v>
      </c>
      <c r="C382" t="s">
        <v>232</v>
      </c>
      <c r="D382" t="s">
        <v>408</v>
      </c>
      <c r="E382">
        <v>472</v>
      </c>
      <c r="F382" t="s">
        <v>299</v>
      </c>
    </row>
    <row r="383" spans="1:6" x14ac:dyDescent="0.35">
      <c r="A383">
        <v>2009</v>
      </c>
      <c r="B383" t="s">
        <v>288</v>
      </c>
      <c r="C383" t="s">
        <v>232</v>
      </c>
      <c r="D383" t="s">
        <v>416</v>
      </c>
      <c r="E383">
        <v>1042</v>
      </c>
      <c r="F383" t="s">
        <v>299</v>
      </c>
    </row>
    <row r="384" spans="1:6" x14ac:dyDescent="0.35">
      <c r="A384">
        <v>2009</v>
      </c>
      <c r="B384" t="s">
        <v>288</v>
      </c>
      <c r="C384" t="s">
        <v>232</v>
      </c>
      <c r="D384" t="s">
        <v>407</v>
      </c>
      <c r="E384">
        <v>1157</v>
      </c>
      <c r="F384" t="s">
        <v>299</v>
      </c>
    </row>
    <row r="385" spans="1:6" x14ac:dyDescent="0.35">
      <c r="A385">
        <v>2009</v>
      </c>
      <c r="B385" t="s">
        <v>288</v>
      </c>
      <c r="C385" t="s">
        <v>232</v>
      </c>
      <c r="D385" t="s">
        <v>405</v>
      </c>
      <c r="E385">
        <v>844</v>
      </c>
      <c r="F385" t="s">
        <v>299</v>
      </c>
    </row>
    <row r="386" spans="1:6" x14ac:dyDescent="0.35">
      <c r="A386">
        <v>2009</v>
      </c>
      <c r="B386" t="s">
        <v>288</v>
      </c>
      <c r="C386" t="s">
        <v>232</v>
      </c>
      <c r="D386" t="s">
        <v>427</v>
      </c>
      <c r="F386" t="s">
        <v>299</v>
      </c>
    </row>
    <row r="387" spans="1:6" x14ac:dyDescent="0.35">
      <c r="A387">
        <v>2009</v>
      </c>
      <c r="B387" t="s">
        <v>288</v>
      </c>
      <c r="C387" t="s">
        <v>232</v>
      </c>
      <c r="D387" t="s">
        <v>410</v>
      </c>
      <c r="E387">
        <v>60</v>
      </c>
      <c r="F387" t="s">
        <v>299</v>
      </c>
    </row>
    <row r="388" spans="1:6" x14ac:dyDescent="0.35">
      <c r="A388">
        <v>2009</v>
      </c>
      <c r="B388" t="s">
        <v>288</v>
      </c>
      <c r="C388" t="s">
        <v>232</v>
      </c>
      <c r="D388" t="s">
        <v>412</v>
      </c>
      <c r="E388">
        <v>4429</v>
      </c>
      <c r="F388" t="s">
        <v>299</v>
      </c>
    </row>
    <row r="389" spans="1:6" x14ac:dyDescent="0.35">
      <c r="A389">
        <v>2009</v>
      </c>
      <c r="B389" t="s">
        <v>288</v>
      </c>
      <c r="C389" t="s">
        <v>232</v>
      </c>
      <c r="D389" t="s">
        <v>406</v>
      </c>
      <c r="E389">
        <v>2672</v>
      </c>
      <c r="F389" t="s">
        <v>299</v>
      </c>
    </row>
    <row r="390" spans="1:6" x14ac:dyDescent="0.35">
      <c r="A390">
        <v>2009</v>
      </c>
      <c r="B390" t="s">
        <v>288</v>
      </c>
      <c r="C390" t="s">
        <v>232</v>
      </c>
      <c r="D390" t="s">
        <v>413</v>
      </c>
      <c r="E390">
        <v>3527</v>
      </c>
      <c r="F390" t="s">
        <v>299</v>
      </c>
    </row>
    <row r="391" spans="1:6" x14ac:dyDescent="0.35">
      <c r="A391">
        <v>2009</v>
      </c>
      <c r="B391" t="s">
        <v>288</v>
      </c>
      <c r="C391" t="s">
        <v>232</v>
      </c>
      <c r="D391" t="s">
        <v>409</v>
      </c>
      <c r="E391">
        <v>283</v>
      </c>
      <c r="F391" t="s">
        <v>299</v>
      </c>
    </row>
    <row r="392" spans="1:6" x14ac:dyDescent="0.35">
      <c r="A392">
        <v>2009</v>
      </c>
      <c r="B392" t="s">
        <v>288</v>
      </c>
      <c r="C392" t="s">
        <v>232</v>
      </c>
      <c r="D392" t="s">
        <v>414</v>
      </c>
      <c r="E392">
        <v>418</v>
      </c>
      <c r="F392" t="s">
        <v>299</v>
      </c>
    </row>
    <row r="393" spans="1:6" x14ac:dyDescent="0.35">
      <c r="A393">
        <v>2009</v>
      </c>
      <c r="B393" t="s">
        <v>288</v>
      </c>
      <c r="C393" t="s">
        <v>232</v>
      </c>
      <c r="D393" t="s">
        <v>232</v>
      </c>
      <c r="E393">
        <v>15181</v>
      </c>
      <c r="F393" t="s">
        <v>299</v>
      </c>
    </row>
    <row r="394" spans="1:6" x14ac:dyDescent="0.35">
      <c r="A394">
        <v>2009</v>
      </c>
      <c r="B394" t="s">
        <v>288</v>
      </c>
      <c r="C394" t="s">
        <v>232</v>
      </c>
      <c r="D394" t="s">
        <v>415</v>
      </c>
      <c r="E394">
        <v>277</v>
      </c>
      <c r="F394" t="s">
        <v>299</v>
      </c>
    </row>
    <row r="395" spans="1:6" x14ac:dyDescent="0.35">
      <c r="A395">
        <v>2009</v>
      </c>
      <c r="B395" t="s">
        <v>288</v>
      </c>
      <c r="C395" t="s">
        <v>222</v>
      </c>
      <c r="D395" t="s">
        <v>397</v>
      </c>
      <c r="E395">
        <v>17082</v>
      </c>
      <c r="F395" t="s">
        <v>299</v>
      </c>
    </row>
    <row r="396" spans="1:6" x14ac:dyDescent="0.35">
      <c r="A396">
        <v>2009</v>
      </c>
      <c r="B396" t="s">
        <v>288</v>
      </c>
      <c r="C396" t="s">
        <v>222</v>
      </c>
      <c r="D396" t="s">
        <v>401</v>
      </c>
      <c r="E396">
        <v>60992</v>
      </c>
      <c r="F396" t="s">
        <v>299</v>
      </c>
    </row>
    <row r="397" spans="1:6" x14ac:dyDescent="0.35">
      <c r="A397">
        <v>2009</v>
      </c>
      <c r="B397" t="s">
        <v>288</v>
      </c>
      <c r="C397" t="s">
        <v>222</v>
      </c>
      <c r="D397" t="s">
        <v>222</v>
      </c>
      <c r="E397">
        <v>540851</v>
      </c>
      <c r="F397" t="s">
        <v>299</v>
      </c>
    </row>
    <row r="398" spans="1:6" x14ac:dyDescent="0.35">
      <c r="A398">
        <v>2009</v>
      </c>
      <c r="B398" t="s">
        <v>288</v>
      </c>
      <c r="C398" t="s">
        <v>222</v>
      </c>
      <c r="D398" t="s">
        <v>404</v>
      </c>
      <c r="E398">
        <v>6952</v>
      </c>
      <c r="F398" t="s">
        <v>299</v>
      </c>
    </row>
    <row r="399" spans="1:6" x14ac:dyDescent="0.35">
      <c r="A399">
        <v>2009</v>
      </c>
      <c r="B399" t="s">
        <v>288</v>
      </c>
      <c r="C399" t="s">
        <v>222</v>
      </c>
      <c r="D399" t="s">
        <v>400</v>
      </c>
      <c r="E399">
        <v>40571</v>
      </c>
      <c r="F399" t="s">
        <v>299</v>
      </c>
    </row>
    <row r="400" spans="1:6" x14ac:dyDescent="0.35">
      <c r="A400">
        <v>2009</v>
      </c>
      <c r="B400" t="s">
        <v>288</v>
      </c>
      <c r="C400" t="s">
        <v>222</v>
      </c>
      <c r="D400" t="s">
        <v>399</v>
      </c>
      <c r="E400">
        <v>14998</v>
      </c>
      <c r="F400" t="s">
        <v>299</v>
      </c>
    </row>
    <row r="401" spans="1:6" x14ac:dyDescent="0.35">
      <c r="A401">
        <v>2009</v>
      </c>
      <c r="B401" t="s">
        <v>288</v>
      </c>
      <c r="C401" t="s">
        <v>222</v>
      </c>
      <c r="D401" t="s">
        <v>398</v>
      </c>
      <c r="E401">
        <v>33520</v>
      </c>
      <c r="F401" t="s">
        <v>299</v>
      </c>
    </row>
    <row r="402" spans="1:6" x14ac:dyDescent="0.35">
      <c r="A402">
        <v>2009</v>
      </c>
      <c r="B402" t="s">
        <v>288</v>
      </c>
      <c r="C402" t="s">
        <v>222</v>
      </c>
      <c r="D402" t="s">
        <v>402</v>
      </c>
      <c r="E402">
        <v>118712</v>
      </c>
      <c r="F402" t="s">
        <v>299</v>
      </c>
    </row>
    <row r="403" spans="1:6" x14ac:dyDescent="0.35">
      <c r="A403">
        <v>2009</v>
      </c>
      <c r="B403" t="s">
        <v>288</v>
      </c>
      <c r="C403" t="s">
        <v>222</v>
      </c>
      <c r="D403" t="s">
        <v>428</v>
      </c>
      <c r="E403">
        <v>6357</v>
      </c>
      <c r="F403" t="s">
        <v>299</v>
      </c>
    </row>
    <row r="404" spans="1:6" x14ac:dyDescent="0.35">
      <c r="A404">
        <v>2009</v>
      </c>
      <c r="B404" t="s">
        <v>288</v>
      </c>
      <c r="C404" t="s">
        <v>222</v>
      </c>
      <c r="D404" t="s">
        <v>403</v>
      </c>
      <c r="E404">
        <v>241667</v>
      </c>
      <c r="F404" t="s">
        <v>299</v>
      </c>
    </row>
    <row r="405" spans="1:6" x14ac:dyDescent="0.35">
      <c r="A405">
        <v>2009</v>
      </c>
      <c r="B405" t="s">
        <v>291</v>
      </c>
      <c r="C405" t="s">
        <v>425</v>
      </c>
      <c r="D405" t="s">
        <v>270</v>
      </c>
      <c r="E405">
        <v>4851</v>
      </c>
      <c r="F405" t="s">
        <v>302</v>
      </c>
    </row>
    <row r="406" spans="1:6" x14ac:dyDescent="0.35">
      <c r="A406">
        <v>2009</v>
      </c>
      <c r="B406" t="s">
        <v>291</v>
      </c>
      <c r="C406" t="s">
        <v>425</v>
      </c>
      <c r="D406" t="s">
        <v>247</v>
      </c>
      <c r="E406">
        <v>12669</v>
      </c>
      <c r="F406" t="s">
        <v>302</v>
      </c>
    </row>
    <row r="407" spans="1:6" x14ac:dyDescent="0.35">
      <c r="A407">
        <v>2009</v>
      </c>
      <c r="B407" t="s">
        <v>291</v>
      </c>
      <c r="C407" t="s">
        <v>425</v>
      </c>
      <c r="D407" t="s">
        <v>252</v>
      </c>
      <c r="E407">
        <v>13680</v>
      </c>
      <c r="F407" t="s">
        <v>302</v>
      </c>
    </row>
    <row r="408" spans="1:6" x14ac:dyDescent="0.35">
      <c r="A408">
        <v>2009</v>
      </c>
      <c r="B408" t="s">
        <v>291</v>
      </c>
      <c r="C408" t="s">
        <v>425</v>
      </c>
      <c r="D408" t="s">
        <v>272</v>
      </c>
      <c r="E408">
        <v>5475</v>
      </c>
      <c r="F408" t="s">
        <v>302</v>
      </c>
    </row>
    <row r="409" spans="1:6" x14ac:dyDescent="0.35">
      <c r="A409">
        <v>2009</v>
      </c>
      <c r="B409" t="s">
        <v>291</v>
      </c>
      <c r="C409" t="s">
        <v>425</v>
      </c>
      <c r="D409" t="s">
        <v>417</v>
      </c>
      <c r="E409">
        <v>3345</v>
      </c>
      <c r="F409" t="s">
        <v>302</v>
      </c>
    </row>
    <row r="410" spans="1:6" x14ac:dyDescent="0.35">
      <c r="A410">
        <v>2009</v>
      </c>
      <c r="B410" t="s">
        <v>291</v>
      </c>
      <c r="C410" t="s">
        <v>425</v>
      </c>
      <c r="D410" t="s">
        <v>269</v>
      </c>
      <c r="E410">
        <v>17199</v>
      </c>
      <c r="F410" t="s">
        <v>302</v>
      </c>
    </row>
    <row r="411" spans="1:6" x14ac:dyDescent="0.35">
      <c r="A411">
        <v>2009</v>
      </c>
      <c r="B411" t="s">
        <v>291</v>
      </c>
      <c r="C411" t="s">
        <v>425</v>
      </c>
      <c r="D411" t="s">
        <v>260</v>
      </c>
      <c r="E411">
        <v>5977</v>
      </c>
      <c r="F411" t="s">
        <v>302</v>
      </c>
    </row>
    <row r="412" spans="1:6" x14ac:dyDescent="0.35">
      <c r="A412">
        <v>2009</v>
      </c>
      <c r="B412" t="s">
        <v>291</v>
      </c>
      <c r="C412" t="s">
        <v>425</v>
      </c>
      <c r="D412" t="s">
        <v>235</v>
      </c>
      <c r="E412">
        <v>7768</v>
      </c>
      <c r="F412" t="s">
        <v>302</v>
      </c>
    </row>
    <row r="413" spans="1:6" x14ac:dyDescent="0.35">
      <c r="A413">
        <v>2009</v>
      </c>
      <c r="B413" t="s">
        <v>291</v>
      </c>
      <c r="C413" t="s">
        <v>425</v>
      </c>
      <c r="D413" t="s">
        <v>268</v>
      </c>
      <c r="E413">
        <v>4747</v>
      </c>
      <c r="F413" t="s">
        <v>302</v>
      </c>
    </row>
    <row r="414" spans="1:6" x14ac:dyDescent="0.35">
      <c r="A414">
        <v>2009</v>
      </c>
      <c r="B414" t="s">
        <v>291</v>
      </c>
      <c r="C414" t="s">
        <v>425</v>
      </c>
      <c r="D414" t="s">
        <v>245</v>
      </c>
      <c r="E414">
        <v>2773</v>
      </c>
      <c r="F414" t="s">
        <v>302</v>
      </c>
    </row>
    <row r="415" spans="1:6" x14ac:dyDescent="0.35">
      <c r="A415">
        <v>2009</v>
      </c>
      <c r="B415" t="s">
        <v>291</v>
      </c>
      <c r="C415" t="s">
        <v>425</v>
      </c>
      <c r="D415" t="s">
        <v>246</v>
      </c>
      <c r="E415">
        <v>3979</v>
      </c>
      <c r="F415" t="s">
        <v>302</v>
      </c>
    </row>
    <row r="416" spans="1:6" x14ac:dyDescent="0.35">
      <c r="A416">
        <v>2009</v>
      </c>
      <c r="B416" t="s">
        <v>291</v>
      </c>
      <c r="C416" t="s">
        <v>425</v>
      </c>
      <c r="D416" t="s">
        <v>259</v>
      </c>
      <c r="E416">
        <v>14626</v>
      </c>
      <c r="F416" t="s">
        <v>302</v>
      </c>
    </row>
    <row r="417" spans="1:6" x14ac:dyDescent="0.35">
      <c r="A417">
        <v>2009</v>
      </c>
      <c r="B417" t="s">
        <v>291</v>
      </c>
      <c r="C417" t="s">
        <v>425</v>
      </c>
      <c r="D417" t="s">
        <v>234</v>
      </c>
      <c r="E417">
        <v>659</v>
      </c>
      <c r="F417" t="s">
        <v>302</v>
      </c>
    </row>
    <row r="418" spans="1:6" x14ac:dyDescent="0.35">
      <c r="A418">
        <v>2009</v>
      </c>
      <c r="B418" t="s">
        <v>291</v>
      </c>
      <c r="C418" t="s">
        <v>425</v>
      </c>
      <c r="D418" t="s">
        <v>273</v>
      </c>
      <c r="E418">
        <v>21</v>
      </c>
      <c r="F418" t="s">
        <v>302</v>
      </c>
    </row>
    <row r="419" spans="1:6" x14ac:dyDescent="0.35">
      <c r="A419">
        <v>2009</v>
      </c>
      <c r="B419" t="s">
        <v>291</v>
      </c>
      <c r="C419" t="s">
        <v>425</v>
      </c>
      <c r="D419" t="s">
        <v>240</v>
      </c>
      <c r="E419">
        <v>5743</v>
      </c>
      <c r="F419" t="s">
        <v>302</v>
      </c>
    </row>
    <row r="420" spans="1:6" x14ac:dyDescent="0.35">
      <c r="A420">
        <v>2009</v>
      </c>
      <c r="B420" t="s">
        <v>291</v>
      </c>
      <c r="C420" t="s">
        <v>425</v>
      </c>
      <c r="D420" t="s">
        <v>419</v>
      </c>
      <c r="E420">
        <v>8711</v>
      </c>
      <c r="F420" t="s">
        <v>302</v>
      </c>
    </row>
    <row r="421" spans="1:6" x14ac:dyDescent="0.35">
      <c r="A421">
        <v>2009</v>
      </c>
      <c r="B421" t="s">
        <v>291</v>
      </c>
      <c r="C421" t="s">
        <v>425</v>
      </c>
      <c r="D421" t="s">
        <v>244</v>
      </c>
      <c r="E421">
        <v>7121</v>
      </c>
      <c r="F421" t="s">
        <v>302</v>
      </c>
    </row>
    <row r="422" spans="1:6" x14ac:dyDescent="0.35">
      <c r="A422">
        <v>2009</v>
      </c>
      <c r="B422" t="s">
        <v>291</v>
      </c>
      <c r="C422" t="s">
        <v>425</v>
      </c>
      <c r="D422" t="s">
        <v>229</v>
      </c>
      <c r="E422">
        <v>12031</v>
      </c>
      <c r="F422" t="s">
        <v>302</v>
      </c>
    </row>
    <row r="423" spans="1:6" x14ac:dyDescent="0.35">
      <c r="A423">
        <v>2009</v>
      </c>
      <c r="B423" t="s">
        <v>291</v>
      </c>
      <c r="C423" t="s">
        <v>425</v>
      </c>
      <c r="D423" t="s">
        <v>265</v>
      </c>
      <c r="E423">
        <v>4508</v>
      </c>
      <c r="F423" t="s">
        <v>302</v>
      </c>
    </row>
    <row r="424" spans="1:6" x14ac:dyDescent="0.35">
      <c r="A424">
        <v>2009</v>
      </c>
      <c r="B424" t="s">
        <v>291</v>
      </c>
      <c r="C424" t="s">
        <v>425</v>
      </c>
      <c r="D424" t="s">
        <v>248</v>
      </c>
      <c r="E424">
        <v>2688</v>
      </c>
      <c r="F424" t="s">
        <v>302</v>
      </c>
    </row>
    <row r="425" spans="1:6" x14ac:dyDescent="0.35">
      <c r="A425">
        <v>2009</v>
      </c>
      <c r="B425" t="s">
        <v>291</v>
      </c>
      <c r="C425" t="s">
        <v>425</v>
      </c>
      <c r="D425" t="s">
        <v>267</v>
      </c>
      <c r="E425">
        <v>13031</v>
      </c>
      <c r="F425" t="s">
        <v>302</v>
      </c>
    </row>
    <row r="426" spans="1:6" x14ac:dyDescent="0.35">
      <c r="A426">
        <v>2009</v>
      </c>
      <c r="B426" t="s">
        <v>291</v>
      </c>
      <c r="C426" t="s">
        <v>425</v>
      </c>
      <c r="D426" t="s">
        <v>249</v>
      </c>
      <c r="E426">
        <v>6767</v>
      </c>
      <c r="F426" t="s">
        <v>302</v>
      </c>
    </row>
    <row r="427" spans="1:6" x14ac:dyDescent="0.35">
      <c r="A427">
        <v>2009</v>
      </c>
      <c r="B427" t="s">
        <v>291</v>
      </c>
      <c r="C427" t="s">
        <v>425</v>
      </c>
      <c r="D427" t="s">
        <v>266</v>
      </c>
      <c r="E427">
        <v>4883</v>
      </c>
      <c r="F427" t="s">
        <v>302</v>
      </c>
    </row>
    <row r="428" spans="1:6" x14ac:dyDescent="0.35">
      <c r="A428">
        <v>2009</v>
      </c>
      <c r="B428" t="s">
        <v>291</v>
      </c>
      <c r="C428" t="s">
        <v>425</v>
      </c>
      <c r="D428" t="s">
        <v>239</v>
      </c>
      <c r="E428">
        <v>15441</v>
      </c>
      <c r="F428" t="s">
        <v>302</v>
      </c>
    </row>
    <row r="429" spans="1:6" x14ac:dyDescent="0.35">
      <c r="A429">
        <v>2009</v>
      </c>
      <c r="B429" t="s">
        <v>291</v>
      </c>
      <c r="C429" t="s">
        <v>425</v>
      </c>
      <c r="D429" t="s">
        <v>254</v>
      </c>
      <c r="E429">
        <v>7002</v>
      </c>
      <c r="F429" t="s">
        <v>302</v>
      </c>
    </row>
    <row r="430" spans="1:6" x14ac:dyDescent="0.35">
      <c r="A430">
        <v>2009</v>
      </c>
      <c r="B430" t="s">
        <v>291</v>
      </c>
      <c r="C430" t="s">
        <v>425</v>
      </c>
      <c r="D430" t="s">
        <v>39</v>
      </c>
      <c r="E430">
        <v>126225</v>
      </c>
      <c r="F430" t="s">
        <v>302</v>
      </c>
    </row>
    <row r="431" spans="1:6" x14ac:dyDescent="0.35">
      <c r="A431">
        <v>2009</v>
      </c>
      <c r="B431" t="s">
        <v>290</v>
      </c>
      <c r="C431" t="s">
        <v>426</v>
      </c>
      <c r="D431" t="s">
        <v>418</v>
      </c>
      <c r="E431">
        <v>10</v>
      </c>
      <c r="F431" t="s">
        <v>301</v>
      </c>
    </row>
    <row r="432" spans="1:6" x14ac:dyDescent="0.35">
      <c r="A432">
        <v>2009</v>
      </c>
      <c r="B432" t="s">
        <v>290</v>
      </c>
      <c r="C432" t="s">
        <v>425</v>
      </c>
      <c r="D432" t="s">
        <v>253</v>
      </c>
      <c r="E432">
        <v>293</v>
      </c>
      <c r="F432" t="s">
        <v>301</v>
      </c>
    </row>
    <row r="433" spans="1:6" x14ac:dyDescent="0.35">
      <c r="A433">
        <v>2009</v>
      </c>
      <c r="B433" t="s">
        <v>290</v>
      </c>
      <c r="C433" t="s">
        <v>425</v>
      </c>
      <c r="D433" t="s">
        <v>244</v>
      </c>
      <c r="E433">
        <v>1506</v>
      </c>
      <c r="F433" t="s">
        <v>301</v>
      </c>
    </row>
    <row r="434" spans="1:6" x14ac:dyDescent="0.35">
      <c r="A434">
        <v>2009</v>
      </c>
      <c r="B434" t="s">
        <v>290</v>
      </c>
      <c r="C434" t="s">
        <v>425</v>
      </c>
      <c r="D434" t="s">
        <v>229</v>
      </c>
      <c r="E434">
        <v>567</v>
      </c>
      <c r="F434" t="s">
        <v>301</v>
      </c>
    </row>
    <row r="435" spans="1:6" x14ac:dyDescent="0.35">
      <c r="A435">
        <v>2009</v>
      </c>
      <c r="B435" t="s">
        <v>290</v>
      </c>
      <c r="C435" t="s">
        <v>425</v>
      </c>
      <c r="D435" t="s">
        <v>245</v>
      </c>
      <c r="E435">
        <v>403</v>
      </c>
      <c r="F435" t="s">
        <v>301</v>
      </c>
    </row>
    <row r="436" spans="1:6" x14ac:dyDescent="0.35">
      <c r="A436">
        <v>2009</v>
      </c>
      <c r="B436" t="s">
        <v>290</v>
      </c>
      <c r="C436" t="s">
        <v>425</v>
      </c>
      <c r="D436" t="s">
        <v>254</v>
      </c>
      <c r="E436">
        <v>835</v>
      </c>
      <c r="F436" t="s">
        <v>301</v>
      </c>
    </row>
    <row r="437" spans="1:6" x14ac:dyDescent="0.35">
      <c r="A437">
        <v>2009</v>
      </c>
      <c r="B437" t="s">
        <v>290</v>
      </c>
      <c r="C437" t="s">
        <v>425</v>
      </c>
      <c r="D437" t="s">
        <v>270</v>
      </c>
      <c r="E437">
        <v>825</v>
      </c>
      <c r="F437" t="s">
        <v>301</v>
      </c>
    </row>
    <row r="438" spans="1:6" x14ac:dyDescent="0.35">
      <c r="A438">
        <v>2009</v>
      </c>
      <c r="B438" t="s">
        <v>290</v>
      </c>
      <c r="C438" t="s">
        <v>425</v>
      </c>
      <c r="D438" t="s">
        <v>255</v>
      </c>
      <c r="E438">
        <v>661</v>
      </c>
      <c r="F438" t="s">
        <v>301</v>
      </c>
    </row>
    <row r="439" spans="1:6" x14ac:dyDescent="0.35">
      <c r="A439">
        <v>2009</v>
      </c>
      <c r="B439" t="s">
        <v>290</v>
      </c>
      <c r="C439" t="s">
        <v>425</v>
      </c>
      <c r="D439" t="s">
        <v>269</v>
      </c>
      <c r="E439">
        <v>1175</v>
      </c>
      <c r="F439" t="s">
        <v>301</v>
      </c>
    </row>
    <row r="440" spans="1:6" x14ac:dyDescent="0.35">
      <c r="A440">
        <v>2009</v>
      </c>
      <c r="B440" t="s">
        <v>290</v>
      </c>
      <c r="C440" t="s">
        <v>425</v>
      </c>
      <c r="D440" t="s">
        <v>252</v>
      </c>
      <c r="E440">
        <v>715</v>
      </c>
      <c r="F440" t="s">
        <v>301</v>
      </c>
    </row>
    <row r="441" spans="1:6" x14ac:dyDescent="0.35">
      <c r="A441">
        <v>2009</v>
      </c>
      <c r="B441" t="s">
        <v>290</v>
      </c>
      <c r="C441" t="s">
        <v>425</v>
      </c>
      <c r="D441" t="s">
        <v>235</v>
      </c>
      <c r="E441">
        <v>586</v>
      </c>
      <c r="F441" t="s">
        <v>301</v>
      </c>
    </row>
    <row r="442" spans="1:6" x14ac:dyDescent="0.35">
      <c r="A442">
        <v>2009</v>
      </c>
      <c r="B442" t="s">
        <v>290</v>
      </c>
      <c r="C442" t="s">
        <v>425</v>
      </c>
      <c r="D442" t="s">
        <v>266</v>
      </c>
      <c r="E442">
        <v>1057</v>
      </c>
      <c r="F442" t="s">
        <v>301</v>
      </c>
    </row>
    <row r="443" spans="1:6" x14ac:dyDescent="0.35">
      <c r="A443">
        <v>2009</v>
      </c>
      <c r="B443" t="s">
        <v>290</v>
      </c>
      <c r="C443" t="s">
        <v>425</v>
      </c>
      <c r="D443" t="s">
        <v>259</v>
      </c>
      <c r="E443">
        <v>641</v>
      </c>
      <c r="F443" t="s">
        <v>301</v>
      </c>
    </row>
    <row r="444" spans="1:6" x14ac:dyDescent="0.35">
      <c r="A444">
        <v>2009</v>
      </c>
      <c r="B444" t="s">
        <v>290</v>
      </c>
      <c r="C444" t="s">
        <v>425</v>
      </c>
      <c r="D444" t="s">
        <v>260</v>
      </c>
      <c r="E444">
        <v>1196</v>
      </c>
      <c r="F444" t="s">
        <v>301</v>
      </c>
    </row>
    <row r="445" spans="1:6" x14ac:dyDescent="0.35">
      <c r="A445">
        <v>2009</v>
      </c>
      <c r="B445" t="s">
        <v>290</v>
      </c>
      <c r="C445" t="s">
        <v>425</v>
      </c>
      <c r="D445" t="s">
        <v>265</v>
      </c>
      <c r="E445">
        <v>365</v>
      </c>
      <c r="F445" t="s">
        <v>301</v>
      </c>
    </row>
    <row r="446" spans="1:6" x14ac:dyDescent="0.35">
      <c r="A446">
        <v>2009</v>
      </c>
      <c r="B446" t="s">
        <v>290</v>
      </c>
      <c r="C446" t="s">
        <v>425</v>
      </c>
      <c r="D446" t="s">
        <v>250</v>
      </c>
      <c r="E446">
        <v>572</v>
      </c>
      <c r="F446" t="s">
        <v>301</v>
      </c>
    </row>
    <row r="447" spans="1:6" x14ac:dyDescent="0.35">
      <c r="A447">
        <v>2009</v>
      </c>
      <c r="B447" t="s">
        <v>290</v>
      </c>
      <c r="C447" t="s">
        <v>425</v>
      </c>
      <c r="D447" t="s">
        <v>240</v>
      </c>
      <c r="E447">
        <v>1630</v>
      </c>
      <c r="F447" t="s">
        <v>301</v>
      </c>
    </row>
    <row r="448" spans="1:6" x14ac:dyDescent="0.35">
      <c r="A448">
        <v>2009</v>
      </c>
      <c r="B448" t="s">
        <v>290</v>
      </c>
      <c r="C448" t="s">
        <v>425</v>
      </c>
      <c r="D448" t="s">
        <v>417</v>
      </c>
      <c r="E448">
        <v>499</v>
      </c>
      <c r="F448" t="s">
        <v>301</v>
      </c>
    </row>
    <row r="449" spans="1:6" x14ac:dyDescent="0.35">
      <c r="A449">
        <v>2009</v>
      </c>
      <c r="B449" t="s">
        <v>290</v>
      </c>
      <c r="C449" t="s">
        <v>425</v>
      </c>
      <c r="D449" t="s">
        <v>239</v>
      </c>
      <c r="E449">
        <v>763</v>
      </c>
      <c r="F449" t="s">
        <v>301</v>
      </c>
    </row>
    <row r="450" spans="1:6" x14ac:dyDescent="0.35">
      <c r="A450">
        <v>2009</v>
      </c>
      <c r="B450" t="s">
        <v>290</v>
      </c>
      <c r="C450" t="s">
        <v>425</v>
      </c>
      <c r="D450" t="s">
        <v>261</v>
      </c>
      <c r="E450">
        <v>215</v>
      </c>
      <c r="F450" t="s">
        <v>301</v>
      </c>
    </row>
    <row r="451" spans="1:6" x14ac:dyDescent="0.35">
      <c r="A451">
        <v>2009</v>
      </c>
      <c r="B451" t="s">
        <v>290</v>
      </c>
      <c r="C451" t="s">
        <v>425</v>
      </c>
      <c r="D451" t="s">
        <v>249</v>
      </c>
      <c r="E451">
        <v>1164</v>
      </c>
      <c r="F451" t="s">
        <v>301</v>
      </c>
    </row>
    <row r="452" spans="1:6" x14ac:dyDescent="0.35">
      <c r="A452">
        <v>2009</v>
      </c>
      <c r="B452" t="s">
        <v>290</v>
      </c>
      <c r="C452" t="s">
        <v>425</v>
      </c>
      <c r="D452" t="s">
        <v>248</v>
      </c>
      <c r="E452">
        <v>1139</v>
      </c>
      <c r="F452" t="s">
        <v>301</v>
      </c>
    </row>
    <row r="453" spans="1:6" x14ac:dyDescent="0.35">
      <c r="A453">
        <v>2009</v>
      </c>
      <c r="B453" t="s">
        <v>290</v>
      </c>
      <c r="C453" t="s">
        <v>425</v>
      </c>
      <c r="D453" t="s">
        <v>247</v>
      </c>
      <c r="E453">
        <v>1946</v>
      </c>
      <c r="F453" t="s">
        <v>301</v>
      </c>
    </row>
    <row r="454" spans="1:6" x14ac:dyDescent="0.35">
      <c r="A454">
        <v>2009</v>
      </c>
      <c r="B454" t="s">
        <v>290</v>
      </c>
      <c r="C454" t="s">
        <v>425</v>
      </c>
      <c r="D454" t="s">
        <v>267</v>
      </c>
      <c r="E454">
        <v>1044</v>
      </c>
      <c r="F454" t="s">
        <v>301</v>
      </c>
    </row>
    <row r="455" spans="1:6" x14ac:dyDescent="0.35">
      <c r="A455">
        <v>2009</v>
      </c>
      <c r="B455" t="s">
        <v>290</v>
      </c>
      <c r="C455" t="s">
        <v>425</v>
      </c>
      <c r="D455" t="s">
        <v>268</v>
      </c>
      <c r="E455">
        <v>591</v>
      </c>
      <c r="F455" t="s">
        <v>301</v>
      </c>
    </row>
    <row r="456" spans="1:6" x14ac:dyDescent="0.35">
      <c r="A456">
        <v>2009</v>
      </c>
      <c r="B456" t="s">
        <v>290</v>
      </c>
      <c r="C456" t="s">
        <v>425</v>
      </c>
      <c r="D456" t="s">
        <v>246</v>
      </c>
      <c r="E456">
        <v>596</v>
      </c>
      <c r="F456" t="s">
        <v>301</v>
      </c>
    </row>
    <row r="457" spans="1:6" x14ac:dyDescent="0.35">
      <c r="A457">
        <v>2009</v>
      </c>
      <c r="B457" t="s">
        <v>290</v>
      </c>
      <c r="C457" t="s">
        <v>425</v>
      </c>
      <c r="D457" t="s">
        <v>234</v>
      </c>
      <c r="E457">
        <v>257</v>
      </c>
      <c r="F457" t="s">
        <v>301</v>
      </c>
    </row>
    <row r="458" spans="1:6" x14ac:dyDescent="0.35">
      <c r="A458">
        <v>2010</v>
      </c>
      <c r="B458" t="s">
        <v>288</v>
      </c>
      <c r="C458" t="s">
        <v>232</v>
      </c>
      <c r="D458" t="s">
        <v>405</v>
      </c>
      <c r="E458">
        <v>673</v>
      </c>
      <c r="F458" t="s">
        <v>299</v>
      </c>
    </row>
    <row r="459" spans="1:6" x14ac:dyDescent="0.35">
      <c r="A459">
        <v>2010</v>
      </c>
      <c r="B459" t="s">
        <v>288</v>
      </c>
      <c r="C459" t="s">
        <v>232</v>
      </c>
      <c r="D459" t="s">
        <v>410</v>
      </c>
      <c r="E459">
        <v>56</v>
      </c>
      <c r="F459" t="s">
        <v>299</v>
      </c>
    </row>
    <row r="460" spans="1:6" x14ac:dyDescent="0.35">
      <c r="A460">
        <v>2010</v>
      </c>
      <c r="B460" t="s">
        <v>288</v>
      </c>
      <c r="C460" t="s">
        <v>232</v>
      </c>
      <c r="D460" t="s">
        <v>409</v>
      </c>
      <c r="E460">
        <v>290</v>
      </c>
      <c r="F460" t="s">
        <v>299</v>
      </c>
    </row>
    <row r="461" spans="1:6" x14ac:dyDescent="0.35">
      <c r="A461">
        <v>2010</v>
      </c>
      <c r="B461" t="s">
        <v>288</v>
      </c>
      <c r="C461" t="s">
        <v>232</v>
      </c>
      <c r="D461" t="s">
        <v>408</v>
      </c>
      <c r="E461">
        <v>543</v>
      </c>
      <c r="F461" t="s">
        <v>299</v>
      </c>
    </row>
    <row r="462" spans="1:6" x14ac:dyDescent="0.35">
      <c r="A462">
        <v>2010</v>
      </c>
      <c r="B462" t="s">
        <v>288</v>
      </c>
      <c r="C462" t="s">
        <v>232</v>
      </c>
      <c r="D462" t="s">
        <v>406</v>
      </c>
      <c r="E462">
        <v>2422</v>
      </c>
      <c r="F462" t="s">
        <v>299</v>
      </c>
    </row>
    <row r="463" spans="1:6" x14ac:dyDescent="0.35">
      <c r="A463">
        <v>2010</v>
      </c>
      <c r="B463" t="s">
        <v>288</v>
      </c>
      <c r="C463" t="s">
        <v>232</v>
      </c>
      <c r="D463" t="s">
        <v>427</v>
      </c>
      <c r="F463" t="s">
        <v>299</v>
      </c>
    </row>
    <row r="464" spans="1:6" x14ac:dyDescent="0.35">
      <c r="A464">
        <v>2010</v>
      </c>
      <c r="B464" t="s">
        <v>288</v>
      </c>
      <c r="C464" t="s">
        <v>232</v>
      </c>
      <c r="D464" t="s">
        <v>415</v>
      </c>
      <c r="E464">
        <v>356</v>
      </c>
      <c r="F464" t="s">
        <v>299</v>
      </c>
    </row>
    <row r="465" spans="1:6" x14ac:dyDescent="0.35">
      <c r="A465">
        <v>2010</v>
      </c>
      <c r="B465" t="s">
        <v>288</v>
      </c>
      <c r="C465" t="s">
        <v>232</v>
      </c>
      <c r="D465" t="s">
        <v>407</v>
      </c>
      <c r="E465">
        <v>1669</v>
      </c>
      <c r="F465" t="s">
        <v>299</v>
      </c>
    </row>
    <row r="466" spans="1:6" x14ac:dyDescent="0.35">
      <c r="A466">
        <v>2010</v>
      </c>
      <c r="B466" t="s">
        <v>288</v>
      </c>
      <c r="C466" t="s">
        <v>232</v>
      </c>
      <c r="D466" t="s">
        <v>416</v>
      </c>
      <c r="E466">
        <v>1422</v>
      </c>
      <c r="F466" t="s">
        <v>299</v>
      </c>
    </row>
    <row r="467" spans="1:6" x14ac:dyDescent="0.35">
      <c r="A467">
        <v>2010</v>
      </c>
      <c r="B467" t="s">
        <v>288</v>
      </c>
      <c r="C467" t="s">
        <v>232</v>
      </c>
      <c r="D467" t="s">
        <v>412</v>
      </c>
      <c r="E467">
        <v>4651</v>
      </c>
      <c r="F467" t="s">
        <v>299</v>
      </c>
    </row>
    <row r="468" spans="1:6" x14ac:dyDescent="0.35">
      <c r="A468">
        <v>2010</v>
      </c>
      <c r="B468" t="s">
        <v>288</v>
      </c>
      <c r="C468" t="s">
        <v>232</v>
      </c>
      <c r="D468" t="s">
        <v>413</v>
      </c>
      <c r="E468">
        <v>3171</v>
      </c>
      <c r="F468" t="s">
        <v>299</v>
      </c>
    </row>
    <row r="469" spans="1:6" x14ac:dyDescent="0.35">
      <c r="A469">
        <v>2010</v>
      </c>
      <c r="B469" t="s">
        <v>288</v>
      </c>
      <c r="C469" t="s">
        <v>232</v>
      </c>
      <c r="D469" t="s">
        <v>414</v>
      </c>
      <c r="E469">
        <v>398</v>
      </c>
      <c r="F469" t="s">
        <v>299</v>
      </c>
    </row>
    <row r="470" spans="1:6" x14ac:dyDescent="0.35">
      <c r="A470">
        <v>2010</v>
      </c>
      <c r="B470" t="s">
        <v>288</v>
      </c>
      <c r="C470" t="s">
        <v>232</v>
      </c>
      <c r="D470" t="s">
        <v>232</v>
      </c>
      <c r="E470">
        <v>15651</v>
      </c>
      <c r="F470" t="s">
        <v>299</v>
      </c>
    </row>
    <row r="471" spans="1:6" x14ac:dyDescent="0.35">
      <c r="A471">
        <v>2010</v>
      </c>
      <c r="B471" t="s">
        <v>288</v>
      </c>
      <c r="C471" t="s">
        <v>222</v>
      </c>
      <c r="D471" t="s">
        <v>222</v>
      </c>
      <c r="E471">
        <v>447731</v>
      </c>
      <c r="F471" t="s">
        <v>299</v>
      </c>
    </row>
    <row r="472" spans="1:6" x14ac:dyDescent="0.35">
      <c r="A472">
        <v>2010</v>
      </c>
      <c r="B472" t="s">
        <v>288</v>
      </c>
      <c r="C472" t="s">
        <v>222</v>
      </c>
      <c r="D472" t="s">
        <v>397</v>
      </c>
      <c r="E472">
        <v>14694</v>
      </c>
      <c r="F472" t="s">
        <v>299</v>
      </c>
    </row>
    <row r="473" spans="1:6" x14ac:dyDescent="0.35">
      <c r="A473">
        <v>2010</v>
      </c>
      <c r="B473" t="s">
        <v>288</v>
      </c>
      <c r="C473" t="s">
        <v>222</v>
      </c>
      <c r="D473" t="s">
        <v>428</v>
      </c>
      <c r="E473">
        <v>5288</v>
      </c>
      <c r="F473" t="s">
        <v>299</v>
      </c>
    </row>
    <row r="474" spans="1:6" x14ac:dyDescent="0.35">
      <c r="A474">
        <v>2010</v>
      </c>
      <c r="B474" t="s">
        <v>288</v>
      </c>
      <c r="C474" t="s">
        <v>222</v>
      </c>
      <c r="D474" t="s">
        <v>398</v>
      </c>
      <c r="E474">
        <v>32562</v>
      </c>
      <c r="F474" t="s">
        <v>299</v>
      </c>
    </row>
    <row r="475" spans="1:6" x14ac:dyDescent="0.35">
      <c r="A475">
        <v>2010</v>
      </c>
      <c r="B475" t="s">
        <v>288</v>
      </c>
      <c r="C475" t="s">
        <v>222</v>
      </c>
      <c r="D475" t="s">
        <v>402</v>
      </c>
      <c r="E475">
        <v>68565</v>
      </c>
      <c r="F475" t="s">
        <v>299</v>
      </c>
    </row>
    <row r="476" spans="1:6" x14ac:dyDescent="0.35">
      <c r="A476">
        <v>2010</v>
      </c>
      <c r="B476" t="s">
        <v>288</v>
      </c>
      <c r="C476" t="s">
        <v>222</v>
      </c>
      <c r="D476" t="s">
        <v>401</v>
      </c>
      <c r="E476">
        <v>59766</v>
      </c>
      <c r="F476" t="s">
        <v>299</v>
      </c>
    </row>
    <row r="477" spans="1:6" x14ac:dyDescent="0.35">
      <c r="A477">
        <v>2010</v>
      </c>
      <c r="B477" t="s">
        <v>288</v>
      </c>
      <c r="C477" t="s">
        <v>222</v>
      </c>
      <c r="D477" t="s">
        <v>404</v>
      </c>
      <c r="E477">
        <v>7116</v>
      </c>
      <c r="F477" t="s">
        <v>299</v>
      </c>
    </row>
    <row r="478" spans="1:6" x14ac:dyDescent="0.35">
      <c r="A478">
        <v>2010</v>
      </c>
      <c r="B478" t="s">
        <v>288</v>
      </c>
      <c r="C478" t="s">
        <v>222</v>
      </c>
      <c r="D478" t="s">
        <v>399</v>
      </c>
      <c r="E478">
        <v>12251</v>
      </c>
      <c r="F478" t="s">
        <v>299</v>
      </c>
    </row>
    <row r="479" spans="1:6" x14ac:dyDescent="0.35">
      <c r="A479">
        <v>2010</v>
      </c>
      <c r="B479" t="s">
        <v>288</v>
      </c>
      <c r="C479" t="s">
        <v>222</v>
      </c>
      <c r="D479" t="s">
        <v>400</v>
      </c>
      <c r="E479">
        <v>35287</v>
      </c>
      <c r="F479" t="s">
        <v>299</v>
      </c>
    </row>
    <row r="480" spans="1:6" x14ac:dyDescent="0.35">
      <c r="A480">
        <v>2010</v>
      </c>
      <c r="B480" t="s">
        <v>288</v>
      </c>
      <c r="C480" t="s">
        <v>222</v>
      </c>
      <c r="D480" t="s">
        <v>403</v>
      </c>
      <c r="E480">
        <v>212202</v>
      </c>
      <c r="F480" t="s">
        <v>299</v>
      </c>
    </row>
    <row r="481" spans="1:6" x14ac:dyDescent="0.35">
      <c r="A481">
        <v>2010</v>
      </c>
      <c r="B481" t="s">
        <v>291</v>
      </c>
      <c r="C481" t="s">
        <v>425</v>
      </c>
      <c r="D481" t="s">
        <v>273</v>
      </c>
      <c r="E481">
        <v>15</v>
      </c>
      <c r="F481" t="s">
        <v>302</v>
      </c>
    </row>
    <row r="482" spans="1:6" x14ac:dyDescent="0.35">
      <c r="A482">
        <v>2010</v>
      </c>
      <c r="B482" t="s">
        <v>291</v>
      </c>
      <c r="C482" t="s">
        <v>425</v>
      </c>
      <c r="D482" t="s">
        <v>245</v>
      </c>
      <c r="E482">
        <v>2973</v>
      </c>
      <c r="F482" t="s">
        <v>302</v>
      </c>
    </row>
    <row r="483" spans="1:6" x14ac:dyDescent="0.35">
      <c r="A483">
        <v>2010</v>
      </c>
      <c r="B483" t="s">
        <v>291</v>
      </c>
      <c r="C483" t="s">
        <v>425</v>
      </c>
      <c r="D483" t="s">
        <v>272</v>
      </c>
      <c r="E483">
        <v>9194</v>
      </c>
      <c r="F483" t="s">
        <v>302</v>
      </c>
    </row>
    <row r="484" spans="1:6" x14ac:dyDescent="0.35">
      <c r="A484">
        <v>2010</v>
      </c>
      <c r="B484" t="s">
        <v>291</v>
      </c>
      <c r="C484" t="s">
        <v>425</v>
      </c>
      <c r="D484" t="s">
        <v>269</v>
      </c>
      <c r="E484">
        <v>24337</v>
      </c>
      <c r="F484" t="s">
        <v>302</v>
      </c>
    </row>
    <row r="485" spans="1:6" x14ac:dyDescent="0.35">
      <c r="A485">
        <v>2010</v>
      </c>
      <c r="B485" t="s">
        <v>291</v>
      </c>
      <c r="C485" t="s">
        <v>425</v>
      </c>
      <c r="D485" t="s">
        <v>39</v>
      </c>
      <c r="E485">
        <v>19524</v>
      </c>
      <c r="F485" t="s">
        <v>302</v>
      </c>
    </row>
    <row r="486" spans="1:6" x14ac:dyDescent="0.35">
      <c r="A486">
        <v>2010</v>
      </c>
      <c r="B486" t="s">
        <v>291</v>
      </c>
      <c r="C486" t="s">
        <v>425</v>
      </c>
      <c r="D486" t="s">
        <v>268</v>
      </c>
      <c r="E486">
        <v>7371</v>
      </c>
      <c r="F486" t="s">
        <v>302</v>
      </c>
    </row>
    <row r="487" spans="1:6" x14ac:dyDescent="0.35">
      <c r="A487">
        <v>2010</v>
      </c>
      <c r="B487" t="s">
        <v>291</v>
      </c>
      <c r="C487" t="s">
        <v>425</v>
      </c>
      <c r="D487" t="s">
        <v>244</v>
      </c>
      <c r="E487">
        <v>21742</v>
      </c>
      <c r="F487" t="s">
        <v>302</v>
      </c>
    </row>
    <row r="488" spans="1:6" x14ac:dyDescent="0.35">
      <c r="A488">
        <v>2010</v>
      </c>
      <c r="B488" t="s">
        <v>291</v>
      </c>
      <c r="C488" t="s">
        <v>425</v>
      </c>
      <c r="D488" t="s">
        <v>249</v>
      </c>
      <c r="E488">
        <v>27748</v>
      </c>
      <c r="F488" t="s">
        <v>302</v>
      </c>
    </row>
    <row r="489" spans="1:6" x14ac:dyDescent="0.35">
      <c r="A489">
        <v>2010</v>
      </c>
      <c r="B489" t="s">
        <v>291</v>
      </c>
      <c r="C489" t="s">
        <v>425</v>
      </c>
      <c r="D489" t="s">
        <v>260</v>
      </c>
      <c r="E489">
        <v>8073</v>
      </c>
      <c r="F489" t="s">
        <v>302</v>
      </c>
    </row>
    <row r="490" spans="1:6" x14ac:dyDescent="0.35">
      <c r="A490">
        <v>2010</v>
      </c>
      <c r="B490" t="s">
        <v>291</v>
      </c>
      <c r="C490" t="s">
        <v>425</v>
      </c>
      <c r="D490" t="s">
        <v>266</v>
      </c>
      <c r="E490">
        <v>5358</v>
      </c>
      <c r="F490" t="s">
        <v>302</v>
      </c>
    </row>
    <row r="491" spans="1:6" x14ac:dyDescent="0.35">
      <c r="A491">
        <v>2010</v>
      </c>
      <c r="B491" t="s">
        <v>291</v>
      </c>
      <c r="C491" t="s">
        <v>425</v>
      </c>
      <c r="D491" t="s">
        <v>247</v>
      </c>
      <c r="E491">
        <v>19272</v>
      </c>
      <c r="F491" t="s">
        <v>302</v>
      </c>
    </row>
    <row r="492" spans="1:6" x14ac:dyDescent="0.35">
      <c r="A492">
        <v>2010</v>
      </c>
      <c r="B492" t="s">
        <v>291</v>
      </c>
      <c r="C492" t="s">
        <v>425</v>
      </c>
      <c r="D492" t="s">
        <v>252</v>
      </c>
      <c r="E492">
        <v>28972</v>
      </c>
      <c r="F492" t="s">
        <v>302</v>
      </c>
    </row>
    <row r="493" spans="1:6" x14ac:dyDescent="0.35">
      <c r="A493">
        <v>2010</v>
      </c>
      <c r="B493" t="s">
        <v>291</v>
      </c>
      <c r="C493" t="s">
        <v>425</v>
      </c>
      <c r="D493" t="s">
        <v>417</v>
      </c>
      <c r="E493">
        <v>6432</v>
      </c>
      <c r="F493" t="s">
        <v>302</v>
      </c>
    </row>
    <row r="494" spans="1:6" x14ac:dyDescent="0.35">
      <c r="A494">
        <v>2010</v>
      </c>
      <c r="B494" t="s">
        <v>291</v>
      </c>
      <c r="C494" t="s">
        <v>425</v>
      </c>
      <c r="D494" t="s">
        <v>239</v>
      </c>
      <c r="E494">
        <v>13656</v>
      </c>
      <c r="F494" t="s">
        <v>302</v>
      </c>
    </row>
    <row r="495" spans="1:6" x14ac:dyDescent="0.35">
      <c r="A495">
        <v>2010</v>
      </c>
      <c r="B495" t="s">
        <v>291</v>
      </c>
      <c r="C495" t="s">
        <v>425</v>
      </c>
      <c r="D495" t="s">
        <v>254</v>
      </c>
      <c r="E495">
        <v>10246</v>
      </c>
      <c r="F495" t="s">
        <v>302</v>
      </c>
    </row>
    <row r="496" spans="1:6" x14ac:dyDescent="0.35">
      <c r="A496">
        <v>2010</v>
      </c>
      <c r="B496" t="s">
        <v>291</v>
      </c>
      <c r="C496" t="s">
        <v>425</v>
      </c>
      <c r="D496" t="s">
        <v>259</v>
      </c>
      <c r="E496">
        <v>16548</v>
      </c>
      <c r="F496" t="s">
        <v>302</v>
      </c>
    </row>
    <row r="497" spans="1:6" x14ac:dyDescent="0.35">
      <c r="A497">
        <v>2010</v>
      </c>
      <c r="B497" t="s">
        <v>291</v>
      </c>
      <c r="C497" t="s">
        <v>425</v>
      </c>
      <c r="D497" t="s">
        <v>229</v>
      </c>
      <c r="E497">
        <v>10608</v>
      </c>
      <c r="F497" t="s">
        <v>302</v>
      </c>
    </row>
    <row r="498" spans="1:6" x14ac:dyDescent="0.35">
      <c r="A498">
        <v>2010</v>
      </c>
      <c r="B498" t="s">
        <v>291</v>
      </c>
      <c r="C498" t="s">
        <v>425</v>
      </c>
      <c r="D498" t="s">
        <v>240</v>
      </c>
      <c r="E498">
        <v>12179</v>
      </c>
      <c r="F498" t="s">
        <v>302</v>
      </c>
    </row>
    <row r="499" spans="1:6" x14ac:dyDescent="0.35">
      <c r="A499">
        <v>2010</v>
      </c>
      <c r="B499" t="s">
        <v>291</v>
      </c>
      <c r="C499" t="s">
        <v>425</v>
      </c>
      <c r="D499" t="s">
        <v>246</v>
      </c>
      <c r="E499">
        <v>5107</v>
      </c>
      <c r="F499" t="s">
        <v>302</v>
      </c>
    </row>
    <row r="500" spans="1:6" x14ac:dyDescent="0.35">
      <c r="A500">
        <v>2010</v>
      </c>
      <c r="B500" t="s">
        <v>291</v>
      </c>
      <c r="C500" t="s">
        <v>425</v>
      </c>
      <c r="D500" t="s">
        <v>234</v>
      </c>
      <c r="E500">
        <v>1169</v>
      </c>
      <c r="F500" t="s">
        <v>302</v>
      </c>
    </row>
    <row r="501" spans="1:6" x14ac:dyDescent="0.35">
      <c r="A501">
        <v>2010</v>
      </c>
      <c r="B501" t="s">
        <v>291</v>
      </c>
      <c r="C501" t="s">
        <v>425</v>
      </c>
      <c r="D501" t="s">
        <v>248</v>
      </c>
      <c r="E501">
        <v>19052</v>
      </c>
      <c r="F501" t="s">
        <v>302</v>
      </c>
    </row>
    <row r="502" spans="1:6" x14ac:dyDescent="0.35">
      <c r="A502">
        <v>2010</v>
      </c>
      <c r="B502" t="s">
        <v>291</v>
      </c>
      <c r="C502" t="s">
        <v>425</v>
      </c>
      <c r="D502" t="s">
        <v>235</v>
      </c>
      <c r="E502">
        <v>7781</v>
      </c>
      <c r="F502" t="s">
        <v>302</v>
      </c>
    </row>
    <row r="503" spans="1:6" x14ac:dyDescent="0.35">
      <c r="A503">
        <v>2010</v>
      </c>
      <c r="B503" t="s">
        <v>291</v>
      </c>
      <c r="C503" t="s">
        <v>425</v>
      </c>
      <c r="D503" t="s">
        <v>270</v>
      </c>
      <c r="E503">
        <v>5069</v>
      </c>
      <c r="F503" t="s">
        <v>302</v>
      </c>
    </row>
    <row r="504" spans="1:6" x14ac:dyDescent="0.35">
      <c r="A504">
        <v>2010</v>
      </c>
      <c r="B504" t="s">
        <v>291</v>
      </c>
      <c r="C504" t="s">
        <v>425</v>
      </c>
      <c r="D504" t="s">
        <v>419</v>
      </c>
      <c r="E504">
        <v>9346</v>
      </c>
      <c r="F504" t="s">
        <v>302</v>
      </c>
    </row>
    <row r="505" spans="1:6" x14ac:dyDescent="0.35">
      <c r="A505">
        <v>2010</v>
      </c>
      <c r="B505" t="s">
        <v>291</v>
      </c>
      <c r="C505" t="s">
        <v>425</v>
      </c>
      <c r="D505" t="s">
        <v>265</v>
      </c>
      <c r="E505">
        <v>5585</v>
      </c>
      <c r="F505" t="s">
        <v>302</v>
      </c>
    </row>
    <row r="506" spans="1:6" x14ac:dyDescent="0.35">
      <c r="A506">
        <v>2010</v>
      </c>
      <c r="B506" t="s">
        <v>291</v>
      </c>
      <c r="C506" t="s">
        <v>425</v>
      </c>
      <c r="D506" t="s">
        <v>267</v>
      </c>
      <c r="E506">
        <v>17558</v>
      </c>
      <c r="F506" t="s">
        <v>302</v>
      </c>
    </row>
    <row r="507" spans="1:6" x14ac:dyDescent="0.35">
      <c r="A507">
        <v>2010</v>
      </c>
      <c r="B507" t="s">
        <v>290</v>
      </c>
      <c r="C507" t="s">
        <v>426</v>
      </c>
      <c r="D507" t="s">
        <v>418</v>
      </c>
      <c r="E507">
        <v>10</v>
      </c>
      <c r="F507" t="s">
        <v>301</v>
      </c>
    </row>
    <row r="508" spans="1:6" x14ac:dyDescent="0.35">
      <c r="A508">
        <v>2010</v>
      </c>
      <c r="B508" t="s">
        <v>290</v>
      </c>
      <c r="C508" t="s">
        <v>425</v>
      </c>
      <c r="D508" t="s">
        <v>267</v>
      </c>
      <c r="E508">
        <v>654</v>
      </c>
      <c r="F508" t="s">
        <v>301</v>
      </c>
    </row>
    <row r="509" spans="1:6" x14ac:dyDescent="0.35">
      <c r="A509">
        <v>2010</v>
      </c>
      <c r="B509" t="s">
        <v>290</v>
      </c>
      <c r="C509" t="s">
        <v>425</v>
      </c>
      <c r="D509" t="s">
        <v>417</v>
      </c>
      <c r="E509">
        <v>508</v>
      </c>
      <c r="F509" t="s">
        <v>301</v>
      </c>
    </row>
    <row r="510" spans="1:6" x14ac:dyDescent="0.35">
      <c r="A510">
        <v>2010</v>
      </c>
      <c r="B510" t="s">
        <v>290</v>
      </c>
      <c r="C510" t="s">
        <v>425</v>
      </c>
      <c r="D510" t="s">
        <v>229</v>
      </c>
      <c r="E510">
        <v>516</v>
      </c>
      <c r="F510" t="s">
        <v>301</v>
      </c>
    </row>
    <row r="511" spans="1:6" x14ac:dyDescent="0.35">
      <c r="A511">
        <v>2010</v>
      </c>
      <c r="B511" t="s">
        <v>290</v>
      </c>
      <c r="C511" t="s">
        <v>425</v>
      </c>
      <c r="D511" t="s">
        <v>268</v>
      </c>
      <c r="E511">
        <v>607</v>
      </c>
      <c r="F511" t="s">
        <v>301</v>
      </c>
    </row>
    <row r="512" spans="1:6" x14ac:dyDescent="0.35">
      <c r="A512">
        <v>2010</v>
      </c>
      <c r="B512" t="s">
        <v>290</v>
      </c>
      <c r="C512" t="s">
        <v>425</v>
      </c>
      <c r="D512" t="s">
        <v>240</v>
      </c>
      <c r="E512">
        <v>949</v>
      </c>
      <c r="F512" t="s">
        <v>301</v>
      </c>
    </row>
    <row r="513" spans="1:6" x14ac:dyDescent="0.35">
      <c r="A513">
        <v>2010</v>
      </c>
      <c r="B513" t="s">
        <v>290</v>
      </c>
      <c r="C513" t="s">
        <v>425</v>
      </c>
      <c r="D513" t="s">
        <v>246</v>
      </c>
      <c r="E513">
        <v>481</v>
      </c>
      <c r="F513" t="s">
        <v>301</v>
      </c>
    </row>
    <row r="514" spans="1:6" x14ac:dyDescent="0.35">
      <c r="A514">
        <v>2010</v>
      </c>
      <c r="B514" t="s">
        <v>290</v>
      </c>
      <c r="C514" t="s">
        <v>425</v>
      </c>
      <c r="D514" t="s">
        <v>248</v>
      </c>
      <c r="E514">
        <v>967</v>
      </c>
      <c r="F514" t="s">
        <v>301</v>
      </c>
    </row>
    <row r="515" spans="1:6" x14ac:dyDescent="0.35">
      <c r="A515">
        <v>2010</v>
      </c>
      <c r="B515" t="s">
        <v>290</v>
      </c>
      <c r="C515" t="s">
        <v>425</v>
      </c>
      <c r="D515" t="s">
        <v>249</v>
      </c>
      <c r="E515">
        <v>1012</v>
      </c>
      <c r="F515" t="s">
        <v>301</v>
      </c>
    </row>
    <row r="516" spans="1:6" x14ac:dyDescent="0.35">
      <c r="A516">
        <v>2010</v>
      </c>
      <c r="B516" t="s">
        <v>290</v>
      </c>
      <c r="C516" t="s">
        <v>425</v>
      </c>
      <c r="D516" t="s">
        <v>261</v>
      </c>
      <c r="E516">
        <v>124</v>
      </c>
      <c r="F516" t="s">
        <v>301</v>
      </c>
    </row>
    <row r="517" spans="1:6" x14ac:dyDescent="0.35">
      <c r="A517">
        <v>2010</v>
      </c>
      <c r="B517" t="s">
        <v>290</v>
      </c>
      <c r="C517" t="s">
        <v>425</v>
      </c>
      <c r="D517" t="s">
        <v>245</v>
      </c>
      <c r="E517">
        <v>394</v>
      </c>
      <c r="F517" t="s">
        <v>301</v>
      </c>
    </row>
    <row r="518" spans="1:6" x14ac:dyDescent="0.35">
      <c r="A518">
        <v>2010</v>
      </c>
      <c r="B518" t="s">
        <v>290</v>
      </c>
      <c r="C518" t="s">
        <v>425</v>
      </c>
      <c r="D518" t="s">
        <v>239</v>
      </c>
      <c r="E518">
        <v>936</v>
      </c>
      <c r="F518" t="s">
        <v>301</v>
      </c>
    </row>
    <row r="519" spans="1:6" x14ac:dyDescent="0.35">
      <c r="A519">
        <v>2010</v>
      </c>
      <c r="B519" t="s">
        <v>290</v>
      </c>
      <c r="C519" t="s">
        <v>425</v>
      </c>
      <c r="D519" t="s">
        <v>235</v>
      </c>
      <c r="E519">
        <v>484</v>
      </c>
      <c r="F519" t="s">
        <v>301</v>
      </c>
    </row>
    <row r="520" spans="1:6" x14ac:dyDescent="0.35">
      <c r="A520">
        <v>2010</v>
      </c>
      <c r="B520" t="s">
        <v>290</v>
      </c>
      <c r="C520" t="s">
        <v>425</v>
      </c>
      <c r="D520" t="s">
        <v>259</v>
      </c>
      <c r="E520">
        <v>628</v>
      </c>
      <c r="F520" t="s">
        <v>301</v>
      </c>
    </row>
    <row r="521" spans="1:6" x14ac:dyDescent="0.35">
      <c r="A521">
        <v>2010</v>
      </c>
      <c r="B521" t="s">
        <v>290</v>
      </c>
      <c r="C521" t="s">
        <v>425</v>
      </c>
      <c r="D521" t="s">
        <v>234</v>
      </c>
      <c r="E521">
        <v>200</v>
      </c>
      <c r="F521" t="s">
        <v>301</v>
      </c>
    </row>
    <row r="522" spans="1:6" x14ac:dyDescent="0.35">
      <c r="A522">
        <v>2010</v>
      </c>
      <c r="B522" t="s">
        <v>290</v>
      </c>
      <c r="C522" t="s">
        <v>425</v>
      </c>
      <c r="D522" t="s">
        <v>244</v>
      </c>
      <c r="E522">
        <v>978</v>
      </c>
      <c r="F522" t="s">
        <v>301</v>
      </c>
    </row>
    <row r="523" spans="1:6" x14ac:dyDescent="0.35">
      <c r="A523">
        <v>2010</v>
      </c>
      <c r="B523" t="s">
        <v>290</v>
      </c>
      <c r="C523" t="s">
        <v>425</v>
      </c>
      <c r="D523" t="s">
        <v>266</v>
      </c>
      <c r="E523">
        <v>884</v>
      </c>
      <c r="F523" t="s">
        <v>301</v>
      </c>
    </row>
    <row r="524" spans="1:6" x14ac:dyDescent="0.35">
      <c r="A524">
        <v>2010</v>
      </c>
      <c r="B524" t="s">
        <v>290</v>
      </c>
      <c r="C524" t="s">
        <v>425</v>
      </c>
      <c r="D524" t="s">
        <v>254</v>
      </c>
      <c r="E524">
        <v>661</v>
      </c>
      <c r="F524" t="s">
        <v>301</v>
      </c>
    </row>
    <row r="525" spans="1:6" x14ac:dyDescent="0.35">
      <c r="A525">
        <v>2010</v>
      </c>
      <c r="B525" t="s">
        <v>290</v>
      </c>
      <c r="C525" t="s">
        <v>425</v>
      </c>
      <c r="D525" t="s">
        <v>252</v>
      </c>
      <c r="E525">
        <v>691</v>
      </c>
      <c r="F525" t="s">
        <v>301</v>
      </c>
    </row>
    <row r="526" spans="1:6" x14ac:dyDescent="0.35">
      <c r="A526">
        <v>2010</v>
      </c>
      <c r="B526" t="s">
        <v>290</v>
      </c>
      <c r="C526" t="s">
        <v>425</v>
      </c>
      <c r="D526" t="s">
        <v>253</v>
      </c>
      <c r="E526">
        <v>271</v>
      </c>
      <c r="F526" t="s">
        <v>301</v>
      </c>
    </row>
    <row r="527" spans="1:6" x14ac:dyDescent="0.35">
      <c r="A527">
        <v>2010</v>
      </c>
      <c r="B527" t="s">
        <v>290</v>
      </c>
      <c r="C527" t="s">
        <v>425</v>
      </c>
      <c r="D527" t="s">
        <v>247</v>
      </c>
      <c r="E527">
        <v>1709</v>
      </c>
      <c r="F527" t="s">
        <v>301</v>
      </c>
    </row>
    <row r="528" spans="1:6" x14ac:dyDescent="0.35">
      <c r="A528">
        <v>2010</v>
      </c>
      <c r="B528" t="s">
        <v>290</v>
      </c>
      <c r="C528" t="s">
        <v>425</v>
      </c>
      <c r="D528" t="s">
        <v>255</v>
      </c>
      <c r="E528">
        <v>615</v>
      </c>
      <c r="F528" t="s">
        <v>301</v>
      </c>
    </row>
    <row r="529" spans="1:6" x14ac:dyDescent="0.35">
      <c r="A529">
        <v>2010</v>
      </c>
      <c r="B529" t="s">
        <v>290</v>
      </c>
      <c r="C529" t="s">
        <v>425</v>
      </c>
      <c r="D529" t="s">
        <v>265</v>
      </c>
      <c r="E529">
        <v>239</v>
      </c>
      <c r="F529" t="s">
        <v>301</v>
      </c>
    </row>
    <row r="530" spans="1:6" x14ac:dyDescent="0.35">
      <c r="A530">
        <v>2010</v>
      </c>
      <c r="B530" t="s">
        <v>290</v>
      </c>
      <c r="C530" t="s">
        <v>425</v>
      </c>
      <c r="D530" t="s">
        <v>250</v>
      </c>
      <c r="E530">
        <v>681</v>
      </c>
      <c r="F530" t="s">
        <v>301</v>
      </c>
    </row>
    <row r="531" spans="1:6" x14ac:dyDescent="0.35">
      <c r="A531">
        <v>2010</v>
      </c>
      <c r="B531" t="s">
        <v>290</v>
      </c>
      <c r="C531" t="s">
        <v>425</v>
      </c>
      <c r="D531" t="s">
        <v>270</v>
      </c>
      <c r="E531">
        <v>562</v>
      </c>
      <c r="F531" t="s">
        <v>301</v>
      </c>
    </row>
    <row r="532" spans="1:6" x14ac:dyDescent="0.35">
      <c r="A532">
        <v>2010</v>
      </c>
      <c r="B532" t="s">
        <v>290</v>
      </c>
      <c r="C532" t="s">
        <v>425</v>
      </c>
      <c r="D532" t="s">
        <v>269</v>
      </c>
      <c r="E532">
        <v>1492</v>
      </c>
      <c r="F532" t="s">
        <v>301</v>
      </c>
    </row>
    <row r="533" spans="1:6" x14ac:dyDescent="0.35">
      <c r="A533">
        <v>2010</v>
      </c>
      <c r="B533" t="s">
        <v>290</v>
      </c>
      <c r="C533" t="s">
        <v>425</v>
      </c>
      <c r="D533" t="s">
        <v>260</v>
      </c>
      <c r="E533">
        <v>1037</v>
      </c>
      <c r="F533" t="s">
        <v>301</v>
      </c>
    </row>
    <row r="534" spans="1:6" x14ac:dyDescent="0.35">
      <c r="A534">
        <v>2011</v>
      </c>
      <c r="B534" t="s">
        <v>288</v>
      </c>
      <c r="C534" t="s">
        <v>232</v>
      </c>
      <c r="D534" t="s">
        <v>405</v>
      </c>
      <c r="E534">
        <v>591</v>
      </c>
      <c r="F534" t="s">
        <v>299</v>
      </c>
    </row>
    <row r="535" spans="1:6" x14ac:dyDescent="0.35">
      <c r="A535">
        <v>2011</v>
      </c>
      <c r="B535" t="s">
        <v>288</v>
      </c>
      <c r="C535" t="s">
        <v>232</v>
      </c>
      <c r="D535" t="s">
        <v>406</v>
      </c>
      <c r="E535">
        <v>2114</v>
      </c>
      <c r="F535" t="s">
        <v>299</v>
      </c>
    </row>
    <row r="536" spans="1:6" x14ac:dyDescent="0.35">
      <c r="A536">
        <v>2011</v>
      </c>
      <c r="B536" t="s">
        <v>288</v>
      </c>
      <c r="C536" t="s">
        <v>232</v>
      </c>
      <c r="D536" t="s">
        <v>232</v>
      </c>
      <c r="E536">
        <v>12675</v>
      </c>
      <c r="F536" t="s">
        <v>299</v>
      </c>
    </row>
    <row r="537" spans="1:6" x14ac:dyDescent="0.35">
      <c r="A537">
        <v>2011</v>
      </c>
      <c r="B537" t="s">
        <v>288</v>
      </c>
      <c r="C537" t="s">
        <v>232</v>
      </c>
      <c r="D537" t="s">
        <v>407</v>
      </c>
      <c r="E537">
        <v>1531</v>
      </c>
      <c r="F537" t="s">
        <v>299</v>
      </c>
    </row>
    <row r="538" spans="1:6" x14ac:dyDescent="0.35">
      <c r="A538">
        <v>2011</v>
      </c>
      <c r="B538" t="s">
        <v>288</v>
      </c>
      <c r="C538" t="s">
        <v>232</v>
      </c>
      <c r="D538" t="s">
        <v>408</v>
      </c>
      <c r="E538">
        <v>468</v>
      </c>
      <c r="F538" t="s">
        <v>299</v>
      </c>
    </row>
    <row r="539" spans="1:6" x14ac:dyDescent="0.35">
      <c r="A539">
        <v>2011</v>
      </c>
      <c r="B539" t="s">
        <v>288</v>
      </c>
      <c r="C539" t="s">
        <v>232</v>
      </c>
      <c r="D539" t="s">
        <v>409</v>
      </c>
      <c r="E539">
        <v>270</v>
      </c>
      <c r="F539" t="s">
        <v>299</v>
      </c>
    </row>
    <row r="540" spans="1:6" x14ac:dyDescent="0.35">
      <c r="A540">
        <v>2011</v>
      </c>
      <c r="B540" t="s">
        <v>288</v>
      </c>
      <c r="C540" t="s">
        <v>232</v>
      </c>
      <c r="D540" t="s">
        <v>410</v>
      </c>
      <c r="E540">
        <v>41</v>
      </c>
      <c r="F540" t="s">
        <v>299</v>
      </c>
    </row>
    <row r="541" spans="1:6" x14ac:dyDescent="0.35">
      <c r="A541">
        <v>2011</v>
      </c>
      <c r="B541" t="s">
        <v>288</v>
      </c>
      <c r="C541" t="s">
        <v>232</v>
      </c>
      <c r="D541" t="s">
        <v>416</v>
      </c>
      <c r="E541">
        <v>815</v>
      </c>
      <c r="F541" t="s">
        <v>299</v>
      </c>
    </row>
    <row r="542" spans="1:6" x14ac:dyDescent="0.35">
      <c r="A542">
        <v>2011</v>
      </c>
      <c r="B542" t="s">
        <v>288</v>
      </c>
      <c r="C542" t="s">
        <v>232</v>
      </c>
      <c r="D542" t="s">
        <v>427</v>
      </c>
      <c r="F542" t="s">
        <v>299</v>
      </c>
    </row>
    <row r="543" spans="1:6" x14ac:dyDescent="0.35">
      <c r="A543">
        <v>2011</v>
      </c>
      <c r="B543" t="s">
        <v>288</v>
      </c>
      <c r="C543" t="s">
        <v>232</v>
      </c>
      <c r="D543" t="s">
        <v>414</v>
      </c>
      <c r="E543">
        <v>642</v>
      </c>
      <c r="F543" t="s">
        <v>299</v>
      </c>
    </row>
    <row r="544" spans="1:6" x14ac:dyDescent="0.35">
      <c r="A544">
        <v>2011</v>
      </c>
      <c r="B544" t="s">
        <v>288</v>
      </c>
      <c r="C544" t="s">
        <v>232</v>
      </c>
      <c r="D544" t="s">
        <v>415</v>
      </c>
      <c r="E544">
        <v>293</v>
      </c>
      <c r="F544" t="s">
        <v>299</v>
      </c>
    </row>
    <row r="545" spans="1:6" x14ac:dyDescent="0.35">
      <c r="A545">
        <v>2011</v>
      </c>
      <c r="B545" t="s">
        <v>288</v>
      </c>
      <c r="C545" t="s">
        <v>232</v>
      </c>
      <c r="D545" t="s">
        <v>413</v>
      </c>
      <c r="E545">
        <v>1509</v>
      </c>
      <c r="F545" t="s">
        <v>299</v>
      </c>
    </row>
    <row r="546" spans="1:6" x14ac:dyDescent="0.35">
      <c r="A546">
        <v>2011</v>
      </c>
      <c r="B546" t="s">
        <v>288</v>
      </c>
      <c r="C546" t="s">
        <v>232</v>
      </c>
      <c r="D546" t="s">
        <v>412</v>
      </c>
      <c r="E546">
        <v>4401</v>
      </c>
      <c r="F546" t="s">
        <v>299</v>
      </c>
    </row>
    <row r="547" spans="1:6" x14ac:dyDescent="0.35">
      <c r="A547">
        <v>2011</v>
      </c>
      <c r="B547" t="s">
        <v>288</v>
      </c>
      <c r="C547" t="s">
        <v>222</v>
      </c>
      <c r="D547" t="s">
        <v>404</v>
      </c>
      <c r="E547">
        <v>5833</v>
      </c>
      <c r="F547" t="s">
        <v>299</v>
      </c>
    </row>
    <row r="548" spans="1:6" x14ac:dyDescent="0.35">
      <c r="A548">
        <v>2011</v>
      </c>
      <c r="B548" t="s">
        <v>288</v>
      </c>
      <c r="C548" t="s">
        <v>222</v>
      </c>
      <c r="D548" t="s">
        <v>403</v>
      </c>
      <c r="E548">
        <v>123285</v>
      </c>
      <c r="F548" t="s">
        <v>299</v>
      </c>
    </row>
    <row r="549" spans="1:6" x14ac:dyDescent="0.35">
      <c r="A549">
        <v>2011</v>
      </c>
      <c r="B549" t="s">
        <v>288</v>
      </c>
      <c r="C549" t="s">
        <v>222</v>
      </c>
      <c r="D549" t="s">
        <v>402</v>
      </c>
      <c r="E549">
        <v>42447</v>
      </c>
      <c r="F549" t="s">
        <v>299</v>
      </c>
    </row>
    <row r="550" spans="1:6" x14ac:dyDescent="0.35">
      <c r="A550">
        <v>2011</v>
      </c>
      <c r="B550" t="s">
        <v>288</v>
      </c>
      <c r="C550" t="s">
        <v>222</v>
      </c>
      <c r="D550" t="s">
        <v>401</v>
      </c>
      <c r="E550">
        <v>59243</v>
      </c>
      <c r="F550" t="s">
        <v>299</v>
      </c>
    </row>
    <row r="551" spans="1:6" x14ac:dyDescent="0.35">
      <c r="A551">
        <v>2011</v>
      </c>
      <c r="B551" t="s">
        <v>288</v>
      </c>
      <c r="C551" t="s">
        <v>222</v>
      </c>
      <c r="D551" t="s">
        <v>222</v>
      </c>
      <c r="E551">
        <v>327577</v>
      </c>
      <c r="F551" t="s">
        <v>299</v>
      </c>
    </row>
    <row r="552" spans="1:6" x14ac:dyDescent="0.35">
      <c r="A552">
        <v>2011</v>
      </c>
      <c r="B552" t="s">
        <v>288</v>
      </c>
      <c r="C552" t="s">
        <v>222</v>
      </c>
      <c r="D552" t="s">
        <v>399</v>
      </c>
      <c r="E552">
        <v>10345</v>
      </c>
      <c r="F552" t="s">
        <v>299</v>
      </c>
    </row>
    <row r="553" spans="1:6" x14ac:dyDescent="0.35">
      <c r="A553">
        <v>2011</v>
      </c>
      <c r="B553" t="s">
        <v>288</v>
      </c>
      <c r="C553" t="s">
        <v>222</v>
      </c>
      <c r="D553" t="s">
        <v>398</v>
      </c>
      <c r="E553">
        <v>30191</v>
      </c>
      <c r="F553" t="s">
        <v>299</v>
      </c>
    </row>
    <row r="554" spans="1:6" x14ac:dyDescent="0.35">
      <c r="A554">
        <v>2011</v>
      </c>
      <c r="B554" t="s">
        <v>288</v>
      </c>
      <c r="C554" t="s">
        <v>222</v>
      </c>
      <c r="D554" t="s">
        <v>397</v>
      </c>
      <c r="E554">
        <v>16144</v>
      </c>
      <c r="F554" t="s">
        <v>299</v>
      </c>
    </row>
    <row r="555" spans="1:6" x14ac:dyDescent="0.35">
      <c r="A555">
        <v>2011</v>
      </c>
      <c r="B555" t="s">
        <v>288</v>
      </c>
      <c r="C555" t="s">
        <v>222</v>
      </c>
      <c r="D555" t="s">
        <v>428</v>
      </c>
      <c r="E555">
        <v>4036</v>
      </c>
      <c r="F555" t="s">
        <v>299</v>
      </c>
    </row>
    <row r="556" spans="1:6" x14ac:dyDescent="0.35">
      <c r="A556">
        <v>2011</v>
      </c>
      <c r="B556" t="s">
        <v>288</v>
      </c>
      <c r="C556" t="s">
        <v>222</v>
      </c>
      <c r="D556" t="s">
        <v>400</v>
      </c>
      <c r="E556">
        <v>36053</v>
      </c>
      <c r="F556" t="s">
        <v>299</v>
      </c>
    </row>
    <row r="557" spans="1:6" x14ac:dyDescent="0.35">
      <c r="A557">
        <v>2011</v>
      </c>
      <c r="B557" t="s">
        <v>291</v>
      </c>
      <c r="C557" t="s">
        <v>425</v>
      </c>
      <c r="D557" t="s">
        <v>260</v>
      </c>
      <c r="E557">
        <v>7324</v>
      </c>
      <c r="F557" t="s">
        <v>302</v>
      </c>
    </row>
    <row r="558" spans="1:6" x14ac:dyDescent="0.35">
      <c r="A558">
        <v>2011</v>
      </c>
      <c r="B558" t="s">
        <v>291</v>
      </c>
      <c r="C558" t="s">
        <v>425</v>
      </c>
      <c r="D558" t="s">
        <v>417</v>
      </c>
      <c r="E558">
        <v>5046</v>
      </c>
      <c r="F558" t="s">
        <v>302</v>
      </c>
    </row>
    <row r="559" spans="1:6" x14ac:dyDescent="0.35">
      <c r="A559">
        <v>2011</v>
      </c>
      <c r="B559" t="s">
        <v>291</v>
      </c>
      <c r="C559" t="s">
        <v>425</v>
      </c>
      <c r="D559" t="s">
        <v>248</v>
      </c>
      <c r="E559">
        <v>19579</v>
      </c>
      <c r="F559" t="s">
        <v>302</v>
      </c>
    </row>
    <row r="560" spans="1:6" x14ac:dyDescent="0.35">
      <c r="A560">
        <v>2011</v>
      </c>
      <c r="B560" t="s">
        <v>291</v>
      </c>
      <c r="C560" t="s">
        <v>425</v>
      </c>
      <c r="D560" t="s">
        <v>235</v>
      </c>
      <c r="E560">
        <v>7304</v>
      </c>
      <c r="F560" t="s">
        <v>302</v>
      </c>
    </row>
    <row r="561" spans="1:6" x14ac:dyDescent="0.35">
      <c r="A561">
        <v>2011</v>
      </c>
      <c r="B561" t="s">
        <v>291</v>
      </c>
      <c r="C561" t="s">
        <v>425</v>
      </c>
      <c r="D561" t="s">
        <v>269</v>
      </c>
      <c r="E561">
        <v>28292</v>
      </c>
      <c r="F561" t="s">
        <v>302</v>
      </c>
    </row>
    <row r="562" spans="1:6" x14ac:dyDescent="0.35">
      <c r="A562">
        <v>2011</v>
      </c>
      <c r="B562" t="s">
        <v>291</v>
      </c>
      <c r="C562" t="s">
        <v>425</v>
      </c>
      <c r="D562" t="s">
        <v>259</v>
      </c>
      <c r="E562">
        <v>18808</v>
      </c>
      <c r="F562" t="s">
        <v>302</v>
      </c>
    </row>
    <row r="563" spans="1:6" x14ac:dyDescent="0.35">
      <c r="A563">
        <v>2011</v>
      </c>
      <c r="B563" t="s">
        <v>291</v>
      </c>
      <c r="C563" t="s">
        <v>425</v>
      </c>
      <c r="D563" t="s">
        <v>273</v>
      </c>
      <c r="E563">
        <v>38</v>
      </c>
      <c r="F563" t="s">
        <v>302</v>
      </c>
    </row>
    <row r="564" spans="1:6" x14ac:dyDescent="0.35">
      <c r="A564">
        <v>2011</v>
      </c>
      <c r="B564" t="s">
        <v>291</v>
      </c>
      <c r="C564" t="s">
        <v>425</v>
      </c>
      <c r="D564" t="s">
        <v>249</v>
      </c>
      <c r="E564">
        <v>33728</v>
      </c>
      <c r="F564" t="s">
        <v>302</v>
      </c>
    </row>
    <row r="565" spans="1:6" x14ac:dyDescent="0.35">
      <c r="A565">
        <v>2011</v>
      </c>
      <c r="B565" t="s">
        <v>291</v>
      </c>
      <c r="C565" t="s">
        <v>425</v>
      </c>
      <c r="D565" t="s">
        <v>239</v>
      </c>
      <c r="E565">
        <v>15940</v>
      </c>
      <c r="F565" t="s">
        <v>302</v>
      </c>
    </row>
    <row r="566" spans="1:6" x14ac:dyDescent="0.35">
      <c r="A566">
        <v>2011</v>
      </c>
      <c r="B566" t="s">
        <v>291</v>
      </c>
      <c r="C566" t="s">
        <v>425</v>
      </c>
      <c r="D566" t="s">
        <v>39</v>
      </c>
      <c r="E566">
        <v>3759</v>
      </c>
      <c r="F566" t="s">
        <v>302</v>
      </c>
    </row>
    <row r="567" spans="1:6" x14ac:dyDescent="0.35">
      <c r="A567">
        <v>2011</v>
      </c>
      <c r="B567" t="s">
        <v>291</v>
      </c>
      <c r="C567" t="s">
        <v>425</v>
      </c>
      <c r="D567" t="s">
        <v>272</v>
      </c>
      <c r="E567">
        <v>8730</v>
      </c>
      <c r="F567" t="s">
        <v>302</v>
      </c>
    </row>
    <row r="568" spans="1:6" x14ac:dyDescent="0.35">
      <c r="A568">
        <v>2011</v>
      </c>
      <c r="B568" t="s">
        <v>291</v>
      </c>
      <c r="C568" t="s">
        <v>425</v>
      </c>
      <c r="D568" t="s">
        <v>247</v>
      </c>
      <c r="E568">
        <v>18739</v>
      </c>
      <c r="F568" t="s">
        <v>302</v>
      </c>
    </row>
    <row r="569" spans="1:6" x14ac:dyDescent="0.35">
      <c r="A569">
        <v>2011</v>
      </c>
      <c r="B569" t="s">
        <v>291</v>
      </c>
      <c r="C569" t="s">
        <v>425</v>
      </c>
      <c r="D569" t="s">
        <v>252</v>
      </c>
      <c r="E569">
        <v>31430</v>
      </c>
      <c r="F569" t="s">
        <v>302</v>
      </c>
    </row>
    <row r="570" spans="1:6" x14ac:dyDescent="0.35">
      <c r="A570">
        <v>2011</v>
      </c>
      <c r="B570" t="s">
        <v>291</v>
      </c>
      <c r="C570" t="s">
        <v>425</v>
      </c>
      <c r="D570" t="s">
        <v>266</v>
      </c>
      <c r="E570">
        <v>5668</v>
      </c>
      <c r="F570" t="s">
        <v>302</v>
      </c>
    </row>
    <row r="571" spans="1:6" x14ac:dyDescent="0.35">
      <c r="A571">
        <v>2011</v>
      </c>
      <c r="B571" t="s">
        <v>291</v>
      </c>
      <c r="C571" t="s">
        <v>425</v>
      </c>
      <c r="D571" t="s">
        <v>265</v>
      </c>
      <c r="E571">
        <v>5539</v>
      </c>
      <c r="F571" t="s">
        <v>302</v>
      </c>
    </row>
    <row r="572" spans="1:6" x14ac:dyDescent="0.35">
      <c r="A572">
        <v>2011</v>
      </c>
      <c r="B572" t="s">
        <v>291</v>
      </c>
      <c r="C572" t="s">
        <v>425</v>
      </c>
      <c r="D572" t="s">
        <v>254</v>
      </c>
      <c r="E572">
        <v>9714</v>
      </c>
      <c r="F572" t="s">
        <v>302</v>
      </c>
    </row>
    <row r="573" spans="1:6" x14ac:dyDescent="0.35">
      <c r="A573">
        <v>2011</v>
      </c>
      <c r="B573" t="s">
        <v>291</v>
      </c>
      <c r="C573" t="s">
        <v>425</v>
      </c>
      <c r="D573" t="s">
        <v>267</v>
      </c>
      <c r="E573">
        <v>14953</v>
      </c>
      <c r="F573" t="s">
        <v>302</v>
      </c>
    </row>
    <row r="574" spans="1:6" x14ac:dyDescent="0.35">
      <c r="A574">
        <v>2011</v>
      </c>
      <c r="B574" t="s">
        <v>291</v>
      </c>
      <c r="C574" t="s">
        <v>425</v>
      </c>
      <c r="D574" t="s">
        <v>234</v>
      </c>
      <c r="E574">
        <v>1635</v>
      </c>
      <c r="F574" t="s">
        <v>302</v>
      </c>
    </row>
    <row r="575" spans="1:6" x14ac:dyDescent="0.35">
      <c r="A575">
        <v>2011</v>
      </c>
      <c r="B575" t="s">
        <v>291</v>
      </c>
      <c r="C575" t="s">
        <v>425</v>
      </c>
      <c r="D575" t="s">
        <v>246</v>
      </c>
      <c r="E575">
        <v>5390</v>
      </c>
      <c r="F575" t="s">
        <v>302</v>
      </c>
    </row>
    <row r="576" spans="1:6" x14ac:dyDescent="0.35">
      <c r="A576">
        <v>2011</v>
      </c>
      <c r="B576" t="s">
        <v>291</v>
      </c>
      <c r="C576" t="s">
        <v>425</v>
      </c>
      <c r="D576" t="s">
        <v>268</v>
      </c>
      <c r="E576">
        <v>7770</v>
      </c>
      <c r="F576" t="s">
        <v>302</v>
      </c>
    </row>
    <row r="577" spans="1:6" x14ac:dyDescent="0.35">
      <c r="A577">
        <v>2011</v>
      </c>
      <c r="B577" t="s">
        <v>291</v>
      </c>
      <c r="C577" t="s">
        <v>425</v>
      </c>
      <c r="D577" t="s">
        <v>240</v>
      </c>
      <c r="E577">
        <v>14258</v>
      </c>
      <c r="F577" t="s">
        <v>302</v>
      </c>
    </row>
    <row r="578" spans="1:6" x14ac:dyDescent="0.35">
      <c r="A578">
        <v>2011</v>
      </c>
      <c r="B578" t="s">
        <v>291</v>
      </c>
      <c r="C578" t="s">
        <v>425</v>
      </c>
      <c r="D578" t="s">
        <v>229</v>
      </c>
      <c r="E578">
        <v>13016</v>
      </c>
      <c r="F578" t="s">
        <v>302</v>
      </c>
    </row>
    <row r="579" spans="1:6" x14ac:dyDescent="0.35">
      <c r="A579">
        <v>2011</v>
      </c>
      <c r="B579" t="s">
        <v>291</v>
      </c>
      <c r="C579" t="s">
        <v>425</v>
      </c>
      <c r="D579" t="s">
        <v>245</v>
      </c>
      <c r="E579">
        <v>3178</v>
      </c>
      <c r="F579" t="s">
        <v>302</v>
      </c>
    </row>
    <row r="580" spans="1:6" x14ac:dyDescent="0.35">
      <c r="A580">
        <v>2011</v>
      </c>
      <c r="B580" t="s">
        <v>291</v>
      </c>
      <c r="C580" t="s">
        <v>425</v>
      </c>
      <c r="D580" t="s">
        <v>419</v>
      </c>
      <c r="E580">
        <v>7245</v>
      </c>
      <c r="F580" t="s">
        <v>302</v>
      </c>
    </row>
    <row r="581" spans="1:6" x14ac:dyDescent="0.35">
      <c r="A581">
        <v>2011</v>
      </c>
      <c r="B581" t="s">
        <v>291</v>
      </c>
      <c r="C581" t="s">
        <v>425</v>
      </c>
      <c r="D581" t="s">
        <v>244</v>
      </c>
      <c r="E581">
        <v>26688</v>
      </c>
      <c r="F581" t="s">
        <v>302</v>
      </c>
    </row>
    <row r="582" spans="1:6" x14ac:dyDescent="0.35">
      <c r="A582">
        <v>2011</v>
      </c>
      <c r="B582" t="s">
        <v>291</v>
      </c>
      <c r="C582" t="s">
        <v>425</v>
      </c>
      <c r="D582" t="s">
        <v>270</v>
      </c>
      <c r="E582">
        <v>8322</v>
      </c>
      <c r="F582" t="s">
        <v>302</v>
      </c>
    </row>
    <row r="583" spans="1:6" x14ac:dyDescent="0.35">
      <c r="A583">
        <v>2011</v>
      </c>
      <c r="B583" t="s">
        <v>290</v>
      </c>
      <c r="C583" t="s">
        <v>426</v>
      </c>
      <c r="D583" t="s">
        <v>418</v>
      </c>
      <c r="E583">
        <v>70</v>
      </c>
      <c r="F583" t="s">
        <v>301</v>
      </c>
    </row>
    <row r="584" spans="1:6" x14ac:dyDescent="0.35">
      <c r="A584">
        <v>2011</v>
      </c>
      <c r="B584" t="s">
        <v>290</v>
      </c>
      <c r="C584" t="s">
        <v>425</v>
      </c>
      <c r="D584" t="s">
        <v>255</v>
      </c>
      <c r="E584">
        <v>488</v>
      </c>
      <c r="F584" t="s">
        <v>301</v>
      </c>
    </row>
    <row r="585" spans="1:6" x14ac:dyDescent="0.35">
      <c r="A585">
        <v>2011</v>
      </c>
      <c r="B585" t="s">
        <v>290</v>
      </c>
      <c r="C585" t="s">
        <v>425</v>
      </c>
      <c r="D585" t="s">
        <v>229</v>
      </c>
      <c r="E585">
        <v>304</v>
      </c>
      <c r="F585" t="s">
        <v>301</v>
      </c>
    </row>
    <row r="586" spans="1:6" x14ac:dyDescent="0.35">
      <c r="A586">
        <v>2011</v>
      </c>
      <c r="B586" t="s">
        <v>290</v>
      </c>
      <c r="C586" t="s">
        <v>425</v>
      </c>
      <c r="D586" t="s">
        <v>245</v>
      </c>
      <c r="E586">
        <v>316</v>
      </c>
      <c r="F586" t="s">
        <v>301</v>
      </c>
    </row>
    <row r="587" spans="1:6" x14ac:dyDescent="0.35">
      <c r="A587">
        <v>2011</v>
      </c>
      <c r="B587" t="s">
        <v>290</v>
      </c>
      <c r="C587" t="s">
        <v>425</v>
      </c>
      <c r="D587" t="s">
        <v>269</v>
      </c>
      <c r="E587">
        <v>1525</v>
      </c>
      <c r="F587" t="s">
        <v>301</v>
      </c>
    </row>
    <row r="588" spans="1:6" x14ac:dyDescent="0.35">
      <c r="A588">
        <v>2011</v>
      </c>
      <c r="B588" t="s">
        <v>290</v>
      </c>
      <c r="C588" t="s">
        <v>425</v>
      </c>
      <c r="D588" t="s">
        <v>268</v>
      </c>
      <c r="E588">
        <v>582</v>
      </c>
      <c r="F588" t="s">
        <v>301</v>
      </c>
    </row>
    <row r="589" spans="1:6" x14ac:dyDescent="0.35">
      <c r="A589">
        <v>2011</v>
      </c>
      <c r="B589" t="s">
        <v>290</v>
      </c>
      <c r="C589" t="s">
        <v>425</v>
      </c>
      <c r="D589" t="s">
        <v>246</v>
      </c>
      <c r="E589">
        <v>449</v>
      </c>
      <c r="F589" t="s">
        <v>301</v>
      </c>
    </row>
    <row r="590" spans="1:6" x14ac:dyDescent="0.35">
      <c r="A590">
        <v>2011</v>
      </c>
      <c r="B590" t="s">
        <v>290</v>
      </c>
      <c r="C590" t="s">
        <v>425</v>
      </c>
      <c r="D590" t="s">
        <v>234</v>
      </c>
      <c r="E590">
        <v>138</v>
      </c>
      <c r="F590" t="s">
        <v>301</v>
      </c>
    </row>
    <row r="591" spans="1:6" x14ac:dyDescent="0.35">
      <c r="A591">
        <v>2011</v>
      </c>
      <c r="B591" t="s">
        <v>290</v>
      </c>
      <c r="C591" t="s">
        <v>425</v>
      </c>
      <c r="D591" t="s">
        <v>267</v>
      </c>
      <c r="E591">
        <v>401</v>
      </c>
      <c r="F591" t="s">
        <v>301</v>
      </c>
    </row>
    <row r="592" spans="1:6" x14ac:dyDescent="0.35">
      <c r="A592">
        <v>2011</v>
      </c>
      <c r="B592" t="s">
        <v>290</v>
      </c>
      <c r="C592" t="s">
        <v>425</v>
      </c>
      <c r="D592" t="s">
        <v>247</v>
      </c>
      <c r="E592">
        <v>1451</v>
      </c>
      <c r="F592" t="s">
        <v>301</v>
      </c>
    </row>
    <row r="593" spans="1:6" x14ac:dyDescent="0.35">
      <c r="A593">
        <v>2011</v>
      </c>
      <c r="B593" t="s">
        <v>290</v>
      </c>
      <c r="C593" t="s">
        <v>425</v>
      </c>
      <c r="D593" t="s">
        <v>266</v>
      </c>
      <c r="E593">
        <v>578</v>
      </c>
      <c r="F593" t="s">
        <v>301</v>
      </c>
    </row>
    <row r="594" spans="1:6" x14ac:dyDescent="0.35">
      <c r="A594">
        <v>2011</v>
      </c>
      <c r="B594" t="s">
        <v>290</v>
      </c>
      <c r="C594" t="s">
        <v>425</v>
      </c>
      <c r="D594" t="s">
        <v>244</v>
      </c>
      <c r="E594">
        <v>806</v>
      </c>
      <c r="F594" t="s">
        <v>301</v>
      </c>
    </row>
    <row r="595" spans="1:6" x14ac:dyDescent="0.35">
      <c r="A595">
        <v>2011</v>
      </c>
      <c r="B595" t="s">
        <v>290</v>
      </c>
      <c r="C595" t="s">
        <v>425</v>
      </c>
      <c r="D595" t="s">
        <v>259</v>
      </c>
      <c r="E595">
        <v>557</v>
      </c>
      <c r="F595" t="s">
        <v>301</v>
      </c>
    </row>
    <row r="596" spans="1:6" x14ac:dyDescent="0.35">
      <c r="A596">
        <v>2011</v>
      </c>
      <c r="B596" t="s">
        <v>290</v>
      </c>
      <c r="C596" t="s">
        <v>425</v>
      </c>
      <c r="D596" t="s">
        <v>260</v>
      </c>
      <c r="E596">
        <v>1180</v>
      </c>
      <c r="F596" t="s">
        <v>301</v>
      </c>
    </row>
    <row r="597" spans="1:6" x14ac:dyDescent="0.35">
      <c r="A597">
        <v>2011</v>
      </c>
      <c r="B597" t="s">
        <v>290</v>
      </c>
      <c r="C597" t="s">
        <v>425</v>
      </c>
      <c r="D597" t="s">
        <v>250</v>
      </c>
      <c r="E597">
        <v>600</v>
      </c>
      <c r="F597" t="s">
        <v>301</v>
      </c>
    </row>
    <row r="598" spans="1:6" x14ac:dyDescent="0.35">
      <c r="A598">
        <v>2011</v>
      </c>
      <c r="B598" t="s">
        <v>290</v>
      </c>
      <c r="C598" t="s">
        <v>425</v>
      </c>
      <c r="D598" t="s">
        <v>235</v>
      </c>
      <c r="E598">
        <v>365</v>
      </c>
      <c r="F598" t="s">
        <v>301</v>
      </c>
    </row>
    <row r="599" spans="1:6" x14ac:dyDescent="0.35">
      <c r="A599">
        <v>2011</v>
      </c>
      <c r="B599" t="s">
        <v>290</v>
      </c>
      <c r="C599" t="s">
        <v>425</v>
      </c>
      <c r="D599" t="s">
        <v>240</v>
      </c>
      <c r="E599">
        <v>923</v>
      </c>
      <c r="F599" t="s">
        <v>301</v>
      </c>
    </row>
    <row r="600" spans="1:6" x14ac:dyDescent="0.35">
      <c r="A600">
        <v>2011</v>
      </c>
      <c r="B600" t="s">
        <v>290</v>
      </c>
      <c r="C600" t="s">
        <v>425</v>
      </c>
      <c r="D600" t="s">
        <v>417</v>
      </c>
      <c r="E600">
        <v>513</v>
      </c>
      <c r="F600" t="s">
        <v>301</v>
      </c>
    </row>
    <row r="601" spans="1:6" x14ac:dyDescent="0.35">
      <c r="A601">
        <v>2011</v>
      </c>
      <c r="B601" t="s">
        <v>290</v>
      </c>
      <c r="C601" t="s">
        <v>425</v>
      </c>
      <c r="D601" t="s">
        <v>239</v>
      </c>
      <c r="E601">
        <v>1038</v>
      </c>
      <c r="F601" t="s">
        <v>301</v>
      </c>
    </row>
    <row r="602" spans="1:6" x14ac:dyDescent="0.35">
      <c r="A602">
        <v>2011</v>
      </c>
      <c r="B602" t="s">
        <v>290</v>
      </c>
      <c r="C602" t="s">
        <v>425</v>
      </c>
      <c r="D602" t="s">
        <v>261</v>
      </c>
      <c r="E602">
        <v>167</v>
      </c>
      <c r="F602" t="s">
        <v>301</v>
      </c>
    </row>
    <row r="603" spans="1:6" x14ac:dyDescent="0.35">
      <c r="A603">
        <v>2011</v>
      </c>
      <c r="B603" t="s">
        <v>290</v>
      </c>
      <c r="C603" t="s">
        <v>425</v>
      </c>
      <c r="D603" t="s">
        <v>249</v>
      </c>
      <c r="E603">
        <v>640</v>
      </c>
      <c r="F603" t="s">
        <v>301</v>
      </c>
    </row>
    <row r="604" spans="1:6" x14ac:dyDescent="0.35">
      <c r="A604">
        <v>2011</v>
      </c>
      <c r="B604" t="s">
        <v>290</v>
      </c>
      <c r="C604" t="s">
        <v>425</v>
      </c>
      <c r="D604" t="s">
        <v>265</v>
      </c>
      <c r="E604">
        <v>372</v>
      </c>
      <c r="F604" t="s">
        <v>301</v>
      </c>
    </row>
    <row r="605" spans="1:6" x14ac:dyDescent="0.35">
      <c r="A605">
        <v>2011</v>
      </c>
      <c r="B605" t="s">
        <v>290</v>
      </c>
      <c r="C605" t="s">
        <v>425</v>
      </c>
      <c r="D605" t="s">
        <v>252</v>
      </c>
      <c r="E605">
        <v>749</v>
      </c>
      <c r="F605" t="s">
        <v>301</v>
      </c>
    </row>
    <row r="606" spans="1:6" x14ac:dyDescent="0.35">
      <c r="A606">
        <v>2011</v>
      </c>
      <c r="B606" t="s">
        <v>290</v>
      </c>
      <c r="C606" t="s">
        <v>425</v>
      </c>
      <c r="D606" t="s">
        <v>253</v>
      </c>
      <c r="E606">
        <v>158</v>
      </c>
      <c r="F606" t="s">
        <v>301</v>
      </c>
    </row>
    <row r="607" spans="1:6" x14ac:dyDescent="0.35">
      <c r="A607">
        <v>2011</v>
      </c>
      <c r="B607" t="s">
        <v>290</v>
      </c>
      <c r="C607" t="s">
        <v>425</v>
      </c>
      <c r="D607" t="s">
        <v>254</v>
      </c>
      <c r="E607">
        <v>659</v>
      </c>
      <c r="F607" t="s">
        <v>301</v>
      </c>
    </row>
    <row r="608" spans="1:6" x14ac:dyDescent="0.35">
      <c r="A608">
        <v>2011</v>
      </c>
      <c r="B608" t="s">
        <v>290</v>
      </c>
      <c r="C608" t="s">
        <v>425</v>
      </c>
      <c r="D608" t="s">
        <v>270</v>
      </c>
      <c r="E608">
        <v>489</v>
      </c>
      <c r="F608" t="s">
        <v>301</v>
      </c>
    </row>
    <row r="609" spans="1:6" x14ac:dyDescent="0.35">
      <c r="A609">
        <v>2011</v>
      </c>
      <c r="B609" t="s">
        <v>290</v>
      </c>
      <c r="C609" t="s">
        <v>425</v>
      </c>
      <c r="D609" t="s">
        <v>248</v>
      </c>
      <c r="E609">
        <v>743</v>
      </c>
      <c r="F609" t="s">
        <v>301</v>
      </c>
    </row>
    <row r="610" spans="1:6" x14ac:dyDescent="0.35">
      <c r="A610">
        <v>2012</v>
      </c>
      <c r="B610" t="s">
        <v>288</v>
      </c>
      <c r="C610" t="s">
        <v>232</v>
      </c>
      <c r="D610" t="s">
        <v>416</v>
      </c>
      <c r="E610">
        <v>702</v>
      </c>
      <c r="F610" t="s">
        <v>299</v>
      </c>
    </row>
    <row r="611" spans="1:6" x14ac:dyDescent="0.35">
      <c r="A611">
        <v>2012</v>
      </c>
      <c r="B611" t="s">
        <v>288</v>
      </c>
      <c r="C611" t="s">
        <v>232</v>
      </c>
      <c r="D611" t="s">
        <v>415</v>
      </c>
      <c r="E611">
        <v>317</v>
      </c>
      <c r="F611" t="s">
        <v>299</v>
      </c>
    </row>
    <row r="612" spans="1:6" x14ac:dyDescent="0.35">
      <c r="A612">
        <v>2012</v>
      </c>
      <c r="B612" t="s">
        <v>288</v>
      </c>
      <c r="C612" t="s">
        <v>232</v>
      </c>
      <c r="D612" t="s">
        <v>414</v>
      </c>
      <c r="E612">
        <v>702</v>
      </c>
      <c r="F612" t="s">
        <v>299</v>
      </c>
    </row>
    <row r="613" spans="1:6" x14ac:dyDescent="0.35">
      <c r="A613">
        <v>2012</v>
      </c>
      <c r="B613" t="s">
        <v>288</v>
      </c>
      <c r="C613" t="s">
        <v>232</v>
      </c>
      <c r="D613" t="s">
        <v>413</v>
      </c>
      <c r="E613">
        <v>474</v>
      </c>
      <c r="F613" t="s">
        <v>299</v>
      </c>
    </row>
    <row r="614" spans="1:6" x14ac:dyDescent="0.35">
      <c r="A614">
        <v>2012</v>
      </c>
      <c r="B614" t="s">
        <v>288</v>
      </c>
      <c r="C614" t="s">
        <v>232</v>
      </c>
      <c r="D614" t="s">
        <v>232</v>
      </c>
      <c r="E614">
        <v>7895</v>
      </c>
      <c r="F614" t="s">
        <v>299</v>
      </c>
    </row>
    <row r="615" spans="1:6" x14ac:dyDescent="0.35">
      <c r="A615">
        <v>2012</v>
      </c>
      <c r="B615" t="s">
        <v>288</v>
      </c>
      <c r="C615" t="s">
        <v>232</v>
      </c>
      <c r="D615" t="s">
        <v>405</v>
      </c>
      <c r="E615">
        <v>537</v>
      </c>
      <c r="F615" t="s">
        <v>299</v>
      </c>
    </row>
    <row r="616" spans="1:6" x14ac:dyDescent="0.35">
      <c r="A616">
        <v>2012</v>
      </c>
      <c r="B616" t="s">
        <v>288</v>
      </c>
      <c r="C616" t="s">
        <v>232</v>
      </c>
      <c r="D616" t="s">
        <v>406</v>
      </c>
      <c r="E616">
        <v>1143</v>
      </c>
      <c r="F616" t="s">
        <v>299</v>
      </c>
    </row>
    <row r="617" spans="1:6" x14ac:dyDescent="0.35">
      <c r="A617">
        <v>2012</v>
      </c>
      <c r="B617" t="s">
        <v>288</v>
      </c>
      <c r="C617" t="s">
        <v>232</v>
      </c>
      <c r="D617" t="s">
        <v>408</v>
      </c>
      <c r="E617">
        <v>418</v>
      </c>
      <c r="F617" t="s">
        <v>299</v>
      </c>
    </row>
    <row r="618" spans="1:6" x14ac:dyDescent="0.35">
      <c r="A618">
        <v>2012</v>
      </c>
      <c r="B618" t="s">
        <v>288</v>
      </c>
      <c r="C618" t="s">
        <v>232</v>
      </c>
      <c r="D618" t="s">
        <v>409</v>
      </c>
      <c r="E618">
        <v>102</v>
      </c>
      <c r="F618" t="s">
        <v>299</v>
      </c>
    </row>
    <row r="619" spans="1:6" x14ac:dyDescent="0.35">
      <c r="A619">
        <v>2012</v>
      </c>
      <c r="B619" t="s">
        <v>288</v>
      </c>
      <c r="C619" t="s">
        <v>232</v>
      </c>
      <c r="D619" t="s">
        <v>410</v>
      </c>
      <c r="E619">
        <v>41</v>
      </c>
      <c r="F619" t="s">
        <v>299</v>
      </c>
    </row>
    <row r="620" spans="1:6" x14ac:dyDescent="0.35">
      <c r="A620">
        <v>2012</v>
      </c>
      <c r="B620" t="s">
        <v>288</v>
      </c>
      <c r="C620" t="s">
        <v>232</v>
      </c>
      <c r="D620" t="s">
        <v>427</v>
      </c>
      <c r="F620" t="s">
        <v>299</v>
      </c>
    </row>
    <row r="621" spans="1:6" x14ac:dyDescent="0.35">
      <c r="A621">
        <v>2012</v>
      </c>
      <c r="B621" t="s">
        <v>288</v>
      </c>
      <c r="C621" t="s">
        <v>232</v>
      </c>
      <c r="D621" t="s">
        <v>412</v>
      </c>
      <c r="E621">
        <v>2509</v>
      </c>
      <c r="F621" t="s">
        <v>299</v>
      </c>
    </row>
    <row r="622" spans="1:6" x14ac:dyDescent="0.35">
      <c r="A622">
        <v>2012</v>
      </c>
      <c r="B622" t="s">
        <v>288</v>
      </c>
      <c r="C622" t="s">
        <v>232</v>
      </c>
      <c r="D622" t="s">
        <v>407</v>
      </c>
      <c r="E622">
        <v>950</v>
      </c>
      <c r="F622" t="s">
        <v>299</v>
      </c>
    </row>
    <row r="623" spans="1:6" x14ac:dyDescent="0.35">
      <c r="A623">
        <v>2012</v>
      </c>
      <c r="B623" t="s">
        <v>288</v>
      </c>
      <c r="C623" t="s">
        <v>222</v>
      </c>
      <c r="D623" t="s">
        <v>399</v>
      </c>
      <c r="E623">
        <v>9678</v>
      </c>
      <c r="F623" t="s">
        <v>299</v>
      </c>
    </row>
    <row r="624" spans="1:6" x14ac:dyDescent="0.35">
      <c r="A624">
        <v>2012</v>
      </c>
      <c r="B624" t="s">
        <v>288</v>
      </c>
      <c r="C624" t="s">
        <v>222</v>
      </c>
      <c r="D624" t="s">
        <v>222</v>
      </c>
      <c r="E624">
        <v>356873</v>
      </c>
      <c r="F624" t="s">
        <v>299</v>
      </c>
    </row>
    <row r="625" spans="1:6" x14ac:dyDescent="0.35">
      <c r="A625">
        <v>2012</v>
      </c>
      <c r="B625" t="s">
        <v>288</v>
      </c>
      <c r="C625" t="s">
        <v>222</v>
      </c>
      <c r="D625" t="s">
        <v>402</v>
      </c>
      <c r="E625">
        <v>28461</v>
      </c>
      <c r="F625" t="s">
        <v>299</v>
      </c>
    </row>
    <row r="626" spans="1:6" x14ac:dyDescent="0.35">
      <c r="A626">
        <v>2012</v>
      </c>
      <c r="B626" t="s">
        <v>288</v>
      </c>
      <c r="C626" t="s">
        <v>222</v>
      </c>
      <c r="D626" t="s">
        <v>403</v>
      </c>
      <c r="E626">
        <v>120000</v>
      </c>
      <c r="F626" t="s">
        <v>299</v>
      </c>
    </row>
    <row r="627" spans="1:6" x14ac:dyDescent="0.35">
      <c r="A627">
        <v>2012</v>
      </c>
      <c r="B627" t="s">
        <v>288</v>
      </c>
      <c r="C627" t="s">
        <v>222</v>
      </c>
      <c r="D627" t="s">
        <v>404</v>
      </c>
      <c r="E627">
        <v>6500</v>
      </c>
      <c r="F627" t="s">
        <v>299</v>
      </c>
    </row>
    <row r="628" spans="1:6" x14ac:dyDescent="0.35">
      <c r="A628">
        <v>2012</v>
      </c>
      <c r="B628" t="s">
        <v>288</v>
      </c>
      <c r="C628" t="s">
        <v>222</v>
      </c>
      <c r="D628" t="s">
        <v>400</v>
      </c>
      <c r="E628">
        <v>44872</v>
      </c>
      <c r="F628" t="s">
        <v>299</v>
      </c>
    </row>
    <row r="629" spans="1:6" x14ac:dyDescent="0.35">
      <c r="A629">
        <v>2012</v>
      </c>
      <c r="B629" t="s">
        <v>288</v>
      </c>
      <c r="C629" t="s">
        <v>222</v>
      </c>
      <c r="D629" t="s">
        <v>398</v>
      </c>
      <c r="E629">
        <v>23916</v>
      </c>
      <c r="F629" t="s">
        <v>299</v>
      </c>
    </row>
    <row r="630" spans="1:6" x14ac:dyDescent="0.35">
      <c r="A630">
        <v>2012</v>
      </c>
      <c r="B630" t="s">
        <v>288</v>
      </c>
      <c r="C630" t="s">
        <v>222</v>
      </c>
      <c r="D630" t="s">
        <v>428</v>
      </c>
      <c r="E630">
        <v>3964</v>
      </c>
      <c r="F630" t="s">
        <v>299</v>
      </c>
    </row>
    <row r="631" spans="1:6" x14ac:dyDescent="0.35">
      <c r="A631">
        <v>2012</v>
      </c>
      <c r="B631" t="s">
        <v>288</v>
      </c>
      <c r="C631" t="s">
        <v>222</v>
      </c>
      <c r="D631" t="s">
        <v>401</v>
      </c>
      <c r="E631">
        <v>97762</v>
      </c>
      <c r="F631" t="s">
        <v>299</v>
      </c>
    </row>
    <row r="632" spans="1:6" x14ac:dyDescent="0.35">
      <c r="A632">
        <v>2012</v>
      </c>
      <c r="B632" t="s">
        <v>288</v>
      </c>
      <c r="C632" t="s">
        <v>222</v>
      </c>
      <c r="D632" t="s">
        <v>397</v>
      </c>
      <c r="E632">
        <v>21720</v>
      </c>
      <c r="F632" t="s">
        <v>299</v>
      </c>
    </row>
    <row r="633" spans="1:6" x14ac:dyDescent="0.35">
      <c r="A633">
        <v>2012</v>
      </c>
      <c r="B633" t="s">
        <v>291</v>
      </c>
      <c r="C633" t="s">
        <v>425</v>
      </c>
      <c r="D633" t="s">
        <v>266</v>
      </c>
      <c r="E633">
        <v>5092</v>
      </c>
      <c r="F633" t="s">
        <v>302</v>
      </c>
    </row>
    <row r="634" spans="1:6" x14ac:dyDescent="0.35">
      <c r="A634">
        <v>2012</v>
      </c>
      <c r="B634" t="s">
        <v>291</v>
      </c>
      <c r="C634" t="s">
        <v>425</v>
      </c>
      <c r="D634" t="s">
        <v>265</v>
      </c>
      <c r="E634">
        <v>5589</v>
      </c>
      <c r="F634" t="s">
        <v>302</v>
      </c>
    </row>
    <row r="635" spans="1:6" x14ac:dyDescent="0.35">
      <c r="A635">
        <v>2012</v>
      </c>
      <c r="B635" t="s">
        <v>291</v>
      </c>
      <c r="C635" t="s">
        <v>425</v>
      </c>
      <c r="D635" t="s">
        <v>239</v>
      </c>
      <c r="E635">
        <v>16011</v>
      </c>
      <c r="F635" t="s">
        <v>302</v>
      </c>
    </row>
    <row r="636" spans="1:6" x14ac:dyDescent="0.35">
      <c r="A636">
        <v>2012</v>
      </c>
      <c r="B636" t="s">
        <v>291</v>
      </c>
      <c r="C636" t="s">
        <v>425</v>
      </c>
      <c r="D636" t="s">
        <v>267</v>
      </c>
      <c r="E636">
        <v>13113</v>
      </c>
      <c r="F636" t="s">
        <v>302</v>
      </c>
    </row>
    <row r="637" spans="1:6" x14ac:dyDescent="0.35">
      <c r="A637">
        <v>2012</v>
      </c>
      <c r="B637" t="s">
        <v>291</v>
      </c>
      <c r="C637" t="s">
        <v>425</v>
      </c>
      <c r="D637" t="s">
        <v>268</v>
      </c>
      <c r="E637">
        <v>6960</v>
      </c>
      <c r="F637" t="s">
        <v>302</v>
      </c>
    </row>
    <row r="638" spans="1:6" x14ac:dyDescent="0.35">
      <c r="A638">
        <v>2012</v>
      </c>
      <c r="B638" t="s">
        <v>291</v>
      </c>
      <c r="C638" t="s">
        <v>425</v>
      </c>
      <c r="D638" t="s">
        <v>419</v>
      </c>
      <c r="E638">
        <v>6532</v>
      </c>
      <c r="F638" t="s">
        <v>302</v>
      </c>
    </row>
    <row r="639" spans="1:6" x14ac:dyDescent="0.35">
      <c r="A639">
        <v>2012</v>
      </c>
      <c r="B639" t="s">
        <v>291</v>
      </c>
      <c r="C639" t="s">
        <v>425</v>
      </c>
      <c r="D639" t="s">
        <v>240</v>
      </c>
      <c r="E639">
        <v>12584</v>
      </c>
      <c r="F639" t="s">
        <v>302</v>
      </c>
    </row>
    <row r="640" spans="1:6" x14ac:dyDescent="0.35">
      <c r="A640">
        <v>2012</v>
      </c>
      <c r="B640" t="s">
        <v>291</v>
      </c>
      <c r="C640" t="s">
        <v>425</v>
      </c>
      <c r="D640" t="s">
        <v>39</v>
      </c>
      <c r="E640">
        <v>2788</v>
      </c>
      <c r="F640" t="s">
        <v>302</v>
      </c>
    </row>
    <row r="641" spans="1:6" x14ac:dyDescent="0.35">
      <c r="A641">
        <v>2012</v>
      </c>
      <c r="B641" t="s">
        <v>291</v>
      </c>
      <c r="C641" t="s">
        <v>425</v>
      </c>
      <c r="D641" t="s">
        <v>269</v>
      </c>
      <c r="E641">
        <v>28947</v>
      </c>
      <c r="F641" t="s">
        <v>302</v>
      </c>
    </row>
    <row r="642" spans="1:6" x14ac:dyDescent="0.35">
      <c r="A642">
        <v>2012</v>
      </c>
      <c r="B642" t="s">
        <v>291</v>
      </c>
      <c r="C642" t="s">
        <v>425</v>
      </c>
      <c r="D642" t="s">
        <v>254</v>
      </c>
      <c r="E642">
        <v>8801</v>
      </c>
      <c r="F642" t="s">
        <v>302</v>
      </c>
    </row>
    <row r="643" spans="1:6" x14ac:dyDescent="0.35">
      <c r="A643">
        <v>2012</v>
      </c>
      <c r="B643" t="s">
        <v>291</v>
      </c>
      <c r="C643" t="s">
        <v>425</v>
      </c>
      <c r="D643" t="s">
        <v>273</v>
      </c>
      <c r="E643">
        <v>31</v>
      </c>
      <c r="F643" t="s">
        <v>302</v>
      </c>
    </row>
    <row r="644" spans="1:6" x14ac:dyDescent="0.35">
      <c r="A644">
        <v>2012</v>
      </c>
      <c r="B644" t="s">
        <v>291</v>
      </c>
      <c r="C644" t="s">
        <v>425</v>
      </c>
      <c r="D644" t="s">
        <v>270</v>
      </c>
      <c r="E644">
        <v>7383</v>
      </c>
      <c r="F644" t="s">
        <v>302</v>
      </c>
    </row>
    <row r="645" spans="1:6" x14ac:dyDescent="0.35">
      <c r="A645">
        <v>2012</v>
      </c>
      <c r="B645" t="s">
        <v>291</v>
      </c>
      <c r="C645" t="s">
        <v>425</v>
      </c>
      <c r="D645" t="s">
        <v>272</v>
      </c>
      <c r="E645">
        <v>7535</v>
      </c>
      <c r="F645" t="s">
        <v>302</v>
      </c>
    </row>
    <row r="646" spans="1:6" x14ac:dyDescent="0.35">
      <c r="A646">
        <v>2012</v>
      </c>
      <c r="B646" t="s">
        <v>291</v>
      </c>
      <c r="C646" t="s">
        <v>425</v>
      </c>
      <c r="D646" t="s">
        <v>249</v>
      </c>
      <c r="E646">
        <v>31078</v>
      </c>
      <c r="F646" t="s">
        <v>302</v>
      </c>
    </row>
    <row r="647" spans="1:6" x14ac:dyDescent="0.35">
      <c r="A647">
        <v>2012</v>
      </c>
      <c r="B647" t="s">
        <v>291</v>
      </c>
      <c r="C647" t="s">
        <v>425</v>
      </c>
      <c r="D647" t="s">
        <v>248</v>
      </c>
      <c r="E647">
        <v>17126</v>
      </c>
      <c r="F647" t="s">
        <v>302</v>
      </c>
    </row>
    <row r="648" spans="1:6" x14ac:dyDescent="0.35">
      <c r="A648">
        <v>2012</v>
      </c>
      <c r="B648" t="s">
        <v>291</v>
      </c>
      <c r="C648" t="s">
        <v>425</v>
      </c>
      <c r="D648" t="s">
        <v>417</v>
      </c>
      <c r="E648">
        <v>4407</v>
      </c>
      <c r="F648" t="s">
        <v>302</v>
      </c>
    </row>
    <row r="649" spans="1:6" x14ac:dyDescent="0.35">
      <c r="A649">
        <v>2012</v>
      </c>
      <c r="B649" t="s">
        <v>291</v>
      </c>
      <c r="C649" t="s">
        <v>425</v>
      </c>
      <c r="D649" t="s">
        <v>235</v>
      </c>
      <c r="E649">
        <v>6886</v>
      </c>
      <c r="F649" t="s">
        <v>302</v>
      </c>
    </row>
    <row r="650" spans="1:6" x14ac:dyDescent="0.35">
      <c r="A650">
        <v>2012</v>
      </c>
      <c r="B650" t="s">
        <v>291</v>
      </c>
      <c r="C650" t="s">
        <v>425</v>
      </c>
      <c r="D650" t="s">
        <v>260</v>
      </c>
      <c r="E650">
        <v>6008</v>
      </c>
      <c r="F650" t="s">
        <v>302</v>
      </c>
    </row>
    <row r="651" spans="1:6" x14ac:dyDescent="0.35">
      <c r="A651">
        <v>2012</v>
      </c>
      <c r="B651" t="s">
        <v>291</v>
      </c>
      <c r="C651" t="s">
        <v>425</v>
      </c>
      <c r="D651" t="s">
        <v>259</v>
      </c>
      <c r="E651">
        <v>16515</v>
      </c>
      <c r="F651" t="s">
        <v>302</v>
      </c>
    </row>
    <row r="652" spans="1:6" x14ac:dyDescent="0.35">
      <c r="A652">
        <v>2012</v>
      </c>
      <c r="B652" t="s">
        <v>291</v>
      </c>
      <c r="C652" t="s">
        <v>425</v>
      </c>
      <c r="D652" t="s">
        <v>247</v>
      </c>
      <c r="E652">
        <v>15455</v>
      </c>
      <c r="F652" t="s">
        <v>302</v>
      </c>
    </row>
    <row r="653" spans="1:6" x14ac:dyDescent="0.35">
      <c r="A653">
        <v>2012</v>
      </c>
      <c r="B653" t="s">
        <v>291</v>
      </c>
      <c r="C653" t="s">
        <v>425</v>
      </c>
      <c r="D653" t="s">
        <v>234</v>
      </c>
      <c r="E653">
        <v>1666</v>
      </c>
      <c r="F653" t="s">
        <v>302</v>
      </c>
    </row>
    <row r="654" spans="1:6" x14ac:dyDescent="0.35">
      <c r="A654">
        <v>2012</v>
      </c>
      <c r="B654" t="s">
        <v>291</v>
      </c>
      <c r="C654" t="s">
        <v>425</v>
      </c>
      <c r="D654" t="s">
        <v>246</v>
      </c>
      <c r="E654">
        <v>5268</v>
      </c>
      <c r="F654" t="s">
        <v>302</v>
      </c>
    </row>
    <row r="655" spans="1:6" x14ac:dyDescent="0.35">
      <c r="A655">
        <v>2012</v>
      </c>
      <c r="B655" t="s">
        <v>291</v>
      </c>
      <c r="C655" t="s">
        <v>425</v>
      </c>
      <c r="D655" t="s">
        <v>245</v>
      </c>
      <c r="E655">
        <v>2953</v>
      </c>
      <c r="F655" t="s">
        <v>302</v>
      </c>
    </row>
    <row r="656" spans="1:6" x14ac:dyDescent="0.35">
      <c r="A656">
        <v>2012</v>
      </c>
      <c r="B656" t="s">
        <v>291</v>
      </c>
      <c r="C656" t="s">
        <v>425</v>
      </c>
      <c r="D656" t="s">
        <v>229</v>
      </c>
      <c r="E656">
        <v>11196</v>
      </c>
      <c r="F656" t="s">
        <v>302</v>
      </c>
    </row>
    <row r="657" spans="1:6" x14ac:dyDescent="0.35">
      <c r="A657">
        <v>2012</v>
      </c>
      <c r="B657" t="s">
        <v>291</v>
      </c>
      <c r="C657" t="s">
        <v>425</v>
      </c>
      <c r="D657" t="s">
        <v>244</v>
      </c>
      <c r="E657">
        <v>24312</v>
      </c>
      <c r="F657" t="s">
        <v>302</v>
      </c>
    </row>
    <row r="658" spans="1:6" x14ac:dyDescent="0.35">
      <c r="A658">
        <v>2012</v>
      </c>
      <c r="B658" t="s">
        <v>291</v>
      </c>
      <c r="C658" t="s">
        <v>425</v>
      </c>
      <c r="D658" t="s">
        <v>252</v>
      </c>
      <c r="E658">
        <v>26386</v>
      </c>
      <c r="F658" t="s">
        <v>302</v>
      </c>
    </row>
    <row r="659" spans="1:6" x14ac:dyDescent="0.35">
      <c r="A659">
        <v>2012</v>
      </c>
      <c r="B659" t="s">
        <v>290</v>
      </c>
      <c r="C659" t="s">
        <v>426</v>
      </c>
      <c r="D659" t="s">
        <v>418</v>
      </c>
      <c r="E659">
        <v>48</v>
      </c>
      <c r="F659" t="s">
        <v>301</v>
      </c>
    </row>
    <row r="660" spans="1:6" x14ac:dyDescent="0.35">
      <c r="A660">
        <v>2012</v>
      </c>
      <c r="B660" t="s">
        <v>290</v>
      </c>
      <c r="C660" t="s">
        <v>425</v>
      </c>
      <c r="D660" t="s">
        <v>244</v>
      </c>
      <c r="E660">
        <v>578</v>
      </c>
      <c r="F660" t="s">
        <v>301</v>
      </c>
    </row>
    <row r="661" spans="1:6" x14ac:dyDescent="0.35">
      <c r="A661">
        <v>2012</v>
      </c>
      <c r="B661" t="s">
        <v>290</v>
      </c>
      <c r="C661" t="s">
        <v>425</v>
      </c>
      <c r="D661" t="s">
        <v>245</v>
      </c>
      <c r="E661">
        <v>135</v>
      </c>
      <c r="F661" t="s">
        <v>301</v>
      </c>
    </row>
    <row r="662" spans="1:6" x14ac:dyDescent="0.35">
      <c r="A662">
        <v>2012</v>
      </c>
      <c r="B662" t="s">
        <v>290</v>
      </c>
      <c r="C662" t="s">
        <v>425</v>
      </c>
      <c r="D662" t="s">
        <v>246</v>
      </c>
      <c r="E662">
        <v>346</v>
      </c>
      <c r="F662" t="s">
        <v>301</v>
      </c>
    </row>
    <row r="663" spans="1:6" x14ac:dyDescent="0.35">
      <c r="A663">
        <v>2012</v>
      </c>
      <c r="B663" t="s">
        <v>290</v>
      </c>
      <c r="C663" t="s">
        <v>425</v>
      </c>
      <c r="D663" t="s">
        <v>234</v>
      </c>
      <c r="E663">
        <v>183</v>
      </c>
      <c r="F663" t="s">
        <v>301</v>
      </c>
    </row>
    <row r="664" spans="1:6" x14ac:dyDescent="0.35">
      <c r="A664">
        <v>2012</v>
      </c>
      <c r="B664" t="s">
        <v>290</v>
      </c>
      <c r="C664" t="s">
        <v>425</v>
      </c>
      <c r="D664" t="s">
        <v>247</v>
      </c>
      <c r="E664">
        <v>1658</v>
      </c>
      <c r="F664" t="s">
        <v>301</v>
      </c>
    </row>
    <row r="665" spans="1:6" x14ac:dyDescent="0.35">
      <c r="A665">
        <v>2012</v>
      </c>
      <c r="B665" t="s">
        <v>290</v>
      </c>
      <c r="C665" t="s">
        <v>425</v>
      </c>
      <c r="D665" t="s">
        <v>260</v>
      </c>
      <c r="E665">
        <v>643</v>
      </c>
      <c r="F665" t="s">
        <v>301</v>
      </c>
    </row>
    <row r="666" spans="1:6" x14ac:dyDescent="0.35">
      <c r="A666">
        <v>2012</v>
      </c>
      <c r="B666" t="s">
        <v>290</v>
      </c>
      <c r="C666" t="s">
        <v>425</v>
      </c>
      <c r="D666" t="s">
        <v>235</v>
      </c>
      <c r="E666">
        <v>257</v>
      </c>
      <c r="F666" t="s">
        <v>301</v>
      </c>
    </row>
    <row r="667" spans="1:6" x14ac:dyDescent="0.35">
      <c r="A667">
        <v>2012</v>
      </c>
      <c r="B667" t="s">
        <v>290</v>
      </c>
      <c r="C667" t="s">
        <v>425</v>
      </c>
      <c r="D667" t="s">
        <v>417</v>
      </c>
      <c r="E667">
        <v>446</v>
      </c>
      <c r="F667" t="s">
        <v>301</v>
      </c>
    </row>
    <row r="668" spans="1:6" x14ac:dyDescent="0.35">
      <c r="A668">
        <v>2012</v>
      </c>
      <c r="B668" t="s">
        <v>290</v>
      </c>
      <c r="C668" t="s">
        <v>425</v>
      </c>
      <c r="D668" t="s">
        <v>261</v>
      </c>
      <c r="E668">
        <v>197</v>
      </c>
      <c r="F668" t="s">
        <v>301</v>
      </c>
    </row>
    <row r="669" spans="1:6" x14ac:dyDescent="0.35">
      <c r="A669">
        <v>2012</v>
      </c>
      <c r="B669" t="s">
        <v>290</v>
      </c>
      <c r="C669" t="s">
        <v>425</v>
      </c>
      <c r="D669" t="s">
        <v>248</v>
      </c>
      <c r="E669">
        <v>1044</v>
      </c>
      <c r="F669" t="s">
        <v>301</v>
      </c>
    </row>
    <row r="670" spans="1:6" x14ac:dyDescent="0.35">
      <c r="A670">
        <v>2012</v>
      </c>
      <c r="B670" t="s">
        <v>290</v>
      </c>
      <c r="C670" t="s">
        <v>425</v>
      </c>
      <c r="D670" t="s">
        <v>259</v>
      </c>
      <c r="E670">
        <v>508</v>
      </c>
      <c r="F670" t="s">
        <v>301</v>
      </c>
    </row>
    <row r="671" spans="1:6" x14ac:dyDescent="0.35">
      <c r="A671">
        <v>2012</v>
      </c>
      <c r="B671" t="s">
        <v>290</v>
      </c>
      <c r="C671" t="s">
        <v>425</v>
      </c>
      <c r="D671" t="s">
        <v>239</v>
      </c>
      <c r="E671">
        <v>1030</v>
      </c>
      <c r="F671" t="s">
        <v>301</v>
      </c>
    </row>
    <row r="672" spans="1:6" x14ac:dyDescent="0.35">
      <c r="A672">
        <v>2012</v>
      </c>
      <c r="B672" t="s">
        <v>290</v>
      </c>
      <c r="C672" t="s">
        <v>425</v>
      </c>
      <c r="D672" t="s">
        <v>249</v>
      </c>
      <c r="E672">
        <v>536</v>
      </c>
      <c r="F672" t="s">
        <v>301</v>
      </c>
    </row>
    <row r="673" spans="1:6" x14ac:dyDescent="0.35">
      <c r="A673">
        <v>2012</v>
      </c>
      <c r="B673" t="s">
        <v>290</v>
      </c>
      <c r="C673" t="s">
        <v>425</v>
      </c>
      <c r="D673" t="s">
        <v>270</v>
      </c>
      <c r="E673">
        <v>347</v>
      </c>
      <c r="F673" t="s">
        <v>301</v>
      </c>
    </row>
    <row r="674" spans="1:6" x14ac:dyDescent="0.35">
      <c r="A674">
        <v>2012</v>
      </c>
      <c r="B674" t="s">
        <v>290</v>
      </c>
      <c r="C674" t="s">
        <v>425</v>
      </c>
      <c r="D674" t="s">
        <v>254</v>
      </c>
      <c r="E674">
        <v>424</v>
      </c>
      <c r="F674" t="s">
        <v>301</v>
      </c>
    </row>
    <row r="675" spans="1:6" x14ac:dyDescent="0.35">
      <c r="A675">
        <v>2012</v>
      </c>
      <c r="B675" t="s">
        <v>290</v>
      </c>
      <c r="C675" t="s">
        <v>425</v>
      </c>
      <c r="D675" t="s">
        <v>240</v>
      </c>
      <c r="E675">
        <v>686</v>
      </c>
      <c r="F675" t="s">
        <v>301</v>
      </c>
    </row>
    <row r="676" spans="1:6" x14ac:dyDescent="0.35">
      <c r="A676">
        <v>2012</v>
      </c>
      <c r="B676" t="s">
        <v>290</v>
      </c>
      <c r="C676" t="s">
        <v>425</v>
      </c>
      <c r="D676" t="s">
        <v>250</v>
      </c>
      <c r="E676">
        <v>461</v>
      </c>
      <c r="F676" t="s">
        <v>301</v>
      </c>
    </row>
    <row r="677" spans="1:6" x14ac:dyDescent="0.35">
      <c r="A677">
        <v>2012</v>
      </c>
      <c r="B677" t="s">
        <v>290</v>
      </c>
      <c r="C677" t="s">
        <v>425</v>
      </c>
      <c r="D677" t="s">
        <v>265</v>
      </c>
      <c r="E677">
        <v>194</v>
      </c>
      <c r="F677" t="s">
        <v>301</v>
      </c>
    </row>
    <row r="678" spans="1:6" x14ac:dyDescent="0.35">
      <c r="A678">
        <v>2012</v>
      </c>
      <c r="B678" t="s">
        <v>290</v>
      </c>
      <c r="C678" t="s">
        <v>425</v>
      </c>
      <c r="D678" t="s">
        <v>266</v>
      </c>
      <c r="E678">
        <v>373</v>
      </c>
      <c r="F678" t="s">
        <v>301</v>
      </c>
    </row>
    <row r="679" spans="1:6" x14ac:dyDescent="0.35">
      <c r="A679">
        <v>2012</v>
      </c>
      <c r="B679" t="s">
        <v>290</v>
      </c>
      <c r="C679" t="s">
        <v>425</v>
      </c>
      <c r="D679" t="s">
        <v>267</v>
      </c>
      <c r="E679">
        <v>403</v>
      </c>
      <c r="F679" t="s">
        <v>301</v>
      </c>
    </row>
    <row r="680" spans="1:6" x14ac:dyDescent="0.35">
      <c r="A680">
        <v>2012</v>
      </c>
      <c r="B680" t="s">
        <v>290</v>
      </c>
      <c r="C680" t="s">
        <v>425</v>
      </c>
      <c r="D680" t="s">
        <v>255</v>
      </c>
      <c r="E680">
        <v>421</v>
      </c>
      <c r="F680" t="s">
        <v>301</v>
      </c>
    </row>
    <row r="681" spans="1:6" x14ac:dyDescent="0.35">
      <c r="A681">
        <v>2012</v>
      </c>
      <c r="B681" t="s">
        <v>290</v>
      </c>
      <c r="C681" t="s">
        <v>425</v>
      </c>
      <c r="D681" t="s">
        <v>269</v>
      </c>
      <c r="E681">
        <v>3599</v>
      </c>
      <c r="F681" t="s">
        <v>301</v>
      </c>
    </row>
    <row r="682" spans="1:6" x14ac:dyDescent="0.35">
      <c r="A682">
        <v>2012</v>
      </c>
      <c r="B682" t="s">
        <v>290</v>
      </c>
      <c r="C682" t="s">
        <v>425</v>
      </c>
      <c r="D682" t="s">
        <v>229</v>
      </c>
      <c r="E682">
        <v>506</v>
      </c>
      <c r="F682" t="s">
        <v>301</v>
      </c>
    </row>
    <row r="683" spans="1:6" x14ac:dyDescent="0.35">
      <c r="A683">
        <v>2012</v>
      </c>
      <c r="B683" t="s">
        <v>290</v>
      </c>
      <c r="C683" t="s">
        <v>425</v>
      </c>
      <c r="D683" t="s">
        <v>252</v>
      </c>
      <c r="E683">
        <v>355</v>
      </c>
      <c r="F683" t="s">
        <v>301</v>
      </c>
    </row>
    <row r="684" spans="1:6" x14ac:dyDescent="0.35">
      <c r="A684">
        <v>2012</v>
      </c>
      <c r="B684" t="s">
        <v>290</v>
      </c>
      <c r="C684" t="s">
        <v>425</v>
      </c>
      <c r="D684" t="s">
        <v>253</v>
      </c>
      <c r="E684">
        <v>178</v>
      </c>
      <c r="F684" t="s">
        <v>301</v>
      </c>
    </row>
    <row r="685" spans="1:6" x14ac:dyDescent="0.35">
      <c r="A685">
        <v>2012</v>
      </c>
      <c r="B685" t="s">
        <v>290</v>
      </c>
      <c r="C685" t="s">
        <v>425</v>
      </c>
      <c r="D685" t="s">
        <v>268</v>
      </c>
      <c r="E685">
        <v>381</v>
      </c>
      <c r="F685" t="s">
        <v>301</v>
      </c>
    </row>
    <row r="686" spans="1:6" x14ac:dyDescent="0.35">
      <c r="A686">
        <v>2013</v>
      </c>
      <c r="B686" t="s">
        <v>288</v>
      </c>
      <c r="C686" t="s">
        <v>222</v>
      </c>
      <c r="D686" t="s">
        <v>223</v>
      </c>
      <c r="E686">
        <v>3684</v>
      </c>
      <c r="F686" t="s">
        <v>299</v>
      </c>
    </row>
    <row r="687" spans="1:6" x14ac:dyDescent="0.35">
      <c r="A687">
        <v>2013</v>
      </c>
      <c r="B687" t="s">
        <v>288</v>
      </c>
      <c r="C687" t="s">
        <v>222</v>
      </c>
      <c r="D687" t="s">
        <v>224</v>
      </c>
      <c r="E687">
        <v>23510</v>
      </c>
      <c r="F687" t="s">
        <v>299</v>
      </c>
    </row>
    <row r="688" spans="1:6" x14ac:dyDescent="0.35">
      <c r="A688">
        <v>2013</v>
      </c>
      <c r="B688" t="s">
        <v>288</v>
      </c>
      <c r="C688" t="s">
        <v>222</v>
      </c>
      <c r="D688" t="s">
        <v>225</v>
      </c>
      <c r="E688">
        <v>16306</v>
      </c>
      <c r="F688" t="s">
        <v>299</v>
      </c>
    </row>
    <row r="689" spans="1:6" x14ac:dyDescent="0.35">
      <c r="A689">
        <v>2013</v>
      </c>
      <c r="B689" t="s">
        <v>288</v>
      </c>
      <c r="C689" t="s">
        <v>222</v>
      </c>
      <c r="D689" t="s">
        <v>226</v>
      </c>
      <c r="E689">
        <v>11154</v>
      </c>
      <c r="F689" t="s">
        <v>299</v>
      </c>
    </row>
    <row r="690" spans="1:6" x14ac:dyDescent="0.35">
      <c r="A690">
        <v>2013</v>
      </c>
      <c r="B690" t="s">
        <v>288</v>
      </c>
      <c r="C690" t="s">
        <v>222</v>
      </c>
      <c r="D690" t="s">
        <v>227</v>
      </c>
      <c r="E690">
        <v>50749</v>
      </c>
      <c r="F690" t="s">
        <v>299</v>
      </c>
    </row>
    <row r="691" spans="1:6" x14ac:dyDescent="0.35">
      <c r="A691">
        <v>2013</v>
      </c>
      <c r="B691" t="s">
        <v>288</v>
      </c>
      <c r="C691" t="s">
        <v>222</v>
      </c>
      <c r="D691" t="s">
        <v>228</v>
      </c>
      <c r="E691">
        <v>154453</v>
      </c>
      <c r="F691" t="s">
        <v>299</v>
      </c>
    </row>
    <row r="692" spans="1:6" x14ac:dyDescent="0.35">
      <c r="A692">
        <v>2013</v>
      </c>
      <c r="B692" t="s">
        <v>288</v>
      </c>
      <c r="C692" t="s">
        <v>222</v>
      </c>
      <c r="D692" t="s">
        <v>229</v>
      </c>
      <c r="E692">
        <v>27496</v>
      </c>
      <c r="F692" t="s">
        <v>299</v>
      </c>
    </row>
    <row r="693" spans="1:6" x14ac:dyDescent="0.35">
      <c r="A693">
        <v>2013</v>
      </c>
      <c r="B693" t="s">
        <v>288</v>
      </c>
      <c r="C693" t="s">
        <v>222</v>
      </c>
      <c r="D693" t="s">
        <v>230</v>
      </c>
      <c r="E693">
        <v>120939</v>
      </c>
      <c r="F693" t="s">
        <v>299</v>
      </c>
    </row>
    <row r="694" spans="1:6" x14ac:dyDescent="0.35">
      <c r="A694">
        <v>2013</v>
      </c>
      <c r="B694" t="s">
        <v>288</v>
      </c>
      <c r="C694" t="s">
        <v>222</v>
      </c>
      <c r="D694" t="s">
        <v>231</v>
      </c>
      <c r="E694">
        <v>6106</v>
      </c>
      <c r="F694" t="s">
        <v>299</v>
      </c>
    </row>
    <row r="695" spans="1:6" x14ac:dyDescent="0.35">
      <c r="A695">
        <v>2013</v>
      </c>
      <c r="B695" t="s">
        <v>288</v>
      </c>
      <c r="C695" t="s">
        <v>232</v>
      </c>
      <c r="D695" t="s">
        <v>233</v>
      </c>
      <c r="E695">
        <v>360</v>
      </c>
      <c r="F695" t="s">
        <v>299</v>
      </c>
    </row>
    <row r="696" spans="1:6" x14ac:dyDescent="0.35">
      <c r="A696">
        <v>2013</v>
      </c>
      <c r="B696" t="s">
        <v>288</v>
      </c>
      <c r="C696" t="s">
        <v>232</v>
      </c>
      <c r="D696" t="s">
        <v>234</v>
      </c>
      <c r="E696">
        <v>796</v>
      </c>
      <c r="F696" t="s">
        <v>299</v>
      </c>
    </row>
    <row r="697" spans="1:6" x14ac:dyDescent="0.35">
      <c r="A697">
        <v>2013</v>
      </c>
      <c r="B697" t="s">
        <v>288</v>
      </c>
      <c r="C697" t="s">
        <v>232</v>
      </c>
      <c r="D697" t="s">
        <v>235</v>
      </c>
      <c r="E697">
        <v>650</v>
      </c>
      <c r="F697" t="s">
        <v>299</v>
      </c>
    </row>
    <row r="698" spans="1:6" x14ac:dyDescent="0.35">
      <c r="A698">
        <v>2013</v>
      </c>
      <c r="B698" t="s">
        <v>288</v>
      </c>
      <c r="C698" t="s">
        <v>232</v>
      </c>
      <c r="D698" t="s">
        <v>236</v>
      </c>
      <c r="E698">
        <v>469</v>
      </c>
      <c r="F698" t="s">
        <v>299</v>
      </c>
    </row>
    <row r="699" spans="1:6" x14ac:dyDescent="0.35">
      <c r="A699">
        <v>2013</v>
      </c>
      <c r="B699" t="s">
        <v>288</v>
      </c>
      <c r="C699" t="s">
        <v>232</v>
      </c>
      <c r="D699" t="s">
        <v>237</v>
      </c>
      <c r="E699">
        <v>88</v>
      </c>
      <c r="F699" t="s">
        <v>299</v>
      </c>
    </row>
    <row r="700" spans="1:6" x14ac:dyDescent="0.35">
      <c r="A700">
        <v>2013</v>
      </c>
      <c r="B700" t="s">
        <v>288</v>
      </c>
      <c r="C700" t="s">
        <v>232</v>
      </c>
      <c r="D700" t="s">
        <v>238</v>
      </c>
      <c r="E700">
        <v>37</v>
      </c>
      <c r="F700" t="s">
        <v>299</v>
      </c>
    </row>
    <row r="701" spans="1:6" x14ac:dyDescent="0.35">
      <c r="A701">
        <v>2013</v>
      </c>
      <c r="B701" t="s">
        <v>288</v>
      </c>
      <c r="C701" t="s">
        <v>232</v>
      </c>
      <c r="D701" t="s">
        <v>239</v>
      </c>
      <c r="E701">
        <v>1738</v>
      </c>
      <c r="F701" t="s">
        <v>299</v>
      </c>
    </row>
    <row r="702" spans="1:6" x14ac:dyDescent="0.35">
      <c r="A702">
        <v>2013</v>
      </c>
      <c r="B702" t="s">
        <v>288</v>
      </c>
      <c r="C702" t="s">
        <v>232</v>
      </c>
      <c r="D702" t="s">
        <v>240</v>
      </c>
      <c r="E702">
        <v>500</v>
      </c>
      <c r="F702" t="s">
        <v>299</v>
      </c>
    </row>
    <row r="703" spans="1:6" x14ac:dyDescent="0.35">
      <c r="A703">
        <v>2013</v>
      </c>
      <c r="B703" t="s">
        <v>288</v>
      </c>
      <c r="C703" t="s">
        <v>232</v>
      </c>
      <c r="D703" t="s">
        <v>241</v>
      </c>
      <c r="E703">
        <v>924</v>
      </c>
      <c r="F703" t="s">
        <v>299</v>
      </c>
    </row>
    <row r="704" spans="1:6" x14ac:dyDescent="0.35">
      <c r="A704">
        <v>2013</v>
      </c>
      <c r="B704" t="s">
        <v>288</v>
      </c>
      <c r="C704" t="s">
        <v>232</v>
      </c>
      <c r="D704" t="s">
        <v>242</v>
      </c>
      <c r="E704">
        <v>299</v>
      </c>
      <c r="F704" t="s">
        <v>299</v>
      </c>
    </row>
    <row r="705" spans="1:6" x14ac:dyDescent="0.35">
      <c r="A705">
        <v>2013</v>
      </c>
      <c r="B705" t="s">
        <v>288</v>
      </c>
      <c r="C705" t="s">
        <v>232</v>
      </c>
      <c r="D705" t="s">
        <v>243</v>
      </c>
      <c r="E705">
        <v>531</v>
      </c>
      <c r="F705" t="s">
        <v>299</v>
      </c>
    </row>
    <row r="706" spans="1:6" x14ac:dyDescent="0.35">
      <c r="A706">
        <v>2013</v>
      </c>
      <c r="B706" t="s">
        <v>289</v>
      </c>
      <c r="C706" t="s">
        <v>281</v>
      </c>
      <c r="D706" t="s">
        <v>226</v>
      </c>
      <c r="E706">
        <v>5815</v>
      </c>
      <c r="F706" t="s">
        <v>301</v>
      </c>
    </row>
    <row r="707" spans="1:6" x14ac:dyDescent="0.35">
      <c r="A707">
        <v>2013</v>
      </c>
      <c r="B707" t="s">
        <v>289</v>
      </c>
      <c r="C707" t="s">
        <v>281</v>
      </c>
      <c r="D707" t="s">
        <v>227</v>
      </c>
      <c r="E707">
        <v>26005</v>
      </c>
      <c r="F707" t="s">
        <v>301</v>
      </c>
    </row>
    <row r="708" spans="1:6" x14ac:dyDescent="0.35">
      <c r="A708">
        <v>2013</v>
      </c>
      <c r="B708" t="s">
        <v>289</v>
      </c>
      <c r="C708" t="s">
        <v>281</v>
      </c>
      <c r="D708" t="s">
        <v>229</v>
      </c>
      <c r="E708">
        <v>22750</v>
      </c>
      <c r="F708" t="s">
        <v>301</v>
      </c>
    </row>
    <row r="709" spans="1:6" x14ac:dyDescent="0.35">
      <c r="A709">
        <v>2013</v>
      </c>
      <c r="B709" t="s">
        <v>289</v>
      </c>
      <c r="C709" t="s">
        <v>281</v>
      </c>
      <c r="D709" t="s">
        <v>230</v>
      </c>
      <c r="E709">
        <v>8492</v>
      </c>
      <c r="F709" t="s">
        <v>301</v>
      </c>
    </row>
    <row r="710" spans="1:6" x14ac:dyDescent="0.35">
      <c r="A710">
        <v>2013</v>
      </c>
      <c r="B710" t="s">
        <v>289</v>
      </c>
      <c r="C710" t="s">
        <v>283</v>
      </c>
      <c r="D710" t="s">
        <v>244</v>
      </c>
      <c r="E710">
        <v>2042</v>
      </c>
      <c r="F710" t="s">
        <v>301</v>
      </c>
    </row>
    <row r="711" spans="1:6" x14ac:dyDescent="0.35">
      <c r="A711">
        <v>2013</v>
      </c>
      <c r="B711" t="s">
        <v>289</v>
      </c>
      <c r="C711" t="s">
        <v>283</v>
      </c>
      <c r="D711" t="s">
        <v>245</v>
      </c>
      <c r="E711">
        <v>2094</v>
      </c>
      <c r="F711" t="s">
        <v>301</v>
      </c>
    </row>
    <row r="712" spans="1:6" x14ac:dyDescent="0.35">
      <c r="A712">
        <v>2013</v>
      </c>
      <c r="B712" t="s">
        <v>289</v>
      </c>
      <c r="C712" t="s">
        <v>283</v>
      </c>
      <c r="D712" t="s">
        <v>246</v>
      </c>
      <c r="E712">
        <v>2675</v>
      </c>
      <c r="F712" t="s">
        <v>301</v>
      </c>
    </row>
    <row r="713" spans="1:6" x14ac:dyDescent="0.35">
      <c r="A713">
        <v>2013</v>
      </c>
      <c r="B713" t="s">
        <v>289</v>
      </c>
      <c r="C713" t="s">
        <v>283</v>
      </c>
      <c r="D713" t="s">
        <v>234</v>
      </c>
      <c r="E713">
        <v>10697</v>
      </c>
      <c r="F713" t="s">
        <v>301</v>
      </c>
    </row>
    <row r="714" spans="1:6" x14ac:dyDescent="0.35">
      <c r="A714">
        <v>2013</v>
      </c>
      <c r="B714" t="s">
        <v>289</v>
      </c>
      <c r="C714" t="s">
        <v>283</v>
      </c>
      <c r="D714" t="s">
        <v>247</v>
      </c>
      <c r="E714">
        <v>2050</v>
      </c>
      <c r="F714" t="s">
        <v>301</v>
      </c>
    </row>
    <row r="715" spans="1:6" x14ac:dyDescent="0.35">
      <c r="A715">
        <v>2013</v>
      </c>
      <c r="B715" t="s">
        <v>289</v>
      </c>
      <c r="C715" t="s">
        <v>283</v>
      </c>
      <c r="D715" t="s">
        <v>235</v>
      </c>
      <c r="E715">
        <v>6001</v>
      </c>
      <c r="F715" t="s">
        <v>301</v>
      </c>
    </row>
    <row r="716" spans="1:6" x14ac:dyDescent="0.35">
      <c r="A716">
        <v>2013</v>
      </c>
      <c r="B716" t="s">
        <v>289</v>
      </c>
      <c r="C716" t="s">
        <v>283</v>
      </c>
      <c r="D716" t="s">
        <v>226</v>
      </c>
      <c r="E716">
        <v>3</v>
      </c>
      <c r="F716" t="s">
        <v>301</v>
      </c>
    </row>
    <row r="717" spans="1:6" x14ac:dyDescent="0.35">
      <c r="A717">
        <v>2013</v>
      </c>
      <c r="B717" t="s">
        <v>289</v>
      </c>
      <c r="C717" t="s">
        <v>283</v>
      </c>
      <c r="D717" t="s">
        <v>248</v>
      </c>
      <c r="E717">
        <v>2972</v>
      </c>
      <c r="F717" t="s">
        <v>301</v>
      </c>
    </row>
    <row r="718" spans="1:6" x14ac:dyDescent="0.35">
      <c r="A718">
        <v>2013</v>
      </c>
      <c r="B718" t="s">
        <v>289</v>
      </c>
      <c r="C718" t="s">
        <v>283</v>
      </c>
      <c r="D718" t="s">
        <v>227</v>
      </c>
      <c r="E718">
        <v>48</v>
      </c>
      <c r="F718" t="s">
        <v>301</v>
      </c>
    </row>
    <row r="719" spans="1:6" x14ac:dyDescent="0.35">
      <c r="A719">
        <v>2013</v>
      </c>
      <c r="B719" t="s">
        <v>289</v>
      </c>
      <c r="C719" t="s">
        <v>283</v>
      </c>
      <c r="D719" t="s">
        <v>249</v>
      </c>
      <c r="E719">
        <v>2773</v>
      </c>
      <c r="F719" t="s">
        <v>301</v>
      </c>
    </row>
    <row r="720" spans="1:6" x14ac:dyDescent="0.35">
      <c r="A720">
        <v>2013</v>
      </c>
      <c r="B720" t="s">
        <v>289</v>
      </c>
      <c r="C720" t="s">
        <v>283</v>
      </c>
      <c r="D720" t="s">
        <v>239</v>
      </c>
      <c r="E720">
        <v>5295</v>
      </c>
      <c r="F720" t="s">
        <v>301</v>
      </c>
    </row>
    <row r="721" spans="1:6" x14ac:dyDescent="0.35">
      <c r="A721">
        <v>2013</v>
      </c>
      <c r="B721" t="s">
        <v>289</v>
      </c>
      <c r="C721" t="s">
        <v>283</v>
      </c>
      <c r="D721" t="s">
        <v>240</v>
      </c>
      <c r="E721">
        <v>49</v>
      </c>
      <c r="F721" t="s">
        <v>301</v>
      </c>
    </row>
    <row r="722" spans="1:6" x14ac:dyDescent="0.35">
      <c r="A722">
        <v>2013</v>
      </c>
      <c r="B722" t="s">
        <v>289</v>
      </c>
      <c r="C722" t="s">
        <v>283</v>
      </c>
      <c r="D722" t="s">
        <v>250</v>
      </c>
      <c r="E722">
        <v>4464</v>
      </c>
      <c r="F722" t="s">
        <v>301</v>
      </c>
    </row>
    <row r="723" spans="1:6" x14ac:dyDescent="0.35">
      <c r="A723">
        <v>2013</v>
      </c>
      <c r="B723" t="s">
        <v>289</v>
      </c>
      <c r="C723" t="s">
        <v>283</v>
      </c>
      <c r="D723" t="s">
        <v>251</v>
      </c>
      <c r="E723">
        <v>211</v>
      </c>
      <c r="F723" t="s">
        <v>301</v>
      </c>
    </row>
    <row r="724" spans="1:6" x14ac:dyDescent="0.35">
      <c r="A724">
        <v>2013</v>
      </c>
      <c r="B724" t="s">
        <v>289</v>
      </c>
      <c r="C724" t="s">
        <v>283</v>
      </c>
      <c r="D724" t="s">
        <v>229</v>
      </c>
      <c r="E724">
        <v>45</v>
      </c>
      <c r="F724" t="s">
        <v>301</v>
      </c>
    </row>
    <row r="725" spans="1:6" x14ac:dyDescent="0.35">
      <c r="A725">
        <v>2013</v>
      </c>
      <c r="B725" t="s">
        <v>289</v>
      </c>
      <c r="C725" t="s">
        <v>283</v>
      </c>
      <c r="D725" t="s">
        <v>252</v>
      </c>
      <c r="E725">
        <v>1469</v>
      </c>
      <c r="F725" t="s">
        <v>301</v>
      </c>
    </row>
    <row r="726" spans="1:6" x14ac:dyDescent="0.35">
      <c r="A726">
        <v>2013</v>
      </c>
      <c r="B726" t="s">
        <v>289</v>
      </c>
      <c r="C726" t="s">
        <v>283</v>
      </c>
      <c r="D726" t="s">
        <v>253</v>
      </c>
      <c r="E726">
        <v>756</v>
      </c>
      <c r="F726" t="s">
        <v>301</v>
      </c>
    </row>
    <row r="727" spans="1:6" x14ac:dyDescent="0.35">
      <c r="A727">
        <v>2013</v>
      </c>
      <c r="B727" t="s">
        <v>289</v>
      </c>
      <c r="C727" t="s">
        <v>283</v>
      </c>
      <c r="D727" t="s">
        <v>254</v>
      </c>
      <c r="E727">
        <v>7844</v>
      </c>
      <c r="F727" t="s">
        <v>301</v>
      </c>
    </row>
    <row r="728" spans="1:6" x14ac:dyDescent="0.35">
      <c r="A728">
        <v>2013</v>
      </c>
      <c r="B728" t="s">
        <v>289</v>
      </c>
      <c r="C728" t="s">
        <v>283</v>
      </c>
      <c r="D728" t="s">
        <v>255</v>
      </c>
      <c r="E728">
        <v>462</v>
      </c>
      <c r="F728" t="s">
        <v>301</v>
      </c>
    </row>
    <row r="729" spans="1:6" x14ac:dyDescent="0.35">
      <c r="A729">
        <v>2013</v>
      </c>
      <c r="B729" t="s">
        <v>289</v>
      </c>
      <c r="C729" t="s">
        <v>283</v>
      </c>
      <c r="D729" t="s">
        <v>230</v>
      </c>
      <c r="E729">
        <v>66</v>
      </c>
      <c r="F729" t="s">
        <v>301</v>
      </c>
    </row>
    <row r="730" spans="1:6" x14ac:dyDescent="0.35">
      <c r="A730">
        <v>2013</v>
      </c>
      <c r="B730" t="s">
        <v>289</v>
      </c>
      <c r="C730" t="s">
        <v>283</v>
      </c>
      <c r="D730" t="s">
        <v>298</v>
      </c>
      <c r="E730">
        <v>8538</v>
      </c>
      <c r="F730" t="s">
        <v>301</v>
      </c>
    </row>
    <row r="731" spans="1:6" x14ac:dyDescent="0.35">
      <c r="A731">
        <v>2013</v>
      </c>
      <c r="B731" t="s">
        <v>289</v>
      </c>
      <c r="C731" t="s">
        <v>283</v>
      </c>
      <c r="D731" t="s">
        <v>257</v>
      </c>
      <c r="E731">
        <v>124</v>
      </c>
      <c r="F731" t="s">
        <v>301</v>
      </c>
    </row>
    <row r="732" spans="1:6" x14ac:dyDescent="0.35">
      <c r="A732">
        <v>2013</v>
      </c>
      <c r="B732" t="s">
        <v>290</v>
      </c>
      <c r="C732" t="s">
        <v>425</v>
      </c>
      <c r="D732" t="s">
        <v>244</v>
      </c>
      <c r="E732">
        <v>337</v>
      </c>
      <c r="F732" t="s">
        <v>302</v>
      </c>
    </row>
    <row r="733" spans="1:6" x14ac:dyDescent="0.35">
      <c r="A733">
        <v>2013</v>
      </c>
      <c r="B733" t="s">
        <v>290</v>
      </c>
      <c r="C733" t="s">
        <v>425</v>
      </c>
      <c r="D733" t="s">
        <v>245</v>
      </c>
      <c r="E733">
        <v>75</v>
      </c>
      <c r="F733" t="s">
        <v>302</v>
      </c>
    </row>
    <row r="734" spans="1:6" x14ac:dyDescent="0.35">
      <c r="A734">
        <v>2013</v>
      </c>
      <c r="B734" t="s">
        <v>290</v>
      </c>
      <c r="C734" t="s">
        <v>425</v>
      </c>
      <c r="D734" t="s">
        <v>246</v>
      </c>
      <c r="E734">
        <v>225</v>
      </c>
      <c r="F734" t="s">
        <v>302</v>
      </c>
    </row>
    <row r="735" spans="1:6" x14ac:dyDescent="0.35">
      <c r="A735">
        <v>2013</v>
      </c>
      <c r="B735" t="s">
        <v>290</v>
      </c>
      <c r="C735" t="s">
        <v>425</v>
      </c>
      <c r="D735" t="s">
        <v>234</v>
      </c>
      <c r="E735">
        <v>153</v>
      </c>
      <c r="F735" t="s">
        <v>302</v>
      </c>
    </row>
    <row r="736" spans="1:6" x14ac:dyDescent="0.35">
      <c r="A736">
        <v>2013</v>
      </c>
      <c r="B736" t="s">
        <v>290</v>
      </c>
      <c r="C736" t="s">
        <v>425</v>
      </c>
      <c r="D736" t="s">
        <v>247</v>
      </c>
      <c r="E736">
        <v>1239</v>
      </c>
      <c r="F736" t="s">
        <v>302</v>
      </c>
    </row>
    <row r="737" spans="1:6" x14ac:dyDescent="0.35">
      <c r="A737">
        <v>2013</v>
      </c>
      <c r="B737" t="s">
        <v>290</v>
      </c>
      <c r="C737" t="s">
        <v>425</v>
      </c>
      <c r="D737" t="s">
        <v>259</v>
      </c>
      <c r="E737">
        <v>256</v>
      </c>
      <c r="F737" t="s">
        <v>302</v>
      </c>
    </row>
    <row r="738" spans="1:6" x14ac:dyDescent="0.35">
      <c r="A738">
        <v>2013</v>
      </c>
      <c r="B738" t="s">
        <v>290</v>
      </c>
      <c r="C738" t="s">
        <v>425</v>
      </c>
      <c r="D738" t="s">
        <v>260</v>
      </c>
      <c r="E738">
        <v>226</v>
      </c>
      <c r="F738" t="s">
        <v>302</v>
      </c>
    </row>
    <row r="739" spans="1:6" x14ac:dyDescent="0.35">
      <c r="A739">
        <v>2013</v>
      </c>
      <c r="B739" t="s">
        <v>290</v>
      </c>
      <c r="C739" t="s">
        <v>425</v>
      </c>
      <c r="D739" t="s">
        <v>235</v>
      </c>
      <c r="E739">
        <v>176</v>
      </c>
      <c r="F739" t="s">
        <v>302</v>
      </c>
    </row>
    <row r="740" spans="1:6" x14ac:dyDescent="0.35">
      <c r="A740">
        <v>2013</v>
      </c>
      <c r="B740" t="s">
        <v>290</v>
      </c>
      <c r="C740" t="s">
        <v>425</v>
      </c>
      <c r="D740" t="s">
        <v>226</v>
      </c>
      <c r="E740">
        <v>367</v>
      </c>
      <c r="F740" t="s">
        <v>302</v>
      </c>
    </row>
    <row r="741" spans="1:6" x14ac:dyDescent="0.35">
      <c r="A741">
        <v>2013</v>
      </c>
      <c r="B741" t="s">
        <v>290</v>
      </c>
      <c r="C741" t="s">
        <v>425</v>
      </c>
      <c r="D741" t="s">
        <v>261</v>
      </c>
      <c r="E741">
        <v>95</v>
      </c>
      <c r="F741" t="s">
        <v>302</v>
      </c>
    </row>
    <row r="742" spans="1:6" x14ac:dyDescent="0.35">
      <c r="A742">
        <v>2013</v>
      </c>
      <c r="B742" t="s">
        <v>290</v>
      </c>
      <c r="C742" t="s">
        <v>425</v>
      </c>
      <c r="D742" t="s">
        <v>248</v>
      </c>
      <c r="E742">
        <v>1071</v>
      </c>
      <c r="F742" t="s">
        <v>302</v>
      </c>
    </row>
    <row r="743" spans="1:6" x14ac:dyDescent="0.35">
      <c r="A743">
        <v>2013</v>
      </c>
      <c r="B743" t="s">
        <v>290</v>
      </c>
      <c r="C743" t="s">
        <v>425</v>
      </c>
      <c r="D743" t="s">
        <v>249</v>
      </c>
      <c r="E743">
        <v>507</v>
      </c>
      <c r="F743" t="s">
        <v>302</v>
      </c>
    </row>
    <row r="744" spans="1:6" x14ac:dyDescent="0.35">
      <c r="A744">
        <v>2013</v>
      </c>
      <c r="B744" t="s">
        <v>290</v>
      </c>
      <c r="C744" t="s">
        <v>425</v>
      </c>
      <c r="D744" t="s">
        <v>239</v>
      </c>
      <c r="E744">
        <v>881</v>
      </c>
      <c r="F744" t="s">
        <v>302</v>
      </c>
    </row>
    <row r="745" spans="1:6" x14ac:dyDescent="0.35">
      <c r="A745">
        <v>2013</v>
      </c>
      <c r="B745" t="s">
        <v>290</v>
      </c>
      <c r="C745" t="s">
        <v>425</v>
      </c>
      <c r="D745" t="s">
        <v>240</v>
      </c>
      <c r="E745">
        <v>508</v>
      </c>
      <c r="F745" t="s">
        <v>302</v>
      </c>
    </row>
    <row r="746" spans="1:6" x14ac:dyDescent="0.35">
      <c r="A746">
        <v>2013</v>
      </c>
      <c r="B746" t="s">
        <v>290</v>
      </c>
      <c r="C746" t="s">
        <v>425</v>
      </c>
      <c r="D746" t="s">
        <v>250</v>
      </c>
      <c r="E746">
        <v>219</v>
      </c>
      <c r="F746" t="s">
        <v>302</v>
      </c>
    </row>
    <row r="747" spans="1:6" x14ac:dyDescent="0.35">
      <c r="A747">
        <v>2013</v>
      </c>
      <c r="B747" t="s">
        <v>290</v>
      </c>
      <c r="C747" t="s">
        <v>425</v>
      </c>
      <c r="D747" t="s">
        <v>265</v>
      </c>
      <c r="E747">
        <v>118</v>
      </c>
      <c r="F747" t="s">
        <v>302</v>
      </c>
    </row>
    <row r="748" spans="1:6" x14ac:dyDescent="0.35">
      <c r="A748">
        <v>2013</v>
      </c>
      <c r="B748" t="s">
        <v>290</v>
      </c>
      <c r="C748" t="s">
        <v>425</v>
      </c>
      <c r="D748" t="s">
        <v>266</v>
      </c>
      <c r="E748">
        <v>178</v>
      </c>
      <c r="F748" t="s">
        <v>302</v>
      </c>
    </row>
    <row r="749" spans="1:6" x14ac:dyDescent="0.35">
      <c r="A749">
        <v>2013</v>
      </c>
      <c r="B749" t="s">
        <v>290</v>
      </c>
      <c r="C749" t="s">
        <v>425</v>
      </c>
      <c r="D749" t="s">
        <v>267</v>
      </c>
      <c r="E749">
        <v>457</v>
      </c>
      <c r="F749" t="s">
        <v>302</v>
      </c>
    </row>
    <row r="750" spans="1:6" x14ac:dyDescent="0.35">
      <c r="A750">
        <v>2013</v>
      </c>
      <c r="B750" t="s">
        <v>290</v>
      </c>
      <c r="C750" t="s">
        <v>425</v>
      </c>
      <c r="D750" t="s">
        <v>268</v>
      </c>
      <c r="E750">
        <v>174</v>
      </c>
      <c r="F750" t="s">
        <v>302</v>
      </c>
    </row>
    <row r="751" spans="1:6" x14ac:dyDescent="0.35">
      <c r="A751">
        <v>2013</v>
      </c>
      <c r="B751" t="s">
        <v>290</v>
      </c>
      <c r="C751" t="s">
        <v>425</v>
      </c>
      <c r="D751" t="s">
        <v>269</v>
      </c>
      <c r="E751">
        <v>2945</v>
      </c>
      <c r="F751" t="s">
        <v>302</v>
      </c>
    </row>
    <row r="752" spans="1:6" x14ac:dyDescent="0.35">
      <c r="A752">
        <v>2013</v>
      </c>
      <c r="B752" t="s">
        <v>290</v>
      </c>
      <c r="C752" t="s">
        <v>425</v>
      </c>
      <c r="D752" t="s">
        <v>229</v>
      </c>
      <c r="E752">
        <v>398</v>
      </c>
      <c r="F752" t="s">
        <v>302</v>
      </c>
    </row>
    <row r="753" spans="1:6" x14ac:dyDescent="0.35">
      <c r="A753">
        <v>2013</v>
      </c>
      <c r="B753" t="s">
        <v>290</v>
      </c>
      <c r="C753" t="s">
        <v>425</v>
      </c>
      <c r="D753" t="s">
        <v>252</v>
      </c>
      <c r="E753">
        <v>252</v>
      </c>
      <c r="F753" t="s">
        <v>302</v>
      </c>
    </row>
    <row r="754" spans="1:6" x14ac:dyDescent="0.35">
      <c r="A754">
        <v>2013</v>
      </c>
      <c r="B754" t="s">
        <v>290</v>
      </c>
      <c r="C754" t="s">
        <v>425</v>
      </c>
      <c r="D754" t="s">
        <v>253</v>
      </c>
      <c r="E754">
        <v>242</v>
      </c>
      <c r="F754" t="s">
        <v>302</v>
      </c>
    </row>
    <row r="755" spans="1:6" x14ac:dyDescent="0.35">
      <c r="A755">
        <v>2013</v>
      </c>
      <c r="B755" t="s">
        <v>290</v>
      </c>
      <c r="C755" t="s">
        <v>425</v>
      </c>
      <c r="D755" t="s">
        <v>254</v>
      </c>
      <c r="E755">
        <v>376</v>
      </c>
      <c r="F755" t="s">
        <v>302</v>
      </c>
    </row>
    <row r="756" spans="1:6" x14ac:dyDescent="0.35">
      <c r="A756">
        <v>2013</v>
      </c>
      <c r="B756" t="s">
        <v>290</v>
      </c>
      <c r="C756" t="s">
        <v>425</v>
      </c>
      <c r="D756" t="s">
        <v>255</v>
      </c>
      <c r="E756">
        <v>168</v>
      </c>
      <c r="F756" t="s">
        <v>302</v>
      </c>
    </row>
    <row r="757" spans="1:6" x14ac:dyDescent="0.35">
      <c r="A757">
        <v>2013</v>
      </c>
      <c r="B757" t="s">
        <v>290</v>
      </c>
      <c r="C757" t="s">
        <v>425</v>
      </c>
      <c r="D757" t="s">
        <v>270</v>
      </c>
      <c r="E757">
        <v>303</v>
      </c>
      <c r="F757" t="s">
        <v>302</v>
      </c>
    </row>
    <row r="758" spans="1:6" x14ac:dyDescent="0.35">
      <c r="A758">
        <v>2013</v>
      </c>
      <c r="B758" t="s">
        <v>290</v>
      </c>
      <c r="C758" t="s">
        <v>426</v>
      </c>
      <c r="D758" t="s">
        <v>271</v>
      </c>
      <c r="E758">
        <v>50</v>
      </c>
      <c r="F758" t="s">
        <v>302</v>
      </c>
    </row>
    <row r="759" spans="1:6" x14ac:dyDescent="0.35">
      <c r="A759">
        <v>2013</v>
      </c>
      <c r="B759" t="s">
        <v>291</v>
      </c>
      <c r="C759" t="s">
        <v>425</v>
      </c>
      <c r="D759" t="s">
        <v>244</v>
      </c>
      <c r="E759">
        <v>17480</v>
      </c>
      <c r="F759" t="s">
        <v>302</v>
      </c>
    </row>
    <row r="760" spans="1:6" x14ac:dyDescent="0.35">
      <c r="A760">
        <v>2013</v>
      </c>
      <c r="B760" t="s">
        <v>291</v>
      </c>
      <c r="C760" t="s">
        <v>425</v>
      </c>
      <c r="D760" t="s">
        <v>245</v>
      </c>
      <c r="E760">
        <v>2562</v>
      </c>
      <c r="F760" t="s">
        <v>302</v>
      </c>
    </row>
    <row r="761" spans="1:6" x14ac:dyDescent="0.35">
      <c r="A761">
        <v>2013</v>
      </c>
      <c r="B761" t="s">
        <v>291</v>
      </c>
      <c r="C761" t="s">
        <v>425</v>
      </c>
      <c r="D761" t="s">
        <v>246</v>
      </c>
      <c r="E761">
        <v>3908</v>
      </c>
      <c r="F761" t="s">
        <v>302</v>
      </c>
    </row>
    <row r="762" spans="1:6" x14ac:dyDescent="0.35">
      <c r="A762">
        <v>2013</v>
      </c>
      <c r="B762" t="s">
        <v>291</v>
      </c>
      <c r="C762" t="s">
        <v>425</v>
      </c>
      <c r="D762" t="s">
        <v>234</v>
      </c>
      <c r="E762">
        <v>1668</v>
      </c>
      <c r="F762" t="s">
        <v>302</v>
      </c>
    </row>
    <row r="763" spans="1:6" x14ac:dyDescent="0.35">
      <c r="A763">
        <v>2013</v>
      </c>
      <c r="B763" t="s">
        <v>291</v>
      </c>
      <c r="C763" t="s">
        <v>425</v>
      </c>
      <c r="D763" t="s">
        <v>247</v>
      </c>
      <c r="E763">
        <v>11817</v>
      </c>
      <c r="F763" t="s">
        <v>302</v>
      </c>
    </row>
    <row r="764" spans="1:6" x14ac:dyDescent="0.35">
      <c r="A764">
        <v>2013</v>
      </c>
      <c r="B764" t="s">
        <v>291</v>
      </c>
      <c r="C764" t="s">
        <v>425</v>
      </c>
      <c r="D764" t="s">
        <v>259</v>
      </c>
      <c r="E764">
        <v>15882</v>
      </c>
      <c r="F764" t="s">
        <v>302</v>
      </c>
    </row>
    <row r="765" spans="1:6" x14ac:dyDescent="0.35">
      <c r="A765">
        <v>2013</v>
      </c>
      <c r="B765" t="s">
        <v>291</v>
      </c>
      <c r="C765" t="s">
        <v>425</v>
      </c>
      <c r="D765" t="s">
        <v>260</v>
      </c>
      <c r="E765">
        <v>4819</v>
      </c>
      <c r="F765" t="s">
        <v>302</v>
      </c>
    </row>
    <row r="766" spans="1:6" x14ac:dyDescent="0.35">
      <c r="A766">
        <v>2013</v>
      </c>
      <c r="B766" t="s">
        <v>291</v>
      </c>
      <c r="C766" t="s">
        <v>425</v>
      </c>
      <c r="D766" t="s">
        <v>235</v>
      </c>
      <c r="E766">
        <v>5374</v>
      </c>
      <c r="F766" t="s">
        <v>302</v>
      </c>
    </row>
    <row r="767" spans="1:6" x14ac:dyDescent="0.35">
      <c r="A767">
        <v>2013</v>
      </c>
      <c r="B767" t="s">
        <v>291</v>
      </c>
      <c r="C767" t="s">
        <v>425</v>
      </c>
      <c r="D767" t="s">
        <v>226</v>
      </c>
      <c r="E767">
        <v>3244</v>
      </c>
      <c r="F767" t="s">
        <v>302</v>
      </c>
    </row>
    <row r="768" spans="1:6" x14ac:dyDescent="0.35">
      <c r="A768">
        <v>2013</v>
      </c>
      <c r="B768" t="s">
        <v>291</v>
      </c>
      <c r="C768" t="s">
        <v>425</v>
      </c>
      <c r="D768" t="s">
        <v>248</v>
      </c>
      <c r="E768">
        <v>13866</v>
      </c>
      <c r="F768" t="s">
        <v>302</v>
      </c>
    </row>
    <row r="769" spans="1:6" x14ac:dyDescent="0.35">
      <c r="A769">
        <v>2013</v>
      </c>
      <c r="B769" t="s">
        <v>291</v>
      </c>
      <c r="C769" t="s">
        <v>425</v>
      </c>
      <c r="D769" t="s">
        <v>249</v>
      </c>
      <c r="E769">
        <v>24582</v>
      </c>
      <c r="F769" t="s">
        <v>302</v>
      </c>
    </row>
    <row r="770" spans="1:6" x14ac:dyDescent="0.35">
      <c r="A770">
        <v>2013</v>
      </c>
      <c r="B770" t="s">
        <v>291</v>
      </c>
      <c r="C770" t="s">
        <v>425</v>
      </c>
      <c r="D770" t="s">
        <v>239</v>
      </c>
      <c r="E770">
        <v>11147</v>
      </c>
      <c r="F770" t="s">
        <v>302</v>
      </c>
    </row>
    <row r="771" spans="1:6" x14ac:dyDescent="0.35">
      <c r="A771">
        <v>2013</v>
      </c>
      <c r="B771" t="s">
        <v>291</v>
      </c>
      <c r="C771" t="s">
        <v>425</v>
      </c>
      <c r="D771" t="s">
        <v>240</v>
      </c>
      <c r="E771">
        <v>8972</v>
      </c>
      <c r="F771" t="s">
        <v>302</v>
      </c>
    </row>
    <row r="772" spans="1:6" x14ac:dyDescent="0.35">
      <c r="A772">
        <v>2013</v>
      </c>
      <c r="B772" t="s">
        <v>291</v>
      </c>
      <c r="C772" t="s">
        <v>425</v>
      </c>
      <c r="D772" t="s">
        <v>250</v>
      </c>
      <c r="E772">
        <v>5560</v>
      </c>
      <c r="F772" t="s">
        <v>302</v>
      </c>
    </row>
    <row r="773" spans="1:6" x14ac:dyDescent="0.35">
      <c r="A773">
        <v>2013</v>
      </c>
      <c r="B773" t="s">
        <v>291</v>
      </c>
      <c r="C773" t="s">
        <v>425</v>
      </c>
      <c r="D773" t="s">
        <v>265</v>
      </c>
      <c r="E773">
        <v>4380</v>
      </c>
      <c r="F773" t="s">
        <v>302</v>
      </c>
    </row>
    <row r="774" spans="1:6" x14ac:dyDescent="0.35">
      <c r="A774">
        <v>2013</v>
      </c>
      <c r="B774" t="s">
        <v>291</v>
      </c>
      <c r="C774" t="s">
        <v>425</v>
      </c>
      <c r="D774" t="s">
        <v>266</v>
      </c>
      <c r="E774">
        <v>4980</v>
      </c>
      <c r="F774" t="s">
        <v>302</v>
      </c>
    </row>
    <row r="775" spans="1:6" x14ac:dyDescent="0.35">
      <c r="A775">
        <v>2013</v>
      </c>
      <c r="B775" t="s">
        <v>291</v>
      </c>
      <c r="C775" t="s">
        <v>425</v>
      </c>
      <c r="D775" t="s">
        <v>267</v>
      </c>
      <c r="E775">
        <v>10941</v>
      </c>
      <c r="F775" t="s">
        <v>302</v>
      </c>
    </row>
    <row r="776" spans="1:6" x14ac:dyDescent="0.35">
      <c r="A776">
        <v>2013</v>
      </c>
      <c r="B776" t="s">
        <v>291</v>
      </c>
      <c r="C776" t="s">
        <v>425</v>
      </c>
      <c r="D776" t="s">
        <v>268</v>
      </c>
      <c r="E776">
        <v>5505</v>
      </c>
      <c r="F776" t="s">
        <v>302</v>
      </c>
    </row>
    <row r="777" spans="1:6" x14ac:dyDescent="0.35">
      <c r="A777">
        <v>2013</v>
      </c>
      <c r="B777" t="s">
        <v>291</v>
      </c>
      <c r="C777" t="s">
        <v>425</v>
      </c>
      <c r="D777" t="s">
        <v>272</v>
      </c>
      <c r="E777">
        <v>6182</v>
      </c>
      <c r="F777" t="s">
        <v>302</v>
      </c>
    </row>
    <row r="778" spans="1:6" x14ac:dyDescent="0.35">
      <c r="A778">
        <v>2013</v>
      </c>
      <c r="B778" t="s">
        <v>291</v>
      </c>
      <c r="C778" t="s">
        <v>425</v>
      </c>
      <c r="D778" t="s">
        <v>269</v>
      </c>
      <c r="E778">
        <v>25658</v>
      </c>
      <c r="F778" t="s">
        <v>302</v>
      </c>
    </row>
    <row r="779" spans="1:6" x14ac:dyDescent="0.35">
      <c r="A779">
        <v>2013</v>
      </c>
      <c r="B779" t="s">
        <v>291</v>
      </c>
      <c r="C779" t="s">
        <v>425</v>
      </c>
      <c r="D779" t="s">
        <v>229</v>
      </c>
      <c r="E779">
        <v>6521</v>
      </c>
      <c r="F779" t="s">
        <v>302</v>
      </c>
    </row>
    <row r="780" spans="1:6" x14ac:dyDescent="0.35">
      <c r="A780">
        <v>2013</v>
      </c>
      <c r="B780" t="s">
        <v>291</v>
      </c>
      <c r="C780" t="s">
        <v>425</v>
      </c>
      <c r="D780" t="s">
        <v>252</v>
      </c>
      <c r="E780">
        <v>20441</v>
      </c>
      <c r="F780" t="s">
        <v>302</v>
      </c>
    </row>
    <row r="781" spans="1:6" x14ac:dyDescent="0.35">
      <c r="A781">
        <v>2013</v>
      </c>
      <c r="B781" t="s">
        <v>291</v>
      </c>
      <c r="C781" t="s">
        <v>425</v>
      </c>
      <c r="D781" t="s">
        <v>254</v>
      </c>
      <c r="E781">
        <v>7156</v>
      </c>
      <c r="F781" t="s">
        <v>302</v>
      </c>
    </row>
    <row r="782" spans="1:6" x14ac:dyDescent="0.35">
      <c r="A782">
        <v>2013</v>
      </c>
      <c r="B782" t="s">
        <v>291</v>
      </c>
      <c r="C782" t="s">
        <v>425</v>
      </c>
      <c r="D782" t="s">
        <v>270</v>
      </c>
      <c r="E782">
        <v>5557</v>
      </c>
      <c r="F782" t="s">
        <v>302</v>
      </c>
    </row>
    <row r="783" spans="1:6" x14ac:dyDescent="0.35">
      <c r="A783">
        <v>2013</v>
      </c>
      <c r="B783" t="s">
        <v>291</v>
      </c>
      <c r="C783" t="s">
        <v>425</v>
      </c>
      <c r="D783" t="s">
        <v>273</v>
      </c>
      <c r="E783">
        <v>12</v>
      </c>
      <c r="F783" t="s">
        <v>302</v>
      </c>
    </row>
    <row r="784" spans="1:6" x14ac:dyDescent="0.35">
      <c r="A784">
        <v>2013</v>
      </c>
      <c r="B784" t="s">
        <v>291</v>
      </c>
      <c r="C784" t="s">
        <v>425</v>
      </c>
      <c r="D784" t="s">
        <v>39</v>
      </c>
      <c r="E784">
        <v>1484</v>
      </c>
      <c r="F784" t="s">
        <v>302</v>
      </c>
    </row>
    <row r="785" spans="1:6" x14ac:dyDescent="0.35">
      <c r="A785">
        <v>2014</v>
      </c>
      <c r="B785" t="s">
        <v>288</v>
      </c>
      <c r="C785" t="s">
        <v>222</v>
      </c>
      <c r="D785" t="s">
        <v>223</v>
      </c>
      <c r="E785">
        <v>4096</v>
      </c>
      <c r="F785" t="s">
        <v>299</v>
      </c>
    </row>
    <row r="786" spans="1:6" x14ac:dyDescent="0.35">
      <c r="A786">
        <v>2014</v>
      </c>
      <c r="B786" t="s">
        <v>288</v>
      </c>
      <c r="C786" t="s">
        <v>222</v>
      </c>
      <c r="D786" t="s">
        <v>224</v>
      </c>
      <c r="E786">
        <v>24255</v>
      </c>
      <c r="F786" t="s">
        <v>299</v>
      </c>
    </row>
    <row r="787" spans="1:6" x14ac:dyDescent="0.35">
      <c r="A787">
        <v>2014</v>
      </c>
      <c r="B787" t="s">
        <v>288</v>
      </c>
      <c r="C787" t="s">
        <v>222</v>
      </c>
      <c r="D787" t="s">
        <v>225</v>
      </c>
      <c r="E787">
        <v>14511</v>
      </c>
      <c r="F787" t="s">
        <v>299</v>
      </c>
    </row>
    <row r="788" spans="1:6" x14ac:dyDescent="0.35">
      <c r="A788">
        <v>2014</v>
      </c>
      <c r="B788" t="s">
        <v>288</v>
      </c>
      <c r="C788" t="s">
        <v>222</v>
      </c>
      <c r="D788" t="s">
        <v>226</v>
      </c>
      <c r="E788">
        <v>12339</v>
      </c>
      <c r="F788" t="s">
        <v>299</v>
      </c>
    </row>
    <row r="789" spans="1:6" x14ac:dyDescent="0.35">
      <c r="A789">
        <v>2014</v>
      </c>
      <c r="B789" t="s">
        <v>288</v>
      </c>
      <c r="C789" t="s">
        <v>222</v>
      </c>
      <c r="D789" t="s">
        <v>227</v>
      </c>
      <c r="E789">
        <v>44049</v>
      </c>
      <c r="F789" t="s">
        <v>299</v>
      </c>
    </row>
    <row r="790" spans="1:6" x14ac:dyDescent="0.35">
      <c r="A790">
        <v>2014</v>
      </c>
      <c r="B790" t="s">
        <v>288</v>
      </c>
      <c r="C790" t="s">
        <v>222</v>
      </c>
      <c r="D790" t="s">
        <v>228</v>
      </c>
      <c r="E790">
        <v>256393</v>
      </c>
      <c r="F790" t="s">
        <v>299</v>
      </c>
    </row>
    <row r="791" spans="1:6" x14ac:dyDescent="0.35">
      <c r="A791">
        <v>2014</v>
      </c>
      <c r="B791" t="s">
        <v>288</v>
      </c>
      <c r="C791" t="s">
        <v>222</v>
      </c>
      <c r="D791" t="s">
        <v>229</v>
      </c>
      <c r="E791">
        <v>29911</v>
      </c>
      <c r="F791" t="s">
        <v>299</v>
      </c>
    </row>
    <row r="792" spans="1:6" x14ac:dyDescent="0.35">
      <c r="A792">
        <v>2014</v>
      </c>
      <c r="B792" t="s">
        <v>288</v>
      </c>
      <c r="C792" t="s">
        <v>222</v>
      </c>
      <c r="D792" t="s">
        <v>230</v>
      </c>
      <c r="E792">
        <v>87915</v>
      </c>
      <c r="F792" t="s">
        <v>299</v>
      </c>
    </row>
    <row r="793" spans="1:6" x14ac:dyDescent="0.35">
      <c r="A793">
        <v>2014</v>
      </c>
      <c r="B793" t="s">
        <v>288</v>
      </c>
      <c r="C793" t="s">
        <v>222</v>
      </c>
      <c r="D793" t="s">
        <v>231</v>
      </c>
      <c r="E793">
        <v>5902</v>
      </c>
      <c r="F793" t="s">
        <v>299</v>
      </c>
    </row>
    <row r="794" spans="1:6" x14ac:dyDescent="0.35">
      <c r="A794">
        <v>2014</v>
      </c>
      <c r="B794" t="s">
        <v>288</v>
      </c>
      <c r="C794" t="s">
        <v>232</v>
      </c>
      <c r="D794" t="s">
        <v>233</v>
      </c>
      <c r="E794">
        <v>272</v>
      </c>
      <c r="F794" t="s">
        <v>299</v>
      </c>
    </row>
    <row r="795" spans="1:6" x14ac:dyDescent="0.35">
      <c r="A795">
        <v>2014</v>
      </c>
      <c r="B795" t="s">
        <v>288</v>
      </c>
      <c r="C795" t="s">
        <v>232</v>
      </c>
      <c r="D795" t="s">
        <v>234</v>
      </c>
      <c r="E795">
        <v>741</v>
      </c>
      <c r="F795" t="s">
        <v>299</v>
      </c>
    </row>
    <row r="796" spans="1:6" x14ac:dyDescent="0.35">
      <c r="A796">
        <v>2014</v>
      </c>
      <c r="B796" t="s">
        <v>288</v>
      </c>
      <c r="C796" t="s">
        <v>232</v>
      </c>
      <c r="D796" t="s">
        <v>235</v>
      </c>
      <c r="E796">
        <v>647</v>
      </c>
      <c r="F796" t="s">
        <v>299</v>
      </c>
    </row>
    <row r="797" spans="1:6" x14ac:dyDescent="0.35">
      <c r="A797">
        <v>2014</v>
      </c>
      <c r="B797" t="s">
        <v>288</v>
      </c>
      <c r="C797" t="s">
        <v>232</v>
      </c>
      <c r="D797" t="s">
        <v>236</v>
      </c>
      <c r="E797">
        <v>767</v>
      </c>
      <c r="F797" t="s">
        <v>299</v>
      </c>
    </row>
    <row r="798" spans="1:6" x14ac:dyDescent="0.35">
      <c r="A798">
        <v>2014</v>
      </c>
      <c r="B798" t="s">
        <v>288</v>
      </c>
      <c r="C798" t="s">
        <v>232</v>
      </c>
      <c r="D798" t="s">
        <v>237</v>
      </c>
      <c r="E798">
        <v>91</v>
      </c>
      <c r="F798" t="s">
        <v>299</v>
      </c>
    </row>
    <row r="799" spans="1:6" x14ac:dyDescent="0.35">
      <c r="A799">
        <v>2014</v>
      </c>
      <c r="B799" t="s">
        <v>288</v>
      </c>
      <c r="C799" t="s">
        <v>232</v>
      </c>
      <c r="D799" t="s">
        <v>238</v>
      </c>
      <c r="E799">
        <v>45</v>
      </c>
      <c r="F799" t="s">
        <v>299</v>
      </c>
    </row>
    <row r="800" spans="1:6" x14ac:dyDescent="0.35">
      <c r="A800">
        <v>2014</v>
      </c>
      <c r="B800" t="s">
        <v>288</v>
      </c>
      <c r="C800" t="s">
        <v>232</v>
      </c>
      <c r="D800" t="s">
        <v>239</v>
      </c>
      <c r="E800">
        <v>2034</v>
      </c>
      <c r="F800" t="s">
        <v>299</v>
      </c>
    </row>
    <row r="801" spans="1:6" x14ac:dyDescent="0.35">
      <c r="A801">
        <v>2014</v>
      </c>
      <c r="B801" t="s">
        <v>288</v>
      </c>
      <c r="C801" t="s">
        <v>232</v>
      </c>
      <c r="D801" t="s">
        <v>240</v>
      </c>
      <c r="E801">
        <v>950</v>
      </c>
      <c r="F801" t="s">
        <v>299</v>
      </c>
    </row>
    <row r="802" spans="1:6" x14ac:dyDescent="0.35">
      <c r="A802">
        <v>2014</v>
      </c>
      <c r="B802" t="s">
        <v>288</v>
      </c>
      <c r="C802" t="s">
        <v>232</v>
      </c>
      <c r="D802" t="s">
        <v>241</v>
      </c>
      <c r="E802">
        <v>958</v>
      </c>
      <c r="F802" t="s">
        <v>299</v>
      </c>
    </row>
    <row r="803" spans="1:6" x14ac:dyDescent="0.35">
      <c r="A803">
        <v>2014</v>
      </c>
      <c r="B803" t="s">
        <v>288</v>
      </c>
      <c r="C803" t="s">
        <v>232</v>
      </c>
      <c r="D803" t="s">
        <v>242</v>
      </c>
      <c r="E803">
        <v>269</v>
      </c>
      <c r="F803" t="s">
        <v>299</v>
      </c>
    </row>
    <row r="804" spans="1:6" x14ac:dyDescent="0.35">
      <c r="A804">
        <v>2014</v>
      </c>
      <c r="B804" t="s">
        <v>288</v>
      </c>
      <c r="C804" t="s">
        <v>232</v>
      </c>
      <c r="D804" t="s">
        <v>243</v>
      </c>
      <c r="E804">
        <v>506</v>
      </c>
      <c r="F804" t="s">
        <v>299</v>
      </c>
    </row>
    <row r="805" spans="1:6" x14ac:dyDescent="0.35">
      <c r="A805">
        <v>2014</v>
      </c>
      <c r="B805" t="s">
        <v>289</v>
      </c>
      <c r="C805" t="s">
        <v>281</v>
      </c>
      <c r="D805" t="s">
        <v>226</v>
      </c>
      <c r="E805">
        <v>8260</v>
      </c>
      <c r="F805" t="s">
        <v>301</v>
      </c>
    </row>
    <row r="806" spans="1:6" x14ac:dyDescent="0.35">
      <c r="A806">
        <v>2014</v>
      </c>
      <c r="B806" t="s">
        <v>289</v>
      </c>
      <c r="C806" t="s">
        <v>281</v>
      </c>
      <c r="D806" t="s">
        <v>227</v>
      </c>
      <c r="E806">
        <v>20546</v>
      </c>
      <c r="F806" t="s">
        <v>301</v>
      </c>
    </row>
    <row r="807" spans="1:6" x14ac:dyDescent="0.35">
      <c r="A807">
        <v>2014</v>
      </c>
      <c r="B807" t="s">
        <v>289</v>
      </c>
      <c r="C807" t="s">
        <v>281</v>
      </c>
      <c r="D807" t="s">
        <v>229</v>
      </c>
      <c r="E807">
        <v>28969</v>
      </c>
      <c r="F807" t="s">
        <v>301</v>
      </c>
    </row>
    <row r="808" spans="1:6" x14ac:dyDescent="0.35">
      <c r="A808">
        <v>2014</v>
      </c>
      <c r="B808" t="s">
        <v>289</v>
      </c>
      <c r="C808" t="s">
        <v>281</v>
      </c>
      <c r="D808" t="s">
        <v>230</v>
      </c>
      <c r="E808">
        <v>7522</v>
      </c>
      <c r="F808" t="s">
        <v>301</v>
      </c>
    </row>
    <row r="809" spans="1:6" x14ac:dyDescent="0.35">
      <c r="A809">
        <v>2014</v>
      </c>
      <c r="B809" t="s">
        <v>289</v>
      </c>
      <c r="C809" t="s">
        <v>283</v>
      </c>
      <c r="D809" t="s">
        <v>244</v>
      </c>
      <c r="E809">
        <v>2940</v>
      </c>
      <c r="F809" t="s">
        <v>301</v>
      </c>
    </row>
    <row r="810" spans="1:6" x14ac:dyDescent="0.35">
      <c r="A810">
        <v>2014</v>
      </c>
      <c r="B810" t="s">
        <v>289</v>
      </c>
      <c r="C810" t="s">
        <v>283</v>
      </c>
      <c r="D810" t="s">
        <v>245</v>
      </c>
      <c r="E810">
        <v>1998</v>
      </c>
      <c r="F810" t="s">
        <v>301</v>
      </c>
    </row>
    <row r="811" spans="1:6" x14ac:dyDescent="0.35">
      <c r="A811">
        <v>2014</v>
      </c>
      <c r="B811" t="s">
        <v>289</v>
      </c>
      <c r="C811" t="s">
        <v>283</v>
      </c>
      <c r="D811" t="s">
        <v>246</v>
      </c>
      <c r="E811">
        <v>2931</v>
      </c>
      <c r="F811" t="s">
        <v>301</v>
      </c>
    </row>
    <row r="812" spans="1:6" x14ac:dyDescent="0.35">
      <c r="A812">
        <v>2014</v>
      </c>
      <c r="B812" t="s">
        <v>289</v>
      </c>
      <c r="C812" t="s">
        <v>283</v>
      </c>
      <c r="D812" t="s">
        <v>234</v>
      </c>
      <c r="E812">
        <v>9697</v>
      </c>
      <c r="F812" t="s">
        <v>301</v>
      </c>
    </row>
    <row r="813" spans="1:6" x14ac:dyDescent="0.35">
      <c r="A813">
        <v>2014</v>
      </c>
      <c r="B813" t="s">
        <v>289</v>
      </c>
      <c r="C813" t="s">
        <v>283</v>
      </c>
      <c r="D813" t="s">
        <v>247</v>
      </c>
      <c r="E813">
        <v>2122</v>
      </c>
      <c r="F813" t="s">
        <v>301</v>
      </c>
    </row>
    <row r="814" spans="1:6" x14ac:dyDescent="0.35">
      <c r="A814">
        <v>2014</v>
      </c>
      <c r="B814" t="s">
        <v>289</v>
      </c>
      <c r="C814" t="s">
        <v>283</v>
      </c>
      <c r="D814" t="s">
        <v>235</v>
      </c>
      <c r="E814">
        <v>5645</v>
      </c>
      <c r="F814" t="s">
        <v>301</v>
      </c>
    </row>
    <row r="815" spans="1:6" x14ac:dyDescent="0.35">
      <c r="A815">
        <v>2014</v>
      </c>
      <c r="B815" t="s">
        <v>289</v>
      </c>
      <c r="C815" t="s">
        <v>283</v>
      </c>
      <c r="D815" t="s">
        <v>226</v>
      </c>
      <c r="E815">
        <v>4</v>
      </c>
      <c r="F815" t="s">
        <v>301</v>
      </c>
    </row>
    <row r="816" spans="1:6" x14ac:dyDescent="0.35">
      <c r="A816">
        <v>2014</v>
      </c>
      <c r="B816" t="s">
        <v>289</v>
      </c>
      <c r="C816" t="s">
        <v>283</v>
      </c>
      <c r="D816" t="s">
        <v>248</v>
      </c>
      <c r="E816">
        <v>3442</v>
      </c>
      <c r="F816" t="s">
        <v>301</v>
      </c>
    </row>
    <row r="817" spans="1:6" x14ac:dyDescent="0.35">
      <c r="A817">
        <v>2014</v>
      </c>
      <c r="B817" t="s">
        <v>289</v>
      </c>
      <c r="C817" t="s">
        <v>283</v>
      </c>
      <c r="D817" t="s">
        <v>227</v>
      </c>
      <c r="E817">
        <v>23</v>
      </c>
      <c r="F817" t="s">
        <v>301</v>
      </c>
    </row>
    <row r="818" spans="1:6" x14ac:dyDescent="0.35">
      <c r="A818">
        <v>2014</v>
      </c>
      <c r="B818" t="s">
        <v>289</v>
      </c>
      <c r="C818" t="s">
        <v>283</v>
      </c>
      <c r="D818" t="s">
        <v>249</v>
      </c>
      <c r="E818">
        <v>3331</v>
      </c>
      <c r="F818" t="s">
        <v>301</v>
      </c>
    </row>
    <row r="819" spans="1:6" x14ac:dyDescent="0.35">
      <c r="A819">
        <v>2014</v>
      </c>
      <c r="B819" t="s">
        <v>289</v>
      </c>
      <c r="C819" t="s">
        <v>283</v>
      </c>
      <c r="D819" t="s">
        <v>239</v>
      </c>
      <c r="E819">
        <v>3869</v>
      </c>
      <c r="F819" t="s">
        <v>301</v>
      </c>
    </row>
    <row r="820" spans="1:6" x14ac:dyDescent="0.35">
      <c r="A820">
        <v>2014</v>
      </c>
      <c r="B820" t="s">
        <v>289</v>
      </c>
      <c r="C820" t="s">
        <v>283</v>
      </c>
      <c r="D820" t="s">
        <v>240</v>
      </c>
      <c r="E820">
        <v>44</v>
      </c>
      <c r="F820" t="s">
        <v>301</v>
      </c>
    </row>
    <row r="821" spans="1:6" x14ac:dyDescent="0.35">
      <c r="A821">
        <v>2014</v>
      </c>
      <c r="B821" t="s">
        <v>289</v>
      </c>
      <c r="C821" t="s">
        <v>283</v>
      </c>
      <c r="D821" t="s">
        <v>250</v>
      </c>
      <c r="E821">
        <v>4370</v>
      </c>
      <c r="F821" t="s">
        <v>301</v>
      </c>
    </row>
    <row r="822" spans="1:6" x14ac:dyDescent="0.35">
      <c r="A822">
        <v>2014</v>
      </c>
      <c r="B822" t="s">
        <v>289</v>
      </c>
      <c r="C822" t="s">
        <v>283</v>
      </c>
      <c r="D822" t="s">
        <v>251</v>
      </c>
      <c r="E822">
        <v>136</v>
      </c>
      <c r="F822" t="s">
        <v>301</v>
      </c>
    </row>
    <row r="823" spans="1:6" x14ac:dyDescent="0.35">
      <c r="A823">
        <v>2014</v>
      </c>
      <c r="B823" t="s">
        <v>289</v>
      </c>
      <c r="C823" t="s">
        <v>283</v>
      </c>
      <c r="D823" t="s">
        <v>229</v>
      </c>
      <c r="E823">
        <v>66</v>
      </c>
      <c r="F823" t="s">
        <v>301</v>
      </c>
    </row>
    <row r="824" spans="1:6" x14ac:dyDescent="0.35">
      <c r="A824">
        <v>2014</v>
      </c>
      <c r="B824" t="s">
        <v>289</v>
      </c>
      <c r="C824" t="s">
        <v>283</v>
      </c>
      <c r="D824" t="s">
        <v>252</v>
      </c>
      <c r="E824">
        <v>1427</v>
      </c>
      <c r="F824" t="s">
        <v>301</v>
      </c>
    </row>
    <row r="825" spans="1:6" x14ac:dyDescent="0.35">
      <c r="A825">
        <v>2014</v>
      </c>
      <c r="B825" t="s">
        <v>289</v>
      </c>
      <c r="C825" t="s">
        <v>283</v>
      </c>
      <c r="D825" t="s">
        <v>253</v>
      </c>
      <c r="E825">
        <v>614</v>
      </c>
      <c r="F825" t="s">
        <v>301</v>
      </c>
    </row>
    <row r="826" spans="1:6" x14ac:dyDescent="0.35">
      <c r="A826">
        <v>2014</v>
      </c>
      <c r="B826" t="s">
        <v>289</v>
      </c>
      <c r="C826" t="s">
        <v>283</v>
      </c>
      <c r="D826" t="s">
        <v>254</v>
      </c>
      <c r="E826">
        <v>7599</v>
      </c>
      <c r="F826" t="s">
        <v>301</v>
      </c>
    </row>
    <row r="827" spans="1:6" x14ac:dyDescent="0.35">
      <c r="A827">
        <v>2014</v>
      </c>
      <c r="B827" t="s">
        <v>289</v>
      </c>
      <c r="C827" t="s">
        <v>283</v>
      </c>
      <c r="D827" t="s">
        <v>255</v>
      </c>
      <c r="E827">
        <v>407</v>
      </c>
      <c r="F827" t="s">
        <v>301</v>
      </c>
    </row>
    <row r="828" spans="1:6" x14ac:dyDescent="0.35">
      <c r="A828">
        <v>2014</v>
      </c>
      <c r="B828" t="s">
        <v>289</v>
      </c>
      <c r="C828" t="s">
        <v>283</v>
      </c>
      <c r="D828" t="s">
        <v>230</v>
      </c>
      <c r="E828">
        <v>56</v>
      </c>
      <c r="F828" t="s">
        <v>301</v>
      </c>
    </row>
    <row r="829" spans="1:6" x14ac:dyDescent="0.35">
      <c r="A829">
        <v>2014</v>
      </c>
      <c r="B829" t="s">
        <v>289</v>
      </c>
      <c r="C829" t="s">
        <v>283</v>
      </c>
      <c r="D829" t="s">
        <v>298</v>
      </c>
      <c r="E829">
        <v>9262</v>
      </c>
      <c r="F829" t="s">
        <v>301</v>
      </c>
    </row>
    <row r="830" spans="1:6" x14ac:dyDescent="0.35">
      <c r="A830">
        <v>2014</v>
      </c>
      <c r="B830" t="s">
        <v>289</v>
      </c>
      <c r="C830" t="s">
        <v>283</v>
      </c>
      <c r="D830" t="s">
        <v>257</v>
      </c>
      <c r="E830">
        <v>58</v>
      </c>
      <c r="F830" t="s">
        <v>301</v>
      </c>
    </row>
    <row r="831" spans="1:6" x14ac:dyDescent="0.35">
      <c r="A831">
        <v>2014</v>
      </c>
      <c r="B831" t="s">
        <v>290</v>
      </c>
      <c r="C831" t="s">
        <v>425</v>
      </c>
      <c r="D831" t="s">
        <v>244</v>
      </c>
      <c r="E831">
        <v>224</v>
      </c>
      <c r="F831" t="s">
        <v>302</v>
      </c>
    </row>
    <row r="832" spans="1:6" x14ac:dyDescent="0.35">
      <c r="A832">
        <v>2014</v>
      </c>
      <c r="B832" t="s">
        <v>290</v>
      </c>
      <c r="C832" t="s">
        <v>425</v>
      </c>
      <c r="D832" t="s">
        <v>245</v>
      </c>
      <c r="E832">
        <v>133</v>
      </c>
      <c r="F832" t="s">
        <v>302</v>
      </c>
    </row>
    <row r="833" spans="1:6" x14ac:dyDescent="0.35">
      <c r="A833">
        <v>2014</v>
      </c>
      <c r="B833" t="s">
        <v>290</v>
      </c>
      <c r="C833" t="s">
        <v>425</v>
      </c>
      <c r="D833" t="s">
        <v>246</v>
      </c>
      <c r="E833">
        <v>173</v>
      </c>
      <c r="F833" t="s">
        <v>302</v>
      </c>
    </row>
    <row r="834" spans="1:6" x14ac:dyDescent="0.35">
      <c r="A834">
        <v>2014</v>
      </c>
      <c r="B834" t="s">
        <v>290</v>
      </c>
      <c r="C834" t="s">
        <v>425</v>
      </c>
      <c r="D834" t="s">
        <v>234</v>
      </c>
      <c r="E834">
        <v>118</v>
      </c>
      <c r="F834" t="s">
        <v>302</v>
      </c>
    </row>
    <row r="835" spans="1:6" x14ac:dyDescent="0.35">
      <c r="A835">
        <v>2014</v>
      </c>
      <c r="B835" t="s">
        <v>290</v>
      </c>
      <c r="C835" t="s">
        <v>425</v>
      </c>
      <c r="D835" t="s">
        <v>247</v>
      </c>
      <c r="E835">
        <v>909</v>
      </c>
      <c r="F835" t="s">
        <v>302</v>
      </c>
    </row>
    <row r="836" spans="1:6" x14ac:dyDescent="0.35">
      <c r="A836">
        <v>2014</v>
      </c>
      <c r="B836" t="s">
        <v>290</v>
      </c>
      <c r="C836" t="s">
        <v>425</v>
      </c>
      <c r="D836" t="s">
        <v>259</v>
      </c>
      <c r="E836">
        <v>328</v>
      </c>
      <c r="F836" t="s">
        <v>302</v>
      </c>
    </row>
    <row r="837" spans="1:6" x14ac:dyDescent="0.35">
      <c r="A837">
        <v>2014</v>
      </c>
      <c r="B837" t="s">
        <v>290</v>
      </c>
      <c r="C837" t="s">
        <v>425</v>
      </c>
      <c r="D837" t="s">
        <v>260</v>
      </c>
      <c r="E837">
        <v>128</v>
      </c>
      <c r="F837" t="s">
        <v>302</v>
      </c>
    </row>
    <row r="838" spans="1:6" x14ac:dyDescent="0.35">
      <c r="A838">
        <v>2014</v>
      </c>
      <c r="B838" t="s">
        <v>290</v>
      </c>
      <c r="C838" t="s">
        <v>425</v>
      </c>
      <c r="D838" t="s">
        <v>235</v>
      </c>
      <c r="E838">
        <v>229</v>
      </c>
      <c r="F838" t="s">
        <v>302</v>
      </c>
    </row>
    <row r="839" spans="1:6" x14ac:dyDescent="0.35">
      <c r="A839">
        <v>2014</v>
      </c>
      <c r="B839" t="s">
        <v>290</v>
      </c>
      <c r="C839" t="s">
        <v>425</v>
      </c>
      <c r="D839" t="s">
        <v>226</v>
      </c>
      <c r="E839">
        <v>447</v>
      </c>
      <c r="F839" t="s">
        <v>302</v>
      </c>
    </row>
    <row r="840" spans="1:6" x14ac:dyDescent="0.35">
      <c r="A840">
        <v>2014</v>
      </c>
      <c r="B840" t="s">
        <v>290</v>
      </c>
      <c r="C840" t="s">
        <v>425</v>
      </c>
      <c r="D840" t="s">
        <v>261</v>
      </c>
      <c r="E840">
        <v>72</v>
      </c>
      <c r="F840" t="s">
        <v>302</v>
      </c>
    </row>
    <row r="841" spans="1:6" x14ac:dyDescent="0.35">
      <c r="A841">
        <v>2014</v>
      </c>
      <c r="B841" t="s">
        <v>290</v>
      </c>
      <c r="C841" t="s">
        <v>425</v>
      </c>
      <c r="D841" t="s">
        <v>248</v>
      </c>
      <c r="E841">
        <v>924</v>
      </c>
      <c r="F841" t="s">
        <v>302</v>
      </c>
    </row>
    <row r="842" spans="1:6" x14ac:dyDescent="0.35">
      <c r="A842">
        <v>2014</v>
      </c>
      <c r="B842" t="s">
        <v>290</v>
      </c>
      <c r="C842" t="s">
        <v>425</v>
      </c>
      <c r="D842" t="s">
        <v>249</v>
      </c>
      <c r="E842">
        <v>401</v>
      </c>
      <c r="F842" t="s">
        <v>302</v>
      </c>
    </row>
    <row r="843" spans="1:6" x14ac:dyDescent="0.35">
      <c r="A843">
        <v>2014</v>
      </c>
      <c r="B843" t="s">
        <v>290</v>
      </c>
      <c r="C843" t="s">
        <v>425</v>
      </c>
      <c r="D843" t="s">
        <v>239</v>
      </c>
      <c r="E843">
        <v>984</v>
      </c>
      <c r="F843" t="s">
        <v>302</v>
      </c>
    </row>
    <row r="844" spans="1:6" x14ac:dyDescent="0.35">
      <c r="A844">
        <v>2014</v>
      </c>
      <c r="B844" t="s">
        <v>290</v>
      </c>
      <c r="C844" t="s">
        <v>425</v>
      </c>
      <c r="D844" t="s">
        <v>240</v>
      </c>
      <c r="E844">
        <v>415</v>
      </c>
      <c r="F844" t="s">
        <v>302</v>
      </c>
    </row>
    <row r="845" spans="1:6" x14ac:dyDescent="0.35">
      <c r="A845">
        <v>2014</v>
      </c>
      <c r="B845" t="s">
        <v>290</v>
      </c>
      <c r="C845" t="s">
        <v>425</v>
      </c>
      <c r="D845" t="s">
        <v>250</v>
      </c>
      <c r="E845">
        <v>245</v>
      </c>
      <c r="F845" t="s">
        <v>302</v>
      </c>
    </row>
    <row r="846" spans="1:6" x14ac:dyDescent="0.35">
      <c r="A846">
        <v>2014</v>
      </c>
      <c r="B846" t="s">
        <v>290</v>
      </c>
      <c r="C846" t="s">
        <v>425</v>
      </c>
      <c r="D846" t="s">
        <v>265</v>
      </c>
      <c r="E846">
        <v>185</v>
      </c>
      <c r="F846" t="s">
        <v>302</v>
      </c>
    </row>
    <row r="847" spans="1:6" x14ac:dyDescent="0.35">
      <c r="A847">
        <v>2014</v>
      </c>
      <c r="B847" t="s">
        <v>290</v>
      </c>
      <c r="C847" t="s">
        <v>425</v>
      </c>
      <c r="D847" t="s">
        <v>266</v>
      </c>
      <c r="E847">
        <v>233</v>
      </c>
      <c r="F847" t="s">
        <v>302</v>
      </c>
    </row>
    <row r="848" spans="1:6" x14ac:dyDescent="0.35">
      <c r="A848">
        <v>2014</v>
      </c>
      <c r="B848" t="s">
        <v>290</v>
      </c>
      <c r="C848" t="s">
        <v>425</v>
      </c>
      <c r="D848" t="s">
        <v>267</v>
      </c>
      <c r="E848">
        <v>258</v>
      </c>
      <c r="F848" t="s">
        <v>302</v>
      </c>
    </row>
    <row r="849" spans="1:6" x14ac:dyDescent="0.35">
      <c r="A849">
        <v>2014</v>
      </c>
      <c r="B849" t="s">
        <v>290</v>
      </c>
      <c r="C849" t="s">
        <v>425</v>
      </c>
      <c r="D849" t="s">
        <v>268</v>
      </c>
      <c r="E849">
        <v>180</v>
      </c>
      <c r="F849" t="s">
        <v>302</v>
      </c>
    </row>
    <row r="850" spans="1:6" x14ac:dyDescent="0.35">
      <c r="A850">
        <v>2014</v>
      </c>
      <c r="B850" t="s">
        <v>290</v>
      </c>
      <c r="C850" t="s">
        <v>425</v>
      </c>
      <c r="D850" t="s">
        <v>269</v>
      </c>
      <c r="E850">
        <v>3677</v>
      </c>
      <c r="F850" t="s">
        <v>302</v>
      </c>
    </row>
    <row r="851" spans="1:6" x14ac:dyDescent="0.35">
      <c r="A851">
        <v>2014</v>
      </c>
      <c r="B851" t="s">
        <v>290</v>
      </c>
      <c r="C851" t="s">
        <v>425</v>
      </c>
      <c r="D851" t="s">
        <v>229</v>
      </c>
      <c r="E851">
        <v>311</v>
      </c>
      <c r="F851" t="s">
        <v>302</v>
      </c>
    </row>
    <row r="852" spans="1:6" x14ac:dyDescent="0.35">
      <c r="A852">
        <v>2014</v>
      </c>
      <c r="B852" t="s">
        <v>290</v>
      </c>
      <c r="C852" t="s">
        <v>425</v>
      </c>
      <c r="D852" t="s">
        <v>252</v>
      </c>
      <c r="E852">
        <v>176</v>
      </c>
      <c r="F852" t="s">
        <v>302</v>
      </c>
    </row>
    <row r="853" spans="1:6" x14ac:dyDescent="0.35">
      <c r="A853">
        <v>2014</v>
      </c>
      <c r="B853" t="s">
        <v>290</v>
      </c>
      <c r="C853" t="s">
        <v>425</v>
      </c>
      <c r="D853" t="s">
        <v>253</v>
      </c>
      <c r="E853">
        <v>65</v>
      </c>
      <c r="F853" t="s">
        <v>302</v>
      </c>
    </row>
    <row r="854" spans="1:6" x14ac:dyDescent="0.35">
      <c r="A854">
        <v>2014</v>
      </c>
      <c r="B854" t="s">
        <v>290</v>
      </c>
      <c r="C854" t="s">
        <v>425</v>
      </c>
      <c r="D854" t="s">
        <v>254</v>
      </c>
      <c r="E854">
        <v>259</v>
      </c>
      <c r="F854" t="s">
        <v>302</v>
      </c>
    </row>
    <row r="855" spans="1:6" x14ac:dyDescent="0.35">
      <c r="A855">
        <v>2014</v>
      </c>
      <c r="B855" t="s">
        <v>290</v>
      </c>
      <c r="C855" t="s">
        <v>425</v>
      </c>
      <c r="D855" t="s">
        <v>255</v>
      </c>
      <c r="E855">
        <v>181</v>
      </c>
      <c r="F855" t="s">
        <v>302</v>
      </c>
    </row>
    <row r="856" spans="1:6" x14ac:dyDescent="0.35">
      <c r="A856">
        <v>2014</v>
      </c>
      <c r="B856" t="s">
        <v>290</v>
      </c>
      <c r="C856" t="s">
        <v>425</v>
      </c>
      <c r="D856" t="s">
        <v>270</v>
      </c>
      <c r="E856">
        <v>299</v>
      </c>
      <c r="F856" t="s">
        <v>302</v>
      </c>
    </row>
    <row r="857" spans="1:6" x14ac:dyDescent="0.35">
      <c r="A857">
        <v>2014</v>
      </c>
      <c r="B857" t="s">
        <v>290</v>
      </c>
      <c r="C857" t="s">
        <v>426</v>
      </c>
      <c r="D857" t="s">
        <v>271</v>
      </c>
      <c r="E857">
        <v>72</v>
      </c>
      <c r="F857" t="s">
        <v>302</v>
      </c>
    </row>
    <row r="858" spans="1:6" x14ac:dyDescent="0.35">
      <c r="A858">
        <v>2014</v>
      </c>
      <c r="B858" t="s">
        <v>291</v>
      </c>
      <c r="C858" t="s">
        <v>425</v>
      </c>
      <c r="D858" t="s">
        <v>244</v>
      </c>
      <c r="E858">
        <v>14208</v>
      </c>
      <c r="F858" t="s">
        <v>302</v>
      </c>
    </row>
    <row r="859" spans="1:6" x14ac:dyDescent="0.35">
      <c r="A859">
        <v>2014</v>
      </c>
      <c r="B859" t="s">
        <v>291</v>
      </c>
      <c r="C859" t="s">
        <v>425</v>
      </c>
      <c r="D859" t="s">
        <v>245</v>
      </c>
      <c r="E859">
        <v>2114</v>
      </c>
      <c r="F859" t="s">
        <v>302</v>
      </c>
    </row>
    <row r="860" spans="1:6" x14ac:dyDescent="0.35">
      <c r="A860">
        <v>2014</v>
      </c>
      <c r="B860" t="s">
        <v>291</v>
      </c>
      <c r="C860" t="s">
        <v>425</v>
      </c>
      <c r="D860" t="s">
        <v>246</v>
      </c>
      <c r="E860">
        <v>2795</v>
      </c>
      <c r="F860" t="s">
        <v>302</v>
      </c>
    </row>
    <row r="861" spans="1:6" x14ac:dyDescent="0.35">
      <c r="A861">
        <v>2014</v>
      </c>
      <c r="B861" t="s">
        <v>291</v>
      </c>
      <c r="C861" t="s">
        <v>425</v>
      </c>
      <c r="D861" t="s">
        <v>234</v>
      </c>
      <c r="E861">
        <v>1510</v>
      </c>
      <c r="F861" t="s">
        <v>302</v>
      </c>
    </row>
    <row r="862" spans="1:6" x14ac:dyDescent="0.35">
      <c r="A862">
        <v>2014</v>
      </c>
      <c r="B862" t="s">
        <v>291</v>
      </c>
      <c r="C862" t="s">
        <v>425</v>
      </c>
      <c r="D862" t="s">
        <v>247</v>
      </c>
      <c r="E862">
        <v>9951</v>
      </c>
      <c r="F862" t="s">
        <v>302</v>
      </c>
    </row>
    <row r="863" spans="1:6" x14ac:dyDescent="0.35">
      <c r="A863">
        <v>2014</v>
      </c>
      <c r="B863" t="s">
        <v>291</v>
      </c>
      <c r="C863" t="s">
        <v>425</v>
      </c>
      <c r="D863" t="s">
        <v>259</v>
      </c>
      <c r="E863">
        <v>13026</v>
      </c>
      <c r="F863" t="s">
        <v>302</v>
      </c>
    </row>
    <row r="864" spans="1:6" x14ac:dyDescent="0.35">
      <c r="A864">
        <v>2014</v>
      </c>
      <c r="B864" t="s">
        <v>291</v>
      </c>
      <c r="C864" t="s">
        <v>425</v>
      </c>
      <c r="D864" t="s">
        <v>260</v>
      </c>
      <c r="E864">
        <v>3272</v>
      </c>
      <c r="F864" t="s">
        <v>302</v>
      </c>
    </row>
    <row r="865" spans="1:6" x14ac:dyDescent="0.35">
      <c r="A865">
        <v>2014</v>
      </c>
      <c r="B865" t="s">
        <v>291</v>
      </c>
      <c r="C865" t="s">
        <v>425</v>
      </c>
      <c r="D865" t="s">
        <v>235</v>
      </c>
      <c r="E865">
        <v>4549</v>
      </c>
      <c r="F865" t="s">
        <v>302</v>
      </c>
    </row>
    <row r="866" spans="1:6" x14ac:dyDescent="0.35">
      <c r="A866">
        <v>2014</v>
      </c>
      <c r="B866" t="s">
        <v>291</v>
      </c>
      <c r="C866" t="s">
        <v>425</v>
      </c>
      <c r="D866" t="s">
        <v>226</v>
      </c>
      <c r="E866">
        <v>2636</v>
      </c>
      <c r="F866" t="s">
        <v>302</v>
      </c>
    </row>
    <row r="867" spans="1:6" x14ac:dyDescent="0.35">
      <c r="A867">
        <v>2014</v>
      </c>
      <c r="B867" t="s">
        <v>291</v>
      </c>
      <c r="C867" t="s">
        <v>425</v>
      </c>
      <c r="D867" t="s">
        <v>248</v>
      </c>
      <c r="E867">
        <v>16112</v>
      </c>
      <c r="F867" t="s">
        <v>302</v>
      </c>
    </row>
    <row r="868" spans="1:6" x14ac:dyDescent="0.35">
      <c r="A868">
        <v>2014</v>
      </c>
      <c r="B868" t="s">
        <v>291</v>
      </c>
      <c r="C868" t="s">
        <v>425</v>
      </c>
      <c r="D868" t="s">
        <v>249</v>
      </c>
      <c r="E868">
        <v>18347</v>
      </c>
      <c r="F868" t="s">
        <v>302</v>
      </c>
    </row>
    <row r="869" spans="1:6" x14ac:dyDescent="0.35">
      <c r="A869">
        <v>2014</v>
      </c>
      <c r="B869" t="s">
        <v>291</v>
      </c>
      <c r="C869" t="s">
        <v>425</v>
      </c>
      <c r="D869" t="s">
        <v>239</v>
      </c>
      <c r="E869">
        <v>8411</v>
      </c>
      <c r="F869" t="s">
        <v>302</v>
      </c>
    </row>
    <row r="870" spans="1:6" x14ac:dyDescent="0.35">
      <c r="A870">
        <v>2014</v>
      </c>
      <c r="B870" t="s">
        <v>291</v>
      </c>
      <c r="C870" t="s">
        <v>425</v>
      </c>
      <c r="D870" t="s">
        <v>240</v>
      </c>
      <c r="E870">
        <v>7331</v>
      </c>
      <c r="F870" t="s">
        <v>302</v>
      </c>
    </row>
    <row r="871" spans="1:6" x14ac:dyDescent="0.35">
      <c r="A871">
        <v>2014</v>
      </c>
      <c r="B871" t="s">
        <v>291</v>
      </c>
      <c r="C871" t="s">
        <v>425</v>
      </c>
      <c r="D871" t="s">
        <v>250</v>
      </c>
      <c r="E871">
        <v>4859</v>
      </c>
      <c r="F871" t="s">
        <v>302</v>
      </c>
    </row>
    <row r="872" spans="1:6" x14ac:dyDescent="0.35">
      <c r="A872">
        <v>2014</v>
      </c>
      <c r="B872" t="s">
        <v>291</v>
      </c>
      <c r="C872" t="s">
        <v>425</v>
      </c>
      <c r="D872" t="s">
        <v>265</v>
      </c>
      <c r="E872">
        <v>3763</v>
      </c>
      <c r="F872" t="s">
        <v>302</v>
      </c>
    </row>
    <row r="873" spans="1:6" x14ac:dyDescent="0.35">
      <c r="A873">
        <v>2014</v>
      </c>
      <c r="B873" t="s">
        <v>291</v>
      </c>
      <c r="C873" t="s">
        <v>425</v>
      </c>
      <c r="D873" t="s">
        <v>266</v>
      </c>
      <c r="E873">
        <v>4857</v>
      </c>
      <c r="F873" t="s">
        <v>302</v>
      </c>
    </row>
    <row r="874" spans="1:6" x14ac:dyDescent="0.35">
      <c r="A874">
        <v>2014</v>
      </c>
      <c r="B874" t="s">
        <v>291</v>
      </c>
      <c r="C874" t="s">
        <v>425</v>
      </c>
      <c r="D874" t="s">
        <v>267</v>
      </c>
      <c r="E874">
        <v>8416</v>
      </c>
      <c r="F874" t="s">
        <v>302</v>
      </c>
    </row>
    <row r="875" spans="1:6" x14ac:dyDescent="0.35">
      <c r="A875">
        <v>2014</v>
      </c>
      <c r="B875" t="s">
        <v>291</v>
      </c>
      <c r="C875" t="s">
        <v>425</v>
      </c>
      <c r="D875" t="s">
        <v>268</v>
      </c>
      <c r="E875">
        <v>3654</v>
      </c>
      <c r="F875" t="s">
        <v>302</v>
      </c>
    </row>
    <row r="876" spans="1:6" x14ac:dyDescent="0.35">
      <c r="A876">
        <v>2014</v>
      </c>
      <c r="B876" t="s">
        <v>291</v>
      </c>
      <c r="C876" t="s">
        <v>425</v>
      </c>
      <c r="D876" t="s">
        <v>272</v>
      </c>
      <c r="E876">
        <v>5078</v>
      </c>
      <c r="F876" t="s">
        <v>302</v>
      </c>
    </row>
    <row r="877" spans="1:6" x14ac:dyDescent="0.35">
      <c r="A877">
        <v>2014</v>
      </c>
      <c r="B877" t="s">
        <v>291</v>
      </c>
      <c r="C877" t="s">
        <v>425</v>
      </c>
      <c r="D877" t="s">
        <v>269</v>
      </c>
      <c r="E877">
        <v>18680</v>
      </c>
      <c r="F877" t="s">
        <v>302</v>
      </c>
    </row>
    <row r="878" spans="1:6" x14ac:dyDescent="0.35">
      <c r="A878">
        <v>2014</v>
      </c>
      <c r="B878" t="s">
        <v>291</v>
      </c>
      <c r="C878" t="s">
        <v>425</v>
      </c>
      <c r="D878" t="s">
        <v>229</v>
      </c>
      <c r="E878">
        <v>6336</v>
      </c>
      <c r="F878" t="s">
        <v>302</v>
      </c>
    </row>
    <row r="879" spans="1:6" x14ac:dyDescent="0.35">
      <c r="A879">
        <v>2014</v>
      </c>
      <c r="B879" t="s">
        <v>291</v>
      </c>
      <c r="C879" t="s">
        <v>425</v>
      </c>
      <c r="D879" t="s">
        <v>252</v>
      </c>
      <c r="E879">
        <v>10602</v>
      </c>
      <c r="F879" t="s">
        <v>302</v>
      </c>
    </row>
    <row r="880" spans="1:6" x14ac:dyDescent="0.35">
      <c r="A880">
        <v>2014</v>
      </c>
      <c r="B880" t="s">
        <v>291</v>
      </c>
      <c r="C880" t="s">
        <v>425</v>
      </c>
      <c r="D880" t="s">
        <v>254</v>
      </c>
      <c r="E880">
        <v>4703</v>
      </c>
      <c r="F880" t="s">
        <v>302</v>
      </c>
    </row>
    <row r="881" spans="1:6" x14ac:dyDescent="0.35">
      <c r="A881">
        <v>2014</v>
      </c>
      <c r="B881" t="s">
        <v>291</v>
      </c>
      <c r="C881" t="s">
        <v>425</v>
      </c>
      <c r="D881" t="s">
        <v>270</v>
      </c>
      <c r="E881">
        <v>4361</v>
      </c>
      <c r="F881" t="s">
        <v>302</v>
      </c>
    </row>
    <row r="882" spans="1:6" x14ac:dyDescent="0.35">
      <c r="A882">
        <v>2014</v>
      </c>
      <c r="B882" t="s">
        <v>291</v>
      </c>
      <c r="C882" t="s">
        <v>425</v>
      </c>
      <c r="D882" t="s">
        <v>273</v>
      </c>
      <c r="E882">
        <v>11</v>
      </c>
      <c r="F882" t="s">
        <v>302</v>
      </c>
    </row>
    <row r="883" spans="1:6" x14ac:dyDescent="0.35">
      <c r="A883">
        <v>2014</v>
      </c>
      <c r="B883" t="s">
        <v>291</v>
      </c>
      <c r="C883" t="s">
        <v>425</v>
      </c>
      <c r="D883" t="s">
        <v>39</v>
      </c>
      <c r="E883">
        <v>2137</v>
      </c>
      <c r="F883" t="s">
        <v>302</v>
      </c>
    </row>
    <row r="884" spans="1:6" x14ac:dyDescent="0.35">
      <c r="A884">
        <v>2015</v>
      </c>
      <c r="B884" t="s">
        <v>288</v>
      </c>
      <c r="C884" t="s">
        <v>222</v>
      </c>
      <c r="D884" t="s">
        <v>223</v>
      </c>
      <c r="E884">
        <v>5031</v>
      </c>
      <c r="F884" t="s">
        <v>299</v>
      </c>
    </row>
    <row r="885" spans="1:6" x14ac:dyDescent="0.35">
      <c r="A885">
        <v>2015</v>
      </c>
      <c r="B885" t="s">
        <v>288</v>
      </c>
      <c r="C885" t="s">
        <v>222</v>
      </c>
      <c r="D885" t="s">
        <v>224</v>
      </c>
      <c r="E885">
        <v>19013</v>
      </c>
      <c r="F885" t="s">
        <v>299</v>
      </c>
    </row>
    <row r="886" spans="1:6" x14ac:dyDescent="0.35">
      <c r="A886">
        <v>2015</v>
      </c>
      <c r="B886" t="s">
        <v>288</v>
      </c>
      <c r="C886" t="s">
        <v>222</v>
      </c>
      <c r="D886" t="s">
        <v>225</v>
      </c>
      <c r="E886">
        <v>12820</v>
      </c>
      <c r="F886" t="s">
        <v>299</v>
      </c>
    </row>
    <row r="887" spans="1:6" x14ac:dyDescent="0.35">
      <c r="A887">
        <v>2015</v>
      </c>
      <c r="B887" t="s">
        <v>288</v>
      </c>
      <c r="C887" t="s">
        <v>222</v>
      </c>
      <c r="D887" t="s">
        <v>226</v>
      </c>
      <c r="E887">
        <v>14495</v>
      </c>
      <c r="F887" t="s">
        <v>299</v>
      </c>
    </row>
    <row r="888" spans="1:6" x14ac:dyDescent="0.35">
      <c r="A888">
        <v>2015</v>
      </c>
      <c r="B888" t="s">
        <v>288</v>
      </c>
      <c r="C888" t="s">
        <v>222</v>
      </c>
      <c r="D888" t="s">
        <v>227</v>
      </c>
      <c r="E888">
        <v>35888</v>
      </c>
      <c r="F888" t="s">
        <v>299</v>
      </c>
    </row>
    <row r="889" spans="1:6" x14ac:dyDescent="0.35">
      <c r="A889">
        <v>2015</v>
      </c>
      <c r="B889" t="s">
        <v>288</v>
      </c>
      <c r="C889" t="s">
        <v>222</v>
      </c>
      <c r="D889" t="s">
        <v>228</v>
      </c>
      <c r="E889">
        <v>147257</v>
      </c>
      <c r="F889" t="s">
        <v>299</v>
      </c>
    </row>
    <row r="890" spans="1:6" x14ac:dyDescent="0.35">
      <c r="A890">
        <v>2015</v>
      </c>
      <c r="B890" t="s">
        <v>288</v>
      </c>
      <c r="C890" t="s">
        <v>222</v>
      </c>
      <c r="D890" t="s">
        <v>229</v>
      </c>
      <c r="E890">
        <v>26290</v>
      </c>
      <c r="F890" t="s">
        <v>299</v>
      </c>
    </row>
    <row r="891" spans="1:6" x14ac:dyDescent="0.35">
      <c r="A891">
        <v>2015</v>
      </c>
      <c r="B891" t="s">
        <v>288</v>
      </c>
      <c r="C891" t="s">
        <v>222</v>
      </c>
      <c r="D891" t="s">
        <v>230</v>
      </c>
      <c r="E891">
        <v>63397</v>
      </c>
      <c r="F891" t="s">
        <v>299</v>
      </c>
    </row>
    <row r="892" spans="1:6" x14ac:dyDescent="0.35">
      <c r="A892">
        <v>2015</v>
      </c>
      <c r="B892" t="s">
        <v>288</v>
      </c>
      <c r="C892" t="s">
        <v>222</v>
      </c>
      <c r="D892" t="s">
        <v>231</v>
      </c>
      <c r="E892">
        <v>7142</v>
      </c>
      <c r="F892" t="s">
        <v>299</v>
      </c>
    </row>
    <row r="893" spans="1:6" x14ac:dyDescent="0.35">
      <c r="A893">
        <v>2015</v>
      </c>
      <c r="B893" t="s">
        <v>288</v>
      </c>
      <c r="C893" t="s">
        <v>232</v>
      </c>
      <c r="D893" t="s">
        <v>233</v>
      </c>
      <c r="E893">
        <v>282</v>
      </c>
      <c r="F893" t="s">
        <v>299</v>
      </c>
    </row>
    <row r="894" spans="1:6" x14ac:dyDescent="0.35">
      <c r="A894">
        <v>2015</v>
      </c>
      <c r="B894" t="s">
        <v>288</v>
      </c>
      <c r="C894" t="s">
        <v>232</v>
      </c>
      <c r="D894" t="s">
        <v>234</v>
      </c>
      <c r="E894">
        <v>291</v>
      </c>
      <c r="F894" t="s">
        <v>299</v>
      </c>
    </row>
    <row r="895" spans="1:6" x14ac:dyDescent="0.35">
      <c r="A895">
        <v>2015</v>
      </c>
      <c r="B895" t="s">
        <v>288</v>
      </c>
      <c r="C895" t="s">
        <v>232</v>
      </c>
      <c r="D895" t="s">
        <v>235</v>
      </c>
      <c r="E895">
        <v>637</v>
      </c>
      <c r="F895" t="s">
        <v>299</v>
      </c>
    </row>
    <row r="896" spans="1:6" x14ac:dyDescent="0.35">
      <c r="A896">
        <v>2015</v>
      </c>
      <c r="B896" t="s">
        <v>288</v>
      </c>
      <c r="C896" t="s">
        <v>232</v>
      </c>
      <c r="D896" t="s">
        <v>236</v>
      </c>
      <c r="E896">
        <v>789</v>
      </c>
      <c r="F896" t="s">
        <v>299</v>
      </c>
    </row>
    <row r="897" spans="1:6" x14ac:dyDescent="0.35">
      <c r="A897">
        <v>2015</v>
      </c>
      <c r="B897" t="s">
        <v>288</v>
      </c>
      <c r="C897" t="s">
        <v>232</v>
      </c>
      <c r="D897" t="s">
        <v>237</v>
      </c>
      <c r="E897">
        <v>64</v>
      </c>
      <c r="F897" t="s">
        <v>299</v>
      </c>
    </row>
    <row r="898" spans="1:6" x14ac:dyDescent="0.35">
      <c r="A898">
        <v>2015</v>
      </c>
      <c r="B898" t="s">
        <v>288</v>
      </c>
      <c r="C898" t="s">
        <v>232</v>
      </c>
      <c r="D898" t="s">
        <v>238</v>
      </c>
      <c r="E898">
        <v>32</v>
      </c>
      <c r="F898" t="s">
        <v>299</v>
      </c>
    </row>
    <row r="899" spans="1:6" x14ac:dyDescent="0.35">
      <c r="A899">
        <v>2015</v>
      </c>
      <c r="B899" t="s">
        <v>288</v>
      </c>
      <c r="C899" t="s">
        <v>232</v>
      </c>
      <c r="D899" t="s">
        <v>239</v>
      </c>
      <c r="E899">
        <v>1752</v>
      </c>
      <c r="F899" t="s">
        <v>299</v>
      </c>
    </row>
    <row r="900" spans="1:6" x14ac:dyDescent="0.35">
      <c r="A900">
        <v>2015</v>
      </c>
      <c r="B900" t="s">
        <v>288</v>
      </c>
      <c r="C900" t="s">
        <v>232</v>
      </c>
      <c r="D900" t="s">
        <v>240</v>
      </c>
      <c r="E900">
        <v>849</v>
      </c>
      <c r="F900" t="s">
        <v>299</v>
      </c>
    </row>
    <row r="901" spans="1:6" x14ac:dyDescent="0.35">
      <c r="A901">
        <v>2015</v>
      </c>
      <c r="B901" t="s">
        <v>288</v>
      </c>
      <c r="C901" t="s">
        <v>232</v>
      </c>
      <c r="D901" t="s">
        <v>241</v>
      </c>
      <c r="E901">
        <v>557</v>
      </c>
      <c r="F901" t="s">
        <v>299</v>
      </c>
    </row>
    <row r="902" spans="1:6" x14ac:dyDescent="0.35">
      <c r="A902">
        <v>2015</v>
      </c>
      <c r="B902" t="s">
        <v>288</v>
      </c>
      <c r="C902" t="s">
        <v>232</v>
      </c>
      <c r="D902" t="s">
        <v>242</v>
      </c>
      <c r="E902">
        <v>190</v>
      </c>
      <c r="F902" t="s">
        <v>299</v>
      </c>
    </row>
    <row r="903" spans="1:6" x14ac:dyDescent="0.35">
      <c r="A903">
        <v>2015</v>
      </c>
      <c r="B903" t="s">
        <v>288</v>
      </c>
      <c r="C903" t="s">
        <v>232</v>
      </c>
      <c r="D903" t="s">
        <v>243</v>
      </c>
      <c r="E903">
        <v>341</v>
      </c>
      <c r="F903" t="s">
        <v>299</v>
      </c>
    </row>
    <row r="904" spans="1:6" x14ac:dyDescent="0.35">
      <c r="A904">
        <v>2015</v>
      </c>
      <c r="B904" t="s">
        <v>289</v>
      </c>
      <c r="C904" t="s">
        <v>281</v>
      </c>
      <c r="D904" t="s">
        <v>226</v>
      </c>
      <c r="E904">
        <v>9655</v>
      </c>
      <c r="F904" t="s">
        <v>301</v>
      </c>
    </row>
    <row r="905" spans="1:6" x14ac:dyDescent="0.35">
      <c r="A905">
        <v>2015</v>
      </c>
      <c r="B905" t="s">
        <v>289</v>
      </c>
      <c r="C905" t="s">
        <v>281</v>
      </c>
      <c r="D905" t="s">
        <v>227</v>
      </c>
      <c r="E905">
        <v>18093</v>
      </c>
      <c r="F905" t="s">
        <v>301</v>
      </c>
    </row>
    <row r="906" spans="1:6" x14ac:dyDescent="0.35">
      <c r="A906">
        <v>2015</v>
      </c>
      <c r="B906" t="s">
        <v>289</v>
      </c>
      <c r="C906" t="s">
        <v>281</v>
      </c>
      <c r="D906" t="s">
        <v>229</v>
      </c>
      <c r="E906">
        <v>36775</v>
      </c>
      <c r="F906" t="s">
        <v>301</v>
      </c>
    </row>
    <row r="907" spans="1:6" x14ac:dyDescent="0.35">
      <c r="A907">
        <v>2015</v>
      </c>
      <c r="B907" t="s">
        <v>289</v>
      </c>
      <c r="C907" t="s">
        <v>281</v>
      </c>
      <c r="D907" t="s">
        <v>230</v>
      </c>
      <c r="E907">
        <v>7617</v>
      </c>
      <c r="F907" t="s">
        <v>301</v>
      </c>
    </row>
    <row r="908" spans="1:6" x14ac:dyDescent="0.35">
      <c r="A908">
        <v>2015</v>
      </c>
      <c r="B908" t="s">
        <v>289</v>
      </c>
      <c r="C908" t="s">
        <v>283</v>
      </c>
      <c r="D908" t="s">
        <v>244</v>
      </c>
      <c r="E908">
        <v>3026</v>
      </c>
      <c r="F908" t="s">
        <v>301</v>
      </c>
    </row>
    <row r="909" spans="1:6" x14ac:dyDescent="0.35">
      <c r="A909">
        <v>2015</v>
      </c>
      <c r="B909" t="s">
        <v>289</v>
      </c>
      <c r="C909" t="s">
        <v>283</v>
      </c>
      <c r="D909" t="s">
        <v>245</v>
      </c>
      <c r="E909">
        <v>1808</v>
      </c>
      <c r="F909" t="s">
        <v>301</v>
      </c>
    </row>
    <row r="910" spans="1:6" x14ac:dyDescent="0.35">
      <c r="A910">
        <v>2015</v>
      </c>
      <c r="B910" t="s">
        <v>289</v>
      </c>
      <c r="C910" t="s">
        <v>283</v>
      </c>
      <c r="D910" t="s">
        <v>246</v>
      </c>
      <c r="E910">
        <v>2871</v>
      </c>
      <c r="F910" t="s">
        <v>301</v>
      </c>
    </row>
    <row r="911" spans="1:6" x14ac:dyDescent="0.35">
      <c r="A911">
        <v>2015</v>
      </c>
      <c r="B911" t="s">
        <v>289</v>
      </c>
      <c r="C911" t="s">
        <v>283</v>
      </c>
      <c r="D911" t="s">
        <v>234</v>
      </c>
      <c r="E911">
        <v>9023</v>
      </c>
      <c r="F911" t="s">
        <v>301</v>
      </c>
    </row>
    <row r="912" spans="1:6" x14ac:dyDescent="0.35">
      <c r="A912">
        <v>2015</v>
      </c>
      <c r="B912" t="s">
        <v>289</v>
      </c>
      <c r="C912" t="s">
        <v>283</v>
      </c>
      <c r="D912" t="s">
        <v>247</v>
      </c>
      <c r="E912">
        <v>3895</v>
      </c>
      <c r="F912" t="s">
        <v>301</v>
      </c>
    </row>
    <row r="913" spans="1:6" x14ac:dyDescent="0.35">
      <c r="A913">
        <v>2015</v>
      </c>
      <c r="B913" t="s">
        <v>289</v>
      </c>
      <c r="C913" t="s">
        <v>283</v>
      </c>
      <c r="D913" t="s">
        <v>235</v>
      </c>
      <c r="E913">
        <v>5699</v>
      </c>
      <c r="F913" t="s">
        <v>301</v>
      </c>
    </row>
    <row r="914" spans="1:6" x14ac:dyDescent="0.35">
      <c r="A914">
        <v>2015</v>
      </c>
      <c r="B914" t="s">
        <v>289</v>
      </c>
      <c r="C914" t="s">
        <v>283</v>
      </c>
      <c r="D914" t="s">
        <v>226</v>
      </c>
      <c r="E914">
        <v>9</v>
      </c>
      <c r="F914" t="s">
        <v>301</v>
      </c>
    </row>
    <row r="915" spans="1:6" x14ac:dyDescent="0.35">
      <c r="A915">
        <v>2015</v>
      </c>
      <c r="B915" t="s">
        <v>289</v>
      </c>
      <c r="C915" t="s">
        <v>283</v>
      </c>
      <c r="D915" t="s">
        <v>248</v>
      </c>
      <c r="E915">
        <v>4182</v>
      </c>
      <c r="F915" t="s">
        <v>301</v>
      </c>
    </row>
    <row r="916" spans="1:6" x14ac:dyDescent="0.35">
      <c r="A916">
        <v>2015</v>
      </c>
      <c r="B916" t="s">
        <v>289</v>
      </c>
      <c r="C916" t="s">
        <v>283</v>
      </c>
      <c r="D916" t="s">
        <v>227</v>
      </c>
      <c r="E916">
        <v>24</v>
      </c>
      <c r="F916" t="s">
        <v>301</v>
      </c>
    </row>
    <row r="917" spans="1:6" x14ac:dyDescent="0.35">
      <c r="A917">
        <v>2015</v>
      </c>
      <c r="B917" t="s">
        <v>289</v>
      </c>
      <c r="C917" t="s">
        <v>283</v>
      </c>
      <c r="D917" t="s">
        <v>249</v>
      </c>
      <c r="E917">
        <v>4349</v>
      </c>
      <c r="F917" t="s">
        <v>301</v>
      </c>
    </row>
    <row r="918" spans="1:6" x14ac:dyDescent="0.35">
      <c r="A918">
        <v>2015</v>
      </c>
      <c r="B918" t="s">
        <v>289</v>
      </c>
      <c r="C918" t="s">
        <v>283</v>
      </c>
      <c r="D918" t="s">
        <v>239</v>
      </c>
      <c r="E918">
        <v>3926</v>
      </c>
      <c r="F918" t="s">
        <v>301</v>
      </c>
    </row>
    <row r="919" spans="1:6" x14ac:dyDescent="0.35">
      <c r="A919">
        <v>2015</v>
      </c>
      <c r="B919" t="s">
        <v>289</v>
      </c>
      <c r="C919" t="s">
        <v>283</v>
      </c>
      <c r="D919" t="s">
        <v>240</v>
      </c>
      <c r="E919">
        <v>25</v>
      </c>
      <c r="F919" t="s">
        <v>301</v>
      </c>
    </row>
    <row r="920" spans="1:6" x14ac:dyDescent="0.35">
      <c r="A920">
        <v>2015</v>
      </c>
      <c r="B920" t="s">
        <v>289</v>
      </c>
      <c r="C920" t="s">
        <v>283</v>
      </c>
      <c r="D920" t="s">
        <v>250</v>
      </c>
      <c r="E920">
        <v>3921</v>
      </c>
      <c r="F920" t="s">
        <v>301</v>
      </c>
    </row>
    <row r="921" spans="1:6" x14ac:dyDescent="0.35">
      <c r="A921">
        <v>2015</v>
      </c>
      <c r="B921" t="s">
        <v>289</v>
      </c>
      <c r="C921" t="s">
        <v>283</v>
      </c>
      <c r="D921" t="s">
        <v>251</v>
      </c>
      <c r="E921">
        <v>235</v>
      </c>
      <c r="F921" t="s">
        <v>301</v>
      </c>
    </row>
    <row r="922" spans="1:6" x14ac:dyDescent="0.35">
      <c r="A922">
        <v>2015</v>
      </c>
      <c r="B922" t="s">
        <v>289</v>
      </c>
      <c r="C922" t="s">
        <v>283</v>
      </c>
      <c r="D922" t="s">
        <v>229</v>
      </c>
      <c r="E922">
        <v>72</v>
      </c>
      <c r="F922" t="s">
        <v>301</v>
      </c>
    </row>
    <row r="923" spans="1:6" x14ac:dyDescent="0.35">
      <c r="A923">
        <v>2015</v>
      </c>
      <c r="B923" t="s">
        <v>289</v>
      </c>
      <c r="C923" t="s">
        <v>283</v>
      </c>
      <c r="D923" t="s">
        <v>252</v>
      </c>
      <c r="E923">
        <v>1526</v>
      </c>
      <c r="F923" t="s">
        <v>301</v>
      </c>
    </row>
    <row r="924" spans="1:6" x14ac:dyDescent="0.35">
      <c r="A924">
        <v>2015</v>
      </c>
      <c r="B924" t="s">
        <v>289</v>
      </c>
      <c r="C924" t="s">
        <v>283</v>
      </c>
      <c r="D924" t="s">
        <v>253</v>
      </c>
      <c r="E924">
        <v>651</v>
      </c>
      <c r="F924" t="s">
        <v>301</v>
      </c>
    </row>
    <row r="925" spans="1:6" x14ac:dyDescent="0.35">
      <c r="A925">
        <v>2015</v>
      </c>
      <c r="B925" t="s">
        <v>289</v>
      </c>
      <c r="C925" t="s">
        <v>283</v>
      </c>
      <c r="D925" t="s">
        <v>254</v>
      </c>
      <c r="E925">
        <v>6804</v>
      </c>
      <c r="F925" t="s">
        <v>301</v>
      </c>
    </row>
    <row r="926" spans="1:6" x14ac:dyDescent="0.35">
      <c r="A926">
        <v>2015</v>
      </c>
      <c r="B926" t="s">
        <v>289</v>
      </c>
      <c r="C926" t="s">
        <v>283</v>
      </c>
      <c r="D926" t="s">
        <v>255</v>
      </c>
      <c r="E926">
        <v>470</v>
      </c>
      <c r="F926" t="s">
        <v>301</v>
      </c>
    </row>
    <row r="927" spans="1:6" x14ac:dyDescent="0.35">
      <c r="A927">
        <v>2015</v>
      </c>
      <c r="B927" t="s">
        <v>289</v>
      </c>
      <c r="C927" t="s">
        <v>283</v>
      </c>
      <c r="D927" t="s">
        <v>230</v>
      </c>
      <c r="E927">
        <v>68</v>
      </c>
      <c r="F927" t="s">
        <v>301</v>
      </c>
    </row>
    <row r="928" spans="1:6" x14ac:dyDescent="0.35">
      <c r="A928">
        <v>2015</v>
      </c>
      <c r="B928" t="s">
        <v>289</v>
      </c>
      <c r="C928" t="s">
        <v>283</v>
      </c>
      <c r="D928" t="s">
        <v>298</v>
      </c>
      <c r="E928">
        <v>9363</v>
      </c>
      <c r="F928" t="s">
        <v>301</v>
      </c>
    </row>
    <row r="929" spans="1:6" x14ac:dyDescent="0.35">
      <c r="A929">
        <v>2015</v>
      </c>
      <c r="B929" t="s">
        <v>289</v>
      </c>
      <c r="C929" t="s">
        <v>283</v>
      </c>
      <c r="D929" t="s">
        <v>257</v>
      </c>
      <c r="E929">
        <v>85</v>
      </c>
      <c r="F929" t="s">
        <v>301</v>
      </c>
    </row>
    <row r="930" spans="1:6" x14ac:dyDescent="0.35">
      <c r="A930">
        <v>2015</v>
      </c>
      <c r="B930" t="s">
        <v>290</v>
      </c>
      <c r="C930" t="s">
        <v>425</v>
      </c>
      <c r="D930" t="s">
        <v>244</v>
      </c>
      <c r="E930">
        <v>166</v>
      </c>
      <c r="F930" t="s">
        <v>302</v>
      </c>
    </row>
    <row r="931" spans="1:6" x14ac:dyDescent="0.35">
      <c r="A931">
        <v>2015</v>
      </c>
      <c r="B931" t="s">
        <v>290</v>
      </c>
      <c r="C931" t="s">
        <v>425</v>
      </c>
      <c r="D931" t="s">
        <v>245</v>
      </c>
      <c r="E931">
        <v>130</v>
      </c>
      <c r="F931" t="s">
        <v>302</v>
      </c>
    </row>
    <row r="932" spans="1:6" x14ac:dyDescent="0.35">
      <c r="A932">
        <v>2015</v>
      </c>
      <c r="B932" t="s">
        <v>290</v>
      </c>
      <c r="C932" t="s">
        <v>425</v>
      </c>
      <c r="D932" t="s">
        <v>246</v>
      </c>
      <c r="E932">
        <v>157</v>
      </c>
      <c r="F932" t="s">
        <v>302</v>
      </c>
    </row>
    <row r="933" spans="1:6" x14ac:dyDescent="0.35">
      <c r="A933">
        <v>2015</v>
      </c>
      <c r="B933" t="s">
        <v>290</v>
      </c>
      <c r="C933" t="s">
        <v>425</v>
      </c>
      <c r="D933" t="s">
        <v>234</v>
      </c>
      <c r="E933">
        <v>87</v>
      </c>
      <c r="F933" t="s">
        <v>302</v>
      </c>
    </row>
    <row r="934" spans="1:6" x14ac:dyDescent="0.35">
      <c r="A934">
        <v>2015</v>
      </c>
      <c r="B934" t="s">
        <v>290</v>
      </c>
      <c r="C934" t="s">
        <v>425</v>
      </c>
      <c r="D934" t="s">
        <v>247</v>
      </c>
      <c r="E934">
        <v>750</v>
      </c>
      <c r="F934" t="s">
        <v>302</v>
      </c>
    </row>
    <row r="935" spans="1:6" x14ac:dyDescent="0.35">
      <c r="A935">
        <v>2015</v>
      </c>
      <c r="B935" t="s">
        <v>290</v>
      </c>
      <c r="C935" t="s">
        <v>425</v>
      </c>
      <c r="D935" t="s">
        <v>259</v>
      </c>
      <c r="E935">
        <v>215</v>
      </c>
      <c r="F935" t="s">
        <v>302</v>
      </c>
    </row>
    <row r="936" spans="1:6" x14ac:dyDescent="0.35">
      <c r="A936">
        <v>2015</v>
      </c>
      <c r="B936" t="s">
        <v>290</v>
      </c>
      <c r="C936" t="s">
        <v>425</v>
      </c>
      <c r="D936" t="s">
        <v>260</v>
      </c>
      <c r="E936">
        <v>74</v>
      </c>
      <c r="F936" t="s">
        <v>302</v>
      </c>
    </row>
    <row r="937" spans="1:6" x14ac:dyDescent="0.35">
      <c r="A937">
        <v>2015</v>
      </c>
      <c r="B937" t="s">
        <v>290</v>
      </c>
      <c r="C937" t="s">
        <v>425</v>
      </c>
      <c r="D937" t="s">
        <v>235</v>
      </c>
      <c r="E937">
        <v>231</v>
      </c>
      <c r="F937" t="s">
        <v>302</v>
      </c>
    </row>
    <row r="938" spans="1:6" x14ac:dyDescent="0.35">
      <c r="A938">
        <v>2015</v>
      </c>
      <c r="B938" t="s">
        <v>290</v>
      </c>
      <c r="C938" t="s">
        <v>425</v>
      </c>
      <c r="D938" t="s">
        <v>226</v>
      </c>
      <c r="E938">
        <v>394</v>
      </c>
      <c r="F938" t="s">
        <v>302</v>
      </c>
    </row>
    <row r="939" spans="1:6" x14ac:dyDescent="0.35">
      <c r="A939">
        <v>2015</v>
      </c>
      <c r="B939" t="s">
        <v>290</v>
      </c>
      <c r="C939" t="s">
        <v>425</v>
      </c>
      <c r="D939" t="s">
        <v>261</v>
      </c>
      <c r="E939">
        <v>75</v>
      </c>
      <c r="F939" t="s">
        <v>302</v>
      </c>
    </row>
    <row r="940" spans="1:6" x14ac:dyDescent="0.35">
      <c r="A940">
        <v>2015</v>
      </c>
      <c r="B940" t="s">
        <v>290</v>
      </c>
      <c r="C940" t="s">
        <v>425</v>
      </c>
      <c r="D940" t="s">
        <v>248</v>
      </c>
      <c r="E940">
        <v>355</v>
      </c>
      <c r="F940" t="s">
        <v>302</v>
      </c>
    </row>
    <row r="941" spans="1:6" x14ac:dyDescent="0.35">
      <c r="A941">
        <v>2015</v>
      </c>
      <c r="B941" t="s">
        <v>290</v>
      </c>
      <c r="C941" t="s">
        <v>425</v>
      </c>
      <c r="D941" t="s">
        <v>249</v>
      </c>
      <c r="E941">
        <v>493</v>
      </c>
      <c r="F941" t="s">
        <v>302</v>
      </c>
    </row>
    <row r="942" spans="1:6" x14ac:dyDescent="0.35">
      <c r="A942">
        <v>2015</v>
      </c>
      <c r="B942" t="s">
        <v>290</v>
      </c>
      <c r="C942" t="s">
        <v>425</v>
      </c>
      <c r="D942" t="s">
        <v>239</v>
      </c>
      <c r="E942">
        <v>794</v>
      </c>
      <c r="F942" t="s">
        <v>302</v>
      </c>
    </row>
    <row r="943" spans="1:6" x14ac:dyDescent="0.35">
      <c r="A943">
        <v>2015</v>
      </c>
      <c r="B943" t="s">
        <v>290</v>
      </c>
      <c r="C943" t="s">
        <v>425</v>
      </c>
      <c r="D943" t="s">
        <v>240</v>
      </c>
      <c r="E943">
        <v>293</v>
      </c>
      <c r="F943" t="s">
        <v>302</v>
      </c>
    </row>
    <row r="944" spans="1:6" x14ac:dyDescent="0.35">
      <c r="A944">
        <v>2015</v>
      </c>
      <c r="B944" t="s">
        <v>290</v>
      </c>
      <c r="C944" t="s">
        <v>425</v>
      </c>
      <c r="D944" t="s">
        <v>250</v>
      </c>
      <c r="E944">
        <v>171</v>
      </c>
      <c r="F944" t="s">
        <v>302</v>
      </c>
    </row>
    <row r="945" spans="1:6" x14ac:dyDescent="0.35">
      <c r="A945">
        <v>2015</v>
      </c>
      <c r="B945" t="s">
        <v>290</v>
      </c>
      <c r="C945" t="s">
        <v>425</v>
      </c>
      <c r="D945" t="s">
        <v>265</v>
      </c>
      <c r="E945">
        <v>157</v>
      </c>
      <c r="F945" t="s">
        <v>302</v>
      </c>
    </row>
    <row r="946" spans="1:6" x14ac:dyDescent="0.35">
      <c r="A946">
        <v>2015</v>
      </c>
      <c r="B946" t="s">
        <v>290</v>
      </c>
      <c r="C946" t="s">
        <v>425</v>
      </c>
      <c r="D946" t="s">
        <v>266</v>
      </c>
      <c r="E946">
        <v>158</v>
      </c>
      <c r="F946" t="s">
        <v>302</v>
      </c>
    </row>
    <row r="947" spans="1:6" x14ac:dyDescent="0.35">
      <c r="A947">
        <v>2015</v>
      </c>
      <c r="B947" t="s">
        <v>290</v>
      </c>
      <c r="C947" t="s">
        <v>425</v>
      </c>
      <c r="D947" t="s">
        <v>267</v>
      </c>
      <c r="E947">
        <v>207</v>
      </c>
      <c r="F947" t="s">
        <v>302</v>
      </c>
    </row>
    <row r="948" spans="1:6" x14ac:dyDescent="0.35">
      <c r="A948">
        <v>2015</v>
      </c>
      <c r="B948" t="s">
        <v>290</v>
      </c>
      <c r="C948" t="s">
        <v>425</v>
      </c>
      <c r="D948" t="s">
        <v>268</v>
      </c>
      <c r="E948">
        <v>94</v>
      </c>
      <c r="F948" t="s">
        <v>302</v>
      </c>
    </row>
    <row r="949" spans="1:6" x14ac:dyDescent="0.35">
      <c r="A949">
        <v>2015</v>
      </c>
      <c r="B949" t="s">
        <v>290</v>
      </c>
      <c r="C949" t="s">
        <v>425</v>
      </c>
      <c r="D949" t="s">
        <v>269</v>
      </c>
      <c r="E949">
        <v>1438</v>
      </c>
      <c r="F949" t="s">
        <v>302</v>
      </c>
    </row>
    <row r="950" spans="1:6" x14ac:dyDescent="0.35">
      <c r="A950">
        <v>2015</v>
      </c>
      <c r="B950" t="s">
        <v>290</v>
      </c>
      <c r="C950" t="s">
        <v>425</v>
      </c>
      <c r="D950" t="s">
        <v>229</v>
      </c>
      <c r="E950">
        <v>211</v>
      </c>
      <c r="F950" t="s">
        <v>302</v>
      </c>
    </row>
    <row r="951" spans="1:6" x14ac:dyDescent="0.35">
      <c r="A951">
        <v>2015</v>
      </c>
      <c r="B951" t="s">
        <v>290</v>
      </c>
      <c r="C951" t="s">
        <v>425</v>
      </c>
      <c r="D951" t="s">
        <v>252</v>
      </c>
      <c r="E951">
        <v>96</v>
      </c>
      <c r="F951" t="s">
        <v>302</v>
      </c>
    </row>
    <row r="952" spans="1:6" x14ac:dyDescent="0.35">
      <c r="A952">
        <v>2015</v>
      </c>
      <c r="B952" t="s">
        <v>290</v>
      </c>
      <c r="C952" t="s">
        <v>425</v>
      </c>
      <c r="D952" t="s">
        <v>253</v>
      </c>
      <c r="E952">
        <v>41</v>
      </c>
      <c r="F952" t="s">
        <v>302</v>
      </c>
    </row>
    <row r="953" spans="1:6" x14ac:dyDescent="0.35">
      <c r="A953">
        <v>2015</v>
      </c>
      <c r="B953" t="s">
        <v>290</v>
      </c>
      <c r="C953" t="s">
        <v>425</v>
      </c>
      <c r="D953" t="s">
        <v>254</v>
      </c>
      <c r="E953">
        <v>209</v>
      </c>
      <c r="F953" t="s">
        <v>302</v>
      </c>
    </row>
    <row r="954" spans="1:6" x14ac:dyDescent="0.35">
      <c r="A954">
        <v>2015</v>
      </c>
      <c r="B954" t="s">
        <v>290</v>
      </c>
      <c r="C954" t="s">
        <v>425</v>
      </c>
      <c r="D954" t="s">
        <v>255</v>
      </c>
      <c r="E954">
        <v>138</v>
      </c>
      <c r="F954" t="s">
        <v>302</v>
      </c>
    </row>
    <row r="955" spans="1:6" x14ac:dyDescent="0.35">
      <c r="A955">
        <v>2015</v>
      </c>
      <c r="B955" t="s">
        <v>290</v>
      </c>
      <c r="C955" t="s">
        <v>425</v>
      </c>
      <c r="D955" t="s">
        <v>270</v>
      </c>
      <c r="E955">
        <v>136</v>
      </c>
      <c r="F955" t="s">
        <v>302</v>
      </c>
    </row>
    <row r="956" spans="1:6" x14ac:dyDescent="0.35">
      <c r="A956">
        <v>2015</v>
      </c>
      <c r="B956" t="s">
        <v>290</v>
      </c>
      <c r="C956" t="s">
        <v>426</v>
      </c>
      <c r="D956" t="s">
        <v>271</v>
      </c>
      <c r="E956">
        <v>18</v>
      </c>
      <c r="F956" t="s">
        <v>302</v>
      </c>
    </row>
    <row r="957" spans="1:6" x14ac:dyDescent="0.35">
      <c r="A957">
        <v>2015</v>
      </c>
      <c r="B957" t="s">
        <v>291</v>
      </c>
      <c r="C957" t="s">
        <v>425</v>
      </c>
      <c r="D957" t="s">
        <v>244</v>
      </c>
      <c r="E957">
        <v>10042</v>
      </c>
      <c r="F957" t="s">
        <v>302</v>
      </c>
    </row>
    <row r="958" spans="1:6" x14ac:dyDescent="0.35">
      <c r="A958">
        <v>2015</v>
      </c>
      <c r="B958" t="s">
        <v>291</v>
      </c>
      <c r="C958" t="s">
        <v>425</v>
      </c>
      <c r="D958" t="s">
        <v>245</v>
      </c>
      <c r="E958">
        <v>1100</v>
      </c>
      <c r="F958" t="s">
        <v>302</v>
      </c>
    </row>
    <row r="959" spans="1:6" x14ac:dyDescent="0.35">
      <c r="A959">
        <v>2015</v>
      </c>
      <c r="B959" t="s">
        <v>291</v>
      </c>
      <c r="C959" t="s">
        <v>425</v>
      </c>
      <c r="D959" t="s">
        <v>246</v>
      </c>
      <c r="E959">
        <v>1749</v>
      </c>
      <c r="F959" t="s">
        <v>302</v>
      </c>
    </row>
    <row r="960" spans="1:6" x14ac:dyDescent="0.35">
      <c r="A960">
        <v>2015</v>
      </c>
      <c r="B960" t="s">
        <v>291</v>
      </c>
      <c r="C960" t="s">
        <v>425</v>
      </c>
      <c r="D960" t="s">
        <v>234</v>
      </c>
      <c r="E960">
        <v>1171</v>
      </c>
      <c r="F960" t="s">
        <v>302</v>
      </c>
    </row>
    <row r="961" spans="1:6" x14ac:dyDescent="0.35">
      <c r="A961">
        <v>2015</v>
      </c>
      <c r="B961" t="s">
        <v>291</v>
      </c>
      <c r="C961" t="s">
        <v>425</v>
      </c>
      <c r="D961" t="s">
        <v>247</v>
      </c>
      <c r="E961">
        <v>6899</v>
      </c>
      <c r="F961" t="s">
        <v>302</v>
      </c>
    </row>
    <row r="962" spans="1:6" x14ac:dyDescent="0.35">
      <c r="A962">
        <v>2015</v>
      </c>
      <c r="B962" t="s">
        <v>291</v>
      </c>
      <c r="C962" t="s">
        <v>425</v>
      </c>
      <c r="D962" t="s">
        <v>259</v>
      </c>
      <c r="E962">
        <v>8177</v>
      </c>
      <c r="F962" t="s">
        <v>302</v>
      </c>
    </row>
    <row r="963" spans="1:6" x14ac:dyDescent="0.35">
      <c r="A963">
        <v>2015</v>
      </c>
      <c r="B963" t="s">
        <v>291</v>
      </c>
      <c r="C963" t="s">
        <v>425</v>
      </c>
      <c r="D963" t="s">
        <v>260</v>
      </c>
      <c r="E963">
        <v>2336</v>
      </c>
      <c r="F963" t="s">
        <v>302</v>
      </c>
    </row>
    <row r="964" spans="1:6" x14ac:dyDescent="0.35">
      <c r="A964">
        <v>2015</v>
      </c>
      <c r="B964" t="s">
        <v>291</v>
      </c>
      <c r="C964" t="s">
        <v>425</v>
      </c>
      <c r="D964" t="s">
        <v>235</v>
      </c>
      <c r="E964">
        <v>2546</v>
      </c>
      <c r="F964" t="s">
        <v>302</v>
      </c>
    </row>
    <row r="965" spans="1:6" x14ac:dyDescent="0.35">
      <c r="A965">
        <v>2015</v>
      </c>
      <c r="B965" t="s">
        <v>291</v>
      </c>
      <c r="C965" t="s">
        <v>425</v>
      </c>
      <c r="D965" t="s">
        <v>226</v>
      </c>
      <c r="E965">
        <v>1830</v>
      </c>
      <c r="F965" t="s">
        <v>302</v>
      </c>
    </row>
    <row r="966" spans="1:6" x14ac:dyDescent="0.35">
      <c r="A966">
        <v>2015</v>
      </c>
      <c r="B966" t="s">
        <v>291</v>
      </c>
      <c r="C966" t="s">
        <v>425</v>
      </c>
      <c r="D966" t="s">
        <v>248</v>
      </c>
      <c r="E966">
        <v>13886</v>
      </c>
      <c r="F966" t="s">
        <v>302</v>
      </c>
    </row>
    <row r="967" spans="1:6" x14ac:dyDescent="0.35">
      <c r="A967">
        <v>2015</v>
      </c>
      <c r="B967" t="s">
        <v>291</v>
      </c>
      <c r="C967" t="s">
        <v>425</v>
      </c>
      <c r="D967" t="s">
        <v>249</v>
      </c>
      <c r="E967">
        <v>8365</v>
      </c>
      <c r="F967" t="s">
        <v>302</v>
      </c>
    </row>
    <row r="968" spans="1:6" x14ac:dyDescent="0.35">
      <c r="A968">
        <v>2015</v>
      </c>
      <c r="B968" t="s">
        <v>291</v>
      </c>
      <c r="C968" t="s">
        <v>425</v>
      </c>
      <c r="D968" t="s">
        <v>239</v>
      </c>
      <c r="E968">
        <v>4764</v>
      </c>
      <c r="F968" t="s">
        <v>302</v>
      </c>
    </row>
    <row r="969" spans="1:6" x14ac:dyDescent="0.35">
      <c r="A969">
        <v>2015</v>
      </c>
      <c r="B969" t="s">
        <v>291</v>
      </c>
      <c r="C969" t="s">
        <v>425</v>
      </c>
      <c r="D969" t="s">
        <v>240</v>
      </c>
      <c r="E969">
        <v>5187</v>
      </c>
      <c r="F969" t="s">
        <v>302</v>
      </c>
    </row>
    <row r="970" spans="1:6" x14ac:dyDescent="0.35">
      <c r="A970">
        <v>2015</v>
      </c>
      <c r="B970" t="s">
        <v>291</v>
      </c>
      <c r="C970" t="s">
        <v>425</v>
      </c>
      <c r="D970" t="s">
        <v>250</v>
      </c>
      <c r="E970">
        <v>2275</v>
      </c>
      <c r="F970" t="s">
        <v>302</v>
      </c>
    </row>
    <row r="971" spans="1:6" x14ac:dyDescent="0.35">
      <c r="A971">
        <v>2015</v>
      </c>
      <c r="B971" t="s">
        <v>291</v>
      </c>
      <c r="C971" t="s">
        <v>425</v>
      </c>
      <c r="D971" t="s">
        <v>265</v>
      </c>
      <c r="E971">
        <v>2478</v>
      </c>
      <c r="F971" t="s">
        <v>302</v>
      </c>
    </row>
    <row r="972" spans="1:6" x14ac:dyDescent="0.35">
      <c r="A972">
        <v>2015</v>
      </c>
      <c r="B972" t="s">
        <v>291</v>
      </c>
      <c r="C972" t="s">
        <v>425</v>
      </c>
      <c r="D972" t="s">
        <v>266</v>
      </c>
      <c r="E972">
        <v>3995</v>
      </c>
      <c r="F972" t="s">
        <v>302</v>
      </c>
    </row>
    <row r="973" spans="1:6" x14ac:dyDescent="0.35">
      <c r="A973">
        <v>2015</v>
      </c>
      <c r="B973" t="s">
        <v>291</v>
      </c>
      <c r="C973" t="s">
        <v>425</v>
      </c>
      <c r="D973" t="s">
        <v>267</v>
      </c>
      <c r="E973">
        <v>7118</v>
      </c>
      <c r="F973" t="s">
        <v>302</v>
      </c>
    </row>
    <row r="974" spans="1:6" x14ac:dyDescent="0.35">
      <c r="A974">
        <v>2015</v>
      </c>
      <c r="B974" t="s">
        <v>291</v>
      </c>
      <c r="C974" t="s">
        <v>425</v>
      </c>
      <c r="D974" t="s">
        <v>268</v>
      </c>
      <c r="E974">
        <v>2362</v>
      </c>
      <c r="F974" t="s">
        <v>302</v>
      </c>
    </row>
    <row r="975" spans="1:6" x14ac:dyDescent="0.35">
      <c r="A975">
        <v>2015</v>
      </c>
      <c r="B975" t="s">
        <v>291</v>
      </c>
      <c r="C975" t="s">
        <v>425</v>
      </c>
      <c r="D975" t="s">
        <v>272</v>
      </c>
      <c r="E975">
        <v>4384</v>
      </c>
      <c r="F975" t="s">
        <v>302</v>
      </c>
    </row>
    <row r="976" spans="1:6" x14ac:dyDescent="0.35">
      <c r="A976">
        <v>2015</v>
      </c>
      <c r="B976" t="s">
        <v>291</v>
      </c>
      <c r="C976" t="s">
        <v>425</v>
      </c>
      <c r="D976" t="s">
        <v>269</v>
      </c>
      <c r="E976">
        <v>11268</v>
      </c>
      <c r="F976" t="s">
        <v>302</v>
      </c>
    </row>
    <row r="977" spans="1:6" x14ac:dyDescent="0.35">
      <c r="A977">
        <v>2015</v>
      </c>
      <c r="B977" t="s">
        <v>291</v>
      </c>
      <c r="C977" t="s">
        <v>425</v>
      </c>
      <c r="D977" t="s">
        <v>229</v>
      </c>
      <c r="E977">
        <v>3717</v>
      </c>
      <c r="F977" t="s">
        <v>302</v>
      </c>
    </row>
    <row r="978" spans="1:6" x14ac:dyDescent="0.35">
      <c r="A978">
        <v>2015</v>
      </c>
      <c r="B978" t="s">
        <v>291</v>
      </c>
      <c r="C978" t="s">
        <v>425</v>
      </c>
      <c r="D978" t="s">
        <v>252</v>
      </c>
      <c r="E978">
        <v>6009</v>
      </c>
      <c r="F978" t="s">
        <v>302</v>
      </c>
    </row>
    <row r="979" spans="1:6" x14ac:dyDescent="0.35">
      <c r="A979">
        <v>2015</v>
      </c>
      <c r="B979" t="s">
        <v>291</v>
      </c>
      <c r="C979" t="s">
        <v>425</v>
      </c>
      <c r="D979" t="s">
        <v>254</v>
      </c>
      <c r="E979">
        <v>2960</v>
      </c>
      <c r="F979" t="s">
        <v>302</v>
      </c>
    </row>
    <row r="980" spans="1:6" x14ac:dyDescent="0.35">
      <c r="A980">
        <v>2015</v>
      </c>
      <c r="B980" t="s">
        <v>291</v>
      </c>
      <c r="C980" t="s">
        <v>425</v>
      </c>
      <c r="D980" t="s">
        <v>270</v>
      </c>
      <c r="E980">
        <v>3089</v>
      </c>
      <c r="F980" t="s">
        <v>302</v>
      </c>
    </row>
    <row r="981" spans="1:6" x14ac:dyDescent="0.35">
      <c r="A981">
        <v>2015</v>
      </c>
      <c r="B981" t="s">
        <v>291</v>
      </c>
      <c r="C981" t="s">
        <v>425</v>
      </c>
      <c r="D981" t="s">
        <v>273</v>
      </c>
      <c r="E981">
        <v>4</v>
      </c>
      <c r="F981" t="s">
        <v>302</v>
      </c>
    </row>
    <row r="982" spans="1:6" x14ac:dyDescent="0.35">
      <c r="A982">
        <v>2015</v>
      </c>
      <c r="B982" t="s">
        <v>291</v>
      </c>
      <c r="C982" t="s">
        <v>425</v>
      </c>
      <c r="D982" t="s">
        <v>39</v>
      </c>
      <c r="E982">
        <v>272</v>
      </c>
      <c r="F982" t="s">
        <v>302</v>
      </c>
    </row>
    <row r="983" spans="1:6" x14ac:dyDescent="0.35">
      <c r="A983">
        <v>2016</v>
      </c>
      <c r="B983" t="s">
        <v>288</v>
      </c>
      <c r="C983" t="s">
        <v>222</v>
      </c>
      <c r="D983" t="s">
        <v>223</v>
      </c>
      <c r="E983">
        <v>6366</v>
      </c>
      <c r="F983" t="s">
        <v>299</v>
      </c>
    </row>
    <row r="984" spans="1:6" x14ac:dyDescent="0.35">
      <c r="A984">
        <v>2016</v>
      </c>
      <c r="B984" t="s">
        <v>288</v>
      </c>
      <c r="C984" t="s">
        <v>222</v>
      </c>
      <c r="D984" t="s">
        <v>224</v>
      </c>
      <c r="E984">
        <v>23078</v>
      </c>
      <c r="F984" t="s">
        <v>299</v>
      </c>
    </row>
    <row r="985" spans="1:6" x14ac:dyDescent="0.35">
      <c r="A985">
        <v>2016</v>
      </c>
      <c r="B985" t="s">
        <v>288</v>
      </c>
      <c r="C985" t="s">
        <v>222</v>
      </c>
      <c r="D985" t="s">
        <v>225</v>
      </c>
      <c r="E985">
        <v>19448</v>
      </c>
      <c r="F985" t="s">
        <v>299</v>
      </c>
    </row>
    <row r="986" spans="1:6" x14ac:dyDescent="0.35">
      <c r="A986">
        <v>2016</v>
      </c>
      <c r="B986" t="s">
        <v>288</v>
      </c>
      <c r="C986" t="s">
        <v>222</v>
      </c>
      <c r="D986" t="s">
        <v>226</v>
      </c>
      <c r="E986">
        <v>25634</v>
      </c>
      <c r="F986" t="s">
        <v>299</v>
      </c>
    </row>
    <row r="987" spans="1:6" x14ac:dyDescent="0.35">
      <c r="A987">
        <v>2016</v>
      </c>
      <c r="B987" t="s">
        <v>288</v>
      </c>
      <c r="C987" t="s">
        <v>222</v>
      </c>
      <c r="D987" t="s">
        <v>227</v>
      </c>
      <c r="E987">
        <v>36562</v>
      </c>
      <c r="F987" t="s">
        <v>299</v>
      </c>
    </row>
    <row r="988" spans="1:6" x14ac:dyDescent="0.35">
      <c r="A988">
        <v>2016</v>
      </c>
      <c r="B988" t="s">
        <v>288</v>
      </c>
      <c r="C988" t="s">
        <v>222</v>
      </c>
      <c r="D988" t="s">
        <v>228</v>
      </c>
      <c r="E988">
        <v>186830</v>
      </c>
      <c r="F988" t="s">
        <v>299</v>
      </c>
    </row>
    <row r="989" spans="1:6" x14ac:dyDescent="0.35">
      <c r="A989">
        <v>2016</v>
      </c>
      <c r="B989" t="s">
        <v>288</v>
      </c>
      <c r="C989" t="s">
        <v>222</v>
      </c>
      <c r="D989" t="s">
        <v>229</v>
      </c>
      <c r="E989">
        <v>31891</v>
      </c>
      <c r="F989" t="s">
        <v>299</v>
      </c>
    </row>
    <row r="990" spans="1:6" x14ac:dyDescent="0.35">
      <c r="A990">
        <v>2016</v>
      </c>
      <c r="B990" t="s">
        <v>288</v>
      </c>
      <c r="C990" t="s">
        <v>222</v>
      </c>
      <c r="D990" t="s">
        <v>230</v>
      </c>
      <c r="E990">
        <v>64891</v>
      </c>
      <c r="F990" t="s">
        <v>299</v>
      </c>
    </row>
    <row r="991" spans="1:6" x14ac:dyDescent="0.35">
      <c r="A991">
        <v>2016</v>
      </c>
      <c r="B991" t="s">
        <v>288</v>
      </c>
      <c r="C991" t="s">
        <v>222</v>
      </c>
      <c r="D991" t="s">
        <v>231</v>
      </c>
      <c r="E991">
        <v>14170</v>
      </c>
      <c r="F991" t="s">
        <v>299</v>
      </c>
    </row>
    <row r="992" spans="1:6" x14ac:dyDescent="0.35">
      <c r="A992">
        <v>2016</v>
      </c>
      <c r="B992" t="s">
        <v>288</v>
      </c>
      <c r="C992" t="s">
        <v>232</v>
      </c>
      <c r="D992" t="s">
        <v>233</v>
      </c>
      <c r="E992">
        <v>271</v>
      </c>
      <c r="F992" t="s">
        <v>299</v>
      </c>
    </row>
    <row r="993" spans="1:6" x14ac:dyDescent="0.35">
      <c r="A993">
        <v>2016</v>
      </c>
      <c r="B993" t="s">
        <v>288</v>
      </c>
      <c r="C993" t="s">
        <v>232</v>
      </c>
      <c r="D993" t="s">
        <v>234</v>
      </c>
      <c r="E993">
        <v>226</v>
      </c>
      <c r="F993" t="s">
        <v>299</v>
      </c>
    </row>
    <row r="994" spans="1:6" x14ac:dyDescent="0.35">
      <c r="A994">
        <v>2016</v>
      </c>
      <c r="B994" t="s">
        <v>288</v>
      </c>
      <c r="C994" t="s">
        <v>232</v>
      </c>
      <c r="D994" t="s">
        <v>235</v>
      </c>
      <c r="E994">
        <v>716</v>
      </c>
      <c r="F994" t="s">
        <v>299</v>
      </c>
    </row>
    <row r="995" spans="1:6" x14ac:dyDescent="0.35">
      <c r="A995">
        <v>2016</v>
      </c>
      <c r="B995" t="s">
        <v>288</v>
      </c>
      <c r="C995" t="s">
        <v>232</v>
      </c>
      <c r="D995" t="s">
        <v>236</v>
      </c>
      <c r="E995">
        <v>505</v>
      </c>
      <c r="F995" t="s">
        <v>299</v>
      </c>
    </row>
    <row r="996" spans="1:6" x14ac:dyDescent="0.35">
      <c r="A996">
        <v>2016</v>
      </c>
      <c r="B996" t="s">
        <v>288</v>
      </c>
      <c r="C996" t="s">
        <v>232</v>
      </c>
      <c r="D996" t="s">
        <v>237</v>
      </c>
      <c r="E996">
        <v>43</v>
      </c>
      <c r="F996" t="s">
        <v>299</v>
      </c>
    </row>
    <row r="997" spans="1:6" x14ac:dyDescent="0.35">
      <c r="A997">
        <v>2016</v>
      </c>
      <c r="B997" t="s">
        <v>288</v>
      </c>
      <c r="C997" t="s">
        <v>232</v>
      </c>
      <c r="D997" t="s">
        <v>238</v>
      </c>
      <c r="E997">
        <v>25</v>
      </c>
      <c r="F997" t="s">
        <v>299</v>
      </c>
    </row>
    <row r="998" spans="1:6" x14ac:dyDescent="0.35">
      <c r="A998">
        <v>2016</v>
      </c>
      <c r="B998" t="s">
        <v>288</v>
      </c>
      <c r="C998" t="s">
        <v>232</v>
      </c>
      <c r="D998" t="s">
        <v>239</v>
      </c>
      <c r="E998">
        <v>3205</v>
      </c>
      <c r="F998" t="s">
        <v>299</v>
      </c>
    </row>
    <row r="999" spans="1:6" x14ac:dyDescent="0.35">
      <c r="A999">
        <v>2016</v>
      </c>
      <c r="B999" t="s">
        <v>288</v>
      </c>
      <c r="C999" t="s">
        <v>232</v>
      </c>
      <c r="D999" t="s">
        <v>240</v>
      </c>
      <c r="E999">
        <v>764</v>
      </c>
      <c r="F999" t="s">
        <v>299</v>
      </c>
    </row>
    <row r="1000" spans="1:6" x14ac:dyDescent="0.35">
      <c r="A1000">
        <v>2016</v>
      </c>
      <c r="B1000" t="s">
        <v>288</v>
      </c>
      <c r="C1000" t="s">
        <v>232</v>
      </c>
      <c r="D1000" t="s">
        <v>241</v>
      </c>
      <c r="E1000">
        <v>694</v>
      </c>
      <c r="F1000" t="s">
        <v>299</v>
      </c>
    </row>
    <row r="1001" spans="1:6" x14ac:dyDescent="0.35">
      <c r="A1001">
        <v>2016</v>
      </c>
      <c r="B1001" t="s">
        <v>288</v>
      </c>
      <c r="C1001" t="s">
        <v>232</v>
      </c>
      <c r="D1001" t="s">
        <v>242</v>
      </c>
      <c r="E1001">
        <v>206</v>
      </c>
      <c r="F1001" t="s">
        <v>299</v>
      </c>
    </row>
    <row r="1002" spans="1:6" x14ac:dyDescent="0.35">
      <c r="A1002">
        <v>2016</v>
      </c>
      <c r="B1002" t="s">
        <v>288</v>
      </c>
      <c r="C1002" t="s">
        <v>232</v>
      </c>
      <c r="D1002" t="s">
        <v>243</v>
      </c>
      <c r="E1002">
        <v>291</v>
      </c>
      <c r="F1002" t="s">
        <v>299</v>
      </c>
    </row>
    <row r="1003" spans="1:6" x14ac:dyDescent="0.35">
      <c r="A1003">
        <v>2016</v>
      </c>
      <c r="B1003" t="s">
        <v>289</v>
      </c>
      <c r="C1003" t="s">
        <v>281</v>
      </c>
      <c r="D1003" t="s">
        <v>226</v>
      </c>
      <c r="E1003">
        <v>16731</v>
      </c>
      <c r="F1003" t="s">
        <v>301</v>
      </c>
    </row>
    <row r="1004" spans="1:6" x14ac:dyDescent="0.35">
      <c r="A1004">
        <v>2016</v>
      </c>
      <c r="B1004" t="s">
        <v>289</v>
      </c>
      <c r="C1004" t="s">
        <v>281</v>
      </c>
      <c r="D1004" t="s">
        <v>227</v>
      </c>
      <c r="E1004">
        <v>24595</v>
      </c>
      <c r="F1004" t="s">
        <v>301</v>
      </c>
    </row>
    <row r="1005" spans="1:6" x14ac:dyDescent="0.35">
      <c r="A1005">
        <v>2016</v>
      </c>
      <c r="B1005" t="s">
        <v>289</v>
      </c>
      <c r="C1005" t="s">
        <v>281</v>
      </c>
      <c r="D1005" t="s">
        <v>229</v>
      </c>
      <c r="E1005">
        <v>44792</v>
      </c>
      <c r="F1005" t="s">
        <v>301</v>
      </c>
    </row>
    <row r="1006" spans="1:6" x14ac:dyDescent="0.35">
      <c r="A1006">
        <v>2016</v>
      </c>
      <c r="B1006" t="s">
        <v>289</v>
      </c>
      <c r="C1006" t="s">
        <v>281</v>
      </c>
      <c r="D1006" t="s">
        <v>230</v>
      </c>
      <c r="E1006">
        <v>10098</v>
      </c>
      <c r="F1006" t="s">
        <v>301</v>
      </c>
    </row>
    <row r="1007" spans="1:6" x14ac:dyDescent="0.35">
      <c r="A1007">
        <v>2016</v>
      </c>
      <c r="B1007" t="s">
        <v>289</v>
      </c>
      <c r="C1007" t="s">
        <v>283</v>
      </c>
      <c r="D1007" t="s">
        <v>244</v>
      </c>
      <c r="E1007">
        <v>2669</v>
      </c>
      <c r="F1007" t="s">
        <v>301</v>
      </c>
    </row>
    <row r="1008" spans="1:6" x14ac:dyDescent="0.35">
      <c r="A1008">
        <v>2016</v>
      </c>
      <c r="B1008" t="s">
        <v>289</v>
      </c>
      <c r="C1008" t="s">
        <v>283</v>
      </c>
      <c r="D1008" t="s">
        <v>245</v>
      </c>
      <c r="E1008">
        <v>870</v>
      </c>
      <c r="F1008" t="s">
        <v>301</v>
      </c>
    </row>
    <row r="1009" spans="1:6" x14ac:dyDescent="0.35">
      <c r="A1009">
        <v>2016</v>
      </c>
      <c r="B1009" t="s">
        <v>289</v>
      </c>
      <c r="C1009" t="s">
        <v>283</v>
      </c>
      <c r="D1009" t="s">
        <v>246</v>
      </c>
      <c r="E1009">
        <v>2042</v>
      </c>
      <c r="F1009" t="s">
        <v>301</v>
      </c>
    </row>
    <row r="1010" spans="1:6" x14ac:dyDescent="0.35">
      <c r="A1010">
        <v>2016</v>
      </c>
      <c r="B1010" t="s">
        <v>289</v>
      </c>
      <c r="C1010" t="s">
        <v>283</v>
      </c>
      <c r="D1010" t="s">
        <v>234</v>
      </c>
      <c r="E1010">
        <v>9812</v>
      </c>
      <c r="F1010" t="s">
        <v>301</v>
      </c>
    </row>
    <row r="1011" spans="1:6" x14ac:dyDescent="0.35">
      <c r="A1011">
        <v>2016</v>
      </c>
      <c r="B1011" t="s">
        <v>289</v>
      </c>
      <c r="C1011" t="s">
        <v>283</v>
      </c>
      <c r="D1011" t="s">
        <v>247</v>
      </c>
      <c r="E1011">
        <v>2819</v>
      </c>
      <c r="F1011" t="s">
        <v>301</v>
      </c>
    </row>
    <row r="1012" spans="1:6" x14ac:dyDescent="0.35">
      <c r="A1012">
        <v>2016</v>
      </c>
      <c r="B1012" t="s">
        <v>289</v>
      </c>
      <c r="C1012" t="s">
        <v>283</v>
      </c>
      <c r="D1012" t="s">
        <v>235</v>
      </c>
      <c r="E1012">
        <v>4901</v>
      </c>
      <c r="F1012" t="s">
        <v>301</v>
      </c>
    </row>
    <row r="1013" spans="1:6" x14ac:dyDescent="0.35">
      <c r="A1013">
        <v>2016</v>
      </c>
      <c r="B1013" t="s">
        <v>289</v>
      </c>
      <c r="C1013" t="s">
        <v>283</v>
      </c>
      <c r="D1013" t="s">
        <v>226</v>
      </c>
      <c r="E1013">
        <v>3</v>
      </c>
      <c r="F1013" t="s">
        <v>301</v>
      </c>
    </row>
    <row r="1014" spans="1:6" x14ac:dyDescent="0.35">
      <c r="A1014">
        <v>2016</v>
      </c>
      <c r="B1014" t="s">
        <v>289</v>
      </c>
      <c r="C1014" t="s">
        <v>283</v>
      </c>
      <c r="D1014" t="s">
        <v>248</v>
      </c>
      <c r="E1014">
        <v>4672</v>
      </c>
      <c r="F1014" t="s">
        <v>301</v>
      </c>
    </row>
    <row r="1015" spans="1:6" x14ac:dyDescent="0.35">
      <c r="A1015">
        <v>2016</v>
      </c>
      <c r="B1015" t="s">
        <v>289</v>
      </c>
      <c r="C1015" t="s">
        <v>283</v>
      </c>
      <c r="D1015" t="s">
        <v>227</v>
      </c>
      <c r="E1015">
        <v>22</v>
      </c>
      <c r="F1015" t="s">
        <v>301</v>
      </c>
    </row>
    <row r="1016" spans="1:6" x14ac:dyDescent="0.35">
      <c r="A1016">
        <v>2016</v>
      </c>
      <c r="B1016" t="s">
        <v>289</v>
      </c>
      <c r="C1016" t="s">
        <v>283</v>
      </c>
      <c r="D1016" t="s">
        <v>249</v>
      </c>
      <c r="E1016">
        <v>4141</v>
      </c>
      <c r="F1016" t="s">
        <v>301</v>
      </c>
    </row>
    <row r="1017" spans="1:6" x14ac:dyDescent="0.35">
      <c r="A1017">
        <v>2016</v>
      </c>
      <c r="B1017" t="s">
        <v>289</v>
      </c>
      <c r="C1017" t="s">
        <v>283</v>
      </c>
      <c r="D1017" t="s">
        <v>239</v>
      </c>
      <c r="E1017">
        <v>4377</v>
      </c>
      <c r="F1017" t="s">
        <v>301</v>
      </c>
    </row>
    <row r="1018" spans="1:6" x14ac:dyDescent="0.35">
      <c r="A1018">
        <v>2016</v>
      </c>
      <c r="B1018" t="s">
        <v>289</v>
      </c>
      <c r="C1018" t="s">
        <v>283</v>
      </c>
      <c r="D1018" t="s">
        <v>240</v>
      </c>
      <c r="E1018">
        <v>37</v>
      </c>
      <c r="F1018" t="s">
        <v>301</v>
      </c>
    </row>
    <row r="1019" spans="1:6" x14ac:dyDescent="0.35">
      <c r="A1019">
        <v>2016</v>
      </c>
      <c r="B1019" t="s">
        <v>289</v>
      </c>
      <c r="C1019" t="s">
        <v>283</v>
      </c>
      <c r="D1019" t="s">
        <v>250</v>
      </c>
      <c r="E1019">
        <v>4063</v>
      </c>
      <c r="F1019" t="s">
        <v>301</v>
      </c>
    </row>
    <row r="1020" spans="1:6" x14ac:dyDescent="0.35">
      <c r="A1020">
        <v>2016</v>
      </c>
      <c r="B1020" t="s">
        <v>289</v>
      </c>
      <c r="C1020" t="s">
        <v>283</v>
      </c>
      <c r="D1020" t="s">
        <v>251</v>
      </c>
      <c r="E1020">
        <v>361</v>
      </c>
      <c r="F1020" t="s">
        <v>301</v>
      </c>
    </row>
    <row r="1021" spans="1:6" x14ac:dyDescent="0.35">
      <c r="A1021">
        <v>2016</v>
      </c>
      <c r="B1021" t="s">
        <v>289</v>
      </c>
      <c r="C1021" t="s">
        <v>283</v>
      </c>
      <c r="D1021" t="s">
        <v>229</v>
      </c>
      <c r="E1021">
        <v>49</v>
      </c>
      <c r="F1021" t="s">
        <v>301</v>
      </c>
    </row>
    <row r="1022" spans="1:6" x14ac:dyDescent="0.35">
      <c r="A1022">
        <v>2016</v>
      </c>
      <c r="B1022" t="s">
        <v>289</v>
      </c>
      <c r="C1022" t="s">
        <v>283</v>
      </c>
      <c r="D1022" t="s">
        <v>252</v>
      </c>
      <c r="E1022">
        <v>2064</v>
      </c>
      <c r="F1022" t="s">
        <v>301</v>
      </c>
    </row>
    <row r="1023" spans="1:6" x14ac:dyDescent="0.35">
      <c r="A1023">
        <v>2016</v>
      </c>
      <c r="B1023" t="s">
        <v>289</v>
      </c>
      <c r="C1023" t="s">
        <v>283</v>
      </c>
      <c r="D1023" t="s">
        <v>253</v>
      </c>
      <c r="E1023">
        <v>737</v>
      </c>
      <c r="F1023" t="s">
        <v>301</v>
      </c>
    </row>
    <row r="1024" spans="1:6" x14ac:dyDescent="0.35">
      <c r="A1024">
        <v>2016</v>
      </c>
      <c r="B1024" t="s">
        <v>289</v>
      </c>
      <c r="C1024" t="s">
        <v>283</v>
      </c>
      <c r="D1024" t="s">
        <v>254</v>
      </c>
      <c r="E1024">
        <v>6268</v>
      </c>
      <c r="F1024" t="s">
        <v>301</v>
      </c>
    </row>
    <row r="1025" spans="1:6" x14ac:dyDescent="0.35">
      <c r="A1025">
        <v>2016</v>
      </c>
      <c r="B1025" t="s">
        <v>289</v>
      </c>
      <c r="C1025" t="s">
        <v>283</v>
      </c>
      <c r="D1025" t="s">
        <v>255</v>
      </c>
      <c r="E1025">
        <v>832</v>
      </c>
      <c r="F1025" t="s">
        <v>301</v>
      </c>
    </row>
    <row r="1026" spans="1:6" x14ac:dyDescent="0.35">
      <c r="A1026">
        <v>2016</v>
      </c>
      <c r="B1026" t="s">
        <v>289</v>
      </c>
      <c r="C1026" t="s">
        <v>283</v>
      </c>
      <c r="D1026" t="s">
        <v>230</v>
      </c>
      <c r="E1026">
        <v>38</v>
      </c>
      <c r="F1026" t="s">
        <v>301</v>
      </c>
    </row>
    <row r="1027" spans="1:6" x14ac:dyDescent="0.35">
      <c r="A1027">
        <v>2016</v>
      </c>
      <c r="B1027" t="s">
        <v>289</v>
      </c>
      <c r="C1027" t="s">
        <v>283</v>
      </c>
      <c r="D1027" t="s">
        <v>298</v>
      </c>
      <c r="E1027">
        <v>6494</v>
      </c>
      <c r="F1027" t="s">
        <v>301</v>
      </c>
    </row>
    <row r="1028" spans="1:6" x14ac:dyDescent="0.35">
      <c r="A1028">
        <v>2016</v>
      </c>
      <c r="B1028" t="s">
        <v>289</v>
      </c>
      <c r="C1028" t="s">
        <v>283</v>
      </c>
      <c r="D1028" t="s">
        <v>257</v>
      </c>
      <c r="E1028">
        <v>45</v>
      </c>
      <c r="F1028" t="s">
        <v>301</v>
      </c>
    </row>
    <row r="1029" spans="1:6" x14ac:dyDescent="0.35">
      <c r="A1029">
        <v>2016</v>
      </c>
      <c r="B1029" t="s">
        <v>290</v>
      </c>
      <c r="C1029" t="s">
        <v>425</v>
      </c>
      <c r="D1029" t="s">
        <v>244</v>
      </c>
      <c r="E1029">
        <v>75</v>
      </c>
      <c r="F1029" t="s">
        <v>302</v>
      </c>
    </row>
    <row r="1030" spans="1:6" x14ac:dyDescent="0.35">
      <c r="A1030">
        <v>2016</v>
      </c>
      <c r="B1030" t="s">
        <v>290</v>
      </c>
      <c r="C1030" t="s">
        <v>425</v>
      </c>
      <c r="D1030" t="s">
        <v>245</v>
      </c>
      <c r="E1030">
        <v>34</v>
      </c>
      <c r="F1030" t="s">
        <v>302</v>
      </c>
    </row>
    <row r="1031" spans="1:6" x14ac:dyDescent="0.35">
      <c r="A1031">
        <v>2016</v>
      </c>
      <c r="B1031" t="s">
        <v>290</v>
      </c>
      <c r="C1031" t="s">
        <v>425</v>
      </c>
      <c r="D1031" t="s">
        <v>246</v>
      </c>
      <c r="E1031">
        <v>91</v>
      </c>
      <c r="F1031" t="s">
        <v>302</v>
      </c>
    </row>
    <row r="1032" spans="1:6" x14ac:dyDescent="0.35">
      <c r="A1032">
        <v>2016</v>
      </c>
      <c r="B1032" t="s">
        <v>290</v>
      </c>
      <c r="C1032" t="s">
        <v>425</v>
      </c>
      <c r="D1032" t="s">
        <v>234</v>
      </c>
      <c r="E1032">
        <v>42</v>
      </c>
      <c r="F1032" t="s">
        <v>302</v>
      </c>
    </row>
    <row r="1033" spans="1:6" x14ac:dyDescent="0.35">
      <c r="A1033">
        <v>2016</v>
      </c>
      <c r="B1033" t="s">
        <v>290</v>
      </c>
      <c r="C1033" t="s">
        <v>425</v>
      </c>
      <c r="D1033" t="s">
        <v>247</v>
      </c>
      <c r="E1033">
        <v>379</v>
      </c>
      <c r="F1033" t="s">
        <v>302</v>
      </c>
    </row>
    <row r="1034" spans="1:6" x14ac:dyDescent="0.35">
      <c r="A1034">
        <v>2016</v>
      </c>
      <c r="B1034" t="s">
        <v>290</v>
      </c>
      <c r="C1034" t="s">
        <v>425</v>
      </c>
      <c r="D1034" t="s">
        <v>259</v>
      </c>
      <c r="E1034">
        <v>131</v>
      </c>
      <c r="F1034" t="s">
        <v>302</v>
      </c>
    </row>
    <row r="1035" spans="1:6" x14ac:dyDescent="0.35">
      <c r="A1035">
        <v>2016</v>
      </c>
      <c r="B1035" t="s">
        <v>290</v>
      </c>
      <c r="C1035" t="s">
        <v>425</v>
      </c>
      <c r="D1035" t="s">
        <v>260</v>
      </c>
      <c r="E1035">
        <v>90</v>
      </c>
      <c r="F1035" t="s">
        <v>302</v>
      </c>
    </row>
    <row r="1036" spans="1:6" x14ac:dyDescent="0.35">
      <c r="A1036">
        <v>2016</v>
      </c>
      <c r="B1036" t="s">
        <v>290</v>
      </c>
      <c r="C1036" t="s">
        <v>425</v>
      </c>
      <c r="D1036" t="s">
        <v>235</v>
      </c>
      <c r="E1036">
        <v>98</v>
      </c>
      <c r="F1036" t="s">
        <v>302</v>
      </c>
    </row>
    <row r="1037" spans="1:6" x14ac:dyDescent="0.35">
      <c r="A1037">
        <v>2016</v>
      </c>
      <c r="B1037" t="s">
        <v>290</v>
      </c>
      <c r="C1037" t="s">
        <v>425</v>
      </c>
      <c r="D1037" t="s">
        <v>226</v>
      </c>
      <c r="E1037">
        <v>343</v>
      </c>
      <c r="F1037" t="s">
        <v>302</v>
      </c>
    </row>
    <row r="1038" spans="1:6" x14ac:dyDescent="0.35">
      <c r="A1038">
        <v>2016</v>
      </c>
      <c r="B1038" t="s">
        <v>290</v>
      </c>
      <c r="C1038" t="s">
        <v>425</v>
      </c>
      <c r="D1038" t="s">
        <v>261</v>
      </c>
      <c r="E1038">
        <v>60</v>
      </c>
      <c r="F1038" t="s">
        <v>302</v>
      </c>
    </row>
    <row r="1039" spans="1:6" x14ac:dyDescent="0.35">
      <c r="A1039">
        <v>2016</v>
      </c>
      <c r="B1039" t="s">
        <v>290</v>
      </c>
      <c r="C1039" t="s">
        <v>425</v>
      </c>
      <c r="D1039" t="s">
        <v>248</v>
      </c>
      <c r="E1039">
        <v>251</v>
      </c>
      <c r="F1039" t="s">
        <v>302</v>
      </c>
    </row>
    <row r="1040" spans="1:6" x14ac:dyDescent="0.35">
      <c r="A1040">
        <v>2016</v>
      </c>
      <c r="B1040" t="s">
        <v>290</v>
      </c>
      <c r="C1040" t="s">
        <v>425</v>
      </c>
      <c r="D1040" t="s">
        <v>249</v>
      </c>
      <c r="E1040">
        <v>210</v>
      </c>
      <c r="F1040" t="s">
        <v>302</v>
      </c>
    </row>
    <row r="1041" spans="1:6" x14ac:dyDescent="0.35">
      <c r="A1041">
        <v>2016</v>
      </c>
      <c r="B1041" t="s">
        <v>290</v>
      </c>
      <c r="C1041" t="s">
        <v>425</v>
      </c>
      <c r="D1041" t="s">
        <v>239</v>
      </c>
      <c r="E1041">
        <v>397</v>
      </c>
      <c r="F1041" t="s">
        <v>302</v>
      </c>
    </row>
    <row r="1042" spans="1:6" x14ac:dyDescent="0.35">
      <c r="A1042">
        <v>2016</v>
      </c>
      <c r="B1042" t="s">
        <v>290</v>
      </c>
      <c r="C1042" t="s">
        <v>425</v>
      </c>
      <c r="D1042" t="s">
        <v>240</v>
      </c>
      <c r="E1042">
        <v>224</v>
      </c>
      <c r="F1042" t="s">
        <v>302</v>
      </c>
    </row>
    <row r="1043" spans="1:6" x14ac:dyDescent="0.35">
      <c r="A1043">
        <v>2016</v>
      </c>
      <c r="B1043" t="s">
        <v>290</v>
      </c>
      <c r="C1043" t="s">
        <v>425</v>
      </c>
      <c r="D1043" t="s">
        <v>250</v>
      </c>
      <c r="E1043">
        <v>155</v>
      </c>
      <c r="F1043" t="s">
        <v>302</v>
      </c>
    </row>
    <row r="1044" spans="1:6" x14ac:dyDescent="0.35">
      <c r="A1044">
        <v>2016</v>
      </c>
      <c r="B1044" t="s">
        <v>290</v>
      </c>
      <c r="C1044" t="s">
        <v>425</v>
      </c>
      <c r="D1044" t="s">
        <v>265</v>
      </c>
      <c r="E1044">
        <v>108</v>
      </c>
      <c r="F1044" t="s">
        <v>302</v>
      </c>
    </row>
    <row r="1045" spans="1:6" x14ac:dyDescent="0.35">
      <c r="A1045">
        <v>2016</v>
      </c>
      <c r="B1045" t="s">
        <v>290</v>
      </c>
      <c r="C1045" t="s">
        <v>425</v>
      </c>
      <c r="D1045" t="s">
        <v>266</v>
      </c>
      <c r="E1045">
        <v>87</v>
      </c>
      <c r="F1045" t="s">
        <v>302</v>
      </c>
    </row>
    <row r="1046" spans="1:6" x14ac:dyDescent="0.35">
      <c r="A1046">
        <v>2016</v>
      </c>
      <c r="B1046" t="s">
        <v>290</v>
      </c>
      <c r="C1046" t="s">
        <v>425</v>
      </c>
      <c r="D1046" t="s">
        <v>267</v>
      </c>
      <c r="E1046">
        <v>337</v>
      </c>
      <c r="F1046" t="s">
        <v>302</v>
      </c>
    </row>
    <row r="1047" spans="1:6" x14ac:dyDescent="0.35">
      <c r="A1047">
        <v>2016</v>
      </c>
      <c r="B1047" t="s">
        <v>290</v>
      </c>
      <c r="C1047" t="s">
        <v>425</v>
      </c>
      <c r="D1047" t="s">
        <v>268</v>
      </c>
      <c r="E1047">
        <v>50</v>
      </c>
      <c r="F1047" t="s">
        <v>302</v>
      </c>
    </row>
    <row r="1048" spans="1:6" x14ac:dyDescent="0.35">
      <c r="A1048">
        <v>2016</v>
      </c>
      <c r="B1048" t="s">
        <v>290</v>
      </c>
      <c r="C1048" t="s">
        <v>425</v>
      </c>
      <c r="D1048" t="s">
        <v>269</v>
      </c>
      <c r="E1048">
        <v>662</v>
      </c>
      <c r="F1048" t="s">
        <v>302</v>
      </c>
    </row>
    <row r="1049" spans="1:6" x14ac:dyDescent="0.35">
      <c r="A1049">
        <v>2016</v>
      </c>
      <c r="B1049" t="s">
        <v>290</v>
      </c>
      <c r="C1049" t="s">
        <v>425</v>
      </c>
      <c r="D1049" t="s">
        <v>229</v>
      </c>
      <c r="E1049">
        <v>145</v>
      </c>
      <c r="F1049" t="s">
        <v>302</v>
      </c>
    </row>
    <row r="1050" spans="1:6" x14ac:dyDescent="0.35">
      <c r="A1050">
        <v>2016</v>
      </c>
      <c r="B1050" t="s">
        <v>290</v>
      </c>
      <c r="C1050" t="s">
        <v>425</v>
      </c>
      <c r="D1050" t="s">
        <v>252</v>
      </c>
      <c r="E1050">
        <v>61</v>
      </c>
      <c r="F1050" t="s">
        <v>302</v>
      </c>
    </row>
    <row r="1051" spans="1:6" x14ac:dyDescent="0.35">
      <c r="A1051">
        <v>2016</v>
      </c>
      <c r="B1051" t="s">
        <v>290</v>
      </c>
      <c r="C1051" t="s">
        <v>425</v>
      </c>
      <c r="D1051" t="s">
        <v>253</v>
      </c>
      <c r="E1051">
        <v>15</v>
      </c>
      <c r="F1051" t="s">
        <v>302</v>
      </c>
    </row>
    <row r="1052" spans="1:6" x14ac:dyDescent="0.35">
      <c r="A1052">
        <v>2016</v>
      </c>
      <c r="B1052" t="s">
        <v>290</v>
      </c>
      <c r="C1052" t="s">
        <v>425</v>
      </c>
      <c r="D1052" t="s">
        <v>254</v>
      </c>
      <c r="E1052">
        <v>117</v>
      </c>
      <c r="F1052" t="s">
        <v>302</v>
      </c>
    </row>
    <row r="1053" spans="1:6" x14ac:dyDescent="0.35">
      <c r="A1053">
        <v>2016</v>
      </c>
      <c r="B1053" t="s">
        <v>290</v>
      </c>
      <c r="C1053" t="s">
        <v>425</v>
      </c>
      <c r="D1053" t="s">
        <v>255</v>
      </c>
      <c r="E1053">
        <v>45</v>
      </c>
      <c r="F1053" t="s">
        <v>302</v>
      </c>
    </row>
    <row r="1054" spans="1:6" x14ac:dyDescent="0.35">
      <c r="A1054">
        <v>2016</v>
      </c>
      <c r="B1054" t="s">
        <v>290</v>
      </c>
      <c r="C1054" t="s">
        <v>425</v>
      </c>
      <c r="D1054" t="s">
        <v>270</v>
      </c>
      <c r="E1054">
        <v>73</v>
      </c>
      <c r="F1054" t="s">
        <v>302</v>
      </c>
    </row>
    <row r="1055" spans="1:6" x14ac:dyDescent="0.35">
      <c r="A1055">
        <v>2016</v>
      </c>
      <c r="B1055" t="s">
        <v>290</v>
      </c>
      <c r="C1055" t="s">
        <v>426</v>
      </c>
      <c r="D1055" t="s">
        <v>271</v>
      </c>
      <c r="E1055">
        <v>50</v>
      </c>
      <c r="F1055" t="s">
        <v>302</v>
      </c>
    </row>
    <row r="1056" spans="1:6" x14ac:dyDescent="0.35">
      <c r="A1056">
        <v>2016</v>
      </c>
      <c r="B1056" t="s">
        <v>291</v>
      </c>
      <c r="C1056" t="s">
        <v>425</v>
      </c>
      <c r="D1056" t="s">
        <v>244</v>
      </c>
      <c r="E1056">
        <v>8866</v>
      </c>
      <c r="F1056" t="s">
        <v>302</v>
      </c>
    </row>
    <row r="1057" spans="1:6" x14ac:dyDescent="0.35">
      <c r="A1057">
        <v>2016</v>
      </c>
      <c r="B1057" t="s">
        <v>291</v>
      </c>
      <c r="C1057" t="s">
        <v>425</v>
      </c>
      <c r="D1057" t="s">
        <v>245</v>
      </c>
      <c r="E1057">
        <v>1239</v>
      </c>
      <c r="F1057" t="s">
        <v>302</v>
      </c>
    </row>
    <row r="1058" spans="1:6" x14ac:dyDescent="0.35">
      <c r="A1058">
        <v>2016</v>
      </c>
      <c r="B1058" t="s">
        <v>291</v>
      </c>
      <c r="C1058" t="s">
        <v>425</v>
      </c>
      <c r="D1058" t="s">
        <v>246</v>
      </c>
      <c r="E1058">
        <v>1858</v>
      </c>
      <c r="F1058" t="s">
        <v>302</v>
      </c>
    </row>
    <row r="1059" spans="1:6" x14ac:dyDescent="0.35">
      <c r="A1059">
        <v>2016</v>
      </c>
      <c r="B1059" t="s">
        <v>291</v>
      </c>
      <c r="C1059" t="s">
        <v>425</v>
      </c>
      <c r="D1059" t="s">
        <v>234</v>
      </c>
      <c r="E1059">
        <v>1173</v>
      </c>
      <c r="F1059" t="s">
        <v>302</v>
      </c>
    </row>
    <row r="1060" spans="1:6" x14ac:dyDescent="0.35">
      <c r="A1060">
        <v>2016</v>
      </c>
      <c r="B1060" t="s">
        <v>291</v>
      </c>
      <c r="C1060" t="s">
        <v>425</v>
      </c>
      <c r="D1060" t="s">
        <v>247</v>
      </c>
      <c r="E1060">
        <v>7055</v>
      </c>
      <c r="F1060" t="s">
        <v>302</v>
      </c>
    </row>
    <row r="1061" spans="1:6" x14ac:dyDescent="0.35">
      <c r="A1061">
        <v>2016</v>
      </c>
      <c r="B1061" t="s">
        <v>291</v>
      </c>
      <c r="C1061" t="s">
        <v>425</v>
      </c>
      <c r="D1061" t="s">
        <v>259</v>
      </c>
      <c r="E1061">
        <v>9634</v>
      </c>
      <c r="F1061" t="s">
        <v>302</v>
      </c>
    </row>
    <row r="1062" spans="1:6" x14ac:dyDescent="0.35">
      <c r="A1062">
        <v>2016</v>
      </c>
      <c r="B1062" t="s">
        <v>291</v>
      </c>
      <c r="C1062" t="s">
        <v>425</v>
      </c>
      <c r="D1062" t="s">
        <v>260</v>
      </c>
      <c r="E1062">
        <v>2284</v>
      </c>
      <c r="F1062" t="s">
        <v>302</v>
      </c>
    </row>
    <row r="1063" spans="1:6" x14ac:dyDescent="0.35">
      <c r="A1063">
        <v>2016</v>
      </c>
      <c r="B1063" t="s">
        <v>291</v>
      </c>
      <c r="C1063" t="s">
        <v>425</v>
      </c>
      <c r="D1063" t="s">
        <v>235</v>
      </c>
      <c r="E1063">
        <v>2241</v>
      </c>
      <c r="F1063" t="s">
        <v>302</v>
      </c>
    </row>
    <row r="1064" spans="1:6" x14ac:dyDescent="0.35">
      <c r="A1064">
        <v>2016</v>
      </c>
      <c r="B1064" t="s">
        <v>291</v>
      </c>
      <c r="C1064" t="s">
        <v>425</v>
      </c>
      <c r="D1064" t="s">
        <v>226</v>
      </c>
      <c r="E1064">
        <v>1611</v>
      </c>
      <c r="F1064" t="s">
        <v>302</v>
      </c>
    </row>
    <row r="1065" spans="1:6" x14ac:dyDescent="0.35">
      <c r="A1065">
        <v>2016</v>
      </c>
      <c r="B1065" t="s">
        <v>291</v>
      </c>
      <c r="C1065" t="s">
        <v>425</v>
      </c>
      <c r="D1065" t="s">
        <v>248</v>
      </c>
      <c r="E1065">
        <v>12896</v>
      </c>
      <c r="F1065" t="s">
        <v>302</v>
      </c>
    </row>
    <row r="1066" spans="1:6" x14ac:dyDescent="0.35">
      <c r="A1066">
        <v>2016</v>
      </c>
      <c r="B1066" t="s">
        <v>291</v>
      </c>
      <c r="C1066" t="s">
        <v>425</v>
      </c>
      <c r="D1066" t="s">
        <v>249</v>
      </c>
      <c r="E1066">
        <v>7651</v>
      </c>
      <c r="F1066" t="s">
        <v>302</v>
      </c>
    </row>
    <row r="1067" spans="1:6" x14ac:dyDescent="0.35">
      <c r="A1067">
        <v>2016</v>
      </c>
      <c r="B1067" t="s">
        <v>291</v>
      </c>
      <c r="C1067" t="s">
        <v>425</v>
      </c>
      <c r="D1067" t="s">
        <v>239</v>
      </c>
      <c r="E1067">
        <v>3524</v>
      </c>
      <c r="F1067" t="s">
        <v>302</v>
      </c>
    </row>
    <row r="1068" spans="1:6" x14ac:dyDescent="0.35">
      <c r="A1068">
        <v>2016</v>
      </c>
      <c r="B1068" t="s">
        <v>291</v>
      </c>
      <c r="C1068" t="s">
        <v>425</v>
      </c>
      <c r="D1068" t="s">
        <v>240</v>
      </c>
      <c r="E1068">
        <v>5174</v>
      </c>
      <c r="F1068" t="s">
        <v>302</v>
      </c>
    </row>
    <row r="1069" spans="1:6" x14ac:dyDescent="0.35">
      <c r="A1069">
        <v>2016</v>
      </c>
      <c r="B1069" t="s">
        <v>291</v>
      </c>
      <c r="C1069" t="s">
        <v>425</v>
      </c>
      <c r="D1069" t="s">
        <v>250</v>
      </c>
      <c r="E1069">
        <v>1847</v>
      </c>
      <c r="F1069" t="s">
        <v>302</v>
      </c>
    </row>
    <row r="1070" spans="1:6" x14ac:dyDescent="0.35">
      <c r="A1070">
        <v>2016</v>
      </c>
      <c r="B1070" t="s">
        <v>291</v>
      </c>
      <c r="C1070" t="s">
        <v>425</v>
      </c>
      <c r="D1070" t="s">
        <v>265</v>
      </c>
      <c r="E1070">
        <v>2247</v>
      </c>
      <c r="F1070" t="s">
        <v>302</v>
      </c>
    </row>
    <row r="1071" spans="1:6" x14ac:dyDescent="0.35">
      <c r="A1071">
        <v>2016</v>
      </c>
      <c r="B1071" t="s">
        <v>291</v>
      </c>
      <c r="C1071" t="s">
        <v>425</v>
      </c>
      <c r="D1071" t="s">
        <v>266</v>
      </c>
      <c r="E1071">
        <v>3672</v>
      </c>
      <c r="F1071" t="s">
        <v>302</v>
      </c>
    </row>
    <row r="1072" spans="1:6" x14ac:dyDescent="0.35">
      <c r="A1072">
        <v>2016</v>
      </c>
      <c r="B1072" t="s">
        <v>291</v>
      </c>
      <c r="C1072" t="s">
        <v>425</v>
      </c>
      <c r="D1072" t="s">
        <v>267</v>
      </c>
      <c r="E1072">
        <v>5370</v>
      </c>
      <c r="F1072" t="s">
        <v>302</v>
      </c>
    </row>
    <row r="1073" spans="1:6" x14ac:dyDescent="0.35">
      <c r="A1073">
        <v>2016</v>
      </c>
      <c r="B1073" t="s">
        <v>291</v>
      </c>
      <c r="C1073" t="s">
        <v>425</v>
      </c>
      <c r="D1073" t="s">
        <v>268</v>
      </c>
      <c r="E1073">
        <v>2500</v>
      </c>
      <c r="F1073" t="s">
        <v>302</v>
      </c>
    </row>
    <row r="1074" spans="1:6" x14ac:dyDescent="0.35">
      <c r="A1074">
        <v>2016</v>
      </c>
      <c r="B1074" t="s">
        <v>291</v>
      </c>
      <c r="C1074" t="s">
        <v>425</v>
      </c>
      <c r="D1074" t="s">
        <v>272</v>
      </c>
      <c r="E1074">
        <v>4638</v>
      </c>
      <c r="F1074" t="s">
        <v>302</v>
      </c>
    </row>
    <row r="1075" spans="1:6" x14ac:dyDescent="0.35">
      <c r="A1075">
        <v>2016</v>
      </c>
      <c r="B1075" t="s">
        <v>291</v>
      </c>
      <c r="C1075" t="s">
        <v>425</v>
      </c>
      <c r="D1075" t="s">
        <v>269</v>
      </c>
      <c r="E1075">
        <v>8425</v>
      </c>
      <c r="F1075" t="s">
        <v>302</v>
      </c>
    </row>
    <row r="1076" spans="1:6" x14ac:dyDescent="0.35">
      <c r="A1076">
        <v>2016</v>
      </c>
      <c r="B1076" t="s">
        <v>291</v>
      </c>
      <c r="C1076" t="s">
        <v>425</v>
      </c>
      <c r="D1076" t="s">
        <v>229</v>
      </c>
      <c r="E1076">
        <v>3683</v>
      </c>
      <c r="F1076" t="s">
        <v>302</v>
      </c>
    </row>
    <row r="1077" spans="1:6" x14ac:dyDescent="0.35">
      <c r="A1077">
        <v>2016</v>
      </c>
      <c r="B1077" t="s">
        <v>291</v>
      </c>
      <c r="C1077" t="s">
        <v>425</v>
      </c>
      <c r="D1077" t="s">
        <v>252</v>
      </c>
      <c r="E1077">
        <v>6651</v>
      </c>
      <c r="F1077" t="s">
        <v>302</v>
      </c>
    </row>
    <row r="1078" spans="1:6" x14ac:dyDescent="0.35">
      <c r="A1078">
        <v>2016</v>
      </c>
      <c r="B1078" t="s">
        <v>291</v>
      </c>
      <c r="C1078" t="s">
        <v>425</v>
      </c>
      <c r="D1078" t="s">
        <v>254</v>
      </c>
      <c r="E1078">
        <v>2698</v>
      </c>
      <c r="F1078" t="s">
        <v>302</v>
      </c>
    </row>
    <row r="1079" spans="1:6" x14ac:dyDescent="0.35">
      <c r="A1079">
        <v>2016</v>
      </c>
      <c r="B1079" t="s">
        <v>291</v>
      </c>
      <c r="C1079" t="s">
        <v>425</v>
      </c>
      <c r="D1079" t="s">
        <v>270</v>
      </c>
      <c r="E1079">
        <v>2883</v>
      </c>
      <c r="F1079" t="s">
        <v>302</v>
      </c>
    </row>
    <row r="1080" spans="1:6" x14ac:dyDescent="0.35">
      <c r="A1080">
        <v>2016</v>
      </c>
      <c r="B1080" t="s">
        <v>291</v>
      </c>
      <c r="C1080" t="s">
        <v>425</v>
      </c>
      <c r="D1080" t="s">
        <v>273</v>
      </c>
      <c r="E1080">
        <v>12</v>
      </c>
      <c r="F1080" t="s">
        <v>302</v>
      </c>
    </row>
    <row r="1081" spans="1:6" x14ac:dyDescent="0.35">
      <c r="A1081">
        <v>2016</v>
      </c>
      <c r="B1081" t="s">
        <v>291</v>
      </c>
      <c r="C1081" t="s">
        <v>425</v>
      </c>
      <c r="D1081" t="s">
        <v>39</v>
      </c>
      <c r="E1081">
        <v>272</v>
      </c>
      <c r="F1081" t="s">
        <v>302</v>
      </c>
    </row>
    <row r="1082" spans="1:6" x14ac:dyDescent="0.35">
      <c r="A1082">
        <v>2017</v>
      </c>
      <c r="B1082" t="s">
        <v>288</v>
      </c>
      <c r="C1082" t="s">
        <v>222</v>
      </c>
      <c r="D1082" t="s">
        <v>223</v>
      </c>
      <c r="E1082">
        <v>6002</v>
      </c>
      <c r="F1082" t="s">
        <v>299</v>
      </c>
    </row>
    <row r="1083" spans="1:6" x14ac:dyDescent="0.35">
      <c r="A1083">
        <v>2017</v>
      </c>
      <c r="B1083" t="s">
        <v>288</v>
      </c>
      <c r="C1083" t="s">
        <v>222</v>
      </c>
      <c r="D1083" t="s">
        <v>224</v>
      </c>
      <c r="E1083">
        <v>13476</v>
      </c>
      <c r="F1083" t="s">
        <v>299</v>
      </c>
    </row>
    <row r="1084" spans="1:6" x14ac:dyDescent="0.35">
      <c r="A1084">
        <v>2017</v>
      </c>
      <c r="B1084" t="s">
        <v>288</v>
      </c>
      <c r="C1084" t="s">
        <v>222</v>
      </c>
      <c r="D1084" t="s">
        <v>225</v>
      </c>
      <c r="E1084">
        <v>18633</v>
      </c>
      <c r="F1084" t="s">
        <v>299</v>
      </c>
    </row>
    <row r="1085" spans="1:6" x14ac:dyDescent="0.35">
      <c r="A1085">
        <v>2017</v>
      </c>
      <c r="B1085" t="s">
        <v>288</v>
      </c>
      <c r="C1085" t="s">
        <v>222</v>
      </c>
      <c r="D1085" t="s">
        <v>226</v>
      </c>
      <c r="E1085">
        <v>25193</v>
      </c>
      <c r="F1085" t="s">
        <v>299</v>
      </c>
    </row>
    <row r="1086" spans="1:6" x14ac:dyDescent="0.35">
      <c r="A1086">
        <v>2017</v>
      </c>
      <c r="B1086" t="s">
        <v>288</v>
      </c>
      <c r="C1086" t="s">
        <v>222</v>
      </c>
      <c r="D1086" t="s">
        <v>227</v>
      </c>
      <c r="E1086">
        <v>25460</v>
      </c>
      <c r="F1086" t="s">
        <v>299</v>
      </c>
    </row>
    <row r="1087" spans="1:6" x14ac:dyDescent="0.35">
      <c r="A1087">
        <v>2017</v>
      </c>
      <c r="B1087" t="s">
        <v>288</v>
      </c>
      <c r="C1087" t="s">
        <v>222</v>
      </c>
      <c r="D1087" t="s">
        <v>228</v>
      </c>
      <c r="E1087">
        <v>137562</v>
      </c>
      <c r="F1087" t="s">
        <v>299</v>
      </c>
    </row>
    <row r="1088" spans="1:6" x14ac:dyDescent="0.35">
      <c r="A1088">
        <v>2017</v>
      </c>
      <c r="B1088" t="s">
        <v>288</v>
      </c>
      <c r="C1088" t="s">
        <v>222</v>
      </c>
      <c r="D1088" t="s">
        <v>229</v>
      </c>
      <c r="E1088">
        <v>26086</v>
      </c>
      <c r="F1088" t="s">
        <v>299</v>
      </c>
    </row>
    <row r="1089" spans="1:6" x14ac:dyDescent="0.35">
      <c r="A1089">
        <v>2017</v>
      </c>
      <c r="B1089" t="s">
        <v>288</v>
      </c>
      <c r="C1089" t="s">
        <v>222</v>
      </c>
      <c r="D1089" t="s">
        <v>230</v>
      </c>
      <c r="E1089">
        <v>38657</v>
      </c>
      <c r="F1089" t="s">
        <v>299</v>
      </c>
    </row>
    <row r="1090" spans="1:6" x14ac:dyDescent="0.35">
      <c r="A1090">
        <v>2017</v>
      </c>
      <c r="B1090" t="s">
        <v>288</v>
      </c>
      <c r="C1090" t="s">
        <v>222</v>
      </c>
      <c r="D1090" t="s">
        <v>231</v>
      </c>
      <c r="E1090">
        <v>12847</v>
      </c>
      <c r="F1090" t="s">
        <v>299</v>
      </c>
    </row>
    <row r="1091" spans="1:6" x14ac:dyDescent="0.35">
      <c r="A1091">
        <v>2017</v>
      </c>
      <c r="B1091" t="s">
        <v>288</v>
      </c>
      <c r="C1091" t="s">
        <v>232</v>
      </c>
      <c r="D1091" t="s">
        <v>233</v>
      </c>
      <c r="E1091">
        <v>288</v>
      </c>
      <c r="F1091" t="s">
        <v>299</v>
      </c>
    </row>
    <row r="1092" spans="1:6" x14ac:dyDescent="0.35">
      <c r="A1092">
        <v>2017</v>
      </c>
      <c r="B1092" t="s">
        <v>288</v>
      </c>
      <c r="C1092" t="s">
        <v>232</v>
      </c>
      <c r="D1092" t="s">
        <v>234</v>
      </c>
      <c r="E1092">
        <v>447</v>
      </c>
      <c r="F1092" t="s">
        <v>299</v>
      </c>
    </row>
    <row r="1093" spans="1:6" x14ac:dyDescent="0.35">
      <c r="A1093">
        <v>2017</v>
      </c>
      <c r="B1093" t="s">
        <v>288</v>
      </c>
      <c r="C1093" t="s">
        <v>232</v>
      </c>
      <c r="D1093" t="s">
        <v>235</v>
      </c>
      <c r="E1093">
        <v>1070</v>
      </c>
      <c r="F1093" t="s">
        <v>299</v>
      </c>
    </row>
    <row r="1094" spans="1:6" x14ac:dyDescent="0.35">
      <c r="A1094">
        <v>2017</v>
      </c>
      <c r="B1094" t="s">
        <v>288</v>
      </c>
      <c r="C1094" t="s">
        <v>232</v>
      </c>
      <c r="D1094" t="s">
        <v>236</v>
      </c>
      <c r="E1094">
        <v>496</v>
      </c>
      <c r="F1094" t="s">
        <v>299</v>
      </c>
    </row>
    <row r="1095" spans="1:6" x14ac:dyDescent="0.35">
      <c r="A1095">
        <v>2017</v>
      </c>
      <c r="B1095" t="s">
        <v>288</v>
      </c>
      <c r="C1095" t="s">
        <v>232</v>
      </c>
      <c r="D1095" t="s">
        <v>237</v>
      </c>
      <c r="E1095">
        <v>39</v>
      </c>
      <c r="F1095" t="s">
        <v>299</v>
      </c>
    </row>
    <row r="1096" spans="1:6" x14ac:dyDescent="0.35">
      <c r="A1096">
        <v>2017</v>
      </c>
      <c r="B1096" t="s">
        <v>288</v>
      </c>
      <c r="C1096" t="s">
        <v>232</v>
      </c>
      <c r="D1096" t="s">
        <v>238</v>
      </c>
      <c r="E1096">
        <v>30</v>
      </c>
      <c r="F1096" t="s">
        <v>299</v>
      </c>
    </row>
    <row r="1097" spans="1:6" x14ac:dyDescent="0.35">
      <c r="A1097">
        <v>2017</v>
      </c>
      <c r="B1097" t="s">
        <v>288</v>
      </c>
      <c r="C1097" t="s">
        <v>232</v>
      </c>
      <c r="D1097" t="s">
        <v>239</v>
      </c>
      <c r="E1097">
        <v>2280</v>
      </c>
      <c r="F1097" t="s">
        <v>299</v>
      </c>
    </row>
    <row r="1098" spans="1:6" x14ac:dyDescent="0.35">
      <c r="A1098">
        <v>2017</v>
      </c>
      <c r="B1098" t="s">
        <v>288</v>
      </c>
      <c r="C1098" t="s">
        <v>232</v>
      </c>
      <c r="D1098" t="s">
        <v>240</v>
      </c>
      <c r="E1098">
        <v>920</v>
      </c>
      <c r="F1098" t="s">
        <v>299</v>
      </c>
    </row>
    <row r="1099" spans="1:6" x14ac:dyDescent="0.35">
      <c r="A1099">
        <v>2017</v>
      </c>
      <c r="B1099" t="s">
        <v>288</v>
      </c>
      <c r="C1099" t="s">
        <v>232</v>
      </c>
      <c r="D1099" t="s">
        <v>241</v>
      </c>
      <c r="E1099">
        <v>388</v>
      </c>
      <c r="F1099" t="s">
        <v>299</v>
      </c>
    </row>
    <row r="1100" spans="1:6" x14ac:dyDescent="0.35">
      <c r="A1100">
        <v>2017</v>
      </c>
      <c r="B1100" t="s">
        <v>288</v>
      </c>
      <c r="C1100" t="s">
        <v>232</v>
      </c>
      <c r="D1100" t="s">
        <v>242</v>
      </c>
      <c r="E1100">
        <v>208</v>
      </c>
      <c r="F1100" t="s">
        <v>299</v>
      </c>
    </row>
    <row r="1101" spans="1:6" x14ac:dyDescent="0.35">
      <c r="A1101">
        <v>2017</v>
      </c>
      <c r="B1101" t="s">
        <v>288</v>
      </c>
      <c r="C1101" t="s">
        <v>232</v>
      </c>
      <c r="D1101" t="s">
        <v>243</v>
      </c>
      <c r="E1101">
        <v>449</v>
      </c>
      <c r="F1101" t="s">
        <v>299</v>
      </c>
    </row>
    <row r="1102" spans="1:6" x14ac:dyDescent="0.35">
      <c r="A1102">
        <v>2017</v>
      </c>
      <c r="B1102" t="s">
        <v>289</v>
      </c>
      <c r="C1102" t="s">
        <v>281</v>
      </c>
      <c r="D1102" t="s">
        <v>226</v>
      </c>
      <c r="E1102">
        <v>15689</v>
      </c>
      <c r="F1102" t="s">
        <v>301</v>
      </c>
    </row>
    <row r="1103" spans="1:6" x14ac:dyDescent="0.35">
      <c r="A1103">
        <v>2017</v>
      </c>
      <c r="B1103" t="s">
        <v>289</v>
      </c>
      <c r="C1103" t="s">
        <v>281</v>
      </c>
      <c r="D1103" t="s">
        <v>227</v>
      </c>
      <c r="E1103">
        <v>25009</v>
      </c>
      <c r="F1103" t="s">
        <v>301</v>
      </c>
    </row>
    <row r="1104" spans="1:6" x14ac:dyDescent="0.35">
      <c r="A1104">
        <v>2017</v>
      </c>
      <c r="B1104" t="s">
        <v>289</v>
      </c>
      <c r="C1104" t="s">
        <v>281</v>
      </c>
      <c r="D1104" t="s">
        <v>229</v>
      </c>
      <c r="E1104">
        <v>29063</v>
      </c>
      <c r="F1104" t="s">
        <v>301</v>
      </c>
    </row>
    <row r="1105" spans="1:6" x14ac:dyDescent="0.35">
      <c r="A1105">
        <v>2017</v>
      </c>
      <c r="B1105" t="s">
        <v>289</v>
      </c>
      <c r="C1105" t="s">
        <v>281</v>
      </c>
      <c r="D1105" t="s">
        <v>230</v>
      </c>
      <c r="E1105">
        <v>11515</v>
      </c>
      <c r="F1105" t="s">
        <v>301</v>
      </c>
    </row>
    <row r="1106" spans="1:6" x14ac:dyDescent="0.35">
      <c r="A1106">
        <v>2017</v>
      </c>
      <c r="B1106" t="s">
        <v>289</v>
      </c>
      <c r="C1106" t="s">
        <v>283</v>
      </c>
      <c r="D1106" t="s">
        <v>244</v>
      </c>
      <c r="E1106">
        <v>2267</v>
      </c>
      <c r="F1106" t="s">
        <v>301</v>
      </c>
    </row>
    <row r="1107" spans="1:6" x14ac:dyDescent="0.35">
      <c r="A1107">
        <v>2017</v>
      </c>
      <c r="B1107" t="s">
        <v>289</v>
      </c>
      <c r="C1107" t="s">
        <v>283</v>
      </c>
      <c r="D1107" t="s">
        <v>245</v>
      </c>
      <c r="E1107">
        <v>1055</v>
      </c>
      <c r="F1107" t="s">
        <v>301</v>
      </c>
    </row>
    <row r="1108" spans="1:6" x14ac:dyDescent="0.35">
      <c r="A1108">
        <v>2017</v>
      </c>
      <c r="B1108" t="s">
        <v>289</v>
      </c>
      <c r="C1108" t="s">
        <v>283</v>
      </c>
      <c r="D1108" t="s">
        <v>246</v>
      </c>
      <c r="E1108">
        <v>2574</v>
      </c>
      <c r="F1108" t="s">
        <v>301</v>
      </c>
    </row>
    <row r="1109" spans="1:6" x14ac:dyDescent="0.35">
      <c r="A1109">
        <v>2017</v>
      </c>
      <c r="B1109" t="s">
        <v>289</v>
      </c>
      <c r="C1109" t="s">
        <v>283</v>
      </c>
      <c r="D1109" t="s">
        <v>234</v>
      </c>
      <c r="E1109">
        <v>10124</v>
      </c>
      <c r="F1109" t="s">
        <v>301</v>
      </c>
    </row>
    <row r="1110" spans="1:6" x14ac:dyDescent="0.35">
      <c r="A1110">
        <v>2017</v>
      </c>
      <c r="B1110" t="s">
        <v>289</v>
      </c>
      <c r="C1110" t="s">
        <v>283</v>
      </c>
      <c r="D1110" t="s">
        <v>247</v>
      </c>
      <c r="E1110">
        <v>5200</v>
      </c>
      <c r="F1110" t="s">
        <v>301</v>
      </c>
    </row>
    <row r="1111" spans="1:6" x14ac:dyDescent="0.35">
      <c r="A1111">
        <v>2017</v>
      </c>
      <c r="B1111" t="s">
        <v>289</v>
      </c>
      <c r="C1111" t="s">
        <v>283</v>
      </c>
      <c r="D1111" t="s">
        <v>235</v>
      </c>
      <c r="E1111">
        <v>5273</v>
      </c>
      <c r="F1111" t="s">
        <v>301</v>
      </c>
    </row>
    <row r="1112" spans="1:6" x14ac:dyDescent="0.35">
      <c r="A1112">
        <v>2017</v>
      </c>
      <c r="B1112" t="s">
        <v>289</v>
      </c>
      <c r="C1112" t="s">
        <v>283</v>
      </c>
      <c r="D1112" t="s">
        <v>226</v>
      </c>
      <c r="E1112">
        <v>125</v>
      </c>
      <c r="F1112" t="s">
        <v>301</v>
      </c>
    </row>
    <row r="1113" spans="1:6" x14ac:dyDescent="0.35">
      <c r="A1113">
        <v>2017</v>
      </c>
      <c r="B1113" t="s">
        <v>289</v>
      </c>
      <c r="C1113" t="s">
        <v>283</v>
      </c>
      <c r="D1113" t="s">
        <v>248</v>
      </c>
      <c r="E1113">
        <v>4481</v>
      </c>
      <c r="F1113" t="s">
        <v>301</v>
      </c>
    </row>
    <row r="1114" spans="1:6" x14ac:dyDescent="0.35">
      <c r="A1114">
        <v>2017</v>
      </c>
      <c r="B1114" t="s">
        <v>289</v>
      </c>
      <c r="C1114" t="s">
        <v>283</v>
      </c>
      <c r="D1114" t="s">
        <v>227</v>
      </c>
      <c r="E1114">
        <v>24</v>
      </c>
      <c r="F1114" t="s">
        <v>301</v>
      </c>
    </row>
    <row r="1115" spans="1:6" x14ac:dyDescent="0.35">
      <c r="A1115">
        <v>2017</v>
      </c>
      <c r="B1115" t="s">
        <v>289</v>
      </c>
      <c r="C1115" t="s">
        <v>283</v>
      </c>
      <c r="D1115" t="s">
        <v>249</v>
      </c>
      <c r="E1115">
        <v>5147</v>
      </c>
      <c r="F1115" t="s">
        <v>301</v>
      </c>
    </row>
    <row r="1116" spans="1:6" x14ac:dyDescent="0.35">
      <c r="A1116">
        <v>2017</v>
      </c>
      <c r="B1116" t="s">
        <v>289</v>
      </c>
      <c r="C1116" t="s">
        <v>283</v>
      </c>
      <c r="D1116" t="s">
        <v>239</v>
      </c>
      <c r="E1116">
        <v>4869</v>
      </c>
      <c r="F1116" t="s">
        <v>301</v>
      </c>
    </row>
    <row r="1117" spans="1:6" x14ac:dyDescent="0.35">
      <c r="A1117">
        <v>2017</v>
      </c>
      <c r="B1117" t="s">
        <v>289</v>
      </c>
      <c r="C1117" t="s">
        <v>283</v>
      </c>
      <c r="D1117" t="s">
        <v>240</v>
      </c>
      <c r="E1117">
        <v>29</v>
      </c>
      <c r="F1117" t="s">
        <v>301</v>
      </c>
    </row>
    <row r="1118" spans="1:6" x14ac:dyDescent="0.35">
      <c r="A1118">
        <v>2017</v>
      </c>
      <c r="B1118" t="s">
        <v>289</v>
      </c>
      <c r="C1118" t="s">
        <v>283</v>
      </c>
      <c r="D1118" t="s">
        <v>250</v>
      </c>
      <c r="E1118">
        <v>3992</v>
      </c>
      <c r="F1118" t="s">
        <v>301</v>
      </c>
    </row>
    <row r="1119" spans="1:6" x14ac:dyDescent="0.35">
      <c r="A1119">
        <v>2017</v>
      </c>
      <c r="B1119" t="s">
        <v>289</v>
      </c>
      <c r="C1119" t="s">
        <v>283</v>
      </c>
      <c r="D1119" t="s">
        <v>251</v>
      </c>
      <c r="E1119">
        <v>379</v>
      </c>
      <c r="F1119" t="s">
        <v>301</v>
      </c>
    </row>
    <row r="1120" spans="1:6" x14ac:dyDescent="0.35">
      <c r="A1120">
        <v>2017</v>
      </c>
      <c r="B1120" t="s">
        <v>289</v>
      </c>
      <c r="C1120" t="s">
        <v>283</v>
      </c>
      <c r="D1120" t="s">
        <v>229</v>
      </c>
      <c r="E1120">
        <v>94</v>
      </c>
      <c r="F1120" t="s">
        <v>301</v>
      </c>
    </row>
    <row r="1121" spans="1:6" x14ac:dyDescent="0.35">
      <c r="A1121">
        <v>2017</v>
      </c>
      <c r="B1121" t="s">
        <v>289</v>
      </c>
      <c r="C1121" t="s">
        <v>283</v>
      </c>
      <c r="D1121" t="s">
        <v>252</v>
      </c>
      <c r="E1121">
        <v>4221</v>
      </c>
      <c r="F1121" t="s">
        <v>301</v>
      </c>
    </row>
    <row r="1122" spans="1:6" x14ac:dyDescent="0.35">
      <c r="A1122">
        <v>2017</v>
      </c>
      <c r="B1122" t="s">
        <v>289</v>
      </c>
      <c r="C1122" t="s">
        <v>283</v>
      </c>
      <c r="D1122" t="s">
        <v>253</v>
      </c>
      <c r="E1122">
        <v>752</v>
      </c>
      <c r="F1122" t="s">
        <v>301</v>
      </c>
    </row>
    <row r="1123" spans="1:6" x14ac:dyDescent="0.35">
      <c r="A1123">
        <v>2017</v>
      </c>
      <c r="B1123" t="s">
        <v>289</v>
      </c>
      <c r="C1123" t="s">
        <v>283</v>
      </c>
      <c r="D1123" t="s">
        <v>254</v>
      </c>
      <c r="E1123">
        <v>6419</v>
      </c>
      <c r="F1123" t="s">
        <v>301</v>
      </c>
    </row>
    <row r="1124" spans="1:6" x14ac:dyDescent="0.35">
      <c r="A1124">
        <v>2017</v>
      </c>
      <c r="B1124" t="s">
        <v>289</v>
      </c>
      <c r="C1124" t="s">
        <v>283</v>
      </c>
      <c r="D1124" t="s">
        <v>255</v>
      </c>
      <c r="E1124">
        <v>1042</v>
      </c>
      <c r="F1124" t="s">
        <v>301</v>
      </c>
    </row>
    <row r="1125" spans="1:6" x14ac:dyDescent="0.35">
      <c r="A1125">
        <v>2017</v>
      </c>
      <c r="B1125" t="s">
        <v>289</v>
      </c>
      <c r="C1125" t="s">
        <v>283</v>
      </c>
      <c r="D1125" t="s">
        <v>230</v>
      </c>
      <c r="E1125">
        <v>48</v>
      </c>
      <c r="F1125" t="s">
        <v>301</v>
      </c>
    </row>
    <row r="1126" spans="1:6" x14ac:dyDescent="0.35">
      <c r="A1126">
        <v>2017</v>
      </c>
      <c r="B1126" t="s">
        <v>289</v>
      </c>
      <c r="C1126" t="s">
        <v>283</v>
      </c>
      <c r="D1126" t="s">
        <v>298</v>
      </c>
      <c r="E1126">
        <v>6695</v>
      </c>
      <c r="F1126" t="s">
        <v>301</v>
      </c>
    </row>
    <row r="1127" spans="1:6" x14ac:dyDescent="0.35">
      <c r="A1127">
        <v>2017</v>
      </c>
      <c r="B1127" t="s">
        <v>289</v>
      </c>
      <c r="C1127" t="s">
        <v>283</v>
      </c>
      <c r="D1127" t="s">
        <v>257</v>
      </c>
      <c r="E1127">
        <v>51</v>
      </c>
      <c r="F1127" t="s">
        <v>301</v>
      </c>
    </row>
    <row r="1128" spans="1:6" x14ac:dyDescent="0.35">
      <c r="A1128">
        <v>2017</v>
      </c>
      <c r="B1128" t="s">
        <v>290</v>
      </c>
      <c r="C1128" t="s">
        <v>425</v>
      </c>
      <c r="D1128" t="s">
        <v>244</v>
      </c>
      <c r="E1128">
        <v>226</v>
      </c>
      <c r="F1128" t="s">
        <v>302</v>
      </c>
    </row>
    <row r="1129" spans="1:6" x14ac:dyDescent="0.35">
      <c r="A1129">
        <v>2017</v>
      </c>
      <c r="B1129" t="s">
        <v>290</v>
      </c>
      <c r="C1129" t="s">
        <v>425</v>
      </c>
      <c r="D1129" t="s">
        <v>245</v>
      </c>
      <c r="E1129">
        <v>132</v>
      </c>
      <c r="F1129" t="s">
        <v>302</v>
      </c>
    </row>
    <row r="1130" spans="1:6" x14ac:dyDescent="0.35">
      <c r="A1130">
        <v>2017</v>
      </c>
      <c r="B1130" t="s">
        <v>290</v>
      </c>
      <c r="C1130" t="s">
        <v>425</v>
      </c>
      <c r="D1130" t="s">
        <v>246</v>
      </c>
      <c r="E1130">
        <v>137</v>
      </c>
      <c r="F1130" t="s">
        <v>302</v>
      </c>
    </row>
    <row r="1131" spans="1:6" x14ac:dyDescent="0.35">
      <c r="A1131">
        <v>2017</v>
      </c>
      <c r="B1131" t="s">
        <v>290</v>
      </c>
      <c r="C1131" t="s">
        <v>425</v>
      </c>
      <c r="D1131" t="s">
        <v>234</v>
      </c>
      <c r="E1131">
        <v>126</v>
      </c>
      <c r="F1131" t="s">
        <v>302</v>
      </c>
    </row>
    <row r="1132" spans="1:6" x14ac:dyDescent="0.35">
      <c r="A1132">
        <v>2017</v>
      </c>
      <c r="B1132" t="s">
        <v>290</v>
      </c>
      <c r="C1132" t="s">
        <v>425</v>
      </c>
      <c r="D1132" t="s">
        <v>247</v>
      </c>
      <c r="E1132">
        <v>848</v>
      </c>
      <c r="F1132" t="s">
        <v>302</v>
      </c>
    </row>
    <row r="1133" spans="1:6" x14ac:dyDescent="0.35">
      <c r="A1133">
        <v>2017</v>
      </c>
      <c r="B1133" t="s">
        <v>290</v>
      </c>
      <c r="C1133" t="s">
        <v>425</v>
      </c>
      <c r="D1133" t="s">
        <v>259</v>
      </c>
      <c r="E1133">
        <v>224</v>
      </c>
      <c r="F1133" t="s">
        <v>302</v>
      </c>
    </row>
    <row r="1134" spans="1:6" x14ac:dyDescent="0.35">
      <c r="A1134">
        <v>2017</v>
      </c>
      <c r="B1134" t="s">
        <v>290</v>
      </c>
      <c r="C1134" t="s">
        <v>425</v>
      </c>
      <c r="D1134" t="s">
        <v>260</v>
      </c>
      <c r="E1134">
        <v>129</v>
      </c>
      <c r="F1134" t="s">
        <v>302</v>
      </c>
    </row>
    <row r="1135" spans="1:6" x14ac:dyDescent="0.35">
      <c r="A1135">
        <v>2017</v>
      </c>
      <c r="B1135" t="s">
        <v>290</v>
      </c>
      <c r="C1135" t="s">
        <v>425</v>
      </c>
      <c r="D1135" t="s">
        <v>235</v>
      </c>
      <c r="E1135">
        <v>173</v>
      </c>
      <c r="F1135" t="s">
        <v>302</v>
      </c>
    </row>
    <row r="1136" spans="1:6" x14ac:dyDescent="0.35">
      <c r="A1136">
        <v>2017</v>
      </c>
      <c r="B1136" t="s">
        <v>290</v>
      </c>
      <c r="C1136" t="s">
        <v>425</v>
      </c>
      <c r="D1136" t="s">
        <v>226</v>
      </c>
      <c r="E1136">
        <v>723</v>
      </c>
      <c r="F1136" t="s">
        <v>302</v>
      </c>
    </row>
    <row r="1137" spans="1:6" x14ac:dyDescent="0.35">
      <c r="A1137">
        <v>2017</v>
      </c>
      <c r="B1137" t="s">
        <v>290</v>
      </c>
      <c r="C1137" t="s">
        <v>425</v>
      </c>
      <c r="D1137" t="s">
        <v>261</v>
      </c>
      <c r="E1137">
        <v>260</v>
      </c>
      <c r="F1137" t="s">
        <v>302</v>
      </c>
    </row>
    <row r="1138" spans="1:6" x14ac:dyDescent="0.35">
      <c r="A1138">
        <v>2017</v>
      </c>
      <c r="B1138" t="s">
        <v>290</v>
      </c>
      <c r="C1138" t="s">
        <v>425</v>
      </c>
      <c r="D1138" t="s">
        <v>248</v>
      </c>
      <c r="E1138">
        <v>399</v>
      </c>
      <c r="F1138" t="s">
        <v>302</v>
      </c>
    </row>
    <row r="1139" spans="1:6" x14ac:dyDescent="0.35">
      <c r="A1139">
        <v>2017</v>
      </c>
      <c r="B1139" t="s">
        <v>290</v>
      </c>
      <c r="C1139" t="s">
        <v>425</v>
      </c>
      <c r="D1139" t="s">
        <v>249</v>
      </c>
      <c r="E1139">
        <v>229</v>
      </c>
      <c r="F1139" t="s">
        <v>302</v>
      </c>
    </row>
    <row r="1140" spans="1:6" x14ac:dyDescent="0.35">
      <c r="A1140">
        <v>2017</v>
      </c>
      <c r="B1140" t="s">
        <v>290</v>
      </c>
      <c r="C1140" t="s">
        <v>425</v>
      </c>
      <c r="D1140" t="s">
        <v>239</v>
      </c>
      <c r="E1140">
        <v>310</v>
      </c>
      <c r="F1140" t="s">
        <v>302</v>
      </c>
    </row>
    <row r="1141" spans="1:6" x14ac:dyDescent="0.35">
      <c r="A1141">
        <v>2017</v>
      </c>
      <c r="B1141" t="s">
        <v>290</v>
      </c>
      <c r="C1141" t="s">
        <v>425</v>
      </c>
      <c r="D1141" t="s">
        <v>240</v>
      </c>
      <c r="E1141">
        <v>751</v>
      </c>
      <c r="F1141" t="s">
        <v>302</v>
      </c>
    </row>
    <row r="1142" spans="1:6" x14ac:dyDescent="0.35">
      <c r="A1142">
        <v>2017</v>
      </c>
      <c r="B1142" t="s">
        <v>290</v>
      </c>
      <c r="C1142" t="s">
        <v>425</v>
      </c>
      <c r="D1142" t="s">
        <v>250</v>
      </c>
      <c r="E1142">
        <v>345</v>
      </c>
      <c r="F1142" t="s">
        <v>302</v>
      </c>
    </row>
    <row r="1143" spans="1:6" x14ac:dyDescent="0.35">
      <c r="A1143">
        <v>2017</v>
      </c>
      <c r="B1143" t="s">
        <v>290</v>
      </c>
      <c r="C1143" t="s">
        <v>425</v>
      </c>
      <c r="D1143" t="s">
        <v>265</v>
      </c>
      <c r="E1143">
        <v>308</v>
      </c>
      <c r="F1143" t="s">
        <v>302</v>
      </c>
    </row>
    <row r="1144" spans="1:6" x14ac:dyDescent="0.35">
      <c r="A1144">
        <v>2017</v>
      </c>
      <c r="B1144" t="s">
        <v>290</v>
      </c>
      <c r="C1144" t="s">
        <v>425</v>
      </c>
      <c r="D1144" t="s">
        <v>266</v>
      </c>
      <c r="E1144">
        <v>182</v>
      </c>
      <c r="F1144" t="s">
        <v>302</v>
      </c>
    </row>
    <row r="1145" spans="1:6" x14ac:dyDescent="0.35">
      <c r="A1145">
        <v>2017</v>
      </c>
      <c r="B1145" t="s">
        <v>290</v>
      </c>
      <c r="C1145" t="s">
        <v>425</v>
      </c>
      <c r="D1145" t="s">
        <v>267</v>
      </c>
      <c r="E1145">
        <v>348</v>
      </c>
      <c r="F1145" t="s">
        <v>302</v>
      </c>
    </row>
    <row r="1146" spans="1:6" x14ac:dyDescent="0.35">
      <c r="A1146">
        <v>2017</v>
      </c>
      <c r="B1146" t="s">
        <v>290</v>
      </c>
      <c r="C1146" t="s">
        <v>425</v>
      </c>
      <c r="D1146" t="s">
        <v>268</v>
      </c>
      <c r="E1146">
        <v>110</v>
      </c>
      <c r="F1146" t="s">
        <v>302</v>
      </c>
    </row>
    <row r="1147" spans="1:6" x14ac:dyDescent="0.35">
      <c r="A1147">
        <v>2017</v>
      </c>
      <c r="B1147" t="s">
        <v>290</v>
      </c>
      <c r="C1147" t="s">
        <v>425</v>
      </c>
      <c r="D1147" t="s">
        <v>269</v>
      </c>
      <c r="E1147">
        <v>693</v>
      </c>
      <c r="F1147" t="s">
        <v>302</v>
      </c>
    </row>
    <row r="1148" spans="1:6" x14ac:dyDescent="0.35">
      <c r="A1148">
        <v>2017</v>
      </c>
      <c r="B1148" t="s">
        <v>290</v>
      </c>
      <c r="C1148" t="s">
        <v>425</v>
      </c>
      <c r="D1148" t="s">
        <v>229</v>
      </c>
      <c r="E1148">
        <v>86</v>
      </c>
      <c r="F1148" t="s">
        <v>302</v>
      </c>
    </row>
    <row r="1149" spans="1:6" x14ac:dyDescent="0.35">
      <c r="A1149">
        <v>2017</v>
      </c>
      <c r="B1149" t="s">
        <v>290</v>
      </c>
      <c r="C1149" t="s">
        <v>425</v>
      </c>
      <c r="D1149" t="s">
        <v>252</v>
      </c>
      <c r="E1149">
        <v>203</v>
      </c>
      <c r="F1149" t="s">
        <v>302</v>
      </c>
    </row>
    <row r="1150" spans="1:6" x14ac:dyDescent="0.35">
      <c r="A1150">
        <v>2017</v>
      </c>
      <c r="B1150" t="s">
        <v>290</v>
      </c>
      <c r="C1150" t="s">
        <v>425</v>
      </c>
      <c r="D1150" t="s">
        <v>253</v>
      </c>
      <c r="E1150">
        <v>90</v>
      </c>
      <c r="F1150" t="s">
        <v>302</v>
      </c>
    </row>
    <row r="1151" spans="1:6" x14ac:dyDescent="0.35">
      <c r="A1151">
        <v>2017</v>
      </c>
      <c r="B1151" t="s">
        <v>290</v>
      </c>
      <c r="C1151" t="s">
        <v>425</v>
      </c>
      <c r="D1151" t="s">
        <v>254</v>
      </c>
      <c r="E1151">
        <v>161</v>
      </c>
      <c r="F1151" t="s">
        <v>302</v>
      </c>
    </row>
    <row r="1152" spans="1:6" x14ac:dyDescent="0.35">
      <c r="A1152">
        <v>2017</v>
      </c>
      <c r="B1152" t="s">
        <v>290</v>
      </c>
      <c r="C1152" t="s">
        <v>425</v>
      </c>
      <c r="D1152" t="s">
        <v>255</v>
      </c>
      <c r="E1152">
        <v>167</v>
      </c>
      <c r="F1152" t="s">
        <v>302</v>
      </c>
    </row>
    <row r="1153" spans="1:6" x14ac:dyDescent="0.35">
      <c r="A1153">
        <v>2017</v>
      </c>
      <c r="B1153" t="s">
        <v>290</v>
      </c>
      <c r="C1153" t="s">
        <v>425</v>
      </c>
      <c r="D1153" t="s">
        <v>270</v>
      </c>
      <c r="E1153">
        <v>143</v>
      </c>
      <c r="F1153" t="s">
        <v>302</v>
      </c>
    </row>
    <row r="1154" spans="1:6" x14ac:dyDescent="0.35">
      <c r="A1154">
        <v>2017</v>
      </c>
      <c r="B1154" t="s">
        <v>290</v>
      </c>
      <c r="C1154" t="s">
        <v>426</v>
      </c>
      <c r="D1154" t="s">
        <v>271</v>
      </c>
      <c r="E1154">
        <v>36</v>
      </c>
      <c r="F1154" t="s">
        <v>302</v>
      </c>
    </row>
    <row r="1155" spans="1:6" x14ac:dyDescent="0.35">
      <c r="A1155">
        <v>2017</v>
      </c>
      <c r="B1155" t="s">
        <v>291</v>
      </c>
      <c r="C1155" t="s">
        <v>425</v>
      </c>
      <c r="D1155" t="s">
        <v>244</v>
      </c>
      <c r="E1155">
        <v>13551</v>
      </c>
      <c r="F1155" t="s">
        <v>302</v>
      </c>
    </row>
    <row r="1156" spans="1:6" x14ac:dyDescent="0.35">
      <c r="A1156">
        <v>2017</v>
      </c>
      <c r="B1156" t="s">
        <v>291</v>
      </c>
      <c r="C1156" t="s">
        <v>425</v>
      </c>
      <c r="D1156" t="s">
        <v>245</v>
      </c>
      <c r="E1156">
        <v>1666</v>
      </c>
      <c r="F1156" t="s">
        <v>302</v>
      </c>
    </row>
    <row r="1157" spans="1:6" x14ac:dyDescent="0.35">
      <c r="A1157">
        <v>2017</v>
      </c>
      <c r="B1157" t="s">
        <v>291</v>
      </c>
      <c r="C1157" t="s">
        <v>425</v>
      </c>
      <c r="D1157" t="s">
        <v>246</v>
      </c>
      <c r="E1157">
        <v>2834</v>
      </c>
      <c r="F1157" t="s">
        <v>302</v>
      </c>
    </row>
    <row r="1158" spans="1:6" x14ac:dyDescent="0.35">
      <c r="A1158">
        <v>2017</v>
      </c>
      <c r="B1158" t="s">
        <v>291</v>
      </c>
      <c r="C1158" t="s">
        <v>425</v>
      </c>
      <c r="D1158" t="s">
        <v>234</v>
      </c>
      <c r="E1158">
        <v>1494</v>
      </c>
      <c r="F1158" t="s">
        <v>302</v>
      </c>
    </row>
    <row r="1159" spans="1:6" x14ac:dyDescent="0.35">
      <c r="A1159">
        <v>2017</v>
      </c>
      <c r="B1159" t="s">
        <v>291</v>
      </c>
      <c r="C1159" t="s">
        <v>425</v>
      </c>
      <c r="D1159" t="s">
        <v>247</v>
      </c>
      <c r="E1159">
        <v>8604</v>
      </c>
      <c r="F1159" t="s">
        <v>302</v>
      </c>
    </row>
    <row r="1160" spans="1:6" x14ac:dyDescent="0.35">
      <c r="A1160">
        <v>2017</v>
      </c>
      <c r="B1160" t="s">
        <v>291</v>
      </c>
      <c r="C1160" t="s">
        <v>425</v>
      </c>
      <c r="D1160" t="s">
        <v>259</v>
      </c>
      <c r="E1160">
        <v>16520</v>
      </c>
      <c r="F1160" t="s">
        <v>302</v>
      </c>
    </row>
    <row r="1161" spans="1:6" x14ac:dyDescent="0.35">
      <c r="A1161">
        <v>2017</v>
      </c>
      <c r="B1161" t="s">
        <v>291</v>
      </c>
      <c r="C1161" t="s">
        <v>425</v>
      </c>
      <c r="D1161" t="s">
        <v>260</v>
      </c>
      <c r="E1161">
        <v>2746</v>
      </c>
      <c r="F1161" t="s">
        <v>302</v>
      </c>
    </row>
    <row r="1162" spans="1:6" x14ac:dyDescent="0.35">
      <c r="A1162">
        <v>2017</v>
      </c>
      <c r="B1162" t="s">
        <v>291</v>
      </c>
      <c r="C1162" t="s">
        <v>425</v>
      </c>
      <c r="D1162" t="s">
        <v>235</v>
      </c>
      <c r="E1162">
        <v>3409</v>
      </c>
      <c r="F1162" t="s">
        <v>302</v>
      </c>
    </row>
    <row r="1163" spans="1:6" x14ac:dyDescent="0.35">
      <c r="A1163">
        <v>2017</v>
      </c>
      <c r="B1163" t="s">
        <v>291</v>
      </c>
      <c r="C1163" t="s">
        <v>425</v>
      </c>
      <c r="D1163" t="s">
        <v>226</v>
      </c>
      <c r="E1163">
        <v>1892</v>
      </c>
      <c r="F1163" t="s">
        <v>302</v>
      </c>
    </row>
    <row r="1164" spans="1:6" x14ac:dyDescent="0.35">
      <c r="A1164">
        <v>2017</v>
      </c>
      <c r="B1164" t="s">
        <v>291</v>
      </c>
      <c r="C1164" t="s">
        <v>425</v>
      </c>
      <c r="D1164" t="s">
        <v>248</v>
      </c>
      <c r="E1164">
        <v>13565</v>
      </c>
      <c r="F1164" t="s">
        <v>302</v>
      </c>
    </row>
    <row r="1165" spans="1:6" x14ac:dyDescent="0.35">
      <c r="A1165">
        <v>2017</v>
      </c>
      <c r="B1165" t="s">
        <v>291</v>
      </c>
      <c r="C1165" t="s">
        <v>425</v>
      </c>
      <c r="D1165" t="s">
        <v>249</v>
      </c>
      <c r="E1165">
        <v>8419</v>
      </c>
      <c r="F1165" t="s">
        <v>302</v>
      </c>
    </row>
    <row r="1166" spans="1:6" x14ac:dyDescent="0.35">
      <c r="A1166">
        <v>2017</v>
      </c>
      <c r="B1166" t="s">
        <v>291</v>
      </c>
      <c r="C1166" t="s">
        <v>425</v>
      </c>
      <c r="D1166" t="s">
        <v>239</v>
      </c>
      <c r="E1166">
        <v>6192</v>
      </c>
      <c r="F1166" t="s">
        <v>302</v>
      </c>
    </row>
    <row r="1167" spans="1:6" x14ac:dyDescent="0.35">
      <c r="A1167">
        <v>2017</v>
      </c>
      <c r="B1167" t="s">
        <v>291</v>
      </c>
      <c r="C1167" t="s">
        <v>425</v>
      </c>
      <c r="D1167" t="s">
        <v>240</v>
      </c>
      <c r="E1167">
        <v>7968</v>
      </c>
      <c r="F1167" t="s">
        <v>302</v>
      </c>
    </row>
    <row r="1168" spans="1:6" x14ac:dyDescent="0.35">
      <c r="A1168">
        <v>2017</v>
      </c>
      <c r="B1168" t="s">
        <v>291</v>
      </c>
      <c r="C1168" t="s">
        <v>425</v>
      </c>
      <c r="D1168" t="s">
        <v>250</v>
      </c>
      <c r="E1168">
        <v>2576</v>
      </c>
      <c r="F1168" t="s">
        <v>302</v>
      </c>
    </row>
    <row r="1169" spans="1:6" x14ac:dyDescent="0.35">
      <c r="A1169">
        <v>2017</v>
      </c>
      <c r="B1169" t="s">
        <v>291</v>
      </c>
      <c r="C1169" t="s">
        <v>425</v>
      </c>
      <c r="D1169" t="s">
        <v>265</v>
      </c>
      <c r="E1169">
        <v>3189</v>
      </c>
      <c r="F1169" t="s">
        <v>302</v>
      </c>
    </row>
    <row r="1170" spans="1:6" x14ac:dyDescent="0.35">
      <c r="A1170">
        <v>2017</v>
      </c>
      <c r="B1170" t="s">
        <v>291</v>
      </c>
      <c r="C1170" t="s">
        <v>425</v>
      </c>
      <c r="D1170" t="s">
        <v>266</v>
      </c>
      <c r="E1170">
        <v>4938</v>
      </c>
      <c r="F1170" t="s">
        <v>302</v>
      </c>
    </row>
    <row r="1171" spans="1:6" x14ac:dyDescent="0.35">
      <c r="A1171">
        <v>2017</v>
      </c>
      <c r="B1171" t="s">
        <v>291</v>
      </c>
      <c r="C1171" t="s">
        <v>425</v>
      </c>
      <c r="D1171" t="s">
        <v>267</v>
      </c>
      <c r="E1171">
        <v>6457</v>
      </c>
      <c r="F1171" t="s">
        <v>302</v>
      </c>
    </row>
    <row r="1172" spans="1:6" x14ac:dyDescent="0.35">
      <c r="A1172">
        <v>2017</v>
      </c>
      <c r="B1172" t="s">
        <v>291</v>
      </c>
      <c r="C1172" t="s">
        <v>425</v>
      </c>
      <c r="D1172" t="s">
        <v>268</v>
      </c>
      <c r="E1172">
        <v>4175</v>
      </c>
      <c r="F1172" t="s">
        <v>302</v>
      </c>
    </row>
    <row r="1173" spans="1:6" x14ac:dyDescent="0.35">
      <c r="A1173">
        <v>2017</v>
      </c>
      <c r="B1173" t="s">
        <v>291</v>
      </c>
      <c r="C1173" t="s">
        <v>425</v>
      </c>
      <c r="D1173" t="s">
        <v>272</v>
      </c>
      <c r="E1173">
        <v>5177</v>
      </c>
      <c r="F1173" t="s">
        <v>302</v>
      </c>
    </row>
    <row r="1174" spans="1:6" x14ac:dyDescent="0.35">
      <c r="A1174">
        <v>2017</v>
      </c>
      <c r="B1174" t="s">
        <v>291</v>
      </c>
      <c r="C1174" t="s">
        <v>425</v>
      </c>
      <c r="D1174" t="s">
        <v>269</v>
      </c>
      <c r="E1174">
        <v>8510</v>
      </c>
      <c r="F1174" t="s">
        <v>302</v>
      </c>
    </row>
    <row r="1175" spans="1:6" x14ac:dyDescent="0.35">
      <c r="A1175">
        <v>2017</v>
      </c>
      <c r="B1175" t="s">
        <v>291</v>
      </c>
      <c r="C1175" t="s">
        <v>425</v>
      </c>
      <c r="D1175" t="s">
        <v>229</v>
      </c>
      <c r="E1175">
        <v>4551</v>
      </c>
      <c r="F1175" t="s">
        <v>302</v>
      </c>
    </row>
    <row r="1176" spans="1:6" x14ac:dyDescent="0.35">
      <c r="A1176">
        <v>2017</v>
      </c>
      <c r="B1176" t="s">
        <v>291</v>
      </c>
      <c r="C1176" t="s">
        <v>425</v>
      </c>
      <c r="D1176" t="s">
        <v>252</v>
      </c>
      <c r="E1176">
        <v>7231</v>
      </c>
      <c r="F1176" t="s">
        <v>302</v>
      </c>
    </row>
    <row r="1177" spans="1:6" x14ac:dyDescent="0.35">
      <c r="A1177">
        <v>2017</v>
      </c>
      <c r="B1177" t="s">
        <v>291</v>
      </c>
      <c r="C1177" t="s">
        <v>425</v>
      </c>
      <c r="D1177" t="s">
        <v>254</v>
      </c>
      <c r="E1177">
        <v>3376</v>
      </c>
      <c r="F1177" t="s">
        <v>302</v>
      </c>
    </row>
    <row r="1178" spans="1:6" x14ac:dyDescent="0.35">
      <c r="A1178">
        <v>2017</v>
      </c>
      <c r="B1178" t="s">
        <v>291</v>
      </c>
      <c r="C1178" t="s">
        <v>425</v>
      </c>
      <c r="D1178" t="s">
        <v>270</v>
      </c>
      <c r="E1178">
        <v>4163</v>
      </c>
      <c r="F1178" t="s">
        <v>302</v>
      </c>
    </row>
    <row r="1179" spans="1:6" x14ac:dyDescent="0.35">
      <c r="A1179">
        <v>2017</v>
      </c>
      <c r="B1179" t="s">
        <v>291</v>
      </c>
      <c r="C1179" t="s">
        <v>425</v>
      </c>
      <c r="D1179" t="s">
        <v>273</v>
      </c>
      <c r="E1179">
        <v>20</v>
      </c>
      <c r="F1179" t="s">
        <v>302</v>
      </c>
    </row>
    <row r="1180" spans="1:6" x14ac:dyDescent="0.35">
      <c r="A1180">
        <v>2017</v>
      </c>
      <c r="B1180" t="s">
        <v>291</v>
      </c>
      <c r="C1180" t="s">
        <v>425</v>
      </c>
      <c r="D1180" t="s">
        <v>39</v>
      </c>
      <c r="E1180">
        <v>247</v>
      </c>
      <c r="F1180" t="s">
        <v>302</v>
      </c>
    </row>
    <row r="1181" spans="1:6" x14ac:dyDescent="0.35">
      <c r="A1181">
        <v>2018</v>
      </c>
      <c r="B1181" t="s">
        <v>288</v>
      </c>
      <c r="C1181" t="s">
        <v>222</v>
      </c>
      <c r="D1181" t="s">
        <v>223</v>
      </c>
      <c r="E1181">
        <v>8045</v>
      </c>
      <c r="F1181" t="s">
        <v>299</v>
      </c>
    </row>
    <row r="1182" spans="1:6" x14ac:dyDescent="0.35">
      <c r="A1182">
        <v>2018</v>
      </c>
      <c r="B1182" t="s">
        <v>288</v>
      </c>
      <c r="C1182" t="s">
        <v>222</v>
      </c>
      <c r="D1182" t="s">
        <v>224</v>
      </c>
      <c r="E1182">
        <v>15833</v>
      </c>
      <c r="F1182" t="s">
        <v>299</v>
      </c>
    </row>
    <row r="1183" spans="1:6" x14ac:dyDescent="0.35">
      <c r="A1183">
        <v>2018</v>
      </c>
      <c r="B1183" t="s">
        <v>288</v>
      </c>
      <c r="C1183" t="s">
        <v>222</v>
      </c>
      <c r="D1183" t="s">
        <v>225</v>
      </c>
      <c r="E1183">
        <v>29230</v>
      </c>
      <c r="F1183" t="s">
        <v>299</v>
      </c>
    </row>
    <row r="1184" spans="1:6" x14ac:dyDescent="0.35">
      <c r="A1184">
        <v>2018</v>
      </c>
      <c r="B1184" t="s">
        <v>288</v>
      </c>
      <c r="C1184" t="s">
        <v>222</v>
      </c>
      <c r="D1184" t="s">
        <v>226</v>
      </c>
      <c r="E1184">
        <v>31561</v>
      </c>
      <c r="F1184" t="s">
        <v>299</v>
      </c>
    </row>
    <row r="1185" spans="1:6" x14ac:dyDescent="0.35">
      <c r="A1185">
        <v>2018</v>
      </c>
      <c r="B1185" t="s">
        <v>288</v>
      </c>
      <c r="C1185" t="s">
        <v>222</v>
      </c>
      <c r="D1185" t="s">
        <v>227</v>
      </c>
      <c r="E1185">
        <v>32641</v>
      </c>
      <c r="F1185" t="s">
        <v>299</v>
      </c>
    </row>
    <row r="1186" spans="1:6" x14ac:dyDescent="0.35">
      <c r="A1186">
        <v>2018</v>
      </c>
      <c r="B1186" t="s">
        <v>288</v>
      </c>
      <c r="C1186" t="s">
        <v>222</v>
      </c>
      <c r="D1186" t="s">
        <v>228</v>
      </c>
      <c r="E1186">
        <v>162262</v>
      </c>
      <c r="F1186" t="s">
        <v>299</v>
      </c>
    </row>
    <row r="1187" spans="1:6" x14ac:dyDescent="0.35">
      <c r="A1187">
        <v>2018</v>
      </c>
      <c r="B1187" t="s">
        <v>288</v>
      </c>
      <c r="C1187" t="s">
        <v>222</v>
      </c>
      <c r="D1187" t="s">
        <v>229</v>
      </c>
      <c r="E1187">
        <v>38591</v>
      </c>
      <c r="F1187" t="s">
        <v>299</v>
      </c>
    </row>
    <row r="1188" spans="1:6" x14ac:dyDescent="0.35">
      <c r="A1188">
        <v>2018</v>
      </c>
      <c r="B1188" t="s">
        <v>288</v>
      </c>
      <c r="C1188" t="s">
        <v>222</v>
      </c>
      <c r="D1188" t="s">
        <v>230</v>
      </c>
      <c r="E1188">
        <v>52172</v>
      </c>
      <c r="F1188" t="s">
        <v>299</v>
      </c>
    </row>
    <row r="1189" spans="1:6" x14ac:dyDescent="0.35">
      <c r="A1189">
        <v>2018</v>
      </c>
      <c r="B1189" t="s">
        <v>288</v>
      </c>
      <c r="C1189" t="s">
        <v>222</v>
      </c>
      <c r="D1189" t="s">
        <v>231</v>
      </c>
      <c r="E1189">
        <v>26244</v>
      </c>
      <c r="F1189" t="s">
        <v>299</v>
      </c>
    </row>
    <row r="1190" spans="1:6" x14ac:dyDescent="0.35">
      <c r="A1190">
        <v>2018</v>
      </c>
      <c r="B1190" t="s">
        <v>288</v>
      </c>
      <c r="C1190" t="s">
        <v>232</v>
      </c>
      <c r="D1190" t="s">
        <v>233</v>
      </c>
      <c r="E1190">
        <v>359</v>
      </c>
      <c r="F1190" t="s">
        <v>299</v>
      </c>
    </row>
    <row r="1191" spans="1:6" x14ac:dyDescent="0.35">
      <c r="A1191">
        <v>2018</v>
      </c>
      <c r="B1191" t="s">
        <v>288</v>
      </c>
      <c r="C1191" t="s">
        <v>232</v>
      </c>
      <c r="D1191" t="s">
        <v>234</v>
      </c>
      <c r="E1191">
        <v>384</v>
      </c>
      <c r="F1191" t="s">
        <v>299</v>
      </c>
    </row>
    <row r="1192" spans="1:6" x14ac:dyDescent="0.35">
      <c r="A1192">
        <v>2018</v>
      </c>
      <c r="B1192" t="s">
        <v>288</v>
      </c>
      <c r="C1192" t="s">
        <v>232</v>
      </c>
      <c r="D1192" t="s">
        <v>235</v>
      </c>
      <c r="E1192">
        <v>1930</v>
      </c>
      <c r="F1192" t="s">
        <v>299</v>
      </c>
    </row>
    <row r="1193" spans="1:6" x14ac:dyDescent="0.35">
      <c r="A1193">
        <v>2018</v>
      </c>
      <c r="B1193" t="s">
        <v>288</v>
      </c>
      <c r="C1193" t="s">
        <v>232</v>
      </c>
      <c r="D1193" t="s">
        <v>236</v>
      </c>
      <c r="E1193">
        <v>461</v>
      </c>
      <c r="F1193" t="s">
        <v>299</v>
      </c>
    </row>
    <row r="1194" spans="1:6" x14ac:dyDescent="0.35">
      <c r="A1194">
        <v>2018</v>
      </c>
      <c r="B1194" t="s">
        <v>288</v>
      </c>
      <c r="C1194" t="s">
        <v>232</v>
      </c>
      <c r="D1194" t="s">
        <v>237</v>
      </c>
      <c r="E1194">
        <v>47</v>
      </c>
      <c r="F1194" t="s">
        <v>299</v>
      </c>
    </row>
    <row r="1195" spans="1:6" x14ac:dyDescent="0.35">
      <c r="A1195">
        <v>2018</v>
      </c>
      <c r="B1195" t="s">
        <v>288</v>
      </c>
      <c r="C1195" t="s">
        <v>232</v>
      </c>
      <c r="D1195" t="s">
        <v>238</v>
      </c>
      <c r="E1195">
        <v>52</v>
      </c>
      <c r="F1195" t="s">
        <v>299</v>
      </c>
    </row>
    <row r="1196" spans="1:6" x14ac:dyDescent="0.35">
      <c r="A1196">
        <v>2018</v>
      </c>
      <c r="B1196" t="s">
        <v>288</v>
      </c>
      <c r="C1196" t="s">
        <v>232</v>
      </c>
      <c r="D1196" t="s">
        <v>239</v>
      </c>
      <c r="E1196">
        <v>2169</v>
      </c>
      <c r="F1196" t="s">
        <v>299</v>
      </c>
    </row>
    <row r="1197" spans="1:6" x14ac:dyDescent="0.35">
      <c r="A1197">
        <v>2018</v>
      </c>
      <c r="B1197" t="s">
        <v>288</v>
      </c>
      <c r="C1197" t="s">
        <v>232</v>
      </c>
      <c r="D1197" t="s">
        <v>240</v>
      </c>
      <c r="E1197">
        <v>798</v>
      </c>
      <c r="F1197" t="s">
        <v>299</v>
      </c>
    </row>
    <row r="1198" spans="1:6" x14ac:dyDescent="0.35">
      <c r="A1198">
        <v>2018</v>
      </c>
      <c r="B1198" t="s">
        <v>288</v>
      </c>
      <c r="C1198" t="s">
        <v>232</v>
      </c>
      <c r="D1198" t="s">
        <v>241</v>
      </c>
      <c r="E1198">
        <v>280</v>
      </c>
      <c r="F1198" t="s">
        <v>299</v>
      </c>
    </row>
    <row r="1199" spans="1:6" x14ac:dyDescent="0.35">
      <c r="A1199">
        <v>2018</v>
      </c>
      <c r="B1199" t="s">
        <v>288</v>
      </c>
      <c r="C1199" t="s">
        <v>232</v>
      </c>
      <c r="D1199" t="s">
        <v>242</v>
      </c>
      <c r="E1199">
        <v>347</v>
      </c>
      <c r="F1199" t="s">
        <v>299</v>
      </c>
    </row>
    <row r="1200" spans="1:6" x14ac:dyDescent="0.35">
      <c r="A1200">
        <v>2018</v>
      </c>
      <c r="B1200" t="s">
        <v>288</v>
      </c>
      <c r="C1200" t="s">
        <v>232</v>
      </c>
      <c r="D1200" t="s">
        <v>243</v>
      </c>
      <c r="E1200">
        <v>736</v>
      </c>
      <c r="F1200" t="s">
        <v>299</v>
      </c>
    </row>
    <row r="1201" spans="1:6" x14ac:dyDescent="0.35">
      <c r="A1201">
        <v>2018</v>
      </c>
      <c r="B1201" t="s">
        <v>289</v>
      </c>
      <c r="C1201" t="s">
        <v>281</v>
      </c>
      <c r="D1201" t="s">
        <v>226</v>
      </c>
      <c r="E1201">
        <v>22185</v>
      </c>
      <c r="F1201" t="s">
        <v>301</v>
      </c>
    </row>
    <row r="1202" spans="1:6" x14ac:dyDescent="0.35">
      <c r="A1202">
        <v>2018</v>
      </c>
      <c r="B1202" t="s">
        <v>289</v>
      </c>
      <c r="C1202" t="s">
        <v>281</v>
      </c>
      <c r="D1202" t="s">
        <v>227</v>
      </c>
      <c r="E1202">
        <v>32860</v>
      </c>
      <c r="F1202" t="s">
        <v>301</v>
      </c>
    </row>
    <row r="1203" spans="1:6" x14ac:dyDescent="0.35">
      <c r="A1203">
        <v>2018</v>
      </c>
      <c r="B1203" t="s">
        <v>289</v>
      </c>
      <c r="C1203" t="s">
        <v>281</v>
      </c>
      <c r="D1203" t="s">
        <v>229</v>
      </c>
      <c r="E1203">
        <v>32065</v>
      </c>
      <c r="F1203" t="s">
        <v>301</v>
      </c>
    </row>
    <row r="1204" spans="1:6" x14ac:dyDescent="0.35">
      <c r="A1204">
        <v>2018</v>
      </c>
      <c r="B1204" t="s">
        <v>289</v>
      </c>
      <c r="C1204" t="s">
        <v>281</v>
      </c>
      <c r="D1204" t="s">
        <v>230</v>
      </c>
      <c r="E1204">
        <v>14695</v>
      </c>
      <c r="F1204" t="s">
        <v>301</v>
      </c>
    </row>
    <row r="1205" spans="1:6" x14ac:dyDescent="0.35">
      <c r="A1205">
        <v>2018</v>
      </c>
      <c r="B1205" t="s">
        <v>289</v>
      </c>
      <c r="C1205" t="s">
        <v>283</v>
      </c>
      <c r="D1205" t="s">
        <v>244</v>
      </c>
      <c r="E1205">
        <v>1895</v>
      </c>
      <c r="F1205" t="s">
        <v>301</v>
      </c>
    </row>
    <row r="1206" spans="1:6" x14ac:dyDescent="0.35">
      <c r="A1206">
        <v>2018</v>
      </c>
      <c r="B1206" t="s">
        <v>289</v>
      </c>
      <c r="C1206" t="s">
        <v>283</v>
      </c>
      <c r="D1206" t="s">
        <v>245</v>
      </c>
      <c r="E1206">
        <v>950</v>
      </c>
      <c r="F1206" t="s">
        <v>301</v>
      </c>
    </row>
    <row r="1207" spans="1:6" x14ac:dyDescent="0.35">
      <c r="A1207">
        <v>2018</v>
      </c>
      <c r="B1207" t="s">
        <v>289</v>
      </c>
      <c r="C1207" t="s">
        <v>283</v>
      </c>
      <c r="D1207" t="s">
        <v>246</v>
      </c>
      <c r="E1207">
        <v>5995</v>
      </c>
      <c r="F1207" t="s">
        <v>301</v>
      </c>
    </row>
    <row r="1208" spans="1:6" x14ac:dyDescent="0.35">
      <c r="A1208">
        <v>2018</v>
      </c>
      <c r="B1208" t="s">
        <v>289</v>
      </c>
      <c r="C1208" t="s">
        <v>283</v>
      </c>
      <c r="D1208" t="s">
        <v>234</v>
      </c>
      <c r="E1208">
        <v>8688</v>
      </c>
      <c r="F1208" t="s">
        <v>301</v>
      </c>
    </row>
    <row r="1209" spans="1:6" x14ac:dyDescent="0.35">
      <c r="A1209">
        <v>2018</v>
      </c>
      <c r="B1209" t="s">
        <v>289</v>
      </c>
      <c r="C1209" t="s">
        <v>283</v>
      </c>
      <c r="D1209" t="s">
        <v>247</v>
      </c>
      <c r="E1209">
        <v>4577</v>
      </c>
      <c r="F1209" t="s">
        <v>301</v>
      </c>
    </row>
    <row r="1210" spans="1:6" x14ac:dyDescent="0.35">
      <c r="A1210">
        <v>2018</v>
      </c>
      <c r="B1210" t="s">
        <v>289</v>
      </c>
      <c r="C1210" t="s">
        <v>283</v>
      </c>
      <c r="D1210" t="s">
        <v>235</v>
      </c>
      <c r="E1210">
        <v>4244</v>
      </c>
      <c r="F1210" t="s">
        <v>301</v>
      </c>
    </row>
    <row r="1211" spans="1:6" x14ac:dyDescent="0.35">
      <c r="A1211">
        <v>2018</v>
      </c>
      <c r="B1211" t="s">
        <v>289</v>
      </c>
      <c r="C1211" t="s">
        <v>283</v>
      </c>
      <c r="D1211" t="s">
        <v>226</v>
      </c>
      <c r="E1211">
        <v>299</v>
      </c>
      <c r="F1211" t="s">
        <v>301</v>
      </c>
    </row>
    <row r="1212" spans="1:6" x14ac:dyDescent="0.35">
      <c r="A1212">
        <v>2018</v>
      </c>
      <c r="B1212" t="s">
        <v>289</v>
      </c>
      <c r="C1212" t="s">
        <v>283</v>
      </c>
      <c r="D1212" t="s">
        <v>248</v>
      </c>
      <c r="E1212">
        <v>4678</v>
      </c>
      <c r="F1212" t="s">
        <v>301</v>
      </c>
    </row>
    <row r="1213" spans="1:6" x14ac:dyDescent="0.35">
      <c r="A1213">
        <v>2018</v>
      </c>
      <c r="B1213" t="s">
        <v>289</v>
      </c>
      <c r="C1213" t="s">
        <v>283</v>
      </c>
      <c r="D1213" t="s">
        <v>227</v>
      </c>
      <c r="E1213">
        <v>269</v>
      </c>
      <c r="F1213" t="s">
        <v>301</v>
      </c>
    </row>
    <row r="1214" spans="1:6" x14ac:dyDescent="0.35">
      <c r="A1214">
        <v>2018</v>
      </c>
      <c r="B1214" t="s">
        <v>289</v>
      </c>
      <c r="C1214" t="s">
        <v>283</v>
      </c>
      <c r="D1214" t="s">
        <v>249</v>
      </c>
      <c r="E1214">
        <v>4424</v>
      </c>
      <c r="F1214" t="s">
        <v>301</v>
      </c>
    </row>
    <row r="1215" spans="1:6" x14ac:dyDescent="0.35">
      <c r="A1215">
        <v>2018</v>
      </c>
      <c r="B1215" t="s">
        <v>289</v>
      </c>
      <c r="C1215" t="s">
        <v>283</v>
      </c>
      <c r="D1215" t="s">
        <v>239</v>
      </c>
      <c r="E1215">
        <v>5819</v>
      </c>
      <c r="F1215" t="s">
        <v>301</v>
      </c>
    </row>
    <row r="1216" spans="1:6" x14ac:dyDescent="0.35">
      <c r="A1216">
        <v>2018</v>
      </c>
      <c r="B1216" t="s">
        <v>289</v>
      </c>
      <c r="C1216" t="s">
        <v>283</v>
      </c>
      <c r="D1216" t="s">
        <v>240</v>
      </c>
      <c r="E1216">
        <v>68</v>
      </c>
      <c r="F1216" t="s">
        <v>301</v>
      </c>
    </row>
    <row r="1217" spans="1:6" x14ac:dyDescent="0.35">
      <c r="A1217">
        <v>2018</v>
      </c>
      <c r="B1217" t="s">
        <v>289</v>
      </c>
      <c r="C1217" t="s">
        <v>283</v>
      </c>
      <c r="D1217" t="s">
        <v>250</v>
      </c>
      <c r="E1217">
        <v>4224</v>
      </c>
      <c r="F1217" t="s">
        <v>301</v>
      </c>
    </row>
    <row r="1218" spans="1:6" x14ac:dyDescent="0.35">
      <c r="A1218">
        <v>2018</v>
      </c>
      <c r="B1218" t="s">
        <v>289</v>
      </c>
      <c r="C1218" t="s">
        <v>283</v>
      </c>
      <c r="D1218" t="s">
        <v>251</v>
      </c>
      <c r="E1218">
        <v>350</v>
      </c>
      <c r="F1218" t="s">
        <v>301</v>
      </c>
    </row>
    <row r="1219" spans="1:6" x14ac:dyDescent="0.35">
      <c r="A1219">
        <v>2018</v>
      </c>
      <c r="B1219" t="s">
        <v>289</v>
      </c>
      <c r="C1219" t="s">
        <v>283</v>
      </c>
      <c r="D1219" t="s">
        <v>229</v>
      </c>
      <c r="E1219">
        <v>353</v>
      </c>
      <c r="F1219" t="s">
        <v>301</v>
      </c>
    </row>
    <row r="1220" spans="1:6" x14ac:dyDescent="0.35">
      <c r="A1220">
        <v>2018</v>
      </c>
      <c r="B1220" t="s">
        <v>289</v>
      </c>
      <c r="C1220" t="s">
        <v>283</v>
      </c>
      <c r="D1220" t="s">
        <v>252</v>
      </c>
      <c r="E1220">
        <v>3377</v>
      </c>
      <c r="F1220" t="s">
        <v>301</v>
      </c>
    </row>
    <row r="1221" spans="1:6" x14ac:dyDescent="0.35">
      <c r="A1221">
        <v>2018</v>
      </c>
      <c r="B1221" t="s">
        <v>289</v>
      </c>
      <c r="C1221" t="s">
        <v>283</v>
      </c>
      <c r="D1221" t="s">
        <v>253</v>
      </c>
      <c r="E1221">
        <v>743</v>
      </c>
      <c r="F1221" t="s">
        <v>301</v>
      </c>
    </row>
    <row r="1222" spans="1:6" x14ac:dyDescent="0.35">
      <c r="A1222">
        <v>2018</v>
      </c>
      <c r="B1222" t="s">
        <v>289</v>
      </c>
      <c r="C1222" t="s">
        <v>283</v>
      </c>
      <c r="D1222" t="s">
        <v>254</v>
      </c>
      <c r="E1222">
        <v>5219</v>
      </c>
      <c r="F1222" t="s">
        <v>301</v>
      </c>
    </row>
    <row r="1223" spans="1:6" x14ac:dyDescent="0.35">
      <c r="A1223">
        <v>2018</v>
      </c>
      <c r="B1223" t="s">
        <v>289</v>
      </c>
      <c r="C1223" t="s">
        <v>283</v>
      </c>
      <c r="D1223" t="s">
        <v>255</v>
      </c>
      <c r="E1223">
        <v>827</v>
      </c>
      <c r="F1223" t="s">
        <v>301</v>
      </c>
    </row>
    <row r="1224" spans="1:6" x14ac:dyDescent="0.35">
      <c r="A1224">
        <v>2018</v>
      </c>
      <c r="B1224" t="s">
        <v>289</v>
      </c>
      <c r="C1224" t="s">
        <v>283</v>
      </c>
      <c r="D1224" t="s">
        <v>230</v>
      </c>
      <c r="E1224">
        <v>124</v>
      </c>
      <c r="F1224" t="s">
        <v>301</v>
      </c>
    </row>
    <row r="1225" spans="1:6" x14ac:dyDescent="0.35">
      <c r="A1225">
        <v>2018</v>
      </c>
      <c r="B1225" t="s">
        <v>289</v>
      </c>
      <c r="C1225" t="s">
        <v>283</v>
      </c>
      <c r="D1225" t="s">
        <v>298</v>
      </c>
      <c r="E1225">
        <v>7986</v>
      </c>
      <c r="F1225" t="s">
        <v>301</v>
      </c>
    </row>
    <row r="1226" spans="1:6" x14ac:dyDescent="0.35">
      <c r="A1226">
        <v>2018</v>
      </c>
      <c r="B1226" t="s">
        <v>289</v>
      </c>
      <c r="C1226" t="s">
        <v>283</v>
      </c>
      <c r="D1226" t="s">
        <v>257</v>
      </c>
      <c r="E1226">
        <v>6</v>
      </c>
      <c r="F1226" t="s">
        <v>301</v>
      </c>
    </row>
    <row r="1227" spans="1:6" x14ac:dyDescent="0.35">
      <c r="A1227">
        <v>2018</v>
      </c>
      <c r="B1227" t="s">
        <v>290</v>
      </c>
      <c r="C1227" t="s">
        <v>425</v>
      </c>
      <c r="D1227" t="s">
        <v>244</v>
      </c>
      <c r="E1227">
        <v>284</v>
      </c>
      <c r="F1227" t="s">
        <v>302</v>
      </c>
    </row>
    <row r="1228" spans="1:6" x14ac:dyDescent="0.35">
      <c r="A1228">
        <v>2018</v>
      </c>
      <c r="B1228" t="s">
        <v>290</v>
      </c>
      <c r="C1228" t="s">
        <v>425</v>
      </c>
      <c r="D1228" t="s">
        <v>245</v>
      </c>
      <c r="E1228">
        <v>155</v>
      </c>
      <c r="F1228" t="s">
        <v>302</v>
      </c>
    </row>
    <row r="1229" spans="1:6" x14ac:dyDescent="0.35">
      <c r="A1229">
        <v>2018</v>
      </c>
      <c r="B1229" t="s">
        <v>290</v>
      </c>
      <c r="C1229" t="s">
        <v>425</v>
      </c>
      <c r="D1229" t="s">
        <v>246</v>
      </c>
      <c r="E1229">
        <v>166</v>
      </c>
      <c r="F1229" t="s">
        <v>302</v>
      </c>
    </row>
    <row r="1230" spans="1:6" x14ac:dyDescent="0.35">
      <c r="A1230">
        <v>2018</v>
      </c>
      <c r="B1230" t="s">
        <v>290</v>
      </c>
      <c r="C1230" t="s">
        <v>425</v>
      </c>
      <c r="D1230" t="s">
        <v>234</v>
      </c>
      <c r="E1230">
        <v>121</v>
      </c>
      <c r="F1230" t="s">
        <v>302</v>
      </c>
    </row>
    <row r="1231" spans="1:6" x14ac:dyDescent="0.35">
      <c r="A1231">
        <v>2018</v>
      </c>
      <c r="B1231" t="s">
        <v>290</v>
      </c>
      <c r="C1231" t="s">
        <v>425</v>
      </c>
      <c r="D1231" t="s">
        <v>247</v>
      </c>
      <c r="E1231">
        <v>776</v>
      </c>
      <c r="F1231" t="s">
        <v>302</v>
      </c>
    </row>
    <row r="1232" spans="1:6" x14ac:dyDescent="0.35">
      <c r="A1232">
        <v>2018</v>
      </c>
      <c r="B1232" t="s">
        <v>290</v>
      </c>
      <c r="C1232" t="s">
        <v>425</v>
      </c>
      <c r="D1232" t="s">
        <v>259</v>
      </c>
      <c r="E1232">
        <v>637</v>
      </c>
      <c r="F1232" t="s">
        <v>302</v>
      </c>
    </row>
    <row r="1233" spans="1:6" x14ac:dyDescent="0.35">
      <c r="A1233">
        <v>2018</v>
      </c>
      <c r="B1233" t="s">
        <v>290</v>
      </c>
      <c r="C1233" t="s">
        <v>425</v>
      </c>
      <c r="D1233" t="s">
        <v>260</v>
      </c>
      <c r="E1233">
        <v>258</v>
      </c>
      <c r="F1233" t="s">
        <v>302</v>
      </c>
    </row>
    <row r="1234" spans="1:6" x14ac:dyDescent="0.35">
      <c r="A1234">
        <v>2018</v>
      </c>
      <c r="B1234" t="s">
        <v>290</v>
      </c>
      <c r="C1234" t="s">
        <v>425</v>
      </c>
      <c r="D1234" t="s">
        <v>235</v>
      </c>
      <c r="E1234">
        <v>232</v>
      </c>
      <c r="F1234" t="s">
        <v>302</v>
      </c>
    </row>
    <row r="1235" spans="1:6" x14ac:dyDescent="0.35">
      <c r="A1235">
        <v>2018</v>
      </c>
      <c r="B1235" t="s">
        <v>290</v>
      </c>
      <c r="C1235" t="s">
        <v>425</v>
      </c>
      <c r="D1235" t="s">
        <v>226</v>
      </c>
      <c r="E1235">
        <v>996</v>
      </c>
      <c r="F1235" t="s">
        <v>302</v>
      </c>
    </row>
    <row r="1236" spans="1:6" x14ac:dyDescent="0.35">
      <c r="A1236">
        <v>2018</v>
      </c>
      <c r="B1236" t="s">
        <v>290</v>
      </c>
      <c r="C1236" t="s">
        <v>425</v>
      </c>
      <c r="D1236" t="s">
        <v>261</v>
      </c>
      <c r="E1236">
        <v>174</v>
      </c>
      <c r="F1236" t="s">
        <v>302</v>
      </c>
    </row>
    <row r="1237" spans="1:6" x14ac:dyDescent="0.35">
      <c r="A1237">
        <v>2018</v>
      </c>
      <c r="B1237" t="s">
        <v>290</v>
      </c>
      <c r="C1237" t="s">
        <v>425</v>
      </c>
      <c r="D1237" t="s">
        <v>248</v>
      </c>
      <c r="E1237">
        <v>451</v>
      </c>
      <c r="F1237" t="s">
        <v>302</v>
      </c>
    </row>
    <row r="1238" spans="1:6" x14ac:dyDescent="0.35">
      <c r="A1238">
        <v>2018</v>
      </c>
      <c r="B1238" t="s">
        <v>290</v>
      </c>
      <c r="C1238" t="s">
        <v>425</v>
      </c>
      <c r="D1238" t="s">
        <v>249</v>
      </c>
      <c r="E1238">
        <v>545</v>
      </c>
      <c r="F1238" t="s">
        <v>302</v>
      </c>
    </row>
    <row r="1239" spans="1:6" x14ac:dyDescent="0.35">
      <c r="A1239">
        <v>2018</v>
      </c>
      <c r="B1239" t="s">
        <v>290</v>
      </c>
      <c r="C1239" t="s">
        <v>425</v>
      </c>
      <c r="D1239" t="s">
        <v>239</v>
      </c>
      <c r="E1239">
        <v>381</v>
      </c>
      <c r="F1239" t="s">
        <v>302</v>
      </c>
    </row>
    <row r="1240" spans="1:6" x14ac:dyDescent="0.35">
      <c r="A1240">
        <v>2018</v>
      </c>
      <c r="B1240" t="s">
        <v>290</v>
      </c>
      <c r="C1240" t="s">
        <v>425</v>
      </c>
      <c r="D1240" t="s">
        <v>240</v>
      </c>
      <c r="E1240">
        <v>1005</v>
      </c>
      <c r="F1240" t="s">
        <v>302</v>
      </c>
    </row>
    <row r="1241" spans="1:6" x14ac:dyDescent="0.35">
      <c r="A1241">
        <v>2018</v>
      </c>
      <c r="B1241" t="s">
        <v>290</v>
      </c>
      <c r="C1241" t="s">
        <v>425</v>
      </c>
      <c r="D1241" t="s">
        <v>250</v>
      </c>
      <c r="E1241">
        <v>309</v>
      </c>
      <c r="F1241" t="s">
        <v>302</v>
      </c>
    </row>
    <row r="1242" spans="1:6" x14ac:dyDescent="0.35">
      <c r="A1242">
        <v>2018</v>
      </c>
      <c r="B1242" t="s">
        <v>290</v>
      </c>
      <c r="C1242" t="s">
        <v>425</v>
      </c>
      <c r="D1242" t="s">
        <v>265</v>
      </c>
      <c r="E1242">
        <v>360</v>
      </c>
      <c r="F1242" t="s">
        <v>302</v>
      </c>
    </row>
    <row r="1243" spans="1:6" x14ac:dyDescent="0.35">
      <c r="A1243">
        <v>2018</v>
      </c>
      <c r="B1243" t="s">
        <v>290</v>
      </c>
      <c r="C1243" t="s">
        <v>425</v>
      </c>
      <c r="D1243" t="s">
        <v>266</v>
      </c>
      <c r="E1243">
        <v>254</v>
      </c>
      <c r="F1243" t="s">
        <v>302</v>
      </c>
    </row>
    <row r="1244" spans="1:6" x14ac:dyDescent="0.35">
      <c r="A1244">
        <v>2018</v>
      </c>
      <c r="B1244" t="s">
        <v>290</v>
      </c>
      <c r="C1244" t="s">
        <v>425</v>
      </c>
      <c r="D1244" t="s">
        <v>267</v>
      </c>
      <c r="E1244">
        <v>394</v>
      </c>
      <c r="F1244" t="s">
        <v>302</v>
      </c>
    </row>
    <row r="1245" spans="1:6" x14ac:dyDescent="0.35">
      <c r="A1245">
        <v>2018</v>
      </c>
      <c r="B1245" t="s">
        <v>290</v>
      </c>
      <c r="C1245" t="s">
        <v>425</v>
      </c>
      <c r="D1245" t="s">
        <v>268</v>
      </c>
      <c r="E1245">
        <v>317</v>
      </c>
      <c r="F1245" t="s">
        <v>302</v>
      </c>
    </row>
    <row r="1246" spans="1:6" x14ac:dyDescent="0.35">
      <c r="A1246">
        <v>2018</v>
      </c>
      <c r="B1246" t="s">
        <v>290</v>
      </c>
      <c r="C1246" t="s">
        <v>425</v>
      </c>
      <c r="D1246" t="s">
        <v>269</v>
      </c>
      <c r="E1246">
        <v>955</v>
      </c>
      <c r="F1246" t="s">
        <v>302</v>
      </c>
    </row>
    <row r="1247" spans="1:6" x14ac:dyDescent="0.35">
      <c r="A1247">
        <v>2018</v>
      </c>
      <c r="B1247" t="s">
        <v>290</v>
      </c>
      <c r="C1247" t="s">
        <v>425</v>
      </c>
      <c r="D1247" t="s">
        <v>229</v>
      </c>
      <c r="E1247">
        <v>56</v>
      </c>
      <c r="F1247" t="s">
        <v>302</v>
      </c>
    </row>
    <row r="1248" spans="1:6" x14ac:dyDescent="0.35">
      <c r="A1248">
        <v>2018</v>
      </c>
      <c r="B1248" t="s">
        <v>290</v>
      </c>
      <c r="C1248" t="s">
        <v>425</v>
      </c>
      <c r="D1248" t="s">
        <v>252</v>
      </c>
      <c r="E1248">
        <v>230</v>
      </c>
      <c r="F1248" t="s">
        <v>302</v>
      </c>
    </row>
    <row r="1249" spans="1:6" x14ac:dyDescent="0.35">
      <c r="A1249">
        <v>2018</v>
      </c>
      <c r="B1249" t="s">
        <v>290</v>
      </c>
      <c r="C1249" t="s">
        <v>425</v>
      </c>
      <c r="D1249" t="s">
        <v>253</v>
      </c>
      <c r="E1249">
        <v>108</v>
      </c>
      <c r="F1249" t="s">
        <v>302</v>
      </c>
    </row>
    <row r="1250" spans="1:6" x14ac:dyDescent="0.35">
      <c r="A1250">
        <v>2018</v>
      </c>
      <c r="B1250" t="s">
        <v>290</v>
      </c>
      <c r="C1250" t="s">
        <v>425</v>
      </c>
      <c r="D1250" t="s">
        <v>254</v>
      </c>
      <c r="E1250">
        <v>109</v>
      </c>
      <c r="F1250" t="s">
        <v>302</v>
      </c>
    </row>
    <row r="1251" spans="1:6" x14ac:dyDescent="0.35">
      <c r="A1251">
        <v>2018</v>
      </c>
      <c r="B1251" t="s">
        <v>290</v>
      </c>
      <c r="C1251" t="s">
        <v>425</v>
      </c>
      <c r="D1251" t="s">
        <v>255</v>
      </c>
      <c r="E1251">
        <v>328</v>
      </c>
      <c r="F1251" t="s">
        <v>302</v>
      </c>
    </row>
    <row r="1252" spans="1:6" x14ac:dyDescent="0.35">
      <c r="A1252">
        <v>2018</v>
      </c>
      <c r="B1252" t="s">
        <v>290</v>
      </c>
      <c r="C1252" t="s">
        <v>425</v>
      </c>
      <c r="D1252" t="s">
        <v>270</v>
      </c>
      <c r="E1252">
        <v>93</v>
      </c>
      <c r="F1252" t="s">
        <v>302</v>
      </c>
    </row>
    <row r="1253" spans="1:6" x14ac:dyDescent="0.35">
      <c r="A1253">
        <v>2018</v>
      </c>
      <c r="B1253" t="s">
        <v>290</v>
      </c>
      <c r="C1253" t="s">
        <v>426</v>
      </c>
      <c r="D1253" t="s">
        <v>271</v>
      </c>
      <c r="E1253">
        <v>149</v>
      </c>
      <c r="F1253" t="s">
        <v>302</v>
      </c>
    </row>
    <row r="1254" spans="1:6" x14ac:dyDescent="0.35">
      <c r="A1254">
        <v>2018</v>
      </c>
      <c r="B1254" t="s">
        <v>291</v>
      </c>
      <c r="C1254" t="s">
        <v>425</v>
      </c>
      <c r="D1254" t="s">
        <v>244</v>
      </c>
      <c r="E1254">
        <v>15189</v>
      </c>
      <c r="F1254" t="s">
        <v>302</v>
      </c>
    </row>
    <row r="1255" spans="1:6" x14ac:dyDescent="0.35">
      <c r="A1255">
        <v>2018</v>
      </c>
      <c r="B1255" t="s">
        <v>291</v>
      </c>
      <c r="C1255" t="s">
        <v>425</v>
      </c>
      <c r="D1255" t="s">
        <v>245</v>
      </c>
      <c r="E1255">
        <v>1703</v>
      </c>
      <c r="F1255" t="s">
        <v>302</v>
      </c>
    </row>
    <row r="1256" spans="1:6" x14ac:dyDescent="0.35">
      <c r="A1256">
        <v>2018</v>
      </c>
      <c r="B1256" t="s">
        <v>291</v>
      </c>
      <c r="C1256" t="s">
        <v>425</v>
      </c>
      <c r="D1256" t="s">
        <v>246</v>
      </c>
      <c r="E1256">
        <v>2908</v>
      </c>
      <c r="F1256" t="s">
        <v>302</v>
      </c>
    </row>
    <row r="1257" spans="1:6" x14ac:dyDescent="0.35">
      <c r="A1257">
        <v>2018</v>
      </c>
      <c r="B1257" t="s">
        <v>291</v>
      </c>
      <c r="C1257" t="s">
        <v>425</v>
      </c>
      <c r="D1257" t="s">
        <v>234</v>
      </c>
      <c r="E1257">
        <v>1582</v>
      </c>
      <c r="F1257" t="s">
        <v>302</v>
      </c>
    </row>
    <row r="1258" spans="1:6" x14ac:dyDescent="0.35">
      <c r="A1258">
        <v>2018</v>
      </c>
      <c r="B1258" t="s">
        <v>291</v>
      </c>
      <c r="C1258" t="s">
        <v>425</v>
      </c>
      <c r="D1258" t="s">
        <v>247</v>
      </c>
      <c r="E1258">
        <v>9241</v>
      </c>
      <c r="F1258" t="s">
        <v>302</v>
      </c>
    </row>
    <row r="1259" spans="1:6" x14ac:dyDescent="0.35">
      <c r="A1259">
        <v>2018</v>
      </c>
      <c r="B1259" t="s">
        <v>291</v>
      </c>
      <c r="C1259" t="s">
        <v>425</v>
      </c>
      <c r="D1259" t="s">
        <v>259</v>
      </c>
      <c r="E1259">
        <v>17644</v>
      </c>
      <c r="F1259" t="s">
        <v>302</v>
      </c>
    </row>
    <row r="1260" spans="1:6" x14ac:dyDescent="0.35">
      <c r="A1260">
        <v>2018</v>
      </c>
      <c r="B1260" t="s">
        <v>291</v>
      </c>
      <c r="C1260" t="s">
        <v>425</v>
      </c>
      <c r="D1260" t="s">
        <v>260</v>
      </c>
      <c r="E1260">
        <v>2755</v>
      </c>
      <c r="F1260" t="s">
        <v>302</v>
      </c>
    </row>
    <row r="1261" spans="1:6" x14ac:dyDescent="0.35">
      <c r="A1261">
        <v>2018</v>
      </c>
      <c r="B1261" t="s">
        <v>291</v>
      </c>
      <c r="C1261" t="s">
        <v>425</v>
      </c>
      <c r="D1261" t="s">
        <v>235</v>
      </c>
      <c r="E1261">
        <v>3604</v>
      </c>
      <c r="F1261" t="s">
        <v>302</v>
      </c>
    </row>
    <row r="1262" spans="1:6" x14ac:dyDescent="0.35">
      <c r="A1262">
        <v>2018</v>
      </c>
      <c r="B1262" t="s">
        <v>291</v>
      </c>
      <c r="C1262" t="s">
        <v>425</v>
      </c>
      <c r="D1262" t="s">
        <v>226</v>
      </c>
      <c r="E1262">
        <v>2159</v>
      </c>
      <c r="F1262" t="s">
        <v>302</v>
      </c>
    </row>
    <row r="1263" spans="1:6" x14ac:dyDescent="0.35">
      <c r="A1263">
        <v>2018</v>
      </c>
      <c r="B1263" t="s">
        <v>291</v>
      </c>
      <c r="C1263" t="s">
        <v>425</v>
      </c>
      <c r="D1263" t="s">
        <v>248</v>
      </c>
      <c r="E1263">
        <v>14333</v>
      </c>
      <c r="F1263" t="s">
        <v>302</v>
      </c>
    </row>
    <row r="1264" spans="1:6" x14ac:dyDescent="0.35">
      <c r="A1264">
        <v>2018</v>
      </c>
      <c r="B1264" t="s">
        <v>291</v>
      </c>
      <c r="C1264" t="s">
        <v>425</v>
      </c>
      <c r="D1264" t="s">
        <v>249</v>
      </c>
      <c r="E1264">
        <v>7854</v>
      </c>
      <c r="F1264" t="s">
        <v>302</v>
      </c>
    </row>
    <row r="1265" spans="1:6" x14ac:dyDescent="0.35">
      <c r="A1265">
        <v>2018</v>
      </c>
      <c r="B1265" t="s">
        <v>291</v>
      </c>
      <c r="C1265" t="s">
        <v>425</v>
      </c>
      <c r="D1265" t="s">
        <v>239</v>
      </c>
      <c r="E1265">
        <v>8474</v>
      </c>
      <c r="F1265" t="s">
        <v>302</v>
      </c>
    </row>
    <row r="1266" spans="1:6" x14ac:dyDescent="0.35">
      <c r="A1266">
        <v>2018</v>
      </c>
      <c r="B1266" t="s">
        <v>291</v>
      </c>
      <c r="C1266" t="s">
        <v>425</v>
      </c>
      <c r="D1266" t="s">
        <v>240</v>
      </c>
      <c r="E1266">
        <v>10270</v>
      </c>
      <c r="F1266" t="s">
        <v>302</v>
      </c>
    </row>
    <row r="1267" spans="1:6" x14ac:dyDescent="0.35">
      <c r="A1267">
        <v>2018</v>
      </c>
      <c r="B1267" t="s">
        <v>291</v>
      </c>
      <c r="C1267" t="s">
        <v>425</v>
      </c>
      <c r="D1267" t="s">
        <v>250</v>
      </c>
      <c r="E1267">
        <v>3476</v>
      </c>
      <c r="F1267" t="s">
        <v>302</v>
      </c>
    </row>
    <row r="1268" spans="1:6" x14ac:dyDescent="0.35">
      <c r="A1268">
        <v>2018</v>
      </c>
      <c r="B1268" t="s">
        <v>291</v>
      </c>
      <c r="C1268" t="s">
        <v>425</v>
      </c>
      <c r="D1268" t="s">
        <v>265</v>
      </c>
      <c r="E1268">
        <v>3409</v>
      </c>
      <c r="F1268" t="s">
        <v>302</v>
      </c>
    </row>
    <row r="1269" spans="1:6" x14ac:dyDescent="0.35">
      <c r="A1269">
        <v>2018</v>
      </c>
      <c r="B1269" t="s">
        <v>291</v>
      </c>
      <c r="C1269" t="s">
        <v>425</v>
      </c>
      <c r="D1269" t="s">
        <v>266</v>
      </c>
      <c r="E1269">
        <v>5143</v>
      </c>
      <c r="F1269" t="s">
        <v>302</v>
      </c>
    </row>
    <row r="1270" spans="1:6" x14ac:dyDescent="0.35">
      <c r="A1270">
        <v>2018</v>
      </c>
      <c r="B1270" t="s">
        <v>291</v>
      </c>
      <c r="C1270" t="s">
        <v>425</v>
      </c>
      <c r="D1270" t="s">
        <v>267</v>
      </c>
      <c r="E1270">
        <v>7162</v>
      </c>
      <c r="F1270" t="s">
        <v>302</v>
      </c>
    </row>
    <row r="1271" spans="1:6" x14ac:dyDescent="0.35">
      <c r="A1271">
        <v>2018</v>
      </c>
      <c r="B1271" t="s">
        <v>291</v>
      </c>
      <c r="C1271" t="s">
        <v>425</v>
      </c>
      <c r="D1271" t="s">
        <v>268</v>
      </c>
      <c r="E1271">
        <v>4658</v>
      </c>
      <c r="F1271" t="s">
        <v>302</v>
      </c>
    </row>
    <row r="1272" spans="1:6" x14ac:dyDescent="0.35">
      <c r="A1272">
        <v>2018</v>
      </c>
      <c r="B1272" t="s">
        <v>291</v>
      </c>
      <c r="C1272" t="s">
        <v>425</v>
      </c>
      <c r="D1272" t="s">
        <v>272</v>
      </c>
      <c r="E1272">
        <v>5754</v>
      </c>
      <c r="F1272" t="s">
        <v>302</v>
      </c>
    </row>
    <row r="1273" spans="1:6" x14ac:dyDescent="0.35">
      <c r="A1273">
        <v>2018</v>
      </c>
      <c r="B1273" t="s">
        <v>291</v>
      </c>
      <c r="C1273" t="s">
        <v>425</v>
      </c>
      <c r="D1273" t="s">
        <v>269</v>
      </c>
      <c r="E1273">
        <v>10749</v>
      </c>
      <c r="F1273" t="s">
        <v>302</v>
      </c>
    </row>
    <row r="1274" spans="1:6" x14ac:dyDescent="0.35">
      <c r="A1274">
        <v>2018</v>
      </c>
      <c r="B1274" t="s">
        <v>291</v>
      </c>
      <c r="C1274" t="s">
        <v>425</v>
      </c>
      <c r="D1274" t="s">
        <v>229</v>
      </c>
      <c r="E1274">
        <v>6000</v>
      </c>
      <c r="F1274" t="s">
        <v>302</v>
      </c>
    </row>
    <row r="1275" spans="1:6" x14ac:dyDescent="0.35">
      <c r="A1275">
        <v>2018</v>
      </c>
      <c r="B1275" t="s">
        <v>291</v>
      </c>
      <c r="C1275" t="s">
        <v>425</v>
      </c>
      <c r="D1275" t="s">
        <v>252</v>
      </c>
      <c r="E1275">
        <v>6210</v>
      </c>
      <c r="F1275" t="s">
        <v>302</v>
      </c>
    </row>
    <row r="1276" spans="1:6" x14ac:dyDescent="0.35">
      <c r="A1276">
        <v>2018</v>
      </c>
      <c r="B1276" t="s">
        <v>291</v>
      </c>
      <c r="C1276" t="s">
        <v>425</v>
      </c>
      <c r="D1276" t="s">
        <v>254</v>
      </c>
      <c r="E1276">
        <v>3067</v>
      </c>
      <c r="F1276" t="s">
        <v>302</v>
      </c>
    </row>
    <row r="1277" spans="1:6" x14ac:dyDescent="0.35">
      <c r="A1277">
        <v>2018</v>
      </c>
      <c r="B1277" t="s">
        <v>291</v>
      </c>
      <c r="C1277" t="s">
        <v>425</v>
      </c>
      <c r="D1277" t="s">
        <v>270</v>
      </c>
      <c r="E1277">
        <v>4359</v>
      </c>
      <c r="F1277" t="s">
        <v>302</v>
      </c>
    </row>
    <row r="1278" spans="1:6" x14ac:dyDescent="0.35">
      <c r="A1278">
        <v>2018</v>
      </c>
      <c r="B1278" t="s">
        <v>291</v>
      </c>
      <c r="C1278" t="s">
        <v>425</v>
      </c>
      <c r="D1278" t="s">
        <v>273</v>
      </c>
      <c r="E1278">
        <v>5</v>
      </c>
      <c r="F1278" t="s">
        <v>302</v>
      </c>
    </row>
    <row r="1279" spans="1:6" x14ac:dyDescent="0.35">
      <c r="A1279">
        <v>2018</v>
      </c>
      <c r="B1279" t="s">
        <v>291</v>
      </c>
      <c r="C1279" t="s">
        <v>425</v>
      </c>
      <c r="D1279" t="s">
        <v>39</v>
      </c>
      <c r="E1279">
        <v>873</v>
      </c>
      <c r="F1279" t="s">
        <v>302</v>
      </c>
    </row>
    <row r="1280" spans="1:6" x14ac:dyDescent="0.35">
      <c r="A1280">
        <v>2019</v>
      </c>
      <c r="B1280" t="s">
        <v>288</v>
      </c>
      <c r="C1280" t="s">
        <v>222</v>
      </c>
      <c r="D1280" t="s">
        <v>223</v>
      </c>
      <c r="E1280">
        <v>9637</v>
      </c>
      <c r="F1280" t="s">
        <v>299</v>
      </c>
    </row>
    <row r="1281" spans="1:6" x14ac:dyDescent="0.35">
      <c r="A1281">
        <v>2019</v>
      </c>
      <c r="B1281" t="s">
        <v>288</v>
      </c>
      <c r="C1281" t="s">
        <v>222</v>
      </c>
      <c r="D1281" t="s">
        <v>224</v>
      </c>
      <c r="E1281">
        <v>57269</v>
      </c>
      <c r="F1281" t="s">
        <v>299</v>
      </c>
    </row>
    <row r="1282" spans="1:6" x14ac:dyDescent="0.35">
      <c r="A1282">
        <v>2019</v>
      </c>
      <c r="B1282" t="s">
        <v>288</v>
      </c>
      <c r="C1282" t="s">
        <v>222</v>
      </c>
      <c r="D1282" t="s">
        <v>225</v>
      </c>
      <c r="E1282">
        <v>35138</v>
      </c>
      <c r="F1282" t="s">
        <v>299</v>
      </c>
    </row>
    <row r="1283" spans="1:6" x14ac:dyDescent="0.35">
      <c r="A1283">
        <v>2019</v>
      </c>
      <c r="B1283" t="s">
        <v>288</v>
      </c>
      <c r="C1283" t="s">
        <v>222</v>
      </c>
      <c r="D1283" t="s">
        <v>226</v>
      </c>
      <c r="E1283">
        <v>182143</v>
      </c>
      <c r="F1283" t="s">
        <v>299</v>
      </c>
    </row>
    <row r="1284" spans="1:6" x14ac:dyDescent="0.35">
      <c r="A1284">
        <v>2019</v>
      </c>
      <c r="B1284" t="s">
        <v>288</v>
      </c>
      <c r="C1284" t="s">
        <v>222</v>
      </c>
      <c r="D1284" t="s">
        <v>227</v>
      </c>
      <c r="E1284">
        <v>38378</v>
      </c>
      <c r="F1284" t="s">
        <v>299</v>
      </c>
    </row>
    <row r="1285" spans="1:6" x14ac:dyDescent="0.35">
      <c r="A1285">
        <v>2019</v>
      </c>
      <c r="B1285" t="s">
        <v>288</v>
      </c>
      <c r="C1285" t="s">
        <v>222</v>
      </c>
      <c r="D1285" t="s">
        <v>228</v>
      </c>
      <c r="E1285">
        <v>339135</v>
      </c>
      <c r="F1285" t="s">
        <v>299</v>
      </c>
    </row>
    <row r="1286" spans="1:6" x14ac:dyDescent="0.35">
      <c r="A1286">
        <v>2019</v>
      </c>
      <c r="B1286" t="s">
        <v>288</v>
      </c>
      <c r="C1286" t="s">
        <v>222</v>
      </c>
      <c r="D1286" t="s">
        <v>229</v>
      </c>
      <c r="E1286">
        <v>58049</v>
      </c>
      <c r="F1286" t="s">
        <v>299</v>
      </c>
    </row>
    <row r="1287" spans="1:6" x14ac:dyDescent="0.35">
      <c r="A1287">
        <v>2019</v>
      </c>
      <c r="B1287" t="s">
        <v>288</v>
      </c>
      <c r="C1287" t="s">
        <v>222</v>
      </c>
      <c r="D1287" t="s">
        <v>230</v>
      </c>
      <c r="E1287">
        <v>63490</v>
      </c>
      <c r="F1287" t="s">
        <v>299</v>
      </c>
    </row>
    <row r="1288" spans="1:6" x14ac:dyDescent="0.35">
      <c r="A1288">
        <v>2019</v>
      </c>
      <c r="B1288" t="s">
        <v>288</v>
      </c>
      <c r="C1288" t="s">
        <v>222</v>
      </c>
      <c r="D1288" t="s">
        <v>231</v>
      </c>
      <c r="E1288">
        <v>68269</v>
      </c>
      <c r="F1288" t="s">
        <v>299</v>
      </c>
    </row>
    <row r="1289" spans="1:6" x14ac:dyDescent="0.35">
      <c r="A1289">
        <v>2019</v>
      </c>
      <c r="B1289" t="s">
        <v>288</v>
      </c>
      <c r="C1289" t="s">
        <v>232</v>
      </c>
      <c r="D1289" t="s">
        <v>233</v>
      </c>
      <c r="E1289">
        <v>524</v>
      </c>
      <c r="F1289" t="s">
        <v>299</v>
      </c>
    </row>
    <row r="1290" spans="1:6" x14ac:dyDescent="0.35">
      <c r="A1290">
        <v>2019</v>
      </c>
      <c r="B1290" t="s">
        <v>288</v>
      </c>
      <c r="C1290" t="s">
        <v>232</v>
      </c>
      <c r="D1290" t="s">
        <v>234</v>
      </c>
      <c r="E1290">
        <v>537</v>
      </c>
      <c r="F1290" t="s">
        <v>299</v>
      </c>
    </row>
    <row r="1291" spans="1:6" x14ac:dyDescent="0.35">
      <c r="A1291">
        <v>2019</v>
      </c>
      <c r="B1291" t="s">
        <v>288</v>
      </c>
      <c r="C1291" t="s">
        <v>232</v>
      </c>
      <c r="D1291" t="s">
        <v>235</v>
      </c>
      <c r="E1291">
        <v>1322</v>
      </c>
      <c r="F1291" t="s">
        <v>299</v>
      </c>
    </row>
    <row r="1292" spans="1:6" x14ac:dyDescent="0.35">
      <c r="A1292">
        <v>2019</v>
      </c>
      <c r="B1292" t="s">
        <v>288</v>
      </c>
      <c r="C1292" t="s">
        <v>232</v>
      </c>
      <c r="D1292" t="s">
        <v>236</v>
      </c>
      <c r="E1292">
        <v>412</v>
      </c>
      <c r="F1292" t="s">
        <v>299</v>
      </c>
    </row>
    <row r="1293" spans="1:6" x14ac:dyDescent="0.35">
      <c r="A1293">
        <v>2019</v>
      </c>
      <c r="B1293" t="s">
        <v>288</v>
      </c>
      <c r="C1293" t="s">
        <v>232</v>
      </c>
      <c r="D1293" t="s">
        <v>237</v>
      </c>
      <c r="E1293">
        <v>77</v>
      </c>
      <c r="F1293" t="s">
        <v>299</v>
      </c>
    </row>
    <row r="1294" spans="1:6" x14ac:dyDescent="0.35">
      <c r="A1294">
        <v>2019</v>
      </c>
      <c r="B1294" t="s">
        <v>288</v>
      </c>
      <c r="C1294" t="s">
        <v>232</v>
      </c>
      <c r="D1294" t="s">
        <v>238</v>
      </c>
      <c r="E1294">
        <v>52</v>
      </c>
      <c r="F1294" t="s">
        <v>299</v>
      </c>
    </row>
    <row r="1295" spans="1:6" x14ac:dyDescent="0.35">
      <c r="A1295">
        <v>2019</v>
      </c>
      <c r="B1295" t="s">
        <v>288</v>
      </c>
      <c r="C1295" t="s">
        <v>232</v>
      </c>
      <c r="D1295" t="s">
        <v>239</v>
      </c>
      <c r="E1295">
        <v>1891</v>
      </c>
      <c r="F1295" t="s">
        <v>299</v>
      </c>
    </row>
    <row r="1296" spans="1:6" x14ac:dyDescent="0.35">
      <c r="A1296">
        <v>2019</v>
      </c>
      <c r="B1296" t="s">
        <v>288</v>
      </c>
      <c r="C1296" t="s">
        <v>232</v>
      </c>
      <c r="D1296" t="s">
        <v>240</v>
      </c>
      <c r="E1296">
        <v>1132</v>
      </c>
      <c r="F1296" t="s">
        <v>299</v>
      </c>
    </row>
    <row r="1297" spans="1:6" x14ac:dyDescent="0.35">
      <c r="A1297">
        <v>2019</v>
      </c>
      <c r="B1297" t="s">
        <v>288</v>
      </c>
      <c r="C1297" t="s">
        <v>232</v>
      </c>
      <c r="D1297" t="s">
        <v>241</v>
      </c>
      <c r="E1297">
        <v>562</v>
      </c>
      <c r="F1297" t="s">
        <v>299</v>
      </c>
    </row>
    <row r="1298" spans="1:6" x14ac:dyDescent="0.35">
      <c r="A1298">
        <v>2019</v>
      </c>
      <c r="B1298" t="s">
        <v>288</v>
      </c>
      <c r="C1298" t="s">
        <v>232</v>
      </c>
      <c r="D1298" t="s">
        <v>242</v>
      </c>
      <c r="E1298">
        <v>428</v>
      </c>
      <c r="F1298" t="s">
        <v>299</v>
      </c>
    </row>
    <row r="1299" spans="1:6" x14ac:dyDescent="0.35">
      <c r="A1299">
        <v>2019</v>
      </c>
      <c r="B1299" t="s">
        <v>288</v>
      </c>
      <c r="C1299" t="s">
        <v>232</v>
      </c>
      <c r="D1299" t="s">
        <v>243</v>
      </c>
      <c r="E1299">
        <v>1056</v>
      </c>
      <c r="F1299" t="s">
        <v>299</v>
      </c>
    </row>
    <row r="1300" spans="1:6" x14ac:dyDescent="0.35">
      <c r="A1300">
        <v>2019</v>
      </c>
      <c r="B1300" t="s">
        <v>289</v>
      </c>
      <c r="C1300" t="s">
        <v>281</v>
      </c>
      <c r="D1300" t="s">
        <v>226</v>
      </c>
      <c r="E1300">
        <v>25372</v>
      </c>
      <c r="F1300" t="s">
        <v>301</v>
      </c>
    </row>
    <row r="1301" spans="1:6" x14ac:dyDescent="0.35">
      <c r="A1301">
        <v>2019</v>
      </c>
      <c r="B1301" t="s">
        <v>289</v>
      </c>
      <c r="C1301" t="s">
        <v>281</v>
      </c>
      <c r="D1301" t="s">
        <v>227</v>
      </c>
      <c r="E1301">
        <v>36908</v>
      </c>
      <c r="F1301" t="s">
        <v>301</v>
      </c>
    </row>
    <row r="1302" spans="1:6" x14ac:dyDescent="0.35">
      <c r="A1302">
        <v>2019</v>
      </c>
      <c r="B1302" t="s">
        <v>289</v>
      </c>
      <c r="C1302" t="s">
        <v>281</v>
      </c>
      <c r="D1302" t="s">
        <v>229</v>
      </c>
      <c r="E1302">
        <v>29811</v>
      </c>
      <c r="F1302" t="s">
        <v>301</v>
      </c>
    </row>
    <row r="1303" spans="1:6" x14ac:dyDescent="0.35">
      <c r="A1303">
        <v>2019</v>
      </c>
      <c r="B1303" t="s">
        <v>289</v>
      </c>
      <c r="C1303" t="s">
        <v>281</v>
      </c>
      <c r="D1303" t="s">
        <v>230</v>
      </c>
      <c r="E1303">
        <v>13810</v>
      </c>
      <c r="F1303" t="s">
        <v>301</v>
      </c>
    </row>
    <row r="1304" spans="1:6" x14ac:dyDescent="0.35">
      <c r="A1304">
        <v>2019</v>
      </c>
      <c r="B1304" t="s">
        <v>289</v>
      </c>
      <c r="C1304" t="s">
        <v>283</v>
      </c>
      <c r="D1304" t="s">
        <v>244</v>
      </c>
      <c r="E1304">
        <v>2179</v>
      </c>
      <c r="F1304" t="s">
        <v>301</v>
      </c>
    </row>
    <row r="1305" spans="1:6" x14ac:dyDescent="0.35">
      <c r="A1305">
        <v>2019</v>
      </c>
      <c r="B1305" t="s">
        <v>289</v>
      </c>
      <c r="C1305" t="s">
        <v>283</v>
      </c>
      <c r="D1305" t="s">
        <v>245</v>
      </c>
      <c r="E1305">
        <v>840</v>
      </c>
      <c r="F1305" t="s">
        <v>301</v>
      </c>
    </row>
    <row r="1306" spans="1:6" x14ac:dyDescent="0.35">
      <c r="A1306">
        <v>2019</v>
      </c>
      <c r="B1306" t="s">
        <v>289</v>
      </c>
      <c r="C1306" t="s">
        <v>283</v>
      </c>
      <c r="D1306" t="s">
        <v>246</v>
      </c>
      <c r="E1306">
        <v>3128</v>
      </c>
      <c r="F1306" t="s">
        <v>301</v>
      </c>
    </row>
    <row r="1307" spans="1:6" x14ac:dyDescent="0.35">
      <c r="A1307">
        <v>2019</v>
      </c>
      <c r="B1307" t="s">
        <v>289</v>
      </c>
      <c r="C1307" t="s">
        <v>283</v>
      </c>
      <c r="D1307" t="s">
        <v>234</v>
      </c>
      <c r="E1307">
        <v>6335</v>
      </c>
      <c r="F1307" t="s">
        <v>301</v>
      </c>
    </row>
    <row r="1308" spans="1:6" x14ac:dyDescent="0.35">
      <c r="A1308">
        <v>2019</v>
      </c>
      <c r="B1308" t="s">
        <v>289</v>
      </c>
      <c r="C1308" t="s">
        <v>283</v>
      </c>
      <c r="D1308" t="s">
        <v>247</v>
      </c>
      <c r="E1308">
        <v>4047</v>
      </c>
      <c r="F1308" t="s">
        <v>301</v>
      </c>
    </row>
    <row r="1309" spans="1:6" x14ac:dyDescent="0.35">
      <c r="A1309">
        <v>2019</v>
      </c>
      <c r="B1309" t="s">
        <v>289</v>
      </c>
      <c r="C1309" t="s">
        <v>283</v>
      </c>
      <c r="D1309" t="s">
        <v>235</v>
      </c>
      <c r="E1309">
        <v>2111</v>
      </c>
      <c r="F1309" t="s">
        <v>301</v>
      </c>
    </row>
    <row r="1310" spans="1:6" x14ac:dyDescent="0.35">
      <c r="A1310">
        <v>2019</v>
      </c>
      <c r="B1310" t="s">
        <v>289</v>
      </c>
      <c r="C1310" t="s">
        <v>283</v>
      </c>
      <c r="D1310" t="s">
        <v>226</v>
      </c>
      <c r="E1310">
        <v>13</v>
      </c>
      <c r="F1310" t="s">
        <v>301</v>
      </c>
    </row>
    <row r="1311" spans="1:6" x14ac:dyDescent="0.35">
      <c r="A1311">
        <v>2019</v>
      </c>
      <c r="B1311" t="s">
        <v>289</v>
      </c>
      <c r="C1311" t="s">
        <v>283</v>
      </c>
      <c r="D1311" t="s">
        <v>248</v>
      </c>
      <c r="E1311">
        <v>4262</v>
      </c>
      <c r="F1311" t="s">
        <v>301</v>
      </c>
    </row>
    <row r="1312" spans="1:6" x14ac:dyDescent="0.35">
      <c r="A1312">
        <v>2019</v>
      </c>
      <c r="B1312" t="s">
        <v>289</v>
      </c>
      <c r="C1312" t="s">
        <v>283</v>
      </c>
      <c r="D1312" t="s">
        <v>227</v>
      </c>
      <c r="E1312">
        <v>54</v>
      </c>
      <c r="F1312" t="s">
        <v>301</v>
      </c>
    </row>
    <row r="1313" spans="1:6" x14ac:dyDescent="0.35">
      <c r="A1313">
        <v>2019</v>
      </c>
      <c r="B1313" t="s">
        <v>289</v>
      </c>
      <c r="C1313" t="s">
        <v>283</v>
      </c>
      <c r="D1313" t="s">
        <v>249</v>
      </c>
      <c r="E1313">
        <v>5135</v>
      </c>
      <c r="F1313" t="s">
        <v>301</v>
      </c>
    </row>
    <row r="1314" spans="1:6" x14ac:dyDescent="0.35">
      <c r="A1314">
        <v>2019</v>
      </c>
      <c r="B1314" t="s">
        <v>289</v>
      </c>
      <c r="C1314" t="s">
        <v>283</v>
      </c>
      <c r="D1314" t="s">
        <v>239</v>
      </c>
      <c r="E1314">
        <v>6327</v>
      </c>
      <c r="F1314" t="s">
        <v>301</v>
      </c>
    </row>
    <row r="1315" spans="1:6" x14ac:dyDescent="0.35">
      <c r="A1315">
        <v>2019</v>
      </c>
      <c r="B1315" t="s">
        <v>289</v>
      </c>
      <c r="C1315" t="s">
        <v>283</v>
      </c>
      <c r="D1315" t="s">
        <v>240</v>
      </c>
      <c r="E1315">
        <v>85</v>
      </c>
      <c r="F1315" t="s">
        <v>301</v>
      </c>
    </row>
    <row r="1316" spans="1:6" x14ac:dyDescent="0.35">
      <c r="A1316">
        <v>2019</v>
      </c>
      <c r="B1316" t="s">
        <v>289</v>
      </c>
      <c r="C1316" t="s">
        <v>283</v>
      </c>
      <c r="D1316" t="s">
        <v>250</v>
      </c>
      <c r="E1316">
        <v>4970</v>
      </c>
      <c r="F1316" t="s">
        <v>301</v>
      </c>
    </row>
    <row r="1317" spans="1:6" x14ac:dyDescent="0.35">
      <c r="A1317">
        <v>2019</v>
      </c>
      <c r="B1317" t="s">
        <v>289</v>
      </c>
      <c r="C1317" t="s">
        <v>283</v>
      </c>
      <c r="D1317" t="s">
        <v>251</v>
      </c>
      <c r="E1317">
        <v>209</v>
      </c>
      <c r="F1317" t="s">
        <v>301</v>
      </c>
    </row>
    <row r="1318" spans="1:6" x14ac:dyDescent="0.35">
      <c r="A1318">
        <v>2019</v>
      </c>
      <c r="B1318" t="s">
        <v>289</v>
      </c>
      <c r="C1318" t="s">
        <v>283</v>
      </c>
      <c r="D1318" t="s">
        <v>229</v>
      </c>
      <c r="E1318">
        <v>66</v>
      </c>
      <c r="F1318" t="s">
        <v>301</v>
      </c>
    </row>
    <row r="1319" spans="1:6" x14ac:dyDescent="0.35">
      <c r="A1319">
        <v>2019</v>
      </c>
      <c r="B1319" t="s">
        <v>289</v>
      </c>
      <c r="C1319" t="s">
        <v>283</v>
      </c>
      <c r="D1319" t="s">
        <v>252</v>
      </c>
      <c r="E1319">
        <v>4104</v>
      </c>
      <c r="F1319" t="s">
        <v>301</v>
      </c>
    </row>
    <row r="1320" spans="1:6" x14ac:dyDescent="0.35">
      <c r="A1320">
        <v>2019</v>
      </c>
      <c r="B1320" t="s">
        <v>289</v>
      </c>
      <c r="C1320" t="s">
        <v>283</v>
      </c>
      <c r="D1320" t="s">
        <v>253</v>
      </c>
      <c r="E1320">
        <v>978</v>
      </c>
      <c r="F1320" t="s">
        <v>301</v>
      </c>
    </row>
    <row r="1321" spans="1:6" x14ac:dyDescent="0.35">
      <c r="A1321">
        <v>2019</v>
      </c>
      <c r="B1321" t="s">
        <v>289</v>
      </c>
      <c r="C1321" t="s">
        <v>283</v>
      </c>
      <c r="D1321" t="s">
        <v>254</v>
      </c>
      <c r="E1321">
        <v>4424</v>
      </c>
      <c r="F1321" t="s">
        <v>301</v>
      </c>
    </row>
    <row r="1322" spans="1:6" x14ac:dyDescent="0.35">
      <c r="A1322">
        <v>2019</v>
      </c>
      <c r="B1322" t="s">
        <v>289</v>
      </c>
      <c r="C1322" t="s">
        <v>283</v>
      </c>
      <c r="D1322" t="s">
        <v>255</v>
      </c>
      <c r="E1322">
        <v>988</v>
      </c>
      <c r="F1322" t="s">
        <v>301</v>
      </c>
    </row>
    <row r="1323" spans="1:6" x14ac:dyDescent="0.35">
      <c r="A1323">
        <v>2019</v>
      </c>
      <c r="B1323" t="s">
        <v>289</v>
      </c>
      <c r="C1323" t="s">
        <v>283</v>
      </c>
      <c r="D1323" t="s">
        <v>230</v>
      </c>
      <c r="E1323">
        <v>55</v>
      </c>
      <c r="F1323" t="s">
        <v>301</v>
      </c>
    </row>
    <row r="1324" spans="1:6" x14ac:dyDescent="0.35">
      <c r="A1324">
        <v>2019</v>
      </c>
      <c r="B1324" t="s">
        <v>289</v>
      </c>
      <c r="C1324" t="s">
        <v>283</v>
      </c>
      <c r="D1324" t="s">
        <v>298</v>
      </c>
      <c r="E1324">
        <v>6091</v>
      </c>
      <c r="F1324" t="s">
        <v>301</v>
      </c>
    </row>
    <row r="1325" spans="1:6" x14ac:dyDescent="0.35">
      <c r="A1325">
        <v>2019</v>
      </c>
      <c r="B1325" t="s">
        <v>289</v>
      </c>
      <c r="C1325" t="s">
        <v>283</v>
      </c>
      <c r="D1325" t="s">
        <v>257</v>
      </c>
      <c r="F1325" t="s">
        <v>301</v>
      </c>
    </row>
    <row r="1326" spans="1:6" x14ac:dyDescent="0.35">
      <c r="A1326">
        <v>2019</v>
      </c>
      <c r="B1326" t="s">
        <v>290</v>
      </c>
      <c r="C1326" t="s">
        <v>425</v>
      </c>
      <c r="D1326" t="s">
        <v>244</v>
      </c>
      <c r="E1326">
        <v>232</v>
      </c>
      <c r="F1326" t="s">
        <v>302</v>
      </c>
    </row>
    <row r="1327" spans="1:6" x14ac:dyDescent="0.35">
      <c r="A1327">
        <v>2019</v>
      </c>
      <c r="B1327" t="s">
        <v>290</v>
      </c>
      <c r="C1327" t="s">
        <v>425</v>
      </c>
      <c r="D1327" t="s">
        <v>245</v>
      </c>
      <c r="E1327">
        <v>91</v>
      </c>
      <c r="F1327" t="s">
        <v>302</v>
      </c>
    </row>
    <row r="1328" spans="1:6" x14ac:dyDescent="0.35">
      <c r="A1328">
        <v>2019</v>
      </c>
      <c r="B1328" t="s">
        <v>290</v>
      </c>
      <c r="C1328" t="s">
        <v>425</v>
      </c>
      <c r="D1328" t="s">
        <v>246</v>
      </c>
      <c r="E1328">
        <v>171</v>
      </c>
      <c r="F1328" t="s">
        <v>302</v>
      </c>
    </row>
    <row r="1329" spans="1:6" x14ac:dyDescent="0.35">
      <c r="A1329">
        <v>2019</v>
      </c>
      <c r="B1329" t="s">
        <v>290</v>
      </c>
      <c r="C1329" t="s">
        <v>425</v>
      </c>
      <c r="D1329" t="s">
        <v>234</v>
      </c>
      <c r="E1329">
        <v>68</v>
      </c>
      <c r="F1329" t="s">
        <v>302</v>
      </c>
    </row>
    <row r="1330" spans="1:6" x14ac:dyDescent="0.35">
      <c r="A1330">
        <v>2019</v>
      </c>
      <c r="B1330" t="s">
        <v>290</v>
      </c>
      <c r="C1330" t="s">
        <v>425</v>
      </c>
      <c r="D1330" t="s">
        <v>258</v>
      </c>
      <c r="E1330">
        <v>86</v>
      </c>
      <c r="F1330" t="s">
        <v>302</v>
      </c>
    </row>
    <row r="1331" spans="1:6" x14ac:dyDescent="0.35">
      <c r="A1331">
        <v>2019</v>
      </c>
      <c r="B1331" t="s">
        <v>290</v>
      </c>
      <c r="C1331" t="s">
        <v>425</v>
      </c>
      <c r="D1331" t="s">
        <v>247</v>
      </c>
      <c r="E1331">
        <v>581</v>
      </c>
      <c r="F1331" t="s">
        <v>302</v>
      </c>
    </row>
    <row r="1332" spans="1:6" x14ac:dyDescent="0.35">
      <c r="A1332">
        <v>2019</v>
      </c>
      <c r="B1332" t="s">
        <v>290</v>
      </c>
      <c r="C1332" t="s">
        <v>425</v>
      </c>
      <c r="D1332" t="s">
        <v>259</v>
      </c>
      <c r="E1332">
        <v>647</v>
      </c>
      <c r="F1332" t="s">
        <v>302</v>
      </c>
    </row>
    <row r="1333" spans="1:6" x14ac:dyDescent="0.35">
      <c r="A1333">
        <v>2019</v>
      </c>
      <c r="B1333" t="s">
        <v>290</v>
      </c>
      <c r="C1333" t="s">
        <v>425</v>
      </c>
      <c r="D1333" t="s">
        <v>260</v>
      </c>
      <c r="E1333">
        <v>265</v>
      </c>
      <c r="F1333" t="s">
        <v>302</v>
      </c>
    </row>
    <row r="1334" spans="1:6" x14ac:dyDescent="0.35">
      <c r="A1334">
        <v>2019</v>
      </c>
      <c r="B1334" t="s">
        <v>290</v>
      </c>
      <c r="C1334" t="s">
        <v>425</v>
      </c>
      <c r="D1334" t="s">
        <v>235</v>
      </c>
      <c r="E1334">
        <v>192</v>
      </c>
      <c r="F1334" t="s">
        <v>302</v>
      </c>
    </row>
    <row r="1335" spans="1:6" x14ac:dyDescent="0.35">
      <c r="A1335">
        <v>2019</v>
      </c>
      <c r="B1335" t="s">
        <v>290</v>
      </c>
      <c r="C1335" t="s">
        <v>425</v>
      </c>
      <c r="D1335" t="s">
        <v>226</v>
      </c>
      <c r="E1335">
        <v>1499</v>
      </c>
      <c r="F1335" t="s">
        <v>302</v>
      </c>
    </row>
    <row r="1336" spans="1:6" x14ac:dyDescent="0.35">
      <c r="A1336">
        <v>2019</v>
      </c>
      <c r="B1336" t="s">
        <v>290</v>
      </c>
      <c r="C1336" t="s">
        <v>425</v>
      </c>
      <c r="D1336" t="s">
        <v>261</v>
      </c>
      <c r="E1336">
        <v>147</v>
      </c>
      <c r="F1336" t="s">
        <v>302</v>
      </c>
    </row>
    <row r="1337" spans="1:6" x14ac:dyDescent="0.35">
      <c r="A1337">
        <v>2019</v>
      </c>
      <c r="B1337" t="s">
        <v>290</v>
      </c>
      <c r="C1337" t="s">
        <v>425</v>
      </c>
      <c r="D1337" t="s">
        <v>248</v>
      </c>
      <c r="E1337">
        <v>496</v>
      </c>
      <c r="F1337" t="s">
        <v>302</v>
      </c>
    </row>
    <row r="1338" spans="1:6" x14ac:dyDescent="0.35">
      <c r="A1338">
        <v>2019</v>
      </c>
      <c r="B1338" t="s">
        <v>290</v>
      </c>
      <c r="C1338" t="s">
        <v>425</v>
      </c>
      <c r="D1338" t="s">
        <v>262</v>
      </c>
      <c r="E1338">
        <v>227</v>
      </c>
      <c r="F1338" t="s">
        <v>302</v>
      </c>
    </row>
    <row r="1339" spans="1:6" x14ac:dyDescent="0.35">
      <c r="A1339">
        <v>2019</v>
      </c>
      <c r="B1339" t="s">
        <v>290</v>
      </c>
      <c r="C1339" t="s">
        <v>425</v>
      </c>
      <c r="D1339" t="s">
        <v>263</v>
      </c>
      <c r="E1339">
        <v>79</v>
      </c>
      <c r="F1339" t="s">
        <v>302</v>
      </c>
    </row>
    <row r="1340" spans="1:6" x14ac:dyDescent="0.35">
      <c r="A1340">
        <v>2019</v>
      </c>
      <c r="B1340" t="s">
        <v>290</v>
      </c>
      <c r="C1340" t="s">
        <v>425</v>
      </c>
      <c r="D1340" t="s">
        <v>249</v>
      </c>
      <c r="E1340">
        <v>313</v>
      </c>
      <c r="F1340" t="s">
        <v>302</v>
      </c>
    </row>
    <row r="1341" spans="1:6" x14ac:dyDescent="0.35">
      <c r="A1341">
        <v>2019</v>
      </c>
      <c r="B1341" t="s">
        <v>290</v>
      </c>
      <c r="C1341" t="s">
        <v>425</v>
      </c>
      <c r="D1341" t="s">
        <v>239</v>
      </c>
      <c r="E1341">
        <v>473</v>
      </c>
      <c r="F1341" t="s">
        <v>302</v>
      </c>
    </row>
    <row r="1342" spans="1:6" x14ac:dyDescent="0.35">
      <c r="A1342">
        <v>2019</v>
      </c>
      <c r="B1342" t="s">
        <v>290</v>
      </c>
      <c r="C1342" t="s">
        <v>425</v>
      </c>
      <c r="D1342" t="s">
        <v>264</v>
      </c>
      <c r="E1342">
        <v>258</v>
      </c>
      <c r="F1342" t="s">
        <v>302</v>
      </c>
    </row>
    <row r="1343" spans="1:6" x14ac:dyDescent="0.35">
      <c r="A1343">
        <v>2019</v>
      </c>
      <c r="B1343" t="s">
        <v>290</v>
      </c>
      <c r="C1343" t="s">
        <v>425</v>
      </c>
      <c r="D1343" t="s">
        <v>240</v>
      </c>
      <c r="E1343">
        <v>281</v>
      </c>
      <c r="F1343" t="s">
        <v>302</v>
      </c>
    </row>
    <row r="1344" spans="1:6" x14ac:dyDescent="0.35">
      <c r="A1344">
        <v>2019</v>
      </c>
      <c r="B1344" t="s">
        <v>290</v>
      </c>
      <c r="C1344" t="s">
        <v>425</v>
      </c>
      <c r="D1344" t="s">
        <v>250</v>
      </c>
      <c r="E1344">
        <v>223</v>
      </c>
      <c r="F1344" t="s">
        <v>302</v>
      </c>
    </row>
    <row r="1345" spans="1:6" x14ac:dyDescent="0.35">
      <c r="A1345">
        <v>2019</v>
      </c>
      <c r="B1345" t="s">
        <v>290</v>
      </c>
      <c r="C1345" t="s">
        <v>425</v>
      </c>
      <c r="D1345" t="s">
        <v>265</v>
      </c>
      <c r="E1345">
        <v>396</v>
      </c>
      <c r="F1345" t="s">
        <v>302</v>
      </c>
    </row>
    <row r="1346" spans="1:6" x14ac:dyDescent="0.35">
      <c r="A1346">
        <v>2019</v>
      </c>
      <c r="B1346" t="s">
        <v>290</v>
      </c>
      <c r="C1346" t="s">
        <v>425</v>
      </c>
      <c r="D1346" t="s">
        <v>266</v>
      </c>
      <c r="E1346">
        <v>256</v>
      </c>
      <c r="F1346" t="s">
        <v>302</v>
      </c>
    </row>
    <row r="1347" spans="1:6" x14ac:dyDescent="0.35">
      <c r="A1347">
        <v>2019</v>
      </c>
      <c r="B1347" t="s">
        <v>290</v>
      </c>
      <c r="C1347" t="s">
        <v>425</v>
      </c>
      <c r="D1347" t="s">
        <v>267</v>
      </c>
      <c r="E1347">
        <v>728</v>
      </c>
      <c r="F1347" t="s">
        <v>302</v>
      </c>
    </row>
    <row r="1348" spans="1:6" x14ac:dyDescent="0.35">
      <c r="A1348">
        <v>2019</v>
      </c>
      <c r="B1348" t="s">
        <v>290</v>
      </c>
      <c r="C1348" t="s">
        <v>425</v>
      </c>
      <c r="D1348" t="s">
        <v>268</v>
      </c>
      <c r="E1348">
        <v>97</v>
      </c>
      <c r="F1348" t="s">
        <v>302</v>
      </c>
    </row>
    <row r="1349" spans="1:6" x14ac:dyDescent="0.35">
      <c r="A1349">
        <v>2019</v>
      </c>
      <c r="B1349" t="s">
        <v>290</v>
      </c>
      <c r="C1349" t="s">
        <v>425</v>
      </c>
      <c r="D1349" t="s">
        <v>269</v>
      </c>
      <c r="E1349">
        <v>2154</v>
      </c>
      <c r="F1349" t="s">
        <v>302</v>
      </c>
    </row>
    <row r="1350" spans="1:6" x14ac:dyDescent="0.35">
      <c r="A1350">
        <v>2019</v>
      </c>
      <c r="B1350" t="s">
        <v>290</v>
      </c>
      <c r="C1350" t="s">
        <v>425</v>
      </c>
      <c r="D1350" t="s">
        <v>229</v>
      </c>
      <c r="E1350">
        <v>95</v>
      </c>
      <c r="F1350" t="s">
        <v>302</v>
      </c>
    </row>
    <row r="1351" spans="1:6" x14ac:dyDescent="0.35">
      <c r="A1351">
        <v>2019</v>
      </c>
      <c r="B1351" t="s">
        <v>290</v>
      </c>
      <c r="C1351" t="s">
        <v>425</v>
      </c>
      <c r="D1351" t="s">
        <v>252</v>
      </c>
      <c r="E1351">
        <v>210</v>
      </c>
      <c r="F1351" t="s">
        <v>302</v>
      </c>
    </row>
    <row r="1352" spans="1:6" x14ac:dyDescent="0.35">
      <c r="A1352">
        <v>2019</v>
      </c>
      <c r="B1352" t="s">
        <v>290</v>
      </c>
      <c r="C1352" t="s">
        <v>425</v>
      </c>
      <c r="D1352" t="s">
        <v>253</v>
      </c>
      <c r="E1352">
        <v>95</v>
      </c>
      <c r="F1352" t="s">
        <v>302</v>
      </c>
    </row>
    <row r="1353" spans="1:6" x14ac:dyDescent="0.35">
      <c r="A1353">
        <v>2019</v>
      </c>
      <c r="B1353" t="s">
        <v>290</v>
      </c>
      <c r="C1353" t="s">
        <v>425</v>
      </c>
      <c r="D1353" t="s">
        <v>254</v>
      </c>
      <c r="E1353">
        <v>138</v>
      </c>
      <c r="F1353" t="s">
        <v>302</v>
      </c>
    </row>
    <row r="1354" spans="1:6" x14ac:dyDescent="0.35">
      <c r="A1354">
        <v>2019</v>
      </c>
      <c r="B1354" t="s">
        <v>290</v>
      </c>
      <c r="C1354" t="s">
        <v>425</v>
      </c>
      <c r="D1354" t="s">
        <v>255</v>
      </c>
      <c r="E1354">
        <v>224</v>
      </c>
      <c r="F1354" t="s">
        <v>302</v>
      </c>
    </row>
    <row r="1355" spans="1:6" x14ac:dyDescent="0.35">
      <c r="A1355">
        <v>2019</v>
      </c>
      <c r="B1355" t="s">
        <v>290</v>
      </c>
      <c r="C1355" t="s">
        <v>425</v>
      </c>
      <c r="D1355" t="s">
        <v>270</v>
      </c>
      <c r="E1355">
        <v>113</v>
      </c>
      <c r="F1355" t="s">
        <v>302</v>
      </c>
    </row>
    <row r="1356" spans="1:6" x14ac:dyDescent="0.35">
      <c r="A1356">
        <v>2019</v>
      </c>
      <c r="B1356" t="s">
        <v>290</v>
      </c>
      <c r="C1356" t="s">
        <v>426</v>
      </c>
      <c r="D1356" t="s">
        <v>271</v>
      </c>
      <c r="E1356">
        <v>104</v>
      </c>
      <c r="F1356" t="s">
        <v>302</v>
      </c>
    </row>
    <row r="1357" spans="1:6" x14ac:dyDescent="0.35">
      <c r="A1357">
        <v>2019</v>
      </c>
      <c r="B1357" t="s">
        <v>291</v>
      </c>
      <c r="C1357" t="s">
        <v>425</v>
      </c>
      <c r="D1357" t="s">
        <v>244</v>
      </c>
      <c r="E1357">
        <v>13247</v>
      </c>
      <c r="F1357" t="s">
        <v>302</v>
      </c>
    </row>
    <row r="1358" spans="1:6" x14ac:dyDescent="0.35">
      <c r="A1358">
        <v>2019</v>
      </c>
      <c r="B1358" t="s">
        <v>291</v>
      </c>
      <c r="C1358" t="s">
        <v>425</v>
      </c>
      <c r="D1358" t="s">
        <v>245</v>
      </c>
      <c r="E1358">
        <v>1450</v>
      </c>
      <c r="F1358" t="s">
        <v>302</v>
      </c>
    </row>
    <row r="1359" spans="1:6" x14ac:dyDescent="0.35">
      <c r="A1359">
        <v>2019</v>
      </c>
      <c r="B1359" t="s">
        <v>291</v>
      </c>
      <c r="C1359" t="s">
        <v>425</v>
      </c>
      <c r="D1359" t="s">
        <v>246</v>
      </c>
      <c r="E1359">
        <v>2469</v>
      </c>
      <c r="F1359" t="s">
        <v>302</v>
      </c>
    </row>
    <row r="1360" spans="1:6" x14ac:dyDescent="0.35">
      <c r="A1360">
        <v>2019</v>
      </c>
      <c r="B1360" t="s">
        <v>291</v>
      </c>
      <c r="C1360" t="s">
        <v>425</v>
      </c>
      <c r="D1360" t="s">
        <v>234</v>
      </c>
      <c r="E1360">
        <v>1287</v>
      </c>
      <c r="F1360" t="s">
        <v>302</v>
      </c>
    </row>
    <row r="1361" spans="1:6" x14ac:dyDescent="0.35">
      <c r="A1361">
        <v>2019</v>
      </c>
      <c r="B1361" t="s">
        <v>291</v>
      </c>
      <c r="C1361" t="s">
        <v>425</v>
      </c>
      <c r="D1361" t="s">
        <v>247</v>
      </c>
      <c r="E1361">
        <v>8427</v>
      </c>
      <c r="F1361" t="s">
        <v>302</v>
      </c>
    </row>
    <row r="1362" spans="1:6" x14ac:dyDescent="0.35">
      <c r="A1362">
        <v>2019</v>
      </c>
      <c r="B1362" t="s">
        <v>291</v>
      </c>
      <c r="C1362" t="s">
        <v>425</v>
      </c>
      <c r="D1362" t="s">
        <v>259</v>
      </c>
      <c r="E1362">
        <v>16900</v>
      </c>
      <c r="F1362" t="s">
        <v>302</v>
      </c>
    </row>
    <row r="1363" spans="1:6" x14ac:dyDescent="0.35">
      <c r="A1363">
        <v>2019</v>
      </c>
      <c r="B1363" t="s">
        <v>291</v>
      </c>
      <c r="C1363" t="s">
        <v>425</v>
      </c>
      <c r="D1363" t="s">
        <v>260</v>
      </c>
      <c r="E1363">
        <v>2408</v>
      </c>
      <c r="F1363" t="s">
        <v>302</v>
      </c>
    </row>
    <row r="1364" spans="1:6" x14ac:dyDescent="0.35">
      <c r="A1364">
        <v>2019</v>
      </c>
      <c r="B1364" t="s">
        <v>291</v>
      </c>
      <c r="C1364" t="s">
        <v>425</v>
      </c>
      <c r="D1364" t="s">
        <v>235</v>
      </c>
      <c r="E1364">
        <v>3318</v>
      </c>
      <c r="F1364" t="s">
        <v>302</v>
      </c>
    </row>
    <row r="1365" spans="1:6" x14ac:dyDescent="0.35">
      <c r="A1365">
        <v>2019</v>
      </c>
      <c r="B1365" t="s">
        <v>291</v>
      </c>
      <c r="C1365" t="s">
        <v>425</v>
      </c>
      <c r="D1365" t="s">
        <v>226</v>
      </c>
      <c r="E1365">
        <v>2270</v>
      </c>
      <c r="F1365" t="s">
        <v>302</v>
      </c>
    </row>
    <row r="1366" spans="1:6" x14ac:dyDescent="0.35">
      <c r="A1366">
        <v>2019</v>
      </c>
      <c r="B1366" t="s">
        <v>291</v>
      </c>
      <c r="C1366" t="s">
        <v>425</v>
      </c>
      <c r="D1366" t="s">
        <v>248</v>
      </c>
      <c r="E1366">
        <v>11584</v>
      </c>
      <c r="F1366" t="s">
        <v>302</v>
      </c>
    </row>
    <row r="1367" spans="1:6" x14ac:dyDescent="0.35">
      <c r="A1367">
        <v>2019</v>
      </c>
      <c r="B1367" t="s">
        <v>291</v>
      </c>
      <c r="C1367" t="s">
        <v>425</v>
      </c>
      <c r="D1367" t="s">
        <v>249</v>
      </c>
      <c r="E1367">
        <v>6657</v>
      </c>
      <c r="F1367" t="s">
        <v>302</v>
      </c>
    </row>
    <row r="1368" spans="1:6" x14ac:dyDescent="0.35">
      <c r="A1368">
        <v>2019</v>
      </c>
      <c r="B1368" t="s">
        <v>291</v>
      </c>
      <c r="C1368" t="s">
        <v>425</v>
      </c>
      <c r="D1368" t="s">
        <v>239</v>
      </c>
      <c r="E1368">
        <v>9512</v>
      </c>
      <c r="F1368" t="s">
        <v>302</v>
      </c>
    </row>
    <row r="1369" spans="1:6" x14ac:dyDescent="0.35">
      <c r="A1369">
        <v>2019</v>
      </c>
      <c r="B1369" t="s">
        <v>291</v>
      </c>
      <c r="C1369" t="s">
        <v>425</v>
      </c>
      <c r="D1369" t="s">
        <v>240</v>
      </c>
      <c r="E1369">
        <v>9831</v>
      </c>
      <c r="F1369" t="s">
        <v>302</v>
      </c>
    </row>
    <row r="1370" spans="1:6" x14ac:dyDescent="0.35">
      <c r="A1370">
        <v>2019</v>
      </c>
      <c r="B1370" t="s">
        <v>291</v>
      </c>
      <c r="C1370" t="s">
        <v>425</v>
      </c>
      <c r="D1370" t="s">
        <v>250</v>
      </c>
      <c r="E1370">
        <v>2477</v>
      </c>
      <c r="F1370" t="s">
        <v>302</v>
      </c>
    </row>
    <row r="1371" spans="1:6" x14ac:dyDescent="0.35">
      <c r="A1371">
        <v>2019</v>
      </c>
      <c r="B1371" t="s">
        <v>291</v>
      </c>
      <c r="C1371" t="s">
        <v>425</v>
      </c>
      <c r="D1371" t="s">
        <v>265</v>
      </c>
      <c r="E1371">
        <v>2903</v>
      </c>
      <c r="F1371" t="s">
        <v>302</v>
      </c>
    </row>
    <row r="1372" spans="1:6" x14ac:dyDescent="0.35">
      <c r="A1372">
        <v>2019</v>
      </c>
      <c r="B1372" t="s">
        <v>291</v>
      </c>
      <c r="C1372" t="s">
        <v>425</v>
      </c>
      <c r="D1372" t="s">
        <v>266</v>
      </c>
      <c r="E1372">
        <v>4096</v>
      </c>
      <c r="F1372" t="s">
        <v>302</v>
      </c>
    </row>
    <row r="1373" spans="1:6" x14ac:dyDescent="0.35">
      <c r="A1373">
        <v>2019</v>
      </c>
      <c r="B1373" t="s">
        <v>291</v>
      </c>
      <c r="C1373" t="s">
        <v>425</v>
      </c>
      <c r="D1373" t="s">
        <v>267</v>
      </c>
      <c r="E1373">
        <v>5904</v>
      </c>
      <c r="F1373" t="s">
        <v>302</v>
      </c>
    </row>
    <row r="1374" spans="1:6" x14ac:dyDescent="0.35">
      <c r="A1374">
        <v>2019</v>
      </c>
      <c r="B1374" t="s">
        <v>291</v>
      </c>
      <c r="C1374" t="s">
        <v>425</v>
      </c>
      <c r="D1374" t="s">
        <v>268</v>
      </c>
      <c r="E1374">
        <v>4340</v>
      </c>
      <c r="F1374" t="s">
        <v>302</v>
      </c>
    </row>
    <row r="1375" spans="1:6" x14ac:dyDescent="0.35">
      <c r="A1375">
        <v>2019</v>
      </c>
      <c r="B1375" t="s">
        <v>291</v>
      </c>
      <c r="C1375" t="s">
        <v>425</v>
      </c>
      <c r="D1375" t="s">
        <v>272</v>
      </c>
      <c r="E1375">
        <v>5382</v>
      </c>
      <c r="F1375" t="s">
        <v>302</v>
      </c>
    </row>
    <row r="1376" spans="1:6" x14ac:dyDescent="0.35">
      <c r="A1376">
        <v>2019</v>
      </c>
      <c r="B1376" t="s">
        <v>291</v>
      </c>
      <c r="C1376" t="s">
        <v>425</v>
      </c>
      <c r="D1376" t="s">
        <v>269</v>
      </c>
      <c r="E1376">
        <v>11780</v>
      </c>
      <c r="F1376" t="s">
        <v>302</v>
      </c>
    </row>
    <row r="1377" spans="1:6" x14ac:dyDescent="0.35">
      <c r="A1377">
        <v>2019</v>
      </c>
      <c r="B1377" t="s">
        <v>291</v>
      </c>
      <c r="C1377" t="s">
        <v>425</v>
      </c>
      <c r="D1377" t="s">
        <v>229</v>
      </c>
      <c r="E1377">
        <v>2280</v>
      </c>
      <c r="F1377" t="s">
        <v>302</v>
      </c>
    </row>
    <row r="1378" spans="1:6" x14ac:dyDescent="0.35">
      <c r="A1378">
        <v>2019</v>
      </c>
      <c r="B1378" t="s">
        <v>291</v>
      </c>
      <c r="C1378" t="s">
        <v>425</v>
      </c>
      <c r="D1378" t="s">
        <v>252</v>
      </c>
      <c r="E1378">
        <v>5098</v>
      </c>
      <c r="F1378" t="s">
        <v>302</v>
      </c>
    </row>
    <row r="1379" spans="1:6" x14ac:dyDescent="0.35">
      <c r="A1379">
        <v>2019</v>
      </c>
      <c r="B1379" t="s">
        <v>291</v>
      </c>
      <c r="C1379" t="s">
        <v>425</v>
      </c>
      <c r="D1379" t="s">
        <v>254</v>
      </c>
      <c r="E1379">
        <v>2550</v>
      </c>
      <c r="F1379" t="s">
        <v>302</v>
      </c>
    </row>
    <row r="1380" spans="1:6" x14ac:dyDescent="0.35">
      <c r="A1380">
        <v>2019</v>
      </c>
      <c r="B1380" t="s">
        <v>291</v>
      </c>
      <c r="C1380" t="s">
        <v>425</v>
      </c>
      <c r="D1380" t="s">
        <v>270</v>
      </c>
      <c r="E1380">
        <v>4276</v>
      </c>
      <c r="F1380" t="s">
        <v>302</v>
      </c>
    </row>
    <row r="1381" spans="1:6" x14ac:dyDescent="0.35">
      <c r="A1381">
        <v>2019</v>
      </c>
      <c r="B1381" t="s">
        <v>291</v>
      </c>
      <c r="C1381" t="s">
        <v>425</v>
      </c>
      <c r="D1381" t="s">
        <v>273</v>
      </c>
      <c r="E1381">
        <v>4</v>
      </c>
      <c r="F1381" t="s">
        <v>302</v>
      </c>
    </row>
    <row r="1382" spans="1:6" x14ac:dyDescent="0.35">
      <c r="A1382">
        <v>2019</v>
      </c>
      <c r="B1382" t="s">
        <v>291</v>
      </c>
      <c r="C1382" t="s">
        <v>425</v>
      </c>
      <c r="D1382" t="s">
        <v>39</v>
      </c>
      <c r="E1382">
        <v>2649</v>
      </c>
      <c r="F1382" t="s">
        <v>302</v>
      </c>
    </row>
    <row r="1383" spans="1:6" x14ac:dyDescent="0.35">
      <c r="A1383">
        <v>2020</v>
      </c>
      <c r="B1383" t="s">
        <v>288</v>
      </c>
      <c r="C1383" t="s">
        <v>222</v>
      </c>
      <c r="D1383" t="s">
        <v>223</v>
      </c>
      <c r="E1383">
        <v>8627</v>
      </c>
      <c r="F1383" t="s">
        <v>299</v>
      </c>
    </row>
    <row r="1384" spans="1:6" x14ac:dyDescent="0.35">
      <c r="A1384">
        <v>2020</v>
      </c>
      <c r="B1384" t="s">
        <v>288</v>
      </c>
      <c r="C1384" t="s">
        <v>222</v>
      </c>
      <c r="D1384" t="s">
        <v>224</v>
      </c>
      <c r="E1384">
        <v>40342</v>
      </c>
      <c r="F1384" t="s">
        <v>299</v>
      </c>
    </row>
    <row r="1385" spans="1:6" x14ac:dyDescent="0.35">
      <c r="A1385">
        <v>2020</v>
      </c>
      <c r="B1385" t="s">
        <v>288</v>
      </c>
      <c r="C1385" t="s">
        <v>222</v>
      </c>
      <c r="D1385" t="s">
        <v>225</v>
      </c>
      <c r="E1385">
        <v>27487</v>
      </c>
      <c r="F1385" t="s">
        <v>299</v>
      </c>
    </row>
    <row r="1386" spans="1:6" x14ac:dyDescent="0.35">
      <c r="A1386">
        <v>2020</v>
      </c>
      <c r="B1386" t="s">
        <v>288</v>
      </c>
      <c r="C1386" t="s">
        <v>222</v>
      </c>
      <c r="D1386" t="s">
        <v>226</v>
      </c>
      <c r="E1386">
        <v>54396</v>
      </c>
      <c r="F1386" t="s">
        <v>299</v>
      </c>
    </row>
    <row r="1387" spans="1:6" x14ac:dyDescent="0.35">
      <c r="A1387">
        <v>2020</v>
      </c>
      <c r="B1387" t="s">
        <v>288</v>
      </c>
      <c r="C1387" t="s">
        <v>222</v>
      </c>
      <c r="D1387" t="s">
        <v>227</v>
      </c>
      <c r="E1387">
        <v>51425</v>
      </c>
      <c r="F1387" t="s">
        <v>299</v>
      </c>
    </row>
    <row r="1388" spans="1:6" x14ac:dyDescent="0.35">
      <c r="A1388">
        <v>2020</v>
      </c>
      <c r="B1388" t="s">
        <v>288</v>
      </c>
      <c r="C1388" t="s">
        <v>222</v>
      </c>
      <c r="D1388" t="s">
        <v>228</v>
      </c>
      <c r="E1388">
        <v>90203</v>
      </c>
      <c r="F1388" t="s">
        <v>299</v>
      </c>
    </row>
    <row r="1389" spans="1:6" x14ac:dyDescent="0.35">
      <c r="A1389">
        <v>2020</v>
      </c>
      <c r="B1389" t="s">
        <v>288</v>
      </c>
      <c r="C1389" t="s">
        <v>222</v>
      </c>
      <c r="D1389" t="s">
        <v>229</v>
      </c>
      <c r="E1389">
        <v>53277</v>
      </c>
      <c r="F1389" t="s">
        <v>299</v>
      </c>
    </row>
    <row r="1390" spans="1:6" x14ac:dyDescent="0.35">
      <c r="A1390">
        <v>2020</v>
      </c>
      <c r="B1390" t="s">
        <v>288</v>
      </c>
      <c r="C1390" t="s">
        <v>222</v>
      </c>
      <c r="D1390" t="s">
        <v>230</v>
      </c>
      <c r="E1390">
        <v>66074</v>
      </c>
      <c r="F1390" t="s">
        <v>299</v>
      </c>
    </row>
    <row r="1391" spans="1:6" x14ac:dyDescent="0.35">
      <c r="A1391">
        <v>2020</v>
      </c>
      <c r="B1391" t="s">
        <v>288</v>
      </c>
      <c r="C1391" t="s">
        <v>222</v>
      </c>
      <c r="D1391" t="s">
        <v>231</v>
      </c>
      <c r="E1391">
        <v>8804</v>
      </c>
      <c r="F1391" t="s">
        <v>299</v>
      </c>
    </row>
    <row r="1392" spans="1:6" x14ac:dyDescent="0.35">
      <c r="A1392">
        <v>2020</v>
      </c>
      <c r="B1392" t="s">
        <v>288</v>
      </c>
      <c r="C1392" t="s">
        <v>232</v>
      </c>
      <c r="D1392" t="s">
        <v>233</v>
      </c>
      <c r="E1392">
        <v>227</v>
      </c>
      <c r="F1392" t="s">
        <v>299</v>
      </c>
    </row>
    <row r="1393" spans="1:6" x14ac:dyDescent="0.35">
      <c r="A1393">
        <v>2020</v>
      </c>
      <c r="B1393" t="s">
        <v>288</v>
      </c>
      <c r="C1393" t="s">
        <v>232</v>
      </c>
      <c r="D1393" t="s">
        <v>234</v>
      </c>
      <c r="E1393">
        <v>302</v>
      </c>
      <c r="F1393" t="s">
        <v>299</v>
      </c>
    </row>
    <row r="1394" spans="1:6" x14ac:dyDescent="0.35">
      <c r="A1394">
        <v>2020</v>
      </c>
      <c r="B1394" t="s">
        <v>288</v>
      </c>
      <c r="C1394" t="s">
        <v>232</v>
      </c>
      <c r="D1394" t="s">
        <v>235</v>
      </c>
      <c r="E1394">
        <v>455</v>
      </c>
      <c r="F1394" t="s">
        <v>299</v>
      </c>
    </row>
    <row r="1395" spans="1:6" x14ac:dyDescent="0.35">
      <c r="A1395">
        <v>2020</v>
      </c>
      <c r="B1395" t="s">
        <v>288</v>
      </c>
      <c r="C1395" t="s">
        <v>232</v>
      </c>
      <c r="D1395" t="s">
        <v>236</v>
      </c>
      <c r="E1395">
        <v>227</v>
      </c>
      <c r="F1395" t="s">
        <v>299</v>
      </c>
    </row>
    <row r="1396" spans="1:6" x14ac:dyDescent="0.35">
      <c r="A1396">
        <v>2020</v>
      </c>
      <c r="B1396" t="s">
        <v>288</v>
      </c>
      <c r="C1396" t="s">
        <v>232</v>
      </c>
      <c r="D1396" t="s">
        <v>237</v>
      </c>
      <c r="E1396">
        <v>30</v>
      </c>
      <c r="F1396" t="s">
        <v>299</v>
      </c>
    </row>
    <row r="1397" spans="1:6" x14ac:dyDescent="0.35">
      <c r="A1397">
        <v>2020</v>
      </c>
      <c r="B1397" t="s">
        <v>288</v>
      </c>
      <c r="C1397" t="s">
        <v>232</v>
      </c>
      <c r="D1397" t="s">
        <v>238</v>
      </c>
      <c r="E1397">
        <v>104</v>
      </c>
      <c r="F1397" t="s">
        <v>299</v>
      </c>
    </row>
    <row r="1398" spans="1:6" x14ac:dyDescent="0.35">
      <c r="A1398">
        <v>2020</v>
      </c>
      <c r="B1398" t="s">
        <v>288</v>
      </c>
      <c r="C1398" t="s">
        <v>232</v>
      </c>
      <c r="D1398" t="s">
        <v>239</v>
      </c>
      <c r="E1398">
        <v>1302</v>
      </c>
      <c r="F1398" t="s">
        <v>299</v>
      </c>
    </row>
    <row r="1399" spans="1:6" x14ac:dyDescent="0.35">
      <c r="A1399">
        <v>2020</v>
      </c>
      <c r="B1399" t="s">
        <v>288</v>
      </c>
      <c r="C1399" t="s">
        <v>232</v>
      </c>
      <c r="D1399" t="s">
        <v>240</v>
      </c>
      <c r="E1399">
        <v>572</v>
      </c>
      <c r="F1399" t="s">
        <v>299</v>
      </c>
    </row>
    <row r="1400" spans="1:6" x14ac:dyDescent="0.35">
      <c r="A1400">
        <v>2020</v>
      </c>
      <c r="B1400" t="s">
        <v>288</v>
      </c>
      <c r="C1400" t="s">
        <v>232</v>
      </c>
      <c r="D1400" t="s">
        <v>241</v>
      </c>
      <c r="E1400">
        <v>356</v>
      </c>
      <c r="F1400" t="s">
        <v>299</v>
      </c>
    </row>
    <row r="1401" spans="1:6" x14ac:dyDescent="0.35">
      <c r="A1401">
        <v>2020</v>
      </c>
      <c r="B1401" t="s">
        <v>288</v>
      </c>
      <c r="C1401" t="s">
        <v>232</v>
      </c>
      <c r="D1401" t="s">
        <v>242</v>
      </c>
      <c r="E1401">
        <v>236</v>
      </c>
      <c r="F1401" t="s">
        <v>299</v>
      </c>
    </row>
    <row r="1402" spans="1:6" x14ac:dyDescent="0.35">
      <c r="A1402">
        <v>2020</v>
      </c>
      <c r="B1402" t="s">
        <v>288</v>
      </c>
      <c r="C1402" t="s">
        <v>232</v>
      </c>
      <c r="D1402" t="s">
        <v>243</v>
      </c>
      <c r="E1402">
        <v>574</v>
      </c>
      <c r="F1402" t="s">
        <v>299</v>
      </c>
    </row>
    <row r="1403" spans="1:6" x14ac:dyDescent="0.35">
      <c r="A1403">
        <v>2020</v>
      </c>
      <c r="B1403" t="s">
        <v>289</v>
      </c>
      <c r="C1403" t="s">
        <v>281</v>
      </c>
      <c r="D1403" t="s">
        <v>226</v>
      </c>
      <c r="E1403">
        <v>8973</v>
      </c>
      <c r="F1403" t="s">
        <v>301</v>
      </c>
    </row>
    <row r="1404" spans="1:6" x14ac:dyDescent="0.35">
      <c r="A1404">
        <v>2020</v>
      </c>
      <c r="B1404" t="s">
        <v>289</v>
      </c>
      <c r="C1404" t="s">
        <v>281</v>
      </c>
      <c r="D1404" t="s">
        <v>227</v>
      </c>
      <c r="E1404">
        <v>16750</v>
      </c>
      <c r="F1404" t="s">
        <v>301</v>
      </c>
    </row>
    <row r="1405" spans="1:6" x14ac:dyDescent="0.35">
      <c r="A1405">
        <v>2020</v>
      </c>
      <c r="B1405" t="s">
        <v>289</v>
      </c>
      <c r="C1405" t="s">
        <v>281</v>
      </c>
      <c r="D1405" t="s">
        <v>229</v>
      </c>
      <c r="E1405">
        <v>16842</v>
      </c>
      <c r="F1405" t="s">
        <v>301</v>
      </c>
    </row>
    <row r="1406" spans="1:6" x14ac:dyDescent="0.35">
      <c r="A1406">
        <v>2020</v>
      </c>
      <c r="B1406" t="s">
        <v>289</v>
      </c>
      <c r="C1406" t="s">
        <v>281</v>
      </c>
      <c r="D1406" t="s">
        <v>230</v>
      </c>
      <c r="E1406">
        <v>6017</v>
      </c>
      <c r="F1406" t="s">
        <v>301</v>
      </c>
    </row>
    <row r="1407" spans="1:6" x14ac:dyDescent="0.35">
      <c r="A1407">
        <v>2020</v>
      </c>
      <c r="B1407" t="s">
        <v>289</v>
      </c>
      <c r="C1407" t="s">
        <v>283</v>
      </c>
      <c r="D1407" t="s">
        <v>244</v>
      </c>
      <c r="E1407">
        <v>1474</v>
      </c>
      <c r="F1407" t="s">
        <v>301</v>
      </c>
    </row>
    <row r="1408" spans="1:6" x14ac:dyDescent="0.35">
      <c r="A1408">
        <v>2020</v>
      </c>
      <c r="B1408" t="s">
        <v>289</v>
      </c>
      <c r="C1408" t="s">
        <v>283</v>
      </c>
      <c r="D1408" t="s">
        <v>245</v>
      </c>
      <c r="E1408">
        <v>596</v>
      </c>
      <c r="F1408" t="s">
        <v>301</v>
      </c>
    </row>
    <row r="1409" spans="1:6" x14ac:dyDescent="0.35">
      <c r="A1409">
        <v>2020</v>
      </c>
      <c r="B1409" t="s">
        <v>289</v>
      </c>
      <c r="C1409" t="s">
        <v>283</v>
      </c>
      <c r="D1409" t="s">
        <v>246</v>
      </c>
      <c r="E1409">
        <v>2134</v>
      </c>
      <c r="F1409" t="s">
        <v>301</v>
      </c>
    </row>
    <row r="1410" spans="1:6" x14ac:dyDescent="0.35">
      <c r="A1410">
        <v>2020</v>
      </c>
      <c r="B1410" t="s">
        <v>289</v>
      </c>
      <c r="C1410" t="s">
        <v>283</v>
      </c>
      <c r="D1410" t="s">
        <v>234</v>
      </c>
      <c r="E1410">
        <v>4550</v>
      </c>
      <c r="F1410" t="s">
        <v>301</v>
      </c>
    </row>
    <row r="1411" spans="1:6" x14ac:dyDescent="0.35">
      <c r="A1411">
        <v>2020</v>
      </c>
      <c r="B1411" t="s">
        <v>289</v>
      </c>
      <c r="C1411" t="s">
        <v>283</v>
      </c>
      <c r="D1411" t="s">
        <v>247</v>
      </c>
      <c r="E1411">
        <v>2777</v>
      </c>
      <c r="F1411" t="s">
        <v>301</v>
      </c>
    </row>
    <row r="1412" spans="1:6" x14ac:dyDescent="0.35">
      <c r="A1412">
        <v>2020</v>
      </c>
      <c r="B1412" t="s">
        <v>289</v>
      </c>
      <c r="C1412" t="s">
        <v>283</v>
      </c>
      <c r="D1412" t="s">
        <v>235</v>
      </c>
      <c r="E1412">
        <v>1571</v>
      </c>
      <c r="F1412" t="s">
        <v>301</v>
      </c>
    </row>
    <row r="1413" spans="1:6" x14ac:dyDescent="0.35">
      <c r="A1413">
        <v>2020</v>
      </c>
      <c r="B1413" t="s">
        <v>289</v>
      </c>
      <c r="C1413" t="s">
        <v>283</v>
      </c>
      <c r="D1413" t="s">
        <v>226</v>
      </c>
      <c r="F1413" t="s">
        <v>301</v>
      </c>
    </row>
    <row r="1414" spans="1:6" x14ac:dyDescent="0.35">
      <c r="A1414">
        <v>2020</v>
      </c>
      <c r="B1414" t="s">
        <v>289</v>
      </c>
      <c r="C1414" t="s">
        <v>283</v>
      </c>
      <c r="D1414" t="s">
        <v>248</v>
      </c>
      <c r="E1414">
        <v>3842</v>
      </c>
      <c r="F1414" t="s">
        <v>301</v>
      </c>
    </row>
    <row r="1415" spans="1:6" x14ac:dyDescent="0.35">
      <c r="A1415">
        <v>2020</v>
      </c>
      <c r="B1415" t="s">
        <v>289</v>
      </c>
      <c r="C1415" t="s">
        <v>283</v>
      </c>
      <c r="D1415" t="s">
        <v>227</v>
      </c>
      <c r="E1415">
        <v>24</v>
      </c>
      <c r="F1415" t="s">
        <v>301</v>
      </c>
    </row>
    <row r="1416" spans="1:6" x14ac:dyDescent="0.35">
      <c r="A1416">
        <v>2020</v>
      </c>
      <c r="B1416" t="s">
        <v>289</v>
      </c>
      <c r="C1416" t="s">
        <v>283</v>
      </c>
      <c r="D1416" t="s">
        <v>249</v>
      </c>
      <c r="E1416">
        <v>4883</v>
      </c>
      <c r="F1416" t="s">
        <v>301</v>
      </c>
    </row>
    <row r="1417" spans="1:6" x14ac:dyDescent="0.35">
      <c r="A1417">
        <v>2020</v>
      </c>
      <c r="B1417" t="s">
        <v>289</v>
      </c>
      <c r="C1417" t="s">
        <v>283</v>
      </c>
      <c r="D1417" t="s">
        <v>239</v>
      </c>
      <c r="E1417">
        <v>4664</v>
      </c>
      <c r="F1417" t="s">
        <v>301</v>
      </c>
    </row>
    <row r="1418" spans="1:6" x14ac:dyDescent="0.35">
      <c r="A1418">
        <v>2020</v>
      </c>
      <c r="B1418" t="s">
        <v>289</v>
      </c>
      <c r="C1418" t="s">
        <v>283</v>
      </c>
      <c r="D1418" t="s">
        <v>240</v>
      </c>
      <c r="E1418">
        <v>64</v>
      </c>
      <c r="F1418" t="s">
        <v>301</v>
      </c>
    </row>
    <row r="1419" spans="1:6" x14ac:dyDescent="0.35">
      <c r="A1419">
        <v>2020</v>
      </c>
      <c r="B1419" t="s">
        <v>289</v>
      </c>
      <c r="C1419" t="s">
        <v>283</v>
      </c>
      <c r="D1419" t="s">
        <v>250</v>
      </c>
      <c r="E1419">
        <v>3193</v>
      </c>
      <c r="F1419" t="s">
        <v>301</v>
      </c>
    </row>
    <row r="1420" spans="1:6" x14ac:dyDescent="0.35">
      <c r="A1420">
        <v>2020</v>
      </c>
      <c r="B1420" t="s">
        <v>289</v>
      </c>
      <c r="C1420" t="s">
        <v>283</v>
      </c>
      <c r="D1420" t="s">
        <v>251</v>
      </c>
      <c r="E1420">
        <v>152</v>
      </c>
      <c r="F1420" t="s">
        <v>301</v>
      </c>
    </row>
    <row r="1421" spans="1:6" x14ac:dyDescent="0.35">
      <c r="A1421">
        <v>2020</v>
      </c>
      <c r="B1421" t="s">
        <v>289</v>
      </c>
      <c r="C1421" t="s">
        <v>283</v>
      </c>
      <c r="D1421" t="s">
        <v>229</v>
      </c>
      <c r="E1421">
        <v>39</v>
      </c>
      <c r="F1421" t="s">
        <v>301</v>
      </c>
    </row>
    <row r="1422" spans="1:6" x14ac:dyDescent="0.35">
      <c r="A1422">
        <v>2020</v>
      </c>
      <c r="B1422" t="s">
        <v>289</v>
      </c>
      <c r="C1422" t="s">
        <v>283</v>
      </c>
      <c r="D1422" t="s">
        <v>252</v>
      </c>
      <c r="E1422">
        <v>3192</v>
      </c>
      <c r="F1422" t="s">
        <v>301</v>
      </c>
    </row>
    <row r="1423" spans="1:6" x14ac:dyDescent="0.35">
      <c r="A1423">
        <v>2020</v>
      </c>
      <c r="B1423" t="s">
        <v>289</v>
      </c>
      <c r="C1423" t="s">
        <v>283</v>
      </c>
      <c r="D1423" t="s">
        <v>253</v>
      </c>
      <c r="E1423">
        <v>847</v>
      </c>
      <c r="F1423" t="s">
        <v>301</v>
      </c>
    </row>
    <row r="1424" spans="1:6" x14ac:dyDescent="0.35">
      <c r="A1424">
        <v>2020</v>
      </c>
      <c r="B1424" t="s">
        <v>289</v>
      </c>
      <c r="C1424" t="s">
        <v>283</v>
      </c>
      <c r="D1424" t="s">
        <v>254</v>
      </c>
      <c r="E1424">
        <v>3236</v>
      </c>
      <c r="F1424" t="s">
        <v>301</v>
      </c>
    </row>
    <row r="1425" spans="1:6" x14ac:dyDescent="0.35">
      <c r="A1425">
        <v>2020</v>
      </c>
      <c r="B1425" t="s">
        <v>289</v>
      </c>
      <c r="C1425" t="s">
        <v>283</v>
      </c>
      <c r="D1425" t="s">
        <v>255</v>
      </c>
      <c r="E1425">
        <v>235</v>
      </c>
      <c r="F1425" t="s">
        <v>301</v>
      </c>
    </row>
    <row r="1426" spans="1:6" x14ac:dyDescent="0.35">
      <c r="A1426">
        <v>2020</v>
      </c>
      <c r="B1426" t="s">
        <v>289</v>
      </c>
      <c r="C1426" t="s">
        <v>283</v>
      </c>
      <c r="D1426" t="s">
        <v>230</v>
      </c>
      <c r="E1426">
        <v>40</v>
      </c>
      <c r="F1426" t="s">
        <v>301</v>
      </c>
    </row>
    <row r="1427" spans="1:6" x14ac:dyDescent="0.35">
      <c r="A1427">
        <v>2020</v>
      </c>
      <c r="B1427" t="s">
        <v>289</v>
      </c>
      <c r="C1427" t="s">
        <v>283</v>
      </c>
      <c r="D1427" t="s">
        <v>298</v>
      </c>
      <c r="E1427">
        <v>4573</v>
      </c>
      <c r="F1427" t="s">
        <v>301</v>
      </c>
    </row>
    <row r="1428" spans="1:6" x14ac:dyDescent="0.35">
      <c r="A1428">
        <v>2020</v>
      </c>
      <c r="B1428" t="s">
        <v>289</v>
      </c>
      <c r="C1428" t="s">
        <v>283</v>
      </c>
      <c r="D1428" t="s">
        <v>257</v>
      </c>
      <c r="F1428" t="s">
        <v>301</v>
      </c>
    </row>
    <row r="1429" spans="1:6" x14ac:dyDescent="0.35">
      <c r="A1429">
        <v>2020</v>
      </c>
      <c r="B1429" t="s">
        <v>290</v>
      </c>
      <c r="C1429" t="s">
        <v>425</v>
      </c>
      <c r="D1429" t="s">
        <v>244</v>
      </c>
      <c r="E1429">
        <v>278</v>
      </c>
      <c r="F1429" t="s">
        <v>302</v>
      </c>
    </row>
    <row r="1430" spans="1:6" x14ac:dyDescent="0.35">
      <c r="A1430">
        <v>2020</v>
      </c>
      <c r="B1430" t="s">
        <v>290</v>
      </c>
      <c r="C1430" t="s">
        <v>425</v>
      </c>
      <c r="D1430" t="s">
        <v>245</v>
      </c>
      <c r="E1430">
        <v>94</v>
      </c>
      <c r="F1430" t="s">
        <v>302</v>
      </c>
    </row>
    <row r="1431" spans="1:6" x14ac:dyDescent="0.35">
      <c r="A1431">
        <v>2020</v>
      </c>
      <c r="B1431" t="s">
        <v>290</v>
      </c>
      <c r="C1431" t="s">
        <v>425</v>
      </c>
      <c r="D1431" t="s">
        <v>246</v>
      </c>
      <c r="E1431">
        <v>131</v>
      </c>
      <c r="F1431" t="s">
        <v>302</v>
      </c>
    </row>
    <row r="1432" spans="1:6" x14ac:dyDescent="0.35">
      <c r="A1432">
        <v>2020</v>
      </c>
      <c r="B1432" t="s">
        <v>290</v>
      </c>
      <c r="C1432" t="s">
        <v>425</v>
      </c>
      <c r="D1432" t="s">
        <v>234</v>
      </c>
      <c r="E1432">
        <v>61</v>
      </c>
      <c r="F1432" t="s">
        <v>302</v>
      </c>
    </row>
    <row r="1433" spans="1:6" x14ac:dyDescent="0.35">
      <c r="A1433">
        <v>2020</v>
      </c>
      <c r="B1433" t="s">
        <v>290</v>
      </c>
      <c r="C1433" t="s">
        <v>425</v>
      </c>
      <c r="D1433" t="s">
        <v>258</v>
      </c>
      <c r="E1433">
        <v>101</v>
      </c>
      <c r="F1433" t="s">
        <v>302</v>
      </c>
    </row>
    <row r="1434" spans="1:6" x14ac:dyDescent="0.35">
      <c r="A1434">
        <v>2020</v>
      </c>
      <c r="B1434" t="s">
        <v>290</v>
      </c>
      <c r="C1434" t="s">
        <v>425</v>
      </c>
      <c r="D1434" t="s">
        <v>247</v>
      </c>
      <c r="E1434">
        <v>363</v>
      </c>
      <c r="F1434" t="s">
        <v>302</v>
      </c>
    </row>
    <row r="1435" spans="1:6" x14ac:dyDescent="0.35">
      <c r="A1435">
        <v>2020</v>
      </c>
      <c r="B1435" t="s">
        <v>290</v>
      </c>
      <c r="C1435" t="s">
        <v>425</v>
      </c>
      <c r="D1435" t="s">
        <v>259</v>
      </c>
      <c r="E1435">
        <v>470</v>
      </c>
      <c r="F1435" t="s">
        <v>302</v>
      </c>
    </row>
    <row r="1436" spans="1:6" x14ac:dyDescent="0.35">
      <c r="A1436">
        <v>2020</v>
      </c>
      <c r="B1436" t="s">
        <v>290</v>
      </c>
      <c r="C1436" t="s">
        <v>425</v>
      </c>
      <c r="D1436" t="s">
        <v>260</v>
      </c>
      <c r="E1436">
        <v>232</v>
      </c>
      <c r="F1436" t="s">
        <v>302</v>
      </c>
    </row>
    <row r="1437" spans="1:6" x14ac:dyDescent="0.35">
      <c r="A1437">
        <v>2020</v>
      </c>
      <c r="B1437" t="s">
        <v>290</v>
      </c>
      <c r="C1437" t="s">
        <v>425</v>
      </c>
      <c r="D1437" t="s">
        <v>235</v>
      </c>
      <c r="E1437">
        <v>166</v>
      </c>
      <c r="F1437" t="s">
        <v>302</v>
      </c>
    </row>
    <row r="1438" spans="1:6" x14ac:dyDescent="0.35">
      <c r="A1438">
        <v>2020</v>
      </c>
      <c r="B1438" t="s">
        <v>290</v>
      </c>
      <c r="C1438" t="s">
        <v>425</v>
      </c>
      <c r="D1438" t="s">
        <v>226</v>
      </c>
      <c r="E1438">
        <v>2211</v>
      </c>
      <c r="F1438" t="s">
        <v>302</v>
      </c>
    </row>
    <row r="1439" spans="1:6" x14ac:dyDescent="0.35">
      <c r="A1439">
        <v>2020</v>
      </c>
      <c r="B1439" t="s">
        <v>290</v>
      </c>
      <c r="C1439" t="s">
        <v>425</v>
      </c>
      <c r="D1439" t="s">
        <v>261</v>
      </c>
      <c r="E1439">
        <v>115</v>
      </c>
      <c r="F1439" t="s">
        <v>302</v>
      </c>
    </row>
    <row r="1440" spans="1:6" x14ac:dyDescent="0.35">
      <c r="A1440">
        <v>2020</v>
      </c>
      <c r="B1440" t="s">
        <v>290</v>
      </c>
      <c r="C1440" t="s">
        <v>425</v>
      </c>
      <c r="D1440" t="s">
        <v>248</v>
      </c>
      <c r="E1440">
        <v>221</v>
      </c>
      <c r="F1440" t="s">
        <v>302</v>
      </c>
    </row>
    <row r="1441" spans="1:6" x14ac:dyDescent="0.35">
      <c r="A1441">
        <v>2020</v>
      </c>
      <c r="B1441" t="s">
        <v>290</v>
      </c>
      <c r="C1441" t="s">
        <v>425</v>
      </c>
      <c r="D1441" t="s">
        <v>262</v>
      </c>
      <c r="E1441">
        <v>159</v>
      </c>
      <c r="F1441" t="s">
        <v>302</v>
      </c>
    </row>
    <row r="1442" spans="1:6" x14ac:dyDescent="0.35">
      <c r="A1442">
        <v>2020</v>
      </c>
      <c r="B1442" t="s">
        <v>290</v>
      </c>
      <c r="C1442" t="s">
        <v>425</v>
      </c>
      <c r="D1442" t="s">
        <v>263</v>
      </c>
      <c r="E1442">
        <v>112</v>
      </c>
      <c r="F1442" t="s">
        <v>302</v>
      </c>
    </row>
    <row r="1443" spans="1:6" x14ac:dyDescent="0.35">
      <c r="A1443">
        <v>2020</v>
      </c>
      <c r="B1443" t="s">
        <v>290</v>
      </c>
      <c r="C1443" t="s">
        <v>425</v>
      </c>
      <c r="D1443" t="s">
        <v>249</v>
      </c>
      <c r="E1443">
        <v>272</v>
      </c>
      <c r="F1443" t="s">
        <v>302</v>
      </c>
    </row>
    <row r="1444" spans="1:6" x14ac:dyDescent="0.35">
      <c r="A1444">
        <v>2020</v>
      </c>
      <c r="B1444" t="s">
        <v>290</v>
      </c>
      <c r="C1444" t="s">
        <v>425</v>
      </c>
      <c r="D1444" t="s">
        <v>239</v>
      </c>
      <c r="E1444">
        <v>407</v>
      </c>
      <c r="F1444" t="s">
        <v>302</v>
      </c>
    </row>
    <row r="1445" spans="1:6" x14ac:dyDescent="0.35">
      <c r="A1445">
        <v>2020</v>
      </c>
      <c r="B1445" t="s">
        <v>290</v>
      </c>
      <c r="C1445" t="s">
        <v>425</v>
      </c>
      <c r="D1445" t="s">
        <v>264</v>
      </c>
      <c r="E1445">
        <v>112</v>
      </c>
      <c r="F1445" t="s">
        <v>302</v>
      </c>
    </row>
    <row r="1446" spans="1:6" x14ac:dyDescent="0.35">
      <c r="A1446">
        <v>2020</v>
      </c>
      <c r="B1446" t="s">
        <v>290</v>
      </c>
      <c r="C1446" t="s">
        <v>425</v>
      </c>
      <c r="D1446" t="s">
        <v>240</v>
      </c>
      <c r="E1446">
        <v>219</v>
      </c>
      <c r="F1446" t="s">
        <v>302</v>
      </c>
    </row>
    <row r="1447" spans="1:6" x14ac:dyDescent="0.35">
      <c r="A1447">
        <v>2020</v>
      </c>
      <c r="B1447" t="s">
        <v>290</v>
      </c>
      <c r="C1447" t="s">
        <v>425</v>
      </c>
      <c r="D1447" t="s">
        <v>250</v>
      </c>
      <c r="E1447">
        <v>297</v>
      </c>
      <c r="F1447" t="s">
        <v>302</v>
      </c>
    </row>
    <row r="1448" spans="1:6" x14ac:dyDescent="0.35">
      <c r="A1448">
        <v>2020</v>
      </c>
      <c r="B1448" t="s">
        <v>290</v>
      </c>
      <c r="C1448" t="s">
        <v>425</v>
      </c>
      <c r="D1448" t="s">
        <v>265</v>
      </c>
      <c r="E1448">
        <v>276</v>
      </c>
      <c r="F1448" t="s">
        <v>302</v>
      </c>
    </row>
    <row r="1449" spans="1:6" x14ac:dyDescent="0.35">
      <c r="A1449">
        <v>2020</v>
      </c>
      <c r="B1449" t="s">
        <v>290</v>
      </c>
      <c r="C1449" t="s">
        <v>425</v>
      </c>
      <c r="D1449" t="s">
        <v>266</v>
      </c>
      <c r="E1449">
        <v>83</v>
      </c>
      <c r="F1449" t="s">
        <v>302</v>
      </c>
    </row>
    <row r="1450" spans="1:6" x14ac:dyDescent="0.35">
      <c r="A1450">
        <v>2020</v>
      </c>
      <c r="B1450" t="s">
        <v>290</v>
      </c>
      <c r="C1450" t="s">
        <v>425</v>
      </c>
      <c r="D1450" t="s">
        <v>267</v>
      </c>
      <c r="E1450">
        <v>332</v>
      </c>
      <c r="F1450" t="s">
        <v>302</v>
      </c>
    </row>
    <row r="1451" spans="1:6" x14ac:dyDescent="0.35">
      <c r="A1451">
        <v>2020</v>
      </c>
      <c r="B1451" t="s">
        <v>290</v>
      </c>
      <c r="C1451" t="s">
        <v>425</v>
      </c>
      <c r="D1451" t="s">
        <v>268</v>
      </c>
      <c r="E1451">
        <v>29</v>
      </c>
      <c r="F1451" t="s">
        <v>302</v>
      </c>
    </row>
    <row r="1452" spans="1:6" x14ac:dyDescent="0.35">
      <c r="A1452">
        <v>2020</v>
      </c>
      <c r="B1452" t="s">
        <v>290</v>
      </c>
      <c r="C1452" t="s">
        <v>425</v>
      </c>
      <c r="D1452" t="s">
        <v>269</v>
      </c>
      <c r="E1452">
        <v>1523</v>
      </c>
      <c r="F1452" t="s">
        <v>302</v>
      </c>
    </row>
    <row r="1453" spans="1:6" x14ac:dyDescent="0.35">
      <c r="A1453">
        <v>2020</v>
      </c>
      <c r="B1453" t="s">
        <v>290</v>
      </c>
      <c r="C1453" t="s">
        <v>425</v>
      </c>
      <c r="D1453" t="s">
        <v>229</v>
      </c>
      <c r="E1453">
        <v>1045</v>
      </c>
      <c r="F1453" t="s">
        <v>302</v>
      </c>
    </row>
    <row r="1454" spans="1:6" x14ac:dyDescent="0.35">
      <c r="A1454">
        <v>2020</v>
      </c>
      <c r="B1454" t="s">
        <v>290</v>
      </c>
      <c r="C1454" t="s">
        <v>425</v>
      </c>
      <c r="D1454" t="s">
        <v>252</v>
      </c>
      <c r="E1454">
        <v>119</v>
      </c>
      <c r="F1454" t="s">
        <v>302</v>
      </c>
    </row>
    <row r="1455" spans="1:6" x14ac:dyDescent="0.35">
      <c r="A1455">
        <v>2020</v>
      </c>
      <c r="B1455" t="s">
        <v>290</v>
      </c>
      <c r="C1455" t="s">
        <v>425</v>
      </c>
      <c r="D1455" t="s">
        <v>253</v>
      </c>
      <c r="E1455">
        <v>67</v>
      </c>
      <c r="F1455" t="s">
        <v>302</v>
      </c>
    </row>
    <row r="1456" spans="1:6" x14ac:dyDescent="0.35">
      <c r="A1456">
        <v>2020</v>
      </c>
      <c r="B1456" t="s">
        <v>290</v>
      </c>
      <c r="C1456" t="s">
        <v>425</v>
      </c>
      <c r="D1456" t="s">
        <v>254</v>
      </c>
      <c r="E1456">
        <v>156</v>
      </c>
      <c r="F1456" t="s">
        <v>302</v>
      </c>
    </row>
    <row r="1457" spans="1:6" x14ac:dyDescent="0.35">
      <c r="A1457">
        <v>2020</v>
      </c>
      <c r="B1457" t="s">
        <v>290</v>
      </c>
      <c r="C1457" t="s">
        <v>425</v>
      </c>
      <c r="D1457" t="s">
        <v>255</v>
      </c>
      <c r="E1457">
        <v>217</v>
      </c>
      <c r="F1457" t="s">
        <v>302</v>
      </c>
    </row>
    <row r="1458" spans="1:6" x14ac:dyDescent="0.35">
      <c r="A1458">
        <v>2020</v>
      </c>
      <c r="B1458" t="s">
        <v>290</v>
      </c>
      <c r="C1458" t="s">
        <v>425</v>
      </c>
      <c r="D1458" t="s">
        <v>270</v>
      </c>
      <c r="E1458">
        <v>59</v>
      </c>
      <c r="F1458" t="s">
        <v>302</v>
      </c>
    </row>
    <row r="1459" spans="1:6" x14ac:dyDescent="0.35">
      <c r="A1459">
        <v>2020</v>
      </c>
      <c r="B1459" t="s">
        <v>290</v>
      </c>
      <c r="C1459" t="s">
        <v>426</v>
      </c>
      <c r="D1459" t="s">
        <v>271</v>
      </c>
      <c r="E1459">
        <v>47</v>
      </c>
      <c r="F1459" t="s">
        <v>302</v>
      </c>
    </row>
    <row r="1460" spans="1:6" x14ac:dyDescent="0.35">
      <c r="A1460">
        <v>2020</v>
      </c>
      <c r="B1460" t="s">
        <v>291</v>
      </c>
      <c r="C1460" t="s">
        <v>425</v>
      </c>
      <c r="D1460" t="s">
        <v>244</v>
      </c>
      <c r="E1460">
        <v>10146</v>
      </c>
      <c r="F1460" t="s">
        <v>302</v>
      </c>
    </row>
    <row r="1461" spans="1:6" x14ac:dyDescent="0.35">
      <c r="A1461">
        <v>2020</v>
      </c>
      <c r="B1461" t="s">
        <v>291</v>
      </c>
      <c r="C1461" t="s">
        <v>425</v>
      </c>
      <c r="D1461" t="s">
        <v>245</v>
      </c>
      <c r="F1461" t="s">
        <v>302</v>
      </c>
    </row>
    <row r="1462" spans="1:6" x14ac:dyDescent="0.35">
      <c r="A1462">
        <v>2020</v>
      </c>
      <c r="B1462" t="s">
        <v>291</v>
      </c>
      <c r="C1462" t="s">
        <v>425</v>
      </c>
      <c r="D1462" t="s">
        <v>246</v>
      </c>
      <c r="E1462">
        <v>1604</v>
      </c>
      <c r="F1462" t="s">
        <v>302</v>
      </c>
    </row>
    <row r="1463" spans="1:6" x14ac:dyDescent="0.35">
      <c r="A1463">
        <v>2020</v>
      </c>
      <c r="B1463" t="s">
        <v>291</v>
      </c>
      <c r="C1463" t="s">
        <v>425</v>
      </c>
      <c r="D1463" t="s">
        <v>234</v>
      </c>
      <c r="E1463">
        <v>930</v>
      </c>
      <c r="F1463" t="s">
        <v>302</v>
      </c>
    </row>
    <row r="1464" spans="1:6" x14ac:dyDescent="0.35">
      <c r="A1464">
        <v>2020</v>
      </c>
      <c r="B1464" t="s">
        <v>291</v>
      </c>
      <c r="C1464" t="s">
        <v>425</v>
      </c>
      <c r="D1464" t="s">
        <v>247</v>
      </c>
      <c r="E1464">
        <v>6211</v>
      </c>
      <c r="F1464" t="s">
        <v>302</v>
      </c>
    </row>
    <row r="1465" spans="1:6" x14ac:dyDescent="0.35">
      <c r="A1465">
        <v>2020</v>
      </c>
      <c r="B1465" t="s">
        <v>291</v>
      </c>
      <c r="C1465" t="s">
        <v>425</v>
      </c>
      <c r="D1465" t="s">
        <v>259</v>
      </c>
      <c r="E1465">
        <v>14630</v>
      </c>
      <c r="F1465" t="s">
        <v>302</v>
      </c>
    </row>
    <row r="1466" spans="1:6" x14ac:dyDescent="0.35">
      <c r="A1466">
        <v>2020</v>
      </c>
      <c r="B1466" t="s">
        <v>291</v>
      </c>
      <c r="C1466" t="s">
        <v>425</v>
      </c>
      <c r="D1466" t="s">
        <v>260</v>
      </c>
      <c r="E1466">
        <v>1433</v>
      </c>
      <c r="F1466" t="s">
        <v>302</v>
      </c>
    </row>
    <row r="1467" spans="1:6" x14ac:dyDescent="0.35">
      <c r="A1467">
        <v>2020</v>
      </c>
      <c r="B1467" t="s">
        <v>291</v>
      </c>
      <c r="C1467" t="s">
        <v>425</v>
      </c>
      <c r="D1467" t="s">
        <v>235</v>
      </c>
      <c r="E1467">
        <v>2508</v>
      </c>
      <c r="F1467" t="s">
        <v>302</v>
      </c>
    </row>
    <row r="1468" spans="1:6" x14ac:dyDescent="0.35">
      <c r="A1468">
        <v>2020</v>
      </c>
      <c r="B1468" t="s">
        <v>291</v>
      </c>
      <c r="C1468" t="s">
        <v>425</v>
      </c>
      <c r="D1468" t="s">
        <v>226</v>
      </c>
      <c r="E1468">
        <v>1674</v>
      </c>
      <c r="F1468" t="s">
        <v>302</v>
      </c>
    </row>
    <row r="1469" spans="1:6" x14ac:dyDescent="0.35">
      <c r="A1469">
        <v>2020</v>
      </c>
      <c r="B1469" t="s">
        <v>291</v>
      </c>
      <c r="C1469" t="s">
        <v>425</v>
      </c>
      <c r="D1469" t="s">
        <v>248</v>
      </c>
      <c r="E1469">
        <v>10172</v>
      </c>
      <c r="F1469" t="s">
        <v>302</v>
      </c>
    </row>
    <row r="1470" spans="1:6" x14ac:dyDescent="0.35">
      <c r="A1470">
        <v>2020</v>
      </c>
      <c r="B1470" t="s">
        <v>291</v>
      </c>
      <c r="C1470" t="s">
        <v>425</v>
      </c>
      <c r="D1470" t="s">
        <v>249</v>
      </c>
      <c r="E1470">
        <v>4383</v>
      </c>
      <c r="F1470" t="s">
        <v>302</v>
      </c>
    </row>
    <row r="1471" spans="1:6" x14ac:dyDescent="0.35">
      <c r="A1471">
        <v>2020</v>
      </c>
      <c r="B1471" t="s">
        <v>291</v>
      </c>
      <c r="C1471" t="s">
        <v>425</v>
      </c>
      <c r="D1471" t="s">
        <v>239</v>
      </c>
      <c r="E1471">
        <v>7397</v>
      </c>
      <c r="F1471" t="s">
        <v>302</v>
      </c>
    </row>
    <row r="1472" spans="1:6" x14ac:dyDescent="0.35">
      <c r="A1472">
        <v>2020</v>
      </c>
      <c r="B1472" t="s">
        <v>291</v>
      </c>
      <c r="C1472" t="s">
        <v>425</v>
      </c>
      <c r="D1472" t="s">
        <v>240</v>
      </c>
      <c r="E1472">
        <v>6342</v>
      </c>
      <c r="F1472" t="s">
        <v>302</v>
      </c>
    </row>
    <row r="1473" spans="1:6" x14ac:dyDescent="0.35">
      <c r="A1473">
        <v>2020</v>
      </c>
      <c r="B1473" t="s">
        <v>291</v>
      </c>
      <c r="C1473" t="s">
        <v>425</v>
      </c>
      <c r="D1473" t="s">
        <v>250</v>
      </c>
      <c r="E1473">
        <v>1517</v>
      </c>
      <c r="F1473" t="s">
        <v>302</v>
      </c>
    </row>
    <row r="1474" spans="1:6" x14ac:dyDescent="0.35">
      <c r="A1474">
        <v>2020</v>
      </c>
      <c r="B1474" t="s">
        <v>291</v>
      </c>
      <c r="C1474" t="s">
        <v>425</v>
      </c>
      <c r="D1474" t="s">
        <v>265</v>
      </c>
      <c r="E1474">
        <v>2099</v>
      </c>
      <c r="F1474" t="s">
        <v>302</v>
      </c>
    </row>
    <row r="1475" spans="1:6" x14ac:dyDescent="0.35">
      <c r="A1475">
        <v>2020</v>
      </c>
      <c r="B1475" t="s">
        <v>291</v>
      </c>
      <c r="C1475" t="s">
        <v>425</v>
      </c>
      <c r="D1475" t="s">
        <v>266</v>
      </c>
      <c r="E1475">
        <v>2826</v>
      </c>
      <c r="F1475" t="s">
        <v>302</v>
      </c>
    </row>
    <row r="1476" spans="1:6" x14ac:dyDescent="0.35">
      <c r="A1476">
        <v>2020</v>
      </c>
      <c r="B1476" t="s">
        <v>291</v>
      </c>
      <c r="C1476" t="s">
        <v>425</v>
      </c>
      <c r="D1476" t="s">
        <v>267</v>
      </c>
      <c r="E1476">
        <v>4262</v>
      </c>
      <c r="F1476" t="s">
        <v>302</v>
      </c>
    </row>
    <row r="1477" spans="1:6" x14ac:dyDescent="0.35">
      <c r="A1477">
        <v>2020</v>
      </c>
      <c r="B1477" t="s">
        <v>291</v>
      </c>
      <c r="C1477" t="s">
        <v>425</v>
      </c>
      <c r="D1477" t="s">
        <v>268</v>
      </c>
      <c r="E1477">
        <v>3138</v>
      </c>
      <c r="F1477" t="s">
        <v>302</v>
      </c>
    </row>
    <row r="1478" spans="1:6" x14ac:dyDescent="0.35">
      <c r="A1478">
        <v>2020</v>
      </c>
      <c r="B1478" t="s">
        <v>291</v>
      </c>
      <c r="C1478" t="s">
        <v>425</v>
      </c>
      <c r="D1478" t="s">
        <v>272</v>
      </c>
      <c r="E1478">
        <v>3473</v>
      </c>
      <c r="F1478" t="s">
        <v>302</v>
      </c>
    </row>
    <row r="1479" spans="1:6" x14ac:dyDescent="0.35">
      <c r="A1479">
        <v>2020</v>
      </c>
      <c r="B1479" t="s">
        <v>291</v>
      </c>
      <c r="C1479" t="s">
        <v>425</v>
      </c>
      <c r="D1479" t="s">
        <v>269</v>
      </c>
      <c r="E1479">
        <v>7659</v>
      </c>
      <c r="F1479" t="s">
        <v>302</v>
      </c>
    </row>
    <row r="1480" spans="1:6" x14ac:dyDescent="0.35">
      <c r="A1480">
        <v>2020</v>
      </c>
      <c r="B1480" t="s">
        <v>291</v>
      </c>
      <c r="C1480" t="s">
        <v>425</v>
      </c>
      <c r="D1480" t="s">
        <v>229</v>
      </c>
      <c r="E1480">
        <v>1309</v>
      </c>
      <c r="F1480" t="s">
        <v>302</v>
      </c>
    </row>
    <row r="1481" spans="1:6" x14ac:dyDescent="0.35">
      <c r="A1481">
        <v>2020</v>
      </c>
      <c r="B1481" t="s">
        <v>291</v>
      </c>
      <c r="C1481" t="s">
        <v>425</v>
      </c>
      <c r="D1481" t="s">
        <v>252</v>
      </c>
      <c r="E1481">
        <v>3457</v>
      </c>
      <c r="F1481" t="s">
        <v>302</v>
      </c>
    </row>
    <row r="1482" spans="1:6" x14ac:dyDescent="0.35">
      <c r="A1482">
        <v>2020</v>
      </c>
      <c r="B1482" t="s">
        <v>291</v>
      </c>
      <c r="C1482" t="s">
        <v>425</v>
      </c>
      <c r="D1482" t="s">
        <v>254</v>
      </c>
      <c r="E1482">
        <v>1525</v>
      </c>
      <c r="F1482" t="s">
        <v>302</v>
      </c>
    </row>
    <row r="1483" spans="1:6" x14ac:dyDescent="0.35">
      <c r="A1483">
        <v>2020</v>
      </c>
      <c r="B1483" t="s">
        <v>291</v>
      </c>
      <c r="C1483" t="s">
        <v>425</v>
      </c>
      <c r="D1483" t="s">
        <v>270</v>
      </c>
      <c r="E1483">
        <v>2885</v>
      </c>
      <c r="F1483" t="s">
        <v>302</v>
      </c>
    </row>
    <row r="1484" spans="1:6" x14ac:dyDescent="0.35">
      <c r="A1484">
        <v>2020</v>
      </c>
      <c r="B1484" t="s">
        <v>291</v>
      </c>
      <c r="C1484" t="s">
        <v>425</v>
      </c>
      <c r="D1484" t="s">
        <v>273</v>
      </c>
      <c r="F1484" t="s">
        <v>302</v>
      </c>
    </row>
    <row r="1485" spans="1:6" x14ac:dyDescent="0.35">
      <c r="A1485">
        <v>2020</v>
      </c>
      <c r="B1485" t="s">
        <v>291</v>
      </c>
      <c r="C1485" t="s">
        <v>425</v>
      </c>
      <c r="D1485" t="s">
        <v>39</v>
      </c>
      <c r="E1485">
        <v>1119</v>
      </c>
      <c r="F1485" t="s">
        <v>302</v>
      </c>
    </row>
    <row r="1486" spans="1:6" x14ac:dyDescent="0.35">
      <c r="A1486">
        <v>2021</v>
      </c>
      <c r="B1486" t="s">
        <v>288</v>
      </c>
      <c r="C1486" t="s">
        <v>222</v>
      </c>
      <c r="D1486" t="s">
        <v>223</v>
      </c>
      <c r="E1486">
        <v>37266</v>
      </c>
      <c r="F1486" t="s">
        <v>299</v>
      </c>
    </row>
    <row r="1487" spans="1:6" x14ac:dyDescent="0.35">
      <c r="A1487">
        <v>2021</v>
      </c>
      <c r="B1487" t="s">
        <v>288</v>
      </c>
      <c r="C1487" t="s">
        <v>222</v>
      </c>
      <c r="D1487" t="s">
        <v>224</v>
      </c>
      <c r="E1487">
        <v>259294</v>
      </c>
      <c r="F1487" t="s">
        <v>299</v>
      </c>
    </row>
    <row r="1488" spans="1:6" x14ac:dyDescent="0.35">
      <c r="A1488">
        <v>2021</v>
      </c>
      <c r="B1488" t="s">
        <v>288</v>
      </c>
      <c r="C1488" t="s">
        <v>222</v>
      </c>
      <c r="D1488" t="s">
        <v>225</v>
      </c>
      <c r="E1488">
        <v>59231</v>
      </c>
      <c r="F1488" t="s">
        <v>299</v>
      </c>
    </row>
    <row r="1489" spans="1:6" x14ac:dyDescent="0.35">
      <c r="A1489">
        <v>2021</v>
      </c>
      <c r="B1489" t="s">
        <v>288</v>
      </c>
      <c r="C1489" t="s">
        <v>222</v>
      </c>
      <c r="D1489" t="s">
        <v>226</v>
      </c>
      <c r="E1489">
        <v>193918</v>
      </c>
      <c r="F1489" t="s">
        <v>299</v>
      </c>
    </row>
    <row r="1490" spans="1:6" x14ac:dyDescent="0.35">
      <c r="A1490">
        <v>2021</v>
      </c>
      <c r="B1490" t="s">
        <v>288</v>
      </c>
      <c r="C1490" t="s">
        <v>222</v>
      </c>
      <c r="D1490" t="s">
        <v>227</v>
      </c>
      <c r="E1490">
        <v>112241</v>
      </c>
      <c r="F1490" t="s">
        <v>299</v>
      </c>
    </row>
    <row r="1491" spans="1:6" x14ac:dyDescent="0.35">
      <c r="A1491">
        <v>2021</v>
      </c>
      <c r="B1491" t="s">
        <v>288</v>
      </c>
      <c r="C1491" t="s">
        <v>222</v>
      </c>
      <c r="D1491" t="s">
        <v>228</v>
      </c>
      <c r="E1491">
        <v>549077</v>
      </c>
      <c r="F1491" t="s">
        <v>299</v>
      </c>
    </row>
    <row r="1492" spans="1:6" x14ac:dyDescent="0.35">
      <c r="A1492">
        <v>2021</v>
      </c>
      <c r="B1492" t="s">
        <v>288</v>
      </c>
      <c r="C1492" t="s">
        <v>222</v>
      </c>
      <c r="D1492" t="s">
        <v>229</v>
      </c>
      <c r="E1492">
        <v>142459</v>
      </c>
      <c r="F1492" t="s">
        <v>299</v>
      </c>
    </row>
    <row r="1493" spans="1:6" x14ac:dyDescent="0.35">
      <c r="A1493">
        <v>2021</v>
      </c>
      <c r="B1493" t="s">
        <v>288</v>
      </c>
      <c r="C1493" t="s">
        <v>222</v>
      </c>
      <c r="D1493" t="s">
        <v>230</v>
      </c>
      <c r="E1493">
        <v>191232</v>
      </c>
      <c r="F1493" t="s">
        <v>299</v>
      </c>
    </row>
    <row r="1494" spans="1:6" x14ac:dyDescent="0.35">
      <c r="A1494">
        <v>2021</v>
      </c>
      <c r="B1494" t="s">
        <v>288</v>
      </c>
      <c r="C1494" t="s">
        <v>222</v>
      </c>
      <c r="D1494" t="s">
        <v>231</v>
      </c>
      <c r="E1494">
        <v>114488</v>
      </c>
      <c r="F1494" t="s">
        <v>299</v>
      </c>
    </row>
    <row r="1495" spans="1:6" x14ac:dyDescent="0.35">
      <c r="A1495">
        <v>2021</v>
      </c>
      <c r="B1495" t="s">
        <v>288</v>
      </c>
      <c r="C1495" t="s">
        <v>232</v>
      </c>
      <c r="D1495" t="s">
        <v>233</v>
      </c>
      <c r="E1495">
        <v>112</v>
      </c>
      <c r="F1495" t="s">
        <v>299</v>
      </c>
    </row>
    <row r="1496" spans="1:6" x14ac:dyDescent="0.35">
      <c r="A1496">
        <v>2021</v>
      </c>
      <c r="B1496" t="s">
        <v>288</v>
      </c>
      <c r="C1496" t="s">
        <v>232</v>
      </c>
      <c r="D1496" t="s">
        <v>234</v>
      </c>
      <c r="E1496">
        <v>143</v>
      </c>
      <c r="F1496" t="s">
        <v>299</v>
      </c>
    </row>
    <row r="1497" spans="1:6" x14ac:dyDescent="0.35">
      <c r="A1497">
        <v>2021</v>
      </c>
      <c r="B1497" t="s">
        <v>288</v>
      </c>
      <c r="C1497" t="s">
        <v>232</v>
      </c>
      <c r="D1497" t="s">
        <v>235</v>
      </c>
      <c r="E1497">
        <v>32</v>
      </c>
      <c r="F1497" t="s">
        <v>299</v>
      </c>
    </row>
    <row r="1498" spans="1:6" x14ac:dyDescent="0.35">
      <c r="A1498">
        <v>2021</v>
      </c>
      <c r="B1498" t="s">
        <v>288</v>
      </c>
      <c r="C1498" t="s">
        <v>232</v>
      </c>
      <c r="D1498" t="s">
        <v>236</v>
      </c>
      <c r="E1498">
        <v>90</v>
      </c>
      <c r="F1498" t="s">
        <v>299</v>
      </c>
    </row>
    <row r="1499" spans="1:6" x14ac:dyDescent="0.35">
      <c r="A1499">
        <v>2021</v>
      </c>
      <c r="B1499" t="s">
        <v>288</v>
      </c>
      <c r="C1499" t="s">
        <v>232</v>
      </c>
      <c r="D1499" t="s">
        <v>237</v>
      </c>
      <c r="E1499">
        <v>63</v>
      </c>
      <c r="F1499" t="s">
        <v>299</v>
      </c>
    </row>
    <row r="1500" spans="1:6" x14ac:dyDescent="0.35">
      <c r="A1500">
        <v>2021</v>
      </c>
      <c r="B1500" t="s">
        <v>288</v>
      </c>
      <c r="C1500" t="s">
        <v>232</v>
      </c>
      <c r="D1500" t="s">
        <v>238</v>
      </c>
      <c r="E1500">
        <v>57</v>
      </c>
      <c r="F1500" t="s">
        <v>299</v>
      </c>
    </row>
    <row r="1501" spans="1:6" x14ac:dyDescent="0.35">
      <c r="A1501">
        <v>2021</v>
      </c>
      <c r="B1501" t="s">
        <v>288</v>
      </c>
      <c r="C1501" t="s">
        <v>232</v>
      </c>
      <c r="D1501" t="s">
        <v>239</v>
      </c>
      <c r="E1501">
        <v>1031</v>
      </c>
      <c r="F1501" t="s">
        <v>299</v>
      </c>
    </row>
    <row r="1502" spans="1:6" x14ac:dyDescent="0.35">
      <c r="A1502">
        <v>2021</v>
      </c>
      <c r="B1502" t="s">
        <v>288</v>
      </c>
      <c r="C1502" t="s">
        <v>232</v>
      </c>
      <c r="D1502" t="s">
        <v>240</v>
      </c>
      <c r="E1502">
        <v>344</v>
      </c>
      <c r="F1502" t="s">
        <v>299</v>
      </c>
    </row>
    <row r="1503" spans="1:6" x14ac:dyDescent="0.35">
      <c r="A1503">
        <v>2021</v>
      </c>
      <c r="B1503" t="s">
        <v>288</v>
      </c>
      <c r="C1503" t="s">
        <v>232</v>
      </c>
      <c r="D1503" t="s">
        <v>241</v>
      </c>
      <c r="E1503">
        <v>670</v>
      </c>
      <c r="F1503" t="s">
        <v>299</v>
      </c>
    </row>
    <row r="1504" spans="1:6" x14ac:dyDescent="0.35">
      <c r="A1504">
        <v>2021</v>
      </c>
      <c r="B1504" t="s">
        <v>288</v>
      </c>
      <c r="C1504" t="s">
        <v>232</v>
      </c>
      <c r="D1504" t="s">
        <v>242</v>
      </c>
      <c r="E1504">
        <v>54</v>
      </c>
      <c r="F1504" t="s">
        <v>299</v>
      </c>
    </row>
    <row r="1505" spans="1:6" x14ac:dyDescent="0.35">
      <c r="A1505">
        <v>2021</v>
      </c>
      <c r="B1505" t="s">
        <v>288</v>
      </c>
      <c r="C1505" t="s">
        <v>232</v>
      </c>
      <c r="D1505" t="s">
        <v>243</v>
      </c>
      <c r="E1505">
        <v>365</v>
      </c>
      <c r="F1505" t="s">
        <v>299</v>
      </c>
    </row>
    <row r="1506" spans="1:6" x14ac:dyDescent="0.35">
      <c r="A1506">
        <v>2021</v>
      </c>
      <c r="B1506" t="s">
        <v>289</v>
      </c>
      <c r="C1506" t="s">
        <v>281</v>
      </c>
      <c r="D1506" t="s">
        <v>226</v>
      </c>
      <c r="E1506">
        <v>8804</v>
      </c>
      <c r="F1506" t="s">
        <v>301</v>
      </c>
    </row>
    <row r="1507" spans="1:6" x14ac:dyDescent="0.35">
      <c r="A1507">
        <v>2021</v>
      </c>
      <c r="B1507" t="s">
        <v>289</v>
      </c>
      <c r="C1507" t="s">
        <v>281</v>
      </c>
      <c r="D1507" t="s">
        <v>227</v>
      </c>
      <c r="E1507">
        <v>19947</v>
      </c>
      <c r="F1507" t="s">
        <v>301</v>
      </c>
    </row>
    <row r="1508" spans="1:6" x14ac:dyDescent="0.35">
      <c r="A1508">
        <v>2021</v>
      </c>
      <c r="B1508" t="s">
        <v>289</v>
      </c>
      <c r="C1508" t="s">
        <v>281</v>
      </c>
      <c r="D1508" t="s">
        <v>229</v>
      </c>
      <c r="E1508">
        <v>33596</v>
      </c>
      <c r="F1508" t="s">
        <v>301</v>
      </c>
    </row>
    <row r="1509" spans="1:6" x14ac:dyDescent="0.35">
      <c r="A1509">
        <v>2021</v>
      </c>
      <c r="B1509" t="s">
        <v>289</v>
      </c>
      <c r="C1509" t="s">
        <v>281</v>
      </c>
      <c r="D1509" t="s">
        <v>230</v>
      </c>
      <c r="E1509">
        <v>5394</v>
      </c>
      <c r="F1509" t="s">
        <v>301</v>
      </c>
    </row>
    <row r="1510" spans="1:6" x14ac:dyDescent="0.35">
      <c r="A1510">
        <v>2021</v>
      </c>
      <c r="B1510" t="s">
        <v>289</v>
      </c>
      <c r="C1510" t="s">
        <v>283</v>
      </c>
      <c r="D1510" t="s">
        <v>244</v>
      </c>
      <c r="E1510">
        <v>2254</v>
      </c>
      <c r="F1510" t="s">
        <v>301</v>
      </c>
    </row>
    <row r="1511" spans="1:6" x14ac:dyDescent="0.35">
      <c r="A1511">
        <v>2021</v>
      </c>
      <c r="B1511" t="s">
        <v>289</v>
      </c>
      <c r="C1511" t="s">
        <v>283</v>
      </c>
      <c r="D1511" t="s">
        <v>245</v>
      </c>
      <c r="E1511">
        <v>592</v>
      </c>
      <c r="F1511" t="s">
        <v>301</v>
      </c>
    </row>
    <row r="1512" spans="1:6" x14ac:dyDescent="0.35">
      <c r="A1512">
        <v>2021</v>
      </c>
      <c r="B1512" t="s">
        <v>289</v>
      </c>
      <c r="C1512" t="s">
        <v>283</v>
      </c>
      <c r="D1512" t="s">
        <v>246</v>
      </c>
      <c r="E1512">
        <v>2693</v>
      </c>
      <c r="F1512" t="s">
        <v>301</v>
      </c>
    </row>
    <row r="1513" spans="1:6" x14ac:dyDescent="0.35">
      <c r="A1513">
        <v>2021</v>
      </c>
      <c r="B1513" t="s">
        <v>289</v>
      </c>
      <c r="C1513" t="s">
        <v>283</v>
      </c>
      <c r="D1513" t="s">
        <v>234</v>
      </c>
      <c r="E1513">
        <v>5780</v>
      </c>
      <c r="F1513" t="s">
        <v>301</v>
      </c>
    </row>
    <row r="1514" spans="1:6" x14ac:dyDescent="0.35">
      <c r="A1514">
        <v>2021</v>
      </c>
      <c r="B1514" t="s">
        <v>289</v>
      </c>
      <c r="C1514" t="s">
        <v>283</v>
      </c>
      <c r="D1514" t="s">
        <v>247</v>
      </c>
      <c r="E1514">
        <v>3598</v>
      </c>
      <c r="F1514" t="s">
        <v>301</v>
      </c>
    </row>
    <row r="1515" spans="1:6" x14ac:dyDescent="0.35">
      <c r="A1515">
        <v>2021</v>
      </c>
      <c r="B1515" t="s">
        <v>289</v>
      </c>
      <c r="C1515" t="s">
        <v>283</v>
      </c>
      <c r="D1515" t="s">
        <v>235</v>
      </c>
      <c r="E1515">
        <v>1349</v>
      </c>
      <c r="F1515" t="s">
        <v>301</v>
      </c>
    </row>
    <row r="1516" spans="1:6" x14ac:dyDescent="0.35">
      <c r="A1516">
        <v>2021</v>
      </c>
      <c r="B1516" t="s">
        <v>289</v>
      </c>
      <c r="C1516" t="s">
        <v>283</v>
      </c>
      <c r="D1516" t="s">
        <v>226</v>
      </c>
      <c r="F1516" t="s">
        <v>301</v>
      </c>
    </row>
    <row r="1517" spans="1:6" x14ac:dyDescent="0.35">
      <c r="A1517">
        <v>2021</v>
      </c>
      <c r="B1517" t="s">
        <v>289</v>
      </c>
      <c r="C1517" t="s">
        <v>283</v>
      </c>
      <c r="D1517" t="s">
        <v>248</v>
      </c>
      <c r="E1517">
        <v>7037</v>
      </c>
      <c r="F1517" t="s">
        <v>301</v>
      </c>
    </row>
    <row r="1518" spans="1:6" x14ac:dyDescent="0.35">
      <c r="A1518">
        <v>2021</v>
      </c>
      <c r="B1518" t="s">
        <v>289</v>
      </c>
      <c r="C1518" t="s">
        <v>283</v>
      </c>
      <c r="D1518" t="s">
        <v>227</v>
      </c>
      <c r="E1518">
        <v>93</v>
      </c>
      <c r="F1518" t="s">
        <v>301</v>
      </c>
    </row>
    <row r="1519" spans="1:6" x14ac:dyDescent="0.35">
      <c r="A1519">
        <v>2021</v>
      </c>
      <c r="B1519" t="s">
        <v>289</v>
      </c>
      <c r="C1519" t="s">
        <v>283</v>
      </c>
      <c r="D1519" t="s">
        <v>249</v>
      </c>
      <c r="E1519">
        <v>7174</v>
      </c>
      <c r="F1519" t="s">
        <v>301</v>
      </c>
    </row>
    <row r="1520" spans="1:6" x14ac:dyDescent="0.35">
      <c r="A1520">
        <v>2021</v>
      </c>
      <c r="B1520" t="s">
        <v>289</v>
      </c>
      <c r="C1520" t="s">
        <v>283</v>
      </c>
      <c r="D1520" t="s">
        <v>239</v>
      </c>
      <c r="E1520">
        <v>5483</v>
      </c>
      <c r="F1520" t="s">
        <v>301</v>
      </c>
    </row>
    <row r="1521" spans="1:6" x14ac:dyDescent="0.35">
      <c r="A1521">
        <v>2021</v>
      </c>
      <c r="B1521" t="s">
        <v>289</v>
      </c>
      <c r="C1521" t="s">
        <v>283</v>
      </c>
      <c r="D1521" t="s">
        <v>240</v>
      </c>
      <c r="E1521">
        <v>10</v>
      </c>
      <c r="F1521" t="s">
        <v>301</v>
      </c>
    </row>
    <row r="1522" spans="1:6" x14ac:dyDescent="0.35">
      <c r="A1522">
        <v>2021</v>
      </c>
      <c r="B1522" t="s">
        <v>289</v>
      </c>
      <c r="C1522" t="s">
        <v>283</v>
      </c>
      <c r="D1522" t="s">
        <v>250</v>
      </c>
      <c r="E1522">
        <v>2692</v>
      </c>
      <c r="F1522" t="s">
        <v>301</v>
      </c>
    </row>
    <row r="1523" spans="1:6" x14ac:dyDescent="0.35">
      <c r="A1523">
        <v>2021</v>
      </c>
      <c r="B1523" t="s">
        <v>289</v>
      </c>
      <c r="C1523" t="s">
        <v>283</v>
      </c>
      <c r="D1523" t="s">
        <v>251</v>
      </c>
      <c r="E1523">
        <v>356</v>
      </c>
      <c r="F1523" t="s">
        <v>301</v>
      </c>
    </row>
    <row r="1524" spans="1:6" x14ac:dyDescent="0.35">
      <c r="A1524">
        <v>2021</v>
      </c>
      <c r="B1524" t="s">
        <v>289</v>
      </c>
      <c r="C1524" t="s">
        <v>283</v>
      </c>
      <c r="D1524" t="s">
        <v>229</v>
      </c>
      <c r="E1524">
        <v>12</v>
      </c>
      <c r="F1524" t="s">
        <v>301</v>
      </c>
    </row>
    <row r="1525" spans="1:6" x14ac:dyDescent="0.35">
      <c r="A1525">
        <v>2021</v>
      </c>
      <c r="B1525" t="s">
        <v>289</v>
      </c>
      <c r="C1525" t="s">
        <v>283</v>
      </c>
      <c r="D1525" t="s">
        <v>252</v>
      </c>
      <c r="E1525">
        <v>3174</v>
      </c>
      <c r="F1525" t="s">
        <v>301</v>
      </c>
    </row>
    <row r="1526" spans="1:6" x14ac:dyDescent="0.35">
      <c r="A1526">
        <v>2021</v>
      </c>
      <c r="B1526" t="s">
        <v>289</v>
      </c>
      <c r="C1526" t="s">
        <v>283</v>
      </c>
      <c r="D1526" t="s">
        <v>253</v>
      </c>
      <c r="E1526">
        <v>1380</v>
      </c>
      <c r="F1526" t="s">
        <v>301</v>
      </c>
    </row>
    <row r="1527" spans="1:6" x14ac:dyDescent="0.35">
      <c r="A1527">
        <v>2021</v>
      </c>
      <c r="B1527" t="s">
        <v>289</v>
      </c>
      <c r="C1527" t="s">
        <v>283</v>
      </c>
      <c r="D1527" t="s">
        <v>254</v>
      </c>
      <c r="E1527">
        <v>4638</v>
      </c>
      <c r="F1527" t="s">
        <v>301</v>
      </c>
    </row>
    <row r="1528" spans="1:6" x14ac:dyDescent="0.35">
      <c r="A1528">
        <v>2021</v>
      </c>
      <c r="B1528" t="s">
        <v>289</v>
      </c>
      <c r="C1528" t="s">
        <v>283</v>
      </c>
      <c r="D1528" t="s">
        <v>255</v>
      </c>
      <c r="E1528">
        <v>180</v>
      </c>
      <c r="F1528" t="s">
        <v>301</v>
      </c>
    </row>
    <row r="1529" spans="1:6" x14ac:dyDescent="0.35">
      <c r="A1529">
        <v>2021</v>
      </c>
      <c r="B1529" t="s">
        <v>289</v>
      </c>
      <c r="C1529" t="s">
        <v>283</v>
      </c>
      <c r="D1529" t="s">
        <v>230</v>
      </c>
      <c r="E1529">
        <v>110</v>
      </c>
      <c r="F1529" t="s">
        <v>301</v>
      </c>
    </row>
    <row r="1530" spans="1:6" x14ac:dyDescent="0.35">
      <c r="A1530">
        <v>2021</v>
      </c>
      <c r="B1530" t="s">
        <v>289</v>
      </c>
      <c r="C1530" t="s">
        <v>283</v>
      </c>
      <c r="D1530" t="s">
        <v>298</v>
      </c>
      <c r="E1530">
        <v>5231</v>
      </c>
      <c r="F1530" t="s">
        <v>301</v>
      </c>
    </row>
    <row r="1531" spans="1:6" x14ac:dyDescent="0.35">
      <c r="A1531">
        <v>2021</v>
      </c>
      <c r="B1531" t="s">
        <v>289</v>
      </c>
      <c r="C1531" t="s">
        <v>283</v>
      </c>
      <c r="D1531" t="s">
        <v>257</v>
      </c>
      <c r="F1531" t="s">
        <v>301</v>
      </c>
    </row>
    <row r="1532" spans="1:6" x14ac:dyDescent="0.35">
      <c r="A1532">
        <v>2021</v>
      </c>
      <c r="B1532" t="s">
        <v>290</v>
      </c>
      <c r="C1532" t="s">
        <v>425</v>
      </c>
      <c r="D1532" t="s">
        <v>244</v>
      </c>
      <c r="E1532">
        <v>60</v>
      </c>
      <c r="F1532" t="s">
        <v>302</v>
      </c>
    </row>
    <row r="1533" spans="1:6" x14ac:dyDescent="0.35">
      <c r="A1533">
        <v>2021</v>
      </c>
      <c r="B1533" t="s">
        <v>290</v>
      </c>
      <c r="C1533" t="s">
        <v>425</v>
      </c>
      <c r="D1533" t="s">
        <v>245</v>
      </c>
      <c r="E1533">
        <v>32</v>
      </c>
      <c r="F1533" t="s">
        <v>302</v>
      </c>
    </row>
    <row r="1534" spans="1:6" x14ac:dyDescent="0.35">
      <c r="A1534">
        <v>2021</v>
      </c>
      <c r="B1534" t="s">
        <v>290</v>
      </c>
      <c r="C1534" t="s">
        <v>425</v>
      </c>
      <c r="D1534" t="s">
        <v>246</v>
      </c>
      <c r="E1534">
        <v>65</v>
      </c>
      <c r="F1534" t="s">
        <v>302</v>
      </c>
    </row>
    <row r="1535" spans="1:6" x14ac:dyDescent="0.35">
      <c r="A1535">
        <v>2021</v>
      </c>
      <c r="B1535" t="s">
        <v>290</v>
      </c>
      <c r="C1535" t="s">
        <v>425</v>
      </c>
      <c r="D1535" t="s">
        <v>234</v>
      </c>
      <c r="E1535">
        <v>17</v>
      </c>
      <c r="F1535" t="s">
        <v>302</v>
      </c>
    </row>
    <row r="1536" spans="1:6" x14ac:dyDescent="0.35">
      <c r="A1536">
        <v>2021</v>
      </c>
      <c r="B1536" t="s">
        <v>290</v>
      </c>
      <c r="C1536" t="s">
        <v>425</v>
      </c>
      <c r="D1536" t="s">
        <v>258</v>
      </c>
      <c r="E1536">
        <v>18</v>
      </c>
      <c r="F1536" t="s">
        <v>302</v>
      </c>
    </row>
    <row r="1537" spans="1:6" x14ac:dyDescent="0.35">
      <c r="A1537">
        <v>2021</v>
      </c>
      <c r="B1537" t="s">
        <v>290</v>
      </c>
      <c r="C1537" t="s">
        <v>425</v>
      </c>
      <c r="D1537" t="s">
        <v>247</v>
      </c>
      <c r="E1537">
        <v>221</v>
      </c>
      <c r="F1537" t="s">
        <v>302</v>
      </c>
    </row>
    <row r="1538" spans="1:6" x14ac:dyDescent="0.35">
      <c r="A1538">
        <v>2021</v>
      </c>
      <c r="B1538" t="s">
        <v>290</v>
      </c>
      <c r="C1538" t="s">
        <v>425</v>
      </c>
      <c r="D1538" t="s">
        <v>259</v>
      </c>
      <c r="E1538">
        <v>195</v>
      </c>
      <c r="F1538" t="s">
        <v>302</v>
      </c>
    </row>
    <row r="1539" spans="1:6" x14ac:dyDescent="0.35">
      <c r="A1539">
        <v>2021</v>
      </c>
      <c r="B1539" t="s">
        <v>290</v>
      </c>
      <c r="C1539" t="s">
        <v>425</v>
      </c>
      <c r="D1539" t="s">
        <v>260</v>
      </c>
      <c r="E1539">
        <v>90</v>
      </c>
      <c r="F1539" t="s">
        <v>302</v>
      </c>
    </row>
    <row r="1540" spans="1:6" x14ac:dyDescent="0.35">
      <c r="A1540">
        <v>2021</v>
      </c>
      <c r="B1540" t="s">
        <v>290</v>
      </c>
      <c r="C1540" t="s">
        <v>425</v>
      </c>
      <c r="D1540" t="s">
        <v>235</v>
      </c>
      <c r="E1540">
        <v>49</v>
      </c>
      <c r="F1540" t="s">
        <v>302</v>
      </c>
    </row>
    <row r="1541" spans="1:6" x14ac:dyDescent="0.35">
      <c r="A1541">
        <v>2021</v>
      </c>
      <c r="B1541" t="s">
        <v>290</v>
      </c>
      <c r="C1541" t="s">
        <v>425</v>
      </c>
      <c r="D1541" t="s">
        <v>226</v>
      </c>
      <c r="E1541">
        <v>4053</v>
      </c>
      <c r="F1541" t="s">
        <v>302</v>
      </c>
    </row>
    <row r="1542" spans="1:6" x14ac:dyDescent="0.35">
      <c r="A1542">
        <v>2021</v>
      </c>
      <c r="B1542" t="s">
        <v>290</v>
      </c>
      <c r="C1542" t="s">
        <v>425</v>
      </c>
      <c r="D1542" t="s">
        <v>261</v>
      </c>
      <c r="E1542">
        <v>45</v>
      </c>
      <c r="F1542" t="s">
        <v>302</v>
      </c>
    </row>
    <row r="1543" spans="1:6" x14ac:dyDescent="0.35">
      <c r="A1543">
        <v>2021</v>
      </c>
      <c r="B1543" t="s">
        <v>290</v>
      </c>
      <c r="C1543" t="s">
        <v>425</v>
      </c>
      <c r="D1543" t="s">
        <v>248</v>
      </c>
      <c r="E1543">
        <v>257</v>
      </c>
      <c r="F1543" t="s">
        <v>302</v>
      </c>
    </row>
    <row r="1544" spans="1:6" x14ac:dyDescent="0.35">
      <c r="A1544">
        <v>2021</v>
      </c>
      <c r="B1544" t="s">
        <v>290</v>
      </c>
      <c r="C1544" t="s">
        <v>425</v>
      </c>
      <c r="D1544" t="s">
        <v>262</v>
      </c>
      <c r="E1544">
        <v>20</v>
      </c>
      <c r="F1544" t="s">
        <v>302</v>
      </c>
    </row>
    <row r="1545" spans="1:6" x14ac:dyDescent="0.35">
      <c r="A1545">
        <v>2021</v>
      </c>
      <c r="B1545" t="s">
        <v>290</v>
      </c>
      <c r="C1545" t="s">
        <v>425</v>
      </c>
      <c r="D1545" t="s">
        <v>263</v>
      </c>
      <c r="E1545">
        <v>126</v>
      </c>
      <c r="F1545" t="s">
        <v>302</v>
      </c>
    </row>
    <row r="1546" spans="1:6" x14ac:dyDescent="0.35">
      <c r="A1546">
        <v>2021</v>
      </c>
      <c r="B1546" t="s">
        <v>290</v>
      </c>
      <c r="C1546" t="s">
        <v>425</v>
      </c>
      <c r="D1546" t="s">
        <v>249</v>
      </c>
      <c r="E1546">
        <v>200</v>
      </c>
      <c r="F1546" t="s">
        <v>302</v>
      </c>
    </row>
    <row r="1547" spans="1:6" x14ac:dyDescent="0.35">
      <c r="A1547">
        <v>2021</v>
      </c>
      <c r="B1547" t="s">
        <v>290</v>
      </c>
      <c r="C1547" t="s">
        <v>425</v>
      </c>
      <c r="D1547" t="s">
        <v>239</v>
      </c>
      <c r="E1547">
        <v>86</v>
      </c>
      <c r="F1547" t="s">
        <v>302</v>
      </c>
    </row>
    <row r="1548" spans="1:6" x14ac:dyDescent="0.35">
      <c r="A1548">
        <v>2021</v>
      </c>
      <c r="B1548" t="s">
        <v>290</v>
      </c>
      <c r="C1548" t="s">
        <v>425</v>
      </c>
      <c r="D1548" t="s">
        <v>264</v>
      </c>
      <c r="E1548">
        <v>46</v>
      </c>
      <c r="F1548" t="s">
        <v>302</v>
      </c>
    </row>
    <row r="1549" spans="1:6" x14ac:dyDescent="0.35">
      <c r="A1549">
        <v>2021</v>
      </c>
      <c r="B1549" t="s">
        <v>290</v>
      </c>
      <c r="C1549" t="s">
        <v>425</v>
      </c>
      <c r="D1549" t="s">
        <v>240</v>
      </c>
      <c r="E1549">
        <v>104</v>
      </c>
      <c r="F1549" t="s">
        <v>302</v>
      </c>
    </row>
    <row r="1550" spans="1:6" x14ac:dyDescent="0.35">
      <c r="A1550">
        <v>2021</v>
      </c>
      <c r="B1550" t="s">
        <v>290</v>
      </c>
      <c r="C1550" t="s">
        <v>425</v>
      </c>
      <c r="D1550" t="s">
        <v>250</v>
      </c>
      <c r="E1550">
        <v>38</v>
      </c>
      <c r="F1550" t="s">
        <v>302</v>
      </c>
    </row>
    <row r="1551" spans="1:6" x14ac:dyDescent="0.35">
      <c r="A1551">
        <v>2021</v>
      </c>
      <c r="B1551" t="s">
        <v>290</v>
      </c>
      <c r="C1551" t="s">
        <v>425</v>
      </c>
      <c r="D1551" t="s">
        <v>265</v>
      </c>
      <c r="E1551">
        <v>91</v>
      </c>
      <c r="F1551" t="s">
        <v>302</v>
      </c>
    </row>
    <row r="1552" spans="1:6" x14ac:dyDescent="0.35">
      <c r="A1552">
        <v>2021</v>
      </c>
      <c r="B1552" t="s">
        <v>290</v>
      </c>
      <c r="C1552" t="s">
        <v>425</v>
      </c>
      <c r="D1552" t="s">
        <v>266</v>
      </c>
      <c r="E1552">
        <v>45</v>
      </c>
      <c r="F1552" t="s">
        <v>302</v>
      </c>
    </row>
    <row r="1553" spans="1:6" x14ac:dyDescent="0.35">
      <c r="A1553">
        <v>2021</v>
      </c>
      <c r="B1553" t="s">
        <v>290</v>
      </c>
      <c r="C1553" t="s">
        <v>425</v>
      </c>
      <c r="D1553" t="s">
        <v>267</v>
      </c>
      <c r="E1553">
        <v>376</v>
      </c>
      <c r="F1553" t="s">
        <v>302</v>
      </c>
    </row>
    <row r="1554" spans="1:6" x14ac:dyDescent="0.35">
      <c r="A1554">
        <v>2021</v>
      </c>
      <c r="B1554" t="s">
        <v>290</v>
      </c>
      <c r="C1554" t="s">
        <v>425</v>
      </c>
      <c r="D1554" t="s">
        <v>268</v>
      </c>
      <c r="F1554" t="s">
        <v>302</v>
      </c>
    </row>
    <row r="1555" spans="1:6" x14ac:dyDescent="0.35">
      <c r="A1555">
        <v>2021</v>
      </c>
      <c r="B1555" t="s">
        <v>290</v>
      </c>
      <c r="C1555" t="s">
        <v>425</v>
      </c>
      <c r="D1555" t="s">
        <v>269</v>
      </c>
      <c r="E1555">
        <v>1016</v>
      </c>
      <c r="F1555" t="s">
        <v>302</v>
      </c>
    </row>
    <row r="1556" spans="1:6" x14ac:dyDescent="0.35">
      <c r="A1556">
        <v>2021</v>
      </c>
      <c r="B1556" t="s">
        <v>290</v>
      </c>
      <c r="C1556" t="s">
        <v>425</v>
      </c>
      <c r="D1556" t="s">
        <v>229</v>
      </c>
      <c r="E1556">
        <v>20</v>
      </c>
      <c r="F1556" t="s">
        <v>302</v>
      </c>
    </row>
    <row r="1557" spans="1:6" x14ac:dyDescent="0.35">
      <c r="A1557">
        <v>2021</v>
      </c>
      <c r="B1557" t="s">
        <v>290</v>
      </c>
      <c r="C1557" t="s">
        <v>425</v>
      </c>
      <c r="D1557" t="s">
        <v>252</v>
      </c>
      <c r="E1557">
        <v>72</v>
      </c>
      <c r="F1557" t="s">
        <v>302</v>
      </c>
    </row>
    <row r="1558" spans="1:6" x14ac:dyDescent="0.35">
      <c r="A1558">
        <v>2021</v>
      </c>
      <c r="B1558" t="s">
        <v>290</v>
      </c>
      <c r="C1558" t="s">
        <v>425</v>
      </c>
      <c r="D1558" t="s">
        <v>253</v>
      </c>
      <c r="E1558">
        <v>63</v>
      </c>
      <c r="F1558" t="s">
        <v>302</v>
      </c>
    </row>
    <row r="1559" spans="1:6" x14ac:dyDescent="0.35">
      <c r="A1559">
        <v>2021</v>
      </c>
      <c r="B1559" t="s">
        <v>290</v>
      </c>
      <c r="C1559" t="s">
        <v>425</v>
      </c>
      <c r="D1559" t="s">
        <v>254</v>
      </c>
      <c r="E1559">
        <v>63</v>
      </c>
      <c r="F1559" t="s">
        <v>302</v>
      </c>
    </row>
    <row r="1560" spans="1:6" x14ac:dyDescent="0.35">
      <c r="A1560">
        <v>2021</v>
      </c>
      <c r="B1560" t="s">
        <v>290</v>
      </c>
      <c r="C1560" t="s">
        <v>425</v>
      </c>
      <c r="D1560" t="s">
        <v>255</v>
      </c>
      <c r="E1560">
        <v>42</v>
      </c>
      <c r="F1560" t="s">
        <v>302</v>
      </c>
    </row>
    <row r="1561" spans="1:6" x14ac:dyDescent="0.35">
      <c r="A1561">
        <v>2021</v>
      </c>
      <c r="B1561" t="s">
        <v>290</v>
      </c>
      <c r="C1561" t="s">
        <v>425</v>
      </c>
      <c r="D1561" t="s">
        <v>270</v>
      </c>
      <c r="E1561">
        <v>27</v>
      </c>
      <c r="F1561" t="s">
        <v>302</v>
      </c>
    </row>
    <row r="1562" spans="1:6" x14ac:dyDescent="0.35">
      <c r="A1562">
        <v>2021</v>
      </c>
      <c r="B1562" t="s">
        <v>290</v>
      </c>
      <c r="C1562" t="s">
        <v>426</v>
      </c>
      <c r="D1562" t="s">
        <v>271</v>
      </c>
      <c r="F1562" t="s">
        <v>302</v>
      </c>
    </row>
    <row r="1563" spans="1:6" x14ac:dyDescent="0.35">
      <c r="A1563">
        <v>2021</v>
      </c>
      <c r="B1563" t="s">
        <v>291</v>
      </c>
      <c r="C1563" t="s">
        <v>425</v>
      </c>
      <c r="D1563" t="s">
        <v>244</v>
      </c>
      <c r="E1563">
        <v>5607</v>
      </c>
      <c r="F1563" t="s">
        <v>302</v>
      </c>
    </row>
    <row r="1564" spans="1:6" x14ac:dyDescent="0.35">
      <c r="A1564">
        <v>2021</v>
      </c>
      <c r="B1564" t="s">
        <v>291</v>
      </c>
      <c r="C1564" t="s">
        <v>425</v>
      </c>
      <c r="D1564" t="s">
        <v>245</v>
      </c>
      <c r="E1564">
        <v>562</v>
      </c>
      <c r="F1564" t="s">
        <v>302</v>
      </c>
    </row>
    <row r="1565" spans="1:6" x14ac:dyDescent="0.35">
      <c r="A1565">
        <v>2021</v>
      </c>
      <c r="B1565" t="s">
        <v>291</v>
      </c>
      <c r="C1565" t="s">
        <v>425</v>
      </c>
      <c r="D1565" t="s">
        <v>246</v>
      </c>
      <c r="E1565">
        <v>1782</v>
      </c>
      <c r="F1565" t="s">
        <v>302</v>
      </c>
    </row>
    <row r="1566" spans="1:6" x14ac:dyDescent="0.35">
      <c r="A1566">
        <v>2021</v>
      </c>
      <c r="B1566" t="s">
        <v>291</v>
      </c>
      <c r="C1566" t="s">
        <v>425</v>
      </c>
      <c r="D1566" t="s">
        <v>234</v>
      </c>
      <c r="E1566">
        <v>692</v>
      </c>
      <c r="F1566" t="s">
        <v>302</v>
      </c>
    </row>
    <row r="1567" spans="1:6" x14ac:dyDescent="0.35">
      <c r="A1567">
        <v>2021</v>
      </c>
      <c r="B1567" t="s">
        <v>291</v>
      </c>
      <c r="C1567" t="s">
        <v>425</v>
      </c>
      <c r="D1567" t="s">
        <v>247</v>
      </c>
      <c r="E1567">
        <v>5192</v>
      </c>
      <c r="F1567" t="s">
        <v>302</v>
      </c>
    </row>
    <row r="1568" spans="1:6" x14ac:dyDescent="0.35">
      <c r="A1568">
        <v>2021</v>
      </c>
      <c r="B1568" t="s">
        <v>291</v>
      </c>
      <c r="C1568" t="s">
        <v>425</v>
      </c>
      <c r="D1568" t="s">
        <v>259</v>
      </c>
      <c r="E1568">
        <v>8907</v>
      </c>
      <c r="F1568" t="s">
        <v>302</v>
      </c>
    </row>
    <row r="1569" spans="1:6" x14ac:dyDescent="0.35">
      <c r="A1569">
        <v>2021</v>
      </c>
      <c r="B1569" t="s">
        <v>291</v>
      </c>
      <c r="C1569" t="s">
        <v>425</v>
      </c>
      <c r="D1569" t="s">
        <v>260</v>
      </c>
      <c r="E1569">
        <v>1382</v>
      </c>
      <c r="F1569" t="s">
        <v>302</v>
      </c>
    </row>
    <row r="1570" spans="1:6" x14ac:dyDescent="0.35">
      <c r="A1570">
        <v>2021</v>
      </c>
      <c r="B1570" t="s">
        <v>291</v>
      </c>
      <c r="C1570" t="s">
        <v>425</v>
      </c>
      <c r="D1570" t="s">
        <v>235</v>
      </c>
      <c r="E1570">
        <v>2031</v>
      </c>
      <c r="F1570" t="s">
        <v>302</v>
      </c>
    </row>
    <row r="1571" spans="1:6" x14ac:dyDescent="0.35">
      <c r="A1571">
        <v>2021</v>
      </c>
      <c r="B1571" t="s">
        <v>291</v>
      </c>
      <c r="C1571" t="s">
        <v>425</v>
      </c>
      <c r="D1571" t="s">
        <v>226</v>
      </c>
      <c r="E1571">
        <v>1810</v>
      </c>
      <c r="F1571" t="s">
        <v>302</v>
      </c>
    </row>
    <row r="1572" spans="1:6" x14ac:dyDescent="0.35">
      <c r="A1572">
        <v>2021</v>
      </c>
      <c r="B1572" t="s">
        <v>291</v>
      </c>
      <c r="C1572" t="s">
        <v>425</v>
      </c>
      <c r="D1572" t="s">
        <v>248</v>
      </c>
      <c r="E1572">
        <v>6191</v>
      </c>
      <c r="F1572" t="s">
        <v>302</v>
      </c>
    </row>
    <row r="1573" spans="1:6" x14ac:dyDescent="0.35">
      <c r="A1573">
        <v>2021</v>
      </c>
      <c r="B1573" t="s">
        <v>291</v>
      </c>
      <c r="C1573" t="s">
        <v>425</v>
      </c>
      <c r="D1573" t="s">
        <v>249</v>
      </c>
      <c r="E1573">
        <v>3222</v>
      </c>
      <c r="F1573" t="s">
        <v>302</v>
      </c>
    </row>
    <row r="1574" spans="1:6" x14ac:dyDescent="0.35">
      <c r="A1574">
        <v>2021</v>
      </c>
      <c r="B1574" t="s">
        <v>291</v>
      </c>
      <c r="C1574" t="s">
        <v>425</v>
      </c>
      <c r="D1574" t="s">
        <v>239</v>
      </c>
      <c r="E1574">
        <v>4476</v>
      </c>
      <c r="F1574" t="s">
        <v>302</v>
      </c>
    </row>
    <row r="1575" spans="1:6" x14ac:dyDescent="0.35">
      <c r="A1575">
        <v>2021</v>
      </c>
      <c r="B1575" t="s">
        <v>291</v>
      </c>
      <c r="C1575" t="s">
        <v>425</v>
      </c>
      <c r="D1575" t="s">
        <v>240</v>
      </c>
      <c r="E1575">
        <v>3595</v>
      </c>
      <c r="F1575" t="s">
        <v>302</v>
      </c>
    </row>
    <row r="1576" spans="1:6" x14ac:dyDescent="0.35">
      <c r="A1576">
        <v>2021</v>
      </c>
      <c r="B1576" t="s">
        <v>291</v>
      </c>
      <c r="C1576" t="s">
        <v>425</v>
      </c>
      <c r="D1576" t="s">
        <v>250</v>
      </c>
      <c r="E1576">
        <v>3857</v>
      </c>
      <c r="F1576" t="s">
        <v>302</v>
      </c>
    </row>
    <row r="1577" spans="1:6" x14ac:dyDescent="0.35">
      <c r="A1577">
        <v>2021</v>
      </c>
      <c r="B1577" t="s">
        <v>291</v>
      </c>
      <c r="C1577" t="s">
        <v>425</v>
      </c>
      <c r="D1577" t="s">
        <v>265</v>
      </c>
      <c r="E1577">
        <v>4002</v>
      </c>
      <c r="F1577" t="s">
        <v>302</v>
      </c>
    </row>
    <row r="1578" spans="1:6" x14ac:dyDescent="0.35">
      <c r="A1578">
        <v>2021</v>
      </c>
      <c r="B1578" t="s">
        <v>291</v>
      </c>
      <c r="C1578" t="s">
        <v>425</v>
      </c>
      <c r="D1578" t="s">
        <v>266</v>
      </c>
      <c r="E1578">
        <v>1886</v>
      </c>
      <c r="F1578" t="s">
        <v>302</v>
      </c>
    </row>
    <row r="1579" spans="1:6" x14ac:dyDescent="0.35">
      <c r="A1579">
        <v>2021</v>
      </c>
      <c r="B1579" t="s">
        <v>291</v>
      </c>
      <c r="C1579" t="s">
        <v>425</v>
      </c>
      <c r="D1579" t="s">
        <v>267</v>
      </c>
      <c r="E1579">
        <v>2381</v>
      </c>
      <c r="F1579" t="s">
        <v>302</v>
      </c>
    </row>
    <row r="1580" spans="1:6" x14ac:dyDescent="0.35">
      <c r="A1580">
        <v>2021</v>
      </c>
      <c r="B1580" t="s">
        <v>291</v>
      </c>
      <c r="C1580" t="s">
        <v>425</v>
      </c>
      <c r="D1580" t="s">
        <v>268</v>
      </c>
      <c r="E1580">
        <v>1851</v>
      </c>
      <c r="F1580" t="s">
        <v>302</v>
      </c>
    </row>
    <row r="1581" spans="1:6" x14ac:dyDescent="0.35">
      <c r="A1581">
        <v>2021</v>
      </c>
      <c r="B1581" t="s">
        <v>291</v>
      </c>
      <c r="C1581" t="s">
        <v>425</v>
      </c>
      <c r="D1581" t="s">
        <v>272</v>
      </c>
      <c r="E1581">
        <v>1944</v>
      </c>
      <c r="F1581" t="s">
        <v>302</v>
      </c>
    </row>
    <row r="1582" spans="1:6" x14ac:dyDescent="0.35">
      <c r="A1582">
        <v>2021</v>
      </c>
      <c r="B1582" t="s">
        <v>291</v>
      </c>
      <c r="C1582" t="s">
        <v>425</v>
      </c>
      <c r="D1582" t="s">
        <v>269</v>
      </c>
      <c r="E1582">
        <v>5586</v>
      </c>
      <c r="F1582" t="s">
        <v>302</v>
      </c>
    </row>
    <row r="1583" spans="1:6" x14ac:dyDescent="0.35">
      <c r="A1583">
        <v>2021</v>
      </c>
      <c r="B1583" t="s">
        <v>291</v>
      </c>
      <c r="C1583" t="s">
        <v>425</v>
      </c>
      <c r="D1583" t="s">
        <v>229</v>
      </c>
      <c r="E1583">
        <v>574</v>
      </c>
      <c r="F1583" t="s">
        <v>302</v>
      </c>
    </row>
    <row r="1584" spans="1:6" x14ac:dyDescent="0.35">
      <c r="A1584">
        <v>2021</v>
      </c>
      <c r="B1584" t="s">
        <v>291</v>
      </c>
      <c r="C1584" t="s">
        <v>425</v>
      </c>
      <c r="D1584" t="s">
        <v>252</v>
      </c>
      <c r="E1584">
        <v>2291</v>
      </c>
      <c r="F1584" t="s">
        <v>302</v>
      </c>
    </row>
    <row r="1585" spans="1:6" x14ac:dyDescent="0.35">
      <c r="A1585">
        <v>2021</v>
      </c>
      <c r="B1585" t="s">
        <v>291</v>
      </c>
      <c r="C1585" t="s">
        <v>425</v>
      </c>
      <c r="D1585" t="s">
        <v>254</v>
      </c>
      <c r="E1585">
        <v>2008</v>
      </c>
      <c r="F1585" t="s">
        <v>302</v>
      </c>
    </row>
    <row r="1586" spans="1:6" x14ac:dyDescent="0.35">
      <c r="A1586">
        <v>2021</v>
      </c>
      <c r="B1586" t="s">
        <v>291</v>
      </c>
      <c r="C1586" t="s">
        <v>425</v>
      </c>
      <c r="D1586" t="s">
        <v>270</v>
      </c>
      <c r="E1586">
        <v>1155</v>
      </c>
      <c r="F1586" t="s">
        <v>302</v>
      </c>
    </row>
    <row r="1587" spans="1:6" x14ac:dyDescent="0.35">
      <c r="A1587">
        <v>2021</v>
      </c>
      <c r="B1587" t="s">
        <v>291</v>
      </c>
      <c r="C1587" t="s">
        <v>425</v>
      </c>
      <c r="D1587" t="s">
        <v>273</v>
      </c>
      <c r="E1587">
        <v>4</v>
      </c>
      <c r="F1587" t="s">
        <v>302</v>
      </c>
    </row>
    <row r="1588" spans="1:6" x14ac:dyDescent="0.35">
      <c r="A1588">
        <v>2021</v>
      </c>
      <c r="B1588" t="s">
        <v>291</v>
      </c>
      <c r="C1588" t="s">
        <v>425</v>
      </c>
      <c r="D1588" t="s">
        <v>39</v>
      </c>
      <c r="E1588">
        <v>1094</v>
      </c>
      <c r="F1588" t="s">
        <v>302</v>
      </c>
    </row>
    <row r="1589" spans="1:6" x14ac:dyDescent="0.35">
      <c r="A1589">
        <v>2022</v>
      </c>
      <c r="B1589" t="s">
        <v>288</v>
      </c>
      <c r="C1589" t="s">
        <v>222</v>
      </c>
      <c r="D1589" t="s">
        <v>223</v>
      </c>
      <c r="E1589">
        <v>31948</v>
      </c>
      <c r="F1589" t="s">
        <v>299</v>
      </c>
    </row>
    <row r="1590" spans="1:6" x14ac:dyDescent="0.35">
      <c r="A1590">
        <v>2022</v>
      </c>
      <c r="B1590" t="s">
        <v>288</v>
      </c>
      <c r="C1590" t="s">
        <v>222</v>
      </c>
      <c r="D1590" t="s">
        <v>224</v>
      </c>
      <c r="E1590">
        <v>480932</v>
      </c>
      <c r="F1590" t="s">
        <v>299</v>
      </c>
    </row>
    <row r="1591" spans="1:6" x14ac:dyDescent="0.35">
      <c r="A1591">
        <v>2022</v>
      </c>
      <c r="B1591" t="s">
        <v>288</v>
      </c>
      <c r="C1591" t="s">
        <v>222</v>
      </c>
      <c r="D1591" t="s">
        <v>225</v>
      </c>
      <c r="E1591">
        <v>72378</v>
      </c>
      <c r="F1591" t="s">
        <v>299</v>
      </c>
    </row>
    <row r="1592" spans="1:6" x14ac:dyDescent="0.35">
      <c r="A1592">
        <v>2022</v>
      </c>
      <c r="B1592" t="s">
        <v>288</v>
      </c>
      <c r="C1592" t="s">
        <v>222</v>
      </c>
      <c r="D1592" t="s">
        <v>226</v>
      </c>
      <c r="E1592">
        <v>307844</v>
      </c>
      <c r="F1592" t="s">
        <v>299</v>
      </c>
    </row>
    <row r="1593" spans="1:6" x14ac:dyDescent="0.35">
      <c r="A1593">
        <v>2022</v>
      </c>
      <c r="B1593" t="s">
        <v>288</v>
      </c>
      <c r="C1593" t="s">
        <v>222</v>
      </c>
      <c r="D1593" t="s">
        <v>227</v>
      </c>
      <c r="E1593">
        <v>106843</v>
      </c>
      <c r="F1593" t="s">
        <v>299</v>
      </c>
    </row>
    <row r="1594" spans="1:6" x14ac:dyDescent="0.35">
      <c r="A1594">
        <v>2022</v>
      </c>
      <c r="B1594" t="s">
        <v>288</v>
      </c>
      <c r="C1594" t="s">
        <v>222</v>
      </c>
      <c r="D1594" t="s">
        <v>228</v>
      </c>
      <c r="E1594">
        <v>468124</v>
      </c>
      <c r="F1594" t="s">
        <v>299</v>
      </c>
    </row>
    <row r="1595" spans="1:6" x14ac:dyDescent="0.35">
      <c r="A1595">
        <v>2022</v>
      </c>
      <c r="B1595" t="s">
        <v>288</v>
      </c>
      <c r="C1595" t="s">
        <v>222</v>
      </c>
      <c r="D1595" t="s">
        <v>229</v>
      </c>
      <c r="E1595">
        <v>176290</v>
      </c>
      <c r="F1595" t="s">
        <v>299</v>
      </c>
    </row>
    <row r="1596" spans="1:6" x14ac:dyDescent="0.35">
      <c r="A1596">
        <v>2022</v>
      </c>
      <c r="B1596" t="s">
        <v>288</v>
      </c>
      <c r="C1596" t="s">
        <v>222</v>
      </c>
      <c r="D1596" t="s">
        <v>230</v>
      </c>
      <c r="E1596">
        <v>251984</v>
      </c>
      <c r="F1596" t="s">
        <v>299</v>
      </c>
    </row>
    <row r="1597" spans="1:6" x14ac:dyDescent="0.35">
      <c r="A1597">
        <v>2022</v>
      </c>
      <c r="B1597" t="s">
        <v>288</v>
      </c>
      <c r="C1597" t="s">
        <v>222</v>
      </c>
      <c r="D1597" t="s">
        <v>231</v>
      </c>
      <c r="E1597">
        <v>310094</v>
      </c>
      <c r="F1597" t="s">
        <v>299</v>
      </c>
    </row>
    <row r="1598" spans="1:6" x14ac:dyDescent="0.35">
      <c r="A1598">
        <v>2022</v>
      </c>
      <c r="B1598" t="s">
        <v>288</v>
      </c>
      <c r="C1598" t="s">
        <v>232</v>
      </c>
      <c r="D1598" t="s">
        <v>233</v>
      </c>
      <c r="E1598">
        <v>407</v>
      </c>
      <c r="F1598" t="s">
        <v>299</v>
      </c>
    </row>
    <row r="1599" spans="1:6" x14ac:dyDescent="0.35">
      <c r="A1599">
        <v>2022</v>
      </c>
      <c r="B1599" t="s">
        <v>288</v>
      </c>
      <c r="C1599" t="s">
        <v>232</v>
      </c>
      <c r="D1599" t="s">
        <v>234</v>
      </c>
      <c r="E1599">
        <v>90</v>
      </c>
      <c r="F1599" t="s">
        <v>299</v>
      </c>
    </row>
    <row r="1600" spans="1:6" x14ac:dyDescent="0.35">
      <c r="A1600">
        <v>2022</v>
      </c>
      <c r="B1600" t="s">
        <v>288</v>
      </c>
      <c r="C1600" t="s">
        <v>232</v>
      </c>
      <c r="D1600" t="s">
        <v>235</v>
      </c>
      <c r="E1600">
        <v>125</v>
      </c>
      <c r="F1600" t="s">
        <v>299</v>
      </c>
    </row>
    <row r="1601" spans="1:6" x14ac:dyDescent="0.35">
      <c r="A1601">
        <v>2022</v>
      </c>
      <c r="B1601" t="s">
        <v>288</v>
      </c>
      <c r="C1601" t="s">
        <v>232</v>
      </c>
      <c r="D1601" t="s">
        <v>236</v>
      </c>
      <c r="E1601">
        <v>81</v>
      </c>
      <c r="F1601" t="s">
        <v>299</v>
      </c>
    </row>
    <row r="1602" spans="1:6" x14ac:dyDescent="0.35">
      <c r="A1602">
        <v>2022</v>
      </c>
      <c r="B1602" t="s">
        <v>288</v>
      </c>
      <c r="C1602" t="s">
        <v>232</v>
      </c>
      <c r="D1602" t="s">
        <v>237</v>
      </c>
      <c r="E1602">
        <v>80</v>
      </c>
      <c r="F1602" t="s">
        <v>299</v>
      </c>
    </row>
    <row r="1603" spans="1:6" x14ac:dyDescent="0.35">
      <c r="A1603">
        <v>2022</v>
      </c>
      <c r="B1603" t="s">
        <v>288</v>
      </c>
      <c r="C1603" t="s">
        <v>232</v>
      </c>
      <c r="D1603" t="s">
        <v>238</v>
      </c>
      <c r="E1603">
        <v>303</v>
      </c>
      <c r="F1603" t="s">
        <v>299</v>
      </c>
    </row>
    <row r="1604" spans="1:6" x14ac:dyDescent="0.35">
      <c r="A1604">
        <v>2022</v>
      </c>
      <c r="B1604" t="s">
        <v>288</v>
      </c>
      <c r="C1604" t="s">
        <v>232</v>
      </c>
      <c r="D1604" t="s">
        <v>239</v>
      </c>
      <c r="E1604">
        <v>4009</v>
      </c>
      <c r="F1604" t="s">
        <v>299</v>
      </c>
    </row>
    <row r="1605" spans="1:6" x14ac:dyDescent="0.35">
      <c r="A1605">
        <v>2022</v>
      </c>
      <c r="B1605" t="s">
        <v>288</v>
      </c>
      <c r="C1605" t="s">
        <v>232</v>
      </c>
      <c r="D1605" t="s">
        <v>240</v>
      </c>
      <c r="E1605">
        <v>329</v>
      </c>
      <c r="F1605" t="s">
        <v>299</v>
      </c>
    </row>
    <row r="1606" spans="1:6" x14ac:dyDescent="0.35">
      <c r="A1606">
        <v>2022</v>
      </c>
      <c r="B1606" t="s">
        <v>288</v>
      </c>
      <c r="C1606" t="s">
        <v>232</v>
      </c>
      <c r="D1606" t="s">
        <v>241</v>
      </c>
      <c r="E1606">
        <v>1640</v>
      </c>
      <c r="F1606" t="s">
        <v>299</v>
      </c>
    </row>
    <row r="1607" spans="1:6" x14ac:dyDescent="0.35">
      <c r="A1607">
        <v>2022</v>
      </c>
      <c r="B1607" t="s">
        <v>288</v>
      </c>
      <c r="C1607" t="s">
        <v>232</v>
      </c>
      <c r="D1607" t="s">
        <v>242</v>
      </c>
      <c r="E1607">
        <v>87</v>
      </c>
      <c r="F1607" t="s">
        <v>299</v>
      </c>
    </row>
    <row r="1608" spans="1:6" x14ac:dyDescent="0.35">
      <c r="A1608">
        <v>2022</v>
      </c>
      <c r="B1608" t="s">
        <v>288</v>
      </c>
      <c r="C1608" t="s">
        <v>232</v>
      </c>
      <c r="D1608" t="s">
        <v>243</v>
      </c>
      <c r="E1608">
        <v>1065</v>
      </c>
      <c r="F1608" t="s">
        <v>299</v>
      </c>
    </row>
    <row r="1609" spans="1:6" x14ac:dyDescent="0.35">
      <c r="A1609">
        <v>2022</v>
      </c>
      <c r="B1609" t="s">
        <v>289</v>
      </c>
      <c r="C1609" t="s">
        <v>281</v>
      </c>
      <c r="D1609" t="s">
        <v>226</v>
      </c>
      <c r="E1609">
        <v>13111</v>
      </c>
      <c r="F1609" t="s">
        <v>301</v>
      </c>
    </row>
    <row r="1610" spans="1:6" x14ac:dyDescent="0.35">
      <c r="A1610">
        <v>2022</v>
      </c>
      <c r="B1610" t="s">
        <v>289</v>
      </c>
      <c r="C1610" t="s">
        <v>281</v>
      </c>
      <c r="D1610" t="s">
        <v>227</v>
      </c>
      <c r="E1610">
        <v>61938</v>
      </c>
      <c r="F1610" t="s">
        <v>301</v>
      </c>
    </row>
    <row r="1611" spans="1:6" x14ac:dyDescent="0.35">
      <c r="A1611">
        <v>2022</v>
      </c>
      <c r="B1611" t="s">
        <v>289</v>
      </c>
      <c r="C1611" t="s">
        <v>281</v>
      </c>
      <c r="D1611" t="s">
        <v>229</v>
      </c>
      <c r="E1611">
        <v>52863</v>
      </c>
      <c r="F1611" t="s">
        <v>301</v>
      </c>
    </row>
    <row r="1612" spans="1:6" x14ac:dyDescent="0.35">
      <c r="A1612">
        <v>2022</v>
      </c>
      <c r="B1612" t="s">
        <v>289</v>
      </c>
      <c r="C1612" t="s">
        <v>281</v>
      </c>
      <c r="D1612" t="s">
        <v>230</v>
      </c>
      <c r="E1612">
        <v>7150</v>
      </c>
      <c r="F1612" t="s">
        <v>301</v>
      </c>
    </row>
    <row r="1613" spans="1:6" x14ac:dyDescent="0.35">
      <c r="A1613">
        <v>2022</v>
      </c>
      <c r="B1613" t="s">
        <v>289</v>
      </c>
      <c r="C1613" t="s">
        <v>283</v>
      </c>
      <c r="D1613" t="s">
        <v>244</v>
      </c>
      <c r="E1613">
        <v>1814</v>
      </c>
      <c r="F1613" t="s">
        <v>301</v>
      </c>
    </row>
    <row r="1614" spans="1:6" x14ac:dyDescent="0.35">
      <c r="A1614">
        <v>2022</v>
      </c>
      <c r="B1614" t="s">
        <v>289</v>
      </c>
      <c r="C1614" t="s">
        <v>283</v>
      </c>
      <c r="D1614" t="s">
        <v>245</v>
      </c>
      <c r="E1614">
        <v>792</v>
      </c>
      <c r="F1614" t="s">
        <v>301</v>
      </c>
    </row>
    <row r="1615" spans="1:6" x14ac:dyDescent="0.35">
      <c r="A1615">
        <v>2022</v>
      </c>
      <c r="B1615" t="s">
        <v>289</v>
      </c>
      <c r="C1615" t="s">
        <v>283</v>
      </c>
      <c r="D1615" t="s">
        <v>246</v>
      </c>
      <c r="E1615">
        <v>4196</v>
      </c>
      <c r="F1615" t="s">
        <v>301</v>
      </c>
    </row>
    <row r="1616" spans="1:6" x14ac:dyDescent="0.35">
      <c r="A1616">
        <v>2022</v>
      </c>
      <c r="B1616" t="s">
        <v>289</v>
      </c>
      <c r="C1616" t="s">
        <v>283</v>
      </c>
      <c r="D1616" t="s">
        <v>234</v>
      </c>
      <c r="E1616">
        <v>28576</v>
      </c>
      <c r="F1616" t="s">
        <v>301</v>
      </c>
    </row>
    <row r="1617" spans="1:6" x14ac:dyDescent="0.35">
      <c r="A1617">
        <v>2022</v>
      </c>
      <c r="B1617" t="s">
        <v>289</v>
      </c>
      <c r="C1617" t="s">
        <v>283</v>
      </c>
      <c r="D1617" t="s">
        <v>247</v>
      </c>
      <c r="E1617">
        <v>3878</v>
      </c>
      <c r="F1617" t="s">
        <v>301</v>
      </c>
    </row>
    <row r="1618" spans="1:6" x14ac:dyDescent="0.35">
      <c r="A1618">
        <v>2022</v>
      </c>
      <c r="B1618" t="s">
        <v>289</v>
      </c>
      <c r="C1618" t="s">
        <v>283</v>
      </c>
      <c r="D1618" t="s">
        <v>235</v>
      </c>
      <c r="E1618">
        <v>2657</v>
      </c>
      <c r="F1618" t="s">
        <v>301</v>
      </c>
    </row>
    <row r="1619" spans="1:6" x14ac:dyDescent="0.35">
      <c r="A1619">
        <v>2022</v>
      </c>
      <c r="B1619" t="s">
        <v>289</v>
      </c>
      <c r="C1619" t="s">
        <v>283</v>
      </c>
      <c r="D1619" t="s">
        <v>226</v>
      </c>
      <c r="F1619" t="s">
        <v>301</v>
      </c>
    </row>
    <row r="1620" spans="1:6" x14ac:dyDescent="0.35">
      <c r="A1620">
        <v>2022</v>
      </c>
      <c r="B1620" t="s">
        <v>289</v>
      </c>
      <c r="C1620" t="s">
        <v>283</v>
      </c>
      <c r="D1620" t="s">
        <v>248</v>
      </c>
      <c r="E1620">
        <v>6161</v>
      </c>
      <c r="F1620" t="s">
        <v>301</v>
      </c>
    </row>
    <row r="1621" spans="1:6" x14ac:dyDescent="0.35">
      <c r="A1621">
        <v>2022</v>
      </c>
      <c r="B1621" t="s">
        <v>289</v>
      </c>
      <c r="C1621" t="s">
        <v>283</v>
      </c>
      <c r="D1621" t="s">
        <v>227</v>
      </c>
      <c r="E1621">
        <v>22</v>
      </c>
      <c r="F1621" t="s">
        <v>301</v>
      </c>
    </row>
    <row r="1622" spans="1:6" x14ac:dyDescent="0.35">
      <c r="A1622">
        <v>2022</v>
      </c>
      <c r="B1622" t="s">
        <v>289</v>
      </c>
      <c r="C1622" t="s">
        <v>283</v>
      </c>
      <c r="D1622" t="s">
        <v>249</v>
      </c>
      <c r="E1622">
        <v>6631</v>
      </c>
      <c r="F1622" t="s">
        <v>301</v>
      </c>
    </row>
    <row r="1623" spans="1:6" x14ac:dyDescent="0.35">
      <c r="A1623">
        <v>2022</v>
      </c>
      <c r="B1623" t="s">
        <v>289</v>
      </c>
      <c r="C1623" t="s">
        <v>283</v>
      </c>
      <c r="D1623" t="s">
        <v>239</v>
      </c>
      <c r="E1623">
        <v>5222</v>
      </c>
      <c r="F1623" t="s">
        <v>301</v>
      </c>
    </row>
    <row r="1624" spans="1:6" x14ac:dyDescent="0.35">
      <c r="A1624">
        <v>2022</v>
      </c>
      <c r="B1624" t="s">
        <v>289</v>
      </c>
      <c r="C1624" t="s">
        <v>283</v>
      </c>
      <c r="D1624" t="s">
        <v>240</v>
      </c>
      <c r="E1624">
        <v>85</v>
      </c>
      <c r="F1624" t="s">
        <v>301</v>
      </c>
    </row>
    <row r="1625" spans="1:6" x14ac:dyDescent="0.35">
      <c r="A1625">
        <v>2022</v>
      </c>
      <c r="B1625" t="s">
        <v>289</v>
      </c>
      <c r="C1625" t="s">
        <v>283</v>
      </c>
      <c r="D1625" t="s">
        <v>250</v>
      </c>
      <c r="E1625">
        <v>3190</v>
      </c>
      <c r="F1625" t="s">
        <v>301</v>
      </c>
    </row>
    <row r="1626" spans="1:6" x14ac:dyDescent="0.35">
      <c r="A1626">
        <v>2022</v>
      </c>
      <c r="B1626" t="s">
        <v>289</v>
      </c>
      <c r="C1626" t="s">
        <v>283</v>
      </c>
      <c r="D1626" t="s">
        <v>251</v>
      </c>
      <c r="E1626">
        <v>351</v>
      </c>
      <c r="F1626" t="s">
        <v>301</v>
      </c>
    </row>
    <row r="1627" spans="1:6" x14ac:dyDescent="0.35">
      <c r="A1627">
        <v>2022</v>
      </c>
      <c r="B1627" t="s">
        <v>289</v>
      </c>
      <c r="C1627" t="s">
        <v>283</v>
      </c>
      <c r="D1627" t="s">
        <v>229</v>
      </c>
      <c r="E1627">
        <v>30</v>
      </c>
      <c r="F1627" t="s">
        <v>301</v>
      </c>
    </row>
    <row r="1628" spans="1:6" x14ac:dyDescent="0.35">
      <c r="A1628">
        <v>2022</v>
      </c>
      <c r="B1628" t="s">
        <v>289</v>
      </c>
      <c r="C1628" t="s">
        <v>283</v>
      </c>
      <c r="D1628" t="s">
        <v>252</v>
      </c>
      <c r="E1628">
        <v>2689</v>
      </c>
      <c r="F1628" t="s">
        <v>301</v>
      </c>
    </row>
    <row r="1629" spans="1:6" x14ac:dyDescent="0.35">
      <c r="A1629">
        <v>2022</v>
      </c>
      <c r="B1629" t="s">
        <v>289</v>
      </c>
      <c r="C1629" t="s">
        <v>283</v>
      </c>
      <c r="D1629" t="s">
        <v>253</v>
      </c>
      <c r="E1629">
        <v>1768</v>
      </c>
      <c r="F1629" t="s">
        <v>301</v>
      </c>
    </row>
    <row r="1630" spans="1:6" x14ac:dyDescent="0.35">
      <c r="A1630">
        <v>2022</v>
      </c>
      <c r="B1630" t="s">
        <v>289</v>
      </c>
      <c r="C1630" t="s">
        <v>283</v>
      </c>
      <c r="D1630" t="s">
        <v>254</v>
      </c>
      <c r="E1630">
        <v>9819</v>
      </c>
      <c r="F1630" t="s">
        <v>301</v>
      </c>
    </row>
    <row r="1631" spans="1:6" x14ac:dyDescent="0.35">
      <c r="A1631">
        <v>2022</v>
      </c>
      <c r="B1631" t="s">
        <v>289</v>
      </c>
      <c r="C1631" t="s">
        <v>283</v>
      </c>
      <c r="D1631" t="s">
        <v>255</v>
      </c>
      <c r="E1631">
        <v>522</v>
      </c>
      <c r="F1631" t="s">
        <v>301</v>
      </c>
    </row>
    <row r="1632" spans="1:6" x14ac:dyDescent="0.35">
      <c r="A1632">
        <v>2022</v>
      </c>
      <c r="B1632" t="s">
        <v>289</v>
      </c>
      <c r="C1632" t="s">
        <v>283</v>
      </c>
      <c r="D1632" t="s">
        <v>230</v>
      </c>
      <c r="E1632">
        <v>37</v>
      </c>
      <c r="F1632" t="s">
        <v>301</v>
      </c>
    </row>
    <row r="1633" spans="1:6" x14ac:dyDescent="0.35">
      <c r="A1633">
        <v>2022</v>
      </c>
      <c r="B1633" t="s">
        <v>289</v>
      </c>
      <c r="C1633" t="s">
        <v>283</v>
      </c>
      <c r="D1633" t="s">
        <v>298</v>
      </c>
      <c r="E1633">
        <v>7949</v>
      </c>
      <c r="F1633" t="s">
        <v>301</v>
      </c>
    </row>
    <row r="1634" spans="1:6" x14ac:dyDescent="0.35">
      <c r="A1634">
        <v>2022</v>
      </c>
      <c r="B1634" t="s">
        <v>289</v>
      </c>
      <c r="C1634" t="s">
        <v>283</v>
      </c>
      <c r="D1634" t="s">
        <v>257</v>
      </c>
      <c r="F1634" t="s">
        <v>301</v>
      </c>
    </row>
    <row r="1635" spans="1:6" x14ac:dyDescent="0.35">
      <c r="A1635">
        <v>2022</v>
      </c>
      <c r="B1635" t="s">
        <v>290</v>
      </c>
      <c r="C1635" t="s">
        <v>425</v>
      </c>
      <c r="D1635" t="s">
        <v>244</v>
      </c>
      <c r="E1635">
        <v>27</v>
      </c>
      <c r="F1635" t="s">
        <v>302</v>
      </c>
    </row>
    <row r="1636" spans="1:6" x14ac:dyDescent="0.35">
      <c r="A1636">
        <v>2022</v>
      </c>
      <c r="B1636" t="s">
        <v>290</v>
      </c>
      <c r="C1636" t="s">
        <v>425</v>
      </c>
      <c r="D1636" t="s">
        <v>245</v>
      </c>
      <c r="E1636">
        <v>5</v>
      </c>
      <c r="F1636" t="s">
        <v>302</v>
      </c>
    </row>
    <row r="1637" spans="1:6" x14ac:dyDescent="0.35">
      <c r="A1637">
        <v>2022</v>
      </c>
      <c r="B1637" t="s">
        <v>290</v>
      </c>
      <c r="C1637" t="s">
        <v>425</v>
      </c>
      <c r="D1637" t="s">
        <v>246</v>
      </c>
      <c r="E1637">
        <v>72</v>
      </c>
      <c r="F1637" t="s">
        <v>302</v>
      </c>
    </row>
    <row r="1638" spans="1:6" x14ac:dyDescent="0.35">
      <c r="A1638">
        <v>2022</v>
      </c>
      <c r="B1638" t="s">
        <v>290</v>
      </c>
      <c r="C1638" t="s">
        <v>425</v>
      </c>
      <c r="D1638" t="s">
        <v>234</v>
      </c>
      <c r="E1638">
        <v>42</v>
      </c>
      <c r="F1638" t="s">
        <v>302</v>
      </c>
    </row>
    <row r="1639" spans="1:6" x14ac:dyDescent="0.35">
      <c r="A1639">
        <v>2022</v>
      </c>
      <c r="B1639" t="s">
        <v>290</v>
      </c>
      <c r="C1639" t="s">
        <v>425</v>
      </c>
      <c r="D1639" t="s">
        <v>258</v>
      </c>
      <c r="E1639">
        <v>11</v>
      </c>
      <c r="F1639" t="s">
        <v>302</v>
      </c>
    </row>
    <row r="1640" spans="1:6" x14ac:dyDescent="0.35">
      <c r="A1640">
        <v>2022</v>
      </c>
      <c r="B1640" t="s">
        <v>290</v>
      </c>
      <c r="C1640" t="s">
        <v>425</v>
      </c>
      <c r="D1640" t="s">
        <v>247</v>
      </c>
      <c r="E1640">
        <v>76</v>
      </c>
      <c r="F1640" t="s">
        <v>302</v>
      </c>
    </row>
    <row r="1641" spans="1:6" x14ac:dyDescent="0.35">
      <c r="A1641">
        <v>2022</v>
      </c>
      <c r="B1641" t="s">
        <v>290</v>
      </c>
      <c r="C1641" t="s">
        <v>425</v>
      </c>
      <c r="D1641" t="s">
        <v>259</v>
      </c>
      <c r="E1641">
        <v>41</v>
      </c>
      <c r="F1641" t="s">
        <v>302</v>
      </c>
    </row>
    <row r="1642" spans="1:6" x14ac:dyDescent="0.35">
      <c r="A1642">
        <v>2022</v>
      </c>
      <c r="B1642" t="s">
        <v>290</v>
      </c>
      <c r="C1642" t="s">
        <v>425</v>
      </c>
      <c r="D1642" t="s">
        <v>260</v>
      </c>
      <c r="E1642">
        <v>17</v>
      </c>
      <c r="F1642" t="s">
        <v>302</v>
      </c>
    </row>
    <row r="1643" spans="1:6" x14ac:dyDescent="0.35">
      <c r="A1643">
        <v>2022</v>
      </c>
      <c r="B1643" t="s">
        <v>290</v>
      </c>
      <c r="C1643" t="s">
        <v>425</v>
      </c>
      <c r="D1643" t="s">
        <v>235</v>
      </c>
      <c r="E1643">
        <v>57</v>
      </c>
      <c r="F1643" t="s">
        <v>302</v>
      </c>
    </row>
    <row r="1644" spans="1:6" x14ac:dyDescent="0.35">
      <c r="A1644">
        <v>2022</v>
      </c>
      <c r="B1644" t="s">
        <v>290</v>
      </c>
      <c r="C1644" t="s">
        <v>425</v>
      </c>
      <c r="D1644" t="s">
        <v>226</v>
      </c>
      <c r="E1644">
        <v>2759</v>
      </c>
      <c r="F1644" t="s">
        <v>302</v>
      </c>
    </row>
    <row r="1645" spans="1:6" x14ac:dyDescent="0.35">
      <c r="A1645">
        <v>2022</v>
      </c>
      <c r="B1645" t="s">
        <v>290</v>
      </c>
      <c r="C1645" t="s">
        <v>425</v>
      </c>
      <c r="D1645" t="s">
        <v>261</v>
      </c>
      <c r="F1645" t="s">
        <v>302</v>
      </c>
    </row>
    <row r="1646" spans="1:6" x14ac:dyDescent="0.35">
      <c r="A1646">
        <v>2022</v>
      </c>
      <c r="B1646" t="s">
        <v>290</v>
      </c>
      <c r="C1646" t="s">
        <v>425</v>
      </c>
      <c r="D1646" t="s">
        <v>248</v>
      </c>
      <c r="E1646">
        <v>162</v>
      </c>
      <c r="F1646" t="s">
        <v>302</v>
      </c>
    </row>
    <row r="1647" spans="1:6" x14ac:dyDescent="0.35">
      <c r="A1647">
        <v>2022</v>
      </c>
      <c r="B1647" t="s">
        <v>290</v>
      </c>
      <c r="C1647" t="s">
        <v>425</v>
      </c>
      <c r="D1647" t="s">
        <v>262</v>
      </c>
      <c r="E1647">
        <v>4</v>
      </c>
      <c r="F1647" t="s">
        <v>302</v>
      </c>
    </row>
    <row r="1648" spans="1:6" x14ac:dyDescent="0.35">
      <c r="A1648">
        <v>2022</v>
      </c>
      <c r="B1648" t="s">
        <v>290</v>
      </c>
      <c r="C1648" t="s">
        <v>425</v>
      </c>
      <c r="D1648" t="s">
        <v>263</v>
      </c>
      <c r="E1648">
        <v>236</v>
      </c>
      <c r="F1648" t="s">
        <v>302</v>
      </c>
    </row>
    <row r="1649" spans="1:6" x14ac:dyDescent="0.35">
      <c r="A1649">
        <v>2022</v>
      </c>
      <c r="B1649" t="s">
        <v>290</v>
      </c>
      <c r="C1649" t="s">
        <v>425</v>
      </c>
      <c r="D1649" t="s">
        <v>249</v>
      </c>
      <c r="E1649">
        <v>169</v>
      </c>
      <c r="F1649" t="s">
        <v>302</v>
      </c>
    </row>
    <row r="1650" spans="1:6" x14ac:dyDescent="0.35">
      <c r="A1650">
        <v>2022</v>
      </c>
      <c r="B1650" t="s">
        <v>290</v>
      </c>
      <c r="C1650" t="s">
        <v>425</v>
      </c>
      <c r="D1650" t="s">
        <v>239</v>
      </c>
      <c r="E1650">
        <v>24</v>
      </c>
      <c r="F1650" t="s">
        <v>302</v>
      </c>
    </row>
    <row r="1651" spans="1:6" x14ac:dyDescent="0.35">
      <c r="A1651">
        <v>2022</v>
      </c>
      <c r="B1651" t="s">
        <v>290</v>
      </c>
      <c r="C1651" t="s">
        <v>425</v>
      </c>
      <c r="D1651" t="s">
        <v>264</v>
      </c>
      <c r="E1651">
        <v>63</v>
      </c>
      <c r="F1651" t="s">
        <v>302</v>
      </c>
    </row>
    <row r="1652" spans="1:6" x14ac:dyDescent="0.35">
      <c r="A1652">
        <v>2022</v>
      </c>
      <c r="B1652" t="s">
        <v>290</v>
      </c>
      <c r="C1652" t="s">
        <v>425</v>
      </c>
      <c r="D1652" t="s">
        <v>240</v>
      </c>
      <c r="E1652">
        <v>135</v>
      </c>
      <c r="F1652" t="s">
        <v>302</v>
      </c>
    </row>
    <row r="1653" spans="1:6" x14ac:dyDescent="0.35">
      <c r="A1653">
        <v>2022</v>
      </c>
      <c r="B1653" t="s">
        <v>290</v>
      </c>
      <c r="C1653" t="s">
        <v>425</v>
      </c>
      <c r="D1653" t="s">
        <v>250</v>
      </c>
      <c r="E1653">
        <v>39</v>
      </c>
      <c r="F1653" t="s">
        <v>302</v>
      </c>
    </row>
    <row r="1654" spans="1:6" x14ac:dyDescent="0.35">
      <c r="A1654">
        <v>2022</v>
      </c>
      <c r="B1654" t="s">
        <v>290</v>
      </c>
      <c r="C1654" t="s">
        <v>425</v>
      </c>
      <c r="D1654" t="s">
        <v>265</v>
      </c>
      <c r="E1654">
        <v>79</v>
      </c>
      <c r="F1654" t="s">
        <v>302</v>
      </c>
    </row>
    <row r="1655" spans="1:6" x14ac:dyDescent="0.35">
      <c r="A1655">
        <v>2022</v>
      </c>
      <c r="B1655" t="s">
        <v>290</v>
      </c>
      <c r="C1655" t="s">
        <v>425</v>
      </c>
      <c r="D1655" t="s">
        <v>266</v>
      </c>
      <c r="E1655">
        <v>18</v>
      </c>
      <c r="F1655" t="s">
        <v>302</v>
      </c>
    </row>
    <row r="1656" spans="1:6" x14ac:dyDescent="0.35">
      <c r="A1656">
        <v>2022</v>
      </c>
      <c r="B1656" t="s">
        <v>290</v>
      </c>
      <c r="C1656" t="s">
        <v>425</v>
      </c>
      <c r="D1656" t="s">
        <v>267</v>
      </c>
      <c r="E1656">
        <v>780</v>
      </c>
      <c r="F1656" t="s">
        <v>302</v>
      </c>
    </row>
    <row r="1657" spans="1:6" x14ac:dyDescent="0.35">
      <c r="A1657">
        <v>2022</v>
      </c>
      <c r="B1657" t="s">
        <v>290</v>
      </c>
      <c r="C1657" t="s">
        <v>425</v>
      </c>
      <c r="D1657" t="s">
        <v>268</v>
      </c>
      <c r="E1657">
        <v>22</v>
      </c>
      <c r="F1657" t="s">
        <v>302</v>
      </c>
    </row>
    <row r="1658" spans="1:6" x14ac:dyDescent="0.35">
      <c r="A1658">
        <v>2022</v>
      </c>
      <c r="B1658" t="s">
        <v>290</v>
      </c>
      <c r="C1658" t="s">
        <v>425</v>
      </c>
      <c r="D1658" t="s">
        <v>269</v>
      </c>
      <c r="E1658">
        <v>121</v>
      </c>
      <c r="F1658" t="s">
        <v>302</v>
      </c>
    </row>
    <row r="1659" spans="1:6" x14ac:dyDescent="0.35">
      <c r="A1659">
        <v>2022</v>
      </c>
      <c r="B1659" t="s">
        <v>290</v>
      </c>
      <c r="C1659" t="s">
        <v>425</v>
      </c>
      <c r="D1659" t="s">
        <v>229</v>
      </c>
      <c r="E1659">
        <v>10</v>
      </c>
      <c r="F1659" t="s">
        <v>302</v>
      </c>
    </row>
    <row r="1660" spans="1:6" x14ac:dyDescent="0.35">
      <c r="A1660">
        <v>2022</v>
      </c>
      <c r="B1660" t="s">
        <v>290</v>
      </c>
      <c r="C1660" t="s">
        <v>425</v>
      </c>
      <c r="D1660" t="s">
        <v>252</v>
      </c>
      <c r="E1660">
        <v>64</v>
      </c>
      <c r="F1660" t="s">
        <v>302</v>
      </c>
    </row>
    <row r="1661" spans="1:6" x14ac:dyDescent="0.35">
      <c r="A1661">
        <v>2022</v>
      </c>
      <c r="B1661" t="s">
        <v>290</v>
      </c>
      <c r="C1661" t="s">
        <v>425</v>
      </c>
      <c r="D1661" t="s">
        <v>253</v>
      </c>
      <c r="E1661">
        <v>105</v>
      </c>
      <c r="F1661" t="s">
        <v>302</v>
      </c>
    </row>
    <row r="1662" spans="1:6" x14ac:dyDescent="0.35">
      <c r="A1662">
        <v>2022</v>
      </c>
      <c r="B1662" t="s">
        <v>290</v>
      </c>
      <c r="C1662" t="s">
        <v>425</v>
      </c>
      <c r="D1662" t="s">
        <v>254</v>
      </c>
      <c r="E1662">
        <v>43</v>
      </c>
      <c r="F1662" t="s">
        <v>302</v>
      </c>
    </row>
    <row r="1663" spans="1:6" x14ac:dyDescent="0.35">
      <c r="A1663">
        <v>2022</v>
      </c>
      <c r="B1663" t="s">
        <v>290</v>
      </c>
      <c r="C1663" t="s">
        <v>425</v>
      </c>
      <c r="D1663" t="s">
        <v>255</v>
      </c>
      <c r="E1663">
        <v>17</v>
      </c>
      <c r="F1663" t="s">
        <v>302</v>
      </c>
    </row>
    <row r="1664" spans="1:6" x14ac:dyDescent="0.35">
      <c r="A1664">
        <v>2022</v>
      </c>
      <c r="B1664" t="s">
        <v>290</v>
      </c>
      <c r="C1664" t="s">
        <v>425</v>
      </c>
      <c r="D1664" t="s">
        <v>270</v>
      </c>
      <c r="E1664">
        <v>36</v>
      </c>
      <c r="F1664" t="s">
        <v>302</v>
      </c>
    </row>
    <row r="1665" spans="1:6" x14ac:dyDescent="0.35">
      <c r="A1665">
        <v>2022</v>
      </c>
      <c r="B1665" t="s">
        <v>290</v>
      </c>
      <c r="C1665" t="s">
        <v>426</v>
      </c>
      <c r="D1665" t="s">
        <v>271</v>
      </c>
      <c r="E1665">
        <v>132</v>
      </c>
      <c r="F1665" t="s">
        <v>302</v>
      </c>
    </row>
    <row r="1666" spans="1:6" x14ac:dyDescent="0.35">
      <c r="A1666">
        <v>2022</v>
      </c>
      <c r="B1666" t="s">
        <v>291</v>
      </c>
      <c r="C1666" t="s">
        <v>425</v>
      </c>
      <c r="D1666" t="s">
        <v>244</v>
      </c>
      <c r="E1666">
        <v>8183</v>
      </c>
      <c r="F1666" t="s">
        <v>302</v>
      </c>
    </row>
    <row r="1667" spans="1:6" x14ac:dyDescent="0.35">
      <c r="A1667">
        <v>2022</v>
      </c>
      <c r="B1667" t="s">
        <v>291</v>
      </c>
      <c r="C1667" t="s">
        <v>425</v>
      </c>
      <c r="D1667" t="s">
        <v>245</v>
      </c>
      <c r="E1667">
        <v>1995</v>
      </c>
      <c r="F1667" t="s">
        <v>302</v>
      </c>
    </row>
    <row r="1668" spans="1:6" x14ac:dyDescent="0.35">
      <c r="A1668">
        <v>2022</v>
      </c>
      <c r="B1668" t="s">
        <v>291</v>
      </c>
      <c r="C1668" t="s">
        <v>425</v>
      </c>
      <c r="D1668" t="s">
        <v>246</v>
      </c>
      <c r="E1668">
        <v>6971</v>
      </c>
      <c r="F1668" t="s">
        <v>302</v>
      </c>
    </row>
    <row r="1669" spans="1:6" x14ac:dyDescent="0.35">
      <c r="A1669">
        <v>2022</v>
      </c>
      <c r="B1669" t="s">
        <v>291</v>
      </c>
      <c r="C1669" t="s">
        <v>425</v>
      </c>
      <c r="D1669" t="s">
        <v>234</v>
      </c>
      <c r="E1669">
        <v>1240</v>
      </c>
      <c r="F1669" t="s">
        <v>302</v>
      </c>
    </row>
    <row r="1670" spans="1:6" x14ac:dyDescent="0.35">
      <c r="A1670">
        <v>2022</v>
      </c>
      <c r="B1670" t="s">
        <v>291</v>
      </c>
      <c r="C1670" t="s">
        <v>425</v>
      </c>
      <c r="D1670" t="s">
        <v>247</v>
      </c>
      <c r="E1670">
        <v>8554</v>
      </c>
      <c r="F1670" t="s">
        <v>302</v>
      </c>
    </row>
    <row r="1671" spans="1:6" x14ac:dyDescent="0.35">
      <c r="A1671">
        <v>2022</v>
      </c>
      <c r="B1671" t="s">
        <v>291</v>
      </c>
      <c r="C1671" t="s">
        <v>425</v>
      </c>
      <c r="D1671" t="s">
        <v>259</v>
      </c>
      <c r="E1671">
        <v>13004</v>
      </c>
      <c r="F1671" t="s">
        <v>302</v>
      </c>
    </row>
    <row r="1672" spans="1:6" x14ac:dyDescent="0.35">
      <c r="A1672">
        <v>2022</v>
      </c>
      <c r="B1672" t="s">
        <v>291</v>
      </c>
      <c r="C1672" t="s">
        <v>425</v>
      </c>
      <c r="D1672" t="s">
        <v>260</v>
      </c>
      <c r="E1672">
        <v>2991</v>
      </c>
      <c r="F1672" t="s">
        <v>302</v>
      </c>
    </row>
    <row r="1673" spans="1:6" x14ac:dyDescent="0.35">
      <c r="A1673">
        <v>2022</v>
      </c>
      <c r="B1673" t="s">
        <v>291</v>
      </c>
      <c r="C1673" t="s">
        <v>425</v>
      </c>
      <c r="D1673" t="s">
        <v>235</v>
      </c>
      <c r="E1673">
        <v>3560</v>
      </c>
      <c r="F1673" t="s">
        <v>302</v>
      </c>
    </row>
    <row r="1674" spans="1:6" x14ac:dyDescent="0.35">
      <c r="A1674">
        <v>2022</v>
      </c>
      <c r="B1674" t="s">
        <v>291</v>
      </c>
      <c r="C1674" t="s">
        <v>425</v>
      </c>
      <c r="D1674" t="s">
        <v>226</v>
      </c>
      <c r="E1674">
        <v>1919</v>
      </c>
      <c r="F1674" t="s">
        <v>302</v>
      </c>
    </row>
    <row r="1675" spans="1:6" x14ac:dyDescent="0.35">
      <c r="A1675">
        <v>2022</v>
      </c>
      <c r="B1675" t="s">
        <v>291</v>
      </c>
      <c r="C1675" t="s">
        <v>425</v>
      </c>
      <c r="D1675" t="s">
        <v>248</v>
      </c>
      <c r="E1675">
        <v>8799</v>
      </c>
      <c r="F1675" t="s">
        <v>302</v>
      </c>
    </row>
    <row r="1676" spans="1:6" x14ac:dyDescent="0.35">
      <c r="A1676">
        <v>2022</v>
      </c>
      <c r="B1676" t="s">
        <v>291</v>
      </c>
      <c r="C1676" t="s">
        <v>425</v>
      </c>
      <c r="D1676" t="s">
        <v>249</v>
      </c>
      <c r="E1676">
        <v>6601</v>
      </c>
      <c r="F1676" t="s">
        <v>302</v>
      </c>
    </row>
    <row r="1677" spans="1:6" x14ac:dyDescent="0.35">
      <c r="A1677">
        <v>2022</v>
      </c>
      <c r="B1677" t="s">
        <v>291</v>
      </c>
      <c r="C1677" t="s">
        <v>425</v>
      </c>
      <c r="D1677" t="s">
        <v>239</v>
      </c>
      <c r="E1677">
        <v>9621</v>
      </c>
      <c r="F1677" t="s">
        <v>302</v>
      </c>
    </row>
    <row r="1678" spans="1:6" x14ac:dyDescent="0.35">
      <c r="A1678">
        <v>2022</v>
      </c>
      <c r="B1678" t="s">
        <v>291</v>
      </c>
      <c r="C1678" t="s">
        <v>425</v>
      </c>
      <c r="D1678" t="s">
        <v>240</v>
      </c>
      <c r="E1678">
        <v>8637</v>
      </c>
      <c r="F1678" t="s">
        <v>302</v>
      </c>
    </row>
    <row r="1679" spans="1:6" x14ac:dyDescent="0.35">
      <c r="A1679">
        <v>2022</v>
      </c>
      <c r="B1679" t="s">
        <v>291</v>
      </c>
      <c r="C1679" t="s">
        <v>425</v>
      </c>
      <c r="D1679" t="s">
        <v>250</v>
      </c>
      <c r="E1679">
        <v>10674</v>
      </c>
      <c r="F1679" t="s">
        <v>302</v>
      </c>
    </row>
    <row r="1680" spans="1:6" x14ac:dyDescent="0.35">
      <c r="A1680">
        <v>2022</v>
      </c>
      <c r="B1680" t="s">
        <v>291</v>
      </c>
      <c r="C1680" t="s">
        <v>425</v>
      </c>
      <c r="D1680" t="s">
        <v>265</v>
      </c>
      <c r="E1680">
        <v>12137</v>
      </c>
      <c r="F1680" t="s">
        <v>302</v>
      </c>
    </row>
    <row r="1681" spans="1:6" x14ac:dyDescent="0.35">
      <c r="A1681">
        <v>2022</v>
      </c>
      <c r="B1681" t="s">
        <v>291</v>
      </c>
      <c r="C1681" t="s">
        <v>425</v>
      </c>
      <c r="D1681" t="s">
        <v>266</v>
      </c>
      <c r="E1681">
        <v>2847</v>
      </c>
      <c r="F1681" t="s">
        <v>302</v>
      </c>
    </row>
    <row r="1682" spans="1:6" x14ac:dyDescent="0.35">
      <c r="A1682">
        <v>2022</v>
      </c>
      <c r="B1682" t="s">
        <v>291</v>
      </c>
      <c r="C1682" t="s">
        <v>425</v>
      </c>
      <c r="D1682" t="s">
        <v>267</v>
      </c>
      <c r="E1682">
        <v>4286</v>
      </c>
      <c r="F1682" t="s">
        <v>302</v>
      </c>
    </row>
    <row r="1683" spans="1:6" x14ac:dyDescent="0.35">
      <c r="A1683">
        <v>2022</v>
      </c>
      <c r="B1683" t="s">
        <v>291</v>
      </c>
      <c r="C1683" t="s">
        <v>425</v>
      </c>
      <c r="D1683" t="s">
        <v>268</v>
      </c>
      <c r="E1683">
        <v>3046</v>
      </c>
      <c r="F1683" t="s">
        <v>302</v>
      </c>
    </row>
    <row r="1684" spans="1:6" x14ac:dyDescent="0.35">
      <c r="A1684">
        <v>2022</v>
      </c>
      <c r="B1684" t="s">
        <v>291</v>
      </c>
      <c r="C1684" t="s">
        <v>425</v>
      </c>
      <c r="D1684" t="s">
        <v>272</v>
      </c>
      <c r="E1684">
        <v>4321</v>
      </c>
      <c r="F1684" t="s">
        <v>302</v>
      </c>
    </row>
    <row r="1685" spans="1:6" x14ac:dyDescent="0.35">
      <c r="A1685">
        <v>2022</v>
      </c>
      <c r="B1685" t="s">
        <v>291</v>
      </c>
      <c r="C1685" t="s">
        <v>425</v>
      </c>
      <c r="D1685" t="s">
        <v>269</v>
      </c>
      <c r="E1685">
        <v>6432</v>
      </c>
      <c r="F1685" t="s">
        <v>302</v>
      </c>
    </row>
    <row r="1686" spans="1:6" x14ac:dyDescent="0.35">
      <c r="A1686">
        <v>2022</v>
      </c>
      <c r="B1686" t="s">
        <v>291</v>
      </c>
      <c r="C1686" t="s">
        <v>425</v>
      </c>
      <c r="D1686" t="s">
        <v>229</v>
      </c>
      <c r="E1686">
        <v>1108</v>
      </c>
      <c r="F1686" t="s">
        <v>302</v>
      </c>
    </row>
    <row r="1687" spans="1:6" x14ac:dyDescent="0.35">
      <c r="A1687">
        <v>2022</v>
      </c>
      <c r="B1687" t="s">
        <v>291</v>
      </c>
      <c r="C1687" t="s">
        <v>425</v>
      </c>
      <c r="D1687" t="s">
        <v>252</v>
      </c>
      <c r="E1687">
        <v>2850</v>
      </c>
      <c r="F1687" t="s">
        <v>302</v>
      </c>
    </row>
    <row r="1688" spans="1:6" x14ac:dyDescent="0.35">
      <c r="A1688">
        <v>2022</v>
      </c>
      <c r="B1688" t="s">
        <v>291</v>
      </c>
      <c r="C1688" t="s">
        <v>425</v>
      </c>
      <c r="D1688" t="s">
        <v>254</v>
      </c>
      <c r="E1688">
        <v>2450</v>
      </c>
      <c r="F1688" t="s">
        <v>302</v>
      </c>
    </row>
    <row r="1689" spans="1:6" x14ac:dyDescent="0.35">
      <c r="A1689">
        <v>2022</v>
      </c>
      <c r="B1689" t="s">
        <v>291</v>
      </c>
      <c r="C1689" t="s">
        <v>425</v>
      </c>
      <c r="D1689" t="s">
        <v>270</v>
      </c>
      <c r="E1689">
        <v>1667</v>
      </c>
      <c r="F1689" t="s">
        <v>302</v>
      </c>
    </row>
    <row r="1690" spans="1:6" x14ac:dyDescent="0.35">
      <c r="A1690">
        <v>2022</v>
      </c>
      <c r="B1690" t="s">
        <v>291</v>
      </c>
      <c r="C1690" t="s">
        <v>425</v>
      </c>
      <c r="D1690" t="s">
        <v>273</v>
      </c>
      <c r="F1690" t="s">
        <v>302</v>
      </c>
    </row>
    <row r="1691" spans="1:6" x14ac:dyDescent="0.35">
      <c r="A1691">
        <v>2022</v>
      </c>
      <c r="B1691" t="s">
        <v>291</v>
      </c>
      <c r="C1691" t="s">
        <v>425</v>
      </c>
      <c r="D1691" t="s">
        <v>39</v>
      </c>
      <c r="E1691">
        <v>8857</v>
      </c>
      <c r="F1691" t="s">
        <v>302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D886-BEAC-453E-8808-9EAD0B3B0D1B}">
  <dimension ref="A1:H215"/>
  <sheetViews>
    <sheetView workbookViewId="0">
      <selection activeCell="D12" sqref="D12"/>
    </sheetView>
  </sheetViews>
  <sheetFormatPr defaultRowHeight="14.5" x14ac:dyDescent="0.35"/>
  <cols>
    <col min="1" max="1" width="7.453125" bestFit="1" customWidth="1"/>
    <col min="2" max="2" width="13.08984375" bestFit="1" customWidth="1"/>
    <col min="3" max="3" width="25.54296875" customWidth="1"/>
    <col min="5" max="5" width="9.81640625" bestFit="1" customWidth="1"/>
  </cols>
  <sheetData>
    <row r="1" spans="1:3" x14ac:dyDescent="0.35">
      <c r="A1" t="s">
        <v>24</v>
      </c>
      <c r="B1" t="s">
        <v>0</v>
      </c>
      <c r="C1" t="s">
        <v>219</v>
      </c>
    </row>
    <row r="2" spans="1:3" x14ac:dyDescent="0.35">
      <c r="A2">
        <v>2000</v>
      </c>
      <c r="B2" t="s">
        <v>1</v>
      </c>
      <c r="C2">
        <v>2510000</v>
      </c>
    </row>
    <row r="3" spans="1:3" x14ac:dyDescent="0.35">
      <c r="A3">
        <v>2000</v>
      </c>
      <c r="B3" t="s">
        <v>2</v>
      </c>
      <c r="C3">
        <v>1090000</v>
      </c>
    </row>
    <row r="4" spans="1:3" x14ac:dyDescent="0.35">
      <c r="A4">
        <v>2000</v>
      </c>
      <c r="B4" t="s">
        <v>3</v>
      </c>
      <c r="C4">
        <v>800000</v>
      </c>
    </row>
    <row r="5" spans="1:3" x14ac:dyDescent="0.35">
      <c r="A5">
        <v>2000</v>
      </c>
      <c r="B5" t="s">
        <v>4</v>
      </c>
      <c r="C5">
        <v>350000</v>
      </c>
    </row>
    <row r="6" spans="1:3" x14ac:dyDescent="0.35">
      <c r="A6">
        <v>2000</v>
      </c>
      <c r="B6" t="s">
        <v>5</v>
      </c>
      <c r="C6">
        <v>440000</v>
      </c>
    </row>
    <row r="7" spans="1:3" x14ac:dyDescent="0.35">
      <c r="A7">
        <v>2000</v>
      </c>
      <c r="B7" t="s">
        <v>6</v>
      </c>
      <c r="C7">
        <v>540000</v>
      </c>
    </row>
    <row r="8" spans="1:3" x14ac:dyDescent="0.35">
      <c r="A8">
        <v>2000</v>
      </c>
      <c r="B8" t="s">
        <v>7</v>
      </c>
      <c r="C8">
        <v>260000</v>
      </c>
    </row>
    <row r="9" spans="1:3" x14ac:dyDescent="0.35">
      <c r="A9">
        <v>2000</v>
      </c>
      <c r="B9" t="s">
        <v>8</v>
      </c>
      <c r="C9">
        <v>220000</v>
      </c>
    </row>
    <row r="10" spans="1:3" x14ac:dyDescent="0.35">
      <c r="A10">
        <v>2000</v>
      </c>
      <c r="B10" t="s">
        <v>9</v>
      </c>
      <c r="C10">
        <v>170000</v>
      </c>
    </row>
    <row r="11" spans="1:3" x14ac:dyDescent="0.35">
      <c r="A11">
        <v>2000</v>
      </c>
      <c r="B11" t="s">
        <v>10</v>
      </c>
      <c r="C11">
        <v>330000</v>
      </c>
    </row>
    <row r="12" spans="1:3" x14ac:dyDescent="0.35">
      <c r="A12">
        <v>2000</v>
      </c>
      <c r="B12" t="s">
        <v>11</v>
      </c>
      <c r="C12">
        <v>1750000</v>
      </c>
    </row>
    <row r="13" spans="1:3" x14ac:dyDescent="0.35">
      <c r="A13">
        <v>2005</v>
      </c>
      <c r="B13" t="s">
        <v>1</v>
      </c>
      <c r="C13">
        <v>2770000</v>
      </c>
    </row>
    <row r="14" spans="1:3" x14ac:dyDescent="0.35">
      <c r="A14">
        <v>2005</v>
      </c>
      <c r="B14" t="s">
        <v>2</v>
      </c>
      <c r="C14">
        <v>1360000</v>
      </c>
    </row>
    <row r="15" spans="1:3" x14ac:dyDescent="0.35">
      <c r="A15">
        <v>2005</v>
      </c>
      <c r="B15" t="s">
        <v>3</v>
      </c>
      <c r="C15">
        <v>850000</v>
      </c>
    </row>
    <row r="16" spans="1:3" x14ac:dyDescent="0.35">
      <c r="A16">
        <v>2005</v>
      </c>
      <c r="B16" t="s">
        <v>4</v>
      </c>
      <c r="C16">
        <v>380000</v>
      </c>
    </row>
    <row r="17" spans="1:3" x14ac:dyDescent="0.35">
      <c r="A17">
        <v>2005</v>
      </c>
      <c r="B17" t="s">
        <v>5</v>
      </c>
      <c r="C17">
        <v>520000</v>
      </c>
    </row>
    <row r="18" spans="1:3" x14ac:dyDescent="0.35">
      <c r="A18">
        <v>2005</v>
      </c>
      <c r="B18" t="s">
        <v>6</v>
      </c>
      <c r="C18">
        <v>560000</v>
      </c>
    </row>
    <row r="19" spans="1:3" x14ac:dyDescent="0.35">
      <c r="A19">
        <v>2005</v>
      </c>
      <c r="B19" t="s">
        <v>7</v>
      </c>
      <c r="C19">
        <v>360000</v>
      </c>
    </row>
    <row r="20" spans="1:3" x14ac:dyDescent="0.35">
      <c r="A20">
        <v>2005</v>
      </c>
      <c r="B20" t="s">
        <v>8</v>
      </c>
      <c r="C20">
        <v>470000</v>
      </c>
    </row>
    <row r="21" spans="1:3" x14ac:dyDescent="0.35">
      <c r="A21">
        <v>2005</v>
      </c>
      <c r="B21" t="s">
        <v>9</v>
      </c>
      <c r="C21">
        <v>0</v>
      </c>
    </row>
    <row r="22" spans="1:3" x14ac:dyDescent="0.35">
      <c r="A22">
        <v>2005</v>
      </c>
      <c r="B22" t="s">
        <v>10</v>
      </c>
      <c r="C22">
        <v>480000</v>
      </c>
    </row>
    <row r="23" spans="1:3" x14ac:dyDescent="0.35">
      <c r="A23">
        <v>2005</v>
      </c>
      <c r="B23" t="s">
        <v>11</v>
      </c>
      <c r="C23">
        <v>2750000</v>
      </c>
    </row>
    <row r="24" spans="1:3" x14ac:dyDescent="0.35">
      <c r="A24">
        <v>2006</v>
      </c>
      <c r="B24" t="s">
        <v>1</v>
      </c>
      <c r="C24">
        <v>2790000</v>
      </c>
    </row>
    <row r="25" spans="1:3" x14ac:dyDescent="0.35">
      <c r="A25">
        <v>2006</v>
      </c>
      <c r="B25" t="s">
        <v>2</v>
      </c>
      <c r="C25">
        <v>1620000</v>
      </c>
    </row>
    <row r="26" spans="1:3" x14ac:dyDescent="0.35">
      <c r="A26">
        <v>2006</v>
      </c>
      <c r="B26" t="s">
        <v>3</v>
      </c>
      <c r="C26">
        <v>960000</v>
      </c>
    </row>
    <row r="27" spans="1:3" x14ac:dyDescent="0.35">
      <c r="A27">
        <v>2006</v>
      </c>
      <c r="B27" t="s">
        <v>4</v>
      </c>
      <c r="C27">
        <v>420000</v>
      </c>
    </row>
    <row r="28" spans="1:3" x14ac:dyDescent="0.35">
      <c r="A28">
        <v>2006</v>
      </c>
      <c r="B28" t="s">
        <v>5</v>
      </c>
      <c r="C28">
        <v>530000</v>
      </c>
    </row>
    <row r="29" spans="1:3" x14ac:dyDescent="0.35">
      <c r="A29">
        <v>2006</v>
      </c>
      <c r="B29" t="s">
        <v>6</v>
      </c>
      <c r="C29">
        <v>510000</v>
      </c>
    </row>
    <row r="30" spans="1:3" x14ac:dyDescent="0.35">
      <c r="A30">
        <v>2006</v>
      </c>
      <c r="B30" t="s">
        <v>7</v>
      </c>
      <c r="C30">
        <v>360000</v>
      </c>
    </row>
    <row r="31" spans="1:3" x14ac:dyDescent="0.35">
      <c r="A31">
        <v>2006</v>
      </c>
      <c r="B31" t="s">
        <v>8</v>
      </c>
      <c r="C31">
        <v>490000</v>
      </c>
    </row>
    <row r="32" spans="1:3" x14ac:dyDescent="0.35">
      <c r="A32">
        <v>2006</v>
      </c>
      <c r="B32" t="s">
        <v>9</v>
      </c>
      <c r="C32">
        <v>280000</v>
      </c>
    </row>
    <row r="33" spans="1:3" x14ac:dyDescent="0.35">
      <c r="A33">
        <v>2006</v>
      </c>
      <c r="B33" t="s">
        <v>10</v>
      </c>
      <c r="C33">
        <v>490000</v>
      </c>
    </row>
    <row r="34" spans="1:3" x14ac:dyDescent="0.35">
      <c r="A34">
        <v>2006</v>
      </c>
      <c r="B34" t="s">
        <v>11</v>
      </c>
      <c r="C34">
        <v>2860000</v>
      </c>
    </row>
    <row r="35" spans="1:3" x14ac:dyDescent="0.35">
      <c r="A35">
        <v>2007</v>
      </c>
      <c r="B35" t="s">
        <v>1</v>
      </c>
      <c r="C35">
        <v>2840000</v>
      </c>
    </row>
    <row r="36" spans="1:3" x14ac:dyDescent="0.35">
      <c r="A36">
        <v>2007</v>
      </c>
      <c r="B36" t="s">
        <v>2</v>
      </c>
      <c r="C36">
        <v>1710000</v>
      </c>
    </row>
    <row r="37" spans="1:3" x14ac:dyDescent="0.35">
      <c r="A37">
        <v>2007</v>
      </c>
      <c r="B37" t="s">
        <v>3</v>
      </c>
      <c r="C37">
        <v>960000</v>
      </c>
    </row>
    <row r="38" spans="1:3" x14ac:dyDescent="0.35">
      <c r="A38">
        <v>2007</v>
      </c>
      <c r="B38" t="s">
        <v>4</v>
      </c>
      <c r="C38">
        <v>470000</v>
      </c>
    </row>
    <row r="39" spans="1:3" x14ac:dyDescent="0.35">
      <c r="A39">
        <v>2007</v>
      </c>
      <c r="B39" t="s">
        <v>5</v>
      </c>
      <c r="C39">
        <v>560000</v>
      </c>
    </row>
    <row r="40" spans="1:3" x14ac:dyDescent="0.35">
      <c r="A40">
        <v>2007</v>
      </c>
      <c r="B40" t="s">
        <v>6</v>
      </c>
      <c r="C40">
        <v>640000</v>
      </c>
    </row>
    <row r="41" spans="1:3" x14ac:dyDescent="0.35">
      <c r="A41">
        <v>2007</v>
      </c>
      <c r="B41" t="s">
        <v>7</v>
      </c>
      <c r="C41">
        <v>380000</v>
      </c>
    </row>
    <row r="42" spans="1:3" x14ac:dyDescent="0.35">
      <c r="A42">
        <v>2007</v>
      </c>
      <c r="B42" t="s">
        <v>8</v>
      </c>
      <c r="C42">
        <v>490000</v>
      </c>
    </row>
    <row r="43" spans="1:3" x14ac:dyDescent="0.35">
      <c r="A43">
        <v>2007</v>
      </c>
      <c r="B43" t="s">
        <v>9</v>
      </c>
      <c r="C43">
        <v>260000</v>
      </c>
    </row>
    <row r="44" spans="1:3" x14ac:dyDescent="0.35">
      <c r="A44">
        <v>2007</v>
      </c>
      <c r="B44" t="s">
        <v>10</v>
      </c>
      <c r="C44">
        <v>530000</v>
      </c>
    </row>
    <row r="45" spans="1:3" x14ac:dyDescent="0.35">
      <c r="A45">
        <v>2007</v>
      </c>
      <c r="B45" t="s">
        <v>11</v>
      </c>
      <c r="C45">
        <v>2940000</v>
      </c>
    </row>
    <row r="46" spans="1:3" x14ac:dyDescent="0.35">
      <c r="A46">
        <v>2008</v>
      </c>
      <c r="B46" t="s">
        <v>1</v>
      </c>
      <c r="C46">
        <v>2850000</v>
      </c>
    </row>
    <row r="47" spans="1:3" x14ac:dyDescent="0.35">
      <c r="A47">
        <v>2008</v>
      </c>
      <c r="B47" t="s">
        <v>2</v>
      </c>
      <c r="C47">
        <v>1680000</v>
      </c>
    </row>
    <row r="48" spans="1:3" x14ac:dyDescent="0.35">
      <c r="A48">
        <v>2008</v>
      </c>
      <c r="B48" t="s">
        <v>3</v>
      </c>
      <c r="C48">
        <v>840000</v>
      </c>
    </row>
    <row r="49" spans="1:3" x14ac:dyDescent="0.35">
      <c r="A49">
        <v>2008</v>
      </c>
      <c r="B49" t="s">
        <v>4</v>
      </c>
      <c r="C49">
        <v>400000</v>
      </c>
    </row>
    <row r="50" spans="1:3" x14ac:dyDescent="0.35">
      <c r="A50">
        <v>2008</v>
      </c>
      <c r="B50" t="s">
        <v>5</v>
      </c>
      <c r="C50">
        <v>550000</v>
      </c>
    </row>
    <row r="51" spans="1:3" x14ac:dyDescent="0.35">
      <c r="A51">
        <v>2008</v>
      </c>
      <c r="B51" t="s">
        <v>6</v>
      </c>
      <c r="C51">
        <v>640000</v>
      </c>
    </row>
    <row r="52" spans="1:3" x14ac:dyDescent="0.35">
      <c r="A52">
        <v>2008</v>
      </c>
      <c r="B52" t="s">
        <v>7</v>
      </c>
      <c r="C52">
        <v>380000</v>
      </c>
    </row>
    <row r="53" spans="1:3" x14ac:dyDescent="0.35">
      <c r="A53">
        <v>2008</v>
      </c>
      <c r="B53" t="s">
        <v>8</v>
      </c>
      <c r="C53">
        <v>460000</v>
      </c>
    </row>
    <row r="54" spans="1:3" x14ac:dyDescent="0.35">
      <c r="A54">
        <v>2008</v>
      </c>
      <c r="B54" t="s">
        <v>9</v>
      </c>
      <c r="C54">
        <v>260000</v>
      </c>
    </row>
    <row r="55" spans="1:3" x14ac:dyDescent="0.35">
      <c r="A55">
        <v>2008</v>
      </c>
      <c r="B55" t="s">
        <v>10</v>
      </c>
      <c r="C55">
        <v>560000</v>
      </c>
    </row>
    <row r="56" spans="1:3" x14ac:dyDescent="0.35">
      <c r="A56">
        <v>2008</v>
      </c>
      <c r="B56" t="s">
        <v>11</v>
      </c>
      <c r="C56">
        <v>2980000</v>
      </c>
    </row>
    <row r="57" spans="1:3" x14ac:dyDescent="0.35">
      <c r="A57">
        <v>2009</v>
      </c>
      <c r="B57" t="s">
        <v>1</v>
      </c>
      <c r="C57">
        <v>2600000</v>
      </c>
    </row>
    <row r="58" spans="1:3" x14ac:dyDescent="0.35">
      <c r="A58">
        <v>2009</v>
      </c>
      <c r="B58" t="s">
        <v>2</v>
      </c>
      <c r="C58">
        <v>1680000</v>
      </c>
    </row>
    <row r="59" spans="1:3" x14ac:dyDescent="0.35">
      <c r="A59">
        <v>2009</v>
      </c>
      <c r="B59" t="s">
        <v>3</v>
      </c>
      <c r="C59">
        <v>720000</v>
      </c>
    </row>
    <row r="60" spans="1:3" x14ac:dyDescent="0.35">
      <c r="A60">
        <v>2009</v>
      </c>
      <c r="B60" t="s">
        <v>4</v>
      </c>
      <c r="C60">
        <v>360000</v>
      </c>
    </row>
    <row r="61" spans="1:3" x14ac:dyDescent="0.35">
      <c r="A61">
        <v>2009</v>
      </c>
      <c r="B61" t="s">
        <v>5</v>
      </c>
      <c r="C61">
        <v>540000</v>
      </c>
    </row>
    <row r="62" spans="1:3" x14ac:dyDescent="0.35">
      <c r="A62">
        <v>2009</v>
      </c>
      <c r="B62" t="s">
        <v>6</v>
      </c>
      <c r="C62">
        <v>550000</v>
      </c>
    </row>
    <row r="63" spans="1:3" x14ac:dyDescent="0.35">
      <c r="A63">
        <v>2009</v>
      </c>
      <c r="B63" t="s">
        <v>7</v>
      </c>
      <c r="C63">
        <v>370000</v>
      </c>
    </row>
    <row r="64" spans="1:3" x14ac:dyDescent="0.35">
      <c r="A64">
        <v>2009</v>
      </c>
      <c r="B64" t="s">
        <v>8</v>
      </c>
      <c r="C64">
        <v>480000</v>
      </c>
    </row>
    <row r="65" spans="1:3" x14ac:dyDescent="0.35">
      <c r="A65">
        <v>2009</v>
      </c>
      <c r="B65" t="s">
        <v>9</v>
      </c>
      <c r="C65">
        <v>230000</v>
      </c>
    </row>
    <row r="66" spans="1:3" x14ac:dyDescent="0.35">
      <c r="A66">
        <v>2009</v>
      </c>
      <c r="B66" t="s">
        <v>10</v>
      </c>
      <c r="C66">
        <v>460000</v>
      </c>
    </row>
    <row r="67" spans="1:3" x14ac:dyDescent="0.35">
      <c r="A67">
        <v>2009</v>
      </c>
      <c r="B67" t="s">
        <v>11</v>
      </c>
      <c r="C67">
        <v>2760000</v>
      </c>
    </row>
    <row r="68" spans="1:3" x14ac:dyDescent="0.35">
      <c r="A68">
        <v>2010</v>
      </c>
      <c r="B68" t="s">
        <v>1</v>
      </c>
      <c r="C68">
        <v>2910000</v>
      </c>
    </row>
    <row r="69" spans="1:3" x14ac:dyDescent="0.35">
      <c r="A69">
        <v>2010</v>
      </c>
      <c r="B69" t="s">
        <v>2</v>
      </c>
      <c r="C69">
        <v>1780000</v>
      </c>
    </row>
    <row r="70" spans="1:3" x14ac:dyDescent="0.35">
      <c r="A70">
        <v>2010</v>
      </c>
      <c r="B70" t="s">
        <v>3</v>
      </c>
      <c r="C70">
        <v>730000</v>
      </c>
    </row>
    <row r="71" spans="1:3" x14ac:dyDescent="0.35">
      <c r="A71">
        <v>2010</v>
      </c>
      <c r="B71" t="s">
        <v>4</v>
      </c>
      <c r="C71">
        <v>440000</v>
      </c>
    </row>
    <row r="72" spans="1:3" x14ac:dyDescent="0.35">
      <c r="A72">
        <v>2010</v>
      </c>
      <c r="B72" t="s">
        <v>5</v>
      </c>
      <c r="C72">
        <v>550000</v>
      </c>
    </row>
    <row r="73" spans="1:3" x14ac:dyDescent="0.35">
      <c r="A73">
        <v>2010</v>
      </c>
      <c r="B73" t="s">
        <v>6</v>
      </c>
      <c r="C73">
        <v>690000</v>
      </c>
    </row>
    <row r="74" spans="1:3" x14ac:dyDescent="0.35">
      <c r="A74">
        <v>2010</v>
      </c>
      <c r="B74" t="s">
        <v>7</v>
      </c>
      <c r="C74">
        <v>390000</v>
      </c>
    </row>
    <row r="75" spans="1:3" x14ac:dyDescent="0.35">
      <c r="A75">
        <v>2010</v>
      </c>
      <c r="B75" t="s">
        <v>8</v>
      </c>
      <c r="C75">
        <v>430000</v>
      </c>
    </row>
    <row r="76" spans="1:3" x14ac:dyDescent="0.35">
      <c r="A76">
        <v>2010</v>
      </c>
      <c r="B76" t="s">
        <v>9</v>
      </c>
      <c r="C76">
        <v>260000</v>
      </c>
    </row>
    <row r="77" spans="1:3" x14ac:dyDescent="0.35">
      <c r="A77">
        <v>2010</v>
      </c>
      <c r="B77" t="s">
        <v>10</v>
      </c>
      <c r="C77">
        <v>350000</v>
      </c>
    </row>
    <row r="78" spans="1:3" x14ac:dyDescent="0.35">
      <c r="A78">
        <v>2010</v>
      </c>
      <c r="B78" t="s">
        <v>11</v>
      </c>
      <c r="C78">
        <v>3040000</v>
      </c>
    </row>
    <row r="79" spans="1:3" x14ac:dyDescent="0.35">
      <c r="A79">
        <v>2011</v>
      </c>
      <c r="B79" t="s">
        <v>1</v>
      </c>
      <c r="C79">
        <v>2830000</v>
      </c>
    </row>
    <row r="80" spans="1:3" x14ac:dyDescent="0.35">
      <c r="A80">
        <v>2011</v>
      </c>
      <c r="B80" t="s">
        <v>2</v>
      </c>
      <c r="C80">
        <v>1790000</v>
      </c>
    </row>
    <row r="81" spans="1:3" x14ac:dyDescent="0.35">
      <c r="A81">
        <v>2011</v>
      </c>
      <c r="B81" t="s">
        <v>3</v>
      </c>
      <c r="C81">
        <v>740000</v>
      </c>
    </row>
    <row r="82" spans="1:3" x14ac:dyDescent="0.35">
      <c r="A82">
        <v>2011</v>
      </c>
      <c r="B82" t="s">
        <v>4</v>
      </c>
      <c r="C82">
        <v>420000</v>
      </c>
    </row>
    <row r="83" spans="1:3" x14ac:dyDescent="0.35">
      <c r="A83">
        <v>2011</v>
      </c>
      <c r="B83" t="s">
        <v>5</v>
      </c>
      <c r="C83">
        <v>550000</v>
      </c>
    </row>
    <row r="84" spans="1:3" x14ac:dyDescent="0.35">
      <c r="A84">
        <v>2011</v>
      </c>
      <c r="B84" t="s">
        <v>6</v>
      </c>
      <c r="C84">
        <v>630000</v>
      </c>
    </row>
    <row r="85" spans="1:3" x14ac:dyDescent="0.35">
      <c r="A85">
        <v>2011</v>
      </c>
      <c r="B85" t="s">
        <v>7</v>
      </c>
      <c r="C85">
        <v>400000</v>
      </c>
    </row>
    <row r="86" spans="1:3" x14ac:dyDescent="0.35">
      <c r="A86">
        <v>2011</v>
      </c>
      <c r="B86" t="s">
        <v>8</v>
      </c>
      <c r="C86">
        <v>440000</v>
      </c>
    </row>
    <row r="87" spans="1:3" x14ac:dyDescent="0.35">
      <c r="A87">
        <v>2011</v>
      </c>
      <c r="B87" t="s">
        <v>9</v>
      </c>
      <c r="C87">
        <v>260000</v>
      </c>
    </row>
    <row r="88" spans="1:3" x14ac:dyDescent="0.35">
      <c r="A88">
        <v>2011</v>
      </c>
      <c r="B88" t="s">
        <v>10</v>
      </c>
      <c r="C88">
        <v>360000</v>
      </c>
    </row>
    <row r="89" spans="1:3" x14ac:dyDescent="0.35">
      <c r="A89">
        <v>2011</v>
      </c>
      <c r="B89" t="s">
        <v>11</v>
      </c>
      <c r="C89">
        <v>3100000</v>
      </c>
    </row>
    <row r="90" spans="1:3" x14ac:dyDescent="0.35">
      <c r="A90">
        <v>2012</v>
      </c>
      <c r="B90" t="s">
        <v>1</v>
      </c>
      <c r="C90">
        <v>2820000</v>
      </c>
    </row>
    <row r="91" spans="1:3" x14ac:dyDescent="0.35">
      <c r="A91">
        <v>2012</v>
      </c>
      <c r="B91" t="s">
        <v>2</v>
      </c>
      <c r="C91">
        <v>1830000</v>
      </c>
    </row>
    <row r="92" spans="1:3" x14ac:dyDescent="0.35">
      <c r="A92">
        <v>2012</v>
      </c>
      <c r="B92" t="s">
        <v>3</v>
      </c>
      <c r="C92">
        <v>730000</v>
      </c>
    </row>
    <row r="93" spans="1:3" x14ac:dyDescent="0.35">
      <c r="A93">
        <v>2012</v>
      </c>
      <c r="B93" t="s">
        <v>4</v>
      </c>
      <c r="C93">
        <v>430000</v>
      </c>
    </row>
    <row r="94" spans="1:3" x14ac:dyDescent="0.35">
      <c r="A94">
        <v>2012</v>
      </c>
      <c r="B94" t="s">
        <v>5</v>
      </c>
      <c r="C94">
        <v>540000</v>
      </c>
    </row>
    <row r="95" spans="1:3" x14ac:dyDescent="0.35">
      <c r="A95">
        <v>2012</v>
      </c>
      <c r="B95" t="s">
        <v>6</v>
      </c>
      <c r="C95">
        <v>580000</v>
      </c>
    </row>
    <row r="96" spans="1:3" x14ac:dyDescent="0.35">
      <c r="A96">
        <v>2012</v>
      </c>
      <c r="B96" t="s">
        <v>7</v>
      </c>
      <c r="C96">
        <v>360000</v>
      </c>
    </row>
    <row r="97" spans="1:3" x14ac:dyDescent="0.35">
      <c r="A97">
        <v>2012</v>
      </c>
      <c r="B97" t="s">
        <v>8</v>
      </c>
      <c r="C97">
        <v>400000</v>
      </c>
    </row>
    <row r="98" spans="1:3" x14ac:dyDescent="0.35">
      <c r="A98">
        <v>2012</v>
      </c>
      <c r="B98" t="s">
        <v>9</v>
      </c>
      <c r="C98">
        <v>270000</v>
      </c>
    </row>
    <row r="99" spans="1:3" x14ac:dyDescent="0.35">
      <c r="A99">
        <v>2012</v>
      </c>
      <c r="B99" t="s">
        <v>10</v>
      </c>
      <c r="C99">
        <v>350000</v>
      </c>
    </row>
    <row r="100" spans="1:3" x14ac:dyDescent="0.35">
      <c r="A100">
        <v>2012</v>
      </c>
      <c r="B100" t="s">
        <v>11</v>
      </c>
      <c r="C100">
        <v>3110000</v>
      </c>
    </row>
    <row r="101" spans="1:3" x14ac:dyDescent="0.35">
      <c r="A101">
        <v>2013</v>
      </c>
      <c r="B101" t="s">
        <v>1</v>
      </c>
      <c r="C101">
        <v>2780000</v>
      </c>
    </row>
    <row r="102" spans="1:3" x14ac:dyDescent="0.35">
      <c r="A102">
        <v>2013</v>
      </c>
      <c r="B102" t="s">
        <v>2</v>
      </c>
      <c r="C102">
        <v>1750000</v>
      </c>
    </row>
    <row r="103" spans="1:3" x14ac:dyDescent="0.35">
      <c r="A103">
        <v>2013</v>
      </c>
      <c r="B103" t="s">
        <v>3</v>
      </c>
      <c r="C103">
        <v>740000</v>
      </c>
    </row>
    <row r="104" spans="1:3" x14ac:dyDescent="0.35">
      <c r="A104">
        <v>2013</v>
      </c>
      <c r="B104" t="s">
        <v>4</v>
      </c>
      <c r="C104">
        <v>410000</v>
      </c>
    </row>
    <row r="105" spans="1:3" x14ac:dyDescent="0.35">
      <c r="A105">
        <v>2013</v>
      </c>
      <c r="B105" t="s">
        <v>5</v>
      </c>
      <c r="C105">
        <v>520000</v>
      </c>
    </row>
    <row r="106" spans="1:3" x14ac:dyDescent="0.35">
      <c r="A106">
        <v>2013</v>
      </c>
      <c r="B106" t="s">
        <v>6</v>
      </c>
      <c r="C106">
        <v>610000</v>
      </c>
    </row>
    <row r="107" spans="1:3" x14ac:dyDescent="0.35">
      <c r="A107">
        <v>2013</v>
      </c>
      <c r="B107" t="s">
        <v>7</v>
      </c>
      <c r="C107">
        <v>400000</v>
      </c>
    </row>
    <row r="108" spans="1:3" x14ac:dyDescent="0.35">
      <c r="A108">
        <v>2013</v>
      </c>
      <c r="B108" t="s">
        <v>8</v>
      </c>
      <c r="C108">
        <v>390000</v>
      </c>
    </row>
    <row r="109" spans="1:3" x14ac:dyDescent="0.35">
      <c r="A109">
        <v>2013</v>
      </c>
      <c r="B109" t="s">
        <v>9</v>
      </c>
      <c r="C109">
        <v>240000</v>
      </c>
    </row>
    <row r="110" spans="1:3" x14ac:dyDescent="0.35">
      <c r="A110">
        <v>2013</v>
      </c>
      <c r="B110" t="s">
        <v>10</v>
      </c>
      <c r="C110">
        <v>350000</v>
      </c>
    </row>
    <row r="111" spans="1:3" x14ac:dyDescent="0.35">
      <c r="A111">
        <v>2013</v>
      </c>
      <c r="B111" t="s">
        <v>11</v>
      </c>
      <c r="C111">
        <v>3010000</v>
      </c>
    </row>
    <row r="112" spans="1:3" x14ac:dyDescent="0.35">
      <c r="A112">
        <v>2014</v>
      </c>
      <c r="B112" t="s">
        <v>1</v>
      </c>
      <c r="C112">
        <v>2730000</v>
      </c>
    </row>
    <row r="113" spans="1:3" x14ac:dyDescent="0.35">
      <c r="A113">
        <v>2014</v>
      </c>
      <c r="B113" t="s">
        <v>2</v>
      </c>
      <c r="C113">
        <v>1850000</v>
      </c>
    </row>
    <row r="114" spans="1:3" x14ac:dyDescent="0.35">
      <c r="A114">
        <v>2014</v>
      </c>
      <c r="B114" t="s">
        <v>3</v>
      </c>
      <c r="C114">
        <v>710000</v>
      </c>
    </row>
    <row r="115" spans="1:3" x14ac:dyDescent="0.35">
      <c r="A115">
        <v>2014</v>
      </c>
      <c r="B115" t="s">
        <v>4</v>
      </c>
      <c r="C115">
        <v>450000</v>
      </c>
    </row>
    <row r="116" spans="1:3" x14ac:dyDescent="0.35">
      <c r="A116">
        <v>2014</v>
      </c>
      <c r="B116" t="s">
        <v>5</v>
      </c>
      <c r="C116">
        <v>530000</v>
      </c>
    </row>
    <row r="117" spans="1:3" x14ac:dyDescent="0.35">
      <c r="A117">
        <v>2014</v>
      </c>
      <c r="B117" t="s">
        <v>6</v>
      </c>
      <c r="C117">
        <v>570000</v>
      </c>
    </row>
    <row r="118" spans="1:3" x14ac:dyDescent="0.35">
      <c r="A118">
        <v>2014</v>
      </c>
      <c r="B118" t="s">
        <v>7</v>
      </c>
      <c r="C118">
        <v>390000</v>
      </c>
    </row>
    <row r="119" spans="1:3" x14ac:dyDescent="0.35">
      <c r="A119">
        <v>2014</v>
      </c>
      <c r="B119" t="s">
        <v>8</v>
      </c>
      <c r="C119">
        <v>410000</v>
      </c>
    </row>
    <row r="120" spans="1:3" x14ac:dyDescent="0.35">
      <c r="A120">
        <v>2014</v>
      </c>
      <c r="B120" t="s">
        <v>9</v>
      </c>
      <c r="C120">
        <v>280000</v>
      </c>
    </row>
    <row r="121" spans="1:3" x14ac:dyDescent="0.35">
      <c r="A121">
        <v>2014</v>
      </c>
      <c r="B121" t="s">
        <v>10</v>
      </c>
      <c r="C121">
        <v>350000</v>
      </c>
    </row>
    <row r="122" spans="1:3" x14ac:dyDescent="0.35">
      <c r="A122">
        <v>2014</v>
      </c>
      <c r="B122" t="s">
        <v>11</v>
      </c>
      <c r="C122">
        <v>3190000</v>
      </c>
    </row>
    <row r="123" spans="1:3" x14ac:dyDescent="0.35">
      <c r="A123">
        <v>2015</v>
      </c>
      <c r="B123" t="s">
        <v>1</v>
      </c>
      <c r="C123">
        <v>2760000</v>
      </c>
    </row>
    <row r="124" spans="1:3" x14ac:dyDescent="0.35">
      <c r="A124">
        <v>2015</v>
      </c>
      <c r="B124" t="s">
        <v>2</v>
      </c>
      <c r="C124">
        <v>1860000</v>
      </c>
    </row>
    <row r="125" spans="1:3" x14ac:dyDescent="0.35">
      <c r="A125">
        <v>2015</v>
      </c>
      <c r="B125" t="s">
        <v>3</v>
      </c>
      <c r="C125">
        <v>540000</v>
      </c>
    </row>
    <row r="126" spans="1:3" x14ac:dyDescent="0.35">
      <c r="A126">
        <v>2015</v>
      </c>
      <c r="B126" t="s">
        <v>4</v>
      </c>
      <c r="C126">
        <v>420000</v>
      </c>
    </row>
    <row r="127" spans="1:3" x14ac:dyDescent="0.35">
      <c r="A127">
        <v>2015</v>
      </c>
      <c r="B127" t="s">
        <v>5</v>
      </c>
      <c r="C127">
        <v>440000</v>
      </c>
    </row>
    <row r="128" spans="1:3" x14ac:dyDescent="0.35">
      <c r="A128">
        <v>2015</v>
      </c>
      <c r="B128" t="s">
        <v>6</v>
      </c>
      <c r="C128">
        <v>630000</v>
      </c>
    </row>
    <row r="129" spans="1:3" x14ac:dyDescent="0.35">
      <c r="A129">
        <v>2015</v>
      </c>
      <c r="B129" t="s">
        <v>7</v>
      </c>
      <c r="C129">
        <v>370000</v>
      </c>
    </row>
    <row r="130" spans="1:3" x14ac:dyDescent="0.35">
      <c r="A130">
        <v>2015</v>
      </c>
      <c r="B130" t="s">
        <v>8</v>
      </c>
      <c r="C130">
        <v>370000</v>
      </c>
    </row>
    <row r="131" spans="1:3" x14ac:dyDescent="0.35">
      <c r="A131">
        <v>2015</v>
      </c>
      <c r="B131" t="s">
        <v>9</v>
      </c>
      <c r="C131">
        <v>260000</v>
      </c>
    </row>
    <row r="132" spans="1:3" x14ac:dyDescent="0.35">
      <c r="A132">
        <v>2015</v>
      </c>
      <c r="B132" t="s">
        <v>10</v>
      </c>
      <c r="C132">
        <v>360000</v>
      </c>
    </row>
    <row r="133" spans="1:3" x14ac:dyDescent="0.35">
      <c r="A133">
        <v>2015</v>
      </c>
      <c r="B133" t="s">
        <v>11</v>
      </c>
      <c r="C133">
        <v>3420000</v>
      </c>
    </row>
    <row r="134" spans="1:3" x14ac:dyDescent="0.35">
      <c r="A134">
        <v>2016</v>
      </c>
      <c r="B134" t="s">
        <v>1</v>
      </c>
      <c r="C134">
        <v>2860000</v>
      </c>
    </row>
    <row r="135" spans="1:3" x14ac:dyDescent="0.35">
      <c r="A135">
        <v>2016</v>
      </c>
      <c r="B135" t="s">
        <v>2</v>
      </c>
      <c r="C135">
        <v>1910000</v>
      </c>
    </row>
    <row r="136" spans="1:3" x14ac:dyDescent="0.35">
      <c r="A136">
        <v>2016</v>
      </c>
      <c r="B136" t="s">
        <v>3</v>
      </c>
      <c r="C136">
        <v>610000</v>
      </c>
    </row>
    <row r="137" spans="1:3" x14ac:dyDescent="0.35">
      <c r="A137">
        <v>2016</v>
      </c>
      <c r="B137" t="s">
        <v>4</v>
      </c>
      <c r="C137">
        <v>420000</v>
      </c>
    </row>
    <row r="138" spans="1:3" x14ac:dyDescent="0.35">
      <c r="A138">
        <v>2016</v>
      </c>
      <c r="B138" t="s">
        <v>5</v>
      </c>
      <c r="C138">
        <v>520000</v>
      </c>
    </row>
    <row r="139" spans="1:3" x14ac:dyDescent="0.35">
      <c r="A139">
        <v>2016</v>
      </c>
      <c r="B139" t="s">
        <v>6</v>
      </c>
      <c r="C139">
        <v>630000</v>
      </c>
    </row>
    <row r="140" spans="1:3" x14ac:dyDescent="0.35">
      <c r="A140">
        <v>2016</v>
      </c>
      <c r="B140" t="s">
        <v>7</v>
      </c>
      <c r="C140">
        <v>360000</v>
      </c>
    </row>
    <row r="141" spans="1:3" x14ac:dyDescent="0.35">
      <c r="A141">
        <v>2016</v>
      </c>
      <c r="B141" t="s">
        <v>8</v>
      </c>
      <c r="C141">
        <v>400000</v>
      </c>
    </row>
    <row r="142" spans="1:3" x14ac:dyDescent="0.35">
      <c r="A142">
        <v>2016</v>
      </c>
      <c r="B142" t="s">
        <v>9</v>
      </c>
      <c r="C142">
        <v>280000</v>
      </c>
    </row>
    <row r="143" spans="1:3" x14ac:dyDescent="0.35">
      <c r="A143">
        <v>2016</v>
      </c>
      <c r="B143" t="s">
        <v>10</v>
      </c>
      <c r="C143">
        <v>330000</v>
      </c>
    </row>
    <row r="144" spans="1:3" x14ac:dyDescent="0.35">
      <c r="A144">
        <v>2016</v>
      </c>
      <c r="B144" t="s">
        <v>11</v>
      </c>
      <c r="C144">
        <v>3430000</v>
      </c>
    </row>
    <row r="145" spans="1:3" x14ac:dyDescent="0.35">
      <c r="A145">
        <v>2017</v>
      </c>
      <c r="B145" t="s">
        <v>1</v>
      </c>
      <c r="C145">
        <v>2790000</v>
      </c>
    </row>
    <row r="146" spans="1:3" x14ac:dyDescent="0.35">
      <c r="A146">
        <v>2017</v>
      </c>
      <c r="B146" t="s">
        <v>2</v>
      </c>
      <c r="C146">
        <v>1870000</v>
      </c>
    </row>
    <row r="147" spans="1:3" x14ac:dyDescent="0.35">
      <c r="A147">
        <v>2017</v>
      </c>
      <c r="B147" t="s">
        <v>3</v>
      </c>
      <c r="C147">
        <v>610000</v>
      </c>
    </row>
    <row r="148" spans="1:3" x14ac:dyDescent="0.35">
      <c r="A148">
        <v>2017</v>
      </c>
      <c r="B148" t="s">
        <v>4</v>
      </c>
      <c r="C148">
        <v>450000</v>
      </c>
    </row>
    <row r="149" spans="1:3" x14ac:dyDescent="0.35">
      <c r="A149">
        <v>2017</v>
      </c>
      <c r="B149" t="s">
        <v>5</v>
      </c>
      <c r="C149">
        <v>440000</v>
      </c>
    </row>
    <row r="150" spans="1:3" x14ac:dyDescent="0.35">
      <c r="A150">
        <v>2017</v>
      </c>
      <c r="B150" t="s">
        <v>6</v>
      </c>
      <c r="C150">
        <v>620000</v>
      </c>
    </row>
    <row r="151" spans="1:3" x14ac:dyDescent="0.35">
      <c r="A151">
        <v>2017</v>
      </c>
      <c r="B151" t="s">
        <v>7</v>
      </c>
      <c r="C151">
        <v>320000</v>
      </c>
    </row>
    <row r="152" spans="1:3" x14ac:dyDescent="0.35">
      <c r="A152">
        <v>2017</v>
      </c>
      <c r="B152" t="s">
        <v>8</v>
      </c>
      <c r="C152">
        <v>400000</v>
      </c>
    </row>
    <row r="153" spans="1:3" x14ac:dyDescent="0.35">
      <c r="A153">
        <v>2017</v>
      </c>
      <c r="B153" t="s">
        <v>9</v>
      </c>
      <c r="C153">
        <v>280000</v>
      </c>
    </row>
    <row r="154" spans="1:3" x14ac:dyDescent="0.35">
      <c r="A154">
        <v>2017</v>
      </c>
      <c r="B154" t="s">
        <v>10</v>
      </c>
      <c r="C154">
        <v>340000</v>
      </c>
    </row>
    <row r="155" spans="1:3" x14ac:dyDescent="0.35">
      <c r="A155">
        <v>2017</v>
      </c>
      <c r="B155" t="s">
        <v>11</v>
      </c>
      <c r="C155">
        <v>3300000</v>
      </c>
    </row>
    <row r="156" spans="1:3" x14ac:dyDescent="0.35">
      <c r="A156">
        <v>2018</v>
      </c>
      <c r="B156" t="s">
        <v>1</v>
      </c>
      <c r="C156">
        <v>2640000</v>
      </c>
    </row>
    <row r="157" spans="1:3" x14ac:dyDescent="0.35">
      <c r="A157">
        <v>2018</v>
      </c>
      <c r="B157" t="s">
        <v>2</v>
      </c>
      <c r="C157">
        <v>1950000</v>
      </c>
    </row>
    <row r="158" spans="1:3" x14ac:dyDescent="0.35">
      <c r="A158">
        <v>2018</v>
      </c>
      <c r="B158" t="s">
        <v>3</v>
      </c>
      <c r="C158">
        <v>680000</v>
      </c>
    </row>
    <row r="159" spans="1:3" x14ac:dyDescent="0.35">
      <c r="A159">
        <v>2018</v>
      </c>
      <c r="B159" t="s">
        <v>4</v>
      </c>
      <c r="C159">
        <v>460000</v>
      </c>
    </row>
    <row r="160" spans="1:3" x14ac:dyDescent="0.35">
      <c r="A160">
        <v>2018</v>
      </c>
      <c r="B160" t="s">
        <v>5</v>
      </c>
      <c r="C160">
        <v>460000</v>
      </c>
    </row>
    <row r="161" spans="1:3" x14ac:dyDescent="0.35">
      <c r="A161">
        <v>2018</v>
      </c>
      <c r="B161" t="s">
        <v>6</v>
      </c>
      <c r="C161">
        <v>600000</v>
      </c>
    </row>
    <row r="162" spans="1:3" x14ac:dyDescent="0.35">
      <c r="A162">
        <v>2018</v>
      </c>
      <c r="B162" t="s">
        <v>7</v>
      </c>
      <c r="C162">
        <v>360000</v>
      </c>
    </row>
    <row r="163" spans="1:3" x14ac:dyDescent="0.35">
      <c r="A163">
        <v>2018</v>
      </c>
      <c r="B163" t="s">
        <v>8</v>
      </c>
      <c r="C163">
        <v>390000</v>
      </c>
    </row>
    <row r="164" spans="1:3" x14ac:dyDescent="0.35">
      <c r="A164">
        <v>2018</v>
      </c>
      <c r="B164" t="s">
        <v>9</v>
      </c>
      <c r="C164">
        <v>310000</v>
      </c>
    </row>
    <row r="165" spans="1:3" x14ac:dyDescent="0.35">
      <c r="A165">
        <v>2018</v>
      </c>
      <c r="B165" t="s">
        <v>10</v>
      </c>
      <c r="C165">
        <v>340000</v>
      </c>
    </row>
    <row r="166" spans="1:3" x14ac:dyDescent="0.35">
      <c r="A166">
        <v>2018</v>
      </c>
      <c r="B166" t="s">
        <v>11</v>
      </c>
      <c r="C166">
        <v>3380000</v>
      </c>
    </row>
    <row r="167" spans="1:3" x14ac:dyDescent="0.35">
      <c r="A167">
        <v>2019</v>
      </c>
      <c r="B167" t="s">
        <v>1</v>
      </c>
      <c r="C167">
        <v>2620000</v>
      </c>
    </row>
    <row r="168" spans="1:3" x14ac:dyDescent="0.35">
      <c r="A168">
        <v>2019</v>
      </c>
      <c r="B168" t="s">
        <v>2</v>
      </c>
      <c r="C168">
        <v>1950000</v>
      </c>
    </row>
    <row r="169" spans="1:3" x14ac:dyDescent="0.35">
      <c r="A169">
        <v>2019</v>
      </c>
      <c r="B169" t="s">
        <v>3</v>
      </c>
      <c r="C169">
        <v>650000</v>
      </c>
    </row>
    <row r="170" spans="1:3" x14ac:dyDescent="0.35">
      <c r="A170">
        <v>2019</v>
      </c>
      <c r="B170" t="s">
        <v>4</v>
      </c>
      <c r="C170">
        <v>390000</v>
      </c>
    </row>
    <row r="171" spans="1:3" x14ac:dyDescent="0.35">
      <c r="A171">
        <v>2019</v>
      </c>
      <c r="B171" t="s">
        <v>5</v>
      </c>
      <c r="C171">
        <v>440000</v>
      </c>
    </row>
    <row r="172" spans="1:3" x14ac:dyDescent="0.35">
      <c r="A172">
        <v>2019</v>
      </c>
      <c r="B172" t="s">
        <v>6</v>
      </c>
      <c r="C172">
        <v>510000</v>
      </c>
    </row>
    <row r="173" spans="1:3" x14ac:dyDescent="0.35">
      <c r="A173">
        <v>2019</v>
      </c>
      <c r="B173" t="s">
        <v>7</v>
      </c>
      <c r="C173">
        <v>340000</v>
      </c>
    </row>
    <row r="174" spans="1:3" x14ac:dyDescent="0.35">
      <c r="A174">
        <v>2019</v>
      </c>
      <c r="B174" t="s">
        <v>8</v>
      </c>
      <c r="C174">
        <v>360000</v>
      </c>
    </row>
    <row r="175" spans="1:3" x14ac:dyDescent="0.35">
      <c r="A175">
        <v>2019</v>
      </c>
      <c r="B175" t="s">
        <v>9</v>
      </c>
      <c r="C175">
        <v>330000</v>
      </c>
    </row>
    <row r="176" spans="1:3" x14ac:dyDescent="0.35">
      <c r="A176">
        <v>2019</v>
      </c>
      <c r="B176" t="s">
        <v>10</v>
      </c>
      <c r="C176">
        <v>330000</v>
      </c>
    </row>
    <row r="177" spans="1:3" x14ac:dyDescent="0.35">
      <c r="A177">
        <v>2019</v>
      </c>
      <c r="B177" t="s">
        <v>11</v>
      </c>
      <c r="C177">
        <v>3200000</v>
      </c>
    </row>
    <row r="178" spans="1:3" x14ac:dyDescent="0.35">
      <c r="A178">
        <v>2020</v>
      </c>
      <c r="B178" t="s">
        <v>1</v>
      </c>
      <c r="C178">
        <v>2410000</v>
      </c>
    </row>
    <row r="179" spans="1:3" x14ac:dyDescent="0.35">
      <c r="A179">
        <v>2020</v>
      </c>
      <c r="B179" t="s">
        <v>2</v>
      </c>
      <c r="C179">
        <v>1900000</v>
      </c>
    </row>
    <row r="180" spans="1:3" x14ac:dyDescent="0.35">
      <c r="A180">
        <v>2020</v>
      </c>
      <c r="B180" t="s">
        <v>3</v>
      </c>
      <c r="C180">
        <v>610000</v>
      </c>
    </row>
    <row r="181" spans="1:3" x14ac:dyDescent="0.35">
      <c r="A181">
        <v>2020</v>
      </c>
      <c r="B181" t="s">
        <v>4</v>
      </c>
      <c r="C181">
        <v>400000</v>
      </c>
    </row>
    <row r="182" spans="1:3" x14ac:dyDescent="0.35">
      <c r="A182">
        <v>2020</v>
      </c>
      <c r="B182" t="s">
        <v>5</v>
      </c>
      <c r="C182">
        <v>370000</v>
      </c>
    </row>
    <row r="183" spans="1:3" x14ac:dyDescent="0.35">
      <c r="A183">
        <v>2020</v>
      </c>
      <c r="B183" t="s">
        <v>6</v>
      </c>
      <c r="C183">
        <v>370000</v>
      </c>
    </row>
    <row r="184" spans="1:3" x14ac:dyDescent="0.35">
      <c r="A184">
        <v>2020</v>
      </c>
      <c r="B184" t="s">
        <v>7</v>
      </c>
      <c r="C184">
        <v>360000</v>
      </c>
    </row>
    <row r="185" spans="1:3" x14ac:dyDescent="0.35">
      <c r="A185">
        <v>2020</v>
      </c>
      <c r="B185" t="s">
        <v>8</v>
      </c>
      <c r="C185">
        <v>360000</v>
      </c>
    </row>
    <row r="186" spans="1:3" x14ac:dyDescent="0.35">
      <c r="A186">
        <v>2020</v>
      </c>
      <c r="B186" t="s">
        <v>9</v>
      </c>
      <c r="C186">
        <v>340000</v>
      </c>
    </row>
    <row r="187" spans="1:3" x14ac:dyDescent="0.35">
      <c r="A187">
        <v>2020</v>
      </c>
      <c r="B187" t="s">
        <v>10</v>
      </c>
      <c r="C187">
        <v>340000</v>
      </c>
    </row>
    <row r="188" spans="1:3" x14ac:dyDescent="0.35">
      <c r="A188">
        <v>2020</v>
      </c>
      <c r="B188" t="s">
        <v>11</v>
      </c>
      <c r="C188">
        <v>3040000</v>
      </c>
    </row>
    <row r="189" spans="1:3" x14ac:dyDescent="0.35">
      <c r="A189">
        <v>2021</v>
      </c>
      <c r="B189" t="s">
        <v>1</v>
      </c>
      <c r="C189">
        <v>0</v>
      </c>
    </row>
    <row r="190" spans="1:3" x14ac:dyDescent="0.35">
      <c r="A190">
        <v>2021</v>
      </c>
      <c r="B190" t="s">
        <v>2</v>
      </c>
      <c r="C190">
        <v>0</v>
      </c>
    </row>
    <row r="191" spans="1:3" x14ac:dyDescent="0.35">
      <c r="A191">
        <v>2021</v>
      </c>
      <c r="B191" t="s">
        <v>3</v>
      </c>
      <c r="C191">
        <v>0</v>
      </c>
    </row>
    <row r="192" spans="1:3" x14ac:dyDescent="0.35">
      <c r="A192">
        <v>2021</v>
      </c>
      <c r="B192" t="s">
        <v>4</v>
      </c>
      <c r="C192">
        <v>0</v>
      </c>
    </row>
    <row r="193" spans="1:3" x14ac:dyDescent="0.35">
      <c r="A193">
        <v>2021</v>
      </c>
      <c r="B193" t="s">
        <v>5</v>
      </c>
      <c r="C193">
        <v>0</v>
      </c>
    </row>
    <row r="194" spans="1:3" x14ac:dyDescent="0.35">
      <c r="A194">
        <v>2021</v>
      </c>
      <c r="B194" t="s">
        <v>6</v>
      </c>
      <c r="C194">
        <v>0</v>
      </c>
    </row>
    <row r="195" spans="1:3" x14ac:dyDescent="0.35">
      <c r="A195">
        <v>2021</v>
      </c>
      <c r="B195" t="s">
        <v>7</v>
      </c>
      <c r="C195">
        <v>0</v>
      </c>
    </row>
    <row r="196" spans="1:3" x14ac:dyDescent="0.35">
      <c r="A196">
        <v>2021</v>
      </c>
      <c r="B196" t="s">
        <v>8</v>
      </c>
      <c r="C196">
        <v>0</v>
      </c>
    </row>
    <row r="197" spans="1:3" x14ac:dyDescent="0.35">
      <c r="A197">
        <v>2021</v>
      </c>
      <c r="B197" t="s">
        <v>9</v>
      </c>
      <c r="C197">
        <v>0</v>
      </c>
    </row>
    <row r="198" spans="1:3" x14ac:dyDescent="0.35">
      <c r="A198">
        <v>2021</v>
      </c>
      <c r="B198" t="s">
        <v>10</v>
      </c>
      <c r="C198">
        <v>0</v>
      </c>
    </row>
    <row r="199" spans="1:3" x14ac:dyDescent="0.35">
      <c r="A199">
        <v>2021</v>
      </c>
      <c r="B199" t="s">
        <v>11</v>
      </c>
      <c r="C199">
        <v>0</v>
      </c>
    </row>
    <row r="200" spans="1:3" x14ac:dyDescent="0.35">
      <c r="A200">
        <v>2022</v>
      </c>
      <c r="B200" t="s">
        <v>1</v>
      </c>
      <c r="C200">
        <v>2600000</v>
      </c>
    </row>
    <row r="201" spans="1:3" x14ac:dyDescent="0.35">
      <c r="A201">
        <v>2022</v>
      </c>
      <c r="B201" t="s">
        <v>2</v>
      </c>
      <c r="C201">
        <v>2060000</v>
      </c>
    </row>
    <row r="202" spans="1:3" x14ac:dyDescent="0.35">
      <c r="A202">
        <v>2022</v>
      </c>
      <c r="B202" t="s">
        <v>3</v>
      </c>
      <c r="C202">
        <v>590000</v>
      </c>
    </row>
    <row r="203" spans="1:3" x14ac:dyDescent="0.35">
      <c r="A203">
        <v>2022</v>
      </c>
      <c r="B203" t="s">
        <v>4</v>
      </c>
      <c r="C203">
        <v>490000</v>
      </c>
    </row>
    <row r="204" spans="1:3" x14ac:dyDescent="0.35">
      <c r="A204">
        <v>2022</v>
      </c>
      <c r="B204" t="s">
        <v>5</v>
      </c>
      <c r="C204">
        <v>420000</v>
      </c>
    </row>
    <row r="205" spans="1:3" x14ac:dyDescent="0.35">
      <c r="A205">
        <v>2022</v>
      </c>
      <c r="B205" t="s">
        <v>6</v>
      </c>
      <c r="C205">
        <v>410000</v>
      </c>
    </row>
    <row r="206" spans="1:3" x14ac:dyDescent="0.35">
      <c r="A206">
        <v>2022</v>
      </c>
      <c r="B206" t="s">
        <v>7</v>
      </c>
      <c r="C206">
        <v>360000</v>
      </c>
    </row>
    <row r="207" spans="1:3" x14ac:dyDescent="0.35">
      <c r="A207">
        <v>2022</v>
      </c>
      <c r="B207" t="s">
        <v>8</v>
      </c>
      <c r="C207">
        <v>340000</v>
      </c>
    </row>
    <row r="208" spans="1:3" x14ac:dyDescent="0.35">
      <c r="A208">
        <v>2022</v>
      </c>
      <c r="B208" t="s">
        <v>9</v>
      </c>
      <c r="C208">
        <v>340000</v>
      </c>
    </row>
    <row r="209" spans="1:8" x14ac:dyDescent="0.35">
      <c r="A209">
        <v>2022</v>
      </c>
      <c r="B209" t="s">
        <v>10</v>
      </c>
      <c r="C209">
        <v>290000</v>
      </c>
    </row>
    <row r="210" spans="1:8" x14ac:dyDescent="0.35">
      <c r="A210">
        <v>2022</v>
      </c>
      <c r="B210" t="s">
        <v>11</v>
      </c>
      <c r="C210">
        <v>3090000</v>
      </c>
    </row>
    <row r="212" spans="1:8" x14ac:dyDescent="0.35">
      <c r="A212" s="57" t="s">
        <v>12</v>
      </c>
    </row>
    <row r="213" spans="1:8" ht="155" customHeight="1" x14ac:dyDescent="0.35">
      <c r="A213" s="91" t="s">
        <v>358</v>
      </c>
      <c r="B213" s="91"/>
      <c r="C213" s="91"/>
      <c r="D213" s="91"/>
      <c r="E213" s="91"/>
      <c r="F213" s="91"/>
      <c r="G213" s="91"/>
      <c r="H213" s="91"/>
    </row>
    <row r="214" spans="1:8" x14ac:dyDescent="0.35">
      <c r="A214" t="s">
        <v>221</v>
      </c>
    </row>
    <row r="215" spans="1:8" x14ac:dyDescent="0.35">
      <c r="A215" t="s">
        <v>359</v>
      </c>
    </row>
  </sheetData>
  <mergeCells count="1">
    <mergeCell ref="A213:H213"/>
  </mergeCells>
  <phoneticPr fontId="1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353E-C8D6-4664-A6C2-4AD0211BCD84}">
  <dimension ref="A1:G216"/>
  <sheetViews>
    <sheetView topLeftCell="A15" workbookViewId="0">
      <selection activeCell="I38" sqref="I38"/>
    </sheetView>
  </sheetViews>
  <sheetFormatPr defaultRowHeight="14.5" x14ac:dyDescent="0.35"/>
  <cols>
    <col min="1" max="1" width="14.26953125" style="13" customWidth="1"/>
    <col min="2" max="2" width="14.26953125" customWidth="1"/>
    <col min="3" max="3" width="13.81640625" customWidth="1"/>
    <col min="4" max="4" width="28.1796875" customWidth="1"/>
    <col min="7" max="8" width="9.81640625" bestFit="1" customWidth="1"/>
    <col min="9" max="9" width="10.453125" bestFit="1" customWidth="1"/>
  </cols>
  <sheetData>
    <row r="1" spans="1:4" x14ac:dyDescent="0.35">
      <c r="A1" t="s">
        <v>461</v>
      </c>
      <c r="B1" t="s">
        <v>24</v>
      </c>
      <c r="C1" t="s">
        <v>220</v>
      </c>
      <c r="D1" t="s">
        <v>219</v>
      </c>
    </row>
    <row r="2" spans="1:4" x14ac:dyDescent="0.35">
      <c r="A2" s="13">
        <v>36526</v>
      </c>
      <c r="B2">
        <f>YEAR(Table7_1[[#This Row],[Year1]])</f>
        <v>2000</v>
      </c>
      <c r="C2" t="s">
        <v>14</v>
      </c>
      <c r="D2">
        <v>4680000</v>
      </c>
    </row>
    <row r="3" spans="1:4" x14ac:dyDescent="0.35">
      <c r="A3" s="13">
        <v>36526</v>
      </c>
      <c r="B3">
        <f>YEAR(Table7_1[[#This Row],[Year1]])</f>
        <v>2000</v>
      </c>
      <c r="C3" t="s">
        <v>15</v>
      </c>
      <c r="D3">
        <v>290000</v>
      </c>
    </row>
    <row r="4" spans="1:4" x14ac:dyDescent="0.35">
      <c r="A4" s="13">
        <v>36526</v>
      </c>
      <c r="B4">
        <f>YEAR(Table7_1[[#This Row],[Year1]])</f>
        <v>2000</v>
      </c>
      <c r="C4" t="s">
        <v>16</v>
      </c>
      <c r="D4">
        <v>430000</v>
      </c>
    </row>
    <row r="5" spans="1:4" x14ac:dyDescent="0.35">
      <c r="A5" s="13">
        <v>36526</v>
      </c>
      <c r="B5">
        <f>YEAR(Table7_1[[#This Row],[Year1]])</f>
        <v>2000</v>
      </c>
      <c r="C5" t="s">
        <v>17</v>
      </c>
      <c r="D5">
        <v>160000</v>
      </c>
    </row>
    <row r="6" spans="1:4" x14ac:dyDescent="0.35">
      <c r="A6" s="13">
        <v>36526</v>
      </c>
      <c r="B6">
        <f>YEAR(Table7_1[[#This Row],[Year1]])</f>
        <v>2000</v>
      </c>
      <c r="C6" t="s">
        <v>18</v>
      </c>
      <c r="D6">
        <v>200000</v>
      </c>
    </row>
    <row r="7" spans="1:4" x14ac:dyDescent="0.35">
      <c r="A7" s="13">
        <v>36526</v>
      </c>
      <c r="B7">
        <f>YEAR(Table7_1[[#This Row],[Year1]])</f>
        <v>2000</v>
      </c>
      <c r="C7" t="s">
        <v>19</v>
      </c>
      <c r="D7">
        <v>0</v>
      </c>
    </row>
    <row r="8" spans="1:4" x14ac:dyDescent="0.35">
      <c r="A8" s="13">
        <v>36526</v>
      </c>
      <c r="B8">
        <f>YEAR(Table7_1[[#This Row],[Year1]])</f>
        <v>2000</v>
      </c>
      <c r="C8" t="s">
        <v>20</v>
      </c>
      <c r="D8">
        <v>100000</v>
      </c>
    </row>
    <row r="9" spans="1:4" x14ac:dyDescent="0.35">
      <c r="A9" s="13">
        <v>36526</v>
      </c>
      <c r="B9">
        <f>YEAR(Table7_1[[#This Row],[Year1]])</f>
        <v>2000</v>
      </c>
      <c r="C9" t="s">
        <v>21</v>
      </c>
      <c r="D9">
        <v>100000</v>
      </c>
    </row>
    <row r="10" spans="1:4" x14ac:dyDescent="0.35">
      <c r="A10" s="13">
        <v>36526</v>
      </c>
      <c r="B10">
        <f>YEAR(Table7_1[[#This Row],[Year1]])</f>
        <v>2000</v>
      </c>
      <c r="C10" t="s">
        <v>22</v>
      </c>
      <c r="D10">
        <v>120000</v>
      </c>
    </row>
    <row r="11" spans="1:4" x14ac:dyDescent="0.35">
      <c r="A11" s="13">
        <v>36526</v>
      </c>
      <c r="B11">
        <f>YEAR(Table7_1[[#This Row],[Year1]])</f>
        <v>2000</v>
      </c>
      <c r="C11" t="s">
        <v>73</v>
      </c>
      <c r="D11">
        <v>190000</v>
      </c>
    </row>
    <row r="12" spans="1:4" x14ac:dyDescent="0.35">
      <c r="A12" s="13">
        <v>36526</v>
      </c>
      <c r="B12">
        <f>YEAR(Table7_1[[#This Row],[Year1]])</f>
        <v>2000</v>
      </c>
      <c r="C12" t="s">
        <v>373</v>
      </c>
      <c r="D12">
        <v>2180000</v>
      </c>
    </row>
    <row r="13" spans="1:4" x14ac:dyDescent="0.35">
      <c r="A13" s="13">
        <v>38353</v>
      </c>
      <c r="B13">
        <f>YEAR(Table7_1[[#This Row],[Year1]])</f>
        <v>2005</v>
      </c>
      <c r="C13" t="s">
        <v>14</v>
      </c>
      <c r="D13">
        <v>5970000</v>
      </c>
    </row>
    <row r="14" spans="1:4" x14ac:dyDescent="0.35">
      <c r="A14" s="13">
        <v>38353</v>
      </c>
      <c r="B14">
        <f>YEAR(Table7_1[[#This Row],[Year1]])</f>
        <v>2005</v>
      </c>
      <c r="C14" t="s">
        <v>15</v>
      </c>
      <c r="D14">
        <v>370000</v>
      </c>
    </row>
    <row r="15" spans="1:4" x14ac:dyDescent="0.35">
      <c r="A15" s="13">
        <v>38353</v>
      </c>
      <c r="B15">
        <f>YEAR(Table7_1[[#This Row],[Year1]])</f>
        <v>2005</v>
      </c>
      <c r="C15" t="s">
        <v>16</v>
      </c>
      <c r="D15">
        <v>470000</v>
      </c>
    </row>
    <row r="16" spans="1:4" x14ac:dyDescent="0.35">
      <c r="A16" s="13">
        <v>38353</v>
      </c>
      <c r="B16">
        <f>YEAR(Table7_1[[#This Row],[Year1]])</f>
        <v>2005</v>
      </c>
      <c r="C16" t="s">
        <v>17</v>
      </c>
      <c r="D16">
        <v>180000</v>
      </c>
    </row>
    <row r="17" spans="1:4" x14ac:dyDescent="0.35">
      <c r="A17" s="13">
        <v>38353</v>
      </c>
      <c r="B17">
        <f>YEAR(Table7_1[[#This Row],[Year1]])</f>
        <v>2005</v>
      </c>
      <c r="C17" t="s">
        <v>18</v>
      </c>
      <c r="D17">
        <v>210000</v>
      </c>
    </row>
    <row r="18" spans="1:4" x14ac:dyDescent="0.35">
      <c r="A18" s="13">
        <v>38353</v>
      </c>
      <c r="B18">
        <f>YEAR(Table7_1[[#This Row],[Year1]])</f>
        <v>2005</v>
      </c>
      <c r="C18" t="s">
        <v>19</v>
      </c>
      <c r="D18">
        <v>0</v>
      </c>
    </row>
    <row r="19" spans="1:4" x14ac:dyDescent="0.35">
      <c r="A19" s="13">
        <v>38353</v>
      </c>
      <c r="B19">
        <f>YEAR(Table7_1[[#This Row],[Year1]])</f>
        <v>2005</v>
      </c>
      <c r="C19" t="s">
        <v>20</v>
      </c>
      <c r="D19">
        <v>110000</v>
      </c>
    </row>
    <row r="20" spans="1:4" x14ac:dyDescent="0.35">
      <c r="A20" s="13">
        <v>38353</v>
      </c>
      <c r="B20">
        <f>YEAR(Table7_1[[#This Row],[Year1]])</f>
        <v>2005</v>
      </c>
      <c r="C20" t="s">
        <v>21</v>
      </c>
      <c r="D20">
        <v>170000</v>
      </c>
    </row>
    <row r="21" spans="1:4" x14ac:dyDescent="0.35">
      <c r="A21" s="13">
        <v>38353</v>
      </c>
      <c r="B21">
        <f>YEAR(Table7_1[[#This Row],[Year1]])</f>
        <v>2005</v>
      </c>
      <c r="C21" t="s">
        <v>22</v>
      </c>
      <c r="D21">
        <v>280000</v>
      </c>
    </row>
    <row r="22" spans="1:4" x14ac:dyDescent="0.35">
      <c r="A22" s="13">
        <v>38353</v>
      </c>
      <c r="B22">
        <f>YEAR(Table7_1[[#This Row],[Year1]])</f>
        <v>2005</v>
      </c>
      <c r="C22" t="s">
        <v>73</v>
      </c>
      <c r="D22">
        <v>230000</v>
      </c>
    </row>
    <row r="23" spans="1:4" x14ac:dyDescent="0.35">
      <c r="A23" s="13">
        <v>38353</v>
      </c>
      <c r="B23">
        <f>YEAR(Table7_1[[#This Row],[Year1]])</f>
        <v>2005</v>
      </c>
      <c r="C23" t="s">
        <v>373</v>
      </c>
      <c r="D23">
        <v>2500000</v>
      </c>
    </row>
    <row r="24" spans="1:4" x14ac:dyDescent="0.35">
      <c r="A24" s="13">
        <v>38718</v>
      </c>
      <c r="B24">
        <f>YEAR(Table7_1[[#This Row],[Year1]])</f>
        <v>2006</v>
      </c>
      <c r="C24" t="s">
        <v>14</v>
      </c>
      <c r="D24">
        <v>6570000</v>
      </c>
    </row>
    <row r="25" spans="1:4" x14ac:dyDescent="0.35">
      <c r="A25" s="13">
        <v>38718</v>
      </c>
      <c r="B25">
        <f>YEAR(Table7_1[[#This Row],[Year1]])</f>
        <v>2006</v>
      </c>
      <c r="C25" t="s">
        <v>15</v>
      </c>
      <c r="D25">
        <v>430000</v>
      </c>
    </row>
    <row r="26" spans="1:4" x14ac:dyDescent="0.35">
      <c r="A26" s="13">
        <v>38718</v>
      </c>
      <c r="B26">
        <f>YEAR(Table7_1[[#This Row],[Year1]])</f>
        <v>2006</v>
      </c>
      <c r="C26" t="s">
        <v>16</v>
      </c>
      <c r="D26">
        <v>510000</v>
      </c>
    </row>
    <row r="27" spans="1:4" x14ac:dyDescent="0.35">
      <c r="A27" s="13">
        <v>38718</v>
      </c>
      <c r="B27">
        <f>YEAR(Table7_1[[#This Row],[Year1]])</f>
        <v>2006</v>
      </c>
      <c r="C27" t="s">
        <v>17</v>
      </c>
      <c r="D27">
        <v>280000</v>
      </c>
    </row>
    <row r="28" spans="1:4" x14ac:dyDescent="0.35">
      <c r="A28" s="13">
        <v>38718</v>
      </c>
      <c r="B28">
        <f>YEAR(Table7_1[[#This Row],[Year1]])</f>
        <v>2006</v>
      </c>
      <c r="C28" t="s">
        <v>18</v>
      </c>
      <c r="D28">
        <v>280000</v>
      </c>
    </row>
    <row r="29" spans="1:4" x14ac:dyDescent="0.35">
      <c r="A29" s="13">
        <v>38718</v>
      </c>
      <c r="B29">
        <f>YEAR(Table7_1[[#This Row],[Year1]])</f>
        <v>2006</v>
      </c>
      <c r="C29" t="s">
        <v>19</v>
      </c>
      <c r="D29">
        <v>0</v>
      </c>
    </row>
    <row r="30" spans="1:4" x14ac:dyDescent="0.35">
      <c r="A30" s="13">
        <v>38718</v>
      </c>
      <c r="B30">
        <f>YEAR(Table7_1[[#This Row],[Year1]])</f>
        <v>2006</v>
      </c>
      <c r="C30" t="s">
        <v>20</v>
      </c>
      <c r="D30">
        <v>140000</v>
      </c>
    </row>
    <row r="31" spans="1:4" x14ac:dyDescent="0.35">
      <c r="A31" s="13">
        <v>38718</v>
      </c>
      <c r="B31">
        <f>YEAR(Table7_1[[#This Row],[Year1]])</f>
        <v>2006</v>
      </c>
      <c r="C31" t="s">
        <v>21</v>
      </c>
      <c r="D31">
        <v>210000</v>
      </c>
    </row>
    <row r="32" spans="1:4" x14ac:dyDescent="0.35">
      <c r="A32" s="13">
        <v>38718</v>
      </c>
      <c r="B32">
        <f>YEAR(Table7_1[[#This Row],[Year1]])</f>
        <v>2006</v>
      </c>
      <c r="C32" t="s">
        <v>22</v>
      </c>
      <c r="D32">
        <v>210000</v>
      </c>
    </row>
    <row r="33" spans="1:4" x14ac:dyDescent="0.35">
      <c r="A33" s="13">
        <v>38718</v>
      </c>
      <c r="B33">
        <f>YEAR(Table7_1[[#This Row],[Year1]])</f>
        <v>2006</v>
      </c>
      <c r="C33" t="s">
        <v>73</v>
      </c>
      <c r="D33">
        <v>170000</v>
      </c>
    </row>
    <row r="34" spans="1:4" x14ac:dyDescent="0.35">
      <c r="A34" s="13">
        <v>38718</v>
      </c>
      <c r="B34">
        <f>YEAR(Table7_1[[#This Row],[Year1]])</f>
        <v>2006</v>
      </c>
      <c r="C34" t="s">
        <v>373</v>
      </c>
      <c r="D34">
        <v>2510000</v>
      </c>
    </row>
    <row r="35" spans="1:4" x14ac:dyDescent="0.35">
      <c r="A35" s="13">
        <v>39083</v>
      </c>
      <c r="B35">
        <f>YEAR(Table7_1[[#This Row],[Year1]])</f>
        <v>2007</v>
      </c>
      <c r="C35" t="s">
        <v>14</v>
      </c>
      <c r="D35">
        <v>6980000</v>
      </c>
    </row>
    <row r="36" spans="1:4" x14ac:dyDescent="0.35">
      <c r="A36" s="13">
        <v>39083</v>
      </c>
      <c r="B36">
        <f>YEAR(Table7_1[[#This Row],[Year1]])</f>
        <v>2007</v>
      </c>
      <c r="C36" t="s">
        <v>15</v>
      </c>
      <c r="D36">
        <v>500000</v>
      </c>
    </row>
    <row r="37" spans="1:4" x14ac:dyDescent="0.35">
      <c r="A37" s="13">
        <v>39083</v>
      </c>
      <c r="B37">
        <f>YEAR(Table7_1[[#This Row],[Year1]])</f>
        <v>2007</v>
      </c>
      <c r="C37" t="s">
        <v>16</v>
      </c>
      <c r="D37">
        <v>540000</v>
      </c>
    </row>
    <row r="38" spans="1:4" x14ac:dyDescent="0.35">
      <c r="A38" s="13">
        <v>39083</v>
      </c>
      <c r="B38">
        <f>YEAR(Table7_1[[#This Row],[Year1]])</f>
        <v>2007</v>
      </c>
      <c r="C38" t="s">
        <v>17</v>
      </c>
      <c r="D38">
        <v>280000</v>
      </c>
    </row>
    <row r="39" spans="1:4" x14ac:dyDescent="0.35">
      <c r="A39" s="13">
        <v>39083</v>
      </c>
      <c r="B39">
        <f>YEAR(Table7_1[[#This Row],[Year1]])</f>
        <v>2007</v>
      </c>
      <c r="C39" t="s">
        <v>18</v>
      </c>
      <c r="D39">
        <v>290000</v>
      </c>
    </row>
    <row r="40" spans="1:4" x14ac:dyDescent="0.35">
      <c r="A40" s="13">
        <v>39083</v>
      </c>
      <c r="B40">
        <f>YEAR(Table7_1[[#This Row],[Year1]])</f>
        <v>2007</v>
      </c>
      <c r="C40" t="s">
        <v>19</v>
      </c>
      <c r="D40">
        <v>60000</v>
      </c>
    </row>
    <row r="41" spans="1:4" x14ac:dyDescent="0.35">
      <c r="A41" s="13">
        <v>39083</v>
      </c>
      <c r="B41">
        <f>YEAR(Table7_1[[#This Row],[Year1]])</f>
        <v>2007</v>
      </c>
      <c r="C41" t="s">
        <v>20</v>
      </c>
      <c r="D41">
        <v>130000</v>
      </c>
    </row>
    <row r="42" spans="1:4" x14ac:dyDescent="0.35">
      <c r="A42" s="13">
        <v>39083</v>
      </c>
      <c r="B42">
        <f>YEAR(Table7_1[[#This Row],[Year1]])</f>
        <v>2007</v>
      </c>
      <c r="C42" t="s">
        <v>21</v>
      </c>
      <c r="D42">
        <v>190000</v>
      </c>
    </row>
    <row r="43" spans="1:4" x14ac:dyDescent="0.35">
      <c r="A43" s="13">
        <v>39083</v>
      </c>
      <c r="B43">
        <f>YEAR(Table7_1[[#This Row],[Year1]])</f>
        <v>2007</v>
      </c>
      <c r="C43" t="s">
        <v>22</v>
      </c>
      <c r="D43">
        <v>220000</v>
      </c>
    </row>
    <row r="44" spans="1:4" x14ac:dyDescent="0.35">
      <c r="A44" s="13">
        <v>39083</v>
      </c>
      <c r="B44">
        <f>YEAR(Table7_1[[#This Row],[Year1]])</f>
        <v>2007</v>
      </c>
      <c r="C44" t="s">
        <v>73</v>
      </c>
      <c r="D44">
        <v>290000</v>
      </c>
    </row>
    <row r="45" spans="1:4" x14ac:dyDescent="0.35">
      <c r="A45" s="13">
        <v>39083</v>
      </c>
      <c r="B45">
        <f>YEAR(Table7_1[[#This Row],[Year1]])</f>
        <v>2007</v>
      </c>
      <c r="C45" t="s">
        <v>373</v>
      </c>
      <c r="D45">
        <v>2290000</v>
      </c>
    </row>
    <row r="46" spans="1:4" x14ac:dyDescent="0.35">
      <c r="A46" s="13">
        <v>39448</v>
      </c>
      <c r="B46">
        <f>YEAR(Table7_1[[#This Row],[Year1]])</f>
        <v>2008</v>
      </c>
      <c r="C46" t="s">
        <v>14</v>
      </c>
      <c r="D46">
        <v>7030000</v>
      </c>
    </row>
    <row r="47" spans="1:4" x14ac:dyDescent="0.35">
      <c r="A47" s="13">
        <v>39448</v>
      </c>
      <c r="B47">
        <f>YEAR(Table7_1[[#This Row],[Year1]])</f>
        <v>2008</v>
      </c>
      <c r="C47" t="s">
        <v>15</v>
      </c>
      <c r="D47">
        <v>430000</v>
      </c>
    </row>
    <row r="48" spans="1:4" x14ac:dyDescent="0.35">
      <c r="A48" s="13">
        <v>39448</v>
      </c>
      <c r="B48">
        <f>YEAR(Table7_1[[#This Row],[Year1]])</f>
        <v>2008</v>
      </c>
      <c r="C48" t="s">
        <v>16</v>
      </c>
      <c r="D48">
        <v>570000</v>
      </c>
    </row>
    <row r="49" spans="1:4" x14ac:dyDescent="0.35">
      <c r="A49" s="13">
        <v>39448</v>
      </c>
      <c r="B49">
        <f>YEAR(Table7_1[[#This Row],[Year1]])</f>
        <v>2008</v>
      </c>
      <c r="C49" t="s">
        <v>17</v>
      </c>
      <c r="D49">
        <v>300000</v>
      </c>
    </row>
    <row r="50" spans="1:4" x14ac:dyDescent="0.35">
      <c r="A50" s="13">
        <v>39448</v>
      </c>
      <c r="B50">
        <f>YEAR(Table7_1[[#This Row],[Year1]])</f>
        <v>2008</v>
      </c>
      <c r="C50" t="s">
        <v>18</v>
      </c>
      <c r="D50">
        <v>300000</v>
      </c>
    </row>
    <row r="51" spans="1:4" x14ac:dyDescent="0.35">
      <c r="A51" s="13">
        <v>39448</v>
      </c>
      <c r="B51">
        <f>YEAR(Table7_1[[#This Row],[Year1]])</f>
        <v>2008</v>
      </c>
      <c r="C51" t="s">
        <v>19</v>
      </c>
      <c r="D51">
        <v>50000</v>
      </c>
    </row>
    <row r="52" spans="1:4" x14ac:dyDescent="0.35">
      <c r="A52" s="13">
        <v>39448</v>
      </c>
      <c r="B52">
        <f>YEAR(Table7_1[[#This Row],[Year1]])</f>
        <v>2008</v>
      </c>
      <c r="C52" t="s">
        <v>20</v>
      </c>
      <c r="D52">
        <v>130000</v>
      </c>
    </row>
    <row r="53" spans="1:4" x14ac:dyDescent="0.35">
      <c r="A53" s="13">
        <v>39448</v>
      </c>
      <c r="B53">
        <f>YEAR(Table7_1[[#This Row],[Year1]])</f>
        <v>2008</v>
      </c>
      <c r="C53" t="s">
        <v>21</v>
      </c>
      <c r="D53">
        <v>180000</v>
      </c>
    </row>
    <row r="54" spans="1:4" x14ac:dyDescent="0.35">
      <c r="A54" s="13">
        <v>39448</v>
      </c>
      <c r="B54">
        <f>YEAR(Table7_1[[#This Row],[Year1]])</f>
        <v>2008</v>
      </c>
      <c r="C54" t="s">
        <v>22</v>
      </c>
      <c r="D54">
        <v>160000</v>
      </c>
    </row>
    <row r="55" spans="1:4" x14ac:dyDescent="0.35">
      <c r="A55" s="13">
        <v>39448</v>
      </c>
      <c r="B55">
        <f>YEAR(Table7_1[[#This Row],[Year1]])</f>
        <v>2008</v>
      </c>
      <c r="C55" t="s">
        <v>73</v>
      </c>
      <c r="D55">
        <v>220000</v>
      </c>
    </row>
    <row r="56" spans="1:4" x14ac:dyDescent="0.35">
      <c r="A56" s="13">
        <v>39448</v>
      </c>
      <c r="B56">
        <f>YEAR(Table7_1[[#This Row],[Year1]])</f>
        <v>2008</v>
      </c>
      <c r="C56" t="s">
        <v>373</v>
      </c>
      <c r="D56">
        <v>2240000</v>
      </c>
    </row>
    <row r="57" spans="1:4" x14ac:dyDescent="0.35">
      <c r="A57" s="13">
        <v>39814</v>
      </c>
      <c r="B57">
        <f>YEAR(Table7_1[[#This Row],[Year1]])</f>
        <v>2009</v>
      </c>
      <c r="C57" t="s">
        <v>14</v>
      </c>
      <c r="D57">
        <v>6650000</v>
      </c>
    </row>
    <row r="58" spans="1:4" x14ac:dyDescent="0.35">
      <c r="A58" s="13">
        <v>39814</v>
      </c>
      <c r="B58">
        <f>YEAR(Table7_1[[#This Row],[Year1]])</f>
        <v>2009</v>
      </c>
      <c r="C58" t="s">
        <v>15</v>
      </c>
      <c r="D58">
        <v>480000</v>
      </c>
    </row>
    <row r="59" spans="1:4" x14ac:dyDescent="0.35">
      <c r="A59" s="13">
        <v>39814</v>
      </c>
      <c r="B59">
        <f>YEAR(Table7_1[[#This Row],[Year1]])</f>
        <v>2009</v>
      </c>
      <c r="C59" t="s">
        <v>16</v>
      </c>
      <c r="D59">
        <v>530000</v>
      </c>
    </row>
    <row r="60" spans="1:4" x14ac:dyDescent="0.35">
      <c r="A60" s="13">
        <v>39814</v>
      </c>
      <c r="B60">
        <f>YEAR(Table7_1[[#This Row],[Year1]])</f>
        <v>2009</v>
      </c>
      <c r="C60" t="s">
        <v>17</v>
      </c>
      <c r="D60">
        <v>320000</v>
      </c>
    </row>
    <row r="61" spans="1:4" x14ac:dyDescent="0.35">
      <c r="A61" s="13">
        <v>39814</v>
      </c>
      <c r="B61">
        <f>YEAR(Table7_1[[#This Row],[Year1]])</f>
        <v>2009</v>
      </c>
      <c r="C61" t="s">
        <v>18</v>
      </c>
      <c r="D61">
        <v>270000</v>
      </c>
    </row>
    <row r="62" spans="1:4" x14ac:dyDescent="0.35">
      <c r="A62" s="13">
        <v>39814</v>
      </c>
      <c r="B62">
        <f>YEAR(Table7_1[[#This Row],[Year1]])</f>
        <v>2009</v>
      </c>
      <c r="C62" t="s">
        <v>19</v>
      </c>
      <c r="D62">
        <v>50000</v>
      </c>
    </row>
    <row r="63" spans="1:4" x14ac:dyDescent="0.35">
      <c r="A63" s="13">
        <v>39814</v>
      </c>
      <c r="B63">
        <f>YEAR(Table7_1[[#This Row],[Year1]])</f>
        <v>2009</v>
      </c>
      <c r="C63" t="s">
        <v>20</v>
      </c>
      <c r="D63">
        <v>100000</v>
      </c>
    </row>
    <row r="64" spans="1:4" x14ac:dyDescent="0.35">
      <c r="A64" s="13">
        <v>39814</v>
      </c>
      <c r="B64">
        <f>YEAR(Table7_1[[#This Row],[Year1]])</f>
        <v>2009</v>
      </c>
      <c r="C64" t="s">
        <v>21</v>
      </c>
      <c r="D64">
        <v>150000</v>
      </c>
    </row>
    <row r="65" spans="1:4" x14ac:dyDescent="0.35">
      <c r="A65" s="13">
        <v>39814</v>
      </c>
      <c r="B65">
        <f>YEAR(Table7_1[[#This Row],[Year1]])</f>
        <v>2009</v>
      </c>
      <c r="C65" t="s">
        <v>22</v>
      </c>
      <c r="D65">
        <v>200000</v>
      </c>
    </row>
    <row r="66" spans="1:4" x14ac:dyDescent="0.35">
      <c r="A66" s="13">
        <v>39814</v>
      </c>
      <c r="B66">
        <f>YEAR(Table7_1[[#This Row],[Year1]])</f>
        <v>2009</v>
      </c>
      <c r="C66" t="s">
        <v>73</v>
      </c>
      <c r="D66">
        <v>120000</v>
      </c>
    </row>
    <row r="67" spans="1:4" x14ac:dyDescent="0.35">
      <c r="A67" s="13">
        <v>39814</v>
      </c>
      <c r="B67">
        <f>YEAR(Table7_1[[#This Row],[Year1]])</f>
        <v>2009</v>
      </c>
      <c r="C67" t="s">
        <v>373</v>
      </c>
      <c r="D67">
        <v>1880000</v>
      </c>
    </row>
    <row r="68" spans="1:4" x14ac:dyDescent="0.35">
      <c r="A68" s="13">
        <v>40179</v>
      </c>
      <c r="B68">
        <f>YEAR(Table7_1[[#This Row],[Year1]])</f>
        <v>2010</v>
      </c>
      <c r="C68" t="s">
        <v>14</v>
      </c>
      <c r="D68">
        <v>6830000</v>
      </c>
    </row>
    <row r="69" spans="1:4" x14ac:dyDescent="0.35">
      <c r="A69" s="13">
        <v>40179</v>
      </c>
      <c r="B69">
        <f>YEAR(Table7_1[[#This Row],[Year1]])</f>
        <v>2010</v>
      </c>
      <c r="C69" t="s">
        <v>15</v>
      </c>
      <c r="D69">
        <v>520000</v>
      </c>
    </row>
    <row r="70" spans="1:4" x14ac:dyDescent="0.35">
      <c r="A70" s="13">
        <v>40179</v>
      </c>
      <c r="B70">
        <f>YEAR(Table7_1[[#This Row],[Year1]])</f>
        <v>2010</v>
      </c>
      <c r="C70" t="s">
        <v>16</v>
      </c>
      <c r="D70">
        <v>670000</v>
      </c>
    </row>
    <row r="71" spans="1:4" x14ac:dyDescent="0.35">
      <c r="A71" s="13">
        <v>40179</v>
      </c>
      <c r="B71">
        <f>YEAR(Table7_1[[#This Row],[Year1]])</f>
        <v>2010</v>
      </c>
      <c r="C71" t="s">
        <v>17</v>
      </c>
      <c r="D71">
        <v>380000</v>
      </c>
    </row>
    <row r="72" spans="1:4" x14ac:dyDescent="0.35">
      <c r="A72" s="13">
        <v>40179</v>
      </c>
      <c r="B72">
        <f>YEAR(Table7_1[[#This Row],[Year1]])</f>
        <v>2010</v>
      </c>
      <c r="C72" t="s">
        <v>18</v>
      </c>
      <c r="D72">
        <v>290000</v>
      </c>
    </row>
    <row r="73" spans="1:4" x14ac:dyDescent="0.35">
      <c r="A73" s="13">
        <v>40179</v>
      </c>
      <c r="B73">
        <f>YEAR(Table7_1[[#This Row],[Year1]])</f>
        <v>2010</v>
      </c>
      <c r="C73" t="s">
        <v>19</v>
      </c>
      <c r="D73">
        <v>50000</v>
      </c>
    </row>
    <row r="74" spans="1:4" x14ac:dyDescent="0.35">
      <c r="A74" s="13">
        <v>40179</v>
      </c>
      <c r="B74">
        <f>YEAR(Table7_1[[#This Row],[Year1]])</f>
        <v>2010</v>
      </c>
      <c r="C74" t="s">
        <v>20</v>
      </c>
      <c r="D74">
        <v>120000</v>
      </c>
    </row>
    <row r="75" spans="1:4" x14ac:dyDescent="0.35">
      <c r="A75" s="13">
        <v>40179</v>
      </c>
      <c r="B75">
        <f>YEAR(Table7_1[[#This Row],[Year1]])</f>
        <v>2010</v>
      </c>
      <c r="C75" t="s">
        <v>21</v>
      </c>
      <c r="D75">
        <v>150000</v>
      </c>
    </row>
    <row r="76" spans="1:4" x14ac:dyDescent="0.35">
      <c r="A76" s="13">
        <v>40179</v>
      </c>
      <c r="B76">
        <f>YEAR(Table7_1[[#This Row],[Year1]])</f>
        <v>2010</v>
      </c>
      <c r="C76" t="s">
        <v>22</v>
      </c>
      <c r="D76">
        <v>270000</v>
      </c>
    </row>
    <row r="77" spans="1:4" x14ac:dyDescent="0.35">
      <c r="A77" s="13">
        <v>40179</v>
      </c>
      <c r="B77">
        <f>YEAR(Table7_1[[#This Row],[Year1]])</f>
        <v>2010</v>
      </c>
      <c r="C77" t="s">
        <v>73</v>
      </c>
      <c r="D77">
        <v>300000</v>
      </c>
    </row>
    <row r="78" spans="1:4" x14ac:dyDescent="0.35">
      <c r="A78" s="13">
        <v>40179</v>
      </c>
      <c r="B78">
        <f>YEAR(Table7_1[[#This Row],[Year1]])</f>
        <v>2010</v>
      </c>
      <c r="C78" t="s">
        <v>373</v>
      </c>
      <c r="D78">
        <v>2020000</v>
      </c>
    </row>
    <row r="79" spans="1:4" x14ac:dyDescent="0.35">
      <c r="A79" s="13">
        <v>40544</v>
      </c>
      <c r="B79">
        <f>YEAR(Table7_1[[#This Row],[Year1]])</f>
        <v>2011</v>
      </c>
      <c r="C79" t="s">
        <v>14</v>
      </c>
      <c r="D79">
        <v>6800000</v>
      </c>
    </row>
    <row r="80" spans="1:4" x14ac:dyDescent="0.35">
      <c r="A80" s="13">
        <v>40544</v>
      </c>
      <c r="B80">
        <f>YEAR(Table7_1[[#This Row],[Year1]])</f>
        <v>2011</v>
      </c>
      <c r="C80" t="s">
        <v>15</v>
      </c>
      <c r="D80">
        <v>520000</v>
      </c>
    </row>
    <row r="81" spans="1:4" x14ac:dyDescent="0.35">
      <c r="A81" s="13">
        <v>40544</v>
      </c>
      <c r="B81">
        <f>YEAR(Table7_1[[#This Row],[Year1]])</f>
        <v>2011</v>
      </c>
      <c r="C81" t="s">
        <v>16</v>
      </c>
      <c r="D81">
        <v>660000</v>
      </c>
    </row>
    <row r="82" spans="1:4" x14ac:dyDescent="0.35">
      <c r="A82" s="13">
        <v>40544</v>
      </c>
      <c r="B82">
        <f>YEAR(Table7_1[[#This Row],[Year1]])</f>
        <v>2011</v>
      </c>
      <c r="C82" t="s">
        <v>17</v>
      </c>
      <c r="D82">
        <v>380000</v>
      </c>
    </row>
    <row r="83" spans="1:4" x14ac:dyDescent="0.35">
      <c r="A83" s="13">
        <v>40544</v>
      </c>
      <c r="B83">
        <f>YEAR(Table7_1[[#This Row],[Year1]])</f>
        <v>2011</v>
      </c>
      <c r="C83" t="s">
        <v>18</v>
      </c>
      <c r="D83">
        <v>270000</v>
      </c>
    </row>
    <row r="84" spans="1:4" x14ac:dyDescent="0.35">
      <c r="A84" s="13">
        <v>40544</v>
      </c>
      <c r="B84">
        <f>YEAR(Table7_1[[#This Row],[Year1]])</f>
        <v>2011</v>
      </c>
      <c r="C84" t="s">
        <v>19</v>
      </c>
      <c r="D84">
        <v>50000</v>
      </c>
    </row>
    <row r="85" spans="1:4" x14ac:dyDescent="0.35">
      <c r="A85" s="13">
        <v>40544</v>
      </c>
      <c r="B85">
        <f>YEAR(Table7_1[[#This Row],[Year1]])</f>
        <v>2011</v>
      </c>
      <c r="C85" t="s">
        <v>20</v>
      </c>
      <c r="D85">
        <v>130000</v>
      </c>
    </row>
    <row r="86" spans="1:4" x14ac:dyDescent="0.35">
      <c r="A86" s="13">
        <v>40544</v>
      </c>
      <c r="B86">
        <f>YEAR(Table7_1[[#This Row],[Year1]])</f>
        <v>2011</v>
      </c>
      <c r="C86" t="s">
        <v>21</v>
      </c>
      <c r="D86">
        <v>150000</v>
      </c>
    </row>
    <row r="87" spans="1:4" x14ac:dyDescent="0.35">
      <c r="A87" s="13">
        <v>40544</v>
      </c>
      <c r="B87">
        <f>YEAR(Table7_1[[#This Row],[Year1]])</f>
        <v>2011</v>
      </c>
      <c r="C87" t="s">
        <v>22</v>
      </c>
      <c r="D87">
        <v>240000</v>
      </c>
    </row>
    <row r="88" spans="1:4" x14ac:dyDescent="0.35">
      <c r="A88" s="13">
        <v>40544</v>
      </c>
      <c r="B88">
        <f>YEAR(Table7_1[[#This Row],[Year1]])</f>
        <v>2011</v>
      </c>
      <c r="C88" t="s">
        <v>73</v>
      </c>
      <c r="D88">
        <v>280000</v>
      </c>
    </row>
    <row r="89" spans="1:4" x14ac:dyDescent="0.35">
      <c r="A89" s="13">
        <v>40544</v>
      </c>
      <c r="B89">
        <f>YEAR(Table7_1[[#This Row],[Year1]])</f>
        <v>2011</v>
      </c>
      <c r="C89" t="s">
        <v>373</v>
      </c>
      <c r="D89">
        <v>2030000</v>
      </c>
    </row>
    <row r="90" spans="1:4" x14ac:dyDescent="0.35">
      <c r="A90" s="13">
        <v>40909</v>
      </c>
      <c r="B90">
        <f>YEAR(Table7_1[[#This Row],[Year1]])</f>
        <v>2012</v>
      </c>
      <c r="C90" t="s">
        <v>14</v>
      </c>
      <c r="D90">
        <v>6720000</v>
      </c>
    </row>
    <row r="91" spans="1:4" x14ac:dyDescent="0.35">
      <c r="A91" s="13">
        <v>40909</v>
      </c>
      <c r="B91">
        <f>YEAR(Table7_1[[#This Row],[Year1]])</f>
        <v>2012</v>
      </c>
      <c r="C91" t="s">
        <v>15</v>
      </c>
      <c r="D91">
        <v>560000</v>
      </c>
    </row>
    <row r="92" spans="1:4" x14ac:dyDescent="0.35">
      <c r="A92" s="13">
        <v>40909</v>
      </c>
      <c r="B92">
        <f>YEAR(Table7_1[[#This Row],[Year1]])</f>
        <v>2012</v>
      </c>
      <c r="C92" t="s">
        <v>16</v>
      </c>
      <c r="D92">
        <v>690000</v>
      </c>
    </row>
    <row r="93" spans="1:4" x14ac:dyDescent="0.35">
      <c r="A93" s="13">
        <v>40909</v>
      </c>
      <c r="B93">
        <f>YEAR(Table7_1[[#This Row],[Year1]])</f>
        <v>2012</v>
      </c>
      <c r="C93" t="s">
        <v>17</v>
      </c>
      <c r="D93">
        <v>360000</v>
      </c>
    </row>
    <row r="94" spans="1:4" x14ac:dyDescent="0.35">
      <c r="A94" s="13">
        <v>40909</v>
      </c>
      <c r="B94">
        <f>YEAR(Table7_1[[#This Row],[Year1]])</f>
        <v>2012</v>
      </c>
      <c r="C94" t="s">
        <v>18</v>
      </c>
      <c r="D94">
        <v>310000</v>
      </c>
    </row>
    <row r="95" spans="1:4" x14ac:dyDescent="0.35">
      <c r="A95" s="13">
        <v>40909</v>
      </c>
      <c r="B95">
        <f>YEAR(Table7_1[[#This Row],[Year1]])</f>
        <v>2012</v>
      </c>
      <c r="C95" t="s">
        <v>19</v>
      </c>
      <c r="D95">
        <v>60000</v>
      </c>
    </row>
    <row r="96" spans="1:4" x14ac:dyDescent="0.35">
      <c r="A96" s="13">
        <v>40909</v>
      </c>
      <c r="B96">
        <f>YEAR(Table7_1[[#This Row],[Year1]])</f>
        <v>2012</v>
      </c>
      <c r="C96" t="s">
        <v>20</v>
      </c>
      <c r="D96">
        <v>130000</v>
      </c>
    </row>
    <row r="97" spans="1:4" x14ac:dyDescent="0.35">
      <c r="A97" s="13">
        <v>40909</v>
      </c>
      <c r="B97">
        <f>YEAR(Table7_1[[#This Row],[Year1]])</f>
        <v>2012</v>
      </c>
      <c r="C97" t="s">
        <v>21</v>
      </c>
      <c r="D97">
        <v>130000</v>
      </c>
    </row>
    <row r="98" spans="1:4" x14ac:dyDescent="0.35">
      <c r="A98" s="13">
        <v>40909</v>
      </c>
      <c r="B98">
        <f>YEAR(Table7_1[[#This Row],[Year1]])</f>
        <v>2012</v>
      </c>
      <c r="C98" t="s">
        <v>22</v>
      </c>
      <c r="D98">
        <v>260000</v>
      </c>
    </row>
    <row r="99" spans="1:4" x14ac:dyDescent="0.35">
      <c r="A99" s="13">
        <v>40909</v>
      </c>
      <c r="B99">
        <f>YEAR(Table7_1[[#This Row],[Year1]])</f>
        <v>2012</v>
      </c>
      <c r="C99" t="s">
        <v>73</v>
      </c>
      <c r="D99">
        <v>210000</v>
      </c>
    </row>
    <row r="100" spans="1:4" x14ac:dyDescent="0.35">
      <c r="A100" s="13">
        <v>40909</v>
      </c>
      <c r="B100">
        <f>YEAR(Table7_1[[#This Row],[Year1]])</f>
        <v>2012</v>
      </c>
      <c r="C100" t="s">
        <v>373</v>
      </c>
      <c r="D100">
        <v>2010000</v>
      </c>
    </row>
    <row r="101" spans="1:4" x14ac:dyDescent="0.35">
      <c r="A101" s="13">
        <v>41275</v>
      </c>
      <c r="B101">
        <f>YEAR(Table7_1[[#This Row],[Year1]])</f>
        <v>2013</v>
      </c>
      <c r="C101" t="s">
        <v>14</v>
      </c>
      <c r="D101">
        <v>6450000</v>
      </c>
    </row>
    <row r="102" spans="1:4" x14ac:dyDescent="0.35">
      <c r="A102" s="13">
        <v>41275</v>
      </c>
      <c r="B102">
        <f>YEAR(Table7_1[[#This Row],[Year1]])</f>
        <v>2013</v>
      </c>
      <c r="C102" t="s">
        <v>15</v>
      </c>
      <c r="D102">
        <v>590000</v>
      </c>
    </row>
    <row r="103" spans="1:4" x14ac:dyDescent="0.35">
      <c r="A103" s="13">
        <v>41275</v>
      </c>
      <c r="B103">
        <f>YEAR(Table7_1[[#This Row],[Year1]])</f>
        <v>2013</v>
      </c>
      <c r="C103" t="s">
        <v>16</v>
      </c>
      <c r="D103">
        <v>690000</v>
      </c>
    </row>
    <row r="104" spans="1:4" x14ac:dyDescent="0.35">
      <c r="A104" s="13">
        <v>41275</v>
      </c>
      <c r="B104">
        <f>YEAR(Table7_1[[#This Row],[Year1]])</f>
        <v>2013</v>
      </c>
      <c r="C104" t="s">
        <v>17</v>
      </c>
      <c r="D104">
        <v>390000</v>
      </c>
    </row>
    <row r="105" spans="1:4" x14ac:dyDescent="0.35">
      <c r="A105" s="13">
        <v>41275</v>
      </c>
      <c r="B105">
        <f>YEAR(Table7_1[[#This Row],[Year1]])</f>
        <v>2013</v>
      </c>
      <c r="C105" t="s">
        <v>18</v>
      </c>
      <c r="D105">
        <v>340000</v>
      </c>
    </row>
    <row r="106" spans="1:4" x14ac:dyDescent="0.35">
      <c r="A106" s="13">
        <v>41275</v>
      </c>
      <c r="B106">
        <f>YEAR(Table7_1[[#This Row],[Year1]])</f>
        <v>2013</v>
      </c>
      <c r="C106" t="s">
        <v>19</v>
      </c>
      <c r="D106">
        <v>50000</v>
      </c>
    </row>
    <row r="107" spans="1:4" x14ac:dyDescent="0.35">
      <c r="A107" s="13">
        <v>41275</v>
      </c>
      <c r="B107">
        <f>YEAR(Table7_1[[#This Row],[Year1]])</f>
        <v>2013</v>
      </c>
      <c r="C107" t="s">
        <v>20</v>
      </c>
      <c r="D107">
        <v>160000</v>
      </c>
    </row>
    <row r="108" spans="1:4" x14ac:dyDescent="0.35">
      <c r="A108" s="13">
        <v>41275</v>
      </c>
      <c r="B108">
        <f>YEAR(Table7_1[[#This Row],[Year1]])</f>
        <v>2013</v>
      </c>
      <c r="C108" t="s">
        <v>21</v>
      </c>
      <c r="D108">
        <v>110000</v>
      </c>
    </row>
    <row r="109" spans="1:4" x14ac:dyDescent="0.35">
      <c r="A109" s="13">
        <v>41275</v>
      </c>
      <c r="B109">
        <f>YEAR(Table7_1[[#This Row],[Year1]])</f>
        <v>2013</v>
      </c>
      <c r="C109" t="s">
        <v>22</v>
      </c>
      <c r="D109">
        <v>320000</v>
      </c>
    </row>
    <row r="110" spans="1:4" x14ac:dyDescent="0.35">
      <c r="A110" s="13">
        <v>41275</v>
      </c>
      <c r="B110">
        <f>YEAR(Table7_1[[#This Row],[Year1]])</f>
        <v>2013</v>
      </c>
      <c r="C110" t="s">
        <v>73</v>
      </c>
      <c r="D110">
        <v>190000</v>
      </c>
    </row>
    <row r="111" spans="1:4" x14ac:dyDescent="0.35">
      <c r="A111" s="13">
        <v>41275</v>
      </c>
      <c r="B111">
        <f>YEAR(Table7_1[[#This Row],[Year1]])</f>
        <v>2013</v>
      </c>
      <c r="C111" t="s">
        <v>373</v>
      </c>
      <c r="D111">
        <v>1920000</v>
      </c>
    </row>
    <row r="112" spans="1:4" x14ac:dyDescent="0.35">
      <c r="A112" s="13">
        <v>41640</v>
      </c>
      <c r="B112">
        <f>YEAR(Table7_1[[#This Row],[Year1]])</f>
        <v>2014</v>
      </c>
      <c r="C112" t="s">
        <v>14</v>
      </c>
      <c r="D112">
        <v>6450000</v>
      </c>
    </row>
    <row r="113" spans="1:4" x14ac:dyDescent="0.35">
      <c r="A113" s="13">
        <v>41640</v>
      </c>
      <c r="B113">
        <f>YEAR(Table7_1[[#This Row],[Year1]])</f>
        <v>2014</v>
      </c>
      <c r="C113" t="s">
        <v>15</v>
      </c>
      <c r="D113">
        <v>620000</v>
      </c>
    </row>
    <row r="114" spans="1:4" x14ac:dyDescent="0.35">
      <c r="A114" s="13">
        <v>41640</v>
      </c>
      <c r="B114">
        <f>YEAR(Table7_1[[#This Row],[Year1]])</f>
        <v>2014</v>
      </c>
      <c r="C114" t="s">
        <v>16</v>
      </c>
      <c r="D114">
        <v>670000</v>
      </c>
    </row>
    <row r="115" spans="1:4" x14ac:dyDescent="0.35">
      <c r="A115" s="13">
        <v>41640</v>
      </c>
      <c r="B115">
        <f>YEAR(Table7_1[[#This Row],[Year1]])</f>
        <v>2014</v>
      </c>
      <c r="C115" t="s">
        <v>17</v>
      </c>
      <c r="D115">
        <v>390000</v>
      </c>
    </row>
    <row r="116" spans="1:4" x14ac:dyDescent="0.35">
      <c r="A116" s="13">
        <v>41640</v>
      </c>
      <c r="B116">
        <f>YEAR(Table7_1[[#This Row],[Year1]])</f>
        <v>2014</v>
      </c>
      <c r="C116" t="s">
        <v>18</v>
      </c>
      <c r="D116">
        <v>330000</v>
      </c>
    </row>
    <row r="117" spans="1:4" x14ac:dyDescent="0.35">
      <c r="A117" s="13">
        <v>41640</v>
      </c>
      <c r="B117">
        <f>YEAR(Table7_1[[#This Row],[Year1]])</f>
        <v>2014</v>
      </c>
      <c r="C117" t="s">
        <v>19</v>
      </c>
      <c r="D117">
        <v>40000</v>
      </c>
    </row>
    <row r="118" spans="1:4" x14ac:dyDescent="0.35">
      <c r="A118" s="13">
        <v>41640</v>
      </c>
      <c r="B118">
        <f>YEAR(Table7_1[[#This Row],[Year1]])</f>
        <v>2014</v>
      </c>
      <c r="C118" t="s">
        <v>20</v>
      </c>
      <c r="D118">
        <v>130000</v>
      </c>
    </row>
    <row r="119" spans="1:4" x14ac:dyDescent="0.35">
      <c r="A119" s="13">
        <v>41640</v>
      </c>
      <c r="B119">
        <f>YEAR(Table7_1[[#This Row],[Year1]])</f>
        <v>2014</v>
      </c>
      <c r="C119" t="s">
        <v>21</v>
      </c>
      <c r="D119">
        <v>110000</v>
      </c>
    </row>
    <row r="120" spans="1:4" x14ac:dyDescent="0.35">
      <c r="A120" s="13">
        <v>41640</v>
      </c>
      <c r="B120">
        <f>YEAR(Table7_1[[#This Row],[Year1]])</f>
        <v>2014</v>
      </c>
      <c r="C120" t="s">
        <v>22</v>
      </c>
      <c r="D120">
        <v>390000</v>
      </c>
    </row>
    <row r="121" spans="1:4" x14ac:dyDescent="0.35">
      <c r="A121" s="13">
        <v>41640</v>
      </c>
      <c r="B121">
        <f>YEAR(Table7_1[[#This Row],[Year1]])</f>
        <v>2014</v>
      </c>
      <c r="C121" t="s">
        <v>73</v>
      </c>
      <c r="D121">
        <v>230000</v>
      </c>
    </row>
    <row r="122" spans="1:4" x14ac:dyDescent="0.35">
      <c r="A122" s="13">
        <v>41640</v>
      </c>
      <c r="B122">
        <f>YEAR(Table7_1[[#This Row],[Year1]])</f>
        <v>2014</v>
      </c>
      <c r="C122" t="s">
        <v>373</v>
      </c>
      <c r="D122">
        <v>2090000</v>
      </c>
    </row>
    <row r="123" spans="1:4" x14ac:dyDescent="0.35">
      <c r="A123" s="13">
        <v>42005</v>
      </c>
      <c r="B123">
        <f>YEAR(Table7_1[[#This Row],[Year1]])</f>
        <v>2015</v>
      </c>
      <c r="C123" t="s">
        <v>14</v>
      </c>
      <c r="D123">
        <v>6200000</v>
      </c>
    </row>
    <row r="124" spans="1:4" x14ac:dyDescent="0.35">
      <c r="A124" s="13">
        <v>42005</v>
      </c>
      <c r="B124">
        <f>YEAR(Table7_1[[#This Row],[Year1]])</f>
        <v>2015</v>
      </c>
      <c r="C124" t="s">
        <v>15</v>
      </c>
      <c r="D124">
        <v>600000</v>
      </c>
    </row>
    <row r="125" spans="1:4" x14ac:dyDescent="0.35">
      <c r="A125" s="13">
        <v>42005</v>
      </c>
      <c r="B125">
        <f>YEAR(Table7_1[[#This Row],[Year1]])</f>
        <v>2015</v>
      </c>
      <c r="C125" t="s">
        <v>16</v>
      </c>
      <c r="D125">
        <v>720000</v>
      </c>
    </row>
    <row r="126" spans="1:4" x14ac:dyDescent="0.35">
      <c r="A126" s="13">
        <v>42005</v>
      </c>
      <c r="B126">
        <f>YEAR(Table7_1[[#This Row],[Year1]])</f>
        <v>2015</v>
      </c>
      <c r="C126" t="s">
        <v>17</v>
      </c>
      <c r="D126">
        <v>420000</v>
      </c>
    </row>
    <row r="127" spans="1:4" x14ac:dyDescent="0.35">
      <c r="A127" s="13">
        <v>42005</v>
      </c>
      <c r="B127">
        <f>YEAR(Table7_1[[#This Row],[Year1]])</f>
        <v>2015</v>
      </c>
      <c r="C127" t="s">
        <v>18</v>
      </c>
      <c r="D127">
        <v>350000</v>
      </c>
    </row>
    <row r="128" spans="1:4" x14ac:dyDescent="0.35">
      <c r="A128" s="13">
        <v>42005</v>
      </c>
      <c r="B128">
        <f>YEAR(Table7_1[[#This Row],[Year1]])</f>
        <v>2015</v>
      </c>
      <c r="C128" t="s">
        <v>19</v>
      </c>
      <c r="D128">
        <v>80000</v>
      </c>
    </row>
    <row r="129" spans="1:4" x14ac:dyDescent="0.35">
      <c r="A129" s="13">
        <v>42005</v>
      </c>
      <c r="B129">
        <f>YEAR(Table7_1[[#This Row],[Year1]])</f>
        <v>2015</v>
      </c>
      <c r="C129" t="s">
        <v>20</v>
      </c>
      <c r="D129">
        <v>130000</v>
      </c>
    </row>
    <row r="130" spans="1:4" x14ac:dyDescent="0.35">
      <c r="A130" s="13">
        <v>42005</v>
      </c>
      <c r="B130">
        <f>YEAR(Table7_1[[#This Row],[Year1]])</f>
        <v>2015</v>
      </c>
      <c r="C130" t="s">
        <v>21</v>
      </c>
      <c r="D130">
        <v>100000</v>
      </c>
    </row>
    <row r="131" spans="1:4" x14ac:dyDescent="0.35">
      <c r="A131" s="13">
        <v>42005</v>
      </c>
      <c r="B131">
        <f>YEAR(Table7_1[[#This Row],[Year1]])</f>
        <v>2015</v>
      </c>
      <c r="C131" t="s">
        <v>22</v>
      </c>
      <c r="D131">
        <v>450000</v>
      </c>
    </row>
    <row r="132" spans="1:4" x14ac:dyDescent="0.35">
      <c r="A132" s="13">
        <v>42005</v>
      </c>
      <c r="B132">
        <f>YEAR(Table7_1[[#This Row],[Year1]])</f>
        <v>2015</v>
      </c>
      <c r="C132" t="s">
        <v>73</v>
      </c>
      <c r="D132">
        <v>320000</v>
      </c>
    </row>
    <row r="133" spans="1:4" x14ac:dyDescent="0.35">
      <c r="A133" s="13">
        <v>42005</v>
      </c>
      <c r="B133">
        <f>YEAR(Table7_1[[#This Row],[Year1]])</f>
        <v>2015</v>
      </c>
      <c r="C133" t="s">
        <v>373</v>
      </c>
      <c r="D133">
        <v>2080000</v>
      </c>
    </row>
    <row r="134" spans="1:4" x14ac:dyDescent="0.35">
      <c r="A134" s="13">
        <v>42370</v>
      </c>
      <c r="B134">
        <f>YEAR(Table7_1[[#This Row],[Year1]])</f>
        <v>2016</v>
      </c>
      <c r="C134" t="s">
        <v>14</v>
      </c>
      <c r="D134">
        <v>5970000</v>
      </c>
    </row>
    <row r="135" spans="1:4" x14ac:dyDescent="0.35">
      <c r="A135" s="13">
        <v>42370</v>
      </c>
      <c r="B135">
        <f>YEAR(Table7_1[[#This Row],[Year1]])</f>
        <v>2016</v>
      </c>
      <c r="C135" t="s">
        <v>15</v>
      </c>
      <c r="D135">
        <v>610000</v>
      </c>
    </row>
    <row r="136" spans="1:4" x14ac:dyDescent="0.35">
      <c r="A136" s="13">
        <v>42370</v>
      </c>
      <c r="B136">
        <f>YEAR(Table7_1[[#This Row],[Year1]])</f>
        <v>2016</v>
      </c>
      <c r="C136" t="s">
        <v>16</v>
      </c>
      <c r="D136">
        <v>750000</v>
      </c>
    </row>
    <row r="137" spans="1:4" x14ac:dyDescent="0.35">
      <c r="A137" s="13">
        <v>42370</v>
      </c>
      <c r="B137">
        <f>YEAR(Table7_1[[#This Row],[Year1]])</f>
        <v>2016</v>
      </c>
      <c r="C137" t="s">
        <v>17</v>
      </c>
      <c r="D137">
        <v>430000</v>
      </c>
    </row>
    <row r="138" spans="1:4" x14ac:dyDescent="0.35">
      <c r="A138" s="13">
        <v>42370</v>
      </c>
      <c r="B138">
        <f>YEAR(Table7_1[[#This Row],[Year1]])</f>
        <v>2016</v>
      </c>
      <c r="C138" t="s">
        <v>18</v>
      </c>
      <c r="D138">
        <v>410000</v>
      </c>
    </row>
    <row r="139" spans="1:4" x14ac:dyDescent="0.35">
      <c r="A139" s="13">
        <v>42370</v>
      </c>
      <c r="B139">
        <f>YEAR(Table7_1[[#This Row],[Year1]])</f>
        <v>2016</v>
      </c>
      <c r="C139" t="s">
        <v>19</v>
      </c>
      <c r="D139">
        <v>100000</v>
      </c>
    </row>
    <row r="140" spans="1:4" x14ac:dyDescent="0.35">
      <c r="A140" s="13">
        <v>42370</v>
      </c>
      <c r="B140">
        <f>YEAR(Table7_1[[#This Row],[Year1]])</f>
        <v>2016</v>
      </c>
      <c r="C140" t="s">
        <v>20</v>
      </c>
      <c r="D140">
        <v>140000</v>
      </c>
    </row>
    <row r="141" spans="1:4" x14ac:dyDescent="0.35">
      <c r="A141" s="13">
        <v>42370</v>
      </c>
      <c r="B141">
        <f>YEAR(Table7_1[[#This Row],[Year1]])</f>
        <v>2016</v>
      </c>
      <c r="C141" t="s">
        <v>21</v>
      </c>
      <c r="D141">
        <v>110000</v>
      </c>
    </row>
    <row r="142" spans="1:4" x14ac:dyDescent="0.35">
      <c r="A142" s="13">
        <v>42370</v>
      </c>
      <c r="B142">
        <f>YEAR(Table7_1[[#This Row],[Year1]])</f>
        <v>2016</v>
      </c>
      <c r="C142" t="s">
        <v>22</v>
      </c>
      <c r="D142">
        <v>560000</v>
      </c>
    </row>
    <row r="143" spans="1:4" x14ac:dyDescent="0.35">
      <c r="A143" s="13">
        <v>42370</v>
      </c>
      <c r="B143">
        <f>YEAR(Table7_1[[#This Row],[Year1]])</f>
        <v>2016</v>
      </c>
      <c r="C143" t="s">
        <v>73</v>
      </c>
      <c r="D143">
        <v>420000</v>
      </c>
    </row>
    <row r="144" spans="1:4" x14ac:dyDescent="0.35">
      <c r="A144" s="13">
        <v>42370</v>
      </c>
      <c r="B144">
        <f>YEAR(Table7_1[[#This Row],[Year1]])</f>
        <v>2016</v>
      </c>
      <c r="C144" t="s">
        <v>373</v>
      </c>
      <c r="D144">
        <v>2260000</v>
      </c>
    </row>
    <row r="145" spans="1:4" x14ac:dyDescent="0.35">
      <c r="A145" s="13">
        <v>42736</v>
      </c>
      <c r="B145">
        <f>YEAR(Table7_1[[#This Row],[Year1]])</f>
        <v>2017</v>
      </c>
      <c r="C145" t="s">
        <v>14</v>
      </c>
      <c r="D145">
        <v>5860000</v>
      </c>
    </row>
    <row r="146" spans="1:4" x14ac:dyDescent="0.35">
      <c r="A146" s="13">
        <v>42736</v>
      </c>
      <c r="B146">
        <f>YEAR(Table7_1[[#This Row],[Year1]])</f>
        <v>2017</v>
      </c>
      <c r="C146" t="s">
        <v>15</v>
      </c>
      <c r="D146">
        <v>610000</v>
      </c>
    </row>
    <row r="147" spans="1:4" x14ac:dyDescent="0.35">
      <c r="A147" s="13">
        <v>42736</v>
      </c>
      <c r="B147">
        <f>YEAR(Table7_1[[#This Row],[Year1]])</f>
        <v>2017</v>
      </c>
      <c r="C147" t="s">
        <v>16</v>
      </c>
      <c r="D147">
        <v>750000</v>
      </c>
    </row>
    <row r="148" spans="1:4" x14ac:dyDescent="0.35">
      <c r="A148" s="13">
        <v>42736</v>
      </c>
      <c r="B148">
        <f>YEAR(Table7_1[[#This Row],[Year1]])</f>
        <v>2017</v>
      </c>
      <c r="C148" t="s">
        <v>17</v>
      </c>
      <c r="D148">
        <v>500000</v>
      </c>
    </row>
    <row r="149" spans="1:4" x14ac:dyDescent="0.35">
      <c r="A149" s="13">
        <v>42736</v>
      </c>
      <c r="B149">
        <f>YEAR(Table7_1[[#This Row],[Year1]])</f>
        <v>2017</v>
      </c>
      <c r="C149" t="s">
        <v>18</v>
      </c>
      <c r="D149">
        <v>300000</v>
      </c>
    </row>
    <row r="150" spans="1:4" x14ac:dyDescent="0.35">
      <c r="A150" s="13">
        <v>42736</v>
      </c>
      <c r="B150">
        <f>YEAR(Table7_1[[#This Row],[Year1]])</f>
        <v>2017</v>
      </c>
      <c r="C150" t="s">
        <v>19</v>
      </c>
      <c r="D150">
        <v>120000</v>
      </c>
    </row>
    <row r="151" spans="1:4" x14ac:dyDescent="0.35">
      <c r="A151" s="13">
        <v>42736</v>
      </c>
      <c r="B151">
        <f>YEAR(Table7_1[[#This Row],[Year1]])</f>
        <v>2017</v>
      </c>
      <c r="C151" t="s">
        <v>20</v>
      </c>
      <c r="D151">
        <v>130000</v>
      </c>
    </row>
    <row r="152" spans="1:4" x14ac:dyDescent="0.35">
      <c r="A152" s="13">
        <v>42736</v>
      </c>
      <c r="B152">
        <f>YEAR(Table7_1[[#This Row],[Year1]])</f>
        <v>2017</v>
      </c>
      <c r="C152" t="s">
        <v>21</v>
      </c>
      <c r="D152">
        <v>150000</v>
      </c>
    </row>
    <row r="153" spans="1:4" x14ac:dyDescent="0.35">
      <c r="A153" s="13">
        <v>42736</v>
      </c>
      <c r="B153">
        <f>YEAR(Table7_1[[#This Row],[Year1]])</f>
        <v>2017</v>
      </c>
      <c r="C153" t="s">
        <v>22</v>
      </c>
      <c r="D153">
        <v>490000</v>
      </c>
    </row>
    <row r="154" spans="1:4" x14ac:dyDescent="0.35">
      <c r="A154" s="13">
        <v>42736</v>
      </c>
      <c r="B154">
        <f>YEAR(Table7_1[[#This Row],[Year1]])</f>
        <v>2017</v>
      </c>
      <c r="C154" t="s">
        <v>73</v>
      </c>
      <c r="D154">
        <v>410000</v>
      </c>
    </row>
    <row r="155" spans="1:4" x14ac:dyDescent="0.35">
      <c r="A155" s="13">
        <v>42736</v>
      </c>
      <c r="B155">
        <f>YEAR(Table7_1[[#This Row],[Year1]])</f>
        <v>2017</v>
      </c>
      <c r="C155" t="s">
        <v>373</v>
      </c>
      <c r="D155">
        <v>2090000</v>
      </c>
    </row>
    <row r="156" spans="1:4" x14ac:dyDescent="0.35">
      <c r="A156" s="13">
        <v>43101</v>
      </c>
      <c r="B156">
        <f>YEAR(Table7_1[[#This Row],[Year1]])</f>
        <v>2018</v>
      </c>
      <c r="C156" t="s">
        <v>14</v>
      </c>
      <c r="D156">
        <v>5540000</v>
      </c>
    </row>
    <row r="157" spans="1:4" x14ac:dyDescent="0.35">
      <c r="A157" s="13">
        <v>43101</v>
      </c>
      <c r="B157">
        <f>YEAR(Table7_1[[#This Row],[Year1]])</f>
        <v>2018</v>
      </c>
      <c r="C157" t="s">
        <v>15</v>
      </c>
      <c r="D157">
        <v>620000</v>
      </c>
    </row>
    <row r="158" spans="1:4" x14ac:dyDescent="0.35">
      <c r="A158" s="13">
        <v>43101</v>
      </c>
      <c r="B158">
        <f>YEAR(Table7_1[[#This Row],[Year1]])</f>
        <v>2018</v>
      </c>
      <c r="C158" t="s">
        <v>16</v>
      </c>
      <c r="D158">
        <v>730000</v>
      </c>
    </row>
    <row r="159" spans="1:4" x14ac:dyDescent="0.35">
      <c r="A159" s="13">
        <v>43101</v>
      </c>
      <c r="B159">
        <f>YEAR(Table7_1[[#This Row],[Year1]])</f>
        <v>2018</v>
      </c>
      <c r="C159" t="s">
        <v>17</v>
      </c>
      <c r="D159">
        <v>450000</v>
      </c>
    </row>
    <row r="160" spans="1:4" x14ac:dyDescent="0.35">
      <c r="A160" s="13">
        <v>43101</v>
      </c>
      <c r="B160">
        <f>YEAR(Table7_1[[#This Row],[Year1]])</f>
        <v>2018</v>
      </c>
      <c r="C160" t="s">
        <v>18</v>
      </c>
      <c r="D160">
        <v>370000</v>
      </c>
    </row>
    <row r="161" spans="1:4" x14ac:dyDescent="0.35">
      <c r="A161" s="13">
        <v>43101</v>
      </c>
      <c r="B161">
        <f>YEAR(Table7_1[[#This Row],[Year1]])</f>
        <v>2018</v>
      </c>
      <c r="C161" t="s">
        <v>19</v>
      </c>
      <c r="D161">
        <v>190000</v>
      </c>
    </row>
    <row r="162" spans="1:4" x14ac:dyDescent="0.35">
      <c r="A162" s="13">
        <v>43101</v>
      </c>
      <c r="B162">
        <f>YEAR(Table7_1[[#This Row],[Year1]])</f>
        <v>2018</v>
      </c>
      <c r="C162" t="s">
        <v>20</v>
      </c>
      <c r="D162">
        <v>210000</v>
      </c>
    </row>
    <row r="163" spans="1:4" x14ac:dyDescent="0.35">
      <c r="A163" s="13">
        <v>43101</v>
      </c>
      <c r="B163">
        <f>YEAR(Table7_1[[#This Row],[Year1]])</f>
        <v>2018</v>
      </c>
      <c r="C163" t="s">
        <v>21</v>
      </c>
      <c r="D163">
        <v>190000</v>
      </c>
    </row>
    <row r="164" spans="1:4" x14ac:dyDescent="0.35">
      <c r="A164" s="13">
        <v>43101</v>
      </c>
      <c r="B164">
        <f>YEAR(Table7_1[[#This Row],[Year1]])</f>
        <v>2018</v>
      </c>
      <c r="C164" t="s">
        <v>22</v>
      </c>
      <c r="D164">
        <v>480000</v>
      </c>
    </row>
    <row r="165" spans="1:4" x14ac:dyDescent="0.35">
      <c r="A165" s="13">
        <v>43101</v>
      </c>
      <c r="B165">
        <f>YEAR(Table7_1[[#This Row],[Year1]])</f>
        <v>2018</v>
      </c>
      <c r="C165" t="s">
        <v>73</v>
      </c>
      <c r="D165">
        <v>390000</v>
      </c>
    </row>
    <row r="166" spans="1:4" x14ac:dyDescent="0.35">
      <c r="A166" s="13">
        <v>43101</v>
      </c>
      <c r="B166">
        <f>YEAR(Table7_1[[#This Row],[Year1]])</f>
        <v>2018</v>
      </c>
      <c r="C166" t="s">
        <v>373</v>
      </c>
      <c r="D166">
        <v>2400000</v>
      </c>
    </row>
    <row r="167" spans="1:4" x14ac:dyDescent="0.35">
      <c r="A167" s="13">
        <v>43466</v>
      </c>
      <c r="B167">
        <f>YEAR(Table7_1[[#This Row],[Year1]])</f>
        <v>2019</v>
      </c>
      <c r="C167" t="s">
        <v>14</v>
      </c>
      <c r="D167">
        <v>5350000</v>
      </c>
    </row>
    <row r="168" spans="1:4" x14ac:dyDescent="0.35">
      <c r="A168" s="13">
        <v>43466</v>
      </c>
      <c r="B168">
        <f>YEAR(Table7_1[[#This Row],[Year1]])</f>
        <v>2019</v>
      </c>
      <c r="C168" t="s">
        <v>15</v>
      </c>
      <c r="D168">
        <v>670000</v>
      </c>
    </row>
    <row r="169" spans="1:4" x14ac:dyDescent="0.35">
      <c r="A169" s="13">
        <v>43466</v>
      </c>
      <c r="B169">
        <f>YEAR(Table7_1[[#This Row],[Year1]])</f>
        <v>2019</v>
      </c>
      <c r="C169" t="s">
        <v>16</v>
      </c>
      <c r="D169">
        <v>750000</v>
      </c>
    </row>
    <row r="170" spans="1:4" x14ac:dyDescent="0.35">
      <c r="A170" s="13">
        <v>43466</v>
      </c>
      <c r="B170">
        <f>YEAR(Table7_1[[#This Row],[Year1]])</f>
        <v>2019</v>
      </c>
      <c r="C170" t="s">
        <v>17</v>
      </c>
      <c r="D170">
        <v>450000</v>
      </c>
    </row>
    <row r="171" spans="1:4" x14ac:dyDescent="0.35">
      <c r="A171" s="13">
        <v>43466</v>
      </c>
      <c r="B171">
        <f>YEAR(Table7_1[[#This Row],[Year1]])</f>
        <v>2019</v>
      </c>
      <c r="C171" t="s">
        <v>18</v>
      </c>
      <c r="D171">
        <v>360000</v>
      </c>
    </row>
    <row r="172" spans="1:4" x14ac:dyDescent="0.35">
      <c r="A172" s="13">
        <v>43466</v>
      </c>
      <c r="B172">
        <f>YEAR(Table7_1[[#This Row],[Year1]])</f>
        <v>2019</v>
      </c>
      <c r="C172" t="s">
        <v>19</v>
      </c>
      <c r="D172">
        <v>220000</v>
      </c>
    </row>
    <row r="173" spans="1:4" x14ac:dyDescent="0.35">
      <c r="A173" s="13">
        <v>43466</v>
      </c>
      <c r="B173">
        <f>YEAR(Table7_1[[#This Row],[Year1]])</f>
        <v>2019</v>
      </c>
      <c r="C173" t="s">
        <v>20</v>
      </c>
      <c r="D173">
        <v>190000</v>
      </c>
    </row>
    <row r="174" spans="1:4" x14ac:dyDescent="0.35">
      <c r="A174" s="13">
        <v>43466</v>
      </c>
      <c r="B174">
        <f>YEAR(Table7_1[[#This Row],[Year1]])</f>
        <v>2019</v>
      </c>
      <c r="C174" t="s">
        <v>21</v>
      </c>
      <c r="D174">
        <v>180000</v>
      </c>
    </row>
    <row r="175" spans="1:4" x14ac:dyDescent="0.35">
      <c r="A175" s="13">
        <v>43466</v>
      </c>
      <c r="B175">
        <f>YEAR(Table7_1[[#This Row],[Year1]])</f>
        <v>2019</v>
      </c>
      <c r="C175" t="s">
        <v>22</v>
      </c>
      <c r="D175">
        <v>390000</v>
      </c>
    </row>
    <row r="176" spans="1:4" x14ac:dyDescent="0.35">
      <c r="A176" s="13">
        <v>43466</v>
      </c>
      <c r="B176">
        <f>YEAR(Table7_1[[#This Row],[Year1]])</f>
        <v>2019</v>
      </c>
      <c r="C176" t="s">
        <v>73</v>
      </c>
      <c r="D176">
        <v>330000</v>
      </c>
    </row>
    <row r="177" spans="1:4" x14ac:dyDescent="0.35">
      <c r="A177" s="13">
        <v>43466</v>
      </c>
      <c r="B177">
        <f>YEAR(Table7_1[[#This Row],[Year1]])</f>
        <v>2019</v>
      </c>
      <c r="C177" t="s">
        <v>373</v>
      </c>
      <c r="D177">
        <v>2200000</v>
      </c>
    </row>
    <row r="178" spans="1:4" x14ac:dyDescent="0.35">
      <c r="A178" s="13">
        <v>43831</v>
      </c>
      <c r="B178">
        <f>YEAR(Table7_1[[#This Row],[Year1]])</f>
        <v>2020</v>
      </c>
      <c r="C178" t="s">
        <v>14</v>
      </c>
      <c r="D178">
        <v>4970000</v>
      </c>
    </row>
    <row r="179" spans="1:4" x14ac:dyDescent="0.35">
      <c r="A179" s="13">
        <v>43831</v>
      </c>
      <c r="B179">
        <f>YEAR(Table7_1[[#This Row],[Year1]])</f>
        <v>2020</v>
      </c>
      <c r="C179" t="s">
        <v>15</v>
      </c>
      <c r="D179">
        <v>780000</v>
      </c>
    </row>
    <row r="180" spans="1:4" x14ac:dyDescent="0.35">
      <c r="A180" s="13">
        <v>43831</v>
      </c>
      <c r="B180">
        <f>YEAR(Table7_1[[#This Row],[Year1]])</f>
        <v>2020</v>
      </c>
      <c r="C180" t="s">
        <v>16</v>
      </c>
      <c r="D180">
        <v>750000</v>
      </c>
    </row>
    <row r="181" spans="1:4" x14ac:dyDescent="0.35">
      <c r="A181" s="13">
        <v>43831</v>
      </c>
      <c r="B181">
        <f>YEAR(Table7_1[[#This Row],[Year1]])</f>
        <v>2020</v>
      </c>
      <c r="C181" t="s">
        <v>17</v>
      </c>
      <c r="D181">
        <v>550000</v>
      </c>
    </row>
    <row r="182" spans="1:4" x14ac:dyDescent="0.35">
      <c r="A182" s="13">
        <v>43831</v>
      </c>
      <c r="B182">
        <f>YEAR(Table7_1[[#This Row],[Year1]])</f>
        <v>2020</v>
      </c>
      <c r="C182" t="s">
        <v>18</v>
      </c>
      <c r="D182">
        <v>340000</v>
      </c>
    </row>
    <row r="183" spans="1:4" x14ac:dyDescent="0.35">
      <c r="A183" s="13">
        <v>43831</v>
      </c>
      <c r="B183">
        <f>YEAR(Table7_1[[#This Row],[Year1]])</f>
        <v>2020</v>
      </c>
      <c r="C183" t="s">
        <v>19</v>
      </c>
      <c r="D183">
        <v>260000</v>
      </c>
    </row>
    <row r="184" spans="1:4" x14ac:dyDescent="0.35">
      <c r="A184" s="13">
        <v>43831</v>
      </c>
      <c r="B184">
        <f>YEAR(Table7_1[[#This Row],[Year1]])</f>
        <v>2020</v>
      </c>
      <c r="C184" t="s">
        <v>20</v>
      </c>
      <c r="D184">
        <v>190000</v>
      </c>
    </row>
    <row r="185" spans="1:4" x14ac:dyDescent="0.35">
      <c r="A185" s="13">
        <v>43831</v>
      </c>
      <c r="B185">
        <f>YEAR(Table7_1[[#This Row],[Year1]])</f>
        <v>2020</v>
      </c>
      <c r="C185" t="s">
        <v>21</v>
      </c>
      <c r="D185">
        <v>190000</v>
      </c>
    </row>
    <row r="186" spans="1:4" x14ac:dyDescent="0.35">
      <c r="A186" s="13">
        <v>43831</v>
      </c>
      <c r="B186">
        <f>YEAR(Table7_1[[#This Row],[Year1]])</f>
        <v>2020</v>
      </c>
      <c r="C186" t="s">
        <v>22</v>
      </c>
      <c r="D186">
        <v>340000</v>
      </c>
    </row>
    <row r="187" spans="1:4" x14ac:dyDescent="0.35">
      <c r="A187" s="13">
        <v>43831</v>
      </c>
      <c r="B187">
        <f>YEAR(Table7_1[[#This Row],[Year1]])</f>
        <v>2020</v>
      </c>
      <c r="C187" t="s">
        <v>73</v>
      </c>
      <c r="D187">
        <v>270000</v>
      </c>
    </row>
    <row r="188" spans="1:4" x14ac:dyDescent="0.35">
      <c r="A188" s="13">
        <v>43831</v>
      </c>
      <c r="B188">
        <f>YEAR(Table7_1[[#This Row],[Year1]])</f>
        <v>2020</v>
      </c>
      <c r="C188" t="s">
        <v>373</v>
      </c>
      <c r="D188">
        <v>1870000</v>
      </c>
    </row>
    <row r="189" spans="1:4" x14ac:dyDescent="0.35">
      <c r="A189" s="13">
        <v>44197</v>
      </c>
      <c r="B189">
        <f>YEAR(Table7_1[[#This Row],[Year1]])</f>
        <v>2021</v>
      </c>
      <c r="C189" t="s">
        <v>14</v>
      </c>
      <c r="D189">
        <v>0</v>
      </c>
    </row>
    <row r="190" spans="1:4" x14ac:dyDescent="0.35">
      <c r="A190" s="13">
        <v>44197</v>
      </c>
      <c r="B190">
        <f>YEAR(Table7_1[[#This Row],[Year1]])</f>
        <v>2021</v>
      </c>
      <c r="C190" t="s">
        <v>15</v>
      </c>
      <c r="D190">
        <v>0</v>
      </c>
    </row>
    <row r="191" spans="1:4" x14ac:dyDescent="0.35">
      <c r="A191" s="13">
        <v>44197</v>
      </c>
      <c r="B191">
        <f>YEAR(Table7_1[[#This Row],[Year1]])</f>
        <v>2021</v>
      </c>
      <c r="C191" t="s">
        <v>16</v>
      </c>
      <c r="D191">
        <v>0</v>
      </c>
    </row>
    <row r="192" spans="1:4" x14ac:dyDescent="0.35">
      <c r="A192" s="13">
        <v>44197</v>
      </c>
      <c r="B192">
        <f>YEAR(Table7_1[[#This Row],[Year1]])</f>
        <v>2021</v>
      </c>
      <c r="C192" t="s">
        <v>17</v>
      </c>
      <c r="D192">
        <v>0</v>
      </c>
    </row>
    <row r="193" spans="1:4" x14ac:dyDescent="0.35">
      <c r="A193" s="13">
        <v>44197</v>
      </c>
      <c r="B193">
        <f>YEAR(Table7_1[[#This Row],[Year1]])</f>
        <v>2021</v>
      </c>
      <c r="C193" t="s">
        <v>18</v>
      </c>
      <c r="D193">
        <v>0</v>
      </c>
    </row>
    <row r="194" spans="1:4" x14ac:dyDescent="0.35">
      <c r="A194" s="13">
        <v>44197</v>
      </c>
      <c r="B194">
        <f>YEAR(Table7_1[[#This Row],[Year1]])</f>
        <v>2021</v>
      </c>
      <c r="C194" t="s">
        <v>19</v>
      </c>
      <c r="D194">
        <v>0</v>
      </c>
    </row>
    <row r="195" spans="1:4" x14ac:dyDescent="0.35">
      <c r="A195" s="13">
        <v>44197</v>
      </c>
      <c r="B195">
        <f>YEAR(Table7_1[[#This Row],[Year1]])</f>
        <v>2021</v>
      </c>
      <c r="C195" t="s">
        <v>20</v>
      </c>
      <c r="D195">
        <v>0</v>
      </c>
    </row>
    <row r="196" spans="1:4" x14ac:dyDescent="0.35">
      <c r="A196" s="13">
        <v>44197</v>
      </c>
      <c r="B196">
        <f>YEAR(Table7_1[[#This Row],[Year1]])</f>
        <v>2021</v>
      </c>
      <c r="C196" t="s">
        <v>21</v>
      </c>
      <c r="D196">
        <v>0</v>
      </c>
    </row>
    <row r="197" spans="1:4" x14ac:dyDescent="0.35">
      <c r="A197" s="13">
        <v>44197</v>
      </c>
      <c r="B197">
        <f>YEAR(Table7_1[[#This Row],[Year1]])</f>
        <v>2021</v>
      </c>
      <c r="C197" t="s">
        <v>22</v>
      </c>
      <c r="D197">
        <v>0</v>
      </c>
    </row>
    <row r="198" spans="1:4" x14ac:dyDescent="0.35">
      <c r="A198" s="13">
        <v>44197</v>
      </c>
      <c r="B198">
        <f>YEAR(Table7_1[[#This Row],[Year1]])</f>
        <v>2021</v>
      </c>
      <c r="C198" t="s">
        <v>73</v>
      </c>
      <c r="D198">
        <v>0</v>
      </c>
    </row>
    <row r="199" spans="1:4" x14ac:dyDescent="0.35">
      <c r="A199" s="13">
        <v>44197</v>
      </c>
      <c r="B199">
        <f>YEAR(Table7_1[[#This Row],[Year1]])</f>
        <v>2021</v>
      </c>
      <c r="C199" t="s">
        <v>373</v>
      </c>
      <c r="D199">
        <v>0</v>
      </c>
    </row>
    <row r="200" spans="1:4" x14ac:dyDescent="0.35">
      <c r="A200" s="13">
        <v>44562</v>
      </c>
      <c r="B200">
        <f>YEAR(Table7_1[[#This Row],[Year1]])</f>
        <v>2022</v>
      </c>
      <c r="C200" t="s">
        <v>14</v>
      </c>
      <c r="D200">
        <v>4810000</v>
      </c>
    </row>
    <row r="201" spans="1:4" x14ac:dyDescent="0.35">
      <c r="A201" s="13">
        <v>44562</v>
      </c>
      <c r="B201">
        <f>YEAR(Table7_1[[#This Row],[Year1]])</f>
        <v>2022</v>
      </c>
      <c r="C201" t="s">
        <v>15</v>
      </c>
      <c r="D201">
        <v>750000</v>
      </c>
    </row>
    <row r="202" spans="1:4" x14ac:dyDescent="0.35">
      <c r="A202" s="13">
        <v>44562</v>
      </c>
      <c r="B202">
        <f>YEAR(Table7_1[[#This Row],[Year1]])</f>
        <v>2022</v>
      </c>
      <c r="C202" t="s">
        <v>16</v>
      </c>
      <c r="D202">
        <v>710000</v>
      </c>
    </row>
    <row r="203" spans="1:4" x14ac:dyDescent="0.35">
      <c r="A203" s="13">
        <v>44562</v>
      </c>
      <c r="B203">
        <f>YEAR(Table7_1[[#This Row],[Year1]])</f>
        <v>2022</v>
      </c>
      <c r="C203" t="s">
        <v>17</v>
      </c>
      <c r="D203">
        <v>560000</v>
      </c>
    </row>
    <row r="204" spans="1:4" x14ac:dyDescent="0.35">
      <c r="A204" s="13">
        <v>44562</v>
      </c>
      <c r="B204">
        <f>YEAR(Table7_1[[#This Row],[Year1]])</f>
        <v>2022</v>
      </c>
      <c r="C204" t="s">
        <v>18</v>
      </c>
      <c r="D204">
        <v>350000</v>
      </c>
    </row>
    <row r="205" spans="1:4" x14ac:dyDescent="0.35">
      <c r="A205" s="13">
        <v>44562</v>
      </c>
      <c r="B205">
        <f>YEAR(Table7_1[[#This Row],[Year1]])</f>
        <v>2022</v>
      </c>
      <c r="C205" t="s">
        <v>19</v>
      </c>
      <c r="D205">
        <v>320000</v>
      </c>
    </row>
    <row r="206" spans="1:4" x14ac:dyDescent="0.35">
      <c r="A206" s="13">
        <v>44562</v>
      </c>
      <c r="B206">
        <f>YEAR(Table7_1[[#This Row],[Year1]])</f>
        <v>2022</v>
      </c>
      <c r="C206" t="s">
        <v>20</v>
      </c>
      <c r="D206">
        <v>240000</v>
      </c>
    </row>
    <row r="207" spans="1:4" x14ac:dyDescent="0.35">
      <c r="A207" s="13">
        <v>44562</v>
      </c>
      <c r="B207">
        <f>YEAR(Table7_1[[#This Row],[Year1]])</f>
        <v>2022</v>
      </c>
      <c r="C207" t="s">
        <v>21</v>
      </c>
      <c r="D207">
        <v>230000</v>
      </c>
    </row>
    <row r="208" spans="1:4" x14ac:dyDescent="0.35">
      <c r="A208" s="13">
        <v>44562</v>
      </c>
      <c r="B208">
        <f>YEAR(Table7_1[[#This Row],[Year1]])</f>
        <v>2022</v>
      </c>
      <c r="C208" t="s">
        <v>22</v>
      </c>
      <c r="D208">
        <v>220000</v>
      </c>
    </row>
    <row r="209" spans="1:7" x14ac:dyDescent="0.35">
      <c r="A209" s="13">
        <v>44562</v>
      </c>
      <c r="B209">
        <f>YEAR(Table7_1[[#This Row],[Year1]])</f>
        <v>2022</v>
      </c>
      <c r="C209" t="s">
        <v>73</v>
      </c>
      <c r="D209">
        <v>210000</v>
      </c>
    </row>
    <row r="210" spans="1:7" x14ac:dyDescent="0.35">
      <c r="A210" s="13">
        <v>44562</v>
      </c>
      <c r="B210">
        <f>YEAR(Table7_1[[#This Row],[Year1]])</f>
        <v>2022</v>
      </c>
      <c r="C210" t="s">
        <v>373</v>
      </c>
      <c r="D210">
        <v>2600000</v>
      </c>
    </row>
    <row r="212" spans="1:7" x14ac:dyDescent="0.35">
      <c r="A212" s="28" t="s">
        <v>23</v>
      </c>
      <c r="B212" s="57"/>
    </row>
    <row r="213" spans="1:7" ht="43" customHeight="1" x14ac:dyDescent="0.35">
      <c r="A213" s="91" t="s">
        <v>358</v>
      </c>
      <c r="B213" s="91"/>
      <c r="C213" s="91"/>
      <c r="D213" s="91"/>
      <c r="E213" s="91"/>
      <c r="F213" s="91"/>
      <c r="G213" s="91"/>
    </row>
    <row r="214" spans="1:7" x14ac:dyDescent="0.35">
      <c r="A214" s="13" t="s">
        <v>221</v>
      </c>
    </row>
    <row r="215" spans="1:7" x14ac:dyDescent="0.35">
      <c r="A215" t="s">
        <v>359</v>
      </c>
    </row>
    <row r="216" spans="1:7" x14ac:dyDescent="0.35">
      <c r="A216" s="13" t="s">
        <v>471</v>
      </c>
    </row>
  </sheetData>
  <mergeCells count="1">
    <mergeCell ref="A213:G213"/>
  </mergeCells>
  <phoneticPr fontId="1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90D0E-12AE-4B4D-B13D-98BE155CE79C}">
  <dimension ref="A1:F112"/>
  <sheetViews>
    <sheetView workbookViewId="0">
      <selection activeCell="I25" sqref="I25"/>
    </sheetView>
  </sheetViews>
  <sheetFormatPr defaultRowHeight="14.5" x14ac:dyDescent="0.35"/>
  <cols>
    <col min="1" max="1" width="8.90625" style="13" bestFit="1" customWidth="1"/>
    <col min="2" max="2" width="8.90625" customWidth="1"/>
    <col min="3" max="3" width="17.54296875" customWidth="1"/>
    <col min="4" max="4" width="15.453125" customWidth="1"/>
    <col min="5" max="5" width="12.6328125" customWidth="1"/>
  </cols>
  <sheetData>
    <row r="1" spans="1:5" ht="39.5" x14ac:dyDescent="0.35">
      <c r="A1" s="14" t="s">
        <v>461</v>
      </c>
      <c r="B1" s="19" t="s">
        <v>24</v>
      </c>
      <c r="C1" s="9" t="s">
        <v>469</v>
      </c>
      <c r="D1" s="85" t="s">
        <v>470</v>
      </c>
      <c r="E1" s="5" t="s">
        <v>459</v>
      </c>
    </row>
    <row r="2" spans="1:5" x14ac:dyDescent="0.35">
      <c r="A2" s="10">
        <v>9133</v>
      </c>
      <c r="B2" s="3">
        <f>YEAR(A2)</f>
        <v>1925</v>
      </c>
      <c r="C2" s="6">
        <v>22199</v>
      </c>
      <c r="D2" s="87">
        <v>22199</v>
      </c>
      <c r="E2" s="52">
        <f>C2-D2</f>
        <v>0</v>
      </c>
    </row>
    <row r="3" spans="1:5" x14ac:dyDescent="0.35">
      <c r="A3" s="10">
        <v>9498</v>
      </c>
      <c r="B3" s="3">
        <f t="shared" ref="B3:B66" si="0">YEAR(A3)</f>
        <v>1926</v>
      </c>
      <c r="C3" s="6">
        <v>12735</v>
      </c>
      <c r="D3" s="87">
        <v>12735</v>
      </c>
      <c r="E3" s="52">
        <f>C3-D3</f>
        <v>0</v>
      </c>
    </row>
    <row r="4" spans="1:5" x14ac:dyDescent="0.35">
      <c r="A4" s="10">
        <v>9863</v>
      </c>
      <c r="B4" s="3">
        <f t="shared" si="0"/>
        <v>1927</v>
      </c>
      <c r="C4" s="6">
        <v>16393</v>
      </c>
      <c r="D4" s="87">
        <v>16393</v>
      </c>
      <c r="E4" s="52">
        <f t="shared" ref="E4:E67" si="1">C4-D4</f>
        <v>0</v>
      </c>
    </row>
    <row r="5" spans="1:5" x14ac:dyDescent="0.35">
      <c r="A5" s="10">
        <v>10228</v>
      </c>
      <c r="B5" s="3">
        <f t="shared" si="0"/>
        <v>1928</v>
      </c>
      <c r="C5" s="6">
        <v>23566</v>
      </c>
      <c r="D5" s="87">
        <v>23566</v>
      </c>
      <c r="E5" s="52">
        <f t="shared" si="1"/>
        <v>0</v>
      </c>
    </row>
    <row r="6" spans="1:5" x14ac:dyDescent="0.35">
      <c r="A6" s="10">
        <v>10594</v>
      </c>
      <c r="B6" s="3">
        <f t="shared" si="0"/>
        <v>1929</v>
      </c>
      <c r="C6" s="6">
        <v>32711</v>
      </c>
      <c r="D6" s="87">
        <v>32711</v>
      </c>
      <c r="E6" s="52">
        <f t="shared" si="1"/>
        <v>0</v>
      </c>
    </row>
    <row r="7" spans="1:5" x14ac:dyDescent="0.35">
      <c r="A7" s="10">
        <v>10959</v>
      </c>
      <c r="B7" s="3">
        <f t="shared" si="0"/>
        <v>1930</v>
      </c>
      <c r="C7" s="6">
        <v>20880</v>
      </c>
      <c r="D7" s="87">
        <v>20880</v>
      </c>
      <c r="E7" s="52">
        <f t="shared" si="1"/>
        <v>0</v>
      </c>
    </row>
    <row r="8" spans="1:5" x14ac:dyDescent="0.35">
      <c r="A8" s="10">
        <v>11324</v>
      </c>
      <c r="B8" s="3">
        <f t="shared" si="0"/>
        <v>1931</v>
      </c>
      <c r="C8" s="6">
        <v>22276</v>
      </c>
      <c r="D8" s="87">
        <v>22276</v>
      </c>
      <c r="E8" s="52">
        <f t="shared" si="1"/>
        <v>0</v>
      </c>
    </row>
    <row r="9" spans="1:5" x14ac:dyDescent="0.35">
      <c r="A9" s="10">
        <v>11689</v>
      </c>
      <c r="B9" s="3">
        <f t="shared" si="0"/>
        <v>1932</v>
      </c>
      <c r="C9" s="6">
        <v>22735</v>
      </c>
      <c r="D9" s="87">
        <v>22735</v>
      </c>
      <c r="E9" s="52">
        <f t="shared" si="1"/>
        <v>0</v>
      </c>
    </row>
    <row r="10" spans="1:5" x14ac:dyDescent="0.35">
      <c r="A10" s="10">
        <v>12055</v>
      </c>
      <c r="B10" s="3">
        <f t="shared" si="0"/>
        <v>1933</v>
      </c>
      <c r="C10" s="6">
        <v>20949</v>
      </c>
      <c r="D10" s="87">
        <v>20949</v>
      </c>
      <c r="E10" s="52">
        <f t="shared" si="1"/>
        <v>0</v>
      </c>
    </row>
    <row r="11" spans="1:5" x14ac:dyDescent="0.35">
      <c r="A11" s="10">
        <v>12420</v>
      </c>
      <c r="B11" s="3">
        <f t="shared" si="0"/>
        <v>1934</v>
      </c>
      <c r="C11" s="6">
        <v>10319</v>
      </c>
      <c r="D11" s="87">
        <v>10319</v>
      </c>
      <c r="E11" s="52">
        <f t="shared" si="1"/>
        <v>0</v>
      </c>
    </row>
    <row r="12" spans="1:5" x14ac:dyDescent="0.35">
      <c r="A12" s="10">
        <v>12785</v>
      </c>
      <c r="B12" s="3">
        <f t="shared" si="0"/>
        <v>1935</v>
      </c>
      <c r="C12" s="6">
        <v>11016</v>
      </c>
      <c r="D12" s="87">
        <v>11016</v>
      </c>
      <c r="E12" s="52">
        <f t="shared" si="1"/>
        <v>0</v>
      </c>
    </row>
    <row r="13" spans="1:5" x14ac:dyDescent="0.35">
      <c r="A13" s="10">
        <v>13150</v>
      </c>
      <c r="B13" s="3">
        <f t="shared" si="0"/>
        <v>1936</v>
      </c>
      <c r="C13" s="6">
        <v>11728</v>
      </c>
      <c r="D13" s="87">
        <v>11728</v>
      </c>
      <c r="E13" s="52">
        <f t="shared" si="1"/>
        <v>0</v>
      </c>
    </row>
    <row r="14" spans="1:5" x14ac:dyDescent="0.35">
      <c r="A14" s="10">
        <v>13516</v>
      </c>
      <c r="B14" s="3">
        <f t="shared" si="0"/>
        <v>1937</v>
      </c>
      <c r="C14" s="6">
        <v>13054</v>
      </c>
      <c r="D14" s="87">
        <v>13054</v>
      </c>
      <c r="E14" s="52">
        <f t="shared" si="1"/>
        <v>0</v>
      </c>
    </row>
    <row r="15" spans="1:5" x14ac:dyDescent="0.35">
      <c r="A15" s="10">
        <v>13881</v>
      </c>
      <c r="B15" s="3">
        <f t="shared" si="0"/>
        <v>1938</v>
      </c>
      <c r="C15" s="6">
        <v>12851</v>
      </c>
      <c r="D15" s="87">
        <v>12851</v>
      </c>
      <c r="E15" s="52">
        <f t="shared" si="1"/>
        <v>0</v>
      </c>
    </row>
    <row r="16" spans="1:5" x14ac:dyDescent="0.35">
      <c r="A16" s="10">
        <v>14246</v>
      </c>
      <c r="B16" s="3">
        <f t="shared" si="0"/>
        <v>1939</v>
      </c>
      <c r="C16" s="6">
        <v>12037</v>
      </c>
      <c r="D16" s="87">
        <v>12037</v>
      </c>
      <c r="E16" s="52">
        <f t="shared" si="1"/>
        <v>0</v>
      </c>
    </row>
    <row r="17" spans="1:6" x14ac:dyDescent="0.35">
      <c r="A17" s="10">
        <v>14611</v>
      </c>
      <c r="B17" s="3">
        <f t="shared" si="0"/>
        <v>1940</v>
      </c>
      <c r="C17" s="6">
        <v>10492</v>
      </c>
      <c r="D17" s="87">
        <v>10492</v>
      </c>
      <c r="E17" s="52">
        <f t="shared" si="1"/>
        <v>0</v>
      </c>
    </row>
    <row r="18" spans="1:6" x14ac:dyDescent="0.35">
      <c r="A18" s="10">
        <v>14977</v>
      </c>
      <c r="B18" s="3">
        <f t="shared" si="0"/>
        <v>1941</v>
      </c>
      <c r="C18" s="6">
        <v>11294</v>
      </c>
      <c r="D18" s="87">
        <v>11294</v>
      </c>
      <c r="E18" s="52">
        <f t="shared" si="1"/>
        <v>0</v>
      </c>
    </row>
    <row r="19" spans="1:6" x14ac:dyDescent="0.35">
      <c r="A19" s="10">
        <v>15342</v>
      </c>
      <c r="B19" s="3">
        <f t="shared" si="0"/>
        <v>1942</v>
      </c>
      <c r="C19" s="6">
        <v>11784</v>
      </c>
      <c r="D19" s="87">
        <v>11784</v>
      </c>
      <c r="E19" s="52">
        <f t="shared" si="1"/>
        <v>0</v>
      </c>
    </row>
    <row r="20" spans="1:6" x14ac:dyDescent="0.35">
      <c r="A20" s="10">
        <v>15707</v>
      </c>
      <c r="B20" s="3">
        <f t="shared" si="0"/>
        <v>1943</v>
      </c>
      <c r="C20" s="6">
        <v>11175</v>
      </c>
      <c r="D20" s="87">
        <v>11175</v>
      </c>
      <c r="E20" s="52">
        <f t="shared" si="1"/>
        <v>0</v>
      </c>
    </row>
    <row r="21" spans="1:6" x14ac:dyDescent="0.35">
      <c r="A21" s="10">
        <v>16072</v>
      </c>
      <c r="B21" s="3">
        <f t="shared" si="0"/>
        <v>1944</v>
      </c>
      <c r="C21" s="6">
        <v>31174</v>
      </c>
      <c r="D21" s="87">
        <v>31174</v>
      </c>
      <c r="E21" s="52">
        <f t="shared" si="1"/>
        <v>0</v>
      </c>
      <c r="F21" s="13"/>
    </row>
    <row r="22" spans="1:6" x14ac:dyDescent="0.35">
      <c r="A22" s="10">
        <v>16438</v>
      </c>
      <c r="B22" s="3">
        <f t="shared" si="0"/>
        <v>1945</v>
      </c>
      <c r="C22" s="6">
        <v>69164</v>
      </c>
      <c r="D22" s="87">
        <v>69164</v>
      </c>
      <c r="E22" s="52">
        <f t="shared" si="1"/>
        <v>0</v>
      </c>
      <c r="F22" s="13"/>
    </row>
    <row r="23" spans="1:6" x14ac:dyDescent="0.35">
      <c r="A23" s="10">
        <v>16803</v>
      </c>
      <c r="B23" s="3">
        <f t="shared" si="0"/>
        <v>1946</v>
      </c>
      <c r="C23" s="6">
        <v>99591</v>
      </c>
      <c r="D23" s="87">
        <v>99591</v>
      </c>
      <c r="E23" s="52">
        <f t="shared" si="1"/>
        <v>0</v>
      </c>
      <c r="F23" s="13"/>
    </row>
    <row r="24" spans="1:6" x14ac:dyDescent="0.35">
      <c r="A24" s="10">
        <v>17168</v>
      </c>
      <c r="B24" s="3">
        <f t="shared" si="0"/>
        <v>1947</v>
      </c>
      <c r="C24" s="6">
        <v>193657</v>
      </c>
      <c r="D24" s="87">
        <v>193657</v>
      </c>
      <c r="E24" s="52">
        <f t="shared" si="1"/>
        <v>0</v>
      </c>
      <c r="F24" s="13"/>
    </row>
    <row r="25" spans="1:6" x14ac:dyDescent="0.35">
      <c r="A25" s="10">
        <v>17533</v>
      </c>
      <c r="B25" s="3">
        <f t="shared" si="0"/>
        <v>1948</v>
      </c>
      <c r="C25" s="6">
        <v>192779</v>
      </c>
      <c r="D25" s="87">
        <v>192779</v>
      </c>
      <c r="E25" s="52">
        <f t="shared" si="1"/>
        <v>0</v>
      </c>
    </row>
    <row r="26" spans="1:6" x14ac:dyDescent="0.35">
      <c r="A26" s="10">
        <v>17899</v>
      </c>
      <c r="B26" s="3">
        <f t="shared" si="0"/>
        <v>1949</v>
      </c>
      <c r="C26" s="6">
        <v>288253</v>
      </c>
      <c r="D26" s="87">
        <v>288253</v>
      </c>
      <c r="E26" s="52">
        <f t="shared" si="1"/>
        <v>0</v>
      </c>
    </row>
    <row r="27" spans="1:6" x14ac:dyDescent="0.35">
      <c r="A27" s="10">
        <v>18264</v>
      </c>
      <c r="B27" s="3">
        <f t="shared" si="0"/>
        <v>1950</v>
      </c>
      <c r="C27" s="6">
        <v>468339</v>
      </c>
      <c r="D27" s="87">
        <v>468339</v>
      </c>
      <c r="E27" s="52">
        <f t="shared" si="1"/>
        <v>0</v>
      </c>
    </row>
    <row r="28" spans="1:6" x14ac:dyDescent="0.35">
      <c r="A28" s="10">
        <v>18629</v>
      </c>
      <c r="B28" s="3">
        <f t="shared" si="0"/>
        <v>1951</v>
      </c>
      <c r="C28" s="6">
        <v>509040</v>
      </c>
      <c r="D28" s="48">
        <v>509040</v>
      </c>
      <c r="E28" s="52">
        <f t="shared" si="1"/>
        <v>0</v>
      </c>
    </row>
    <row r="29" spans="1:6" x14ac:dyDescent="0.35">
      <c r="A29" s="10">
        <v>18994</v>
      </c>
      <c r="B29" s="3">
        <f t="shared" si="0"/>
        <v>1952</v>
      </c>
      <c r="C29" s="6">
        <v>543535</v>
      </c>
      <c r="D29" s="48">
        <v>543535</v>
      </c>
      <c r="E29" s="52">
        <f t="shared" si="1"/>
        <v>0</v>
      </c>
    </row>
    <row r="30" spans="1:6" x14ac:dyDescent="0.35">
      <c r="A30" s="10">
        <v>19360</v>
      </c>
      <c r="B30" s="3">
        <f t="shared" si="0"/>
        <v>1953</v>
      </c>
      <c r="C30" s="6">
        <v>885587</v>
      </c>
      <c r="D30" s="48">
        <v>885587</v>
      </c>
      <c r="E30" s="52">
        <f t="shared" si="1"/>
        <v>0</v>
      </c>
    </row>
    <row r="31" spans="1:6" x14ac:dyDescent="0.35">
      <c r="A31" s="10">
        <v>19725</v>
      </c>
      <c r="B31" s="3">
        <f t="shared" si="0"/>
        <v>1954</v>
      </c>
      <c r="C31" s="6">
        <v>1089583</v>
      </c>
      <c r="D31" s="48">
        <v>1089583</v>
      </c>
      <c r="E31" s="52">
        <f t="shared" si="1"/>
        <v>0</v>
      </c>
    </row>
    <row r="32" spans="1:6" x14ac:dyDescent="0.35">
      <c r="A32" s="10">
        <v>20090</v>
      </c>
      <c r="B32" s="3">
        <f t="shared" si="0"/>
        <v>1955</v>
      </c>
      <c r="C32" s="6">
        <v>254096</v>
      </c>
      <c r="D32" s="48">
        <v>254096</v>
      </c>
      <c r="E32" s="52">
        <f t="shared" si="1"/>
        <v>0</v>
      </c>
    </row>
    <row r="33" spans="1:5" x14ac:dyDescent="0.35">
      <c r="A33" s="10">
        <v>20455</v>
      </c>
      <c r="B33" s="3">
        <f t="shared" si="0"/>
        <v>1956</v>
      </c>
      <c r="C33" s="6">
        <v>87696</v>
      </c>
      <c r="D33" s="48">
        <v>87696</v>
      </c>
      <c r="E33" s="52">
        <f t="shared" si="1"/>
        <v>0</v>
      </c>
    </row>
    <row r="34" spans="1:5" x14ac:dyDescent="0.35">
      <c r="A34" s="10">
        <v>20821</v>
      </c>
      <c r="B34" s="3">
        <f t="shared" si="0"/>
        <v>1957</v>
      </c>
      <c r="C34" s="6">
        <v>59918</v>
      </c>
      <c r="D34" s="48">
        <v>59918</v>
      </c>
      <c r="E34" s="52">
        <f t="shared" si="1"/>
        <v>0</v>
      </c>
    </row>
    <row r="35" spans="1:5" x14ac:dyDescent="0.35">
      <c r="A35" s="10">
        <v>21186</v>
      </c>
      <c r="B35" s="3">
        <f t="shared" si="0"/>
        <v>1958</v>
      </c>
      <c r="C35" s="6">
        <v>53474</v>
      </c>
      <c r="D35" s="48">
        <v>53474</v>
      </c>
      <c r="E35" s="52">
        <f t="shared" si="1"/>
        <v>0</v>
      </c>
    </row>
    <row r="36" spans="1:5" x14ac:dyDescent="0.35">
      <c r="A36" s="10">
        <v>21551</v>
      </c>
      <c r="B36" s="3">
        <f t="shared" si="0"/>
        <v>1959</v>
      </c>
      <c r="C36" s="6">
        <v>45336</v>
      </c>
      <c r="D36" s="48">
        <v>45336</v>
      </c>
      <c r="E36" s="52">
        <f t="shared" si="1"/>
        <v>0</v>
      </c>
    </row>
    <row r="37" spans="1:5" x14ac:dyDescent="0.35">
      <c r="A37" s="10">
        <v>21916</v>
      </c>
      <c r="B37" s="3">
        <f t="shared" si="0"/>
        <v>1960</v>
      </c>
      <c r="C37" s="6">
        <v>70684</v>
      </c>
      <c r="D37" s="48">
        <v>70684</v>
      </c>
      <c r="E37" s="52">
        <f t="shared" si="1"/>
        <v>0</v>
      </c>
    </row>
    <row r="38" spans="1:5" x14ac:dyDescent="0.35">
      <c r="A38" s="10">
        <v>22282</v>
      </c>
      <c r="B38" s="3">
        <f t="shared" si="0"/>
        <v>1961</v>
      </c>
      <c r="C38" s="7">
        <v>88823</v>
      </c>
      <c r="D38" s="49">
        <v>88823</v>
      </c>
      <c r="E38" s="52">
        <f t="shared" si="1"/>
        <v>0</v>
      </c>
    </row>
    <row r="39" spans="1:5" x14ac:dyDescent="0.35">
      <c r="A39" s="10">
        <v>22647</v>
      </c>
      <c r="B39" s="3">
        <f t="shared" si="0"/>
        <v>1962</v>
      </c>
      <c r="C39" s="7">
        <v>92758</v>
      </c>
      <c r="D39" s="49">
        <v>92758</v>
      </c>
      <c r="E39" s="52">
        <f t="shared" si="1"/>
        <v>0</v>
      </c>
    </row>
    <row r="40" spans="1:5" x14ac:dyDescent="0.35">
      <c r="A40" s="10">
        <v>23012</v>
      </c>
      <c r="B40" s="3">
        <f t="shared" si="0"/>
        <v>1963</v>
      </c>
      <c r="C40" s="7">
        <v>88712</v>
      </c>
      <c r="D40" s="49">
        <v>88712</v>
      </c>
      <c r="E40" s="52">
        <f t="shared" si="1"/>
        <v>0</v>
      </c>
    </row>
    <row r="41" spans="1:5" x14ac:dyDescent="0.35">
      <c r="A41" s="10">
        <v>23377</v>
      </c>
      <c r="B41" s="3">
        <f t="shared" si="0"/>
        <v>1964</v>
      </c>
      <c r="C41" s="7">
        <v>86597</v>
      </c>
      <c r="D41" s="49">
        <v>86597</v>
      </c>
      <c r="E41" s="52">
        <f t="shared" si="1"/>
        <v>0</v>
      </c>
    </row>
    <row r="42" spans="1:5" x14ac:dyDescent="0.35">
      <c r="A42" s="10">
        <v>23743</v>
      </c>
      <c r="B42" s="3">
        <f t="shared" si="0"/>
        <v>1965</v>
      </c>
      <c r="C42" s="7">
        <v>110371</v>
      </c>
      <c r="D42" s="49">
        <v>110371</v>
      </c>
      <c r="E42" s="52">
        <f t="shared" si="1"/>
        <v>0</v>
      </c>
    </row>
    <row r="43" spans="1:5" x14ac:dyDescent="0.35">
      <c r="A43" s="10">
        <v>24108</v>
      </c>
      <c r="B43" s="3">
        <f t="shared" si="0"/>
        <v>1966</v>
      </c>
      <c r="C43" s="7">
        <v>138520</v>
      </c>
      <c r="D43" s="49">
        <v>138520</v>
      </c>
      <c r="E43" s="52">
        <f t="shared" si="1"/>
        <v>0</v>
      </c>
    </row>
    <row r="44" spans="1:5" x14ac:dyDescent="0.35">
      <c r="A44" s="10">
        <v>24473</v>
      </c>
      <c r="B44" s="3">
        <f t="shared" si="0"/>
        <v>1967</v>
      </c>
      <c r="C44" s="7">
        <v>161608</v>
      </c>
      <c r="D44" s="49">
        <v>161608</v>
      </c>
      <c r="E44" s="52">
        <f t="shared" si="1"/>
        <v>0</v>
      </c>
    </row>
    <row r="45" spans="1:5" x14ac:dyDescent="0.35">
      <c r="A45" s="10">
        <v>24838</v>
      </c>
      <c r="B45" s="3">
        <f t="shared" si="0"/>
        <v>1968</v>
      </c>
      <c r="C45" s="7">
        <v>212057</v>
      </c>
      <c r="D45" s="49">
        <v>212057</v>
      </c>
      <c r="E45" s="52">
        <f t="shared" si="1"/>
        <v>0</v>
      </c>
    </row>
    <row r="46" spans="1:5" x14ac:dyDescent="0.35">
      <c r="A46" s="10">
        <v>25204</v>
      </c>
      <c r="B46" s="3">
        <f t="shared" si="0"/>
        <v>1969</v>
      </c>
      <c r="C46" s="7">
        <v>283557</v>
      </c>
      <c r="D46" s="49">
        <v>283557</v>
      </c>
      <c r="E46" s="52">
        <f t="shared" si="1"/>
        <v>0</v>
      </c>
    </row>
    <row r="47" spans="1:5" x14ac:dyDescent="0.35">
      <c r="A47" s="10">
        <v>25569</v>
      </c>
      <c r="B47" s="3">
        <f t="shared" si="0"/>
        <v>1970</v>
      </c>
      <c r="C47" s="7">
        <v>345353</v>
      </c>
      <c r="D47" s="49">
        <v>345353</v>
      </c>
      <c r="E47" s="52">
        <f t="shared" si="1"/>
        <v>0</v>
      </c>
    </row>
    <row r="48" spans="1:5" x14ac:dyDescent="0.35">
      <c r="A48" s="10">
        <v>25934</v>
      </c>
      <c r="B48" s="3">
        <f t="shared" si="0"/>
        <v>1971</v>
      </c>
      <c r="C48" s="7">
        <v>420126</v>
      </c>
      <c r="D48" s="49">
        <v>420126</v>
      </c>
      <c r="E48" s="52">
        <f t="shared" si="1"/>
        <v>0</v>
      </c>
    </row>
    <row r="49" spans="1:5" x14ac:dyDescent="0.35">
      <c r="A49" s="10">
        <v>26299</v>
      </c>
      <c r="B49" s="3">
        <f t="shared" si="0"/>
        <v>1972</v>
      </c>
      <c r="C49" s="7">
        <v>505949</v>
      </c>
      <c r="D49" s="49">
        <v>505949</v>
      </c>
      <c r="E49" s="52">
        <f t="shared" si="1"/>
        <v>0</v>
      </c>
    </row>
    <row r="50" spans="1:5" x14ac:dyDescent="0.35">
      <c r="A50" s="10">
        <v>26665</v>
      </c>
      <c r="B50" s="3">
        <f t="shared" si="0"/>
        <v>1973</v>
      </c>
      <c r="C50" s="7">
        <v>655968</v>
      </c>
      <c r="D50" s="49">
        <v>655968</v>
      </c>
      <c r="E50" s="52">
        <f t="shared" si="1"/>
        <v>0</v>
      </c>
    </row>
    <row r="51" spans="1:5" x14ac:dyDescent="0.35">
      <c r="A51" s="10">
        <v>27030</v>
      </c>
      <c r="B51" s="3">
        <f t="shared" si="0"/>
        <v>1974</v>
      </c>
      <c r="C51" s="7">
        <v>788145</v>
      </c>
      <c r="D51" s="49">
        <v>788145</v>
      </c>
      <c r="E51" s="52">
        <f t="shared" si="1"/>
        <v>0</v>
      </c>
    </row>
    <row r="52" spans="1:5" x14ac:dyDescent="0.35">
      <c r="A52" s="10">
        <v>27395</v>
      </c>
      <c r="B52" s="3">
        <f t="shared" si="0"/>
        <v>1975</v>
      </c>
      <c r="C52" s="7">
        <v>766600</v>
      </c>
      <c r="D52" s="49">
        <v>766600</v>
      </c>
      <c r="E52" s="52">
        <f t="shared" si="1"/>
        <v>0</v>
      </c>
    </row>
    <row r="53" spans="1:5" x14ac:dyDescent="0.35">
      <c r="A53" s="10">
        <v>27760</v>
      </c>
      <c r="B53" s="3">
        <f t="shared" si="0"/>
        <v>1976</v>
      </c>
      <c r="C53" s="7">
        <v>1097739</v>
      </c>
      <c r="D53" s="50">
        <v>1097739</v>
      </c>
      <c r="E53" s="52">
        <f t="shared" si="1"/>
        <v>0</v>
      </c>
    </row>
    <row r="54" spans="1:5" x14ac:dyDescent="0.35">
      <c r="A54" s="10">
        <v>28126</v>
      </c>
      <c r="B54" s="3">
        <f t="shared" si="0"/>
        <v>1977</v>
      </c>
      <c r="C54" s="7">
        <v>1042215</v>
      </c>
      <c r="D54" s="49">
        <v>1042215</v>
      </c>
      <c r="E54" s="52">
        <f t="shared" si="1"/>
        <v>0</v>
      </c>
    </row>
    <row r="55" spans="1:5" x14ac:dyDescent="0.35">
      <c r="A55" s="10">
        <v>28491</v>
      </c>
      <c r="B55" s="3">
        <f t="shared" si="0"/>
        <v>1978</v>
      </c>
      <c r="C55" s="7">
        <v>1057977</v>
      </c>
      <c r="D55" s="49">
        <v>1057977</v>
      </c>
      <c r="E55" s="52">
        <f t="shared" si="1"/>
        <v>0</v>
      </c>
    </row>
    <row r="56" spans="1:5" x14ac:dyDescent="0.35">
      <c r="A56" s="10">
        <v>28856</v>
      </c>
      <c r="B56" s="3">
        <f t="shared" si="0"/>
        <v>1979</v>
      </c>
      <c r="C56" s="7">
        <v>1076418</v>
      </c>
      <c r="D56" s="49">
        <v>1076418</v>
      </c>
      <c r="E56" s="52">
        <f t="shared" si="1"/>
        <v>0</v>
      </c>
    </row>
    <row r="57" spans="1:5" x14ac:dyDescent="0.35">
      <c r="A57" s="10">
        <v>29221</v>
      </c>
      <c r="B57" s="3">
        <f t="shared" si="0"/>
        <v>1980</v>
      </c>
      <c r="C57" s="7">
        <v>910361</v>
      </c>
      <c r="D57" s="49">
        <v>910361</v>
      </c>
      <c r="E57" s="52">
        <f t="shared" si="1"/>
        <v>0</v>
      </c>
    </row>
    <row r="58" spans="1:5" x14ac:dyDescent="0.35">
      <c r="A58" s="10">
        <v>29587</v>
      </c>
      <c r="B58" s="3">
        <f t="shared" si="0"/>
        <v>1981</v>
      </c>
      <c r="C58" s="6">
        <v>975780</v>
      </c>
      <c r="D58" s="87">
        <v>975780</v>
      </c>
      <c r="E58" s="52">
        <f t="shared" si="1"/>
        <v>0</v>
      </c>
    </row>
    <row r="59" spans="1:5" x14ac:dyDescent="0.35">
      <c r="A59" s="10">
        <v>29952</v>
      </c>
      <c r="B59" s="3">
        <f t="shared" si="0"/>
        <v>1982</v>
      </c>
      <c r="C59" s="6">
        <v>970246</v>
      </c>
      <c r="D59" s="87">
        <v>970246</v>
      </c>
      <c r="E59" s="52">
        <f t="shared" si="1"/>
        <v>0</v>
      </c>
    </row>
    <row r="60" spans="1:5" x14ac:dyDescent="0.35">
      <c r="A60" s="10">
        <v>30317</v>
      </c>
      <c r="B60" s="3">
        <f t="shared" si="0"/>
        <v>1983</v>
      </c>
      <c r="C60" s="6">
        <v>1251357</v>
      </c>
      <c r="D60" s="87">
        <v>1251357</v>
      </c>
      <c r="E60" s="52">
        <f t="shared" si="1"/>
        <v>0</v>
      </c>
    </row>
    <row r="61" spans="1:5" x14ac:dyDescent="0.35">
      <c r="A61" s="10">
        <v>30682</v>
      </c>
      <c r="B61" s="3">
        <f t="shared" si="0"/>
        <v>1984</v>
      </c>
      <c r="C61" s="6">
        <v>1246981</v>
      </c>
      <c r="D61" s="87">
        <v>1246981</v>
      </c>
      <c r="E61" s="52">
        <f t="shared" si="1"/>
        <v>0</v>
      </c>
    </row>
    <row r="62" spans="1:5" x14ac:dyDescent="0.35">
      <c r="A62" s="10">
        <v>31048</v>
      </c>
      <c r="B62" s="3">
        <f t="shared" si="0"/>
        <v>1985</v>
      </c>
      <c r="C62" s="7">
        <v>1348749</v>
      </c>
      <c r="D62" s="49">
        <v>1348749</v>
      </c>
      <c r="E62" s="52">
        <f t="shared" si="1"/>
        <v>0</v>
      </c>
    </row>
    <row r="63" spans="1:5" x14ac:dyDescent="0.35">
      <c r="A63" s="10">
        <v>31413</v>
      </c>
      <c r="B63" s="3">
        <f t="shared" si="0"/>
        <v>1986</v>
      </c>
      <c r="C63" s="7">
        <v>1767400</v>
      </c>
      <c r="D63" s="49">
        <v>1767400</v>
      </c>
      <c r="E63" s="52">
        <f t="shared" si="1"/>
        <v>0</v>
      </c>
    </row>
    <row r="64" spans="1:5" x14ac:dyDescent="0.35">
      <c r="A64" s="10">
        <v>31778</v>
      </c>
      <c r="B64" s="3">
        <f t="shared" si="0"/>
        <v>1987</v>
      </c>
      <c r="C64" s="7">
        <v>1190488</v>
      </c>
      <c r="D64" s="49">
        <v>1190488</v>
      </c>
      <c r="E64" s="52">
        <f t="shared" si="1"/>
        <v>0</v>
      </c>
    </row>
    <row r="65" spans="1:5" x14ac:dyDescent="0.35">
      <c r="A65" s="10">
        <v>32143</v>
      </c>
      <c r="B65" s="3">
        <f t="shared" si="0"/>
        <v>1988</v>
      </c>
      <c r="C65" s="7">
        <v>1008145</v>
      </c>
      <c r="D65" s="49">
        <v>1008145</v>
      </c>
      <c r="E65" s="52">
        <f t="shared" si="1"/>
        <v>0</v>
      </c>
    </row>
    <row r="66" spans="1:5" x14ac:dyDescent="0.35">
      <c r="A66" s="10">
        <v>32509</v>
      </c>
      <c r="B66" s="3">
        <f t="shared" si="0"/>
        <v>1989</v>
      </c>
      <c r="C66" s="7">
        <v>954243</v>
      </c>
      <c r="D66" s="49">
        <v>954243</v>
      </c>
      <c r="E66" s="52">
        <f t="shared" si="1"/>
        <v>0</v>
      </c>
    </row>
    <row r="67" spans="1:5" x14ac:dyDescent="0.35">
      <c r="A67" s="10">
        <v>32874</v>
      </c>
      <c r="B67" s="3">
        <f t="shared" ref="B67:B99" si="2">YEAR(A67)</f>
        <v>1990</v>
      </c>
      <c r="C67" s="7">
        <v>1169939</v>
      </c>
      <c r="D67" s="49">
        <v>1169939</v>
      </c>
      <c r="E67" s="52">
        <f t="shared" si="1"/>
        <v>0</v>
      </c>
    </row>
    <row r="68" spans="1:5" x14ac:dyDescent="0.35">
      <c r="A68" s="10">
        <v>33239</v>
      </c>
      <c r="B68" s="3">
        <f t="shared" si="2"/>
        <v>1991</v>
      </c>
      <c r="C68" s="7">
        <v>1197875</v>
      </c>
      <c r="D68" s="49">
        <v>1197875</v>
      </c>
      <c r="E68" s="52">
        <f t="shared" ref="E68:E90" si="3">C68-D68</f>
        <v>0</v>
      </c>
    </row>
    <row r="69" spans="1:5" x14ac:dyDescent="0.35">
      <c r="A69" s="10">
        <v>33604</v>
      </c>
      <c r="B69" s="3">
        <f t="shared" si="2"/>
        <v>1992</v>
      </c>
      <c r="C69" s="7">
        <v>1258481</v>
      </c>
      <c r="D69" s="49">
        <v>1258481</v>
      </c>
      <c r="E69" s="52">
        <f t="shared" si="3"/>
        <v>0</v>
      </c>
    </row>
    <row r="70" spans="1:5" x14ac:dyDescent="0.35">
      <c r="A70" s="10">
        <v>33970</v>
      </c>
      <c r="B70" s="3">
        <f t="shared" si="2"/>
        <v>1993</v>
      </c>
      <c r="C70" s="7">
        <v>1327261</v>
      </c>
      <c r="D70" s="49">
        <v>1327261</v>
      </c>
      <c r="E70" s="52">
        <f t="shared" si="3"/>
        <v>0</v>
      </c>
    </row>
    <row r="71" spans="1:5" x14ac:dyDescent="0.35">
      <c r="A71" s="10">
        <v>34335</v>
      </c>
      <c r="B71" s="3">
        <f t="shared" si="2"/>
        <v>1994</v>
      </c>
      <c r="C71" s="7">
        <v>1094719</v>
      </c>
      <c r="D71" s="49">
        <v>1094719</v>
      </c>
      <c r="E71" s="52">
        <f t="shared" si="3"/>
        <v>0</v>
      </c>
    </row>
    <row r="72" spans="1:5" x14ac:dyDescent="0.35">
      <c r="A72" s="10">
        <v>34700</v>
      </c>
      <c r="B72" s="3">
        <f t="shared" si="2"/>
        <v>1995</v>
      </c>
      <c r="C72" s="7">
        <v>1394554</v>
      </c>
      <c r="D72" s="49">
        <v>1394554</v>
      </c>
      <c r="E72" s="52">
        <f t="shared" si="3"/>
        <v>0</v>
      </c>
    </row>
    <row r="73" spans="1:5" x14ac:dyDescent="0.35">
      <c r="A73" s="10">
        <v>35065</v>
      </c>
      <c r="B73" s="3">
        <f t="shared" si="2"/>
        <v>1996</v>
      </c>
      <c r="C73" s="7">
        <v>1649986</v>
      </c>
      <c r="D73" s="49">
        <v>1649986</v>
      </c>
      <c r="E73" s="52">
        <f t="shared" si="3"/>
        <v>0</v>
      </c>
    </row>
    <row r="74" spans="1:5" x14ac:dyDescent="0.35">
      <c r="A74" s="10">
        <v>35431</v>
      </c>
      <c r="B74" s="3">
        <f t="shared" si="2"/>
        <v>1997</v>
      </c>
      <c r="C74" s="7">
        <v>1536520</v>
      </c>
      <c r="D74" s="49">
        <v>1536520</v>
      </c>
      <c r="E74" s="52">
        <f t="shared" si="3"/>
        <v>0</v>
      </c>
    </row>
    <row r="75" spans="1:5" x14ac:dyDescent="0.35">
      <c r="A75" s="10">
        <v>35796</v>
      </c>
      <c r="B75" s="3">
        <f t="shared" si="2"/>
        <v>1998</v>
      </c>
      <c r="C75" s="7">
        <v>1679439</v>
      </c>
      <c r="D75" s="49">
        <v>1679439</v>
      </c>
      <c r="E75" s="52">
        <f t="shared" si="3"/>
        <v>0</v>
      </c>
    </row>
    <row r="76" spans="1:5" x14ac:dyDescent="0.35">
      <c r="A76" s="10">
        <v>36161</v>
      </c>
      <c r="B76" s="3">
        <f t="shared" si="2"/>
        <v>1999</v>
      </c>
      <c r="C76" s="7">
        <v>1714035</v>
      </c>
      <c r="D76" s="49">
        <v>1714035</v>
      </c>
      <c r="E76" s="52">
        <f t="shared" si="3"/>
        <v>0</v>
      </c>
    </row>
    <row r="77" spans="1:5" x14ac:dyDescent="0.35">
      <c r="A77" s="10">
        <v>36526</v>
      </c>
      <c r="B77" s="3">
        <f t="shared" si="2"/>
        <v>2000</v>
      </c>
      <c r="C77" s="8">
        <v>1814729</v>
      </c>
      <c r="D77" s="88">
        <v>1814729</v>
      </c>
      <c r="E77" s="52">
        <f t="shared" si="3"/>
        <v>0</v>
      </c>
    </row>
    <row r="78" spans="1:5" x14ac:dyDescent="0.35">
      <c r="A78" s="10">
        <v>36892</v>
      </c>
      <c r="B78" s="3">
        <f t="shared" si="2"/>
        <v>2001</v>
      </c>
      <c r="C78" s="8">
        <v>1387486</v>
      </c>
      <c r="D78" s="88">
        <v>1387486</v>
      </c>
      <c r="E78" s="52">
        <f t="shared" si="3"/>
        <v>0</v>
      </c>
    </row>
    <row r="79" spans="1:5" x14ac:dyDescent="0.35">
      <c r="A79" s="10">
        <v>37257</v>
      </c>
      <c r="B79" s="3">
        <f t="shared" si="2"/>
        <v>2002</v>
      </c>
      <c r="C79" s="8">
        <v>1062270</v>
      </c>
      <c r="D79" s="88">
        <v>1062270</v>
      </c>
      <c r="E79" s="52">
        <f t="shared" si="3"/>
        <v>0</v>
      </c>
    </row>
    <row r="80" spans="1:5" x14ac:dyDescent="0.35">
      <c r="A80" s="10">
        <v>37622</v>
      </c>
      <c r="B80" s="3">
        <f t="shared" si="2"/>
        <v>2003</v>
      </c>
      <c r="C80" s="6">
        <v>1046422</v>
      </c>
      <c r="D80" s="66">
        <v>1046422</v>
      </c>
      <c r="E80" s="52">
        <f t="shared" si="3"/>
        <v>0</v>
      </c>
    </row>
    <row r="81" spans="1:5" x14ac:dyDescent="0.35">
      <c r="A81" s="10">
        <v>37987</v>
      </c>
      <c r="B81" s="3">
        <f t="shared" si="2"/>
        <v>2004</v>
      </c>
      <c r="C81" s="6">
        <v>1264232</v>
      </c>
      <c r="D81" s="66">
        <v>1264232</v>
      </c>
      <c r="E81" s="52">
        <f t="shared" si="3"/>
        <v>0</v>
      </c>
    </row>
    <row r="82" spans="1:5" x14ac:dyDescent="0.35">
      <c r="A82" s="10">
        <v>38353</v>
      </c>
      <c r="B82" s="3">
        <f t="shared" si="2"/>
        <v>2005</v>
      </c>
      <c r="C82" s="7">
        <v>1291065</v>
      </c>
      <c r="D82" s="89">
        <v>1291065</v>
      </c>
      <c r="E82" s="52">
        <f t="shared" si="3"/>
        <v>0</v>
      </c>
    </row>
    <row r="83" spans="1:5" x14ac:dyDescent="0.35">
      <c r="A83" s="10">
        <v>38718</v>
      </c>
      <c r="B83" s="3">
        <f t="shared" si="2"/>
        <v>2006</v>
      </c>
      <c r="C83" s="7">
        <v>1206408</v>
      </c>
      <c r="D83" s="89">
        <v>1206412</v>
      </c>
      <c r="E83" s="52">
        <f t="shared" si="3"/>
        <v>-4</v>
      </c>
    </row>
    <row r="84" spans="1:5" x14ac:dyDescent="0.35">
      <c r="A84" s="10">
        <v>39083</v>
      </c>
      <c r="B84" s="3">
        <f t="shared" si="2"/>
        <v>2007</v>
      </c>
      <c r="C84" s="7">
        <v>960673</v>
      </c>
      <c r="D84" s="89">
        <v>960772</v>
      </c>
      <c r="E84" s="52">
        <f t="shared" si="3"/>
        <v>-99</v>
      </c>
    </row>
    <row r="85" spans="1:5" x14ac:dyDescent="0.35">
      <c r="A85" s="11">
        <v>39448</v>
      </c>
      <c r="B85" s="3">
        <f t="shared" si="2"/>
        <v>2008</v>
      </c>
      <c r="C85" s="6">
        <v>1043759</v>
      </c>
      <c r="D85" s="6">
        <v>1043799</v>
      </c>
      <c r="E85" s="52">
        <f t="shared" si="3"/>
        <v>-40</v>
      </c>
    </row>
    <row r="86" spans="1:5" x14ac:dyDescent="0.35">
      <c r="A86" s="10">
        <v>39814</v>
      </c>
      <c r="B86" s="3">
        <f t="shared" si="2"/>
        <v>2009</v>
      </c>
      <c r="C86" s="6">
        <v>889212</v>
      </c>
      <c r="D86" s="48">
        <v>889203</v>
      </c>
      <c r="E86" s="52">
        <f t="shared" si="3"/>
        <v>9</v>
      </c>
    </row>
    <row r="87" spans="1:5" x14ac:dyDescent="0.35">
      <c r="A87" s="10">
        <v>40179</v>
      </c>
      <c r="B87" s="3">
        <f t="shared" si="2"/>
        <v>2010</v>
      </c>
      <c r="C87" s="6">
        <v>796587</v>
      </c>
      <c r="D87" s="48">
        <v>796587</v>
      </c>
      <c r="E87" s="52">
        <f t="shared" si="3"/>
        <v>0</v>
      </c>
    </row>
    <row r="88" spans="1:5" x14ac:dyDescent="0.35">
      <c r="A88" s="10">
        <v>40544</v>
      </c>
      <c r="B88" s="3">
        <f t="shared" si="2"/>
        <v>2011</v>
      </c>
      <c r="C88" s="6">
        <v>678606</v>
      </c>
      <c r="D88" s="48">
        <v>678606</v>
      </c>
      <c r="E88" s="52">
        <f t="shared" si="3"/>
        <v>0</v>
      </c>
    </row>
    <row r="89" spans="1:5" x14ac:dyDescent="0.35">
      <c r="A89" s="11">
        <v>40909</v>
      </c>
      <c r="B89" s="3">
        <f t="shared" si="2"/>
        <v>2012</v>
      </c>
      <c r="C89" s="6">
        <v>795735</v>
      </c>
      <c r="D89" s="48">
        <v>671327</v>
      </c>
      <c r="E89" s="52">
        <f t="shared" si="3"/>
        <v>124408</v>
      </c>
    </row>
    <row r="90" spans="1:5" x14ac:dyDescent="0.35">
      <c r="A90" s="10">
        <v>41275</v>
      </c>
      <c r="B90" s="3">
        <f t="shared" si="2"/>
        <v>2013</v>
      </c>
      <c r="C90" s="6">
        <v>786223</v>
      </c>
      <c r="D90" s="48">
        <v>662483</v>
      </c>
      <c r="E90" s="52">
        <f t="shared" si="3"/>
        <v>123740</v>
      </c>
    </row>
    <row r="91" spans="1:5" x14ac:dyDescent="0.35">
      <c r="A91" s="10">
        <v>41640</v>
      </c>
      <c r="B91" s="3">
        <f t="shared" si="2"/>
        <v>2014</v>
      </c>
      <c r="C91" s="6">
        <v>805334</v>
      </c>
      <c r="D91" s="86"/>
      <c r="E91" s="53"/>
    </row>
    <row r="92" spans="1:5" x14ac:dyDescent="0.35">
      <c r="A92" s="10">
        <v>42005</v>
      </c>
      <c r="B92" s="3">
        <f t="shared" si="2"/>
        <v>2015</v>
      </c>
      <c r="C92" s="6">
        <v>596560</v>
      </c>
      <c r="D92" s="86"/>
      <c r="E92" s="53"/>
    </row>
    <row r="93" spans="1:5" x14ac:dyDescent="0.35">
      <c r="A93" s="11">
        <v>42370</v>
      </c>
      <c r="B93" s="3">
        <f t="shared" si="2"/>
        <v>2016</v>
      </c>
      <c r="C93" s="6">
        <v>683782</v>
      </c>
      <c r="D93" s="86"/>
      <c r="E93" s="53"/>
    </row>
    <row r="94" spans="1:5" x14ac:dyDescent="0.35">
      <c r="A94" s="12">
        <v>42736</v>
      </c>
      <c r="B94" s="3">
        <f t="shared" si="2"/>
        <v>2017</v>
      </c>
      <c r="C94" s="6">
        <v>607677</v>
      </c>
      <c r="D94" s="86"/>
      <c r="E94" s="53"/>
    </row>
    <row r="95" spans="1:5" x14ac:dyDescent="0.35">
      <c r="A95" s="12">
        <v>43101</v>
      </c>
      <c r="B95" s="3">
        <f t="shared" si="2"/>
        <v>2018</v>
      </c>
      <c r="C95" s="6">
        <v>739486</v>
      </c>
      <c r="D95" s="86"/>
      <c r="E95" s="53"/>
    </row>
    <row r="96" spans="1:5" x14ac:dyDescent="0.35">
      <c r="A96" s="12">
        <v>43466</v>
      </c>
      <c r="B96" s="3">
        <f t="shared" si="2"/>
        <v>2019</v>
      </c>
      <c r="C96" s="6">
        <v>1175841</v>
      </c>
      <c r="D96" s="86"/>
      <c r="E96" s="53"/>
    </row>
    <row r="97" spans="1:5" x14ac:dyDescent="0.35">
      <c r="A97" s="11">
        <v>43831</v>
      </c>
      <c r="B97" s="3">
        <f t="shared" si="2"/>
        <v>2020</v>
      </c>
      <c r="C97" s="6">
        <v>609265</v>
      </c>
      <c r="D97" s="86"/>
      <c r="E97" s="53"/>
    </row>
    <row r="98" spans="1:5" x14ac:dyDescent="0.35">
      <c r="A98" s="12">
        <v>44197</v>
      </c>
      <c r="B98" s="3">
        <f t="shared" si="2"/>
        <v>2021</v>
      </c>
      <c r="C98" s="6">
        <v>1865379</v>
      </c>
      <c r="D98" s="86"/>
      <c r="E98" s="53"/>
    </row>
    <row r="99" spans="1:5" x14ac:dyDescent="0.35">
      <c r="A99" s="10">
        <v>44562</v>
      </c>
      <c r="B99" s="3">
        <f t="shared" si="2"/>
        <v>2022</v>
      </c>
      <c r="C99" s="6">
        <v>2584220</v>
      </c>
      <c r="D99" s="86"/>
      <c r="E99" s="53"/>
    </row>
    <row r="100" spans="1:5" x14ac:dyDescent="0.35">
      <c r="A100" s="15" t="s">
        <v>25</v>
      </c>
      <c r="B100" s="2"/>
    </row>
    <row r="101" spans="1:5" x14ac:dyDescent="0.35">
      <c r="A101" s="15" t="s">
        <v>26</v>
      </c>
      <c r="B101" s="2"/>
    </row>
    <row r="102" spans="1:5" x14ac:dyDescent="0.35">
      <c r="A102" s="15" t="s">
        <v>27</v>
      </c>
      <c r="B102" s="2"/>
    </row>
    <row r="103" spans="1:5" x14ac:dyDescent="0.35">
      <c r="A103" s="15" t="s">
        <v>28</v>
      </c>
      <c r="B103" s="2"/>
    </row>
    <row r="104" spans="1:5" x14ac:dyDescent="0.35">
      <c r="A104" s="15" t="s">
        <v>29</v>
      </c>
      <c r="B104" s="2"/>
    </row>
    <row r="105" spans="1:5" x14ac:dyDescent="0.35">
      <c r="A105" s="15" t="s">
        <v>30</v>
      </c>
      <c r="B105" s="2"/>
    </row>
    <row r="106" spans="1:5" x14ac:dyDescent="0.35">
      <c r="A106" s="15" t="s">
        <v>31</v>
      </c>
      <c r="B106" s="2"/>
    </row>
    <row r="107" spans="1:5" x14ac:dyDescent="0.35">
      <c r="A107" s="13" t="s">
        <v>460</v>
      </c>
    </row>
    <row r="108" spans="1:5" x14ac:dyDescent="0.35">
      <c r="A108" s="15" t="s">
        <v>32</v>
      </c>
      <c r="B108" s="2"/>
    </row>
    <row r="109" spans="1:5" x14ac:dyDescent="0.35">
      <c r="A109" s="19" t="s">
        <v>318</v>
      </c>
      <c r="B109" s="19"/>
    </row>
    <row r="110" spans="1:5" x14ac:dyDescent="0.35">
      <c r="A110" s="19" t="s">
        <v>319</v>
      </c>
      <c r="B110" s="19"/>
    </row>
    <row r="111" spans="1:5" x14ac:dyDescent="0.35">
      <c r="A111" s="51" t="s">
        <v>318</v>
      </c>
      <c r="B111" s="51"/>
    </row>
    <row r="112" spans="1:5" x14ac:dyDescent="0.35">
      <c r="A112" s="51" t="s">
        <v>361</v>
      </c>
      <c r="B112" s="5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FA819-DE14-43AD-A7E2-4B5659AE66A2}">
  <dimension ref="A1:D84"/>
  <sheetViews>
    <sheetView workbookViewId="0">
      <selection activeCell="N22" sqref="N22"/>
    </sheetView>
  </sheetViews>
  <sheetFormatPr defaultRowHeight="14.5" x14ac:dyDescent="0.35"/>
  <cols>
    <col min="1" max="1" width="9.453125" bestFit="1" customWidth="1"/>
    <col min="2" max="2" width="9.453125" customWidth="1"/>
    <col min="3" max="3" width="13" bestFit="1" customWidth="1"/>
    <col min="4" max="4" width="25.54296875" bestFit="1" customWidth="1"/>
  </cols>
  <sheetData>
    <row r="1" spans="1:4" x14ac:dyDescent="0.35">
      <c r="A1" t="s">
        <v>461</v>
      </c>
      <c r="B1" t="s">
        <v>24</v>
      </c>
      <c r="C1" t="s">
        <v>217</v>
      </c>
      <c r="D1" t="s">
        <v>218</v>
      </c>
    </row>
    <row r="2" spans="1:4" x14ac:dyDescent="0.35">
      <c r="A2" s="13">
        <v>41275</v>
      </c>
      <c r="B2">
        <f>YEAR(EXPULSIONS_NONCITIZEN_Apprehen1[[#This Row],[Year1]])</f>
        <v>2013</v>
      </c>
      <c r="C2" t="s">
        <v>33</v>
      </c>
      <c r="D2">
        <v>7327</v>
      </c>
    </row>
    <row r="3" spans="1:4" x14ac:dyDescent="0.35">
      <c r="A3" s="13">
        <v>41275</v>
      </c>
      <c r="B3">
        <f>YEAR(EXPULSIONS_NONCITIZEN_Apprehen1[[#This Row],[Year1]])</f>
        <v>2013</v>
      </c>
      <c r="C3" t="s">
        <v>34</v>
      </c>
      <c r="D3">
        <v>23315</v>
      </c>
    </row>
    <row r="4" spans="1:4" x14ac:dyDescent="0.35">
      <c r="A4" s="13">
        <v>41275</v>
      </c>
      <c r="B4">
        <f>YEAR(EXPULSIONS_NONCITIZEN_Apprehen1[[#This Row],[Year1]])</f>
        <v>2013</v>
      </c>
      <c r="C4" t="s">
        <v>35</v>
      </c>
      <c r="D4">
        <v>13469</v>
      </c>
    </row>
    <row r="5" spans="1:4" x14ac:dyDescent="0.35">
      <c r="A5" s="13">
        <v>41275</v>
      </c>
      <c r="B5">
        <f>YEAR(EXPULSIONS_NONCITIZEN_Apprehen1[[#This Row],[Year1]])</f>
        <v>2013</v>
      </c>
      <c r="C5" t="s">
        <v>36</v>
      </c>
      <c r="D5">
        <v>724499</v>
      </c>
    </row>
    <row r="6" spans="1:4" x14ac:dyDescent="0.35">
      <c r="A6" s="13">
        <v>41275</v>
      </c>
      <c r="B6">
        <f>YEAR(EXPULSIONS_NONCITIZEN_Apprehen1[[#This Row],[Year1]])</f>
        <v>2013</v>
      </c>
      <c r="C6" t="s">
        <v>37</v>
      </c>
      <c r="D6">
        <v>1058</v>
      </c>
    </row>
    <row r="7" spans="1:4" x14ac:dyDescent="0.35">
      <c r="A7" s="13">
        <v>41275</v>
      </c>
      <c r="B7">
        <f>YEAR(EXPULSIONS_NONCITIZEN_Apprehen1[[#This Row],[Year1]])</f>
        <v>2013</v>
      </c>
      <c r="C7" t="s">
        <v>38</v>
      </c>
      <c r="D7">
        <v>15713</v>
      </c>
    </row>
    <row r="8" spans="1:4" x14ac:dyDescent="0.35">
      <c r="A8" s="13">
        <v>41640</v>
      </c>
      <c r="B8">
        <f>YEAR(EXPULSIONS_NONCITIZEN_Apprehen1[[#This Row],[Year1]])</f>
        <v>2014</v>
      </c>
      <c r="C8" t="s">
        <v>39</v>
      </c>
      <c r="D8">
        <v>842</v>
      </c>
    </row>
    <row r="9" spans="1:4" x14ac:dyDescent="0.35">
      <c r="A9" s="13">
        <v>41640</v>
      </c>
      <c r="B9">
        <f>YEAR(EXPULSIONS_NONCITIZEN_Apprehen1[[#This Row],[Year1]])</f>
        <v>2014</v>
      </c>
      <c r="C9" t="s">
        <v>33</v>
      </c>
      <c r="D9">
        <v>7571</v>
      </c>
    </row>
    <row r="10" spans="1:4" x14ac:dyDescent="0.35">
      <c r="A10" s="13">
        <v>41640</v>
      </c>
      <c r="B10">
        <f>YEAR(EXPULSIONS_NONCITIZEN_Apprehen1[[#This Row],[Year1]])</f>
        <v>2014</v>
      </c>
      <c r="C10" t="s">
        <v>34</v>
      </c>
      <c r="D10">
        <v>22953</v>
      </c>
    </row>
    <row r="11" spans="1:4" x14ac:dyDescent="0.35">
      <c r="A11" s="13">
        <v>41640</v>
      </c>
      <c r="B11">
        <f>YEAR(EXPULSIONS_NONCITIZEN_Apprehen1[[#This Row],[Year1]])</f>
        <v>2014</v>
      </c>
      <c r="C11" t="s">
        <v>35</v>
      </c>
      <c r="D11">
        <v>11639</v>
      </c>
    </row>
    <row r="12" spans="1:4" x14ac:dyDescent="0.35">
      <c r="A12" s="13">
        <v>41640</v>
      </c>
      <c r="B12">
        <f>YEAR(EXPULSIONS_NONCITIZEN_Apprehen1[[#This Row],[Year1]])</f>
        <v>2014</v>
      </c>
      <c r="C12" t="s">
        <v>36</v>
      </c>
      <c r="D12">
        <v>745905</v>
      </c>
    </row>
    <row r="13" spans="1:4" x14ac:dyDescent="0.35">
      <c r="A13" s="13">
        <v>41640</v>
      </c>
      <c r="B13">
        <f>YEAR(EXPULSIONS_NONCITIZEN_Apprehen1[[#This Row],[Year1]])</f>
        <v>2014</v>
      </c>
      <c r="C13" t="s">
        <v>37</v>
      </c>
      <c r="D13">
        <v>997</v>
      </c>
    </row>
    <row r="14" spans="1:4" x14ac:dyDescent="0.35">
      <c r="A14" s="13">
        <v>41640</v>
      </c>
      <c r="B14">
        <f>YEAR(EXPULSIONS_NONCITIZEN_Apprehen1[[#This Row],[Year1]])</f>
        <v>2014</v>
      </c>
      <c r="C14" t="s">
        <v>38</v>
      </c>
      <c r="D14">
        <v>15580</v>
      </c>
    </row>
    <row r="15" spans="1:4" x14ac:dyDescent="0.35">
      <c r="A15" s="13">
        <v>42005</v>
      </c>
      <c r="B15">
        <f>YEAR(EXPULSIONS_NONCITIZEN_Apprehen1[[#This Row],[Year1]])</f>
        <v>2015</v>
      </c>
      <c r="C15" t="s">
        <v>39</v>
      </c>
      <c r="D15">
        <v>689</v>
      </c>
    </row>
    <row r="16" spans="1:4" x14ac:dyDescent="0.35">
      <c r="A16" s="13">
        <v>42005</v>
      </c>
      <c r="B16">
        <f>YEAR(EXPULSIONS_NONCITIZEN_Apprehen1[[#This Row],[Year1]])</f>
        <v>2015</v>
      </c>
      <c r="C16" t="s">
        <v>33</v>
      </c>
      <c r="D16">
        <v>7944</v>
      </c>
    </row>
    <row r="17" spans="1:4" x14ac:dyDescent="0.35">
      <c r="A17" s="13">
        <v>42005</v>
      </c>
      <c r="B17">
        <f>YEAR(EXPULSIONS_NONCITIZEN_Apprehen1[[#This Row],[Year1]])</f>
        <v>2015</v>
      </c>
      <c r="C17" t="s">
        <v>34</v>
      </c>
      <c r="D17">
        <v>23023</v>
      </c>
    </row>
    <row r="18" spans="1:4" x14ac:dyDescent="0.35">
      <c r="A18" s="13">
        <v>42005</v>
      </c>
      <c r="B18">
        <f>YEAR(EXPULSIONS_NONCITIZEN_Apprehen1[[#This Row],[Year1]])</f>
        <v>2015</v>
      </c>
      <c r="C18" t="s">
        <v>35</v>
      </c>
      <c r="D18">
        <v>10248</v>
      </c>
    </row>
    <row r="19" spans="1:4" x14ac:dyDescent="0.35">
      <c r="A19" s="13">
        <v>42005</v>
      </c>
      <c r="B19">
        <f>YEAR(EXPULSIONS_NONCITIZEN_Apprehen1[[#This Row],[Year1]])</f>
        <v>2015</v>
      </c>
      <c r="C19" t="s">
        <v>36</v>
      </c>
      <c r="D19">
        <v>541080</v>
      </c>
    </row>
    <row r="20" spans="1:4" x14ac:dyDescent="0.35">
      <c r="A20" s="13">
        <v>42005</v>
      </c>
      <c r="B20">
        <f>YEAR(EXPULSIONS_NONCITIZEN_Apprehen1[[#This Row],[Year1]])</f>
        <v>2015</v>
      </c>
      <c r="C20" t="s">
        <v>37</v>
      </c>
      <c r="D20">
        <v>932</v>
      </c>
    </row>
    <row r="21" spans="1:4" x14ac:dyDescent="0.35">
      <c r="A21" s="13">
        <v>42005</v>
      </c>
      <c r="B21">
        <f>YEAR(EXPULSIONS_NONCITIZEN_Apprehen1[[#This Row],[Year1]])</f>
        <v>2015</v>
      </c>
      <c r="C21" t="s">
        <v>38</v>
      </c>
      <c r="D21">
        <v>12915</v>
      </c>
    </row>
    <row r="22" spans="1:4" x14ac:dyDescent="0.35">
      <c r="A22" s="13">
        <v>42370</v>
      </c>
      <c r="B22">
        <f>YEAR(EXPULSIONS_NONCITIZEN_Apprehen1[[#This Row],[Year1]])</f>
        <v>2016</v>
      </c>
      <c r="C22" t="s">
        <v>39</v>
      </c>
      <c r="D22">
        <v>418</v>
      </c>
    </row>
    <row r="23" spans="1:4" x14ac:dyDescent="0.35">
      <c r="A23" s="13">
        <v>42370</v>
      </c>
      <c r="B23">
        <f>YEAR(EXPULSIONS_NONCITIZEN_Apprehen1[[#This Row],[Year1]])</f>
        <v>2016</v>
      </c>
      <c r="C23" t="s">
        <v>33</v>
      </c>
      <c r="D23">
        <v>8074</v>
      </c>
    </row>
    <row r="24" spans="1:4" x14ac:dyDescent="0.35">
      <c r="A24" s="13">
        <v>42370</v>
      </c>
      <c r="B24">
        <f>YEAR(EXPULSIONS_NONCITIZEN_Apprehen1[[#This Row],[Year1]])</f>
        <v>2016</v>
      </c>
      <c r="C24" t="s">
        <v>34</v>
      </c>
      <c r="D24">
        <v>24558</v>
      </c>
    </row>
    <row r="25" spans="1:4" x14ac:dyDescent="0.35">
      <c r="A25" s="13">
        <v>42370</v>
      </c>
      <c r="B25">
        <f>YEAR(EXPULSIONS_NONCITIZEN_Apprehen1[[#This Row],[Year1]])</f>
        <v>2016</v>
      </c>
      <c r="C25" t="s">
        <v>35</v>
      </c>
      <c r="D25">
        <v>11214</v>
      </c>
    </row>
    <row r="26" spans="1:4" x14ac:dyDescent="0.35">
      <c r="A26" s="13">
        <v>42370</v>
      </c>
      <c r="B26">
        <f>YEAR(EXPULSIONS_NONCITIZEN_Apprehen1[[#This Row],[Year1]])</f>
        <v>2016</v>
      </c>
      <c r="C26" t="s">
        <v>36</v>
      </c>
      <c r="D26">
        <v>620739</v>
      </c>
    </row>
    <row r="27" spans="1:4" x14ac:dyDescent="0.35">
      <c r="A27" s="13">
        <v>42370</v>
      </c>
      <c r="B27">
        <f>YEAR(EXPULSIONS_NONCITIZEN_Apprehen1[[#This Row],[Year1]])</f>
        <v>2016</v>
      </c>
      <c r="C27" t="s">
        <v>37</v>
      </c>
      <c r="D27">
        <v>1030</v>
      </c>
    </row>
    <row r="28" spans="1:4" x14ac:dyDescent="0.35">
      <c r="A28" s="13">
        <v>42370</v>
      </c>
      <c r="B28">
        <f>YEAR(EXPULSIONS_NONCITIZEN_Apprehen1[[#This Row],[Year1]])</f>
        <v>2016</v>
      </c>
      <c r="C28" t="s">
        <v>38</v>
      </c>
      <c r="D28">
        <v>17700</v>
      </c>
    </row>
    <row r="29" spans="1:4" x14ac:dyDescent="0.35">
      <c r="A29" s="13">
        <v>42736</v>
      </c>
      <c r="B29">
        <f>YEAR(EXPULSIONS_NONCITIZEN_Apprehen1[[#This Row],[Year1]])</f>
        <v>2017</v>
      </c>
      <c r="C29" t="s">
        <v>39</v>
      </c>
      <c r="D29">
        <v>467</v>
      </c>
    </row>
    <row r="30" spans="1:4" x14ac:dyDescent="0.35">
      <c r="A30" s="13">
        <v>42736</v>
      </c>
      <c r="B30">
        <f>YEAR(EXPULSIONS_NONCITIZEN_Apprehen1[[#This Row],[Year1]])</f>
        <v>2017</v>
      </c>
      <c r="C30" t="s">
        <v>33</v>
      </c>
      <c r="D30">
        <v>9203</v>
      </c>
    </row>
    <row r="31" spans="1:4" x14ac:dyDescent="0.35">
      <c r="A31" s="13">
        <v>42736</v>
      </c>
      <c r="B31">
        <f>YEAR(EXPULSIONS_NONCITIZEN_Apprehen1[[#This Row],[Year1]])</f>
        <v>2017</v>
      </c>
      <c r="C31" t="s">
        <v>34</v>
      </c>
      <c r="D31">
        <v>26875</v>
      </c>
    </row>
    <row r="32" spans="1:4" x14ac:dyDescent="0.35">
      <c r="A32" s="13">
        <v>42736</v>
      </c>
      <c r="B32">
        <f>YEAR(EXPULSIONS_NONCITIZEN_Apprehen1[[#This Row],[Year1]])</f>
        <v>2017</v>
      </c>
      <c r="C32" t="s">
        <v>35</v>
      </c>
      <c r="D32">
        <v>12507</v>
      </c>
    </row>
    <row r="33" spans="1:4" x14ac:dyDescent="0.35">
      <c r="A33" s="13">
        <v>42736</v>
      </c>
      <c r="B33">
        <f>YEAR(EXPULSIONS_NONCITIZEN_Apprehen1[[#This Row],[Year1]])</f>
        <v>2017</v>
      </c>
      <c r="C33" t="s">
        <v>36</v>
      </c>
      <c r="D33">
        <v>537729</v>
      </c>
    </row>
    <row r="34" spans="1:4" x14ac:dyDescent="0.35">
      <c r="A34" s="13">
        <v>42736</v>
      </c>
      <c r="B34">
        <f>YEAR(EXPULSIONS_NONCITIZEN_Apprehen1[[#This Row],[Year1]])</f>
        <v>2017</v>
      </c>
      <c r="C34" t="s">
        <v>37</v>
      </c>
      <c r="D34">
        <v>1235</v>
      </c>
    </row>
    <row r="35" spans="1:4" x14ac:dyDescent="0.35">
      <c r="A35" s="13">
        <v>42736</v>
      </c>
      <c r="B35">
        <f>YEAR(EXPULSIONS_NONCITIZEN_Apprehen1[[#This Row],[Year1]])</f>
        <v>2017</v>
      </c>
      <c r="C35" t="s">
        <v>38</v>
      </c>
      <c r="D35">
        <v>19063</v>
      </c>
    </row>
    <row r="36" spans="1:4" x14ac:dyDescent="0.35">
      <c r="A36" s="13">
        <v>43101</v>
      </c>
      <c r="B36">
        <f>YEAR(EXPULSIONS_NONCITIZEN_Apprehen1[[#This Row],[Year1]])</f>
        <v>2018</v>
      </c>
      <c r="C36" t="s">
        <v>39</v>
      </c>
      <c r="D36">
        <v>1065</v>
      </c>
    </row>
    <row r="37" spans="1:4" x14ac:dyDescent="0.35">
      <c r="A37" s="13">
        <v>43101</v>
      </c>
      <c r="B37">
        <f>YEAR(EXPULSIONS_NONCITIZEN_Apprehen1[[#This Row],[Year1]])</f>
        <v>2018</v>
      </c>
      <c r="C37" t="s">
        <v>33</v>
      </c>
      <c r="D37">
        <v>10359</v>
      </c>
    </row>
    <row r="38" spans="1:4" x14ac:dyDescent="0.35">
      <c r="A38" s="13">
        <v>43101</v>
      </c>
      <c r="B38">
        <f>YEAR(EXPULSIONS_NONCITIZEN_Apprehen1[[#This Row],[Year1]])</f>
        <v>2018</v>
      </c>
      <c r="C38" t="s">
        <v>34</v>
      </c>
      <c r="D38">
        <v>34393</v>
      </c>
    </row>
    <row r="39" spans="1:4" x14ac:dyDescent="0.35">
      <c r="A39" s="13">
        <v>43101</v>
      </c>
      <c r="B39">
        <f>YEAR(EXPULSIONS_NONCITIZEN_Apprehen1[[#This Row],[Year1]])</f>
        <v>2018</v>
      </c>
      <c r="C39" t="s">
        <v>35</v>
      </c>
      <c r="D39">
        <v>14694</v>
      </c>
    </row>
    <row r="40" spans="1:4" x14ac:dyDescent="0.35">
      <c r="A40" s="13">
        <v>43101</v>
      </c>
      <c r="B40">
        <f>YEAR(EXPULSIONS_NONCITIZEN_Apprehen1[[#This Row],[Year1]])</f>
        <v>2018</v>
      </c>
      <c r="C40" t="s">
        <v>36</v>
      </c>
      <c r="D40">
        <v>652478</v>
      </c>
    </row>
    <row r="41" spans="1:4" x14ac:dyDescent="0.35">
      <c r="A41" s="13">
        <v>43101</v>
      </c>
      <c r="B41">
        <f>YEAR(EXPULSIONS_NONCITIZEN_Apprehen1[[#This Row],[Year1]])</f>
        <v>2018</v>
      </c>
      <c r="C41" t="s">
        <v>37</v>
      </c>
      <c r="D41">
        <v>1103</v>
      </c>
    </row>
    <row r="42" spans="1:4" x14ac:dyDescent="0.35">
      <c r="A42" s="13">
        <v>43101</v>
      </c>
      <c r="B42">
        <f>YEAR(EXPULSIONS_NONCITIZEN_Apprehen1[[#This Row],[Year1]])</f>
        <v>2018</v>
      </c>
      <c r="C42" t="s">
        <v>38</v>
      </c>
      <c r="D42">
        <v>23628</v>
      </c>
    </row>
    <row r="43" spans="1:4" x14ac:dyDescent="0.35">
      <c r="A43" s="13">
        <v>43466</v>
      </c>
      <c r="B43">
        <f>YEAR(EXPULSIONS_NONCITIZEN_Apprehen1[[#This Row],[Year1]])</f>
        <v>2019</v>
      </c>
      <c r="C43" t="s">
        <v>39</v>
      </c>
      <c r="D43">
        <v>2831</v>
      </c>
    </row>
    <row r="44" spans="1:4" x14ac:dyDescent="0.35">
      <c r="A44" s="13">
        <v>43466</v>
      </c>
      <c r="B44">
        <f>YEAR(EXPULSIONS_NONCITIZEN_Apprehen1[[#This Row],[Year1]])</f>
        <v>2019</v>
      </c>
      <c r="C44" t="s">
        <v>33</v>
      </c>
      <c r="D44">
        <v>11018</v>
      </c>
    </row>
    <row r="45" spans="1:4" x14ac:dyDescent="0.35">
      <c r="A45" s="13">
        <v>43466</v>
      </c>
      <c r="B45">
        <f>YEAR(EXPULSIONS_NONCITIZEN_Apprehen1[[#This Row],[Year1]])</f>
        <v>2019</v>
      </c>
      <c r="C45" t="s">
        <v>34</v>
      </c>
      <c r="D45">
        <v>31977</v>
      </c>
    </row>
    <row r="46" spans="1:4" x14ac:dyDescent="0.35">
      <c r="A46" s="13">
        <v>43466</v>
      </c>
      <c r="B46">
        <f>YEAR(EXPULSIONS_NONCITIZEN_Apprehen1[[#This Row],[Year1]])</f>
        <v>2019</v>
      </c>
      <c r="C46" t="s">
        <v>35</v>
      </c>
      <c r="D46">
        <v>13509</v>
      </c>
    </row>
    <row r="47" spans="1:4" x14ac:dyDescent="0.35">
      <c r="A47" s="13">
        <v>43466</v>
      </c>
      <c r="B47">
        <f>YEAR(EXPULSIONS_NONCITIZEN_Apprehen1[[#This Row],[Year1]])</f>
        <v>2019</v>
      </c>
      <c r="C47" t="s">
        <v>36</v>
      </c>
      <c r="D47">
        <v>1059575</v>
      </c>
    </row>
    <row r="48" spans="1:4" x14ac:dyDescent="0.35">
      <c r="A48" s="13">
        <v>43466</v>
      </c>
      <c r="B48">
        <f>YEAR(EXPULSIONS_NONCITIZEN_Apprehen1[[#This Row],[Year1]])</f>
        <v>2019</v>
      </c>
      <c r="C48" t="s">
        <v>37</v>
      </c>
      <c r="D48">
        <v>1078</v>
      </c>
    </row>
    <row r="49" spans="1:4" x14ac:dyDescent="0.35">
      <c r="A49" s="13">
        <v>43466</v>
      </c>
      <c r="B49">
        <f>YEAR(EXPULSIONS_NONCITIZEN_Apprehen1[[#This Row],[Year1]])</f>
        <v>2019</v>
      </c>
      <c r="C49" t="s">
        <v>38</v>
      </c>
      <c r="D49">
        <v>57219</v>
      </c>
    </row>
    <row r="50" spans="1:4" x14ac:dyDescent="0.35">
      <c r="A50" s="13">
        <v>43831</v>
      </c>
      <c r="B50">
        <f>YEAR(EXPULSIONS_NONCITIZEN_Apprehen1[[#This Row],[Year1]])</f>
        <v>2020</v>
      </c>
      <c r="C50" t="s">
        <v>39</v>
      </c>
      <c r="D50">
        <v>1465</v>
      </c>
    </row>
    <row r="51" spans="1:4" x14ac:dyDescent="0.35">
      <c r="A51" s="13">
        <v>43831</v>
      </c>
      <c r="B51">
        <f>YEAR(EXPULSIONS_NONCITIZEN_Apprehen1[[#This Row],[Year1]])</f>
        <v>2020</v>
      </c>
      <c r="C51" t="s">
        <v>33</v>
      </c>
      <c r="D51">
        <v>7230</v>
      </c>
    </row>
    <row r="52" spans="1:4" x14ac:dyDescent="0.35">
      <c r="A52" s="13">
        <v>43831</v>
      </c>
      <c r="B52">
        <f>YEAR(EXPULSIONS_NONCITIZEN_Apprehen1[[#This Row],[Year1]])</f>
        <v>2020</v>
      </c>
      <c r="C52" t="s">
        <v>34</v>
      </c>
      <c r="D52">
        <v>16780</v>
      </c>
    </row>
    <row r="53" spans="1:4" x14ac:dyDescent="0.35">
      <c r="A53" s="13">
        <v>43831</v>
      </c>
      <c r="B53">
        <f>YEAR(EXPULSIONS_NONCITIZEN_Apprehen1[[#This Row],[Year1]])</f>
        <v>2020</v>
      </c>
      <c r="C53" t="s">
        <v>35</v>
      </c>
      <c r="D53">
        <v>8218</v>
      </c>
    </row>
    <row r="54" spans="1:4" x14ac:dyDescent="0.35">
      <c r="A54" s="13">
        <v>43831</v>
      </c>
      <c r="B54">
        <f>YEAR(EXPULSIONS_NONCITIZEN_Apprehen1[[#This Row],[Year1]])</f>
        <v>2020</v>
      </c>
      <c r="C54" t="s">
        <v>36</v>
      </c>
      <c r="D54">
        <v>541252</v>
      </c>
    </row>
    <row r="55" spans="1:4" x14ac:dyDescent="0.35">
      <c r="A55" s="13">
        <v>43831</v>
      </c>
      <c r="B55">
        <f>YEAR(EXPULSIONS_NONCITIZEN_Apprehen1[[#This Row],[Year1]])</f>
        <v>2020</v>
      </c>
      <c r="C55" t="s">
        <v>37</v>
      </c>
      <c r="D55">
        <v>776</v>
      </c>
    </row>
    <row r="56" spans="1:4" x14ac:dyDescent="0.35">
      <c r="A56" s="13">
        <v>43831</v>
      </c>
      <c r="B56">
        <f>YEAR(EXPULSIONS_NONCITIZEN_Apprehen1[[#This Row],[Year1]])</f>
        <v>2020</v>
      </c>
      <c r="C56" t="s">
        <v>38</v>
      </c>
      <c r="D56">
        <v>33705</v>
      </c>
    </row>
    <row r="57" spans="1:4" x14ac:dyDescent="0.35">
      <c r="A57" s="13">
        <v>44197</v>
      </c>
      <c r="B57">
        <f>YEAR(EXPULSIONS_NONCITIZEN_Apprehen1[[#This Row],[Year1]])</f>
        <v>2021</v>
      </c>
      <c r="C57" t="s">
        <v>39</v>
      </c>
      <c r="D57">
        <v>1304</v>
      </c>
    </row>
    <row r="58" spans="1:4" x14ac:dyDescent="0.35">
      <c r="A58" s="13">
        <v>44197</v>
      </c>
      <c r="B58">
        <f>YEAR(EXPULSIONS_NONCITIZEN_Apprehen1[[#This Row],[Year1]])</f>
        <v>2021</v>
      </c>
      <c r="C58" t="s">
        <v>33</v>
      </c>
      <c r="D58">
        <v>7371</v>
      </c>
    </row>
    <row r="59" spans="1:4" x14ac:dyDescent="0.35">
      <c r="A59" s="13">
        <v>44197</v>
      </c>
      <c r="B59">
        <f>YEAR(EXPULSIONS_NONCITIZEN_Apprehen1[[#This Row],[Year1]])</f>
        <v>2021</v>
      </c>
      <c r="C59" t="s">
        <v>34</v>
      </c>
      <c r="D59">
        <v>17147</v>
      </c>
    </row>
    <row r="60" spans="1:4" x14ac:dyDescent="0.35">
      <c r="A60" s="13">
        <v>44197</v>
      </c>
      <c r="B60">
        <f>YEAR(EXPULSIONS_NONCITIZEN_Apprehen1[[#This Row],[Year1]])</f>
        <v>2021</v>
      </c>
      <c r="C60" t="s">
        <v>35</v>
      </c>
      <c r="D60">
        <v>14403</v>
      </c>
    </row>
    <row r="61" spans="1:4" x14ac:dyDescent="0.35">
      <c r="A61" s="13">
        <v>44197</v>
      </c>
      <c r="B61">
        <f>YEAR(EXPULSIONS_NONCITIZEN_Apprehen1[[#This Row],[Year1]])</f>
        <v>2021</v>
      </c>
      <c r="C61" t="s">
        <v>36</v>
      </c>
      <c r="D61">
        <v>1587570</v>
      </c>
    </row>
    <row r="62" spans="1:4" x14ac:dyDescent="0.35">
      <c r="A62" s="13">
        <v>44197</v>
      </c>
      <c r="B62">
        <f>YEAR(EXPULSIONS_NONCITIZEN_Apprehen1[[#This Row],[Year1]])</f>
        <v>2021</v>
      </c>
      <c r="C62" t="s">
        <v>37</v>
      </c>
      <c r="D62">
        <v>284</v>
      </c>
    </row>
    <row r="63" spans="1:4" x14ac:dyDescent="0.35">
      <c r="A63" s="13">
        <v>44197</v>
      </c>
      <c r="B63">
        <f>YEAR(EXPULSIONS_NONCITIZEN_Apprehen1[[#This Row],[Year1]])</f>
        <v>2021</v>
      </c>
      <c r="C63" t="s">
        <v>38</v>
      </c>
      <c r="D63">
        <v>237311</v>
      </c>
    </row>
    <row r="64" spans="1:4" x14ac:dyDescent="0.35">
      <c r="A64" s="13">
        <v>44562</v>
      </c>
      <c r="B64">
        <f>YEAR(EXPULSIONS_NONCITIZEN_Apprehen1[[#This Row],[Year1]])</f>
        <v>2022</v>
      </c>
      <c r="C64" t="s">
        <v>39</v>
      </c>
      <c r="D64">
        <v>1293</v>
      </c>
    </row>
    <row r="65" spans="1:4" x14ac:dyDescent="0.35">
      <c r="A65" s="13">
        <v>44562</v>
      </c>
      <c r="B65">
        <f>YEAR(EXPULSIONS_NONCITIZEN_Apprehen1[[#This Row],[Year1]])</f>
        <v>2022</v>
      </c>
      <c r="C65" t="s">
        <v>33</v>
      </c>
      <c r="D65">
        <v>21594</v>
      </c>
    </row>
    <row r="66" spans="1:4" x14ac:dyDescent="0.35">
      <c r="A66" s="13">
        <v>44562</v>
      </c>
      <c r="B66">
        <f>YEAR(EXPULSIONS_NONCITIZEN_Apprehen1[[#This Row],[Year1]])</f>
        <v>2022</v>
      </c>
      <c r="C66" t="s">
        <v>34</v>
      </c>
      <c r="D66">
        <v>80236</v>
      </c>
    </row>
    <row r="67" spans="1:4" x14ac:dyDescent="0.35">
      <c r="A67" s="13">
        <v>44562</v>
      </c>
      <c r="B67">
        <f>YEAR(EXPULSIONS_NONCITIZEN_Apprehen1[[#This Row],[Year1]])</f>
        <v>2022</v>
      </c>
      <c r="C67" t="s">
        <v>35</v>
      </c>
      <c r="D67">
        <v>47768</v>
      </c>
    </row>
    <row r="68" spans="1:4" x14ac:dyDescent="0.35">
      <c r="A68" s="13">
        <v>44562</v>
      </c>
      <c r="B68">
        <f>YEAR(EXPULSIONS_NONCITIZEN_Apprehen1[[#This Row],[Year1]])</f>
        <v>2022</v>
      </c>
      <c r="C68" t="s">
        <v>36</v>
      </c>
      <c r="D68">
        <v>1923914</v>
      </c>
    </row>
    <row r="69" spans="1:4" x14ac:dyDescent="0.35">
      <c r="A69" s="13">
        <v>44562</v>
      </c>
      <c r="B69">
        <f>YEAR(EXPULSIONS_NONCITIZEN_Apprehen1[[#This Row],[Year1]])</f>
        <v>2022</v>
      </c>
      <c r="C69" t="s">
        <v>37</v>
      </c>
      <c r="D69">
        <v>753</v>
      </c>
    </row>
    <row r="70" spans="1:4" x14ac:dyDescent="0.35">
      <c r="A70" s="13">
        <v>44562</v>
      </c>
      <c r="B70">
        <f>YEAR(EXPULSIONS_NONCITIZEN_Apprehen1[[#This Row],[Year1]])</f>
        <v>2022</v>
      </c>
      <c r="C70" t="s">
        <v>38</v>
      </c>
      <c r="D70">
        <v>508806</v>
      </c>
    </row>
    <row r="71" spans="1:4" x14ac:dyDescent="0.35">
      <c r="A71" s="13">
        <v>44562</v>
      </c>
      <c r="B71">
        <f>YEAR(EXPULSIONS_NONCITIZEN_Apprehen1[[#This Row],[Year1]])</f>
        <v>2022</v>
      </c>
      <c r="C71" t="s">
        <v>39</v>
      </c>
      <c r="D71">
        <v>1149</v>
      </c>
    </row>
    <row r="73" spans="1:4" x14ac:dyDescent="0.35">
      <c r="A73" s="2" t="s">
        <v>207</v>
      </c>
      <c r="B73" s="2"/>
    </row>
    <row r="74" spans="1:4" x14ac:dyDescent="0.35">
      <c r="A74" s="16" t="s">
        <v>208</v>
      </c>
      <c r="B74" s="16"/>
    </row>
    <row r="75" spans="1:4" x14ac:dyDescent="0.35">
      <c r="A75" s="2" t="s">
        <v>209</v>
      </c>
      <c r="B75" s="2"/>
    </row>
    <row r="76" spans="1:4" x14ac:dyDescent="0.35">
      <c r="A76" s="2" t="s">
        <v>210</v>
      </c>
      <c r="B76" s="2"/>
    </row>
    <row r="77" spans="1:4" x14ac:dyDescent="0.35">
      <c r="A77" s="16" t="s">
        <v>211</v>
      </c>
      <c r="B77" s="16"/>
    </row>
    <row r="78" spans="1:4" x14ac:dyDescent="0.35">
      <c r="A78" s="2" t="s">
        <v>212</v>
      </c>
      <c r="B78" s="2"/>
    </row>
    <row r="79" spans="1:4" x14ac:dyDescent="0.35">
      <c r="A79" s="17" t="s">
        <v>213</v>
      </c>
      <c r="B79" s="16"/>
    </row>
    <row r="80" spans="1:4" x14ac:dyDescent="0.35">
      <c r="A80" s="16" t="s">
        <v>32</v>
      </c>
      <c r="B80" s="16"/>
    </row>
    <row r="82" spans="1:2" x14ac:dyDescent="0.35">
      <c r="A82" t="s">
        <v>303</v>
      </c>
    </row>
    <row r="83" spans="1:2" x14ac:dyDescent="0.35">
      <c r="A83" s="21" t="s">
        <v>356</v>
      </c>
      <c r="B83" s="21"/>
    </row>
    <row r="84" spans="1:2" x14ac:dyDescent="0.35">
      <c r="A84" s="21" t="s">
        <v>357</v>
      </c>
      <c r="B84" s="21"/>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D2C68-3F1C-4451-A489-2C20B1B3475C}">
  <dimension ref="A1:E1840"/>
  <sheetViews>
    <sheetView workbookViewId="0">
      <selection activeCell="E8" sqref="E8"/>
    </sheetView>
  </sheetViews>
  <sheetFormatPr defaultRowHeight="14.5" x14ac:dyDescent="0.35"/>
  <cols>
    <col min="1" max="2" width="14.453125" customWidth="1"/>
    <col min="3" max="3" width="22.36328125" customWidth="1"/>
    <col min="4" max="4" width="29.453125" bestFit="1" customWidth="1"/>
    <col min="5" max="5" width="39.26953125" customWidth="1"/>
    <col min="7" max="7" width="11.54296875" customWidth="1"/>
  </cols>
  <sheetData>
    <row r="1" spans="1:5" x14ac:dyDescent="0.35">
      <c r="A1" t="s">
        <v>461</v>
      </c>
      <c r="B1" t="s">
        <v>24</v>
      </c>
      <c r="C1" t="s">
        <v>217</v>
      </c>
      <c r="D1" t="s">
        <v>13</v>
      </c>
      <c r="E1" t="s">
        <v>218</v>
      </c>
    </row>
    <row r="2" spans="1:5" x14ac:dyDescent="0.35">
      <c r="A2" s="58"/>
      <c r="C2" t="s">
        <v>37</v>
      </c>
      <c r="D2" t="s">
        <v>393</v>
      </c>
    </row>
    <row r="3" spans="1:5" x14ac:dyDescent="0.35">
      <c r="A3" s="58"/>
      <c r="C3" t="s">
        <v>36</v>
      </c>
      <c r="D3" t="s">
        <v>392</v>
      </c>
    </row>
    <row r="4" spans="1:5" x14ac:dyDescent="0.35">
      <c r="A4" s="58"/>
      <c r="C4" t="s">
        <v>36</v>
      </c>
      <c r="D4" t="s">
        <v>363</v>
      </c>
    </row>
    <row r="5" spans="1:5" x14ac:dyDescent="0.35">
      <c r="A5" s="58"/>
      <c r="C5" t="s">
        <v>36</v>
      </c>
      <c r="D5" t="s">
        <v>364</v>
      </c>
    </row>
    <row r="6" spans="1:5" x14ac:dyDescent="0.35">
      <c r="A6" s="58"/>
      <c r="C6" t="s">
        <v>36</v>
      </c>
      <c r="D6" t="s">
        <v>365</v>
      </c>
    </row>
    <row r="7" spans="1:5" x14ac:dyDescent="0.35">
      <c r="A7" s="58"/>
      <c r="C7" t="s">
        <v>37</v>
      </c>
      <c r="D7" t="s">
        <v>391</v>
      </c>
    </row>
    <row r="8" spans="1:5" x14ac:dyDescent="0.35">
      <c r="A8" s="58"/>
      <c r="C8" t="s">
        <v>37</v>
      </c>
      <c r="D8" t="s">
        <v>367</v>
      </c>
    </row>
    <row r="9" spans="1:5" x14ac:dyDescent="0.35">
      <c r="A9" s="58"/>
      <c r="C9" t="s">
        <v>37</v>
      </c>
      <c r="D9" t="s">
        <v>386</v>
      </c>
    </row>
    <row r="10" spans="1:5" x14ac:dyDescent="0.35">
      <c r="A10" s="58"/>
      <c r="C10" t="s">
        <v>34</v>
      </c>
      <c r="D10" t="s">
        <v>368</v>
      </c>
    </row>
    <row r="11" spans="1:5" x14ac:dyDescent="0.35">
      <c r="A11" s="58"/>
      <c r="C11" t="s">
        <v>34</v>
      </c>
      <c r="D11" t="s">
        <v>369</v>
      </c>
    </row>
    <row r="12" spans="1:5" x14ac:dyDescent="0.35">
      <c r="A12" s="58"/>
      <c r="C12" t="s">
        <v>34</v>
      </c>
      <c r="D12" t="s">
        <v>389</v>
      </c>
    </row>
    <row r="13" spans="1:5" x14ac:dyDescent="0.35">
      <c r="A13" s="58"/>
      <c r="C13" t="s">
        <v>36</v>
      </c>
      <c r="D13" t="s">
        <v>370</v>
      </c>
    </row>
    <row r="14" spans="1:5" x14ac:dyDescent="0.35">
      <c r="A14" s="58"/>
      <c r="C14" t="s">
        <v>36</v>
      </c>
      <c r="D14" t="s">
        <v>371</v>
      </c>
    </row>
    <row r="15" spans="1:5" x14ac:dyDescent="0.35">
      <c r="A15" s="58"/>
      <c r="C15" t="s">
        <v>37</v>
      </c>
      <c r="D15" t="s">
        <v>388</v>
      </c>
    </row>
    <row r="16" spans="1:5" x14ac:dyDescent="0.35">
      <c r="A16" s="58"/>
      <c r="C16" t="s">
        <v>36</v>
      </c>
      <c r="D16" t="s">
        <v>372</v>
      </c>
    </row>
    <row r="17" spans="1:5" x14ac:dyDescent="0.35">
      <c r="A17" s="58"/>
      <c r="C17" t="s">
        <v>37</v>
      </c>
      <c r="D17" t="s">
        <v>390</v>
      </c>
    </row>
    <row r="18" spans="1:5" x14ac:dyDescent="0.35">
      <c r="A18" s="58"/>
      <c r="C18" t="s">
        <v>37</v>
      </c>
      <c r="D18" t="s">
        <v>387</v>
      </c>
    </row>
    <row r="19" spans="1:5" x14ac:dyDescent="0.35">
      <c r="A19" s="13">
        <v>41275</v>
      </c>
      <c r="B19">
        <f>YEAR(Country_Masterlist__4[[#This Row],[Year1]])</f>
        <v>2013</v>
      </c>
      <c r="C19" t="s">
        <v>34</v>
      </c>
      <c r="D19" t="s">
        <v>40</v>
      </c>
      <c r="E19">
        <v>140</v>
      </c>
    </row>
    <row r="20" spans="1:5" x14ac:dyDescent="0.35">
      <c r="A20" s="13">
        <v>41275</v>
      </c>
      <c r="B20">
        <f>YEAR(Country_Masterlist__4[[#This Row],[Year1]])</f>
        <v>2013</v>
      </c>
      <c r="C20" t="s">
        <v>35</v>
      </c>
      <c r="D20" t="s">
        <v>41</v>
      </c>
      <c r="E20">
        <v>504</v>
      </c>
    </row>
    <row r="21" spans="1:5" x14ac:dyDescent="0.35">
      <c r="A21" s="13">
        <v>41275</v>
      </c>
      <c r="B21">
        <f>YEAR(Country_Masterlist__4[[#This Row],[Year1]])</f>
        <v>2013</v>
      </c>
      <c r="C21" t="s">
        <v>33</v>
      </c>
      <c r="D21" t="s">
        <v>42</v>
      </c>
      <c r="E21">
        <v>69</v>
      </c>
    </row>
    <row r="22" spans="1:5" x14ac:dyDescent="0.35">
      <c r="A22" s="13">
        <v>41275</v>
      </c>
      <c r="B22">
        <f>YEAR(Country_Masterlist__4[[#This Row],[Year1]])</f>
        <v>2013</v>
      </c>
      <c r="D22" t="s">
        <v>373</v>
      </c>
      <c r="E22">
        <v>28</v>
      </c>
    </row>
    <row r="23" spans="1:5" x14ac:dyDescent="0.35">
      <c r="A23" s="13">
        <v>41275</v>
      </c>
      <c r="B23">
        <f>YEAR(Country_Masterlist__4[[#This Row],[Year1]])</f>
        <v>2013</v>
      </c>
      <c r="C23" t="s">
        <v>33</v>
      </c>
      <c r="D23" t="s">
        <v>43</v>
      </c>
      <c r="E23">
        <v>64</v>
      </c>
    </row>
    <row r="24" spans="1:5" x14ac:dyDescent="0.35">
      <c r="A24" s="13">
        <v>41275</v>
      </c>
      <c r="B24">
        <f>YEAR(Country_Masterlist__4[[#This Row],[Year1]])</f>
        <v>2013</v>
      </c>
      <c r="C24" t="s">
        <v>36</v>
      </c>
      <c r="D24" t="s">
        <v>44</v>
      </c>
      <c r="E24">
        <v>55</v>
      </c>
    </row>
    <row r="25" spans="1:5" x14ac:dyDescent="0.35">
      <c r="A25" s="13">
        <v>41275</v>
      </c>
      <c r="B25">
        <f>YEAR(Country_Masterlist__4[[#This Row],[Year1]])</f>
        <v>2013</v>
      </c>
      <c r="C25" t="s">
        <v>38</v>
      </c>
      <c r="D25" t="s">
        <v>45</v>
      </c>
      <c r="E25">
        <v>373</v>
      </c>
    </row>
    <row r="26" spans="1:5" x14ac:dyDescent="0.35">
      <c r="A26" s="13">
        <v>41275</v>
      </c>
      <c r="B26">
        <f>YEAR(Country_Masterlist__4[[#This Row],[Year1]])</f>
        <v>2013</v>
      </c>
      <c r="C26" t="s">
        <v>34</v>
      </c>
      <c r="D26" t="s">
        <v>46</v>
      </c>
      <c r="E26">
        <v>194</v>
      </c>
    </row>
    <row r="27" spans="1:5" x14ac:dyDescent="0.35">
      <c r="A27" s="13">
        <v>41275</v>
      </c>
      <c r="B27">
        <f>YEAR(Country_Masterlist__4[[#This Row],[Year1]])</f>
        <v>2013</v>
      </c>
      <c r="C27" t="s">
        <v>37</v>
      </c>
      <c r="D27" t="s">
        <v>47</v>
      </c>
      <c r="E27">
        <v>502</v>
      </c>
    </row>
    <row r="28" spans="1:5" x14ac:dyDescent="0.35">
      <c r="A28" s="13">
        <v>41275</v>
      </c>
      <c r="B28">
        <f>YEAR(Country_Masterlist__4[[#This Row],[Year1]])</f>
        <v>2013</v>
      </c>
      <c r="C28" t="s">
        <v>35</v>
      </c>
      <c r="D28" t="s">
        <v>48</v>
      </c>
      <c r="E28">
        <v>74</v>
      </c>
    </row>
    <row r="29" spans="1:5" x14ac:dyDescent="0.35">
      <c r="A29" s="13">
        <v>41275</v>
      </c>
      <c r="B29">
        <f>YEAR(Country_Masterlist__4[[#This Row],[Year1]])</f>
        <v>2013</v>
      </c>
      <c r="C29" t="s">
        <v>34</v>
      </c>
      <c r="D29" t="s">
        <v>49</v>
      </c>
      <c r="E29">
        <v>50</v>
      </c>
    </row>
    <row r="30" spans="1:5" x14ac:dyDescent="0.35">
      <c r="A30" s="13">
        <v>41275</v>
      </c>
      <c r="B30">
        <f>YEAR(Country_Masterlist__4[[#This Row],[Year1]])</f>
        <v>2013</v>
      </c>
      <c r="C30" t="s">
        <v>36</v>
      </c>
      <c r="D30" t="s">
        <v>50</v>
      </c>
      <c r="E30">
        <v>794</v>
      </c>
    </row>
    <row r="31" spans="1:5" x14ac:dyDescent="0.35">
      <c r="A31" s="13">
        <v>41275</v>
      </c>
      <c r="B31">
        <f>YEAR(Country_Masterlist__4[[#This Row],[Year1]])</f>
        <v>2013</v>
      </c>
      <c r="C31" t="s">
        <v>34</v>
      </c>
      <c r="D31" t="s">
        <v>51</v>
      </c>
      <c r="E31">
        <v>8</v>
      </c>
    </row>
    <row r="32" spans="1:5" x14ac:dyDescent="0.35">
      <c r="A32" s="13">
        <v>41275</v>
      </c>
      <c r="B32">
        <f>YEAR(Country_Masterlist__4[[#This Row],[Year1]])</f>
        <v>2013</v>
      </c>
      <c r="C32" t="s">
        <v>34</v>
      </c>
      <c r="D32" t="s">
        <v>52</v>
      </c>
      <c r="E32">
        <v>506</v>
      </c>
    </row>
    <row r="33" spans="1:5" x14ac:dyDescent="0.35">
      <c r="A33" s="13">
        <v>41275</v>
      </c>
      <c r="B33">
        <f>YEAR(Country_Masterlist__4[[#This Row],[Year1]])</f>
        <v>2013</v>
      </c>
      <c r="C33" t="s">
        <v>36</v>
      </c>
      <c r="D33" t="s">
        <v>53</v>
      </c>
      <c r="E33">
        <v>90</v>
      </c>
    </row>
    <row r="34" spans="1:5" x14ac:dyDescent="0.35">
      <c r="A34" s="13">
        <v>41275</v>
      </c>
      <c r="B34">
        <f>YEAR(Country_Masterlist__4[[#This Row],[Year1]])</f>
        <v>2013</v>
      </c>
      <c r="C34" t="s">
        <v>35</v>
      </c>
      <c r="D34" t="s">
        <v>54</v>
      </c>
      <c r="E34">
        <v>58</v>
      </c>
    </row>
    <row r="35" spans="1:5" x14ac:dyDescent="0.35">
      <c r="A35" s="13">
        <v>41275</v>
      </c>
      <c r="B35">
        <f>YEAR(Country_Masterlist__4[[#This Row],[Year1]])</f>
        <v>2013</v>
      </c>
      <c r="C35" t="s">
        <v>35</v>
      </c>
      <c r="D35" t="s">
        <v>55</v>
      </c>
      <c r="E35">
        <v>138</v>
      </c>
    </row>
    <row r="36" spans="1:5" x14ac:dyDescent="0.35">
      <c r="A36" s="13">
        <v>41275</v>
      </c>
      <c r="B36">
        <f>YEAR(Country_Masterlist__4[[#This Row],[Year1]])</f>
        <v>2013</v>
      </c>
      <c r="C36" t="s">
        <v>36</v>
      </c>
      <c r="D36" t="s">
        <v>56</v>
      </c>
      <c r="E36">
        <v>397</v>
      </c>
    </row>
    <row r="37" spans="1:5" x14ac:dyDescent="0.35">
      <c r="A37" s="13">
        <v>41275</v>
      </c>
      <c r="B37">
        <f>YEAR(Country_Masterlist__4[[#This Row],[Year1]])</f>
        <v>2013</v>
      </c>
      <c r="C37" t="s">
        <v>33</v>
      </c>
      <c r="D37" t="s">
        <v>57</v>
      </c>
      <c r="E37">
        <v>36</v>
      </c>
    </row>
    <row r="38" spans="1:5" x14ac:dyDescent="0.35">
      <c r="A38" s="13">
        <v>41275</v>
      </c>
      <c r="B38">
        <f>YEAR(Country_Masterlist__4[[#This Row],[Year1]])</f>
        <v>2013</v>
      </c>
      <c r="C38" t="s">
        <v>34</v>
      </c>
      <c r="D38" t="s">
        <v>58</v>
      </c>
      <c r="E38">
        <v>7</v>
      </c>
    </row>
    <row r="39" spans="1:5" x14ac:dyDescent="0.35">
      <c r="A39" s="13">
        <v>41275</v>
      </c>
      <c r="B39">
        <f>YEAR(Country_Masterlist__4[[#This Row],[Year1]])</f>
        <v>2013</v>
      </c>
      <c r="C39" t="s">
        <v>38</v>
      </c>
      <c r="D39" t="s">
        <v>59</v>
      </c>
      <c r="E39">
        <v>292</v>
      </c>
    </row>
    <row r="40" spans="1:5" x14ac:dyDescent="0.35">
      <c r="A40" s="13">
        <v>41275</v>
      </c>
      <c r="B40">
        <f>YEAR(Country_Masterlist__4[[#This Row],[Year1]])</f>
        <v>2013</v>
      </c>
      <c r="C40" t="s">
        <v>35</v>
      </c>
      <c r="D40" t="s">
        <v>60</v>
      </c>
      <c r="E40">
        <v>204</v>
      </c>
    </row>
    <row r="41" spans="1:5" x14ac:dyDescent="0.35">
      <c r="A41" s="13">
        <v>41275</v>
      </c>
      <c r="B41">
        <f>YEAR(Country_Masterlist__4[[#This Row],[Year1]])</f>
        <v>2013</v>
      </c>
      <c r="C41" t="s">
        <v>33</v>
      </c>
      <c r="D41" t="s">
        <v>61</v>
      </c>
      <c r="E41">
        <v>7</v>
      </c>
    </row>
    <row r="42" spans="1:5" x14ac:dyDescent="0.35">
      <c r="A42" s="13">
        <v>41275</v>
      </c>
      <c r="B42">
        <f>YEAR(Country_Masterlist__4[[#This Row],[Year1]])</f>
        <v>2013</v>
      </c>
      <c r="C42" t="s">
        <v>38</v>
      </c>
      <c r="D42" t="s">
        <v>21</v>
      </c>
      <c r="E42">
        <v>2416</v>
      </c>
    </row>
    <row r="43" spans="1:5" x14ac:dyDescent="0.35">
      <c r="A43" s="13">
        <v>41275</v>
      </c>
      <c r="B43">
        <f>YEAR(Country_Masterlist__4[[#This Row],[Year1]])</f>
        <v>2013</v>
      </c>
      <c r="C43" t="s">
        <v>35</v>
      </c>
      <c r="D43" t="s">
        <v>62</v>
      </c>
      <c r="E43">
        <v>113</v>
      </c>
    </row>
    <row r="44" spans="1:5" x14ac:dyDescent="0.35">
      <c r="A44" s="13">
        <v>41275</v>
      </c>
      <c r="B44">
        <f>YEAR(Country_Masterlist__4[[#This Row],[Year1]])</f>
        <v>2013</v>
      </c>
      <c r="C44" t="s">
        <v>33</v>
      </c>
      <c r="D44" t="s">
        <v>63</v>
      </c>
      <c r="E44">
        <v>41</v>
      </c>
    </row>
    <row r="45" spans="1:5" x14ac:dyDescent="0.35">
      <c r="A45" s="13">
        <v>41275</v>
      </c>
      <c r="B45">
        <f>YEAR(Country_Masterlist__4[[#This Row],[Year1]])</f>
        <v>2013</v>
      </c>
      <c r="C45" t="s">
        <v>34</v>
      </c>
      <c r="D45" t="s">
        <v>64</v>
      </c>
      <c r="E45">
        <v>61</v>
      </c>
    </row>
    <row r="46" spans="1:5" x14ac:dyDescent="0.35">
      <c r="A46" s="13">
        <v>41275</v>
      </c>
      <c r="B46">
        <f>YEAR(Country_Masterlist__4[[#This Row],[Year1]])</f>
        <v>2013</v>
      </c>
      <c r="C46" t="s">
        <v>33</v>
      </c>
      <c r="D46" t="s">
        <v>65</v>
      </c>
      <c r="E46">
        <v>52</v>
      </c>
    </row>
    <row r="47" spans="1:5" x14ac:dyDescent="0.35">
      <c r="A47" s="13">
        <v>41275</v>
      </c>
      <c r="B47">
        <f>YEAR(Country_Masterlist__4[[#This Row],[Year1]])</f>
        <v>2013</v>
      </c>
      <c r="C47" t="s">
        <v>33</v>
      </c>
      <c r="D47" t="s">
        <v>66</v>
      </c>
      <c r="E47">
        <v>82</v>
      </c>
    </row>
    <row r="48" spans="1:5" x14ac:dyDescent="0.35">
      <c r="A48" s="13">
        <v>41275</v>
      </c>
      <c r="B48">
        <f>YEAR(Country_Masterlist__4[[#This Row],[Year1]])</f>
        <v>2013</v>
      </c>
      <c r="C48" t="s">
        <v>34</v>
      </c>
      <c r="D48" t="s">
        <v>67</v>
      </c>
      <c r="E48">
        <v>225</v>
      </c>
    </row>
    <row r="49" spans="1:5" x14ac:dyDescent="0.35">
      <c r="A49" s="13">
        <v>41275</v>
      </c>
      <c r="B49">
        <f>YEAR(Country_Masterlist__4[[#This Row],[Year1]])</f>
        <v>2013</v>
      </c>
      <c r="C49" t="s">
        <v>33</v>
      </c>
      <c r="D49" t="s">
        <v>68</v>
      </c>
      <c r="E49">
        <v>434</v>
      </c>
    </row>
    <row r="50" spans="1:5" x14ac:dyDescent="0.35">
      <c r="A50" s="13">
        <v>41275</v>
      </c>
      <c r="B50">
        <f>YEAR(Country_Masterlist__4[[#This Row],[Year1]])</f>
        <v>2013</v>
      </c>
      <c r="C50" t="s">
        <v>36</v>
      </c>
      <c r="D50" t="s">
        <v>69</v>
      </c>
      <c r="E50">
        <v>25236</v>
      </c>
    </row>
    <row r="51" spans="1:5" x14ac:dyDescent="0.35">
      <c r="A51" s="13">
        <v>41275</v>
      </c>
      <c r="B51">
        <f>YEAR(Country_Masterlist__4[[#This Row],[Year1]])</f>
        <v>2013</v>
      </c>
      <c r="C51" t="s">
        <v>33</v>
      </c>
      <c r="D51" t="s">
        <v>70</v>
      </c>
      <c r="E51">
        <v>18</v>
      </c>
    </row>
    <row r="52" spans="1:5" x14ac:dyDescent="0.35">
      <c r="A52" s="13">
        <v>41275</v>
      </c>
      <c r="B52">
        <f>YEAR(Country_Masterlist__4[[#This Row],[Year1]])</f>
        <v>2013</v>
      </c>
      <c r="C52" t="s">
        <v>33</v>
      </c>
      <c r="D52" t="s">
        <v>71</v>
      </c>
      <c r="E52">
        <v>17</v>
      </c>
    </row>
    <row r="53" spans="1:5" x14ac:dyDescent="0.35">
      <c r="A53" s="13">
        <v>41275</v>
      </c>
      <c r="B53">
        <f>YEAR(Country_Masterlist__4[[#This Row],[Year1]])</f>
        <v>2013</v>
      </c>
      <c r="C53" t="s">
        <v>38</v>
      </c>
      <c r="D53" t="s">
        <v>72</v>
      </c>
      <c r="E53">
        <v>217</v>
      </c>
    </row>
    <row r="54" spans="1:5" x14ac:dyDescent="0.35">
      <c r="A54" s="13">
        <v>41275</v>
      </c>
      <c r="B54">
        <f>YEAR(Country_Masterlist__4[[#This Row],[Year1]])</f>
        <v>2013</v>
      </c>
      <c r="C54" t="s">
        <v>34</v>
      </c>
      <c r="D54" t="s">
        <v>73</v>
      </c>
      <c r="E54">
        <v>4060</v>
      </c>
    </row>
    <row r="55" spans="1:5" x14ac:dyDescent="0.35">
      <c r="A55" s="13">
        <v>41275</v>
      </c>
      <c r="B55">
        <f>YEAR(Country_Masterlist__4[[#This Row],[Year1]])</f>
        <v>2013</v>
      </c>
      <c r="C55" t="s">
        <v>38</v>
      </c>
      <c r="D55" t="s">
        <v>20</v>
      </c>
      <c r="E55">
        <v>3007</v>
      </c>
    </row>
    <row r="56" spans="1:5" x14ac:dyDescent="0.35">
      <c r="A56" s="13">
        <v>41275</v>
      </c>
      <c r="B56">
        <f>YEAR(Country_Masterlist__4[[#This Row],[Year1]])</f>
        <v>2013</v>
      </c>
      <c r="C56" t="s">
        <v>33</v>
      </c>
      <c r="D56" t="s">
        <v>74</v>
      </c>
      <c r="E56">
        <v>87</v>
      </c>
    </row>
    <row r="57" spans="1:5" x14ac:dyDescent="0.35">
      <c r="A57" s="13">
        <v>41275</v>
      </c>
      <c r="B57">
        <f>YEAR(Country_Masterlist__4[[#This Row],[Year1]])</f>
        <v>2013</v>
      </c>
      <c r="C57" t="s">
        <v>33</v>
      </c>
      <c r="D57" t="s">
        <v>75</v>
      </c>
      <c r="E57">
        <v>63</v>
      </c>
    </row>
    <row r="58" spans="1:5" x14ac:dyDescent="0.35">
      <c r="A58" s="13">
        <v>41275</v>
      </c>
      <c r="B58">
        <f>YEAR(Country_Masterlist__4[[#This Row],[Year1]])</f>
        <v>2013</v>
      </c>
      <c r="C58" t="s">
        <v>36</v>
      </c>
      <c r="D58" t="s">
        <v>76</v>
      </c>
      <c r="E58">
        <v>585</v>
      </c>
    </row>
    <row r="59" spans="1:5" x14ac:dyDescent="0.35">
      <c r="A59" s="13">
        <v>41275</v>
      </c>
      <c r="B59">
        <f>YEAR(Country_Masterlist__4[[#This Row],[Year1]])</f>
        <v>2013</v>
      </c>
      <c r="C59" t="s">
        <v>33</v>
      </c>
      <c r="D59" t="s">
        <v>77</v>
      </c>
      <c r="E59">
        <v>113</v>
      </c>
    </row>
    <row r="60" spans="1:5" x14ac:dyDescent="0.35">
      <c r="A60" s="13">
        <v>41275</v>
      </c>
      <c r="B60">
        <f>YEAR(Country_Masterlist__4[[#This Row],[Year1]])</f>
        <v>2013</v>
      </c>
      <c r="C60" t="s">
        <v>35</v>
      </c>
      <c r="D60" t="s">
        <v>78</v>
      </c>
      <c r="E60">
        <v>63</v>
      </c>
    </row>
    <row r="61" spans="1:5" x14ac:dyDescent="0.35">
      <c r="A61" s="13">
        <v>41275</v>
      </c>
      <c r="B61">
        <f>YEAR(Country_Masterlist__4[[#This Row],[Year1]])</f>
        <v>2013</v>
      </c>
      <c r="C61" t="s">
        <v>36</v>
      </c>
      <c r="D61" t="s">
        <v>79</v>
      </c>
      <c r="E61">
        <v>15432</v>
      </c>
    </row>
    <row r="62" spans="1:5" x14ac:dyDescent="0.35">
      <c r="A62" s="13">
        <v>41275</v>
      </c>
      <c r="B62">
        <f>YEAR(Country_Masterlist__4[[#This Row],[Year1]])</f>
        <v>2013</v>
      </c>
      <c r="C62" t="s">
        <v>34</v>
      </c>
      <c r="D62" t="s">
        <v>80</v>
      </c>
      <c r="E62">
        <v>10</v>
      </c>
    </row>
    <row r="63" spans="1:5" x14ac:dyDescent="0.35">
      <c r="A63" s="13">
        <v>41275</v>
      </c>
      <c r="B63">
        <f>YEAR(Country_Masterlist__4[[#This Row],[Year1]])</f>
        <v>2013</v>
      </c>
      <c r="C63" t="s">
        <v>35</v>
      </c>
      <c r="D63" t="s">
        <v>81</v>
      </c>
      <c r="E63">
        <v>220</v>
      </c>
    </row>
    <row r="64" spans="1:5" x14ac:dyDescent="0.35">
      <c r="A64" s="13">
        <v>41275</v>
      </c>
      <c r="B64">
        <f>YEAR(Country_Masterlist__4[[#This Row],[Year1]])</f>
        <v>2013</v>
      </c>
      <c r="C64" t="s">
        <v>35</v>
      </c>
      <c r="D64" t="s">
        <v>214</v>
      </c>
      <c r="E64">
        <v>15</v>
      </c>
    </row>
    <row r="65" spans="1:5" x14ac:dyDescent="0.35">
      <c r="A65" s="13">
        <v>41275</v>
      </c>
      <c r="B65">
        <f>YEAR(Country_Masterlist__4[[#This Row],[Year1]])</f>
        <v>2013</v>
      </c>
      <c r="C65" t="s">
        <v>35</v>
      </c>
      <c r="D65" t="s">
        <v>82</v>
      </c>
      <c r="E65">
        <v>66</v>
      </c>
    </row>
    <row r="66" spans="1:5" x14ac:dyDescent="0.35">
      <c r="A66" s="13">
        <v>41275</v>
      </c>
      <c r="B66">
        <f>YEAR(Country_Masterlist__4[[#This Row],[Year1]])</f>
        <v>2013</v>
      </c>
      <c r="C66" t="s">
        <v>33</v>
      </c>
      <c r="D66" t="s">
        <v>83</v>
      </c>
      <c r="E66" t="s">
        <v>205</v>
      </c>
    </row>
    <row r="67" spans="1:5" x14ac:dyDescent="0.35">
      <c r="A67" s="13">
        <v>41275</v>
      </c>
      <c r="B67">
        <f>YEAR(Country_Masterlist__4[[#This Row],[Year1]])</f>
        <v>2013</v>
      </c>
      <c r="C67" t="s">
        <v>36</v>
      </c>
      <c r="D67" t="s">
        <v>84</v>
      </c>
      <c r="E67">
        <v>71</v>
      </c>
    </row>
    <row r="68" spans="1:5" x14ac:dyDescent="0.35">
      <c r="A68" s="13">
        <v>41275</v>
      </c>
      <c r="B68">
        <f>YEAR(Country_Masterlist__4[[#This Row],[Year1]])</f>
        <v>2013</v>
      </c>
      <c r="C68" t="s">
        <v>36</v>
      </c>
      <c r="D68" t="s">
        <v>85</v>
      </c>
      <c r="E68">
        <v>5201</v>
      </c>
    </row>
    <row r="69" spans="1:5" x14ac:dyDescent="0.35">
      <c r="A69" s="13">
        <v>41275</v>
      </c>
      <c r="B69">
        <f>YEAR(Country_Masterlist__4[[#This Row],[Year1]])</f>
        <v>2013</v>
      </c>
      <c r="C69" t="s">
        <v>38</v>
      </c>
      <c r="D69" t="s">
        <v>86</v>
      </c>
      <c r="E69">
        <v>6032</v>
      </c>
    </row>
    <row r="70" spans="1:5" x14ac:dyDescent="0.35">
      <c r="A70" s="13">
        <v>41275</v>
      </c>
      <c r="B70">
        <f>YEAR(Country_Masterlist__4[[#This Row],[Year1]])</f>
        <v>2013</v>
      </c>
      <c r="C70" t="s">
        <v>33</v>
      </c>
      <c r="D70" t="s">
        <v>87</v>
      </c>
      <c r="E70">
        <v>432</v>
      </c>
    </row>
    <row r="71" spans="1:5" x14ac:dyDescent="0.35">
      <c r="A71" s="13">
        <v>41275</v>
      </c>
      <c r="B71">
        <f>YEAR(Country_Masterlist__4[[#This Row],[Year1]])</f>
        <v>2013</v>
      </c>
      <c r="C71" t="s">
        <v>36</v>
      </c>
      <c r="D71" t="s">
        <v>16</v>
      </c>
      <c r="E71">
        <v>52389</v>
      </c>
    </row>
    <row r="72" spans="1:5" x14ac:dyDescent="0.35">
      <c r="A72" s="13">
        <v>41275</v>
      </c>
      <c r="B72">
        <f>YEAR(Country_Masterlist__4[[#This Row],[Year1]])</f>
        <v>2013</v>
      </c>
      <c r="C72" t="s">
        <v>33</v>
      </c>
      <c r="D72" t="s">
        <v>88</v>
      </c>
      <c r="E72">
        <v>4</v>
      </c>
    </row>
    <row r="73" spans="1:5" x14ac:dyDescent="0.35">
      <c r="A73" s="13">
        <v>41275</v>
      </c>
      <c r="B73">
        <f>YEAR(Country_Masterlist__4[[#This Row],[Year1]])</f>
        <v>2013</v>
      </c>
      <c r="C73" t="s">
        <v>33</v>
      </c>
      <c r="D73" t="s">
        <v>89</v>
      </c>
      <c r="E73">
        <v>180</v>
      </c>
    </row>
    <row r="74" spans="1:5" x14ac:dyDescent="0.35">
      <c r="A74" s="13">
        <v>41275</v>
      </c>
      <c r="B74">
        <f>YEAR(Country_Masterlist__4[[#This Row],[Year1]])</f>
        <v>2013</v>
      </c>
      <c r="C74" t="s">
        <v>35</v>
      </c>
      <c r="D74" t="s">
        <v>90</v>
      </c>
      <c r="E74">
        <v>56</v>
      </c>
    </row>
    <row r="75" spans="1:5" x14ac:dyDescent="0.35">
      <c r="A75" s="13">
        <v>41275</v>
      </c>
      <c r="B75">
        <f>YEAR(Country_Masterlist__4[[#This Row],[Year1]])</f>
        <v>2013</v>
      </c>
      <c r="C75" t="s">
        <v>33</v>
      </c>
      <c r="D75" t="s">
        <v>91</v>
      </c>
      <c r="E75">
        <v>386</v>
      </c>
    </row>
    <row r="76" spans="1:5" x14ac:dyDescent="0.35">
      <c r="A76" s="13">
        <v>41275</v>
      </c>
      <c r="B76">
        <f>YEAR(Country_Masterlist__4[[#This Row],[Year1]])</f>
        <v>2013</v>
      </c>
      <c r="C76" t="s">
        <v>37</v>
      </c>
      <c r="D76" t="s">
        <v>92</v>
      </c>
      <c r="E76">
        <v>117</v>
      </c>
    </row>
    <row r="77" spans="1:5" x14ac:dyDescent="0.35">
      <c r="A77" s="13">
        <v>41275</v>
      </c>
      <c r="B77">
        <f>YEAR(Country_Masterlist__4[[#This Row],[Year1]])</f>
        <v>2013</v>
      </c>
      <c r="C77" t="s">
        <v>35</v>
      </c>
      <c r="D77" t="s">
        <v>93</v>
      </c>
      <c r="E77">
        <v>43</v>
      </c>
    </row>
    <row r="78" spans="1:5" x14ac:dyDescent="0.35">
      <c r="A78" s="13">
        <v>41275</v>
      </c>
      <c r="B78">
        <f>YEAR(Country_Masterlist__4[[#This Row],[Year1]])</f>
        <v>2013</v>
      </c>
      <c r="C78" t="s">
        <v>35</v>
      </c>
      <c r="D78" t="s">
        <v>94</v>
      </c>
      <c r="E78">
        <v>788</v>
      </c>
    </row>
    <row r="79" spans="1:5" x14ac:dyDescent="0.35">
      <c r="A79" s="13">
        <v>41275</v>
      </c>
      <c r="B79">
        <f>YEAR(Country_Masterlist__4[[#This Row],[Year1]])</f>
        <v>2013</v>
      </c>
      <c r="C79" t="s">
        <v>33</v>
      </c>
      <c r="D79" t="s">
        <v>95</v>
      </c>
      <c r="E79">
        <v>18</v>
      </c>
    </row>
    <row r="80" spans="1:5" x14ac:dyDescent="0.35">
      <c r="A80" s="13">
        <v>41275</v>
      </c>
      <c r="B80">
        <f>YEAR(Country_Masterlist__4[[#This Row],[Year1]])</f>
        <v>2013</v>
      </c>
      <c r="C80" t="s">
        <v>33</v>
      </c>
      <c r="D80" t="s">
        <v>96</v>
      </c>
      <c r="E80">
        <v>132</v>
      </c>
    </row>
    <row r="81" spans="1:5" x14ac:dyDescent="0.35">
      <c r="A81" s="13">
        <v>41275</v>
      </c>
      <c r="B81">
        <f>YEAR(Country_Masterlist__4[[#This Row],[Year1]])</f>
        <v>2013</v>
      </c>
      <c r="C81" t="s">
        <v>34</v>
      </c>
      <c r="D81" t="s">
        <v>8</v>
      </c>
      <c r="E81">
        <v>79</v>
      </c>
    </row>
    <row r="82" spans="1:5" x14ac:dyDescent="0.35">
      <c r="A82" s="13">
        <v>41275</v>
      </c>
      <c r="B82">
        <f>YEAR(Country_Masterlist__4[[#This Row],[Year1]])</f>
        <v>2013</v>
      </c>
      <c r="C82" t="s">
        <v>35</v>
      </c>
      <c r="D82" t="s">
        <v>97</v>
      </c>
      <c r="E82">
        <v>733</v>
      </c>
    </row>
    <row r="83" spans="1:5" x14ac:dyDescent="0.35">
      <c r="A83" s="13">
        <v>41275</v>
      </c>
      <c r="B83">
        <f>YEAR(Country_Masterlist__4[[#This Row],[Year1]])</f>
        <v>2013</v>
      </c>
      <c r="C83" t="s">
        <v>33</v>
      </c>
      <c r="D83" t="s">
        <v>98</v>
      </c>
      <c r="E83">
        <v>578</v>
      </c>
    </row>
    <row r="84" spans="1:5" x14ac:dyDescent="0.35">
      <c r="A84" s="13">
        <v>41275</v>
      </c>
      <c r="B84">
        <f>YEAR(Country_Masterlist__4[[#This Row],[Year1]])</f>
        <v>2013</v>
      </c>
      <c r="C84" t="s">
        <v>35</v>
      </c>
      <c r="D84" t="s">
        <v>99</v>
      </c>
      <c r="E84">
        <v>168</v>
      </c>
    </row>
    <row r="85" spans="1:5" x14ac:dyDescent="0.35">
      <c r="A85" s="13">
        <v>41275</v>
      </c>
      <c r="B85">
        <f>YEAR(Country_Masterlist__4[[#This Row],[Year1]])</f>
        <v>2013</v>
      </c>
      <c r="C85" t="s">
        <v>36</v>
      </c>
      <c r="D85" t="s">
        <v>100</v>
      </c>
      <c r="E85">
        <v>66</v>
      </c>
    </row>
    <row r="86" spans="1:5" x14ac:dyDescent="0.35">
      <c r="A86" s="13">
        <v>41275</v>
      </c>
      <c r="B86">
        <f>YEAR(Country_Masterlist__4[[#This Row],[Year1]])</f>
        <v>2013</v>
      </c>
      <c r="C86" t="s">
        <v>36</v>
      </c>
      <c r="D86" t="s">
        <v>15</v>
      </c>
      <c r="E86">
        <v>75041</v>
      </c>
    </row>
    <row r="87" spans="1:5" x14ac:dyDescent="0.35">
      <c r="A87" s="13">
        <v>41275</v>
      </c>
      <c r="B87">
        <f>YEAR(Country_Masterlist__4[[#This Row],[Year1]])</f>
        <v>2013</v>
      </c>
      <c r="C87" t="s">
        <v>33</v>
      </c>
      <c r="D87" t="s">
        <v>101</v>
      </c>
      <c r="E87">
        <v>144</v>
      </c>
    </row>
    <row r="88" spans="1:5" x14ac:dyDescent="0.35">
      <c r="A88" s="13">
        <v>41275</v>
      </c>
      <c r="B88">
        <f>YEAR(Country_Masterlist__4[[#This Row],[Year1]])</f>
        <v>2013</v>
      </c>
      <c r="C88" t="s">
        <v>33</v>
      </c>
      <c r="D88" t="s">
        <v>102</v>
      </c>
      <c r="E88" t="s">
        <v>205</v>
      </c>
    </row>
    <row r="89" spans="1:5" x14ac:dyDescent="0.35">
      <c r="A89" s="13">
        <v>41275</v>
      </c>
      <c r="B89">
        <f>YEAR(Country_Masterlist__4[[#This Row],[Year1]])</f>
        <v>2013</v>
      </c>
      <c r="C89" t="s">
        <v>38</v>
      </c>
      <c r="D89" t="s">
        <v>103</v>
      </c>
      <c r="E89">
        <v>406</v>
      </c>
    </row>
    <row r="90" spans="1:5" x14ac:dyDescent="0.35">
      <c r="A90" s="13">
        <v>41275</v>
      </c>
      <c r="B90">
        <f>YEAR(Country_Masterlist__4[[#This Row],[Year1]])</f>
        <v>2013</v>
      </c>
      <c r="C90" t="s">
        <v>36</v>
      </c>
      <c r="D90" t="s">
        <v>104</v>
      </c>
      <c r="E90">
        <v>3435</v>
      </c>
    </row>
    <row r="91" spans="1:5" x14ac:dyDescent="0.35">
      <c r="A91" s="13">
        <v>41275</v>
      </c>
      <c r="B91">
        <f>YEAR(Country_Masterlist__4[[#This Row],[Year1]])</f>
        <v>2013</v>
      </c>
      <c r="C91" t="s">
        <v>36</v>
      </c>
      <c r="D91" t="s">
        <v>17</v>
      </c>
      <c r="E91">
        <v>65965</v>
      </c>
    </row>
    <row r="92" spans="1:5" x14ac:dyDescent="0.35">
      <c r="A92" s="13">
        <v>41275</v>
      </c>
      <c r="B92">
        <f>YEAR(Country_Masterlist__4[[#This Row],[Year1]])</f>
        <v>2013</v>
      </c>
      <c r="C92" t="s">
        <v>35</v>
      </c>
      <c r="D92" t="s">
        <v>105</v>
      </c>
      <c r="E92">
        <v>307</v>
      </c>
    </row>
    <row r="93" spans="1:5" x14ac:dyDescent="0.35">
      <c r="A93" s="13">
        <v>41275</v>
      </c>
      <c r="B93">
        <f>YEAR(Country_Masterlist__4[[#This Row],[Year1]])</f>
        <v>2013</v>
      </c>
      <c r="C93" t="s">
        <v>35</v>
      </c>
      <c r="D93" t="s">
        <v>106</v>
      </c>
      <c r="E93">
        <v>17</v>
      </c>
    </row>
    <row r="94" spans="1:5" x14ac:dyDescent="0.35">
      <c r="A94" s="13">
        <v>41275</v>
      </c>
      <c r="B94">
        <f>YEAR(Country_Masterlist__4[[#This Row],[Year1]])</f>
        <v>2013</v>
      </c>
      <c r="C94" t="s">
        <v>34</v>
      </c>
      <c r="D94" t="s">
        <v>22</v>
      </c>
      <c r="E94">
        <v>5557</v>
      </c>
    </row>
    <row r="95" spans="1:5" x14ac:dyDescent="0.35">
      <c r="A95" s="13">
        <v>41275</v>
      </c>
      <c r="B95">
        <f>YEAR(Country_Masterlist__4[[#This Row],[Year1]])</f>
        <v>2013</v>
      </c>
      <c r="C95" t="s">
        <v>34</v>
      </c>
      <c r="D95" t="s">
        <v>107</v>
      </c>
      <c r="E95">
        <v>225</v>
      </c>
    </row>
    <row r="96" spans="1:5" x14ac:dyDescent="0.35">
      <c r="A96" s="13">
        <v>41275</v>
      </c>
      <c r="B96">
        <f>YEAR(Country_Masterlist__4[[#This Row],[Year1]])</f>
        <v>2013</v>
      </c>
      <c r="C96" t="s">
        <v>34</v>
      </c>
      <c r="D96" t="s">
        <v>108</v>
      </c>
      <c r="E96">
        <v>731</v>
      </c>
    </row>
    <row r="97" spans="1:5" x14ac:dyDescent="0.35">
      <c r="A97" s="13">
        <v>41275</v>
      </c>
      <c r="B97">
        <f>YEAR(Country_Masterlist__4[[#This Row],[Year1]])</f>
        <v>2013</v>
      </c>
      <c r="C97" t="s">
        <v>34</v>
      </c>
      <c r="D97" t="s">
        <v>109</v>
      </c>
      <c r="E97">
        <v>418</v>
      </c>
    </row>
    <row r="98" spans="1:5" x14ac:dyDescent="0.35">
      <c r="A98" s="13">
        <v>41275</v>
      </c>
      <c r="B98">
        <f>YEAR(Country_Masterlist__4[[#This Row],[Year1]])</f>
        <v>2013</v>
      </c>
      <c r="C98" t="s">
        <v>35</v>
      </c>
      <c r="D98" t="s">
        <v>110</v>
      </c>
      <c r="E98">
        <v>294</v>
      </c>
    </row>
    <row r="99" spans="1:5" x14ac:dyDescent="0.35">
      <c r="A99" s="13">
        <v>41275</v>
      </c>
      <c r="B99">
        <f>YEAR(Country_Masterlist__4[[#This Row],[Year1]])</f>
        <v>2013</v>
      </c>
      <c r="C99" t="s">
        <v>34</v>
      </c>
      <c r="D99" t="s">
        <v>111</v>
      </c>
      <c r="E99">
        <v>561</v>
      </c>
    </row>
    <row r="100" spans="1:5" x14ac:dyDescent="0.35">
      <c r="A100" s="13">
        <v>41275</v>
      </c>
      <c r="B100">
        <f>YEAR(Country_Masterlist__4[[#This Row],[Year1]])</f>
        <v>2013</v>
      </c>
      <c r="C100" t="s">
        <v>35</v>
      </c>
      <c r="D100" t="s">
        <v>112</v>
      </c>
      <c r="E100">
        <v>840</v>
      </c>
    </row>
    <row r="101" spans="1:5" x14ac:dyDescent="0.35">
      <c r="A101" s="13">
        <v>41275</v>
      </c>
      <c r="B101">
        <f>YEAR(Country_Masterlist__4[[#This Row],[Year1]])</f>
        <v>2013</v>
      </c>
      <c r="C101" t="s">
        <v>36</v>
      </c>
      <c r="D101" t="s">
        <v>113</v>
      </c>
      <c r="E101">
        <v>2771</v>
      </c>
    </row>
    <row r="102" spans="1:5" x14ac:dyDescent="0.35">
      <c r="A102" s="13">
        <v>41275</v>
      </c>
      <c r="B102">
        <f>YEAR(Country_Masterlist__4[[#This Row],[Year1]])</f>
        <v>2013</v>
      </c>
      <c r="C102" t="s">
        <v>34</v>
      </c>
      <c r="D102" t="s">
        <v>114</v>
      </c>
      <c r="E102">
        <v>438</v>
      </c>
    </row>
    <row r="103" spans="1:5" x14ac:dyDescent="0.35">
      <c r="A103" s="13">
        <v>41275</v>
      </c>
      <c r="B103">
        <f>YEAR(Country_Masterlist__4[[#This Row],[Year1]])</f>
        <v>2013</v>
      </c>
      <c r="C103" t="s">
        <v>34</v>
      </c>
      <c r="D103" t="s">
        <v>115</v>
      </c>
      <c r="E103">
        <v>392</v>
      </c>
    </row>
    <row r="104" spans="1:5" x14ac:dyDescent="0.35">
      <c r="A104" s="13">
        <v>41275</v>
      </c>
      <c r="B104">
        <f>YEAR(Country_Masterlist__4[[#This Row],[Year1]])</f>
        <v>2013</v>
      </c>
      <c r="C104" t="s">
        <v>34</v>
      </c>
      <c r="D104" t="s">
        <v>116</v>
      </c>
      <c r="E104">
        <v>96</v>
      </c>
    </row>
    <row r="105" spans="1:5" x14ac:dyDescent="0.35">
      <c r="A105" s="13">
        <v>41275</v>
      </c>
      <c r="B105">
        <f>YEAR(Country_Masterlist__4[[#This Row],[Year1]])</f>
        <v>2013</v>
      </c>
      <c r="C105" t="s">
        <v>33</v>
      </c>
      <c r="D105" t="s">
        <v>117</v>
      </c>
      <c r="E105">
        <v>422</v>
      </c>
    </row>
    <row r="106" spans="1:5" x14ac:dyDescent="0.35">
      <c r="A106" s="13">
        <v>41275</v>
      </c>
      <c r="B106">
        <f>YEAR(Country_Masterlist__4[[#This Row],[Year1]])</f>
        <v>2013</v>
      </c>
      <c r="C106" t="s">
        <v>34</v>
      </c>
      <c r="D106" t="s">
        <v>118</v>
      </c>
      <c r="E106">
        <v>1562</v>
      </c>
    </row>
    <row r="107" spans="1:5" x14ac:dyDescent="0.35">
      <c r="A107" s="13">
        <v>41275</v>
      </c>
      <c r="B107">
        <f>YEAR(Country_Masterlist__4[[#This Row],[Year1]])</f>
        <v>2013</v>
      </c>
      <c r="C107" t="s">
        <v>35</v>
      </c>
      <c r="D107" t="s">
        <v>119</v>
      </c>
      <c r="E107">
        <v>48</v>
      </c>
    </row>
    <row r="108" spans="1:5" x14ac:dyDescent="0.35">
      <c r="A108" s="13">
        <v>41275</v>
      </c>
      <c r="B108">
        <f>YEAR(Country_Masterlist__4[[#This Row],[Year1]])</f>
        <v>2013</v>
      </c>
      <c r="C108" t="s">
        <v>34</v>
      </c>
      <c r="D108" t="s">
        <v>120</v>
      </c>
      <c r="E108">
        <v>76</v>
      </c>
    </row>
    <row r="109" spans="1:5" x14ac:dyDescent="0.35">
      <c r="A109" s="13">
        <v>41275</v>
      </c>
      <c r="B109">
        <f>YEAR(Country_Masterlist__4[[#This Row],[Year1]])</f>
        <v>2013</v>
      </c>
      <c r="C109" t="s">
        <v>34</v>
      </c>
      <c r="D109" t="s">
        <v>121</v>
      </c>
      <c r="E109">
        <v>95</v>
      </c>
    </row>
    <row r="110" spans="1:5" x14ac:dyDescent="0.35">
      <c r="A110" s="13">
        <v>41275</v>
      </c>
      <c r="B110">
        <f>YEAR(Country_Masterlist__4[[#This Row],[Year1]])</f>
        <v>2013</v>
      </c>
      <c r="C110" t="s">
        <v>34</v>
      </c>
      <c r="D110" t="s">
        <v>122</v>
      </c>
      <c r="E110">
        <v>577</v>
      </c>
    </row>
    <row r="111" spans="1:5" x14ac:dyDescent="0.35">
      <c r="A111" s="13">
        <v>41275</v>
      </c>
      <c r="B111">
        <f>YEAR(Country_Masterlist__4[[#This Row],[Year1]])</f>
        <v>2013</v>
      </c>
      <c r="C111" t="s">
        <v>35</v>
      </c>
      <c r="D111" t="s">
        <v>123</v>
      </c>
      <c r="E111">
        <v>118</v>
      </c>
    </row>
    <row r="112" spans="1:5" x14ac:dyDescent="0.35">
      <c r="A112" s="13">
        <v>41275</v>
      </c>
      <c r="B112">
        <f>YEAR(Country_Masterlist__4[[#This Row],[Year1]])</f>
        <v>2013</v>
      </c>
      <c r="C112" t="s">
        <v>34</v>
      </c>
      <c r="D112" t="s">
        <v>124</v>
      </c>
      <c r="E112">
        <v>268</v>
      </c>
    </row>
    <row r="113" spans="1:5" x14ac:dyDescent="0.35">
      <c r="A113" s="13">
        <v>41275</v>
      </c>
      <c r="B113">
        <f>YEAR(Country_Masterlist__4[[#This Row],[Year1]])</f>
        <v>2013</v>
      </c>
      <c r="C113" t="s">
        <v>33</v>
      </c>
      <c r="D113" t="s">
        <v>125</v>
      </c>
      <c r="E113">
        <v>259</v>
      </c>
    </row>
    <row r="114" spans="1:5" x14ac:dyDescent="0.35">
      <c r="A114" s="13">
        <v>41275</v>
      </c>
      <c r="B114">
        <f>YEAR(Country_Masterlist__4[[#This Row],[Year1]])</f>
        <v>2013</v>
      </c>
      <c r="C114" t="s">
        <v>33</v>
      </c>
      <c r="D114" t="s">
        <v>126</v>
      </c>
      <c r="E114">
        <v>32</v>
      </c>
    </row>
    <row r="115" spans="1:5" x14ac:dyDescent="0.35">
      <c r="A115" s="13">
        <v>41275</v>
      </c>
      <c r="B115">
        <f>YEAR(Country_Masterlist__4[[#This Row],[Year1]])</f>
        <v>2013</v>
      </c>
      <c r="C115" t="s">
        <v>35</v>
      </c>
      <c r="D115" t="s">
        <v>127</v>
      </c>
      <c r="E115">
        <v>131</v>
      </c>
    </row>
    <row r="116" spans="1:5" x14ac:dyDescent="0.35">
      <c r="A116" s="13">
        <v>41275</v>
      </c>
      <c r="B116">
        <f>YEAR(Country_Masterlist__4[[#This Row],[Year1]])</f>
        <v>2013</v>
      </c>
      <c r="C116" t="s">
        <v>35</v>
      </c>
      <c r="D116" t="s">
        <v>128</v>
      </c>
    </row>
    <row r="117" spans="1:5" x14ac:dyDescent="0.35">
      <c r="A117" s="13">
        <v>41275</v>
      </c>
      <c r="B117">
        <f>YEAR(Country_Masterlist__4[[#This Row],[Year1]])</f>
        <v>2013</v>
      </c>
      <c r="C117" t="s">
        <v>33</v>
      </c>
      <c r="D117" t="s">
        <v>129</v>
      </c>
      <c r="E117">
        <v>4</v>
      </c>
    </row>
    <row r="118" spans="1:5" x14ac:dyDescent="0.35">
      <c r="A118" s="13">
        <v>41275</v>
      </c>
      <c r="B118">
        <f>YEAR(Country_Masterlist__4[[#This Row],[Year1]])</f>
        <v>2013</v>
      </c>
      <c r="C118" t="s">
        <v>33</v>
      </c>
      <c r="D118" t="s">
        <v>130</v>
      </c>
      <c r="E118">
        <v>12</v>
      </c>
    </row>
    <row r="119" spans="1:5" x14ac:dyDescent="0.35">
      <c r="A119" s="13">
        <v>41275</v>
      </c>
      <c r="B119">
        <f>YEAR(Country_Masterlist__4[[#This Row],[Year1]])</f>
        <v>2013</v>
      </c>
      <c r="C119" t="s">
        <v>34</v>
      </c>
      <c r="D119" t="s">
        <v>131</v>
      </c>
      <c r="E119">
        <v>86</v>
      </c>
    </row>
    <row r="120" spans="1:5" x14ac:dyDescent="0.35">
      <c r="A120" s="13">
        <v>41275</v>
      </c>
      <c r="B120">
        <f>YEAR(Country_Masterlist__4[[#This Row],[Year1]])</f>
        <v>2013</v>
      </c>
      <c r="C120" t="s">
        <v>33</v>
      </c>
      <c r="D120" t="s">
        <v>132</v>
      </c>
      <c r="E120">
        <v>105</v>
      </c>
    </row>
    <row r="121" spans="1:5" x14ac:dyDescent="0.35">
      <c r="A121" s="13">
        <v>41275</v>
      </c>
      <c r="B121">
        <f>YEAR(Country_Masterlist__4[[#This Row],[Year1]])</f>
        <v>2013</v>
      </c>
      <c r="C121" t="s">
        <v>35</v>
      </c>
      <c r="D121" t="s">
        <v>133</v>
      </c>
      <c r="E121">
        <v>13</v>
      </c>
    </row>
    <row r="122" spans="1:5" x14ac:dyDescent="0.35">
      <c r="A122" s="13">
        <v>41275</v>
      </c>
      <c r="B122">
        <f>YEAR(Country_Masterlist__4[[#This Row],[Year1]])</f>
        <v>2013</v>
      </c>
      <c r="C122" t="s">
        <v>37</v>
      </c>
      <c r="D122" t="s">
        <v>134</v>
      </c>
      <c r="E122">
        <v>39</v>
      </c>
    </row>
    <row r="123" spans="1:5" x14ac:dyDescent="0.35">
      <c r="A123" s="13">
        <v>41275</v>
      </c>
      <c r="B123">
        <f>YEAR(Country_Masterlist__4[[#This Row],[Year1]])</f>
        <v>2013</v>
      </c>
      <c r="C123" t="s">
        <v>33</v>
      </c>
      <c r="D123" t="s">
        <v>135</v>
      </c>
      <c r="E123">
        <v>70</v>
      </c>
    </row>
    <row r="124" spans="1:5" x14ac:dyDescent="0.35">
      <c r="A124" s="13">
        <v>41275</v>
      </c>
      <c r="B124">
        <f>YEAR(Country_Masterlist__4[[#This Row],[Year1]])</f>
        <v>2013</v>
      </c>
      <c r="C124" t="s">
        <v>33</v>
      </c>
      <c r="D124" t="s">
        <v>136</v>
      </c>
      <c r="E124">
        <v>18</v>
      </c>
    </row>
    <row r="125" spans="1:5" x14ac:dyDescent="0.35">
      <c r="A125" s="13">
        <v>41275</v>
      </c>
      <c r="B125">
        <f>YEAR(Country_Masterlist__4[[#This Row],[Year1]])</f>
        <v>2013</v>
      </c>
      <c r="C125" t="s">
        <v>36</v>
      </c>
      <c r="D125" t="s">
        <v>14</v>
      </c>
      <c r="E125">
        <v>472720</v>
      </c>
    </row>
    <row r="126" spans="1:5" x14ac:dyDescent="0.35">
      <c r="A126" s="13">
        <v>41275</v>
      </c>
      <c r="B126">
        <f>YEAR(Country_Masterlist__4[[#This Row],[Year1]])</f>
        <v>2013</v>
      </c>
      <c r="C126" t="s">
        <v>37</v>
      </c>
      <c r="D126" t="s">
        <v>137</v>
      </c>
      <c r="E126">
        <v>123</v>
      </c>
    </row>
    <row r="127" spans="1:5" x14ac:dyDescent="0.35">
      <c r="A127" s="13">
        <v>41275</v>
      </c>
      <c r="B127">
        <f>YEAR(Country_Masterlist__4[[#This Row],[Year1]])</f>
        <v>2013</v>
      </c>
      <c r="C127" t="s">
        <v>35</v>
      </c>
      <c r="D127" t="s">
        <v>138</v>
      </c>
      <c r="E127">
        <v>137</v>
      </c>
    </row>
    <row r="128" spans="1:5" x14ac:dyDescent="0.35">
      <c r="A128" s="13">
        <v>41275</v>
      </c>
      <c r="B128">
        <f>YEAR(Country_Masterlist__4[[#This Row],[Year1]])</f>
        <v>2013</v>
      </c>
      <c r="C128" t="s">
        <v>34</v>
      </c>
      <c r="D128" t="s">
        <v>139</v>
      </c>
      <c r="E128">
        <v>106</v>
      </c>
    </row>
    <row r="129" spans="1:5" x14ac:dyDescent="0.35">
      <c r="A129" s="13">
        <v>41275</v>
      </c>
      <c r="B129">
        <f>YEAR(Country_Masterlist__4[[#This Row],[Year1]])</f>
        <v>2013</v>
      </c>
      <c r="C129" t="s">
        <v>35</v>
      </c>
      <c r="D129" t="s">
        <v>140</v>
      </c>
      <c r="E129">
        <v>19</v>
      </c>
    </row>
    <row r="130" spans="1:5" x14ac:dyDescent="0.35">
      <c r="A130" s="13">
        <v>41275</v>
      </c>
      <c r="B130">
        <f>YEAR(Country_Masterlist__4[[#This Row],[Year1]])</f>
        <v>2013</v>
      </c>
      <c r="C130" t="s">
        <v>33</v>
      </c>
      <c r="D130" t="s">
        <v>141</v>
      </c>
      <c r="E130">
        <v>263</v>
      </c>
    </row>
    <row r="131" spans="1:5" x14ac:dyDescent="0.35">
      <c r="A131" s="13">
        <v>41275</v>
      </c>
      <c r="B131">
        <f>YEAR(Country_Masterlist__4[[#This Row],[Year1]])</f>
        <v>2013</v>
      </c>
      <c r="C131" t="s">
        <v>33</v>
      </c>
      <c r="D131" t="s">
        <v>142</v>
      </c>
      <c r="E131">
        <v>5</v>
      </c>
    </row>
    <row r="132" spans="1:5" x14ac:dyDescent="0.35">
      <c r="A132" s="13">
        <v>41275</v>
      </c>
      <c r="B132">
        <f>YEAR(Country_Masterlist__4[[#This Row],[Year1]])</f>
        <v>2013</v>
      </c>
      <c r="C132" t="s">
        <v>33</v>
      </c>
      <c r="D132" t="s">
        <v>143</v>
      </c>
      <c r="E132">
        <v>3</v>
      </c>
    </row>
    <row r="133" spans="1:5" x14ac:dyDescent="0.35">
      <c r="A133" s="13">
        <v>41275</v>
      </c>
      <c r="B133">
        <f>YEAR(Country_Masterlist__4[[#This Row],[Year1]])</f>
        <v>2013</v>
      </c>
      <c r="C133" t="s">
        <v>34</v>
      </c>
      <c r="D133" t="s">
        <v>144</v>
      </c>
      <c r="E133">
        <v>505</v>
      </c>
    </row>
    <row r="134" spans="1:5" x14ac:dyDescent="0.35">
      <c r="A134" s="13">
        <v>41275</v>
      </c>
      <c r="B134">
        <f>YEAR(Country_Masterlist__4[[#This Row],[Year1]])</f>
        <v>2013</v>
      </c>
      <c r="C134" t="s">
        <v>35</v>
      </c>
      <c r="D134" t="s">
        <v>145</v>
      </c>
      <c r="E134">
        <v>376</v>
      </c>
    </row>
    <row r="135" spans="1:5" x14ac:dyDescent="0.35">
      <c r="A135" s="13">
        <v>41275</v>
      </c>
      <c r="B135">
        <f>YEAR(Country_Masterlist__4[[#This Row],[Year1]])</f>
        <v>2013</v>
      </c>
      <c r="C135" t="s">
        <v>37</v>
      </c>
      <c r="D135" t="s">
        <v>146</v>
      </c>
      <c r="E135">
        <v>137</v>
      </c>
    </row>
    <row r="136" spans="1:5" x14ac:dyDescent="0.35">
      <c r="A136" s="13">
        <v>41275</v>
      </c>
      <c r="B136">
        <f>YEAR(Country_Masterlist__4[[#This Row],[Year1]])</f>
        <v>2013</v>
      </c>
      <c r="C136" t="s">
        <v>36</v>
      </c>
      <c r="D136" t="s">
        <v>147</v>
      </c>
      <c r="E136">
        <v>2968</v>
      </c>
    </row>
    <row r="137" spans="1:5" x14ac:dyDescent="0.35">
      <c r="A137" s="13">
        <v>41275</v>
      </c>
      <c r="B137">
        <f>YEAR(Country_Masterlist__4[[#This Row],[Year1]])</f>
        <v>2013</v>
      </c>
      <c r="C137" t="s">
        <v>33</v>
      </c>
      <c r="D137" t="s">
        <v>148</v>
      </c>
      <c r="E137">
        <v>43</v>
      </c>
    </row>
    <row r="138" spans="1:5" x14ac:dyDescent="0.35">
      <c r="A138" s="13">
        <v>41275</v>
      </c>
      <c r="B138">
        <f>YEAR(Country_Masterlist__4[[#This Row],[Year1]])</f>
        <v>2013</v>
      </c>
      <c r="C138" t="s">
        <v>33</v>
      </c>
      <c r="D138" t="s">
        <v>149</v>
      </c>
      <c r="E138">
        <v>1311</v>
      </c>
    </row>
    <row r="139" spans="1:5" x14ac:dyDescent="0.35">
      <c r="A139" s="13">
        <v>41275</v>
      </c>
      <c r="B139">
        <f>YEAR(Country_Masterlist__4[[#This Row],[Year1]])</f>
        <v>2013</v>
      </c>
      <c r="C139" t="s">
        <v>35</v>
      </c>
      <c r="D139" t="s">
        <v>322</v>
      </c>
      <c r="E139">
        <v>53</v>
      </c>
    </row>
    <row r="140" spans="1:5" x14ac:dyDescent="0.35">
      <c r="A140" s="13">
        <v>41275</v>
      </c>
      <c r="B140">
        <f>YEAR(Country_Masterlist__4[[#This Row],[Year1]])</f>
        <v>2013</v>
      </c>
      <c r="C140" t="s">
        <v>35</v>
      </c>
      <c r="D140" t="s">
        <v>150</v>
      </c>
      <c r="E140">
        <v>71</v>
      </c>
    </row>
    <row r="141" spans="1:5" x14ac:dyDescent="0.35">
      <c r="A141" s="13">
        <v>41275</v>
      </c>
      <c r="B141">
        <f>YEAR(Country_Masterlist__4[[#This Row],[Year1]])</f>
        <v>2013</v>
      </c>
      <c r="C141" t="s">
        <v>34</v>
      </c>
      <c r="D141" t="s">
        <v>151</v>
      </c>
      <c r="E141">
        <v>4</v>
      </c>
    </row>
    <row r="142" spans="1:5" x14ac:dyDescent="0.35">
      <c r="A142" s="13">
        <v>41275</v>
      </c>
      <c r="B142">
        <f>YEAR(Country_Masterlist__4[[#This Row],[Year1]])</f>
        <v>2013</v>
      </c>
      <c r="C142" t="s">
        <v>34</v>
      </c>
      <c r="D142" t="s">
        <v>152</v>
      </c>
      <c r="E142">
        <v>647</v>
      </c>
    </row>
    <row r="143" spans="1:5" x14ac:dyDescent="0.35">
      <c r="A143" s="13">
        <v>41275</v>
      </c>
      <c r="B143">
        <f>YEAR(Country_Masterlist__4[[#This Row],[Year1]])</f>
        <v>2013</v>
      </c>
      <c r="C143" t="s">
        <v>37</v>
      </c>
      <c r="D143" t="s">
        <v>153</v>
      </c>
      <c r="E143">
        <v>26</v>
      </c>
    </row>
    <row r="144" spans="1:5" x14ac:dyDescent="0.35">
      <c r="A144" s="13">
        <v>41275</v>
      </c>
      <c r="B144">
        <f>YEAR(Country_Masterlist__4[[#This Row],[Year1]])</f>
        <v>2013</v>
      </c>
      <c r="C144" t="s">
        <v>36</v>
      </c>
      <c r="D144" t="s">
        <v>154</v>
      </c>
      <c r="E144">
        <v>311</v>
      </c>
    </row>
    <row r="145" spans="1:5" x14ac:dyDescent="0.35">
      <c r="A145" s="13">
        <v>41275</v>
      </c>
      <c r="B145">
        <f>YEAR(Country_Masterlist__4[[#This Row],[Year1]])</f>
        <v>2013</v>
      </c>
      <c r="C145" t="s">
        <v>38</v>
      </c>
      <c r="D145" t="s">
        <v>155</v>
      </c>
      <c r="E145">
        <v>55</v>
      </c>
    </row>
    <row r="146" spans="1:5" x14ac:dyDescent="0.35">
      <c r="A146" s="13">
        <v>41275</v>
      </c>
      <c r="B146">
        <f>YEAR(Country_Masterlist__4[[#This Row],[Year1]])</f>
        <v>2013</v>
      </c>
      <c r="C146" t="s">
        <v>38</v>
      </c>
      <c r="D146" t="s">
        <v>156</v>
      </c>
      <c r="E146">
        <v>2054</v>
      </c>
    </row>
    <row r="147" spans="1:5" x14ac:dyDescent="0.35">
      <c r="A147" s="13">
        <v>41275</v>
      </c>
      <c r="B147">
        <f>YEAR(Country_Masterlist__4[[#This Row],[Year1]])</f>
        <v>2013</v>
      </c>
      <c r="C147" t="s">
        <v>34</v>
      </c>
      <c r="D147" t="s">
        <v>18</v>
      </c>
      <c r="E147">
        <v>1571</v>
      </c>
    </row>
    <row r="148" spans="1:5" x14ac:dyDescent="0.35">
      <c r="A148" s="13">
        <v>41275</v>
      </c>
      <c r="B148">
        <f>YEAR(Country_Masterlist__4[[#This Row],[Year1]])</f>
        <v>2013</v>
      </c>
      <c r="C148" t="s">
        <v>35</v>
      </c>
      <c r="D148" t="s">
        <v>157</v>
      </c>
      <c r="E148">
        <v>633</v>
      </c>
    </row>
    <row r="149" spans="1:5" x14ac:dyDescent="0.35">
      <c r="A149" s="13">
        <v>41275</v>
      </c>
      <c r="B149">
        <f>YEAR(Country_Masterlist__4[[#This Row],[Year1]])</f>
        <v>2013</v>
      </c>
      <c r="C149" t="s">
        <v>35</v>
      </c>
      <c r="D149" t="s">
        <v>158</v>
      </c>
      <c r="E149">
        <v>463</v>
      </c>
    </row>
    <row r="150" spans="1:5" x14ac:dyDescent="0.35">
      <c r="A150" s="13">
        <v>41275</v>
      </c>
      <c r="B150">
        <f>YEAR(Country_Masterlist__4[[#This Row],[Year1]])</f>
        <v>2013</v>
      </c>
      <c r="C150" t="s">
        <v>34</v>
      </c>
      <c r="D150" t="s">
        <v>159</v>
      </c>
      <c r="E150">
        <v>22</v>
      </c>
    </row>
    <row r="151" spans="1:5" x14ac:dyDescent="0.35">
      <c r="A151" s="13">
        <v>41275</v>
      </c>
      <c r="B151">
        <f>YEAR(Country_Masterlist__4[[#This Row],[Year1]])</f>
        <v>2013</v>
      </c>
      <c r="C151" t="s">
        <v>35</v>
      </c>
      <c r="D151" t="s">
        <v>160</v>
      </c>
      <c r="E151">
        <v>1070</v>
      </c>
    </row>
    <row r="152" spans="1:5" x14ac:dyDescent="0.35">
      <c r="A152" s="13">
        <v>41275</v>
      </c>
      <c r="B152">
        <f>YEAR(Country_Masterlist__4[[#This Row],[Year1]])</f>
        <v>2013</v>
      </c>
      <c r="C152" t="s">
        <v>35</v>
      </c>
      <c r="D152" t="s">
        <v>161</v>
      </c>
      <c r="E152">
        <v>572</v>
      </c>
    </row>
    <row r="153" spans="1:5" x14ac:dyDescent="0.35">
      <c r="A153" s="13">
        <v>41275</v>
      </c>
      <c r="B153">
        <f>YEAR(Country_Masterlist__4[[#This Row],[Year1]])</f>
        <v>2013</v>
      </c>
      <c r="C153" t="s">
        <v>33</v>
      </c>
      <c r="D153" t="s">
        <v>162</v>
      </c>
      <c r="E153">
        <v>75</v>
      </c>
    </row>
    <row r="154" spans="1:5" x14ac:dyDescent="0.35">
      <c r="A154" s="13">
        <v>41275</v>
      </c>
      <c r="B154">
        <f>YEAR(Country_Masterlist__4[[#This Row],[Year1]])</f>
        <v>2013</v>
      </c>
      <c r="C154" t="s">
        <v>36</v>
      </c>
      <c r="D154" t="s">
        <v>163</v>
      </c>
      <c r="E154">
        <v>65</v>
      </c>
    </row>
    <row r="155" spans="1:5" x14ac:dyDescent="0.35">
      <c r="A155" s="13">
        <v>41275</v>
      </c>
      <c r="B155">
        <f>YEAR(Country_Masterlist__4[[#This Row],[Year1]])</f>
        <v>2013</v>
      </c>
      <c r="C155" t="s">
        <v>36</v>
      </c>
      <c r="D155" t="s">
        <v>164</v>
      </c>
      <c r="E155">
        <v>90</v>
      </c>
    </row>
    <row r="156" spans="1:5" x14ac:dyDescent="0.35">
      <c r="A156" s="13">
        <v>41275</v>
      </c>
      <c r="B156">
        <f>YEAR(Country_Masterlist__4[[#This Row],[Year1]])</f>
        <v>2013</v>
      </c>
      <c r="C156" t="s">
        <v>36</v>
      </c>
      <c r="D156" t="s">
        <v>165</v>
      </c>
      <c r="E156">
        <v>66</v>
      </c>
    </row>
    <row r="157" spans="1:5" x14ac:dyDescent="0.35">
      <c r="A157" s="13">
        <v>41275</v>
      </c>
      <c r="B157">
        <f>YEAR(Country_Masterlist__4[[#This Row],[Year1]])</f>
        <v>2013</v>
      </c>
      <c r="C157" t="s">
        <v>37</v>
      </c>
      <c r="D157" t="s">
        <v>166</v>
      </c>
      <c r="E157">
        <v>43</v>
      </c>
    </row>
    <row r="158" spans="1:5" x14ac:dyDescent="0.35">
      <c r="A158" s="13">
        <v>41275</v>
      </c>
      <c r="B158">
        <f>YEAR(Country_Masterlist__4[[#This Row],[Year1]])</f>
        <v>2013</v>
      </c>
      <c r="C158" t="s">
        <v>34</v>
      </c>
      <c r="D158" t="s">
        <v>167</v>
      </c>
      <c r="E158">
        <v>622</v>
      </c>
    </row>
    <row r="159" spans="1:5" x14ac:dyDescent="0.35">
      <c r="A159" s="13">
        <v>41275</v>
      </c>
      <c r="B159">
        <f>YEAR(Country_Masterlist__4[[#This Row],[Year1]])</f>
        <v>2013</v>
      </c>
      <c r="C159" t="s">
        <v>33</v>
      </c>
      <c r="D159" t="s">
        <v>168</v>
      </c>
      <c r="E159">
        <v>243</v>
      </c>
    </row>
    <row r="160" spans="1:5" x14ac:dyDescent="0.35">
      <c r="A160" s="13">
        <v>41275</v>
      </c>
      <c r="B160">
        <f>YEAR(Country_Masterlist__4[[#This Row],[Year1]])</f>
        <v>2013</v>
      </c>
      <c r="C160" t="s">
        <v>35</v>
      </c>
      <c r="D160" t="s">
        <v>169</v>
      </c>
      <c r="E160">
        <v>85</v>
      </c>
    </row>
    <row r="161" spans="1:5" x14ac:dyDescent="0.35">
      <c r="A161" s="13">
        <v>41275</v>
      </c>
      <c r="B161">
        <f>YEAR(Country_Masterlist__4[[#This Row],[Year1]])</f>
        <v>2013</v>
      </c>
      <c r="C161" t="s">
        <v>35</v>
      </c>
      <c r="D161" t="s">
        <v>215</v>
      </c>
      <c r="E161">
        <v>66</v>
      </c>
    </row>
    <row r="162" spans="1:5" x14ac:dyDescent="0.35">
      <c r="A162" s="13">
        <v>41275</v>
      </c>
      <c r="B162">
        <f>YEAR(Country_Masterlist__4[[#This Row],[Year1]])</f>
        <v>2013</v>
      </c>
      <c r="C162" t="s">
        <v>33</v>
      </c>
      <c r="D162" t="s">
        <v>170</v>
      </c>
      <c r="E162">
        <v>173</v>
      </c>
    </row>
    <row r="163" spans="1:5" x14ac:dyDescent="0.35">
      <c r="A163" s="13">
        <v>41275</v>
      </c>
      <c r="B163">
        <f>YEAR(Country_Masterlist__4[[#This Row],[Year1]])</f>
        <v>2013</v>
      </c>
      <c r="C163" t="s">
        <v>34</v>
      </c>
      <c r="D163" t="s">
        <v>171</v>
      </c>
      <c r="E163">
        <v>74</v>
      </c>
    </row>
    <row r="164" spans="1:5" x14ac:dyDescent="0.35">
      <c r="A164" s="13">
        <v>41275</v>
      </c>
      <c r="B164">
        <f>YEAR(Country_Masterlist__4[[#This Row],[Year1]])</f>
        <v>2013</v>
      </c>
      <c r="C164" t="s">
        <v>35</v>
      </c>
      <c r="D164" t="s">
        <v>172</v>
      </c>
      <c r="E164">
        <v>100</v>
      </c>
    </row>
    <row r="165" spans="1:5" x14ac:dyDescent="0.35">
      <c r="A165" s="13">
        <v>41275</v>
      </c>
      <c r="B165">
        <f>YEAR(Country_Masterlist__4[[#This Row],[Year1]])</f>
        <v>2013</v>
      </c>
      <c r="C165" t="s">
        <v>35</v>
      </c>
      <c r="D165" t="s">
        <v>173</v>
      </c>
      <c r="E165">
        <v>20</v>
      </c>
    </row>
    <row r="166" spans="1:5" x14ac:dyDescent="0.35">
      <c r="A166" s="13">
        <v>41275</v>
      </c>
      <c r="B166">
        <f>YEAR(Country_Masterlist__4[[#This Row],[Year1]])</f>
        <v>2013</v>
      </c>
      <c r="C166" t="s">
        <v>33</v>
      </c>
      <c r="D166" t="s">
        <v>174</v>
      </c>
      <c r="E166">
        <v>475</v>
      </c>
    </row>
    <row r="167" spans="1:5" x14ac:dyDescent="0.35">
      <c r="A167" s="13">
        <v>41275</v>
      </c>
      <c r="B167">
        <f>YEAR(Country_Masterlist__4[[#This Row],[Year1]])</f>
        <v>2013</v>
      </c>
      <c r="C167" t="s">
        <v>33</v>
      </c>
      <c r="D167" t="s">
        <v>175</v>
      </c>
      <c r="E167">
        <v>197</v>
      </c>
    </row>
    <row r="168" spans="1:5" x14ac:dyDescent="0.35">
      <c r="A168" s="13">
        <v>41275</v>
      </c>
      <c r="B168">
        <f>YEAR(Country_Masterlist__4[[#This Row],[Year1]])</f>
        <v>2013</v>
      </c>
      <c r="C168" t="s">
        <v>33</v>
      </c>
      <c r="D168" t="s">
        <v>176</v>
      </c>
      <c r="E168">
        <v>42</v>
      </c>
    </row>
    <row r="169" spans="1:5" x14ac:dyDescent="0.35">
      <c r="A169" s="13">
        <v>41275</v>
      </c>
      <c r="B169">
        <f>YEAR(Country_Masterlist__4[[#This Row],[Year1]])</f>
        <v>2013</v>
      </c>
      <c r="C169" t="s">
        <v>35</v>
      </c>
      <c r="D169" t="s">
        <v>216</v>
      </c>
      <c r="E169">
        <v>91</v>
      </c>
    </row>
    <row r="170" spans="1:5" x14ac:dyDescent="0.35">
      <c r="A170" s="13">
        <v>41275</v>
      </c>
      <c r="B170">
        <f>YEAR(Country_Masterlist__4[[#This Row],[Year1]])</f>
        <v>2013</v>
      </c>
      <c r="C170" t="s">
        <v>35</v>
      </c>
      <c r="D170" t="s">
        <v>177</v>
      </c>
      <c r="E170">
        <v>2140</v>
      </c>
    </row>
    <row r="171" spans="1:5" x14ac:dyDescent="0.35">
      <c r="A171" s="13">
        <v>41275</v>
      </c>
      <c r="B171">
        <f>YEAR(Country_Masterlist__4[[#This Row],[Year1]])</f>
        <v>2013</v>
      </c>
      <c r="C171" t="s">
        <v>34</v>
      </c>
      <c r="D171" t="s">
        <v>178</v>
      </c>
      <c r="E171">
        <v>227</v>
      </c>
    </row>
    <row r="172" spans="1:5" x14ac:dyDescent="0.35">
      <c r="A172" s="13">
        <v>41275</v>
      </c>
      <c r="B172">
        <f>YEAR(Country_Masterlist__4[[#This Row],[Year1]])</f>
        <v>2013</v>
      </c>
      <c r="C172" t="s">
        <v>33</v>
      </c>
      <c r="D172" t="s">
        <v>179</v>
      </c>
      <c r="E172">
        <v>206</v>
      </c>
    </row>
    <row r="173" spans="1:5" x14ac:dyDescent="0.35">
      <c r="A173" s="13">
        <v>41275</v>
      </c>
      <c r="B173">
        <f>YEAR(Country_Masterlist__4[[#This Row],[Year1]])</f>
        <v>2013</v>
      </c>
      <c r="C173" t="s">
        <v>38</v>
      </c>
      <c r="D173" t="s">
        <v>180</v>
      </c>
      <c r="E173">
        <v>18</v>
      </c>
    </row>
    <row r="174" spans="1:5" x14ac:dyDescent="0.35">
      <c r="A174" s="13">
        <v>41275</v>
      </c>
      <c r="B174">
        <f>YEAR(Country_Masterlist__4[[#This Row],[Year1]])</f>
        <v>2013</v>
      </c>
      <c r="C174" t="s">
        <v>33</v>
      </c>
      <c r="D174" t="s">
        <v>181</v>
      </c>
      <c r="E174">
        <v>3</v>
      </c>
    </row>
    <row r="175" spans="1:5" x14ac:dyDescent="0.35">
      <c r="A175" s="13">
        <v>41275</v>
      </c>
      <c r="B175">
        <f>YEAR(Country_Masterlist__4[[#This Row],[Year1]])</f>
        <v>2013</v>
      </c>
      <c r="C175" t="s">
        <v>35</v>
      </c>
      <c r="D175" t="s">
        <v>182</v>
      </c>
      <c r="E175">
        <v>207</v>
      </c>
    </row>
    <row r="176" spans="1:5" x14ac:dyDescent="0.35">
      <c r="A176" s="13">
        <v>41275</v>
      </c>
      <c r="B176">
        <f>YEAR(Country_Masterlist__4[[#This Row],[Year1]])</f>
        <v>2013</v>
      </c>
      <c r="C176" t="s">
        <v>35</v>
      </c>
      <c r="D176" t="s">
        <v>183</v>
      </c>
      <c r="E176">
        <v>108</v>
      </c>
    </row>
    <row r="177" spans="1:5" x14ac:dyDescent="0.35">
      <c r="A177" s="13">
        <v>41275</v>
      </c>
      <c r="B177">
        <f>YEAR(Country_Masterlist__4[[#This Row],[Year1]])</f>
        <v>2013</v>
      </c>
      <c r="C177" t="s">
        <v>34</v>
      </c>
      <c r="D177" t="s">
        <v>184</v>
      </c>
      <c r="E177">
        <v>476</v>
      </c>
    </row>
    <row r="178" spans="1:5" x14ac:dyDescent="0.35">
      <c r="A178" s="13">
        <v>41275</v>
      </c>
      <c r="B178">
        <f>YEAR(Country_Masterlist__4[[#This Row],[Year1]])</f>
        <v>2013</v>
      </c>
      <c r="C178" t="s">
        <v>34</v>
      </c>
      <c r="D178" t="s">
        <v>185</v>
      </c>
      <c r="E178">
        <v>470</v>
      </c>
    </row>
    <row r="179" spans="1:5" x14ac:dyDescent="0.35">
      <c r="A179" s="13">
        <v>41275</v>
      </c>
      <c r="B179">
        <f>YEAR(Country_Masterlist__4[[#This Row],[Year1]])</f>
        <v>2013</v>
      </c>
      <c r="C179" t="s">
        <v>34</v>
      </c>
      <c r="D179" t="s">
        <v>186</v>
      </c>
      <c r="E179">
        <v>36</v>
      </c>
    </row>
    <row r="180" spans="1:5" x14ac:dyDescent="0.35">
      <c r="A180" s="13">
        <v>41275</v>
      </c>
      <c r="B180">
        <f>YEAR(Country_Masterlist__4[[#This Row],[Year1]])</f>
        <v>2013</v>
      </c>
      <c r="C180" t="s">
        <v>33</v>
      </c>
      <c r="D180" t="s">
        <v>187</v>
      </c>
      <c r="E180">
        <v>104</v>
      </c>
    </row>
    <row r="181" spans="1:5" x14ac:dyDescent="0.35">
      <c r="A181" s="13">
        <v>41275</v>
      </c>
      <c r="B181">
        <f>YEAR(Country_Masterlist__4[[#This Row],[Year1]])</f>
        <v>2013</v>
      </c>
      <c r="C181" t="s">
        <v>34</v>
      </c>
      <c r="D181" t="s">
        <v>188</v>
      </c>
      <c r="E181">
        <v>381</v>
      </c>
    </row>
    <row r="182" spans="1:5" x14ac:dyDescent="0.35">
      <c r="A182" s="13">
        <v>41275</v>
      </c>
      <c r="B182">
        <f>YEAR(Country_Masterlist__4[[#This Row],[Year1]])</f>
        <v>2013</v>
      </c>
      <c r="C182" t="s">
        <v>33</v>
      </c>
      <c r="D182" t="s">
        <v>189</v>
      </c>
      <c r="E182">
        <v>42</v>
      </c>
    </row>
    <row r="183" spans="1:5" x14ac:dyDescent="0.35">
      <c r="A183" s="13">
        <v>41275</v>
      </c>
      <c r="B183">
        <f>YEAR(Country_Masterlist__4[[#This Row],[Year1]])</f>
        <v>2013</v>
      </c>
      <c r="C183" t="s">
        <v>37</v>
      </c>
      <c r="D183" t="s">
        <v>190</v>
      </c>
      <c r="E183">
        <v>59</v>
      </c>
    </row>
    <row r="184" spans="1:5" x14ac:dyDescent="0.35">
      <c r="A184" s="13">
        <v>41275</v>
      </c>
      <c r="B184">
        <f>YEAR(Country_Masterlist__4[[#This Row],[Year1]])</f>
        <v>2013</v>
      </c>
      <c r="C184" t="s">
        <v>36</v>
      </c>
      <c r="D184" t="s">
        <v>191</v>
      </c>
      <c r="E184">
        <v>567</v>
      </c>
    </row>
    <row r="185" spans="1:5" x14ac:dyDescent="0.35">
      <c r="A185" s="13">
        <v>41275</v>
      </c>
      <c r="B185">
        <f>YEAR(Country_Masterlist__4[[#This Row],[Year1]])</f>
        <v>2013</v>
      </c>
      <c r="C185" t="s">
        <v>33</v>
      </c>
      <c r="D185" t="s">
        <v>192</v>
      </c>
      <c r="E185">
        <v>58</v>
      </c>
    </row>
    <row r="186" spans="1:5" x14ac:dyDescent="0.35">
      <c r="A186" s="13">
        <v>41275</v>
      </c>
      <c r="B186">
        <f>YEAR(Country_Masterlist__4[[#This Row],[Year1]])</f>
        <v>2013</v>
      </c>
      <c r="C186" t="s">
        <v>34</v>
      </c>
      <c r="D186" t="s">
        <v>193</v>
      </c>
      <c r="E186">
        <v>371</v>
      </c>
    </row>
    <row r="187" spans="1:5" x14ac:dyDescent="0.35">
      <c r="A187" s="13">
        <v>41275</v>
      </c>
      <c r="B187">
        <f>YEAR(Country_Masterlist__4[[#This Row],[Year1]])</f>
        <v>2013</v>
      </c>
      <c r="C187" t="s">
        <v>34</v>
      </c>
      <c r="D187" t="s">
        <v>194</v>
      </c>
      <c r="E187">
        <v>13</v>
      </c>
    </row>
    <row r="188" spans="1:5" x14ac:dyDescent="0.35">
      <c r="A188" s="13">
        <v>41275</v>
      </c>
      <c r="B188">
        <f>YEAR(Country_Masterlist__4[[#This Row],[Year1]])</f>
        <v>2013</v>
      </c>
      <c r="C188" t="s">
        <v>33</v>
      </c>
      <c r="D188" t="s">
        <v>195</v>
      </c>
      <c r="E188">
        <v>81</v>
      </c>
    </row>
    <row r="189" spans="1:5" x14ac:dyDescent="0.35">
      <c r="A189" s="13">
        <v>41275</v>
      </c>
      <c r="B189">
        <f>YEAR(Country_Masterlist__4[[#This Row],[Year1]])</f>
        <v>2013</v>
      </c>
      <c r="C189" t="s">
        <v>35</v>
      </c>
      <c r="D189" t="s">
        <v>196</v>
      </c>
      <c r="E189">
        <v>453</v>
      </c>
    </row>
    <row r="190" spans="1:5" x14ac:dyDescent="0.35">
      <c r="A190" s="13">
        <v>41275</v>
      </c>
      <c r="B190">
        <f>YEAR(Country_Masterlist__4[[#This Row],[Year1]])</f>
        <v>2013</v>
      </c>
      <c r="C190" t="s">
        <v>34</v>
      </c>
      <c r="D190" t="s">
        <v>197</v>
      </c>
      <c r="E190">
        <v>28</v>
      </c>
    </row>
    <row r="191" spans="1:5" x14ac:dyDescent="0.35">
      <c r="A191" s="13">
        <v>41275</v>
      </c>
      <c r="B191">
        <f>YEAR(Country_Masterlist__4[[#This Row],[Year1]])</f>
        <v>2013</v>
      </c>
      <c r="C191" t="s">
        <v>35</v>
      </c>
      <c r="D191" t="s">
        <v>198</v>
      </c>
      <c r="E191">
        <v>1977</v>
      </c>
    </row>
    <row r="192" spans="1:5" x14ac:dyDescent="0.35">
      <c r="A192" s="13">
        <v>41275</v>
      </c>
      <c r="B192">
        <f>YEAR(Country_Masterlist__4[[#This Row],[Year1]])</f>
        <v>2013</v>
      </c>
      <c r="C192" t="s">
        <v>39</v>
      </c>
      <c r="D192" t="s">
        <v>39</v>
      </c>
      <c r="E192">
        <v>842</v>
      </c>
    </row>
    <row r="193" spans="1:5" x14ac:dyDescent="0.35">
      <c r="A193" s="13">
        <v>41275</v>
      </c>
      <c r="B193">
        <f>YEAR(Country_Masterlist__4[[#This Row],[Year1]])</f>
        <v>2013</v>
      </c>
      <c r="C193" t="s">
        <v>38</v>
      </c>
      <c r="D193" t="s">
        <v>199</v>
      </c>
      <c r="E193">
        <v>164</v>
      </c>
    </row>
    <row r="194" spans="1:5" x14ac:dyDescent="0.35">
      <c r="A194" s="13">
        <v>41275</v>
      </c>
      <c r="B194">
        <f>YEAR(Country_Masterlist__4[[#This Row],[Year1]])</f>
        <v>2013</v>
      </c>
      <c r="C194" t="s">
        <v>34</v>
      </c>
      <c r="D194" t="s">
        <v>200</v>
      </c>
      <c r="E194">
        <v>142</v>
      </c>
    </row>
    <row r="195" spans="1:5" x14ac:dyDescent="0.35">
      <c r="A195" s="13">
        <v>41275</v>
      </c>
      <c r="B195">
        <f>YEAR(Country_Masterlist__4[[#This Row],[Year1]])</f>
        <v>2013</v>
      </c>
      <c r="C195" t="s">
        <v>38</v>
      </c>
      <c r="D195" t="s">
        <v>19</v>
      </c>
      <c r="E195">
        <v>679</v>
      </c>
    </row>
    <row r="196" spans="1:5" x14ac:dyDescent="0.35">
      <c r="A196" s="13">
        <v>41275</v>
      </c>
      <c r="B196">
        <f>YEAR(Country_Masterlist__4[[#This Row],[Year1]])</f>
        <v>2013</v>
      </c>
      <c r="C196" t="s">
        <v>34</v>
      </c>
      <c r="D196" t="s">
        <v>201</v>
      </c>
      <c r="E196">
        <v>1077</v>
      </c>
    </row>
    <row r="197" spans="1:5" x14ac:dyDescent="0.35">
      <c r="A197" s="13">
        <v>41275</v>
      </c>
      <c r="B197">
        <f>YEAR(Country_Masterlist__4[[#This Row],[Year1]])</f>
        <v>2013</v>
      </c>
      <c r="C197" t="s">
        <v>34</v>
      </c>
      <c r="D197" t="s">
        <v>202</v>
      </c>
      <c r="E197">
        <v>112</v>
      </c>
    </row>
    <row r="198" spans="1:5" x14ac:dyDescent="0.35">
      <c r="A198" s="13">
        <v>41275</v>
      </c>
      <c r="B198">
        <f>YEAR(Country_Masterlist__4[[#This Row],[Year1]])</f>
        <v>2013</v>
      </c>
      <c r="C198" t="s">
        <v>33</v>
      </c>
      <c r="D198" t="s">
        <v>203</v>
      </c>
      <c r="E198">
        <v>42</v>
      </c>
    </row>
    <row r="199" spans="1:5" x14ac:dyDescent="0.35">
      <c r="A199" s="13">
        <v>41275</v>
      </c>
      <c r="B199">
        <f>YEAR(Country_Masterlist__4[[#This Row],[Year1]])</f>
        <v>2013</v>
      </c>
      <c r="C199" t="s">
        <v>33</v>
      </c>
      <c r="D199" t="s">
        <v>204</v>
      </c>
      <c r="E199">
        <v>72</v>
      </c>
    </row>
    <row r="200" spans="1:5" x14ac:dyDescent="0.35">
      <c r="A200" s="13">
        <v>41640</v>
      </c>
      <c r="B200">
        <f>YEAR(Country_Masterlist__4[[#This Row],[Year1]])</f>
        <v>2014</v>
      </c>
      <c r="C200" t="s">
        <v>34</v>
      </c>
      <c r="D200" t="s">
        <v>40</v>
      </c>
      <c r="E200">
        <v>137</v>
      </c>
    </row>
    <row r="201" spans="1:5" x14ac:dyDescent="0.35">
      <c r="A201" s="13">
        <v>41640</v>
      </c>
      <c r="B201">
        <f>YEAR(Country_Masterlist__4[[#This Row],[Year1]])</f>
        <v>2014</v>
      </c>
      <c r="C201" t="s">
        <v>35</v>
      </c>
      <c r="D201" t="s">
        <v>41</v>
      </c>
      <c r="E201">
        <v>481</v>
      </c>
    </row>
    <row r="202" spans="1:5" x14ac:dyDescent="0.35">
      <c r="A202" s="13">
        <v>41640</v>
      </c>
      <c r="B202">
        <f>YEAR(Country_Masterlist__4[[#This Row],[Year1]])</f>
        <v>2014</v>
      </c>
      <c r="C202" t="s">
        <v>33</v>
      </c>
      <c r="D202" t="s">
        <v>42</v>
      </c>
      <c r="E202">
        <v>80</v>
      </c>
    </row>
    <row r="203" spans="1:5" x14ac:dyDescent="0.35">
      <c r="A203" s="13">
        <v>41640</v>
      </c>
      <c r="B203">
        <f>YEAR(Country_Masterlist__4[[#This Row],[Year1]])</f>
        <v>2014</v>
      </c>
      <c r="D203" t="s">
        <v>373</v>
      </c>
      <c r="E203">
        <v>24</v>
      </c>
    </row>
    <row r="204" spans="1:5" x14ac:dyDescent="0.35">
      <c r="A204" s="13">
        <v>41640</v>
      </c>
      <c r="B204">
        <f>YEAR(Country_Masterlist__4[[#This Row],[Year1]])</f>
        <v>2014</v>
      </c>
      <c r="C204" t="s">
        <v>33</v>
      </c>
      <c r="D204" t="s">
        <v>43</v>
      </c>
      <c r="E204">
        <v>62</v>
      </c>
    </row>
    <row r="205" spans="1:5" x14ac:dyDescent="0.35">
      <c r="A205" s="13">
        <v>41640</v>
      </c>
      <c r="B205">
        <f>YEAR(Country_Masterlist__4[[#This Row],[Year1]])</f>
        <v>2014</v>
      </c>
      <c r="C205" t="s">
        <v>36</v>
      </c>
      <c r="D205" t="s">
        <v>44</v>
      </c>
      <c r="E205">
        <v>55</v>
      </c>
    </row>
    <row r="206" spans="1:5" x14ac:dyDescent="0.35">
      <c r="A206" s="13">
        <v>41640</v>
      </c>
      <c r="B206">
        <f>YEAR(Country_Masterlist__4[[#This Row],[Year1]])</f>
        <v>2014</v>
      </c>
      <c r="C206" t="s">
        <v>38</v>
      </c>
      <c r="D206" t="s">
        <v>45</v>
      </c>
      <c r="E206">
        <v>348</v>
      </c>
    </row>
    <row r="207" spans="1:5" x14ac:dyDescent="0.35">
      <c r="A207" s="13">
        <v>41640</v>
      </c>
      <c r="B207">
        <f>YEAR(Country_Masterlist__4[[#This Row],[Year1]])</f>
        <v>2014</v>
      </c>
      <c r="C207" t="s">
        <v>34</v>
      </c>
      <c r="D207" t="s">
        <v>46</v>
      </c>
      <c r="E207">
        <v>254</v>
      </c>
    </row>
    <row r="208" spans="1:5" x14ac:dyDescent="0.35">
      <c r="A208" s="13">
        <v>41640</v>
      </c>
      <c r="B208">
        <f>YEAR(Country_Masterlist__4[[#This Row],[Year1]])</f>
        <v>2014</v>
      </c>
      <c r="C208" t="s">
        <v>37</v>
      </c>
      <c r="D208" t="s">
        <v>47</v>
      </c>
      <c r="E208">
        <v>480</v>
      </c>
    </row>
    <row r="209" spans="1:5" x14ac:dyDescent="0.35">
      <c r="A209" s="13">
        <v>41640</v>
      </c>
      <c r="B209">
        <f>YEAR(Country_Masterlist__4[[#This Row],[Year1]])</f>
        <v>2014</v>
      </c>
      <c r="C209" t="s">
        <v>35</v>
      </c>
      <c r="D209" t="s">
        <v>48</v>
      </c>
      <c r="E209">
        <v>49</v>
      </c>
    </row>
    <row r="210" spans="1:5" x14ac:dyDescent="0.35">
      <c r="A210" s="13">
        <v>41640</v>
      </c>
      <c r="B210">
        <f>YEAR(Country_Masterlist__4[[#This Row],[Year1]])</f>
        <v>2014</v>
      </c>
      <c r="C210" t="s">
        <v>34</v>
      </c>
      <c r="D210" t="s">
        <v>49</v>
      </c>
      <c r="E210">
        <v>58</v>
      </c>
    </row>
    <row r="211" spans="1:5" x14ac:dyDescent="0.35">
      <c r="A211" s="13">
        <v>41640</v>
      </c>
      <c r="B211">
        <f>YEAR(Country_Masterlist__4[[#This Row],[Year1]])</f>
        <v>2014</v>
      </c>
      <c r="C211" t="s">
        <v>36</v>
      </c>
      <c r="D211" t="s">
        <v>50</v>
      </c>
      <c r="E211">
        <v>770</v>
      </c>
    </row>
    <row r="212" spans="1:5" x14ac:dyDescent="0.35">
      <c r="A212" s="13">
        <v>41640</v>
      </c>
      <c r="B212">
        <f>YEAR(Country_Masterlist__4[[#This Row],[Year1]])</f>
        <v>2014</v>
      </c>
      <c r="C212" t="s">
        <v>34</v>
      </c>
      <c r="D212" t="s">
        <v>51</v>
      </c>
      <c r="E212">
        <v>15</v>
      </c>
    </row>
    <row r="213" spans="1:5" x14ac:dyDescent="0.35">
      <c r="A213" s="13">
        <v>41640</v>
      </c>
      <c r="B213">
        <f>YEAR(Country_Masterlist__4[[#This Row],[Year1]])</f>
        <v>2014</v>
      </c>
      <c r="C213" t="s">
        <v>34</v>
      </c>
      <c r="D213" t="s">
        <v>52</v>
      </c>
      <c r="E213">
        <v>981</v>
      </c>
    </row>
    <row r="214" spans="1:5" x14ac:dyDescent="0.35">
      <c r="A214" s="13">
        <v>41640</v>
      </c>
      <c r="B214">
        <f>YEAR(Country_Masterlist__4[[#This Row],[Year1]])</f>
        <v>2014</v>
      </c>
      <c r="C214" t="s">
        <v>36</v>
      </c>
      <c r="D214" t="s">
        <v>53</v>
      </c>
      <c r="E214">
        <v>82</v>
      </c>
    </row>
    <row r="215" spans="1:5" x14ac:dyDescent="0.35">
      <c r="A215" s="13">
        <v>41640</v>
      </c>
      <c r="B215">
        <f>YEAR(Country_Masterlist__4[[#This Row],[Year1]])</f>
        <v>2014</v>
      </c>
      <c r="C215" t="s">
        <v>35</v>
      </c>
      <c r="D215" t="s">
        <v>54</v>
      </c>
      <c r="E215">
        <v>43</v>
      </c>
    </row>
    <row r="216" spans="1:5" x14ac:dyDescent="0.35">
      <c r="A216" s="13">
        <v>41640</v>
      </c>
      <c r="B216">
        <f>YEAR(Country_Masterlist__4[[#This Row],[Year1]])</f>
        <v>2014</v>
      </c>
      <c r="C216" t="s">
        <v>35</v>
      </c>
      <c r="D216" t="s">
        <v>55</v>
      </c>
      <c r="E216">
        <v>132</v>
      </c>
    </row>
    <row r="217" spans="1:5" x14ac:dyDescent="0.35">
      <c r="A217" s="13">
        <v>41640</v>
      </c>
      <c r="B217">
        <f>YEAR(Country_Masterlist__4[[#This Row],[Year1]])</f>
        <v>2014</v>
      </c>
      <c r="C217" t="s">
        <v>36</v>
      </c>
      <c r="D217" t="s">
        <v>56</v>
      </c>
      <c r="E217">
        <v>346</v>
      </c>
    </row>
    <row r="218" spans="1:5" x14ac:dyDescent="0.35">
      <c r="A218" s="13">
        <v>41640</v>
      </c>
      <c r="B218">
        <f>YEAR(Country_Masterlist__4[[#This Row],[Year1]])</f>
        <v>2014</v>
      </c>
      <c r="C218" t="s">
        <v>33</v>
      </c>
      <c r="D218" t="s">
        <v>57</v>
      </c>
      <c r="E218">
        <v>38</v>
      </c>
    </row>
    <row r="219" spans="1:5" x14ac:dyDescent="0.35">
      <c r="A219" s="13">
        <v>41640</v>
      </c>
      <c r="B219">
        <f>YEAR(Country_Masterlist__4[[#This Row],[Year1]])</f>
        <v>2014</v>
      </c>
      <c r="C219" t="s">
        <v>34</v>
      </c>
      <c r="D219" t="s">
        <v>58</v>
      </c>
      <c r="E219">
        <v>12</v>
      </c>
    </row>
    <row r="220" spans="1:5" x14ac:dyDescent="0.35">
      <c r="A220" s="13">
        <v>41640</v>
      </c>
      <c r="B220">
        <f>YEAR(Country_Masterlist__4[[#This Row],[Year1]])</f>
        <v>2014</v>
      </c>
      <c r="C220" t="s">
        <v>38</v>
      </c>
      <c r="D220" t="s">
        <v>59</v>
      </c>
      <c r="E220">
        <v>265</v>
      </c>
    </row>
    <row r="221" spans="1:5" x14ac:dyDescent="0.35">
      <c r="A221" s="13">
        <v>41640</v>
      </c>
      <c r="B221">
        <f>YEAR(Country_Masterlist__4[[#This Row],[Year1]])</f>
        <v>2014</v>
      </c>
      <c r="C221" t="s">
        <v>35</v>
      </c>
      <c r="D221" t="s">
        <v>60</v>
      </c>
      <c r="E221">
        <v>162</v>
      </c>
    </row>
    <row r="222" spans="1:5" x14ac:dyDescent="0.35">
      <c r="A222" s="13">
        <v>41640</v>
      </c>
      <c r="B222">
        <f>YEAR(Country_Masterlist__4[[#This Row],[Year1]])</f>
        <v>2014</v>
      </c>
      <c r="C222" t="s">
        <v>33</v>
      </c>
      <c r="D222" t="s">
        <v>61</v>
      </c>
      <c r="E222">
        <v>7</v>
      </c>
    </row>
    <row r="223" spans="1:5" x14ac:dyDescent="0.35">
      <c r="A223" s="13">
        <v>41640</v>
      </c>
      <c r="B223">
        <f>YEAR(Country_Masterlist__4[[#This Row],[Year1]])</f>
        <v>2014</v>
      </c>
      <c r="C223" t="s">
        <v>38</v>
      </c>
      <c r="D223" t="s">
        <v>21</v>
      </c>
      <c r="E223">
        <v>2353</v>
      </c>
    </row>
    <row r="224" spans="1:5" x14ac:dyDescent="0.35">
      <c r="A224" s="13">
        <v>41640</v>
      </c>
      <c r="B224">
        <f>YEAR(Country_Masterlist__4[[#This Row],[Year1]])</f>
        <v>2014</v>
      </c>
      <c r="C224" t="s">
        <v>35</v>
      </c>
      <c r="D224" t="s">
        <v>62</v>
      </c>
      <c r="E224">
        <v>113</v>
      </c>
    </row>
    <row r="225" spans="1:5" x14ac:dyDescent="0.35">
      <c r="A225" s="13">
        <v>41640</v>
      </c>
      <c r="B225">
        <f>YEAR(Country_Masterlist__4[[#This Row],[Year1]])</f>
        <v>2014</v>
      </c>
      <c r="C225" t="s">
        <v>33</v>
      </c>
      <c r="D225" t="s">
        <v>63</v>
      </c>
      <c r="E225">
        <v>55</v>
      </c>
    </row>
    <row r="226" spans="1:5" x14ac:dyDescent="0.35">
      <c r="A226" s="13">
        <v>41640</v>
      </c>
      <c r="B226">
        <f>YEAR(Country_Masterlist__4[[#This Row],[Year1]])</f>
        <v>2014</v>
      </c>
      <c r="C226" t="s">
        <v>34</v>
      </c>
      <c r="D226" t="s">
        <v>64</v>
      </c>
      <c r="E226">
        <v>87</v>
      </c>
    </row>
    <row r="227" spans="1:5" x14ac:dyDescent="0.35">
      <c r="A227" s="13">
        <v>41640</v>
      </c>
      <c r="B227">
        <f>YEAR(Country_Masterlist__4[[#This Row],[Year1]])</f>
        <v>2014</v>
      </c>
      <c r="C227" t="s">
        <v>33</v>
      </c>
      <c r="D227" t="s">
        <v>65</v>
      </c>
      <c r="E227">
        <v>39</v>
      </c>
    </row>
    <row r="228" spans="1:5" x14ac:dyDescent="0.35">
      <c r="A228" s="13">
        <v>41640</v>
      </c>
      <c r="B228">
        <f>YEAR(Country_Masterlist__4[[#This Row],[Year1]])</f>
        <v>2014</v>
      </c>
      <c r="C228" t="s">
        <v>33</v>
      </c>
      <c r="D228" t="s">
        <v>66</v>
      </c>
      <c r="E228">
        <v>59</v>
      </c>
    </row>
    <row r="229" spans="1:5" x14ac:dyDescent="0.35">
      <c r="A229" s="13">
        <v>41640</v>
      </c>
      <c r="B229">
        <f>YEAR(Country_Masterlist__4[[#This Row],[Year1]])</f>
        <v>2014</v>
      </c>
      <c r="C229" t="s">
        <v>34</v>
      </c>
      <c r="D229" t="s">
        <v>67</v>
      </c>
      <c r="E229">
        <v>164</v>
      </c>
    </row>
    <row r="230" spans="1:5" x14ac:dyDescent="0.35">
      <c r="A230" s="13">
        <v>41640</v>
      </c>
      <c r="B230">
        <f>YEAR(Country_Masterlist__4[[#This Row],[Year1]])</f>
        <v>2014</v>
      </c>
      <c r="C230" t="s">
        <v>33</v>
      </c>
      <c r="D230" t="s">
        <v>68</v>
      </c>
      <c r="E230">
        <v>375</v>
      </c>
    </row>
    <row r="231" spans="1:5" x14ac:dyDescent="0.35">
      <c r="A231" s="13">
        <v>41640</v>
      </c>
      <c r="B231">
        <f>YEAR(Country_Masterlist__4[[#This Row],[Year1]])</f>
        <v>2014</v>
      </c>
      <c r="C231" t="s">
        <v>36</v>
      </c>
      <c r="D231" t="s">
        <v>69</v>
      </c>
      <c r="E231">
        <v>24436</v>
      </c>
    </row>
    <row r="232" spans="1:5" x14ac:dyDescent="0.35">
      <c r="A232" s="13">
        <v>41640</v>
      </c>
      <c r="B232">
        <f>YEAR(Country_Masterlist__4[[#This Row],[Year1]])</f>
        <v>2014</v>
      </c>
      <c r="C232" t="s">
        <v>33</v>
      </c>
      <c r="D232" t="s">
        <v>70</v>
      </c>
      <c r="E232">
        <v>10</v>
      </c>
    </row>
    <row r="233" spans="1:5" x14ac:dyDescent="0.35">
      <c r="A233" s="13">
        <v>41640</v>
      </c>
      <c r="B233">
        <f>YEAR(Country_Masterlist__4[[#This Row],[Year1]])</f>
        <v>2014</v>
      </c>
      <c r="C233" t="s">
        <v>33</v>
      </c>
      <c r="D233" t="s">
        <v>71</v>
      </c>
      <c r="E233">
        <v>36</v>
      </c>
    </row>
    <row r="234" spans="1:5" x14ac:dyDescent="0.35">
      <c r="A234" s="13">
        <v>41640</v>
      </c>
      <c r="B234">
        <f>YEAR(Country_Masterlist__4[[#This Row],[Year1]])</f>
        <v>2014</v>
      </c>
      <c r="C234" t="s">
        <v>38</v>
      </c>
      <c r="D234" t="s">
        <v>72</v>
      </c>
      <c r="E234">
        <v>302</v>
      </c>
    </row>
    <row r="235" spans="1:5" x14ac:dyDescent="0.35">
      <c r="A235" s="13">
        <v>41640</v>
      </c>
      <c r="B235">
        <f>YEAR(Country_Masterlist__4[[#This Row],[Year1]])</f>
        <v>2014</v>
      </c>
      <c r="C235" t="s">
        <v>34</v>
      </c>
      <c r="D235" t="s">
        <v>73</v>
      </c>
      <c r="E235">
        <v>5171</v>
      </c>
    </row>
    <row r="236" spans="1:5" x14ac:dyDescent="0.35">
      <c r="A236" s="13">
        <v>41640</v>
      </c>
      <c r="B236">
        <f>YEAR(Country_Masterlist__4[[#This Row],[Year1]])</f>
        <v>2014</v>
      </c>
      <c r="C236" t="s">
        <v>38</v>
      </c>
      <c r="D236" t="s">
        <v>20</v>
      </c>
      <c r="E236">
        <v>2568</v>
      </c>
    </row>
    <row r="237" spans="1:5" x14ac:dyDescent="0.35">
      <c r="A237" s="13">
        <v>41640</v>
      </c>
      <c r="B237">
        <f>YEAR(Country_Masterlist__4[[#This Row],[Year1]])</f>
        <v>2014</v>
      </c>
      <c r="C237" t="s">
        <v>33</v>
      </c>
      <c r="D237" t="s">
        <v>74</v>
      </c>
      <c r="E237">
        <v>99</v>
      </c>
    </row>
    <row r="238" spans="1:5" x14ac:dyDescent="0.35">
      <c r="A238" s="13">
        <v>41640</v>
      </c>
      <c r="B238">
        <f>YEAR(Country_Masterlist__4[[#This Row],[Year1]])</f>
        <v>2014</v>
      </c>
      <c r="C238" t="s">
        <v>33</v>
      </c>
      <c r="D238" t="s">
        <v>75</v>
      </c>
      <c r="E238">
        <v>52</v>
      </c>
    </row>
    <row r="239" spans="1:5" x14ac:dyDescent="0.35">
      <c r="A239" s="13">
        <v>41640</v>
      </c>
      <c r="B239">
        <f>YEAR(Country_Masterlist__4[[#This Row],[Year1]])</f>
        <v>2014</v>
      </c>
      <c r="C239" t="s">
        <v>36</v>
      </c>
      <c r="D239" t="s">
        <v>76</v>
      </c>
      <c r="E239">
        <v>532</v>
      </c>
    </row>
    <row r="240" spans="1:5" x14ac:dyDescent="0.35">
      <c r="A240" s="13">
        <v>41640</v>
      </c>
      <c r="B240">
        <f>YEAR(Country_Masterlist__4[[#This Row],[Year1]])</f>
        <v>2014</v>
      </c>
      <c r="C240" t="s">
        <v>33</v>
      </c>
      <c r="D240" t="s">
        <v>77</v>
      </c>
      <c r="E240">
        <v>90</v>
      </c>
    </row>
    <row r="241" spans="1:5" x14ac:dyDescent="0.35">
      <c r="A241" s="13">
        <v>41640</v>
      </c>
      <c r="B241">
        <f>YEAR(Country_Masterlist__4[[#This Row],[Year1]])</f>
        <v>2014</v>
      </c>
      <c r="C241" t="s">
        <v>35</v>
      </c>
      <c r="D241" t="s">
        <v>78</v>
      </c>
      <c r="E241">
        <v>64</v>
      </c>
    </row>
    <row r="242" spans="1:5" x14ac:dyDescent="0.35">
      <c r="A242" s="13">
        <v>41640</v>
      </c>
      <c r="B242">
        <f>YEAR(Country_Masterlist__4[[#This Row],[Year1]])</f>
        <v>2014</v>
      </c>
      <c r="C242" t="s">
        <v>36</v>
      </c>
      <c r="D242" t="s">
        <v>79</v>
      </c>
      <c r="E242">
        <v>3724</v>
      </c>
    </row>
    <row r="243" spans="1:5" x14ac:dyDescent="0.35">
      <c r="A243" s="13">
        <v>41640</v>
      </c>
      <c r="B243">
        <f>YEAR(Country_Masterlist__4[[#This Row],[Year1]])</f>
        <v>2014</v>
      </c>
      <c r="C243" t="s">
        <v>34</v>
      </c>
      <c r="D243" t="s">
        <v>80</v>
      </c>
      <c r="E243">
        <v>12</v>
      </c>
    </row>
    <row r="244" spans="1:5" x14ac:dyDescent="0.35">
      <c r="A244" s="13">
        <v>41640</v>
      </c>
      <c r="B244">
        <f>YEAR(Country_Masterlist__4[[#This Row],[Year1]])</f>
        <v>2014</v>
      </c>
      <c r="C244" t="s">
        <v>35</v>
      </c>
      <c r="D244" t="s">
        <v>81</v>
      </c>
      <c r="E244">
        <v>171</v>
      </c>
    </row>
    <row r="245" spans="1:5" x14ac:dyDescent="0.35">
      <c r="A245" s="13">
        <v>41640</v>
      </c>
      <c r="B245">
        <f>YEAR(Country_Masterlist__4[[#This Row],[Year1]])</f>
        <v>2014</v>
      </c>
      <c r="C245" t="s">
        <v>35</v>
      </c>
      <c r="D245" t="s">
        <v>214</v>
      </c>
      <c r="E245">
        <v>12</v>
      </c>
    </row>
    <row r="246" spans="1:5" x14ac:dyDescent="0.35">
      <c r="A246" s="13">
        <v>41640</v>
      </c>
      <c r="B246">
        <f>YEAR(Country_Masterlist__4[[#This Row],[Year1]])</f>
        <v>2014</v>
      </c>
      <c r="C246" t="s">
        <v>35</v>
      </c>
      <c r="D246" t="s">
        <v>82</v>
      </c>
      <c r="E246">
        <v>67</v>
      </c>
    </row>
    <row r="247" spans="1:5" x14ac:dyDescent="0.35">
      <c r="A247" s="13">
        <v>41640</v>
      </c>
      <c r="B247">
        <f>YEAR(Country_Masterlist__4[[#This Row],[Year1]])</f>
        <v>2014</v>
      </c>
      <c r="C247" t="s">
        <v>33</v>
      </c>
      <c r="D247" t="s">
        <v>83</v>
      </c>
      <c r="E247">
        <v>5</v>
      </c>
    </row>
    <row r="248" spans="1:5" x14ac:dyDescent="0.35">
      <c r="A248" s="13">
        <v>41640</v>
      </c>
      <c r="B248">
        <f>YEAR(Country_Masterlist__4[[#This Row],[Year1]])</f>
        <v>2014</v>
      </c>
      <c r="C248" t="s">
        <v>36</v>
      </c>
      <c r="D248" t="s">
        <v>84</v>
      </c>
      <c r="E248">
        <v>52</v>
      </c>
    </row>
    <row r="249" spans="1:5" x14ac:dyDescent="0.35">
      <c r="A249" s="13">
        <v>41640</v>
      </c>
      <c r="B249">
        <f>YEAR(Country_Masterlist__4[[#This Row],[Year1]])</f>
        <v>2014</v>
      </c>
      <c r="C249" t="s">
        <v>36</v>
      </c>
      <c r="D249" t="s">
        <v>85</v>
      </c>
      <c r="E249">
        <v>4634</v>
      </c>
    </row>
    <row r="250" spans="1:5" x14ac:dyDescent="0.35">
      <c r="A250" s="13">
        <v>41640</v>
      </c>
      <c r="B250">
        <f>YEAR(Country_Masterlist__4[[#This Row],[Year1]])</f>
        <v>2014</v>
      </c>
      <c r="C250" t="s">
        <v>38</v>
      </c>
      <c r="D250" t="s">
        <v>86</v>
      </c>
      <c r="E250">
        <v>6640</v>
      </c>
    </row>
    <row r="251" spans="1:5" x14ac:dyDescent="0.35">
      <c r="A251" s="13">
        <v>41640</v>
      </c>
      <c r="B251">
        <f>YEAR(Country_Masterlist__4[[#This Row],[Year1]])</f>
        <v>2014</v>
      </c>
      <c r="C251" t="s">
        <v>33</v>
      </c>
      <c r="D251" t="s">
        <v>87</v>
      </c>
      <c r="E251">
        <v>425</v>
      </c>
    </row>
    <row r="252" spans="1:5" x14ac:dyDescent="0.35">
      <c r="A252" s="13">
        <v>41640</v>
      </c>
      <c r="B252">
        <f>YEAR(Country_Masterlist__4[[#This Row],[Year1]])</f>
        <v>2014</v>
      </c>
      <c r="C252" t="s">
        <v>36</v>
      </c>
      <c r="D252" t="s">
        <v>16</v>
      </c>
      <c r="E252">
        <v>81651</v>
      </c>
    </row>
    <row r="253" spans="1:5" x14ac:dyDescent="0.35">
      <c r="A253" s="13">
        <v>41640</v>
      </c>
      <c r="B253">
        <f>YEAR(Country_Masterlist__4[[#This Row],[Year1]])</f>
        <v>2014</v>
      </c>
      <c r="C253" t="s">
        <v>33</v>
      </c>
      <c r="D253" t="s">
        <v>88</v>
      </c>
      <c r="E253">
        <v>10</v>
      </c>
    </row>
    <row r="254" spans="1:5" x14ac:dyDescent="0.35">
      <c r="A254" s="13">
        <v>41640</v>
      </c>
      <c r="B254">
        <f>YEAR(Country_Masterlist__4[[#This Row],[Year1]])</f>
        <v>2014</v>
      </c>
      <c r="C254" t="s">
        <v>33</v>
      </c>
      <c r="D254" t="s">
        <v>89</v>
      </c>
      <c r="E254">
        <v>239</v>
      </c>
    </row>
    <row r="255" spans="1:5" x14ac:dyDescent="0.35">
      <c r="A255" s="13">
        <v>41640</v>
      </c>
      <c r="B255">
        <f>YEAR(Country_Masterlist__4[[#This Row],[Year1]])</f>
        <v>2014</v>
      </c>
      <c r="C255" t="s">
        <v>35</v>
      </c>
      <c r="D255" t="s">
        <v>90</v>
      </c>
      <c r="E255">
        <v>45</v>
      </c>
    </row>
    <row r="256" spans="1:5" x14ac:dyDescent="0.35">
      <c r="A256" s="13">
        <v>41640</v>
      </c>
      <c r="B256">
        <f>YEAR(Country_Masterlist__4[[#This Row],[Year1]])</f>
        <v>2014</v>
      </c>
      <c r="C256" t="s">
        <v>33</v>
      </c>
      <c r="D256" t="s">
        <v>91</v>
      </c>
      <c r="E256">
        <v>450</v>
      </c>
    </row>
    <row r="257" spans="1:5" x14ac:dyDescent="0.35">
      <c r="A257" s="13">
        <v>41640</v>
      </c>
      <c r="B257">
        <f>YEAR(Country_Masterlist__4[[#This Row],[Year1]])</f>
        <v>2014</v>
      </c>
      <c r="C257" t="s">
        <v>37</v>
      </c>
      <c r="D257" t="s">
        <v>92</v>
      </c>
      <c r="E257">
        <v>84</v>
      </c>
    </row>
    <row r="258" spans="1:5" x14ac:dyDescent="0.35">
      <c r="A258" s="13">
        <v>41640</v>
      </c>
      <c r="B258">
        <f>YEAR(Country_Masterlist__4[[#This Row],[Year1]])</f>
        <v>2014</v>
      </c>
      <c r="C258" t="s">
        <v>35</v>
      </c>
      <c r="D258" t="s">
        <v>93</v>
      </c>
      <c r="E258">
        <v>31</v>
      </c>
    </row>
    <row r="259" spans="1:5" x14ac:dyDescent="0.35">
      <c r="A259" s="13">
        <v>41640</v>
      </c>
      <c r="B259">
        <f>YEAR(Country_Masterlist__4[[#This Row],[Year1]])</f>
        <v>2014</v>
      </c>
      <c r="C259" t="s">
        <v>35</v>
      </c>
      <c r="D259" t="s">
        <v>94</v>
      </c>
      <c r="E259">
        <v>815</v>
      </c>
    </row>
    <row r="260" spans="1:5" x14ac:dyDescent="0.35">
      <c r="A260" s="13">
        <v>41640</v>
      </c>
      <c r="B260">
        <f>YEAR(Country_Masterlist__4[[#This Row],[Year1]])</f>
        <v>2014</v>
      </c>
      <c r="C260" t="s">
        <v>33</v>
      </c>
      <c r="D260" t="s">
        <v>95</v>
      </c>
      <c r="E260">
        <v>22</v>
      </c>
    </row>
    <row r="261" spans="1:5" x14ac:dyDescent="0.35">
      <c r="A261" s="13">
        <v>41640</v>
      </c>
      <c r="B261">
        <f>YEAR(Country_Masterlist__4[[#This Row],[Year1]])</f>
        <v>2014</v>
      </c>
      <c r="C261" t="s">
        <v>33</v>
      </c>
      <c r="D261" t="s">
        <v>96</v>
      </c>
      <c r="E261">
        <v>92</v>
      </c>
    </row>
    <row r="262" spans="1:5" x14ac:dyDescent="0.35">
      <c r="A262" s="13">
        <v>41640</v>
      </c>
      <c r="B262">
        <f>YEAR(Country_Masterlist__4[[#This Row],[Year1]])</f>
        <v>2014</v>
      </c>
      <c r="C262" t="s">
        <v>34</v>
      </c>
      <c r="D262" t="s">
        <v>8</v>
      </c>
      <c r="E262">
        <v>77</v>
      </c>
    </row>
    <row r="263" spans="1:5" x14ac:dyDescent="0.35">
      <c r="A263" s="13">
        <v>41640</v>
      </c>
      <c r="B263">
        <f>YEAR(Country_Masterlist__4[[#This Row],[Year1]])</f>
        <v>2014</v>
      </c>
      <c r="C263" t="s">
        <v>35</v>
      </c>
      <c r="D263" t="s">
        <v>97</v>
      </c>
      <c r="E263">
        <v>601</v>
      </c>
    </row>
    <row r="264" spans="1:5" x14ac:dyDescent="0.35">
      <c r="A264" s="13">
        <v>41640</v>
      </c>
      <c r="B264">
        <f>YEAR(Country_Masterlist__4[[#This Row],[Year1]])</f>
        <v>2014</v>
      </c>
      <c r="C264" t="s">
        <v>33</v>
      </c>
      <c r="D264" t="s">
        <v>98</v>
      </c>
      <c r="E264">
        <v>556</v>
      </c>
    </row>
    <row r="265" spans="1:5" x14ac:dyDescent="0.35">
      <c r="A265" s="13">
        <v>41640</v>
      </c>
      <c r="B265">
        <f>YEAR(Country_Masterlist__4[[#This Row],[Year1]])</f>
        <v>2014</v>
      </c>
      <c r="C265" t="s">
        <v>35</v>
      </c>
      <c r="D265" t="s">
        <v>99</v>
      </c>
      <c r="E265">
        <v>226</v>
      </c>
    </row>
    <row r="266" spans="1:5" x14ac:dyDescent="0.35">
      <c r="A266" s="13">
        <v>41640</v>
      </c>
      <c r="B266">
        <f>YEAR(Country_Masterlist__4[[#This Row],[Year1]])</f>
        <v>2014</v>
      </c>
      <c r="C266" t="s">
        <v>36</v>
      </c>
      <c r="D266" t="s">
        <v>100</v>
      </c>
      <c r="E266">
        <v>55</v>
      </c>
    </row>
    <row r="267" spans="1:5" x14ac:dyDescent="0.35">
      <c r="A267" s="13">
        <v>41640</v>
      </c>
      <c r="B267">
        <f>YEAR(Country_Masterlist__4[[#This Row],[Year1]])</f>
        <v>2014</v>
      </c>
      <c r="C267" t="s">
        <v>36</v>
      </c>
      <c r="D267" t="s">
        <v>15</v>
      </c>
      <c r="E267">
        <v>101695</v>
      </c>
    </row>
    <row r="268" spans="1:5" x14ac:dyDescent="0.35">
      <c r="A268" s="13">
        <v>41640</v>
      </c>
      <c r="B268">
        <f>YEAR(Country_Masterlist__4[[#This Row],[Year1]])</f>
        <v>2014</v>
      </c>
      <c r="C268" t="s">
        <v>33</v>
      </c>
      <c r="D268" t="s">
        <v>101</v>
      </c>
      <c r="E268">
        <v>130</v>
      </c>
    </row>
    <row r="269" spans="1:5" x14ac:dyDescent="0.35">
      <c r="A269" s="13">
        <v>41640</v>
      </c>
      <c r="B269">
        <f>YEAR(Country_Masterlist__4[[#This Row],[Year1]])</f>
        <v>2014</v>
      </c>
      <c r="C269" t="s">
        <v>33</v>
      </c>
      <c r="D269" t="s">
        <v>102</v>
      </c>
      <c r="E269">
        <v>4</v>
      </c>
    </row>
    <row r="270" spans="1:5" x14ac:dyDescent="0.35">
      <c r="A270" s="13">
        <v>41640</v>
      </c>
      <c r="B270">
        <f>YEAR(Country_Masterlist__4[[#This Row],[Year1]])</f>
        <v>2014</v>
      </c>
      <c r="C270" t="s">
        <v>38</v>
      </c>
      <c r="D270" t="s">
        <v>103</v>
      </c>
      <c r="E270">
        <v>335</v>
      </c>
    </row>
    <row r="271" spans="1:5" x14ac:dyDescent="0.35">
      <c r="A271" s="13">
        <v>41640</v>
      </c>
      <c r="B271">
        <f>YEAR(Country_Masterlist__4[[#This Row],[Year1]])</f>
        <v>2014</v>
      </c>
      <c r="C271" t="s">
        <v>36</v>
      </c>
      <c r="D271" t="s">
        <v>104</v>
      </c>
      <c r="E271">
        <v>2796</v>
      </c>
    </row>
    <row r="272" spans="1:5" x14ac:dyDescent="0.35">
      <c r="A272" s="13">
        <v>41640</v>
      </c>
      <c r="B272">
        <f>YEAR(Country_Masterlist__4[[#This Row],[Year1]])</f>
        <v>2014</v>
      </c>
      <c r="C272" t="s">
        <v>36</v>
      </c>
      <c r="D272" t="s">
        <v>17</v>
      </c>
      <c r="E272">
        <v>112530</v>
      </c>
    </row>
    <row r="273" spans="1:5" x14ac:dyDescent="0.35">
      <c r="A273" s="13">
        <v>41640</v>
      </c>
      <c r="B273">
        <f>YEAR(Country_Masterlist__4[[#This Row],[Year1]])</f>
        <v>2014</v>
      </c>
      <c r="C273" t="s">
        <v>35</v>
      </c>
      <c r="D273" t="s">
        <v>105</v>
      </c>
      <c r="E273">
        <v>290</v>
      </c>
    </row>
    <row r="274" spans="1:5" x14ac:dyDescent="0.35">
      <c r="A274" s="13">
        <v>41640</v>
      </c>
      <c r="B274">
        <f>YEAR(Country_Masterlist__4[[#This Row],[Year1]])</f>
        <v>2014</v>
      </c>
      <c r="C274" t="s">
        <v>35</v>
      </c>
      <c r="D274" t="s">
        <v>106</v>
      </c>
      <c r="E274">
        <v>19</v>
      </c>
    </row>
    <row r="275" spans="1:5" x14ac:dyDescent="0.35">
      <c r="A275" s="13">
        <v>41640</v>
      </c>
      <c r="B275">
        <f>YEAR(Country_Masterlist__4[[#This Row],[Year1]])</f>
        <v>2014</v>
      </c>
      <c r="C275" t="s">
        <v>34</v>
      </c>
      <c r="D275" t="s">
        <v>22</v>
      </c>
      <c r="E275">
        <v>3921</v>
      </c>
    </row>
    <row r="276" spans="1:5" x14ac:dyDescent="0.35">
      <c r="A276" s="13">
        <v>41640</v>
      </c>
      <c r="B276">
        <f>YEAR(Country_Masterlist__4[[#This Row],[Year1]])</f>
        <v>2014</v>
      </c>
      <c r="C276" t="s">
        <v>34</v>
      </c>
      <c r="D276" t="s">
        <v>107</v>
      </c>
      <c r="E276">
        <v>173</v>
      </c>
    </row>
    <row r="277" spans="1:5" x14ac:dyDescent="0.35">
      <c r="A277" s="13">
        <v>41640</v>
      </c>
      <c r="B277">
        <f>YEAR(Country_Masterlist__4[[#This Row],[Year1]])</f>
        <v>2014</v>
      </c>
      <c r="C277" t="s">
        <v>34</v>
      </c>
      <c r="D277" t="s">
        <v>108</v>
      </c>
      <c r="E277">
        <v>933</v>
      </c>
    </row>
    <row r="278" spans="1:5" x14ac:dyDescent="0.35">
      <c r="A278" s="13">
        <v>41640</v>
      </c>
      <c r="B278">
        <f>YEAR(Country_Masterlist__4[[#This Row],[Year1]])</f>
        <v>2014</v>
      </c>
      <c r="C278" t="s">
        <v>34</v>
      </c>
      <c r="D278" t="s">
        <v>109</v>
      </c>
      <c r="E278">
        <v>439</v>
      </c>
    </row>
    <row r="279" spans="1:5" x14ac:dyDescent="0.35">
      <c r="A279" s="13">
        <v>41640</v>
      </c>
      <c r="B279">
        <f>YEAR(Country_Masterlist__4[[#This Row],[Year1]])</f>
        <v>2014</v>
      </c>
      <c r="C279" t="s">
        <v>35</v>
      </c>
      <c r="D279" t="s">
        <v>110</v>
      </c>
      <c r="E279">
        <v>213</v>
      </c>
    </row>
    <row r="280" spans="1:5" x14ac:dyDescent="0.35">
      <c r="A280" s="13">
        <v>41640</v>
      </c>
      <c r="B280">
        <f>YEAR(Country_Masterlist__4[[#This Row],[Year1]])</f>
        <v>2014</v>
      </c>
      <c r="C280" t="s">
        <v>34</v>
      </c>
      <c r="D280" t="s">
        <v>111</v>
      </c>
      <c r="E280">
        <v>581</v>
      </c>
    </row>
    <row r="281" spans="1:5" x14ac:dyDescent="0.35">
      <c r="A281" s="13">
        <v>41640</v>
      </c>
      <c r="B281">
        <f>YEAR(Country_Masterlist__4[[#This Row],[Year1]])</f>
        <v>2014</v>
      </c>
      <c r="C281" t="s">
        <v>35</v>
      </c>
      <c r="D281" t="s">
        <v>112</v>
      </c>
      <c r="E281">
        <v>795</v>
      </c>
    </row>
    <row r="282" spans="1:5" x14ac:dyDescent="0.35">
      <c r="A282" s="13">
        <v>41640</v>
      </c>
      <c r="B282">
        <f>YEAR(Country_Masterlist__4[[#This Row],[Year1]])</f>
        <v>2014</v>
      </c>
      <c r="C282" t="s">
        <v>36</v>
      </c>
      <c r="D282" t="s">
        <v>113</v>
      </c>
      <c r="E282">
        <v>2505</v>
      </c>
    </row>
    <row r="283" spans="1:5" x14ac:dyDescent="0.35">
      <c r="A283" s="13">
        <v>41640</v>
      </c>
      <c r="B283">
        <f>YEAR(Country_Masterlist__4[[#This Row],[Year1]])</f>
        <v>2014</v>
      </c>
      <c r="C283" t="s">
        <v>34</v>
      </c>
      <c r="D283" t="s">
        <v>114</v>
      </c>
      <c r="E283">
        <v>442</v>
      </c>
    </row>
    <row r="284" spans="1:5" x14ac:dyDescent="0.35">
      <c r="A284" s="13">
        <v>41640</v>
      </c>
      <c r="B284">
        <f>YEAR(Country_Masterlist__4[[#This Row],[Year1]])</f>
        <v>2014</v>
      </c>
      <c r="C284" t="s">
        <v>34</v>
      </c>
      <c r="D284" t="s">
        <v>115</v>
      </c>
      <c r="E284">
        <v>518</v>
      </c>
    </row>
    <row r="285" spans="1:5" x14ac:dyDescent="0.35">
      <c r="A285" s="13">
        <v>41640</v>
      </c>
      <c r="B285">
        <f>YEAR(Country_Masterlist__4[[#This Row],[Year1]])</f>
        <v>2014</v>
      </c>
      <c r="C285" t="s">
        <v>34</v>
      </c>
      <c r="D285" t="s">
        <v>116</v>
      </c>
      <c r="E285">
        <v>111</v>
      </c>
    </row>
    <row r="286" spans="1:5" x14ac:dyDescent="0.35">
      <c r="A286" s="13">
        <v>41640</v>
      </c>
      <c r="B286">
        <f>YEAR(Country_Masterlist__4[[#This Row],[Year1]])</f>
        <v>2014</v>
      </c>
      <c r="C286" t="s">
        <v>33</v>
      </c>
      <c r="D286" t="s">
        <v>117</v>
      </c>
      <c r="E286">
        <v>499</v>
      </c>
    </row>
    <row r="287" spans="1:5" x14ac:dyDescent="0.35">
      <c r="A287" s="13">
        <v>41640</v>
      </c>
      <c r="B287">
        <f>YEAR(Country_Masterlist__4[[#This Row],[Year1]])</f>
        <v>2014</v>
      </c>
      <c r="C287" t="s">
        <v>34</v>
      </c>
      <c r="D287" t="s">
        <v>118</v>
      </c>
      <c r="E287">
        <v>1458</v>
      </c>
    </row>
    <row r="288" spans="1:5" x14ac:dyDescent="0.35">
      <c r="A288" s="13">
        <v>41640</v>
      </c>
      <c r="B288">
        <f>YEAR(Country_Masterlist__4[[#This Row],[Year1]])</f>
        <v>2014</v>
      </c>
      <c r="C288" t="s">
        <v>35</v>
      </c>
      <c r="D288" t="s">
        <v>119</v>
      </c>
      <c r="E288">
        <v>43</v>
      </c>
    </row>
    <row r="289" spans="1:5" x14ac:dyDescent="0.35">
      <c r="A289" s="13">
        <v>41640</v>
      </c>
      <c r="B289">
        <f>YEAR(Country_Masterlist__4[[#This Row],[Year1]])</f>
        <v>2014</v>
      </c>
      <c r="C289" t="s">
        <v>34</v>
      </c>
      <c r="D289" t="s">
        <v>120</v>
      </c>
      <c r="E289">
        <v>62</v>
      </c>
    </row>
    <row r="290" spans="1:5" x14ac:dyDescent="0.35">
      <c r="A290" s="13">
        <v>41640</v>
      </c>
      <c r="B290">
        <f>YEAR(Country_Masterlist__4[[#This Row],[Year1]])</f>
        <v>2014</v>
      </c>
      <c r="C290" t="s">
        <v>34</v>
      </c>
      <c r="D290" t="s">
        <v>121</v>
      </c>
      <c r="E290">
        <v>77</v>
      </c>
    </row>
    <row r="291" spans="1:5" x14ac:dyDescent="0.35">
      <c r="A291" s="13">
        <v>41640</v>
      </c>
      <c r="B291">
        <f>YEAR(Country_Masterlist__4[[#This Row],[Year1]])</f>
        <v>2014</v>
      </c>
      <c r="C291" t="s">
        <v>34</v>
      </c>
      <c r="D291" t="s">
        <v>122</v>
      </c>
      <c r="E291">
        <v>344</v>
      </c>
    </row>
    <row r="292" spans="1:5" x14ac:dyDescent="0.35">
      <c r="A292" s="13">
        <v>41640</v>
      </c>
      <c r="B292">
        <f>YEAR(Country_Masterlist__4[[#This Row],[Year1]])</f>
        <v>2014</v>
      </c>
      <c r="C292" t="s">
        <v>35</v>
      </c>
      <c r="D292" t="s">
        <v>123</v>
      </c>
      <c r="E292">
        <v>122</v>
      </c>
    </row>
    <row r="293" spans="1:5" x14ac:dyDescent="0.35">
      <c r="A293" s="13">
        <v>41640</v>
      </c>
      <c r="B293">
        <f>YEAR(Country_Masterlist__4[[#This Row],[Year1]])</f>
        <v>2014</v>
      </c>
      <c r="C293" t="s">
        <v>34</v>
      </c>
      <c r="D293" t="s">
        <v>124</v>
      </c>
      <c r="E293">
        <v>278</v>
      </c>
    </row>
    <row r="294" spans="1:5" x14ac:dyDescent="0.35">
      <c r="A294" s="13">
        <v>41640</v>
      </c>
      <c r="B294">
        <f>YEAR(Country_Masterlist__4[[#This Row],[Year1]])</f>
        <v>2014</v>
      </c>
      <c r="C294" t="s">
        <v>33</v>
      </c>
      <c r="D294" t="s">
        <v>125</v>
      </c>
      <c r="E294">
        <v>246</v>
      </c>
    </row>
    <row r="295" spans="1:5" x14ac:dyDescent="0.35">
      <c r="A295" s="13">
        <v>41640</v>
      </c>
      <c r="B295">
        <f>YEAR(Country_Masterlist__4[[#This Row],[Year1]])</f>
        <v>2014</v>
      </c>
      <c r="C295" t="s">
        <v>33</v>
      </c>
      <c r="D295" t="s">
        <v>126</v>
      </c>
      <c r="E295">
        <v>67</v>
      </c>
    </row>
    <row r="296" spans="1:5" x14ac:dyDescent="0.35">
      <c r="A296" s="13">
        <v>41640</v>
      </c>
      <c r="B296">
        <f>YEAR(Country_Masterlist__4[[#This Row],[Year1]])</f>
        <v>2014</v>
      </c>
      <c r="C296" t="s">
        <v>35</v>
      </c>
      <c r="D296" t="s">
        <v>127</v>
      </c>
      <c r="E296">
        <v>130</v>
      </c>
    </row>
    <row r="297" spans="1:5" x14ac:dyDescent="0.35">
      <c r="A297" s="13">
        <v>41640</v>
      </c>
      <c r="B297">
        <f>YEAR(Country_Masterlist__4[[#This Row],[Year1]])</f>
        <v>2014</v>
      </c>
      <c r="C297" t="s">
        <v>35</v>
      </c>
      <c r="D297" t="s">
        <v>128</v>
      </c>
      <c r="E297" t="s">
        <v>205</v>
      </c>
    </row>
    <row r="298" spans="1:5" x14ac:dyDescent="0.35">
      <c r="A298" s="13">
        <v>41640</v>
      </c>
      <c r="B298">
        <f>YEAR(Country_Masterlist__4[[#This Row],[Year1]])</f>
        <v>2014</v>
      </c>
      <c r="C298" t="s">
        <v>33</v>
      </c>
      <c r="D298" t="s">
        <v>129</v>
      </c>
      <c r="E298">
        <v>10</v>
      </c>
    </row>
    <row r="299" spans="1:5" x14ac:dyDescent="0.35">
      <c r="A299" s="13">
        <v>41640</v>
      </c>
      <c r="B299">
        <f>YEAR(Country_Masterlist__4[[#This Row],[Year1]])</f>
        <v>2014</v>
      </c>
      <c r="C299" t="s">
        <v>33</v>
      </c>
      <c r="D299" t="s">
        <v>130</v>
      </c>
      <c r="E299">
        <v>20</v>
      </c>
    </row>
    <row r="300" spans="1:5" x14ac:dyDescent="0.35">
      <c r="A300" s="13">
        <v>41640</v>
      </c>
      <c r="B300">
        <f>YEAR(Country_Masterlist__4[[#This Row],[Year1]])</f>
        <v>2014</v>
      </c>
      <c r="C300" t="s">
        <v>34</v>
      </c>
      <c r="D300" t="s">
        <v>131</v>
      </c>
      <c r="E300">
        <v>87</v>
      </c>
    </row>
    <row r="301" spans="1:5" x14ac:dyDescent="0.35">
      <c r="A301" s="13">
        <v>41640</v>
      </c>
      <c r="B301">
        <f>YEAR(Country_Masterlist__4[[#This Row],[Year1]])</f>
        <v>2014</v>
      </c>
      <c r="C301" t="s">
        <v>33</v>
      </c>
      <c r="D301" t="s">
        <v>132</v>
      </c>
      <c r="E301">
        <v>125</v>
      </c>
    </row>
    <row r="302" spans="1:5" x14ac:dyDescent="0.35">
      <c r="A302" s="13">
        <v>41640</v>
      </c>
      <c r="B302">
        <f>YEAR(Country_Masterlist__4[[#This Row],[Year1]])</f>
        <v>2014</v>
      </c>
      <c r="C302" t="s">
        <v>35</v>
      </c>
      <c r="D302" t="s">
        <v>133</v>
      </c>
      <c r="E302">
        <v>5</v>
      </c>
    </row>
    <row r="303" spans="1:5" x14ac:dyDescent="0.35">
      <c r="A303" s="13">
        <v>41640</v>
      </c>
      <c r="B303">
        <f>YEAR(Country_Masterlist__4[[#This Row],[Year1]])</f>
        <v>2014</v>
      </c>
      <c r="C303" t="s">
        <v>37</v>
      </c>
      <c r="D303" t="s">
        <v>134</v>
      </c>
      <c r="E303">
        <v>74</v>
      </c>
    </row>
    <row r="304" spans="1:5" x14ac:dyDescent="0.35">
      <c r="A304" s="13">
        <v>41640</v>
      </c>
      <c r="B304">
        <f>YEAR(Country_Masterlist__4[[#This Row],[Year1]])</f>
        <v>2014</v>
      </c>
      <c r="C304" t="s">
        <v>33</v>
      </c>
      <c r="D304" t="s">
        <v>135</v>
      </c>
      <c r="E304">
        <v>45</v>
      </c>
    </row>
    <row r="305" spans="1:5" x14ac:dyDescent="0.35">
      <c r="A305" s="13">
        <v>41640</v>
      </c>
      <c r="B305">
        <f>YEAR(Country_Masterlist__4[[#This Row],[Year1]])</f>
        <v>2014</v>
      </c>
      <c r="C305" t="s">
        <v>33</v>
      </c>
      <c r="D305" t="s">
        <v>136</v>
      </c>
      <c r="E305">
        <v>17</v>
      </c>
    </row>
    <row r="306" spans="1:5" x14ac:dyDescent="0.35">
      <c r="A306" s="13">
        <v>41640</v>
      </c>
      <c r="B306">
        <f>YEAR(Country_Masterlist__4[[#This Row],[Year1]])</f>
        <v>2014</v>
      </c>
      <c r="C306" t="s">
        <v>36</v>
      </c>
      <c r="D306" t="s">
        <v>14</v>
      </c>
      <c r="E306">
        <v>405844</v>
      </c>
    </row>
    <row r="307" spans="1:5" x14ac:dyDescent="0.35">
      <c r="A307" s="13">
        <v>41640</v>
      </c>
      <c r="B307">
        <f>YEAR(Country_Masterlist__4[[#This Row],[Year1]])</f>
        <v>2014</v>
      </c>
      <c r="C307" t="s">
        <v>37</v>
      </c>
      <c r="D307" t="s">
        <v>137</v>
      </c>
      <c r="E307">
        <v>107</v>
      </c>
    </row>
    <row r="308" spans="1:5" x14ac:dyDescent="0.35">
      <c r="A308" s="13">
        <v>41640</v>
      </c>
      <c r="B308">
        <f>YEAR(Country_Masterlist__4[[#This Row],[Year1]])</f>
        <v>2014</v>
      </c>
      <c r="C308" t="s">
        <v>35</v>
      </c>
      <c r="D308" t="s">
        <v>138</v>
      </c>
      <c r="E308">
        <v>111</v>
      </c>
    </row>
    <row r="309" spans="1:5" x14ac:dyDescent="0.35">
      <c r="A309" s="13">
        <v>41640</v>
      </c>
      <c r="B309">
        <f>YEAR(Country_Masterlist__4[[#This Row],[Year1]])</f>
        <v>2014</v>
      </c>
      <c r="C309" t="s">
        <v>34</v>
      </c>
      <c r="D309" t="s">
        <v>139</v>
      </c>
      <c r="E309">
        <v>105</v>
      </c>
    </row>
    <row r="310" spans="1:5" x14ac:dyDescent="0.35">
      <c r="A310" s="13">
        <v>41640</v>
      </c>
      <c r="B310">
        <f>YEAR(Country_Masterlist__4[[#This Row],[Year1]])</f>
        <v>2014</v>
      </c>
      <c r="C310" t="s">
        <v>35</v>
      </c>
      <c r="D310" t="s">
        <v>140</v>
      </c>
      <c r="E310">
        <v>20</v>
      </c>
    </row>
    <row r="311" spans="1:5" x14ac:dyDescent="0.35">
      <c r="A311" s="13">
        <v>41640</v>
      </c>
      <c r="B311">
        <f>YEAR(Country_Masterlist__4[[#This Row],[Year1]])</f>
        <v>2014</v>
      </c>
      <c r="C311" t="s">
        <v>33</v>
      </c>
      <c r="D311" t="s">
        <v>141</v>
      </c>
      <c r="E311">
        <v>259</v>
      </c>
    </row>
    <row r="312" spans="1:5" x14ac:dyDescent="0.35">
      <c r="A312" s="13">
        <v>41640</v>
      </c>
      <c r="B312">
        <f>YEAR(Country_Masterlist__4[[#This Row],[Year1]])</f>
        <v>2014</v>
      </c>
      <c r="C312" t="s">
        <v>33</v>
      </c>
      <c r="D312" t="s">
        <v>142</v>
      </c>
      <c r="E312" t="s">
        <v>205</v>
      </c>
    </row>
    <row r="313" spans="1:5" x14ac:dyDescent="0.35">
      <c r="A313" s="13">
        <v>41640</v>
      </c>
      <c r="B313">
        <f>YEAR(Country_Masterlist__4[[#This Row],[Year1]])</f>
        <v>2014</v>
      </c>
      <c r="C313" t="s">
        <v>33</v>
      </c>
      <c r="D313" t="s">
        <v>143</v>
      </c>
      <c r="E313">
        <v>7</v>
      </c>
    </row>
    <row r="314" spans="1:5" x14ac:dyDescent="0.35">
      <c r="A314" s="13">
        <v>41640</v>
      </c>
      <c r="B314">
        <f>YEAR(Country_Masterlist__4[[#This Row],[Year1]])</f>
        <v>2014</v>
      </c>
      <c r="C314" t="s">
        <v>34</v>
      </c>
      <c r="D314" t="s">
        <v>144</v>
      </c>
      <c r="E314">
        <v>595</v>
      </c>
    </row>
    <row r="315" spans="1:5" x14ac:dyDescent="0.35">
      <c r="A315" s="13">
        <v>41640</v>
      </c>
      <c r="B315">
        <f>YEAR(Country_Masterlist__4[[#This Row],[Year1]])</f>
        <v>2014</v>
      </c>
      <c r="C315" t="s">
        <v>35</v>
      </c>
      <c r="D315" t="s">
        <v>145</v>
      </c>
      <c r="E315">
        <v>361</v>
      </c>
    </row>
    <row r="316" spans="1:5" x14ac:dyDescent="0.35">
      <c r="A316" s="13">
        <v>41640</v>
      </c>
      <c r="B316">
        <f>YEAR(Country_Masterlist__4[[#This Row],[Year1]])</f>
        <v>2014</v>
      </c>
      <c r="C316" t="s">
        <v>37</v>
      </c>
      <c r="D316" t="s">
        <v>146</v>
      </c>
      <c r="E316">
        <v>139</v>
      </c>
    </row>
    <row r="317" spans="1:5" x14ac:dyDescent="0.35">
      <c r="A317" s="13">
        <v>41640</v>
      </c>
      <c r="B317">
        <f>YEAR(Country_Masterlist__4[[#This Row],[Year1]])</f>
        <v>2014</v>
      </c>
      <c r="C317" t="s">
        <v>36</v>
      </c>
      <c r="D317" t="s">
        <v>147</v>
      </c>
      <c r="E317">
        <v>3228</v>
      </c>
    </row>
    <row r="318" spans="1:5" x14ac:dyDescent="0.35">
      <c r="A318" s="13">
        <v>41640</v>
      </c>
      <c r="B318">
        <f>YEAR(Country_Masterlist__4[[#This Row],[Year1]])</f>
        <v>2014</v>
      </c>
      <c r="C318" t="s">
        <v>33</v>
      </c>
      <c r="D318" t="s">
        <v>148</v>
      </c>
      <c r="E318">
        <v>48</v>
      </c>
    </row>
    <row r="319" spans="1:5" x14ac:dyDescent="0.35">
      <c r="A319" s="13">
        <v>41640</v>
      </c>
      <c r="B319">
        <f>YEAR(Country_Masterlist__4[[#This Row],[Year1]])</f>
        <v>2014</v>
      </c>
      <c r="C319" t="s">
        <v>33</v>
      </c>
      <c r="D319" t="s">
        <v>149</v>
      </c>
      <c r="E319">
        <v>1538</v>
      </c>
    </row>
    <row r="320" spans="1:5" x14ac:dyDescent="0.35">
      <c r="A320" s="13">
        <v>41640</v>
      </c>
      <c r="B320">
        <f>YEAR(Country_Masterlist__4[[#This Row],[Year1]])</f>
        <v>2014</v>
      </c>
      <c r="C320" t="s">
        <v>35</v>
      </c>
      <c r="D320" t="s">
        <v>322</v>
      </c>
      <c r="E320">
        <v>48</v>
      </c>
    </row>
    <row r="321" spans="1:5" x14ac:dyDescent="0.35">
      <c r="A321" s="13">
        <v>41640</v>
      </c>
      <c r="B321">
        <f>YEAR(Country_Masterlist__4[[#This Row],[Year1]])</f>
        <v>2014</v>
      </c>
      <c r="C321" t="s">
        <v>35</v>
      </c>
      <c r="D321" t="s">
        <v>150</v>
      </c>
      <c r="E321">
        <v>66</v>
      </c>
    </row>
    <row r="322" spans="1:5" x14ac:dyDescent="0.35">
      <c r="A322" s="13">
        <v>41640</v>
      </c>
      <c r="B322">
        <f>YEAR(Country_Masterlist__4[[#This Row],[Year1]])</f>
        <v>2014</v>
      </c>
      <c r="C322" t="s">
        <v>34</v>
      </c>
      <c r="D322" t="s">
        <v>151</v>
      </c>
      <c r="E322">
        <v>9</v>
      </c>
    </row>
    <row r="323" spans="1:5" x14ac:dyDescent="0.35">
      <c r="A323" s="13">
        <v>41640</v>
      </c>
      <c r="B323">
        <f>YEAR(Country_Masterlist__4[[#This Row],[Year1]])</f>
        <v>2014</v>
      </c>
      <c r="C323" t="s">
        <v>34</v>
      </c>
      <c r="D323" t="s">
        <v>152</v>
      </c>
      <c r="E323">
        <v>753</v>
      </c>
    </row>
    <row r="324" spans="1:5" x14ac:dyDescent="0.35">
      <c r="A324" s="13">
        <v>41640</v>
      </c>
      <c r="B324">
        <f>YEAR(Country_Masterlist__4[[#This Row],[Year1]])</f>
        <v>2014</v>
      </c>
      <c r="C324" t="s">
        <v>37</v>
      </c>
      <c r="D324" t="s">
        <v>153</v>
      </c>
      <c r="E324">
        <v>28</v>
      </c>
    </row>
    <row r="325" spans="1:5" x14ac:dyDescent="0.35">
      <c r="A325" s="13">
        <v>41640</v>
      </c>
      <c r="B325">
        <f>YEAR(Country_Masterlist__4[[#This Row],[Year1]])</f>
        <v>2014</v>
      </c>
      <c r="C325" t="s">
        <v>36</v>
      </c>
      <c r="D325" t="s">
        <v>154</v>
      </c>
      <c r="E325">
        <v>189</v>
      </c>
    </row>
    <row r="326" spans="1:5" x14ac:dyDescent="0.35">
      <c r="A326" s="13">
        <v>41640</v>
      </c>
      <c r="B326">
        <f>YEAR(Country_Masterlist__4[[#This Row],[Year1]])</f>
        <v>2014</v>
      </c>
      <c r="C326" t="s">
        <v>38</v>
      </c>
      <c r="D326" t="s">
        <v>155</v>
      </c>
      <c r="E326">
        <v>41</v>
      </c>
    </row>
    <row r="327" spans="1:5" x14ac:dyDescent="0.35">
      <c r="A327" s="13">
        <v>41640</v>
      </c>
      <c r="B327">
        <f>YEAR(Country_Masterlist__4[[#This Row],[Year1]])</f>
        <v>2014</v>
      </c>
      <c r="C327" t="s">
        <v>38</v>
      </c>
      <c r="D327" t="s">
        <v>156</v>
      </c>
      <c r="E327">
        <v>1952</v>
      </c>
    </row>
    <row r="328" spans="1:5" x14ac:dyDescent="0.35">
      <c r="A328" s="13">
        <v>41640</v>
      </c>
      <c r="B328">
        <f>YEAR(Country_Masterlist__4[[#This Row],[Year1]])</f>
        <v>2014</v>
      </c>
      <c r="C328" t="s">
        <v>34</v>
      </c>
      <c r="D328" t="s">
        <v>18</v>
      </c>
      <c r="E328">
        <v>1390</v>
      </c>
    </row>
    <row r="329" spans="1:5" x14ac:dyDescent="0.35">
      <c r="A329" s="13">
        <v>41640</v>
      </c>
      <c r="B329">
        <f>YEAR(Country_Masterlist__4[[#This Row],[Year1]])</f>
        <v>2014</v>
      </c>
      <c r="C329" t="s">
        <v>35</v>
      </c>
      <c r="D329" t="s">
        <v>157</v>
      </c>
      <c r="E329">
        <v>548</v>
      </c>
    </row>
    <row r="330" spans="1:5" x14ac:dyDescent="0.35">
      <c r="A330" s="13">
        <v>41640</v>
      </c>
      <c r="B330">
        <f>YEAR(Country_Masterlist__4[[#This Row],[Year1]])</f>
        <v>2014</v>
      </c>
      <c r="C330" t="s">
        <v>35</v>
      </c>
      <c r="D330" t="s">
        <v>158</v>
      </c>
      <c r="E330">
        <v>408</v>
      </c>
    </row>
    <row r="331" spans="1:5" x14ac:dyDescent="0.35">
      <c r="A331" s="13">
        <v>41640</v>
      </c>
      <c r="B331">
        <f>YEAR(Country_Masterlist__4[[#This Row],[Year1]])</f>
        <v>2014</v>
      </c>
      <c r="C331" t="s">
        <v>34</v>
      </c>
      <c r="D331" t="s">
        <v>159</v>
      </c>
      <c r="E331">
        <v>22</v>
      </c>
    </row>
    <row r="332" spans="1:5" x14ac:dyDescent="0.35">
      <c r="A332" s="13">
        <v>41640</v>
      </c>
      <c r="B332">
        <f>YEAR(Country_Masterlist__4[[#This Row],[Year1]])</f>
        <v>2014</v>
      </c>
      <c r="C332" t="s">
        <v>35</v>
      </c>
      <c r="D332" t="s">
        <v>160</v>
      </c>
      <c r="E332">
        <v>1244</v>
      </c>
    </row>
    <row r="333" spans="1:5" x14ac:dyDescent="0.35">
      <c r="A333" s="13">
        <v>41640</v>
      </c>
      <c r="B333">
        <f>YEAR(Country_Masterlist__4[[#This Row],[Year1]])</f>
        <v>2014</v>
      </c>
      <c r="C333" t="s">
        <v>35</v>
      </c>
      <c r="D333" t="s">
        <v>161</v>
      </c>
      <c r="E333">
        <v>511</v>
      </c>
    </row>
    <row r="334" spans="1:5" x14ac:dyDescent="0.35">
      <c r="A334" s="13">
        <v>41640</v>
      </c>
      <c r="B334">
        <f>YEAR(Country_Masterlist__4[[#This Row],[Year1]])</f>
        <v>2014</v>
      </c>
      <c r="C334" t="s">
        <v>33</v>
      </c>
      <c r="D334" t="s">
        <v>162</v>
      </c>
      <c r="E334">
        <v>59</v>
      </c>
    </row>
    <row r="335" spans="1:5" x14ac:dyDescent="0.35">
      <c r="A335" s="13">
        <v>41640</v>
      </c>
      <c r="B335">
        <f>YEAR(Country_Masterlist__4[[#This Row],[Year1]])</f>
        <v>2014</v>
      </c>
      <c r="C335" t="s">
        <v>36</v>
      </c>
      <c r="D335" t="s">
        <v>163</v>
      </c>
      <c r="E335">
        <v>45</v>
      </c>
    </row>
    <row r="336" spans="1:5" x14ac:dyDescent="0.35">
      <c r="A336" s="13">
        <v>41640</v>
      </c>
      <c r="B336">
        <f>YEAR(Country_Masterlist__4[[#This Row],[Year1]])</f>
        <v>2014</v>
      </c>
      <c r="C336" t="s">
        <v>36</v>
      </c>
      <c r="D336" t="s">
        <v>164</v>
      </c>
      <c r="E336">
        <v>74</v>
      </c>
    </row>
    <row r="337" spans="1:5" x14ac:dyDescent="0.35">
      <c r="A337" s="13">
        <v>41640</v>
      </c>
      <c r="B337">
        <f>YEAR(Country_Masterlist__4[[#This Row],[Year1]])</f>
        <v>2014</v>
      </c>
      <c r="C337" t="s">
        <v>36</v>
      </c>
      <c r="D337" t="s">
        <v>165</v>
      </c>
      <c r="E337">
        <v>59</v>
      </c>
    </row>
    <row r="338" spans="1:5" x14ac:dyDescent="0.35">
      <c r="A338" s="13">
        <v>41640</v>
      </c>
      <c r="B338">
        <f>YEAR(Country_Masterlist__4[[#This Row],[Year1]])</f>
        <v>2014</v>
      </c>
      <c r="C338" t="s">
        <v>37</v>
      </c>
      <c r="D338" t="s">
        <v>166</v>
      </c>
      <c r="E338">
        <v>23</v>
      </c>
    </row>
    <row r="339" spans="1:5" x14ac:dyDescent="0.35">
      <c r="A339" s="13">
        <v>41640</v>
      </c>
      <c r="B339">
        <f>YEAR(Country_Masterlist__4[[#This Row],[Year1]])</f>
        <v>2014</v>
      </c>
      <c r="C339" t="s">
        <v>34</v>
      </c>
      <c r="D339" t="s">
        <v>167</v>
      </c>
      <c r="E339">
        <v>684</v>
      </c>
    </row>
    <row r="340" spans="1:5" x14ac:dyDescent="0.35">
      <c r="A340" s="13">
        <v>41640</v>
      </c>
      <c r="B340">
        <f>YEAR(Country_Masterlist__4[[#This Row],[Year1]])</f>
        <v>2014</v>
      </c>
      <c r="C340" t="s">
        <v>33</v>
      </c>
      <c r="D340" t="s">
        <v>168</v>
      </c>
      <c r="E340">
        <v>201</v>
      </c>
    </row>
    <row r="341" spans="1:5" x14ac:dyDescent="0.35">
      <c r="A341" s="13">
        <v>41640</v>
      </c>
      <c r="B341">
        <f>YEAR(Country_Masterlist__4[[#This Row],[Year1]])</f>
        <v>2014</v>
      </c>
      <c r="C341" t="s">
        <v>35</v>
      </c>
      <c r="D341" t="s">
        <v>169</v>
      </c>
      <c r="E341">
        <v>68</v>
      </c>
    </row>
    <row r="342" spans="1:5" x14ac:dyDescent="0.35">
      <c r="A342" s="13">
        <v>41640</v>
      </c>
      <c r="B342">
        <f>YEAR(Country_Masterlist__4[[#This Row],[Year1]])</f>
        <v>2014</v>
      </c>
      <c r="C342" t="s">
        <v>35</v>
      </c>
      <c r="D342" t="s">
        <v>215</v>
      </c>
      <c r="E342">
        <v>58</v>
      </c>
    </row>
    <row r="343" spans="1:5" x14ac:dyDescent="0.35">
      <c r="A343" s="13">
        <v>41640</v>
      </c>
      <c r="B343">
        <f>YEAR(Country_Masterlist__4[[#This Row],[Year1]])</f>
        <v>2014</v>
      </c>
      <c r="C343" t="s">
        <v>33</v>
      </c>
      <c r="D343" t="s">
        <v>170</v>
      </c>
      <c r="E343">
        <v>133</v>
      </c>
    </row>
    <row r="344" spans="1:5" x14ac:dyDescent="0.35">
      <c r="A344" s="13">
        <v>41640</v>
      </c>
      <c r="B344">
        <f>YEAR(Country_Masterlist__4[[#This Row],[Year1]])</f>
        <v>2014</v>
      </c>
      <c r="C344" t="s">
        <v>34</v>
      </c>
      <c r="D344" t="s">
        <v>171</v>
      </c>
      <c r="E344">
        <v>60</v>
      </c>
    </row>
    <row r="345" spans="1:5" x14ac:dyDescent="0.35">
      <c r="A345" s="13">
        <v>41640</v>
      </c>
      <c r="B345">
        <f>YEAR(Country_Masterlist__4[[#This Row],[Year1]])</f>
        <v>2014</v>
      </c>
      <c r="C345" t="s">
        <v>35</v>
      </c>
      <c r="D345" t="s">
        <v>172</v>
      </c>
      <c r="E345">
        <v>110</v>
      </c>
    </row>
    <row r="346" spans="1:5" x14ac:dyDescent="0.35">
      <c r="A346" s="13">
        <v>41640</v>
      </c>
      <c r="B346">
        <f>YEAR(Country_Masterlist__4[[#This Row],[Year1]])</f>
        <v>2014</v>
      </c>
      <c r="C346" t="s">
        <v>35</v>
      </c>
      <c r="D346" t="s">
        <v>173</v>
      </c>
      <c r="E346">
        <v>27</v>
      </c>
    </row>
    <row r="347" spans="1:5" x14ac:dyDescent="0.35">
      <c r="A347" s="13">
        <v>41640</v>
      </c>
      <c r="B347">
        <f>YEAR(Country_Masterlist__4[[#This Row],[Year1]])</f>
        <v>2014</v>
      </c>
      <c r="C347" t="s">
        <v>33</v>
      </c>
      <c r="D347" t="s">
        <v>174</v>
      </c>
      <c r="E347">
        <v>499</v>
      </c>
    </row>
    <row r="348" spans="1:5" x14ac:dyDescent="0.35">
      <c r="A348" s="13">
        <v>41640</v>
      </c>
      <c r="B348">
        <f>YEAR(Country_Masterlist__4[[#This Row],[Year1]])</f>
        <v>2014</v>
      </c>
      <c r="C348" t="s">
        <v>33</v>
      </c>
      <c r="D348" t="s">
        <v>175</v>
      </c>
      <c r="E348">
        <v>179</v>
      </c>
    </row>
    <row r="349" spans="1:5" x14ac:dyDescent="0.35">
      <c r="A349" s="13">
        <v>41640</v>
      </c>
      <c r="B349">
        <f>YEAR(Country_Masterlist__4[[#This Row],[Year1]])</f>
        <v>2014</v>
      </c>
      <c r="C349" t="s">
        <v>33</v>
      </c>
      <c r="D349" t="s">
        <v>176</v>
      </c>
      <c r="E349">
        <v>21</v>
      </c>
    </row>
    <row r="350" spans="1:5" x14ac:dyDescent="0.35">
      <c r="A350" s="13">
        <v>41640</v>
      </c>
      <c r="B350">
        <f>YEAR(Country_Masterlist__4[[#This Row],[Year1]])</f>
        <v>2014</v>
      </c>
      <c r="C350" t="s">
        <v>35</v>
      </c>
      <c r="D350" t="s">
        <v>216</v>
      </c>
      <c r="E350">
        <v>64</v>
      </c>
    </row>
    <row r="351" spans="1:5" x14ac:dyDescent="0.35">
      <c r="A351" s="13">
        <v>41640</v>
      </c>
      <c r="B351">
        <f>YEAR(Country_Masterlist__4[[#This Row],[Year1]])</f>
        <v>2014</v>
      </c>
      <c r="C351" t="s">
        <v>35</v>
      </c>
      <c r="D351" t="s">
        <v>177</v>
      </c>
      <c r="E351">
        <v>1200</v>
      </c>
    </row>
    <row r="352" spans="1:5" x14ac:dyDescent="0.35">
      <c r="A352" s="13">
        <v>41640</v>
      </c>
      <c r="B352">
        <f>YEAR(Country_Masterlist__4[[#This Row],[Year1]])</f>
        <v>2014</v>
      </c>
      <c r="C352" t="s">
        <v>34</v>
      </c>
      <c r="D352" t="s">
        <v>178</v>
      </c>
      <c r="E352">
        <v>198</v>
      </c>
    </row>
    <row r="353" spans="1:5" x14ac:dyDescent="0.35">
      <c r="A353" s="13">
        <v>41640</v>
      </c>
      <c r="B353">
        <f>YEAR(Country_Masterlist__4[[#This Row],[Year1]])</f>
        <v>2014</v>
      </c>
      <c r="C353" t="s">
        <v>33</v>
      </c>
      <c r="D353" t="s">
        <v>179</v>
      </c>
      <c r="E353">
        <v>188</v>
      </c>
    </row>
    <row r="354" spans="1:5" x14ac:dyDescent="0.35">
      <c r="A354" s="13">
        <v>41640</v>
      </c>
      <c r="B354">
        <f>YEAR(Country_Masterlist__4[[#This Row],[Year1]])</f>
        <v>2014</v>
      </c>
      <c r="C354" t="s">
        <v>38</v>
      </c>
      <c r="D354" t="s">
        <v>180</v>
      </c>
      <c r="E354">
        <v>14</v>
      </c>
    </row>
    <row r="355" spans="1:5" x14ac:dyDescent="0.35">
      <c r="A355" s="13">
        <v>41640</v>
      </c>
      <c r="B355">
        <f>YEAR(Country_Masterlist__4[[#This Row],[Year1]])</f>
        <v>2014</v>
      </c>
      <c r="C355" t="s">
        <v>33</v>
      </c>
      <c r="D355" t="s">
        <v>181</v>
      </c>
      <c r="E355">
        <v>5</v>
      </c>
    </row>
    <row r="356" spans="1:5" x14ac:dyDescent="0.35">
      <c r="A356" s="13">
        <v>41640</v>
      </c>
      <c r="B356">
        <f>YEAR(Country_Masterlist__4[[#This Row],[Year1]])</f>
        <v>2014</v>
      </c>
      <c r="C356" t="s">
        <v>35</v>
      </c>
      <c r="D356" t="s">
        <v>182</v>
      </c>
      <c r="E356">
        <v>157</v>
      </c>
    </row>
    <row r="357" spans="1:5" x14ac:dyDescent="0.35">
      <c r="A357" s="13">
        <v>41640</v>
      </c>
      <c r="B357">
        <f>YEAR(Country_Masterlist__4[[#This Row],[Year1]])</f>
        <v>2014</v>
      </c>
      <c r="C357" t="s">
        <v>35</v>
      </c>
      <c r="D357" t="s">
        <v>183</v>
      </c>
      <c r="E357">
        <v>96</v>
      </c>
    </row>
    <row r="358" spans="1:5" x14ac:dyDescent="0.35">
      <c r="A358" s="13">
        <v>41640</v>
      </c>
      <c r="B358">
        <f>YEAR(Country_Masterlist__4[[#This Row],[Year1]])</f>
        <v>2014</v>
      </c>
      <c r="C358" t="s">
        <v>34</v>
      </c>
      <c r="D358" t="s">
        <v>184</v>
      </c>
      <c r="E358">
        <v>312</v>
      </c>
    </row>
    <row r="359" spans="1:5" x14ac:dyDescent="0.35">
      <c r="A359" s="13">
        <v>41640</v>
      </c>
      <c r="B359">
        <f>YEAR(Country_Masterlist__4[[#This Row],[Year1]])</f>
        <v>2014</v>
      </c>
      <c r="C359" t="s">
        <v>34</v>
      </c>
      <c r="D359" t="s">
        <v>185</v>
      </c>
      <c r="E359">
        <v>453</v>
      </c>
    </row>
    <row r="360" spans="1:5" x14ac:dyDescent="0.35">
      <c r="A360" s="13">
        <v>41640</v>
      </c>
      <c r="B360">
        <f>YEAR(Country_Masterlist__4[[#This Row],[Year1]])</f>
        <v>2014</v>
      </c>
      <c r="C360" t="s">
        <v>34</v>
      </c>
      <c r="D360" t="s">
        <v>186</v>
      </c>
      <c r="E360">
        <v>39</v>
      </c>
    </row>
    <row r="361" spans="1:5" x14ac:dyDescent="0.35">
      <c r="A361" s="13">
        <v>41640</v>
      </c>
      <c r="B361">
        <f>YEAR(Country_Masterlist__4[[#This Row],[Year1]])</f>
        <v>2014</v>
      </c>
      <c r="C361" t="s">
        <v>33</v>
      </c>
      <c r="D361" t="s">
        <v>187</v>
      </c>
      <c r="E361">
        <v>158</v>
      </c>
    </row>
    <row r="362" spans="1:5" x14ac:dyDescent="0.35">
      <c r="A362" s="13">
        <v>41640</v>
      </c>
      <c r="B362">
        <f>YEAR(Country_Masterlist__4[[#This Row],[Year1]])</f>
        <v>2014</v>
      </c>
      <c r="C362" t="s">
        <v>34</v>
      </c>
      <c r="D362" t="s">
        <v>188</v>
      </c>
      <c r="E362">
        <v>329</v>
      </c>
    </row>
    <row r="363" spans="1:5" x14ac:dyDescent="0.35">
      <c r="A363" s="13">
        <v>41640</v>
      </c>
      <c r="B363">
        <f>YEAR(Country_Masterlist__4[[#This Row],[Year1]])</f>
        <v>2014</v>
      </c>
      <c r="C363" t="s">
        <v>33</v>
      </c>
      <c r="D363" t="s">
        <v>189</v>
      </c>
      <c r="E363">
        <v>50</v>
      </c>
    </row>
    <row r="364" spans="1:5" x14ac:dyDescent="0.35">
      <c r="A364" s="13">
        <v>41640</v>
      </c>
      <c r="B364">
        <f>YEAR(Country_Masterlist__4[[#This Row],[Year1]])</f>
        <v>2014</v>
      </c>
      <c r="C364" t="s">
        <v>37</v>
      </c>
      <c r="D364" t="s">
        <v>190</v>
      </c>
      <c r="E364">
        <v>58</v>
      </c>
    </row>
    <row r="365" spans="1:5" x14ac:dyDescent="0.35">
      <c r="A365" s="13">
        <v>41640</v>
      </c>
      <c r="B365">
        <f>YEAR(Country_Masterlist__4[[#This Row],[Year1]])</f>
        <v>2014</v>
      </c>
      <c r="C365" t="s">
        <v>36</v>
      </c>
      <c r="D365" t="s">
        <v>191</v>
      </c>
      <c r="E365">
        <v>462</v>
      </c>
    </row>
    <row r="366" spans="1:5" x14ac:dyDescent="0.35">
      <c r="A366" s="13">
        <v>41640</v>
      </c>
      <c r="B366">
        <f>YEAR(Country_Masterlist__4[[#This Row],[Year1]])</f>
        <v>2014</v>
      </c>
      <c r="C366" t="s">
        <v>33</v>
      </c>
      <c r="D366" t="s">
        <v>192</v>
      </c>
      <c r="E366">
        <v>80</v>
      </c>
    </row>
    <row r="367" spans="1:5" x14ac:dyDescent="0.35">
      <c r="A367" s="13">
        <v>41640</v>
      </c>
      <c r="B367">
        <f>YEAR(Country_Masterlist__4[[#This Row],[Year1]])</f>
        <v>2014</v>
      </c>
      <c r="C367" t="s">
        <v>34</v>
      </c>
      <c r="D367" t="s">
        <v>193</v>
      </c>
      <c r="E367">
        <v>367</v>
      </c>
    </row>
    <row r="368" spans="1:5" x14ac:dyDescent="0.35">
      <c r="A368" s="13">
        <v>41640</v>
      </c>
      <c r="B368">
        <f>YEAR(Country_Masterlist__4[[#This Row],[Year1]])</f>
        <v>2014</v>
      </c>
      <c r="C368" t="s">
        <v>34</v>
      </c>
      <c r="D368" t="s">
        <v>194</v>
      </c>
      <c r="E368">
        <v>32</v>
      </c>
    </row>
    <row r="369" spans="1:5" x14ac:dyDescent="0.35">
      <c r="A369" s="13">
        <v>41640</v>
      </c>
      <c r="B369">
        <f>YEAR(Country_Masterlist__4[[#This Row],[Year1]])</f>
        <v>2014</v>
      </c>
      <c r="C369" t="s">
        <v>33</v>
      </c>
      <c r="D369" t="s">
        <v>195</v>
      </c>
      <c r="E369">
        <v>63</v>
      </c>
    </row>
    <row r="370" spans="1:5" x14ac:dyDescent="0.35">
      <c r="A370" s="13">
        <v>41640</v>
      </c>
      <c r="B370">
        <f>YEAR(Country_Masterlist__4[[#This Row],[Year1]])</f>
        <v>2014</v>
      </c>
      <c r="C370" t="s">
        <v>35</v>
      </c>
      <c r="D370" t="s">
        <v>196</v>
      </c>
      <c r="E370">
        <v>389</v>
      </c>
    </row>
    <row r="371" spans="1:5" x14ac:dyDescent="0.35">
      <c r="A371" s="13">
        <v>41640</v>
      </c>
      <c r="B371">
        <f>YEAR(Country_Masterlist__4[[#This Row],[Year1]])</f>
        <v>2014</v>
      </c>
      <c r="C371" t="s">
        <v>34</v>
      </c>
      <c r="D371" t="s">
        <v>197</v>
      </c>
      <c r="E371">
        <v>45</v>
      </c>
    </row>
    <row r="372" spans="1:5" x14ac:dyDescent="0.35">
      <c r="A372" s="13">
        <v>41640</v>
      </c>
      <c r="B372">
        <f>YEAR(Country_Masterlist__4[[#This Row],[Year1]])</f>
        <v>2014</v>
      </c>
      <c r="C372" t="s">
        <v>35</v>
      </c>
      <c r="D372" t="s">
        <v>198</v>
      </c>
      <c r="E372">
        <v>1657</v>
      </c>
    </row>
    <row r="373" spans="1:5" x14ac:dyDescent="0.35">
      <c r="A373" s="13">
        <v>41640</v>
      </c>
      <c r="B373">
        <f>YEAR(Country_Masterlist__4[[#This Row],[Year1]])</f>
        <v>2014</v>
      </c>
      <c r="C373" t="s">
        <v>39</v>
      </c>
      <c r="D373" t="s">
        <v>39</v>
      </c>
      <c r="E373">
        <v>689</v>
      </c>
    </row>
    <row r="374" spans="1:5" x14ac:dyDescent="0.35">
      <c r="A374" s="13">
        <v>41640</v>
      </c>
      <c r="B374">
        <f>YEAR(Country_Masterlist__4[[#This Row],[Year1]])</f>
        <v>2014</v>
      </c>
      <c r="C374" t="s">
        <v>38</v>
      </c>
      <c r="D374" t="s">
        <v>199</v>
      </c>
      <c r="E374">
        <v>122</v>
      </c>
    </row>
    <row r="375" spans="1:5" x14ac:dyDescent="0.35">
      <c r="A375" s="13">
        <v>41640</v>
      </c>
      <c r="B375">
        <f>YEAR(Country_Masterlist__4[[#This Row],[Year1]])</f>
        <v>2014</v>
      </c>
      <c r="C375" t="s">
        <v>34</v>
      </c>
      <c r="D375" t="s">
        <v>200</v>
      </c>
      <c r="E375">
        <v>163</v>
      </c>
    </row>
    <row r="376" spans="1:5" x14ac:dyDescent="0.35">
      <c r="A376" s="13">
        <v>41640</v>
      </c>
      <c r="B376">
        <f>YEAR(Country_Masterlist__4[[#This Row],[Year1]])</f>
        <v>2014</v>
      </c>
      <c r="C376" t="s">
        <v>38</v>
      </c>
      <c r="D376" t="s">
        <v>19</v>
      </c>
      <c r="E376">
        <v>640</v>
      </c>
    </row>
    <row r="377" spans="1:5" x14ac:dyDescent="0.35">
      <c r="A377" s="13">
        <v>41640</v>
      </c>
      <c r="B377">
        <f>YEAR(Country_Masterlist__4[[#This Row],[Year1]])</f>
        <v>2014</v>
      </c>
      <c r="C377" t="s">
        <v>34</v>
      </c>
      <c r="D377" t="s">
        <v>201</v>
      </c>
      <c r="E377">
        <v>882</v>
      </c>
    </row>
    <row r="378" spans="1:5" x14ac:dyDescent="0.35">
      <c r="A378" s="13">
        <v>41640</v>
      </c>
      <c r="B378">
        <f>YEAR(Country_Masterlist__4[[#This Row],[Year1]])</f>
        <v>2014</v>
      </c>
      <c r="C378" t="s">
        <v>34</v>
      </c>
      <c r="D378" t="s">
        <v>202</v>
      </c>
      <c r="E378">
        <v>116</v>
      </c>
    </row>
    <row r="379" spans="1:5" x14ac:dyDescent="0.35">
      <c r="A379" s="13">
        <v>41640</v>
      </c>
      <c r="B379">
        <f>YEAR(Country_Masterlist__4[[#This Row],[Year1]])</f>
        <v>2014</v>
      </c>
      <c r="C379" t="s">
        <v>33</v>
      </c>
      <c r="D379" t="s">
        <v>203</v>
      </c>
      <c r="E379">
        <v>41</v>
      </c>
    </row>
    <row r="380" spans="1:5" x14ac:dyDescent="0.35">
      <c r="A380" s="13">
        <v>41640</v>
      </c>
      <c r="B380">
        <f>YEAR(Country_Masterlist__4[[#This Row],[Year1]])</f>
        <v>2014</v>
      </c>
      <c r="C380" t="s">
        <v>33</v>
      </c>
      <c r="D380" t="s">
        <v>204</v>
      </c>
      <c r="E380">
        <v>68</v>
      </c>
    </row>
    <row r="381" spans="1:5" x14ac:dyDescent="0.35">
      <c r="A381" s="13">
        <v>42005</v>
      </c>
      <c r="B381">
        <f>YEAR(Country_Masterlist__4[[#This Row],[Year1]])</f>
        <v>2015</v>
      </c>
      <c r="C381" t="s">
        <v>34</v>
      </c>
      <c r="D381" t="s">
        <v>40</v>
      </c>
      <c r="E381">
        <v>140</v>
      </c>
    </row>
    <row r="382" spans="1:5" x14ac:dyDescent="0.35">
      <c r="A382" s="13">
        <v>42005</v>
      </c>
      <c r="B382">
        <f>YEAR(Country_Masterlist__4[[#This Row],[Year1]])</f>
        <v>2015</v>
      </c>
      <c r="C382" t="s">
        <v>35</v>
      </c>
      <c r="D382" t="s">
        <v>41</v>
      </c>
      <c r="E382">
        <v>160</v>
      </c>
    </row>
    <row r="383" spans="1:5" x14ac:dyDescent="0.35">
      <c r="A383" s="13">
        <v>42005</v>
      </c>
      <c r="B383">
        <f>YEAR(Country_Masterlist__4[[#This Row],[Year1]])</f>
        <v>2015</v>
      </c>
      <c r="C383" t="s">
        <v>33</v>
      </c>
      <c r="D383" t="s">
        <v>42</v>
      </c>
      <c r="E383">
        <v>88</v>
      </c>
    </row>
    <row r="384" spans="1:5" x14ac:dyDescent="0.35">
      <c r="A384" s="13">
        <v>42005</v>
      </c>
      <c r="B384">
        <f>YEAR(Country_Masterlist__4[[#This Row],[Year1]])</f>
        <v>2015</v>
      </c>
      <c r="D384" t="s">
        <v>373</v>
      </c>
      <c r="E384">
        <v>7</v>
      </c>
    </row>
    <row r="385" spans="1:5" x14ac:dyDescent="0.35">
      <c r="A385" s="13">
        <v>42005</v>
      </c>
      <c r="B385">
        <f>YEAR(Country_Masterlist__4[[#This Row],[Year1]])</f>
        <v>2015</v>
      </c>
      <c r="C385" t="s">
        <v>33</v>
      </c>
      <c r="D385" t="s">
        <v>43</v>
      </c>
      <c r="E385">
        <v>50</v>
      </c>
    </row>
    <row r="386" spans="1:5" x14ac:dyDescent="0.35">
      <c r="A386" s="13">
        <v>42005</v>
      </c>
      <c r="B386">
        <f>YEAR(Country_Masterlist__4[[#This Row],[Year1]])</f>
        <v>2015</v>
      </c>
      <c r="C386" t="s">
        <v>36</v>
      </c>
      <c r="D386" t="s">
        <v>44</v>
      </c>
      <c r="E386">
        <v>37</v>
      </c>
    </row>
    <row r="387" spans="1:5" x14ac:dyDescent="0.35">
      <c r="A387" s="13">
        <v>42005</v>
      </c>
      <c r="B387">
        <f>YEAR(Country_Masterlist__4[[#This Row],[Year1]])</f>
        <v>2015</v>
      </c>
      <c r="C387" t="s">
        <v>38</v>
      </c>
      <c r="D387" t="s">
        <v>45</v>
      </c>
      <c r="E387">
        <v>280</v>
      </c>
    </row>
    <row r="388" spans="1:5" x14ac:dyDescent="0.35">
      <c r="A388" s="13">
        <v>42005</v>
      </c>
      <c r="B388">
        <f>YEAR(Country_Masterlist__4[[#This Row],[Year1]])</f>
        <v>2015</v>
      </c>
      <c r="C388" t="s">
        <v>34</v>
      </c>
      <c r="D388" t="s">
        <v>46</v>
      </c>
      <c r="E388">
        <v>377</v>
      </c>
    </row>
    <row r="389" spans="1:5" x14ac:dyDescent="0.35">
      <c r="A389" s="13">
        <v>42005</v>
      </c>
      <c r="B389">
        <f>YEAR(Country_Masterlist__4[[#This Row],[Year1]])</f>
        <v>2015</v>
      </c>
      <c r="C389" t="s">
        <v>37</v>
      </c>
      <c r="D389" t="s">
        <v>47</v>
      </c>
      <c r="E389">
        <v>516</v>
      </c>
    </row>
    <row r="390" spans="1:5" x14ac:dyDescent="0.35">
      <c r="A390" s="13">
        <v>42005</v>
      </c>
      <c r="B390">
        <f>YEAR(Country_Masterlist__4[[#This Row],[Year1]])</f>
        <v>2015</v>
      </c>
      <c r="C390" t="s">
        <v>35</v>
      </c>
      <c r="D390" t="s">
        <v>48</v>
      </c>
      <c r="E390">
        <v>51</v>
      </c>
    </row>
    <row r="391" spans="1:5" x14ac:dyDescent="0.35">
      <c r="A391" s="13">
        <v>42005</v>
      </c>
      <c r="B391">
        <f>YEAR(Country_Masterlist__4[[#This Row],[Year1]])</f>
        <v>2015</v>
      </c>
      <c r="C391" t="s">
        <v>34</v>
      </c>
      <c r="D391" t="s">
        <v>49</v>
      </c>
      <c r="E391">
        <v>25</v>
      </c>
    </row>
    <row r="392" spans="1:5" x14ac:dyDescent="0.35">
      <c r="A392" s="13">
        <v>42005</v>
      </c>
      <c r="B392">
        <f>YEAR(Country_Masterlist__4[[#This Row],[Year1]])</f>
        <v>2015</v>
      </c>
      <c r="C392" t="s">
        <v>36</v>
      </c>
      <c r="D392" t="s">
        <v>50</v>
      </c>
      <c r="E392">
        <v>664</v>
      </c>
    </row>
    <row r="393" spans="1:5" x14ac:dyDescent="0.35">
      <c r="A393" s="13">
        <v>42005</v>
      </c>
      <c r="B393">
        <f>YEAR(Country_Masterlist__4[[#This Row],[Year1]])</f>
        <v>2015</v>
      </c>
      <c r="C393" t="s">
        <v>34</v>
      </c>
      <c r="D393" t="s">
        <v>51</v>
      </c>
      <c r="E393">
        <v>11</v>
      </c>
    </row>
    <row r="394" spans="1:5" x14ac:dyDescent="0.35">
      <c r="A394" s="13">
        <v>42005</v>
      </c>
      <c r="B394">
        <f>YEAR(Country_Masterlist__4[[#This Row],[Year1]])</f>
        <v>2015</v>
      </c>
      <c r="C394" t="s">
        <v>34</v>
      </c>
      <c r="D394" t="s">
        <v>52</v>
      </c>
      <c r="E394">
        <v>1327</v>
      </c>
    </row>
    <row r="395" spans="1:5" x14ac:dyDescent="0.35">
      <c r="A395" s="13">
        <v>42005</v>
      </c>
      <c r="B395">
        <f>YEAR(Country_Masterlist__4[[#This Row],[Year1]])</f>
        <v>2015</v>
      </c>
      <c r="C395" t="s">
        <v>36</v>
      </c>
      <c r="D395" t="s">
        <v>53</v>
      </c>
      <c r="E395">
        <v>60</v>
      </c>
    </row>
    <row r="396" spans="1:5" x14ac:dyDescent="0.35">
      <c r="A396" s="13">
        <v>42005</v>
      </c>
      <c r="B396">
        <f>YEAR(Country_Masterlist__4[[#This Row],[Year1]])</f>
        <v>2015</v>
      </c>
      <c r="C396" t="s">
        <v>35</v>
      </c>
      <c r="D396" t="s">
        <v>54</v>
      </c>
      <c r="E396">
        <v>39</v>
      </c>
    </row>
    <row r="397" spans="1:5" x14ac:dyDescent="0.35">
      <c r="A397" s="13">
        <v>42005</v>
      </c>
      <c r="B397">
        <f>YEAR(Country_Masterlist__4[[#This Row],[Year1]])</f>
        <v>2015</v>
      </c>
      <c r="C397" t="s">
        <v>35</v>
      </c>
      <c r="D397" t="s">
        <v>55</v>
      </c>
      <c r="E397">
        <v>89</v>
      </c>
    </row>
    <row r="398" spans="1:5" x14ac:dyDescent="0.35">
      <c r="A398" s="13">
        <v>42005</v>
      </c>
      <c r="B398">
        <f>YEAR(Country_Masterlist__4[[#This Row],[Year1]])</f>
        <v>2015</v>
      </c>
      <c r="C398" t="s">
        <v>36</v>
      </c>
      <c r="D398" t="s">
        <v>56</v>
      </c>
      <c r="E398">
        <v>254</v>
      </c>
    </row>
    <row r="399" spans="1:5" x14ac:dyDescent="0.35">
      <c r="A399" s="13">
        <v>42005</v>
      </c>
      <c r="B399">
        <f>YEAR(Country_Masterlist__4[[#This Row],[Year1]])</f>
        <v>2015</v>
      </c>
      <c r="C399" t="s">
        <v>33</v>
      </c>
      <c r="D399" t="s">
        <v>57</v>
      </c>
      <c r="E399">
        <v>51</v>
      </c>
    </row>
    <row r="400" spans="1:5" x14ac:dyDescent="0.35">
      <c r="A400" s="13">
        <v>42005</v>
      </c>
      <c r="B400">
        <f>YEAR(Country_Masterlist__4[[#This Row],[Year1]])</f>
        <v>2015</v>
      </c>
      <c r="C400" t="s">
        <v>34</v>
      </c>
      <c r="D400" t="s">
        <v>58</v>
      </c>
      <c r="E400">
        <v>24</v>
      </c>
    </row>
    <row r="401" spans="1:5" x14ac:dyDescent="0.35">
      <c r="A401" s="13">
        <v>42005</v>
      </c>
      <c r="B401">
        <f>YEAR(Country_Masterlist__4[[#This Row],[Year1]])</f>
        <v>2015</v>
      </c>
      <c r="C401" t="s">
        <v>38</v>
      </c>
      <c r="D401" t="s">
        <v>59</v>
      </c>
      <c r="E401">
        <v>166</v>
      </c>
    </row>
    <row r="402" spans="1:5" x14ac:dyDescent="0.35">
      <c r="A402" s="13">
        <v>42005</v>
      </c>
      <c r="B402">
        <f>YEAR(Country_Masterlist__4[[#This Row],[Year1]])</f>
        <v>2015</v>
      </c>
      <c r="C402" t="s">
        <v>35</v>
      </c>
      <c r="D402" t="s">
        <v>60</v>
      </c>
      <c r="E402">
        <v>157</v>
      </c>
    </row>
    <row r="403" spans="1:5" x14ac:dyDescent="0.35">
      <c r="A403" s="13">
        <v>42005</v>
      </c>
      <c r="B403">
        <f>YEAR(Country_Masterlist__4[[#This Row],[Year1]])</f>
        <v>2015</v>
      </c>
      <c r="C403" t="s">
        <v>33</v>
      </c>
      <c r="D403" t="s">
        <v>61</v>
      </c>
      <c r="E403">
        <v>5</v>
      </c>
    </row>
    <row r="404" spans="1:5" x14ac:dyDescent="0.35">
      <c r="A404" s="13">
        <v>42005</v>
      </c>
      <c r="B404">
        <f>YEAR(Country_Masterlist__4[[#This Row],[Year1]])</f>
        <v>2015</v>
      </c>
      <c r="C404" t="s">
        <v>38</v>
      </c>
      <c r="D404" t="s">
        <v>21</v>
      </c>
      <c r="E404">
        <v>2877</v>
      </c>
    </row>
    <row r="405" spans="1:5" x14ac:dyDescent="0.35">
      <c r="A405" s="13">
        <v>42005</v>
      </c>
      <c r="B405">
        <f>YEAR(Country_Masterlist__4[[#This Row],[Year1]])</f>
        <v>2015</v>
      </c>
      <c r="C405" t="s">
        <v>35</v>
      </c>
      <c r="D405" t="s">
        <v>62</v>
      </c>
      <c r="E405">
        <v>85</v>
      </c>
    </row>
    <row r="406" spans="1:5" x14ac:dyDescent="0.35">
      <c r="A406" s="13">
        <v>42005</v>
      </c>
      <c r="B406">
        <f>YEAR(Country_Masterlist__4[[#This Row],[Year1]])</f>
        <v>2015</v>
      </c>
      <c r="C406" t="s">
        <v>33</v>
      </c>
      <c r="D406" t="s">
        <v>63</v>
      </c>
      <c r="E406">
        <v>85</v>
      </c>
    </row>
    <row r="407" spans="1:5" x14ac:dyDescent="0.35">
      <c r="A407" s="13">
        <v>42005</v>
      </c>
      <c r="B407">
        <f>YEAR(Country_Masterlist__4[[#This Row],[Year1]])</f>
        <v>2015</v>
      </c>
      <c r="C407" t="s">
        <v>34</v>
      </c>
      <c r="D407" t="s">
        <v>64</v>
      </c>
      <c r="E407">
        <v>71</v>
      </c>
    </row>
    <row r="408" spans="1:5" x14ac:dyDescent="0.35">
      <c r="A408" s="13">
        <v>42005</v>
      </c>
      <c r="B408">
        <f>YEAR(Country_Masterlist__4[[#This Row],[Year1]])</f>
        <v>2015</v>
      </c>
      <c r="C408" t="s">
        <v>33</v>
      </c>
      <c r="D408" t="s">
        <v>65</v>
      </c>
      <c r="E408">
        <v>32</v>
      </c>
    </row>
    <row r="409" spans="1:5" x14ac:dyDescent="0.35">
      <c r="A409" s="13">
        <v>42005</v>
      </c>
      <c r="B409">
        <f>YEAR(Country_Masterlist__4[[#This Row],[Year1]])</f>
        <v>2015</v>
      </c>
      <c r="C409" t="s">
        <v>33</v>
      </c>
      <c r="D409" t="s">
        <v>66</v>
      </c>
      <c r="E409">
        <v>59</v>
      </c>
    </row>
    <row r="410" spans="1:5" x14ac:dyDescent="0.35">
      <c r="A410" s="13">
        <v>42005</v>
      </c>
      <c r="B410">
        <f>YEAR(Country_Masterlist__4[[#This Row],[Year1]])</f>
        <v>2015</v>
      </c>
      <c r="C410" t="s">
        <v>34</v>
      </c>
      <c r="D410" t="s">
        <v>67</v>
      </c>
      <c r="E410">
        <v>157</v>
      </c>
    </row>
    <row r="411" spans="1:5" x14ac:dyDescent="0.35">
      <c r="A411" s="13">
        <v>42005</v>
      </c>
      <c r="B411">
        <f>YEAR(Country_Masterlist__4[[#This Row],[Year1]])</f>
        <v>2015</v>
      </c>
      <c r="C411" t="s">
        <v>33</v>
      </c>
      <c r="D411" t="s">
        <v>68</v>
      </c>
      <c r="E411">
        <v>335</v>
      </c>
    </row>
    <row r="412" spans="1:5" x14ac:dyDescent="0.35">
      <c r="A412" s="13">
        <v>42005</v>
      </c>
      <c r="B412">
        <f>YEAR(Country_Masterlist__4[[#This Row],[Year1]])</f>
        <v>2015</v>
      </c>
      <c r="C412" t="s">
        <v>36</v>
      </c>
      <c r="D412" t="s">
        <v>69</v>
      </c>
      <c r="E412">
        <v>23479</v>
      </c>
    </row>
    <row r="413" spans="1:5" x14ac:dyDescent="0.35">
      <c r="A413" s="13">
        <v>42005</v>
      </c>
      <c r="B413">
        <f>YEAR(Country_Masterlist__4[[#This Row],[Year1]])</f>
        <v>2015</v>
      </c>
      <c r="C413" t="s">
        <v>33</v>
      </c>
      <c r="D413" t="s">
        <v>70</v>
      </c>
      <c r="E413">
        <v>5</v>
      </c>
    </row>
    <row r="414" spans="1:5" x14ac:dyDescent="0.35">
      <c r="A414" s="13">
        <v>42005</v>
      </c>
      <c r="B414">
        <f>YEAR(Country_Masterlist__4[[#This Row],[Year1]])</f>
        <v>2015</v>
      </c>
      <c r="C414" t="s">
        <v>33</v>
      </c>
      <c r="D414" t="s">
        <v>71</v>
      </c>
      <c r="E414">
        <v>20</v>
      </c>
    </row>
    <row r="415" spans="1:5" x14ac:dyDescent="0.35">
      <c r="A415" s="13">
        <v>42005</v>
      </c>
      <c r="B415">
        <f>YEAR(Country_Masterlist__4[[#This Row],[Year1]])</f>
        <v>2015</v>
      </c>
      <c r="C415" t="s">
        <v>38</v>
      </c>
      <c r="D415" t="s">
        <v>72</v>
      </c>
      <c r="E415">
        <v>420</v>
      </c>
    </row>
    <row r="416" spans="1:5" x14ac:dyDescent="0.35">
      <c r="A416" s="13">
        <v>42005</v>
      </c>
      <c r="B416">
        <f>YEAR(Country_Masterlist__4[[#This Row],[Year1]])</f>
        <v>2015</v>
      </c>
      <c r="C416" t="s">
        <v>34</v>
      </c>
      <c r="D416" t="s">
        <v>73</v>
      </c>
      <c r="E416">
        <v>4725</v>
      </c>
    </row>
    <row r="417" spans="1:5" x14ac:dyDescent="0.35">
      <c r="A417" s="13">
        <v>42005</v>
      </c>
      <c r="B417">
        <f>YEAR(Country_Masterlist__4[[#This Row],[Year1]])</f>
        <v>2015</v>
      </c>
      <c r="C417" t="s">
        <v>38</v>
      </c>
      <c r="D417" t="s">
        <v>20</v>
      </c>
      <c r="E417">
        <v>2807</v>
      </c>
    </row>
    <row r="418" spans="1:5" x14ac:dyDescent="0.35">
      <c r="A418" s="13">
        <v>42005</v>
      </c>
      <c r="B418">
        <f>YEAR(Country_Masterlist__4[[#This Row],[Year1]])</f>
        <v>2015</v>
      </c>
      <c r="C418" t="s">
        <v>33</v>
      </c>
      <c r="D418" t="s">
        <v>74</v>
      </c>
      <c r="E418">
        <v>125</v>
      </c>
    </row>
    <row r="419" spans="1:5" x14ac:dyDescent="0.35">
      <c r="A419" s="13">
        <v>42005</v>
      </c>
      <c r="B419">
        <f>YEAR(Country_Masterlist__4[[#This Row],[Year1]])</f>
        <v>2015</v>
      </c>
      <c r="C419" t="s">
        <v>33</v>
      </c>
      <c r="D419" t="s">
        <v>75</v>
      </c>
      <c r="E419">
        <v>29</v>
      </c>
    </row>
    <row r="420" spans="1:5" x14ac:dyDescent="0.35">
      <c r="A420" s="13">
        <v>42005</v>
      </c>
      <c r="B420">
        <f>YEAR(Country_Masterlist__4[[#This Row],[Year1]])</f>
        <v>2015</v>
      </c>
      <c r="C420" t="s">
        <v>36</v>
      </c>
      <c r="D420" t="s">
        <v>76</v>
      </c>
      <c r="E420">
        <v>378</v>
      </c>
    </row>
    <row r="421" spans="1:5" x14ac:dyDescent="0.35">
      <c r="A421" s="13">
        <v>42005</v>
      </c>
      <c r="B421">
        <f>YEAR(Country_Masterlist__4[[#This Row],[Year1]])</f>
        <v>2015</v>
      </c>
      <c r="C421" t="s">
        <v>33</v>
      </c>
      <c r="D421" t="s">
        <v>77</v>
      </c>
      <c r="E421">
        <v>90</v>
      </c>
    </row>
    <row r="422" spans="1:5" x14ac:dyDescent="0.35">
      <c r="A422" s="13">
        <v>42005</v>
      </c>
      <c r="B422">
        <f>YEAR(Country_Masterlist__4[[#This Row],[Year1]])</f>
        <v>2015</v>
      </c>
      <c r="C422" t="s">
        <v>35</v>
      </c>
      <c r="D422" t="s">
        <v>78</v>
      </c>
      <c r="E422">
        <v>50</v>
      </c>
    </row>
    <row r="423" spans="1:5" x14ac:dyDescent="0.35">
      <c r="A423" s="13">
        <v>42005</v>
      </c>
      <c r="B423">
        <f>YEAR(Country_Masterlist__4[[#This Row],[Year1]])</f>
        <v>2015</v>
      </c>
      <c r="C423" t="s">
        <v>36</v>
      </c>
      <c r="D423" t="s">
        <v>79</v>
      </c>
      <c r="E423">
        <v>3014</v>
      </c>
    </row>
    <row r="424" spans="1:5" x14ac:dyDescent="0.35">
      <c r="A424" s="13">
        <v>42005</v>
      </c>
      <c r="B424">
        <f>YEAR(Country_Masterlist__4[[#This Row],[Year1]])</f>
        <v>2015</v>
      </c>
      <c r="C424" t="s">
        <v>34</v>
      </c>
      <c r="D424" t="s">
        <v>80</v>
      </c>
      <c r="E424">
        <v>16</v>
      </c>
    </row>
    <row r="425" spans="1:5" x14ac:dyDescent="0.35">
      <c r="A425" s="13">
        <v>42005</v>
      </c>
      <c r="B425">
        <f>YEAR(Country_Masterlist__4[[#This Row],[Year1]])</f>
        <v>2015</v>
      </c>
      <c r="C425" t="s">
        <v>35</v>
      </c>
      <c r="D425" t="s">
        <v>81</v>
      </c>
      <c r="E425">
        <v>177</v>
      </c>
    </row>
    <row r="426" spans="1:5" x14ac:dyDescent="0.35">
      <c r="A426" s="13">
        <v>42005</v>
      </c>
      <c r="B426">
        <f>YEAR(Country_Masterlist__4[[#This Row],[Year1]])</f>
        <v>2015</v>
      </c>
      <c r="C426" t="s">
        <v>35</v>
      </c>
      <c r="D426" t="s">
        <v>214</v>
      </c>
      <c r="E426">
        <v>7</v>
      </c>
    </row>
    <row r="427" spans="1:5" x14ac:dyDescent="0.35">
      <c r="A427" s="13">
        <v>42005</v>
      </c>
      <c r="B427">
        <f>YEAR(Country_Masterlist__4[[#This Row],[Year1]])</f>
        <v>2015</v>
      </c>
      <c r="C427" t="s">
        <v>35</v>
      </c>
      <c r="D427" t="s">
        <v>82</v>
      </c>
      <c r="E427">
        <v>60</v>
      </c>
    </row>
    <row r="428" spans="1:5" x14ac:dyDescent="0.35">
      <c r="A428" s="13">
        <v>42005</v>
      </c>
      <c r="B428">
        <f>YEAR(Country_Masterlist__4[[#This Row],[Year1]])</f>
        <v>2015</v>
      </c>
      <c r="C428" t="s">
        <v>33</v>
      </c>
      <c r="D428" t="s">
        <v>83</v>
      </c>
      <c r="E428">
        <v>9</v>
      </c>
    </row>
    <row r="429" spans="1:5" x14ac:dyDescent="0.35">
      <c r="A429" s="13">
        <v>42005</v>
      </c>
      <c r="B429">
        <f>YEAR(Country_Masterlist__4[[#This Row],[Year1]])</f>
        <v>2015</v>
      </c>
      <c r="C429" t="s">
        <v>36</v>
      </c>
      <c r="D429" t="s">
        <v>84</v>
      </c>
      <c r="E429">
        <v>41</v>
      </c>
    </row>
    <row r="430" spans="1:5" x14ac:dyDescent="0.35">
      <c r="A430" s="13">
        <v>42005</v>
      </c>
      <c r="B430">
        <f>YEAR(Country_Masterlist__4[[#This Row],[Year1]])</f>
        <v>2015</v>
      </c>
      <c r="C430" t="s">
        <v>36</v>
      </c>
      <c r="D430" t="s">
        <v>85</v>
      </c>
      <c r="E430">
        <v>3788</v>
      </c>
    </row>
    <row r="431" spans="1:5" x14ac:dyDescent="0.35">
      <c r="A431" s="13">
        <v>42005</v>
      </c>
      <c r="B431">
        <f>YEAR(Country_Masterlist__4[[#This Row],[Year1]])</f>
        <v>2015</v>
      </c>
      <c r="C431" t="s">
        <v>38</v>
      </c>
      <c r="D431" t="s">
        <v>86</v>
      </c>
      <c r="E431">
        <v>3995</v>
      </c>
    </row>
    <row r="432" spans="1:5" x14ac:dyDescent="0.35">
      <c r="A432" s="13">
        <v>42005</v>
      </c>
      <c r="B432">
        <f>YEAR(Country_Masterlist__4[[#This Row],[Year1]])</f>
        <v>2015</v>
      </c>
      <c r="C432" t="s">
        <v>33</v>
      </c>
      <c r="D432" t="s">
        <v>87</v>
      </c>
      <c r="E432">
        <v>360</v>
      </c>
    </row>
    <row r="433" spans="1:5" x14ac:dyDescent="0.35">
      <c r="A433" s="13">
        <v>42005</v>
      </c>
      <c r="B433">
        <f>YEAR(Country_Masterlist__4[[#This Row],[Year1]])</f>
        <v>2015</v>
      </c>
      <c r="C433" t="s">
        <v>36</v>
      </c>
      <c r="D433" t="s">
        <v>16</v>
      </c>
      <c r="E433">
        <v>53336</v>
      </c>
    </row>
    <row r="434" spans="1:5" x14ac:dyDescent="0.35">
      <c r="A434" s="13">
        <v>42005</v>
      </c>
      <c r="B434">
        <f>YEAR(Country_Masterlist__4[[#This Row],[Year1]])</f>
        <v>2015</v>
      </c>
      <c r="C434" t="s">
        <v>33</v>
      </c>
      <c r="D434" t="s">
        <v>88</v>
      </c>
      <c r="E434">
        <v>8</v>
      </c>
    </row>
    <row r="435" spans="1:5" x14ac:dyDescent="0.35">
      <c r="A435" s="13">
        <v>42005</v>
      </c>
      <c r="B435">
        <f>YEAR(Country_Masterlist__4[[#This Row],[Year1]])</f>
        <v>2015</v>
      </c>
      <c r="C435" t="s">
        <v>33</v>
      </c>
      <c r="D435" t="s">
        <v>89</v>
      </c>
      <c r="E435">
        <v>304</v>
      </c>
    </row>
    <row r="436" spans="1:5" x14ac:dyDescent="0.35">
      <c r="A436" s="13">
        <v>42005</v>
      </c>
      <c r="B436">
        <f>YEAR(Country_Masterlist__4[[#This Row],[Year1]])</f>
        <v>2015</v>
      </c>
      <c r="C436" t="s">
        <v>35</v>
      </c>
      <c r="D436" t="s">
        <v>90</v>
      </c>
      <c r="E436">
        <v>44</v>
      </c>
    </row>
    <row r="437" spans="1:5" x14ac:dyDescent="0.35">
      <c r="A437" s="13">
        <v>42005</v>
      </c>
      <c r="B437">
        <f>YEAR(Country_Masterlist__4[[#This Row],[Year1]])</f>
        <v>2015</v>
      </c>
      <c r="C437" t="s">
        <v>33</v>
      </c>
      <c r="D437" t="s">
        <v>91</v>
      </c>
      <c r="E437">
        <v>344</v>
      </c>
    </row>
    <row r="438" spans="1:5" x14ac:dyDescent="0.35">
      <c r="A438" s="13">
        <v>42005</v>
      </c>
      <c r="B438">
        <f>YEAR(Country_Masterlist__4[[#This Row],[Year1]])</f>
        <v>2015</v>
      </c>
      <c r="C438" t="s">
        <v>37</v>
      </c>
      <c r="D438" t="s">
        <v>92</v>
      </c>
      <c r="E438">
        <v>69</v>
      </c>
    </row>
    <row r="439" spans="1:5" x14ac:dyDescent="0.35">
      <c r="A439" s="13">
        <v>42005</v>
      </c>
      <c r="B439">
        <f>YEAR(Country_Masterlist__4[[#This Row],[Year1]])</f>
        <v>2015</v>
      </c>
      <c r="C439" t="s">
        <v>35</v>
      </c>
      <c r="D439" t="s">
        <v>93</v>
      </c>
      <c r="E439">
        <v>34</v>
      </c>
    </row>
    <row r="440" spans="1:5" x14ac:dyDescent="0.35">
      <c r="A440" s="13">
        <v>42005</v>
      </c>
      <c r="B440">
        <f>YEAR(Country_Masterlist__4[[#This Row],[Year1]])</f>
        <v>2015</v>
      </c>
      <c r="C440" t="s">
        <v>35</v>
      </c>
      <c r="D440" t="s">
        <v>94</v>
      </c>
      <c r="E440">
        <v>674</v>
      </c>
    </row>
    <row r="441" spans="1:5" x14ac:dyDescent="0.35">
      <c r="A441" s="13">
        <v>42005</v>
      </c>
      <c r="B441">
        <f>YEAR(Country_Masterlist__4[[#This Row],[Year1]])</f>
        <v>2015</v>
      </c>
      <c r="C441" t="s">
        <v>33</v>
      </c>
      <c r="D441" t="s">
        <v>95</v>
      </c>
      <c r="E441">
        <v>14</v>
      </c>
    </row>
    <row r="442" spans="1:5" x14ac:dyDescent="0.35">
      <c r="A442" s="13">
        <v>42005</v>
      </c>
      <c r="B442">
        <f>YEAR(Country_Masterlist__4[[#This Row],[Year1]])</f>
        <v>2015</v>
      </c>
      <c r="C442" t="s">
        <v>33</v>
      </c>
      <c r="D442" t="s">
        <v>96</v>
      </c>
      <c r="E442">
        <v>55</v>
      </c>
    </row>
    <row r="443" spans="1:5" x14ac:dyDescent="0.35">
      <c r="A443" s="13">
        <v>42005</v>
      </c>
      <c r="B443">
        <f>YEAR(Country_Masterlist__4[[#This Row],[Year1]])</f>
        <v>2015</v>
      </c>
      <c r="C443" t="s">
        <v>34</v>
      </c>
      <c r="D443" t="s">
        <v>8</v>
      </c>
      <c r="E443">
        <v>75</v>
      </c>
    </row>
    <row r="444" spans="1:5" x14ac:dyDescent="0.35">
      <c r="A444" s="13">
        <v>42005</v>
      </c>
      <c r="B444">
        <f>YEAR(Country_Masterlist__4[[#This Row],[Year1]])</f>
        <v>2015</v>
      </c>
      <c r="C444" t="s">
        <v>35</v>
      </c>
      <c r="D444" t="s">
        <v>97</v>
      </c>
      <c r="E444">
        <v>531</v>
      </c>
    </row>
    <row r="445" spans="1:5" x14ac:dyDescent="0.35">
      <c r="A445" s="13">
        <v>42005</v>
      </c>
      <c r="B445">
        <f>YEAR(Country_Masterlist__4[[#This Row],[Year1]])</f>
        <v>2015</v>
      </c>
      <c r="C445" t="s">
        <v>33</v>
      </c>
      <c r="D445" t="s">
        <v>98</v>
      </c>
      <c r="E445">
        <v>855</v>
      </c>
    </row>
    <row r="446" spans="1:5" x14ac:dyDescent="0.35">
      <c r="A446" s="13">
        <v>42005</v>
      </c>
      <c r="B446">
        <f>YEAR(Country_Masterlist__4[[#This Row],[Year1]])</f>
        <v>2015</v>
      </c>
      <c r="C446" t="s">
        <v>35</v>
      </c>
      <c r="D446" t="s">
        <v>99</v>
      </c>
      <c r="E446">
        <v>194</v>
      </c>
    </row>
    <row r="447" spans="1:5" x14ac:dyDescent="0.35">
      <c r="A447" s="13">
        <v>42005</v>
      </c>
      <c r="B447">
        <f>YEAR(Country_Masterlist__4[[#This Row],[Year1]])</f>
        <v>2015</v>
      </c>
      <c r="C447" t="s">
        <v>36</v>
      </c>
      <c r="D447" t="s">
        <v>100</v>
      </c>
      <c r="E447">
        <v>49</v>
      </c>
    </row>
    <row r="448" spans="1:5" x14ac:dyDescent="0.35">
      <c r="A448" s="13">
        <v>42005</v>
      </c>
      <c r="B448">
        <f>YEAR(Country_Masterlist__4[[#This Row],[Year1]])</f>
        <v>2015</v>
      </c>
      <c r="C448" t="s">
        <v>36</v>
      </c>
      <c r="D448" t="s">
        <v>15</v>
      </c>
      <c r="E448">
        <v>73111</v>
      </c>
    </row>
    <row r="449" spans="1:5" x14ac:dyDescent="0.35">
      <c r="A449" s="13">
        <v>42005</v>
      </c>
      <c r="B449">
        <f>YEAR(Country_Masterlist__4[[#This Row],[Year1]])</f>
        <v>2015</v>
      </c>
      <c r="C449" t="s">
        <v>33</v>
      </c>
      <c r="D449" t="s">
        <v>101</v>
      </c>
      <c r="E449">
        <v>121</v>
      </c>
    </row>
    <row r="450" spans="1:5" x14ac:dyDescent="0.35">
      <c r="A450" s="13">
        <v>42005</v>
      </c>
      <c r="B450">
        <f>YEAR(Country_Masterlist__4[[#This Row],[Year1]])</f>
        <v>2015</v>
      </c>
      <c r="C450" t="s">
        <v>33</v>
      </c>
      <c r="D450" t="s">
        <v>102</v>
      </c>
      <c r="E450">
        <v>6</v>
      </c>
    </row>
    <row r="451" spans="1:5" x14ac:dyDescent="0.35">
      <c r="A451" s="13">
        <v>42005</v>
      </c>
      <c r="B451">
        <f>YEAR(Country_Masterlist__4[[#This Row],[Year1]])</f>
        <v>2015</v>
      </c>
      <c r="C451" t="s">
        <v>38</v>
      </c>
      <c r="D451" t="s">
        <v>103</v>
      </c>
      <c r="E451">
        <v>310</v>
      </c>
    </row>
    <row r="452" spans="1:5" x14ac:dyDescent="0.35">
      <c r="A452" s="13">
        <v>42005</v>
      </c>
      <c r="B452">
        <f>YEAR(Country_Masterlist__4[[#This Row],[Year1]])</f>
        <v>2015</v>
      </c>
      <c r="C452" t="s">
        <v>36</v>
      </c>
      <c r="D452" t="s">
        <v>104</v>
      </c>
      <c r="E452">
        <v>1907</v>
      </c>
    </row>
    <row r="453" spans="1:5" x14ac:dyDescent="0.35">
      <c r="A453" s="13">
        <v>42005</v>
      </c>
      <c r="B453">
        <f>YEAR(Country_Masterlist__4[[#This Row],[Year1]])</f>
        <v>2015</v>
      </c>
      <c r="C453" t="s">
        <v>36</v>
      </c>
      <c r="D453" t="s">
        <v>17</v>
      </c>
      <c r="E453">
        <v>45228</v>
      </c>
    </row>
    <row r="454" spans="1:5" x14ac:dyDescent="0.35">
      <c r="A454" s="13">
        <v>42005</v>
      </c>
      <c r="B454">
        <f>YEAR(Country_Masterlist__4[[#This Row],[Year1]])</f>
        <v>2015</v>
      </c>
      <c r="C454" t="s">
        <v>35</v>
      </c>
      <c r="D454" t="s">
        <v>105</v>
      </c>
      <c r="E454">
        <v>268</v>
      </c>
    </row>
    <row r="455" spans="1:5" x14ac:dyDescent="0.35">
      <c r="A455" s="13">
        <v>42005</v>
      </c>
      <c r="B455">
        <f>YEAR(Country_Masterlist__4[[#This Row],[Year1]])</f>
        <v>2015</v>
      </c>
      <c r="C455" t="s">
        <v>35</v>
      </c>
      <c r="D455" t="s">
        <v>106</v>
      </c>
      <c r="E455">
        <v>10</v>
      </c>
    </row>
    <row r="456" spans="1:5" x14ac:dyDescent="0.35">
      <c r="A456" s="13">
        <v>42005</v>
      </c>
      <c r="B456">
        <f>YEAR(Country_Masterlist__4[[#This Row],[Year1]])</f>
        <v>2015</v>
      </c>
      <c r="C456" t="s">
        <v>34</v>
      </c>
      <c r="D456" t="s">
        <v>22</v>
      </c>
      <c r="E456">
        <v>4682</v>
      </c>
    </row>
    <row r="457" spans="1:5" x14ac:dyDescent="0.35">
      <c r="A457" s="13">
        <v>42005</v>
      </c>
      <c r="B457">
        <f>YEAR(Country_Masterlist__4[[#This Row],[Year1]])</f>
        <v>2015</v>
      </c>
      <c r="C457" t="s">
        <v>34</v>
      </c>
      <c r="D457" t="s">
        <v>107</v>
      </c>
      <c r="E457">
        <v>153</v>
      </c>
    </row>
    <row r="458" spans="1:5" x14ac:dyDescent="0.35">
      <c r="A458" s="13">
        <v>42005</v>
      </c>
      <c r="B458">
        <f>YEAR(Country_Masterlist__4[[#This Row],[Year1]])</f>
        <v>2015</v>
      </c>
      <c r="C458" t="s">
        <v>34</v>
      </c>
      <c r="D458" t="s">
        <v>108</v>
      </c>
      <c r="E458">
        <v>787</v>
      </c>
    </row>
    <row r="459" spans="1:5" x14ac:dyDescent="0.35">
      <c r="A459" s="13">
        <v>42005</v>
      </c>
      <c r="B459">
        <f>YEAR(Country_Masterlist__4[[#This Row],[Year1]])</f>
        <v>2015</v>
      </c>
      <c r="C459" t="s">
        <v>34</v>
      </c>
      <c r="D459" t="s">
        <v>109</v>
      </c>
      <c r="E459">
        <v>485</v>
      </c>
    </row>
    <row r="460" spans="1:5" x14ac:dyDescent="0.35">
      <c r="A460" s="13">
        <v>42005</v>
      </c>
      <c r="B460">
        <f>YEAR(Country_Masterlist__4[[#This Row],[Year1]])</f>
        <v>2015</v>
      </c>
      <c r="C460" t="s">
        <v>35</v>
      </c>
      <c r="D460" t="s">
        <v>110</v>
      </c>
      <c r="E460">
        <v>173</v>
      </c>
    </row>
    <row r="461" spans="1:5" x14ac:dyDescent="0.35">
      <c r="A461" s="13">
        <v>42005</v>
      </c>
      <c r="B461">
        <f>YEAR(Country_Masterlist__4[[#This Row],[Year1]])</f>
        <v>2015</v>
      </c>
      <c r="C461" t="s">
        <v>34</v>
      </c>
      <c r="D461" t="s">
        <v>111</v>
      </c>
      <c r="E461">
        <v>509</v>
      </c>
    </row>
    <row r="462" spans="1:5" x14ac:dyDescent="0.35">
      <c r="A462" s="13">
        <v>42005</v>
      </c>
      <c r="B462">
        <f>YEAR(Country_Masterlist__4[[#This Row],[Year1]])</f>
        <v>2015</v>
      </c>
      <c r="C462" t="s">
        <v>35</v>
      </c>
      <c r="D462" t="s">
        <v>112</v>
      </c>
      <c r="E462">
        <v>769</v>
      </c>
    </row>
    <row r="463" spans="1:5" x14ac:dyDescent="0.35">
      <c r="A463" s="13">
        <v>42005</v>
      </c>
      <c r="B463">
        <f>YEAR(Country_Masterlist__4[[#This Row],[Year1]])</f>
        <v>2015</v>
      </c>
      <c r="C463" t="s">
        <v>36</v>
      </c>
      <c r="D463" t="s">
        <v>113</v>
      </c>
      <c r="E463">
        <v>2120</v>
      </c>
    </row>
    <row r="464" spans="1:5" x14ac:dyDescent="0.35">
      <c r="A464" s="13">
        <v>42005</v>
      </c>
      <c r="B464">
        <f>YEAR(Country_Masterlist__4[[#This Row],[Year1]])</f>
        <v>2015</v>
      </c>
      <c r="C464" t="s">
        <v>34</v>
      </c>
      <c r="D464" t="s">
        <v>114</v>
      </c>
      <c r="E464">
        <v>424</v>
      </c>
    </row>
    <row r="465" spans="1:5" x14ac:dyDescent="0.35">
      <c r="A465" s="13">
        <v>42005</v>
      </c>
      <c r="B465">
        <f>YEAR(Country_Masterlist__4[[#This Row],[Year1]])</f>
        <v>2015</v>
      </c>
      <c r="C465" t="s">
        <v>34</v>
      </c>
      <c r="D465" t="s">
        <v>115</v>
      </c>
      <c r="E465">
        <v>736</v>
      </c>
    </row>
    <row r="466" spans="1:5" x14ac:dyDescent="0.35">
      <c r="A466" s="13">
        <v>42005</v>
      </c>
      <c r="B466">
        <f>YEAR(Country_Masterlist__4[[#This Row],[Year1]])</f>
        <v>2015</v>
      </c>
      <c r="C466" t="s">
        <v>34</v>
      </c>
      <c r="D466" t="s">
        <v>116</v>
      </c>
      <c r="E466">
        <v>80</v>
      </c>
    </row>
    <row r="467" spans="1:5" x14ac:dyDescent="0.35">
      <c r="A467" s="13">
        <v>42005</v>
      </c>
      <c r="B467">
        <f>YEAR(Country_Masterlist__4[[#This Row],[Year1]])</f>
        <v>2015</v>
      </c>
      <c r="C467" t="s">
        <v>33</v>
      </c>
      <c r="D467" t="s">
        <v>117</v>
      </c>
      <c r="E467">
        <v>487</v>
      </c>
    </row>
    <row r="468" spans="1:5" x14ac:dyDescent="0.35">
      <c r="A468" s="13">
        <v>42005</v>
      </c>
      <c r="B468">
        <f>YEAR(Country_Masterlist__4[[#This Row],[Year1]])</f>
        <v>2015</v>
      </c>
      <c r="C468" t="s">
        <v>34</v>
      </c>
      <c r="D468" t="s">
        <v>118</v>
      </c>
      <c r="E468">
        <v>1320</v>
      </c>
    </row>
    <row r="469" spans="1:5" x14ac:dyDescent="0.35">
      <c r="A469" s="13">
        <v>42005</v>
      </c>
      <c r="B469">
        <f>YEAR(Country_Masterlist__4[[#This Row],[Year1]])</f>
        <v>2015</v>
      </c>
      <c r="C469" t="s">
        <v>35</v>
      </c>
      <c r="D469" t="s">
        <v>119</v>
      </c>
      <c r="E469">
        <v>43</v>
      </c>
    </row>
    <row r="470" spans="1:5" x14ac:dyDescent="0.35">
      <c r="A470" s="13">
        <v>42005</v>
      </c>
      <c r="B470">
        <f>YEAR(Country_Masterlist__4[[#This Row],[Year1]])</f>
        <v>2015</v>
      </c>
      <c r="C470" t="s">
        <v>34</v>
      </c>
      <c r="D470" t="s">
        <v>120</v>
      </c>
      <c r="E470">
        <v>106</v>
      </c>
    </row>
    <row r="471" spans="1:5" x14ac:dyDescent="0.35">
      <c r="A471" s="13">
        <v>42005</v>
      </c>
      <c r="B471">
        <f>YEAR(Country_Masterlist__4[[#This Row],[Year1]])</f>
        <v>2015</v>
      </c>
      <c r="C471" t="s">
        <v>34</v>
      </c>
      <c r="D471" t="s">
        <v>121</v>
      </c>
      <c r="E471">
        <v>46</v>
      </c>
    </row>
    <row r="472" spans="1:5" x14ac:dyDescent="0.35">
      <c r="A472" s="13">
        <v>42005</v>
      </c>
      <c r="B472">
        <f>YEAR(Country_Masterlist__4[[#This Row],[Year1]])</f>
        <v>2015</v>
      </c>
      <c r="C472" t="s">
        <v>34</v>
      </c>
      <c r="D472" t="s">
        <v>122</v>
      </c>
      <c r="E472">
        <v>204</v>
      </c>
    </row>
    <row r="473" spans="1:5" x14ac:dyDescent="0.35">
      <c r="A473" s="13">
        <v>42005</v>
      </c>
      <c r="B473">
        <f>YEAR(Country_Masterlist__4[[#This Row],[Year1]])</f>
        <v>2015</v>
      </c>
      <c r="C473" t="s">
        <v>35</v>
      </c>
      <c r="D473" t="s">
        <v>123</v>
      </c>
      <c r="E473">
        <v>132</v>
      </c>
    </row>
    <row r="474" spans="1:5" x14ac:dyDescent="0.35">
      <c r="A474" s="13">
        <v>42005</v>
      </c>
      <c r="B474">
        <f>YEAR(Country_Masterlist__4[[#This Row],[Year1]])</f>
        <v>2015</v>
      </c>
      <c r="C474" t="s">
        <v>34</v>
      </c>
      <c r="D474" t="s">
        <v>124</v>
      </c>
      <c r="E474">
        <v>262</v>
      </c>
    </row>
    <row r="475" spans="1:5" x14ac:dyDescent="0.35">
      <c r="A475" s="13">
        <v>42005</v>
      </c>
      <c r="B475">
        <f>YEAR(Country_Masterlist__4[[#This Row],[Year1]])</f>
        <v>2015</v>
      </c>
      <c r="C475" t="s">
        <v>33</v>
      </c>
      <c r="D475" t="s">
        <v>125</v>
      </c>
      <c r="E475">
        <v>174</v>
      </c>
    </row>
    <row r="476" spans="1:5" x14ac:dyDescent="0.35">
      <c r="A476" s="13">
        <v>42005</v>
      </c>
      <c r="B476">
        <f>YEAR(Country_Masterlist__4[[#This Row],[Year1]])</f>
        <v>2015</v>
      </c>
      <c r="C476" t="s">
        <v>33</v>
      </c>
      <c r="D476" t="s">
        <v>126</v>
      </c>
      <c r="E476">
        <v>64</v>
      </c>
    </row>
    <row r="477" spans="1:5" x14ac:dyDescent="0.35">
      <c r="A477" s="13">
        <v>42005</v>
      </c>
      <c r="B477">
        <f>YEAR(Country_Masterlist__4[[#This Row],[Year1]])</f>
        <v>2015</v>
      </c>
      <c r="C477" t="s">
        <v>35</v>
      </c>
      <c r="D477" t="s">
        <v>127</v>
      </c>
      <c r="E477">
        <v>115</v>
      </c>
    </row>
    <row r="478" spans="1:5" x14ac:dyDescent="0.35">
      <c r="A478" s="13">
        <v>42005</v>
      </c>
      <c r="B478">
        <f>YEAR(Country_Masterlist__4[[#This Row],[Year1]])</f>
        <v>2015</v>
      </c>
      <c r="C478" t="s">
        <v>35</v>
      </c>
      <c r="D478" t="s">
        <v>128</v>
      </c>
      <c r="E478" t="s">
        <v>205</v>
      </c>
    </row>
    <row r="479" spans="1:5" x14ac:dyDescent="0.35">
      <c r="A479" s="13">
        <v>42005</v>
      </c>
      <c r="B479">
        <f>YEAR(Country_Masterlist__4[[#This Row],[Year1]])</f>
        <v>2015</v>
      </c>
      <c r="C479" t="s">
        <v>33</v>
      </c>
      <c r="D479" t="s">
        <v>129</v>
      </c>
      <c r="E479" t="s">
        <v>205</v>
      </c>
    </row>
    <row r="480" spans="1:5" x14ac:dyDescent="0.35">
      <c r="A480" s="13">
        <v>42005</v>
      </c>
      <c r="B480">
        <f>YEAR(Country_Masterlist__4[[#This Row],[Year1]])</f>
        <v>2015</v>
      </c>
      <c r="C480" t="s">
        <v>33</v>
      </c>
      <c r="D480" t="s">
        <v>130</v>
      </c>
      <c r="E480">
        <v>14</v>
      </c>
    </row>
    <row r="481" spans="1:5" x14ac:dyDescent="0.35">
      <c r="A481" s="13">
        <v>42005</v>
      </c>
      <c r="B481">
        <f>YEAR(Country_Masterlist__4[[#This Row],[Year1]])</f>
        <v>2015</v>
      </c>
      <c r="C481" t="s">
        <v>34</v>
      </c>
      <c r="D481" t="s">
        <v>131</v>
      </c>
      <c r="E481">
        <v>62</v>
      </c>
    </row>
    <row r="482" spans="1:5" x14ac:dyDescent="0.35">
      <c r="A482" s="13">
        <v>42005</v>
      </c>
      <c r="B482">
        <f>YEAR(Country_Masterlist__4[[#This Row],[Year1]])</f>
        <v>2015</v>
      </c>
      <c r="C482" t="s">
        <v>33</v>
      </c>
      <c r="D482" t="s">
        <v>132</v>
      </c>
      <c r="E482">
        <v>78</v>
      </c>
    </row>
    <row r="483" spans="1:5" x14ac:dyDescent="0.35">
      <c r="A483" s="13">
        <v>42005</v>
      </c>
      <c r="B483">
        <f>YEAR(Country_Masterlist__4[[#This Row],[Year1]])</f>
        <v>2015</v>
      </c>
      <c r="C483" t="s">
        <v>35</v>
      </c>
      <c r="D483" t="s">
        <v>133</v>
      </c>
      <c r="E483">
        <v>3</v>
      </c>
    </row>
    <row r="484" spans="1:5" x14ac:dyDescent="0.35">
      <c r="A484" s="13">
        <v>42005</v>
      </c>
      <c r="B484">
        <f>YEAR(Country_Masterlist__4[[#This Row],[Year1]])</f>
        <v>2015</v>
      </c>
      <c r="C484" t="s">
        <v>37</v>
      </c>
      <c r="D484" t="s">
        <v>134</v>
      </c>
      <c r="E484">
        <v>38</v>
      </c>
    </row>
    <row r="485" spans="1:5" x14ac:dyDescent="0.35">
      <c r="A485" s="13">
        <v>42005</v>
      </c>
      <c r="B485">
        <f>YEAR(Country_Masterlist__4[[#This Row],[Year1]])</f>
        <v>2015</v>
      </c>
      <c r="C485" t="s">
        <v>33</v>
      </c>
      <c r="D485" t="s">
        <v>135</v>
      </c>
      <c r="E485">
        <v>30</v>
      </c>
    </row>
    <row r="486" spans="1:5" x14ac:dyDescent="0.35">
      <c r="A486" s="13">
        <v>42005</v>
      </c>
      <c r="B486">
        <f>YEAR(Country_Masterlist__4[[#This Row],[Year1]])</f>
        <v>2015</v>
      </c>
      <c r="C486" t="s">
        <v>33</v>
      </c>
      <c r="D486" t="s">
        <v>136</v>
      </c>
      <c r="E486">
        <v>9</v>
      </c>
    </row>
    <row r="487" spans="1:5" x14ac:dyDescent="0.35">
      <c r="A487" s="13">
        <v>42005</v>
      </c>
      <c r="B487">
        <f>YEAR(Country_Masterlist__4[[#This Row],[Year1]])</f>
        <v>2015</v>
      </c>
      <c r="C487" t="s">
        <v>36</v>
      </c>
      <c r="D487" t="s">
        <v>14</v>
      </c>
      <c r="E487">
        <v>330921</v>
      </c>
    </row>
    <row r="488" spans="1:5" x14ac:dyDescent="0.35">
      <c r="A488" s="13">
        <v>42005</v>
      </c>
      <c r="B488">
        <f>YEAR(Country_Masterlist__4[[#This Row],[Year1]])</f>
        <v>2015</v>
      </c>
      <c r="C488" t="s">
        <v>37</v>
      </c>
      <c r="D488" t="s">
        <v>137</v>
      </c>
      <c r="E488">
        <v>90</v>
      </c>
    </row>
    <row r="489" spans="1:5" x14ac:dyDescent="0.35">
      <c r="A489" s="13">
        <v>42005</v>
      </c>
      <c r="B489">
        <f>YEAR(Country_Masterlist__4[[#This Row],[Year1]])</f>
        <v>2015</v>
      </c>
      <c r="C489" t="s">
        <v>35</v>
      </c>
      <c r="D489" t="s">
        <v>138</v>
      </c>
      <c r="E489">
        <v>118</v>
      </c>
    </row>
    <row r="490" spans="1:5" x14ac:dyDescent="0.35">
      <c r="A490" s="13">
        <v>42005</v>
      </c>
      <c r="B490">
        <f>YEAR(Country_Masterlist__4[[#This Row],[Year1]])</f>
        <v>2015</v>
      </c>
      <c r="C490" t="s">
        <v>34</v>
      </c>
      <c r="D490" t="s">
        <v>139</v>
      </c>
      <c r="E490">
        <v>103</v>
      </c>
    </row>
    <row r="491" spans="1:5" x14ac:dyDescent="0.35">
      <c r="A491" s="13">
        <v>42005</v>
      </c>
      <c r="B491">
        <f>YEAR(Country_Masterlist__4[[#This Row],[Year1]])</f>
        <v>2015</v>
      </c>
      <c r="C491" t="s">
        <v>35</v>
      </c>
      <c r="D491" t="s">
        <v>140</v>
      </c>
      <c r="E491">
        <v>29</v>
      </c>
    </row>
    <row r="492" spans="1:5" x14ac:dyDescent="0.35">
      <c r="A492" s="13">
        <v>42005</v>
      </c>
      <c r="B492">
        <f>YEAR(Country_Masterlist__4[[#This Row],[Year1]])</f>
        <v>2015</v>
      </c>
      <c r="C492" t="s">
        <v>33</v>
      </c>
      <c r="D492" t="s">
        <v>141</v>
      </c>
      <c r="E492">
        <v>188</v>
      </c>
    </row>
    <row r="493" spans="1:5" x14ac:dyDescent="0.35">
      <c r="A493" s="13">
        <v>42005</v>
      </c>
      <c r="B493">
        <f>YEAR(Country_Masterlist__4[[#This Row],[Year1]])</f>
        <v>2015</v>
      </c>
      <c r="C493" t="s">
        <v>33</v>
      </c>
      <c r="D493" t="s">
        <v>142</v>
      </c>
      <c r="E493">
        <v>4</v>
      </c>
    </row>
    <row r="494" spans="1:5" x14ac:dyDescent="0.35">
      <c r="A494" s="13">
        <v>42005</v>
      </c>
      <c r="B494">
        <f>YEAR(Country_Masterlist__4[[#This Row],[Year1]])</f>
        <v>2015</v>
      </c>
      <c r="C494" t="s">
        <v>33</v>
      </c>
      <c r="D494" t="s">
        <v>143</v>
      </c>
      <c r="E494">
        <v>8</v>
      </c>
    </row>
    <row r="495" spans="1:5" x14ac:dyDescent="0.35">
      <c r="A495" s="13">
        <v>42005</v>
      </c>
      <c r="B495">
        <f>YEAR(Country_Masterlist__4[[#This Row],[Year1]])</f>
        <v>2015</v>
      </c>
      <c r="C495" t="s">
        <v>34</v>
      </c>
      <c r="D495" t="s">
        <v>144</v>
      </c>
      <c r="E495">
        <v>614</v>
      </c>
    </row>
    <row r="496" spans="1:5" x14ac:dyDescent="0.35">
      <c r="A496" s="13">
        <v>42005</v>
      </c>
      <c r="B496">
        <f>YEAR(Country_Masterlist__4[[#This Row],[Year1]])</f>
        <v>2015</v>
      </c>
      <c r="C496" t="s">
        <v>35</v>
      </c>
      <c r="D496" t="s">
        <v>145</v>
      </c>
      <c r="E496">
        <v>317</v>
      </c>
    </row>
    <row r="497" spans="1:5" x14ac:dyDescent="0.35">
      <c r="A497" s="13">
        <v>42005</v>
      </c>
      <c r="B497">
        <f>YEAR(Country_Masterlist__4[[#This Row],[Year1]])</f>
        <v>2015</v>
      </c>
      <c r="C497" t="s">
        <v>37</v>
      </c>
      <c r="D497" t="s">
        <v>146</v>
      </c>
      <c r="E497">
        <v>134</v>
      </c>
    </row>
    <row r="498" spans="1:5" x14ac:dyDescent="0.35">
      <c r="A498" s="13">
        <v>42005</v>
      </c>
      <c r="B498">
        <f>YEAR(Country_Masterlist__4[[#This Row],[Year1]])</f>
        <v>2015</v>
      </c>
      <c r="C498" t="s">
        <v>36</v>
      </c>
      <c r="D498" t="s">
        <v>147</v>
      </c>
      <c r="E498">
        <v>1900</v>
      </c>
    </row>
    <row r="499" spans="1:5" x14ac:dyDescent="0.35">
      <c r="A499" s="13">
        <v>42005</v>
      </c>
      <c r="B499">
        <f>YEAR(Country_Masterlist__4[[#This Row],[Year1]])</f>
        <v>2015</v>
      </c>
      <c r="C499" t="s">
        <v>33</v>
      </c>
      <c r="D499" t="s">
        <v>148</v>
      </c>
      <c r="E499">
        <v>31</v>
      </c>
    </row>
    <row r="500" spans="1:5" x14ac:dyDescent="0.35">
      <c r="A500" s="13">
        <v>42005</v>
      </c>
      <c r="B500">
        <f>YEAR(Country_Masterlist__4[[#This Row],[Year1]])</f>
        <v>2015</v>
      </c>
      <c r="C500" t="s">
        <v>33</v>
      </c>
      <c r="D500" t="s">
        <v>149</v>
      </c>
      <c r="E500">
        <v>1830</v>
      </c>
    </row>
    <row r="501" spans="1:5" x14ac:dyDescent="0.35">
      <c r="A501" s="13">
        <v>42005</v>
      </c>
      <c r="B501">
        <f>YEAR(Country_Masterlist__4[[#This Row],[Year1]])</f>
        <v>2015</v>
      </c>
      <c r="C501" t="s">
        <v>35</v>
      </c>
      <c r="D501" t="s">
        <v>322</v>
      </c>
      <c r="E501">
        <v>52</v>
      </c>
    </row>
    <row r="502" spans="1:5" x14ac:dyDescent="0.35">
      <c r="A502" s="13">
        <v>42005</v>
      </c>
      <c r="B502">
        <f>YEAR(Country_Masterlist__4[[#This Row],[Year1]])</f>
        <v>2015</v>
      </c>
      <c r="C502" t="s">
        <v>35</v>
      </c>
      <c r="D502" t="s">
        <v>150</v>
      </c>
      <c r="E502">
        <v>50</v>
      </c>
    </row>
    <row r="503" spans="1:5" x14ac:dyDescent="0.35">
      <c r="A503" s="13">
        <v>42005</v>
      </c>
      <c r="B503">
        <f>YEAR(Country_Masterlist__4[[#This Row],[Year1]])</f>
        <v>2015</v>
      </c>
      <c r="C503" t="s">
        <v>34</v>
      </c>
      <c r="D503" t="s">
        <v>151</v>
      </c>
      <c r="E503">
        <v>12</v>
      </c>
    </row>
    <row r="504" spans="1:5" x14ac:dyDescent="0.35">
      <c r="A504" s="13">
        <v>42005</v>
      </c>
      <c r="B504">
        <f>YEAR(Country_Masterlist__4[[#This Row],[Year1]])</f>
        <v>2015</v>
      </c>
      <c r="C504" t="s">
        <v>34</v>
      </c>
      <c r="D504" t="s">
        <v>152</v>
      </c>
      <c r="E504">
        <v>887</v>
      </c>
    </row>
    <row r="505" spans="1:5" x14ac:dyDescent="0.35">
      <c r="A505" s="13">
        <v>42005</v>
      </c>
      <c r="B505">
        <f>YEAR(Country_Masterlist__4[[#This Row],[Year1]])</f>
        <v>2015</v>
      </c>
      <c r="C505" t="s">
        <v>37</v>
      </c>
      <c r="D505" t="s">
        <v>153</v>
      </c>
      <c r="E505">
        <v>17</v>
      </c>
    </row>
    <row r="506" spans="1:5" x14ac:dyDescent="0.35">
      <c r="A506" s="13">
        <v>42005</v>
      </c>
      <c r="B506">
        <f>YEAR(Country_Masterlist__4[[#This Row],[Year1]])</f>
        <v>2015</v>
      </c>
      <c r="C506" t="s">
        <v>36</v>
      </c>
      <c r="D506" t="s">
        <v>154</v>
      </c>
      <c r="E506">
        <v>190</v>
      </c>
    </row>
    <row r="507" spans="1:5" x14ac:dyDescent="0.35">
      <c r="A507" s="13">
        <v>42005</v>
      </c>
      <c r="B507">
        <f>YEAR(Country_Masterlist__4[[#This Row],[Year1]])</f>
        <v>2015</v>
      </c>
      <c r="C507" t="s">
        <v>38</v>
      </c>
      <c r="D507" t="s">
        <v>155</v>
      </c>
      <c r="E507">
        <v>37</v>
      </c>
    </row>
    <row r="508" spans="1:5" x14ac:dyDescent="0.35">
      <c r="A508" s="13">
        <v>42005</v>
      </c>
      <c r="B508">
        <f>YEAR(Country_Masterlist__4[[#This Row],[Year1]])</f>
        <v>2015</v>
      </c>
      <c r="C508" t="s">
        <v>38</v>
      </c>
      <c r="D508" t="s">
        <v>156</v>
      </c>
      <c r="E508">
        <v>1256</v>
      </c>
    </row>
    <row r="509" spans="1:5" x14ac:dyDescent="0.35">
      <c r="A509" s="13">
        <v>42005</v>
      </c>
      <c r="B509">
        <f>YEAR(Country_Masterlist__4[[#This Row],[Year1]])</f>
        <v>2015</v>
      </c>
      <c r="C509" t="s">
        <v>34</v>
      </c>
      <c r="D509" t="s">
        <v>18</v>
      </c>
      <c r="E509">
        <v>1018</v>
      </c>
    </row>
    <row r="510" spans="1:5" x14ac:dyDescent="0.35">
      <c r="A510" s="13">
        <v>42005</v>
      </c>
      <c r="B510">
        <f>YEAR(Country_Masterlist__4[[#This Row],[Year1]])</f>
        <v>2015</v>
      </c>
      <c r="C510" t="s">
        <v>35</v>
      </c>
      <c r="D510" t="s">
        <v>157</v>
      </c>
      <c r="E510">
        <v>605</v>
      </c>
    </row>
    <row r="511" spans="1:5" x14ac:dyDescent="0.35">
      <c r="A511" s="13">
        <v>42005</v>
      </c>
      <c r="B511">
        <f>YEAR(Country_Masterlist__4[[#This Row],[Year1]])</f>
        <v>2015</v>
      </c>
      <c r="C511" t="s">
        <v>35</v>
      </c>
      <c r="D511" t="s">
        <v>158</v>
      </c>
      <c r="E511">
        <v>358</v>
      </c>
    </row>
    <row r="512" spans="1:5" x14ac:dyDescent="0.35">
      <c r="A512" s="13">
        <v>42005</v>
      </c>
      <c r="B512">
        <f>YEAR(Country_Masterlist__4[[#This Row],[Year1]])</f>
        <v>2015</v>
      </c>
      <c r="C512" t="s">
        <v>34</v>
      </c>
      <c r="D512" t="s">
        <v>159</v>
      </c>
      <c r="E512">
        <v>25</v>
      </c>
    </row>
    <row r="513" spans="1:5" x14ac:dyDescent="0.35">
      <c r="A513" s="13">
        <v>42005</v>
      </c>
      <c r="B513">
        <f>YEAR(Country_Masterlist__4[[#This Row],[Year1]])</f>
        <v>2015</v>
      </c>
      <c r="C513" t="s">
        <v>35</v>
      </c>
      <c r="D513" t="s">
        <v>160</v>
      </c>
      <c r="E513">
        <v>777</v>
      </c>
    </row>
    <row r="514" spans="1:5" x14ac:dyDescent="0.35">
      <c r="A514" s="13">
        <v>42005</v>
      </c>
      <c r="B514">
        <f>YEAR(Country_Masterlist__4[[#This Row],[Year1]])</f>
        <v>2015</v>
      </c>
      <c r="C514" t="s">
        <v>35</v>
      </c>
      <c r="D514" t="s">
        <v>161</v>
      </c>
      <c r="E514">
        <v>495</v>
      </c>
    </row>
    <row r="515" spans="1:5" x14ac:dyDescent="0.35">
      <c r="A515" s="13">
        <v>42005</v>
      </c>
      <c r="B515">
        <f>YEAR(Country_Masterlist__4[[#This Row],[Year1]])</f>
        <v>2015</v>
      </c>
      <c r="C515" t="s">
        <v>33</v>
      </c>
      <c r="D515" t="s">
        <v>162</v>
      </c>
      <c r="E515">
        <v>48</v>
      </c>
    </row>
    <row r="516" spans="1:5" x14ac:dyDescent="0.35">
      <c r="A516" s="13">
        <v>42005</v>
      </c>
      <c r="B516">
        <f>YEAR(Country_Masterlist__4[[#This Row],[Year1]])</f>
        <v>2015</v>
      </c>
      <c r="C516" t="s">
        <v>36</v>
      </c>
      <c r="D516" t="s">
        <v>163</v>
      </c>
      <c r="E516">
        <v>39</v>
      </c>
    </row>
    <row r="517" spans="1:5" x14ac:dyDescent="0.35">
      <c r="A517" s="13">
        <v>42005</v>
      </c>
      <c r="B517">
        <f>YEAR(Country_Masterlist__4[[#This Row],[Year1]])</f>
        <v>2015</v>
      </c>
      <c r="C517" t="s">
        <v>36</v>
      </c>
      <c r="D517" t="s">
        <v>164</v>
      </c>
      <c r="E517">
        <v>66</v>
      </c>
    </row>
    <row r="518" spans="1:5" x14ac:dyDescent="0.35">
      <c r="A518" s="13">
        <v>42005</v>
      </c>
      <c r="B518">
        <f>YEAR(Country_Masterlist__4[[#This Row],[Year1]])</f>
        <v>2015</v>
      </c>
      <c r="C518" t="s">
        <v>36</v>
      </c>
      <c r="D518" t="s">
        <v>165</v>
      </c>
      <c r="E518">
        <v>34</v>
      </c>
    </row>
    <row r="519" spans="1:5" x14ac:dyDescent="0.35">
      <c r="A519" s="13">
        <v>42005</v>
      </c>
      <c r="B519">
        <f>YEAR(Country_Masterlist__4[[#This Row],[Year1]])</f>
        <v>2015</v>
      </c>
      <c r="C519" t="s">
        <v>37</v>
      </c>
      <c r="D519" t="s">
        <v>166</v>
      </c>
      <c r="E519">
        <v>16</v>
      </c>
    </row>
    <row r="520" spans="1:5" x14ac:dyDescent="0.35">
      <c r="A520" s="13">
        <v>42005</v>
      </c>
      <c r="B520">
        <f>YEAR(Country_Masterlist__4[[#This Row],[Year1]])</f>
        <v>2015</v>
      </c>
      <c r="C520" t="s">
        <v>34</v>
      </c>
      <c r="D520" t="s">
        <v>167</v>
      </c>
      <c r="E520">
        <v>864</v>
      </c>
    </row>
    <row r="521" spans="1:5" x14ac:dyDescent="0.35">
      <c r="A521" s="13">
        <v>42005</v>
      </c>
      <c r="B521">
        <f>YEAR(Country_Masterlist__4[[#This Row],[Year1]])</f>
        <v>2015</v>
      </c>
      <c r="C521" t="s">
        <v>33</v>
      </c>
      <c r="D521" t="s">
        <v>168</v>
      </c>
      <c r="E521">
        <v>156</v>
      </c>
    </row>
    <row r="522" spans="1:5" x14ac:dyDescent="0.35">
      <c r="A522" s="13">
        <v>42005</v>
      </c>
      <c r="B522">
        <f>YEAR(Country_Masterlist__4[[#This Row],[Year1]])</f>
        <v>2015</v>
      </c>
      <c r="C522" t="s">
        <v>35</v>
      </c>
      <c r="D522" t="s">
        <v>169</v>
      </c>
      <c r="E522">
        <v>80</v>
      </c>
    </row>
    <row r="523" spans="1:5" x14ac:dyDescent="0.35">
      <c r="A523" s="13">
        <v>42005</v>
      </c>
      <c r="B523">
        <f>YEAR(Country_Masterlist__4[[#This Row],[Year1]])</f>
        <v>2015</v>
      </c>
      <c r="C523" t="s">
        <v>35</v>
      </c>
      <c r="D523" t="s">
        <v>215</v>
      </c>
      <c r="E523">
        <v>29</v>
      </c>
    </row>
    <row r="524" spans="1:5" x14ac:dyDescent="0.35">
      <c r="A524" s="13">
        <v>42005</v>
      </c>
      <c r="B524">
        <f>YEAR(Country_Masterlist__4[[#This Row],[Year1]])</f>
        <v>2015</v>
      </c>
      <c r="C524" t="s">
        <v>33</v>
      </c>
      <c r="D524" t="s">
        <v>170</v>
      </c>
      <c r="E524">
        <v>86</v>
      </c>
    </row>
    <row r="525" spans="1:5" x14ac:dyDescent="0.35">
      <c r="A525" s="13">
        <v>42005</v>
      </c>
      <c r="B525">
        <f>YEAR(Country_Masterlist__4[[#This Row],[Year1]])</f>
        <v>2015</v>
      </c>
      <c r="C525" t="s">
        <v>34</v>
      </c>
      <c r="D525" t="s">
        <v>171</v>
      </c>
      <c r="E525">
        <v>61</v>
      </c>
    </row>
    <row r="526" spans="1:5" x14ac:dyDescent="0.35">
      <c r="A526" s="13">
        <v>42005</v>
      </c>
      <c r="B526">
        <f>YEAR(Country_Masterlist__4[[#This Row],[Year1]])</f>
        <v>2015</v>
      </c>
      <c r="C526" t="s">
        <v>35</v>
      </c>
      <c r="D526" t="s">
        <v>172</v>
      </c>
      <c r="E526">
        <v>86</v>
      </c>
    </row>
    <row r="527" spans="1:5" x14ac:dyDescent="0.35">
      <c r="A527" s="13">
        <v>42005</v>
      </c>
      <c r="B527">
        <f>YEAR(Country_Masterlist__4[[#This Row],[Year1]])</f>
        <v>2015</v>
      </c>
      <c r="C527" t="s">
        <v>35</v>
      </c>
      <c r="D527" t="s">
        <v>173</v>
      </c>
      <c r="E527">
        <v>31</v>
      </c>
    </row>
    <row r="528" spans="1:5" x14ac:dyDescent="0.35">
      <c r="A528" s="13">
        <v>42005</v>
      </c>
      <c r="B528">
        <f>YEAR(Country_Masterlist__4[[#This Row],[Year1]])</f>
        <v>2015</v>
      </c>
      <c r="C528" t="s">
        <v>33</v>
      </c>
      <c r="D528" t="s">
        <v>174</v>
      </c>
      <c r="E528">
        <v>1002</v>
      </c>
    </row>
    <row r="529" spans="1:5" x14ac:dyDescent="0.35">
      <c r="A529" s="13">
        <v>42005</v>
      </c>
      <c r="B529">
        <f>YEAR(Country_Masterlist__4[[#This Row],[Year1]])</f>
        <v>2015</v>
      </c>
      <c r="C529" t="s">
        <v>33</v>
      </c>
      <c r="D529" t="s">
        <v>175</v>
      </c>
      <c r="E529">
        <v>218</v>
      </c>
    </row>
    <row r="530" spans="1:5" x14ac:dyDescent="0.35">
      <c r="A530" s="13">
        <v>42005</v>
      </c>
      <c r="B530">
        <f>YEAR(Country_Masterlist__4[[#This Row],[Year1]])</f>
        <v>2015</v>
      </c>
      <c r="C530" t="s">
        <v>33</v>
      </c>
      <c r="D530" t="s">
        <v>176</v>
      </c>
      <c r="E530">
        <v>15</v>
      </c>
    </row>
    <row r="531" spans="1:5" x14ac:dyDescent="0.35">
      <c r="A531" s="13">
        <v>42005</v>
      </c>
      <c r="B531">
        <f>YEAR(Country_Masterlist__4[[#This Row],[Year1]])</f>
        <v>2015</v>
      </c>
      <c r="C531" t="s">
        <v>35</v>
      </c>
      <c r="D531" t="s">
        <v>216</v>
      </c>
      <c r="E531">
        <v>19</v>
      </c>
    </row>
    <row r="532" spans="1:5" x14ac:dyDescent="0.35">
      <c r="A532" s="13">
        <v>42005</v>
      </c>
      <c r="B532">
        <f>YEAR(Country_Masterlist__4[[#This Row],[Year1]])</f>
        <v>2015</v>
      </c>
      <c r="C532" t="s">
        <v>35</v>
      </c>
      <c r="D532" t="s">
        <v>177</v>
      </c>
      <c r="E532">
        <v>1191</v>
      </c>
    </row>
    <row r="533" spans="1:5" x14ac:dyDescent="0.35">
      <c r="A533" s="13">
        <v>42005</v>
      </c>
      <c r="B533">
        <f>YEAR(Country_Masterlist__4[[#This Row],[Year1]])</f>
        <v>2015</v>
      </c>
      <c r="C533" t="s">
        <v>34</v>
      </c>
      <c r="D533" t="s">
        <v>178</v>
      </c>
      <c r="E533">
        <v>220</v>
      </c>
    </row>
    <row r="534" spans="1:5" x14ac:dyDescent="0.35">
      <c r="A534" s="13">
        <v>42005</v>
      </c>
      <c r="B534">
        <f>YEAR(Country_Masterlist__4[[#This Row],[Year1]])</f>
        <v>2015</v>
      </c>
      <c r="C534" t="s">
        <v>33</v>
      </c>
      <c r="D534" t="s">
        <v>179</v>
      </c>
      <c r="E534">
        <v>134</v>
      </c>
    </row>
    <row r="535" spans="1:5" x14ac:dyDescent="0.35">
      <c r="A535" s="13">
        <v>42005</v>
      </c>
      <c r="B535">
        <f>YEAR(Country_Masterlist__4[[#This Row],[Year1]])</f>
        <v>2015</v>
      </c>
      <c r="C535" t="s">
        <v>38</v>
      </c>
      <c r="D535" t="s">
        <v>180</v>
      </c>
      <c r="E535">
        <v>14</v>
      </c>
    </row>
    <row r="536" spans="1:5" x14ac:dyDescent="0.35">
      <c r="A536" s="13">
        <v>42005</v>
      </c>
      <c r="B536">
        <f>YEAR(Country_Masterlist__4[[#This Row],[Year1]])</f>
        <v>2015</v>
      </c>
      <c r="C536" t="s">
        <v>33</v>
      </c>
      <c r="D536" t="s">
        <v>181</v>
      </c>
      <c r="E536">
        <v>10</v>
      </c>
    </row>
    <row r="537" spans="1:5" x14ac:dyDescent="0.35">
      <c r="A537" s="13">
        <v>42005</v>
      </c>
      <c r="B537">
        <f>YEAR(Country_Masterlist__4[[#This Row],[Year1]])</f>
        <v>2015</v>
      </c>
      <c r="C537" t="s">
        <v>35</v>
      </c>
      <c r="D537" t="s">
        <v>182</v>
      </c>
      <c r="E537">
        <v>163</v>
      </c>
    </row>
    <row r="538" spans="1:5" x14ac:dyDescent="0.35">
      <c r="A538" s="13">
        <v>42005</v>
      </c>
      <c r="B538">
        <f>YEAR(Country_Masterlist__4[[#This Row],[Year1]])</f>
        <v>2015</v>
      </c>
      <c r="C538" t="s">
        <v>35</v>
      </c>
      <c r="D538" t="s">
        <v>183</v>
      </c>
      <c r="E538">
        <v>97</v>
      </c>
    </row>
    <row r="539" spans="1:5" x14ac:dyDescent="0.35">
      <c r="A539" s="13">
        <v>42005</v>
      </c>
      <c r="B539">
        <f>YEAR(Country_Masterlist__4[[#This Row],[Year1]])</f>
        <v>2015</v>
      </c>
      <c r="C539" t="s">
        <v>34</v>
      </c>
      <c r="D539" t="s">
        <v>184</v>
      </c>
      <c r="E539">
        <v>294</v>
      </c>
    </row>
    <row r="540" spans="1:5" x14ac:dyDescent="0.35">
      <c r="A540" s="13">
        <v>42005</v>
      </c>
      <c r="B540">
        <f>YEAR(Country_Masterlist__4[[#This Row],[Year1]])</f>
        <v>2015</v>
      </c>
      <c r="C540" t="s">
        <v>34</v>
      </c>
      <c r="D540" t="s">
        <v>185</v>
      </c>
      <c r="E540">
        <v>492</v>
      </c>
    </row>
    <row r="541" spans="1:5" x14ac:dyDescent="0.35">
      <c r="A541" s="13">
        <v>42005</v>
      </c>
      <c r="B541">
        <f>YEAR(Country_Masterlist__4[[#This Row],[Year1]])</f>
        <v>2015</v>
      </c>
      <c r="C541" t="s">
        <v>34</v>
      </c>
      <c r="D541" t="s">
        <v>186</v>
      </c>
      <c r="E541">
        <v>41</v>
      </c>
    </row>
    <row r="542" spans="1:5" x14ac:dyDescent="0.35">
      <c r="A542" s="13">
        <v>42005</v>
      </c>
      <c r="B542">
        <f>YEAR(Country_Masterlist__4[[#This Row],[Year1]])</f>
        <v>2015</v>
      </c>
      <c r="C542" t="s">
        <v>33</v>
      </c>
      <c r="D542" t="s">
        <v>187</v>
      </c>
      <c r="E542">
        <v>77</v>
      </c>
    </row>
    <row r="543" spans="1:5" x14ac:dyDescent="0.35">
      <c r="A543" s="13">
        <v>42005</v>
      </c>
      <c r="B543">
        <f>YEAR(Country_Masterlist__4[[#This Row],[Year1]])</f>
        <v>2015</v>
      </c>
      <c r="C543" t="s">
        <v>34</v>
      </c>
      <c r="D543" t="s">
        <v>188</v>
      </c>
      <c r="E543">
        <v>218</v>
      </c>
    </row>
    <row r="544" spans="1:5" x14ac:dyDescent="0.35">
      <c r="A544" s="13">
        <v>42005</v>
      </c>
      <c r="B544">
        <f>YEAR(Country_Masterlist__4[[#This Row],[Year1]])</f>
        <v>2015</v>
      </c>
      <c r="C544" t="s">
        <v>33</v>
      </c>
      <c r="D544" t="s">
        <v>189</v>
      </c>
      <c r="E544">
        <v>46</v>
      </c>
    </row>
    <row r="545" spans="1:5" x14ac:dyDescent="0.35">
      <c r="A545" s="13">
        <v>42005</v>
      </c>
      <c r="B545">
        <f>YEAR(Country_Masterlist__4[[#This Row],[Year1]])</f>
        <v>2015</v>
      </c>
      <c r="C545" t="s">
        <v>37</v>
      </c>
      <c r="D545" t="s">
        <v>190</v>
      </c>
      <c r="E545">
        <v>46</v>
      </c>
    </row>
    <row r="546" spans="1:5" x14ac:dyDescent="0.35">
      <c r="A546" s="13">
        <v>42005</v>
      </c>
      <c r="B546">
        <f>YEAR(Country_Masterlist__4[[#This Row],[Year1]])</f>
        <v>2015</v>
      </c>
      <c r="C546" t="s">
        <v>36</v>
      </c>
      <c r="D546" t="s">
        <v>191</v>
      </c>
      <c r="E546">
        <v>305</v>
      </c>
    </row>
    <row r="547" spans="1:5" x14ac:dyDescent="0.35">
      <c r="A547" s="13">
        <v>42005</v>
      </c>
      <c r="B547">
        <f>YEAR(Country_Masterlist__4[[#This Row],[Year1]])</f>
        <v>2015</v>
      </c>
      <c r="C547" t="s">
        <v>33</v>
      </c>
      <c r="D547" t="s">
        <v>192</v>
      </c>
      <c r="E547">
        <v>59</v>
      </c>
    </row>
    <row r="548" spans="1:5" x14ac:dyDescent="0.35">
      <c r="A548" s="13">
        <v>42005</v>
      </c>
      <c r="B548">
        <f>YEAR(Country_Masterlist__4[[#This Row],[Year1]])</f>
        <v>2015</v>
      </c>
      <c r="C548" t="s">
        <v>34</v>
      </c>
      <c r="D548" t="s">
        <v>193</v>
      </c>
      <c r="E548">
        <v>343</v>
      </c>
    </row>
    <row r="549" spans="1:5" x14ac:dyDescent="0.35">
      <c r="A549" s="13">
        <v>42005</v>
      </c>
      <c r="B549">
        <f>YEAR(Country_Masterlist__4[[#This Row],[Year1]])</f>
        <v>2015</v>
      </c>
      <c r="C549" t="s">
        <v>34</v>
      </c>
      <c r="D549" t="s">
        <v>194</v>
      </c>
      <c r="E549">
        <v>53</v>
      </c>
    </row>
    <row r="550" spans="1:5" x14ac:dyDescent="0.35">
      <c r="A550" s="13">
        <v>42005</v>
      </c>
      <c r="B550">
        <f>YEAR(Country_Masterlist__4[[#This Row],[Year1]])</f>
        <v>2015</v>
      </c>
      <c r="C550" t="s">
        <v>33</v>
      </c>
      <c r="D550" t="s">
        <v>195</v>
      </c>
      <c r="E550">
        <v>39</v>
      </c>
    </row>
    <row r="551" spans="1:5" x14ac:dyDescent="0.35">
      <c r="A551" s="13">
        <v>42005</v>
      </c>
      <c r="B551">
        <f>YEAR(Country_Masterlist__4[[#This Row],[Year1]])</f>
        <v>2015</v>
      </c>
      <c r="C551" t="s">
        <v>35</v>
      </c>
      <c r="D551" t="s">
        <v>196</v>
      </c>
      <c r="E551">
        <v>532</v>
      </c>
    </row>
    <row r="552" spans="1:5" x14ac:dyDescent="0.35">
      <c r="A552" s="13">
        <v>42005</v>
      </c>
      <c r="B552">
        <f>YEAR(Country_Masterlist__4[[#This Row],[Year1]])</f>
        <v>2015</v>
      </c>
      <c r="C552" t="s">
        <v>34</v>
      </c>
      <c r="D552" t="s">
        <v>197</v>
      </c>
      <c r="E552">
        <v>38</v>
      </c>
    </row>
    <row r="553" spans="1:5" x14ac:dyDescent="0.35">
      <c r="A553" s="13">
        <v>42005</v>
      </c>
      <c r="B553">
        <f>YEAR(Country_Masterlist__4[[#This Row],[Year1]])</f>
        <v>2015</v>
      </c>
      <c r="C553" t="s">
        <v>35</v>
      </c>
      <c r="D553" t="s">
        <v>198</v>
      </c>
      <c r="E553">
        <v>1513</v>
      </c>
    </row>
    <row r="554" spans="1:5" x14ac:dyDescent="0.35">
      <c r="A554" s="13">
        <v>42005</v>
      </c>
      <c r="B554">
        <f>YEAR(Country_Masterlist__4[[#This Row],[Year1]])</f>
        <v>2015</v>
      </c>
      <c r="C554" t="s">
        <v>39</v>
      </c>
      <c r="D554" t="s">
        <v>39</v>
      </c>
      <c r="E554">
        <v>418</v>
      </c>
    </row>
    <row r="555" spans="1:5" x14ac:dyDescent="0.35">
      <c r="A555" s="13">
        <v>42005</v>
      </c>
      <c r="B555">
        <f>YEAR(Country_Masterlist__4[[#This Row],[Year1]])</f>
        <v>2015</v>
      </c>
      <c r="C555" t="s">
        <v>38</v>
      </c>
      <c r="D555" t="s">
        <v>199</v>
      </c>
      <c r="E555">
        <v>70</v>
      </c>
    </row>
    <row r="556" spans="1:5" x14ac:dyDescent="0.35">
      <c r="A556" s="13">
        <v>42005</v>
      </c>
      <c r="B556">
        <f>YEAR(Country_Masterlist__4[[#This Row],[Year1]])</f>
        <v>2015</v>
      </c>
      <c r="C556" t="s">
        <v>34</v>
      </c>
      <c r="D556" t="s">
        <v>200</v>
      </c>
      <c r="E556">
        <v>96</v>
      </c>
    </row>
    <row r="557" spans="1:5" x14ac:dyDescent="0.35">
      <c r="A557" s="13">
        <v>42005</v>
      </c>
      <c r="B557">
        <f>YEAR(Country_Masterlist__4[[#This Row],[Year1]])</f>
        <v>2015</v>
      </c>
      <c r="C557" t="s">
        <v>38</v>
      </c>
      <c r="D557" t="s">
        <v>19</v>
      </c>
      <c r="E557">
        <v>683</v>
      </c>
    </row>
    <row r="558" spans="1:5" x14ac:dyDescent="0.35">
      <c r="A558" s="13">
        <v>42005</v>
      </c>
      <c r="B558">
        <f>YEAR(Country_Masterlist__4[[#This Row],[Year1]])</f>
        <v>2015</v>
      </c>
      <c r="C558" t="s">
        <v>34</v>
      </c>
      <c r="D558" t="s">
        <v>201</v>
      </c>
      <c r="E558">
        <v>720</v>
      </c>
    </row>
    <row r="559" spans="1:5" x14ac:dyDescent="0.35">
      <c r="A559" s="13">
        <v>42005</v>
      </c>
      <c r="B559">
        <f>YEAR(Country_Masterlist__4[[#This Row],[Year1]])</f>
        <v>2015</v>
      </c>
      <c r="C559" t="s">
        <v>34</v>
      </c>
      <c r="D559" t="s">
        <v>202</v>
      </c>
      <c r="E559">
        <v>120</v>
      </c>
    </row>
    <row r="560" spans="1:5" x14ac:dyDescent="0.35">
      <c r="A560" s="13">
        <v>42005</v>
      </c>
      <c r="B560">
        <f>YEAR(Country_Masterlist__4[[#This Row],[Year1]])</f>
        <v>2015</v>
      </c>
      <c r="C560" t="s">
        <v>33</v>
      </c>
      <c r="D560" t="s">
        <v>203</v>
      </c>
      <c r="E560">
        <v>29</v>
      </c>
    </row>
    <row r="561" spans="1:5" x14ac:dyDescent="0.35">
      <c r="A561" s="13">
        <v>42005</v>
      </c>
      <c r="B561">
        <f>YEAR(Country_Masterlist__4[[#This Row],[Year1]])</f>
        <v>2015</v>
      </c>
      <c r="C561" t="s">
        <v>33</v>
      </c>
      <c r="D561" t="s">
        <v>204</v>
      </c>
      <c r="E561">
        <v>53</v>
      </c>
    </row>
    <row r="562" spans="1:5" x14ac:dyDescent="0.35">
      <c r="A562" s="13">
        <v>42370</v>
      </c>
      <c r="B562">
        <f>YEAR(Country_Masterlist__4[[#This Row],[Year1]])</f>
        <v>2016</v>
      </c>
      <c r="C562" t="s">
        <v>34</v>
      </c>
      <c r="D562" t="s">
        <v>40</v>
      </c>
      <c r="E562">
        <v>179</v>
      </c>
    </row>
    <row r="563" spans="1:5" x14ac:dyDescent="0.35">
      <c r="A563" s="13">
        <v>42370</v>
      </c>
      <c r="B563">
        <f>YEAR(Country_Masterlist__4[[#This Row],[Year1]])</f>
        <v>2016</v>
      </c>
      <c r="C563" t="s">
        <v>35</v>
      </c>
      <c r="D563" t="s">
        <v>41</v>
      </c>
      <c r="E563">
        <v>219</v>
      </c>
    </row>
    <row r="564" spans="1:5" x14ac:dyDescent="0.35">
      <c r="A564" s="13">
        <v>42370</v>
      </c>
      <c r="B564">
        <f>YEAR(Country_Masterlist__4[[#This Row],[Year1]])</f>
        <v>2016</v>
      </c>
      <c r="C564" t="s">
        <v>33</v>
      </c>
      <c r="D564" t="s">
        <v>42</v>
      </c>
      <c r="E564">
        <v>193</v>
      </c>
    </row>
    <row r="565" spans="1:5" x14ac:dyDescent="0.35">
      <c r="A565" s="13">
        <v>42370</v>
      </c>
      <c r="B565">
        <f>YEAR(Country_Masterlist__4[[#This Row],[Year1]])</f>
        <v>2016</v>
      </c>
      <c r="D565" t="s">
        <v>373</v>
      </c>
      <c r="E565">
        <v>21</v>
      </c>
    </row>
    <row r="566" spans="1:5" x14ac:dyDescent="0.35">
      <c r="A566" s="13">
        <v>42370</v>
      </c>
      <c r="B566">
        <f>YEAR(Country_Masterlist__4[[#This Row],[Year1]])</f>
        <v>2016</v>
      </c>
      <c r="C566" t="s">
        <v>33</v>
      </c>
      <c r="D566" t="s">
        <v>43</v>
      </c>
      <c r="E566">
        <v>45</v>
      </c>
    </row>
    <row r="567" spans="1:5" x14ac:dyDescent="0.35">
      <c r="A567" s="13">
        <v>42370</v>
      </c>
      <c r="B567">
        <f>YEAR(Country_Masterlist__4[[#This Row],[Year1]])</f>
        <v>2016</v>
      </c>
      <c r="C567" t="s">
        <v>36</v>
      </c>
      <c r="D567" t="s">
        <v>44</v>
      </c>
      <c r="E567">
        <v>39</v>
      </c>
    </row>
    <row r="568" spans="1:5" x14ac:dyDescent="0.35">
      <c r="A568" s="13">
        <v>42370</v>
      </c>
      <c r="B568">
        <f>YEAR(Country_Masterlist__4[[#This Row],[Year1]])</f>
        <v>2016</v>
      </c>
      <c r="C568" t="s">
        <v>38</v>
      </c>
      <c r="D568" t="s">
        <v>45</v>
      </c>
      <c r="E568">
        <v>246</v>
      </c>
    </row>
    <row r="569" spans="1:5" x14ac:dyDescent="0.35">
      <c r="A569" s="13">
        <v>42370</v>
      </c>
      <c r="B569">
        <f>YEAR(Country_Masterlist__4[[#This Row],[Year1]])</f>
        <v>2016</v>
      </c>
      <c r="C569" t="s">
        <v>34</v>
      </c>
      <c r="D569" t="s">
        <v>46</v>
      </c>
      <c r="E569">
        <v>593</v>
      </c>
    </row>
    <row r="570" spans="1:5" x14ac:dyDescent="0.35">
      <c r="A570" s="13">
        <v>42370</v>
      </c>
      <c r="B570">
        <f>YEAR(Country_Masterlist__4[[#This Row],[Year1]])</f>
        <v>2016</v>
      </c>
      <c r="C570" t="s">
        <v>37</v>
      </c>
      <c r="D570" t="s">
        <v>47</v>
      </c>
      <c r="E570">
        <v>534</v>
      </c>
    </row>
    <row r="571" spans="1:5" x14ac:dyDescent="0.35">
      <c r="A571" s="13">
        <v>42370</v>
      </c>
      <c r="B571">
        <f>YEAR(Country_Masterlist__4[[#This Row],[Year1]])</f>
        <v>2016</v>
      </c>
      <c r="C571" t="s">
        <v>35</v>
      </c>
      <c r="D571" t="s">
        <v>48</v>
      </c>
      <c r="E571">
        <v>44</v>
      </c>
    </row>
    <row r="572" spans="1:5" x14ac:dyDescent="0.35">
      <c r="A572" s="13">
        <v>42370</v>
      </c>
      <c r="B572">
        <f>YEAR(Country_Masterlist__4[[#This Row],[Year1]])</f>
        <v>2016</v>
      </c>
      <c r="C572" t="s">
        <v>34</v>
      </c>
      <c r="D572" t="s">
        <v>49</v>
      </c>
      <c r="E572">
        <v>41</v>
      </c>
    </row>
    <row r="573" spans="1:5" x14ac:dyDescent="0.35">
      <c r="A573" s="13">
        <v>42370</v>
      </c>
      <c r="B573">
        <f>YEAR(Country_Masterlist__4[[#This Row],[Year1]])</f>
        <v>2016</v>
      </c>
      <c r="C573" t="s">
        <v>36</v>
      </c>
      <c r="D573" t="s">
        <v>50</v>
      </c>
      <c r="E573">
        <v>318</v>
      </c>
    </row>
    <row r="574" spans="1:5" x14ac:dyDescent="0.35">
      <c r="A574" s="13">
        <v>42370</v>
      </c>
      <c r="B574">
        <f>YEAR(Country_Masterlist__4[[#This Row],[Year1]])</f>
        <v>2016</v>
      </c>
      <c r="C574" t="s">
        <v>34</v>
      </c>
      <c r="D574" t="s">
        <v>51</v>
      </c>
      <c r="E574">
        <v>13</v>
      </c>
    </row>
    <row r="575" spans="1:5" x14ac:dyDescent="0.35">
      <c r="A575" s="13">
        <v>42370</v>
      </c>
      <c r="B575">
        <f>YEAR(Country_Masterlist__4[[#This Row],[Year1]])</f>
        <v>2016</v>
      </c>
      <c r="C575" t="s">
        <v>34</v>
      </c>
      <c r="D575" t="s">
        <v>52</v>
      </c>
      <c r="E575">
        <v>1052</v>
      </c>
    </row>
    <row r="576" spans="1:5" x14ac:dyDescent="0.35">
      <c r="A576" s="13">
        <v>42370</v>
      </c>
      <c r="B576">
        <f>YEAR(Country_Masterlist__4[[#This Row],[Year1]])</f>
        <v>2016</v>
      </c>
      <c r="C576" t="s">
        <v>36</v>
      </c>
      <c r="D576" t="s">
        <v>53</v>
      </c>
      <c r="E576">
        <v>46</v>
      </c>
    </row>
    <row r="577" spans="1:5" x14ac:dyDescent="0.35">
      <c r="A577" s="13">
        <v>42370</v>
      </c>
      <c r="B577">
        <f>YEAR(Country_Masterlist__4[[#This Row],[Year1]])</f>
        <v>2016</v>
      </c>
      <c r="C577" t="s">
        <v>35</v>
      </c>
      <c r="D577" t="s">
        <v>54</v>
      </c>
      <c r="E577">
        <v>51</v>
      </c>
    </row>
    <row r="578" spans="1:5" x14ac:dyDescent="0.35">
      <c r="A578" s="13">
        <v>42370</v>
      </c>
      <c r="B578">
        <f>YEAR(Country_Masterlist__4[[#This Row],[Year1]])</f>
        <v>2016</v>
      </c>
      <c r="C578" t="s">
        <v>35</v>
      </c>
      <c r="D578" t="s">
        <v>55</v>
      </c>
      <c r="E578">
        <v>103</v>
      </c>
    </row>
    <row r="579" spans="1:5" x14ac:dyDescent="0.35">
      <c r="A579" s="13">
        <v>42370</v>
      </c>
      <c r="B579">
        <f>YEAR(Country_Masterlist__4[[#This Row],[Year1]])</f>
        <v>2016</v>
      </c>
      <c r="C579" t="s">
        <v>36</v>
      </c>
      <c r="D579" t="s">
        <v>56</v>
      </c>
      <c r="E579">
        <v>299</v>
      </c>
    </row>
    <row r="580" spans="1:5" x14ac:dyDescent="0.35">
      <c r="A580" s="13">
        <v>42370</v>
      </c>
      <c r="B580">
        <f>YEAR(Country_Masterlist__4[[#This Row],[Year1]])</f>
        <v>2016</v>
      </c>
      <c r="C580" t="s">
        <v>33</v>
      </c>
      <c r="D580" t="s">
        <v>57</v>
      </c>
      <c r="E580">
        <v>31</v>
      </c>
    </row>
    <row r="581" spans="1:5" x14ac:dyDescent="0.35">
      <c r="A581" s="13">
        <v>42370</v>
      </c>
      <c r="B581">
        <f>YEAR(Country_Masterlist__4[[#This Row],[Year1]])</f>
        <v>2016</v>
      </c>
      <c r="C581" t="s">
        <v>34</v>
      </c>
      <c r="D581" t="s">
        <v>58</v>
      </c>
      <c r="E581">
        <v>22</v>
      </c>
    </row>
    <row r="582" spans="1:5" x14ac:dyDescent="0.35">
      <c r="A582" s="13">
        <v>42370</v>
      </c>
      <c r="B582">
        <f>YEAR(Country_Masterlist__4[[#This Row],[Year1]])</f>
        <v>2016</v>
      </c>
      <c r="C582" t="s">
        <v>38</v>
      </c>
      <c r="D582" t="s">
        <v>59</v>
      </c>
      <c r="E582">
        <v>192</v>
      </c>
    </row>
    <row r="583" spans="1:5" x14ac:dyDescent="0.35">
      <c r="A583" s="13">
        <v>42370</v>
      </c>
      <c r="B583">
        <f>YEAR(Country_Masterlist__4[[#This Row],[Year1]])</f>
        <v>2016</v>
      </c>
      <c r="C583" t="s">
        <v>35</v>
      </c>
      <c r="D583" t="s">
        <v>60</v>
      </c>
      <c r="E583">
        <v>135</v>
      </c>
    </row>
    <row r="584" spans="1:5" x14ac:dyDescent="0.35">
      <c r="A584" s="13">
        <v>42370</v>
      </c>
      <c r="B584">
        <f>YEAR(Country_Masterlist__4[[#This Row],[Year1]])</f>
        <v>2016</v>
      </c>
      <c r="C584" t="s">
        <v>33</v>
      </c>
      <c r="D584" t="s">
        <v>61</v>
      </c>
      <c r="E584">
        <v>16</v>
      </c>
    </row>
    <row r="585" spans="1:5" x14ac:dyDescent="0.35">
      <c r="A585" s="13">
        <v>42370</v>
      </c>
      <c r="B585">
        <f>YEAR(Country_Masterlist__4[[#This Row],[Year1]])</f>
        <v>2016</v>
      </c>
      <c r="C585" t="s">
        <v>38</v>
      </c>
      <c r="D585" t="s">
        <v>21</v>
      </c>
      <c r="E585">
        <v>6112</v>
      </c>
    </row>
    <row r="586" spans="1:5" x14ac:dyDescent="0.35">
      <c r="A586" s="13">
        <v>42370</v>
      </c>
      <c r="B586">
        <f>YEAR(Country_Masterlist__4[[#This Row],[Year1]])</f>
        <v>2016</v>
      </c>
      <c r="C586" t="s">
        <v>35</v>
      </c>
      <c r="D586" t="s">
        <v>62</v>
      </c>
      <c r="E586">
        <v>86</v>
      </c>
    </row>
    <row r="587" spans="1:5" x14ac:dyDescent="0.35">
      <c r="A587" s="13">
        <v>42370</v>
      </c>
      <c r="B587">
        <f>YEAR(Country_Masterlist__4[[#This Row],[Year1]])</f>
        <v>2016</v>
      </c>
      <c r="C587" t="s">
        <v>33</v>
      </c>
      <c r="D587" t="s">
        <v>63</v>
      </c>
      <c r="E587">
        <v>139</v>
      </c>
    </row>
    <row r="588" spans="1:5" x14ac:dyDescent="0.35">
      <c r="A588" s="13">
        <v>42370</v>
      </c>
      <c r="B588">
        <f>YEAR(Country_Masterlist__4[[#This Row],[Year1]])</f>
        <v>2016</v>
      </c>
      <c r="C588" t="s">
        <v>34</v>
      </c>
      <c r="D588" t="s">
        <v>64</v>
      </c>
      <c r="E588">
        <v>79</v>
      </c>
    </row>
    <row r="589" spans="1:5" x14ac:dyDescent="0.35">
      <c r="A589" s="13">
        <v>42370</v>
      </c>
      <c r="B589">
        <f>YEAR(Country_Masterlist__4[[#This Row],[Year1]])</f>
        <v>2016</v>
      </c>
      <c r="C589" t="s">
        <v>33</v>
      </c>
      <c r="D589" t="s">
        <v>65</v>
      </c>
      <c r="E589">
        <v>31</v>
      </c>
    </row>
    <row r="590" spans="1:5" x14ac:dyDescent="0.35">
      <c r="A590" s="13">
        <v>42370</v>
      </c>
      <c r="B590">
        <f>YEAR(Country_Masterlist__4[[#This Row],[Year1]])</f>
        <v>2016</v>
      </c>
      <c r="C590" t="s">
        <v>33</v>
      </c>
      <c r="D590" t="s">
        <v>66</v>
      </c>
      <c r="E590">
        <v>49</v>
      </c>
    </row>
    <row r="591" spans="1:5" x14ac:dyDescent="0.35">
      <c r="A591" s="13">
        <v>42370</v>
      </c>
      <c r="B591">
        <f>YEAR(Country_Masterlist__4[[#This Row],[Year1]])</f>
        <v>2016</v>
      </c>
      <c r="C591" t="s">
        <v>34</v>
      </c>
      <c r="D591" t="s">
        <v>67</v>
      </c>
      <c r="E591">
        <v>221</v>
      </c>
    </row>
    <row r="592" spans="1:5" x14ac:dyDescent="0.35">
      <c r="A592" s="13">
        <v>42370</v>
      </c>
      <c r="B592">
        <f>YEAR(Country_Masterlist__4[[#This Row],[Year1]])</f>
        <v>2016</v>
      </c>
      <c r="C592" t="s">
        <v>33</v>
      </c>
      <c r="D592" t="s">
        <v>68</v>
      </c>
      <c r="E592">
        <v>603</v>
      </c>
    </row>
    <row r="593" spans="1:5" x14ac:dyDescent="0.35">
      <c r="A593" s="13">
        <v>42370</v>
      </c>
      <c r="B593">
        <f>YEAR(Country_Masterlist__4[[#This Row],[Year1]])</f>
        <v>2016</v>
      </c>
      <c r="C593" t="s">
        <v>36</v>
      </c>
      <c r="D593" t="s">
        <v>69</v>
      </c>
      <c r="E593">
        <v>19284</v>
      </c>
    </row>
    <row r="594" spans="1:5" x14ac:dyDescent="0.35">
      <c r="A594" s="13">
        <v>42370</v>
      </c>
      <c r="B594">
        <f>YEAR(Country_Masterlist__4[[#This Row],[Year1]])</f>
        <v>2016</v>
      </c>
      <c r="C594" t="s">
        <v>33</v>
      </c>
      <c r="D594" t="s">
        <v>70</v>
      </c>
      <c r="E594">
        <v>8</v>
      </c>
    </row>
    <row r="595" spans="1:5" x14ac:dyDescent="0.35">
      <c r="A595" s="13">
        <v>42370</v>
      </c>
      <c r="B595">
        <f>YEAR(Country_Masterlist__4[[#This Row],[Year1]])</f>
        <v>2016</v>
      </c>
      <c r="C595" t="s">
        <v>33</v>
      </c>
      <c r="D595" t="s">
        <v>71</v>
      </c>
      <c r="E595">
        <v>24</v>
      </c>
    </row>
    <row r="596" spans="1:5" x14ac:dyDescent="0.35">
      <c r="A596" s="13">
        <v>42370</v>
      </c>
      <c r="B596">
        <f>YEAR(Country_Masterlist__4[[#This Row],[Year1]])</f>
        <v>2016</v>
      </c>
      <c r="C596" t="s">
        <v>38</v>
      </c>
      <c r="D596" t="s">
        <v>72</v>
      </c>
      <c r="E596">
        <v>522</v>
      </c>
    </row>
    <row r="597" spans="1:5" x14ac:dyDescent="0.35">
      <c r="A597" s="13">
        <v>42370</v>
      </c>
      <c r="B597">
        <f>YEAR(Country_Masterlist__4[[#This Row],[Year1]])</f>
        <v>2016</v>
      </c>
      <c r="C597" t="s">
        <v>34</v>
      </c>
      <c r="D597" t="s">
        <v>73</v>
      </c>
      <c r="E597">
        <v>5685</v>
      </c>
    </row>
    <row r="598" spans="1:5" x14ac:dyDescent="0.35">
      <c r="A598" s="13">
        <v>42370</v>
      </c>
      <c r="B598">
        <f>YEAR(Country_Masterlist__4[[#This Row],[Year1]])</f>
        <v>2016</v>
      </c>
      <c r="C598" t="s">
        <v>38</v>
      </c>
      <c r="D598" t="s">
        <v>20</v>
      </c>
      <c r="E598">
        <v>3256</v>
      </c>
    </row>
    <row r="599" spans="1:5" x14ac:dyDescent="0.35">
      <c r="A599" s="13">
        <v>42370</v>
      </c>
      <c r="B599">
        <f>YEAR(Country_Masterlist__4[[#This Row],[Year1]])</f>
        <v>2016</v>
      </c>
      <c r="C599" t="s">
        <v>33</v>
      </c>
      <c r="D599" t="s">
        <v>74</v>
      </c>
      <c r="E599">
        <v>151</v>
      </c>
    </row>
    <row r="600" spans="1:5" x14ac:dyDescent="0.35">
      <c r="A600" s="13">
        <v>42370</v>
      </c>
      <c r="B600">
        <f>YEAR(Country_Masterlist__4[[#This Row],[Year1]])</f>
        <v>2016</v>
      </c>
      <c r="C600" t="s">
        <v>33</v>
      </c>
      <c r="D600" t="s">
        <v>75</v>
      </c>
      <c r="E600">
        <v>48</v>
      </c>
    </row>
    <row r="601" spans="1:5" x14ac:dyDescent="0.35">
      <c r="A601" s="13">
        <v>42370</v>
      </c>
      <c r="B601">
        <f>YEAR(Country_Masterlist__4[[#This Row],[Year1]])</f>
        <v>2016</v>
      </c>
      <c r="C601" t="s">
        <v>36</v>
      </c>
      <c r="D601" t="s">
        <v>76</v>
      </c>
      <c r="E601">
        <v>430</v>
      </c>
    </row>
    <row r="602" spans="1:5" x14ac:dyDescent="0.35">
      <c r="A602" s="13">
        <v>42370</v>
      </c>
      <c r="B602">
        <f>YEAR(Country_Masterlist__4[[#This Row],[Year1]])</f>
        <v>2016</v>
      </c>
      <c r="C602" t="s">
        <v>33</v>
      </c>
      <c r="D602" t="s">
        <v>77</v>
      </c>
      <c r="E602">
        <v>80</v>
      </c>
    </row>
    <row r="603" spans="1:5" x14ac:dyDescent="0.35">
      <c r="A603" s="13">
        <v>42370</v>
      </c>
      <c r="B603">
        <f>YEAR(Country_Masterlist__4[[#This Row],[Year1]])</f>
        <v>2016</v>
      </c>
      <c r="C603" t="s">
        <v>35</v>
      </c>
      <c r="D603" t="s">
        <v>78</v>
      </c>
      <c r="E603">
        <v>37</v>
      </c>
    </row>
    <row r="604" spans="1:5" x14ac:dyDescent="0.35">
      <c r="A604" s="13">
        <v>42370</v>
      </c>
      <c r="B604">
        <f>YEAR(Country_Masterlist__4[[#This Row],[Year1]])</f>
        <v>2016</v>
      </c>
      <c r="C604" t="s">
        <v>36</v>
      </c>
      <c r="D604" t="s">
        <v>79</v>
      </c>
      <c r="E604">
        <v>3739</v>
      </c>
    </row>
    <row r="605" spans="1:5" x14ac:dyDescent="0.35">
      <c r="A605" s="13">
        <v>42370</v>
      </c>
      <c r="B605">
        <f>YEAR(Country_Masterlist__4[[#This Row],[Year1]])</f>
        <v>2016</v>
      </c>
      <c r="C605" t="s">
        <v>34</v>
      </c>
      <c r="D605" t="s">
        <v>80</v>
      </c>
      <c r="E605">
        <v>9</v>
      </c>
    </row>
    <row r="606" spans="1:5" x14ac:dyDescent="0.35">
      <c r="A606" s="13">
        <v>42370</v>
      </c>
      <c r="B606">
        <f>YEAR(Country_Masterlist__4[[#This Row],[Year1]])</f>
        <v>2016</v>
      </c>
      <c r="C606" t="s">
        <v>35</v>
      </c>
      <c r="D606" t="s">
        <v>81</v>
      </c>
      <c r="E606">
        <v>129</v>
      </c>
    </row>
    <row r="607" spans="1:5" x14ac:dyDescent="0.35">
      <c r="A607" s="13">
        <v>42370</v>
      </c>
      <c r="B607">
        <f>YEAR(Country_Masterlist__4[[#This Row],[Year1]])</f>
        <v>2016</v>
      </c>
      <c r="C607" t="s">
        <v>35</v>
      </c>
      <c r="D607" t="s">
        <v>214</v>
      </c>
      <c r="E607">
        <v>6</v>
      </c>
    </row>
    <row r="608" spans="1:5" x14ac:dyDescent="0.35">
      <c r="A608" s="13">
        <v>42370</v>
      </c>
      <c r="B608">
        <f>YEAR(Country_Masterlist__4[[#This Row],[Year1]])</f>
        <v>2016</v>
      </c>
      <c r="C608" t="s">
        <v>35</v>
      </c>
      <c r="D608" t="s">
        <v>82</v>
      </c>
      <c r="E608">
        <v>54</v>
      </c>
    </row>
    <row r="609" spans="1:5" x14ac:dyDescent="0.35">
      <c r="A609" s="13">
        <v>42370</v>
      </c>
      <c r="B609">
        <f>YEAR(Country_Masterlist__4[[#This Row],[Year1]])</f>
        <v>2016</v>
      </c>
      <c r="C609" t="s">
        <v>33</v>
      </c>
      <c r="D609" t="s">
        <v>83</v>
      </c>
      <c r="E609">
        <v>7</v>
      </c>
    </row>
    <row r="610" spans="1:5" x14ac:dyDescent="0.35">
      <c r="A610" s="13">
        <v>42370</v>
      </c>
      <c r="B610">
        <f>YEAR(Country_Masterlist__4[[#This Row],[Year1]])</f>
        <v>2016</v>
      </c>
      <c r="C610" t="s">
        <v>36</v>
      </c>
      <c r="D610" t="s">
        <v>84</v>
      </c>
      <c r="E610">
        <v>31</v>
      </c>
    </row>
    <row r="611" spans="1:5" x14ac:dyDescent="0.35">
      <c r="A611" s="13">
        <v>42370</v>
      </c>
      <c r="B611">
        <f>YEAR(Country_Masterlist__4[[#This Row],[Year1]])</f>
        <v>2016</v>
      </c>
      <c r="C611" t="s">
        <v>36</v>
      </c>
      <c r="D611" t="s">
        <v>85</v>
      </c>
      <c r="E611">
        <v>3708</v>
      </c>
    </row>
    <row r="612" spans="1:5" x14ac:dyDescent="0.35">
      <c r="A612" s="13">
        <v>42370</v>
      </c>
      <c r="B612">
        <f>YEAR(Country_Masterlist__4[[#This Row],[Year1]])</f>
        <v>2016</v>
      </c>
      <c r="C612" t="s">
        <v>38</v>
      </c>
      <c r="D612" t="s">
        <v>86</v>
      </c>
      <c r="E612">
        <v>4222</v>
      </c>
    </row>
    <row r="613" spans="1:5" x14ac:dyDescent="0.35">
      <c r="A613" s="13">
        <v>42370</v>
      </c>
      <c r="B613">
        <f>YEAR(Country_Masterlist__4[[#This Row],[Year1]])</f>
        <v>2016</v>
      </c>
      <c r="C613" t="s">
        <v>33</v>
      </c>
      <c r="D613" t="s">
        <v>87</v>
      </c>
      <c r="E613">
        <v>347</v>
      </c>
    </row>
    <row r="614" spans="1:5" x14ac:dyDescent="0.35">
      <c r="A614" s="13">
        <v>42370</v>
      </c>
      <c r="B614">
        <f>YEAR(Country_Masterlist__4[[#This Row],[Year1]])</f>
        <v>2016</v>
      </c>
      <c r="C614" t="s">
        <v>36</v>
      </c>
      <c r="D614" t="s">
        <v>16</v>
      </c>
      <c r="E614">
        <v>88097</v>
      </c>
    </row>
    <row r="615" spans="1:5" x14ac:dyDescent="0.35">
      <c r="A615" s="13">
        <v>42370</v>
      </c>
      <c r="B615">
        <f>YEAR(Country_Masterlist__4[[#This Row],[Year1]])</f>
        <v>2016</v>
      </c>
      <c r="C615" t="s">
        <v>33</v>
      </c>
      <c r="D615" t="s">
        <v>88</v>
      </c>
      <c r="E615">
        <v>10</v>
      </c>
    </row>
    <row r="616" spans="1:5" x14ac:dyDescent="0.35">
      <c r="A616" s="13">
        <v>42370</v>
      </c>
      <c r="B616">
        <f>YEAR(Country_Masterlist__4[[#This Row],[Year1]])</f>
        <v>2016</v>
      </c>
      <c r="C616" t="s">
        <v>33</v>
      </c>
      <c r="D616" t="s">
        <v>89</v>
      </c>
      <c r="E616">
        <v>386</v>
      </c>
    </row>
    <row r="617" spans="1:5" x14ac:dyDescent="0.35">
      <c r="A617" s="13">
        <v>42370</v>
      </c>
      <c r="B617">
        <f>YEAR(Country_Masterlist__4[[#This Row],[Year1]])</f>
        <v>2016</v>
      </c>
      <c r="C617" t="s">
        <v>35</v>
      </c>
      <c r="D617" t="s">
        <v>90</v>
      </c>
      <c r="E617">
        <v>44</v>
      </c>
    </row>
    <row r="618" spans="1:5" x14ac:dyDescent="0.35">
      <c r="A618" s="13">
        <v>42370</v>
      </c>
      <c r="B618">
        <f>YEAR(Country_Masterlist__4[[#This Row],[Year1]])</f>
        <v>2016</v>
      </c>
      <c r="C618" t="s">
        <v>33</v>
      </c>
      <c r="D618" t="s">
        <v>91</v>
      </c>
      <c r="E618">
        <v>235</v>
      </c>
    </row>
    <row r="619" spans="1:5" x14ac:dyDescent="0.35">
      <c r="A619" s="13">
        <v>42370</v>
      </c>
      <c r="B619">
        <f>YEAR(Country_Masterlist__4[[#This Row],[Year1]])</f>
        <v>2016</v>
      </c>
      <c r="C619" t="s">
        <v>37</v>
      </c>
      <c r="D619" t="s">
        <v>92</v>
      </c>
      <c r="E619">
        <v>105</v>
      </c>
    </row>
    <row r="620" spans="1:5" x14ac:dyDescent="0.35">
      <c r="A620" s="13">
        <v>42370</v>
      </c>
      <c r="B620">
        <f>YEAR(Country_Masterlist__4[[#This Row],[Year1]])</f>
        <v>2016</v>
      </c>
      <c r="C620" t="s">
        <v>35</v>
      </c>
      <c r="D620" t="s">
        <v>93</v>
      </c>
      <c r="E620">
        <v>32</v>
      </c>
    </row>
    <row r="621" spans="1:5" x14ac:dyDescent="0.35">
      <c r="A621" s="13">
        <v>42370</v>
      </c>
      <c r="B621">
        <f>YEAR(Country_Masterlist__4[[#This Row],[Year1]])</f>
        <v>2016</v>
      </c>
      <c r="C621" t="s">
        <v>35</v>
      </c>
      <c r="D621" t="s">
        <v>94</v>
      </c>
      <c r="E621">
        <v>737</v>
      </c>
    </row>
    <row r="622" spans="1:5" x14ac:dyDescent="0.35">
      <c r="A622" s="13">
        <v>42370</v>
      </c>
      <c r="B622">
        <f>YEAR(Country_Masterlist__4[[#This Row],[Year1]])</f>
        <v>2016</v>
      </c>
      <c r="C622" t="s">
        <v>33</v>
      </c>
      <c r="D622" t="s">
        <v>95</v>
      </c>
      <c r="E622">
        <v>11</v>
      </c>
    </row>
    <row r="623" spans="1:5" x14ac:dyDescent="0.35">
      <c r="A623" s="13">
        <v>42370</v>
      </c>
      <c r="B623">
        <f>YEAR(Country_Masterlist__4[[#This Row],[Year1]])</f>
        <v>2016</v>
      </c>
      <c r="C623" t="s">
        <v>33</v>
      </c>
      <c r="D623" t="s">
        <v>96</v>
      </c>
      <c r="E623">
        <v>156</v>
      </c>
    </row>
    <row r="624" spans="1:5" x14ac:dyDescent="0.35">
      <c r="A624" s="13">
        <v>42370</v>
      </c>
      <c r="B624">
        <f>YEAR(Country_Masterlist__4[[#This Row],[Year1]])</f>
        <v>2016</v>
      </c>
      <c r="C624" t="s">
        <v>34</v>
      </c>
      <c r="D624" t="s">
        <v>8</v>
      </c>
      <c r="E624">
        <v>93</v>
      </c>
    </row>
    <row r="625" spans="1:5" x14ac:dyDescent="0.35">
      <c r="A625" s="13">
        <v>42370</v>
      </c>
      <c r="B625">
        <f>YEAR(Country_Masterlist__4[[#This Row],[Year1]])</f>
        <v>2016</v>
      </c>
      <c r="C625" t="s">
        <v>35</v>
      </c>
      <c r="D625" t="s">
        <v>97</v>
      </c>
      <c r="E625">
        <v>510</v>
      </c>
    </row>
    <row r="626" spans="1:5" x14ac:dyDescent="0.35">
      <c r="A626" s="13">
        <v>42370</v>
      </c>
      <c r="B626">
        <f>YEAR(Country_Masterlist__4[[#This Row],[Year1]])</f>
        <v>2016</v>
      </c>
      <c r="C626" t="s">
        <v>33</v>
      </c>
      <c r="D626" t="s">
        <v>98</v>
      </c>
      <c r="E626">
        <v>890</v>
      </c>
    </row>
    <row r="627" spans="1:5" x14ac:dyDescent="0.35">
      <c r="A627" s="13">
        <v>42370</v>
      </c>
      <c r="B627">
        <f>YEAR(Country_Masterlist__4[[#This Row],[Year1]])</f>
        <v>2016</v>
      </c>
      <c r="C627" t="s">
        <v>35</v>
      </c>
      <c r="D627" t="s">
        <v>99</v>
      </c>
      <c r="E627">
        <v>172</v>
      </c>
    </row>
    <row r="628" spans="1:5" x14ac:dyDescent="0.35">
      <c r="A628" s="13">
        <v>42370</v>
      </c>
      <c r="B628">
        <f>YEAR(Country_Masterlist__4[[#This Row],[Year1]])</f>
        <v>2016</v>
      </c>
      <c r="C628" t="s">
        <v>36</v>
      </c>
      <c r="D628" t="s">
        <v>100</v>
      </c>
      <c r="E628">
        <v>32</v>
      </c>
    </row>
    <row r="629" spans="1:5" x14ac:dyDescent="0.35">
      <c r="A629" s="13">
        <v>42370</v>
      </c>
      <c r="B629">
        <f>YEAR(Country_Masterlist__4[[#This Row],[Year1]])</f>
        <v>2016</v>
      </c>
      <c r="C629" t="s">
        <v>36</v>
      </c>
      <c r="D629" t="s">
        <v>15</v>
      </c>
      <c r="E629">
        <v>97967</v>
      </c>
    </row>
    <row r="630" spans="1:5" x14ac:dyDescent="0.35">
      <c r="A630" s="13">
        <v>42370</v>
      </c>
      <c r="B630">
        <f>YEAR(Country_Masterlist__4[[#This Row],[Year1]])</f>
        <v>2016</v>
      </c>
      <c r="C630" t="s">
        <v>33</v>
      </c>
      <c r="D630" t="s">
        <v>101</v>
      </c>
      <c r="E630">
        <v>245</v>
      </c>
    </row>
    <row r="631" spans="1:5" x14ac:dyDescent="0.35">
      <c r="A631" s="13">
        <v>42370</v>
      </c>
      <c r="B631">
        <f>YEAR(Country_Masterlist__4[[#This Row],[Year1]])</f>
        <v>2016</v>
      </c>
      <c r="C631" t="s">
        <v>33</v>
      </c>
      <c r="D631" t="s">
        <v>102</v>
      </c>
      <c r="E631">
        <v>6</v>
      </c>
    </row>
    <row r="632" spans="1:5" x14ac:dyDescent="0.35">
      <c r="A632" s="13">
        <v>42370</v>
      </c>
      <c r="B632">
        <f>YEAR(Country_Masterlist__4[[#This Row],[Year1]])</f>
        <v>2016</v>
      </c>
      <c r="C632" t="s">
        <v>38</v>
      </c>
      <c r="D632" t="s">
        <v>103</v>
      </c>
      <c r="E632">
        <v>273</v>
      </c>
    </row>
    <row r="633" spans="1:5" x14ac:dyDescent="0.35">
      <c r="A633" s="13">
        <v>42370</v>
      </c>
      <c r="B633">
        <f>YEAR(Country_Masterlist__4[[#This Row],[Year1]])</f>
        <v>2016</v>
      </c>
      <c r="C633" t="s">
        <v>36</v>
      </c>
      <c r="D633" t="s">
        <v>104</v>
      </c>
      <c r="E633">
        <v>7840</v>
      </c>
    </row>
    <row r="634" spans="1:5" x14ac:dyDescent="0.35">
      <c r="A634" s="13">
        <v>42370</v>
      </c>
      <c r="B634">
        <f>YEAR(Country_Masterlist__4[[#This Row],[Year1]])</f>
        <v>2016</v>
      </c>
      <c r="C634" t="s">
        <v>36</v>
      </c>
      <c r="D634" t="s">
        <v>17</v>
      </c>
      <c r="E634">
        <v>68778</v>
      </c>
    </row>
    <row r="635" spans="1:5" x14ac:dyDescent="0.35">
      <c r="A635" s="13">
        <v>42370</v>
      </c>
      <c r="B635">
        <f>YEAR(Country_Masterlist__4[[#This Row],[Year1]])</f>
        <v>2016</v>
      </c>
      <c r="C635" t="s">
        <v>35</v>
      </c>
      <c r="D635" t="s">
        <v>105</v>
      </c>
      <c r="E635">
        <v>201</v>
      </c>
    </row>
    <row r="636" spans="1:5" x14ac:dyDescent="0.35">
      <c r="A636" s="13">
        <v>42370</v>
      </c>
      <c r="B636">
        <f>YEAR(Country_Masterlist__4[[#This Row],[Year1]])</f>
        <v>2016</v>
      </c>
      <c r="C636" t="s">
        <v>35</v>
      </c>
      <c r="D636" t="s">
        <v>106</v>
      </c>
      <c r="E636">
        <v>15</v>
      </c>
    </row>
    <row r="637" spans="1:5" x14ac:dyDescent="0.35">
      <c r="A637" s="13">
        <v>42370</v>
      </c>
      <c r="B637">
        <f>YEAR(Country_Masterlist__4[[#This Row],[Year1]])</f>
        <v>2016</v>
      </c>
      <c r="C637" t="s">
        <v>34</v>
      </c>
      <c r="D637" t="s">
        <v>22</v>
      </c>
      <c r="E637">
        <v>6455</v>
      </c>
    </row>
    <row r="638" spans="1:5" x14ac:dyDescent="0.35">
      <c r="A638" s="13">
        <v>42370</v>
      </c>
      <c r="B638">
        <f>YEAR(Country_Masterlist__4[[#This Row],[Year1]])</f>
        <v>2016</v>
      </c>
      <c r="C638" t="s">
        <v>34</v>
      </c>
      <c r="D638" t="s">
        <v>107</v>
      </c>
      <c r="E638">
        <v>181</v>
      </c>
    </row>
    <row r="639" spans="1:5" x14ac:dyDescent="0.35">
      <c r="A639" s="13">
        <v>42370</v>
      </c>
      <c r="B639">
        <f>YEAR(Country_Masterlist__4[[#This Row],[Year1]])</f>
        <v>2016</v>
      </c>
      <c r="C639" t="s">
        <v>34</v>
      </c>
      <c r="D639" t="s">
        <v>108</v>
      </c>
      <c r="E639">
        <v>703</v>
      </c>
    </row>
    <row r="640" spans="1:5" x14ac:dyDescent="0.35">
      <c r="A640" s="13">
        <v>42370</v>
      </c>
      <c r="B640">
        <f>YEAR(Country_Masterlist__4[[#This Row],[Year1]])</f>
        <v>2016</v>
      </c>
      <c r="C640" t="s">
        <v>34</v>
      </c>
      <c r="D640" t="s">
        <v>109</v>
      </c>
      <c r="E640">
        <v>472</v>
      </c>
    </row>
    <row r="641" spans="1:5" x14ac:dyDescent="0.35">
      <c r="A641" s="13">
        <v>42370</v>
      </c>
      <c r="B641">
        <f>YEAR(Country_Masterlist__4[[#This Row],[Year1]])</f>
        <v>2016</v>
      </c>
      <c r="C641" t="s">
        <v>35</v>
      </c>
      <c r="D641" t="s">
        <v>110</v>
      </c>
      <c r="E641">
        <v>204</v>
      </c>
    </row>
    <row r="642" spans="1:5" x14ac:dyDescent="0.35">
      <c r="A642" s="13">
        <v>42370</v>
      </c>
      <c r="B642">
        <f>YEAR(Country_Masterlist__4[[#This Row],[Year1]])</f>
        <v>2016</v>
      </c>
      <c r="C642" t="s">
        <v>34</v>
      </c>
      <c r="D642" t="s">
        <v>111</v>
      </c>
      <c r="E642">
        <v>297</v>
      </c>
    </row>
    <row r="643" spans="1:5" x14ac:dyDescent="0.35">
      <c r="A643" s="13">
        <v>42370</v>
      </c>
      <c r="B643">
        <f>YEAR(Country_Masterlist__4[[#This Row],[Year1]])</f>
        <v>2016</v>
      </c>
      <c r="C643" t="s">
        <v>35</v>
      </c>
      <c r="D643" t="s">
        <v>112</v>
      </c>
      <c r="E643">
        <v>654</v>
      </c>
    </row>
    <row r="644" spans="1:5" x14ac:dyDescent="0.35">
      <c r="A644" s="13">
        <v>42370</v>
      </c>
      <c r="B644">
        <f>YEAR(Country_Masterlist__4[[#This Row],[Year1]])</f>
        <v>2016</v>
      </c>
      <c r="C644" t="s">
        <v>36</v>
      </c>
      <c r="D644" t="s">
        <v>113</v>
      </c>
      <c r="E644">
        <v>2012</v>
      </c>
    </row>
    <row r="645" spans="1:5" x14ac:dyDescent="0.35">
      <c r="A645" s="13">
        <v>42370</v>
      </c>
      <c r="B645">
        <f>YEAR(Country_Masterlist__4[[#This Row],[Year1]])</f>
        <v>2016</v>
      </c>
      <c r="C645" t="s">
        <v>34</v>
      </c>
      <c r="D645" t="s">
        <v>114</v>
      </c>
      <c r="E645">
        <v>334</v>
      </c>
    </row>
    <row r="646" spans="1:5" x14ac:dyDescent="0.35">
      <c r="A646" s="13">
        <v>42370</v>
      </c>
      <c r="B646">
        <f>YEAR(Country_Masterlist__4[[#This Row],[Year1]])</f>
        <v>2016</v>
      </c>
      <c r="C646" t="s">
        <v>34</v>
      </c>
      <c r="D646" t="s">
        <v>115</v>
      </c>
      <c r="E646">
        <v>525</v>
      </c>
    </row>
    <row r="647" spans="1:5" x14ac:dyDescent="0.35">
      <c r="A647" s="13">
        <v>42370</v>
      </c>
      <c r="B647">
        <f>YEAR(Country_Masterlist__4[[#This Row],[Year1]])</f>
        <v>2016</v>
      </c>
      <c r="C647" t="s">
        <v>34</v>
      </c>
      <c r="D647" t="s">
        <v>116</v>
      </c>
      <c r="E647">
        <v>67</v>
      </c>
    </row>
    <row r="648" spans="1:5" x14ac:dyDescent="0.35">
      <c r="A648" s="13">
        <v>42370</v>
      </c>
      <c r="B648">
        <f>YEAR(Country_Masterlist__4[[#This Row],[Year1]])</f>
        <v>2016</v>
      </c>
      <c r="C648" t="s">
        <v>33</v>
      </c>
      <c r="D648" t="s">
        <v>117</v>
      </c>
      <c r="E648">
        <v>282</v>
      </c>
    </row>
    <row r="649" spans="1:5" x14ac:dyDescent="0.35">
      <c r="A649" s="13">
        <v>42370</v>
      </c>
      <c r="B649">
        <f>YEAR(Country_Masterlist__4[[#This Row],[Year1]])</f>
        <v>2016</v>
      </c>
      <c r="C649" t="s">
        <v>34</v>
      </c>
      <c r="D649" t="s">
        <v>118</v>
      </c>
      <c r="E649">
        <v>1001</v>
      </c>
    </row>
    <row r="650" spans="1:5" x14ac:dyDescent="0.35">
      <c r="A650" s="13">
        <v>42370</v>
      </c>
      <c r="B650">
        <f>YEAR(Country_Masterlist__4[[#This Row],[Year1]])</f>
        <v>2016</v>
      </c>
      <c r="C650" t="s">
        <v>35</v>
      </c>
      <c r="D650" t="s">
        <v>119</v>
      </c>
      <c r="E650">
        <v>52</v>
      </c>
    </row>
    <row r="651" spans="1:5" x14ac:dyDescent="0.35">
      <c r="A651" s="13">
        <v>42370</v>
      </c>
      <c r="B651">
        <f>YEAR(Country_Masterlist__4[[#This Row],[Year1]])</f>
        <v>2016</v>
      </c>
      <c r="C651" t="s">
        <v>34</v>
      </c>
      <c r="D651" t="s">
        <v>120</v>
      </c>
      <c r="E651">
        <v>97</v>
      </c>
    </row>
    <row r="652" spans="1:5" x14ac:dyDescent="0.35">
      <c r="A652" s="13">
        <v>42370</v>
      </c>
      <c r="B652">
        <f>YEAR(Country_Masterlist__4[[#This Row],[Year1]])</f>
        <v>2016</v>
      </c>
      <c r="C652" t="s">
        <v>34</v>
      </c>
      <c r="D652" t="s">
        <v>121</v>
      </c>
      <c r="E652">
        <v>26</v>
      </c>
    </row>
    <row r="653" spans="1:5" x14ac:dyDescent="0.35">
      <c r="A653" s="13">
        <v>42370</v>
      </c>
      <c r="B653">
        <f>YEAR(Country_Masterlist__4[[#This Row],[Year1]])</f>
        <v>2016</v>
      </c>
      <c r="C653" t="s">
        <v>34</v>
      </c>
      <c r="D653" t="s">
        <v>122</v>
      </c>
      <c r="E653">
        <v>203</v>
      </c>
    </row>
    <row r="654" spans="1:5" x14ac:dyDescent="0.35">
      <c r="A654" s="13">
        <v>42370</v>
      </c>
      <c r="B654">
        <f>YEAR(Country_Masterlist__4[[#This Row],[Year1]])</f>
        <v>2016</v>
      </c>
      <c r="C654" t="s">
        <v>35</v>
      </c>
      <c r="D654" t="s">
        <v>123</v>
      </c>
      <c r="E654">
        <v>53</v>
      </c>
    </row>
    <row r="655" spans="1:5" x14ac:dyDescent="0.35">
      <c r="A655" s="13">
        <v>42370</v>
      </c>
      <c r="B655">
        <f>YEAR(Country_Masterlist__4[[#This Row],[Year1]])</f>
        <v>2016</v>
      </c>
      <c r="C655" t="s">
        <v>34</v>
      </c>
      <c r="D655" t="s">
        <v>124</v>
      </c>
      <c r="E655">
        <v>206</v>
      </c>
    </row>
    <row r="656" spans="1:5" x14ac:dyDescent="0.35">
      <c r="A656" s="13">
        <v>42370</v>
      </c>
      <c r="B656">
        <f>YEAR(Country_Masterlist__4[[#This Row],[Year1]])</f>
        <v>2016</v>
      </c>
      <c r="C656" t="s">
        <v>33</v>
      </c>
      <c r="D656" t="s">
        <v>125</v>
      </c>
      <c r="E656">
        <v>184</v>
      </c>
    </row>
    <row r="657" spans="1:5" x14ac:dyDescent="0.35">
      <c r="A657" s="13">
        <v>42370</v>
      </c>
      <c r="B657">
        <f>YEAR(Country_Masterlist__4[[#This Row],[Year1]])</f>
        <v>2016</v>
      </c>
      <c r="C657" t="s">
        <v>33</v>
      </c>
      <c r="D657" t="s">
        <v>126</v>
      </c>
      <c r="E657">
        <v>52</v>
      </c>
    </row>
    <row r="658" spans="1:5" x14ac:dyDescent="0.35">
      <c r="A658" s="13">
        <v>42370</v>
      </c>
      <c r="B658">
        <f>YEAR(Country_Masterlist__4[[#This Row],[Year1]])</f>
        <v>2016</v>
      </c>
      <c r="C658" t="s">
        <v>35</v>
      </c>
      <c r="D658" t="s">
        <v>127</v>
      </c>
      <c r="E658">
        <v>87</v>
      </c>
    </row>
    <row r="659" spans="1:5" x14ac:dyDescent="0.35">
      <c r="A659" s="13">
        <v>42370</v>
      </c>
      <c r="B659">
        <f>YEAR(Country_Masterlist__4[[#This Row],[Year1]])</f>
        <v>2016</v>
      </c>
      <c r="C659" t="s">
        <v>35</v>
      </c>
      <c r="D659" t="s">
        <v>128</v>
      </c>
      <c r="E659" t="s">
        <v>205</v>
      </c>
    </row>
    <row r="660" spans="1:5" x14ac:dyDescent="0.35">
      <c r="A660" s="13">
        <v>42370</v>
      </c>
      <c r="B660">
        <f>YEAR(Country_Masterlist__4[[#This Row],[Year1]])</f>
        <v>2016</v>
      </c>
      <c r="C660" t="s">
        <v>33</v>
      </c>
      <c r="D660" t="s">
        <v>129</v>
      </c>
      <c r="E660">
        <v>6</v>
      </c>
    </row>
    <row r="661" spans="1:5" x14ac:dyDescent="0.35">
      <c r="A661" s="13">
        <v>42370</v>
      </c>
      <c r="B661">
        <f>YEAR(Country_Masterlist__4[[#This Row],[Year1]])</f>
        <v>2016</v>
      </c>
      <c r="C661" t="s">
        <v>33</v>
      </c>
      <c r="D661" t="s">
        <v>130</v>
      </c>
      <c r="E661">
        <v>14</v>
      </c>
    </row>
    <row r="662" spans="1:5" x14ac:dyDescent="0.35">
      <c r="A662" s="13">
        <v>42370</v>
      </c>
      <c r="B662">
        <f>YEAR(Country_Masterlist__4[[#This Row],[Year1]])</f>
        <v>2016</v>
      </c>
      <c r="C662" t="s">
        <v>34</v>
      </c>
      <c r="D662" t="s">
        <v>131</v>
      </c>
      <c r="E662">
        <v>48</v>
      </c>
    </row>
    <row r="663" spans="1:5" x14ac:dyDescent="0.35">
      <c r="A663" s="13">
        <v>42370</v>
      </c>
      <c r="B663">
        <f>YEAR(Country_Masterlist__4[[#This Row],[Year1]])</f>
        <v>2016</v>
      </c>
      <c r="C663" t="s">
        <v>33</v>
      </c>
      <c r="D663" t="s">
        <v>132</v>
      </c>
      <c r="E663">
        <v>87</v>
      </c>
    </row>
    <row r="664" spans="1:5" x14ac:dyDescent="0.35">
      <c r="A664" s="13">
        <v>42370</v>
      </c>
      <c r="B664">
        <f>YEAR(Country_Masterlist__4[[#This Row],[Year1]])</f>
        <v>2016</v>
      </c>
      <c r="C664" t="s">
        <v>35</v>
      </c>
      <c r="D664" t="s">
        <v>133</v>
      </c>
      <c r="E664">
        <v>3</v>
      </c>
    </row>
    <row r="665" spans="1:5" x14ac:dyDescent="0.35">
      <c r="A665" s="13">
        <v>42370</v>
      </c>
      <c r="B665">
        <f>YEAR(Country_Masterlist__4[[#This Row],[Year1]])</f>
        <v>2016</v>
      </c>
      <c r="C665" t="s">
        <v>37</v>
      </c>
      <c r="D665" t="s">
        <v>134</v>
      </c>
      <c r="E665">
        <v>41</v>
      </c>
    </row>
    <row r="666" spans="1:5" x14ac:dyDescent="0.35">
      <c r="A666" s="13">
        <v>42370</v>
      </c>
      <c r="B666">
        <f>YEAR(Country_Masterlist__4[[#This Row],[Year1]])</f>
        <v>2016</v>
      </c>
      <c r="C666" t="s">
        <v>33</v>
      </c>
      <c r="D666" t="s">
        <v>135</v>
      </c>
      <c r="E666">
        <v>32</v>
      </c>
    </row>
    <row r="667" spans="1:5" x14ac:dyDescent="0.35">
      <c r="A667" s="13">
        <v>42370</v>
      </c>
      <c r="B667">
        <f>YEAR(Country_Masterlist__4[[#This Row],[Year1]])</f>
        <v>2016</v>
      </c>
      <c r="C667" t="s">
        <v>33</v>
      </c>
      <c r="D667" t="s">
        <v>136</v>
      </c>
      <c r="E667">
        <v>17</v>
      </c>
    </row>
    <row r="668" spans="1:5" x14ac:dyDescent="0.35">
      <c r="A668" s="13">
        <v>42370</v>
      </c>
      <c r="B668">
        <f>YEAR(Country_Masterlist__4[[#This Row],[Year1]])</f>
        <v>2016</v>
      </c>
      <c r="C668" t="s">
        <v>36</v>
      </c>
      <c r="D668" t="s">
        <v>14</v>
      </c>
      <c r="E668">
        <v>325348</v>
      </c>
    </row>
    <row r="669" spans="1:5" x14ac:dyDescent="0.35">
      <c r="A669" s="13">
        <v>42370</v>
      </c>
      <c r="B669">
        <f>YEAR(Country_Masterlist__4[[#This Row],[Year1]])</f>
        <v>2016</v>
      </c>
      <c r="C669" t="s">
        <v>37</v>
      </c>
      <c r="D669" t="s">
        <v>137</v>
      </c>
      <c r="E669">
        <v>100</v>
      </c>
    </row>
    <row r="670" spans="1:5" x14ac:dyDescent="0.35">
      <c r="A670" s="13">
        <v>42370</v>
      </c>
      <c r="B670">
        <f>YEAR(Country_Masterlist__4[[#This Row],[Year1]])</f>
        <v>2016</v>
      </c>
      <c r="C670" t="s">
        <v>35</v>
      </c>
      <c r="D670" t="s">
        <v>138</v>
      </c>
      <c r="E670">
        <v>73</v>
      </c>
    </row>
    <row r="671" spans="1:5" x14ac:dyDescent="0.35">
      <c r="A671" s="13">
        <v>42370</v>
      </c>
      <c r="B671">
        <f>YEAR(Country_Masterlist__4[[#This Row],[Year1]])</f>
        <v>2016</v>
      </c>
      <c r="C671" t="s">
        <v>34</v>
      </c>
      <c r="D671" t="s">
        <v>139</v>
      </c>
      <c r="E671">
        <v>85</v>
      </c>
    </row>
    <row r="672" spans="1:5" x14ac:dyDescent="0.35">
      <c r="A672" s="13">
        <v>42370</v>
      </c>
      <c r="B672">
        <f>YEAR(Country_Masterlist__4[[#This Row],[Year1]])</f>
        <v>2016</v>
      </c>
      <c r="C672" t="s">
        <v>35</v>
      </c>
      <c r="D672" t="s">
        <v>140</v>
      </c>
      <c r="E672">
        <v>21</v>
      </c>
    </row>
    <row r="673" spans="1:5" x14ac:dyDescent="0.35">
      <c r="A673" s="13">
        <v>42370</v>
      </c>
      <c r="B673">
        <f>YEAR(Country_Masterlist__4[[#This Row],[Year1]])</f>
        <v>2016</v>
      </c>
      <c r="C673" t="s">
        <v>33</v>
      </c>
      <c r="D673" t="s">
        <v>141</v>
      </c>
      <c r="E673">
        <v>274</v>
      </c>
    </row>
    <row r="674" spans="1:5" x14ac:dyDescent="0.35">
      <c r="A674" s="13">
        <v>42370</v>
      </c>
      <c r="B674">
        <f>YEAR(Country_Masterlist__4[[#This Row],[Year1]])</f>
        <v>2016</v>
      </c>
      <c r="C674" t="s">
        <v>33</v>
      </c>
      <c r="D674" t="s">
        <v>142</v>
      </c>
      <c r="E674">
        <v>4</v>
      </c>
    </row>
    <row r="675" spans="1:5" x14ac:dyDescent="0.35">
      <c r="A675" s="13">
        <v>42370</v>
      </c>
      <c r="B675">
        <f>YEAR(Country_Masterlist__4[[#This Row],[Year1]])</f>
        <v>2016</v>
      </c>
      <c r="C675" t="s">
        <v>33</v>
      </c>
      <c r="D675" t="s">
        <v>143</v>
      </c>
      <c r="E675">
        <v>3</v>
      </c>
    </row>
    <row r="676" spans="1:5" x14ac:dyDescent="0.35">
      <c r="A676" s="13">
        <v>42370</v>
      </c>
      <c r="B676">
        <f>YEAR(Country_Masterlist__4[[#This Row],[Year1]])</f>
        <v>2016</v>
      </c>
      <c r="C676" t="s">
        <v>34</v>
      </c>
      <c r="D676" t="s">
        <v>144</v>
      </c>
      <c r="E676">
        <v>795</v>
      </c>
    </row>
    <row r="677" spans="1:5" x14ac:dyDescent="0.35">
      <c r="A677" s="13">
        <v>42370</v>
      </c>
      <c r="B677">
        <f>YEAR(Country_Masterlist__4[[#This Row],[Year1]])</f>
        <v>2016</v>
      </c>
      <c r="C677" t="s">
        <v>35</v>
      </c>
      <c r="D677" t="s">
        <v>145</v>
      </c>
      <c r="E677">
        <v>250</v>
      </c>
    </row>
    <row r="678" spans="1:5" x14ac:dyDescent="0.35">
      <c r="A678" s="13">
        <v>42370</v>
      </c>
      <c r="B678">
        <f>YEAR(Country_Masterlist__4[[#This Row],[Year1]])</f>
        <v>2016</v>
      </c>
      <c r="C678" t="s">
        <v>37</v>
      </c>
      <c r="D678" t="s">
        <v>146</v>
      </c>
      <c r="E678">
        <v>122</v>
      </c>
    </row>
    <row r="679" spans="1:5" x14ac:dyDescent="0.35">
      <c r="A679" s="13">
        <v>42370</v>
      </c>
      <c r="B679">
        <f>YEAR(Country_Masterlist__4[[#This Row],[Year1]])</f>
        <v>2016</v>
      </c>
      <c r="C679" t="s">
        <v>36</v>
      </c>
      <c r="D679" t="s">
        <v>147</v>
      </c>
      <c r="E679">
        <v>2086</v>
      </c>
    </row>
    <row r="680" spans="1:5" x14ac:dyDescent="0.35">
      <c r="A680" s="13">
        <v>42370</v>
      </c>
      <c r="B680">
        <f>YEAR(Country_Masterlist__4[[#This Row],[Year1]])</f>
        <v>2016</v>
      </c>
      <c r="C680" t="s">
        <v>33</v>
      </c>
      <c r="D680" t="s">
        <v>148</v>
      </c>
      <c r="E680">
        <v>26</v>
      </c>
    </row>
    <row r="681" spans="1:5" x14ac:dyDescent="0.35">
      <c r="A681" s="13">
        <v>42370</v>
      </c>
      <c r="B681">
        <f>YEAR(Country_Masterlist__4[[#This Row],[Year1]])</f>
        <v>2016</v>
      </c>
      <c r="C681" t="s">
        <v>33</v>
      </c>
      <c r="D681" t="s">
        <v>149</v>
      </c>
      <c r="E681">
        <v>1582</v>
      </c>
    </row>
    <row r="682" spans="1:5" x14ac:dyDescent="0.35">
      <c r="A682" s="13">
        <v>42370</v>
      </c>
      <c r="B682">
        <f>YEAR(Country_Masterlist__4[[#This Row],[Year1]])</f>
        <v>2016</v>
      </c>
      <c r="C682" t="s">
        <v>35</v>
      </c>
      <c r="D682" t="s">
        <v>322</v>
      </c>
      <c r="E682">
        <v>44</v>
      </c>
    </row>
    <row r="683" spans="1:5" x14ac:dyDescent="0.35">
      <c r="A683" s="13">
        <v>42370</v>
      </c>
      <c r="B683">
        <f>YEAR(Country_Masterlist__4[[#This Row],[Year1]])</f>
        <v>2016</v>
      </c>
      <c r="C683" t="s">
        <v>35</v>
      </c>
      <c r="D683" t="s">
        <v>150</v>
      </c>
      <c r="E683">
        <v>59</v>
      </c>
    </row>
    <row r="684" spans="1:5" x14ac:dyDescent="0.35">
      <c r="A684" s="13">
        <v>42370</v>
      </c>
      <c r="B684">
        <f>YEAR(Country_Masterlist__4[[#This Row],[Year1]])</f>
        <v>2016</v>
      </c>
      <c r="C684" t="s">
        <v>34</v>
      </c>
      <c r="D684" t="s">
        <v>151</v>
      </c>
      <c r="E684">
        <v>10</v>
      </c>
    </row>
    <row r="685" spans="1:5" x14ac:dyDescent="0.35">
      <c r="A685" s="13">
        <v>42370</v>
      </c>
      <c r="B685">
        <f>YEAR(Country_Masterlist__4[[#This Row],[Year1]])</f>
        <v>2016</v>
      </c>
      <c r="C685" t="s">
        <v>34</v>
      </c>
      <c r="D685" t="s">
        <v>152</v>
      </c>
      <c r="E685">
        <v>1061</v>
      </c>
    </row>
    <row r="686" spans="1:5" x14ac:dyDescent="0.35">
      <c r="A686" s="13">
        <v>42370</v>
      </c>
      <c r="B686">
        <f>YEAR(Country_Masterlist__4[[#This Row],[Year1]])</f>
        <v>2016</v>
      </c>
      <c r="C686" t="s">
        <v>37</v>
      </c>
      <c r="D686" t="s">
        <v>153</v>
      </c>
      <c r="E686">
        <v>25</v>
      </c>
    </row>
    <row r="687" spans="1:5" x14ac:dyDescent="0.35">
      <c r="A687" s="13">
        <v>42370</v>
      </c>
      <c r="B687">
        <f>YEAR(Country_Masterlist__4[[#This Row],[Year1]])</f>
        <v>2016</v>
      </c>
      <c r="C687" t="s">
        <v>36</v>
      </c>
      <c r="D687" t="s">
        <v>154</v>
      </c>
      <c r="E687">
        <v>167</v>
      </c>
    </row>
    <row r="688" spans="1:5" x14ac:dyDescent="0.35">
      <c r="A688" s="13">
        <v>42370</v>
      </c>
      <c r="B688">
        <f>YEAR(Country_Masterlist__4[[#This Row],[Year1]])</f>
        <v>2016</v>
      </c>
      <c r="C688" t="s">
        <v>38</v>
      </c>
      <c r="D688" t="s">
        <v>155</v>
      </c>
      <c r="E688">
        <v>37</v>
      </c>
    </row>
    <row r="689" spans="1:5" x14ac:dyDescent="0.35">
      <c r="A689" s="13">
        <v>42370</v>
      </c>
      <c r="B689">
        <f>YEAR(Country_Masterlist__4[[#This Row],[Year1]])</f>
        <v>2016</v>
      </c>
      <c r="C689" t="s">
        <v>38</v>
      </c>
      <c r="D689" t="s">
        <v>156</v>
      </c>
      <c r="E689">
        <v>1424</v>
      </c>
    </row>
    <row r="690" spans="1:5" x14ac:dyDescent="0.35">
      <c r="A690" s="13">
        <v>42370</v>
      </c>
      <c r="B690">
        <f>YEAR(Country_Masterlist__4[[#This Row],[Year1]])</f>
        <v>2016</v>
      </c>
      <c r="C690" t="s">
        <v>34</v>
      </c>
      <c r="D690" t="s">
        <v>18</v>
      </c>
      <c r="E690">
        <v>897</v>
      </c>
    </row>
    <row r="691" spans="1:5" x14ac:dyDescent="0.35">
      <c r="A691" s="13">
        <v>42370</v>
      </c>
      <c r="B691">
        <f>YEAR(Country_Masterlist__4[[#This Row],[Year1]])</f>
        <v>2016</v>
      </c>
      <c r="C691" t="s">
        <v>35</v>
      </c>
      <c r="D691" t="s">
        <v>157</v>
      </c>
      <c r="E691">
        <v>438</v>
      </c>
    </row>
    <row r="692" spans="1:5" x14ac:dyDescent="0.35">
      <c r="A692" s="13">
        <v>42370</v>
      </c>
      <c r="B692">
        <f>YEAR(Country_Masterlist__4[[#This Row],[Year1]])</f>
        <v>2016</v>
      </c>
      <c r="C692" t="s">
        <v>35</v>
      </c>
      <c r="D692" t="s">
        <v>158</v>
      </c>
      <c r="E692">
        <v>304</v>
      </c>
    </row>
    <row r="693" spans="1:5" x14ac:dyDescent="0.35">
      <c r="A693" s="13">
        <v>42370</v>
      </c>
      <c r="B693">
        <f>YEAR(Country_Masterlist__4[[#This Row],[Year1]])</f>
        <v>2016</v>
      </c>
      <c r="C693" t="s">
        <v>34</v>
      </c>
      <c r="D693" t="s">
        <v>159</v>
      </c>
      <c r="E693">
        <v>21</v>
      </c>
    </row>
    <row r="694" spans="1:5" x14ac:dyDescent="0.35">
      <c r="A694" s="13">
        <v>42370</v>
      </c>
      <c r="B694">
        <f>YEAR(Country_Masterlist__4[[#This Row],[Year1]])</f>
        <v>2016</v>
      </c>
      <c r="C694" t="s">
        <v>35</v>
      </c>
      <c r="D694" t="s">
        <v>160</v>
      </c>
      <c r="E694">
        <v>2870</v>
      </c>
    </row>
    <row r="695" spans="1:5" x14ac:dyDescent="0.35">
      <c r="A695" s="13">
        <v>42370</v>
      </c>
      <c r="B695">
        <f>YEAR(Country_Masterlist__4[[#This Row],[Year1]])</f>
        <v>2016</v>
      </c>
      <c r="C695" t="s">
        <v>35</v>
      </c>
      <c r="D695" t="s">
        <v>161</v>
      </c>
      <c r="E695">
        <v>450</v>
      </c>
    </row>
    <row r="696" spans="1:5" x14ac:dyDescent="0.35">
      <c r="A696" s="13">
        <v>42370</v>
      </c>
      <c r="B696">
        <f>YEAR(Country_Masterlist__4[[#This Row],[Year1]])</f>
        <v>2016</v>
      </c>
      <c r="C696" t="s">
        <v>33</v>
      </c>
      <c r="D696" t="s">
        <v>162</v>
      </c>
      <c r="E696">
        <v>36</v>
      </c>
    </row>
    <row r="697" spans="1:5" x14ac:dyDescent="0.35">
      <c r="A697" s="13">
        <v>42370</v>
      </c>
      <c r="B697">
        <f>YEAR(Country_Masterlist__4[[#This Row],[Year1]])</f>
        <v>2016</v>
      </c>
      <c r="C697" t="s">
        <v>36</v>
      </c>
      <c r="D697" t="s">
        <v>163</v>
      </c>
      <c r="E697">
        <v>18</v>
      </c>
    </row>
    <row r="698" spans="1:5" x14ac:dyDescent="0.35">
      <c r="A698" s="13">
        <v>42370</v>
      </c>
      <c r="B698">
        <f>YEAR(Country_Masterlist__4[[#This Row],[Year1]])</f>
        <v>2016</v>
      </c>
      <c r="C698" t="s">
        <v>36</v>
      </c>
      <c r="D698" t="s">
        <v>164</v>
      </c>
      <c r="E698">
        <v>45</v>
      </c>
    </row>
    <row r="699" spans="1:5" x14ac:dyDescent="0.35">
      <c r="A699" s="13">
        <v>42370</v>
      </c>
      <c r="B699">
        <f>YEAR(Country_Masterlist__4[[#This Row],[Year1]])</f>
        <v>2016</v>
      </c>
      <c r="C699" t="s">
        <v>36</v>
      </c>
      <c r="D699" t="s">
        <v>165</v>
      </c>
      <c r="E699">
        <v>38</v>
      </c>
    </row>
    <row r="700" spans="1:5" x14ac:dyDescent="0.35">
      <c r="A700" s="13">
        <v>42370</v>
      </c>
      <c r="B700">
        <f>YEAR(Country_Masterlist__4[[#This Row],[Year1]])</f>
        <v>2016</v>
      </c>
      <c r="C700" t="s">
        <v>37</v>
      </c>
      <c r="D700" t="s">
        <v>166</v>
      </c>
      <c r="E700">
        <v>37</v>
      </c>
    </row>
    <row r="701" spans="1:5" x14ac:dyDescent="0.35">
      <c r="A701" s="13">
        <v>42370</v>
      </c>
      <c r="B701">
        <f>YEAR(Country_Masterlist__4[[#This Row],[Year1]])</f>
        <v>2016</v>
      </c>
      <c r="C701" t="s">
        <v>34</v>
      </c>
      <c r="D701" t="s">
        <v>167</v>
      </c>
      <c r="E701">
        <v>705</v>
      </c>
    </row>
    <row r="702" spans="1:5" x14ac:dyDescent="0.35">
      <c r="A702" s="13">
        <v>42370</v>
      </c>
      <c r="B702">
        <f>YEAR(Country_Masterlist__4[[#This Row],[Year1]])</f>
        <v>2016</v>
      </c>
      <c r="C702" t="s">
        <v>33</v>
      </c>
      <c r="D702" t="s">
        <v>168</v>
      </c>
      <c r="E702">
        <v>352</v>
      </c>
    </row>
    <row r="703" spans="1:5" x14ac:dyDescent="0.35">
      <c r="A703" s="13">
        <v>42370</v>
      </c>
      <c r="B703">
        <f>YEAR(Country_Masterlist__4[[#This Row],[Year1]])</f>
        <v>2016</v>
      </c>
      <c r="C703" t="s">
        <v>35</v>
      </c>
      <c r="D703" t="s">
        <v>169</v>
      </c>
      <c r="E703">
        <v>72</v>
      </c>
    </row>
    <row r="704" spans="1:5" x14ac:dyDescent="0.35">
      <c r="A704" s="13">
        <v>42370</v>
      </c>
      <c r="B704">
        <f>YEAR(Country_Masterlist__4[[#This Row],[Year1]])</f>
        <v>2016</v>
      </c>
      <c r="C704" t="s">
        <v>35</v>
      </c>
      <c r="D704" t="s">
        <v>215</v>
      </c>
      <c r="E704">
        <v>21</v>
      </c>
    </row>
    <row r="705" spans="1:5" x14ac:dyDescent="0.35">
      <c r="A705" s="13">
        <v>42370</v>
      </c>
      <c r="B705">
        <f>YEAR(Country_Masterlist__4[[#This Row],[Year1]])</f>
        <v>2016</v>
      </c>
      <c r="C705" t="s">
        <v>33</v>
      </c>
      <c r="D705" t="s">
        <v>170</v>
      </c>
      <c r="E705">
        <v>81</v>
      </c>
    </row>
    <row r="706" spans="1:5" x14ac:dyDescent="0.35">
      <c r="A706" s="13">
        <v>42370</v>
      </c>
      <c r="B706">
        <f>YEAR(Country_Masterlist__4[[#This Row],[Year1]])</f>
        <v>2016</v>
      </c>
      <c r="C706" t="s">
        <v>34</v>
      </c>
      <c r="D706" t="s">
        <v>171</v>
      </c>
      <c r="E706">
        <v>45</v>
      </c>
    </row>
    <row r="707" spans="1:5" x14ac:dyDescent="0.35">
      <c r="A707" s="13">
        <v>42370</v>
      </c>
      <c r="B707">
        <f>YEAR(Country_Masterlist__4[[#This Row],[Year1]])</f>
        <v>2016</v>
      </c>
      <c r="C707" t="s">
        <v>35</v>
      </c>
      <c r="D707" t="s">
        <v>172</v>
      </c>
      <c r="E707">
        <v>72</v>
      </c>
    </row>
    <row r="708" spans="1:5" x14ac:dyDescent="0.35">
      <c r="A708" s="13">
        <v>42370</v>
      </c>
      <c r="B708">
        <f>YEAR(Country_Masterlist__4[[#This Row],[Year1]])</f>
        <v>2016</v>
      </c>
      <c r="C708" t="s">
        <v>35</v>
      </c>
      <c r="D708" t="s">
        <v>173</v>
      </c>
      <c r="E708">
        <v>12</v>
      </c>
    </row>
    <row r="709" spans="1:5" x14ac:dyDescent="0.35">
      <c r="A709" s="13">
        <v>42370</v>
      </c>
      <c r="B709">
        <f>YEAR(Country_Masterlist__4[[#This Row],[Year1]])</f>
        <v>2016</v>
      </c>
      <c r="C709" t="s">
        <v>33</v>
      </c>
      <c r="D709" t="s">
        <v>174</v>
      </c>
      <c r="E709">
        <v>590</v>
      </c>
    </row>
    <row r="710" spans="1:5" x14ac:dyDescent="0.35">
      <c r="A710" s="13">
        <v>42370</v>
      </c>
      <c r="B710">
        <f>YEAR(Country_Masterlist__4[[#This Row],[Year1]])</f>
        <v>2016</v>
      </c>
      <c r="C710" t="s">
        <v>33</v>
      </c>
      <c r="D710" t="s">
        <v>175</v>
      </c>
      <c r="E710">
        <v>163</v>
      </c>
    </row>
    <row r="711" spans="1:5" x14ac:dyDescent="0.35">
      <c r="A711" s="13">
        <v>42370</v>
      </c>
      <c r="B711">
        <f>YEAR(Country_Masterlist__4[[#This Row],[Year1]])</f>
        <v>2016</v>
      </c>
      <c r="C711" t="s">
        <v>33</v>
      </c>
      <c r="D711" t="s">
        <v>176</v>
      </c>
      <c r="E711">
        <v>21</v>
      </c>
    </row>
    <row r="712" spans="1:5" x14ac:dyDescent="0.35">
      <c r="A712" s="13">
        <v>42370</v>
      </c>
      <c r="B712">
        <f>YEAR(Country_Masterlist__4[[#This Row],[Year1]])</f>
        <v>2016</v>
      </c>
      <c r="C712" t="s">
        <v>35</v>
      </c>
      <c r="D712" t="s">
        <v>216</v>
      </c>
      <c r="E712">
        <v>23</v>
      </c>
    </row>
    <row r="713" spans="1:5" x14ac:dyDescent="0.35">
      <c r="A713" s="13">
        <v>42370</v>
      </c>
      <c r="B713">
        <f>YEAR(Country_Masterlist__4[[#This Row],[Year1]])</f>
        <v>2016</v>
      </c>
      <c r="C713" t="s">
        <v>35</v>
      </c>
      <c r="D713" t="s">
        <v>177</v>
      </c>
      <c r="E713">
        <v>953</v>
      </c>
    </row>
    <row r="714" spans="1:5" x14ac:dyDescent="0.35">
      <c r="A714" s="13">
        <v>42370</v>
      </c>
      <c r="B714">
        <f>YEAR(Country_Masterlist__4[[#This Row],[Year1]])</f>
        <v>2016</v>
      </c>
      <c r="C714" t="s">
        <v>34</v>
      </c>
      <c r="D714" t="s">
        <v>178</v>
      </c>
      <c r="E714">
        <v>134</v>
      </c>
    </row>
    <row r="715" spans="1:5" x14ac:dyDescent="0.35">
      <c r="A715" s="13">
        <v>42370</v>
      </c>
      <c r="B715">
        <f>YEAR(Country_Masterlist__4[[#This Row],[Year1]])</f>
        <v>2016</v>
      </c>
      <c r="C715" t="s">
        <v>33</v>
      </c>
      <c r="D715" t="s">
        <v>179</v>
      </c>
      <c r="E715">
        <v>131</v>
      </c>
    </row>
    <row r="716" spans="1:5" x14ac:dyDescent="0.35">
      <c r="A716" s="13">
        <v>42370</v>
      </c>
      <c r="B716">
        <f>YEAR(Country_Masterlist__4[[#This Row],[Year1]])</f>
        <v>2016</v>
      </c>
      <c r="C716" t="s">
        <v>38</v>
      </c>
      <c r="D716" t="s">
        <v>180</v>
      </c>
      <c r="E716">
        <v>11</v>
      </c>
    </row>
    <row r="717" spans="1:5" x14ac:dyDescent="0.35">
      <c r="A717" s="13">
        <v>42370</v>
      </c>
      <c r="B717">
        <f>YEAR(Country_Masterlist__4[[#This Row],[Year1]])</f>
        <v>2016</v>
      </c>
      <c r="C717" t="s">
        <v>33</v>
      </c>
      <c r="D717" t="s">
        <v>181</v>
      </c>
      <c r="E717" t="s">
        <v>205</v>
      </c>
    </row>
    <row r="718" spans="1:5" x14ac:dyDescent="0.35">
      <c r="A718" s="13">
        <v>42370</v>
      </c>
      <c r="B718">
        <f>YEAR(Country_Masterlist__4[[#This Row],[Year1]])</f>
        <v>2016</v>
      </c>
      <c r="C718" t="s">
        <v>35</v>
      </c>
      <c r="D718" t="s">
        <v>182</v>
      </c>
      <c r="E718">
        <v>158</v>
      </c>
    </row>
    <row r="719" spans="1:5" x14ac:dyDescent="0.35">
      <c r="A719" s="13">
        <v>42370</v>
      </c>
      <c r="B719">
        <f>YEAR(Country_Masterlist__4[[#This Row],[Year1]])</f>
        <v>2016</v>
      </c>
      <c r="C719" t="s">
        <v>35</v>
      </c>
      <c r="D719" t="s">
        <v>183</v>
      </c>
      <c r="E719">
        <v>69</v>
      </c>
    </row>
    <row r="720" spans="1:5" x14ac:dyDescent="0.35">
      <c r="A720" s="13">
        <v>42370</v>
      </c>
      <c r="B720">
        <f>YEAR(Country_Masterlist__4[[#This Row],[Year1]])</f>
        <v>2016</v>
      </c>
      <c r="C720" t="s">
        <v>34</v>
      </c>
      <c r="D720" t="s">
        <v>184</v>
      </c>
      <c r="E720">
        <v>334</v>
      </c>
    </row>
    <row r="721" spans="1:5" x14ac:dyDescent="0.35">
      <c r="A721" s="13">
        <v>42370</v>
      </c>
      <c r="B721">
        <f>YEAR(Country_Masterlist__4[[#This Row],[Year1]])</f>
        <v>2016</v>
      </c>
      <c r="C721" t="s">
        <v>34</v>
      </c>
      <c r="D721" t="s">
        <v>185</v>
      </c>
      <c r="E721">
        <v>396</v>
      </c>
    </row>
    <row r="722" spans="1:5" x14ac:dyDescent="0.35">
      <c r="A722" s="13">
        <v>42370</v>
      </c>
      <c r="B722">
        <f>YEAR(Country_Masterlist__4[[#This Row],[Year1]])</f>
        <v>2016</v>
      </c>
      <c r="C722" t="s">
        <v>34</v>
      </c>
      <c r="D722" t="s">
        <v>186</v>
      </c>
      <c r="E722">
        <v>21</v>
      </c>
    </row>
    <row r="723" spans="1:5" x14ac:dyDescent="0.35">
      <c r="A723" s="13">
        <v>42370</v>
      </c>
      <c r="B723">
        <f>YEAR(Country_Masterlist__4[[#This Row],[Year1]])</f>
        <v>2016</v>
      </c>
      <c r="C723" t="s">
        <v>33</v>
      </c>
      <c r="D723" t="s">
        <v>187</v>
      </c>
      <c r="E723">
        <v>54</v>
      </c>
    </row>
    <row r="724" spans="1:5" x14ac:dyDescent="0.35">
      <c r="A724" s="13">
        <v>42370</v>
      </c>
      <c r="B724">
        <f>YEAR(Country_Masterlist__4[[#This Row],[Year1]])</f>
        <v>2016</v>
      </c>
      <c r="C724" t="s">
        <v>34</v>
      </c>
      <c r="D724" t="s">
        <v>188</v>
      </c>
      <c r="E724">
        <v>214</v>
      </c>
    </row>
    <row r="725" spans="1:5" x14ac:dyDescent="0.35">
      <c r="A725" s="13">
        <v>42370</v>
      </c>
      <c r="B725">
        <f>YEAR(Country_Masterlist__4[[#This Row],[Year1]])</f>
        <v>2016</v>
      </c>
      <c r="C725" t="s">
        <v>33</v>
      </c>
      <c r="D725" t="s">
        <v>189</v>
      </c>
      <c r="E725">
        <v>82</v>
      </c>
    </row>
    <row r="726" spans="1:5" x14ac:dyDescent="0.35">
      <c r="A726" s="13">
        <v>42370</v>
      </c>
      <c r="B726">
        <f>YEAR(Country_Masterlist__4[[#This Row],[Year1]])</f>
        <v>2016</v>
      </c>
      <c r="C726" t="s">
        <v>37</v>
      </c>
      <c r="D726" t="s">
        <v>190</v>
      </c>
      <c r="E726">
        <v>55</v>
      </c>
    </row>
    <row r="727" spans="1:5" x14ac:dyDescent="0.35">
      <c r="A727" s="13">
        <v>42370</v>
      </c>
      <c r="B727">
        <f>YEAR(Country_Masterlist__4[[#This Row],[Year1]])</f>
        <v>2016</v>
      </c>
      <c r="C727" t="s">
        <v>36</v>
      </c>
      <c r="D727" t="s">
        <v>191</v>
      </c>
      <c r="E727">
        <v>278</v>
      </c>
    </row>
    <row r="728" spans="1:5" x14ac:dyDescent="0.35">
      <c r="A728" s="13">
        <v>42370</v>
      </c>
      <c r="B728">
        <f>YEAR(Country_Masterlist__4[[#This Row],[Year1]])</f>
        <v>2016</v>
      </c>
      <c r="C728" t="s">
        <v>33</v>
      </c>
      <c r="D728" t="s">
        <v>192</v>
      </c>
      <c r="E728">
        <v>157</v>
      </c>
    </row>
    <row r="729" spans="1:5" x14ac:dyDescent="0.35">
      <c r="A729" s="13">
        <v>42370</v>
      </c>
      <c r="B729">
        <f>YEAR(Country_Masterlist__4[[#This Row],[Year1]])</f>
        <v>2016</v>
      </c>
      <c r="C729" t="s">
        <v>34</v>
      </c>
      <c r="D729" t="s">
        <v>193</v>
      </c>
      <c r="E729">
        <v>335</v>
      </c>
    </row>
    <row r="730" spans="1:5" x14ac:dyDescent="0.35">
      <c r="A730" s="13">
        <v>42370</v>
      </c>
      <c r="B730">
        <f>YEAR(Country_Masterlist__4[[#This Row],[Year1]])</f>
        <v>2016</v>
      </c>
      <c r="C730" t="s">
        <v>34</v>
      </c>
      <c r="D730" t="s">
        <v>194</v>
      </c>
      <c r="E730">
        <v>52</v>
      </c>
    </row>
    <row r="731" spans="1:5" x14ac:dyDescent="0.35">
      <c r="A731" s="13">
        <v>42370</v>
      </c>
      <c r="B731">
        <f>YEAR(Country_Masterlist__4[[#This Row],[Year1]])</f>
        <v>2016</v>
      </c>
      <c r="C731" t="s">
        <v>33</v>
      </c>
      <c r="D731" t="s">
        <v>195</v>
      </c>
      <c r="E731">
        <v>42</v>
      </c>
    </row>
    <row r="732" spans="1:5" x14ac:dyDescent="0.35">
      <c r="A732" s="13">
        <v>42370</v>
      </c>
      <c r="B732">
        <f>YEAR(Country_Masterlist__4[[#This Row],[Year1]])</f>
        <v>2016</v>
      </c>
      <c r="C732" t="s">
        <v>35</v>
      </c>
      <c r="D732" t="s">
        <v>196</v>
      </c>
      <c r="E732">
        <v>554</v>
      </c>
    </row>
    <row r="733" spans="1:5" x14ac:dyDescent="0.35">
      <c r="A733" s="13">
        <v>42370</v>
      </c>
      <c r="B733">
        <f>YEAR(Country_Masterlist__4[[#This Row],[Year1]])</f>
        <v>2016</v>
      </c>
      <c r="C733" t="s">
        <v>34</v>
      </c>
      <c r="D733" t="s">
        <v>197</v>
      </c>
      <c r="E733">
        <v>29</v>
      </c>
    </row>
    <row r="734" spans="1:5" x14ac:dyDescent="0.35">
      <c r="A734" s="13">
        <v>42370</v>
      </c>
      <c r="B734">
        <f>YEAR(Country_Masterlist__4[[#This Row],[Year1]])</f>
        <v>2016</v>
      </c>
      <c r="C734" t="s">
        <v>35</v>
      </c>
      <c r="D734" t="s">
        <v>198</v>
      </c>
      <c r="E734">
        <v>1278</v>
      </c>
    </row>
    <row r="735" spans="1:5" x14ac:dyDescent="0.35">
      <c r="A735" s="13">
        <v>42370</v>
      </c>
      <c r="B735">
        <f>YEAR(Country_Masterlist__4[[#This Row],[Year1]])</f>
        <v>2016</v>
      </c>
      <c r="C735" t="s">
        <v>39</v>
      </c>
      <c r="D735" t="s">
        <v>39</v>
      </c>
      <c r="E735">
        <v>467</v>
      </c>
    </row>
    <row r="736" spans="1:5" x14ac:dyDescent="0.35">
      <c r="A736" s="13">
        <v>42370</v>
      </c>
      <c r="B736">
        <f>YEAR(Country_Masterlist__4[[#This Row],[Year1]])</f>
        <v>2016</v>
      </c>
      <c r="C736" t="s">
        <v>38</v>
      </c>
      <c r="D736" t="s">
        <v>199</v>
      </c>
      <c r="E736">
        <v>72</v>
      </c>
    </row>
    <row r="737" spans="1:5" x14ac:dyDescent="0.35">
      <c r="A737" s="13">
        <v>42370</v>
      </c>
      <c r="B737">
        <f>YEAR(Country_Masterlist__4[[#This Row],[Year1]])</f>
        <v>2016</v>
      </c>
      <c r="C737" t="s">
        <v>34</v>
      </c>
      <c r="D737" t="s">
        <v>200</v>
      </c>
      <c r="E737">
        <v>82</v>
      </c>
    </row>
    <row r="738" spans="1:5" x14ac:dyDescent="0.35">
      <c r="A738" s="13">
        <v>42370</v>
      </c>
      <c r="B738">
        <f>YEAR(Country_Masterlist__4[[#This Row],[Year1]])</f>
        <v>2016</v>
      </c>
      <c r="C738" t="s">
        <v>38</v>
      </c>
      <c r="D738" t="s">
        <v>19</v>
      </c>
      <c r="E738">
        <v>1333</v>
      </c>
    </row>
    <row r="739" spans="1:5" x14ac:dyDescent="0.35">
      <c r="A739" s="13">
        <v>42370</v>
      </c>
      <c r="B739">
        <f>YEAR(Country_Masterlist__4[[#This Row],[Year1]])</f>
        <v>2016</v>
      </c>
      <c r="C739" t="s">
        <v>34</v>
      </c>
      <c r="D739" t="s">
        <v>201</v>
      </c>
      <c r="E739">
        <v>654</v>
      </c>
    </row>
    <row r="740" spans="1:5" x14ac:dyDescent="0.35">
      <c r="A740" s="13">
        <v>42370</v>
      </c>
      <c r="B740">
        <f>YEAR(Country_Masterlist__4[[#This Row],[Year1]])</f>
        <v>2016</v>
      </c>
      <c r="C740" t="s">
        <v>34</v>
      </c>
      <c r="D740" t="s">
        <v>202</v>
      </c>
      <c r="E740">
        <v>83</v>
      </c>
    </row>
    <row r="741" spans="1:5" x14ac:dyDescent="0.35">
      <c r="A741" s="13">
        <v>42370</v>
      </c>
      <c r="B741">
        <f>YEAR(Country_Masterlist__4[[#This Row],[Year1]])</f>
        <v>2016</v>
      </c>
      <c r="C741" t="s">
        <v>33</v>
      </c>
      <c r="D741" t="s">
        <v>203</v>
      </c>
      <c r="E741">
        <v>35</v>
      </c>
    </row>
    <row r="742" spans="1:5" x14ac:dyDescent="0.35">
      <c r="A742" s="13">
        <v>42370</v>
      </c>
      <c r="B742">
        <f>YEAR(Country_Masterlist__4[[#This Row],[Year1]])</f>
        <v>2016</v>
      </c>
      <c r="C742" t="s">
        <v>33</v>
      </c>
      <c r="D742" t="s">
        <v>204</v>
      </c>
      <c r="E742">
        <v>50</v>
      </c>
    </row>
    <row r="743" spans="1:5" x14ac:dyDescent="0.35">
      <c r="A743" s="13">
        <v>42736</v>
      </c>
      <c r="B743">
        <f>YEAR(Country_Masterlist__4[[#This Row],[Year1]])</f>
        <v>2017</v>
      </c>
      <c r="C743" t="s">
        <v>34</v>
      </c>
      <c r="D743" t="s">
        <v>40</v>
      </c>
      <c r="E743">
        <v>183</v>
      </c>
    </row>
    <row r="744" spans="1:5" x14ac:dyDescent="0.35">
      <c r="A744" s="13">
        <v>42736</v>
      </c>
      <c r="B744">
        <f>YEAR(Country_Masterlist__4[[#This Row],[Year1]])</f>
        <v>2017</v>
      </c>
      <c r="C744" t="s">
        <v>35</v>
      </c>
      <c r="D744" t="s">
        <v>41</v>
      </c>
      <c r="E744">
        <v>230</v>
      </c>
    </row>
    <row r="745" spans="1:5" x14ac:dyDescent="0.35">
      <c r="A745" s="13">
        <v>42736</v>
      </c>
      <c r="B745">
        <f>YEAR(Country_Masterlist__4[[#This Row],[Year1]])</f>
        <v>2017</v>
      </c>
      <c r="C745" t="s">
        <v>33</v>
      </c>
      <c r="D745" t="s">
        <v>42</v>
      </c>
      <c r="E745">
        <v>128</v>
      </c>
    </row>
    <row r="746" spans="1:5" x14ac:dyDescent="0.35">
      <c r="A746" s="13">
        <v>42736</v>
      </c>
      <c r="B746">
        <f>YEAR(Country_Masterlist__4[[#This Row],[Year1]])</f>
        <v>2017</v>
      </c>
      <c r="D746" t="s">
        <v>373</v>
      </c>
      <c r="E746">
        <v>22</v>
      </c>
    </row>
    <row r="747" spans="1:5" x14ac:dyDescent="0.35">
      <c r="A747" s="13">
        <v>42736</v>
      </c>
      <c r="B747">
        <f>YEAR(Country_Masterlist__4[[#This Row],[Year1]])</f>
        <v>2017</v>
      </c>
      <c r="C747" t="s">
        <v>33</v>
      </c>
      <c r="D747" t="s">
        <v>43</v>
      </c>
      <c r="E747">
        <v>131</v>
      </c>
    </row>
    <row r="748" spans="1:5" x14ac:dyDescent="0.35">
      <c r="A748" s="13">
        <v>42736</v>
      </c>
      <c r="B748">
        <f>YEAR(Country_Masterlist__4[[#This Row],[Year1]])</f>
        <v>2017</v>
      </c>
      <c r="C748" t="s">
        <v>36</v>
      </c>
      <c r="D748" t="s">
        <v>44</v>
      </c>
      <c r="E748">
        <v>41</v>
      </c>
    </row>
    <row r="749" spans="1:5" x14ac:dyDescent="0.35">
      <c r="A749" s="13">
        <v>42736</v>
      </c>
      <c r="B749">
        <f>YEAR(Country_Masterlist__4[[#This Row],[Year1]])</f>
        <v>2017</v>
      </c>
      <c r="C749" t="s">
        <v>38</v>
      </c>
      <c r="D749" t="s">
        <v>45</v>
      </c>
      <c r="E749">
        <v>367</v>
      </c>
    </row>
    <row r="750" spans="1:5" x14ac:dyDescent="0.35">
      <c r="A750" s="13">
        <v>42736</v>
      </c>
      <c r="B750">
        <f>YEAR(Country_Masterlist__4[[#This Row],[Year1]])</f>
        <v>2017</v>
      </c>
      <c r="C750" t="s">
        <v>34</v>
      </c>
      <c r="D750" t="s">
        <v>46</v>
      </c>
      <c r="E750">
        <v>538</v>
      </c>
    </row>
    <row r="751" spans="1:5" x14ac:dyDescent="0.35">
      <c r="A751" s="13">
        <v>42736</v>
      </c>
      <c r="B751">
        <f>YEAR(Country_Masterlist__4[[#This Row],[Year1]])</f>
        <v>2017</v>
      </c>
      <c r="C751" t="s">
        <v>37</v>
      </c>
      <c r="D751" t="s">
        <v>47</v>
      </c>
      <c r="E751">
        <v>628</v>
      </c>
    </row>
    <row r="752" spans="1:5" x14ac:dyDescent="0.35">
      <c r="A752" s="13">
        <v>42736</v>
      </c>
      <c r="B752">
        <f>YEAR(Country_Masterlist__4[[#This Row],[Year1]])</f>
        <v>2017</v>
      </c>
      <c r="C752" t="s">
        <v>35</v>
      </c>
      <c r="D752" t="s">
        <v>48</v>
      </c>
      <c r="E752">
        <v>68</v>
      </c>
    </row>
    <row r="753" spans="1:5" x14ac:dyDescent="0.35">
      <c r="A753" s="13">
        <v>42736</v>
      </c>
      <c r="B753">
        <f>YEAR(Country_Masterlist__4[[#This Row],[Year1]])</f>
        <v>2017</v>
      </c>
      <c r="C753" t="s">
        <v>34</v>
      </c>
      <c r="D753" t="s">
        <v>49</v>
      </c>
      <c r="E753">
        <v>51</v>
      </c>
    </row>
    <row r="754" spans="1:5" x14ac:dyDescent="0.35">
      <c r="A754" s="13">
        <v>42736</v>
      </c>
      <c r="B754">
        <f>YEAR(Country_Masterlist__4[[#This Row],[Year1]])</f>
        <v>2017</v>
      </c>
      <c r="C754" t="s">
        <v>36</v>
      </c>
      <c r="D754" t="s">
        <v>50</v>
      </c>
      <c r="E754">
        <v>375</v>
      </c>
    </row>
    <row r="755" spans="1:5" x14ac:dyDescent="0.35">
      <c r="A755" s="13">
        <v>42736</v>
      </c>
      <c r="B755">
        <f>YEAR(Country_Masterlist__4[[#This Row],[Year1]])</f>
        <v>2017</v>
      </c>
      <c r="C755" t="s">
        <v>34</v>
      </c>
      <c r="D755" t="s">
        <v>51</v>
      </c>
      <c r="E755">
        <v>24</v>
      </c>
    </row>
    <row r="756" spans="1:5" x14ac:dyDescent="0.35">
      <c r="A756" s="13">
        <v>42736</v>
      </c>
      <c r="B756">
        <f>YEAR(Country_Masterlist__4[[#This Row],[Year1]])</f>
        <v>2017</v>
      </c>
      <c r="C756" t="s">
        <v>34</v>
      </c>
      <c r="D756" t="s">
        <v>52</v>
      </c>
      <c r="E756">
        <v>987</v>
      </c>
    </row>
    <row r="757" spans="1:5" x14ac:dyDescent="0.35">
      <c r="A757" s="13">
        <v>42736</v>
      </c>
      <c r="B757">
        <f>YEAR(Country_Masterlist__4[[#This Row],[Year1]])</f>
        <v>2017</v>
      </c>
      <c r="C757" t="s">
        <v>36</v>
      </c>
      <c r="D757" t="s">
        <v>53</v>
      </c>
      <c r="E757">
        <v>45</v>
      </c>
    </row>
    <row r="758" spans="1:5" x14ac:dyDescent="0.35">
      <c r="A758" s="13">
        <v>42736</v>
      </c>
      <c r="B758">
        <f>YEAR(Country_Masterlist__4[[#This Row],[Year1]])</f>
        <v>2017</v>
      </c>
      <c r="C758" t="s">
        <v>35</v>
      </c>
      <c r="D758" t="s">
        <v>54</v>
      </c>
      <c r="E758">
        <v>70</v>
      </c>
    </row>
    <row r="759" spans="1:5" x14ac:dyDescent="0.35">
      <c r="A759" s="13">
        <v>42736</v>
      </c>
      <c r="B759">
        <f>YEAR(Country_Masterlist__4[[#This Row],[Year1]])</f>
        <v>2017</v>
      </c>
      <c r="C759" t="s">
        <v>35</v>
      </c>
      <c r="D759" t="s">
        <v>55</v>
      </c>
      <c r="E759">
        <v>127</v>
      </c>
    </row>
    <row r="760" spans="1:5" x14ac:dyDescent="0.35">
      <c r="A760" s="13">
        <v>42736</v>
      </c>
      <c r="B760">
        <f>YEAR(Country_Masterlist__4[[#This Row],[Year1]])</f>
        <v>2017</v>
      </c>
      <c r="C760" t="s">
        <v>36</v>
      </c>
      <c r="D760" t="s">
        <v>56</v>
      </c>
      <c r="E760">
        <v>270</v>
      </c>
    </row>
    <row r="761" spans="1:5" x14ac:dyDescent="0.35">
      <c r="A761" s="13">
        <v>42736</v>
      </c>
      <c r="B761">
        <f>YEAR(Country_Masterlist__4[[#This Row],[Year1]])</f>
        <v>2017</v>
      </c>
      <c r="C761" t="s">
        <v>33</v>
      </c>
      <c r="D761" t="s">
        <v>57</v>
      </c>
      <c r="E761">
        <v>37</v>
      </c>
    </row>
    <row r="762" spans="1:5" x14ac:dyDescent="0.35">
      <c r="A762" s="13">
        <v>42736</v>
      </c>
      <c r="B762">
        <f>YEAR(Country_Masterlist__4[[#This Row],[Year1]])</f>
        <v>2017</v>
      </c>
      <c r="C762" t="s">
        <v>34</v>
      </c>
      <c r="D762" t="s">
        <v>58</v>
      </c>
      <c r="E762">
        <v>30</v>
      </c>
    </row>
    <row r="763" spans="1:5" x14ac:dyDescent="0.35">
      <c r="A763" s="13">
        <v>42736</v>
      </c>
      <c r="B763">
        <f>YEAR(Country_Masterlist__4[[#This Row],[Year1]])</f>
        <v>2017</v>
      </c>
      <c r="C763" t="s">
        <v>38</v>
      </c>
      <c r="D763" t="s">
        <v>59</v>
      </c>
      <c r="E763">
        <v>225</v>
      </c>
    </row>
    <row r="764" spans="1:5" x14ac:dyDescent="0.35">
      <c r="A764" s="13">
        <v>42736</v>
      </c>
      <c r="B764">
        <f>YEAR(Country_Masterlist__4[[#This Row],[Year1]])</f>
        <v>2017</v>
      </c>
      <c r="C764" t="s">
        <v>35</v>
      </c>
      <c r="D764" t="s">
        <v>60</v>
      </c>
      <c r="E764">
        <v>141</v>
      </c>
    </row>
    <row r="765" spans="1:5" x14ac:dyDescent="0.35">
      <c r="A765" s="13">
        <v>42736</v>
      </c>
      <c r="B765">
        <f>YEAR(Country_Masterlist__4[[#This Row],[Year1]])</f>
        <v>2017</v>
      </c>
      <c r="C765" t="s">
        <v>33</v>
      </c>
      <c r="D765" t="s">
        <v>61</v>
      </c>
      <c r="E765">
        <v>8</v>
      </c>
    </row>
    <row r="766" spans="1:5" x14ac:dyDescent="0.35">
      <c r="A766" s="13">
        <v>42736</v>
      </c>
      <c r="B766">
        <f>YEAR(Country_Masterlist__4[[#This Row],[Year1]])</f>
        <v>2017</v>
      </c>
      <c r="C766" t="s">
        <v>38</v>
      </c>
      <c r="D766" t="s">
        <v>21</v>
      </c>
      <c r="E766">
        <v>6643</v>
      </c>
    </row>
    <row r="767" spans="1:5" x14ac:dyDescent="0.35">
      <c r="A767" s="13">
        <v>42736</v>
      </c>
      <c r="B767">
        <f>YEAR(Country_Masterlist__4[[#This Row],[Year1]])</f>
        <v>2017</v>
      </c>
      <c r="C767" t="s">
        <v>35</v>
      </c>
      <c r="D767" t="s">
        <v>62</v>
      </c>
      <c r="E767">
        <v>92</v>
      </c>
    </row>
    <row r="768" spans="1:5" x14ac:dyDescent="0.35">
      <c r="A768" s="13">
        <v>42736</v>
      </c>
      <c r="B768">
        <f>YEAR(Country_Masterlist__4[[#This Row],[Year1]])</f>
        <v>2017</v>
      </c>
      <c r="C768" t="s">
        <v>33</v>
      </c>
      <c r="D768" t="s">
        <v>63</v>
      </c>
      <c r="E768">
        <v>59</v>
      </c>
    </row>
    <row r="769" spans="1:5" x14ac:dyDescent="0.35">
      <c r="A769" s="13">
        <v>42736</v>
      </c>
      <c r="B769">
        <f>YEAR(Country_Masterlist__4[[#This Row],[Year1]])</f>
        <v>2017</v>
      </c>
      <c r="C769" t="s">
        <v>34</v>
      </c>
      <c r="D769" t="s">
        <v>64</v>
      </c>
      <c r="E769">
        <v>87</v>
      </c>
    </row>
    <row r="770" spans="1:5" x14ac:dyDescent="0.35">
      <c r="A770" s="13">
        <v>42736</v>
      </c>
      <c r="B770">
        <f>YEAR(Country_Masterlist__4[[#This Row],[Year1]])</f>
        <v>2017</v>
      </c>
      <c r="C770" t="s">
        <v>33</v>
      </c>
      <c r="D770" t="s">
        <v>65</v>
      </c>
      <c r="E770">
        <v>53</v>
      </c>
    </row>
    <row r="771" spans="1:5" x14ac:dyDescent="0.35">
      <c r="A771" s="13">
        <v>42736</v>
      </c>
      <c r="B771">
        <f>YEAR(Country_Masterlist__4[[#This Row],[Year1]])</f>
        <v>2017</v>
      </c>
      <c r="C771" t="s">
        <v>33</v>
      </c>
      <c r="D771" t="s">
        <v>66</v>
      </c>
      <c r="E771">
        <v>90</v>
      </c>
    </row>
    <row r="772" spans="1:5" x14ac:dyDescent="0.35">
      <c r="A772" s="13">
        <v>42736</v>
      </c>
      <c r="B772">
        <f>YEAR(Country_Masterlist__4[[#This Row],[Year1]])</f>
        <v>2017</v>
      </c>
      <c r="C772" t="s">
        <v>34</v>
      </c>
      <c r="D772" t="s">
        <v>67</v>
      </c>
      <c r="E772">
        <v>143</v>
      </c>
    </row>
    <row r="773" spans="1:5" x14ac:dyDescent="0.35">
      <c r="A773" s="13">
        <v>42736</v>
      </c>
      <c r="B773">
        <f>YEAR(Country_Masterlist__4[[#This Row],[Year1]])</f>
        <v>2017</v>
      </c>
      <c r="C773" t="s">
        <v>33</v>
      </c>
      <c r="D773" t="s">
        <v>68</v>
      </c>
      <c r="E773">
        <v>600</v>
      </c>
    </row>
    <row r="774" spans="1:5" x14ac:dyDescent="0.35">
      <c r="A774" s="13">
        <v>42736</v>
      </c>
      <c r="B774">
        <f>YEAR(Country_Masterlist__4[[#This Row],[Year1]])</f>
        <v>2017</v>
      </c>
      <c r="C774" t="s">
        <v>36</v>
      </c>
      <c r="D774" t="s">
        <v>69</v>
      </c>
      <c r="E774">
        <v>19396</v>
      </c>
    </row>
    <row r="775" spans="1:5" x14ac:dyDescent="0.35">
      <c r="A775" s="13">
        <v>42736</v>
      </c>
      <c r="B775">
        <f>YEAR(Country_Masterlist__4[[#This Row],[Year1]])</f>
        <v>2017</v>
      </c>
      <c r="C775" t="s">
        <v>33</v>
      </c>
      <c r="D775" t="s">
        <v>70</v>
      </c>
      <c r="E775">
        <v>6</v>
      </c>
    </row>
    <row r="776" spans="1:5" x14ac:dyDescent="0.35">
      <c r="A776" s="13">
        <v>42736</v>
      </c>
      <c r="B776">
        <f>YEAR(Country_Masterlist__4[[#This Row],[Year1]])</f>
        <v>2017</v>
      </c>
      <c r="C776" t="s">
        <v>33</v>
      </c>
      <c r="D776" t="s">
        <v>71</v>
      </c>
      <c r="E776">
        <v>38</v>
      </c>
    </row>
    <row r="777" spans="1:5" x14ac:dyDescent="0.35">
      <c r="A777" s="13">
        <v>42736</v>
      </c>
      <c r="B777">
        <f>YEAR(Country_Masterlist__4[[#This Row],[Year1]])</f>
        <v>2017</v>
      </c>
      <c r="C777" t="s">
        <v>38</v>
      </c>
      <c r="D777" t="s">
        <v>72</v>
      </c>
      <c r="E777">
        <v>689</v>
      </c>
    </row>
    <row r="778" spans="1:5" x14ac:dyDescent="0.35">
      <c r="A778" s="13">
        <v>42736</v>
      </c>
      <c r="B778">
        <f>YEAR(Country_Masterlist__4[[#This Row],[Year1]])</f>
        <v>2017</v>
      </c>
      <c r="C778" t="s">
        <v>34</v>
      </c>
      <c r="D778" t="s">
        <v>73</v>
      </c>
      <c r="E778">
        <v>6356</v>
      </c>
    </row>
    <row r="779" spans="1:5" x14ac:dyDescent="0.35">
      <c r="A779" s="13">
        <v>42736</v>
      </c>
      <c r="B779">
        <f>YEAR(Country_Masterlist__4[[#This Row],[Year1]])</f>
        <v>2017</v>
      </c>
      <c r="C779" t="s">
        <v>38</v>
      </c>
      <c r="D779" t="s">
        <v>20</v>
      </c>
      <c r="E779">
        <v>3491</v>
      </c>
    </row>
    <row r="780" spans="1:5" x14ac:dyDescent="0.35">
      <c r="A780" s="13">
        <v>42736</v>
      </c>
      <c r="B780">
        <f>YEAR(Country_Masterlist__4[[#This Row],[Year1]])</f>
        <v>2017</v>
      </c>
      <c r="C780" t="s">
        <v>33</v>
      </c>
      <c r="D780" t="s">
        <v>74</v>
      </c>
      <c r="E780">
        <v>296</v>
      </c>
    </row>
    <row r="781" spans="1:5" x14ac:dyDescent="0.35">
      <c r="A781" s="13">
        <v>42736</v>
      </c>
      <c r="B781">
        <f>YEAR(Country_Masterlist__4[[#This Row],[Year1]])</f>
        <v>2017</v>
      </c>
      <c r="C781" t="s">
        <v>33</v>
      </c>
      <c r="D781" t="s">
        <v>75</v>
      </c>
      <c r="E781">
        <v>104</v>
      </c>
    </row>
    <row r="782" spans="1:5" x14ac:dyDescent="0.35">
      <c r="A782" s="13">
        <v>42736</v>
      </c>
      <c r="B782">
        <f>YEAR(Country_Masterlist__4[[#This Row],[Year1]])</f>
        <v>2017</v>
      </c>
      <c r="C782" t="s">
        <v>36</v>
      </c>
      <c r="D782" t="s">
        <v>76</v>
      </c>
      <c r="E782">
        <v>469</v>
      </c>
    </row>
    <row r="783" spans="1:5" x14ac:dyDescent="0.35">
      <c r="A783" s="13">
        <v>42736</v>
      </c>
      <c r="B783">
        <f>YEAR(Country_Masterlist__4[[#This Row],[Year1]])</f>
        <v>2017</v>
      </c>
      <c r="C783" t="s">
        <v>33</v>
      </c>
      <c r="D783" t="s">
        <v>77</v>
      </c>
      <c r="E783">
        <v>76</v>
      </c>
    </row>
    <row r="784" spans="1:5" x14ac:dyDescent="0.35">
      <c r="A784" s="13">
        <v>42736</v>
      </c>
      <c r="B784">
        <f>YEAR(Country_Masterlist__4[[#This Row],[Year1]])</f>
        <v>2017</v>
      </c>
      <c r="C784" t="s">
        <v>35</v>
      </c>
      <c r="D784" t="s">
        <v>78</v>
      </c>
      <c r="E784">
        <v>53</v>
      </c>
    </row>
    <row r="785" spans="1:5" x14ac:dyDescent="0.35">
      <c r="A785" s="13">
        <v>42736</v>
      </c>
      <c r="B785">
        <f>YEAR(Country_Masterlist__4[[#This Row],[Year1]])</f>
        <v>2017</v>
      </c>
      <c r="C785" t="s">
        <v>36</v>
      </c>
      <c r="D785" t="s">
        <v>79</v>
      </c>
      <c r="E785">
        <v>5076</v>
      </c>
    </row>
    <row r="786" spans="1:5" x14ac:dyDescent="0.35">
      <c r="A786" s="13">
        <v>42736</v>
      </c>
      <c r="B786">
        <f>YEAR(Country_Masterlist__4[[#This Row],[Year1]])</f>
        <v>2017</v>
      </c>
      <c r="C786" t="s">
        <v>34</v>
      </c>
      <c r="D786" t="s">
        <v>80</v>
      </c>
      <c r="E786">
        <v>9</v>
      </c>
    </row>
    <row r="787" spans="1:5" x14ac:dyDescent="0.35">
      <c r="A787" s="13">
        <v>42736</v>
      </c>
      <c r="B787">
        <f>YEAR(Country_Masterlist__4[[#This Row],[Year1]])</f>
        <v>2017</v>
      </c>
      <c r="C787" t="s">
        <v>35</v>
      </c>
      <c r="D787" t="s">
        <v>81</v>
      </c>
      <c r="E787">
        <v>178</v>
      </c>
    </row>
    <row r="788" spans="1:5" x14ac:dyDescent="0.35">
      <c r="A788" s="13">
        <v>42736</v>
      </c>
      <c r="B788">
        <f>YEAR(Country_Masterlist__4[[#This Row],[Year1]])</f>
        <v>2017</v>
      </c>
      <c r="C788" t="s">
        <v>35</v>
      </c>
      <c r="D788" t="s">
        <v>214</v>
      </c>
      <c r="E788">
        <v>6</v>
      </c>
    </row>
    <row r="789" spans="1:5" x14ac:dyDescent="0.35">
      <c r="A789" s="13">
        <v>42736</v>
      </c>
      <c r="B789">
        <f>YEAR(Country_Masterlist__4[[#This Row],[Year1]])</f>
        <v>2017</v>
      </c>
      <c r="C789" t="s">
        <v>35</v>
      </c>
      <c r="D789" t="s">
        <v>82</v>
      </c>
      <c r="E789">
        <v>72</v>
      </c>
    </row>
    <row r="790" spans="1:5" x14ac:dyDescent="0.35">
      <c r="A790" s="13">
        <v>42736</v>
      </c>
      <c r="B790">
        <f>YEAR(Country_Masterlist__4[[#This Row],[Year1]])</f>
        <v>2017</v>
      </c>
      <c r="C790" t="s">
        <v>33</v>
      </c>
      <c r="D790" t="s">
        <v>83</v>
      </c>
      <c r="E790">
        <v>37</v>
      </c>
    </row>
    <row r="791" spans="1:5" x14ac:dyDescent="0.35">
      <c r="A791" s="13">
        <v>42736</v>
      </c>
      <c r="B791">
        <f>YEAR(Country_Masterlist__4[[#This Row],[Year1]])</f>
        <v>2017</v>
      </c>
      <c r="C791" t="s">
        <v>36</v>
      </c>
      <c r="D791" t="s">
        <v>84</v>
      </c>
      <c r="E791">
        <v>33</v>
      </c>
    </row>
    <row r="792" spans="1:5" x14ac:dyDescent="0.35">
      <c r="A792" s="13">
        <v>42736</v>
      </c>
      <c r="B792">
        <f>YEAR(Country_Masterlist__4[[#This Row],[Year1]])</f>
        <v>2017</v>
      </c>
      <c r="C792" t="s">
        <v>36</v>
      </c>
      <c r="D792" t="s">
        <v>85</v>
      </c>
      <c r="E792">
        <v>3496</v>
      </c>
    </row>
    <row r="793" spans="1:5" x14ac:dyDescent="0.35">
      <c r="A793" s="13">
        <v>42736</v>
      </c>
      <c r="B793">
        <f>YEAR(Country_Masterlist__4[[#This Row],[Year1]])</f>
        <v>2017</v>
      </c>
      <c r="C793" t="s">
        <v>38</v>
      </c>
      <c r="D793" t="s">
        <v>86</v>
      </c>
      <c r="E793">
        <v>3308</v>
      </c>
    </row>
    <row r="794" spans="1:5" x14ac:dyDescent="0.35">
      <c r="A794" s="13">
        <v>42736</v>
      </c>
      <c r="B794">
        <f>YEAR(Country_Masterlist__4[[#This Row],[Year1]])</f>
        <v>2017</v>
      </c>
      <c r="C794" t="s">
        <v>33</v>
      </c>
      <c r="D794" t="s">
        <v>87</v>
      </c>
      <c r="E794">
        <v>463</v>
      </c>
    </row>
    <row r="795" spans="1:5" x14ac:dyDescent="0.35">
      <c r="A795" s="13">
        <v>42736</v>
      </c>
      <c r="B795">
        <f>YEAR(Country_Masterlist__4[[#This Row],[Year1]])</f>
        <v>2017</v>
      </c>
      <c r="C795" t="s">
        <v>36</v>
      </c>
      <c r="D795" t="s">
        <v>16</v>
      </c>
      <c r="E795">
        <v>67500</v>
      </c>
    </row>
    <row r="796" spans="1:5" x14ac:dyDescent="0.35">
      <c r="A796" s="13">
        <v>42736</v>
      </c>
      <c r="B796">
        <f>YEAR(Country_Masterlist__4[[#This Row],[Year1]])</f>
        <v>2017</v>
      </c>
      <c r="C796" t="s">
        <v>33</v>
      </c>
      <c r="D796" t="s">
        <v>88</v>
      </c>
      <c r="E796">
        <v>22</v>
      </c>
    </row>
    <row r="797" spans="1:5" x14ac:dyDescent="0.35">
      <c r="A797" s="13">
        <v>42736</v>
      </c>
      <c r="B797">
        <f>YEAR(Country_Masterlist__4[[#This Row],[Year1]])</f>
        <v>2017</v>
      </c>
      <c r="C797" t="s">
        <v>33</v>
      </c>
      <c r="D797" t="s">
        <v>89</v>
      </c>
      <c r="E797">
        <v>710</v>
      </c>
    </row>
    <row r="798" spans="1:5" x14ac:dyDescent="0.35">
      <c r="A798" s="13">
        <v>42736</v>
      </c>
      <c r="B798">
        <f>YEAR(Country_Masterlist__4[[#This Row],[Year1]])</f>
        <v>2017</v>
      </c>
      <c r="C798" t="s">
        <v>35</v>
      </c>
      <c r="D798" t="s">
        <v>90</v>
      </c>
      <c r="E798">
        <v>57</v>
      </c>
    </row>
    <row r="799" spans="1:5" x14ac:dyDescent="0.35">
      <c r="A799" s="13">
        <v>42736</v>
      </c>
      <c r="B799">
        <f>YEAR(Country_Masterlist__4[[#This Row],[Year1]])</f>
        <v>2017</v>
      </c>
      <c r="C799" t="s">
        <v>33</v>
      </c>
      <c r="D799" t="s">
        <v>91</v>
      </c>
      <c r="E799">
        <v>208</v>
      </c>
    </row>
    <row r="800" spans="1:5" x14ac:dyDescent="0.35">
      <c r="A800" s="13">
        <v>42736</v>
      </c>
      <c r="B800">
        <f>YEAR(Country_Masterlist__4[[#This Row],[Year1]])</f>
        <v>2017</v>
      </c>
      <c r="C800" t="s">
        <v>37</v>
      </c>
      <c r="D800" t="s">
        <v>92</v>
      </c>
      <c r="E800">
        <v>103</v>
      </c>
    </row>
    <row r="801" spans="1:5" x14ac:dyDescent="0.35">
      <c r="A801" s="13">
        <v>42736</v>
      </c>
      <c r="B801">
        <f>YEAR(Country_Masterlist__4[[#This Row],[Year1]])</f>
        <v>2017</v>
      </c>
      <c r="C801" t="s">
        <v>35</v>
      </c>
      <c r="D801" t="s">
        <v>93</v>
      </c>
      <c r="E801">
        <v>37</v>
      </c>
    </row>
    <row r="802" spans="1:5" x14ac:dyDescent="0.35">
      <c r="A802" s="13">
        <v>42736</v>
      </c>
      <c r="B802">
        <f>YEAR(Country_Masterlist__4[[#This Row],[Year1]])</f>
        <v>2017</v>
      </c>
      <c r="C802" t="s">
        <v>35</v>
      </c>
      <c r="D802" t="s">
        <v>94</v>
      </c>
      <c r="E802">
        <v>862</v>
      </c>
    </row>
    <row r="803" spans="1:5" x14ac:dyDescent="0.35">
      <c r="A803" s="13">
        <v>42736</v>
      </c>
      <c r="B803">
        <f>YEAR(Country_Masterlist__4[[#This Row],[Year1]])</f>
        <v>2017</v>
      </c>
      <c r="C803" t="s">
        <v>33</v>
      </c>
      <c r="D803" t="s">
        <v>95</v>
      </c>
      <c r="E803">
        <v>31</v>
      </c>
    </row>
    <row r="804" spans="1:5" x14ac:dyDescent="0.35">
      <c r="A804" s="13">
        <v>42736</v>
      </c>
      <c r="B804">
        <f>YEAR(Country_Masterlist__4[[#This Row],[Year1]])</f>
        <v>2017</v>
      </c>
      <c r="C804" t="s">
        <v>33</v>
      </c>
      <c r="D804" t="s">
        <v>96</v>
      </c>
      <c r="E804">
        <v>187</v>
      </c>
    </row>
    <row r="805" spans="1:5" x14ac:dyDescent="0.35">
      <c r="A805" s="13">
        <v>42736</v>
      </c>
      <c r="B805">
        <f>YEAR(Country_Masterlist__4[[#This Row],[Year1]])</f>
        <v>2017</v>
      </c>
      <c r="C805" t="s">
        <v>34</v>
      </c>
      <c r="D805" t="s">
        <v>8</v>
      </c>
      <c r="E805">
        <v>103</v>
      </c>
    </row>
    <row r="806" spans="1:5" x14ac:dyDescent="0.35">
      <c r="A806" s="13">
        <v>42736</v>
      </c>
      <c r="B806">
        <f>YEAR(Country_Masterlist__4[[#This Row],[Year1]])</f>
        <v>2017</v>
      </c>
      <c r="C806" t="s">
        <v>35</v>
      </c>
      <c r="D806" t="s">
        <v>97</v>
      </c>
      <c r="E806">
        <v>660</v>
      </c>
    </row>
    <row r="807" spans="1:5" x14ac:dyDescent="0.35">
      <c r="A807" s="13">
        <v>42736</v>
      </c>
      <c r="B807">
        <f>YEAR(Country_Masterlist__4[[#This Row],[Year1]])</f>
        <v>2017</v>
      </c>
      <c r="C807" t="s">
        <v>33</v>
      </c>
      <c r="D807" t="s">
        <v>98</v>
      </c>
      <c r="E807">
        <v>479</v>
      </c>
    </row>
    <row r="808" spans="1:5" x14ac:dyDescent="0.35">
      <c r="A808" s="13">
        <v>42736</v>
      </c>
      <c r="B808">
        <f>YEAR(Country_Masterlist__4[[#This Row],[Year1]])</f>
        <v>2017</v>
      </c>
      <c r="C808" t="s">
        <v>35</v>
      </c>
      <c r="D808" t="s">
        <v>99</v>
      </c>
      <c r="E808">
        <v>192</v>
      </c>
    </row>
    <row r="809" spans="1:5" x14ac:dyDescent="0.35">
      <c r="A809" s="13">
        <v>42736</v>
      </c>
      <c r="B809">
        <f>YEAR(Country_Masterlist__4[[#This Row],[Year1]])</f>
        <v>2017</v>
      </c>
      <c r="C809" t="s">
        <v>36</v>
      </c>
      <c r="D809" t="s">
        <v>100</v>
      </c>
      <c r="E809">
        <v>30</v>
      </c>
    </row>
    <row r="810" spans="1:5" x14ac:dyDescent="0.35">
      <c r="A810" s="13">
        <v>42736</v>
      </c>
      <c r="B810">
        <f>YEAR(Country_Masterlist__4[[#This Row],[Year1]])</f>
        <v>2017</v>
      </c>
      <c r="C810" t="s">
        <v>36</v>
      </c>
      <c r="D810" t="s">
        <v>15</v>
      </c>
      <c r="E810">
        <v>93519</v>
      </c>
    </row>
    <row r="811" spans="1:5" x14ac:dyDescent="0.35">
      <c r="A811" s="13">
        <v>42736</v>
      </c>
      <c r="B811">
        <f>YEAR(Country_Masterlist__4[[#This Row],[Year1]])</f>
        <v>2017</v>
      </c>
      <c r="C811" t="s">
        <v>33</v>
      </c>
      <c r="D811" t="s">
        <v>101</v>
      </c>
      <c r="E811">
        <v>381</v>
      </c>
    </row>
    <row r="812" spans="1:5" x14ac:dyDescent="0.35">
      <c r="A812" s="13">
        <v>42736</v>
      </c>
      <c r="B812">
        <f>YEAR(Country_Masterlist__4[[#This Row],[Year1]])</f>
        <v>2017</v>
      </c>
      <c r="C812" t="s">
        <v>33</v>
      </c>
      <c r="D812" t="s">
        <v>102</v>
      </c>
      <c r="E812">
        <v>8</v>
      </c>
    </row>
    <row r="813" spans="1:5" x14ac:dyDescent="0.35">
      <c r="A813" s="13">
        <v>42736</v>
      </c>
      <c r="B813">
        <f>YEAR(Country_Masterlist__4[[#This Row],[Year1]])</f>
        <v>2017</v>
      </c>
      <c r="C813" t="s">
        <v>38</v>
      </c>
      <c r="D813" t="s">
        <v>103</v>
      </c>
      <c r="E813">
        <v>345</v>
      </c>
    </row>
    <row r="814" spans="1:5" x14ac:dyDescent="0.35">
      <c r="A814" s="13">
        <v>42736</v>
      </c>
      <c r="B814">
        <f>YEAR(Country_Masterlist__4[[#This Row],[Year1]])</f>
        <v>2017</v>
      </c>
      <c r="C814" t="s">
        <v>36</v>
      </c>
      <c r="D814" t="s">
        <v>104</v>
      </c>
      <c r="E814">
        <v>10793</v>
      </c>
    </row>
    <row r="815" spans="1:5" x14ac:dyDescent="0.35">
      <c r="A815" s="13">
        <v>42736</v>
      </c>
      <c r="B815">
        <f>YEAR(Country_Masterlist__4[[#This Row],[Year1]])</f>
        <v>2017</v>
      </c>
      <c r="C815" t="s">
        <v>36</v>
      </c>
      <c r="D815" t="s">
        <v>17</v>
      </c>
      <c r="E815">
        <v>67225</v>
      </c>
    </row>
    <row r="816" spans="1:5" x14ac:dyDescent="0.35">
      <c r="A816" s="13">
        <v>42736</v>
      </c>
      <c r="B816">
        <f>YEAR(Country_Masterlist__4[[#This Row],[Year1]])</f>
        <v>2017</v>
      </c>
      <c r="C816" t="s">
        <v>35</v>
      </c>
      <c r="D816" t="s">
        <v>105</v>
      </c>
      <c r="E816">
        <v>380</v>
      </c>
    </row>
    <row r="817" spans="1:5" x14ac:dyDescent="0.35">
      <c r="A817" s="13">
        <v>42736</v>
      </c>
      <c r="B817">
        <f>YEAR(Country_Masterlist__4[[#This Row],[Year1]])</f>
        <v>2017</v>
      </c>
      <c r="C817" t="s">
        <v>35</v>
      </c>
      <c r="D817" t="s">
        <v>106</v>
      </c>
      <c r="E817">
        <v>7</v>
      </c>
    </row>
    <row r="818" spans="1:5" x14ac:dyDescent="0.35">
      <c r="A818" s="13">
        <v>42736</v>
      </c>
      <c r="B818">
        <f>YEAR(Country_Masterlist__4[[#This Row],[Year1]])</f>
        <v>2017</v>
      </c>
      <c r="C818" t="s">
        <v>34</v>
      </c>
      <c r="D818" t="s">
        <v>22</v>
      </c>
      <c r="E818">
        <v>5690</v>
      </c>
    </row>
    <row r="819" spans="1:5" x14ac:dyDescent="0.35">
      <c r="A819" s="13">
        <v>42736</v>
      </c>
      <c r="B819">
        <f>YEAR(Country_Masterlist__4[[#This Row],[Year1]])</f>
        <v>2017</v>
      </c>
      <c r="C819" t="s">
        <v>34</v>
      </c>
      <c r="D819" t="s">
        <v>107</v>
      </c>
      <c r="E819">
        <v>244</v>
      </c>
    </row>
    <row r="820" spans="1:5" x14ac:dyDescent="0.35">
      <c r="A820" s="13">
        <v>42736</v>
      </c>
      <c r="B820">
        <f>YEAR(Country_Masterlist__4[[#This Row],[Year1]])</f>
        <v>2017</v>
      </c>
      <c r="C820" t="s">
        <v>34</v>
      </c>
      <c r="D820" t="s">
        <v>108</v>
      </c>
      <c r="E820">
        <v>850</v>
      </c>
    </row>
    <row r="821" spans="1:5" x14ac:dyDescent="0.35">
      <c r="A821" s="13">
        <v>42736</v>
      </c>
      <c r="B821">
        <f>YEAR(Country_Masterlist__4[[#This Row],[Year1]])</f>
        <v>2017</v>
      </c>
      <c r="C821" t="s">
        <v>34</v>
      </c>
      <c r="D821" t="s">
        <v>109</v>
      </c>
      <c r="E821">
        <v>738</v>
      </c>
    </row>
    <row r="822" spans="1:5" x14ac:dyDescent="0.35">
      <c r="A822" s="13">
        <v>42736</v>
      </c>
      <c r="B822">
        <f>YEAR(Country_Masterlist__4[[#This Row],[Year1]])</f>
        <v>2017</v>
      </c>
      <c r="C822" t="s">
        <v>35</v>
      </c>
      <c r="D822" t="s">
        <v>110</v>
      </c>
      <c r="E822">
        <v>301</v>
      </c>
    </row>
    <row r="823" spans="1:5" x14ac:dyDescent="0.35">
      <c r="A823" s="13">
        <v>42736</v>
      </c>
      <c r="B823">
        <f>YEAR(Country_Masterlist__4[[#This Row],[Year1]])</f>
        <v>2017</v>
      </c>
      <c r="C823" t="s">
        <v>34</v>
      </c>
      <c r="D823" t="s">
        <v>111</v>
      </c>
      <c r="E823">
        <v>400</v>
      </c>
    </row>
    <row r="824" spans="1:5" x14ac:dyDescent="0.35">
      <c r="A824" s="13">
        <v>42736</v>
      </c>
      <c r="B824">
        <f>YEAR(Country_Masterlist__4[[#This Row],[Year1]])</f>
        <v>2017</v>
      </c>
      <c r="C824" t="s">
        <v>35</v>
      </c>
      <c r="D824" t="s">
        <v>112</v>
      </c>
      <c r="E824">
        <v>906</v>
      </c>
    </row>
    <row r="825" spans="1:5" x14ac:dyDescent="0.35">
      <c r="A825" s="13">
        <v>42736</v>
      </c>
      <c r="B825">
        <f>YEAR(Country_Masterlist__4[[#This Row],[Year1]])</f>
        <v>2017</v>
      </c>
      <c r="C825" t="s">
        <v>36</v>
      </c>
      <c r="D825" t="s">
        <v>113</v>
      </c>
      <c r="E825">
        <v>1993</v>
      </c>
    </row>
    <row r="826" spans="1:5" x14ac:dyDescent="0.35">
      <c r="A826" s="13">
        <v>42736</v>
      </c>
      <c r="B826">
        <f>YEAR(Country_Masterlist__4[[#This Row],[Year1]])</f>
        <v>2017</v>
      </c>
      <c r="C826" t="s">
        <v>34</v>
      </c>
      <c r="D826" t="s">
        <v>114</v>
      </c>
      <c r="E826">
        <v>442</v>
      </c>
    </row>
    <row r="827" spans="1:5" x14ac:dyDescent="0.35">
      <c r="A827" s="13">
        <v>42736</v>
      </c>
      <c r="B827">
        <f>YEAR(Country_Masterlist__4[[#This Row],[Year1]])</f>
        <v>2017</v>
      </c>
      <c r="C827" t="s">
        <v>34</v>
      </c>
      <c r="D827" t="s">
        <v>115</v>
      </c>
      <c r="E827">
        <v>731</v>
      </c>
    </row>
    <row r="828" spans="1:5" x14ac:dyDescent="0.35">
      <c r="A828" s="13">
        <v>42736</v>
      </c>
      <c r="B828">
        <f>YEAR(Country_Masterlist__4[[#This Row],[Year1]])</f>
        <v>2017</v>
      </c>
      <c r="C828" t="s">
        <v>34</v>
      </c>
      <c r="D828" t="s">
        <v>116</v>
      </c>
      <c r="E828">
        <v>89</v>
      </c>
    </row>
    <row r="829" spans="1:5" x14ac:dyDescent="0.35">
      <c r="A829" s="13">
        <v>42736</v>
      </c>
      <c r="B829">
        <f>YEAR(Country_Masterlist__4[[#This Row],[Year1]])</f>
        <v>2017</v>
      </c>
      <c r="C829" t="s">
        <v>33</v>
      </c>
      <c r="D829" t="s">
        <v>117</v>
      </c>
      <c r="E829">
        <v>295</v>
      </c>
    </row>
    <row r="830" spans="1:5" x14ac:dyDescent="0.35">
      <c r="A830" s="13">
        <v>42736</v>
      </c>
      <c r="B830">
        <f>YEAR(Country_Masterlist__4[[#This Row],[Year1]])</f>
        <v>2017</v>
      </c>
      <c r="C830" t="s">
        <v>34</v>
      </c>
      <c r="D830" t="s">
        <v>118</v>
      </c>
      <c r="E830">
        <v>1140</v>
      </c>
    </row>
    <row r="831" spans="1:5" x14ac:dyDescent="0.35">
      <c r="A831" s="13">
        <v>42736</v>
      </c>
      <c r="B831">
        <f>YEAR(Country_Masterlist__4[[#This Row],[Year1]])</f>
        <v>2017</v>
      </c>
      <c r="C831" t="s">
        <v>35</v>
      </c>
      <c r="D831" t="s">
        <v>119</v>
      </c>
      <c r="E831">
        <v>79</v>
      </c>
    </row>
    <row r="832" spans="1:5" x14ac:dyDescent="0.35">
      <c r="A832" s="13">
        <v>42736</v>
      </c>
      <c r="B832">
        <f>YEAR(Country_Masterlist__4[[#This Row],[Year1]])</f>
        <v>2017</v>
      </c>
      <c r="C832" t="s">
        <v>34</v>
      </c>
      <c r="D832" t="s">
        <v>120</v>
      </c>
      <c r="E832">
        <v>106</v>
      </c>
    </row>
    <row r="833" spans="1:5" x14ac:dyDescent="0.35">
      <c r="A833" s="13">
        <v>42736</v>
      </c>
      <c r="B833">
        <f>YEAR(Country_Masterlist__4[[#This Row],[Year1]])</f>
        <v>2017</v>
      </c>
      <c r="C833" t="s">
        <v>34</v>
      </c>
      <c r="D833" t="s">
        <v>121</v>
      </c>
      <c r="E833">
        <v>88</v>
      </c>
    </row>
    <row r="834" spans="1:5" x14ac:dyDescent="0.35">
      <c r="A834" s="13">
        <v>42736</v>
      </c>
      <c r="B834">
        <f>YEAR(Country_Masterlist__4[[#This Row],[Year1]])</f>
        <v>2017</v>
      </c>
      <c r="C834" t="s">
        <v>34</v>
      </c>
      <c r="D834" t="s">
        <v>122</v>
      </c>
      <c r="E834">
        <v>225</v>
      </c>
    </row>
    <row r="835" spans="1:5" x14ac:dyDescent="0.35">
      <c r="A835" s="13">
        <v>42736</v>
      </c>
      <c r="B835">
        <f>YEAR(Country_Masterlist__4[[#This Row],[Year1]])</f>
        <v>2017</v>
      </c>
      <c r="C835" t="s">
        <v>35</v>
      </c>
      <c r="D835" t="s">
        <v>123</v>
      </c>
      <c r="E835">
        <v>77</v>
      </c>
    </row>
    <row r="836" spans="1:5" x14ac:dyDescent="0.35">
      <c r="A836" s="13">
        <v>42736</v>
      </c>
      <c r="B836">
        <f>YEAR(Country_Masterlist__4[[#This Row],[Year1]])</f>
        <v>2017</v>
      </c>
      <c r="C836" t="s">
        <v>34</v>
      </c>
      <c r="D836" t="s">
        <v>124</v>
      </c>
      <c r="E836">
        <v>206</v>
      </c>
    </row>
    <row r="837" spans="1:5" x14ac:dyDescent="0.35">
      <c r="A837" s="13">
        <v>42736</v>
      </c>
      <c r="B837">
        <f>YEAR(Country_Masterlist__4[[#This Row],[Year1]])</f>
        <v>2017</v>
      </c>
      <c r="C837" t="s">
        <v>33</v>
      </c>
      <c r="D837" t="s">
        <v>125</v>
      </c>
      <c r="E837">
        <v>273</v>
      </c>
    </row>
    <row r="838" spans="1:5" x14ac:dyDescent="0.35">
      <c r="A838" s="13">
        <v>42736</v>
      </c>
      <c r="B838">
        <f>YEAR(Country_Masterlist__4[[#This Row],[Year1]])</f>
        <v>2017</v>
      </c>
      <c r="C838" t="s">
        <v>33</v>
      </c>
      <c r="D838" t="s">
        <v>126</v>
      </c>
      <c r="E838">
        <v>46</v>
      </c>
    </row>
    <row r="839" spans="1:5" x14ac:dyDescent="0.35">
      <c r="A839" s="13">
        <v>42736</v>
      </c>
      <c r="B839">
        <f>YEAR(Country_Masterlist__4[[#This Row],[Year1]])</f>
        <v>2017</v>
      </c>
      <c r="C839" t="s">
        <v>35</v>
      </c>
      <c r="D839" t="s">
        <v>127</v>
      </c>
      <c r="E839">
        <v>123</v>
      </c>
    </row>
    <row r="840" spans="1:5" x14ac:dyDescent="0.35">
      <c r="A840" s="13">
        <v>42736</v>
      </c>
      <c r="B840">
        <f>YEAR(Country_Masterlist__4[[#This Row],[Year1]])</f>
        <v>2017</v>
      </c>
      <c r="C840" t="s">
        <v>35</v>
      </c>
      <c r="D840" t="s">
        <v>128</v>
      </c>
      <c r="E840">
        <v>3</v>
      </c>
    </row>
    <row r="841" spans="1:5" x14ac:dyDescent="0.35">
      <c r="A841" s="13">
        <v>42736</v>
      </c>
      <c r="B841">
        <f>YEAR(Country_Masterlist__4[[#This Row],[Year1]])</f>
        <v>2017</v>
      </c>
      <c r="C841" t="s">
        <v>33</v>
      </c>
      <c r="D841" t="s">
        <v>129</v>
      </c>
      <c r="E841">
        <v>4</v>
      </c>
    </row>
    <row r="842" spans="1:5" x14ac:dyDescent="0.35">
      <c r="A842" s="13">
        <v>42736</v>
      </c>
      <c r="B842">
        <f>YEAR(Country_Masterlist__4[[#This Row],[Year1]])</f>
        <v>2017</v>
      </c>
      <c r="C842" t="s">
        <v>33</v>
      </c>
      <c r="D842" t="s">
        <v>130</v>
      </c>
      <c r="E842">
        <v>20</v>
      </c>
    </row>
    <row r="843" spans="1:5" x14ac:dyDescent="0.35">
      <c r="A843" s="13">
        <v>42736</v>
      </c>
      <c r="B843">
        <f>YEAR(Country_Masterlist__4[[#This Row],[Year1]])</f>
        <v>2017</v>
      </c>
      <c r="C843" t="s">
        <v>34</v>
      </c>
      <c r="D843" t="s">
        <v>131</v>
      </c>
      <c r="E843">
        <v>62</v>
      </c>
    </row>
    <row r="844" spans="1:5" x14ac:dyDescent="0.35">
      <c r="A844" s="13">
        <v>42736</v>
      </c>
      <c r="B844">
        <f>YEAR(Country_Masterlist__4[[#This Row],[Year1]])</f>
        <v>2017</v>
      </c>
      <c r="C844" t="s">
        <v>33</v>
      </c>
      <c r="D844" t="s">
        <v>132</v>
      </c>
      <c r="E844">
        <v>110</v>
      </c>
    </row>
    <row r="845" spans="1:5" x14ac:dyDescent="0.35">
      <c r="A845" s="13">
        <v>42736</v>
      </c>
      <c r="B845">
        <f>YEAR(Country_Masterlist__4[[#This Row],[Year1]])</f>
        <v>2017</v>
      </c>
      <c r="C845" t="s">
        <v>35</v>
      </c>
      <c r="D845" t="s">
        <v>133</v>
      </c>
      <c r="E845">
        <v>4</v>
      </c>
    </row>
    <row r="846" spans="1:5" x14ac:dyDescent="0.35">
      <c r="A846" s="13">
        <v>42736</v>
      </c>
      <c r="B846">
        <f>YEAR(Country_Masterlist__4[[#This Row],[Year1]])</f>
        <v>2017</v>
      </c>
      <c r="C846" t="s">
        <v>37</v>
      </c>
      <c r="D846" t="s">
        <v>134</v>
      </c>
      <c r="E846">
        <v>39</v>
      </c>
    </row>
    <row r="847" spans="1:5" x14ac:dyDescent="0.35">
      <c r="A847" s="13">
        <v>42736</v>
      </c>
      <c r="B847">
        <f>YEAR(Country_Masterlist__4[[#This Row],[Year1]])</f>
        <v>2017</v>
      </c>
      <c r="C847" t="s">
        <v>33</v>
      </c>
      <c r="D847" t="s">
        <v>135</v>
      </c>
      <c r="E847">
        <v>38</v>
      </c>
    </row>
    <row r="848" spans="1:5" x14ac:dyDescent="0.35">
      <c r="A848" s="13">
        <v>42736</v>
      </c>
      <c r="B848">
        <f>YEAR(Country_Masterlist__4[[#This Row],[Year1]])</f>
        <v>2017</v>
      </c>
      <c r="C848" t="s">
        <v>33</v>
      </c>
      <c r="D848" t="s">
        <v>136</v>
      </c>
      <c r="E848">
        <v>17</v>
      </c>
    </row>
    <row r="849" spans="1:5" x14ac:dyDescent="0.35">
      <c r="A849" s="13">
        <v>42736</v>
      </c>
      <c r="B849">
        <f>YEAR(Country_Masterlist__4[[#This Row],[Year1]])</f>
        <v>2017</v>
      </c>
      <c r="C849" t="s">
        <v>36</v>
      </c>
      <c r="D849" t="s">
        <v>14</v>
      </c>
      <c r="E849">
        <v>264716</v>
      </c>
    </row>
    <row r="850" spans="1:5" x14ac:dyDescent="0.35">
      <c r="A850" s="13">
        <v>42736</v>
      </c>
      <c r="B850">
        <f>YEAR(Country_Masterlist__4[[#This Row],[Year1]])</f>
        <v>2017</v>
      </c>
      <c r="C850" t="s">
        <v>37</v>
      </c>
      <c r="D850" t="s">
        <v>137</v>
      </c>
      <c r="E850">
        <v>140</v>
      </c>
    </row>
    <row r="851" spans="1:5" x14ac:dyDescent="0.35">
      <c r="A851" s="13">
        <v>42736</v>
      </c>
      <c r="B851">
        <f>YEAR(Country_Masterlist__4[[#This Row],[Year1]])</f>
        <v>2017</v>
      </c>
      <c r="C851" t="s">
        <v>35</v>
      </c>
      <c r="D851" t="s">
        <v>138</v>
      </c>
      <c r="E851">
        <v>129</v>
      </c>
    </row>
    <row r="852" spans="1:5" x14ac:dyDescent="0.35">
      <c r="A852" s="13">
        <v>42736</v>
      </c>
      <c r="B852">
        <f>YEAR(Country_Masterlist__4[[#This Row],[Year1]])</f>
        <v>2017</v>
      </c>
      <c r="C852" t="s">
        <v>34</v>
      </c>
      <c r="D852" t="s">
        <v>139</v>
      </c>
      <c r="E852">
        <v>134</v>
      </c>
    </row>
    <row r="853" spans="1:5" x14ac:dyDescent="0.35">
      <c r="A853" s="13">
        <v>42736</v>
      </c>
      <c r="B853">
        <f>YEAR(Country_Masterlist__4[[#This Row],[Year1]])</f>
        <v>2017</v>
      </c>
      <c r="C853" t="s">
        <v>35</v>
      </c>
      <c r="D853" t="s">
        <v>140</v>
      </c>
      <c r="E853">
        <v>52</v>
      </c>
    </row>
    <row r="854" spans="1:5" x14ac:dyDescent="0.35">
      <c r="A854" s="13">
        <v>42736</v>
      </c>
      <c r="B854">
        <f>YEAR(Country_Masterlist__4[[#This Row],[Year1]])</f>
        <v>2017</v>
      </c>
      <c r="C854" t="s">
        <v>33</v>
      </c>
      <c r="D854" t="s">
        <v>141</v>
      </c>
      <c r="E854">
        <v>212</v>
      </c>
    </row>
    <row r="855" spans="1:5" x14ac:dyDescent="0.35">
      <c r="A855" s="13">
        <v>42736</v>
      </c>
      <c r="B855">
        <f>YEAR(Country_Masterlist__4[[#This Row],[Year1]])</f>
        <v>2017</v>
      </c>
      <c r="C855" t="s">
        <v>33</v>
      </c>
      <c r="D855" t="s">
        <v>142</v>
      </c>
      <c r="E855">
        <v>6</v>
      </c>
    </row>
    <row r="856" spans="1:5" x14ac:dyDescent="0.35">
      <c r="A856" s="13">
        <v>42736</v>
      </c>
      <c r="B856">
        <f>YEAR(Country_Masterlist__4[[#This Row],[Year1]])</f>
        <v>2017</v>
      </c>
      <c r="C856" t="s">
        <v>33</v>
      </c>
      <c r="D856" t="s">
        <v>143</v>
      </c>
      <c r="E856">
        <v>7</v>
      </c>
    </row>
    <row r="857" spans="1:5" x14ac:dyDescent="0.35">
      <c r="A857" s="13">
        <v>42736</v>
      </c>
      <c r="B857">
        <f>YEAR(Country_Masterlist__4[[#This Row],[Year1]])</f>
        <v>2017</v>
      </c>
      <c r="C857" t="s">
        <v>34</v>
      </c>
      <c r="D857" t="s">
        <v>144</v>
      </c>
      <c r="E857">
        <v>733</v>
      </c>
    </row>
    <row r="858" spans="1:5" x14ac:dyDescent="0.35">
      <c r="A858" s="13">
        <v>42736</v>
      </c>
      <c r="B858">
        <f>YEAR(Country_Masterlist__4[[#This Row],[Year1]])</f>
        <v>2017</v>
      </c>
      <c r="C858" t="s">
        <v>35</v>
      </c>
      <c r="D858" t="s">
        <v>145</v>
      </c>
      <c r="E858">
        <v>316</v>
      </c>
    </row>
    <row r="859" spans="1:5" x14ac:dyDescent="0.35">
      <c r="A859" s="13">
        <v>42736</v>
      </c>
      <c r="B859">
        <f>YEAR(Country_Masterlist__4[[#This Row],[Year1]])</f>
        <v>2017</v>
      </c>
      <c r="C859" t="s">
        <v>37</v>
      </c>
      <c r="D859" t="s">
        <v>146</v>
      </c>
      <c r="E859">
        <v>203</v>
      </c>
    </row>
    <row r="860" spans="1:5" x14ac:dyDescent="0.35">
      <c r="A860" s="13">
        <v>42736</v>
      </c>
      <c r="B860">
        <f>YEAR(Country_Masterlist__4[[#This Row],[Year1]])</f>
        <v>2017</v>
      </c>
      <c r="C860" t="s">
        <v>36</v>
      </c>
      <c r="D860" t="s">
        <v>147</v>
      </c>
      <c r="E860">
        <v>2005</v>
      </c>
    </row>
    <row r="861" spans="1:5" x14ac:dyDescent="0.35">
      <c r="A861" s="13">
        <v>42736</v>
      </c>
      <c r="B861">
        <f>YEAR(Country_Masterlist__4[[#This Row],[Year1]])</f>
        <v>2017</v>
      </c>
      <c r="C861" t="s">
        <v>33</v>
      </c>
      <c r="D861" t="s">
        <v>148</v>
      </c>
      <c r="E861">
        <v>22</v>
      </c>
    </row>
    <row r="862" spans="1:5" x14ac:dyDescent="0.35">
      <c r="A862" s="13">
        <v>42736</v>
      </c>
      <c r="B862">
        <f>YEAR(Country_Masterlist__4[[#This Row],[Year1]])</f>
        <v>2017</v>
      </c>
      <c r="C862" t="s">
        <v>33</v>
      </c>
      <c r="D862" t="s">
        <v>149</v>
      </c>
      <c r="E862">
        <v>2257</v>
      </c>
    </row>
    <row r="863" spans="1:5" x14ac:dyDescent="0.35">
      <c r="A863" s="13">
        <v>42736</v>
      </c>
      <c r="B863">
        <f>YEAR(Country_Masterlist__4[[#This Row],[Year1]])</f>
        <v>2017</v>
      </c>
      <c r="C863" t="s">
        <v>35</v>
      </c>
      <c r="D863" t="s">
        <v>322</v>
      </c>
      <c r="E863">
        <v>53</v>
      </c>
    </row>
    <row r="864" spans="1:5" x14ac:dyDescent="0.35">
      <c r="A864" s="13">
        <v>42736</v>
      </c>
      <c r="B864">
        <f>YEAR(Country_Masterlist__4[[#This Row],[Year1]])</f>
        <v>2017</v>
      </c>
      <c r="C864" t="s">
        <v>35</v>
      </c>
      <c r="D864" t="s">
        <v>150</v>
      </c>
      <c r="E864">
        <v>83</v>
      </c>
    </row>
    <row r="865" spans="1:5" x14ac:dyDescent="0.35">
      <c r="A865" s="13">
        <v>42736</v>
      </c>
      <c r="B865">
        <f>YEAR(Country_Masterlist__4[[#This Row],[Year1]])</f>
        <v>2017</v>
      </c>
      <c r="C865" t="s">
        <v>34</v>
      </c>
      <c r="D865" t="s">
        <v>151</v>
      </c>
      <c r="E865">
        <v>14</v>
      </c>
    </row>
    <row r="866" spans="1:5" x14ac:dyDescent="0.35">
      <c r="A866" s="13">
        <v>42736</v>
      </c>
      <c r="B866">
        <f>YEAR(Country_Masterlist__4[[#This Row],[Year1]])</f>
        <v>2017</v>
      </c>
      <c r="C866" t="s">
        <v>34</v>
      </c>
      <c r="D866" t="s">
        <v>152</v>
      </c>
      <c r="E866">
        <v>1044</v>
      </c>
    </row>
    <row r="867" spans="1:5" x14ac:dyDescent="0.35">
      <c r="A867" s="13">
        <v>42736</v>
      </c>
      <c r="B867">
        <f>YEAR(Country_Masterlist__4[[#This Row],[Year1]])</f>
        <v>2017</v>
      </c>
      <c r="C867" t="s">
        <v>37</v>
      </c>
      <c r="D867" t="s">
        <v>153</v>
      </c>
      <c r="E867">
        <v>20</v>
      </c>
    </row>
    <row r="868" spans="1:5" x14ac:dyDescent="0.35">
      <c r="A868" s="13">
        <v>42736</v>
      </c>
      <c r="B868">
        <f>YEAR(Country_Masterlist__4[[#This Row],[Year1]])</f>
        <v>2017</v>
      </c>
      <c r="C868" t="s">
        <v>36</v>
      </c>
      <c r="D868" t="s">
        <v>154</v>
      </c>
      <c r="E868">
        <v>170</v>
      </c>
    </row>
    <row r="869" spans="1:5" x14ac:dyDescent="0.35">
      <c r="A869" s="13">
        <v>42736</v>
      </c>
      <c r="B869">
        <f>YEAR(Country_Masterlist__4[[#This Row],[Year1]])</f>
        <v>2017</v>
      </c>
      <c r="C869" t="s">
        <v>38</v>
      </c>
      <c r="D869" t="s">
        <v>155</v>
      </c>
      <c r="E869">
        <v>43</v>
      </c>
    </row>
    <row r="870" spans="1:5" x14ac:dyDescent="0.35">
      <c r="A870" s="13">
        <v>42736</v>
      </c>
      <c r="B870">
        <f>YEAR(Country_Masterlist__4[[#This Row],[Year1]])</f>
        <v>2017</v>
      </c>
      <c r="C870" t="s">
        <v>38</v>
      </c>
      <c r="D870" t="s">
        <v>156</v>
      </c>
      <c r="E870">
        <v>1415</v>
      </c>
    </row>
    <row r="871" spans="1:5" x14ac:dyDescent="0.35">
      <c r="A871" s="13">
        <v>42736</v>
      </c>
      <c r="B871">
        <f>YEAR(Country_Masterlist__4[[#This Row],[Year1]])</f>
        <v>2017</v>
      </c>
      <c r="C871" t="s">
        <v>34</v>
      </c>
      <c r="D871" t="s">
        <v>18</v>
      </c>
      <c r="E871">
        <v>1060</v>
      </c>
    </row>
    <row r="872" spans="1:5" x14ac:dyDescent="0.35">
      <c r="A872" s="13">
        <v>42736</v>
      </c>
      <c r="B872">
        <f>YEAR(Country_Masterlist__4[[#This Row],[Year1]])</f>
        <v>2017</v>
      </c>
      <c r="C872" t="s">
        <v>35</v>
      </c>
      <c r="D872" t="s">
        <v>157</v>
      </c>
      <c r="E872">
        <v>522</v>
      </c>
    </row>
    <row r="873" spans="1:5" x14ac:dyDescent="0.35">
      <c r="A873" s="13">
        <v>42736</v>
      </c>
      <c r="B873">
        <f>YEAR(Country_Masterlist__4[[#This Row],[Year1]])</f>
        <v>2017</v>
      </c>
      <c r="C873" t="s">
        <v>35</v>
      </c>
      <c r="D873" t="s">
        <v>158</v>
      </c>
      <c r="E873">
        <v>328</v>
      </c>
    </row>
    <row r="874" spans="1:5" x14ac:dyDescent="0.35">
      <c r="A874" s="13">
        <v>42736</v>
      </c>
      <c r="B874">
        <f>YEAR(Country_Masterlist__4[[#This Row],[Year1]])</f>
        <v>2017</v>
      </c>
      <c r="C874" t="s">
        <v>34</v>
      </c>
      <c r="D874" t="s">
        <v>159</v>
      </c>
      <c r="E874">
        <v>31</v>
      </c>
    </row>
    <row r="875" spans="1:5" x14ac:dyDescent="0.35">
      <c r="A875" s="13">
        <v>42736</v>
      </c>
      <c r="B875">
        <f>YEAR(Country_Masterlist__4[[#This Row],[Year1]])</f>
        <v>2017</v>
      </c>
      <c r="C875" t="s">
        <v>35</v>
      </c>
      <c r="D875" t="s">
        <v>160</v>
      </c>
      <c r="E875">
        <v>1753</v>
      </c>
    </row>
    <row r="876" spans="1:5" x14ac:dyDescent="0.35">
      <c r="A876" s="13">
        <v>42736</v>
      </c>
      <c r="B876">
        <f>YEAR(Country_Masterlist__4[[#This Row],[Year1]])</f>
        <v>2017</v>
      </c>
      <c r="C876" t="s">
        <v>35</v>
      </c>
      <c r="D876" t="s">
        <v>161</v>
      </c>
      <c r="E876">
        <v>653</v>
      </c>
    </row>
    <row r="877" spans="1:5" x14ac:dyDescent="0.35">
      <c r="A877" s="13">
        <v>42736</v>
      </c>
      <c r="B877">
        <f>YEAR(Country_Masterlist__4[[#This Row],[Year1]])</f>
        <v>2017</v>
      </c>
      <c r="C877" t="s">
        <v>33</v>
      </c>
      <c r="D877" t="s">
        <v>162</v>
      </c>
      <c r="E877">
        <v>35</v>
      </c>
    </row>
    <row r="878" spans="1:5" x14ac:dyDescent="0.35">
      <c r="A878" s="13">
        <v>42736</v>
      </c>
      <c r="B878">
        <f>YEAR(Country_Masterlist__4[[#This Row],[Year1]])</f>
        <v>2017</v>
      </c>
      <c r="C878" t="s">
        <v>36</v>
      </c>
      <c r="D878" t="s">
        <v>163</v>
      </c>
      <c r="E878">
        <v>49</v>
      </c>
    </row>
    <row r="879" spans="1:5" x14ac:dyDescent="0.35">
      <c r="A879" s="13">
        <v>42736</v>
      </c>
      <c r="B879">
        <f>YEAR(Country_Masterlist__4[[#This Row],[Year1]])</f>
        <v>2017</v>
      </c>
      <c r="C879" t="s">
        <v>36</v>
      </c>
      <c r="D879" t="s">
        <v>164</v>
      </c>
      <c r="E879">
        <v>57</v>
      </c>
    </row>
    <row r="880" spans="1:5" x14ac:dyDescent="0.35">
      <c r="A880" s="13">
        <v>42736</v>
      </c>
      <c r="B880">
        <f>YEAR(Country_Masterlist__4[[#This Row],[Year1]])</f>
        <v>2017</v>
      </c>
      <c r="C880" t="s">
        <v>36</v>
      </c>
      <c r="D880" t="s">
        <v>165</v>
      </c>
      <c r="E880">
        <v>38</v>
      </c>
    </row>
    <row r="881" spans="1:5" x14ac:dyDescent="0.35">
      <c r="A881" s="13">
        <v>42736</v>
      </c>
      <c r="B881">
        <f>YEAR(Country_Masterlist__4[[#This Row],[Year1]])</f>
        <v>2017</v>
      </c>
      <c r="C881" t="s">
        <v>37</v>
      </c>
      <c r="D881" t="s">
        <v>166</v>
      </c>
      <c r="E881">
        <v>30</v>
      </c>
    </row>
    <row r="882" spans="1:5" x14ac:dyDescent="0.35">
      <c r="A882" s="13">
        <v>42736</v>
      </c>
      <c r="B882">
        <f>YEAR(Country_Masterlist__4[[#This Row],[Year1]])</f>
        <v>2017</v>
      </c>
      <c r="C882" t="s">
        <v>34</v>
      </c>
      <c r="D882" t="s">
        <v>167</v>
      </c>
      <c r="E882">
        <v>680</v>
      </c>
    </row>
    <row r="883" spans="1:5" x14ac:dyDescent="0.35">
      <c r="A883" s="13">
        <v>42736</v>
      </c>
      <c r="B883">
        <f>YEAR(Country_Masterlist__4[[#This Row],[Year1]])</f>
        <v>2017</v>
      </c>
      <c r="C883" t="s">
        <v>33</v>
      </c>
      <c r="D883" t="s">
        <v>168</v>
      </c>
      <c r="E883">
        <v>197</v>
      </c>
    </row>
    <row r="884" spans="1:5" x14ac:dyDescent="0.35">
      <c r="A884" s="13">
        <v>42736</v>
      </c>
      <c r="B884">
        <f>YEAR(Country_Masterlist__4[[#This Row],[Year1]])</f>
        <v>2017</v>
      </c>
      <c r="C884" t="s">
        <v>35</v>
      </c>
      <c r="D884" t="s">
        <v>169</v>
      </c>
      <c r="E884">
        <v>105</v>
      </c>
    </row>
    <row r="885" spans="1:5" x14ac:dyDescent="0.35">
      <c r="A885" s="13">
        <v>42736</v>
      </c>
      <c r="B885">
        <f>YEAR(Country_Masterlist__4[[#This Row],[Year1]])</f>
        <v>2017</v>
      </c>
      <c r="C885" t="s">
        <v>35</v>
      </c>
      <c r="D885" t="s">
        <v>215</v>
      </c>
      <c r="E885">
        <v>85</v>
      </c>
    </row>
    <row r="886" spans="1:5" x14ac:dyDescent="0.35">
      <c r="A886" s="13">
        <v>42736</v>
      </c>
      <c r="B886">
        <f>YEAR(Country_Masterlist__4[[#This Row],[Year1]])</f>
        <v>2017</v>
      </c>
      <c r="C886" t="s">
        <v>33</v>
      </c>
      <c r="D886" t="s">
        <v>170</v>
      </c>
      <c r="E886">
        <v>128</v>
      </c>
    </row>
    <row r="887" spans="1:5" x14ac:dyDescent="0.35">
      <c r="A887" s="13">
        <v>42736</v>
      </c>
      <c r="B887">
        <f>YEAR(Country_Masterlist__4[[#This Row],[Year1]])</f>
        <v>2017</v>
      </c>
      <c r="C887" t="s">
        <v>34</v>
      </c>
      <c r="D887" t="s">
        <v>171</v>
      </c>
      <c r="E887">
        <v>50</v>
      </c>
    </row>
    <row r="888" spans="1:5" x14ac:dyDescent="0.35">
      <c r="A888" s="13">
        <v>42736</v>
      </c>
      <c r="B888">
        <f>YEAR(Country_Masterlist__4[[#This Row],[Year1]])</f>
        <v>2017</v>
      </c>
      <c r="C888" t="s">
        <v>35</v>
      </c>
      <c r="D888" t="s">
        <v>172</v>
      </c>
      <c r="E888">
        <v>100</v>
      </c>
    </row>
    <row r="889" spans="1:5" x14ac:dyDescent="0.35">
      <c r="A889" s="13">
        <v>42736</v>
      </c>
      <c r="B889">
        <f>YEAR(Country_Masterlist__4[[#This Row],[Year1]])</f>
        <v>2017</v>
      </c>
      <c r="C889" t="s">
        <v>35</v>
      </c>
      <c r="D889" t="s">
        <v>173</v>
      </c>
      <c r="E889">
        <v>26</v>
      </c>
    </row>
    <row r="890" spans="1:5" x14ac:dyDescent="0.35">
      <c r="A890" s="13">
        <v>42736</v>
      </c>
      <c r="B890">
        <f>YEAR(Country_Masterlist__4[[#This Row],[Year1]])</f>
        <v>2017</v>
      </c>
      <c r="C890" t="s">
        <v>33</v>
      </c>
      <c r="D890" t="s">
        <v>174</v>
      </c>
      <c r="E890">
        <v>528</v>
      </c>
    </row>
    <row r="891" spans="1:5" x14ac:dyDescent="0.35">
      <c r="A891" s="13">
        <v>42736</v>
      </c>
      <c r="B891">
        <f>YEAR(Country_Masterlist__4[[#This Row],[Year1]])</f>
        <v>2017</v>
      </c>
      <c r="C891" t="s">
        <v>33</v>
      </c>
      <c r="D891" t="s">
        <v>175</v>
      </c>
      <c r="E891">
        <v>193</v>
      </c>
    </row>
    <row r="892" spans="1:5" x14ac:dyDescent="0.35">
      <c r="A892" s="13">
        <v>42736</v>
      </c>
      <c r="B892">
        <f>YEAR(Country_Masterlist__4[[#This Row],[Year1]])</f>
        <v>2017</v>
      </c>
      <c r="C892" t="s">
        <v>33</v>
      </c>
      <c r="D892" t="s">
        <v>176</v>
      </c>
      <c r="E892">
        <v>39</v>
      </c>
    </row>
    <row r="893" spans="1:5" x14ac:dyDescent="0.35">
      <c r="A893" s="13">
        <v>42736</v>
      </c>
      <c r="B893">
        <f>YEAR(Country_Masterlist__4[[#This Row],[Year1]])</f>
        <v>2017</v>
      </c>
      <c r="C893" t="s">
        <v>35</v>
      </c>
      <c r="D893" t="s">
        <v>216</v>
      </c>
      <c r="E893">
        <v>35</v>
      </c>
    </row>
    <row r="894" spans="1:5" x14ac:dyDescent="0.35">
      <c r="A894" s="13">
        <v>42736</v>
      </c>
      <c r="B894">
        <f>YEAR(Country_Masterlist__4[[#This Row],[Year1]])</f>
        <v>2017</v>
      </c>
      <c r="C894" t="s">
        <v>35</v>
      </c>
      <c r="D894" t="s">
        <v>177</v>
      </c>
      <c r="E894">
        <v>1359</v>
      </c>
    </row>
    <row r="895" spans="1:5" x14ac:dyDescent="0.35">
      <c r="A895" s="13">
        <v>42736</v>
      </c>
      <c r="B895">
        <f>YEAR(Country_Masterlist__4[[#This Row],[Year1]])</f>
        <v>2017</v>
      </c>
      <c r="C895" t="s">
        <v>34</v>
      </c>
      <c r="D895" t="s">
        <v>178</v>
      </c>
      <c r="E895">
        <v>179</v>
      </c>
    </row>
    <row r="896" spans="1:5" x14ac:dyDescent="0.35">
      <c r="A896" s="13">
        <v>42736</v>
      </c>
      <c r="B896">
        <f>YEAR(Country_Masterlist__4[[#This Row],[Year1]])</f>
        <v>2017</v>
      </c>
      <c r="C896" t="s">
        <v>33</v>
      </c>
      <c r="D896" t="s">
        <v>179</v>
      </c>
      <c r="E896">
        <v>192</v>
      </c>
    </row>
    <row r="897" spans="1:5" x14ac:dyDescent="0.35">
      <c r="A897" s="13">
        <v>42736</v>
      </c>
      <c r="B897">
        <f>YEAR(Country_Masterlist__4[[#This Row],[Year1]])</f>
        <v>2017</v>
      </c>
      <c r="C897" t="s">
        <v>38</v>
      </c>
      <c r="D897" t="s">
        <v>180</v>
      </c>
      <c r="E897">
        <v>37</v>
      </c>
    </row>
    <row r="898" spans="1:5" x14ac:dyDescent="0.35">
      <c r="A898" s="13">
        <v>42736</v>
      </c>
      <c r="B898">
        <f>YEAR(Country_Masterlist__4[[#This Row],[Year1]])</f>
        <v>2017</v>
      </c>
      <c r="C898" t="s">
        <v>33</v>
      </c>
      <c r="D898" t="s">
        <v>181</v>
      </c>
      <c r="E898">
        <v>3</v>
      </c>
    </row>
    <row r="899" spans="1:5" x14ac:dyDescent="0.35">
      <c r="A899" s="13">
        <v>42736</v>
      </c>
      <c r="B899">
        <f>YEAR(Country_Masterlist__4[[#This Row],[Year1]])</f>
        <v>2017</v>
      </c>
      <c r="C899" t="s">
        <v>35</v>
      </c>
      <c r="D899" t="s">
        <v>182</v>
      </c>
      <c r="E899">
        <v>195</v>
      </c>
    </row>
    <row r="900" spans="1:5" x14ac:dyDescent="0.35">
      <c r="A900" s="13">
        <v>42736</v>
      </c>
      <c r="B900">
        <f>YEAR(Country_Masterlist__4[[#This Row],[Year1]])</f>
        <v>2017</v>
      </c>
      <c r="C900" t="s">
        <v>35</v>
      </c>
      <c r="D900" t="s">
        <v>183</v>
      </c>
      <c r="E900">
        <v>99</v>
      </c>
    </row>
    <row r="901" spans="1:5" x14ac:dyDescent="0.35">
      <c r="A901" s="13">
        <v>42736</v>
      </c>
      <c r="B901">
        <f>YEAR(Country_Masterlist__4[[#This Row],[Year1]])</f>
        <v>2017</v>
      </c>
      <c r="C901" t="s">
        <v>34</v>
      </c>
      <c r="D901" t="s">
        <v>184</v>
      </c>
      <c r="E901">
        <v>466</v>
      </c>
    </row>
    <row r="902" spans="1:5" x14ac:dyDescent="0.35">
      <c r="A902" s="13">
        <v>42736</v>
      </c>
      <c r="B902">
        <f>YEAR(Country_Masterlist__4[[#This Row],[Year1]])</f>
        <v>2017</v>
      </c>
      <c r="C902" t="s">
        <v>34</v>
      </c>
      <c r="D902" t="s">
        <v>185</v>
      </c>
      <c r="E902">
        <v>547</v>
      </c>
    </row>
    <row r="903" spans="1:5" x14ac:dyDescent="0.35">
      <c r="A903" s="13">
        <v>42736</v>
      </c>
      <c r="B903">
        <f>YEAR(Country_Masterlist__4[[#This Row],[Year1]])</f>
        <v>2017</v>
      </c>
      <c r="C903" t="s">
        <v>34</v>
      </c>
      <c r="D903" t="s">
        <v>186</v>
      </c>
      <c r="E903">
        <v>22</v>
      </c>
    </row>
    <row r="904" spans="1:5" x14ac:dyDescent="0.35">
      <c r="A904" s="13">
        <v>42736</v>
      </c>
      <c r="B904">
        <f>YEAR(Country_Masterlist__4[[#This Row],[Year1]])</f>
        <v>2017</v>
      </c>
      <c r="C904" t="s">
        <v>33</v>
      </c>
      <c r="D904" t="s">
        <v>187</v>
      </c>
      <c r="E904">
        <v>51</v>
      </c>
    </row>
    <row r="905" spans="1:5" x14ac:dyDescent="0.35">
      <c r="A905" s="13">
        <v>42736</v>
      </c>
      <c r="B905">
        <f>YEAR(Country_Masterlist__4[[#This Row],[Year1]])</f>
        <v>2017</v>
      </c>
      <c r="C905" t="s">
        <v>34</v>
      </c>
      <c r="D905" t="s">
        <v>188</v>
      </c>
      <c r="E905">
        <v>269</v>
      </c>
    </row>
    <row r="906" spans="1:5" x14ac:dyDescent="0.35">
      <c r="A906" s="13">
        <v>42736</v>
      </c>
      <c r="B906">
        <f>YEAR(Country_Masterlist__4[[#This Row],[Year1]])</f>
        <v>2017</v>
      </c>
      <c r="C906" t="s">
        <v>33</v>
      </c>
      <c r="D906" t="s">
        <v>189</v>
      </c>
      <c r="E906">
        <v>82</v>
      </c>
    </row>
    <row r="907" spans="1:5" x14ac:dyDescent="0.35">
      <c r="A907" s="13">
        <v>42736</v>
      </c>
      <c r="B907">
        <f>YEAR(Country_Masterlist__4[[#This Row],[Year1]])</f>
        <v>2017</v>
      </c>
      <c r="C907" t="s">
        <v>37</v>
      </c>
      <c r="D907" t="s">
        <v>190</v>
      </c>
      <c r="E907">
        <v>63</v>
      </c>
    </row>
    <row r="908" spans="1:5" x14ac:dyDescent="0.35">
      <c r="A908" s="13">
        <v>42736</v>
      </c>
      <c r="B908">
        <f>YEAR(Country_Masterlist__4[[#This Row],[Year1]])</f>
        <v>2017</v>
      </c>
      <c r="C908" t="s">
        <v>36</v>
      </c>
      <c r="D908" t="s">
        <v>191</v>
      </c>
      <c r="E908">
        <v>304</v>
      </c>
    </row>
    <row r="909" spans="1:5" x14ac:dyDescent="0.35">
      <c r="A909" s="13">
        <v>42736</v>
      </c>
      <c r="B909">
        <f>YEAR(Country_Masterlist__4[[#This Row],[Year1]])</f>
        <v>2017</v>
      </c>
      <c r="C909" t="s">
        <v>33</v>
      </c>
      <c r="D909" t="s">
        <v>192</v>
      </c>
      <c r="E909">
        <v>97</v>
      </c>
    </row>
    <row r="910" spans="1:5" x14ac:dyDescent="0.35">
      <c r="A910" s="13">
        <v>42736</v>
      </c>
      <c r="B910">
        <f>YEAR(Country_Masterlist__4[[#This Row],[Year1]])</f>
        <v>2017</v>
      </c>
      <c r="C910" t="s">
        <v>34</v>
      </c>
      <c r="D910" t="s">
        <v>193</v>
      </c>
      <c r="E910">
        <v>463</v>
      </c>
    </row>
    <row r="911" spans="1:5" x14ac:dyDescent="0.35">
      <c r="A911" s="13">
        <v>42736</v>
      </c>
      <c r="B911">
        <f>YEAR(Country_Masterlist__4[[#This Row],[Year1]])</f>
        <v>2017</v>
      </c>
      <c r="C911" t="s">
        <v>34</v>
      </c>
      <c r="D911" t="s">
        <v>194</v>
      </c>
      <c r="E911">
        <v>68</v>
      </c>
    </row>
    <row r="912" spans="1:5" x14ac:dyDescent="0.35">
      <c r="A912" s="13">
        <v>42736</v>
      </c>
      <c r="B912">
        <f>YEAR(Country_Masterlist__4[[#This Row],[Year1]])</f>
        <v>2017</v>
      </c>
      <c r="C912" t="s">
        <v>33</v>
      </c>
      <c r="D912" t="s">
        <v>195</v>
      </c>
      <c r="E912">
        <v>68</v>
      </c>
    </row>
    <row r="913" spans="1:5" x14ac:dyDescent="0.35">
      <c r="A913" s="13">
        <v>42736</v>
      </c>
      <c r="B913">
        <f>YEAR(Country_Masterlist__4[[#This Row],[Year1]])</f>
        <v>2017</v>
      </c>
      <c r="C913" t="s">
        <v>35</v>
      </c>
      <c r="D913" t="s">
        <v>196</v>
      </c>
      <c r="E913">
        <v>560</v>
      </c>
    </row>
    <row r="914" spans="1:5" x14ac:dyDescent="0.35">
      <c r="A914" s="13">
        <v>42736</v>
      </c>
      <c r="B914">
        <f>YEAR(Country_Masterlist__4[[#This Row],[Year1]])</f>
        <v>2017</v>
      </c>
      <c r="C914" t="s">
        <v>34</v>
      </c>
      <c r="D914" t="s">
        <v>197</v>
      </c>
      <c r="E914">
        <v>35</v>
      </c>
    </row>
    <row r="915" spans="1:5" x14ac:dyDescent="0.35">
      <c r="A915" s="13">
        <v>42736</v>
      </c>
      <c r="B915">
        <f>YEAR(Country_Masterlist__4[[#This Row],[Year1]])</f>
        <v>2017</v>
      </c>
      <c r="C915" t="s">
        <v>35</v>
      </c>
      <c r="D915" t="s">
        <v>198</v>
      </c>
      <c r="E915">
        <v>1455</v>
      </c>
    </row>
    <row r="916" spans="1:5" x14ac:dyDescent="0.35">
      <c r="A916" s="13">
        <v>42736</v>
      </c>
      <c r="B916">
        <f>YEAR(Country_Masterlist__4[[#This Row],[Year1]])</f>
        <v>2017</v>
      </c>
      <c r="C916" t="s">
        <v>39</v>
      </c>
      <c r="D916" t="s">
        <v>39</v>
      </c>
      <c r="E916">
        <v>1065</v>
      </c>
    </row>
    <row r="917" spans="1:5" x14ac:dyDescent="0.35">
      <c r="A917" s="13">
        <v>42736</v>
      </c>
      <c r="B917">
        <f>YEAR(Country_Masterlist__4[[#This Row],[Year1]])</f>
        <v>2017</v>
      </c>
      <c r="C917" t="s">
        <v>38</v>
      </c>
      <c r="D917" t="s">
        <v>199</v>
      </c>
      <c r="E917">
        <v>117</v>
      </c>
    </row>
    <row r="918" spans="1:5" x14ac:dyDescent="0.35">
      <c r="A918" s="13">
        <v>42736</v>
      </c>
      <c r="B918">
        <f>YEAR(Country_Masterlist__4[[#This Row],[Year1]])</f>
        <v>2017</v>
      </c>
      <c r="C918" t="s">
        <v>34</v>
      </c>
      <c r="D918" t="s">
        <v>200</v>
      </c>
      <c r="E918">
        <v>171</v>
      </c>
    </row>
    <row r="919" spans="1:5" x14ac:dyDescent="0.35">
      <c r="A919" s="13">
        <v>42736</v>
      </c>
      <c r="B919">
        <f>YEAR(Country_Masterlist__4[[#This Row],[Year1]])</f>
        <v>2017</v>
      </c>
      <c r="C919" t="s">
        <v>38</v>
      </c>
      <c r="D919" t="s">
        <v>19</v>
      </c>
      <c r="E919">
        <v>2383</v>
      </c>
    </row>
    <row r="920" spans="1:5" x14ac:dyDescent="0.35">
      <c r="A920" s="13">
        <v>42736</v>
      </c>
      <c r="B920">
        <f>YEAR(Country_Masterlist__4[[#This Row],[Year1]])</f>
        <v>2017</v>
      </c>
      <c r="C920" t="s">
        <v>34</v>
      </c>
      <c r="D920" t="s">
        <v>201</v>
      </c>
      <c r="E920">
        <v>855</v>
      </c>
    </row>
    <row r="921" spans="1:5" x14ac:dyDescent="0.35">
      <c r="A921" s="13">
        <v>42736</v>
      </c>
      <c r="B921">
        <f>YEAR(Country_Masterlist__4[[#This Row],[Year1]])</f>
        <v>2017</v>
      </c>
      <c r="C921" t="s">
        <v>34</v>
      </c>
      <c r="D921" t="s">
        <v>202</v>
      </c>
      <c r="E921">
        <v>526</v>
      </c>
    </row>
    <row r="922" spans="1:5" x14ac:dyDescent="0.35">
      <c r="A922" s="13">
        <v>42736</v>
      </c>
      <c r="B922">
        <f>YEAR(Country_Masterlist__4[[#This Row],[Year1]])</f>
        <v>2017</v>
      </c>
      <c r="C922" t="s">
        <v>33</v>
      </c>
      <c r="D922" t="s">
        <v>203</v>
      </c>
      <c r="E922">
        <v>66</v>
      </c>
    </row>
    <row r="923" spans="1:5" x14ac:dyDescent="0.35">
      <c r="A923" s="13">
        <v>42736</v>
      </c>
      <c r="B923">
        <f>YEAR(Country_Masterlist__4[[#This Row],[Year1]])</f>
        <v>2017</v>
      </c>
      <c r="C923" t="s">
        <v>33</v>
      </c>
      <c r="D923" t="s">
        <v>204</v>
      </c>
      <c r="E923">
        <v>61</v>
      </c>
    </row>
    <row r="924" spans="1:5" x14ac:dyDescent="0.35">
      <c r="A924" s="13">
        <v>43101</v>
      </c>
      <c r="B924">
        <f>YEAR(Country_Masterlist__4[[#This Row],[Year1]])</f>
        <v>2018</v>
      </c>
      <c r="C924" t="s">
        <v>34</v>
      </c>
      <c r="D924" t="s">
        <v>40</v>
      </c>
      <c r="E924">
        <v>133</v>
      </c>
    </row>
    <row r="925" spans="1:5" x14ac:dyDescent="0.35">
      <c r="A925" s="13">
        <v>43101</v>
      </c>
      <c r="B925">
        <f>YEAR(Country_Masterlist__4[[#This Row],[Year1]])</f>
        <v>2018</v>
      </c>
      <c r="C925" t="s">
        <v>35</v>
      </c>
      <c r="D925" t="s">
        <v>41</v>
      </c>
      <c r="E925">
        <v>225</v>
      </c>
    </row>
    <row r="926" spans="1:5" x14ac:dyDescent="0.35">
      <c r="A926" s="13">
        <v>43101</v>
      </c>
      <c r="B926">
        <f>YEAR(Country_Masterlist__4[[#This Row],[Year1]])</f>
        <v>2018</v>
      </c>
      <c r="C926" t="s">
        <v>33</v>
      </c>
      <c r="D926" t="s">
        <v>42</v>
      </c>
      <c r="E926">
        <v>155</v>
      </c>
    </row>
    <row r="927" spans="1:5" x14ac:dyDescent="0.35">
      <c r="A927" s="13">
        <v>43101</v>
      </c>
      <c r="B927">
        <f>YEAR(Country_Masterlist__4[[#This Row],[Year1]])</f>
        <v>2018</v>
      </c>
      <c r="D927" t="s">
        <v>373</v>
      </c>
      <c r="E927">
        <v>18</v>
      </c>
    </row>
    <row r="928" spans="1:5" x14ac:dyDescent="0.35">
      <c r="A928" s="13">
        <v>43101</v>
      </c>
      <c r="B928">
        <f>YEAR(Country_Masterlist__4[[#This Row],[Year1]])</f>
        <v>2018</v>
      </c>
      <c r="C928" t="s">
        <v>33</v>
      </c>
      <c r="D928" t="s">
        <v>43</v>
      </c>
      <c r="E928">
        <v>215</v>
      </c>
    </row>
    <row r="929" spans="1:5" x14ac:dyDescent="0.35">
      <c r="A929" s="13">
        <v>43101</v>
      </c>
      <c r="B929">
        <f>YEAR(Country_Masterlist__4[[#This Row],[Year1]])</f>
        <v>2018</v>
      </c>
      <c r="C929" t="s">
        <v>36</v>
      </c>
      <c r="D929" t="s">
        <v>44</v>
      </c>
      <c r="E929">
        <v>33</v>
      </c>
    </row>
    <row r="930" spans="1:5" x14ac:dyDescent="0.35">
      <c r="A930" s="13">
        <v>43101</v>
      </c>
      <c r="B930">
        <f>YEAR(Country_Masterlist__4[[#This Row],[Year1]])</f>
        <v>2018</v>
      </c>
      <c r="C930" t="s">
        <v>38</v>
      </c>
      <c r="D930" t="s">
        <v>45</v>
      </c>
      <c r="E930">
        <v>338</v>
      </c>
    </row>
    <row r="931" spans="1:5" x14ac:dyDescent="0.35">
      <c r="A931" s="13">
        <v>43101</v>
      </c>
      <c r="B931">
        <f>YEAR(Country_Masterlist__4[[#This Row],[Year1]])</f>
        <v>2018</v>
      </c>
      <c r="C931" t="s">
        <v>34</v>
      </c>
      <c r="D931" t="s">
        <v>46</v>
      </c>
      <c r="E931">
        <v>709</v>
      </c>
    </row>
    <row r="932" spans="1:5" x14ac:dyDescent="0.35">
      <c r="A932" s="13">
        <v>43101</v>
      </c>
      <c r="B932">
        <f>YEAR(Country_Masterlist__4[[#This Row],[Year1]])</f>
        <v>2018</v>
      </c>
      <c r="C932" t="s">
        <v>37</v>
      </c>
      <c r="D932" t="s">
        <v>47</v>
      </c>
      <c r="E932">
        <v>533</v>
      </c>
    </row>
    <row r="933" spans="1:5" x14ac:dyDescent="0.35">
      <c r="A933" s="13">
        <v>43101</v>
      </c>
      <c r="B933">
        <f>YEAR(Country_Masterlist__4[[#This Row],[Year1]])</f>
        <v>2018</v>
      </c>
      <c r="C933" t="s">
        <v>35</v>
      </c>
      <c r="D933" t="s">
        <v>48</v>
      </c>
      <c r="E933">
        <v>70</v>
      </c>
    </row>
    <row r="934" spans="1:5" x14ac:dyDescent="0.35">
      <c r="A934" s="13">
        <v>43101</v>
      </c>
      <c r="B934">
        <f>YEAR(Country_Masterlist__4[[#This Row],[Year1]])</f>
        <v>2018</v>
      </c>
      <c r="C934" t="s">
        <v>34</v>
      </c>
      <c r="D934" t="s">
        <v>49</v>
      </c>
      <c r="E934">
        <v>90</v>
      </c>
    </row>
    <row r="935" spans="1:5" x14ac:dyDescent="0.35">
      <c r="A935" s="13">
        <v>43101</v>
      </c>
      <c r="B935">
        <f>YEAR(Country_Masterlist__4[[#This Row],[Year1]])</f>
        <v>2018</v>
      </c>
      <c r="C935" t="s">
        <v>36</v>
      </c>
      <c r="D935" t="s">
        <v>50</v>
      </c>
      <c r="E935">
        <v>476</v>
      </c>
    </row>
    <row r="936" spans="1:5" x14ac:dyDescent="0.35">
      <c r="A936" s="13">
        <v>43101</v>
      </c>
      <c r="B936">
        <f>YEAR(Country_Masterlist__4[[#This Row],[Year1]])</f>
        <v>2018</v>
      </c>
      <c r="C936" t="s">
        <v>34</v>
      </c>
      <c r="D936" t="s">
        <v>51</v>
      </c>
      <c r="E936">
        <v>10</v>
      </c>
    </row>
    <row r="937" spans="1:5" x14ac:dyDescent="0.35">
      <c r="A937" s="13">
        <v>43101</v>
      </c>
      <c r="B937">
        <f>YEAR(Country_Masterlist__4[[#This Row],[Year1]])</f>
        <v>2018</v>
      </c>
      <c r="C937" t="s">
        <v>34</v>
      </c>
      <c r="D937" t="s">
        <v>52</v>
      </c>
      <c r="E937">
        <v>1615</v>
      </c>
    </row>
    <row r="938" spans="1:5" x14ac:dyDescent="0.35">
      <c r="A938" s="13">
        <v>43101</v>
      </c>
      <c r="B938">
        <f>YEAR(Country_Masterlist__4[[#This Row],[Year1]])</f>
        <v>2018</v>
      </c>
      <c r="C938" t="s">
        <v>36</v>
      </c>
      <c r="D938" t="s">
        <v>53</v>
      </c>
      <c r="E938">
        <v>50</v>
      </c>
    </row>
    <row r="939" spans="1:5" x14ac:dyDescent="0.35">
      <c r="A939" s="13">
        <v>43101</v>
      </c>
      <c r="B939">
        <f>YEAR(Country_Masterlist__4[[#This Row],[Year1]])</f>
        <v>2018</v>
      </c>
      <c r="C939" t="s">
        <v>35</v>
      </c>
      <c r="D939" t="s">
        <v>54</v>
      </c>
      <c r="E939">
        <v>76</v>
      </c>
    </row>
    <row r="940" spans="1:5" x14ac:dyDescent="0.35">
      <c r="A940" s="13">
        <v>43101</v>
      </c>
      <c r="B940">
        <f>YEAR(Country_Masterlist__4[[#This Row],[Year1]])</f>
        <v>2018</v>
      </c>
      <c r="C940" t="s">
        <v>35</v>
      </c>
      <c r="D940" t="s">
        <v>55</v>
      </c>
      <c r="E940">
        <v>174</v>
      </c>
    </row>
    <row r="941" spans="1:5" x14ac:dyDescent="0.35">
      <c r="A941" s="13">
        <v>43101</v>
      </c>
      <c r="B941">
        <f>YEAR(Country_Masterlist__4[[#This Row],[Year1]])</f>
        <v>2018</v>
      </c>
      <c r="C941" t="s">
        <v>36</v>
      </c>
      <c r="D941" t="s">
        <v>56</v>
      </c>
      <c r="E941">
        <v>293</v>
      </c>
    </row>
    <row r="942" spans="1:5" x14ac:dyDescent="0.35">
      <c r="A942" s="13">
        <v>43101</v>
      </c>
      <c r="B942">
        <f>YEAR(Country_Masterlist__4[[#This Row],[Year1]])</f>
        <v>2018</v>
      </c>
      <c r="C942" t="s">
        <v>33</v>
      </c>
      <c r="D942" t="s">
        <v>57</v>
      </c>
      <c r="E942">
        <v>60</v>
      </c>
    </row>
    <row r="943" spans="1:5" x14ac:dyDescent="0.35">
      <c r="A943" s="13">
        <v>43101</v>
      </c>
      <c r="B943">
        <f>YEAR(Country_Masterlist__4[[#This Row],[Year1]])</f>
        <v>2018</v>
      </c>
      <c r="C943" t="s">
        <v>34</v>
      </c>
      <c r="D943" t="s">
        <v>58</v>
      </c>
      <c r="E943">
        <v>26</v>
      </c>
    </row>
    <row r="944" spans="1:5" x14ac:dyDescent="0.35">
      <c r="A944" s="13">
        <v>43101</v>
      </c>
      <c r="B944">
        <f>YEAR(Country_Masterlist__4[[#This Row],[Year1]])</f>
        <v>2018</v>
      </c>
      <c r="C944" t="s">
        <v>38</v>
      </c>
      <c r="D944" t="s">
        <v>59</v>
      </c>
      <c r="E944">
        <v>231</v>
      </c>
    </row>
    <row r="945" spans="1:5" x14ac:dyDescent="0.35">
      <c r="A945" s="13">
        <v>43101</v>
      </c>
      <c r="B945">
        <f>YEAR(Country_Masterlist__4[[#This Row],[Year1]])</f>
        <v>2018</v>
      </c>
      <c r="C945" t="s">
        <v>35</v>
      </c>
      <c r="D945" t="s">
        <v>60</v>
      </c>
      <c r="E945">
        <v>117</v>
      </c>
    </row>
    <row r="946" spans="1:5" x14ac:dyDescent="0.35">
      <c r="A946" s="13">
        <v>43101</v>
      </c>
      <c r="B946">
        <f>YEAR(Country_Masterlist__4[[#This Row],[Year1]])</f>
        <v>2018</v>
      </c>
      <c r="C946" t="s">
        <v>33</v>
      </c>
      <c r="D946" t="s">
        <v>61</v>
      </c>
      <c r="E946">
        <v>8</v>
      </c>
    </row>
    <row r="947" spans="1:5" x14ac:dyDescent="0.35">
      <c r="A947" s="13">
        <v>43101</v>
      </c>
      <c r="B947">
        <f>YEAR(Country_Masterlist__4[[#This Row],[Year1]])</f>
        <v>2018</v>
      </c>
      <c r="C947" t="s">
        <v>38</v>
      </c>
      <c r="D947" t="s">
        <v>21</v>
      </c>
      <c r="E947">
        <v>8555</v>
      </c>
    </row>
    <row r="948" spans="1:5" x14ac:dyDescent="0.35">
      <c r="A948" s="13">
        <v>43101</v>
      </c>
      <c r="B948">
        <f>YEAR(Country_Masterlist__4[[#This Row],[Year1]])</f>
        <v>2018</v>
      </c>
      <c r="C948" t="s">
        <v>35</v>
      </c>
      <c r="D948" t="s">
        <v>62</v>
      </c>
      <c r="E948">
        <v>97</v>
      </c>
    </row>
    <row r="949" spans="1:5" x14ac:dyDescent="0.35">
      <c r="A949" s="13">
        <v>43101</v>
      </c>
      <c r="B949">
        <f>YEAR(Country_Masterlist__4[[#This Row],[Year1]])</f>
        <v>2018</v>
      </c>
      <c r="C949" t="s">
        <v>33</v>
      </c>
      <c r="D949" t="s">
        <v>63</v>
      </c>
      <c r="E949">
        <v>114</v>
      </c>
    </row>
    <row r="950" spans="1:5" x14ac:dyDescent="0.35">
      <c r="A950" s="13">
        <v>43101</v>
      </c>
      <c r="B950">
        <f>YEAR(Country_Masterlist__4[[#This Row],[Year1]])</f>
        <v>2018</v>
      </c>
      <c r="C950" t="s">
        <v>34</v>
      </c>
      <c r="D950" t="s">
        <v>64</v>
      </c>
      <c r="E950">
        <v>97</v>
      </c>
    </row>
    <row r="951" spans="1:5" x14ac:dyDescent="0.35">
      <c r="A951" s="13">
        <v>43101</v>
      </c>
      <c r="B951">
        <f>YEAR(Country_Masterlist__4[[#This Row],[Year1]])</f>
        <v>2018</v>
      </c>
      <c r="C951" t="s">
        <v>33</v>
      </c>
      <c r="D951" t="s">
        <v>65</v>
      </c>
      <c r="E951">
        <v>38</v>
      </c>
    </row>
    <row r="952" spans="1:5" x14ac:dyDescent="0.35">
      <c r="A952" s="13">
        <v>43101</v>
      </c>
      <c r="B952">
        <f>YEAR(Country_Masterlist__4[[#This Row],[Year1]])</f>
        <v>2018</v>
      </c>
      <c r="C952" t="s">
        <v>33</v>
      </c>
      <c r="D952" t="s">
        <v>66</v>
      </c>
      <c r="E952">
        <v>104</v>
      </c>
    </row>
    <row r="953" spans="1:5" x14ac:dyDescent="0.35">
      <c r="A953" s="13">
        <v>43101</v>
      </c>
      <c r="B953">
        <f>YEAR(Country_Masterlist__4[[#This Row],[Year1]])</f>
        <v>2018</v>
      </c>
      <c r="C953" t="s">
        <v>34</v>
      </c>
      <c r="D953" t="s">
        <v>67</v>
      </c>
      <c r="E953">
        <v>354</v>
      </c>
    </row>
    <row r="954" spans="1:5" x14ac:dyDescent="0.35">
      <c r="A954" s="13">
        <v>43101</v>
      </c>
      <c r="B954">
        <f>YEAR(Country_Masterlist__4[[#This Row],[Year1]])</f>
        <v>2018</v>
      </c>
      <c r="C954" t="s">
        <v>33</v>
      </c>
      <c r="D954" t="s">
        <v>68</v>
      </c>
      <c r="E954">
        <v>841</v>
      </c>
    </row>
    <row r="955" spans="1:5" x14ac:dyDescent="0.35">
      <c r="A955" s="13">
        <v>43101</v>
      </c>
      <c r="B955">
        <f>YEAR(Country_Masterlist__4[[#This Row],[Year1]])</f>
        <v>2018</v>
      </c>
      <c r="C955" t="s">
        <v>36</v>
      </c>
      <c r="D955" t="s">
        <v>69</v>
      </c>
      <c r="E955">
        <v>15719</v>
      </c>
    </row>
    <row r="956" spans="1:5" x14ac:dyDescent="0.35">
      <c r="A956" s="13">
        <v>43101</v>
      </c>
      <c r="B956">
        <f>YEAR(Country_Masterlist__4[[#This Row],[Year1]])</f>
        <v>2018</v>
      </c>
      <c r="C956" t="s">
        <v>33</v>
      </c>
      <c r="D956" t="s">
        <v>70</v>
      </c>
      <c r="E956">
        <v>12</v>
      </c>
    </row>
    <row r="957" spans="1:5" x14ac:dyDescent="0.35">
      <c r="A957" s="13">
        <v>43101</v>
      </c>
      <c r="B957">
        <f>YEAR(Country_Masterlist__4[[#This Row],[Year1]])</f>
        <v>2018</v>
      </c>
      <c r="C957" t="s">
        <v>33</v>
      </c>
      <c r="D957" t="s">
        <v>71</v>
      </c>
      <c r="E957">
        <v>24</v>
      </c>
    </row>
    <row r="958" spans="1:5" x14ac:dyDescent="0.35">
      <c r="A958" s="13">
        <v>43101</v>
      </c>
      <c r="B958">
        <f>YEAR(Country_Masterlist__4[[#This Row],[Year1]])</f>
        <v>2018</v>
      </c>
      <c r="C958" t="s">
        <v>38</v>
      </c>
      <c r="D958" t="s">
        <v>72</v>
      </c>
      <c r="E958">
        <v>698</v>
      </c>
    </row>
    <row r="959" spans="1:5" x14ac:dyDescent="0.35">
      <c r="A959" s="13">
        <v>43101</v>
      </c>
      <c r="B959">
        <f>YEAR(Country_Masterlist__4[[#This Row],[Year1]])</f>
        <v>2018</v>
      </c>
      <c r="C959" t="s">
        <v>34</v>
      </c>
      <c r="D959" t="s">
        <v>73</v>
      </c>
      <c r="E959">
        <v>5371</v>
      </c>
    </row>
    <row r="960" spans="1:5" x14ac:dyDescent="0.35">
      <c r="A960" s="13">
        <v>43101</v>
      </c>
      <c r="B960">
        <f>YEAR(Country_Masterlist__4[[#This Row],[Year1]])</f>
        <v>2018</v>
      </c>
      <c r="C960" t="s">
        <v>38</v>
      </c>
      <c r="D960" t="s">
        <v>20</v>
      </c>
      <c r="E960">
        <v>4066</v>
      </c>
    </row>
    <row r="961" spans="1:5" x14ac:dyDescent="0.35">
      <c r="A961" s="13">
        <v>43101</v>
      </c>
      <c r="B961">
        <f>YEAR(Country_Masterlist__4[[#This Row],[Year1]])</f>
        <v>2018</v>
      </c>
      <c r="C961" t="s">
        <v>33</v>
      </c>
      <c r="D961" t="s">
        <v>74</v>
      </c>
      <c r="E961">
        <v>413</v>
      </c>
    </row>
    <row r="962" spans="1:5" x14ac:dyDescent="0.35">
      <c r="A962" s="13">
        <v>43101</v>
      </c>
      <c r="B962">
        <f>YEAR(Country_Masterlist__4[[#This Row],[Year1]])</f>
        <v>2018</v>
      </c>
      <c r="C962" t="s">
        <v>33</v>
      </c>
      <c r="D962" t="s">
        <v>75</v>
      </c>
      <c r="E962">
        <v>139</v>
      </c>
    </row>
    <row r="963" spans="1:5" x14ac:dyDescent="0.35">
      <c r="A963" s="13">
        <v>43101</v>
      </c>
      <c r="B963">
        <f>YEAR(Country_Masterlist__4[[#This Row],[Year1]])</f>
        <v>2018</v>
      </c>
      <c r="C963" t="s">
        <v>36</v>
      </c>
      <c r="D963" t="s">
        <v>76</v>
      </c>
      <c r="E963">
        <v>556</v>
      </c>
    </row>
    <row r="964" spans="1:5" x14ac:dyDescent="0.35">
      <c r="A964" s="13">
        <v>43101</v>
      </c>
      <c r="B964">
        <f>YEAR(Country_Masterlist__4[[#This Row],[Year1]])</f>
        <v>2018</v>
      </c>
      <c r="C964" t="s">
        <v>33</v>
      </c>
      <c r="D964" t="s">
        <v>77</v>
      </c>
      <c r="E964">
        <v>165</v>
      </c>
    </row>
    <row r="965" spans="1:5" x14ac:dyDescent="0.35">
      <c r="A965" s="13">
        <v>43101</v>
      </c>
      <c r="B965">
        <f>YEAR(Country_Masterlist__4[[#This Row],[Year1]])</f>
        <v>2018</v>
      </c>
      <c r="C965" t="s">
        <v>35</v>
      </c>
      <c r="D965" t="s">
        <v>78</v>
      </c>
      <c r="E965">
        <v>69</v>
      </c>
    </row>
    <row r="966" spans="1:5" x14ac:dyDescent="0.35">
      <c r="A966" s="13">
        <v>43101</v>
      </c>
      <c r="B966">
        <f>YEAR(Country_Masterlist__4[[#This Row],[Year1]])</f>
        <v>2018</v>
      </c>
      <c r="C966" t="s">
        <v>36</v>
      </c>
      <c r="D966" t="s">
        <v>79</v>
      </c>
      <c r="E966">
        <v>10065</v>
      </c>
    </row>
    <row r="967" spans="1:5" x14ac:dyDescent="0.35">
      <c r="A967" s="13">
        <v>43101</v>
      </c>
      <c r="B967">
        <f>YEAR(Country_Masterlist__4[[#This Row],[Year1]])</f>
        <v>2018</v>
      </c>
      <c r="C967" t="s">
        <v>34</v>
      </c>
      <c r="D967" t="s">
        <v>80</v>
      </c>
      <c r="E967">
        <v>12</v>
      </c>
    </row>
    <row r="968" spans="1:5" x14ac:dyDescent="0.35">
      <c r="A968" s="13">
        <v>43101</v>
      </c>
      <c r="B968">
        <f>YEAR(Country_Masterlist__4[[#This Row],[Year1]])</f>
        <v>2018</v>
      </c>
      <c r="C968" t="s">
        <v>35</v>
      </c>
      <c r="D968" t="s">
        <v>81</v>
      </c>
      <c r="E968">
        <v>219</v>
      </c>
    </row>
    <row r="969" spans="1:5" x14ac:dyDescent="0.35">
      <c r="A969" s="13">
        <v>43101</v>
      </c>
      <c r="B969">
        <f>YEAR(Country_Masterlist__4[[#This Row],[Year1]])</f>
        <v>2018</v>
      </c>
      <c r="C969" t="s">
        <v>35</v>
      </c>
      <c r="D969" t="s">
        <v>214</v>
      </c>
      <c r="E969">
        <v>6</v>
      </c>
    </row>
    <row r="970" spans="1:5" x14ac:dyDescent="0.35">
      <c r="A970" s="13">
        <v>43101</v>
      </c>
      <c r="B970">
        <f>YEAR(Country_Masterlist__4[[#This Row],[Year1]])</f>
        <v>2018</v>
      </c>
      <c r="C970" t="s">
        <v>35</v>
      </c>
      <c r="D970" t="s">
        <v>82</v>
      </c>
      <c r="E970">
        <v>64</v>
      </c>
    </row>
    <row r="971" spans="1:5" x14ac:dyDescent="0.35">
      <c r="A971" s="13">
        <v>43101</v>
      </c>
      <c r="B971">
        <f>YEAR(Country_Masterlist__4[[#This Row],[Year1]])</f>
        <v>2018</v>
      </c>
      <c r="C971" t="s">
        <v>33</v>
      </c>
      <c r="D971" t="s">
        <v>83</v>
      </c>
      <c r="E971">
        <v>11</v>
      </c>
    </row>
    <row r="972" spans="1:5" x14ac:dyDescent="0.35">
      <c r="A972" s="13">
        <v>43101</v>
      </c>
      <c r="B972">
        <f>YEAR(Country_Masterlist__4[[#This Row],[Year1]])</f>
        <v>2018</v>
      </c>
      <c r="C972" t="s">
        <v>36</v>
      </c>
      <c r="D972" t="s">
        <v>84</v>
      </c>
      <c r="E972">
        <v>48</v>
      </c>
    </row>
    <row r="973" spans="1:5" x14ac:dyDescent="0.35">
      <c r="A973" s="13">
        <v>43101</v>
      </c>
      <c r="B973">
        <f>YEAR(Country_Masterlist__4[[#This Row],[Year1]])</f>
        <v>2018</v>
      </c>
      <c r="C973" t="s">
        <v>36</v>
      </c>
      <c r="D973" t="s">
        <v>85</v>
      </c>
      <c r="E973">
        <v>3581</v>
      </c>
    </row>
    <row r="974" spans="1:5" x14ac:dyDescent="0.35">
      <c r="A974" s="13">
        <v>43101</v>
      </c>
      <c r="B974">
        <f>YEAR(Country_Masterlist__4[[#This Row],[Year1]])</f>
        <v>2018</v>
      </c>
      <c r="C974" t="s">
        <v>38</v>
      </c>
      <c r="D974" t="s">
        <v>86</v>
      </c>
      <c r="E974">
        <v>3277</v>
      </c>
    </row>
    <row r="975" spans="1:5" x14ac:dyDescent="0.35">
      <c r="A975" s="13">
        <v>43101</v>
      </c>
      <c r="B975">
        <f>YEAR(Country_Masterlist__4[[#This Row],[Year1]])</f>
        <v>2018</v>
      </c>
      <c r="C975" t="s">
        <v>33</v>
      </c>
      <c r="D975" t="s">
        <v>87</v>
      </c>
      <c r="E975">
        <v>476</v>
      </c>
    </row>
    <row r="976" spans="1:5" x14ac:dyDescent="0.35">
      <c r="A976" s="13">
        <v>43101</v>
      </c>
      <c r="B976">
        <f>YEAR(Country_Masterlist__4[[#This Row],[Year1]])</f>
        <v>2018</v>
      </c>
      <c r="C976" t="s">
        <v>36</v>
      </c>
      <c r="D976" t="s">
        <v>16</v>
      </c>
      <c r="E976">
        <v>47993</v>
      </c>
    </row>
    <row r="977" spans="1:5" x14ac:dyDescent="0.35">
      <c r="A977" s="13">
        <v>43101</v>
      </c>
      <c r="B977">
        <f>YEAR(Country_Masterlist__4[[#This Row],[Year1]])</f>
        <v>2018</v>
      </c>
      <c r="C977" t="s">
        <v>33</v>
      </c>
      <c r="D977" t="s">
        <v>88</v>
      </c>
      <c r="E977">
        <v>26</v>
      </c>
    </row>
    <row r="978" spans="1:5" x14ac:dyDescent="0.35">
      <c r="A978" s="13">
        <v>43101</v>
      </c>
      <c r="B978">
        <f>YEAR(Country_Masterlist__4[[#This Row],[Year1]])</f>
        <v>2018</v>
      </c>
      <c r="C978" t="s">
        <v>33</v>
      </c>
      <c r="D978" t="s">
        <v>89</v>
      </c>
      <c r="E978">
        <v>593</v>
      </c>
    </row>
    <row r="979" spans="1:5" x14ac:dyDescent="0.35">
      <c r="A979" s="13">
        <v>43101</v>
      </c>
      <c r="B979">
        <f>YEAR(Country_Masterlist__4[[#This Row],[Year1]])</f>
        <v>2018</v>
      </c>
      <c r="C979" t="s">
        <v>35</v>
      </c>
      <c r="D979" t="s">
        <v>90</v>
      </c>
      <c r="E979">
        <v>55</v>
      </c>
    </row>
    <row r="980" spans="1:5" x14ac:dyDescent="0.35">
      <c r="A980" s="13">
        <v>43101</v>
      </c>
      <c r="B980">
        <f>YEAR(Country_Masterlist__4[[#This Row],[Year1]])</f>
        <v>2018</v>
      </c>
      <c r="C980" t="s">
        <v>33</v>
      </c>
      <c r="D980" t="s">
        <v>91</v>
      </c>
      <c r="E980">
        <v>180</v>
      </c>
    </row>
    <row r="981" spans="1:5" x14ac:dyDescent="0.35">
      <c r="A981" s="13">
        <v>43101</v>
      </c>
      <c r="B981">
        <f>YEAR(Country_Masterlist__4[[#This Row],[Year1]])</f>
        <v>2018</v>
      </c>
      <c r="C981" t="s">
        <v>37</v>
      </c>
      <c r="D981" t="s">
        <v>92</v>
      </c>
      <c r="E981">
        <v>87</v>
      </c>
    </row>
    <row r="982" spans="1:5" x14ac:dyDescent="0.35">
      <c r="A982" s="13">
        <v>43101</v>
      </c>
      <c r="B982">
        <f>YEAR(Country_Masterlist__4[[#This Row],[Year1]])</f>
        <v>2018</v>
      </c>
      <c r="C982" t="s">
        <v>35</v>
      </c>
      <c r="D982" t="s">
        <v>93</v>
      </c>
      <c r="E982">
        <v>49</v>
      </c>
    </row>
    <row r="983" spans="1:5" x14ac:dyDescent="0.35">
      <c r="A983" s="13">
        <v>43101</v>
      </c>
      <c r="B983">
        <f>YEAR(Country_Masterlist__4[[#This Row],[Year1]])</f>
        <v>2018</v>
      </c>
      <c r="C983" t="s">
        <v>35</v>
      </c>
      <c r="D983" t="s">
        <v>94</v>
      </c>
      <c r="E983">
        <v>1523</v>
      </c>
    </row>
    <row r="984" spans="1:5" x14ac:dyDescent="0.35">
      <c r="A984" s="13">
        <v>43101</v>
      </c>
      <c r="B984">
        <f>YEAR(Country_Masterlist__4[[#This Row],[Year1]])</f>
        <v>2018</v>
      </c>
      <c r="C984" t="s">
        <v>33</v>
      </c>
      <c r="D984" t="s">
        <v>95</v>
      </c>
      <c r="E984">
        <v>35</v>
      </c>
    </row>
    <row r="985" spans="1:5" x14ac:dyDescent="0.35">
      <c r="A985" s="13">
        <v>43101</v>
      </c>
      <c r="B985">
        <f>YEAR(Country_Masterlist__4[[#This Row],[Year1]])</f>
        <v>2018</v>
      </c>
      <c r="C985" t="s">
        <v>33</v>
      </c>
      <c r="D985" t="s">
        <v>96</v>
      </c>
      <c r="E985">
        <v>153</v>
      </c>
    </row>
    <row r="986" spans="1:5" x14ac:dyDescent="0.35">
      <c r="A986" s="13">
        <v>43101</v>
      </c>
      <c r="B986">
        <f>YEAR(Country_Masterlist__4[[#This Row],[Year1]])</f>
        <v>2018</v>
      </c>
      <c r="C986" t="s">
        <v>34</v>
      </c>
      <c r="D986" t="s">
        <v>8</v>
      </c>
      <c r="E986">
        <v>124</v>
      </c>
    </row>
    <row r="987" spans="1:5" x14ac:dyDescent="0.35">
      <c r="A987" s="13">
        <v>43101</v>
      </c>
      <c r="B987">
        <f>YEAR(Country_Masterlist__4[[#This Row],[Year1]])</f>
        <v>2018</v>
      </c>
      <c r="C987" t="s">
        <v>35</v>
      </c>
      <c r="D987" t="s">
        <v>97</v>
      </c>
      <c r="E987">
        <v>655</v>
      </c>
    </row>
    <row r="988" spans="1:5" x14ac:dyDescent="0.35">
      <c r="A988" s="13">
        <v>43101</v>
      </c>
      <c r="B988">
        <f>YEAR(Country_Masterlist__4[[#This Row],[Year1]])</f>
        <v>2018</v>
      </c>
      <c r="C988" t="s">
        <v>33</v>
      </c>
      <c r="D988" t="s">
        <v>98</v>
      </c>
      <c r="E988">
        <v>486</v>
      </c>
    </row>
    <row r="989" spans="1:5" x14ac:dyDescent="0.35">
      <c r="A989" s="13">
        <v>43101</v>
      </c>
      <c r="B989">
        <f>YEAR(Country_Masterlist__4[[#This Row],[Year1]])</f>
        <v>2018</v>
      </c>
      <c r="C989" t="s">
        <v>35</v>
      </c>
      <c r="D989" t="s">
        <v>99</v>
      </c>
      <c r="E989">
        <v>202</v>
      </c>
    </row>
    <row r="990" spans="1:5" x14ac:dyDescent="0.35">
      <c r="A990" s="13">
        <v>43101</v>
      </c>
      <c r="B990">
        <f>YEAR(Country_Masterlist__4[[#This Row],[Year1]])</f>
        <v>2018</v>
      </c>
      <c r="C990" t="s">
        <v>36</v>
      </c>
      <c r="D990" t="s">
        <v>100</v>
      </c>
      <c r="E990">
        <v>33</v>
      </c>
    </row>
    <row r="991" spans="1:5" x14ac:dyDescent="0.35">
      <c r="A991" s="13">
        <v>43101</v>
      </c>
      <c r="B991">
        <f>YEAR(Country_Masterlist__4[[#This Row],[Year1]])</f>
        <v>2018</v>
      </c>
      <c r="C991" t="s">
        <v>36</v>
      </c>
      <c r="D991" t="s">
        <v>15</v>
      </c>
      <c r="E991">
        <v>153814</v>
      </c>
    </row>
    <row r="992" spans="1:5" x14ac:dyDescent="0.35">
      <c r="A992" s="13">
        <v>43101</v>
      </c>
      <c r="B992">
        <f>YEAR(Country_Masterlist__4[[#This Row],[Year1]])</f>
        <v>2018</v>
      </c>
      <c r="C992" t="s">
        <v>33</v>
      </c>
      <c r="D992" t="s">
        <v>101</v>
      </c>
      <c r="E992">
        <v>256</v>
      </c>
    </row>
    <row r="993" spans="1:5" x14ac:dyDescent="0.35">
      <c r="A993" s="13">
        <v>43101</v>
      </c>
      <c r="B993">
        <f>YEAR(Country_Masterlist__4[[#This Row],[Year1]])</f>
        <v>2018</v>
      </c>
      <c r="C993" t="s">
        <v>33</v>
      </c>
      <c r="D993" t="s">
        <v>102</v>
      </c>
      <c r="E993">
        <v>8</v>
      </c>
    </row>
    <row r="994" spans="1:5" x14ac:dyDescent="0.35">
      <c r="A994" s="13">
        <v>43101</v>
      </c>
      <c r="B994">
        <f>YEAR(Country_Masterlist__4[[#This Row],[Year1]])</f>
        <v>2018</v>
      </c>
      <c r="C994" t="s">
        <v>38</v>
      </c>
      <c r="D994" t="s">
        <v>103</v>
      </c>
      <c r="E994">
        <v>433</v>
      </c>
    </row>
    <row r="995" spans="1:5" x14ac:dyDescent="0.35">
      <c r="A995" s="13">
        <v>43101</v>
      </c>
      <c r="B995">
        <f>YEAR(Country_Masterlist__4[[#This Row],[Year1]])</f>
        <v>2018</v>
      </c>
      <c r="C995" t="s">
        <v>36</v>
      </c>
      <c r="D995" t="s">
        <v>104</v>
      </c>
      <c r="E995">
        <v>1478</v>
      </c>
    </row>
    <row r="996" spans="1:5" x14ac:dyDescent="0.35">
      <c r="A996" s="13">
        <v>43101</v>
      </c>
      <c r="B996">
        <f>YEAR(Country_Masterlist__4[[#This Row],[Year1]])</f>
        <v>2018</v>
      </c>
      <c r="C996" t="s">
        <v>36</v>
      </c>
      <c r="D996" t="s">
        <v>17</v>
      </c>
      <c r="E996">
        <v>103533</v>
      </c>
    </row>
    <row r="997" spans="1:5" x14ac:dyDescent="0.35">
      <c r="A997" s="13">
        <v>43101</v>
      </c>
      <c r="B997">
        <f>YEAR(Country_Masterlist__4[[#This Row],[Year1]])</f>
        <v>2018</v>
      </c>
      <c r="C997" t="s">
        <v>35</v>
      </c>
      <c r="D997" t="s">
        <v>105</v>
      </c>
      <c r="E997">
        <v>306</v>
      </c>
    </row>
    <row r="998" spans="1:5" x14ac:dyDescent="0.35">
      <c r="A998" s="13">
        <v>43101</v>
      </c>
      <c r="B998">
        <f>YEAR(Country_Masterlist__4[[#This Row],[Year1]])</f>
        <v>2018</v>
      </c>
      <c r="C998" t="s">
        <v>35</v>
      </c>
      <c r="D998" t="s">
        <v>106</v>
      </c>
      <c r="E998">
        <v>16</v>
      </c>
    </row>
    <row r="999" spans="1:5" x14ac:dyDescent="0.35">
      <c r="A999" s="13">
        <v>43101</v>
      </c>
      <c r="B999">
        <f>YEAR(Country_Masterlist__4[[#This Row],[Year1]])</f>
        <v>2018</v>
      </c>
      <c r="C999" t="s">
        <v>34</v>
      </c>
      <c r="D999" t="s">
        <v>22</v>
      </c>
      <c r="E999">
        <v>12722</v>
      </c>
    </row>
    <row r="1000" spans="1:5" x14ac:dyDescent="0.35">
      <c r="A1000" s="13">
        <v>43101</v>
      </c>
      <c r="B1000">
        <f>YEAR(Country_Masterlist__4[[#This Row],[Year1]])</f>
        <v>2018</v>
      </c>
      <c r="C1000" t="s">
        <v>34</v>
      </c>
      <c r="D1000" t="s">
        <v>107</v>
      </c>
      <c r="E1000">
        <v>237</v>
      </c>
    </row>
    <row r="1001" spans="1:5" x14ac:dyDescent="0.35">
      <c r="A1001" s="13">
        <v>43101</v>
      </c>
      <c r="B1001">
        <f>YEAR(Country_Masterlist__4[[#This Row],[Year1]])</f>
        <v>2018</v>
      </c>
      <c r="C1001" t="s">
        <v>34</v>
      </c>
      <c r="D1001" t="s">
        <v>108</v>
      </c>
      <c r="E1001">
        <v>1000</v>
      </c>
    </row>
    <row r="1002" spans="1:5" x14ac:dyDescent="0.35">
      <c r="A1002" s="13">
        <v>43101</v>
      </c>
      <c r="B1002">
        <f>YEAR(Country_Masterlist__4[[#This Row],[Year1]])</f>
        <v>2018</v>
      </c>
      <c r="C1002" t="s">
        <v>34</v>
      </c>
      <c r="D1002" t="s">
        <v>109</v>
      </c>
      <c r="E1002">
        <v>335</v>
      </c>
    </row>
    <row r="1003" spans="1:5" x14ac:dyDescent="0.35">
      <c r="A1003" s="13">
        <v>43101</v>
      </c>
      <c r="B1003">
        <f>YEAR(Country_Masterlist__4[[#This Row],[Year1]])</f>
        <v>2018</v>
      </c>
      <c r="C1003" t="s">
        <v>35</v>
      </c>
      <c r="D1003" t="s">
        <v>110</v>
      </c>
      <c r="E1003">
        <v>578</v>
      </c>
    </row>
    <row r="1004" spans="1:5" x14ac:dyDescent="0.35">
      <c r="A1004" s="13">
        <v>43101</v>
      </c>
      <c r="B1004">
        <f>YEAR(Country_Masterlist__4[[#This Row],[Year1]])</f>
        <v>2018</v>
      </c>
      <c r="C1004" t="s">
        <v>34</v>
      </c>
      <c r="D1004" t="s">
        <v>111</v>
      </c>
      <c r="E1004">
        <v>610</v>
      </c>
    </row>
    <row r="1005" spans="1:5" x14ac:dyDescent="0.35">
      <c r="A1005" s="13">
        <v>43101</v>
      </c>
      <c r="B1005">
        <f>YEAR(Country_Masterlist__4[[#This Row],[Year1]])</f>
        <v>2018</v>
      </c>
      <c r="C1005" t="s">
        <v>35</v>
      </c>
      <c r="D1005" t="s">
        <v>112</v>
      </c>
      <c r="E1005">
        <v>945</v>
      </c>
    </row>
    <row r="1006" spans="1:5" x14ac:dyDescent="0.35">
      <c r="A1006" s="13">
        <v>43101</v>
      </c>
      <c r="B1006">
        <f>YEAR(Country_Masterlist__4[[#This Row],[Year1]])</f>
        <v>2018</v>
      </c>
      <c r="C1006" t="s">
        <v>36</v>
      </c>
      <c r="D1006" t="s">
        <v>113</v>
      </c>
      <c r="E1006">
        <v>2018</v>
      </c>
    </row>
    <row r="1007" spans="1:5" x14ac:dyDescent="0.35">
      <c r="A1007" s="13">
        <v>43101</v>
      </c>
      <c r="B1007">
        <f>YEAR(Country_Masterlist__4[[#This Row],[Year1]])</f>
        <v>2018</v>
      </c>
      <c r="C1007" t="s">
        <v>34</v>
      </c>
      <c r="D1007" t="s">
        <v>114</v>
      </c>
      <c r="E1007">
        <v>342</v>
      </c>
    </row>
    <row r="1008" spans="1:5" x14ac:dyDescent="0.35">
      <c r="A1008" s="13">
        <v>43101</v>
      </c>
      <c r="B1008">
        <f>YEAR(Country_Masterlist__4[[#This Row],[Year1]])</f>
        <v>2018</v>
      </c>
      <c r="C1008" t="s">
        <v>34</v>
      </c>
      <c r="D1008" t="s">
        <v>115</v>
      </c>
      <c r="E1008">
        <v>667</v>
      </c>
    </row>
    <row r="1009" spans="1:5" x14ac:dyDescent="0.35">
      <c r="A1009" s="13">
        <v>43101</v>
      </c>
      <c r="B1009">
        <f>YEAR(Country_Masterlist__4[[#This Row],[Year1]])</f>
        <v>2018</v>
      </c>
      <c r="C1009" t="s">
        <v>34</v>
      </c>
      <c r="D1009" t="s">
        <v>116</v>
      </c>
      <c r="E1009">
        <v>153</v>
      </c>
    </row>
    <row r="1010" spans="1:5" x14ac:dyDescent="0.35">
      <c r="A1010" s="13">
        <v>43101</v>
      </c>
      <c r="B1010">
        <f>YEAR(Country_Masterlist__4[[#This Row],[Year1]])</f>
        <v>2018</v>
      </c>
      <c r="C1010" t="s">
        <v>33</v>
      </c>
      <c r="D1010" t="s">
        <v>117</v>
      </c>
      <c r="E1010">
        <v>410</v>
      </c>
    </row>
    <row r="1011" spans="1:5" x14ac:dyDescent="0.35">
      <c r="A1011" s="13">
        <v>43101</v>
      </c>
      <c r="B1011">
        <f>YEAR(Country_Masterlist__4[[#This Row],[Year1]])</f>
        <v>2018</v>
      </c>
      <c r="C1011" t="s">
        <v>34</v>
      </c>
      <c r="D1011" t="s">
        <v>118</v>
      </c>
      <c r="E1011">
        <v>1205</v>
      </c>
    </row>
    <row r="1012" spans="1:5" x14ac:dyDescent="0.35">
      <c r="A1012" s="13">
        <v>43101</v>
      </c>
      <c r="B1012">
        <f>YEAR(Country_Masterlist__4[[#This Row],[Year1]])</f>
        <v>2018</v>
      </c>
      <c r="C1012" t="s">
        <v>35</v>
      </c>
      <c r="D1012" t="s">
        <v>119</v>
      </c>
      <c r="E1012">
        <v>81</v>
      </c>
    </row>
    <row r="1013" spans="1:5" x14ac:dyDescent="0.35">
      <c r="A1013" s="13">
        <v>43101</v>
      </c>
      <c r="B1013">
        <f>YEAR(Country_Masterlist__4[[#This Row],[Year1]])</f>
        <v>2018</v>
      </c>
      <c r="C1013" t="s">
        <v>34</v>
      </c>
      <c r="D1013" t="s">
        <v>120</v>
      </c>
      <c r="E1013">
        <v>95</v>
      </c>
    </row>
    <row r="1014" spans="1:5" x14ac:dyDescent="0.35">
      <c r="A1014" s="13">
        <v>43101</v>
      </c>
      <c r="B1014">
        <f>YEAR(Country_Masterlist__4[[#This Row],[Year1]])</f>
        <v>2018</v>
      </c>
      <c r="C1014" t="s">
        <v>34</v>
      </c>
      <c r="D1014" t="s">
        <v>121</v>
      </c>
      <c r="E1014">
        <v>198</v>
      </c>
    </row>
    <row r="1015" spans="1:5" x14ac:dyDescent="0.35">
      <c r="A1015" s="13">
        <v>43101</v>
      </c>
      <c r="B1015">
        <f>YEAR(Country_Masterlist__4[[#This Row],[Year1]])</f>
        <v>2018</v>
      </c>
      <c r="C1015" t="s">
        <v>34</v>
      </c>
      <c r="D1015" t="s">
        <v>122</v>
      </c>
      <c r="E1015">
        <v>191</v>
      </c>
    </row>
    <row r="1016" spans="1:5" x14ac:dyDescent="0.35">
      <c r="A1016" s="13">
        <v>43101</v>
      </c>
      <c r="B1016">
        <f>YEAR(Country_Masterlist__4[[#This Row],[Year1]])</f>
        <v>2018</v>
      </c>
      <c r="C1016" t="s">
        <v>35</v>
      </c>
      <c r="D1016" t="s">
        <v>123</v>
      </c>
      <c r="E1016">
        <v>58</v>
      </c>
    </row>
    <row r="1017" spans="1:5" x14ac:dyDescent="0.35">
      <c r="A1017" s="13">
        <v>43101</v>
      </c>
      <c r="B1017">
        <f>YEAR(Country_Masterlist__4[[#This Row],[Year1]])</f>
        <v>2018</v>
      </c>
      <c r="C1017" t="s">
        <v>34</v>
      </c>
      <c r="D1017" t="s">
        <v>124</v>
      </c>
      <c r="E1017">
        <v>247</v>
      </c>
    </row>
    <row r="1018" spans="1:5" x14ac:dyDescent="0.35">
      <c r="A1018" s="13">
        <v>43101</v>
      </c>
      <c r="B1018">
        <f>YEAR(Country_Masterlist__4[[#This Row],[Year1]])</f>
        <v>2018</v>
      </c>
      <c r="C1018" t="s">
        <v>33</v>
      </c>
      <c r="D1018" t="s">
        <v>125</v>
      </c>
      <c r="E1018">
        <v>264</v>
      </c>
    </row>
    <row r="1019" spans="1:5" x14ac:dyDescent="0.35">
      <c r="A1019" s="13">
        <v>43101</v>
      </c>
      <c r="B1019">
        <f>YEAR(Country_Masterlist__4[[#This Row],[Year1]])</f>
        <v>2018</v>
      </c>
      <c r="C1019" t="s">
        <v>33</v>
      </c>
      <c r="D1019" t="s">
        <v>126</v>
      </c>
      <c r="E1019">
        <v>62</v>
      </c>
    </row>
    <row r="1020" spans="1:5" x14ac:dyDescent="0.35">
      <c r="A1020" s="13">
        <v>43101</v>
      </c>
      <c r="B1020">
        <f>YEAR(Country_Masterlist__4[[#This Row],[Year1]])</f>
        <v>2018</v>
      </c>
      <c r="C1020" t="s">
        <v>35</v>
      </c>
      <c r="D1020" t="s">
        <v>127</v>
      </c>
      <c r="E1020">
        <v>147</v>
      </c>
    </row>
    <row r="1021" spans="1:5" x14ac:dyDescent="0.35">
      <c r="A1021" s="13">
        <v>43101</v>
      </c>
      <c r="B1021">
        <f>YEAR(Country_Masterlist__4[[#This Row],[Year1]])</f>
        <v>2018</v>
      </c>
      <c r="C1021" t="s">
        <v>35</v>
      </c>
      <c r="D1021" t="s">
        <v>128</v>
      </c>
    </row>
    <row r="1022" spans="1:5" x14ac:dyDescent="0.35">
      <c r="A1022" s="13">
        <v>43101</v>
      </c>
      <c r="B1022">
        <f>YEAR(Country_Masterlist__4[[#This Row],[Year1]])</f>
        <v>2018</v>
      </c>
      <c r="C1022" t="s">
        <v>33</v>
      </c>
      <c r="D1022" t="s">
        <v>129</v>
      </c>
      <c r="E1022">
        <v>17</v>
      </c>
    </row>
    <row r="1023" spans="1:5" x14ac:dyDescent="0.35">
      <c r="A1023" s="13">
        <v>43101</v>
      </c>
      <c r="B1023">
        <f>YEAR(Country_Masterlist__4[[#This Row],[Year1]])</f>
        <v>2018</v>
      </c>
      <c r="C1023" t="s">
        <v>33</v>
      </c>
      <c r="D1023" t="s">
        <v>130</v>
      </c>
      <c r="E1023">
        <v>23</v>
      </c>
    </row>
    <row r="1024" spans="1:5" x14ac:dyDescent="0.35">
      <c r="A1024" s="13">
        <v>43101</v>
      </c>
      <c r="B1024">
        <f>YEAR(Country_Masterlist__4[[#This Row],[Year1]])</f>
        <v>2018</v>
      </c>
      <c r="C1024" t="s">
        <v>34</v>
      </c>
      <c r="D1024" t="s">
        <v>131</v>
      </c>
      <c r="E1024">
        <v>69</v>
      </c>
    </row>
    <row r="1025" spans="1:5" x14ac:dyDescent="0.35">
      <c r="A1025" s="13">
        <v>43101</v>
      </c>
      <c r="B1025">
        <f>YEAR(Country_Masterlist__4[[#This Row],[Year1]])</f>
        <v>2018</v>
      </c>
      <c r="C1025" t="s">
        <v>33</v>
      </c>
      <c r="D1025" t="s">
        <v>132</v>
      </c>
      <c r="E1025">
        <v>120</v>
      </c>
    </row>
    <row r="1026" spans="1:5" x14ac:dyDescent="0.35">
      <c r="A1026" s="13">
        <v>43101</v>
      </c>
      <c r="B1026">
        <f>YEAR(Country_Masterlist__4[[#This Row],[Year1]])</f>
        <v>2018</v>
      </c>
      <c r="C1026" t="s">
        <v>35</v>
      </c>
      <c r="D1026" t="s">
        <v>133</v>
      </c>
      <c r="E1026">
        <v>3</v>
      </c>
    </row>
    <row r="1027" spans="1:5" x14ac:dyDescent="0.35">
      <c r="A1027" s="13">
        <v>43101</v>
      </c>
      <c r="B1027">
        <f>YEAR(Country_Masterlist__4[[#This Row],[Year1]])</f>
        <v>2018</v>
      </c>
      <c r="C1027" t="s">
        <v>37</v>
      </c>
      <c r="D1027" t="s">
        <v>134</v>
      </c>
      <c r="E1027">
        <v>58</v>
      </c>
    </row>
    <row r="1028" spans="1:5" x14ac:dyDescent="0.35">
      <c r="A1028" s="13">
        <v>43101</v>
      </c>
      <c r="B1028">
        <f>YEAR(Country_Masterlist__4[[#This Row],[Year1]])</f>
        <v>2018</v>
      </c>
      <c r="C1028" t="s">
        <v>33</v>
      </c>
      <c r="D1028" t="s">
        <v>135</v>
      </c>
      <c r="E1028">
        <v>115</v>
      </c>
    </row>
    <row r="1029" spans="1:5" x14ac:dyDescent="0.35">
      <c r="A1029" s="13">
        <v>43101</v>
      </c>
      <c r="B1029">
        <f>YEAR(Country_Masterlist__4[[#This Row],[Year1]])</f>
        <v>2018</v>
      </c>
      <c r="C1029" t="s">
        <v>33</v>
      </c>
      <c r="D1029" t="s">
        <v>136</v>
      </c>
      <c r="E1029">
        <v>19</v>
      </c>
    </row>
    <row r="1030" spans="1:5" x14ac:dyDescent="0.35">
      <c r="A1030" s="13">
        <v>43101</v>
      </c>
      <c r="B1030">
        <f>YEAR(Country_Masterlist__4[[#This Row],[Year1]])</f>
        <v>2018</v>
      </c>
      <c r="C1030" t="s">
        <v>36</v>
      </c>
      <c r="D1030" t="s">
        <v>14</v>
      </c>
      <c r="E1030">
        <v>307535</v>
      </c>
    </row>
    <row r="1031" spans="1:5" x14ac:dyDescent="0.35">
      <c r="A1031" s="13">
        <v>43101</v>
      </c>
      <c r="B1031">
        <f>YEAR(Country_Masterlist__4[[#This Row],[Year1]])</f>
        <v>2018</v>
      </c>
      <c r="C1031" t="s">
        <v>37</v>
      </c>
      <c r="D1031" t="s">
        <v>137</v>
      </c>
      <c r="E1031">
        <v>129</v>
      </c>
    </row>
    <row r="1032" spans="1:5" x14ac:dyDescent="0.35">
      <c r="A1032" s="13">
        <v>43101</v>
      </c>
      <c r="B1032">
        <f>YEAR(Country_Masterlist__4[[#This Row],[Year1]])</f>
        <v>2018</v>
      </c>
      <c r="C1032" t="s">
        <v>35</v>
      </c>
      <c r="D1032" t="s">
        <v>138</v>
      </c>
      <c r="E1032">
        <v>101</v>
      </c>
    </row>
    <row r="1033" spans="1:5" x14ac:dyDescent="0.35">
      <c r="A1033" s="13">
        <v>43101</v>
      </c>
      <c r="B1033">
        <f>YEAR(Country_Masterlist__4[[#This Row],[Year1]])</f>
        <v>2018</v>
      </c>
      <c r="C1033" t="s">
        <v>34</v>
      </c>
      <c r="D1033" t="s">
        <v>139</v>
      </c>
      <c r="E1033">
        <v>115</v>
      </c>
    </row>
    <row r="1034" spans="1:5" x14ac:dyDescent="0.35">
      <c r="A1034" s="13">
        <v>43101</v>
      </c>
      <c r="B1034">
        <f>YEAR(Country_Masterlist__4[[#This Row],[Year1]])</f>
        <v>2018</v>
      </c>
      <c r="C1034" t="s">
        <v>35</v>
      </c>
      <c r="D1034" t="s">
        <v>140</v>
      </c>
      <c r="E1034">
        <v>51</v>
      </c>
    </row>
    <row r="1035" spans="1:5" x14ac:dyDescent="0.35">
      <c r="A1035" s="13">
        <v>43101</v>
      </c>
      <c r="B1035">
        <f>YEAR(Country_Masterlist__4[[#This Row],[Year1]])</f>
        <v>2018</v>
      </c>
      <c r="C1035" t="s">
        <v>33</v>
      </c>
      <c r="D1035" t="s">
        <v>141</v>
      </c>
      <c r="E1035">
        <v>262</v>
      </c>
    </row>
    <row r="1036" spans="1:5" x14ac:dyDescent="0.35">
      <c r="A1036" s="13">
        <v>43101</v>
      </c>
      <c r="B1036">
        <f>YEAR(Country_Masterlist__4[[#This Row],[Year1]])</f>
        <v>2018</v>
      </c>
      <c r="C1036" t="s">
        <v>33</v>
      </c>
      <c r="D1036" t="s">
        <v>142</v>
      </c>
      <c r="E1036">
        <v>3</v>
      </c>
    </row>
    <row r="1037" spans="1:5" x14ac:dyDescent="0.35">
      <c r="A1037" s="13">
        <v>43101</v>
      </c>
      <c r="B1037">
        <f>YEAR(Country_Masterlist__4[[#This Row],[Year1]])</f>
        <v>2018</v>
      </c>
      <c r="C1037" t="s">
        <v>33</v>
      </c>
      <c r="D1037" t="s">
        <v>143</v>
      </c>
      <c r="E1037">
        <v>11</v>
      </c>
    </row>
    <row r="1038" spans="1:5" x14ac:dyDescent="0.35">
      <c r="A1038" s="13">
        <v>43101</v>
      </c>
      <c r="B1038">
        <f>YEAR(Country_Masterlist__4[[#This Row],[Year1]])</f>
        <v>2018</v>
      </c>
      <c r="C1038" t="s">
        <v>34</v>
      </c>
      <c r="D1038" t="s">
        <v>144</v>
      </c>
      <c r="E1038">
        <v>844</v>
      </c>
    </row>
    <row r="1039" spans="1:5" x14ac:dyDescent="0.35">
      <c r="A1039" s="13">
        <v>43101</v>
      </c>
      <c r="B1039">
        <f>YEAR(Country_Masterlist__4[[#This Row],[Year1]])</f>
        <v>2018</v>
      </c>
      <c r="C1039" t="s">
        <v>35</v>
      </c>
      <c r="D1039" t="s">
        <v>145</v>
      </c>
      <c r="E1039">
        <v>341</v>
      </c>
    </row>
    <row r="1040" spans="1:5" x14ac:dyDescent="0.35">
      <c r="A1040" s="13">
        <v>43101</v>
      </c>
      <c r="B1040">
        <f>YEAR(Country_Masterlist__4[[#This Row],[Year1]])</f>
        <v>2018</v>
      </c>
      <c r="C1040" t="s">
        <v>37</v>
      </c>
      <c r="D1040" t="s">
        <v>146</v>
      </c>
      <c r="E1040">
        <v>186</v>
      </c>
    </row>
    <row r="1041" spans="1:5" x14ac:dyDescent="0.35">
      <c r="A1041" s="13">
        <v>43101</v>
      </c>
      <c r="B1041">
        <f>YEAR(Country_Masterlist__4[[#This Row],[Year1]])</f>
        <v>2018</v>
      </c>
      <c r="C1041" t="s">
        <v>36</v>
      </c>
      <c r="D1041" t="s">
        <v>147</v>
      </c>
      <c r="E1041">
        <v>4547</v>
      </c>
    </row>
    <row r="1042" spans="1:5" x14ac:dyDescent="0.35">
      <c r="A1042" s="13">
        <v>43101</v>
      </c>
      <c r="B1042">
        <f>YEAR(Country_Masterlist__4[[#This Row],[Year1]])</f>
        <v>2018</v>
      </c>
      <c r="C1042" t="s">
        <v>33</v>
      </c>
      <c r="D1042" t="s">
        <v>148</v>
      </c>
      <c r="E1042">
        <v>35</v>
      </c>
    </row>
    <row r="1043" spans="1:5" x14ac:dyDescent="0.35">
      <c r="A1043" s="13">
        <v>43101</v>
      </c>
      <c r="B1043">
        <f>YEAR(Country_Masterlist__4[[#This Row],[Year1]])</f>
        <v>2018</v>
      </c>
      <c r="C1043" t="s">
        <v>33</v>
      </c>
      <c r="D1043" t="s">
        <v>149</v>
      </c>
      <c r="E1043">
        <v>2766</v>
      </c>
    </row>
    <row r="1044" spans="1:5" x14ac:dyDescent="0.35">
      <c r="A1044" s="13">
        <v>43101</v>
      </c>
      <c r="B1044">
        <f>YEAR(Country_Masterlist__4[[#This Row],[Year1]])</f>
        <v>2018</v>
      </c>
      <c r="C1044" t="s">
        <v>35</v>
      </c>
      <c r="D1044" t="s">
        <v>322</v>
      </c>
      <c r="E1044">
        <v>56</v>
      </c>
    </row>
    <row r="1045" spans="1:5" x14ac:dyDescent="0.35">
      <c r="A1045" s="13">
        <v>43101</v>
      </c>
      <c r="B1045">
        <f>YEAR(Country_Masterlist__4[[#This Row],[Year1]])</f>
        <v>2018</v>
      </c>
      <c r="C1045" t="s">
        <v>35</v>
      </c>
      <c r="D1045" t="s">
        <v>150</v>
      </c>
      <c r="E1045">
        <v>90</v>
      </c>
    </row>
    <row r="1046" spans="1:5" x14ac:dyDescent="0.35">
      <c r="A1046" s="13">
        <v>43101</v>
      </c>
      <c r="B1046">
        <f>YEAR(Country_Masterlist__4[[#This Row],[Year1]])</f>
        <v>2018</v>
      </c>
      <c r="C1046" t="s">
        <v>34</v>
      </c>
      <c r="D1046" t="s">
        <v>151</v>
      </c>
      <c r="E1046">
        <v>5</v>
      </c>
    </row>
    <row r="1047" spans="1:5" x14ac:dyDescent="0.35">
      <c r="A1047" s="13">
        <v>43101</v>
      </c>
      <c r="B1047">
        <f>YEAR(Country_Masterlist__4[[#This Row],[Year1]])</f>
        <v>2018</v>
      </c>
      <c r="C1047" t="s">
        <v>34</v>
      </c>
      <c r="D1047" t="s">
        <v>152</v>
      </c>
      <c r="E1047">
        <v>1012</v>
      </c>
    </row>
    <row r="1048" spans="1:5" x14ac:dyDescent="0.35">
      <c r="A1048" s="13">
        <v>43101</v>
      </c>
      <c r="B1048">
        <f>YEAR(Country_Masterlist__4[[#This Row],[Year1]])</f>
        <v>2018</v>
      </c>
      <c r="C1048" t="s">
        <v>37</v>
      </c>
      <c r="D1048" t="s">
        <v>153</v>
      </c>
      <c r="E1048">
        <v>8</v>
      </c>
    </row>
    <row r="1049" spans="1:5" x14ac:dyDescent="0.35">
      <c r="A1049" s="13">
        <v>43101</v>
      </c>
      <c r="B1049">
        <f>YEAR(Country_Masterlist__4[[#This Row],[Year1]])</f>
        <v>2018</v>
      </c>
      <c r="C1049" t="s">
        <v>36</v>
      </c>
      <c r="D1049" t="s">
        <v>154</v>
      </c>
      <c r="E1049">
        <v>174</v>
      </c>
    </row>
    <row r="1050" spans="1:5" x14ac:dyDescent="0.35">
      <c r="A1050" s="13">
        <v>43101</v>
      </c>
      <c r="B1050">
        <f>YEAR(Country_Masterlist__4[[#This Row],[Year1]])</f>
        <v>2018</v>
      </c>
      <c r="C1050" t="s">
        <v>38</v>
      </c>
      <c r="D1050" t="s">
        <v>155</v>
      </c>
      <c r="E1050">
        <v>55</v>
      </c>
    </row>
    <row r="1051" spans="1:5" x14ac:dyDescent="0.35">
      <c r="A1051" s="13">
        <v>43101</v>
      </c>
      <c r="B1051">
        <f>YEAR(Country_Masterlist__4[[#This Row],[Year1]])</f>
        <v>2018</v>
      </c>
      <c r="C1051" t="s">
        <v>38</v>
      </c>
      <c r="D1051" t="s">
        <v>156</v>
      </c>
      <c r="E1051">
        <v>1631</v>
      </c>
    </row>
    <row r="1052" spans="1:5" x14ac:dyDescent="0.35">
      <c r="A1052" s="13">
        <v>43101</v>
      </c>
      <c r="B1052">
        <f>YEAR(Country_Masterlist__4[[#This Row],[Year1]])</f>
        <v>2018</v>
      </c>
      <c r="C1052" t="s">
        <v>34</v>
      </c>
      <c r="D1052" t="s">
        <v>18</v>
      </c>
      <c r="E1052">
        <v>1327</v>
      </c>
    </row>
    <row r="1053" spans="1:5" x14ac:dyDescent="0.35">
      <c r="A1053" s="13">
        <v>43101</v>
      </c>
      <c r="B1053">
        <f>YEAR(Country_Masterlist__4[[#This Row],[Year1]])</f>
        <v>2018</v>
      </c>
      <c r="C1053" t="s">
        <v>35</v>
      </c>
      <c r="D1053" t="s">
        <v>157</v>
      </c>
      <c r="E1053">
        <v>468</v>
      </c>
    </row>
    <row r="1054" spans="1:5" x14ac:dyDescent="0.35">
      <c r="A1054" s="13">
        <v>43101</v>
      </c>
      <c r="B1054">
        <f>YEAR(Country_Masterlist__4[[#This Row],[Year1]])</f>
        <v>2018</v>
      </c>
      <c r="C1054" t="s">
        <v>35</v>
      </c>
      <c r="D1054" t="s">
        <v>158</v>
      </c>
      <c r="E1054">
        <v>438</v>
      </c>
    </row>
    <row r="1055" spans="1:5" x14ac:dyDescent="0.35">
      <c r="A1055" s="13">
        <v>43101</v>
      </c>
      <c r="B1055">
        <f>YEAR(Country_Masterlist__4[[#This Row],[Year1]])</f>
        <v>2018</v>
      </c>
      <c r="C1055" t="s">
        <v>34</v>
      </c>
      <c r="D1055" t="s">
        <v>159</v>
      </c>
      <c r="E1055">
        <v>17</v>
      </c>
    </row>
    <row r="1056" spans="1:5" x14ac:dyDescent="0.35">
      <c r="A1056" s="13">
        <v>43101</v>
      </c>
      <c r="B1056">
        <f>YEAR(Country_Masterlist__4[[#This Row],[Year1]])</f>
        <v>2018</v>
      </c>
      <c r="C1056" t="s">
        <v>35</v>
      </c>
      <c r="D1056" t="s">
        <v>160</v>
      </c>
      <c r="E1056">
        <v>1736</v>
      </c>
    </row>
    <row r="1057" spans="1:5" x14ac:dyDescent="0.35">
      <c r="A1057" s="13">
        <v>43101</v>
      </c>
      <c r="B1057">
        <f>YEAR(Country_Masterlist__4[[#This Row],[Year1]])</f>
        <v>2018</v>
      </c>
      <c r="C1057" t="s">
        <v>35</v>
      </c>
      <c r="D1057" t="s">
        <v>161</v>
      </c>
      <c r="E1057">
        <v>1137</v>
      </c>
    </row>
    <row r="1058" spans="1:5" x14ac:dyDescent="0.35">
      <c r="A1058" s="13">
        <v>43101</v>
      </c>
      <c r="B1058">
        <f>YEAR(Country_Masterlist__4[[#This Row],[Year1]])</f>
        <v>2018</v>
      </c>
      <c r="C1058" t="s">
        <v>33</v>
      </c>
      <c r="D1058" t="s">
        <v>162</v>
      </c>
      <c r="E1058">
        <v>63</v>
      </c>
    </row>
    <row r="1059" spans="1:5" x14ac:dyDescent="0.35">
      <c r="A1059" s="13">
        <v>43101</v>
      </c>
      <c r="B1059">
        <f>YEAR(Country_Masterlist__4[[#This Row],[Year1]])</f>
        <v>2018</v>
      </c>
      <c r="C1059" t="s">
        <v>36</v>
      </c>
      <c r="D1059" t="s">
        <v>163</v>
      </c>
      <c r="E1059">
        <v>34</v>
      </c>
    </row>
    <row r="1060" spans="1:5" x14ac:dyDescent="0.35">
      <c r="A1060" s="13">
        <v>43101</v>
      </c>
      <c r="B1060">
        <f>YEAR(Country_Masterlist__4[[#This Row],[Year1]])</f>
        <v>2018</v>
      </c>
      <c r="C1060" t="s">
        <v>36</v>
      </c>
      <c r="D1060" t="s">
        <v>164</v>
      </c>
      <c r="E1060">
        <v>69</v>
      </c>
    </row>
    <row r="1061" spans="1:5" x14ac:dyDescent="0.35">
      <c r="A1061" s="13">
        <v>43101</v>
      </c>
      <c r="B1061">
        <f>YEAR(Country_Masterlist__4[[#This Row],[Year1]])</f>
        <v>2018</v>
      </c>
      <c r="C1061" t="s">
        <v>36</v>
      </c>
      <c r="D1061" t="s">
        <v>165</v>
      </c>
      <c r="E1061">
        <v>52</v>
      </c>
    </row>
    <row r="1062" spans="1:5" x14ac:dyDescent="0.35">
      <c r="A1062" s="13">
        <v>43101</v>
      </c>
      <c r="B1062">
        <f>YEAR(Country_Masterlist__4[[#This Row],[Year1]])</f>
        <v>2018</v>
      </c>
      <c r="C1062" t="s">
        <v>37</v>
      </c>
      <c r="D1062" t="s">
        <v>166</v>
      </c>
      <c r="E1062">
        <v>49</v>
      </c>
    </row>
    <row r="1063" spans="1:5" x14ac:dyDescent="0.35">
      <c r="A1063" s="13">
        <v>43101</v>
      </c>
      <c r="B1063">
        <f>YEAR(Country_Masterlist__4[[#This Row],[Year1]])</f>
        <v>2018</v>
      </c>
      <c r="C1063" t="s">
        <v>34</v>
      </c>
      <c r="D1063" t="s">
        <v>167</v>
      </c>
      <c r="E1063">
        <v>499</v>
      </c>
    </row>
    <row r="1064" spans="1:5" x14ac:dyDescent="0.35">
      <c r="A1064" s="13">
        <v>43101</v>
      </c>
      <c r="B1064">
        <f>YEAR(Country_Masterlist__4[[#This Row],[Year1]])</f>
        <v>2018</v>
      </c>
      <c r="C1064" t="s">
        <v>33</v>
      </c>
      <c r="D1064" t="s">
        <v>168</v>
      </c>
      <c r="E1064">
        <v>203</v>
      </c>
    </row>
    <row r="1065" spans="1:5" x14ac:dyDescent="0.35">
      <c r="A1065" s="13">
        <v>43101</v>
      </c>
      <c r="B1065">
        <f>YEAR(Country_Masterlist__4[[#This Row],[Year1]])</f>
        <v>2018</v>
      </c>
      <c r="C1065" t="s">
        <v>35</v>
      </c>
      <c r="D1065" t="s">
        <v>169</v>
      </c>
      <c r="E1065">
        <v>94</v>
      </c>
    </row>
    <row r="1066" spans="1:5" x14ac:dyDescent="0.35">
      <c r="A1066" s="13">
        <v>43101</v>
      </c>
      <c r="B1066">
        <f>YEAR(Country_Masterlist__4[[#This Row],[Year1]])</f>
        <v>2018</v>
      </c>
      <c r="C1066" t="s">
        <v>35</v>
      </c>
      <c r="D1066" t="s">
        <v>215</v>
      </c>
      <c r="E1066">
        <v>16</v>
      </c>
    </row>
    <row r="1067" spans="1:5" x14ac:dyDescent="0.35">
      <c r="A1067" s="13">
        <v>43101</v>
      </c>
      <c r="B1067">
        <f>YEAR(Country_Masterlist__4[[#This Row],[Year1]])</f>
        <v>2018</v>
      </c>
      <c r="C1067" t="s">
        <v>33</v>
      </c>
      <c r="D1067" t="s">
        <v>170</v>
      </c>
      <c r="E1067">
        <v>133</v>
      </c>
    </row>
    <row r="1068" spans="1:5" x14ac:dyDescent="0.35">
      <c r="A1068" s="13">
        <v>43101</v>
      </c>
      <c r="B1068">
        <f>YEAR(Country_Masterlist__4[[#This Row],[Year1]])</f>
        <v>2018</v>
      </c>
      <c r="C1068" t="s">
        <v>34</v>
      </c>
      <c r="D1068" t="s">
        <v>171</v>
      </c>
      <c r="E1068">
        <v>50</v>
      </c>
    </row>
    <row r="1069" spans="1:5" x14ac:dyDescent="0.35">
      <c r="A1069" s="13">
        <v>43101</v>
      </c>
      <c r="B1069">
        <f>YEAR(Country_Masterlist__4[[#This Row],[Year1]])</f>
        <v>2018</v>
      </c>
      <c r="C1069" t="s">
        <v>35</v>
      </c>
      <c r="D1069" t="s">
        <v>172</v>
      </c>
      <c r="E1069">
        <v>117</v>
      </c>
    </row>
    <row r="1070" spans="1:5" x14ac:dyDescent="0.35">
      <c r="A1070" s="13">
        <v>43101</v>
      </c>
      <c r="B1070">
        <f>YEAR(Country_Masterlist__4[[#This Row],[Year1]])</f>
        <v>2018</v>
      </c>
      <c r="C1070" t="s">
        <v>35</v>
      </c>
      <c r="D1070" t="s">
        <v>173</v>
      </c>
      <c r="E1070">
        <v>35</v>
      </c>
    </row>
    <row r="1071" spans="1:5" x14ac:dyDescent="0.35">
      <c r="A1071" s="13">
        <v>43101</v>
      </c>
      <c r="B1071">
        <f>YEAR(Country_Masterlist__4[[#This Row],[Year1]])</f>
        <v>2018</v>
      </c>
      <c r="C1071" t="s">
        <v>33</v>
      </c>
      <c r="D1071" t="s">
        <v>174</v>
      </c>
      <c r="E1071">
        <v>328</v>
      </c>
    </row>
    <row r="1072" spans="1:5" x14ac:dyDescent="0.35">
      <c r="A1072" s="13">
        <v>43101</v>
      </c>
      <c r="B1072">
        <f>YEAR(Country_Masterlist__4[[#This Row],[Year1]])</f>
        <v>2018</v>
      </c>
      <c r="C1072" t="s">
        <v>33</v>
      </c>
      <c r="D1072" t="s">
        <v>175</v>
      </c>
      <c r="E1072">
        <v>190</v>
      </c>
    </row>
    <row r="1073" spans="1:5" x14ac:dyDescent="0.35">
      <c r="A1073" s="13">
        <v>43101</v>
      </c>
      <c r="B1073">
        <f>YEAR(Country_Masterlist__4[[#This Row],[Year1]])</f>
        <v>2018</v>
      </c>
      <c r="C1073" t="s">
        <v>33</v>
      </c>
      <c r="D1073" t="s">
        <v>176</v>
      </c>
      <c r="E1073">
        <v>83</v>
      </c>
    </row>
    <row r="1074" spans="1:5" x14ac:dyDescent="0.35">
      <c r="A1074" s="13">
        <v>43101</v>
      </c>
      <c r="B1074">
        <f>YEAR(Country_Masterlist__4[[#This Row],[Year1]])</f>
        <v>2018</v>
      </c>
      <c r="C1074" t="s">
        <v>35</v>
      </c>
      <c r="D1074" t="s">
        <v>216</v>
      </c>
      <c r="E1074">
        <v>24</v>
      </c>
    </row>
    <row r="1075" spans="1:5" x14ac:dyDescent="0.35">
      <c r="A1075" s="13">
        <v>43101</v>
      </c>
      <c r="B1075">
        <f>YEAR(Country_Masterlist__4[[#This Row],[Year1]])</f>
        <v>2018</v>
      </c>
      <c r="C1075" t="s">
        <v>35</v>
      </c>
      <c r="D1075" t="s">
        <v>177</v>
      </c>
      <c r="E1075">
        <v>1624</v>
      </c>
    </row>
    <row r="1076" spans="1:5" x14ac:dyDescent="0.35">
      <c r="A1076" s="13">
        <v>43101</v>
      </c>
      <c r="B1076">
        <f>YEAR(Country_Masterlist__4[[#This Row],[Year1]])</f>
        <v>2018</v>
      </c>
      <c r="C1076" t="s">
        <v>34</v>
      </c>
      <c r="D1076" t="s">
        <v>178</v>
      </c>
      <c r="E1076">
        <v>331</v>
      </c>
    </row>
    <row r="1077" spans="1:5" x14ac:dyDescent="0.35">
      <c r="A1077" s="13">
        <v>43101</v>
      </c>
      <c r="B1077">
        <f>YEAR(Country_Masterlist__4[[#This Row],[Year1]])</f>
        <v>2018</v>
      </c>
      <c r="C1077" t="s">
        <v>33</v>
      </c>
      <c r="D1077" t="s">
        <v>179</v>
      </c>
      <c r="E1077">
        <v>197</v>
      </c>
    </row>
    <row r="1078" spans="1:5" x14ac:dyDescent="0.35">
      <c r="A1078" s="13">
        <v>43101</v>
      </c>
      <c r="B1078">
        <f>YEAR(Country_Masterlist__4[[#This Row],[Year1]])</f>
        <v>2018</v>
      </c>
      <c r="C1078" t="s">
        <v>38</v>
      </c>
      <c r="D1078" t="s">
        <v>180</v>
      </c>
      <c r="E1078">
        <v>34</v>
      </c>
    </row>
    <row r="1079" spans="1:5" x14ac:dyDescent="0.35">
      <c r="A1079" s="13">
        <v>43101</v>
      </c>
      <c r="B1079">
        <f>YEAR(Country_Masterlist__4[[#This Row],[Year1]])</f>
        <v>2018</v>
      </c>
      <c r="C1079" t="s">
        <v>33</v>
      </c>
      <c r="D1079" t="s">
        <v>181</v>
      </c>
      <c r="E1079">
        <v>4</v>
      </c>
    </row>
    <row r="1080" spans="1:5" x14ac:dyDescent="0.35">
      <c r="A1080" s="13">
        <v>43101</v>
      </c>
      <c r="B1080">
        <f>YEAR(Country_Masterlist__4[[#This Row],[Year1]])</f>
        <v>2018</v>
      </c>
      <c r="C1080" t="s">
        <v>35</v>
      </c>
      <c r="D1080" t="s">
        <v>182</v>
      </c>
      <c r="E1080">
        <v>192</v>
      </c>
    </row>
    <row r="1081" spans="1:5" x14ac:dyDescent="0.35">
      <c r="A1081" s="13">
        <v>43101</v>
      </c>
      <c r="B1081">
        <f>YEAR(Country_Masterlist__4[[#This Row],[Year1]])</f>
        <v>2018</v>
      </c>
      <c r="C1081" t="s">
        <v>35</v>
      </c>
      <c r="D1081" t="s">
        <v>183</v>
      </c>
      <c r="E1081">
        <v>107</v>
      </c>
    </row>
    <row r="1082" spans="1:5" x14ac:dyDescent="0.35">
      <c r="A1082" s="13">
        <v>43101</v>
      </c>
      <c r="B1082">
        <f>YEAR(Country_Masterlist__4[[#This Row],[Year1]])</f>
        <v>2018</v>
      </c>
      <c r="C1082" t="s">
        <v>34</v>
      </c>
      <c r="D1082" t="s">
        <v>184</v>
      </c>
      <c r="E1082">
        <v>283</v>
      </c>
    </row>
    <row r="1083" spans="1:5" x14ac:dyDescent="0.35">
      <c r="A1083" s="13">
        <v>43101</v>
      </c>
      <c r="B1083">
        <f>YEAR(Country_Masterlist__4[[#This Row],[Year1]])</f>
        <v>2018</v>
      </c>
      <c r="C1083" t="s">
        <v>34</v>
      </c>
      <c r="D1083" t="s">
        <v>185</v>
      </c>
      <c r="E1083">
        <v>460</v>
      </c>
    </row>
    <row r="1084" spans="1:5" x14ac:dyDescent="0.35">
      <c r="A1084" s="13">
        <v>43101</v>
      </c>
      <c r="B1084">
        <f>YEAR(Country_Masterlist__4[[#This Row],[Year1]])</f>
        <v>2018</v>
      </c>
      <c r="C1084" t="s">
        <v>34</v>
      </c>
      <c r="D1084" t="s">
        <v>186</v>
      </c>
      <c r="E1084">
        <v>42</v>
      </c>
    </row>
    <row r="1085" spans="1:5" x14ac:dyDescent="0.35">
      <c r="A1085" s="13">
        <v>43101</v>
      </c>
      <c r="B1085">
        <f>YEAR(Country_Masterlist__4[[#This Row],[Year1]])</f>
        <v>2018</v>
      </c>
      <c r="C1085" t="s">
        <v>33</v>
      </c>
      <c r="D1085" t="s">
        <v>187</v>
      </c>
      <c r="E1085">
        <v>59</v>
      </c>
    </row>
    <row r="1086" spans="1:5" x14ac:dyDescent="0.35">
      <c r="A1086" s="13">
        <v>43101</v>
      </c>
      <c r="B1086">
        <f>YEAR(Country_Masterlist__4[[#This Row],[Year1]])</f>
        <v>2018</v>
      </c>
      <c r="C1086" t="s">
        <v>34</v>
      </c>
      <c r="D1086" t="s">
        <v>188</v>
      </c>
      <c r="E1086">
        <v>318</v>
      </c>
    </row>
    <row r="1087" spans="1:5" x14ac:dyDescent="0.35">
      <c r="A1087" s="13">
        <v>43101</v>
      </c>
      <c r="B1087">
        <f>YEAR(Country_Masterlist__4[[#This Row],[Year1]])</f>
        <v>2018</v>
      </c>
      <c r="C1087" t="s">
        <v>33</v>
      </c>
      <c r="D1087" t="s">
        <v>189</v>
      </c>
      <c r="E1087">
        <v>60</v>
      </c>
    </row>
    <row r="1088" spans="1:5" x14ac:dyDescent="0.35">
      <c r="A1088" s="13">
        <v>43101</v>
      </c>
      <c r="B1088">
        <f>YEAR(Country_Masterlist__4[[#This Row],[Year1]])</f>
        <v>2018</v>
      </c>
      <c r="C1088" t="s">
        <v>37</v>
      </c>
      <c r="D1088" t="s">
        <v>190</v>
      </c>
      <c r="E1088">
        <v>44</v>
      </c>
    </row>
    <row r="1089" spans="1:5" x14ac:dyDescent="0.35">
      <c r="A1089" s="13">
        <v>43101</v>
      </c>
      <c r="B1089">
        <f>YEAR(Country_Masterlist__4[[#This Row],[Year1]])</f>
        <v>2018</v>
      </c>
      <c r="C1089" t="s">
        <v>36</v>
      </c>
      <c r="D1089" t="s">
        <v>191</v>
      </c>
      <c r="E1089">
        <v>281</v>
      </c>
    </row>
    <row r="1090" spans="1:5" x14ac:dyDescent="0.35">
      <c r="A1090" s="13">
        <v>43101</v>
      </c>
      <c r="B1090">
        <f>YEAR(Country_Masterlist__4[[#This Row],[Year1]])</f>
        <v>2018</v>
      </c>
      <c r="C1090" t="s">
        <v>33</v>
      </c>
      <c r="D1090" t="s">
        <v>192</v>
      </c>
      <c r="E1090">
        <v>178</v>
      </c>
    </row>
    <row r="1091" spans="1:5" x14ac:dyDescent="0.35">
      <c r="A1091" s="13">
        <v>43101</v>
      </c>
      <c r="B1091">
        <f>YEAR(Country_Masterlist__4[[#This Row],[Year1]])</f>
        <v>2018</v>
      </c>
      <c r="C1091" t="s">
        <v>34</v>
      </c>
      <c r="D1091" t="s">
        <v>193</v>
      </c>
      <c r="E1091">
        <v>654</v>
      </c>
    </row>
    <row r="1092" spans="1:5" x14ac:dyDescent="0.35">
      <c r="A1092" s="13">
        <v>43101</v>
      </c>
      <c r="B1092">
        <f>YEAR(Country_Masterlist__4[[#This Row],[Year1]])</f>
        <v>2018</v>
      </c>
      <c r="C1092" t="s">
        <v>34</v>
      </c>
      <c r="D1092" t="s">
        <v>194</v>
      </c>
      <c r="E1092">
        <v>41</v>
      </c>
    </row>
    <row r="1093" spans="1:5" x14ac:dyDescent="0.35">
      <c r="A1093" s="13">
        <v>43101</v>
      </c>
      <c r="B1093">
        <f>YEAR(Country_Masterlist__4[[#This Row],[Year1]])</f>
        <v>2018</v>
      </c>
      <c r="C1093" t="s">
        <v>33</v>
      </c>
      <c r="D1093" t="s">
        <v>195</v>
      </c>
      <c r="E1093">
        <v>113</v>
      </c>
    </row>
    <row r="1094" spans="1:5" x14ac:dyDescent="0.35">
      <c r="A1094" s="13">
        <v>43101</v>
      </c>
      <c r="B1094">
        <f>YEAR(Country_Masterlist__4[[#This Row],[Year1]])</f>
        <v>2018</v>
      </c>
      <c r="C1094" t="s">
        <v>35</v>
      </c>
      <c r="D1094" t="s">
        <v>196</v>
      </c>
      <c r="E1094">
        <v>643</v>
      </c>
    </row>
    <row r="1095" spans="1:5" x14ac:dyDescent="0.35">
      <c r="A1095" s="13">
        <v>43101</v>
      </c>
      <c r="B1095">
        <f>YEAR(Country_Masterlist__4[[#This Row],[Year1]])</f>
        <v>2018</v>
      </c>
      <c r="C1095" t="s">
        <v>34</v>
      </c>
      <c r="D1095" t="s">
        <v>197</v>
      </c>
      <c r="E1095">
        <v>38</v>
      </c>
    </row>
    <row r="1096" spans="1:5" x14ac:dyDescent="0.35">
      <c r="A1096" s="13">
        <v>43101</v>
      </c>
      <c r="B1096">
        <f>YEAR(Country_Masterlist__4[[#This Row],[Year1]])</f>
        <v>2018</v>
      </c>
      <c r="C1096" t="s">
        <v>35</v>
      </c>
      <c r="D1096" t="s">
        <v>198</v>
      </c>
      <c r="E1096">
        <v>1783</v>
      </c>
    </row>
    <row r="1097" spans="1:5" x14ac:dyDescent="0.35">
      <c r="A1097" s="13">
        <v>43101</v>
      </c>
      <c r="B1097">
        <f>YEAR(Country_Masterlist__4[[#This Row],[Year1]])</f>
        <v>2018</v>
      </c>
      <c r="C1097" t="s">
        <v>39</v>
      </c>
      <c r="D1097" t="s">
        <v>39</v>
      </c>
      <c r="E1097">
        <v>2831</v>
      </c>
    </row>
    <row r="1098" spans="1:5" x14ac:dyDescent="0.35">
      <c r="A1098" s="13">
        <v>43101</v>
      </c>
      <c r="B1098">
        <f>YEAR(Country_Masterlist__4[[#This Row],[Year1]])</f>
        <v>2018</v>
      </c>
      <c r="C1098" t="s">
        <v>38</v>
      </c>
      <c r="D1098" t="s">
        <v>199</v>
      </c>
      <c r="E1098">
        <v>100</v>
      </c>
    </row>
    <row r="1099" spans="1:5" x14ac:dyDescent="0.35">
      <c r="A1099" s="13">
        <v>43101</v>
      </c>
      <c r="B1099">
        <f>YEAR(Country_Masterlist__4[[#This Row],[Year1]])</f>
        <v>2018</v>
      </c>
      <c r="C1099" t="s">
        <v>34</v>
      </c>
      <c r="D1099" t="s">
        <v>200</v>
      </c>
      <c r="E1099">
        <v>595</v>
      </c>
    </row>
    <row r="1100" spans="1:5" x14ac:dyDescent="0.35">
      <c r="A1100" s="13">
        <v>43101</v>
      </c>
      <c r="B1100">
        <f>YEAR(Country_Masterlist__4[[#This Row],[Year1]])</f>
        <v>2018</v>
      </c>
      <c r="C1100" t="s">
        <v>38</v>
      </c>
      <c r="D1100" t="s">
        <v>19</v>
      </c>
      <c r="E1100">
        <v>4210</v>
      </c>
    </row>
    <row r="1101" spans="1:5" x14ac:dyDescent="0.35">
      <c r="A1101" s="13">
        <v>43101</v>
      </c>
      <c r="B1101">
        <f>YEAR(Country_Masterlist__4[[#This Row],[Year1]])</f>
        <v>2018</v>
      </c>
      <c r="C1101" t="s">
        <v>34</v>
      </c>
      <c r="D1101" t="s">
        <v>201</v>
      </c>
      <c r="E1101">
        <v>993</v>
      </c>
    </row>
    <row r="1102" spans="1:5" x14ac:dyDescent="0.35">
      <c r="A1102" s="13">
        <v>43101</v>
      </c>
      <c r="B1102">
        <f>YEAR(Country_Masterlist__4[[#This Row],[Year1]])</f>
        <v>2018</v>
      </c>
      <c r="C1102" t="s">
        <v>34</v>
      </c>
      <c r="D1102" t="s">
        <v>202</v>
      </c>
      <c r="E1102">
        <v>155</v>
      </c>
    </row>
    <row r="1103" spans="1:5" x14ac:dyDescent="0.35">
      <c r="A1103" s="13">
        <v>43101</v>
      </c>
      <c r="B1103">
        <f>YEAR(Country_Masterlist__4[[#This Row],[Year1]])</f>
        <v>2018</v>
      </c>
      <c r="C1103" t="s">
        <v>33</v>
      </c>
      <c r="D1103" t="s">
        <v>203</v>
      </c>
      <c r="E1103">
        <v>51</v>
      </c>
    </row>
    <row r="1104" spans="1:5" x14ac:dyDescent="0.35">
      <c r="A1104" s="13">
        <v>43101</v>
      </c>
      <c r="B1104">
        <f>YEAR(Country_Masterlist__4[[#This Row],[Year1]])</f>
        <v>2018</v>
      </c>
      <c r="C1104" t="s">
        <v>33</v>
      </c>
      <c r="D1104" t="s">
        <v>204</v>
      </c>
      <c r="E1104">
        <v>73</v>
      </c>
    </row>
    <row r="1105" spans="1:5" x14ac:dyDescent="0.35">
      <c r="A1105" s="13">
        <v>43466</v>
      </c>
      <c r="B1105">
        <f>YEAR(Country_Masterlist__4[[#This Row],[Year1]])</f>
        <v>2019</v>
      </c>
      <c r="C1105" t="s">
        <v>34</v>
      </c>
      <c r="D1105" t="s">
        <v>40</v>
      </c>
      <c r="E1105">
        <v>108</v>
      </c>
    </row>
    <row r="1106" spans="1:5" x14ac:dyDescent="0.35">
      <c r="A1106" s="13">
        <v>43466</v>
      </c>
      <c r="B1106">
        <f>YEAR(Country_Masterlist__4[[#This Row],[Year1]])</f>
        <v>2019</v>
      </c>
      <c r="C1106" t="s">
        <v>35</v>
      </c>
      <c r="D1106" t="s">
        <v>41</v>
      </c>
      <c r="E1106">
        <v>168</v>
      </c>
    </row>
    <row r="1107" spans="1:5" x14ac:dyDescent="0.35">
      <c r="A1107" s="13">
        <v>43466</v>
      </c>
      <c r="B1107">
        <f>YEAR(Country_Masterlist__4[[#This Row],[Year1]])</f>
        <v>2019</v>
      </c>
      <c r="C1107" t="s">
        <v>33</v>
      </c>
      <c r="D1107" t="s">
        <v>42</v>
      </c>
      <c r="E1107">
        <v>96</v>
      </c>
    </row>
    <row r="1108" spans="1:5" x14ac:dyDescent="0.35">
      <c r="A1108" s="13">
        <v>43466</v>
      </c>
      <c r="B1108">
        <f>YEAR(Country_Masterlist__4[[#This Row],[Year1]])</f>
        <v>2019</v>
      </c>
      <c r="D1108" t="s">
        <v>373</v>
      </c>
      <c r="E1108">
        <v>13</v>
      </c>
    </row>
    <row r="1109" spans="1:5" x14ac:dyDescent="0.35">
      <c r="A1109" s="13">
        <v>43466</v>
      </c>
      <c r="B1109">
        <f>YEAR(Country_Masterlist__4[[#This Row],[Year1]])</f>
        <v>2019</v>
      </c>
      <c r="C1109" t="s">
        <v>33</v>
      </c>
      <c r="D1109" t="s">
        <v>43</v>
      </c>
      <c r="E1109">
        <v>514</v>
      </c>
    </row>
    <row r="1110" spans="1:5" x14ac:dyDescent="0.35">
      <c r="A1110" s="13">
        <v>43466</v>
      </c>
      <c r="B1110">
        <f>YEAR(Country_Masterlist__4[[#This Row],[Year1]])</f>
        <v>2019</v>
      </c>
      <c r="C1110" t="s">
        <v>36</v>
      </c>
      <c r="D1110" t="s">
        <v>44</v>
      </c>
      <c r="E1110">
        <v>26</v>
      </c>
    </row>
    <row r="1111" spans="1:5" x14ac:dyDescent="0.35">
      <c r="A1111" s="13">
        <v>43466</v>
      </c>
      <c r="B1111">
        <f>YEAR(Country_Masterlist__4[[#This Row],[Year1]])</f>
        <v>2019</v>
      </c>
      <c r="C1111" t="s">
        <v>38</v>
      </c>
      <c r="D1111" t="s">
        <v>45</v>
      </c>
      <c r="E1111">
        <v>469</v>
      </c>
    </row>
    <row r="1112" spans="1:5" x14ac:dyDescent="0.35">
      <c r="A1112" s="13">
        <v>43466</v>
      </c>
      <c r="B1112">
        <f>YEAR(Country_Masterlist__4[[#This Row],[Year1]])</f>
        <v>2019</v>
      </c>
      <c r="C1112" t="s">
        <v>34</v>
      </c>
      <c r="D1112" t="s">
        <v>46</v>
      </c>
      <c r="E1112">
        <v>475</v>
      </c>
    </row>
    <row r="1113" spans="1:5" x14ac:dyDescent="0.35">
      <c r="A1113" s="13">
        <v>43466</v>
      </c>
      <c r="B1113">
        <f>YEAR(Country_Masterlist__4[[#This Row],[Year1]])</f>
        <v>2019</v>
      </c>
      <c r="C1113" t="s">
        <v>37</v>
      </c>
      <c r="D1113" t="s">
        <v>47</v>
      </c>
      <c r="E1113">
        <v>538</v>
      </c>
    </row>
    <row r="1114" spans="1:5" x14ac:dyDescent="0.35">
      <c r="A1114" s="13">
        <v>43466</v>
      </c>
      <c r="B1114">
        <f>YEAR(Country_Masterlist__4[[#This Row],[Year1]])</f>
        <v>2019</v>
      </c>
      <c r="C1114" t="s">
        <v>35</v>
      </c>
      <c r="D1114" t="s">
        <v>48</v>
      </c>
      <c r="E1114">
        <v>68</v>
      </c>
    </row>
    <row r="1115" spans="1:5" x14ac:dyDescent="0.35">
      <c r="A1115" s="13">
        <v>43466</v>
      </c>
      <c r="B1115">
        <f>YEAR(Country_Masterlist__4[[#This Row],[Year1]])</f>
        <v>2019</v>
      </c>
      <c r="C1115" t="s">
        <v>34</v>
      </c>
      <c r="D1115" t="s">
        <v>49</v>
      </c>
      <c r="E1115">
        <v>57</v>
      </c>
    </row>
    <row r="1116" spans="1:5" x14ac:dyDescent="0.35">
      <c r="A1116" s="13">
        <v>43466</v>
      </c>
      <c r="B1116">
        <f>YEAR(Country_Masterlist__4[[#This Row],[Year1]])</f>
        <v>2019</v>
      </c>
      <c r="C1116" t="s">
        <v>36</v>
      </c>
      <c r="D1116" t="s">
        <v>50</v>
      </c>
      <c r="E1116">
        <v>498</v>
      </c>
    </row>
    <row r="1117" spans="1:5" x14ac:dyDescent="0.35">
      <c r="A1117" s="13">
        <v>43466</v>
      </c>
      <c r="B1117">
        <f>YEAR(Country_Masterlist__4[[#This Row],[Year1]])</f>
        <v>2019</v>
      </c>
      <c r="C1117" t="s">
        <v>34</v>
      </c>
      <c r="D1117" t="s">
        <v>51</v>
      </c>
      <c r="E1117">
        <v>11</v>
      </c>
    </row>
    <row r="1118" spans="1:5" x14ac:dyDescent="0.35">
      <c r="A1118" s="13">
        <v>43466</v>
      </c>
      <c r="B1118">
        <f>YEAR(Country_Masterlist__4[[#This Row],[Year1]])</f>
        <v>2019</v>
      </c>
      <c r="C1118" t="s">
        <v>34</v>
      </c>
      <c r="D1118" t="s">
        <v>52</v>
      </c>
      <c r="E1118">
        <v>1481</v>
      </c>
    </row>
    <row r="1119" spans="1:5" x14ac:dyDescent="0.35">
      <c r="A1119" s="13">
        <v>43466</v>
      </c>
      <c r="B1119">
        <f>YEAR(Country_Masterlist__4[[#This Row],[Year1]])</f>
        <v>2019</v>
      </c>
      <c r="C1119" t="s">
        <v>36</v>
      </c>
      <c r="D1119" t="s">
        <v>53</v>
      </c>
      <c r="E1119">
        <v>60</v>
      </c>
    </row>
    <row r="1120" spans="1:5" x14ac:dyDescent="0.35">
      <c r="A1120" s="13">
        <v>43466</v>
      </c>
      <c r="B1120">
        <f>YEAR(Country_Masterlist__4[[#This Row],[Year1]])</f>
        <v>2019</v>
      </c>
      <c r="C1120" t="s">
        <v>35</v>
      </c>
      <c r="D1120" t="s">
        <v>54</v>
      </c>
      <c r="E1120">
        <v>94</v>
      </c>
    </row>
    <row r="1121" spans="1:5" x14ac:dyDescent="0.35">
      <c r="A1121" s="13">
        <v>43466</v>
      </c>
      <c r="B1121">
        <f>YEAR(Country_Masterlist__4[[#This Row],[Year1]])</f>
        <v>2019</v>
      </c>
      <c r="C1121" t="s">
        <v>35</v>
      </c>
      <c r="D1121" t="s">
        <v>55</v>
      </c>
      <c r="E1121">
        <v>132</v>
      </c>
    </row>
    <row r="1122" spans="1:5" x14ac:dyDescent="0.35">
      <c r="A1122" s="13">
        <v>43466</v>
      </c>
      <c r="B1122">
        <f>YEAR(Country_Masterlist__4[[#This Row],[Year1]])</f>
        <v>2019</v>
      </c>
      <c r="C1122" t="s">
        <v>36</v>
      </c>
      <c r="D1122" t="s">
        <v>56</v>
      </c>
      <c r="E1122">
        <v>385</v>
      </c>
    </row>
    <row r="1123" spans="1:5" x14ac:dyDescent="0.35">
      <c r="A1123" s="13">
        <v>43466</v>
      </c>
      <c r="B1123">
        <f>YEAR(Country_Masterlist__4[[#This Row],[Year1]])</f>
        <v>2019</v>
      </c>
      <c r="C1123" t="s">
        <v>33</v>
      </c>
      <c r="D1123" t="s">
        <v>57</v>
      </c>
      <c r="E1123">
        <v>37</v>
      </c>
    </row>
    <row r="1124" spans="1:5" x14ac:dyDescent="0.35">
      <c r="A1124" s="13">
        <v>43466</v>
      </c>
      <c r="B1124">
        <f>YEAR(Country_Masterlist__4[[#This Row],[Year1]])</f>
        <v>2019</v>
      </c>
      <c r="C1124" t="s">
        <v>34</v>
      </c>
      <c r="D1124" t="s">
        <v>58</v>
      </c>
      <c r="E1124">
        <v>33</v>
      </c>
    </row>
    <row r="1125" spans="1:5" x14ac:dyDescent="0.35">
      <c r="A1125" s="13">
        <v>43466</v>
      </c>
      <c r="B1125">
        <f>YEAR(Country_Masterlist__4[[#This Row],[Year1]])</f>
        <v>2019</v>
      </c>
      <c r="C1125" t="s">
        <v>38</v>
      </c>
      <c r="D1125" t="s">
        <v>59</v>
      </c>
      <c r="E1125">
        <v>227</v>
      </c>
    </row>
    <row r="1126" spans="1:5" x14ac:dyDescent="0.35">
      <c r="A1126" s="13">
        <v>43466</v>
      </c>
      <c r="B1126">
        <f>YEAR(Country_Masterlist__4[[#This Row],[Year1]])</f>
        <v>2019</v>
      </c>
      <c r="C1126" t="s">
        <v>35</v>
      </c>
      <c r="D1126" t="s">
        <v>60</v>
      </c>
      <c r="E1126">
        <v>111</v>
      </c>
    </row>
    <row r="1127" spans="1:5" x14ac:dyDescent="0.35">
      <c r="A1127" s="13">
        <v>43466</v>
      </c>
      <c r="B1127">
        <f>YEAR(Country_Masterlist__4[[#This Row],[Year1]])</f>
        <v>2019</v>
      </c>
      <c r="C1127" t="s">
        <v>33</v>
      </c>
      <c r="D1127" t="s">
        <v>61</v>
      </c>
      <c r="E1127">
        <v>5</v>
      </c>
    </row>
    <row r="1128" spans="1:5" x14ac:dyDescent="0.35">
      <c r="A1128" s="13">
        <v>43466</v>
      </c>
      <c r="B1128">
        <f>YEAR(Country_Masterlist__4[[#This Row],[Year1]])</f>
        <v>2019</v>
      </c>
      <c r="C1128" t="s">
        <v>38</v>
      </c>
      <c r="D1128" t="s">
        <v>21</v>
      </c>
      <c r="E1128">
        <v>22198</v>
      </c>
    </row>
    <row r="1129" spans="1:5" x14ac:dyDescent="0.35">
      <c r="A1129" s="13">
        <v>43466</v>
      </c>
      <c r="B1129">
        <f>YEAR(Country_Masterlist__4[[#This Row],[Year1]])</f>
        <v>2019</v>
      </c>
      <c r="C1129" t="s">
        <v>35</v>
      </c>
      <c r="D1129" t="s">
        <v>62</v>
      </c>
      <c r="E1129">
        <v>70</v>
      </c>
    </row>
    <row r="1130" spans="1:5" x14ac:dyDescent="0.35">
      <c r="A1130" s="13">
        <v>43466</v>
      </c>
      <c r="B1130">
        <f>YEAR(Country_Masterlist__4[[#This Row],[Year1]])</f>
        <v>2019</v>
      </c>
      <c r="C1130" t="s">
        <v>33</v>
      </c>
      <c r="D1130" t="s">
        <v>63</v>
      </c>
      <c r="E1130">
        <v>63</v>
      </c>
    </row>
    <row r="1131" spans="1:5" x14ac:dyDescent="0.35">
      <c r="A1131" s="13">
        <v>43466</v>
      </c>
      <c r="B1131">
        <f>YEAR(Country_Masterlist__4[[#This Row],[Year1]])</f>
        <v>2019</v>
      </c>
      <c r="C1131" t="s">
        <v>34</v>
      </c>
      <c r="D1131" t="s">
        <v>64</v>
      </c>
      <c r="E1131">
        <v>91</v>
      </c>
    </row>
    <row r="1132" spans="1:5" x14ac:dyDescent="0.35">
      <c r="A1132" s="13">
        <v>43466</v>
      </c>
      <c r="B1132">
        <f>YEAR(Country_Masterlist__4[[#This Row],[Year1]])</f>
        <v>2019</v>
      </c>
      <c r="C1132" t="s">
        <v>33</v>
      </c>
      <c r="D1132" t="s">
        <v>65</v>
      </c>
      <c r="E1132">
        <v>33</v>
      </c>
    </row>
    <row r="1133" spans="1:5" x14ac:dyDescent="0.35">
      <c r="A1133" s="13">
        <v>43466</v>
      </c>
      <c r="B1133">
        <f>YEAR(Country_Masterlist__4[[#This Row],[Year1]])</f>
        <v>2019</v>
      </c>
      <c r="C1133" t="s">
        <v>33</v>
      </c>
      <c r="D1133" t="s">
        <v>66</v>
      </c>
      <c r="E1133">
        <v>78</v>
      </c>
    </row>
    <row r="1134" spans="1:5" x14ac:dyDescent="0.35">
      <c r="A1134" s="13">
        <v>43466</v>
      </c>
      <c r="B1134">
        <f>YEAR(Country_Masterlist__4[[#This Row],[Year1]])</f>
        <v>2019</v>
      </c>
      <c r="C1134" t="s">
        <v>34</v>
      </c>
      <c r="D1134" t="s">
        <v>67</v>
      </c>
      <c r="E1134">
        <v>192</v>
      </c>
    </row>
    <row r="1135" spans="1:5" x14ac:dyDescent="0.35">
      <c r="A1135" s="13">
        <v>43466</v>
      </c>
      <c r="B1135">
        <f>YEAR(Country_Masterlist__4[[#This Row],[Year1]])</f>
        <v>2019</v>
      </c>
      <c r="C1135" t="s">
        <v>33</v>
      </c>
      <c r="D1135" t="s">
        <v>68</v>
      </c>
      <c r="E1135">
        <v>2170</v>
      </c>
    </row>
    <row r="1136" spans="1:5" x14ac:dyDescent="0.35">
      <c r="A1136" s="13">
        <v>43466</v>
      </c>
      <c r="B1136">
        <f>YEAR(Country_Masterlist__4[[#This Row],[Year1]])</f>
        <v>2019</v>
      </c>
      <c r="C1136" t="s">
        <v>36</v>
      </c>
      <c r="D1136" t="s">
        <v>69</v>
      </c>
      <c r="E1136">
        <v>12098</v>
      </c>
    </row>
    <row r="1137" spans="1:5" x14ac:dyDescent="0.35">
      <c r="A1137" s="13">
        <v>43466</v>
      </c>
      <c r="B1137">
        <f>YEAR(Country_Masterlist__4[[#This Row],[Year1]])</f>
        <v>2019</v>
      </c>
      <c r="C1137" t="s">
        <v>33</v>
      </c>
      <c r="D1137" t="s">
        <v>70</v>
      </c>
      <c r="E1137">
        <v>16</v>
      </c>
    </row>
    <row r="1138" spans="1:5" x14ac:dyDescent="0.35">
      <c r="A1138" s="13">
        <v>43466</v>
      </c>
      <c r="B1138">
        <f>YEAR(Country_Masterlist__4[[#This Row],[Year1]])</f>
        <v>2019</v>
      </c>
      <c r="C1138" t="s">
        <v>33</v>
      </c>
      <c r="D1138" t="s">
        <v>71</v>
      </c>
      <c r="E1138">
        <v>18</v>
      </c>
    </row>
    <row r="1139" spans="1:5" x14ac:dyDescent="0.35">
      <c r="A1139" s="13">
        <v>43466</v>
      </c>
      <c r="B1139">
        <f>YEAR(Country_Masterlist__4[[#This Row],[Year1]])</f>
        <v>2019</v>
      </c>
      <c r="C1139" t="s">
        <v>38</v>
      </c>
      <c r="D1139" t="s">
        <v>72</v>
      </c>
      <c r="E1139">
        <v>1171</v>
      </c>
    </row>
    <row r="1140" spans="1:5" x14ac:dyDescent="0.35">
      <c r="A1140" s="13">
        <v>43466</v>
      </c>
      <c r="B1140">
        <f>YEAR(Country_Masterlist__4[[#This Row],[Year1]])</f>
        <v>2019</v>
      </c>
      <c r="C1140" t="s">
        <v>34</v>
      </c>
      <c r="D1140" t="s">
        <v>73</v>
      </c>
      <c r="E1140">
        <v>6109</v>
      </c>
    </row>
    <row r="1141" spans="1:5" x14ac:dyDescent="0.35">
      <c r="A1141" s="13">
        <v>43466</v>
      </c>
      <c r="B1141">
        <f>YEAR(Country_Masterlist__4[[#This Row],[Year1]])</f>
        <v>2019</v>
      </c>
      <c r="C1141" t="s">
        <v>38</v>
      </c>
      <c r="D1141" t="s">
        <v>20</v>
      </c>
      <c r="E1141">
        <v>4705</v>
      </c>
    </row>
    <row r="1142" spans="1:5" x14ac:dyDescent="0.35">
      <c r="A1142" s="13">
        <v>43466</v>
      </c>
      <c r="B1142">
        <f>YEAR(Country_Masterlist__4[[#This Row],[Year1]])</f>
        <v>2019</v>
      </c>
      <c r="C1142" t="s">
        <v>33</v>
      </c>
      <c r="D1142" t="s">
        <v>74</v>
      </c>
      <c r="E1142">
        <v>1497</v>
      </c>
    </row>
    <row r="1143" spans="1:5" x14ac:dyDescent="0.35">
      <c r="A1143" s="13">
        <v>43466</v>
      </c>
      <c r="B1143">
        <f>YEAR(Country_Masterlist__4[[#This Row],[Year1]])</f>
        <v>2019</v>
      </c>
      <c r="C1143" t="s">
        <v>33</v>
      </c>
      <c r="D1143" t="s">
        <v>75</v>
      </c>
      <c r="E1143">
        <v>323</v>
      </c>
    </row>
    <row r="1144" spans="1:5" x14ac:dyDescent="0.35">
      <c r="A1144" s="13">
        <v>43466</v>
      </c>
      <c r="B1144">
        <f>YEAR(Country_Masterlist__4[[#This Row],[Year1]])</f>
        <v>2019</v>
      </c>
      <c r="C1144" t="s">
        <v>36</v>
      </c>
      <c r="D1144" t="s">
        <v>76</v>
      </c>
      <c r="E1144">
        <v>543</v>
      </c>
    </row>
    <row r="1145" spans="1:5" x14ac:dyDescent="0.35">
      <c r="A1145" s="13">
        <v>43466</v>
      </c>
      <c r="B1145">
        <f>YEAR(Country_Masterlist__4[[#This Row],[Year1]])</f>
        <v>2019</v>
      </c>
      <c r="C1145" t="s">
        <v>33</v>
      </c>
      <c r="D1145" t="s">
        <v>77</v>
      </c>
      <c r="E1145">
        <v>98</v>
      </c>
    </row>
    <row r="1146" spans="1:5" x14ac:dyDescent="0.35">
      <c r="A1146" s="13">
        <v>43466</v>
      </c>
      <c r="B1146">
        <f>YEAR(Country_Masterlist__4[[#This Row],[Year1]])</f>
        <v>2019</v>
      </c>
      <c r="C1146" t="s">
        <v>35</v>
      </c>
      <c r="D1146" t="s">
        <v>78</v>
      </c>
      <c r="E1146">
        <v>43</v>
      </c>
    </row>
    <row r="1147" spans="1:5" x14ac:dyDescent="0.35">
      <c r="A1147" s="13">
        <v>43466</v>
      </c>
      <c r="B1147">
        <f>YEAR(Country_Masterlist__4[[#This Row],[Year1]])</f>
        <v>2019</v>
      </c>
      <c r="C1147" t="s">
        <v>36</v>
      </c>
      <c r="D1147" t="s">
        <v>79</v>
      </c>
      <c r="E1147">
        <v>36082</v>
      </c>
    </row>
    <row r="1148" spans="1:5" x14ac:dyDescent="0.35">
      <c r="A1148" s="13">
        <v>43466</v>
      </c>
      <c r="B1148">
        <f>YEAR(Country_Masterlist__4[[#This Row],[Year1]])</f>
        <v>2019</v>
      </c>
      <c r="C1148" t="s">
        <v>34</v>
      </c>
      <c r="D1148" t="s">
        <v>80</v>
      </c>
      <c r="E1148">
        <v>8</v>
      </c>
    </row>
    <row r="1149" spans="1:5" x14ac:dyDescent="0.35">
      <c r="A1149" s="13">
        <v>43466</v>
      </c>
      <c r="B1149">
        <f>YEAR(Country_Masterlist__4[[#This Row],[Year1]])</f>
        <v>2019</v>
      </c>
      <c r="C1149" t="s">
        <v>35</v>
      </c>
      <c r="D1149" t="s">
        <v>81</v>
      </c>
      <c r="E1149">
        <v>183</v>
      </c>
    </row>
    <row r="1150" spans="1:5" x14ac:dyDescent="0.35">
      <c r="A1150" s="13">
        <v>43466</v>
      </c>
      <c r="B1150">
        <f>YEAR(Country_Masterlist__4[[#This Row],[Year1]])</f>
        <v>2019</v>
      </c>
      <c r="C1150" t="s">
        <v>35</v>
      </c>
      <c r="D1150" t="s">
        <v>214</v>
      </c>
      <c r="E1150" t="s">
        <v>205</v>
      </c>
    </row>
    <row r="1151" spans="1:5" x14ac:dyDescent="0.35">
      <c r="A1151" s="13">
        <v>43466</v>
      </c>
      <c r="B1151">
        <f>YEAR(Country_Masterlist__4[[#This Row],[Year1]])</f>
        <v>2019</v>
      </c>
      <c r="C1151" t="s">
        <v>35</v>
      </c>
      <c r="D1151" t="s">
        <v>82</v>
      </c>
      <c r="E1151">
        <v>62</v>
      </c>
    </row>
    <row r="1152" spans="1:5" x14ac:dyDescent="0.35">
      <c r="A1152" s="13">
        <v>43466</v>
      </c>
      <c r="B1152">
        <f>YEAR(Country_Masterlist__4[[#This Row],[Year1]])</f>
        <v>2019</v>
      </c>
      <c r="C1152" t="s">
        <v>33</v>
      </c>
      <c r="D1152" t="s">
        <v>83</v>
      </c>
      <c r="E1152">
        <v>4</v>
      </c>
    </row>
    <row r="1153" spans="1:5" x14ac:dyDescent="0.35">
      <c r="A1153" s="13">
        <v>43466</v>
      </c>
      <c r="B1153">
        <f>YEAR(Country_Masterlist__4[[#This Row],[Year1]])</f>
        <v>2019</v>
      </c>
      <c r="C1153" t="s">
        <v>36</v>
      </c>
      <c r="D1153" t="s">
        <v>84</v>
      </c>
      <c r="E1153">
        <v>47</v>
      </c>
    </row>
    <row r="1154" spans="1:5" x14ac:dyDescent="0.35">
      <c r="A1154" s="13">
        <v>43466</v>
      </c>
      <c r="B1154">
        <f>YEAR(Country_Masterlist__4[[#This Row],[Year1]])</f>
        <v>2019</v>
      </c>
      <c r="C1154" t="s">
        <v>36</v>
      </c>
      <c r="D1154" t="s">
        <v>85</v>
      </c>
      <c r="E1154">
        <v>3836</v>
      </c>
    </row>
    <row r="1155" spans="1:5" x14ac:dyDescent="0.35">
      <c r="A1155" s="13">
        <v>43466</v>
      </c>
      <c r="B1155">
        <f>YEAR(Country_Masterlist__4[[#This Row],[Year1]])</f>
        <v>2019</v>
      </c>
      <c r="C1155" t="s">
        <v>38</v>
      </c>
      <c r="D1155" t="s">
        <v>86</v>
      </c>
      <c r="E1155">
        <v>15451</v>
      </c>
    </row>
    <row r="1156" spans="1:5" x14ac:dyDescent="0.35">
      <c r="A1156" s="13">
        <v>43466</v>
      </c>
      <c r="B1156">
        <f>YEAR(Country_Masterlist__4[[#This Row],[Year1]])</f>
        <v>2019</v>
      </c>
      <c r="C1156" t="s">
        <v>33</v>
      </c>
      <c r="D1156" t="s">
        <v>87</v>
      </c>
      <c r="E1156">
        <v>359</v>
      </c>
    </row>
    <row r="1157" spans="1:5" x14ac:dyDescent="0.35">
      <c r="A1157" s="13">
        <v>43466</v>
      </c>
      <c r="B1157">
        <f>YEAR(Country_Masterlist__4[[#This Row],[Year1]])</f>
        <v>2019</v>
      </c>
      <c r="C1157" t="s">
        <v>36</v>
      </c>
      <c r="D1157" t="s">
        <v>16</v>
      </c>
      <c r="E1157">
        <v>102484</v>
      </c>
    </row>
    <row r="1158" spans="1:5" x14ac:dyDescent="0.35">
      <c r="A1158" s="13">
        <v>43466</v>
      </c>
      <c r="B1158">
        <f>YEAR(Country_Masterlist__4[[#This Row],[Year1]])</f>
        <v>2019</v>
      </c>
      <c r="C1158" t="s">
        <v>33</v>
      </c>
      <c r="D1158" t="s">
        <v>88</v>
      </c>
      <c r="E1158">
        <v>22</v>
      </c>
    </row>
    <row r="1159" spans="1:5" x14ac:dyDescent="0.35">
      <c r="A1159" s="13">
        <v>43466</v>
      </c>
      <c r="B1159">
        <f>YEAR(Country_Masterlist__4[[#This Row],[Year1]])</f>
        <v>2019</v>
      </c>
      <c r="C1159" t="s">
        <v>33</v>
      </c>
      <c r="D1159" t="s">
        <v>89</v>
      </c>
      <c r="E1159">
        <v>387</v>
      </c>
    </row>
    <row r="1160" spans="1:5" x14ac:dyDescent="0.35">
      <c r="A1160" s="13">
        <v>43466</v>
      </c>
      <c r="B1160">
        <f>YEAR(Country_Masterlist__4[[#This Row],[Year1]])</f>
        <v>2019</v>
      </c>
      <c r="C1160" t="s">
        <v>35</v>
      </c>
      <c r="D1160" t="s">
        <v>90</v>
      </c>
      <c r="E1160">
        <v>37</v>
      </c>
    </row>
    <row r="1161" spans="1:5" x14ac:dyDescent="0.35">
      <c r="A1161" s="13">
        <v>43466</v>
      </c>
      <c r="B1161">
        <f>YEAR(Country_Masterlist__4[[#This Row],[Year1]])</f>
        <v>2019</v>
      </c>
      <c r="C1161" t="s">
        <v>33</v>
      </c>
      <c r="D1161" t="s">
        <v>91</v>
      </c>
      <c r="E1161">
        <v>134</v>
      </c>
    </row>
    <row r="1162" spans="1:5" x14ac:dyDescent="0.35">
      <c r="A1162" s="13">
        <v>43466</v>
      </c>
      <c r="B1162">
        <f>YEAR(Country_Masterlist__4[[#This Row],[Year1]])</f>
        <v>2019</v>
      </c>
      <c r="C1162" t="s">
        <v>37</v>
      </c>
      <c r="D1162" t="s">
        <v>92</v>
      </c>
      <c r="E1162">
        <v>70</v>
      </c>
    </row>
    <row r="1163" spans="1:5" x14ac:dyDescent="0.35">
      <c r="A1163" s="13">
        <v>43466</v>
      </c>
      <c r="B1163">
        <f>YEAR(Country_Masterlist__4[[#This Row],[Year1]])</f>
        <v>2019</v>
      </c>
      <c r="C1163" t="s">
        <v>35</v>
      </c>
      <c r="D1163" t="s">
        <v>93</v>
      </c>
      <c r="E1163">
        <v>53</v>
      </c>
    </row>
    <row r="1164" spans="1:5" x14ac:dyDescent="0.35">
      <c r="A1164" s="13">
        <v>43466</v>
      </c>
      <c r="B1164">
        <f>YEAR(Country_Masterlist__4[[#This Row],[Year1]])</f>
        <v>2019</v>
      </c>
      <c r="C1164" t="s">
        <v>35</v>
      </c>
      <c r="D1164" t="s">
        <v>94</v>
      </c>
      <c r="E1164">
        <v>928</v>
      </c>
    </row>
    <row r="1165" spans="1:5" x14ac:dyDescent="0.35">
      <c r="A1165" s="13">
        <v>43466</v>
      </c>
      <c r="B1165">
        <f>YEAR(Country_Masterlist__4[[#This Row],[Year1]])</f>
        <v>2019</v>
      </c>
      <c r="C1165" t="s">
        <v>33</v>
      </c>
      <c r="D1165" t="s">
        <v>95</v>
      </c>
      <c r="E1165">
        <v>25</v>
      </c>
    </row>
    <row r="1166" spans="1:5" x14ac:dyDescent="0.35">
      <c r="A1166" s="13">
        <v>43466</v>
      </c>
      <c r="B1166">
        <f>YEAR(Country_Masterlist__4[[#This Row],[Year1]])</f>
        <v>2019</v>
      </c>
      <c r="C1166" t="s">
        <v>33</v>
      </c>
      <c r="D1166" t="s">
        <v>96</v>
      </c>
      <c r="E1166">
        <v>137</v>
      </c>
    </row>
    <row r="1167" spans="1:5" x14ac:dyDescent="0.35">
      <c r="A1167" s="13">
        <v>43466</v>
      </c>
      <c r="B1167">
        <f>YEAR(Country_Masterlist__4[[#This Row],[Year1]])</f>
        <v>2019</v>
      </c>
      <c r="C1167" t="s">
        <v>34</v>
      </c>
      <c r="D1167" t="s">
        <v>8</v>
      </c>
      <c r="E1167">
        <v>412</v>
      </c>
    </row>
    <row r="1168" spans="1:5" x14ac:dyDescent="0.35">
      <c r="A1168" s="13">
        <v>43466</v>
      </c>
      <c r="B1168">
        <f>YEAR(Country_Masterlist__4[[#This Row],[Year1]])</f>
        <v>2019</v>
      </c>
      <c r="C1168" t="s">
        <v>35</v>
      </c>
      <c r="D1168" t="s">
        <v>97</v>
      </c>
      <c r="E1168">
        <v>617</v>
      </c>
    </row>
    <row r="1169" spans="1:5" x14ac:dyDescent="0.35">
      <c r="A1169" s="13">
        <v>43466</v>
      </c>
      <c r="B1169">
        <f>YEAR(Country_Masterlist__4[[#This Row],[Year1]])</f>
        <v>2019</v>
      </c>
      <c r="C1169" t="s">
        <v>33</v>
      </c>
      <c r="D1169" t="s">
        <v>98</v>
      </c>
      <c r="E1169">
        <v>538</v>
      </c>
    </row>
    <row r="1170" spans="1:5" x14ac:dyDescent="0.35">
      <c r="A1170" s="13">
        <v>43466</v>
      </c>
      <c r="B1170">
        <f>YEAR(Country_Masterlist__4[[#This Row],[Year1]])</f>
        <v>2019</v>
      </c>
      <c r="C1170" t="s">
        <v>35</v>
      </c>
      <c r="D1170" t="s">
        <v>99</v>
      </c>
      <c r="E1170">
        <v>191</v>
      </c>
    </row>
    <row r="1171" spans="1:5" x14ac:dyDescent="0.35">
      <c r="A1171" s="13">
        <v>43466</v>
      </c>
      <c r="B1171">
        <f>YEAR(Country_Masterlist__4[[#This Row],[Year1]])</f>
        <v>2019</v>
      </c>
      <c r="C1171" t="s">
        <v>36</v>
      </c>
      <c r="D1171" t="s">
        <v>100</v>
      </c>
      <c r="E1171">
        <v>30</v>
      </c>
    </row>
    <row r="1172" spans="1:5" x14ac:dyDescent="0.35">
      <c r="A1172" s="13">
        <v>43466</v>
      </c>
      <c r="B1172">
        <f>YEAR(Country_Masterlist__4[[#This Row],[Year1]])</f>
        <v>2019</v>
      </c>
      <c r="C1172" t="s">
        <v>36</v>
      </c>
      <c r="D1172" t="s">
        <v>15</v>
      </c>
      <c r="E1172">
        <v>292022</v>
      </c>
    </row>
    <row r="1173" spans="1:5" x14ac:dyDescent="0.35">
      <c r="A1173" s="13">
        <v>43466</v>
      </c>
      <c r="B1173">
        <f>YEAR(Country_Masterlist__4[[#This Row],[Year1]])</f>
        <v>2019</v>
      </c>
      <c r="C1173" t="s">
        <v>33</v>
      </c>
      <c r="D1173" t="s">
        <v>101</v>
      </c>
      <c r="E1173">
        <v>193</v>
      </c>
    </row>
    <row r="1174" spans="1:5" x14ac:dyDescent="0.35">
      <c r="A1174" s="13">
        <v>43466</v>
      </c>
      <c r="B1174">
        <f>YEAR(Country_Masterlist__4[[#This Row],[Year1]])</f>
        <v>2019</v>
      </c>
      <c r="C1174" t="s">
        <v>33</v>
      </c>
      <c r="D1174" t="s">
        <v>102</v>
      </c>
      <c r="E1174">
        <v>10</v>
      </c>
    </row>
    <row r="1175" spans="1:5" x14ac:dyDescent="0.35">
      <c r="A1175" s="13">
        <v>43466</v>
      </c>
      <c r="B1175">
        <f>YEAR(Country_Masterlist__4[[#This Row],[Year1]])</f>
        <v>2019</v>
      </c>
      <c r="C1175" t="s">
        <v>38</v>
      </c>
      <c r="D1175" t="s">
        <v>103</v>
      </c>
      <c r="E1175">
        <v>502</v>
      </c>
    </row>
    <row r="1176" spans="1:5" x14ac:dyDescent="0.35">
      <c r="A1176" s="13">
        <v>43466</v>
      </c>
      <c r="B1176">
        <f>YEAR(Country_Masterlist__4[[#This Row],[Year1]])</f>
        <v>2019</v>
      </c>
      <c r="C1176" t="s">
        <v>36</v>
      </c>
      <c r="D1176" t="s">
        <v>104</v>
      </c>
      <c r="E1176">
        <v>4148</v>
      </c>
    </row>
    <row r="1177" spans="1:5" x14ac:dyDescent="0.35">
      <c r="A1177" s="13">
        <v>43466</v>
      </c>
      <c r="B1177">
        <f>YEAR(Country_Masterlist__4[[#This Row],[Year1]])</f>
        <v>2019</v>
      </c>
      <c r="C1177" t="s">
        <v>36</v>
      </c>
      <c r="D1177" t="s">
        <v>17</v>
      </c>
      <c r="E1177">
        <v>276805</v>
      </c>
    </row>
    <row r="1178" spans="1:5" x14ac:dyDescent="0.35">
      <c r="A1178" s="13">
        <v>43466</v>
      </c>
      <c r="B1178">
        <f>YEAR(Country_Masterlist__4[[#This Row],[Year1]])</f>
        <v>2019</v>
      </c>
      <c r="C1178" t="s">
        <v>35</v>
      </c>
      <c r="D1178" t="s">
        <v>105</v>
      </c>
      <c r="E1178">
        <v>248</v>
      </c>
    </row>
    <row r="1179" spans="1:5" x14ac:dyDescent="0.35">
      <c r="A1179" s="13">
        <v>43466</v>
      </c>
      <c r="B1179">
        <f>YEAR(Country_Masterlist__4[[#This Row],[Year1]])</f>
        <v>2019</v>
      </c>
      <c r="C1179" t="s">
        <v>35</v>
      </c>
      <c r="D1179" t="s">
        <v>106</v>
      </c>
      <c r="E1179">
        <v>14</v>
      </c>
    </row>
    <row r="1180" spans="1:5" x14ac:dyDescent="0.35">
      <c r="A1180" s="13">
        <v>43466</v>
      </c>
      <c r="B1180">
        <f>YEAR(Country_Masterlist__4[[#This Row],[Year1]])</f>
        <v>2019</v>
      </c>
      <c r="C1180" t="s">
        <v>34</v>
      </c>
      <c r="D1180" t="s">
        <v>22</v>
      </c>
      <c r="E1180">
        <v>10834</v>
      </c>
    </row>
    <row r="1181" spans="1:5" x14ac:dyDescent="0.35">
      <c r="A1181" s="13">
        <v>43466</v>
      </c>
      <c r="B1181">
        <f>YEAR(Country_Masterlist__4[[#This Row],[Year1]])</f>
        <v>2019</v>
      </c>
      <c r="C1181" t="s">
        <v>34</v>
      </c>
      <c r="D1181" t="s">
        <v>107</v>
      </c>
      <c r="E1181">
        <v>243</v>
      </c>
    </row>
    <row r="1182" spans="1:5" x14ac:dyDescent="0.35">
      <c r="A1182" s="13">
        <v>43466</v>
      </c>
      <c r="B1182">
        <f>YEAR(Country_Masterlist__4[[#This Row],[Year1]])</f>
        <v>2019</v>
      </c>
      <c r="C1182" t="s">
        <v>34</v>
      </c>
      <c r="D1182" t="s">
        <v>108</v>
      </c>
      <c r="E1182">
        <v>756</v>
      </c>
    </row>
    <row r="1183" spans="1:5" x14ac:dyDescent="0.35">
      <c r="A1183" s="13">
        <v>43466</v>
      </c>
      <c r="B1183">
        <f>YEAR(Country_Masterlist__4[[#This Row],[Year1]])</f>
        <v>2019</v>
      </c>
      <c r="C1183" t="s">
        <v>34</v>
      </c>
      <c r="D1183" t="s">
        <v>109</v>
      </c>
      <c r="E1183">
        <v>298</v>
      </c>
    </row>
    <row r="1184" spans="1:5" x14ac:dyDescent="0.35">
      <c r="A1184" s="13">
        <v>43466</v>
      </c>
      <c r="B1184">
        <f>YEAR(Country_Masterlist__4[[#This Row],[Year1]])</f>
        <v>2019</v>
      </c>
      <c r="C1184" t="s">
        <v>35</v>
      </c>
      <c r="D1184" t="s">
        <v>110</v>
      </c>
      <c r="E1184">
        <v>706</v>
      </c>
    </row>
    <row r="1185" spans="1:5" x14ac:dyDescent="0.35">
      <c r="A1185" s="13">
        <v>43466</v>
      </c>
      <c r="B1185">
        <f>YEAR(Country_Masterlist__4[[#This Row],[Year1]])</f>
        <v>2019</v>
      </c>
      <c r="C1185" t="s">
        <v>34</v>
      </c>
      <c r="D1185" t="s">
        <v>111</v>
      </c>
      <c r="E1185">
        <v>424</v>
      </c>
    </row>
    <row r="1186" spans="1:5" x14ac:dyDescent="0.35">
      <c r="A1186" s="13">
        <v>43466</v>
      </c>
      <c r="B1186">
        <f>YEAR(Country_Masterlist__4[[#This Row],[Year1]])</f>
        <v>2019</v>
      </c>
      <c r="C1186" t="s">
        <v>35</v>
      </c>
      <c r="D1186" t="s">
        <v>112</v>
      </c>
      <c r="E1186">
        <v>1002</v>
      </c>
    </row>
    <row r="1187" spans="1:5" x14ac:dyDescent="0.35">
      <c r="A1187" s="13">
        <v>43466</v>
      </c>
      <c r="B1187">
        <f>YEAR(Country_Masterlist__4[[#This Row],[Year1]])</f>
        <v>2019</v>
      </c>
      <c r="C1187" t="s">
        <v>36</v>
      </c>
      <c r="D1187" t="s">
        <v>113</v>
      </c>
      <c r="E1187">
        <v>2105</v>
      </c>
    </row>
    <row r="1188" spans="1:5" x14ac:dyDescent="0.35">
      <c r="A1188" s="13">
        <v>43466</v>
      </c>
      <c r="B1188">
        <f>YEAR(Country_Masterlist__4[[#This Row],[Year1]])</f>
        <v>2019</v>
      </c>
      <c r="C1188" t="s">
        <v>34</v>
      </c>
      <c r="D1188" t="s">
        <v>114</v>
      </c>
      <c r="E1188">
        <v>403</v>
      </c>
    </row>
    <row r="1189" spans="1:5" x14ac:dyDescent="0.35">
      <c r="A1189" s="13">
        <v>43466</v>
      </c>
      <c r="B1189">
        <f>YEAR(Country_Masterlist__4[[#This Row],[Year1]])</f>
        <v>2019</v>
      </c>
      <c r="C1189" t="s">
        <v>34</v>
      </c>
      <c r="D1189" t="s">
        <v>115</v>
      </c>
      <c r="E1189">
        <v>583</v>
      </c>
    </row>
    <row r="1190" spans="1:5" x14ac:dyDescent="0.35">
      <c r="A1190" s="13">
        <v>43466</v>
      </c>
      <c r="B1190">
        <f>YEAR(Country_Masterlist__4[[#This Row],[Year1]])</f>
        <v>2019</v>
      </c>
      <c r="C1190" t="s">
        <v>34</v>
      </c>
      <c r="D1190" t="s">
        <v>116</v>
      </c>
      <c r="E1190">
        <v>195</v>
      </c>
    </row>
    <row r="1191" spans="1:5" x14ac:dyDescent="0.35">
      <c r="A1191" s="13">
        <v>43466</v>
      </c>
      <c r="B1191">
        <f>YEAR(Country_Masterlist__4[[#This Row],[Year1]])</f>
        <v>2019</v>
      </c>
      <c r="C1191" t="s">
        <v>33</v>
      </c>
      <c r="D1191" t="s">
        <v>117</v>
      </c>
      <c r="E1191">
        <v>396</v>
      </c>
    </row>
    <row r="1192" spans="1:5" x14ac:dyDescent="0.35">
      <c r="A1192" s="13">
        <v>43466</v>
      </c>
      <c r="B1192">
        <f>YEAR(Country_Masterlist__4[[#This Row],[Year1]])</f>
        <v>2019</v>
      </c>
      <c r="C1192" t="s">
        <v>34</v>
      </c>
      <c r="D1192" t="s">
        <v>118</v>
      </c>
      <c r="E1192">
        <v>1089</v>
      </c>
    </row>
    <row r="1193" spans="1:5" x14ac:dyDescent="0.35">
      <c r="A1193" s="13">
        <v>43466</v>
      </c>
      <c r="B1193">
        <f>YEAR(Country_Masterlist__4[[#This Row],[Year1]])</f>
        <v>2019</v>
      </c>
      <c r="C1193" t="s">
        <v>35</v>
      </c>
      <c r="D1193" t="s">
        <v>119</v>
      </c>
      <c r="E1193">
        <v>66</v>
      </c>
    </row>
    <row r="1194" spans="1:5" x14ac:dyDescent="0.35">
      <c r="A1194" s="13">
        <v>43466</v>
      </c>
      <c r="B1194">
        <f>YEAR(Country_Masterlist__4[[#This Row],[Year1]])</f>
        <v>2019</v>
      </c>
      <c r="C1194" t="s">
        <v>34</v>
      </c>
      <c r="D1194" t="s">
        <v>120</v>
      </c>
      <c r="E1194">
        <v>90</v>
      </c>
    </row>
    <row r="1195" spans="1:5" x14ac:dyDescent="0.35">
      <c r="A1195" s="13">
        <v>43466</v>
      </c>
      <c r="B1195">
        <f>YEAR(Country_Masterlist__4[[#This Row],[Year1]])</f>
        <v>2019</v>
      </c>
      <c r="C1195" t="s">
        <v>34</v>
      </c>
      <c r="D1195" t="s">
        <v>121</v>
      </c>
      <c r="E1195">
        <v>89</v>
      </c>
    </row>
    <row r="1196" spans="1:5" x14ac:dyDescent="0.35">
      <c r="A1196" s="13">
        <v>43466</v>
      </c>
      <c r="B1196">
        <f>YEAR(Country_Masterlist__4[[#This Row],[Year1]])</f>
        <v>2019</v>
      </c>
      <c r="C1196" t="s">
        <v>34</v>
      </c>
      <c r="D1196" t="s">
        <v>122</v>
      </c>
      <c r="E1196">
        <v>172</v>
      </c>
    </row>
    <row r="1197" spans="1:5" x14ac:dyDescent="0.35">
      <c r="A1197" s="13">
        <v>43466</v>
      </c>
      <c r="B1197">
        <f>YEAR(Country_Masterlist__4[[#This Row],[Year1]])</f>
        <v>2019</v>
      </c>
      <c r="C1197" t="s">
        <v>35</v>
      </c>
      <c r="D1197" t="s">
        <v>123</v>
      </c>
      <c r="E1197">
        <v>70</v>
      </c>
    </row>
    <row r="1198" spans="1:5" x14ac:dyDescent="0.35">
      <c r="A1198" s="13">
        <v>43466</v>
      </c>
      <c r="B1198">
        <f>YEAR(Country_Masterlist__4[[#This Row],[Year1]])</f>
        <v>2019</v>
      </c>
      <c r="C1198" t="s">
        <v>34</v>
      </c>
      <c r="D1198" t="s">
        <v>124</v>
      </c>
      <c r="E1198">
        <v>156</v>
      </c>
    </row>
    <row r="1199" spans="1:5" x14ac:dyDescent="0.35">
      <c r="A1199" s="13">
        <v>43466</v>
      </c>
      <c r="B1199">
        <f>YEAR(Country_Masterlist__4[[#This Row],[Year1]])</f>
        <v>2019</v>
      </c>
      <c r="C1199" t="s">
        <v>33</v>
      </c>
      <c r="D1199" t="s">
        <v>125</v>
      </c>
      <c r="E1199">
        <v>222</v>
      </c>
    </row>
    <row r="1200" spans="1:5" x14ac:dyDescent="0.35">
      <c r="A1200" s="13">
        <v>43466</v>
      </c>
      <c r="B1200">
        <f>YEAR(Country_Masterlist__4[[#This Row],[Year1]])</f>
        <v>2019</v>
      </c>
      <c r="C1200" t="s">
        <v>33</v>
      </c>
      <c r="D1200" t="s">
        <v>126</v>
      </c>
      <c r="E1200">
        <v>38</v>
      </c>
    </row>
    <row r="1201" spans="1:5" x14ac:dyDescent="0.35">
      <c r="A1201" s="13">
        <v>43466</v>
      </c>
      <c r="B1201">
        <f>YEAR(Country_Masterlist__4[[#This Row],[Year1]])</f>
        <v>2019</v>
      </c>
      <c r="C1201" t="s">
        <v>35</v>
      </c>
      <c r="D1201" t="s">
        <v>127</v>
      </c>
      <c r="E1201">
        <v>136</v>
      </c>
    </row>
    <row r="1202" spans="1:5" x14ac:dyDescent="0.35">
      <c r="A1202" s="13">
        <v>43466</v>
      </c>
      <c r="B1202">
        <f>YEAR(Country_Masterlist__4[[#This Row],[Year1]])</f>
        <v>2019</v>
      </c>
      <c r="C1202" t="s">
        <v>35</v>
      </c>
      <c r="D1202" t="s">
        <v>128</v>
      </c>
      <c r="E1202">
        <v>7</v>
      </c>
    </row>
    <row r="1203" spans="1:5" x14ac:dyDescent="0.35">
      <c r="A1203" s="13">
        <v>43466</v>
      </c>
      <c r="B1203">
        <f>YEAR(Country_Masterlist__4[[#This Row],[Year1]])</f>
        <v>2019</v>
      </c>
      <c r="C1203" t="s">
        <v>33</v>
      </c>
      <c r="D1203" t="s">
        <v>129</v>
      </c>
      <c r="E1203" t="s">
        <v>205</v>
      </c>
    </row>
    <row r="1204" spans="1:5" x14ac:dyDescent="0.35">
      <c r="A1204" s="13">
        <v>43466</v>
      </c>
      <c r="B1204">
        <f>YEAR(Country_Masterlist__4[[#This Row],[Year1]])</f>
        <v>2019</v>
      </c>
      <c r="C1204" t="s">
        <v>33</v>
      </c>
      <c r="D1204" t="s">
        <v>130</v>
      </c>
      <c r="E1204">
        <v>4</v>
      </c>
    </row>
    <row r="1205" spans="1:5" x14ac:dyDescent="0.35">
      <c r="A1205" s="13">
        <v>43466</v>
      </c>
      <c r="B1205">
        <f>YEAR(Country_Masterlist__4[[#This Row],[Year1]])</f>
        <v>2019</v>
      </c>
      <c r="C1205" t="s">
        <v>34</v>
      </c>
      <c r="D1205" t="s">
        <v>131</v>
      </c>
      <c r="E1205">
        <v>59</v>
      </c>
    </row>
    <row r="1206" spans="1:5" x14ac:dyDescent="0.35">
      <c r="A1206" s="13">
        <v>43466</v>
      </c>
      <c r="B1206">
        <f>YEAR(Country_Masterlist__4[[#This Row],[Year1]])</f>
        <v>2019</v>
      </c>
      <c r="C1206" t="s">
        <v>33</v>
      </c>
      <c r="D1206" t="s">
        <v>132</v>
      </c>
      <c r="E1206">
        <v>123</v>
      </c>
    </row>
    <row r="1207" spans="1:5" x14ac:dyDescent="0.35">
      <c r="A1207" s="13">
        <v>43466</v>
      </c>
      <c r="B1207">
        <f>YEAR(Country_Masterlist__4[[#This Row],[Year1]])</f>
        <v>2019</v>
      </c>
      <c r="C1207" t="s">
        <v>35</v>
      </c>
      <c r="D1207" t="s">
        <v>133</v>
      </c>
      <c r="E1207">
        <v>6</v>
      </c>
    </row>
    <row r="1208" spans="1:5" x14ac:dyDescent="0.35">
      <c r="A1208" s="13">
        <v>43466</v>
      </c>
      <c r="B1208">
        <f>YEAR(Country_Masterlist__4[[#This Row],[Year1]])</f>
        <v>2019</v>
      </c>
      <c r="C1208" t="s">
        <v>37</v>
      </c>
      <c r="D1208" t="s">
        <v>134</v>
      </c>
      <c r="E1208">
        <v>44</v>
      </c>
    </row>
    <row r="1209" spans="1:5" x14ac:dyDescent="0.35">
      <c r="A1209" s="13">
        <v>43466</v>
      </c>
      <c r="B1209">
        <f>YEAR(Country_Masterlist__4[[#This Row],[Year1]])</f>
        <v>2019</v>
      </c>
      <c r="C1209" t="s">
        <v>33</v>
      </c>
      <c r="D1209" t="s">
        <v>135</v>
      </c>
      <c r="E1209">
        <v>107</v>
      </c>
    </row>
    <row r="1210" spans="1:5" x14ac:dyDescent="0.35">
      <c r="A1210" s="13">
        <v>43466</v>
      </c>
      <c r="B1210">
        <f>YEAR(Country_Masterlist__4[[#This Row],[Year1]])</f>
        <v>2019</v>
      </c>
      <c r="C1210" t="s">
        <v>33</v>
      </c>
      <c r="D1210" t="s">
        <v>136</v>
      </c>
      <c r="E1210">
        <v>17</v>
      </c>
    </row>
    <row r="1211" spans="1:5" x14ac:dyDescent="0.35">
      <c r="A1211" s="13">
        <v>43466</v>
      </c>
      <c r="B1211">
        <f>YEAR(Country_Masterlist__4[[#This Row],[Year1]])</f>
        <v>2019</v>
      </c>
      <c r="C1211" t="s">
        <v>36</v>
      </c>
      <c r="D1211" t="s">
        <v>14</v>
      </c>
      <c r="E1211">
        <v>312130</v>
      </c>
    </row>
    <row r="1212" spans="1:5" x14ac:dyDescent="0.35">
      <c r="A1212" s="13">
        <v>43466</v>
      </c>
      <c r="B1212">
        <f>YEAR(Country_Masterlist__4[[#This Row],[Year1]])</f>
        <v>2019</v>
      </c>
      <c r="C1212" t="s">
        <v>37</v>
      </c>
      <c r="D1212" t="s">
        <v>137</v>
      </c>
      <c r="E1212">
        <v>101</v>
      </c>
    </row>
    <row r="1213" spans="1:5" x14ac:dyDescent="0.35">
      <c r="A1213" s="13">
        <v>43466</v>
      </c>
      <c r="B1213">
        <f>YEAR(Country_Masterlist__4[[#This Row],[Year1]])</f>
        <v>2019</v>
      </c>
      <c r="C1213" t="s">
        <v>35</v>
      </c>
      <c r="D1213" t="s">
        <v>138</v>
      </c>
      <c r="E1213">
        <v>85</v>
      </c>
    </row>
    <row r="1214" spans="1:5" x14ac:dyDescent="0.35">
      <c r="A1214" s="13">
        <v>43466</v>
      </c>
      <c r="B1214">
        <f>YEAR(Country_Masterlist__4[[#This Row],[Year1]])</f>
        <v>2019</v>
      </c>
      <c r="C1214" t="s">
        <v>34</v>
      </c>
      <c r="D1214" t="s">
        <v>139</v>
      </c>
      <c r="E1214">
        <v>93</v>
      </c>
    </row>
    <row r="1215" spans="1:5" x14ac:dyDescent="0.35">
      <c r="A1215" s="13">
        <v>43466</v>
      </c>
      <c r="B1215">
        <f>YEAR(Country_Masterlist__4[[#This Row],[Year1]])</f>
        <v>2019</v>
      </c>
      <c r="C1215" t="s">
        <v>35</v>
      </c>
      <c r="D1215" t="s">
        <v>140</v>
      </c>
      <c r="E1215">
        <v>59</v>
      </c>
    </row>
    <row r="1216" spans="1:5" x14ac:dyDescent="0.35">
      <c r="A1216" s="13">
        <v>43466</v>
      </c>
      <c r="B1216">
        <f>YEAR(Country_Masterlist__4[[#This Row],[Year1]])</f>
        <v>2019</v>
      </c>
      <c r="C1216" t="s">
        <v>33</v>
      </c>
      <c r="D1216" t="s">
        <v>141</v>
      </c>
      <c r="E1216">
        <v>154</v>
      </c>
    </row>
    <row r="1217" spans="1:5" x14ac:dyDescent="0.35">
      <c r="A1217" s="13">
        <v>43466</v>
      </c>
      <c r="B1217">
        <f>YEAR(Country_Masterlist__4[[#This Row],[Year1]])</f>
        <v>2019</v>
      </c>
      <c r="C1217" t="s">
        <v>33</v>
      </c>
      <c r="D1217" t="s">
        <v>142</v>
      </c>
      <c r="E1217">
        <v>7</v>
      </c>
    </row>
    <row r="1218" spans="1:5" x14ac:dyDescent="0.35">
      <c r="A1218" s="13">
        <v>43466</v>
      </c>
      <c r="B1218">
        <f>YEAR(Country_Masterlist__4[[#This Row],[Year1]])</f>
        <v>2019</v>
      </c>
      <c r="C1218" t="s">
        <v>33</v>
      </c>
      <c r="D1218" t="s">
        <v>143</v>
      </c>
      <c r="E1218">
        <v>6</v>
      </c>
    </row>
    <row r="1219" spans="1:5" x14ac:dyDescent="0.35">
      <c r="A1219" s="13">
        <v>43466</v>
      </c>
      <c r="B1219">
        <f>YEAR(Country_Masterlist__4[[#This Row],[Year1]])</f>
        <v>2019</v>
      </c>
      <c r="C1219" t="s">
        <v>34</v>
      </c>
      <c r="D1219" t="s">
        <v>144</v>
      </c>
      <c r="E1219">
        <v>445</v>
      </c>
    </row>
    <row r="1220" spans="1:5" x14ac:dyDescent="0.35">
      <c r="A1220" s="13">
        <v>43466</v>
      </c>
      <c r="B1220">
        <f>YEAR(Country_Masterlist__4[[#This Row],[Year1]])</f>
        <v>2019</v>
      </c>
      <c r="C1220" t="s">
        <v>35</v>
      </c>
      <c r="D1220" t="s">
        <v>145</v>
      </c>
      <c r="E1220">
        <v>338</v>
      </c>
    </row>
    <row r="1221" spans="1:5" x14ac:dyDescent="0.35">
      <c r="A1221" s="13">
        <v>43466</v>
      </c>
      <c r="B1221">
        <f>YEAR(Country_Masterlist__4[[#This Row],[Year1]])</f>
        <v>2019</v>
      </c>
      <c r="C1221" t="s">
        <v>37</v>
      </c>
      <c r="D1221" t="s">
        <v>146</v>
      </c>
      <c r="E1221">
        <v>190</v>
      </c>
    </row>
    <row r="1222" spans="1:5" x14ac:dyDescent="0.35">
      <c r="A1222" s="13">
        <v>43466</v>
      </c>
      <c r="B1222">
        <f>YEAR(Country_Masterlist__4[[#This Row],[Year1]])</f>
        <v>2019</v>
      </c>
      <c r="C1222" t="s">
        <v>36</v>
      </c>
      <c r="D1222" t="s">
        <v>147</v>
      </c>
      <c r="E1222">
        <v>15641</v>
      </c>
    </row>
    <row r="1223" spans="1:5" x14ac:dyDescent="0.35">
      <c r="A1223" s="13">
        <v>43466</v>
      </c>
      <c r="B1223">
        <f>YEAR(Country_Masterlist__4[[#This Row],[Year1]])</f>
        <v>2019</v>
      </c>
      <c r="C1223" t="s">
        <v>33</v>
      </c>
      <c r="D1223" t="s">
        <v>148</v>
      </c>
      <c r="E1223">
        <v>38</v>
      </c>
    </row>
    <row r="1224" spans="1:5" x14ac:dyDescent="0.35">
      <c r="A1224" s="13">
        <v>43466</v>
      </c>
      <c r="B1224">
        <f>YEAR(Country_Masterlist__4[[#This Row],[Year1]])</f>
        <v>2019</v>
      </c>
      <c r="C1224" t="s">
        <v>33</v>
      </c>
      <c r="D1224" t="s">
        <v>149</v>
      </c>
      <c r="E1224">
        <v>1733</v>
      </c>
    </row>
    <row r="1225" spans="1:5" x14ac:dyDescent="0.35">
      <c r="A1225" s="13">
        <v>43466</v>
      </c>
      <c r="B1225">
        <f>YEAR(Country_Masterlist__4[[#This Row],[Year1]])</f>
        <v>2019</v>
      </c>
      <c r="C1225" t="s">
        <v>35</v>
      </c>
      <c r="D1225" t="s">
        <v>322</v>
      </c>
      <c r="E1225">
        <v>52</v>
      </c>
    </row>
    <row r="1226" spans="1:5" x14ac:dyDescent="0.35">
      <c r="A1226" s="13">
        <v>43466</v>
      </c>
      <c r="B1226">
        <f>YEAR(Country_Masterlist__4[[#This Row],[Year1]])</f>
        <v>2019</v>
      </c>
      <c r="C1226" t="s">
        <v>35</v>
      </c>
      <c r="D1226" t="s">
        <v>150</v>
      </c>
      <c r="E1226">
        <v>77</v>
      </c>
    </row>
    <row r="1227" spans="1:5" x14ac:dyDescent="0.35">
      <c r="A1227" s="13">
        <v>43466</v>
      </c>
      <c r="B1227">
        <f>YEAR(Country_Masterlist__4[[#This Row],[Year1]])</f>
        <v>2019</v>
      </c>
      <c r="C1227" t="s">
        <v>34</v>
      </c>
      <c r="D1227" t="s">
        <v>151</v>
      </c>
      <c r="E1227">
        <v>10</v>
      </c>
    </row>
    <row r="1228" spans="1:5" x14ac:dyDescent="0.35">
      <c r="A1228" s="13">
        <v>43466</v>
      </c>
      <c r="B1228">
        <f>YEAR(Country_Masterlist__4[[#This Row],[Year1]])</f>
        <v>2019</v>
      </c>
      <c r="C1228" t="s">
        <v>34</v>
      </c>
      <c r="D1228" t="s">
        <v>152</v>
      </c>
      <c r="E1228">
        <v>772</v>
      </c>
    </row>
    <row r="1229" spans="1:5" x14ac:dyDescent="0.35">
      <c r="A1229" s="13">
        <v>43466</v>
      </c>
      <c r="B1229">
        <f>YEAR(Country_Masterlist__4[[#This Row],[Year1]])</f>
        <v>2019</v>
      </c>
      <c r="C1229" t="s">
        <v>37</v>
      </c>
      <c r="D1229" t="s">
        <v>153</v>
      </c>
      <c r="E1229">
        <v>29</v>
      </c>
    </row>
    <row r="1230" spans="1:5" x14ac:dyDescent="0.35">
      <c r="A1230" s="13">
        <v>43466</v>
      </c>
      <c r="B1230">
        <f>YEAR(Country_Masterlist__4[[#This Row],[Year1]])</f>
        <v>2019</v>
      </c>
      <c r="C1230" t="s">
        <v>36</v>
      </c>
      <c r="D1230" t="s">
        <v>154</v>
      </c>
      <c r="E1230">
        <v>193</v>
      </c>
    </row>
    <row r="1231" spans="1:5" x14ac:dyDescent="0.35">
      <c r="A1231" s="13">
        <v>43466</v>
      </c>
      <c r="B1231">
        <f>YEAR(Country_Masterlist__4[[#This Row],[Year1]])</f>
        <v>2019</v>
      </c>
      <c r="C1231" t="s">
        <v>38</v>
      </c>
      <c r="D1231" t="s">
        <v>155</v>
      </c>
      <c r="E1231">
        <v>61</v>
      </c>
    </row>
    <row r="1232" spans="1:5" x14ac:dyDescent="0.35">
      <c r="A1232" s="13">
        <v>43466</v>
      </c>
      <c r="B1232">
        <f>YEAR(Country_Masterlist__4[[#This Row],[Year1]])</f>
        <v>2019</v>
      </c>
      <c r="C1232" t="s">
        <v>38</v>
      </c>
      <c r="D1232" t="s">
        <v>156</v>
      </c>
      <c r="E1232">
        <v>1822</v>
      </c>
    </row>
    <row r="1233" spans="1:5" x14ac:dyDescent="0.35">
      <c r="A1233" s="13">
        <v>43466</v>
      </c>
      <c r="B1233">
        <f>YEAR(Country_Masterlist__4[[#This Row],[Year1]])</f>
        <v>2019</v>
      </c>
      <c r="C1233" t="s">
        <v>34</v>
      </c>
      <c r="D1233" t="s">
        <v>18</v>
      </c>
      <c r="E1233">
        <v>1077</v>
      </c>
    </row>
    <row r="1234" spans="1:5" x14ac:dyDescent="0.35">
      <c r="A1234" s="13">
        <v>43466</v>
      </c>
      <c r="B1234">
        <f>YEAR(Country_Masterlist__4[[#This Row],[Year1]])</f>
        <v>2019</v>
      </c>
      <c r="C1234" t="s">
        <v>35</v>
      </c>
      <c r="D1234" t="s">
        <v>157</v>
      </c>
      <c r="E1234">
        <v>433</v>
      </c>
    </row>
    <row r="1235" spans="1:5" x14ac:dyDescent="0.35">
      <c r="A1235" s="13">
        <v>43466</v>
      </c>
      <c r="B1235">
        <f>YEAR(Country_Masterlist__4[[#This Row],[Year1]])</f>
        <v>2019</v>
      </c>
      <c r="C1235" t="s">
        <v>35</v>
      </c>
      <c r="D1235" t="s">
        <v>158</v>
      </c>
      <c r="E1235">
        <v>387</v>
      </c>
    </row>
    <row r="1236" spans="1:5" x14ac:dyDescent="0.35">
      <c r="A1236" s="13">
        <v>43466</v>
      </c>
      <c r="B1236">
        <f>YEAR(Country_Masterlist__4[[#This Row],[Year1]])</f>
        <v>2019</v>
      </c>
      <c r="C1236" t="s">
        <v>34</v>
      </c>
      <c r="D1236" t="s">
        <v>159</v>
      </c>
      <c r="E1236">
        <v>20</v>
      </c>
    </row>
    <row r="1237" spans="1:5" x14ac:dyDescent="0.35">
      <c r="A1237" s="13">
        <v>43466</v>
      </c>
      <c r="B1237">
        <f>YEAR(Country_Masterlist__4[[#This Row],[Year1]])</f>
        <v>2019</v>
      </c>
      <c r="C1237" t="s">
        <v>35</v>
      </c>
      <c r="D1237" t="s">
        <v>160</v>
      </c>
      <c r="E1237">
        <v>1146</v>
      </c>
    </row>
    <row r="1238" spans="1:5" x14ac:dyDescent="0.35">
      <c r="A1238" s="13">
        <v>43466</v>
      </c>
      <c r="B1238">
        <f>YEAR(Country_Masterlist__4[[#This Row],[Year1]])</f>
        <v>2019</v>
      </c>
      <c r="C1238" t="s">
        <v>35</v>
      </c>
      <c r="D1238" t="s">
        <v>161</v>
      </c>
      <c r="E1238">
        <v>1422</v>
      </c>
    </row>
    <row r="1239" spans="1:5" x14ac:dyDescent="0.35">
      <c r="A1239" s="13">
        <v>43466</v>
      </c>
      <c r="B1239">
        <f>YEAR(Country_Masterlist__4[[#This Row],[Year1]])</f>
        <v>2019</v>
      </c>
      <c r="C1239" t="s">
        <v>33</v>
      </c>
      <c r="D1239" t="s">
        <v>162</v>
      </c>
      <c r="E1239">
        <v>63</v>
      </c>
    </row>
    <row r="1240" spans="1:5" x14ac:dyDescent="0.35">
      <c r="A1240" s="13">
        <v>43466</v>
      </c>
      <c r="B1240">
        <f>YEAR(Country_Masterlist__4[[#This Row],[Year1]])</f>
        <v>2019</v>
      </c>
      <c r="C1240" t="s">
        <v>36</v>
      </c>
      <c r="D1240" t="s">
        <v>163</v>
      </c>
      <c r="E1240">
        <v>16</v>
      </c>
    </row>
    <row r="1241" spans="1:5" x14ac:dyDescent="0.35">
      <c r="A1241" s="13">
        <v>43466</v>
      </c>
      <c r="B1241">
        <f>YEAR(Country_Masterlist__4[[#This Row],[Year1]])</f>
        <v>2019</v>
      </c>
      <c r="C1241" t="s">
        <v>36</v>
      </c>
      <c r="D1241" t="s">
        <v>164</v>
      </c>
      <c r="E1241">
        <v>48</v>
      </c>
    </row>
    <row r="1242" spans="1:5" x14ac:dyDescent="0.35">
      <c r="A1242" s="13">
        <v>43466</v>
      </c>
      <c r="B1242">
        <f>YEAR(Country_Masterlist__4[[#This Row],[Year1]])</f>
        <v>2019</v>
      </c>
      <c r="C1242" t="s">
        <v>36</v>
      </c>
      <c r="D1242" t="s">
        <v>165</v>
      </c>
      <c r="E1242">
        <v>27</v>
      </c>
    </row>
    <row r="1243" spans="1:5" x14ac:dyDescent="0.35">
      <c r="A1243" s="13">
        <v>43466</v>
      </c>
      <c r="B1243">
        <f>YEAR(Country_Masterlist__4[[#This Row],[Year1]])</f>
        <v>2019</v>
      </c>
      <c r="C1243" t="s">
        <v>37</v>
      </c>
      <c r="D1243" t="s">
        <v>166</v>
      </c>
      <c r="E1243">
        <v>33</v>
      </c>
    </row>
    <row r="1244" spans="1:5" x14ac:dyDescent="0.35">
      <c r="A1244" s="13">
        <v>43466</v>
      </c>
      <c r="B1244">
        <f>YEAR(Country_Masterlist__4[[#This Row],[Year1]])</f>
        <v>2019</v>
      </c>
      <c r="C1244" t="s">
        <v>34</v>
      </c>
      <c r="D1244" t="s">
        <v>167</v>
      </c>
      <c r="E1244">
        <v>374</v>
      </c>
    </row>
    <row r="1245" spans="1:5" x14ac:dyDescent="0.35">
      <c r="A1245" s="13">
        <v>43466</v>
      </c>
      <c r="B1245">
        <f>YEAR(Country_Masterlist__4[[#This Row],[Year1]])</f>
        <v>2019</v>
      </c>
      <c r="C1245" t="s">
        <v>33</v>
      </c>
      <c r="D1245" t="s">
        <v>168</v>
      </c>
      <c r="E1245">
        <v>158</v>
      </c>
    </row>
    <row r="1246" spans="1:5" x14ac:dyDescent="0.35">
      <c r="A1246" s="13">
        <v>43466</v>
      </c>
      <c r="B1246">
        <f>YEAR(Country_Masterlist__4[[#This Row],[Year1]])</f>
        <v>2019</v>
      </c>
      <c r="C1246" t="s">
        <v>35</v>
      </c>
      <c r="D1246" t="s">
        <v>169</v>
      </c>
      <c r="E1246">
        <v>107</v>
      </c>
    </row>
    <row r="1247" spans="1:5" x14ac:dyDescent="0.35">
      <c r="A1247" s="13">
        <v>43466</v>
      </c>
      <c r="B1247">
        <f>YEAR(Country_Masterlist__4[[#This Row],[Year1]])</f>
        <v>2019</v>
      </c>
      <c r="C1247" t="s">
        <v>35</v>
      </c>
      <c r="D1247" t="s">
        <v>215</v>
      </c>
      <c r="E1247">
        <v>12</v>
      </c>
    </row>
    <row r="1248" spans="1:5" x14ac:dyDescent="0.35">
      <c r="A1248" s="13">
        <v>43466</v>
      </c>
      <c r="B1248">
        <f>YEAR(Country_Masterlist__4[[#This Row],[Year1]])</f>
        <v>2019</v>
      </c>
      <c r="C1248" t="s">
        <v>33</v>
      </c>
      <c r="D1248" t="s">
        <v>170</v>
      </c>
      <c r="E1248">
        <v>142</v>
      </c>
    </row>
    <row r="1249" spans="1:5" x14ac:dyDescent="0.35">
      <c r="A1249" s="13">
        <v>43466</v>
      </c>
      <c r="B1249">
        <f>YEAR(Country_Masterlist__4[[#This Row],[Year1]])</f>
        <v>2019</v>
      </c>
      <c r="C1249" t="s">
        <v>34</v>
      </c>
      <c r="D1249" t="s">
        <v>171</v>
      </c>
      <c r="E1249">
        <v>44</v>
      </c>
    </row>
    <row r="1250" spans="1:5" x14ac:dyDescent="0.35">
      <c r="A1250" s="13">
        <v>43466</v>
      </c>
      <c r="B1250">
        <f>YEAR(Country_Masterlist__4[[#This Row],[Year1]])</f>
        <v>2019</v>
      </c>
      <c r="C1250" t="s">
        <v>35</v>
      </c>
      <c r="D1250" t="s">
        <v>172</v>
      </c>
      <c r="E1250">
        <v>85</v>
      </c>
    </row>
    <row r="1251" spans="1:5" x14ac:dyDescent="0.35">
      <c r="A1251" s="13">
        <v>43466</v>
      </c>
      <c r="B1251">
        <f>YEAR(Country_Masterlist__4[[#This Row],[Year1]])</f>
        <v>2019</v>
      </c>
      <c r="C1251" t="s">
        <v>35</v>
      </c>
      <c r="D1251" t="s">
        <v>173</v>
      </c>
      <c r="E1251">
        <v>24</v>
      </c>
    </row>
    <row r="1252" spans="1:5" x14ac:dyDescent="0.35">
      <c r="A1252" s="13">
        <v>43466</v>
      </c>
      <c r="B1252">
        <f>YEAR(Country_Masterlist__4[[#This Row],[Year1]])</f>
        <v>2019</v>
      </c>
      <c r="C1252" t="s">
        <v>33</v>
      </c>
      <c r="D1252" t="s">
        <v>174</v>
      </c>
      <c r="E1252">
        <v>173</v>
      </c>
    </row>
    <row r="1253" spans="1:5" x14ac:dyDescent="0.35">
      <c r="A1253" s="13">
        <v>43466</v>
      </c>
      <c r="B1253">
        <f>YEAR(Country_Masterlist__4[[#This Row],[Year1]])</f>
        <v>2019</v>
      </c>
      <c r="C1253" t="s">
        <v>33</v>
      </c>
      <c r="D1253" t="s">
        <v>175</v>
      </c>
      <c r="E1253">
        <v>209</v>
      </c>
    </row>
    <row r="1254" spans="1:5" x14ac:dyDescent="0.35">
      <c r="A1254" s="13">
        <v>43466</v>
      </c>
      <c r="B1254">
        <f>YEAR(Country_Masterlist__4[[#This Row],[Year1]])</f>
        <v>2019</v>
      </c>
      <c r="C1254" t="s">
        <v>33</v>
      </c>
      <c r="D1254" t="s">
        <v>176</v>
      </c>
      <c r="E1254">
        <v>41</v>
      </c>
    </row>
    <row r="1255" spans="1:5" x14ac:dyDescent="0.35">
      <c r="A1255" s="13">
        <v>43466</v>
      </c>
      <c r="B1255">
        <f>YEAR(Country_Masterlist__4[[#This Row],[Year1]])</f>
        <v>2019</v>
      </c>
      <c r="C1255" t="s">
        <v>35</v>
      </c>
      <c r="D1255" t="s">
        <v>216</v>
      </c>
      <c r="E1255">
        <v>18</v>
      </c>
    </row>
    <row r="1256" spans="1:5" x14ac:dyDescent="0.35">
      <c r="A1256" s="13">
        <v>43466</v>
      </c>
      <c r="B1256">
        <f>YEAR(Country_Masterlist__4[[#This Row],[Year1]])</f>
        <v>2019</v>
      </c>
      <c r="C1256" t="s">
        <v>35</v>
      </c>
      <c r="D1256" t="s">
        <v>177</v>
      </c>
      <c r="E1256">
        <v>1700</v>
      </c>
    </row>
    <row r="1257" spans="1:5" x14ac:dyDescent="0.35">
      <c r="A1257" s="13">
        <v>43466</v>
      </c>
      <c r="B1257">
        <f>YEAR(Country_Masterlist__4[[#This Row],[Year1]])</f>
        <v>2019</v>
      </c>
      <c r="C1257" t="s">
        <v>34</v>
      </c>
      <c r="D1257" t="s">
        <v>178</v>
      </c>
      <c r="E1257">
        <v>563</v>
      </c>
    </row>
    <row r="1258" spans="1:5" x14ac:dyDescent="0.35">
      <c r="A1258" s="13">
        <v>43466</v>
      </c>
      <c r="B1258">
        <f>YEAR(Country_Masterlist__4[[#This Row],[Year1]])</f>
        <v>2019</v>
      </c>
      <c r="C1258" t="s">
        <v>33</v>
      </c>
      <c r="D1258" t="s">
        <v>179</v>
      </c>
      <c r="E1258">
        <v>136</v>
      </c>
    </row>
    <row r="1259" spans="1:5" x14ac:dyDescent="0.35">
      <c r="A1259" s="13">
        <v>43466</v>
      </c>
      <c r="B1259">
        <f>YEAR(Country_Masterlist__4[[#This Row],[Year1]])</f>
        <v>2019</v>
      </c>
      <c r="C1259" t="s">
        <v>38</v>
      </c>
      <c r="D1259" t="s">
        <v>180</v>
      </c>
      <c r="E1259">
        <v>15</v>
      </c>
    </row>
    <row r="1260" spans="1:5" x14ac:dyDescent="0.35">
      <c r="A1260" s="13">
        <v>43466</v>
      </c>
      <c r="B1260">
        <f>YEAR(Country_Masterlist__4[[#This Row],[Year1]])</f>
        <v>2019</v>
      </c>
      <c r="C1260" t="s">
        <v>33</v>
      </c>
      <c r="D1260" t="s">
        <v>181</v>
      </c>
      <c r="E1260" t="s">
        <v>205</v>
      </c>
    </row>
    <row r="1261" spans="1:5" x14ac:dyDescent="0.35">
      <c r="A1261" s="13">
        <v>43466</v>
      </c>
      <c r="B1261">
        <f>YEAR(Country_Masterlist__4[[#This Row],[Year1]])</f>
        <v>2019</v>
      </c>
      <c r="C1261" t="s">
        <v>35</v>
      </c>
      <c r="D1261" t="s">
        <v>182</v>
      </c>
      <c r="E1261">
        <v>208</v>
      </c>
    </row>
    <row r="1262" spans="1:5" x14ac:dyDescent="0.35">
      <c r="A1262" s="13">
        <v>43466</v>
      </c>
      <c r="B1262">
        <f>YEAR(Country_Masterlist__4[[#This Row],[Year1]])</f>
        <v>2019</v>
      </c>
      <c r="C1262" t="s">
        <v>35</v>
      </c>
      <c r="D1262" t="s">
        <v>183</v>
      </c>
      <c r="E1262">
        <v>102</v>
      </c>
    </row>
    <row r="1263" spans="1:5" x14ac:dyDescent="0.35">
      <c r="A1263" s="13">
        <v>43466</v>
      </c>
      <c r="B1263">
        <f>YEAR(Country_Masterlist__4[[#This Row],[Year1]])</f>
        <v>2019</v>
      </c>
      <c r="C1263" t="s">
        <v>34</v>
      </c>
      <c r="D1263" t="s">
        <v>184</v>
      </c>
      <c r="E1263">
        <v>176</v>
      </c>
    </row>
    <row r="1264" spans="1:5" x14ac:dyDescent="0.35">
      <c r="A1264" s="13">
        <v>43466</v>
      </c>
      <c r="B1264">
        <f>YEAR(Country_Masterlist__4[[#This Row],[Year1]])</f>
        <v>2019</v>
      </c>
      <c r="C1264" t="s">
        <v>34</v>
      </c>
      <c r="D1264" t="s">
        <v>185</v>
      </c>
      <c r="E1264">
        <v>663</v>
      </c>
    </row>
    <row r="1265" spans="1:5" x14ac:dyDescent="0.35">
      <c r="A1265" s="13">
        <v>43466</v>
      </c>
      <c r="B1265">
        <f>YEAR(Country_Masterlist__4[[#This Row],[Year1]])</f>
        <v>2019</v>
      </c>
      <c r="C1265" t="s">
        <v>34</v>
      </c>
      <c r="D1265" t="s">
        <v>186</v>
      </c>
      <c r="E1265">
        <v>37</v>
      </c>
    </row>
    <row r="1266" spans="1:5" x14ac:dyDescent="0.35">
      <c r="A1266" s="13">
        <v>43466</v>
      </c>
      <c r="B1266">
        <f>YEAR(Country_Masterlist__4[[#This Row],[Year1]])</f>
        <v>2019</v>
      </c>
      <c r="C1266" t="s">
        <v>33</v>
      </c>
      <c r="D1266" t="s">
        <v>187</v>
      </c>
      <c r="E1266">
        <v>45</v>
      </c>
    </row>
    <row r="1267" spans="1:5" x14ac:dyDescent="0.35">
      <c r="A1267" s="13">
        <v>43466</v>
      </c>
      <c r="B1267">
        <f>YEAR(Country_Masterlist__4[[#This Row],[Year1]])</f>
        <v>2019</v>
      </c>
      <c r="C1267" t="s">
        <v>34</v>
      </c>
      <c r="D1267" t="s">
        <v>188</v>
      </c>
      <c r="E1267">
        <v>367</v>
      </c>
    </row>
    <row r="1268" spans="1:5" x14ac:dyDescent="0.35">
      <c r="A1268" s="13">
        <v>43466</v>
      </c>
      <c r="B1268">
        <f>YEAR(Country_Masterlist__4[[#This Row],[Year1]])</f>
        <v>2019</v>
      </c>
      <c r="C1268" t="s">
        <v>33</v>
      </c>
      <c r="D1268" t="s">
        <v>189</v>
      </c>
      <c r="E1268">
        <v>61</v>
      </c>
    </row>
    <row r="1269" spans="1:5" x14ac:dyDescent="0.35">
      <c r="A1269" s="13">
        <v>43466</v>
      </c>
      <c r="B1269">
        <f>YEAR(Country_Masterlist__4[[#This Row],[Year1]])</f>
        <v>2019</v>
      </c>
      <c r="C1269" t="s">
        <v>37</v>
      </c>
      <c r="D1269" t="s">
        <v>190</v>
      </c>
      <c r="E1269">
        <v>67</v>
      </c>
    </row>
    <row r="1270" spans="1:5" x14ac:dyDescent="0.35">
      <c r="A1270" s="13">
        <v>43466</v>
      </c>
      <c r="B1270">
        <f>YEAR(Country_Masterlist__4[[#This Row],[Year1]])</f>
        <v>2019</v>
      </c>
      <c r="C1270" t="s">
        <v>36</v>
      </c>
      <c r="D1270" t="s">
        <v>191</v>
      </c>
      <c r="E1270">
        <v>273</v>
      </c>
    </row>
    <row r="1271" spans="1:5" x14ac:dyDescent="0.35">
      <c r="A1271" s="13">
        <v>43466</v>
      </c>
      <c r="B1271">
        <f>YEAR(Country_Masterlist__4[[#This Row],[Year1]])</f>
        <v>2019</v>
      </c>
      <c r="C1271" t="s">
        <v>33</v>
      </c>
      <c r="D1271" t="s">
        <v>192</v>
      </c>
      <c r="E1271">
        <v>88</v>
      </c>
    </row>
    <row r="1272" spans="1:5" x14ac:dyDescent="0.35">
      <c r="A1272" s="13">
        <v>43466</v>
      </c>
      <c r="B1272">
        <f>YEAR(Country_Masterlist__4[[#This Row],[Year1]])</f>
        <v>2019</v>
      </c>
      <c r="C1272" t="s">
        <v>34</v>
      </c>
      <c r="D1272" t="s">
        <v>193</v>
      </c>
      <c r="E1272">
        <v>766</v>
      </c>
    </row>
    <row r="1273" spans="1:5" x14ac:dyDescent="0.35">
      <c r="A1273" s="13">
        <v>43466</v>
      </c>
      <c r="B1273">
        <f>YEAR(Country_Masterlist__4[[#This Row],[Year1]])</f>
        <v>2019</v>
      </c>
      <c r="C1273" t="s">
        <v>34</v>
      </c>
      <c r="D1273" t="s">
        <v>194</v>
      </c>
      <c r="E1273">
        <v>40</v>
      </c>
    </row>
    <row r="1274" spans="1:5" x14ac:dyDescent="0.35">
      <c r="A1274" s="13">
        <v>43466</v>
      </c>
      <c r="B1274">
        <f>YEAR(Country_Masterlist__4[[#This Row],[Year1]])</f>
        <v>2019</v>
      </c>
      <c r="C1274" t="s">
        <v>33</v>
      </c>
      <c r="D1274" t="s">
        <v>195</v>
      </c>
      <c r="E1274">
        <v>180</v>
      </c>
    </row>
    <row r="1275" spans="1:5" x14ac:dyDescent="0.35">
      <c r="A1275" s="13">
        <v>43466</v>
      </c>
      <c r="B1275">
        <f>YEAR(Country_Masterlist__4[[#This Row],[Year1]])</f>
        <v>2019</v>
      </c>
      <c r="C1275" t="s">
        <v>35</v>
      </c>
      <c r="D1275" t="s">
        <v>196</v>
      </c>
      <c r="E1275">
        <v>626</v>
      </c>
    </row>
    <row r="1276" spans="1:5" x14ac:dyDescent="0.35">
      <c r="A1276" s="13">
        <v>43466</v>
      </c>
      <c r="B1276">
        <f>YEAR(Country_Masterlist__4[[#This Row],[Year1]])</f>
        <v>2019</v>
      </c>
      <c r="C1276" t="s">
        <v>34</v>
      </c>
      <c r="D1276" t="s">
        <v>197</v>
      </c>
      <c r="E1276">
        <v>34</v>
      </c>
    </row>
    <row r="1277" spans="1:5" x14ac:dyDescent="0.35">
      <c r="A1277" s="13">
        <v>43466</v>
      </c>
      <c r="B1277">
        <f>YEAR(Country_Masterlist__4[[#This Row],[Year1]])</f>
        <v>2019</v>
      </c>
      <c r="C1277" t="s">
        <v>35</v>
      </c>
      <c r="D1277" t="s">
        <v>198</v>
      </c>
      <c r="E1277">
        <v>1696</v>
      </c>
    </row>
    <row r="1278" spans="1:5" x14ac:dyDescent="0.35">
      <c r="A1278" s="13">
        <v>43466</v>
      </c>
      <c r="B1278">
        <f>YEAR(Country_Masterlist__4[[#This Row],[Year1]])</f>
        <v>2019</v>
      </c>
      <c r="C1278" t="s">
        <v>39</v>
      </c>
      <c r="D1278" t="s">
        <v>39</v>
      </c>
      <c r="E1278">
        <v>1465</v>
      </c>
    </row>
    <row r="1279" spans="1:5" x14ac:dyDescent="0.35">
      <c r="A1279" s="13">
        <v>43466</v>
      </c>
      <c r="B1279">
        <f>YEAR(Country_Masterlist__4[[#This Row],[Year1]])</f>
        <v>2019</v>
      </c>
      <c r="C1279" t="s">
        <v>38</v>
      </c>
      <c r="D1279" t="s">
        <v>199</v>
      </c>
      <c r="E1279">
        <v>133</v>
      </c>
    </row>
    <row r="1280" spans="1:5" x14ac:dyDescent="0.35">
      <c r="A1280" s="13">
        <v>43466</v>
      </c>
      <c r="B1280">
        <f>YEAR(Country_Masterlist__4[[#This Row],[Year1]])</f>
        <v>2019</v>
      </c>
      <c r="C1280" t="s">
        <v>34</v>
      </c>
      <c r="D1280" t="s">
        <v>200</v>
      </c>
      <c r="E1280">
        <v>727</v>
      </c>
    </row>
    <row r="1281" spans="1:5" x14ac:dyDescent="0.35">
      <c r="A1281" s="13">
        <v>43466</v>
      </c>
      <c r="B1281">
        <f>YEAR(Country_Masterlist__4[[#This Row],[Year1]])</f>
        <v>2019</v>
      </c>
      <c r="C1281" t="s">
        <v>38</v>
      </c>
      <c r="D1281" t="s">
        <v>19</v>
      </c>
      <c r="E1281">
        <v>10465</v>
      </c>
    </row>
    <row r="1282" spans="1:5" x14ac:dyDescent="0.35">
      <c r="A1282" s="13">
        <v>43466</v>
      </c>
      <c r="B1282">
        <f>YEAR(Country_Masterlist__4[[#This Row],[Year1]])</f>
        <v>2019</v>
      </c>
      <c r="C1282" t="s">
        <v>34</v>
      </c>
      <c r="D1282" t="s">
        <v>201</v>
      </c>
      <c r="E1282">
        <v>1292</v>
      </c>
    </row>
    <row r="1283" spans="1:5" x14ac:dyDescent="0.35">
      <c r="A1283" s="13">
        <v>43466</v>
      </c>
      <c r="B1283">
        <f>YEAR(Country_Masterlist__4[[#This Row],[Year1]])</f>
        <v>2019</v>
      </c>
      <c r="C1283" t="s">
        <v>34</v>
      </c>
      <c r="D1283" t="s">
        <v>202</v>
      </c>
      <c r="E1283">
        <v>103</v>
      </c>
    </row>
    <row r="1284" spans="1:5" x14ac:dyDescent="0.35">
      <c r="A1284" s="13">
        <v>43466</v>
      </c>
      <c r="B1284">
        <f>YEAR(Country_Masterlist__4[[#This Row],[Year1]])</f>
        <v>2019</v>
      </c>
      <c r="C1284" t="s">
        <v>33</v>
      </c>
      <c r="D1284" t="s">
        <v>203</v>
      </c>
      <c r="E1284">
        <v>49</v>
      </c>
    </row>
    <row r="1285" spans="1:5" x14ac:dyDescent="0.35">
      <c r="A1285" s="13">
        <v>43466</v>
      </c>
      <c r="B1285">
        <f>YEAR(Country_Masterlist__4[[#This Row],[Year1]])</f>
        <v>2019</v>
      </c>
      <c r="C1285" t="s">
        <v>33</v>
      </c>
      <c r="D1285" t="s">
        <v>204</v>
      </c>
      <c r="E1285">
        <v>63</v>
      </c>
    </row>
    <row r="1286" spans="1:5" x14ac:dyDescent="0.35">
      <c r="A1286" s="13">
        <v>43831</v>
      </c>
      <c r="B1286">
        <f>YEAR(Country_Masterlist__4[[#This Row],[Year1]])</f>
        <v>2020</v>
      </c>
      <c r="C1286" t="s">
        <v>34</v>
      </c>
      <c r="D1286" t="s">
        <v>40</v>
      </c>
      <c r="E1286">
        <v>63</v>
      </c>
    </row>
    <row r="1287" spans="1:5" x14ac:dyDescent="0.35">
      <c r="A1287" s="13">
        <v>43831</v>
      </c>
      <c r="B1287">
        <f>YEAR(Country_Masterlist__4[[#This Row],[Year1]])</f>
        <v>2020</v>
      </c>
      <c r="C1287" t="s">
        <v>35</v>
      </c>
      <c r="D1287" t="s">
        <v>41</v>
      </c>
      <c r="E1287">
        <v>118</v>
      </c>
    </row>
    <row r="1288" spans="1:5" x14ac:dyDescent="0.35">
      <c r="A1288" s="13">
        <v>43831</v>
      </c>
      <c r="B1288">
        <f>YEAR(Country_Masterlist__4[[#This Row],[Year1]])</f>
        <v>2020</v>
      </c>
      <c r="C1288" t="s">
        <v>33</v>
      </c>
      <c r="D1288" t="s">
        <v>42</v>
      </c>
      <c r="E1288">
        <v>218</v>
      </c>
    </row>
    <row r="1289" spans="1:5" x14ac:dyDescent="0.35">
      <c r="A1289" s="13">
        <v>43831</v>
      </c>
      <c r="B1289">
        <f>YEAR(Country_Masterlist__4[[#This Row],[Year1]])</f>
        <v>2020</v>
      </c>
      <c r="D1289" t="s">
        <v>373</v>
      </c>
      <c r="E1289">
        <v>15</v>
      </c>
    </row>
    <row r="1290" spans="1:5" x14ac:dyDescent="0.35">
      <c r="A1290" s="13">
        <v>43831</v>
      </c>
      <c r="B1290">
        <f>YEAR(Country_Masterlist__4[[#This Row],[Year1]])</f>
        <v>2020</v>
      </c>
      <c r="C1290" t="s">
        <v>33</v>
      </c>
      <c r="D1290" t="s">
        <v>43</v>
      </c>
      <c r="E1290">
        <v>531</v>
      </c>
    </row>
    <row r="1291" spans="1:5" x14ac:dyDescent="0.35">
      <c r="A1291" s="13">
        <v>43831</v>
      </c>
      <c r="B1291">
        <f>YEAR(Country_Masterlist__4[[#This Row],[Year1]])</f>
        <v>2020</v>
      </c>
      <c r="C1291" t="s">
        <v>36</v>
      </c>
      <c r="D1291" t="s">
        <v>44</v>
      </c>
      <c r="E1291">
        <v>20</v>
      </c>
    </row>
    <row r="1292" spans="1:5" x14ac:dyDescent="0.35">
      <c r="A1292" s="13">
        <v>43831</v>
      </c>
      <c r="B1292">
        <f>YEAR(Country_Masterlist__4[[#This Row],[Year1]])</f>
        <v>2020</v>
      </c>
      <c r="C1292" t="s">
        <v>38</v>
      </c>
      <c r="D1292" t="s">
        <v>45</v>
      </c>
      <c r="E1292">
        <v>423</v>
      </c>
    </row>
    <row r="1293" spans="1:5" x14ac:dyDescent="0.35">
      <c r="A1293" s="13">
        <v>43831</v>
      </c>
      <c r="B1293">
        <f>YEAR(Country_Masterlist__4[[#This Row],[Year1]])</f>
        <v>2020</v>
      </c>
      <c r="C1293" t="s">
        <v>34</v>
      </c>
      <c r="D1293" t="s">
        <v>46</v>
      </c>
      <c r="E1293">
        <v>214</v>
      </c>
    </row>
    <row r="1294" spans="1:5" x14ac:dyDescent="0.35">
      <c r="A1294" s="13">
        <v>43831</v>
      </c>
      <c r="B1294">
        <f>YEAR(Country_Masterlist__4[[#This Row],[Year1]])</f>
        <v>2020</v>
      </c>
      <c r="C1294" t="s">
        <v>37</v>
      </c>
      <c r="D1294" t="s">
        <v>47</v>
      </c>
      <c r="E1294">
        <v>394</v>
      </c>
    </row>
    <row r="1295" spans="1:5" x14ac:dyDescent="0.35">
      <c r="A1295" s="13">
        <v>43831</v>
      </c>
      <c r="B1295">
        <f>YEAR(Country_Masterlist__4[[#This Row],[Year1]])</f>
        <v>2020</v>
      </c>
      <c r="C1295" t="s">
        <v>35</v>
      </c>
      <c r="D1295" t="s">
        <v>48</v>
      </c>
      <c r="E1295">
        <v>38</v>
      </c>
    </row>
    <row r="1296" spans="1:5" x14ac:dyDescent="0.35">
      <c r="A1296" s="13">
        <v>43831</v>
      </c>
      <c r="B1296">
        <f>YEAR(Country_Masterlist__4[[#This Row],[Year1]])</f>
        <v>2020</v>
      </c>
      <c r="C1296" t="s">
        <v>34</v>
      </c>
      <c r="D1296" t="s">
        <v>49</v>
      </c>
      <c r="E1296">
        <v>30</v>
      </c>
    </row>
    <row r="1297" spans="1:5" x14ac:dyDescent="0.35">
      <c r="A1297" s="13">
        <v>43831</v>
      </c>
      <c r="B1297">
        <f>YEAR(Country_Masterlist__4[[#This Row],[Year1]])</f>
        <v>2020</v>
      </c>
      <c r="C1297" t="s">
        <v>36</v>
      </c>
      <c r="D1297" t="s">
        <v>50</v>
      </c>
      <c r="E1297">
        <v>271</v>
      </c>
    </row>
    <row r="1298" spans="1:5" x14ac:dyDescent="0.35">
      <c r="A1298" s="13">
        <v>43831</v>
      </c>
      <c r="B1298">
        <f>YEAR(Country_Masterlist__4[[#This Row],[Year1]])</f>
        <v>2020</v>
      </c>
      <c r="C1298" t="s">
        <v>34</v>
      </c>
      <c r="D1298" t="s">
        <v>51</v>
      </c>
      <c r="E1298" t="s">
        <v>205</v>
      </c>
    </row>
    <row r="1299" spans="1:5" x14ac:dyDescent="0.35">
      <c r="A1299" s="13">
        <v>43831</v>
      </c>
      <c r="B1299">
        <f>YEAR(Country_Masterlist__4[[#This Row],[Year1]])</f>
        <v>2020</v>
      </c>
      <c r="C1299" t="s">
        <v>34</v>
      </c>
      <c r="D1299" t="s">
        <v>52</v>
      </c>
      <c r="E1299">
        <v>795</v>
      </c>
    </row>
    <row r="1300" spans="1:5" x14ac:dyDescent="0.35">
      <c r="A1300" s="13">
        <v>43831</v>
      </c>
      <c r="B1300">
        <f>YEAR(Country_Masterlist__4[[#This Row],[Year1]])</f>
        <v>2020</v>
      </c>
      <c r="C1300" t="s">
        <v>36</v>
      </c>
      <c r="D1300" t="s">
        <v>53</v>
      </c>
      <c r="E1300">
        <v>17</v>
      </c>
    </row>
    <row r="1301" spans="1:5" x14ac:dyDescent="0.35">
      <c r="A1301" s="13">
        <v>43831</v>
      </c>
      <c r="B1301">
        <f>YEAR(Country_Masterlist__4[[#This Row],[Year1]])</f>
        <v>2020</v>
      </c>
      <c r="C1301" t="s">
        <v>35</v>
      </c>
      <c r="D1301" t="s">
        <v>54</v>
      </c>
      <c r="E1301">
        <v>38</v>
      </c>
    </row>
    <row r="1302" spans="1:5" x14ac:dyDescent="0.35">
      <c r="A1302" s="13">
        <v>43831</v>
      </c>
      <c r="B1302">
        <f>YEAR(Country_Masterlist__4[[#This Row],[Year1]])</f>
        <v>2020</v>
      </c>
      <c r="C1302" t="s">
        <v>35</v>
      </c>
      <c r="D1302" t="s">
        <v>55</v>
      </c>
      <c r="E1302">
        <v>65</v>
      </c>
    </row>
    <row r="1303" spans="1:5" x14ac:dyDescent="0.35">
      <c r="A1303" s="13">
        <v>43831</v>
      </c>
      <c r="B1303">
        <f>YEAR(Country_Masterlist__4[[#This Row],[Year1]])</f>
        <v>2020</v>
      </c>
      <c r="C1303" t="s">
        <v>36</v>
      </c>
      <c r="D1303" t="s">
        <v>56</v>
      </c>
      <c r="E1303">
        <v>169</v>
      </c>
    </row>
    <row r="1304" spans="1:5" x14ac:dyDescent="0.35">
      <c r="A1304" s="13">
        <v>43831</v>
      </c>
      <c r="B1304">
        <f>YEAR(Country_Masterlist__4[[#This Row],[Year1]])</f>
        <v>2020</v>
      </c>
      <c r="C1304" t="s">
        <v>33</v>
      </c>
      <c r="D1304" t="s">
        <v>57</v>
      </c>
      <c r="E1304">
        <v>36</v>
      </c>
    </row>
    <row r="1305" spans="1:5" x14ac:dyDescent="0.35">
      <c r="A1305" s="13">
        <v>43831</v>
      </c>
      <c r="B1305">
        <f>YEAR(Country_Masterlist__4[[#This Row],[Year1]])</f>
        <v>2020</v>
      </c>
      <c r="C1305" t="s">
        <v>34</v>
      </c>
      <c r="D1305" t="s">
        <v>58</v>
      </c>
      <c r="E1305">
        <v>14</v>
      </c>
    </row>
    <row r="1306" spans="1:5" x14ac:dyDescent="0.35">
      <c r="A1306" s="13">
        <v>43831</v>
      </c>
      <c r="B1306">
        <f>YEAR(Country_Masterlist__4[[#This Row],[Year1]])</f>
        <v>2020</v>
      </c>
      <c r="C1306" t="s">
        <v>38</v>
      </c>
      <c r="D1306" t="s">
        <v>59</v>
      </c>
      <c r="E1306">
        <v>135</v>
      </c>
    </row>
    <row r="1307" spans="1:5" x14ac:dyDescent="0.35">
      <c r="A1307" s="13">
        <v>43831</v>
      </c>
      <c r="B1307">
        <f>YEAR(Country_Masterlist__4[[#This Row],[Year1]])</f>
        <v>2020</v>
      </c>
      <c r="C1307" t="s">
        <v>35</v>
      </c>
      <c r="D1307" t="s">
        <v>60</v>
      </c>
      <c r="E1307">
        <v>84</v>
      </c>
    </row>
    <row r="1308" spans="1:5" x14ac:dyDescent="0.35">
      <c r="A1308" s="13">
        <v>43831</v>
      </c>
      <c r="B1308">
        <f>YEAR(Country_Masterlist__4[[#This Row],[Year1]])</f>
        <v>2020</v>
      </c>
      <c r="C1308" t="s">
        <v>33</v>
      </c>
      <c r="D1308" t="s">
        <v>61</v>
      </c>
      <c r="E1308">
        <v>8</v>
      </c>
    </row>
    <row r="1309" spans="1:5" x14ac:dyDescent="0.35">
      <c r="A1309" s="13">
        <v>43831</v>
      </c>
      <c r="B1309">
        <f>YEAR(Country_Masterlist__4[[#This Row],[Year1]])</f>
        <v>2020</v>
      </c>
      <c r="C1309" t="s">
        <v>38</v>
      </c>
      <c r="D1309" t="s">
        <v>21</v>
      </c>
      <c r="E1309">
        <v>9228</v>
      </c>
    </row>
    <row r="1310" spans="1:5" x14ac:dyDescent="0.35">
      <c r="A1310" s="13">
        <v>43831</v>
      </c>
      <c r="B1310">
        <f>YEAR(Country_Masterlist__4[[#This Row],[Year1]])</f>
        <v>2020</v>
      </c>
      <c r="C1310" t="s">
        <v>35</v>
      </c>
      <c r="D1310" t="s">
        <v>62</v>
      </c>
      <c r="E1310">
        <v>53</v>
      </c>
    </row>
    <row r="1311" spans="1:5" x14ac:dyDescent="0.35">
      <c r="A1311" s="13">
        <v>43831</v>
      </c>
      <c r="B1311">
        <f>YEAR(Country_Masterlist__4[[#This Row],[Year1]])</f>
        <v>2020</v>
      </c>
      <c r="C1311" t="s">
        <v>33</v>
      </c>
      <c r="D1311" t="s">
        <v>63</v>
      </c>
      <c r="E1311">
        <v>62</v>
      </c>
    </row>
    <row r="1312" spans="1:5" x14ac:dyDescent="0.35">
      <c r="A1312" s="13">
        <v>43831</v>
      </c>
      <c r="B1312">
        <f>YEAR(Country_Masterlist__4[[#This Row],[Year1]])</f>
        <v>2020</v>
      </c>
      <c r="C1312" t="s">
        <v>34</v>
      </c>
      <c r="D1312" t="s">
        <v>64</v>
      </c>
      <c r="E1312">
        <v>88</v>
      </c>
    </row>
    <row r="1313" spans="1:5" x14ac:dyDescent="0.35">
      <c r="A1313" s="13">
        <v>43831</v>
      </c>
      <c r="B1313">
        <f>YEAR(Country_Masterlist__4[[#This Row],[Year1]])</f>
        <v>2020</v>
      </c>
      <c r="C1313" t="s">
        <v>33</v>
      </c>
      <c r="D1313" t="s">
        <v>65</v>
      </c>
      <c r="E1313">
        <v>23</v>
      </c>
    </row>
    <row r="1314" spans="1:5" x14ac:dyDescent="0.35">
      <c r="A1314" s="13">
        <v>43831</v>
      </c>
      <c r="B1314">
        <f>YEAR(Country_Masterlist__4[[#This Row],[Year1]])</f>
        <v>2020</v>
      </c>
      <c r="C1314" t="s">
        <v>33</v>
      </c>
      <c r="D1314" t="s">
        <v>66</v>
      </c>
      <c r="E1314">
        <v>56</v>
      </c>
    </row>
    <row r="1315" spans="1:5" x14ac:dyDescent="0.35">
      <c r="A1315" s="13">
        <v>43831</v>
      </c>
      <c r="B1315">
        <f>YEAR(Country_Masterlist__4[[#This Row],[Year1]])</f>
        <v>2020</v>
      </c>
      <c r="C1315" t="s">
        <v>34</v>
      </c>
      <c r="D1315" t="s">
        <v>67</v>
      </c>
      <c r="E1315">
        <v>110</v>
      </c>
    </row>
    <row r="1316" spans="1:5" x14ac:dyDescent="0.35">
      <c r="A1316" s="13">
        <v>43831</v>
      </c>
      <c r="B1316">
        <f>YEAR(Country_Masterlist__4[[#This Row],[Year1]])</f>
        <v>2020</v>
      </c>
      <c r="C1316" t="s">
        <v>33</v>
      </c>
      <c r="D1316" t="s">
        <v>68</v>
      </c>
      <c r="E1316">
        <v>1307</v>
      </c>
    </row>
    <row r="1317" spans="1:5" x14ac:dyDescent="0.35">
      <c r="A1317" s="13">
        <v>43831</v>
      </c>
      <c r="B1317">
        <f>YEAR(Country_Masterlist__4[[#This Row],[Year1]])</f>
        <v>2020</v>
      </c>
      <c r="C1317" t="s">
        <v>36</v>
      </c>
      <c r="D1317" t="s">
        <v>69</v>
      </c>
      <c r="E1317">
        <v>8693</v>
      </c>
    </row>
    <row r="1318" spans="1:5" x14ac:dyDescent="0.35">
      <c r="A1318" s="13">
        <v>43831</v>
      </c>
      <c r="B1318">
        <f>YEAR(Country_Masterlist__4[[#This Row],[Year1]])</f>
        <v>2020</v>
      </c>
      <c r="C1318" t="s">
        <v>33</v>
      </c>
      <c r="D1318" t="s">
        <v>70</v>
      </c>
      <c r="E1318">
        <v>12</v>
      </c>
    </row>
    <row r="1319" spans="1:5" x14ac:dyDescent="0.35">
      <c r="A1319" s="13">
        <v>43831</v>
      </c>
      <c r="B1319">
        <f>YEAR(Country_Masterlist__4[[#This Row],[Year1]])</f>
        <v>2020</v>
      </c>
      <c r="C1319" t="s">
        <v>33</v>
      </c>
      <c r="D1319" t="s">
        <v>71</v>
      </c>
      <c r="E1319">
        <v>11</v>
      </c>
    </row>
    <row r="1320" spans="1:5" x14ac:dyDescent="0.35">
      <c r="A1320" s="13">
        <v>43831</v>
      </c>
      <c r="B1320">
        <f>YEAR(Country_Masterlist__4[[#This Row],[Year1]])</f>
        <v>2020</v>
      </c>
      <c r="C1320" t="s">
        <v>38</v>
      </c>
      <c r="D1320" t="s">
        <v>72</v>
      </c>
      <c r="E1320">
        <v>1345</v>
      </c>
    </row>
    <row r="1321" spans="1:5" x14ac:dyDescent="0.35">
      <c r="A1321" s="13">
        <v>43831</v>
      </c>
      <c r="B1321">
        <f>YEAR(Country_Masterlist__4[[#This Row],[Year1]])</f>
        <v>2020</v>
      </c>
      <c r="C1321" t="s">
        <v>34</v>
      </c>
      <c r="D1321" t="s">
        <v>73</v>
      </c>
      <c r="E1321">
        <v>3871</v>
      </c>
    </row>
    <row r="1322" spans="1:5" x14ac:dyDescent="0.35">
      <c r="A1322" s="13">
        <v>43831</v>
      </c>
      <c r="B1322">
        <f>YEAR(Country_Masterlist__4[[#This Row],[Year1]])</f>
        <v>2020</v>
      </c>
      <c r="C1322" t="s">
        <v>38</v>
      </c>
      <c r="D1322" t="s">
        <v>20</v>
      </c>
      <c r="E1322">
        <v>2970</v>
      </c>
    </row>
    <row r="1323" spans="1:5" x14ac:dyDescent="0.35">
      <c r="A1323" s="13">
        <v>43831</v>
      </c>
      <c r="B1323">
        <f>YEAR(Country_Masterlist__4[[#This Row],[Year1]])</f>
        <v>2020</v>
      </c>
      <c r="C1323" t="s">
        <v>33</v>
      </c>
      <c r="D1323" t="s">
        <v>74</v>
      </c>
      <c r="E1323">
        <v>574</v>
      </c>
    </row>
    <row r="1324" spans="1:5" x14ac:dyDescent="0.35">
      <c r="A1324" s="13">
        <v>43831</v>
      </c>
      <c r="B1324">
        <f>YEAR(Country_Masterlist__4[[#This Row],[Year1]])</f>
        <v>2020</v>
      </c>
      <c r="C1324" t="s">
        <v>33</v>
      </c>
      <c r="D1324" t="s">
        <v>75</v>
      </c>
      <c r="E1324">
        <v>143</v>
      </c>
    </row>
    <row r="1325" spans="1:5" x14ac:dyDescent="0.35">
      <c r="A1325" s="13">
        <v>43831</v>
      </c>
      <c r="B1325">
        <f>YEAR(Country_Masterlist__4[[#This Row],[Year1]])</f>
        <v>2020</v>
      </c>
      <c r="C1325" t="s">
        <v>36</v>
      </c>
      <c r="D1325" t="s">
        <v>76</v>
      </c>
      <c r="E1325">
        <v>395</v>
      </c>
    </row>
    <row r="1326" spans="1:5" x14ac:dyDescent="0.35">
      <c r="A1326" s="13">
        <v>43831</v>
      </c>
      <c r="B1326">
        <f>YEAR(Country_Masterlist__4[[#This Row],[Year1]])</f>
        <v>2020</v>
      </c>
      <c r="C1326" t="s">
        <v>33</v>
      </c>
      <c r="D1326" t="s">
        <v>77</v>
      </c>
      <c r="E1326">
        <v>79</v>
      </c>
    </row>
    <row r="1327" spans="1:5" x14ac:dyDescent="0.35">
      <c r="A1327" s="13">
        <v>43831</v>
      </c>
      <c r="B1327">
        <f>YEAR(Country_Masterlist__4[[#This Row],[Year1]])</f>
        <v>2020</v>
      </c>
      <c r="C1327" t="s">
        <v>35</v>
      </c>
      <c r="D1327" t="s">
        <v>78</v>
      </c>
      <c r="E1327">
        <v>26</v>
      </c>
    </row>
    <row r="1328" spans="1:5" x14ac:dyDescent="0.35">
      <c r="A1328" s="13">
        <v>43831</v>
      </c>
      <c r="B1328">
        <f>YEAR(Country_Masterlist__4[[#This Row],[Year1]])</f>
        <v>2020</v>
      </c>
      <c r="C1328" t="s">
        <v>36</v>
      </c>
      <c r="D1328" t="s">
        <v>79</v>
      </c>
      <c r="E1328">
        <v>15048</v>
      </c>
    </row>
    <row r="1329" spans="1:5" x14ac:dyDescent="0.35">
      <c r="A1329" s="13">
        <v>43831</v>
      </c>
      <c r="B1329">
        <f>YEAR(Country_Masterlist__4[[#This Row],[Year1]])</f>
        <v>2020</v>
      </c>
      <c r="C1329" t="s">
        <v>34</v>
      </c>
      <c r="D1329" t="s">
        <v>80</v>
      </c>
      <c r="E1329">
        <v>7</v>
      </c>
    </row>
    <row r="1330" spans="1:5" x14ac:dyDescent="0.35">
      <c r="A1330" s="13">
        <v>43831</v>
      </c>
      <c r="B1330">
        <f>YEAR(Country_Masterlist__4[[#This Row],[Year1]])</f>
        <v>2020</v>
      </c>
      <c r="C1330" t="s">
        <v>35</v>
      </c>
      <c r="D1330" t="s">
        <v>81</v>
      </c>
      <c r="E1330">
        <v>88</v>
      </c>
    </row>
    <row r="1331" spans="1:5" x14ac:dyDescent="0.35">
      <c r="A1331" s="13">
        <v>43831</v>
      </c>
      <c r="B1331">
        <f>YEAR(Country_Masterlist__4[[#This Row],[Year1]])</f>
        <v>2020</v>
      </c>
      <c r="C1331" t="s">
        <v>35</v>
      </c>
      <c r="D1331" t="s">
        <v>214</v>
      </c>
      <c r="E1331" t="s">
        <v>205</v>
      </c>
    </row>
    <row r="1332" spans="1:5" x14ac:dyDescent="0.35">
      <c r="A1332" s="13">
        <v>43831</v>
      </c>
      <c r="B1332">
        <f>YEAR(Country_Masterlist__4[[#This Row],[Year1]])</f>
        <v>2020</v>
      </c>
      <c r="C1332" t="s">
        <v>35</v>
      </c>
      <c r="D1332" t="s">
        <v>82</v>
      </c>
      <c r="E1332">
        <v>54</v>
      </c>
    </row>
    <row r="1333" spans="1:5" x14ac:dyDescent="0.35">
      <c r="A1333" s="13">
        <v>43831</v>
      </c>
      <c r="B1333">
        <f>YEAR(Country_Masterlist__4[[#This Row],[Year1]])</f>
        <v>2020</v>
      </c>
      <c r="C1333" t="s">
        <v>33</v>
      </c>
      <c r="D1333" t="s">
        <v>83</v>
      </c>
      <c r="E1333">
        <v>3</v>
      </c>
    </row>
    <row r="1334" spans="1:5" x14ac:dyDescent="0.35">
      <c r="A1334" s="13">
        <v>43831</v>
      </c>
      <c r="B1334">
        <f>YEAR(Country_Masterlist__4[[#This Row],[Year1]])</f>
        <v>2020</v>
      </c>
      <c r="C1334" t="s">
        <v>36</v>
      </c>
      <c r="D1334" t="s">
        <v>84</v>
      </c>
      <c r="E1334">
        <v>30</v>
      </c>
    </row>
    <row r="1335" spans="1:5" x14ac:dyDescent="0.35">
      <c r="A1335" s="13">
        <v>43831</v>
      </c>
      <c r="B1335">
        <f>YEAR(Country_Masterlist__4[[#This Row],[Year1]])</f>
        <v>2020</v>
      </c>
      <c r="C1335" t="s">
        <v>36</v>
      </c>
      <c r="D1335" t="s">
        <v>85</v>
      </c>
      <c r="E1335">
        <v>3056</v>
      </c>
    </row>
    <row r="1336" spans="1:5" x14ac:dyDescent="0.35">
      <c r="A1336" s="13">
        <v>43831</v>
      </c>
      <c r="B1336">
        <f>YEAR(Country_Masterlist__4[[#This Row],[Year1]])</f>
        <v>2020</v>
      </c>
      <c r="C1336" t="s">
        <v>38</v>
      </c>
      <c r="D1336" t="s">
        <v>86</v>
      </c>
      <c r="E1336">
        <v>13808</v>
      </c>
    </row>
    <row r="1337" spans="1:5" x14ac:dyDescent="0.35">
      <c r="A1337" s="13">
        <v>43831</v>
      </c>
      <c r="B1337">
        <f>YEAR(Country_Masterlist__4[[#This Row],[Year1]])</f>
        <v>2020</v>
      </c>
      <c r="C1337" t="s">
        <v>33</v>
      </c>
      <c r="D1337" t="s">
        <v>87</v>
      </c>
      <c r="E1337">
        <v>301</v>
      </c>
    </row>
    <row r="1338" spans="1:5" x14ac:dyDescent="0.35">
      <c r="A1338" s="13">
        <v>43831</v>
      </c>
      <c r="B1338">
        <f>YEAR(Country_Masterlist__4[[#This Row],[Year1]])</f>
        <v>2020</v>
      </c>
      <c r="C1338" t="s">
        <v>36</v>
      </c>
      <c r="D1338" t="s">
        <v>16</v>
      </c>
      <c r="E1338">
        <v>23887</v>
      </c>
    </row>
    <row r="1339" spans="1:5" x14ac:dyDescent="0.35">
      <c r="A1339" s="13">
        <v>43831</v>
      </c>
      <c r="B1339">
        <f>YEAR(Country_Masterlist__4[[#This Row],[Year1]])</f>
        <v>2020</v>
      </c>
      <c r="C1339" t="s">
        <v>33</v>
      </c>
      <c r="D1339" t="s">
        <v>88</v>
      </c>
      <c r="E1339">
        <v>25</v>
      </c>
    </row>
    <row r="1340" spans="1:5" x14ac:dyDescent="0.35">
      <c r="A1340" s="13">
        <v>43831</v>
      </c>
      <c r="B1340">
        <f>YEAR(Country_Masterlist__4[[#This Row],[Year1]])</f>
        <v>2020</v>
      </c>
      <c r="C1340" t="s">
        <v>33</v>
      </c>
      <c r="D1340" t="s">
        <v>89</v>
      </c>
      <c r="E1340">
        <v>268</v>
      </c>
    </row>
    <row r="1341" spans="1:5" x14ac:dyDescent="0.35">
      <c r="A1341" s="13">
        <v>43831</v>
      </c>
      <c r="B1341">
        <f>YEAR(Country_Masterlist__4[[#This Row],[Year1]])</f>
        <v>2020</v>
      </c>
      <c r="C1341" t="s">
        <v>35</v>
      </c>
      <c r="D1341" t="s">
        <v>90</v>
      </c>
      <c r="E1341">
        <v>24</v>
      </c>
    </row>
    <row r="1342" spans="1:5" x14ac:dyDescent="0.35">
      <c r="A1342" s="13">
        <v>43831</v>
      </c>
      <c r="B1342">
        <f>YEAR(Country_Masterlist__4[[#This Row],[Year1]])</f>
        <v>2020</v>
      </c>
      <c r="C1342" t="s">
        <v>33</v>
      </c>
      <c r="D1342" t="s">
        <v>91</v>
      </c>
      <c r="E1342">
        <v>132</v>
      </c>
    </row>
    <row r="1343" spans="1:5" x14ac:dyDescent="0.35">
      <c r="A1343" s="13">
        <v>43831</v>
      </c>
      <c r="B1343">
        <f>YEAR(Country_Masterlist__4[[#This Row],[Year1]])</f>
        <v>2020</v>
      </c>
      <c r="C1343" t="s">
        <v>37</v>
      </c>
      <c r="D1343" t="s">
        <v>92</v>
      </c>
      <c r="E1343">
        <v>42</v>
      </c>
    </row>
    <row r="1344" spans="1:5" x14ac:dyDescent="0.35">
      <c r="A1344" s="13">
        <v>43831</v>
      </c>
      <c r="B1344">
        <f>YEAR(Country_Masterlist__4[[#This Row],[Year1]])</f>
        <v>2020</v>
      </c>
      <c r="C1344" t="s">
        <v>35</v>
      </c>
      <c r="D1344" t="s">
        <v>93</v>
      </c>
      <c r="E1344">
        <v>18</v>
      </c>
    </row>
    <row r="1345" spans="1:5" x14ac:dyDescent="0.35">
      <c r="A1345" s="13">
        <v>43831</v>
      </c>
      <c r="B1345">
        <f>YEAR(Country_Masterlist__4[[#This Row],[Year1]])</f>
        <v>2020</v>
      </c>
      <c r="C1345" t="s">
        <v>35</v>
      </c>
      <c r="D1345" t="s">
        <v>94</v>
      </c>
      <c r="E1345">
        <v>554</v>
      </c>
    </row>
    <row r="1346" spans="1:5" x14ac:dyDescent="0.35">
      <c r="A1346" s="13">
        <v>43831</v>
      </c>
      <c r="B1346">
        <f>YEAR(Country_Masterlist__4[[#This Row],[Year1]])</f>
        <v>2020</v>
      </c>
      <c r="C1346" t="s">
        <v>33</v>
      </c>
      <c r="D1346" t="s">
        <v>95</v>
      </c>
      <c r="E1346">
        <v>17</v>
      </c>
    </row>
    <row r="1347" spans="1:5" x14ac:dyDescent="0.35">
      <c r="A1347" s="13">
        <v>43831</v>
      </c>
      <c r="B1347">
        <f>YEAR(Country_Masterlist__4[[#This Row],[Year1]])</f>
        <v>2020</v>
      </c>
      <c r="C1347" t="s">
        <v>33</v>
      </c>
      <c r="D1347" t="s">
        <v>96</v>
      </c>
      <c r="E1347">
        <v>66</v>
      </c>
    </row>
    <row r="1348" spans="1:5" x14ac:dyDescent="0.35">
      <c r="A1348" s="13">
        <v>43831</v>
      </c>
      <c r="B1348">
        <f>YEAR(Country_Masterlist__4[[#This Row],[Year1]])</f>
        <v>2020</v>
      </c>
      <c r="C1348" t="s">
        <v>34</v>
      </c>
      <c r="D1348" t="s">
        <v>8</v>
      </c>
      <c r="E1348">
        <v>127</v>
      </c>
    </row>
    <row r="1349" spans="1:5" x14ac:dyDescent="0.35">
      <c r="A1349" s="13">
        <v>43831</v>
      </c>
      <c r="B1349">
        <f>YEAR(Country_Masterlist__4[[#This Row],[Year1]])</f>
        <v>2020</v>
      </c>
      <c r="C1349" t="s">
        <v>35</v>
      </c>
      <c r="D1349" t="s">
        <v>97</v>
      </c>
      <c r="E1349">
        <v>392</v>
      </c>
    </row>
    <row r="1350" spans="1:5" x14ac:dyDescent="0.35">
      <c r="A1350" s="13">
        <v>43831</v>
      </c>
      <c r="B1350">
        <f>YEAR(Country_Masterlist__4[[#This Row],[Year1]])</f>
        <v>2020</v>
      </c>
      <c r="C1350" t="s">
        <v>33</v>
      </c>
      <c r="D1350" t="s">
        <v>98</v>
      </c>
      <c r="E1350">
        <v>520</v>
      </c>
    </row>
    <row r="1351" spans="1:5" x14ac:dyDescent="0.35">
      <c r="A1351" s="13">
        <v>43831</v>
      </c>
      <c r="B1351">
        <f>YEAR(Country_Masterlist__4[[#This Row],[Year1]])</f>
        <v>2020</v>
      </c>
      <c r="C1351" t="s">
        <v>35</v>
      </c>
      <c r="D1351" t="s">
        <v>99</v>
      </c>
      <c r="E1351">
        <v>84</v>
      </c>
    </row>
    <row r="1352" spans="1:5" x14ac:dyDescent="0.35">
      <c r="A1352" s="13">
        <v>43831</v>
      </c>
      <c r="B1352">
        <f>YEAR(Country_Masterlist__4[[#This Row],[Year1]])</f>
        <v>2020</v>
      </c>
      <c r="C1352" t="s">
        <v>36</v>
      </c>
      <c r="D1352" t="s">
        <v>100</v>
      </c>
      <c r="E1352">
        <v>24</v>
      </c>
    </row>
    <row r="1353" spans="1:5" x14ac:dyDescent="0.35">
      <c r="A1353" s="13">
        <v>43831</v>
      </c>
      <c r="B1353">
        <f>YEAR(Country_Masterlist__4[[#This Row],[Year1]])</f>
        <v>2020</v>
      </c>
      <c r="C1353" t="s">
        <v>36</v>
      </c>
      <c r="D1353" t="s">
        <v>15</v>
      </c>
      <c r="E1353">
        <v>62848</v>
      </c>
    </row>
    <row r="1354" spans="1:5" x14ac:dyDescent="0.35">
      <c r="A1354" s="13">
        <v>43831</v>
      </c>
      <c r="B1354">
        <f>YEAR(Country_Masterlist__4[[#This Row],[Year1]])</f>
        <v>2020</v>
      </c>
      <c r="C1354" t="s">
        <v>33</v>
      </c>
      <c r="D1354" t="s">
        <v>101</v>
      </c>
      <c r="E1354">
        <v>147</v>
      </c>
    </row>
    <row r="1355" spans="1:5" x14ac:dyDescent="0.35">
      <c r="A1355" s="13">
        <v>43831</v>
      </c>
      <c r="B1355">
        <f>YEAR(Country_Masterlist__4[[#This Row],[Year1]])</f>
        <v>2020</v>
      </c>
      <c r="C1355" t="s">
        <v>33</v>
      </c>
      <c r="D1355" t="s">
        <v>102</v>
      </c>
      <c r="E1355">
        <v>8</v>
      </c>
    </row>
    <row r="1356" spans="1:5" x14ac:dyDescent="0.35">
      <c r="A1356" s="13">
        <v>43831</v>
      </c>
      <c r="B1356">
        <f>YEAR(Country_Masterlist__4[[#This Row],[Year1]])</f>
        <v>2020</v>
      </c>
      <c r="C1356" t="s">
        <v>38</v>
      </c>
      <c r="D1356" t="s">
        <v>103</v>
      </c>
      <c r="E1356">
        <v>276</v>
      </c>
    </row>
    <row r="1357" spans="1:5" x14ac:dyDescent="0.35">
      <c r="A1357" s="13">
        <v>43831</v>
      </c>
      <c r="B1357">
        <f>YEAR(Country_Masterlist__4[[#This Row],[Year1]])</f>
        <v>2020</v>
      </c>
      <c r="C1357" t="s">
        <v>36</v>
      </c>
      <c r="D1357" t="s">
        <v>104</v>
      </c>
      <c r="E1357">
        <v>6316</v>
      </c>
    </row>
    <row r="1358" spans="1:5" x14ac:dyDescent="0.35">
      <c r="A1358" s="13">
        <v>43831</v>
      </c>
      <c r="B1358">
        <f>YEAR(Country_Masterlist__4[[#This Row],[Year1]])</f>
        <v>2020</v>
      </c>
      <c r="C1358" t="s">
        <v>36</v>
      </c>
      <c r="D1358" t="s">
        <v>17</v>
      </c>
      <c r="E1358">
        <v>52920</v>
      </c>
    </row>
    <row r="1359" spans="1:5" x14ac:dyDescent="0.35">
      <c r="A1359" s="13">
        <v>43831</v>
      </c>
      <c r="B1359">
        <f>YEAR(Country_Masterlist__4[[#This Row],[Year1]])</f>
        <v>2020</v>
      </c>
      <c r="C1359" t="s">
        <v>35</v>
      </c>
      <c r="D1359" t="s">
        <v>105</v>
      </c>
      <c r="E1359">
        <v>165</v>
      </c>
    </row>
    <row r="1360" spans="1:5" x14ac:dyDescent="0.35">
      <c r="A1360" s="13">
        <v>43831</v>
      </c>
      <c r="B1360">
        <f>YEAR(Country_Masterlist__4[[#This Row],[Year1]])</f>
        <v>2020</v>
      </c>
      <c r="C1360" t="s">
        <v>35</v>
      </c>
      <c r="D1360" t="s">
        <v>106</v>
      </c>
      <c r="E1360">
        <v>4</v>
      </c>
    </row>
    <row r="1361" spans="1:5" x14ac:dyDescent="0.35">
      <c r="A1361" s="13">
        <v>43831</v>
      </c>
      <c r="B1361">
        <f>YEAR(Country_Masterlist__4[[#This Row],[Year1]])</f>
        <v>2020</v>
      </c>
      <c r="C1361" t="s">
        <v>34</v>
      </c>
      <c r="D1361" t="s">
        <v>22</v>
      </c>
      <c r="E1361">
        <v>3413</v>
      </c>
    </row>
    <row r="1362" spans="1:5" x14ac:dyDescent="0.35">
      <c r="A1362" s="13">
        <v>43831</v>
      </c>
      <c r="B1362">
        <f>YEAR(Country_Masterlist__4[[#This Row],[Year1]])</f>
        <v>2020</v>
      </c>
      <c r="C1362" t="s">
        <v>34</v>
      </c>
      <c r="D1362" t="s">
        <v>107</v>
      </c>
      <c r="E1362">
        <v>247</v>
      </c>
    </row>
    <row r="1363" spans="1:5" x14ac:dyDescent="0.35">
      <c r="A1363" s="13">
        <v>43831</v>
      </c>
      <c r="B1363">
        <f>YEAR(Country_Masterlist__4[[#This Row],[Year1]])</f>
        <v>2020</v>
      </c>
      <c r="C1363" t="s">
        <v>34</v>
      </c>
      <c r="D1363" t="s">
        <v>108</v>
      </c>
      <c r="E1363">
        <v>439</v>
      </c>
    </row>
    <row r="1364" spans="1:5" x14ac:dyDescent="0.35">
      <c r="A1364" s="13">
        <v>43831</v>
      </c>
      <c r="B1364">
        <f>YEAR(Country_Masterlist__4[[#This Row],[Year1]])</f>
        <v>2020</v>
      </c>
      <c r="C1364" t="s">
        <v>34</v>
      </c>
      <c r="D1364" t="s">
        <v>109</v>
      </c>
      <c r="E1364">
        <v>180</v>
      </c>
    </row>
    <row r="1365" spans="1:5" x14ac:dyDescent="0.35">
      <c r="A1365" s="13">
        <v>43831</v>
      </c>
      <c r="B1365">
        <f>YEAR(Country_Masterlist__4[[#This Row],[Year1]])</f>
        <v>2020</v>
      </c>
      <c r="C1365" t="s">
        <v>35</v>
      </c>
      <c r="D1365" t="s">
        <v>110</v>
      </c>
      <c r="E1365">
        <v>341</v>
      </c>
    </row>
    <row r="1366" spans="1:5" x14ac:dyDescent="0.35">
      <c r="A1366" s="13">
        <v>43831</v>
      </c>
      <c r="B1366">
        <f>YEAR(Country_Masterlist__4[[#This Row],[Year1]])</f>
        <v>2020</v>
      </c>
      <c r="C1366" t="s">
        <v>34</v>
      </c>
      <c r="D1366" t="s">
        <v>111</v>
      </c>
      <c r="E1366">
        <v>324</v>
      </c>
    </row>
    <row r="1367" spans="1:5" x14ac:dyDescent="0.35">
      <c r="A1367" s="13">
        <v>43831</v>
      </c>
      <c r="B1367">
        <f>YEAR(Country_Masterlist__4[[#This Row],[Year1]])</f>
        <v>2020</v>
      </c>
      <c r="C1367" t="s">
        <v>35</v>
      </c>
      <c r="D1367" t="s">
        <v>112</v>
      </c>
      <c r="E1367">
        <v>661</v>
      </c>
    </row>
    <row r="1368" spans="1:5" x14ac:dyDescent="0.35">
      <c r="A1368" s="13">
        <v>43831</v>
      </c>
      <c r="B1368">
        <f>YEAR(Country_Masterlist__4[[#This Row],[Year1]])</f>
        <v>2020</v>
      </c>
      <c r="C1368" t="s">
        <v>36</v>
      </c>
      <c r="D1368" t="s">
        <v>113</v>
      </c>
      <c r="E1368">
        <v>1902</v>
      </c>
    </row>
    <row r="1369" spans="1:5" x14ac:dyDescent="0.35">
      <c r="A1369" s="13">
        <v>43831</v>
      </c>
      <c r="B1369">
        <f>YEAR(Country_Masterlist__4[[#This Row],[Year1]])</f>
        <v>2020</v>
      </c>
      <c r="C1369" t="s">
        <v>34</v>
      </c>
      <c r="D1369" t="s">
        <v>114</v>
      </c>
      <c r="E1369">
        <v>353</v>
      </c>
    </row>
    <row r="1370" spans="1:5" x14ac:dyDescent="0.35">
      <c r="A1370" s="13">
        <v>43831</v>
      </c>
      <c r="B1370">
        <f>YEAR(Country_Masterlist__4[[#This Row],[Year1]])</f>
        <v>2020</v>
      </c>
      <c r="C1370" t="s">
        <v>34</v>
      </c>
      <c r="D1370" t="s">
        <v>115</v>
      </c>
      <c r="E1370">
        <v>414</v>
      </c>
    </row>
    <row r="1371" spans="1:5" x14ac:dyDescent="0.35">
      <c r="A1371" s="13">
        <v>43831</v>
      </c>
      <c r="B1371">
        <f>YEAR(Country_Masterlist__4[[#This Row],[Year1]])</f>
        <v>2020</v>
      </c>
      <c r="C1371" t="s">
        <v>34</v>
      </c>
      <c r="D1371" t="s">
        <v>116</v>
      </c>
      <c r="E1371">
        <v>142</v>
      </c>
    </row>
    <row r="1372" spans="1:5" x14ac:dyDescent="0.35">
      <c r="A1372" s="13">
        <v>43831</v>
      </c>
      <c r="B1372">
        <f>YEAR(Country_Masterlist__4[[#This Row],[Year1]])</f>
        <v>2020</v>
      </c>
      <c r="C1372" t="s">
        <v>33</v>
      </c>
      <c r="D1372" t="s">
        <v>117</v>
      </c>
      <c r="E1372">
        <v>274</v>
      </c>
    </row>
    <row r="1373" spans="1:5" x14ac:dyDescent="0.35">
      <c r="A1373" s="13">
        <v>43831</v>
      </c>
      <c r="B1373">
        <f>YEAR(Country_Masterlist__4[[#This Row],[Year1]])</f>
        <v>2020</v>
      </c>
      <c r="C1373" t="s">
        <v>34</v>
      </c>
      <c r="D1373" t="s">
        <v>118</v>
      </c>
      <c r="E1373">
        <v>1078</v>
      </c>
    </row>
    <row r="1374" spans="1:5" x14ac:dyDescent="0.35">
      <c r="A1374" s="13">
        <v>43831</v>
      </c>
      <c r="B1374">
        <f>YEAR(Country_Masterlist__4[[#This Row],[Year1]])</f>
        <v>2020</v>
      </c>
      <c r="C1374" t="s">
        <v>35</v>
      </c>
      <c r="D1374" t="s">
        <v>119</v>
      </c>
      <c r="E1374">
        <v>63</v>
      </c>
    </row>
    <row r="1375" spans="1:5" x14ac:dyDescent="0.35">
      <c r="A1375" s="13">
        <v>43831</v>
      </c>
      <c r="B1375">
        <f>YEAR(Country_Masterlist__4[[#This Row],[Year1]])</f>
        <v>2020</v>
      </c>
      <c r="C1375" t="s">
        <v>34</v>
      </c>
      <c r="D1375" t="s">
        <v>120</v>
      </c>
      <c r="E1375">
        <v>55</v>
      </c>
    </row>
    <row r="1376" spans="1:5" x14ac:dyDescent="0.35">
      <c r="A1376" s="13">
        <v>43831</v>
      </c>
      <c r="B1376">
        <f>YEAR(Country_Masterlist__4[[#This Row],[Year1]])</f>
        <v>2020</v>
      </c>
      <c r="C1376" t="s">
        <v>34</v>
      </c>
      <c r="D1376" t="s">
        <v>121</v>
      </c>
      <c r="E1376">
        <v>53</v>
      </c>
    </row>
    <row r="1377" spans="1:5" x14ac:dyDescent="0.35">
      <c r="A1377" s="13">
        <v>43831</v>
      </c>
      <c r="B1377">
        <f>YEAR(Country_Masterlist__4[[#This Row],[Year1]])</f>
        <v>2020</v>
      </c>
      <c r="C1377" t="s">
        <v>34</v>
      </c>
      <c r="D1377" t="s">
        <v>122</v>
      </c>
      <c r="E1377">
        <v>145</v>
      </c>
    </row>
    <row r="1378" spans="1:5" x14ac:dyDescent="0.35">
      <c r="A1378" s="13">
        <v>43831</v>
      </c>
      <c r="B1378">
        <f>YEAR(Country_Masterlist__4[[#This Row],[Year1]])</f>
        <v>2020</v>
      </c>
      <c r="C1378" t="s">
        <v>35</v>
      </c>
      <c r="D1378" t="s">
        <v>123</v>
      </c>
      <c r="E1378">
        <v>57</v>
      </c>
    </row>
    <row r="1379" spans="1:5" x14ac:dyDescent="0.35">
      <c r="A1379" s="13">
        <v>43831</v>
      </c>
      <c r="B1379">
        <f>YEAR(Country_Masterlist__4[[#This Row],[Year1]])</f>
        <v>2020</v>
      </c>
      <c r="C1379" t="s">
        <v>34</v>
      </c>
      <c r="D1379" t="s">
        <v>124</v>
      </c>
      <c r="E1379">
        <v>184</v>
      </c>
    </row>
    <row r="1380" spans="1:5" x14ac:dyDescent="0.35">
      <c r="A1380" s="13">
        <v>43831</v>
      </c>
      <c r="B1380">
        <f>YEAR(Country_Masterlist__4[[#This Row],[Year1]])</f>
        <v>2020</v>
      </c>
      <c r="C1380" t="s">
        <v>33</v>
      </c>
      <c r="D1380" t="s">
        <v>125</v>
      </c>
      <c r="E1380">
        <v>153</v>
      </c>
    </row>
    <row r="1381" spans="1:5" x14ac:dyDescent="0.35">
      <c r="A1381" s="13">
        <v>43831</v>
      </c>
      <c r="B1381">
        <f>YEAR(Country_Masterlist__4[[#This Row],[Year1]])</f>
        <v>2020</v>
      </c>
      <c r="C1381" t="s">
        <v>33</v>
      </c>
      <c r="D1381" t="s">
        <v>126</v>
      </c>
      <c r="E1381">
        <v>24</v>
      </c>
    </row>
    <row r="1382" spans="1:5" x14ac:dyDescent="0.35">
      <c r="A1382" s="13">
        <v>43831</v>
      </c>
      <c r="B1382">
        <f>YEAR(Country_Masterlist__4[[#This Row],[Year1]])</f>
        <v>2020</v>
      </c>
      <c r="C1382" t="s">
        <v>35</v>
      </c>
      <c r="D1382" t="s">
        <v>127</v>
      </c>
      <c r="E1382">
        <v>84</v>
      </c>
    </row>
    <row r="1383" spans="1:5" x14ac:dyDescent="0.35">
      <c r="A1383" s="13">
        <v>43831</v>
      </c>
      <c r="B1383">
        <f>YEAR(Country_Masterlist__4[[#This Row],[Year1]])</f>
        <v>2020</v>
      </c>
      <c r="C1383" t="s">
        <v>35</v>
      </c>
      <c r="D1383" t="s">
        <v>128</v>
      </c>
      <c r="E1383">
        <v>5</v>
      </c>
    </row>
    <row r="1384" spans="1:5" x14ac:dyDescent="0.35">
      <c r="A1384" s="13">
        <v>43831</v>
      </c>
      <c r="B1384">
        <f>YEAR(Country_Masterlist__4[[#This Row],[Year1]])</f>
        <v>2020</v>
      </c>
      <c r="C1384" t="s">
        <v>33</v>
      </c>
      <c r="D1384" t="s">
        <v>129</v>
      </c>
      <c r="E1384">
        <v>7</v>
      </c>
    </row>
    <row r="1385" spans="1:5" x14ac:dyDescent="0.35">
      <c r="A1385" s="13">
        <v>43831</v>
      </c>
      <c r="B1385">
        <f>YEAR(Country_Masterlist__4[[#This Row],[Year1]])</f>
        <v>2020</v>
      </c>
      <c r="C1385" t="s">
        <v>33</v>
      </c>
      <c r="D1385" t="s">
        <v>130</v>
      </c>
      <c r="E1385">
        <v>4</v>
      </c>
    </row>
    <row r="1386" spans="1:5" x14ac:dyDescent="0.35">
      <c r="A1386" s="13">
        <v>43831</v>
      </c>
      <c r="B1386">
        <f>YEAR(Country_Masterlist__4[[#This Row],[Year1]])</f>
        <v>2020</v>
      </c>
      <c r="C1386" t="s">
        <v>34</v>
      </c>
      <c r="D1386" t="s">
        <v>131</v>
      </c>
      <c r="E1386">
        <v>39</v>
      </c>
    </row>
    <row r="1387" spans="1:5" x14ac:dyDescent="0.35">
      <c r="A1387" s="13">
        <v>43831</v>
      </c>
      <c r="B1387">
        <f>YEAR(Country_Masterlist__4[[#This Row],[Year1]])</f>
        <v>2020</v>
      </c>
      <c r="C1387" t="s">
        <v>33</v>
      </c>
      <c r="D1387" t="s">
        <v>132</v>
      </c>
      <c r="E1387">
        <v>62</v>
      </c>
    </row>
    <row r="1388" spans="1:5" x14ac:dyDescent="0.35">
      <c r="A1388" s="13">
        <v>43831</v>
      </c>
      <c r="B1388">
        <f>YEAR(Country_Masterlist__4[[#This Row],[Year1]])</f>
        <v>2020</v>
      </c>
      <c r="C1388" t="s">
        <v>35</v>
      </c>
      <c r="D1388" t="s">
        <v>133</v>
      </c>
      <c r="E1388" t="s">
        <v>205</v>
      </c>
    </row>
    <row r="1389" spans="1:5" x14ac:dyDescent="0.35">
      <c r="A1389" s="13">
        <v>43831</v>
      </c>
      <c r="B1389">
        <f>YEAR(Country_Masterlist__4[[#This Row],[Year1]])</f>
        <v>2020</v>
      </c>
      <c r="C1389" t="s">
        <v>37</v>
      </c>
      <c r="D1389" t="s">
        <v>134</v>
      </c>
      <c r="E1389">
        <v>47</v>
      </c>
    </row>
    <row r="1390" spans="1:5" x14ac:dyDescent="0.35">
      <c r="A1390" s="13">
        <v>43831</v>
      </c>
      <c r="B1390">
        <f>YEAR(Country_Masterlist__4[[#This Row],[Year1]])</f>
        <v>2020</v>
      </c>
      <c r="C1390" t="s">
        <v>33</v>
      </c>
      <c r="D1390" t="s">
        <v>135</v>
      </c>
      <c r="E1390">
        <v>87</v>
      </c>
    </row>
    <row r="1391" spans="1:5" x14ac:dyDescent="0.35">
      <c r="A1391" s="13">
        <v>43831</v>
      </c>
      <c r="B1391">
        <f>YEAR(Country_Masterlist__4[[#This Row],[Year1]])</f>
        <v>2020</v>
      </c>
      <c r="C1391" t="s">
        <v>33</v>
      </c>
      <c r="D1391" t="s">
        <v>136</v>
      </c>
      <c r="E1391">
        <v>8</v>
      </c>
    </row>
    <row r="1392" spans="1:5" x14ac:dyDescent="0.35">
      <c r="A1392" s="13">
        <v>43831</v>
      </c>
      <c r="B1392">
        <f>YEAR(Country_Masterlist__4[[#This Row],[Year1]])</f>
        <v>2020</v>
      </c>
      <c r="C1392" t="s">
        <v>36</v>
      </c>
      <c r="D1392" t="s">
        <v>14</v>
      </c>
      <c r="E1392">
        <v>362105</v>
      </c>
    </row>
    <row r="1393" spans="1:5" x14ac:dyDescent="0.35">
      <c r="A1393" s="13">
        <v>43831</v>
      </c>
      <c r="B1393">
        <f>YEAR(Country_Masterlist__4[[#This Row],[Year1]])</f>
        <v>2020</v>
      </c>
      <c r="C1393" t="s">
        <v>37</v>
      </c>
      <c r="D1393" t="s">
        <v>137</v>
      </c>
      <c r="E1393">
        <v>70</v>
      </c>
    </row>
    <row r="1394" spans="1:5" x14ac:dyDescent="0.35">
      <c r="A1394" s="13">
        <v>43831</v>
      </c>
      <c r="B1394">
        <f>YEAR(Country_Masterlist__4[[#This Row],[Year1]])</f>
        <v>2020</v>
      </c>
      <c r="C1394" t="s">
        <v>35</v>
      </c>
      <c r="D1394" t="s">
        <v>138</v>
      </c>
      <c r="E1394">
        <v>67</v>
      </c>
    </row>
    <row r="1395" spans="1:5" x14ac:dyDescent="0.35">
      <c r="A1395" s="13">
        <v>43831</v>
      </c>
      <c r="B1395">
        <f>YEAR(Country_Masterlist__4[[#This Row],[Year1]])</f>
        <v>2020</v>
      </c>
      <c r="C1395" t="s">
        <v>34</v>
      </c>
      <c r="D1395" t="s">
        <v>139</v>
      </c>
      <c r="E1395">
        <v>72</v>
      </c>
    </row>
    <row r="1396" spans="1:5" x14ac:dyDescent="0.35">
      <c r="A1396" s="13">
        <v>43831</v>
      </c>
      <c r="B1396">
        <f>YEAR(Country_Masterlist__4[[#This Row],[Year1]])</f>
        <v>2020</v>
      </c>
      <c r="C1396" t="s">
        <v>35</v>
      </c>
      <c r="D1396" t="s">
        <v>140</v>
      </c>
      <c r="E1396">
        <v>36</v>
      </c>
    </row>
    <row r="1397" spans="1:5" x14ac:dyDescent="0.35">
      <c r="A1397" s="13">
        <v>43831</v>
      </c>
      <c r="B1397">
        <f>YEAR(Country_Masterlist__4[[#This Row],[Year1]])</f>
        <v>2020</v>
      </c>
      <c r="C1397" t="s">
        <v>33</v>
      </c>
      <c r="D1397" t="s">
        <v>141</v>
      </c>
      <c r="E1397">
        <v>153</v>
      </c>
    </row>
    <row r="1398" spans="1:5" x14ac:dyDescent="0.35">
      <c r="A1398" s="13">
        <v>43831</v>
      </c>
      <c r="B1398">
        <f>YEAR(Country_Masterlist__4[[#This Row],[Year1]])</f>
        <v>2020</v>
      </c>
      <c r="C1398" t="s">
        <v>33</v>
      </c>
      <c r="D1398" t="s">
        <v>142</v>
      </c>
      <c r="E1398" t="s">
        <v>205</v>
      </c>
    </row>
    <row r="1399" spans="1:5" x14ac:dyDescent="0.35">
      <c r="A1399" s="13">
        <v>43831</v>
      </c>
      <c r="B1399">
        <f>YEAR(Country_Masterlist__4[[#This Row],[Year1]])</f>
        <v>2020</v>
      </c>
      <c r="C1399" t="s">
        <v>33</v>
      </c>
      <c r="D1399" t="s">
        <v>143</v>
      </c>
      <c r="E1399" t="s">
        <v>205</v>
      </c>
    </row>
    <row r="1400" spans="1:5" x14ac:dyDescent="0.35">
      <c r="A1400" s="13">
        <v>43831</v>
      </c>
      <c r="B1400">
        <f>YEAR(Country_Masterlist__4[[#This Row],[Year1]])</f>
        <v>2020</v>
      </c>
      <c r="C1400" t="s">
        <v>34</v>
      </c>
      <c r="D1400" t="s">
        <v>144</v>
      </c>
      <c r="E1400">
        <v>217</v>
      </c>
    </row>
    <row r="1401" spans="1:5" x14ac:dyDescent="0.35">
      <c r="A1401" s="13">
        <v>43831</v>
      </c>
      <c r="B1401">
        <f>YEAR(Country_Masterlist__4[[#This Row],[Year1]])</f>
        <v>2020</v>
      </c>
      <c r="C1401" t="s">
        <v>35</v>
      </c>
      <c r="D1401" t="s">
        <v>145</v>
      </c>
      <c r="E1401">
        <v>187</v>
      </c>
    </row>
    <row r="1402" spans="1:5" x14ac:dyDescent="0.35">
      <c r="A1402" s="13">
        <v>43831</v>
      </c>
      <c r="B1402">
        <f>YEAR(Country_Masterlist__4[[#This Row],[Year1]])</f>
        <v>2020</v>
      </c>
      <c r="C1402" t="s">
        <v>37</v>
      </c>
      <c r="D1402" t="s">
        <v>146</v>
      </c>
      <c r="E1402">
        <v>138</v>
      </c>
    </row>
    <row r="1403" spans="1:5" x14ac:dyDescent="0.35">
      <c r="A1403" s="13">
        <v>43831</v>
      </c>
      <c r="B1403">
        <f>YEAR(Country_Masterlist__4[[#This Row],[Year1]])</f>
        <v>2020</v>
      </c>
      <c r="C1403" t="s">
        <v>36</v>
      </c>
      <c r="D1403" t="s">
        <v>147</v>
      </c>
      <c r="E1403">
        <v>3123</v>
      </c>
    </row>
    <row r="1404" spans="1:5" x14ac:dyDescent="0.35">
      <c r="A1404" s="13">
        <v>43831</v>
      </c>
      <c r="B1404">
        <f>YEAR(Country_Masterlist__4[[#This Row],[Year1]])</f>
        <v>2020</v>
      </c>
      <c r="C1404" t="s">
        <v>33</v>
      </c>
      <c r="D1404" t="s">
        <v>148</v>
      </c>
      <c r="E1404">
        <v>26</v>
      </c>
    </row>
    <row r="1405" spans="1:5" x14ac:dyDescent="0.35">
      <c r="A1405" s="13">
        <v>43831</v>
      </c>
      <c r="B1405">
        <f>YEAR(Country_Masterlist__4[[#This Row],[Year1]])</f>
        <v>2020</v>
      </c>
      <c r="C1405" t="s">
        <v>33</v>
      </c>
      <c r="D1405" t="s">
        <v>149</v>
      </c>
      <c r="E1405">
        <v>832</v>
      </c>
    </row>
    <row r="1406" spans="1:5" x14ac:dyDescent="0.35">
      <c r="A1406" s="13">
        <v>43831</v>
      </c>
      <c r="B1406">
        <f>YEAR(Country_Masterlist__4[[#This Row],[Year1]])</f>
        <v>2020</v>
      </c>
      <c r="C1406" t="s">
        <v>35</v>
      </c>
      <c r="D1406" t="s">
        <v>322</v>
      </c>
      <c r="E1406">
        <v>24</v>
      </c>
    </row>
    <row r="1407" spans="1:5" x14ac:dyDescent="0.35">
      <c r="A1407" s="13">
        <v>43831</v>
      </c>
      <c r="B1407">
        <f>YEAR(Country_Masterlist__4[[#This Row],[Year1]])</f>
        <v>2020</v>
      </c>
      <c r="C1407" t="s">
        <v>35</v>
      </c>
      <c r="D1407" t="s">
        <v>150</v>
      </c>
      <c r="E1407">
        <v>41</v>
      </c>
    </row>
    <row r="1408" spans="1:5" x14ac:dyDescent="0.35">
      <c r="A1408" s="13">
        <v>43831</v>
      </c>
      <c r="B1408">
        <f>YEAR(Country_Masterlist__4[[#This Row],[Year1]])</f>
        <v>2020</v>
      </c>
      <c r="C1408" t="s">
        <v>34</v>
      </c>
      <c r="D1408" t="s">
        <v>151</v>
      </c>
      <c r="E1408">
        <v>6</v>
      </c>
    </row>
    <row r="1409" spans="1:5" x14ac:dyDescent="0.35">
      <c r="A1409" s="13">
        <v>43831</v>
      </c>
      <c r="B1409">
        <f>YEAR(Country_Masterlist__4[[#This Row],[Year1]])</f>
        <v>2020</v>
      </c>
      <c r="C1409" t="s">
        <v>34</v>
      </c>
      <c r="D1409" t="s">
        <v>152</v>
      </c>
      <c r="E1409">
        <v>557</v>
      </c>
    </row>
    <row r="1410" spans="1:5" x14ac:dyDescent="0.35">
      <c r="A1410" s="13">
        <v>43831</v>
      </c>
      <c r="B1410">
        <f>YEAR(Country_Masterlist__4[[#This Row],[Year1]])</f>
        <v>2020</v>
      </c>
      <c r="C1410" t="s">
        <v>37</v>
      </c>
      <c r="D1410" t="s">
        <v>153</v>
      </c>
      <c r="E1410">
        <v>11</v>
      </c>
    </row>
    <row r="1411" spans="1:5" x14ac:dyDescent="0.35">
      <c r="A1411" s="13">
        <v>43831</v>
      </c>
      <c r="B1411">
        <f>YEAR(Country_Masterlist__4[[#This Row],[Year1]])</f>
        <v>2020</v>
      </c>
      <c r="C1411" t="s">
        <v>36</v>
      </c>
      <c r="D1411" t="s">
        <v>154</v>
      </c>
      <c r="E1411">
        <v>131</v>
      </c>
    </row>
    <row r="1412" spans="1:5" x14ac:dyDescent="0.35">
      <c r="A1412" s="13">
        <v>43831</v>
      </c>
      <c r="B1412">
        <f>YEAR(Country_Masterlist__4[[#This Row],[Year1]])</f>
        <v>2020</v>
      </c>
      <c r="C1412" t="s">
        <v>38</v>
      </c>
      <c r="D1412" t="s">
        <v>155</v>
      </c>
      <c r="E1412">
        <v>66</v>
      </c>
    </row>
    <row r="1413" spans="1:5" x14ac:dyDescent="0.35">
      <c r="A1413" s="13">
        <v>43831</v>
      </c>
      <c r="B1413">
        <f>YEAR(Country_Masterlist__4[[#This Row],[Year1]])</f>
        <v>2020</v>
      </c>
      <c r="C1413" t="s">
        <v>38</v>
      </c>
      <c r="D1413" t="s">
        <v>156</v>
      </c>
      <c r="E1413">
        <v>1120</v>
      </c>
    </row>
    <row r="1414" spans="1:5" x14ac:dyDescent="0.35">
      <c r="A1414" s="13">
        <v>43831</v>
      </c>
      <c r="B1414">
        <f>YEAR(Country_Masterlist__4[[#This Row],[Year1]])</f>
        <v>2020</v>
      </c>
      <c r="C1414" t="s">
        <v>34</v>
      </c>
      <c r="D1414" t="s">
        <v>18</v>
      </c>
      <c r="E1414">
        <v>787</v>
      </c>
    </row>
    <row r="1415" spans="1:5" x14ac:dyDescent="0.35">
      <c r="A1415" s="13">
        <v>43831</v>
      </c>
      <c r="B1415">
        <f>YEAR(Country_Masterlist__4[[#This Row],[Year1]])</f>
        <v>2020</v>
      </c>
      <c r="C1415" t="s">
        <v>35</v>
      </c>
      <c r="D1415" t="s">
        <v>157</v>
      </c>
      <c r="E1415">
        <v>393</v>
      </c>
    </row>
    <row r="1416" spans="1:5" x14ac:dyDescent="0.35">
      <c r="A1416" s="13">
        <v>43831</v>
      </c>
      <c r="B1416">
        <f>YEAR(Country_Masterlist__4[[#This Row],[Year1]])</f>
        <v>2020</v>
      </c>
      <c r="C1416" t="s">
        <v>35</v>
      </c>
      <c r="D1416" t="s">
        <v>158</v>
      </c>
      <c r="E1416">
        <v>205</v>
      </c>
    </row>
    <row r="1417" spans="1:5" x14ac:dyDescent="0.35">
      <c r="A1417" s="13">
        <v>43831</v>
      </c>
      <c r="B1417">
        <f>YEAR(Country_Masterlist__4[[#This Row],[Year1]])</f>
        <v>2020</v>
      </c>
      <c r="C1417" t="s">
        <v>34</v>
      </c>
      <c r="D1417" t="s">
        <v>159</v>
      </c>
      <c r="E1417">
        <v>6</v>
      </c>
    </row>
    <row r="1418" spans="1:5" x14ac:dyDescent="0.35">
      <c r="A1418" s="13">
        <v>43831</v>
      </c>
      <c r="B1418">
        <f>YEAR(Country_Masterlist__4[[#This Row],[Year1]])</f>
        <v>2020</v>
      </c>
      <c r="C1418" t="s">
        <v>35</v>
      </c>
      <c r="D1418" t="s">
        <v>160</v>
      </c>
      <c r="E1418">
        <v>774</v>
      </c>
    </row>
    <row r="1419" spans="1:5" x14ac:dyDescent="0.35">
      <c r="A1419" s="13">
        <v>43831</v>
      </c>
      <c r="B1419">
        <f>YEAR(Country_Masterlist__4[[#This Row],[Year1]])</f>
        <v>2020</v>
      </c>
      <c r="C1419" t="s">
        <v>35</v>
      </c>
      <c r="D1419" t="s">
        <v>161</v>
      </c>
      <c r="E1419">
        <v>885</v>
      </c>
    </row>
    <row r="1420" spans="1:5" x14ac:dyDescent="0.35">
      <c r="A1420" s="13">
        <v>43831</v>
      </c>
      <c r="B1420">
        <f>YEAR(Country_Masterlist__4[[#This Row],[Year1]])</f>
        <v>2020</v>
      </c>
      <c r="C1420" t="s">
        <v>33</v>
      </c>
      <c r="D1420" t="s">
        <v>162</v>
      </c>
      <c r="E1420">
        <v>45</v>
      </c>
    </row>
    <row r="1421" spans="1:5" x14ac:dyDescent="0.35">
      <c r="A1421" s="13">
        <v>43831</v>
      </c>
      <c r="B1421">
        <f>YEAR(Country_Masterlist__4[[#This Row],[Year1]])</f>
        <v>2020</v>
      </c>
      <c r="C1421" t="s">
        <v>36</v>
      </c>
      <c r="D1421" t="s">
        <v>163</v>
      </c>
      <c r="E1421">
        <v>13</v>
      </c>
    </row>
    <row r="1422" spans="1:5" x14ac:dyDescent="0.35">
      <c r="A1422" s="13">
        <v>43831</v>
      </c>
      <c r="B1422">
        <f>YEAR(Country_Masterlist__4[[#This Row],[Year1]])</f>
        <v>2020</v>
      </c>
      <c r="C1422" t="s">
        <v>36</v>
      </c>
      <c r="D1422" t="s">
        <v>164</v>
      </c>
      <c r="E1422">
        <v>42</v>
      </c>
    </row>
    <row r="1423" spans="1:5" x14ac:dyDescent="0.35">
      <c r="A1423" s="13">
        <v>43831</v>
      </c>
      <c r="B1423">
        <f>YEAR(Country_Masterlist__4[[#This Row],[Year1]])</f>
        <v>2020</v>
      </c>
      <c r="C1423" t="s">
        <v>36</v>
      </c>
      <c r="D1423" t="s">
        <v>165</v>
      </c>
      <c r="E1423">
        <v>22</v>
      </c>
    </row>
    <row r="1424" spans="1:5" x14ac:dyDescent="0.35">
      <c r="A1424" s="13">
        <v>43831</v>
      </c>
      <c r="B1424">
        <f>YEAR(Country_Masterlist__4[[#This Row],[Year1]])</f>
        <v>2020</v>
      </c>
      <c r="C1424" t="s">
        <v>37</v>
      </c>
      <c r="D1424" t="s">
        <v>166</v>
      </c>
      <c r="E1424">
        <v>24</v>
      </c>
    </row>
    <row r="1425" spans="1:5" x14ac:dyDescent="0.35">
      <c r="A1425" s="13">
        <v>43831</v>
      </c>
      <c r="B1425">
        <f>YEAR(Country_Masterlist__4[[#This Row],[Year1]])</f>
        <v>2020</v>
      </c>
      <c r="C1425" t="s">
        <v>34</v>
      </c>
      <c r="D1425" t="s">
        <v>167</v>
      </c>
      <c r="E1425">
        <v>155</v>
      </c>
    </row>
    <row r="1426" spans="1:5" x14ac:dyDescent="0.35">
      <c r="A1426" s="13">
        <v>43831</v>
      </c>
      <c r="B1426">
        <f>YEAR(Country_Masterlist__4[[#This Row],[Year1]])</f>
        <v>2020</v>
      </c>
      <c r="C1426" t="s">
        <v>33</v>
      </c>
      <c r="D1426" t="s">
        <v>168</v>
      </c>
      <c r="E1426">
        <v>120</v>
      </c>
    </row>
    <row r="1427" spans="1:5" x14ac:dyDescent="0.35">
      <c r="A1427" s="13">
        <v>43831</v>
      </c>
      <c r="B1427">
        <f>YEAR(Country_Masterlist__4[[#This Row],[Year1]])</f>
        <v>2020</v>
      </c>
      <c r="C1427" t="s">
        <v>35</v>
      </c>
      <c r="D1427" t="s">
        <v>169</v>
      </c>
      <c r="E1427">
        <v>56</v>
      </c>
    </row>
    <row r="1428" spans="1:5" x14ac:dyDescent="0.35">
      <c r="A1428" s="13">
        <v>43831</v>
      </c>
      <c r="B1428">
        <f>YEAR(Country_Masterlist__4[[#This Row],[Year1]])</f>
        <v>2020</v>
      </c>
      <c r="C1428" t="s">
        <v>35</v>
      </c>
      <c r="D1428" t="s">
        <v>215</v>
      </c>
      <c r="E1428">
        <v>10</v>
      </c>
    </row>
    <row r="1429" spans="1:5" x14ac:dyDescent="0.35">
      <c r="A1429" s="13">
        <v>43831</v>
      </c>
      <c r="B1429">
        <f>YEAR(Country_Masterlist__4[[#This Row],[Year1]])</f>
        <v>2020</v>
      </c>
      <c r="C1429" t="s">
        <v>33</v>
      </c>
      <c r="D1429" t="s">
        <v>170</v>
      </c>
      <c r="E1429">
        <v>90</v>
      </c>
    </row>
    <row r="1430" spans="1:5" x14ac:dyDescent="0.35">
      <c r="A1430" s="13">
        <v>43831</v>
      </c>
      <c r="B1430">
        <f>YEAR(Country_Masterlist__4[[#This Row],[Year1]])</f>
        <v>2020</v>
      </c>
      <c r="C1430" t="s">
        <v>34</v>
      </c>
      <c r="D1430" t="s">
        <v>171</v>
      </c>
      <c r="E1430">
        <v>37</v>
      </c>
    </row>
    <row r="1431" spans="1:5" x14ac:dyDescent="0.35">
      <c r="A1431" s="13">
        <v>43831</v>
      </c>
      <c r="B1431">
        <f>YEAR(Country_Masterlist__4[[#This Row],[Year1]])</f>
        <v>2020</v>
      </c>
      <c r="C1431" t="s">
        <v>35</v>
      </c>
      <c r="D1431" t="s">
        <v>172</v>
      </c>
      <c r="E1431">
        <v>50</v>
      </c>
    </row>
    <row r="1432" spans="1:5" x14ac:dyDescent="0.35">
      <c r="A1432" s="13">
        <v>43831</v>
      </c>
      <c r="B1432">
        <f>YEAR(Country_Masterlist__4[[#This Row],[Year1]])</f>
        <v>2020</v>
      </c>
      <c r="C1432" t="s">
        <v>35</v>
      </c>
      <c r="D1432" t="s">
        <v>173</v>
      </c>
      <c r="E1432">
        <v>5</v>
      </c>
    </row>
    <row r="1433" spans="1:5" x14ac:dyDescent="0.35">
      <c r="A1433" s="13">
        <v>43831</v>
      </c>
      <c r="B1433">
        <f>YEAR(Country_Masterlist__4[[#This Row],[Year1]])</f>
        <v>2020</v>
      </c>
      <c r="C1433" t="s">
        <v>33</v>
      </c>
      <c r="D1433" t="s">
        <v>174</v>
      </c>
      <c r="E1433">
        <v>157</v>
      </c>
    </row>
    <row r="1434" spans="1:5" x14ac:dyDescent="0.35">
      <c r="A1434" s="13">
        <v>43831</v>
      </c>
      <c r="B1434">
        <f>YEAR(Country_Masterlist__4[[#This Row],[Year1]])</f>
        <v>2020</v>
      </c>
      <c r="C1434" t="s">
        <v>33</v>
      </c>
      <c r="D1434" t="s">
        <v>175</v>
      </c>
      <c r="E1434">
        <v>122</v>
      </c>
    </row>
    <row r="1435" spans="1:5" x14ac:dyDescent="0.35">
      <c r="A1435" s="13">
        <v>43831</v>
      </c>
      <c r="B1435">
        <f>YEAR(Country_Masterlist__4[[#This Row],[Year1]])</f>
        <v>2020</v>
      </c>
      <c r="C1435" t="s">
        <v>33</v>
      </c>
      <c r="D1435" t="s">
        <v>176</v>
      </c>
      <c r="E1435">
        <v>35</v>
      </c>
    </row>
    <row r="1436" spans="1:5" x14ac:dyDescent="0.35">
      <c r="A1436" s="13">
        <v>43831</v>
      </c>
      <c r="B1436">
        <f>YEAR(Country_Masterlist__4[[#This Row],[Year1]])</f>
        <v>2020</v>
      </c>
      <c r="C1436" t="s">
        <v>35</v>
      </c>
      <c r="D1436" t="s">
        <v>216</v>
      </c>
      <c r="E1436">
        <v>9</v>
      </c>
    </row>
    <row r="1437" spans="1:5" x14ac:dyDescent="0.35">
      <c r="A1437" s="13">
        <v>43831</v>
      </c>
      <c r="B1437">
        <f>YEAR(Country_Masterlist__4[[#This Row],[Year1]])</f>
        <v>2020</v>
      </c>
      <c r="C1437" t="s">
        <v>35</v>
      </c>
      <c r="D1437" t="s">
        <v>177</v>
      </c>
      <c r="E1437">
        <v>1094</v>
      </c>
    </row>
    <row r="1438" spans="1:5" x14ac:dyDescent="0.35">
      <c r="A1438" s="13">
        <v>43831</v>
      </c>
      <c r="B1438">
        <f>YEAR(Country_Masterlist__4[[#This Row],[Year1]])</f>
        <v>2020</v>
      </c>
      <c r="C1438" t="s">
        <v>34</v>
      </c>
      <c r="D1438" t="s">
        <v>178</v>
      </c>
      <c r="E1438">
        <v>296</v>
      </c>
    </row>
    <row r="1439" spans="1:5" x14ac:dyDescent="0.35">
      <c r="A1439" s="13">
        <v>43831</v>
      </c>
      <c r="B1439">
        <f>YEAR(Country_Masterlist__4[[#This Row],[Year1]])</f>
        <v>2020</v>
      </c>
      <c r="C1439" t="s">
        <v>33</v>
      </c>
      <c r="D1439" t="s">
        <v>179</v>
      </c>
      <c r="E1439">
        <v>142</v>
      </c>
    </row>
    <row r="1440" spans="1:5" x14ac:dyDescent="0.35">
      <c r="A1440" s="13">
        <v>43831</v>
      </c>
      <c r="B1440">
        <f>YEAR(Country_Masterlist__4[[#This Row],[Year1]])</f>
        <v>2020</v>
      </c>
      <c r="C1440" t="s">
        <v>38</v>
      </c>
      <c r="D1440" t="s">
        <v>180</v>
      </c>
      <c r="E1440">
        <v>9</v>
      </c>
    </row>
    <row r="1441" spans="1:5" x14ac:dyDescent="0.35">
      <c r="A1441" s="13">
        <v>43831</v>
      </c>
      <c r="B1441">
        <f>YEAR(Country_Masterlist__4[[#This Row],[Year1]])</f>
        <v>2020</v>
      </c>
      <c r="C1441" t="s">
        <v>33</v>
      </c>
      <c r="D1441" t="s">
        <v>181</v>
      </c>
      <c r="E1441" t="s">
        <v>205</v>
      </c>
    </row>
    <row r="1442" spans="1:5" x14ac:dyDescent="0.35">
      <c r="A1442" s="13">
        <v>43831</v>
      </c>
      <c r="B1442">
        <f>YEAR(Country_Masterlist__4[[#This Row],[Year1]])</f>
        <v>2020</v>
      </c>
      <c r="C1442" t="s">
        <v>35</v>
      </c>
      <c r="D1442" t="s">
        <v>182</v>
      </c>
      <c r="E1442">
        <v>104</v>
      </c>
    </row>
    <row r="1443" spans="1:5" x14ac:dyDescent="0.35">
      <c r="A1443" s="13">
        <v>43831</v>
      </c>
      <c r="B1443">
        <f>YEAR(Country_Masterlist__4[[#This Row],[Year1]])</f>
        <v>2020</v>
      </c>
      <c r="C1443" t="s">
        <v>35</v>
      </c>
      <c r="D1443" t="s">
        <v>183</v>
      </c>
      <c r="E1443">
        <v>58</v>
      </c>
    </row>
    <row r="1444" spans="1:5" x14ac:dyDescent="0.35">
      <c r="A1444" s="13">
        <v>43831</v>
      </c>
      <c r="B1444">
        <f>YEAR(Country_Masterlist__4[[#This Row],[Year1]])</f>
        <v>2020</v>
      </c>
      <c r="C1444" t="s">
        <v>34</v>
      </c>
      <c r="D1444" t="s">
        <v>184</v>
      </c>
      <c r="E1444">
        <v>151</v>
      </c>
    </row>
    <row r="1445" spans="1:5" x14ac:dyDescent="0.35">
      <c r="A1445" s="13">
        <v>43831</v>
      </c>
      <c r="B1445">
        <f>YEAR(Country_Masterlist__4[[#This Row],[Year1]])</f>
        <v>2020</v>
      </c>
      <c r="C1445" t="s">
        <v>34</v>
      </c>
      <c r="D1445" t="s">
        <v>185</v>
      </c>
      <c r="E1445">
        <v>385</v>
      </c>
    </row>
    <row r="1446" spans="1:5" x14ac:dyDescent="0.35">
      <c r="A1446" s="13">
        <v>43831</v>
      </c>
      <c r="B1446">
        <f>YEAR(Country_Masterlist__4[[#This Row],[Year1]])</f>
        <v>2020</v>
      </c>
      <c r="C1446" t="s">
        <v>34</v>
      </c>
      <c r="D1446" t="s">
        <v>186</v>
      </c>
      <c r="E1446">
        <v>27</v>
      </c>
    </row>
    <row r="1447" spans="1:5" x14ac:dyDescent="0.35">
      <c r="A1447" s="13">
        <v>43831</v>
      </c>
      <c r="B1447">
        <f>YEAR(Country_Masterlist__4[[#This Row],[Year1]])</f>
        <v>2020</v>
      </c>
      <c r="C1447" t="s">
        <v>33</v>
      </c>
      <c r="D1447" t="s">
        <v>187</v>
      </c>
      <c r="E1447">
        <v>38</v>
      </c>
    </row>
    <row r="1448" spans="1:5" x14ac:dyDescent="0.35">
      <c r="A1448" s="13">
        <v>43831</v>
      </c>
      <c r="B1448">
        <f>YEAR(Country_Masterlist__4[[#This Row],[Year1]])</f>
        <v>2020</v>
      </c>
      <c r="C1448" t="s">
        <v>34</v>
      </c>
      <c r="D1448" t="s">
        <v>188</v>
      </c>
      <c r="E1448">
        <v>202</v>
      </c>
    </row>
    <row r="1449" spans="1:5" x14ac:dyDescent="0.35">
      <c r="A1449" s="13">
        <v>43831</v>
      </c>
      <c r="B1449">
        <f>YEAR(Country_Masterlist__4[[#This Row],[Year1]])</f>
        <v>2020</v>
      </c>
      <c r="C1449" t="s">
        <v>33</v>
      </c>
      <c r="D1449" t="s">
        <v>189</v>
      </c>
      <c r="E1449">
        <v>56</v>
      </c>
    </row>
    <row r="1450" spans="1:5" x14ac:dyDescent="0.35">
      <c r="A1450" s="13">
        <v>43831</v>
      </c>
      <c r="B1450">
        <f>YEAR(Country_Masterlist__4[[#This Row],[Year1]])</f>
        <v>2020</v>
      </c>
      <c r="C1450" t="s">
        <v>37</v>
      </c>
      <c r="D1450" t="s">
        <v>190</v>
      </c>
      <c r="E1450">
        <v>46</v>
      </c>
    </row>
    <row r="1451" spans="1:5" x14ac:dyDescent="0.35">
      <c r="A1451" s="13">
        <v>43831</v>
      </c>
      <c r="B1451">
        <f>YEAR(Country_Masterlist__4[[#This Row],[Year1]])</f>
        <v>2020</v>
      </c>
      <c r="C1451" t="s">
        <v>36</v>
      </c>
      <c r="D1451" t="s">
        <v>191</v>
      </c>
      <c r="E1451">
        <v>163</v>
      </c>
    </row>
    <row r="1452" spans="1:5" x14ac:dyDescent="0.35">
      <c r="A1452" s="13">
        <v>43831</v>
      </c>
      <c r="B1452">
        <f>YEAR(Country_Masterlist__4[[#This Row],[Year1]])</f>
        <v>2020</v>
      </c>
      <c r="C1452" t="s">
        <v>33</v>
      </c>
      <c r="D1452" t="s">
        <v>192</v>
      </c>
      <c r="E1452">
        <v>89</v>
      </c>
    </row>
    <row r="1453" spans="1:5" x14ac:dyDescent="0.35">
      <c r="A1453" s="13">
        <v>43831</v>
      </c>
      <c r="B1453">
        <f>YEAR(Country_Masterlist__4[[#This Row],[Year1]])</f>
        <v>2020</v>
      </c>
      <c r="C1453" t="s">
        <v>34</v>
      </c>
      <c r="D1453" t="s">
        <v>193</v>
      </c>
      <c r="E1453">
        <v>385</v>
      </c>
    </row>
    <row r="1454" spans="1:5" x14ac:dyDescent="0.35">
      <c r="A1454" s="13">
        <v>43831</v>
      </c>
      <c r="B1454">
        <f>YEAR(Country_Masterlist__4[[#This Row],[Year1]])</f>
        <v>2020</v>
      </c>
      <c r="C1454" t="s">
        <v>34</v>
      </c>
      <c r="D1454" t="s">
        <v>194</v>
      </c>
      <c r="E1454" t="s">
        <v>205</v>
      </c>
    </row>
    <row r="1455" spans="1:5" x14ac:dyDescent="0.35">
      <c r="A1455" s="13">
        <v>43831</v>
      </c>
      <c r="B1455">
        <f>YEAR(Country_Masterlist__4[[#This Row],[Year1]])</f>
        <v>2020</v>
      </c>
      <c r="C1455" t="s">
        <v>33</v>
      </c>
      <c r="D1455" t="s">
        <v>195</v>
      </c>
      <c r="E1455">
        <v>88</v>
      </c>
    </row>
    <row r="1456" spans="1:5" x14ac:dyDescent="0.35">
      <c r="A1456" s="13">
        <v>43831</v>
      </c>
      <c r="B1456">
        <f>YEAR(Country_Masterlist__4[[#This Row],[Year1]])</f>
        <v>2020</v>
      </c>
      <c r="C1456" t="s">
        <v>35</v>
      </c>
      <c r="D1456" t="s">
        <v>196</v>
      </c>
      <c r="E1456">
        <v>327</v>
      </c>
    </row>
    <row r="1457" spans="1:5" x14ac:dyDescent="0.35">
      <c r="A1457" s="13">
        <v>43831</v>
      </c>
      <c r="B1457">
        <f>YEAR(Country_Masterlist__4[[#This Row],[Year1]])</f>
        <v>2020</v>
      </c>
      <c r="C1457" t="s">
        <v>34</v>
      </c>
      <c r="D1457" t="s">
        <v>197</v>
      </c>
      <c r="E1457">
        <v>19</v>
      </c>
    </row>
    <row r="1458" spans="1:5" x14ac:dyDescent="0.35">
      <c r="A1458" s="13">
        <v>43831</v>
      </c>
      <c r="B1458">
        <f>YEAR(Country_Masterlist__4[[#This Row],[Year1]])</f>
        <v>2020</v>
      </c>
      <c r="C1458" t="s">
        <v>35</v>
      </c>
      <c r="D1458" t="s">
        <v>198</v>
      </c>
      <c r="E1458">
        <v>930</v>
      </c>
    </row>
    <row r="1459" spans="1:5" x14ac:dyDescent="0.35">
      <c r="A1459" s="13">
        <v>43831</v>
      </c>
      <c r="B1459">
        <f>YEAR(Country_Masterlist__4[[#This Row],[Year1]])</f>
        <v>2020</v>
      </c>
      <c r="C1459" t="s">
        <v>39</v>
      </c>
      <c r="D1459" t="s">
        <v>39</v>
      </c>
      <c r="E1459">
        <v>1304</v>
      </c>
    </row>
    <row r="1460" spans="1:5" x14ac:dyDescent="0.35">
      <c r="A1460" s="13">
        <v>43831</v>
      </c>
      <c r="B1460">
        <f>YEAR(Country_Masterlist__4[[#This Row],[Year1]])</f>
        <v>2020</v>
      </c>
      <c r="C1460" t="s">
        <v>38</v>
      </c>
      <c r="D1460" t="s">
        <v>199</v>
      </c>
      <c r="E1460">
        <v>60</v>
      </c>
    </row>
    <row r="1461" spans="1:5" x14ac:dyDescent="0.35">
      <c r="A1461" s="13">
        <v>43831</v>
      </c>
      <c r="B1461">
        <f>YEAR(Country_Masterlist__4[[#This Row],[Year1]])</f>
        <v>2020</v>
      </c>
      <c r="C1461" t="s">
        <v>34</v>
      </c>
      <c r="D1461" t="s">
        <v>200</v>
      </c>
      <c r="E1461">
        <v>302</v>
      </c>
    </row>
    <row r="1462" spans="1:5" x14ac:dyDescent="0.35">
      <c r="A1462" s="13">
        <v>43831</v>
      </c>
      <c r="B1462">
        <f>YEAR(Country_Masterlist__4[[#This Row],[Year1]])</f>
        <v>2020</v>
      </c>
      <c r="C1462" t="s">
        <v>38</v>
      </c>
      <c r="D1462" t="s">
        <v>19</v>
      </c>
      <c r="E1462">
        <v>4265</v>
      </c>
    </row>
    <row r="1463" spans="1:5" x14ac:dyDescent="0.35">
      <c r="A1463" s="13">
        <v>43831</v>
      </c>
      <c r="B1463">
        <f>YEAR(Country_Masterlist__4[[#This Row],[Year1]])</f>
        <v>2020</v>
      </c>
      <c r="C1463" t="s">
        <v>34</v>
      </c>
      <c r="D1463" t="s">
        <v>201</v>
      </c>
      <c r="E1463">
        <v>717</v>
      </c>
    </row>
    <row r="1464" spans="1:5" x14ac:dyDescent="0.35">
      <c r="A1464" s="13">
        <v>43831</v>
      </c>
      <c r="B1464">
        <f>YEAR(Country_Masterlist__4[[#This Row],[Year1]])</f>
        <v>2020</v>
      </c>
      <c r="C1464" t="s">
        <v>34</v>
      </c>
      <c r="D1464" t="s">
        <v>202</v>
      </c>
      <c r="E1464">
        <v>66</v>
      </c>
    </row>
    <row r="1465" spans="1:5" x14ac:dyDescent="0.35">
      <c r="A1465" s="13">
        <v>43831</v>
      </c>
      <c r="B1465">
        <f>YEAR(Country_Masterlist__4[[#This Row],[Year1]])</f>
        <v>2020</v>
      </c>
      <c r="C1465" t="s">
        <v>33</v>
      </c>
      <c r="D1465" t="s">
        <v>203</v>
      </c>
      <c r="E1465">
        <v>38</v>
      </c>
    </row>
    <row r="1466" spans="1:5" x14ac:dyDescent="0.35">
      <c r="A1466" s="13">
        <v>43831</v>
      </c>
      <c r="B1466">
        <f>YEAR(Country_Masterlist__4[[#This Row],[Year1]])</f>
        <v>2020</v>
      </c>
      <c r="C1466" t="s">
        <v>33</v>
      </c>
      <c r="D1466" t="s">
        <v>204</v>
      </c>
      <c r="E1466">
        <v>26</v>
      </c>
    </row>
    <row r="1467" spans="1:5" x14ac:dyDescent="0.35">
      <c r="A1467" s="13">
        <v>44197</v>
      </c>
      <c r="B1467">
        <f>YEAR(Country_Masterlist__4[[#This Row],[Year1]])</f>
        <v>2021</v>
      </c>
      <c r="C1467" t="s">
        <v>34</v>
      </c>
      <c r="D1467" t="s">
        <v>40</v>
      </c>
      <c r="E1467">
        <v>145</v>
      </c>
    </row>
    <row r="1468" spans="1:5" x14ac:dyDescent="0.35">
      <c r="A1468" s="13">
        <v>44197</v>
      </c>
      <c r="B1468">
        <f>YEAR(Country_Masterlist__4[[#This Row],[Year1]])</f>
        <v>2021</v>
      </c>
      <c r="C1468" t="s">
        <v>35</v>
      </c>
      <c r="D1468" t="s">
        <v>41</v>
      </c>
      <c r="E1468">
        <v>68</v>
      </c>
    </row>
    <row r="1469" spans="1:5" x14ac:dyDescent="0.35">
      <c r="A1469" s="13">
        <v>44197</v>
      </c>
      <c r="B1469">
        <f>YEAR(Country_Masterlist__4[[#This Row],[Year1]])</f>
        <v>2021</v>
      </c>
      <c r="C1469" t="s">
        <v>33</v>
      </c>
      <c r="D1469" t="s">
        <v>42</v>
      </c>
      <c r="E1469">
        <v>506</v>
      </c>
    </row>
    <row r="1470" spans="1:5" x14ac:dyDescent="0.35">
      <c r="A1470" s="13">
        <v>44197</v>
      </c>
      <c r="B1470">
        <f>YEAR(Country_Masterlist__4[[#This Row],[Year1]])</f>
        <v>2021</v>
      </c>
      <c r="D1470" t="s">
        <v>373</v>
      </c>
      <c r="E1470">
        <v>13</v>
      </c>
    </row>
    <row r="1471" spans="1:5" x14ac:dyDescent="0.35">
      <c r="A1471" s="13">
        <v>44197</v>
      </c>
      <c r="B1471">
        <f>YEAR(Country_Masterlist__4[[#This Row],[Year1]])</f>
        <v>2021</v>
      </c>
      <c r="C1471" t="s">
        <v>33</v>
      </c>
      <c r="D1471" t="s">
        <v>43</v>
      </c>
      <c r="E1471">
        <v>258</v>
      </c>
    </row>
    <row r="1472" spans="1:5" x14ac:dyDescent="0.35">
      <c r="A1472" s="13">
        <v>44197</v>
      </c>
      <c r="B1472">
        <f>YEAR(Country_Masterlist__4[[#This Row],[Year1]])</f>
        <v>2021</v>
      </c>
      <c r="C1472" t="s">
        <v>36</v>
      </c>
      <c r="D1472" t="s">
        <v>44</v>
      </c>
      <c r="E1472">
        <v>18</v>
      </c>
    </row>
    <row r="1473" spans="1:5" x14ac:dyDescent="0.35">
      <c r="A1473" s="13">
        <v>44197</v>
      </c>
      <c r="B1473">
        <f>YEAR(Country_Masterlist__4[[#This Row],[Year1]])</f>
        <v>2021</v>
      </c>
      <c r="C1473" t="s">
        <v>38</v>
      </c>
      <c r="D1473" t="s">
        <v>45</v>
      </c>
      <c r="E1473">
        <v>724</v>
      </c>
    </row>
    <row r="1474" spans="1:5" x14ac:dyDescent="0.35">
      <c r="A1474" s="13">
        <v>44197</v>
      </c>
      <c r="B1474">
        <f>YEAR(Country_Masterlist__4[[#This Row],[Year1]])</f>
        <v>2021</v>
      </c>
      <c r="C1474" t="s">
        <v>34</v>
      </c>
      <c r="D1474" t="s">
        <v>46</v>
      </c>
      <c r="E1474">
        <v>914</v>
      </c>
    </row>
    <row r="1475" spans="1:5" x14ac:dyDescent="0.35">
      <c r="A1475" s="13">
        <v>44197</v>
      </c>
      <c r="B1475">
        <f>YEAR(Country_Masterlist__4[[#This Row],[Year1]])</f>
        <v>2021</v>
      </c>
      <c r="C1475" t="s">
        <v>37</v>
      </c>
      <c r="D1475" t="s">
        <v>47</v>
      </c>
      <c r="E1475">
        <v>127</v>
      </c>
    </row>
    <row r="1476" spans="1:5" x14ac:dyDescent="0.35">
      <c r="A1476" s="13">
        <v>44197</v>
      </c>
      <c r="B1476">
        <f>YEAR(Country_Masterlist__4[[#This Row],[Year1]])</f>
        <v>2021</v>
      </c>
      <c r="C1476" t="s">
        <v>35</v>
      </c>
      <c r="D1476" t="s">
        <v>48</v>
      </c>
      <c r="E1476">
        <v>28</v>
      </c>
    </row>
    <row r="1477" spans="1:5" x14ac:dyDescent="0.35">
      <c r="A1477" s="13">
        <v>44197</v>
      </c>
      <c r="B1477">
        <f>YEAR(Country_Masterlist__4[[#This Row],[Year1]])</f>
        <v>2021</v>
      </c>
      <c r="C1477" t="s">
        <v>34</v>
      </c>
      <c r="D1477" t="s">
        <v>49</v>
      </c>
      <c r="E1477">
        <v>38</v>
      </c>
    </row>
    <row r="1478" spans="1:5" x14ac:dyDescent="0.35">
      <c r="A1478" s="13">
        <v>44197</v>
      </c>
      <c r="B1478">
        <f>YEAR(Country_Masterlist__4[[#This Row],[Year1]])</f>
        <v>2021</v>
      </c>
      <c r="C1478" t="s">
        <v>36</v>
      </c>
      <c r="D1478" t="s">
        <v>50</v>
      </c>
      <c r="E1478">
        <v>637</v>
      </c>
    </row>
    <row r="1479" spans="1:5" x14ac:dyDescent="0.35">
      <c r="A1479" s="13">
        <v>44197</v>
      </c>
      <c r="B1479">
        <f>YEAR(Country_Masterlist__4[[#This Row],[Year1]])</f>
        <v>2021</v>
      </c>
      <c r="C1479" t="s">
        <v>34</v>
      </c>
      <c r="D1479" t="s">
        <v>51</v>
      </c>
      <c r="E1479">
        <v>8</v>
      </c>
    </row>
    <row r="1480" spans="1:5" x14ac:dyDescent="0.35">
      <c r="A1480" s="13">
        <v>44197</v>
      </c>
      <c r="B1480">
        <f>YEAR(Country_Masterlist__4[[#This Row],[Year1]])</f>
        <v>2021</v>
      </c>
      <c r="C1480" t="s">
        <v>34</v>
      </c>
      <c r="D1480" t="s">
        <v>52</v>
      </c>
      <c r="E1480">
        <v>1097</v>
      </c>
    </row>
    <row r="1481" spans="1:5" x14ac:dyDescent="0.35">
      <c r="A1481" s="13">
        <v>44197</v>
      </c>
      <c r="B1481">
        <f>YEAR(Country_Masterlist__4[[#This Row],[Year1]])</f>
        <v>2021</v>
      </c>
      <c r="C1481" t="s">
        <v>36</v>
      </c>
      <c r="D1481" t="s">
        <v>53</v>
      </c>
      <c r="E1481">
        <v>18</v>
      </c>
    </row>
    <row r="1482" spans="1:5" x14ac:dyDescent="0.35">
      <c r="A1482" s="13">
        <v>44197</v>
      </c>
      <c r="B1482">
        <f>YEAR(Country_Masterlist__4[[#This Row],[Year1]])</f>
        <v>2021</v>
      </c>
      <c r="C1482" t="s">
        <v>35</v>
      </c>
      <c r="D1482" t="s">
        <v>54</v>
      </c>
      <c r="E1482">
        <v>442</v>
      </c>
    </row>
    <row r="1483" spans="1:5" x14ac:dyDescent="0.35">
      <c r="A1483" s="13">
        <v>44197</v>
      </c>
      <c r="B1483">
        <f>YEAR(Country_Masterlist__4[[#This Row],[Year1]])</f>
        <v>2021</v>
      </c>
      <c r="C1483" t="s">
        <v>35</v>
      </c>
      <c r="D1483" t="s">
        <v>55</v>
      </c>
      <c r="E1483">
        <v>37</v>
      </c>
    </row>
    <row r="1484" spans="1:5" x14ac:dyDescent="0.35">
      <c r="A1484" s="13">
        <v>44197</v>
      </c>
      <c r="B1484">
        <f>YEAR(Country_Masterlist__4[[#This Row],[Year1]])</f>
        <v>2021</v>
      </c>
      <c r="C1484" t="s">
        <v>36</v>
      </c>
      <c r="D1484" t="s">
        <v>56</v>
      </c>
      <c r="E1484">
        <v>400</v>
      </c>
    </row>
    <row r="1485" spans="1:5" x14ac:dyDescent="0.35">
      <c r="A1485" s="13">
        <v>44197</v>
      </c>
      <c r="B1485">
        <f>YEAR(Country_Masterlist__4[[#This Row],[Year1]])</f>
        <v>2021</v>
      </c>
      <c r="C1485" t="s">
        <v>33</v>
      </c>
      <c r="D1485" t="s">
        <v>57</v>
      </c>
      <c r="E1485">
        <v>86</v>
      </c>
    </row>
    <row r="1486" spans="1:5" x14ac:dyDescent="0.35">
      <c r="A1486" s="13">
        <v>44197</v>
      </c>
      <c r="B1486">
        <f>YEAR(Country_Masterlist__4[[#This Row],[Year1]])</f>
        <v>2021</v>
      </c>
      <c r="C1486" t="s">
        <v>34</v>
      </c>
      <c r="D1486" t="s">
        <v>58</v>
      </c>
      <c r="E1486">
        <v>15</v>
      </c>
    </row>
    <row r="1487" spans="1:5" x14ac:dyDescent="0.35">
      <c r="A1487" s="13">
        <v>44197</v>
      </c>
      <c r="B1487">
        <f>YEAR(Country_Masterlist__4[[#This Row],[Year1]])</f>
        <v>2021</v>
      </c>
      <c r="C1487" t="s">
        <v>38</v>
      </c>
      <c r="D1487" t="s">
        <v>59</v>
      </c>
      <c r="E1487">
        <v>306</v>
      </c>
    </row>
    <row r="1488" spans="1:5" x14ac:dyDescent="0.35">
      <c r="A1488" s="13">
        <v>44197</v>
      </c>
      <c r="B1488">
        <f>YEAR(Country_Masterlist__4[[#This Row],[Year1]])</f>
        <v>2021</v>
      </c>
      <c r="C1488" t="s">
        <v>35</v>
      </c>
      <c r="D1488" t="s">
        <v>60</v>
      </c>
      <c r="E1488">
        <v>38</v>
      </c>
    </row>
    <row r="1489" spans="1:5" x14ac:dyDescent="0.35">
      <c r="A1489" s="13">
        <v>44197</v>
      </c>
      <c r="B1489">
        <f>YEAR(Country_Masterlist__4[[#This Row],[Year1]])</f>
        <v>2021</v>
      </c>
      <c r="C1489" t="s">
        <v>33</v>
      </c>
      <c r="D1489" t="s">
        <v>61</v>
      </c>
      <c r="E1489">
        <v>4</v>
      </c>
    </row>
    <row r="1490" spans="1:5" x14ac:dyDescent="0.35">
      <c r="A1490" s="13">
        <v>44197</v>
      </c>
      <c r="B1490">
        <f>YEAR(Country_Masterlist__4[[#This Row],[Year1]])</f>
        <v>2021</v>
      </c>
      <c r="C1490" t="s">
        <v>38</v>
      </c>
      <c r="D1490" t="s">
        <v>21</v>
      </c>
      <c r="E1490">
        <v>58151</v>
      </c>
    </row>
    <row r="1491" spans="1:5" x14ac:dyDescent="0.35">
      <c r="A1491" s="13">
        <v>44197</v>
      </c>
      <c r="B1491">
        <f>YEAR(Country_Masterlist__4[[#This Row],[Year1]])</f>
        <v>2021</v>
      </c>
      <c r="C1491" t="s">
        <v>35</v>
      </c>
      <c r="D1491" t="s">
        <v>62</v>
      </c>
      <c r="E1491">
        <v>41</v>
      </c>
    </row>
    <row r="1492" spans="1:5" x14ac:dyDescent="0.35">
      <c r="A1492" s="13">
        <v>44197</v>
      </c>
      <c r="B1492">
        <f>YEAR(Country_Masterlist__4[[#This Row],[Year1]])</f>
        <v>2021</v>
      </c>
      <c r="C1492" t="s">
        <v>33</v>
      </c>
      <c r="D1492" t="s">
        <v>63</v>
      </c>
      <c r="E1492">
        <v>223</v>
      </c>
    </row>
    <row r="1493" spans="1:5" x14ac:dyDescent="0.35">
      <c r="A1493" s="13">
        <v>44197</v>
      </c>
      <c r="B1493">
        <f>YEAR(Country_Masterlist__4[[#This Row],[Year1]])</f>
        <v>2021</v>
      </c>
      <c r="C1493" t="s">
        <v>34</v>
      </c>
      <c r="D1493" t="s">
        <v>64</v>
      </c>
      <c r="E1493">
        <v>46</v>
      </c>
    </row>
    <row r="1494" spans="1:5" x14ac:dyDescent="0.35">
      <c r="A1494" s="13">
        <v>44197</v>
      </c>
      <c r="B1494">
        <f>YEAR(Country_Masterlist__4[[#This Row],[Year1]])</f>
        <v>2021</v>
      </c>
      <c r="C1494" t="s">
        <v>33</v>
      </c>
      <c r="D1494" t="s">
        <v>65</v>
      </c>
      <c r="E1494">
        <v>20</v>
      </c>
    </row>
    <row r="1495" spans="1:5" x14ac:dyDescent="0.35">
      <c r="A1495" s="13">
        <v>44197</v>
      </c>
      <c r="B1495">
        <f>YEAR(Country_Masterlist__4[[#This Row],[Year1]])</f>
        <v>2021</v>
      </c>
      <c r="C1495" t="s">
        <v>33</v>
      </c>
      <c r="D1495" t="s">
        <v>66</v>
      </c>
      <c r="E1495">
        <v>28</v>
      </c>
    </row>
    <row r="1496" spans="1:5" x14ac:dyDescent="0.35">
      <c r="A1496" s="13">
        <v>44197</v>
      </c>
      <c r="B1496">
        <f>YEAR(Country_Masterlist__4[[#This Row],[Year1]])</f>
        <v>2021</v>
      </c>
      <c r="C1496" t="s">
        <v>34</v>
      </c>
      <c r="D1496" t="s">
        <v>67</v>
      </c>
      <c r="E1496">
        <v>39</v>
      </c>
    </row>
    <row r="1497" spans="1:5" x14ac:dyDescent="0.35">
      <c r="A1497" s="13">
        <v>44197</v>
      </c>
      <c r="B1497">
        <f>YEAR(Country_Masterlist__4[[#This Row],[Year1]])</f>
        <v>2021</v>
      </c>
      <c r="C1497" t="s">
        <v>33</v>
      </c>
      <c r="D1497" t="s">
        <v>68</v>
      </c>
      <c r="E1497">
        <v>509</v>
      </c>
    </row>
    <row r="1498" spans="1:5" x14ac:dyDescent="0.35">
      <c r="A1498" s="13">
        <v>44197</v>
      </c>
      <c r="B1498">
        <f>YEAR(Country_Masterlist__4[[#This Row],[Year1]])</f>
        <v>2021</v>
      </c>
      <c r="C1498" t="s">
        <v>36</v>
      </c>
      <c r="D1498" t="s">
        <v>69</v>
      </c>
      <c r="E1498">
        <v>9454</v>
      </c>
    </row>
    <row r="1499" spans="1:5" x14ac:dyDescent="0.35">
      <c r="A1499" s="13">
        <v>44197</v>
      </c>
      <c r="B1499">
        <f>YEAR(Country_Masterlist__4[[#This Row],[Year1]])</f>
        <v>2021</v>
      </c>
      <c r="C1499" t="s">
        <v>33</v>
      </c>
      <c r="D1499" t="s">
        <v>70</v>
      </c>
      <c r="E1499">
        <v>11</v>
      </c>
    </row>
    <row r="1500" spans="1:5" x14ac:dyDescent="0.35">
      <c r="A1500" s="13">
        <v>44197</v>
      </c>
      <c r="B1500">
        <f>YEAR(Country_Masterlist__4[[#This Row],[Year1]])</f>
        <v>2021</v>
      </c>
      <c r="C1500" t="s">
        <v>33</v>
      </c>
      <c r="D1500" t="s">
        <v>71</v>
      </c>
      <c r="E1500">
        <v>19</v>
      </c>
    </row>
    <row r="1501" spans="1:5" x14ac:dyDescent="0.35">
      <c r="A1501" s="13">
        <v>44197</v>
      </c>
      <c r="B1501">
        <f>YEAR(Country_Masterlist__4[[#This Row],[Year1]])</f>
        <v>2021</v>
      </c>
      <c r="C1501" t="s">
        <v>38</v>
      </c>
      <c r="D1501" t="s">
        <v>72</v>
      </c>
      <c r="E1501">
        <v>7933</v>
      </c>
    </row>
    <row r="1502" spans="1:5" x14ac:dyDescent="0.35">
      <c r="A1502" s="13">
        <v>44197</v>
      </c>
      <c r="B1502">
        <f>YEAR(Country_Masterlist__4[[#This Row],[Year1]])</f>
        <v>2021</v>
      </c>
      <c r="C1502" t="s">
        <v>34</v>
      </c>
      <c r="D1502" t="s">
        <v>73</v>
      </c>
      <c r="E1502">
        <v>1468</v>
      </c>
    </row>
    <row r="1503" spans="1:5" x14ac:dyDescent="0.35">
      <c r="A1503" s="13">
        <v>44197</v>
      </c>
      <c r="B1503">
        <f>YEAR(Country_Masterlist__4[[#This Row],[Year1]])</f>
        <v>2021</v>
      </c>
      <c r="C1503" t="s">
        <v>38</v>
      </c>
      <c r="D1503" t="s">
        <v>20</v>
      </c>
      <c r="E1503">
        <v>10381</v>
      </c>
    </row>
    <row r="1504" spans="1:5" x14ac:dyDescent="0.35">
      <c r="A1504" s="13">
        <v>44197</v>
      </c>
      <c r="B1504">
        <f>YEAR(Country_Masterlist__4[[#This Row],[Year1]])</f>
        <v>2021</v>
      </c>
      <c r="C1504" t="s">
        <v>33</v>
      </c>
      <c r="D1504" t="s">
        <v>74</v>
      </c>
      <c r="E1504">
        <v>408</v>
      </c>
    </row>
    <row r="1505" spans="1:5" x14ac:dyDescent="0.35">
      <c r="A1505" s="13">
        <v>44197</v>
      </c>
      <c r="B1505">
        <f>YEAR(Country_Masterlist__4[[#This Row],[Year1]])</f>
        <v>2021</v>
      </c>
      <c r="C1505" t="s">
        <v>33</v>
      </c>
      <c r="D1505" t="s">
        <v>75</v>
      </c>
      <c r="E1505">
        <v>180</v>
      </c>
    </row>
    <row r="1506" spans="1:5" x14ac:dyDescent="0.35">
      <c r="A1506" s="13">
        <v>44197</v>
      </c>
      <c r="B1506">
        <f>YEAR(Country_Masterlist__4[[#This Row],[Year1]])</f>
        <v>2021</v>
      </c>
      <c r="C1506" t="s">
        <v>36</v>
      </c>
      <c r="D1506" t="s">
        <v>76</v>
      </c>
      <c r="E1506">
        <v>780</v>
      </c>
    </row>
    <row r="1507" spans="1:5" x14ac:dyDescent="0.35">
      <c r="A1507" s="13">
        <v>44197</v>
      </c>
      <c r="B1507">
        <f>YEAR(Country_Masterlist__4[[#This Row],[Year1]])</f>
        <v>2021</v>
      </c>
      <c r="C1507" t="s">
        <v>33</v>
      </c>
      <c r="D1507" t="s">
        <v>77</v>
      </c>
      <c r="E1507">
        <v>167</v>
      </c>
    </row>
    <row r="1508" spans="1:5" x14ac:dyDescent="0.35">
      <c r="A1508" s="13">
        <v>44197</v>
      </c>
      <c r="B1508">
        <f>YEAR(Country_Masterlist__4[[#This Row],[Year1]])</f>
        <v>2021</v>
      </c>
      <c r="C1508" t="s">
        <v>35</v>
      </c>
      <c r="D1508" t="s">
        <v>78</v>
      </c>
      <c r="E1508">
        <v>27</v>
      </c>
    </row>
    <row r="1509" spans="1:5" x14ac:dyDescent="0.35">
      <c r="A1509" s="13">
        <v>44197</v>
      </c>
      <c r="B1509">
        <f>YEAR(Country_Masterlist__4[[#This Row],[Year1]])</f>
        <v>2021</v>
      </c>
      <c r="C1509" t="s">
        <v>36</v>
      </c>
      <c r="D1509" t="s">
        <v>79</v>
      </c>
      <c r="E1509">
        <v>40549</v>
      </c>
    </row>
    <row r="1510" spans="1:5" x14ac:dyDescent="0.35">
      <c r="A1510" s="13">
        <v>44197</v>
      </c>
      <c r="B1510">
        <f>YEAR(Country_Masterlist__4[[#This Row],[Year1]])</f>
        <v>2021</v>
      </c>
      <c r="C1510" t="s">
        <v>34</v>
      </c>
      <c r="D1510" t="s">
        <v>80</v>
      </c>
      <c r="E1510" t="s">
        <v>205</v>
      </c>
    </row>
    <row r="1511" spans="1:5" x14ac:dyDescent="0.35">
      <c r="A1511" s="13">
        <v>44197</v>
      </c>
      <c r="B1511">
        <f>YEAR(Country_Masterlist__4[[#This Row],[Year1]])</f>
        <v>2021</v>
      </c>
      <c r="C1511" t="s">
        <v>35</v>
      </c>
      <c r="D1511" t="s">
        <v>81</v>
      </c>
      <c r="E1511">
        <v>53</v>
      </c>
    </row>
    <row r="1512" spans="1:5" x14ac:dyDescent="0.35">
      <c r="A1512" s="13">
        <v>44197</v>
      </c>
      <c r="B1512">
        <f>YEAR(Country_Masterlist__4[[#This Row],[Year1]])</f>
        <v>2021</v>
      </c>
      <c r="C1512" t="s">
        <v>35</v>
      </c>
      <c r="D1512" t="s">
        <v>214</v>
      </c>
      <c r="E1512" t="s">
        <v>206</v>
      </c>
    </row>
    <row r="1513" spans="1:5" x14ac:dyDescent="0.35">
      <c r="A1513" s="13">
        <v>44197</v>
      </c>
      <c r="B1513">
        <f>YEAR(Country_Masterlist__4[[#This Row],[Year1]])</f>
        <v>2021</v>
      </c>
      <c r="C1513" t="s">
        <v>35</v>
      </c>
      <c r="D1513" t="s">
        <v>82</v>
      </c>
      <c r="E1513">
        <v>19</v>
      </c>
    </row>
    <row r="1514" spans="1:5" x14ac:dyDescent="0.35">
      <c r="A1514" s="13">
        <v>44197</v>
      </c>
      <c r="B1514">
        <f>YEAR(Country_Masterlist__4[[#This Row],[Year1]])</f>
        <v>2021</v>
      </c>
      <c r="C1514" t="s">
        <v>33</v>
      </c>
      <c r="D1514" t="s">
        <v>83</v>
      </c>
      <c r="E1514">
        <v>8</v>
      </c>
    </row>
    <row r="1515" spans="1:5" x14ac:dyDescent="0.35">
      <c r="A1515" s="13">
        <v>44197</v>
      </c>
      <c r="B1515">
        <f>YEAR(Country_Masterlist__4[[#This Row],[Year1]])</f>
        <v>2021</v>
      </c>
      <c r="C1515" t="s">
        <v>36</v>
      </c>
      <c r="D1515" t="s">
        <v>84</v>
      </c>
      <c r="E1515">
        <v>27</v>
      </c>
    </row>
    <row r="1516" spans="1:5" x14ac:dyDescent="0.35">
      <c r="A1516" s="13">
        <v>44197</v>
      </c>
      <c r="B1516">
        <f>YEAR(Country_Masterlist__4[[#This Row],[Year1]])</f>
        <v>2021</v>
      </c>
      <c r="C1516" t="s">
        <v>36</v>
      </c>
      <c r="D1516" t="s">
        <v>85</v>
      </c>
      <c r="E1516">
        <v>3934</v>
      </c>
    </row>
    <row r="1517" spans="1:5" x14ac:dyDescent="0.35">
      <c r="A1517" s="13">
        <v>44197</v>
      </c>
      <c r="B1517">
        <f>YEAR(Country_Masterlist__4[[#This Row],[Year1]])</f>
        <v>2021</v>
      </c>
      <c r="C1517" t="s">
        <v>38</v>
      </c>
      <c r="D1517" t="s">
        <v>86</v>
      </c>
      <c r="E1517">
        <v>102575</v>
      </c>
    </row>
    <row r="1518" spans="1:5" x14ac:dyDescent="0.35">
      <c r="A1518" s="13">
        <v>44197</v>
      </c>
      <c r="B1518">
        <f>YEAR(Country_Masterlist__4[[#This Row],[Year1]])</f>
        <v>2021</v>
      </c>
      <c r="C1518" t="s">
        <v>33</v>
      </c>
      <c r="D1518" t="s">
        <v>87</v>
      </c>
      <c r="E1518">
        <v>206</v>
      </c>
    </row>
    <row r="1519" spans="1:5" x14ac:dyDescent="0.35">
      <c r="A1519" s="13">
        <v>44197</v>
      </c>
      <c r="B1519">
        <f>YEAR(Country_Masterlist__4[[#This Row],[Year1]])</f>
        <v>2021</v>
      </c>
      <c r="C1519" t="s">
        <v>36</v>
      </c>
      <c r="D1519" t="s">
        <v>16</v>
      </c>
      <c r="E1519">
        <v>104586</v>
      </c>
    </row>
    <row r="1520" spans="1:5" x14ac:dyDescent="0.35">
      <c r="A1520" s="13">
        <v>44197</v>
      </c>
      <c r="B1520">
        <f>YEAR(Country_Masterlist__4[[#This Row],[Year1]])</f>
        <v>2021</v>
      </c>
      <c r="C1520" t="s">
        <v>33</v>
      </c>
      <c r="D1520" t="s">
        <v>88</v>
      </c>
      <c r="E1520">
        <v>16</v>
      </c>
    </row>
    <row r="1521" spans="1:5" x14ac:dyDescent="0.35">
      <c r="A1521" s="13">
        <v>44197</v>
      </c>
      <c r="B1521">
        <f>YEAR(Country_Masterlist__4[[#This Row],[Year1]])</f>
        <v>2021</v>
      </c>
      <c r="C1521" t="s">
        <v>33</v>
      </c>
      <c r="D1521" t="s">
        <v>89</v>
      </c>
      <c r="E1521">
        <v>129</v>
      </c>
    </row>
    <row r="1522" spans="1:5" x14ac:dyDescent="0.35">
      <c r="A1522" s="13">
        <v>44197</v>
      </c>
      <c r="B1522">
        <f>YEAR(Country_Masterlist__4[[#This Row],[Year1]])</f>
        <v>2021</v>
      </c>
      <c r="C1522" t="s">
        <v>35</v>
      </c>
      <c r="D1522" t="s">
        <v>90</v>
      </c>
      <c r="E1522">
        <v>17</v>
      </c>
    </row>
    <row r="1523" spans="1:5" x14ac:dyDescent="0.35">
      <c r="A1523" s="13">
        <v>44197</v>
      </c>
      <c r="B1523">
        <f>YEAR(Country_Masterlist__4[[#This Row],[Year1]])</f>
        <v>2021</v>
      </c>
      <c r="C1523" t="s">
        <v>33</v>
      </c>
      <c r="D1523" t="s">
        <v>91</v>
      </c>
      <c r="E1523">
        <v>129</v>
      </c>
    </row>
    <row r="1524" spans="1:5" x14ac:dyDescent="0.35">
      <c r="A1524" s="13">
        <v>44197</v>
      </c>
      <c r="B1524">
        <f>YEAR(Country_Masterlist__4[[#This Row],[Year1]])</f>
        <v>2021</v>
      </c>
      <c r="C1524" t="s">
        <v>37</v>
      </c>
      <c r="D1524" t="s">
        <v>92</v>
      </c>
      <c r="E1524">
        <v>11</v>
      </c>
    </row>
    <row r="1525" spans="1:5" x14ac:dyDescent="0.35">
      <c r="A1525" s="13">
        <v>44197</v>
      </c>
      <c r="B1525">
        <f>YEAR(Country_Masterlist__4[[#This Row],[Year1]])</f>
        <v>2021</v>
      </c>
      <c r="C1525" t="s">
        <v>35</v>
      </c>
      <c r="D1525" t="s">
        <v>93</v>
      </c>
      <c r="E1525">
        <v>11</v>
      </c>
    </row>
    <row r="1526" spans="1:5" x14ac:dyDescent="0.35">
      <c r="A1526" s="13">
        <v>44197</v>
      </c>
      <c r="B1526">
        <f>YEAR(Country_Masterlist__4[[#This Row],[Year1]])</f>
        <v>2021</v>
      </c>
      <c r="C1526" t="s">
        <v>35</v>
      </c>
      <c r="D1526" t="s">
        <v>94</v>
      </c>
      <c r="E1526">
        <v>581</v>
      </c>
    </row>
    <row r="1527" spans="1:5" x14ac:dyDescent="0.35">
      <c r="A1527" s="13">
        <v>44197</v>
      </c>
      <c r="B1527">
        <f>YEAR(Country_Masterlist__4[[#This Row],[Year1]])</f>
        <v>2021</v>
      </c>
      <c r="C1527" t="s">
        <v>33</v>
      </c>
      <c r="D1527" t="s">
        <v>95</v>
      </c>
      <c r="E1527">
        <v>5</v>
      </c>
    </row>
    <row r="1528" spans="1:5" x14ac:dyDescent="0.35">
      <c r="A1528" s="13">
        <v>44197</v>
      </c>
      <c r="B1528">
        <f>YEAR(Country_Masterlist__4[[#This Row],[Year1]])</f>
        <v>2021</v>
      </c>
      <c r="C1528" t="s">
        <v>33</v>
      </c>
      <c r="D1528" t="s">
        <v>96</v>
      </c>
      <c r="E1528">
        <v>36</v>
      </c>
    </row>
    <row r="1529" spans="1:5" x14ac:dyDescent="0.35">
      <c r="A1529" s="13">
        <v>44197</v>
      </c>
      <c r="B1529">
        <f>YEAR(Country_Masterlist__4[[#This Row],[Year1]])</f>
        <v>2021</v>
      </c>
      <c r="C1529" t="s">
        <v>34</v>
      </c>
      <c r="D1529" t="s">
        <v>8</v>
      </c>
      <c r="E1529">
        <v>275</v>
      </c>
    </row>
    <row r="1530" spans="1:5" x14ac:dyDescent="0.35">
      <c r="A1530" s="13">
        <v>44197</v>
      </c>
      <c r="B1530">
        <f>YEAR(Country_Masterlist__4[[#This Row],[Year1]])</f>
        <v>2021</v>
      </c>
      <c r="C1530" t="s">
        <v>35</v>
      </c>
      <c r="D1530" t="s">
        <v>97</v>
      </c>
      <c r="E1530">
        <v>243</v>
      </c>
    </row>
    <row r="1531" spans="1:5" x14ac:dyDescent="0.35">
      <c r="A1531" s="13">
        <v>44197</v>
      </c>
      <c r="B1531">
        <f>YEAR(Country_Masterlist__4[[#This Row],[Year1]])</f>
        <v>2021</v>
      </c>
      <c r="C1531" t="s">
        <v>33</v>
      </c>
      <c r="D1531" t="s">
        <v>98</v>
      </c>
      <c r="E1531">
        <v>590</v>
      </c>
    </row>
    <row r="1532" spans="1:5" x14ac:dyDescent="0.35">
      <c r="A1532" s="13">
        <v>44197</v>
      </c>
      <c r="B1532">
        <f>YEAR(Country_Masterlist__4[[#This Row],[Year1]])</f>
        <v>2021</v>
      </c>
      <c r="C1532" t="s">
        <v>35</v>
      </c>
      <c r="D1532" t="s">
        <v>99</v>
      </c>
      <c r="E1532">
        <v>48</v>
      </c>
    </row>
    <row r="1533" spans="1:5" x14ac:dyDescent="0.35">
      <c r="A1533" s="13">
        <v>44197</v>
      </c>
      <c r="B1533">
        <f>YEAR(Country_Masterlist__4[[#This Row],[Year1]])</f>
        <v>2021</v>
      </c>
      <c r="C1533" t="s">
        <v>36</v>
      </c>
      <c r="D1533" t="s">
        <v>100</v>
      </c>
      <c r="E1533">
        <v>13</v>
      </c>
    </row>
    <row r="1534" spans="1:5" x14ac:dyDescent="0.35">
      <c r="A1534" s="13">
        <v>44197</v>
      </c>
      <c r="B1534">
        <f>YEAR(Country_Masterlist__4[[#This Row],[Year1]])</f>
        <v>2021</v>
      </c>
      <c r="C1534" t="s">
        <v>36</v>
      </c>
      <c r="D1534" t="s">
        <v>15</v>
      </c>
      <c r="E1534">
        <v>293954</v>
      </c>
    </row>
    <row r="1535" spans="1:5" x14ac:dyDescent="0.35">
      <c r="A1535" s="13">
        <v>44197</v>
      </c>
      <c r="B1535">
        <f>YEAR(Country_Masterlist__4[[#This Row],[Year1]])</f>
        <v>2021</v>
      </c>
      <c r="C1535" t="s">
        <v>33</v>
      </c>
      <c r="D1535" t="s">
        <v>101</v>
      </c>
      <c r="E1535">
        <v>273</v>
      </c>
    </row>
    <row r="1536" spans="1:5" x14ac:dyDescent="0.35">
      <c r="A1536" s="13">
        <v>44197</v>
      </c>
      <c r="B1536">
        <f>YEAR(Country_Masterlist__4[[#This Row],[Year1]])</f>
        <v>2021</v>
      </c>
      <c r="C1536" t="s">
        <v>33</v>
      </c>
      <c r="D1536" t="s">
        <v>102</v>
      </c>
      <c r="E1536">
        <v>13</v>
      </c>
    </row>
    <row r="1537" spans="1:5" x14ac:dyDescent="0.35">
      <c r="A1537" s="13">
        <v>44197</v>
      </c>
      <c r="B1537">
        <f>YEAR(Country_Masterlist__4[[#This Row],[Year1]])</f>
        <v>2021</v>
      </c>
      <c r="C1537" t="s">
        <v>38</v>
      </c>
      <c r="D1537" t="s">
        <v>103</v>
      </c>
      <c r="E1537">
        <v>275</v>
      </c>
    </row>
    <row r="1538" spans="1:5" x14ac:dyDescent="0.35">
      <c r="A1538" s="13">
        <v>44197</v>
      </c>
      <c r="B1538">
        <f>YEAR(Country_Masterlist__4[[#This Row],[Year1]])</f>
        <v>2021</v>
      </c>
      <c r="C1538" t="s">
        <v>36</v>
      </c>
      <c r="D1538" t="s">
        <v>104</v>
      </c>
      <c r="E1538">
        <v>50608</v>
      </c>
    </row>
    <row r="1539" spans="1:5" x14ac:dyDescent="0.35">
      <c r="A1539" s="13">
        <v>44197</v>
      </c>
      <c r="B1539">
        <f>YEAR(Country_Masterlist__4[[#This Row],[Year1]])</f>
        <v>2021</v>
      </c>
      <c r="C1539" t="s">
        <v>36</v>
      </c>
      <c r="D1539" t="s">
        <v>17</v>
      </c>
      <c r="E1539">
        <v>331397</v>
      </c>
    </row>
    <row r="1540" spans="1:5" x14ac:dyDescent="0.35">
      <c r="A1540" s="13">
        <v>44197</v>
      </c>
      <c r="B1540">
        <f>YEAR(Country_Masterlist__4[[#This Row],[Year1]])</f>
        <v>2021</v>
      </c>
      <c r="C1540" t="s">
        <v>35</v>
      </c>
      <c r="D1540" t="s">
        <v>105</v>
      </c>
      <c r="E1540">
        <v>61</v>
      </c>
    </row>
    <row r="1541" spans="1:5" x14ac:dyDescent="0.35">
      <c r="A1541" s="13">
        <v>44197</v>
      </c>
      <c r="B1541">
        <f>YEAR(Country_Masterlist__4[[#This Row],[Year1]])</f>
        <v>2021</v>
      </c>
      <c r="C1541" t="s">
        <v>35</v>
      </c>
      <c r="D1541" t="s">
        <v>106</v>
      </c>
      <c r="E1541">
        <v>5</v>
      </c>
    </row>
    <row r="1542" spans="1:5" x14ac:dyDescent="0.35">
      <c r="A1542" s="13">
        <v>44197</v>
      </c>
      <c r="B1542">
        <f>YEAR(Country_Masterlist__4[[#This Row],[Year1]])</f>
        <v>2021</v>
      </c>
      <c r="C1542" t="s">
        <v>34</v>
      </c>
      <c r="D1542" t="s">
        <v>22</v>
      </c>
      <c r="E1542">
        <v>4816</v>
      </c>
    </row>
    <row r="1543" spans="1:5" x14ac:dyDescent="0.35">
      <c r="A1543" s="13">
        <v>44197</v>
      </c>
      <c r="B1543">
        <f>YEAR(Country_Masterlist__4[[#This Row],[Year1]])</f>
        <v>2021</v>
      </c>
      <c r="C1543" t="s">
        <v>34</v>
      </c>
      <c r="D1543" t="s">
        <v>107</v>
      </c>
      <c r="E1543">
        <v>112</v>
      </c>
    </row>
    <row r="1544" spans="1:5" x14ac:dyDescent="0.35">
      <c r="A1544" s="13">
        <v>44197</v>
      </c>
      <c r="B1544">
        <f>YEAR(Country_Masterlist__4[[#This Row],[Year1]])</f>
        <v>2021</v>
      </c>
      <c r="C1544" t="s">
        <v>34</v>
      </c>
      <c r="D1544" t="s">
        <v>108</v>
      </c>
      <c r="E1544">
        <v>427</v>
      </c>
    </row>
    <row r="1545" spans="1:5" x14ac:dyDescent="0.35">
      <c r="A1545" s="13">
        <v>44197</v>
      </c>
      <c r="B1545">
        <f>YEAR(Country_Masterlist__4[[#This Row],[Year1]])</f>
        <v>2021</v>
      </c>
      <c r="C1545" t="s">
        <v>34</v>
      </c>
      <c r="D1545" t="s">
        <v>109</v>
      </c>
      <c r="E1545">
        <v>102</v>
      </c>
    </row>
    <row r="1546" spans="1:5" x14ac:dyDescent="0.35">
      <c r="A1546" s="13">
        <v>44197</v>
      </c>
      <c r="B1546">
        <f>YEAR(Country_Masterlist__4[[#This Row],[Year1]])</f>
        <v>2021</v>
      </c>
      <c r="C1546" t="s">
        <v>35</v>
      </c>
      <c r="D1546" t="s">
        <v>110</v>
      </c>
      <c r="E1546">
        <v>122</v>
      </c>
    </row>
    <row r="1547" spans="1:5" x14ac:dyDescent="0.35">
      <c r="A1547" s="13">
        <v>44197</v>
      </c>
      <c r="B1547">
        <f>YEAR(Country_Masterlist__4[[#This Row],[Year1]])</f>
        <v>2021</v>
      </c>
      <c r="C1547" t="s">
        <v>34</v>
      </c>
      <c r="D1547" t="s">
        <v>111</v>
      </c>
      <c r="E1547">
        <v>267</v>
      </c>
    </row>
    <row r="1548" spans="1:5" x14ac:dyDescent="0.35">
      <c r="A1548" s="13">
        <v>44197</v>
      </c>
      <c r="B1548">
        <f>YEAR(Country_Masterlist__4[[#This Row],[Year1]])</f>
        <v>2021</v>
      </c>
      <c r="C1548" t="s">
        <v>35</v>
      </c>
      <c r="D1548" t="s">
        <v>112</v>
      </c>
      <c r="E1548">
        <v>473</v>
      </c>
    </row>
    <row r="1549" spans="1:5" x14ac:dyDescent="0.35">
      <c r="A1549" s="13">
        <v>44197</v>
      </c>
      <c r="B1549">
        <f>YEAR(Country_Masterlist__4[[#This Row],[Year1]])</f>
        <v>2021</v>
      </c>
      <c r="C1549" t="s">
        <v>36</v>
      </c>
      <c r="D1549" t="s">
        <v>113</v>
      </c>
      <c r="E1549">
        <v>2131</v>
      </c>
    </row>
    <row r="1550" spans="1:5" x14ac:dyDescent="0.35">
      <c r="A1550" s="13">
        <v>44197</v>
      </c>
      <c r="B1550">
        <f>YEAR(Country_Masterlist__4[[#This Row],[Year1]])</f>
        <v>2021</v>
      </c>
      <c r="C1550" t="s">
        <v>34</v>
      </c>
      <c r="D1550" t="s">
        <v>114</v>
      </c>
      <c r="E1550">
        <v>296</v>
      </c>
    </row>
    <row r="1551" spans="1:5" x14ac:dyDescent="0.35">
      <c r="A1551" s="13">
        <v>44197</v>
      </c>
      <c r="B1551">
        <f>YEAR(Country_Masterlist__4[[#This Row],[Year1]])</f>
        <v>2021</v>
      </c>
      <c r="C1551" t="s">
        <v>34</v>
      </c>
      <c r="D1551" t="s">
        <v>115</v>
      </c>
      <c r="E1551">
        <v>236</v>
      </c>
    </row>
    <row r="1552" spans="1:5" x14ac:dyDescent="0.35">
      <c r="A1552" s="13">
        <v>44197</v>
      </c>
      <c r="B1552">
        <f>YEAR(Country_Masterlist__4[[#This Row],[Year1]])</f>
        <v>2021</v>
      </c>
      <c r="C1552" t="s">
        <v>34</v>
      </c>
      <c r="D1552" t="s">
        <v>116</v>
      </c>
      <c r="E1552">
        <v>91</v>
      </c>
    </row>
    <row r="1553" spans="1:5" x14ac:dyDescent="0.35">
      <c r="A1553" s="13">
        <v>44197</v>
      </c>
      <c r="B1553">
        <f>YEAR(Country_Masterlist__4[[#This Row],[Year1]])</f>
        <v>2021</v>
      </c>
      <c r="C1553" t="s">
        <v>33</v>
      </c>
      <c r="D1553" t="s">
        <v>117</v>
      </c>
      <c r="E1553">
        <v>231</v>
      </c>
    </row>
    <row r="1554" spans="1:5" x14ac:dyDescent="0.35">
      <c r="A1554" s="13">
        <v>44197</v>
      </c>
      <c r="B1554">
        <f>YEAR(Country_Masterlist__4[[#This Row],[Year1]])</f>
        <v>2021</v>
      </c>
      <c r="C1554" t="s">
        <v>34</v>
      </c>
      <c r="D1554" t="s">
        <v>118</v>
      </c>
      <c r="E1554">
        <v>775</v>
      </c>
    </row>
    <row r="1555" spans="1:5" x14ac:dyDescent="0.35">
      <c r="A1555" s="13">
        <v>44197</v>
      </c>
      <c r="B1555">
        <f>YEAR(Country_Masterlist__4[[#This Row],[Year1]])</f>
        <v>2021</v>
      </c>
      <c r="C1555" t="s">
        <v>35</v>
      </c>
      <c r="D1555" t="s">
        <v>119</v>
      </c>
      <c r="E1555">
        <v>40</v>
      </c>
    </row>
    <row r="1556" spans="1:5" x14ac:dyDescent="0.35">
      <c r="A1556" s="13">
        <v>44197</v>
      </c>
      <c r="B1556">
        <f>YEAR(Country_Masterlist__4[[#This Row],[Year1]])</f>
        <v>2021</v>
      </c>
      <c r="C1556" t="s">
        <v>34</v>
      </c>
      <c r="D1556" t="s">
        <v>120</v>
      </c>
      <c r="E1556">
        <v>18</v>
      </c>
    </row>
    <row r="1557" spans="1:5" x14ac:dyDescent="0.35">
      <c r="A1557" s="13">
        <v>44197</v>
      </c>
      <c r="B1557">
        <f>YEAR(Country_Masterlist__4[[#This Row],[Year1]])</f>
        <v>2021</v>
      </c>
      <c r="C1557" t="s">
        <v>34</v>
      </c>
      <c r="D1557" t="s">
        <v>121</v>
      </c>
      <c r="E1557">
        <v>74</v>
      </c>
    </row>
    <row r="1558" spans="1:5" x14ac:dyDescent="0.35">
      <c r="A1558" s="13">
        <v>44197</v>
      </c>
      <c r="B1558">
        <f>YEAR(Country_Masterlist__4[[#This Row],[Year1]])</f>
        <v>2021</v>
      </c>
      <c r="C1558" t="s">
        <v>34</v>
      </c>
      <c r="D1558" t="s">
        <v>122</v>
      </c>
      <c r="E1558">
        <v>75</v>
      </c>
    </row>
    <row r="1559" spans="1:5" x14ac:dyDescent="0.35">
      <c r="A1559" s="13">
        <v>44197</v>
      </c>
      <c r="B1559">
        <f>YEAR(Country_Masterlist__4[[#This Row],[Year1]])</f>
        <v>2021</v>
      </c>
      <c r="C1559" t="s">
        <v>35</v>
      </c>
      <c r="D1559" t="s">
        <v>123</v>
      </c>
      <c r="E1559">
        <v>21</v>
      </c>
    </row>
    <row r="1560" spans="1:5" x14ac:dyDescent="0.35">
      <c r="A1560" s="13">
        <v>44197</v>
      </c>
      <c r="B1560">
        <f>YEAR(Country_Masterlist__4[[#This Row],[Year1]])</f>
        <v>2021</v>
      </c>
      <c r="C1560" t="s">
        <v>34</v>
      </c>
      <c r="D1560" t="s">
        <v>124</v>
      </c>
      <c r="E1560">
        <v>160</v>
      </c>
    </row>
    <row r="1561" spans="1:5" x14ac:dyDescent="0.35">
      <c r="A1561" s="13">
        <v>44197</v>
      </c>
      <c r="B1561">
        <f>YEAR(Country_Masterlist__4[[#This Row],[Year1]])</f>
        <v>2021</v>
      </c>
      <c r="C1561" t="s">
        <v>33</v>
      </c>
      <c r="D1561" t="s">
        <v>125</v>
      </c>
      <c r="E1561">
        <v>103</v>
      </c>
    </row>
    <row r="1562" spans="1:5" x14ac:dyDescent="0.35">
      <c r="A1562" s="13">
        <v>44197</v>
      </c>
      <c r="B1562">
        <f>YEAR(Country_Masterlist__4[[#This Row],[Year1]])</f>
        <v>2021</v>
      </c>
      <c r="C1562" t="s">
        <v>33</v>
      </c>
      <c r="D1562" t="s">
        <v>126</v>
      </c>
      <c r="E1562">
        <v>22</v>
      </c>
    </row>
    <row r="1563" spans="1:5" x14ac:dyDescent="0.35">
      <c r="A1563" s="13">
        <v>44197</v>
      </c>
      <c r="B1563">
        <f>YEAR(Country_Masterlist__4[[#This Row],[Year1]])</f>
        <v>2021</v>
      </c>
      <c r="C1563" t="s">
        <v>35</v>
      </c>
      <c r="D1563" t="s">
        <v>127</v>
      </c>
      <c r="E1563">
        <v>53</v>
      </c>
    </row>
    <row r="1564" spans="1:5" x14ac:dyDescent="0.35">
      <c r="A1564" s="13">
        <v>44197</v>
      </c>
      <c r="B1564">
        <f>YEAR(Country_Masterlist__4[[#This Row],[Year1]])</f>
        <v>2021</v>
      </c>
      <c r="C1564" t="s">
        <v>35</v>
      </c>
      <c r="D1564" t="s">
        <v>128</v>
      </c>
      <c r="E1564">
        <v>3</v>
      </c>
    </row>
    <row r="1565" spans="1:5" x14ac:dyDescent="0.35">
      <c r="A1565" s="13">
        <v>44197</v>
      </c>
      <c r="B1565">
        <f>YEAR(Country_Masterlist__4[[#This Row],[Year1]])</f>
        <v>2021</v>
      </c>
      <c r="C1565" t="s">
        <v>33</v>
      </c>
      <c r="D1565" t="s">
        <v>129</v>
      </c>
      <c r="E1565">
        <v>23</v>
      </c>
    </row>
    <row r="1566" spans="1:5" x14ac:dyDescent="0.35">
      <c r="A1566" s="13">
        <v>44197</v>
      </c>
      <c r="B1566">
        <f>YEAR(Country_Masterlist__4[[#This Row],[Year1]])</f>
        <v>2021</v>
      </c>
      <c r="C1566" t="s">
        <v>33</v>
      </c>
      <c r="D1566" t="s">
        <v>130</v>
      </c>
      <c r="E1566">
        <v>6</v>
      </c>
    </row>
    <row r="1567" spans="1:5" x14ac:dyDescent="0.35">
      <c r="A1567" s="13">
        <v>44197</v>
      </c>
      <c r="B1567">
        <f>YEAR(Country_Masterlist__4[[#This Row],[Year1]])</f>
        <v>2021</v>
      </c>
      <c r="C1567" t="s">
        <v>34</v>
      </c>
      <c r="D1567" t="s">
        <v>131</v>
      </c>
      <c r="E1567">
        <v>17</v>
      </c>
    </row>
    <row r="1568" spans="1:5" x14ac:dyDescent="0.35">
      <c r="A1568" s="13">
        <v>44197</v>
      </c>
      <c r="B1568">
        <f>YEAR(Country_Masterlist__4[[#This Row],[Year1]])</f>
        <v>2021</v>
      </c>
      <c r="C1568" t="s">
        <v>33</v>
      </c>
      <c r="D1568" t="s">
        <v>132</v>
      </c>
      <c r="E1568">
        <v>145</v>
      </c>
    </row>
    <row r="1569" spans="1:5" x14ac:dyDescent="0.35">
      <c r="A1569" s="13">
        <v>44197</v>
      </c>
      <c r="B1569">
        <f>YEAR(Country_Masterlist__4[[#This Row],[Year1]])</f>
        <v>2021</v>
      </c>
      <c r="C1569" t="s">
        <v>35</v>
      </c>
      <c r="D1569" t="s">
        <v>133</v>
      </c>
      <c r="E1569" t="s">
        <v>205</v>
      </c>
    </row>
    <row r="1570" spans="1:5" x14ac:dyDescent="0.35">
      <c r="A1570" s="13">
        <v>44197</v>
      </c>
      <c r="B1570">
        <f>YEAR(Country_Masterlist__4[[#This Row],[Year1]])</f>
        <v>2021</v>
      </c>
      <c r="C1570" t="s">
        <v>37</v>
      </c>
      <c r="D1570" t="s">
        <v>134</v>
      </c>
      <c r="E1570">
        <v>15</v>
      </c>
    </row>
    <row r="1571" spans="1:5" x14ac:dyDescent="0.35">
      <c r="A1571" s="13">
        <v>44197</v>
      </c>
      <c r="B1571">
        <f>YEAR(Country_Masterlist__4[[#This Row],[Year1]])</f>
        <v>2021</v>
      </c>
      <c r="C1571" t="s">
        <v>33</v>
      </c>
      <c r="D1571" t="s">
        <v>135</v>
      </c>
      <c r="E1571">
        <v>101</v>
      </c>
    </row>
    <row r="1572" spans="1:5" x14ac:dyDescent="0.35">
      <c r="A1572" s="13">
        <v>44197</v>
      </c>
      <c r="B1572">
        <f>YEAR(Country_Masterlist__4[[#This Row],[Year1]])</f>
        <v>2021</v>
      </c>
      <c r="C1572" t="s">
        <v>33</v>
      </c>
      <c r="D1572" t="s">
        <v>136</v>
      </c>
      <c r="E1572">
        <v>21</v>
      </c>
    </row>
    <row r="1573" spans="1:5" x14ac:dyDescent="0.35">
      <c r="A1573" s="13">
        <v>44197</v>
      </c>
      <c r="B1573">
        <f>YEAR(Country_Masterlist__4[[#This Row],[Year1]])</f>
        <v>2021</v>
      </c>
      <c r="C1573" t="s">
        <v>36</v>
      </c>
      <c r="D1573" t="s">
        <v>14</v>
      </c>
      <c r="E1573">
        <v>695582</v>
      </c>
    </row>
    <row r="1574" spans="1:5" x14ac:dyDescent="0.35">
      <c r="A1574" s="13">
        <v>44197</v>
      </c>
      <c r="B1574">
        <f>YEAR(Country_Masterlist__4[[#This Row],[Year1]])</f>
        <v>2021</v>
      </c>
      <c r="C1574" t="s">
        <v>37</v>
      </c>
      <c r="D1574" t="s">
        <v>137</v>
      </c>
      <c r="E1574">
        <v>49</v>
      </c>
    </row>
    <row r="1575" spans="1:5" x14ac:dyDescent="0.35">
      <c r="A1575" s="13">
        <v>44197</v>
      </c>
      <c r="B1575">
        <f>YEAR(Country_Masterlist__4[[#This Row],[Year1]])</f>
        <v>2021</v>
      </c>
      <c r="C1575" t="s">
        <v>35</v>
      </c>
      <c r="D1575" t="s">
        <v>138</v>
      </c>
      <c r="E1575">
        <v>68</v>
      </c>
    </row>
    <row r="1576" spans="1:5" x14ac:dyDescent="0.35">
      <c r="A1576" s="13">
        <v>44197</v>
      </c>
      <c r="B1576">
        <f>YEAR(Country_Masterlist__4[[#This Row],[Year1]])</f>
        <v>2021</v>
      </c>
      <c r="C1576" t="s">
        <v>34</v>
      </c>
      <c r="D1576" t="s">
        <v>139</v>
      </c>
      <c r="E1576">
        <v>48</v>
      </c>
    </row>
    <row r="1577" spans="1:5" x14ac:dyDescent="0.35">
      <c r="A1577" s="13">
        <v>44197</v>
      </c>
      <c r="B1577">
        <f>YEAR(Country_Masterlist__4[[#This Row],[Year1]])</f>
        <v>2021</v>
      </c>
      <c r="C1577" t="s">
        <v>35</v>
      </c>
      <c r="D1577" t="s">
        <v>140</v>
      </c>
      <c r="E1577">
        <v>14</v>
      </c>
    </row>
    <row r="1578" spans="1:5" x14ac:dyDescent="0.35">
      <c r="A1578" s="13">
        <v>44197</v>
      </c>
      <c r="B1578">
        <f>YEAR(Country_Masterlist__4[[#This Row],[Year1]])</f>
        <v>2021</v>
      </c>
      <c r="C1578" t="s">
        <v>33</v>
      </c>
      <c r="D1578" t="s">
        <v>141</v>
      </c>
      <c r="E1578">
        <v>379</v>
      </c>
    </row>
    <row r="1579" spans="1:5" x14ac:dyDescent="0.35">
      <c r="A1579" s="13">
        <v>44197</v>
      </c>
      <c r="B1579">
        <f>YEAR(Country_Masterlist__4[[#This Row],[Year1]])</f>
        <v>2021</v>
      </c>
      <c r="C1579" t="s">
        <v>33</v>
      </c>
      <c r="D1579" t="s">
        <v>142</v>
      </c>
      <c r="E1579" t="s">
        <v>205</v>
      </c>
    </row>
    <row r="1580" spans="1:5" x14ac:dyDescent="0.35">
      <c r="A1580" s="13">
        <v>44197</v>
      </c>
      <c r="B1580">
        <f>YEAR(Country_Masterlist__4[[#This Row],[Year1]])</f>
        <v>2021</v>
      </c>
      <c r="C1580" t="s">
        <v>33</v>
      </c>
      <c r="D1580" t="s">
        <v>143</v>
      </c>
      <c r="E1580">
        <v>6</v>
      </c>
    </row>
    <row r="1581" spans="1:5" x14ac:dyDescent="0.35">
      <c r="A1581" s="13">
        <v>44197</v>
      </c>
      <c r="B1581">
        <f>YEAR(Country_Masterlist__4[[#This Row],[Year1]])</f>
        <v>2021</v>
      </c>
      <c r="C1581" t="s">
        <v>34</v>
      </c>
      <c r="D1581" t="s">
        <v>144</v>
      </c>
      <c r="E1581">
        <v>478</v>
      </c>
    </row>
    <row r="1582" spans="1:5" x14ac:dyDescent="0.35">
      <c r="A1582" s="13">
        <v>44197</v>
      </c>
      <c r="B1582">
        <f>YEAR(Country_Masterlist__4[[#This Row],[Year1]])</f>
        <v>2021</v>
      </c>
      <c r="C1582" t="s">
        <v>35</v>
      </c>
      <c r="D1582" t="s">
        <v>145</v>
      </c>
      <c r="E1582">
        <v>229</v>
      </c>
    </row>
    <row r="1583" spans="1:5" x14ac:dyDescent="0.35">
      <c r="A1583" s="13">
        <v>44197</v>
      </c>
      <c r="B1583">
        <f>YEAR(Country_Masterlist__4[[#This Row],[Year1]])</f>
        <v>2021</v>
      </c>
      <c r="C1583" t="s">
        <v>37</v>
      </c>
      <c r="D1583" t="s">
        <v>146</v>
      </c>
      <c r="E1583">
        <v>50</v>
      </c>
    </row>
    <row r="1584" spans="1:5" x14ac:dyDescent="0.35">
      <c r="A1584" s="13">
        <v>44197</v>
      </c>
      <c r="B1584">
        <f>YEAR(Country_Masterlist__4[[#This Row],[Year1]])</f>
        <v>2021</v>
      </c>
      <c r="C1584" t="s">
        <v>36</v>
      </c>
      <c r="D1584" t="s">
        <v>147</v>
      </c>
      <c r="E1584">
        <v>52633</v>
      </c>
    </row>
    <row r="1585" spans="1:5" x14ac:dyDescent="0.35">
      <c r="A1585" s="13">
        <v>44197</v>
      </c>
      <c r="B1585">
        <f>YEAR(Country_Masterlist__4[[#This Row],[Year1]])</f>
        <v>2021</v>
      </c>
      <c r="C1585" t="s">
        <v>33</v>
      </c>
      <c r="D1585" t="s">
        <v>148</v>
      </c>
      <c r="E1585">
        <v>52</v>
      </c>
    </row>
    <row r="1586" spans="1:5" x14ac:dyDescent="0.35">
      <c r="A1586" s="13">
        <v>44197</v>
      </c>
      <c r="B1586">
        <f>YEAR(Country_Masterlist__4[[#This Row],[Year1]])</f>
        <v>2021</v>
      </c>
      <c r="C1586" t="s">
        <v>33</v>
      </c>
      <c r="D1586" t="s">
        <v>149</v>
      </c>
      <c r="E1586">
        <v>554</v>
      </c>
    </row>
    <row r="1587" spans="1:5" x14ac:dyDescent="0.35">
      <c r="A1587" s="13">
        <v>44197</v>
      </c>
      <c r="B1587">
        <f>YEAR(Country_Masterlist__4[[#This Row],[Year1]])</f>
        <v>2021</v>
      </c>
      <c r="C1587" t="s">
        <v>35</v>
      </c>
      <c r="D1587" t="s">
        <v>322</v>
      </c>
      <c r="E1587">
        <v>19</v>
      </c>
    </row>
    <row r="1588" spans="1:5" x14ac:dyDescent="0.35">
      <c r="A1588" s="13">
        <v>44197</v>
      </c>
      <c r="B1588">
        <f>YEAR(Country_Masterlist__4[[#This Row],[Year1]])</f>
        <v>2021</v>
      </c>
      <c r="C1588" t="s">
        <v>35</v>
      </c>
      <c r="D1588" t="s">
        <v>150</v>
      </c>
      <c r="E1588">
        <v>21</v>
      </c>
    </row>
    <row r="1589" spans="1:5" x14ac:dyDescent="0.35">
      <c r="A1589" s="13">
        <v>44197</v>
      </c>
      <c r="B1589">
        <f>YEAR(Country_Masterlist__4[[#This Row],[Year1]])</f>
        <v>2021</v>
      </c>
      <c r="C1589" t="s">
        <v>34</v>
      </c>
      <c r="D1589" t="s">
        <v>151</v>
      </c>
      <c r="E1589">
        <v>6</v>
      </c>
    </row>
    <row r="1590" spans="1:5" x14ac:dyDescent="0.35">
      <c r="A1590" s="13">
        <v>44197</v>
      </c>
      <c r="B1590">
        <f>YEAR(Country_Masterlist__4[[#This Row],[Year1]])</f>
        <v>2021</v>
      </c>
      <c r="C1590" t="s">
        <v>34</v>
      </c>
      <c r="D1590" t="s">
        <v>152</v>
      </c>
      <c r="E1590">
        <v>487</v>
      </c>
    </row>
    <row r="1591" spans="1:5" x14ac:dyDescent="0.35">
      <c r="A1591" s="13">
        <v>44197</v>
      </c>
      <c r="B1591">
        <f>YEAR(Country_Masterlist__4[[#This Row],[Year1]])</f>
        <v>2021</v>
      </c>
      <c r="C1591" t="s">
        <v>37</v>
      </c>
      <c r="D1591" t="s">
        <v>153</v>
      </c>
      <c r="E1591">
        <v>6</v>
      </c>
    </row>
    <row r="1592" spans="1:5" x14ac:dyDescent="0.35">
      <c r="A1592" s="13">
        <v>44197</v>
      </c>
      <c r="B1592">
        <f>YEAR(Country_Masterlist__4[[#This Row],[Year1]])</f>
        <v>2021</v>
      </c>
      <c r="C1592" t="s">
        <v>36</v>
      </c>
      <c r="D1592" t="s">
        <v>154</v>
      </c>
      <c r="E1592">
        <v>615</v>
      </c>
    </row>
    <row r="1593" spans="1:5" x14ac:dyDescent="0.35">
      <c r="A1593" s="13">
        <v>44197</v>
      </c>
      <c r="B1593">
        <f>YEAR(Country_Masterlist__4[[#This Row],[Year1]])</f>
        <v>2021</v>
      </c>
      <c r="C1593" t="s">
        <v>38</v>
      </c>
      <c r="D1593" t="s">
        <v>155</v>
      </c>
      <c r="E1593">
        <v>107</v>
      </c>
    </row>
    <row r="1594" spans="1:5" x14ac:dyDescent="0.35">
      <c r="A1594" s="13">
        <v>44197</v>
      </c>
      <c r="B1594">
        <f>YEAR(Country_Masterlist__4[[#This Row],[Year1]])</f>
        <v>2021</v>
      </c>
      <c r="C1594" t="s">
        <v>38</v>
      </c>
      <c r="D1594" t="s">
        <v>156</v>
      </c>
      <c r="E1594">
        <v>4053</v>
      </c>
    </row>
    <row r="1595" spans="1:5" x14ac:dyDescent="0.35">
      <c r="A1595" s="13">
        <v>44197</v>
      </c>
      <c r="B1595">
        <f>YEAR(Country_Masterlist__4[[#This Row],[Year1]])</f>
        <v>2021</v>
      </c>
      <c r="C1595" t="s">
        <v>34</v>
      </c>
      <c r="D1595" t="s">
        <v>18</v>
      </c>
      <c r="E1595">
        <v>791</v>
      </c>
    </row>
    <row r="1596" spans="1:5" x14ac:dyDescent="0.35">
      <c r="A1596" s="13">
        <v>44197</v>
      </c>
      <c r="B1596">
        <f>YEAR(Country_Masterlist__4[[#This Row],[Year1]])</f>
        <v>2021</v>
      </c>
      <c r="C1596" t="s">
        <v>35</v>
      </c>
      <c r="D1596" t="s">
        <v>157</v>
      </c>
      <c r="E1596">
        <v>143</v>
      </c>
    </row>
    <row r="1597" spans="1:5" x14ac:dyDescent="0.35">
      <c r="A1597" s="13">
        <v>44197</v>
      </c>
      <c r="B1597">
        <f>YEAR(Country_Masterlist__4[[#This Row],[Year1]])</f>
        <v>2021</v>
      </c>
      <c r="C1597" t="s">
        <v>35</v>
      </c>
      <c r="D1597" t="s">
        <v>158</v>
      </c>
      <c r="E1597">
        <v>134</v>
      </c>
    </row>
    <row r="1598" spans="1:5" x14ac:dyDescent="0.35">
      <c r="A1598" s="13">
        <v>44197</v>
      </c>
      <c r="B1598">
        <f>YEAR(Country_Masterlist__4[[#This Row],[Year1]])</f>
        <v>2021</v>
      </c>
      <c r="C1598" t="s">
        <v>34</v>
      </c>
      <c r="D1598" t="s">
        <v>159</v>
      </c>
      <c r="E1598">
        <v>4</v>
      </c>
    </row>
    <row r="1599" spans="1:5" x14ac:dyDescent="0.35">
      <c r="A1599" s="13">
        <v>44197</v>
      </c>
      <c r="B1599">
        <f>YEAR(Country_Masterlist__4[[#This Row],[Year1]])</f>
        <v>2021</v>
      </c>
      <c r="C1599" t="s">
        <v>35</v>
      </c>
      <c r="D1599" t="s">
        <v>160</v>
      </c>
      <c r="E1599">
        <v>4596</v>
      </c>
    </row>
    <row r="1600" spans="1:5" x14ac:dyDescent="0.35">
      <c r="A1600" s="13">
        <v>44197</v>
      </c>
      <c r="B1600">
        <f>YEAR(Country_Masterlist__4[[#This Row],[Year1]])</f>
        <v>2021</v>
      </c>
      <c r="C1600" t="s">
        <v>35</v>
      </c>
      <c r="D1600" t="s">
        <v>161</v>
      </c>
      <c r="E1600">
        <v>4336</v>
      </c>
    </row>
    <row r="1601" spans="1:5" x14ac:dyDescent="0.35">
      <c r="A1601" s="13">
        <v>44197</v>
      </c>
      <c r="B1601">
        <f>YEAR(Country_Masterlist__4[[#This Row],[Year1]])</f>
        <v>2021</v>
      </c>
      <c r="C1601" t="s">
        <v>33</v>
      </c>
      <c r="D1601" t="s">
        <v>162</v>
      </c>
      <c r="E1601">
        <v>92</v>
      </c>
    </row>
    <row r="1602" spans="1:5" x14ac:dyDescent="0.35">
      <c r="A1602" s="13">
        <v>44197</v>
      </c>
      <c r="B1602">
        <f>YEAR(Country_Masterlist__4[[#This Row],[Year1]])</f>
        <v>2021</v>
      </c>
      <c r="C1602" t="s">
        <v>36</v>
      </c>
      <c r="D1602" t="s">
        <v>163</v>
      </c>
      <c r="E1602">
        <v>8</v>
      </c>
    </row>
    <row r="1603" spans="1:5" x14ac:dyDescent="0.35">
      <c r="A1603" s="13">
        <v>44197</v>
      </c>
      <c r="B1603">
        <f>YEAR(Country_Masterlist__4[[#This Row],[Year1]])</f>
        <v>2021</v>
      </c>
      <c r="C1603" t="s">
        <v>36</v>
      </c>
      <c r="D1603" t="s">
        <v>164</v>
      </c>
      <c r="E1603">
        <v>36</v>
      </c>
    </row>
    <row r="1604" spans="1:5" x14ac:dyDescent="0.35">
      <c r="A1604" s="13">
        <v>44197</v>
      </c>
      <c r="B1604">
        <f>YEAR(Country_Masterlist__4[[#This Row],[Year1]])</f>
        <v>2021</v>
      </c>
      <c r="C1604" t="s">
        <v>36</v>
      </c>
      <c r="D1604" t="s">
        <v>165</v>
      </c>
      <c r="E1604">
        <v>25</v>
      </c>
    </row>
    <row r="1605" spans="1:5" x14ac:dyDescent="0.35">
      <c r="A1605" s="13">
        <v>44197</v>
      </c>
      <c r="B1605">
        <f>YEAR(Country_Masterlist__4[[#This Row],[Year1]])</f>
        <v>2021</v>
      </c>
      <c r="C1605" t="s">
        <v>37</v>
      </c>
      <c r="D1605" t="s">
        <v>166</v>
      </c>
      <c r="E1605">
        <v>11</v>
      </c>
    </row>
    <row r="1606" spans="1:5" x14ac:dyDescent="0.35">
      <c r="A1606" s="13">
        <v>44197</v>
      </c>
      <c r="B1606">
        <f>YEAR(Country_Masterlist__4[[#This Row],[Year1]])</f>
        <v>2021</v>
      </c>
      <c r="C1606" t="s">
        <v>34</v>
      </c>
      <c r="D1606" t="s">
        <v>167</v>
      </c>
      <c r="E1606">
        <v>90</v>
      </c>
    </row>
    <row r="1607" spans="1:5" x14ac:dyDescent="0.35">
      <c r="A1607" s="13">
        <v>44197</v>
      </c>
      <c r="B1607">
        <f>YEAR(Country_Masterlist__4[[#This Row],[Year1]])</f>
        <v>2021</v>
      </c>
      <c r="C1607" t="s">
        <v>33</v>
      </c>
      <c r="D1607" t="s">
        <v>168</v>
      </c>
      <c r="E1607">
        <v>753</v>
      </c>
    </row>
    <row r="1608" spans="1:5" x14ac:dyDescent="0.35">
      <c r="A1608" s="13">
        <v>44197</v>
      </c>
      <c r="B1608">
        <f>YEAR(Country_Masterlist__4[[#This Row],[Year1]])</f>
        <v>2021</v>
      </c>
      <c r="C1608" t="s">
        <v>35</v>
      </c>
      <c r="D1608" t="s">
        <v>169</v>
      </c>
      <c r="E1608">
        <v>55</v>
      </c>
    </row>
    <row r="1609" spans="1:5" x14ac:dyDescent="0.35">
      <c r="A1609" s="13">
        <v>44197</v>
      </c>
      <c r="B1609">
        <f>YEAR(Country_Masterlist__4[[#This Row],[Year1]])</f>
        <v>2021</v>
      </c>
      <c r="C1609" t="s">
        <v>35</v>
      </c>
      <c r="D1609" t="s">
        <v>215</v>
      </c>
      <c r="E1609" t="s">
        <v>206</v>
      </c>
    </row>
    <row r="1610" spans="1:5" x14ac:dyDescent="0.35">
      <c r="A1610" s="13">
        <v>44197</v>
      </c>
      <c r="B1610">
        <f>YEAR(Country_Masterlist__4[[#This Row],[Year1]])</f>
        <v>2021</v>
      </c>
      <c r="C1610" t="s">
        <v>33</v>
      </c>
      <c r="D1610" t="s">
        <v>170</v>
      </c>
      <c r="E1610">
        <v>145</v>
      </c>
    </row>
    <row r="1611" spans="1:5" x14ac:dyDescent="0.35">
      <c r="A1611" s="13">
        <v>44197</v>
      </c>
      <c r="B1611">
        <f>YEAR(Country_Masterlist__4[[#This Row],[Year1]])</f>
        <v>2021</v>
      </c>
      <c r="C1611" t="s">
        <v>34</v>
      </c>
      <c r="D1611" t="s">
        <v>171</v>
      </c>
      <c r="E1611">
        <v>12</v>
      </c>
    </row>
    <row r="1612" spans="1:5" x14ac:dyDescent="0.35">
      <c r="A1612" s="13">
        <v>44197</v>
      </c>
      <c r="B1612">
        <f>YEAR(Country_Masterlist__4[[#This Row],[Year1]])</f>
        <v>2021</v>
      </c>
      <c r="C1612" t="s">
        <v>35</v>
      </c>
      <c r="D1612" t="s">
        <v>172</v>
      </c>
      <c r="E1612">
        <v>36</v>
      </c>
    </row>
    <row r="1613" spans="1:5" x14ac:dyDescent="0.35">
      <c r="A1613" s="13">
        <v>44197</v>
      </c>
      <c r="B1613">
        <f>YEAR(Country_Masterlist__4[[#This Row],[Year1]])</f>
        <v>2021</v>
      </c>
      <c r="C1613" t="s">
        <v>35</v>
      </c>
      <c r="D1613" t="s">
        <v>173</v>
      </c>
      <c r="E1613">
        <v>13</v>
      </c>
    </row>
    <row r="1614" spans="1:5" x14ac:dyDescent="0.35">
      <c r="A1614" s="13">
        <v>44197</v>
      </c>
      <c r="B1614">
        <f>YEAR(Country_Masterlist__4[[#This Row],[Year1]])</f>
        <v>2021</v>
      </c>
      <c r="C1614" t="s">
        <v>33</v>
      </c>
      <c r="D1614" t="s">
        <v>174</v>
      </c>
      <c r="E1614">
        <v>154</v>
      </c>
    </row>
    <row r="1615" spans="1:5" x14ac:dyDescent="0.35">
      <c r="A1615" s="13">
        <v>44197</v>
      </c>
      <c r="B1615">
        <f>YEAR(Country_Masterlist__4[[#This Row],[Year1]])</f>
        <v>2021</v>
      </c>
      <c r="C1615" t="s">
        <v>33</v>
      </c>
      <c r="D1615" t="s">
        <v>175</v>
      </c>
      <c r="E1615">
        <v>99</v>
      </c>
    </row>
    <row r="1616" spans="1:5" x14ac:dyDescent="0.35">
      <c r="A1616" s="13">
        <v>44197</v>
      </c>
      <c r="B1616">
        <f>YEAR(Country_Masterlist__4[[#This Row],[Year1]])</f>
        <v>2021</v>
      </c>
      <c r="C1616" t="s">
        <v>33</v>
      </c>
      <c r="D1616" t="s">
        <v>176</v>
      </c>
      <c r="E1616">
        <v>15</v>
      </c>
    </row>
    <row r="1617" spans="1:5" x14ac:dyDescent="0.35">
      <c r="A1617" s="13">
        <v>44197</v>
      </c>
      <c r="B1617">
        <f>YEAR(Country_Masterlist__4[[#This Row],[Year1]])</f>
        <v>2021</v>
      </c>
      <c r="C1617" t="s">
        <v>35</v>
      </c>
      <c r="D1617" t="s">
        <v>216</v>
      </c>
      <c r="E1617" t="s">
        <v>206</v>
      </c>
    </row>
    <row r="1618" spans="1:5" x14ac:dyDescent="0.35">
      <c r="A1618" s="13">
        <v>44197</v>
      </c>
      <c r="B1618">
        <f>YEAR(Country_Masterlist__4[[#This Row],[Year1]])</f>
        <v>2021</v>
      </c>
      <c r="C1618" t="s">
        <v>35</v>
      </c>
      <c r="D1618" t="s">
        <v>177</v>
      </c>
      <c r="E1618">
        <v>927</v>
      </c>
    </row>
    <row r="1619" spans="1:5" x14ac:dyDescent="0.35">
      <c r="A1619" s="13">
        <v>44197</v>
      </c>
      <c r="B1619">
        <f>YEAR(Country_Masterlist__4[[#This Row],[Year1]])</f>
        <v>2021</v>
      </c>
      <c r="C1619" t="s">
        <v>34</v>
      </c>
      <c r="D1619" t="s">
        <v>178</v>
      </c>
      <c r="E1619">
        <v>123</v>
      </c>
    </row>
    <row r="1620" spans="1:5" x14ac:dyDescent="0.35">
      <c r="A1620" s="13">
        <v>44197</v>
      </c>
      <c r="B1620">
        <f>YEAR(Country_Masterlist__4[[#This Row],[Year1]])</f>
        <v>2021</v>
      </c>
      <c r="C1620" t="s">
        <v>33</v>
      </c>
      <c r="D1620" t="s">
        <v>179</v>
      </c>
      <c r="E1620">
        <v>62</v>
      </c>
    </row>
    <row r="1621" spans="1:5" x14ac:dyDescent="0.35">
      <c r="A1621" s="13">
        <v>44197</v>
      </c>
      <c r="B1621">
        <f>YEAR(Country_Masterlist__4[[#This Row],[Year1]])</f>
        <v>2021</v>
      </c>
      <c r="C1621" t="s">
        <v>38</v>
      </c>
      <c r="D1621" t="s">
        <v>180</v>
      </c>
      <c r="E1621">
        <v>6</v>
      </c>
    </row>
    <row r="1622" spans="1:5" x14ac:dyDescent="0.35">
      <c r="A1622" s="13">
        <v>44197</v>
      </c>
      <c r="B1622">
        <f>YEAR(Country_Masterlist__4[[#This Row],[Year1]])</f>
        <v>2021</v>
      </c>
      <c r="C1622" t="s">
        <v>33</v>
      </c>
      <c r="D1622" t="s">
        <v>181</v>
      </c>
      <c r="E1622">
        <v>4</v>
      </c>
    </row>
    <row r="1623" spans="1:5" x14ac:dyDescent="0.35">
      <c r="A1623" s="13">
        <v>44197</v>
      </c>
      <c r="B1623">
        <f>YEAR(Country_Masterlist__4[[#This Row],[Year1]])</f>
        <v>2021</v>
      </c>
      <c r="C1623" t="s">
        <v>35</v>
      </c>
      <c r="D1623" t="s">
        <v>182</v>
      </c>
      <c r="E1623">
        <v>51</v>
      </c>
    </row>
    <row r="1624" spans="1:5" x14ac:dyDescent="0.35">
      <c r="A1624" s="13">
        <v>44197</v>
      </c>
      <c r="B1624">
        <f>YEAR(Country_Masterlist__4[[#This Row],[Year1]])</f>
        <v>2021</v>
      </c>
      <c r="C1624" t="s">
        <v>35</v>
      </c>
      <c r="D1624" t="s">
        <v>183</v>
      </c>
      <c r="E1624">
        <v>33</v>
      </c>
    </row>
    <row r="1625" spans="1:5" x14ac:dyDescent="0.35">
      <c r="A1625" s="13">
        <v>44197</v>
      </c>
      <c r="B1625">
        <f>YEAR(Country_Masterlist__4[[#This Row],[Year1]])</f>
        <v>2021</v>
      </c>
      <c r="C1625" t="s">
        <v>34</v>
      </c>
      <c r="D1625" t="s">
        <v>184</v>
      </c>
      <c r="E1625">
        <v>100</v>
      </c>
    </row>
    <row r="1626" spans="1:5" x14ac:dyDescent="0.35">
      <c r="A1626" s="13">
        <v>44197</v>
      </c>
      <c r="B1626">
        <f>YEAR(Country_Masterlist__4[[#This Row],[Year1]])</f>
        <v>2021</v>
      </c>
      <c r="C1626" t="s">
        <v>34</v>
      </c>
      <c r="D1626" t="s">
        <v>185</v>
      </c>
      <c r="E1626">
        <v>442</v>
      </c>
    </row>
    <row r="1627" spans="1:5" x14ac:dyDescent="0.35">
      <c r="A1627" s="13">
        <v>44197</v>
      </c>
      <c r="B1627">
        <f>YEAR(Country_Masterlist__4[[#This Row],[Year1]])</f>
        <v>2021</v>
      </c>
      <c r="C1627" t="s">
        <v>34</v>
      </c>
      <c r="D1627" t="s">
        <v>186</v>
      </c>
      <c r="E1627">
        <v>43</v>
      </c>
    </row>
    <row r="1628" spans="1:5" x14ac:dyDescent="0.35">
      <c r="A1628" s="13">
        <v>44197</v>
      </c>
      <c r="B1628">
        <f>YEAR(Country_Masterlist__4[[#This Row],[Year1]])</f>
        <v>2021</v>
      </c>
      <c r="C1628" t="s">
        <v>33</v>
      </c>
      <c r="D1628" t="s">
        <v>187</v>
      </c>
      <c r="E1628">
        <v>26</v>
      </c>
    </row>
    <row r="1629" spans="1:5" x14ac:dyDescent="0.35">
      <c r="A1629" s="13">
        <v>44197</v>
      </c>
      <c r="B1629">
        <f>YEAR(Country_Masterlist__4[[#This Row],[Year1]])</f>
        <v>2021</v>
      </c>
      <c r="C1629" t="s">
        <v>34</v>
      </c>
      <c r="D1629" t="s">
        <v>188</v>
      </c>
      <c r="E1629">
        <v>257</v>
      </c>
    </row>
    <row r="1630" spans="1:5" x14ac:dyDescent="0.35">
      <c r="A1630" s="13">
        <v>44197</v>
      </c>
      <c r="B1630">
        <f>YEAR(Country_Masterlist__4[[#This Row],[Year1]])</f>
        <v>2021</v>
      </c>
      <c r="C1630" t="s">
        <v>33</v>
      </c>
      <c r="D1630" t="s">
        <v>189</v>
      </c>
      <c r="E1630">
        <v>135</v>
      </c>
    </row>
    <row r="1631" spans="1:5" x14ac:dyDescent="0.35">
      <c r="A1631" s="13">
        <v>44197</v>
      </c>
      <c r="B1631">
        <f>YEAR(Country_Masterlist__4[[#This Row],[Year1]])</f>
        <v>2021</v>
      </c>
      <c r="C1631" t="s">
        <v>37</v>
      </c>
      <c r="D1631" t="s">
        <v>190</v>
      </c>
      <c r="E1631">
        <v>11</v>
      </c>
    </row>
    <row r="1632" spans="1:5" x14ac:dyDescent="0.35">
      <c r="A1632" s="13">
        <v>44197</v>
      </c>
      <c r="B1632">
        <f>YEAR(Country_Masterlist__4[[#This Row],[Year1]])</f>
        <v>2021</v>
      </c>
      <c r="C1632" t="s">
        <v>36</v>
      </c>
      <c r="D1632" t="s">
        <v>191</v>
      </c>
      <c r="E1632">
        <v>104</v>
      </c>
    </row>
    <row r="1633" spans="1:5" x14ac:dyDescent="0.35">
      <c r="A1633" s="13">
        <v>44197</v>
      </c>
      <c r="B1633">
        <f>YEAR(Country_Masterlist__4[[#This Row],[Year1]])</f>
        <v>2021</v>
      </c>
      <c r="C1633" t="s">
        <v>33</v>
      </c>
      <c r="D1633" t="s">
        <v>192</v>
      </c>
      <c r="E1633">
        <v>330</v>
      </c>
    </row>
    <row r="1634" spans="1:5" x14ac:dyDescent="0.35">
      <c r="A1634" s="13">
        <v>44197</v>
      </c>
      <c r="B1634">
        <f>YEAR(Country_Masterlist__4[[#This Row],[Year1]])</f>
        <v>2021</v>
      </c>
      <c r="C1634" t="s">
        <v>34</v>
      </c>
      <c r="D1634" t="s">
        <v>193</v>
      </c>
      <c r="E1634">
        <v>1638</v>
      </c>
    </row>
    <row r="1635" spans="1:5" x14ac:dyDescent="0.35">
      <c r="A1635" s="13">
        <v>44197</v>
      </c>
      <c r="B1635">
        <f>YEAR(Country_Masterlist__4[[#This Row],[Year1]])</f>
        <v>2021</v>
      </c>
      <c r="C1635" t="s">
        <v>34</v>
      </c>
      <c r="D1635" t="s">
        <v>194</v>
      </c>
      <c r="E1635">
        <v>3</v>
      </c>
    </row>
    <row r="1636" spans="1:5" x14ac:dyDescent="0.35">
      <c r="A1636" s="13">
        <v>44197</v>
      </c>
      <c r="B1636">
        <f>YEAR(Country_Masterlist__4[[#This Row],[Year1]])</f>
        <v>2021</v>
      </c>
      <c r="C1636" t="s">
        <v>33</v>
      </c>
      <c r="D1636" t="s">
        <v>195</v>
      </c>
      <c r="E1636">
        <v>40</v>
      </c>
    </row>
    <row r="1637" spans="1:5" x14ac:dyDescent="0.35">
      <c r="A1637" s="13">
        <v>44197</v>
      </c>
      <c r="B1637">
        <f>YEAR(Country_Masterlist__4[[#This Row],[Year1]])</f>
        <v>2021</v>
      </c>
      <c r="C1637" t="s">
        <v>35</v>
      </c>
      <c r="D1637" t="s">
        <v>196</v>
      </c>
      <c r="E1637">
        <v>832</v>
      </c>
    </row>
    <row r="1638" spans="1:5" x14ac:dyDescent="0.35">
      <c r="A1638" s="13">
        <v>44197</v>
      </c>
      <c r="B1638">
        <f>YEAR(Country_Masterlist__4[[#This Row],[Year1]])</f>
        <v>2021</v>
      </c>
      <c r="C1638" t="s">
        <v>34</v>
      </c>
      <c r="D1638" t="s">
        <v>197</v>
      </c>
      <c r="E1638">
        <v>12</v>
      </c>
    </row>
    <row r="1639" spans="1:5" x14ac:dyDescent="0.35">
      <c r="A1639" s="13">
        <v>44197</v>
      </c>
      <c r="B1639">
        <f>YEAR(Country_Masterlist__4[[#This Row],[Year1]])</f>
        <v>2021</v>
      </c>
      <c r="C1639" t="s">
        <v>35</v>
      </c>
      <c r="D1639" t="s">
        <v>198</v>
      </c>
      <c r="E1639">
        <v>525</v>
      </c>
    </row>
    <row r="1640" spans="1:5" x14ac:dyDescent="0.35">
      <c r="A1640" s="13">
        <v>44197</v>
      </c>
      <c r="B1640">
        <f>YEAR(Country_Masterlist__4[[#This Row],[Year1]])</f>
        <v>2021</v>
      </c>
      <c r="C1640" t="s">
        <v>39</v>
      </c>
      <c r="D1640" t="s">
        <v>39</v>
      </c>
      <c r="E1640">
        <v>1293</v>
      </c>
    </row>
    <row r="1641" spans="1:5" x14ac:dyDescent="0.35">
      <c r="A1641" s="13">
        <v>44197</v>
      </c>
      <c r="B1641">
        <f>YEAR(Country_Masterlist__4[[#This Row],[Year1]])</f>
        <v>2021</v>
      </c>
      <c r="C1641" t="s">
        <v>38</v>
      </c>
      <c r="D1641" t="s">
        <v>199</v>
      </c>
      <c r="E1641">
        <v>208</v>
      </c>
    </row>
    <row r="1642" spans="1:5" x14ac:dyDescent="0.35">
      <c r="A1642" s="13">
        <v>44197</v>
      </c>
      <c r="B1642">
        <f>YEAR(Country_Masterlist__4[[#This Row],[Year1]])</f>
        <v>2021</v>
      </c>
      <c r="C1642" t="s">
        <v>34</v>
      </c>
      <c r="D1642" t="s">
        <v>200</v>
      </c>
      <c r="E1642">
        <v>739</v>
      </c>
    </row>
    <row r="1643" spans="1:5" x14ac:dyDescent="0.35">
      <c r="A1643" s="13">
        <v>44197</v>
      </c>
      <c r="B1643">
        <f>YEAR(Country_Masterlist__4[[#This Row],[Year1]])</f>
        <v>2021</v>
      </c>
      <c r="C1643" t="s">
        <v>38</v>
      </c>
      <c r="D1643" t="s">
        <v>19</v>
      </c>
      <c r="E1643">
        <v>52590</v>
      </c>
    </row>
    <row r="1644" spans="1:5" x14ac:dyDescent="0.35">
      <c r="A1644" s="13">
        <v>44197</v>
      </c>
      <c r="B1644">
        <f>YEAR(Country_Masterlist__4[[#This Row],[Year1]])</f>
        <v>2021</v>
      </c>
      <c r="C1644" t="s">
        <v>34</v>
      </c>
      <c r="D1644" t="s">
        <v>201</v>
      </c>
      <c r="E1644">
        <v>293</v>
      </c>
    </row>
    <row r="1645" spans="1:5" x14ac:dyDescent="0.35">
      <c r="A1645" s="13">
        <v>44197</v>
      </c>
      <c r="B1645">
        <f>YEAR(Country_Masterlist__4[[#This Row],[Year1]])</f>
        <v>2021</v>
      </c>
      <c r="C1645" t="s">
        <v>34</v>
      </c>
      <c r="D1645" t="s">
        <v>202</v>
      </c>
      <c r="E1645">
        <v>64</v>
      </c>
    </row>
    <row r="1646" spans="1:5" x14ac:dyDescent="0.35">
      <c r="A1646" s="13">
        <v>44197</v>
      </c>
      <c r="B1646">
        <f>YEAR(Country_Masterlist__4[[#This Row],[Year1]])</f>
        <v>2021</v>
      </c>
      <c r="C1646" t="s">
        <v>33</v>
      </c>
      <c r="D1646" t="s">
        <v>203</v>
      </c>
      <c r="E1646">
        <v>12</v>
      </c>
    </row>
    <row r="1647" spans="1:5" x14ac:dyDescent="0.35">
      <c r="A1647" s="13">
        <v>44197</v>
      </c>
      <c r="B1647">
        <f>YEAR(Country_Masterlist__4[[#This Row],[Year1]])</f>
        <v>2021</v>
      </c>
      <c r="C1647" t="s">
        <v>33</v>
      </c>
      <c r="D1647" t="s">
        <v>204</v>
      </c>
      <c r="E1647">
        <v>33</v>
      </c>
    </row>
    <row r="1648" spans="1:5" x14ac:dyDescent="0.35">
      <c r="A1648" s="13">
        <v>44562</v>
      </c>
      <c r="B1648">
        <f>YEAR(Country_Masterlist__4[[#This Row],[Year1]])</f>
        <v>2022</v>
      </c>
      <c r="C1648" t="s">
        <v>34</v>
      </c>
      <c r="D1648" t="s">
        <v>40</v>
      </c>
      <c r="E1648">
        <v>1069</v>
      </c>
    </row>
    <row r="1649" spans="1:5" x14ac:dyDescent="0.35">
      <c r="A1649" s="13">
        <v>44562</v>
      </c>
      <c r="B1649">
        <f>YEAR(Country_Masterlist__4[[#This Row],[Year1]])</f>
        <v>2022</v>
      </c>
      <c r="C1649" t="s">
        <v>35</v>
      </c>
      <c r="D1649" t="s">
        <v>41</v>
      </c>
      <c r="E1649">
        <v>192</v>
      </c>
    </row>
    <row r="1650" spans="1:5" x14ac:dyDescent="0.35">
      <c r="A1650" s="13">
        <v>44562</v>
      </c>
      <c r="B1650">
        <f>YEAR(Country_Masterlist__4[[#This Row],[Year1]])</f>
        <v>2022</v>
      </c>
      <c r="C1650" t="s">
        <v>33</v>
      </c>
      <c r="D1650" t="s">
        <v>42</v>
      </c>
      <c r="E1650">
        <v>1285</v>
      </c>
    </row>
    <row r="1651" spans="1:5" x14ac:dyDescent="0.35">
      <c r="A1651" s="13">
        <v>44562</v>
      </c>
      <c r="B1651">
        <f>YEAR(Country_Masterlist__4[[#This Row],[Year1]])</f>
        <v>2022</v>
      </c>
      <c r="D1651" t="s">
        <v>373</v>
      </c>
      <c r="E1651">
        <v>21</v>
      </c>
    </row>
    <row r="1652" spans="1:5" x14ac:dyDescent="0.35">
      <c r="A1652" s="13">
        <v>44562</v>
      </c>
      <c r="B1652">
        <f>YEAR(Country_Masterlist__4[[#This Row],[Year1]])</f>
        <v>2022</v>
      </c>
      <c r="C1652" t="s">
        <v>33</v>
      </c>
      <c r="D1652" t="s">
        <v>43</v>
      </c>
      <c r="E1652">
        <v>2286</v>
      </c>
    </row>
    <row r="1653" spans="1:5" x14ac:dyDescent="0.35">
      <c r="A1653" s="13">
        <v>44562</v>
      </c>
      <c r="B1653">
        <f>YEAR(Country_Masterlist__4[[#This Row],[Year1]])</f>
        <v>2022</v>
      </c>
      <c r="C1653" t="s">
        <v>36</v>
      </c>
      <c r="D1653" t="s">
        <v>44</v>
      </c>
      <c r="E1653">
        <v>23</v>
      </c>
    </row>
    <row r="1654" spans="1:5" x14ac:dyDescent="0.35">
      <c r="A1654" s="13">
        <v>44562</v>
      </c>
      <c r="B1654">
        <f>YEAR(Country_Masterlist__4[[#This Row],[Year1]])</f>
        <v>2022</v>
      </c>
      <c r="C1654" t="s">
        <v>38</v>
      </c>
      <c r="D1654" t="s">
        <v>45</v>
      </c>
      <c r="E1654">
        <v>1179</v>
      </c>
    </row>
    <row r="1655" spans="1:5" x14ac:dyDescent="0.35">
      <c r="A1655" s="13">
        <v>44562</v>
      </c>
      <c r="B1655">
        <f>YEAR(Country_Masterlist__4[[#This Row],[Year1]])</f>
        <v>2022</v>
      </c>
      <c r="C1655" t="s">
        <v>34</v>
      </c>
      <c r="D1655" t="s">
        <v>46</v>
      </c>
      <c r="E1655">
        <v>3430</v>
      </c>
    </row>
    <row r="1656" spans="1:5" x14ac:dyDescent="0.35">
      <c r="A1656" s="13">
        <v>44562</v>
      </c>
      <c r="B1656">
        <f>YEAR(Country_Masterlist__4[[#This Row],[Year1]])</f>
        <v>2022</v>
      </c>
      <c r="C1656" t="s">
        <v>37</v>
      </c>
      <c r="D1656" t="s">
        <v>47</v>
      </c>
      <c r="E1656">
        <v>445</v>
      </c>
    </row>
    <row r="1657" spans="1:5" x14ac:dyDescent="0.35">
      <c r="A1657" s="13">
        <v>44562</v>
      </c>
      <c r="B1657">
        <f>YEAR(Country_Masterlist__4[[#This Row],[Year1]])</f>
        <v>2022</v>
      </c>
      <c r="C1657" t="s">
        <v>35</v>
      </c>
      <c r="D1657" t="s">
        <v>48</v>
      </c>
      <c r="E1657">
        <v>55</v>
      </c>
    </row>
    <row r="1658" spans="1:5" x14ac:dyDescent="0.35">
      <c r="A1658" s="13">
        <v>44562</v>
      </c>
      <c r="B1658">
        <f>YEAR(Country_Masterlist__4[[#This Row],[Year1]])</f>
        <v>2022</v>
      </c>
      <c r="C1658" t="s">
        <v>34</v>
      </c>
      <c r="D1658" t="s">
        <v>49</v>
      </c>
      <c r="E1658">
        <v>362</v>
      </c>
    </row>
    <row r="1659" spans="1:5" x14ac:dyDescent="0.35">
      <c r="A1659" s="13">
        <v>44562</v>
      </c>
      <c r="B1659">
        <f>YEAR(Country_Masterlist__4[[#This Row],[Year1]])</f>
        <v>2022</v>
      </c>
      <c r="C1659" t="s">
        <v>36</v>
      </c>
      <c r="D1659" t="s">
        <v>50</v>
      </c>
      <c r="E1659">
        <v>897</v>
      </c>
    </row>
    <row r="1660" spans="1:5" x14ac:dyDescent="0.35">
      <c r="A1660" s="13">
        <v>44562</v>
      </c>
      <c r="B1660">
        <f>YEAR(Country_Masterlist__4[[#This Row],[Year1]])</f>
        <v>2022</v>
      </c>
      <c r="C1660" t="s">
        <v>34</v>
      </c>
      <c r="D1660" t="s">
        <v>51</v>
      </c>
    </row>
    <row r="1661" spans="1:5" x14ac:dyDescent="0.35">
      <c r="A1661" s="13">
        <v>44562</v>
      </c>
      <c r="B1661">
        <f>YEAR(Country_Masterlist__4[[#This Row],[Year1]])</f>
        <v>2022</v>
      </c>
      <c r="C1661" t="s">
        <v>34</v>
      </c>
      <c r="D1661" t="s">
        <v>52</v>
      </c>
      <c r="E1661">
        <v>2759</v>
      </c>
    </row>
    <row r="1662" spans="1:5" x14ac:dyDescent="0.35">
      <c r="A1662" s="13">
        <v>44562</v>
      </c>
      <c r="B1662">
        <f>YEAR(Country_Masterlist__4[[#This Row],[Year1]])</f>
        <v>2022</v>
      </c>
      <c r="C1662" t="s">
        <v>36</v>
      </c>
      <c r="D1662" t="s">
        <v>53</v>
      </c>
      <c r="E1662">
        <v>31</v>
      </c>
    </row>
    <row r="1663" spans="1:5" x14ac:dyDescent="0.35">
      <c r="A1663" s="13">
        <v>44562</v>
      </c>
      <c r="B1663">
        <f>YEAR(Country_Masterlist__4[[#This Row],[Year1]])</f>
        <v>2022</v>
      </c>
      <c r="C1663" t="s">
        <v>35</v>
      </c>
      <c r="D1663" t="s">
        <v>54</v>
      </c>
      <c r="E1663">
        <v>1863</v>
      </c>
    </row>
    <row r="1664" spans="1:5" x14ac:dyDescent="0.35">
      <c r="A1664" s="13">
        <v>44562</v>
      </c>
      <c r="B1664">
        <f>YEAR(Country_Masterlist__4[[#This Row],[Year1]])</f>
        <v>2022</v>
      </c>
      <c r="C1664" t="s">
        <v>35</v>
      </c>
      <c r="D1664" t="s">
        <v>55</v>
      </c>
      <c r="E1664">
        <v>231</v>
      </c>
    </row>
    <row r="1665" spans="1:5" x14ac:dyDescent="0.35">
      <c r="A1665" s="13">
        <v>44562</v>
      </c>
      <c r="B1665">
        <f>YEAR(Country_Masterlist__4[[#This Row],[Year1]])</f>
        <v>2022</v>
      </c>
      <c r="C1665" t="s">
        <v>36</v>
      </c>
      <c r="D1665" t="s">
        <v>56</v>
      </c>
      <c r="E1665">
        <v>984</v>
      </c>
    </row>
    <row r="1666" spans="1:5" x14ac:dyDescent="0.35">
      <c r="A1666" s="13">
        <v>44562</v>
      </c>
      <c r="B1666">
        <f>YEAR(Country_Masterlist__4[[#This Row],[Year1]])</f>
        <v>2022</v>
      </c>
      <c r="C1666" t="s">
        <v>33</v>
      </c>
      <c r="D1666" t="s">
        <v>57</v>
      </c>
      <c r="E1666">
        <v>203</v>
      </c>
    </row>
    <row r="1667" spans="1:5" x14ac:dyDescent="0.35">
      <c r="A1667" s="13">
        <v>44562</v>
      </c>
      <c r="B1667">
        <f>YEAR(Country_Masterlist__4[[#This Row],[Year1]])</f>
        <v>2022</v>
      </c>
      <c r="C1667" t="s">
        <v>34</v>
      </c>
      <c r="D1667" t="s">
        <v>58</v>
      </c>
      <c r="E1667">
        <v>17</v>
      </c>
    </row>
    <row r="1668" spans="1:5" x14ac:dyDescent="0.35">
      <c r="A1668" s="13">
        <v>44562</v>
      </c>
      <c r="B1668">
        <f>YEAR(Country_Masterlist__4[[#This Row],[Year1]])</f>
        <v>2022</v>
      </c>
      <c r="C1668" t="s">
        <v>38</v>
      </c>
      <c r="D1668" t="s">
        <v>59</v>
      </c>
      <c r="E1668">
        <v>1442</v>
      </c>
    </row>
    <row r="1669" spans="1:5" x14ac:dyDescent="0.35">
      <c r="A1669" s="13">
        <v>44562</v>
      </c>
      <c r="B1669">
        <f>YEAR(Country_Masterlist__4[[#This Row],[Year1]])</f>
        <v>2022</v>
      </c>
      <c r="C1669" t="s">
        <v>35</v>
      </c>
      <c r="D1669" t="s">
        <v>60</v>
      </c>
      <c r="E1669">
        <v>57</v>
      </c>
    </row>
    <row r="1670" spans="1:5" x14ac:dyDescent="0.35">
      <c r="A1670" s="13">
        <v>44562</v>
      </c>
      <c r="B1670">
        <f>YEAR(Country_Masterlist__4[[#This Row],[Year1]])</f>
        <v>2022</v>
      </c>
      <c r="C1670" t="s">
        <v>33</v>
      </c>
      <c r="D1670" t="s">
        <v>61</v>
      </c>
      <c r="E1670">
        <v>9</v>
      </c>
    </row>
    <row r="1671" spans="1:5" x14ac:dyDescent="0.35">
      <c r="A1671" s="13">
        <v>44562</v>
      </c>
      <c r="B1671">
        <f>YEAR(Country_Masterlist__4[[#This Row],[Year1]])</f>
        <v>2022</v>
      </c>
      <c r="C1671" t="s">
        <v>38</v>
      </c>
      <c r="D1671" t="s">
        <v>21</v>
      </c>
      <c r="E1671">
        <v>60219</v>
      </c>
    </row>
    <row r="1672" spans="1:5" x14ac:dyDescent="0.35">
      <c r="A1672" s="13">
        <v>44562</v>
      </c>
      <c r="B1672">
        <f>YEAR(Country_Masterlist__4[[#This Row],[Year1]])</f>
        <v>2022</v>
      </c>
      <c r="C1672" t="s">
        <v>35</v>
      </c>
      <c r="D1672" t="s">
        <v>62</v>
      </c>
      <c r="E1672">
        <v>56</v>
      </c>
    </row>
    <row r="1673" spans="1:5" x14ac:dyDescent="0.35">
      <c r="A1673" s="13">
        <v>44562</v>
      </c>
      <c r="B1673">
        <f>YEAR(Country_Masterlist__4[[#This Row],[Year1]])</f>
        <v>2022</v>
      </c>
      <c r="C1673" t="s">
        <v>33</v>
      </c>
      <c r="D1673" t="s">
        <v>63</v>
      </c>
      <c r="E1673">
        <v>378</v>
      </c>
    </row>
    <row r="1674" spans="1:5" x14ac:dyDescent="0.35">
      <c r="A1674" s="13">
        <v>44562</v>
      </c>
      <c r="B1674">
        <f>YEAR(Country_Masterlist__4[[#This Row],[Year1]])</f>
        <v>2022</v>
      </c>
      <c r="C1674" t="s">
        <v>34</v>
      </c>
      <c r="D1674" t="s">
        <v>64</v>
      </c>
      <c r="E1674">
        <v>65</v>
      </c>
    </row>
    <row r="1675" spans="1:5" x14ac:dyDescent="0.35">
      <c r="A1675" s="13">
        <v>44562</v>
      </c>
      <c r="B1675">
        <f>YEAR(Country_Masterlist__4[[#This Row],[Year1]])</f>
        <v>2022</v>
      </c>
      <c r="C1675" t="s">
        <v>33</v>
      </c>
      <c r="D1675" t="s">
        <v>65</v>
      </c>
      <c r="E1675">
        <v>45</v>
      </c>
    </row>
    <row r="1676" spans="1:5" x14ac:dyDescent="0.35">
      <c r="A1676" s="13">
        <v>44562</v>
      </c>
      <c r="B1676">
        <f>YEAR(Country_Masterlist__4[[#This Row],[Year1]])</f>
        <v>2022</v>
      </c>
      <c r="C1676" t="s">
        <v>33</v>
      </c>
      <c r="D1676" t="s">
        <v>66</v>
      </c>
      <c r="E1676">
        <v>33</v>
      </c>
    </row>
    <row r="1677" spans="1:5" x14ac:dyDescent="0.35">
      <c r="A1677" s="13">
        <v>44562</v>
      </c>
      <c r="B1677">
        <f>YEAR(Country_Masterlist__4[[#This Row],[Year1]])</f>
        <v>2022</v>
      </c>
      <c r="C1677" t="s">
        <v>34</v>
      </c>
      <c r="D1677" t="s">
        <v>67</v>
      </c>
      <c r="E1677">
        <v>30</v>
      </c>
    </row>
    <row r="1678" spans="1:5" x14ac:dyDescent="0.35">
      <c r="A1678" s="13">
        <v>44562</v>
      </c>
      <c r="B1678">
        <f>YEAR(Country_Masterlist__4[[#This Row],[Year1]])</f>
        <v>2022</v>
      </c>
      <c r="C1678" t="s">
        <v>33</v>
      </c>
      <c r="D1678" t="s">
        <v>68</v>
      </c>
      <c r="E1678">
        <v>1706</v>
      </c>
    </row>
    <row r="1679" spans="1:5" x14ac:dyDescent="0.35">
      <c r="A1679" s="13">
        <v>44562</v>
      </c>
      <c r="B1679">
        <f>YEAR(Country_Masterlist__4[[#This Row],[Year1]])</f>
        <v>2022</v>
      </c>
      <c r="C1679" t="s">
        <v>36</v>
      </c>
      <c r="D1679" t="s">
        <v>69</v>
      </c>
      <c r="E1679">
        <v>19847</v>
      </c>
    </row>
    <row r="1680" spans="1:5" x14ac:dyDescent="0.35">
      <c r="A1680" s="13">
        <v>44562</v>
      </c>
      <c r="B1680">
        <f>YEAR(Country_Masterlist__4[[#This Row],[Year1]])</f>
        <v>2022</v>
      </c>
      <c r="C1680" t="s">
        <v>33</v>
      </c>
      <c r="D1680" t="s">
        <v>70</v>
      </c>
      <c r="E1680">
        <v>25</v>
      </c>
    </row>
    <row r="1681" spans="1:5" x14ac:dyDescent="0.35">
      <c r="A1681" s="13">
        <v>44562</v>
      </c>
      <c r="B1681">
        <f>YEAR(Country_Masterlist__4[[#This Row],[Year1]])</f>
        <v>2022</v>
      </c>
      <c r="C1681" t="s">
        <v>33</v>
      </c>
      <c r="D1681" t="s">
        <v>71</v>
      </c>
      <c r="E1681">
        <v>20</v>
      </c>
    </row>
    <row r="1682" spans="1:5" x14ac:dyDescent="0.35">
      <c r="A1682" s="13">
        <v>44562</v>
      </c>
      <c r="B1682">
        <f>YEAR(Country_Masterlist__4[[#This Row],[Year1]])</f>
        <v>2022</v>
      </c>
      <c r="C1682" t="s">
        <v>38</v>
      </c>
      <c r="D1682" t="s">
        <v>72</v>
      </c>
      <c r="E1682">
        <v>10047</v>
      </c>
    </row>
    <row r="1683" spans="1:5" x14ac:dyDescent="0.35">
      <c r="A1683" s="13">
        <v>44562</v>
      </c>
      <c r="B1683">
        <f>YEAR(Country_Masterlist__4[[#This Row],[Year1]])</f>
        <v>2022</v>
      </c>
      <c r="C1683" t="s">
        <v>34</v>
      </c>
      <c r="D1683" t="s">
        <v>73</v>
      </c>
      <c r="E1683">
        <v>5773</v>
      </c>
    </row>
    <row r="1684" spans="1:5" x14ac:dyDescent="0.35">
      <c r="A1684" s="13">
        <v>44562</v>
      </c>
      <c r="B1684">
        <f>YEAR(Country_Masterlist__4[[#This Row],[Year1]])</f>
        <v>2022</v>
      </c>
      <c r="C1684" t="s">
        <v>38</v>
      </c>
      <c r="D1684" t="s">
        <v>20</v>
      </c>
      <c r="E1684">
        <v>140059</v>
      </c>
    </row>
    <row r="1685" spans="1:5" x14ac:dyDescent="0.35">
      <c r="A1685" s="13">
        <v>44562</v>
      </c>
      <c r="B1685">
        <f>YEAR(Country_Masterlist__4[[#This Row],[Year1]])</f>
        <v>2022</v>
      </c>
      <c r="C1685" t="s">
        <v>33</v>
      </c>
      <c r="D1685" t="s">
        <v>74</v>
      </c>
      <c r="E1685">
        <v>879</v>
      </c>
    </row>
    <row r="1686" spans="1:5" x14ac:dyDescent="0.35">
      <c r="A1686" s="13">
        <v>44562</v>
      </c>
      <c r="B1686">
        <f>YEAR(Country_Masterlist__4[[#This Row],[Year1]])</f>
        <v>2022</v>
      </c>
      <c r="C1686" t="s">
        <v>33</v>
      </c>
      <c r="D1686" t="s">
        <v>75</v>
      </c>
      <c r="E1686">
        <v>682</v>
      </c>
    </row>
    <row r="1687" spans="1:5" x14ac:dyDescent="0.35">
      <c r="A1687" s="13">
        <v>44562</v>
      </c>
      <c r="B1687">
        <f>YEAR(Country_Masterlist__4[[#This Row],[Year1]])</f>
        <v>2022</v>
      </c>
      <c r="C1687" t="s">
        <v>36</v>
      </c>
      <c r="D1687" t="s">
        <v>76</v>
      </c>
      <c r="E1687">
        <v>1174</v>
      </c>
    </row>
    <row r="1688" spans="1:5" x14ac:dyDescent="0.35">
      <c r="A1688" s="13">
        <v>44562</v>
      </c>
      <c r="B1688">
        <f>YEAR(Country_Masterlist__4[[#This Row],[Year1]])</f>
        <v>2022</v>
      </c>
      <c r="C1688" t="s">
        <v>33</v>
      </c>
      <c r="D1688" t="s">
        <v>77</v>
      </c>
      <c r="E1688">
        <v>238</v>
      </c>
    </row>
    <row r="1689" spans="1:5" x14ac:dyDescent="0.35">
      <c r="A1689" s="13">
        <v>44562</v>
      </c>
      <c r="B1689">
        <f>YEAR(Country_Masterlist__4[[#This Row],[Year1]])</f>
        <v>2022</v>
      </c>
      <c r="C1689" t="s">
        <v>35</v>
      </c>
      <c r="D1689" t="s">
        <v>78</v>
      </c>
      <c r="E1689">
        <v>64</v>
      </c>
    </row>
    <row r="1690" spans="1:5" x14ac:dyDescent="0.35">
      <c r="A1690" s="13">
        <v>44562</v>
      </c>
      <c r="B1690">
        <f>YEAR(Country_Masterlist__4[[#This Row],[Year1]])</f>
        <v>2022</v>
      </c>
      <c r="C1690" t="s">
        <v>36</v>
      </c>
      <c r="D1690" t="s">
        <v>79</v>
      </c>
      <c r="E1690">
        <v>233602</v>
      </c>
    </row>
    <row r="1691" spans="1:5" x14ac:dyDescent="0.35">
      <c r="A1691" s="13">
        <v>44562</v>
      </c>
      <c r="B1691">
        <f>YEAR(Country_Masterlist__4[[#This Row],[Year1]])</f>
        <v>2022</v>
      </c>
      <c r="C1691" t="s">
        <v>34</v>
      </c>
      <c r="D1691" t="s">
        <v>80</v>
      </c>
      <c r="E1691">
        <v>4</v>
      </c>
    </row>
    <row r="1692" spans="1:5" x14ac:dyDescent="0.35">
      <c r="A1692" s="13">
        <v>44562</v>
      </c>
      <c r="B1692">
        <f>YEAR(Country_Masterlist__4[[#This Row],[Year1]])</f>
        <v>2022</v>
      </c>
      <c r="C1692" t="s">
        <v>35</v>
      </c>
      <c r="D1692" t="s">
        <v>81</v>
      </c>
      <c r="E1692">
        <v>121</v>
      </c>
    </row>
    <row r="1693" spans="1:5" x14ac:dyDescent="0.35">
      <c r="A1693" s="13">
        <v>44562</v>
      </c>
      <c r="B1693">
        <f>YEAR(Country_Masterlist__4[[#This Row],[Year1]])</f>
        <v>2022</v>
      </c>
      <c r="C1693" t="s">
        <v>35</v>
      </c>
      <c r="D1693" t="s">
        <v>214</v>
      </c>
      <c r="E1693" t="s">
        <v>206</v>
      </c>
    </row>
    <row r="1694" spans="1:5" x14ac:dyDescent="0.35">
      <c r="A1694" s="13">
        <v>44562</v>
      </c>
      <c r="B1694">
        <f>YEAR(Country_Masterlist__4[[#This Row],[Year1]])</f>
        <v>2022</v>
      </c>
      <c r="C1694" t="s">
        <v>35</v>
      </c>
      <c r="D1694" t="s">
        <v>82</v>
      </c>
      <c r="E1694">
        <v>40</v>
      </c>
    </row>
    <row r="1695" spans="1:5" x14ac:dyDescent="0.35">
      <c r="A1695" s="13">
        <v>44562</v>
      </c>
      <c r="B1695">
        <f>YEAR(Country_Masterlist__4[[#This Row],[Year1]])</f>
        <v>2022</v>
      </c>
      <c r="C1695" t="s">
        <v>33</v>
      </c>
      <c r="D1695" t="s">
        <v>83</v>
      </c>
      <c r="E1695">
        <v>5</v>
      </c>
    </row>
    <row r="1696" spans="1:5" x14ac:dyDescent="0.35">
      <c r="A1696" s="13">
        <v>44562</v>
      </c>
      <c r="B1696">
        <f>YEAR(Country_Masterlist__4[[#This Row],[Year1]])</f>
        <v>2022</v>
      </c>
      <c r="C1696" t="s">
        <v>36</v>
      </c>
      <c r="D1696" t="s">
        <v>84</v>
      </c>
      <c r="E1696">
        <v>36</v>
      </c>
    </row>
    <row r="1697" spans="1:5" x14ac:dyDescent="0.35">
      <c r="A1697" s="13">
        <v>44562</v>
      </c>
      <c r="B1697">
        <f>YEAR(Country_Masterlist__4[[#This Row],[Year1]])</f>
        <v>2022</v>
      </c>
      <c r="C1697" t="s">
        <v>36</v>
      </c>
      <c r="D1697" t="s">
        <v>85</v>
      </c>
      <c r="E1697">
        <v>8628</v>
      </c>
    </row>
    <row r="1698" spans="1:5" x14ac:dyDescent="0.35">
      <c r="A1698" s="13">
        <v>44562</v>
      </c>
      <c r="B1698">
        <f>YEAR(Country_Masterlist__4[[#This Row],[Year1]])</f>
        <v>2022</v>
      </c>
      <c r="C1698" t="s">
        <v>38</v>
      </c>
      <c r="D1698" t="s">
        <v>86</v>
      </c>
      <c r="E1698">
        <v>33255</v>
      </c>
    </row>
    <row r="1699" spans="1:5" x14ac:dyDescent="0.35">
      <c r="A1699" s="13">
        <v>44562</v>
      </c>
      <c r="B1699">
        <f>YEAR(Country_Masterlist__4[[#This Row],[Year1]])</f>
        <v>2022</v>
      </c>
      <c r="C1699" t="s">
        <v>33</v>
      </c>
      <c r="D1699" t="s">
        <v>87</v>
      </c>
      <c r="E1699">
        <v>258</v>
      </c>
    </row>
    <row r="1700" spans="1:5" x14ac:dyDescent="0.35">
      <c r="A1700" s="13">
        <v>44562</v>
      </c>
      <c r="B1700">
        <f>YEAR(Country_Masterlist__4[[#This Row],[Year1]])</f>
        <v>2022</v>
      </c>
      <c r="C1700" t="s">
        <v>36</v>
      </c>
      <c r="D1700" t="s">
        <v>16</v>
      </c>
      <c r="E1700">
        <v>104261</v>
      </c>
    </row>
    <row r="1701" spans="1:5" x14ac:dyDescent="0.35">
      <c r="A1701" s="13">
        <v>44562</v>
      </c>
      <c r="B1701">
        <f>YEAR(Country_Masterlist__4[[#This Row],[Year1]])</f>
        <v>2022</v>
      </c>
      <c r="C1701" t="s">
        <v>33</v>
      </c>
      <c r="D1701" t="s">
        <v>88</v>
      </c>
      <c r="E1701">
        <v>53</v>
      </c>
    </row>
    <row r="1702" spans="1:5" x14ac:dyDescent="0.35">
      <c r="A1702" s="13">
        <v>44562</v>
      </c>
      <c r="B1702">
        <f>YEAR(Country_Masterlist__4[[#This Row],[Year1]])</f>
        <v>2022</v>
      </c>
      <c r="C1702" t="s">
        <v>33</v>
      </c>
      <c r="D1702" t="s">
        <v>89</v>
      </c>
      <c r="E1702">
        <v>737</v>
      </c>
    </row>
    <row r="1703" spans="1:5" x14ac:dyDescent="0.35">
      <c r="A1703" s="13">
        <v>44562</v>
      </c>
      <c r="B1703">
        <f>YEAR(Country_Masterlist__4[[#This Row],[Year1]])</f>
        <v>2022</v>
      </c>
      <c r="C1703" t="s">
        <v>35</v>
      </c>
      <c r="D1703" t="s">
        <v>90</v>
      </c>
      <c r="E1703">
        <v>22</v>
      </c>
    </row>
    <row r="1704" spans="1:5" x14ac:dyDescent="0.35">
      <c r="A1704" s="13">
        <v>44562</v>
      </c>
      <c r="B1704">
        <f>YEAR(Country_Masterlist__4[[#This Row],[Year1]])</f>
        <v>2022</v>
      </c>
      <c r="C1704" t="s">
        <v>33</v>
      </c>
      <c r="D1704" t="s">
        <v>91</v>
      </c>
      <c r="E1704">
        <v>322</v>
      </c>
    </row>
    <row r="1705" spans="1:5" x14ac:dyDescent="0.35">
      <c r="A1705" s="13">
        <v>44562</v>
      </c>
      <c r="B1705">
        <f>YEAR(Country_Masterlist__4[[#This Row],[Year1]])</f>
        <v>2022</v>
      </c>
      <c r="C1705" t="s">
        <v>37</v>
      </c>
      <c r="D1705" t="s">
        <v>92</v>
      </c>
      <c r="E1705">
        <v>50</v>
      </c>
    </row>
    <row r="1706" spans="1:5" x14ac:dyDescent="0.35">
      <c r="A1706" s="13">
        <v>44562</v>
      </c>
      <c r="B1706">
        <f>YEAR(Country_Masterlist__4[[#This Row],[Year1]])</f>
        <v>2022</v>
      </c>
      <c r="C1706" t="s">
        <v>35</v>
      </c>
      <c r="D1706" t="s">
        <v>93</v>
      </c>
      <c r="E1706">
        <v>52</v>
      </c>
    </row>
    <row r="1707" spans="1:5" x14ac:dyDescent="0.35">
      <c r="A1707" s="13">
        <v>44562</v>
      </c>
      <c r="B1707">
        <f>YEAR(Country_Masterlist__4[[#This Row],[Year1]])</f>
        <v>2022</v>
      </c>
      <c r="C1707" t="s">
        <v>35</v>
      </c>
      <c r="D1707" t="s">
        <v>94</v>
      </c>
      <c r="E1707">
        <v>3689</v>
      </c>
    </row>
    <row r="1708" spans="1:5" x14ac:dyDescent="0.35">
      <c r="A1708" s="13">
        <v>44562</v>
      </c>
      <c r="B1708">
        <f>YEAR(Country_Masterlist__4[[#This Row],[Year1]])</f>
        <v>2022</v>
      </c>
      <c r="C1708" t="s">
        <v>33</v>
      </c>
      <c r="D1708" t="s">
        <v>95</v>
      </c>
      <c r="E1708">
        <v>17</v>
      </c>
    </row>
    <row r="1709" spans="1:5" x14ac:dyDescent="0.35">
      <c r="A1709" s="13">
        <v>44562</v>
      </c>
      <c r="B1709">
        <f>YEAR(Country_Masterlist__4[[#This Row],[Year1]])</f>
        <v>2022</v>
      </c>
      <c r="C1709" t="s">
        <v>33</v>
      </c>
      <c r="D1709" t="s">
        <v>96</v>
      </c>
      <c r="E1709">
        <v>105</v>
      </c>
    </row>
    <row r="1710" spans="1:5" x14ac:dyDescent="0.35">
      <c r="A1710" s="13">
        <v>44562</v>
      </c>
      <c r="B1710">
        <f>YEAR(Country_Masterlist__4[[#This Row],[Year1]])</f>
        <v>2022</v>
      </c>
      <c r="C1710" t="s">
        <v>34</v>
      </c>
      <c r="D1710" t="s">
        <v>8</v>
      </c>
      <c r="E1710">
        <v>6394</v>
      </c>
    </row>
    <row r="1711" spans="1:5" x14ac:dyDescent="0.35">
      <c r="A1711" s="13">
        <v>44562</v>
      </c>
      <c r="B1711">
        <f>YEAR(Country_Masterlist__4[[#This Row],[Year1]])</f>
        <v>2022</v>
      </c>
      <c r="C1711" t="s">
        <v>35</v>
      </c>
      <c r="D1711" t="s">
        <v>97</v>
      </c>
      <c r="E1711">
        <v>718</v>
      </c>
    </row>
    <row r="1712" spans="1:5" x14ac:dyDescent="0.35">
      <c r="A1712" s="13">
        <v>44562</v>
      </c>
      <c r="B1712">
        <f>YEAR(Country_Masterlist__4[[#This Row],[Year1]])</f>
        <v>2022</v>
      </c>
      <c r="C1712" t="s">
        <v>33</v>
      </c>
      <c r="D1712" t="s">
        <v>98</v>
      </c>
      <c r="E1712">
        <v>2509</v>
      </c>
    </row>
    <row r="1713" spans="1:5" x14ac:dyDescent="0.35">
      <c r="A1713" s="13">
        <v>44562</v>
      </c>
      <c r="B1713">
        <f>YEAR(Country_Masterlist__4[[#This Row],[Year1]])</f>
        <v>2022</v>
      </c>
      <c r="C1713" t="s">
        <v>35</v>
      </c>
      <c r="D1713" t="s">
        <v>99</v>
      </c>
      <c r="E1713">
        <v>153</v>
      </c>
    </row>
    <row r="1714" spans="1:5" x14ac:dyDescent="0.35">
      <c r="A1714" s="13">
        <v>44562</v>
      </c>
      <c r="B1714">
        <f>YEAR(Country_Masterlist__4[[#This Row],[Year1]])</f>
        <v>2022</v>
      </c>
      <c r="C1714" t="s">
        <v>36</v>
      </c>
      <c r="D1714" t="s">
        <v>100</v>
      </c>
      <c r="E1714">
        <v>20</v>
      </c>
    </row>
    <row r="1715" spans="1:5" x14ac:dyDescent="0.35">
      <c r="A1715" s="13">
        <v>44562</v>
      </c>
      <c r="B1715">
        <f>YEAR(Country_Masterlist__4[[#This Row],[Year1]])</f>
        <v>2022</v>
      </c>
      <c r="C1715" t="s">
        <v>36</v>
      </c>
      <c r="D1715" t="s">
        <v>15</v>
      </c>
      <c r="E1715">
        <v>243913</v>
      </c>
    </row>
    <row r="1716" spans="1:5" x14ac:dyDescent="0.35">
      <c r="A1716" s="13">
        <v>44562</v>
      </c>
      <c r="B1716">
        <f>YEAR(Country_Masterlist__4[[#This Row],[Year1]])</f>
        <v>2022</v>
      </c>
      <c r="C1716" t="s">
        <v>33</v>
      </c>
      <c r="D1716" t="s">
        <v>101</v>
      </c>
      <c r="E1716">
        <v>621</v>
      </c>
    </row>
    <row r="1717" spans="1:5" x14ac:dyDescent="0.35">
      <c r="A1717" s="13">
        <v>44562</v>
      </c>
      <c r="B1717">
        <f>YEAR(Country_Masterlist__4[[#This Row],[Year1]])</f>
        <v>2022</v>
      </c>
      <c r="C1717" t="s">
        <v>33</v>
      </c>
      <c r="D1717" t="s">
        <v>102</v>
      </c>
      <c r="E1717">
        <v>50</v>
      </c>
    </row>
    <row r="1718" spans="1:5" x14ac:dyDescent="0.35">
      <c r="A1718" s="13">
        <v>44562</v>
      </c>
      <c r="B1718">
        <f>YEAR(Country_Masterlist__4[[#This Row],[Year1]])</f>
        <v>2022</v>
      </c>
      <c r="C1718" t="s">
        <v>38</v>
      </c>
      <c r="D1718" t="s">
        <v>103</v>
      </c>
      <c r="E1718">
        <v>301</v>
      </c>
    </row>
    <row r="1719" spans="1:5" x14ac:dyDescent="0.35">
      <c r="A1719" s="13">
        <v>44562</v>
      </c>
      <c r="B1719">
        <f>YEAR(Country_Masterlist__4[[#This Row],[Year1]])</f>
        <v>2022</v>
      </c>
      <c r="C1719" t="s">
        <v>36</v>
      </c>
      <c r="D1719" t="s">
        <v>104</v>
      </c>
      <c r="E1719">
        <v>60598</v>
      </c>
    </row>
    <row r="1720" spans="1:5" x14ac:dyDescent="0.35">
      <c r="A1720" s="13">
        <v>44562</v>
      </c>
      <c r="B1720">
        <f>YEAR(Country_Masterlist__4[[#This Row],[Year1]])</f>
        <v>2022</v>
      </c>
      <c r="C1720" t="s">
        <v>36</v>
      </c>
      <c r="D1720" t="s">
        <v>17</v>
      </c>
      <c r="E1720">
        <v>230593</v>
      </c>
    </row>
    <row r="1721" spans="1:5" x14ac:dyDescent="0.35">
      <c r="A1721" s="13">
        <v>44562</v>
      </c>
      <c r="B1721">
        <f>YEAR(Country_Masterlist__4[[#This Row],[Year1]])</f>
        <v>2022</v>
      </c>
      <c r="C1721" t="s">
        <v>35</v>
      </c>
      <c r="D1721" t="s">
        <v>105</v>
      </c>
      <c r="E1721">
        <v>184</v>
      </c>
    </row>
    <row r="1722" spans="1:5" x14ac:dyDescent="0.35">
      <c r="A1722" s="13">
        <v>44562</v>
      </c>
      <c r="B1722">
        <f>YEAR(Country_Masterlist__4[[#This Row],[Year1]])</f>
        <v>2022</v>
      </c>
      <c r="C1722" t="s">
        <v>35</v>
      </c>
      <c r="D1722" t="s">
        <v>106</v>
      </c>
      <c r="E1722">
        <v>15</v>
      </c>
    </row>
    <row r="1723" spans="1:5" x14ac:dyDescent="0.35">
      <c r="A1723" s="13">
        <v>44562</v>
      </c>
      <c r="B1723">
        <f>YEAR(Country_Masterlist__4[[#This Row],[Year1]])</f>
        <v>2022</v>
      </c>
      <c r="C1723" t="s">
        <v>34</v>
      </c>
      <c r="D1723" t="s">
        <v>22</v>
      </c>
      <c r="E1723">
        <v>27292</v>
      </c>
    </row>
    <row r="1724" spans="1:5" x14ac:dyDescent="0.35">
      <c r="A1724" s="13">
        <v>44562</v>
      </c>
      <c r="B1724">
        <f>YEAR(Country_Masterlist__4[[#This Row],[Year1]])</f>
        <v>2022</v>
      </c>
      <c r="C1724" t="s">
        <v>34</v>
      </c>
      <c r="D1724" t="s">
        <v>107</v>
      </c>
      <c r="E1724">
        <v>314</v>
      </c>
    </row>
    <row r="1725" spans="1:5" x14ac:dyDescent="0.35">
      <c r="A1725" s="13">
        <v>44562</v>
      </c>
      <c r="B1725">
        <f>YEAR(Country_Masterlist__4[[#This Row],[Year1]])</f>
        <v>2022</v>
      </c>
      <c r="C1725" t="s">
        <v>34</v>
      </c>
      <c r="D1725" t="s">
        <v>108</v>
      </c>
      <c r="E1725">
        <v>2026</v>
      </c>
    </row>
    <row r="1726" spans="1:5" x14ac:dyDescent="0.35">
      <c r="A1726" s="13">
        <v>44562</v>
      </c>
      <c r="B1726">
        <f>YEAR(Country_Masterlist__4[[#This Row],[Year1]])</f>
        <v>2022</v>
      </c>
      <c r="C1726" t="s">
        <v>34</v>
      </c>
      <c r="D1726" t="s">
        <v>109</v>
      </c>
      <c r="E1726">
        <v>147</v>
      </c>
    </row>
    <row r="1727" spans="1:5" x14ac:dyDescent="0.35">
      <c r="A1727" s="13">
        <v>44562</v>
      </c>
      <c r="B1727">
        <f>YEAR(Country_Masterlist__4[[#This Row],[Year1]])</f>
        <v>2022</v>
      </c>
      <c r="C1727" t="s">
        <v>35</v>
      </c>
      <c r="D1727" t="s">
        <v>110</v>
      </c>
      <c r="E1727">
        <v>570</v>
      </c>
    </row>
    <row r="1728" spans="1:5" x14ac:dyDescent="0.35">
      <c r="A1728" s="13">
        <v>44562</v>
      </c>
      <c r="B1728">
        <f>YEAR(Country_Masterlist__4[[#This Row],[Year1]])</f>
        <v>2022</v>
      </c>
      <c r="C1728" t="s">
        <v>34</v>
      </c>
      <c r="D1728" t="s">
        <v>111</v>
      </c>
      <c r="E1728">
        <v>329</v>
      </c>
    </row>
    <row r="1729" spans="1:5" x14ac:dyDescent="0.35">
      <c r="A1729" s="13">
        <v>44562</v>
      </c>
      <c r="B1729">
        <f>YEAR(Country_Masterlist__4[[#This Row],[Year1]])</f>
        <v>2022</v>
      </c>
      <c r="C1729" t="s">
        <v>35</v>
      </c>
      <c r="D1729" t="s">
        <v>112</v>
      </c>
      <c r="E1729">
        <v>1107</v>
      </c>
    </row>
    <row r="1730" spans="1:5" x14ac:dyDescent="0.35">
      <c r="A1730" s="13">
        <v>44562</v>
      </c>
      <c r="B1730">
        <f>YEAR(Country_Masterlist__4[[#This Row],[Year1]])</f>
        <v>2022</v>
      </c>
      <c r="C1730" t="s">
        <v>36</v>
      </c>
      <c r="D1730" t="s">
        <v>113</v>
      </c>
      <c r="E1730">
        <v>5305</v>
      </c>
    </row>
    <row r="1731" spans="1:5" x14ac:dyDescent="0.35">
      <c r="A1731" s="13">
        <v>44562</v>
      </c>
      <c r="B1731">
        <f>YEAR(Country_Masterlist__4[[#This Row],[Year1]])</f>
        <v>2022</v>
      </c>
      <c r="C1731" t="s">
        <v>34</v>
      </c>
      <c r="D1731" t="s">
        <v>114</v>
      </c>
      <c r="E1731">
        <v>478</v>
      </c>
    </row>
    <row r="1732" spans="1:5" x14ac:dyDescent="0.35">
      <c r="A1732" s="13">
        <v>44562</v>
      </c>
      <c r="B1732">
        <f>YEAR(Country_Masterlist__4[[#This Row],[Year1]])</f>
        <v>2022</v>
      </c>
      <c r="C1732" t="s">
        <v>34</v>
      </c>
      <c r="D1732" t="s">
        <v>115</v>
      </c>
      <c r="E1732">
        <v>249</v>
      </c>
    </row>
    <row r="1733" spans="1:5" x14ac:dyDescent="0.35">
      <c r="A1733" s="13">
        <v>44562</v>
      </c>
      <c r="B1733">
        <f>YEAR(Country_Masterlist__4[[#This Row],[Year1]])</f>
        <v>2022</v>
      </c>
      <c r="C1733" t="s">
        <v>34</v>
      </c>
      <c r="D1733" t="s">
        <v>116</v>
      </c>
      <c r="E1733">
        <v>507</v>
      </c>
    </row>
    <row r="1734" spans="1:5" x14ac:dyDescent="0.35">
      <c r="A1734" s="13">
        <v>44562</v>
      </c>
      <c r="B1734">
        <f>YEAR(Country_Masterlist__4[[#This Row],[Year1]])</f>
        <v>2022</v>
      </c>
      <c r="C1734" t="s">
        <v>33</v>
      </c>
      <c r="D1734" t="s">
        <v>117</v>
      </c>
      <c r="E1734">
        <v>220</v>
      </c>
    </row>
    <row r="1735" spans="1:5" x14ac:dyDescent="0.35">
      <c r="A1735" s="13">
        <v>44562</v>
      </c>
      <c r="B1735">
        <f>YEAR(Country_Masterlist__4[[#This Row],[Year1]])</f>
        <v>2022</v>
      </c>
      <c r="C1735" t="s">
        <v>34</v>
      </c>
      <c r="D1735" t="s">
        <v>118</v>
      </c>
      <c r="E1735">
        <v>983</v>
      </c>
    </row>
    <row r="1736" spans="1:5" x14ac:dyDescent="0.35">
      <c r="A1736" s="13">
        <v>44562</v>
      </c>
      <c r="B1736">
        <f>YEAR(Country_Masterlist__4[[#This Row],[Year1]])</f>
        <v>2022</v>
      </c>
      <c r="C1736" t="s">
        <v>35</v>
      </c>
      <c r="D1736" t="s">
        <v>119</v>
      </c>
      <c r="E1736">
        <v>104</v>
      </c>
    </row>
    <row r="1737" spans="1:5" x14ac:dyDescent="0.35">
      <c r="A1737" s="13">
        <v>44562</v>
      </c>
      <c r="B1737">
        <f>YEAR(Country_Masterlist__4[[#This Row],[Year1]])</f>
        <v>2022</v>
      </c>
      <c r="C1737" t="s">
        <v>34</v>
      </c>
      <c r="D1737" t="s">
        <v>120</v>
      </c>
      <c r="E1737">
        <v>26</v>
      </c>
    </row>
    <row r="1738" spans="1:5" x14ac:dyDescent="0.35">
      <c r="A1738" s="13">
        <v>44562</v>
      </c>
      <c r="B1738">
        <f>YEAR(Country_Masterlist__4[[#This Row],[Year1]])</f>
        <v>2022</v>
      </c>
      <c r="C1738" t="s">
        <v>34</v>
      </c>
      <c r="D1738" t="s">
        <v>121</v>
      </c>
      <c r="E1738">
        <v>789</v>
      </c>
    </row>
    <row r="1739" spans="1:5" x14ac:dyDescent="0.35">
      <c r="A1739" s="13">
        <v>44562</v>
      </c>
      <c r="B1739">
        <f>YEAR(Country_Masterlist__4[[#This Row],[Year1]])</f>
        <v>2022</v>
      </c>
      <c r="C1739" t="s">
        <v>34</v>
      </c>
      <c r="D1739" t="s">
        <v>122</v>
      </c>
      <c r="E1739">
        <v>52</v>
      </c>
    </row>
    <row r="1740" spans="1:5" x14ac:dyDescent="0.35">
      <c r="A1740" s="13">
        <v>44562</v>
      </c>
      <c r="B1740">
        <f>YEAR(Country_Masterlist__4[[#This Row],[Year1]])</f>
        <v>2022</v>
      </c>
      <c r="C1740" t="s">
        <v>35</v>
      </c>
      <c r="D1740" t="s">
        <v>123</v>
      </c>
      <c r="E1740">
        <v>50</v>
      </c>
    </row>
    <row r="1741" spans="1:5" x14ac:dyDescent="0.35">
      <c r="A1741" s="13">
        <v>44562</v>
      </c>
      <c r="B1741">
        <f>YEAR(Country_Masterlist__4[[#This Row],[Year1]])</f>
        <v>2022</v>
      </c>
      <c r="C1741" t="s">
        <v>34</v>
      </c>
      <c r="D1741" t="s">
        <v>124</v>
      </c>
      <c r="E1741">
        <v>294</v>
      </c>
    </row>
    <row r="1742" spans="1:5" x14ac:dyDescent="0.35">
      <c r="A1742" s="13">
        <v>44562</v>
      </c>
      <c r="B1742">
        <f>YEAR(Country_Masterlist__4[[#This Row],[Year1]])</f>
        <v>2022</v>
      </c>
      <c r="C1742" t="s">
        <v>33</v>
      </c>
      <c r="D1742" t="s">
        <v>125</v>
      </c>
      <c r="E1742">
        <v>86</v>
      </c>
    </row>
    <row r="1743" spans="1:5" x14ac:dyDescent="0.35">
      <c r="A1743" s="13">
        <v>44562</v>
      </c>
      <c r="B1743">
        <f>YEAR(Country_Masterlist__4[[#This Row],[Year1]])</f>
        <v>2022</v>
      </c>
      <c r="C1743" t="s">
        <v>33</v>
      </c>
      <c r="D1743" t="s">
        <v>126</v>
      </c>
      <c r="E1743">
        <v>60</v>
      </c>
    </row>
    <row r="1744" spans="1:5" x14ac:dyDescent="0.35">
      <c r="A1744" s="13">
        <v>44562</v>
      </c>
      <c r="B1744">
        <f>YEAR(Country_Masterlist__4[[#This Row],[Year1]])</f>
        <v>2022</v>
      </c>
      <c r="C1744" t="s">
        <v>35</v>
      </c>
      <c r="D1744" t="s">
        <v>127</v>
      </c>
      <c r="E1744">
        <v>105</v>
      </c>
    </row>
    <row r="1745" spans="1:5" x14ac:dyDescent="0.35">
      <c r="A1745" s="13">
        <v>44562</v>
      </c>
      <c r="B1745">
        <f>YEAR(Country_Masterlist__4[[#This Row],[Year1]])</f>
        <v>2022</v>
      </c>
      <c r="C1745" t="s">
        <v>35</v>
      </c>
      <c r="D1745" t="s">
        <v>128</v>
      </c>
      <c r="E1745">
        <v>12</v>
      </c>
    </row>
    <row r="1746" spans="1:5" x14ac:dyDescent="0.35">
      <c r="A1746" s="13">
        <v>44562</v>
      </c>
      <c r="B1746">
        <f>YEAR(Country_Masterlist__4[[#This Row],[Year1]])</f>
        <v>2022</v>
      </c>
      <c r="C1746" t="s">
        <v>33</v>
      </c>
      <c r="D1746" t="s">
        <v>129</v>
      </c>
      <c r="E1746">
        <v>11</v>
      </c>
    </row>
    <row r="1747" spans="1:5" x14ac:dyDescent="0.35">
      <c r="A1747" s="13">
        <v>44562</v>
      </c>
      <c r="B1747">
        <f>YEAR(Country_Masterlist__4[[#This Row],[Year1]])</f>
        <v>2022</v>
      </c>
      <c r="C1747" t="s">
        <v>33</v>
      </c>
      <c r="D1747" t="s">
        <v>130</v>
      </c>
      <c r="E1747">
        <v>17</v>
      </c>
    </row>
    <row r="1748" spans="1:5" x14ac:dyDescent="0.35">
      <c r="A1748" s="13">
        <v>44562</v>
      </c>
      <c r="B1748">
        <f>YEAR(Country_Masterlist__4[[#This Row],[Year1]])</f>
        <v>2022</v>
      </c>
      <c r="C1748" t="s">
        <v>34</v>
      </c>
      <c r="D1748" t="s">
        <v>131</v>
      </c>
      <c r="E1748">
        <v>33</v>
      </c>
    </row>
    <row r="1749" spans="1:5" x14ac:dyDescent="0.35">
      <c r="A1749" s="13">
        <v>44562</v>
      </c>
      <c r="B1749">
        <f>YEAR(Country_Masterlist__4[[#This Row],[Year1]])</f>
        <v>2022</v>
      </c>
      <c r="C1749" t="s">
        <v>33</v>
      </c>
      <c r="D1749" t="s">
        <v>132</v>
      </c>
      <c r="E1749">
        <v>346</v>
      </c>
    </row>
    <row r="1750" spans="1:5" x14ac:dyDescent="0.35">
      <c r="A1750" s="13">
        <v>44562</v>
      </c>
      <c r="B1750">
        <f>YEAR(Country_Masterlist__4[[#This Row],[Year1]])</f>
        <v>2022</v>
      </c>
      <c r="C1750" t="s">
        <v>35</v>
      </c>
      <c r="D1750" t="s">
        <v>133</v>
      </c>
      <c r="E1750">
        <v>4</v>
      </c>
    </row>
    <row r="1751" spans="1:5" x14ac:dyDescent="0.35">
      <c r="A1751" s="13">
        <v>44562</v>
      </c>
      <c r="B1751">
        <f>YEAR(Country_Masterlist__4[[#This Row],[Year1]])</f>
        <v>2022</v>
      </c>
      <c r="C1751" t="s">
        <v>37</v>
      </c>
      <c r="D1751" t="s">
        <v>134</v>
      </c>
      <c r="E1751">
        <v>27</v>
      </c>
    </row>
    <row r="1752" spans="1:5" x14ac:dyDescent="0.35">
      <c r="A1752" s="13">
        <v>44562</v>
      </c>
      <c r="B1752">
        <f>YEAR(Country_Masterlist__4[[#This Row],[Year1]])</f>
        <v>2022</v>
      </c>
      <c r="C1752" t="s">
        <v>33</v>
      </c>
      <c r="D1752" t="s">
        <v>135</v>
      </c>
      <c r="E1752">
        <v>356</v>
      </c>
    </row>
    <row r="1753" spans="1:5" x14ac:dyDescent="0.35">
      <c r="A1753" s="13">
        <v>44562</v>
      </c>
      <c r="B1753">
        <f>YEAR(Country_Masterlist__4[[#This Row],[Year1]])</f>
        <v>2022</v>
      </c>
      <c r="C1753" t="s">
        <v>33</v>
      </c>
      <c r="D1753" t="s">
        <v>136</v>
      </c>
      <c r="E1753">
        <v>43</v>
      </c>
    </row>
    <row r="1754" spans="1:5" x14ac:dyDescent="0.35">
      <c r="A1754" s="13">
        <v>44562</v>
      </c>
      <c r="B1754">
        <f>YEAR(Country_Masterlist__4[[#This Row],[Year1]])</f>
        <v>2022</v>
      </c>
      <c r="C1754" t="s">
        <v>36</v>
      </c>
      <c r="D1754" t="s">
        <v>14</v>
      </c>
      <c r="E1754">
        <v>836844</v>
      </c>
    </row>
    <row r="1755" spans="1:5" x14ac:dyDescent="0.35">
      <c r="A1755" s="13">
        <v>44562</v>
      </c>
      <c r="B1755">
        <f>YEAR(Country_Masterlist__4[[#This Row],[Year1]])</f>
        <v>2022</v>
      </c>
      <c r="C1755" t="s">
        <v>37</v>
      </c>
      <c r="D1755" t="s">
        <v>137</v>
      </c>
      <c r="E1755">
        <v>61</v>
      </c>
    </row>
    <row r="1756" spans="1:5" x14ac:dyDescent="0.35">
      <c r="A1756" s="13">
        <v>44562</v>
      </c>
      <c r="B1756">
        <f>YEAR(Country_Masterlist__4[[#This Row],[Year1]])</f>
        <v>2022</v>
      </c>
      <c r="C1756" t="s">
        <v>35</v>
      </c>
      <c r="D1756" t="s">
        <v>138</v>
      </c>
      <c r="E1756">
        <v>321</v>
      </c>
    </row>
    <row r="1757" spans="1:5" x14ac:dyDescent="0.35">
      <c r="A1757" s="13">
        <v>44562</v>
      </c>
      <c r="B1757">
        <f>YEAR(Country_Masterlist__4[[#This Row],[Year1]])</f>
        <v>2022</v>
      </c>
      <c r="C1757" t="s">
        <v>34</v>
      </c>
      <c r="D1757" t="s">
        <v>139</v>
      </c>
      <c r="E1757">
        <v>79</v>
      </c>
    </row>
    <row r="1758" spans="1:5" x14ac:dyDescent="0.35">
      <c r="A1758" s="13">
        <v>44562</v>
      </c>
      <c r="B1758">
        <f>YEAR(Country_Masterlist__4[[#This Row],[Year1]])</f>
        <v>2022</v>
      </c>
      <c r="C1758" t="s">
        <v>35</v>
      </c>
      <c r="D1758" t="s">
        <v>140</v>
      </c>
      <c r="E1758">
        <v>15</v>
      </c>
    </row>
    <row r="1759" spans="1:5" x14ac:dyDescent="0.35">
      <c r="A1759" s="13">
        <v>44562</v>
      </c>
      <c r="B1759">
        <f>YEAR(Country_Masterlist__4[[#This Row],[Year1]])</f>
        <v>2022</v>
      </c>
      <c r="C1759" t="s">
        <v>33</v>
      </c>
      <c r="D1759" t="s">
        <v>141</v>
      </c>
      <c r="E1759">
        <v>738</v>
      </c>
    </row>
    <row r="1760" spans="1:5" x14ac:dyDescent="0.35">
      <c r="A1760" s="13">
        <v>44562</v>
      </c>
      <c r="B1760">
        <f>YEAR(Country_Masterlist__4[[#This Row],[Year1]])</f>
        <v>2022</v>
      </c>
      <c r="C1760" t="s">
        <v>33</v>
      </c>
      <c r="D1760" t="s">
        <v>142</v>
      </c>
      <c r="E1760">
        <v>16</v>
      </c>
    </row>
    <row r="1761" spans="1:5" x14ac:dyDescent="0.35">
      <c r="A1761" s="13">
        <v>44562</v>
      </c>
      <c r="B1761">
        <f>YEAR(Country_Masterlist__4[[#This Row],[Year1]])</f>
        <v>2022</v>
      </c>
      <c r="C1761" t="s">
        <v>33</v>
      </c>
      <c r="D1761" t="s">
        <v>143</v>
      </c>
      <c r="E1761">
        <v>21</v>
      </c>
    </row>
    <row r="1762" spans="1:5" x14ac:dyDescent="0.35">
      <c r="A1762" s="13">
        <v>44562</v>
      </c>
      <c r="B1762">
        <f>YEAR(Country_Masterlist__4[[#This Row],[Year1]])</f>
        <v>2022</v>
      </c>
      <c r="C1762" t="s">
        <v>34</v>
      </c>
      <c r="D1762" t="s">
        <v>144</v>
      </c>
      <c r="E1762">
        <v>1618</v>
      </c>
    </row>
    <row r="1763" spans="1:5" x14ac:dyDescent="0.35">
      <c r="A1763" s="13">
        <v>44562</v>
      </c>
      <c r="B1763">
        <f>YEAR(Country_Masterlist__4[[#This Row],[Year1]])</f>
        <v>2022</v>
      </c>
      <c r="C1763" t="s">
        <v>35</v>
      </c>
      <c r="D1763" t="s">
        <v>145</v>
      </c>
      <c r="E1763">
        <v>442</v>
      </c>
    </row>
    <row r="1764" spans="1:5" x14ac:dyDescent="0.35">
      <c r="A1764" s="13">
        <v>44562</v>
      </c>
      <c r="B1764">
        <f>YEAR(Country_Masterlist__4[[#This Row],[Year1]])</f>
        <v>2022</v>
      </c>
      <c r="C1764" t="s">
        <v>37</v>
      </c>
      <c r="D1764" t="s">
        <v>146</v>
      </c>
      <c r="E1764">
        <v>115</v>
      </c>
    </row>
    <row r="1765" spans="1:5" x14ac:dyDescent="0.35">
      <c r="A1765" s="13">
        <v>44562</v>
      </c>
      <c r="B1765">
        <f>YEAR(Country_Masterlist__4[[#This Row],[Year1]])</f>
        <v>2022</v>
      </c>
      <c r="C1765" t="s">
        <v>36</v>
      </c>
      <c r="D1765" t="s">
        <v>147</v>
      </c>
      <c r="E1765">
        <v>175054</v>
      </c>
    </row>
    <row r="1766" spans="1:5" x14ac:dyDescent="0.35">
      <c r="A1766" s="13">
        <v>44562</v>
      </c>
      <c r="B1766">
        <f>YEAR(Country_Masterlist__4[[#This Row],[Year1]])</f>
        <v>2022</v>
      </c>
      <c r="C1766" t="s">
        <v>33</v>
      </c>
      <c r="D1766" t="s">
        <v>148</v>
      </c>
      <c r="E1766">
        <v>85</v>
      </c>
    </row>
    <row r="1767" spans="1:5" x14ac:dyDescent="0.35">
      <c r="A1767" s="13">
        <v>44562</v>
      </c>
      <c r="B1767">
        <f>YEAR(Country_Masterlist__4[[#This Row],[Year1]])</f>
        <v>2022</v>
      </c>
      <c r="C1767" t="s">
        <v>33</v>
      </c>
      <c r="D1767" t="s">
        <v>149</v>
      </c>
      <c r="E1767">
        <v>1265</v>
      </c>
    </row>
    <row r="1768" spans="1:5" x14ac:dyDescent="0.35">
      <c r="A1768" s="13">
        <v>44562</v>
      </c>
      <c r="B1768">
        <f>YEAR(Country_Masterlist__4[[#This Row],[Year1]])</f>
        <v>2022</v>
      </c>
      <c r="C1768" t="s">
        <v>35</v>
      </c>
      <c r="D1768" t="s">
        <v>322</v>
      </c>
      <c r="E1768">
        <v>16</v>
      </c>
    </row>
    <row r="1769" spans="1:5" x14ac:dyDescent="0.35">
      <c r="A1769" s="13">
        <v>44562</v>
      </c>
      <c r="B1769">
        <f>YEAR(Country_Masterlist__4[[#This Row],[Year1]])</f>
        <v>2022</v>
      </c>
      <c r="C1769" t="s">
        <v>35</v>
      </c>
      <c r="D1769" t="s">
        <v>150</v>
      </c>
      <c r="E1769">
        <v>42</v>
      </c>
    </row>
    <row r="1770" spans="1:5" x14ac:dyDescent="0.35">
      <c r="A1770" s="13">
        <v>44562</v>
      </c>
      <c r="B1770">
        <f>YEAR(Country_Masterlist__4[[#This Row],[Year1]])</f>
        <v>2022</v>
      </c>
      <c r="C1770" t="s">
        <v>34</v>
      </c>
      <c r="D1770" t="s">
        <v>151</v>
      </c>
      <c r="E1770">
        <v>10</v>
      </c>
    </row>
    <row r="1771" spans="1:5" x14ac:dyDescent="0.35">
      <c r="A1771" s="13">
        <v>44562</v>
      </c>
      <c r="B1771">
        <f>YEAR(Country_Masterlist__4[[#This Row],[Year1]])</f>
        <v>2022</v>
      </c>
      <c r="C1771" t="s">
        <v>34</v>
      </c>
      <c r="D1771" t="s">
        <v>152</v>
      </c>
      <c r="E1771">
        <v>867</v>
      </c>
    </row>
    <row r="1772" spans="1:5" x14ac:dyDescent="0.35">
      <c r="A1772" s="13">
        <v>44562</v>
      </c>
      <c r="B1772">
        <f>YEAR(Country_Masterlist__4[[#This Row],[Year1]])</f>
        <v>2022</v>
      </c>
      <c r="C1772" t="s">
        <v>37</v>
      </c>
      <c r="D1772" t="s">
        <v>153</v>
      </c>
      <c r="E1772">
        <v>10</v>
      </c>
    </row>
    <row r="1773" spans="1:5" x14ac:dyDescent="0.35">
      <c r="A1773" s="13">
        <v>44562</v>
      </c>
      <c r="B1773">
        <f>YEAR(Country_Masterlist__4[[#This Row],[Year1]])</f>
        <v>2022</v>
      </c>
      <c r="C1773" t="s">
        <v>36</v>
      </c>
      <c r="D1773" t="s">
        <v>154</v>
      </c>
      <c r="E1773">
        <v>1694</v>
      </c>
    </row>
    <row r="1774" spans="1:5" x14ac:dyDescent="0.35">
      <c r="A1774" s="13">
        <v>44562</v>
      </c>
      <c r="B1774">
        <f>YEAR(Country_Masterlist__4[[#This Row],[Year1]])</f>
        <v>2022</v>
      </c>
      <c r="C1774" t="s">
        <v>38</v>
      </c>
      <c r="D1774" t="s">
        <v>155</v>
      </c>
      <c r="E1774">
        <v>88</v>
      </c>
    </row>
    <row r="1775" spans="1:5" x14ac:dyDescent="0.35">
      <c r="A1775" s="13">
        <v>44562</v>
      </c>
      <c r="B1775">
        <f>YEAR(Country_Masterlist__4[[#This Row],[Year1]])</f>
        <v>2022</v>
      </c>
      <c r="C1775" t="s">
        <v>38</v>
      </c>
      <c r="D1775" t="s">
        <v>156</v>
      </c>
      <c r="E1775">
        <v>55677</v>
      </c>
    </row>
    <row r="1776" spans="1:5" x14ac:dyDescent="0.35">
      <c r="A1776" s="13">
        <v>44562</v>
      </c>
      <c r="B1776">
        <f>YEAR(Country_Masterlist__4[[#This Row],[Year1]])</f>
        <v>2022</v>
      </c>
      <c r="C1776" t="s">
        <v>34</v>
      </c>
      <c r="D1776" t="s">
        <v>18</v>
      </c>
      <c r="E1776">
        <v>1557</v>
      </c>
    </row>
    <row r="1777" spans="1:5" x14ac:dyDescent="0.35">
      <c r="A1777" s="13">
        <v>44562</v>
      </c>
      <c r="B1777">
        <f>YEAR(Country_Masterlist__4[[#This Row],[Year1]])</f>
        <v>2022</v>
      </c>
      <c r="C1777" t="s">
        <v>35</v>
      </c>
      <c r="D1777" t="s">
        <v>157</v>
      </c>
      <c r="E1777">
        <v>444</v>
      </c>
    </row>
    <row r="1778" spans="1:5" x14ac:dyDescent="0.35">
      <c r="A1778" s="13">
        <v>44562</v>
      </c>
      <c r="B1778">
        <f>YEAR(Country_Masterlist__4[[#This Row],[Year1]])</f>
        <v>2022</v>
      </c>
      <c r="C1778" t="s">
        <v>35</v>
      </c>
      <c r="D1778" t="s">
        <v>158</v>
      </c>
      <c r="E1778">
        <v>508</v>
      </c>
    </row>
    <row r="1779" spans="1:5" x14ac:dyDescent="0.35">
      <c r="A1779" s="13">
        <v>44562</v>
      </c>
      <c r="B1779">
        <f>YEAR(Country_Masterlist__4[[#This Row],[Year1]])</f>
        <v>2022</v>
      </c>
      <c r="C1779" t="s">
        <v>34</v>
      </c>
      <c r="D1779" t="s">
        <v>159</v>
      </c>
      <c r="E1779">
        <v>4</v>
      </c>
    </row>
    <row r="1780" spans="1:5" x14ac:dyDescent="0.35">
      <c r="A1780" s="13">
        <v>44562</v>
      </c>
      <c r="B1780">
        <f>YEAR(Country_Masterlist__4[[#This Row],[Year1]])</f>
        <v>2022</v>
      </c>
      <c r="C1780" t="s">
        <v>35</v>
      </c>
      <c r="D1780" t="s">
        <v>160</v>
      </c>
      <c r="E1780">
        <v>7114</v>
      </c>
    </row>
    <row r="1781" spans="1:5" x14ac:dyDescent="0.35">
      <c r="A1781" s="13">
        <v>44562</v>
      </c>
      <c r="B1781">
        <f>YEAR(Country_Masterlist__4[[#This Row],[Year1]])</f>
        <v>2022</v>
      </c>
      <c r="C1781" t="s">
        <v>35</v>
      </c>
      <c r="D1781" t="s">
        <v>161</v>
      </c>
      <c r="E1781">
        <v>22301</v>
      </c>
    </row>
    <row r="1782" spans="1:5" x14ac:dyDescent="0.35">
      <c r="A1782" s="13">
        <v>44562</v>
      </c>
      <c r="B1782">
        <f>YEAR(Country_Masterlist__4[[#This Row],[Year1]])</f>
        <v>2022</v>
      </c>
      <c r="C1782" t="s">
        <v>33</v>
      </c>
      <c r="D1782" t="s">
        <v>162</v>
      </c>
      <c r="E1782">
        <v>112</v>
      </c>
    </row>
    <row r="1783" spans="1:5" x14ac:dyDescent="0.35">
      <c r="A1783" s="13">
        <v>44562</v>
      </c>
      <c r="B1783">
        <f>YEAR(Country_Masterlist__4[[#This Row],[Year1]])</f>
        <v>2022</v>
      </c>
      <c r="C1783" t="s">
        <v>36</v>
      </c>
      <c r="D1783" t="s">
        <v>163</v>
      </c>
      <c r="E1783">
        <v>15</v>
      </c>
    </row>
    <row r="1784" spans="1:5" x14ac:dyDescent="0.35">
      <c r="A1784" s="13">
        <v>44562</v>
      </c>
      <c r="B1784">
        <f>YEAR(Country_Masterlist__4[[#This Row],[Year1]])</f>
        <v>2022</v>
      </c>
      <c r="C1784" t="s">
        <v>36</v>
      </c>
      <c r="D1784" t="s">
        <v>164</v>
      </c>
      <c r="E1784">
        <v>40</v>
      </c>
    </row>
    <row r="1785" spans="1:5" x14ac:dyDescent="0.35">
      <c r="A1785" s="13">
        <v>44562</v>
      </c>
      <c r="B1785">
        <f>YEAR(Country_Masterlist__4[[#This Row],[Year1]])</f>
        <v>2022</v>
      </c>
      <c r="C1785" t="s">
        <v>36</v>
      </c>
      <c r="D1785" t="s">
        <v>165</v>
      </c>
      <c r="E1785">
        <v>27</v>
      </c>
    </row>
    <row r="1786" spans="1:5" x14ac:dyDescent="0.35">
      <c r="A1786" s="13">
        <v>44562</v>
      </c>
      <c r="B1786">
        <f>YEAR(Country_Masterlist__4[[#This Row],[Year1]])</f>
        <v>2022</v>
      </c>
      <c r="C1786" t="s">
        <v>37</v>
      </c>
      <c r="D1786" t="s">
        <v>166</v>
      </c>
      <c r="E1786">
        <v>21</v>
      </c>
    </row>
    <row r="1787" spans="1:5" x14ac:dyDescent="0.35">
      <c r="A1787" s="13">
        <v>44562</v>
      </c>
      <c r="B1787">
        <f>YEAR(Country_Masterlist__4[[#This Row],[Year1]])</f>
        <v>2022</v>
      </c>
      <c r="C1787" t="s">
        <v>34</v>
      </c>
      <c r="D1787" t="s">
        <v>167</v>
      </c>
      <c r="E1787">
        <v>106</v>
      </c>
    </row>
    <row r="1788" spans="1:5" x14ac:dyDescent="0.35">
      <c r="A1788" s="13">
        <v>44562</v>
      </c>
      <c r="B1788">
        <f>YEAR(Country_Masterlist__4[[#This Row],[Year1]])</f>
        <v>2022</v>
      </c>
      <c r="C1788" t="s">
        <v>33</v>
      </c>
      <c r="D1788" t="s">
        <v>168</v>
      </c>
      <c r="E1788">
        <v>2854</v>
      </c>
    </row>
    <row r="1789" spans="1:5" x14ac:dyDescent="0.35">
      <c r="A1789" s="13">
        <v>44562</v>
      </c>
      <c r="B1789">
        <f>YEAR(Country_Masterlist__4[[#This Row],[Year1]])</f>
        <v>2022</v>
      </c>
      <c r="C1789" t="s">
        <v>35</v>
      </c>
      <c r="D1789" t="s">
        <v>169</v>
      </c>
      <c r="E1789">
        <v>73</v>
      </c>
    </row>
    <row r="1790" spans="1:5" x14ac:dyDescent="0.35">
      <c r="A1790" s="13">
        <v>44562</v>
      </c>
      <c r="B1790">
        <f>YEAR(Country_Masterlist__4[[#This Row],[Year1]])</f>
        <v>2022</v>
      </c>
      <c r="C1790" t="s">
        <v>35</v>
      </c>
      <c r="D1790" t="s">
        <v>215</v>
      </c>
      <c r="E1790" t="s">
        <v>206</v>
      </c>
    </row>
    <row r="1791" spans="1:5" x14ac:dyDescent="0.35">
      <c r="A1791" s="13">
        <v>44562</v>
      </c>
      <c r="B1791">
        <f>YEAR(Country_Masterlist__4[[#This Row],[Year1]])</f>
        <v>2022</v>
      </c>
      <c r="C1791" t="s">
        <v>33</v>
      </c>
      <c r="D1791" t="s">
        <v>170</v>
      </c>
      <c r="E1791">
        <v>221</v>
      </c>
    </row>
    <row r="1792" spans="1:5" x14ac:dyDescent="0.35">
      <c r="A1792" s="13">
        <v>44562</v>
      </c>
      <c r="B1792">
        <f>YEAR(Country_Masterlist__4[[#This Row],[Year1]])</f>
        <v>2022</v>
      </c>
      <c r="C1792" t="s">
        <v>34</v>
      </c>
      <c r="D1792" t="s">
        <v>171</v>
      </c>
      <c r="E1792">
        <v>44</v>
      </c>
    </row>
    <row r="1793" spans="1:5" x14ac:dyDescent="0.35">
      <c r="A1793" s="13">
        <v>44562</v>
      </c>
      <c r="B1793">
        <f>YEAR(Country_Masterlist__4[[#This Row],[Year1]])</f>
        <v>2022</v>
      </c>
      <c r="C1793" t="s">
        <v>35</v>
      </c>
      <c r="D1793" t="s">
        <v>172</v>
      </c>
      <c r="E1793">
        <v>50</v>
      </c>
    </row>
    <row r="1794" spans="1:5" x14ac:dyDescent="0.35">
      <c r="A1794" s="13">
        <v>44562</v>
      </c>
      <c r="B1794">
        <f>YEAR(Country_Masterlist__4[[#This Row],[Year1]])</f>
        <v>2022</v>
      </c>
      <c r="C1794" t="s">
        <v>35</v>
      </c>
      <c r="D1794" t="s">
        <v>173</v>
      </c>
      <c r="E1794">
        <v>14</v>
      </c>
    </row>
    <row r="1795" spans="1:5" x14ac:dyDescent="0.35">
      <c r="A1795" s="13">
        <v>44562</v>
      </c>
      <c r="B1795">
        <f>YEAR(Country_Masterlist__4[[#This Row],[Year1]])</f>
        <v>2022</v>
      </c>
      <c r="C1795" t="s">
        <v>33</v>
      </c>
      <c r="D1795" t="s">
        <v>174</v>
      </c>
      <c r="E1795">
        <v>1301</v>
      </c>
    </row>
    <row r="1796" spans="1:5" x14ac:dyDescent="0.35">
      <c r="A1796" s="13">
        <v>44562</v>
      </c>
      <c r="B1796">
        <f>YEAR(Country_Masterlist__4[[#This Row],[Year1]])</f>
        <v>2022</v>
      </c>
      <c r="C1796" t="s">
        <v>33</v>
      </c>
      <c r="D1796" t="s">
        <v>175</v>
      </c>
      <c r="E1796">
        <v>159</v>
      </c>
    </row>
    <row r="1797" spans="1:5" x14ac:dyDescent="0.35">
      <c r="A1797" s="13">
        <v>44562</v>
      </c>
      <c r="B1797">
        <f>YEAR(Country_Masterlist__4[[#This Row],[Year1]])</f>
        <v>2022</v>
      </c>
      <c r="C1797" t="s">
        <v>33</v>
      </c>
      <c r="D1797" t="s">
        <v>176</v>
      </c>
      <c r="E1797">
        <v>10</v>
      </c>
    </row>
    <row r="1798" spans="1:5" x14ac:dyDescent="0.35">
      <c r="A1798" s="13">
        <v>44562</v>
      </c>
      <c r="B1798">
        <f>YEAR(Country_Masterlist__4[[#This Row],[Year1]])</f>
        <v>2022</v>
      </c>
      <c r="C1798" t="s">
        <v>35</v>
      </c>
      <c r="D1798" t="s">
        <v>216</v>
      </c>
      <c r="E1798" t="s">
        <v>206</v>
      </c>
    </row>
    <row r="1799" spans="1:5" x14ac:dyDescent="0.35">
      <c r="A1799" s="13">
        <v>44562</v>
      </c>
      <c r="B1799">
        <f>YEAR(Country_Masterlist__4[[#This Row],[Year1]])</f>
        <v>2022</v>
      </c>
      <c r="C1799" t="s">
        <v>35</v>
      </c>
      <c r="D1799" t="s">
        <v>177</v>
      </c>
      <c r="E1799">
        <v>1845</v>
      </c>
    </row>
    <row r="1800" spans="1:5" x14ac:dyDescent="0.35">
      <c r="A1800" s="13">
        <v>44562</v>
      </c>
      <c r="B1800">
        <f>YEAR(Country_Masterlist__4[[#This Row],[Year1]])</f>
        <v>2022</v>
      </c>
      <c r="C1800" t="s">
        <v>34</v>
      </c>
      <c r="D1800" t="s">
        <v>178</v>
      </c>
      <c r="E1800">
        <v>386</v>
      </c>
    </row>
    <row r="1801" spans="1:5" x14ac:dyDescent="0.35">
      <c r="A1801" s="13">
        <v>44562</v>
      </c>
      <c r="B1801">
        <f>YEAR(Country_Masterlist__4[[#This Row],[Year1]])</f>
        <v>2022</v>
      </c>
      <c r="C1801" t="s">
        <v>33</v>
      </c>
      <c r="D1801" t="s">
        <v>179</v>
      </c>
      <c r="E1801">
        <v>105</v>
      </c>
    </row>
    <row r="1802" spans="1:5" x14ac:dyDescent="0.35">
      <c r="A1802" s="13">
        <v>44562</v>
      </c>
      <c r="B1802">
        <f>YEAR(Country_Masterlist__4[[#This Row],[Year1]])</f>
        <v>2022</v>
      </c>
      <c r="C1802" t="s">
        <v>38</v>
      </c>
      <c r="D1802" t="s">
        <v>180</v>
      </c>
      <c r="E1802">
        <v>47</v>
      </c>
    </row>
    <row r="1803" spans="1:5" x14ac:dyDescent="0.35">
      <c r="A1803" s="13">
        <v>44562</v>
      </c>
      <c r="B1803">
        <f>YEAR(Country_Masterlist__4[[#This Row],[Year1]])</f>
        <v>2022</v>
      </c>
      <c r="C1803" t="s">
        <v>33</v>
      </c>
      <c r="D1803" t="s">
        <v>181</v>
      </c>
      <c r="E1803">
        <v>3</v>
      </c>
    </row>
    <row r="1804" spans="1:5" x14ac:dyDescent="0.35">
      <c r="A1804" s="13">
        <v>44562</v>
      </c>
      <c r="B1804">
        <f>YEAR(Country_Masterlist__4[[#This Row],[Year1]])</f>
        <v>2022</v>
      </c>
      <c r="C1804" t="s">
        <v>35</v>
      </c>
      <c r="D1804" t="s">
        <v>182</v>
      </c>
      <c r="E1804">
        <v>171</v>
      </c>
    </row>
    <row r="1805" spans="1:5" x14ac:dyDescent="0.35">
      <c r="A1805" s="13">
        <v>44562</v>
      </c>
      <c r="B1805">
        <f>YEAR(Country_Masterlist__4[[#This Row],[Year1]])</f>
        <v>2022</v>
      </c>
      <c r="C1805" t="s">
        <v>35</v>
      </c>
      <c r="D1805" t="s">
        <v>183</v>
      </c>
      <c r="E1805">
        <v>97</v>
      </c>
    </row>
    <row r="1806" spans="1:5" x14ac:dyDescent="0.35">
      <c r="A1806" s="13">
        <v>44562</v>
      </c>
      <c r="B1806">
        <f>YEAR(Country_Masterlist__4[[#This Row],[Year1]])</f>
        <v>2022</v>
      </c>
      <c r="C1806" t="s">
        <v>34</v>
      </c>
      <c r="D1806" t="s">
        <v>184</v>
      </c>
      <c r="E1806">
        <v>339</v>
      </c>
    </row>
    <row r="1807" spans="1:5" x14ac:dyDescent="0.35">
      <c r="A1807" s="13">
        <v>44562</v>
      </c>
      <c r="B1807">
        <f>YEAR(Country_Masterlist__4[[#This Row],[Year1]])</f>
        <v>2022</v>
      </c>
      <c r="C1807" t="s">
        <v>34</v>
      </c>
      <c r="D1807" t="s">
        <v>185</v>
      </c>
      <c r="E1807">
        <v>644</v>
      </c>
    </row>
    <row r="1808" spans="1:5" x14ac:dyDescent="0.35">
      <c r="A1808" s="13">
        <v>44562</v>
      </c>
      <c r="B1808">
        <f>YEAR(Country_Masterlist__4[[#This Row],[Year1]])</f>
        <v>2022</v>
      </c>
      <c r="C1808" t="s">
        <v>34</v>
      </c>
      <c r="D1808" t="s">
        <v>186</v>
      </c>
      <c r="E1808">
        <v>426</v>
      </c>
    </row>
    <row r="1809" spans="1:5" x14ac:dyDescent="0.35">
      <c r="A1809" s="13">
        <v>44562</v>
      </c>
      <c r="B1809">
        <f>YEAR(Country_Masterlist__4[[#This Row],[Year1]])</f>
        <v>2022</v>
      </c>
      <c r="C1809" t="s">
        <v>33</v>
      </c>
      <c r="D1809" t="s">
        <v>187</v>
      </c>
      <c r="E1809">
        <v>51</v>
      </c>
    </row>
    <row r="1810" spans="1:5" x14ac:dyDescent="0.35">
      <c r="A1810" s="13">
        <v>44562</v>
      </c>
      <c r="B1810">
        <f>YEAR(Country_Masterlist__4[[#This Row],[Year1]])</f>
        <v>2022</v>
      </c>
      <c r="C1810" t="s">
        <v>34</v>
      </c>
      <c r="D1810" t="s">
        <v>188</v>
      </c>
      <c r="E1810">
        <v>227</v>
      </c>
    </row>
    <row r="1811" spans="1:5" x14ac:dyDescent="0.35">
      <c r="A1811" s="13">
        <v>44562</v>
      </c>
      <c r="B1811">
        <f>YEAR(Country_Masterlist__4[[#This Row],[Year1]])</f>
        <v>2022</v>
      </c>
      <c r="C1811" t="s">
        <v>33</v>
      </c>
      <c r="D1811" t="s">
        <v>189</v>
      </c>
      <c r="E1811">
        <v>289</v>
      </c>
    </row>
    <row r="1812" spans="1:5" x14ac:dyDescent="0.35">
      <c r="A1812" s="13">
        <v>44562</v>
      </c>
      <c r="B1812">
        <f>YEAR(Country_Masterlist__4[[#This Row],[Year1]])</f>
        <v>2022</v>
      </c>
      <c r="C1812" t="s">
        <v>37</v>
      </c>
      <c r="D1812" t="s">
        <v>190</v>
      </c>
      <c r="E1812">
        <v>17</v>
      </c>
    </row>
    <row r="1813" spans="1:5" x14ac:dyDescent="0.35">
      <c r="A1813" s="13">
        <v>44562</v>
      </c>
      <c r="B1813">
        <f>YEAR(Country_Masterlist__4[[#This Row],[Year1]])</f>
        <v>2022</v>
      </c>
      <c r="C1813" t="s">
        <v>36</v>
      </c>
      <c r="D1813" t="s">
        <v>191</v>
      </c>
      <c r="E1813">
        <v>228</v>
      </c>
    </row>
    <row r="1814" spans="1:5" x14ac:dyDescent="0.35">
      <c r="A1814" s="13">
        <v>44562</v>
      </c>
      <c r="B1814">
        <f>YEAR(Country_Masterlist__4[[#This Row],[Year1]])</f>
        <v>2022</v>
      </c>
      <c r="C1814" t="s">
        <v>33</v>
      </c>
      <c r="D1814" t="s">
        <v>192</v>
      </c>
      <c r="E1814">
        <v>602</v>
      </c>
    </row>
    <row r="1815" spans="1:5" x14ac:dyDescent="0.35">
      <c r="A1815" s="13">
        <v>44562</v>
      </c>
      <c r="B1815">
        <f>YEAR(Country_Masterlist__4[[#This Row],[Year1]])</f>
        <v>2022</v>
      </c>
      <c r="C1815" t="s">
        <v>34</v>
      </c>
      <c r="D1815" t="s">
        <v>193</v>
      </c>
      <c r="E1815">
        <v>15998</v>
      </c>
    </row>
    <row r="1816" spans="1:5" x14ac:dyDescent="0.35">
      <c r="A1816" s="13">
        <v>44562</v>
      </c>
      <c r="B1816">
        <f>YEAR(Country_Masterlist__4[[#This Row],[Year1]])</f>
        <v>2022</v>
      </c>
      <c r="C1816" t="s">
        <v>34</v>
      </c>
      <c r="D1816" t="s">
        <v>194</v>
      </c>
      <c r="E1816">
        <v>8</v>
      </c>
    </row>
    <row r="1817" spans="1:5" x14ac:dyDescent="0.35">
      <c r="A1817" s="13">
        <v>44562</v>
      </c>
      <c r="B1817">
        <f>YEAR(Country_Masterlist__4[[#This Row],[Year1]])</f>
        <v>2022</v>
      </c>
      <c r="C1817" t="s">
        <v>33</v>
      </c>
      <c r="D1817" t="s">
        <v>195</v>
      </c>
      <c r="E1817">
        <v>62</v>
      </c>
    </row>
    <row r="1818" spans="1:5" x14ac:dyDescent="0.35">
      <c r="A1818" s="13">
        <v>44562</v>
      </c>
      <c r="B1818">
        <f>YEAR(Country_Masterlist__4[[#This Row],[Year1]])</f>
        <v>2022</v>
      </c>
      <c r="C1818" t="s">
        <v>35</v>
      </c>
      <c r="D1818" t="s">
        <v>196</v>
      </c>
      <c r="E1818">
        <v>3450</v>
      </c>
    </row>
    <row r="1819" spans="1:5" x14ac:dyDescent="0.35">
      <c r="A1819" s="13">
        <v>44562</v>
      </c>
      <c r="B1819">
        <f>YEAR(Country_Masterlist__4[[#This Row],[Year1]])</f>
        <v>2022</v>
      </c>
      <c r="C1819" t="s">
        <v>34</v>
      </c>
      <c r="D1819" t="s">
        <v>197</v>
      </c>
      <c r="E1819">
        <v>31</v>
      </c>
    </row>
    <row r="1820" spans="1:5" x14ac:dyDescent="0.35">
      <c r="A1820" s="13">
        <v>44562</v>
      </c>
      <c r="B1820">
        <f>YEAR(Country_Masterlist__4[[#This Row],[Year1]])</f>
        <v>2022</v>
      </c>
      <c r="C1820" t="s">
        <v>35</v>
      </c>
      <c r="D1820" t="s">
        <v>198</v>
      </c>
      <c r="E1820">
        <v>1498</v>
      </c>
    </row>
    <row r="1821" spans="1:5" x14ac:dyDescent="0.35">
      <c r="A1821" s="13">
        <v>44562</v>
      </c>
      <c r="B1821">
        <f>YEAR(Country_Masterlist__4[[#This Row],[Year1]])</f>
        <v>2022</v>
      </c>
      <c r="C1821" t="s">
        <v>39</v>
      </c>
      <c r="D1821" t="s">
        <v>39</v>
      </c>
      <c r="E1821">
        <v>1149</v>
      </c>
    </row>
    <row r="1822" spans="1:5" x14ac:dyDescent="0.35">
      <c r="A1822" s="13">
        <v>44562</v>
      </c>
      <c r="B1822">
        <f>YEAR(Country_Masterlist__4[[#This Row],[Year1]])</f>
        <v>2022</v>
      </c>
      <c r="C1822" t="s">
        <v>38</v>
      </c>
      <c r="D1822" t="s">
        <v>199</v>
      </c>
      <c r="E1822">
        <v>417</v>
      </c>
    </row>
    <row r="1823" spans="1:5" x14ac:dyDescent="0.35">
      <c r="A1823" s="13">
        <v>44562</v>
      </c>
      <c r="B1823">
        <f>YEAR(Country_Masterlist__4[[#This Row],[Year1]])</f>
        <v>2022</v>
      </c>
      <c r="C1823" t="s">
        <v>34</v>
      </c>
      <c r="D1823" t="s">
        <v>200</v>
      </c>
      <c r="E1823">
        <v>3637</v>
      </c>
    </row>
    <row r="1824" spans="1:5" x14ac:dyDescent="0.35">
      <c r="A1824" s="13">
        <v>44562</v>
      </c>
      <c r="B1824">
        <f>YEAR(Country_Masterlist__4[[#This Row],[Year1]])</f>
        <v>2022</v>
      </c>
      <c r="C1824" t="s">
        <v>38</v>
      </c>
      <c r="D1824" t="s">
        <v>19</v>
      </c>
      <c r="E1824">
        <v>206075</v>
      </c>
    </row>
    <row r="1825" spans="1:5" x14ac:dyDescent="0.35">
      <c r="A1825" s="13">
        <v>44562</v>
      </c>
      <c r="B1825">
        <f>YEAR(Country_Masterlist__4[[#This Row],[Year1]])</f>
        <v>2022</v>
      </c>
      <c r="C1825" t="s">
        <v>34</v>
      </c>
      <c r="D1825" t="s">
        <v>201</v>
      </c>
      <c r="E1825">
        <v>687</v>
      </c>
    </row>
    <row r="1826" spans="1:5" x14ac:dyDescent="0.35">
      <c r="A1826" s="13">
        <v>44562</v>
      </c>
      <c r="B1826">
        <f>YEAR(Country_Masterlist__4[[#This Row],[Year1]])</f>
        <v>2022</v>
      </c>
      <c r="C1826" t="s">
        <v>34</v>
      </c>
      <c r="D1826" t="s">
        <v>202</v>
      </c>
      <c r="E1826">
        <v>138</v>
      </c>
    </row>
    <row r="1827" spans="1:5" x14ac:dyDescent="0.35">
      <c r="A1827" s="13">
        <v>44562</v>
      </c>
      <c r="B1827">
        <f>YEAR(Country_Masterlist__4[[#This Row],[Year1]])</f>
        <v>2022</v>
      </c>
      <c r="C1827" t="s">
        <v>33</v>
      </c>
      <c r="D1827" t="s">
        <v>203</v>
      </c>
      <c r="E1827">
        <v>26</v>
      </c>
    </row>
    <row r="1828" spans="1:5" x14ac:dyDescent="0.35">
      <c r="A1828" s="13">
        <v>44562</v>
      </c>
      <c r="B1828">
        <f>YEAR(Country_Masterlist__4[[#This Row],[Year1]])</f>
        <v>2022</v>
      </c>
      <c r="C1828" t="s">
        <v>33</v>
      </c>
      <c r="D1828" t="s">
        <v>204</v>
      </c>
      <c r="E1828">
        <v>66</v>
      </c>
    </row>
    <row r="1831" spans="1:5" x14ac:dyDescent="0.35">
      <c r="A1831" s="21" t="s">
        <v>356</v>
      </c>
      <c r="B1831" s="21"/>
    </row>
    <row r="1832" spans="1:5" x14ac:dyDescent="0.35">
      <c r="A1832" s="21" t="s">
        <v>357</v>
      </c>
      <c r="B1832" s="21"/>
    </row>
    <row r="1833" spans="1:5" x14ac:dyDescent="0.35">
      <c r="A1833" s="2" t="s">
        <v>207</v>
      </c>
      <c r="B1833" s="2"/>
    </row>
    <row r="1834" spans="1:5" x14ac:dyDescent="0.35">
      <c r="A1834" s="16" t="s">
        <v>208</v>
      </c>
      <c r="B1834" s="16"/>
    </row>
    <row r="1835" spans="1:5" x14ac:dyDescent="0.35">
      <c r="A1835" s="2" t="s">
        <v>209</v>
      </c>
      <c r="B1835" s="2"/>
    </row>
    <row r="1836" spans="1:5" x14ac:dyDescent="0.35">
      <c r="A1836" s="2" t="s">
        <v>210</v>
      </c>
      <c r="B1836" s="2"/>
    </row>
    <row r="1837" spans="1:5" x14ac:dyDescent="0.35">
      <c r="A1837" s="16" t="s">
        <v>211</v>
      </c>
      <c r="B1837" s="16"/>
    </row>
    <row r="1838" spans="1:5" x14ac:dyDescent="0.35">
      <c r="A1838" s="2" t="s">
        <v>212</v>
      </c>
      <c r="B1838" s="2"/>
    </row>
    <row r="1839" spans="1:5" x14ac:dyDescent="0.35">
      <c r="A1839" s="17" t="s">
        <v>213</v>
      </c>
      <c r="B1839" s="16"/>
    </row>
    <row r="1840" spans="1:5" x14ac:dyDescent="0.35">
      <c r="A1840" s="16" t="s">
        <v>32</v>
      </c>
      <c r="B1840" s="16"/>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E4C1-58B6-43DA-9BA9-BA3FF8335984}">
  <dimension ref="A1:G1019"/>
  <sheetViews>
    <sheetView zoomScaleNormal="100" workbookViewId="0">
      <selection activeCell="F1" sqref="F1"/>
    </sheetView>
  </sheetViews>
  <sheetFormatPr defaultRowHeight="14.5" x14ac:dyDescent="0.35"/>
  <cols>
    <col min="1" max="1" width="10.81640625" bestFit="1" customWidth="1"/>
    <col min="2" max="2" width="10.81640625" customWidth="1"/>
    <col min="3" max="3" width="14.7265625" customWidth="1"/>
    <col min="4" max="4" width="18.6328125" bestFit="1" customWidth="1"/>
    <col min="5" max="5" width="18.26953125" customWidth="1"/>
    <col min="6" max="6" width="15.7265625" customWidth="1"/>
    <col min="7" max="7" width="19.36328125" customWidth="1"/>
  </cols>
  <sheetData>
    <row r="1" spans="1:7" x14ac:dyDescent="0.35">
      <c r="A1" t="s">
        <v>461</v>
      </c>
      <c r="B1" t="s">
        <v>24</v>
      </c>
      <c r="C1" t="s">
        <v>279</v>
      </c>
      <c r="D1" t="s">
        <v>280</v>
      </c>
      <c r="E1" t="s">
        <v>282</v>
      </c>
      <c r="F1" t="s">
        <v>305</v>
      </c>
      <c r="G1" t="s">
        <v>218</v>
      </c>
    </row>
    <row r="2" spans="1:7" x14ac:dyDescent="0.35">
      <c r="A2" s="13">
        <v>41275</v>
      </c>
      <c r="B2">
        <f>YEAR(Table2__2[[#This Row],[Year1]])</f>
        <v>2013</v>
      </c>
      <c r="C2" t="s">
        <v>288</v>
      </c>
      <c r="D2" t="s">
        <v>222</v>
      </c>
      <c r="E2" t="s">
        <v>223</v>
      </c>
      <c r="F2" t="s">
        <v>299</v>
      </c>
      <c r="G2">
        <v>3684</v>
      </c>
    </row>
    <row r="3" spans="1:7" x14ac:dyDescent="0.35">
      <c r="A3" s="13">
        <v>41275</v>
      </c>
      <c r="B3">
        <f>YEAR(Table2__2[[#This Row],[Year1]])</f>
        <v>2013</v>
      </c>
      <c r="C3" t="s">
        <v>288</v>
      </c>
      <c r="D3" t="s">
        <v>222</v>
      </c>
      <c r="E3" t="s">
        <v>224</v>
      </c>
      <c r="F3" t="s">
        <v>299</v>
      </c>
      <c r="G3">
        <v>23510</v>
      </c>
    </row>
    <row r="4" spans="1:7" x14ac:dyDescent="0.35">
      <c r="A4" s="13">
        <v>41275</v>
      </c>
      <c r="B4">
        <f>YEAR(Table2__2[[#This Row],[Year1]])</f>
        <v>2013</v>
      </c>
      <c r="C4" t="s">
        <v>288</v>
      </c>
      <c r="D4" t="s">
        <v>222</v>
      </c>
      <c r="E4" t="s">
        <v>225</v>
      </c>
      <c r="F4" t="s">
        <v>299</v>
      </c>
      <c r="G4">
        <v>16306</v>
      </c>
    </row>
    <row r="5" spans="1:7" x14ac:dyDescent="0.35">
      <c r="A5" s="13">
        <v>41275</v>
      </c>
      <c r="B5">
        <f>YEAR(Table2__2[[#This Row],[Year1]])</f>
        <v>2013</v>
      </c>
      <c r="C5" t="s">
        <v>288</v>
      </c>
      <c r="D5" t="s">
        <v>222</v>
      </c>
      <c r="E5" t="s">
        <v>226</v>
      </c>
      <c r="F5" t="s">
        <v>299</v>
      </c>
      <c r="G5">
        <v>11154</v>
      </c>
    </row>
    <row r="6" spans="1:7" x14ac:dyDescent="0.35">
      <c r="A6" s="13">
        <v>41275</v>
      </c>
      <c r="B6">
        <f>YEAR(Table2__2[[#This Row],[Year1]])</f>
        <v>2013</v>
      </c>
      <c r="C6" t="s">
        <v>288</v>
      </c>
      <c r="D6" t="s">
        <v>222</v>
      </c>
      <c r="E6" t="s">
        <v>227</v>
      </c>
      <c r="F6" t="s">
        <v>299</v>
      </c>
      <c r="G6">
        <v>50749</v>
      </c>
    </row>
    <row r="7" spans="1:7" x14ac:dyDescent="0.35">
      <c r="A7" s="13">
        <v>41275</v>
      </c>
      <c r="B7">
        <f>YEAR(Table2__2[[#This Row],[Year1]])</f>
        <v>2013</v>
      </c>
      <c r="C7" t="s">
        <v>288</v>
      </c>
      <c r="D7" t="s">
        <v>222</v>
      </c>
      <c r="E7" t="s">
        <v>228</v>
      </c>
      <c r="F7" t="s">
        <v>299</v>
      </c>
      <c r="G7">
        <v>154453</v>
      </c>
    </row>
    <row r="8" spans="1:7" x14ac:dyDescent="0.35">
      <c r="A8" s="13">
        <v>41275</v>
      </c>
      <c r="B8">
        <f>YEAR(Table2__2[[#This Row],[Year1]])</f>
        <v>2013</v>
      </c>
      <c r="C8" t="s">
        <v>288</v>
      </c>
      <c r="D8" t="s">
        <v>222</v>
      </c>
      <c r="E8" t="s">
        <v>229</v>
      </c>
      <c r="F8" t="s">
        <v>299</v>
      </c>
      <c r="G8">
        <v>27496</v>
      </c>
    </row>
    <row r="9" spans="1:7" x14ac:dyDescent="0.35">
      <c r="A9" s="13">
        <v>41275</v>
      </c>
      <c r="B9">
        <f>YEAR(Table2__2[[#This Row],[Year1]])</f>
        <v>2013</v>
      </c>
      <c r="C9" t="s">
        <v>288</v>
      </c>
      <c r="D9" t="s">
        <v>222</v>
      </c>
      <c r="E9" t="s">
        <v>230</v>
      </c>
      <c r="F9" t="s">
        <v>299</v>
      </c>
      <c r="G9">
        <v>120939</v>
      </c>
    </row>
    <row r="10" spans="1:7" x14ac:dyDescent="0.35">
      <c r="A10" s="13">
        <v>41275</v>
      </c>
      <c r="B10">
        <f>YEAR(Table2__2[[#This Row],[Year1]])</f>
        <v>2013</v>
      </c>
      <c r="C10" t="s">
        <v>288</v>
      </c>
      <c r="D10" t="s">
        <v>222</v>
      </c>
      <c r="E10" t="s">
        <v>231</v>
      </c>
      <c r="F10" t="s">
        <v>299</v>
      </c>
      <c r="G10">
        <v>6106</v>
      </c>
    </row>
    <row r="11" spans="1:7" x14ac:dyDescent="0.35">
      <c r="A11" s="13">
        <v>41275</v>
      </c>
      <c r="B11">
        <f>YEAR(Table2__2[[#This Row],[Year1]])</f>
        <v>2013</v>
      </c>
      <c r="C11" t="s">
        <v>288</v>
      </c>
      <c r="D11" t="s">
        <v>232</v>
      </c>
      <c r="E11" t="s">
        <v>233</v>
      </c>
      <c r="F11" t="s">
        <v>299</v>
      </c>
      <c r="G11">
        <v>360</v>
      </c>
    </row>
    <row r="12" spans="1:7" x14ac:dyDescent="0.35">
      <c r="A12" s="13">
        <v>41275</v>
      </c>
      <c r="B12">
        <f>YEAR(Table2__2[[#This Row],[Year1]])</f>
        <v>2013</v>
      </c>
      <c r="C12" t="s">
        <v>288</v>
      </c>
      <c r="D12" t="s">
        <v>232</v>
      </c>
      <c r="E12" t="s">
        <v>234</v>
      </c>
      <c r="F12" t="s">
        <v>299</v>
      </c>
      <c r="G12">
        <v>796</v>
      </c>
    </row>
    <row r="13" spans="1:7" x14ac:dyDescent="0.35">
      <c r="A13" s="13">
        <v>41275</v>
      </c>
      <c r="B13">
        <f>YEAR(Table2__2[[#This Row],[Year1]])</f>
        <v>2013</v>
      </c>
      <c r="C13" t="s">
        <v>288</v>
      </c>
      <c r="D13" t="s">
        <v>232</v>
      </c>
      <c r="E13" t="s">
        <v>235</v>
      </c>
      <c r="F13" t="s">
        <v>299</v>
      </c>
      <c r="G13">
        <v>650</v>
      </c>
    </row>
    <row r="14" spans="1:7" x14ac:dyDescent="0.35">
      <c r="A14" s="13">
        <v>41275</v>
      </c>
      <c r="B14">
        <f>YEAR(Table2__2[[#This Row],[Year1]])</f>
        <v>2013</v>
      </c>
      <c r="C14" t="s">
        <v>288</v>
      </c>
      <c r="D14" t="s">
        <v>232</v>
      </c>
      <c r="E14" t="s">
        <v>236</v>
      </c>
      <c r="F14" t="s">
        <v>299</v>
      </c>
      <c r="G14">
        <v>469</v>
      </c>
    </row>
    <row r="15" spans="1:7" x14ac:dyDescent="0.35">
      <c r="A15" s="13">
        <v>41275</v>
      </c>
      <c r="B15">
        <f>YEAR(Table2__2[[#This Row],[Year1]])</f>
        <v>2013</v>
      </c>
      <c r="C15" t="s">
        <v>288</v>
      </c>
      <c r="D15" t="s">
        <v>232</v>
      </c>
      <c r="E15" t="s">
        <v>237</v>
      </c>
      <c r="F15" t="s">
        <v>299</v>
      </c>
      <c r="G15">
        <v>88</v>
      </c>
    </row>
    <row r="16" spans="1:7" x14ac:dyDescent="0.35">
      <c r="A16" s="13">
        <v>41275</v>
      </c>
      <c r="B16">
        <f>YEAR(Table2__2[[#This Row],[Year1]])</f>
        <v>2013</v>
      </c>
      <c r="C16" t="s">
        <v>288</v>
      </c>
      <c r="D16" t="s">
        <v>232</v>
      </c>
      <c r="E16" t="s">
        <v>238</v>
      </c>
      <c r="F16" t="s">
        <v>299</v>
      </c>
      <c r="G16">
        <v>37</v>
      </c>
    </row>
    <row r="17" spans="1:7" x14ac:dyDescent="0.35">
      <c r="A17" s="13">
        <v>41275</v>
      </c>
      <c r="B17">
        <f>YEAR(Table2__2[[#This Row],[Year1]])</f>
        <v>2013</v>
      </c>
      <c r="C17" t="s">
        <v>288</v>
      </c>
      <c r="D17" t="s">
        <v>232</v>
      </c>
      <c r="E17" t="s">
        <v>239</v>
      </c>
      <c r="F17" t="s">
        <v>299</v>
      </c>
      <c r="G17">
        <v>1738</v>
      </c>
    </row>
    <row r="18" spans="1:7" x14ac:dyDescent="0.35">
      <c r="A18" s="13">
        <v>41275</v>
      </c>
      <c r="B18">
        <f>YEAR(Table2__2[[#This Row],[Year1]])</f>
        <v>2013</v>
      </c>
      <c r="C18" t="s">
        <v>288</v>
      </c>
      <c r="D18" t="s">
        <v>232</v>
      </c>
      <c r="E18" t="s">
        <v>240</v>
      </c>
      <c r="F18" t="s">
        <v>299</v>
      </c>
      <c r="G18">
        <v>500</v>
      </c>
    </row>
    <row r="19" spans="1:7" x14ac:dyDescent="0.35">
      <c r="A19" s="13">
        <v>41275</v>
      </c>
      <c r="B19">
        <f>YEAR(Table2__2[[#This Row],[Year1]])</f>
        <v>2013</v>
      </c>
      <c r="C19" t="s">
        <v>288</v>
      </c>
      <c r="D19" t="s">
        <v>232</v>
      </c>
      <c r="E19" t="s">
        <v>241</v>
      </c>
      <c r="F19" t="s">
        <v>299</v>
      </c>
      <c r="G19">
        <v>924</v>
      </c>
    </row>
    <row r="20" spans="1:7" x14ac:dyDescent="0.35">
      <c r="A20" s="13">
        <v>41275</v>
      </c>
      <c r="B20">
        <f>YEAR(Table2__2[[#This Row],[Year1]])</f>
        <v>2013</v>
      </c>
      <c r="C20" t="s">
        <v>288</v>
      </c>
      <c r="D20" t="s">
        <v>232</v>
      </c>
      <c r="E20" t="s">
        <v>242</v>
      </c>
      <c r="F20" t="s">
        <v>299</v>
      </c>
      <c r="G20">
        <v>299</v>
      </c>
    </row>
    <row r="21" spans="1:7" x14ac:dyDescent="0.35">
      <c r="A21" s="13">
        <v>41275</v>
      </c>
      <c r="B21">
        <f>YEAR(Table2__2[[#This Row],[Year1]])</f>
        <v>2013</v>
      </c>
      <c r="C21" t="s">
        <v>288</v>
      </c>
      <c r="D21" t="s">
        <v>232</v>
      </c>
      <c r="E21" t="s">
        <v>243</v>
      </c>
      <c r="F21" t="s">
        <v>299</v>
      </c>
      <c r="G21">
        <v>531</v>
      </c>
    </row>
    <row r="22" spans="1:7" x14ac:dyDescent="0.35">
      <c r="A22" s="13">
        <v>41275</v>
      </c>
      <c r="B22">
        <f>YEAR(Table2__2[[#This Row],[Year1]])</f>
        <v>2013</v>
      </c>
      <c r="C22" t="s">
        <v>289</v>
      </c>
      <c r="D22" t="s">
        <v>281</v>
      </c>
      <c r="E22" t="s">
        <v>226</v>
      </c>
      <c r="F22" t="s">
        <v>301</v>
      </c>
      <c r="G22">
        <v>5815</v>
      </c>
    </row>
    <row r="23" spans="1:7" x14ac:dyDescent="0.35">
      <c r="A23" s="13">
        <v>41275</v>
      </c>
      <c r="B23">
        <f>YEAR(Table2__2[[#This Row],[Year1]])</f>
        <v>2013</v>
      </c>
      <c r="C23" t="s">
        <v>289</v>
      </c>
      <c r="D23" t="s">
        <v>281</v>
      </c>
      <c r="E23" t="s">
        <v>227</v>
      </c>
      <c r="F23" t="s">
        <v>301</v>
      </c>
      <c r="G23">
        <v>26005</v>
      </c>
    </row>
    <row r="24" spans="1:7" x14ac:dyDescent="0.35">
      <c r="A24" s="13">
        <v>41275</v>
      </c>
      <c r="B24">
        <f>YEAR(Table2__2[[#This Row],[Year1]])</f>
        <v>2013</v>
      </c>
      <c r="C24" t="s">
        <v>289</v>
      </c>
      <c r="D24" t="s">
        <v>281</v>
      </c>
      <c r="E24" t="s">
        <v>229</v>
      </c>
      <c r="F24" t="s">
        <v>301</v>
      </c>
      <c r="G24">
        <v>22750</v>
      </c>
    </row>
    <row r="25" spans="1:7" x14ac:dyDescent="0.35">
      <c r="A25" s="13">
        <v>41275</v>
      </c>
      <c r="B25">
        <f>YEAR(Table2__2[[#This Row],[Year1]])</f>
        <v>2013</v>
      </c>
      <c r="C25" t="s">
        <v>289</v>
      </c>
      <c r="D25" t="s">
        <v>281</v>
      </c>
      <c r="E25" t="s">
        <v>230</v>
      </c>
      <c r="F25" t="s">
        <v>301</v>
      </c>
      <c r="G25">
        <v>8492</v>
      </c>
    </row>
    <row r="26" spans="1:7" x14ac:dyDescent="0.35">
      <c r="A26" s="13">
        <v>41275</v>
      </c>
      <c r="B26">
        <f>YEAR(Table2__2[[#This Row],[Year1]])</f>
        <v>2013</v>
      </c>
      <c r="C26" t="s">
        <v>289</v>
      </c>
      <c r="D26" t="s">
        <v>283</v>
      </c>
      <c r="E26" t="s">
        <v>244</v>
      </c>
      <c r="F26" t="s">
        <v>301</v>
      </c>
      <c r="G26">
        <v>2042</v>
      </c>
    </row>
    <row r="27" spans="1:7" x14ac:dyDescent="0.35">
      <c r="A27" s="13">
        <v>41275</v>
      </c>
      <c r="B27">
        <f>YEAR(Table2__2[[#This Row],[Year1]])</f>
        <v>2013</v>
      </c>
      <c r="C27" t="s">
        <v>289</v>
      </c>
      <c r="D27" t="s">
        <v>283</v>
      </c>
      <c r="E27" t="s">
        <v>245</v>
      </c>
      <c r="F27" t="s">
        <v>301</v>
      </c>
      <c r="G27">
        <v>2094</v>
      </c>
    </row>
    <row r="28" spans="1:7" x14ac:dyDescent="0.35">
      <c r="A28" s="13">
        <v>41275</v>
      </c>
      <c r="B28">
        <f>YEAR(Table2__2[[#This Row],[Year1]])</f>
        <v>2013</v>
      </c>
      <c r="C28" t="s">
        <v>289</v>
      </c>
      <c r="D28" t="s">
        <v>283</v>
      </c>
      <c r="E28" t="s">
        <v>246</v>
      </c>
      <c r="F28" t="s">
        <v>301</v>
      </c>
      <c r="G28">
        <v>2675</v>
      </c>
    </row>
    <row r="29" spans="1:7" x14ac:dyDescent="0.35">
      <c r="A29" s="13">
        <v>41275</v>
      </c>
      <c r="B29">
        <f>YEAR(Table2__2[[#This Row],[Year1]])</f>
        <v>2013</v>
      </c>
      <c r="C29" t="s">
        <v>289</v>
      </c>
      <c r="D29" t="s">
        <v>283</v>
      </c>
      <c r="E29" t="s">
        <v>234</v>
      </c>
      <c r="F29" t="s">
        <v>301</v>
      </c>
      <c r="G29">
        <v>10697</v>
      </c>
    </row>
    <row r="30" spans="1:7" x14ac:dyDescent="0.35">
      <c r="A30" s="13">
        <v>41275</v>
      </c>
      <c r="B30">
        <f>YEAR(Table2__2[[#This Row],[Year1]])</f>
        <v>2013</v>
      </c>
      <c r="C30" t="s">
        <v>289</v>
      </c>
      <c r="D30" t="s">
        <v>283</v>
      </c>
      <c r="E30" t="s">
        <v>247</v>
      </c>
      <c r="F30" t="s">
        <v>301</v>
      </c>
      <c r="G30">
        <v>2050</v>
      </c>
    </row>
    <row r="31" spans="1:7" x14ac:dyDescent="0.35">
      <c r="A31" s="13">
        <v>41275</v>
      </c>
      <c r="B31">
        <f>YEAR(Table2__2[[#This Row],[Year1]])</f>
        <v>2013</v>
      </c>
      <c r="C31" t="s">
        <v>289</v>
      </c>
      <c r="D31" t="s">
        <v>283</v>
      </c>
      <c r="E31" t="s">
        <v>235</v>
      </c>
      <c r="F31" t="s">
        <v>301</v>
      </c>
      <c r="G31">
        <v>6001</v>
      </c>
    </row>
    <row r="32" spans="1:7" x14ac:dyDescent="0.35">
      <c r="A32" s="13">
        <v>41275</v>
      </c>
      <c r="B32">
        <f>YEAR(Table2__2[[#This Row],[Year1]])</f>
        <v>2013</v>
      </c>
      <c r="C32" t="s">
        <v>289</v>
      </c>
      <c r="D32" t="s">
        <v>283</v>
      </c>
      <c r="E32" t="s">
        <v>226</v>
      </c>
      <c r="F32" t="s">
        <v>301</v>
      </c>
      <c r="G32">
        <v>3</v>
      </c>
    </row>
    <row r="33" spans="1:7" x14ac:dyDescent="0.35">
      <c r="A33" s="13">
        <v>41275</v>
      </c>
      <c r="B33">
        <f>YEAR(Table2__2[[#This Row],[Year1]])</f>
        <v>2013</v>
      </c>
      <c r="C33" t="s">
        <v>289</v>
      </c>
      <c r="D33" t="s">
        <v>283</v>
      </c>
      <c r="E33" t="s">
        <v>248</v>
      </c>
      <c r="F33" t="s">
        <v>301</v>
      </c>
      <c r="G33">
        <v>2972</v>
      </c>
    </row>
    <row r="34" spans="1:7" x14ac:dyDescent="0.35">
      <c r="A34" s="13">
        <v>41275</v>
      </c>
      <c r="B34">
        <f>YEAR(Table2__2[[#This Row],[Year1]])</f>
        <v>2013</v>
      </c>
      <c r="C34" t="s">
        <v>289</v>
      </c>
      <c r="D34" t="s">
        <v>283</v>
      </c>
      <c r="E34" t="s">
        <v>227</v>
      </c>
      <c r="F34" t="s">
        <v>301</v>
      </c>
      <c r="G34">
        <v>48</v>
      </c>
    </row>
    <row r="35" spans="1:7" x14ac:dyDescent="0.35">
      <c r="A35" s="13">
        <v>41275</v>
      </c>
      <c r="B35">
        <f>YEAR(Table2__2[[#This Row],[Year1]])</f>
        <v>2013</v>
      </c>
      <c r="C35" t="s">
        <v>289</v>
      </c>
      <c r="D35" t="s">
        <v>283</v>
      </c>
      <c r="E35" t="s">
        <v>249</v>
      </c>
      <c r="F35" t="s">
        <v>301</v>
      </c>
      <c r="G35">
        <v>2773</v>
      </c>
    </row>
    <row r="36" spans="1:7" x14ac:dyDescent="0.35">
      <c r="A36" s="13">
        <v>41275</v>
      </c>
      <c r="B36">
        <f>YEAR(Table2__2[[#This Row],[Year1]])</f>
        <v>2013</v>
      </c>
      <c r="C36" t="s">
        <v>289</v>
      </c>
      <c r="D36" t="s">
        <v>283</v>
      </c>
      <c r="E36" t="s">
        <v>239</v>
      </c>
      <c r="F36" t="s">
        <v>301</v>
      </c>
      <c r="G36">
        <v>5295</v>
      </c>
    </row>
    <row r="37" spans="1:7" x14ac:dyDescent="0.35">
      <c r="A37" s="13">
        <v>41275</v>
      </c>
      <c r="B37">
        <f>YEAR(Table2__2[[#This Row],[Year1]])</f>
        <v>2013</v>
      </c>
      <c r="C37" t="s">
        <v>289</v>
      </c>
      <c r="D37" t="s">
        <v>283</v>
      </c>
      <c r="E37" t="s">
        <v>240</v>
      </c>
      <c r="F37" t="s">
        <v>301</v>
      </c>
      <c r="G37">
        <v>49</v>
      </c>
    </row>
    <row r="38" spans="1:7" x14ac:dyDescent="0.35">
      <c r="A38" s="13">
        <v>41275</v>
      </c>
      <c r="B38">
        <f>YEAR(Table2__2[[#This Row],[Year1]])</f>
        <v>2013</v>
      </c>
      <c r="C38" t="s">
        <v>289</v>
      </c>
      <c r="D38" t="s">
        <v>283</v>
      </c>
      <c r="E38" t="s">
        <v>250</v>
      </c>
      <c r="F38" t="s">
        <v>301</v>
      </c>
      <c r="G38">
        <v>4464</v>
      </c>
    </row>
    <row r="39" spans="1:7" x14ac:dyDescent="0.35">
      <c r="A39" s="13">
        <v>41275</v>
      </c>
      <c r="B39">
        <f>YEAR(Table2__2[[#This Row],[Year1]])</f>
        <v>2013</v>
      </c>
      <c r="C39" t="s">
        <v>289</v>
      </c>
      <c r="D39" t="s">
        <v>283</v>
      </c>
      <c r="E39" t="s">
        <v>251</v>
      </c>
      <c r="F39" t="s">
        <v>301</v>
      </c>
      <c r="G39">
        <v>211</v>
      </c>
    </row>
    <row r="40" spans="1:7" x14ac:dyDescent="0.35">
      <c r="A40" s="13">
        <v>41275</v>
      </c>
      <c r="B40">
        <f>YEAR(Table2__2[[#This Row],[Year1]])</f>
        <v>2013</v>
      </c>
      <c r="C40" t="s">
        <v>289</v>
      </c>
      <c r="D40" t="s">
        <v>283</v>
      </c>
      <c r="E40" t="s">
        <v>229</v>
      </c>
      <c r="F40" t="s">
        <v>301</v>
      </c>
      <c r="G40">
        <v>45</v>
      </c>
    </row>
    <row r="41" spans="1:7" x14ac:dyDescent="0.35">
      <c r="A41" s="13">
        <v>41275</v>
      </c>
      <c r="B41">
        <f>YEAR(Table2__2[[#This Row],[Year1]])</f>
        <v>2013</v>
      </c>
      <c r="C41" t="s">
        <v>289</v>
      </c>
      <c r="D41" t="s">
        <v>283</v>
      </c>
      <c r="E41" t="s">
        <v>252</v>
      </c>
      <c r="F41" t="s">
        <v>301</v>
      </c>
      <c r="G41">
        <v>1469</v>
      </c>
    </row>
    <row r="42" spans="1:7" x14ac:dyDescent="0.35">
      <c r="A42" s="13">
        <v>41275</v>
      </c>
      <c r="B42">
        <f>YEAR(Table2__2[[#This Row],[Year1]])</f>
        <v>2013</v>
      </c>
      <c r="C42" t="s">
        <v>289</v>
      </c>
      <c r="D42" t="s">
        <v>283</v>
      </c>
      <c r="E42" t="s">
        <v>253</v>
      </c>
      <c r="F42" t="s">
        <v>301</v>
      </c>
      <c r="G42">
        <v>756</v>
      </c>
    </row>
    <row r="43" spans="1:7" x14ac:dyDescent="0.35">
      <c r="A43" s="13">
        <v>41275</v>
      </c>
      <c r="B43">
        <f>YEAR(Table2__2[[#This Row],[Year1]])</f>
        <v>2013</v>
      </c>
      <c r="C43" t="s">
        <v>289</v>
      </c>
      <c r="D43" t="s">
        <v>283</v>
      </c>
      <c r="E43" t="s">
        <v>254</v>
      </c>
      <c r="F43" t="s">
        <v>301</v>
      </c>
      <c r="G43">
        <v>7844</v>
      </c>
    </row>
    <row r="44" spans="1:7" x14ac:dyDescent="0.35">
      <c r="A44" s="13">
        <v>41275</v>
      </c>
      <c r="B44">
        <f>YEAR(Table2__2[[#This Row],[Year1]])</f>
        <v>2013</v>
      </c>
      <c r="C44" t="s">
        <v>289</v>
      </c>
      <c r="D44" t="s">
        <v>283</v>
      </c>
      <c r="E44" t="s">
        <v>255</v>
      </c>
      <c r="F44" t="s">
        <v>301</v>
      </c>
      <c r="G44">
        <v>462</v>
      </c>
    </row>
    <row r="45" spans="1:7" x14ac:dyDescent="0.35">
      <c r="A45" s="13">
        <v>41275</v>
      </c>
      <c r="B45">
        <f>YEAR(Table2__2[[#This Row],[Year1]])</f>
        <v>2013</v>
      </c>
      <c r="C45" t="s">
        <v>289</v>
      </c>
      <c r="D45" t="s">
        <v>283</v>
      </c>
      <c r="E45" t="s">
        <v>230</v>
      </c>
      <c r="F45" t="s">
        <v>301</v>
      </c>
      <c r="G45">
        <v>66</v>
      </c>
    </row>
    <row r="46" spans="1:7" x14ac:dyDescent="0.35">
      <c r="A46" s="13">
        <v>41275</v>
      </c>
      <c r="B46">
        <f>YEAR(Table2__2[[#This Row],[Year1]])</f>
        <v>2013</v>
      </c>
      <c r="C46" t="s">
        <v>289</v>
      </c>
      <c r="D46" t="s">
        <v>283</v>
      </c>
      <c r="E46" t="s">
        <v>298</v>
      </c>
      <c r="F46" t="s">
        <v>301</v>
      </c>
      <c r="G46">
        <v>8538</v>
      </c>
    </row>
    <row r="47" spans="1:7" x14ac:dyDescent="0.35">
      <c r="A47" s="13">
        <v>41275</v>
      </c>
      <c r="B47">
        <f>YEAR(Table2__2[[#This Row],[Year1]])</f>
        <v>2013</v>
      </c>
      <c r="C47" t="s">
        <v>289</v>
      </c>
      <c r="D47" t="s">
        <v>283</v>
      </c>
      <c r="E47" t="s">
        <v>257</v>
      </c>
      <c r="F47" t="s">
        <v>301</v>
      </c>
      <c r="G47">
        <v>124</v>
      </c>
    </row>
    <row r="48" spans="1:7" x14ac:dyDescent="0.35">
      <c r="A48" s="13">
        <v>41275</v>
      </c>
      <c r="B48">
        <f>YEAR(Table2__2[[#This Row],[Year1]])</f>
        <v>2013</v>
      </c>
      <c r="C48" t="s">
        <v>290</v>
      </c>
      <c r="D48" t="s">
        <v>425</v>
      </c>
      <c r="E48" t="s">
        <v>244</v>
      </c>
      <c r="F48" t="s">
        <v>302</v>
      </c>
      <c r="G48">
        <v>337</v>
      </c>
    </row>
    <row r="49" spans="1:7" x14ac:dyDescent="0.35">
      <c r="A49" s="13">
        <v>41275</v>
      </c>
      <c r="B49">
        <f>YEAR(Table2__2[[#This Row],[Year1]])</f>
        <v>2013</v>
      </c>
      <c r="C49" t="s">
        <v>290</v>
      </c>
      <c r="D49" t="s">
        <v>425</v>
      </c>
      <c r="E49" t="s">
        <v>245</v>
      </c>
      <c r="F49" t="s">
        <v>302</v>
      </c>
      <c r="G49">
        <v>75</v>
      </c>
    </row>
    <row r="50" spans="1:7" x14ac:dyDescent="0.35">
      <c r="A50" s="13">
        <v>41275</v>
      </c>
      <c r="B50">
        <f>YEAR(Table2__2[[#This Row],[Year1]])</f>
        <v>2013</v>
      </c>
      <c r="C50" t="s">
        <v>290</v>
      </c>
      <c r="D50" t="s">
        <v>425</v>
      </c>
      <c r="E50" t="s">
        <v>246</v>
      </c>
      <c r="F50" t="s">
        <v>302</v>
      </c>
      <c r="G50">
        <v>225</v>
      </c>
    </row>
    <row r="51" spans="1:7" x14ac:dyDescent="0.35">
      <c r="A51" s="13">
        <v>41275</v>
      </c>
      <c r="B51">
        <f>YEAR(Table2__2[[#This Row],[Year1]])</f>
        <v>2013</v>
      </c>
      <c r="C51" t="s">
        <v>290</v>
      </c>
      <c r="D51" t="s">
        <v>425</v>
      </c>
      <c r="E51" t="s">
        <v>234</v>
      </c>
      <c r="F51" t="s">
        <v>302</v>
      </c>
      <c r="G51">
        <v>153</v>
      </c>
    </row>
    <row r="52" spans="1:7" x14ac:dyDescent="0.35">
      <c r="A52" s="13">
        <v>41275</v>
      </c>
      <c r="B52">
        <f>YEAR(Table2__2[[#This Row],[Year1]])</f>
        <v>2013</v>
      </c>
      <c r="C52" t="s">
        <v>290</v>
      </c>
      <c r="D52" t="s">
        <v>425</v>
      </c>
      <c r="E52" t="s">
        <v>247</v>
      </c>
      <c r="F52" t="s">
        <v>302</v>
      </c>
      <c r="G52">
        <v>1239</v>
      </c>
    </row>
    <row r="53" spans="1:7" x14ac:dyDescent="0.35">
      <c r="A53" s="13">
        <v>41275</v>
      </c>
      <c r="B53">
        <f>YEAR(Table2__2[[#This Row],[Year1]])</f>
        <v>2013</v>
      </c>
      <c r="C53" t="s">
        <v>290</v>
      </c>
      <c r="D53" t="s">
        <v>425</v>
      </c>
      <c r="E53" t="s">
        <v>259</v>
      </c>
      <c r="F53" t="s">
        <v>302</v>
      </c>
      <c r="G53">
        <v>256</v>
      </c>
    </row>
    <row r="54" spans="1:7" x14ac:dyDescent="0.35">
      <c r="A54" s="13">
        <v>41275</v>
      </c>
      <c r="B54">
        <f>YEAR(Table2__2[[#This Row],[Year1]])</f>
        <v>2013</v>
      </c>
      <c r="C54" t="s">
        <v>290</v>
      </c>
      <c r="D54" t="s">
        <v>425</v>
      </c>
      <c r="E54" t="s">
        <v>260</v>
      </c>
      <c r="F54" t="s">
        <v>302</v>
      </c>
      <c r="G54">
        <v>226</v>
      </c>
    </row>
    <row r="55" spans="1:7" x14ac:dyDescent="0.35">
      <c r="A55" s="13">
        <v>41275</v>
      </c>
      <c r="B55">
        <f>YEAR(Table2__2[[#This Row],[Year1]])</f>
        <v>2013</v>
      </c>
      <c r="C55" t="s">
        <v>290</v>
      </c>
      <c r="D55" t="s">
        <v>425</v>
      </c>
      <c r="E55" t="s">
        <v>235</v>
      </c>
      <c r="F55" t="s">
        <v>302</v>
      </c>
      <c r="G55">
        <v>176</v>
      </c>
    </row>
    <row r="56" spans="1:7" x14ac:dyDescent="0.35">
      <c r="A56" s="13">
        <v>41275</v>
      </c>
      <c r="B56">
        <f>YEAR(Table2__2[[#This Row],[Year1]])</f>
        <v>2013</v>
      </c>
      <c r="C56" t="s">
        <v>290</v>
      </c>
      <c r="D56" t="s">
        <v>425</v>
      </c>
      <c r="E56" t="s">
        <v>226</v>
      </c>
      <c r="F56" t="s">
        <v>302</v>
      </c>
      <c r="G56">
        <v>367</v>
      </c>
    </row>
    <row r="57" spans="1:7" x14ac:dyDescent="0.35">
      <c r="A57" s="13">
        <v>41275</v>
      </c>
      <c r="B57">
        <f>YEAR(Table2__2[[#This Row],[Year1]])</f>
        <v>2013</v>
      </c>
      <c r="C57" t="s">
        <v>290</v>
      </c>
      <c r="D57" t="s">
        <v>425</v>
      </c>
      <c r="E57" t="s">
        <v>261</v>
      </c>
      <c r="F57" t="s">
        <v>302</v>
      </c>
      <c r="G57">
        <v>95</v>
      </c>
    </row>
    <row r="58" spans="1:7" x14ac:dyDescent="0.35">
      <c r="A58" s="13">
        <v>41275</v>
      </c>
      <c r="B58">
        <f>YEAR(Table2__2[[#This Row],[Year1]])</f>
        <v>2013</v>
      </c>
      <c r="C58" t="s">
        <v>290</v>
      </c>
      <c r="D58" t="s">
        <v>425</v>
      </c>
      <c r="E58" t="s">
        <v>248</v>
      </c>
      <c r="F58" t="s">
        <v>302</v>
      </c>
      <c r="G58">
        <v>1071</v>
      </c>
    </row>
    <row r="59" spans="1:7" x14ac:dyDescent="0.35">
      <c r="A59" s="13">
        <v>41275</v>
      </c>
      <c r="B59">
        <f>YEAR(Table2__2[[#This Row],[Year1]])</f>
        <v>2013</v>
      </c>
      <c r="C59" t="s">
        <v>290</v>
      </c>
      <c r="D59" t="s">
        <v>425</v>
      </c>
      <c r="E59" t="s">
        <v>249</v>
      </c>
      <c r="F59" t="s">
        <v>302</v>
      </c>
      <c r="G59">
        <v>507</v>
      </c>
    </row>
    <row r="60" spans="1:7" x14ac:dyDescent="0.35">
      <c r="A60" s="13">
        <v>41275</v>
      </c>
      <c r="B60">
        <f>YEAR(Table2__2[[#This Row],[Year1]])</f>
        <v>2013</v>
      </c>
      <c r="C60" t="s">
        <v>290</v>
      </c>
      <c r="D60" t="s">
        <v>425</v>
      </c>
      <c r="E60" t="s">
        <v>239</v>
      </c>
      <c r="F60" t="s">
        <v>302</v>
      </c>
      <c r="G60">
        <v>881</v>
      </c>
    </row>
    <row r="61" spans="1:7" x14ac:dyDescent="0.35">
      <c r="A61" s="13">
        <v>41275</v>
      </c>
      <c r="B61">
        <f>YEAR(Table2__2[[#This Row],[Year1]])</f>
        <v>2013</v>
      </c>
      <c r="C61" t="s">
        <v>290</v>
      </c>
      <c r="D61" t="s">
        <v>425</v>
      </c>
      <c r="E61" t="s">
        <v>240</v>
      </c>
      <c r="F61" t="s">
        <v>302</v>
      </c>
      <c r="G61">
        <v>508</v>
      </c>
    </row>
    <row r="62" spans="1:7" x14ac:dyDescent="0.35">
      <c r="A62" s="13">
        <v>41275</v>
      </c>
      <c r="B62">
        <f>YEAR(Table2__2[[#This Row],[Year1]])</f>
        <v>2013</v>
      </c>
      <c r="C62" t="s">
        <v>290</v>
      </c>
      <c r="D62" t="s">
        <v>425</v>
      </c>
      <c r="E62" t="s">
        <v>250</v>
      </c>
      <c r="F62" t="s">
        <v>302</v>
      </c>
      <c r="G62">
        <v>219</v>
      </c>
    </row>
    <row r="63" spans="1:7" x14ac:dyDescent="0.35">
      <c r="A63" s="13">
        <v>41275</v>
      </c>
      <c r="B63">
        <f>YEAR(Table2__2[[#This Row],[Year1]])</f>
        <v>2013</v>
      </c>
      <c r="C63" t="s">
        <v>290</v>
      </c>
      <c r="D63" t="s">
        <v>425</v>
      </c>
      <c r="E63" t="s">
        <v>265</v>
      </c>
      <c r="F63" t="s">
        <v>302</v>
      </c>
      <c r="G63">
        <v>118</v>
      </c>
    </row>
    <row r="64" spans="1:7" x14ac:dyDescent="0.35">
      <c r="A64" s="13">
        <v>41275</v>
      </c>
      <c r="B64">
        <f>YEAR(Table2__2[[#This Row],[Year1]])</f>
        <v>2013</v>
      </c>
      <c r="C64" t="s">
        <v>290</v>
      </c>
      <c r="D64" t="s">
        <v>425</v>
      </c>
      <c r="E64" t="s">
        <v>266</v>
      </c>
      <c r="F64" t="s">
        <v>302</v>
      </c>
      <c r="G64">
        <v>178</v>
      </c>
    </row>
    <row r="65" spans="1:7" x14ac:dyDescent="0.35">
      <c r="A65" s="13">
        <v>41275</v>
      </c>
      <c r="B65">
        <f>YEAR(Table2__2[[#This Row],[Year1]])</f>
        <v>2013</v>
      </c>
      <c r="C65" t="s">
        <v>290</v>
      </c>
      <c r="D65" t="s">
        <v>425</v>
      </c>
      <c r="E65" t="s">
        <v>267</v>
      </c>
      <c r="F65" t="s">
        <v>302</v>
      </c>
      <c r="G65">
        <v>457</v>
      </c>
    </row>
    <row r="66" spans="1:7" x14ac:dyDescent="0.35">
      <c r="A66" s="13">
        <v>41275</v>
      </c>
      <c r="B66">
        <f>YEAR(Table2__2[[#This Row],[Year1]])</f>
        <v>2013</v>
      </c>
      <c r="C66" t="s">
        <v>290</v>
      </c>
      <c r="D66" t="s">
        <v>425</v>
      </c>
      <c r="E66" t="s">
        <v>268</v>
      </c>
      <c r="F66" t="s">
        <v>302</v>
      </c>
      <c r="G66">
        <v>174</v>
      </c>
    </row>
    <row r="67" spans="1:7" x14ac:dyDescent="0.35">
      <c r="A67" s="13">
        <v>41275</v>
      </c>
      <c r="B67">
        <f>YEAR(Table2__2[[#This Row],[Year1]])</f>
        <v>2013</v>
      </c>
      <c r="C67" t="s">
        <v>290</v>
      </c>
      <c r="D67" t="s">
        <v>425</v>
      </c>
      <c r="E67" t="s">
        <v>269</v>
      </c>
      <c r="F67" t="s">
        <v>302</v>
      </c>
      <c r="G67">
        <v>2945</v>
      </c>
    </row>
    <row r="68" spans="1:7" x14ac:dyDescent="0.35">
      <c r="A68" s="13">
        <v>41275</v>
      </c>
      <c r="B68">
        <f>YEAR(Table2__2[[#This Row],[Year1]])</f>
        <v>2013</v>
      </c>
      <c r="C68" t="s">
        <v>290</v>
      </c>
      <c r="D68" t="s">
        <v>425</v>
      </c>
      <c r="E68" t="s">
        <v>229</v>
      </c>
      <c r="F68" t="s">
        <v>302</v>
      </c>
      <c r="G68">
        <v>398</v>
      </c>
    </row>
    <row r="69" spans="1:7" x14ac:dyDescent="0.35">
      <c r="A69" s="13">
        <v>41275</v>
      </c>
      <c r="B69">
        <f>YEAR(Table2__2[[#This Row],[Year1]])</f>
        <v>2013</v>
      </c>
      <c r="C69" t="s">
        <v>290</v>
      </c>
      <c r="D69" t="s">
        <v>425</v>
      </c>
      <c r="E69" t="s">
        <v>252</v>
      </c>
      <c r="F69" t="s">
        <v>302</v>
      </c>
      <c r="G69">
        <v>252</v>
      </c>
    </row>
    <row r="70" spans="1:7" x14ac:dyDescent="0.35">
      <c r="A70" s="13">
        <v>41275</v>
      </c>
      <c r="B70">
        <f>YEAR(Table2__2[[#This Row],[Year1]])</f>
        <v>2013</v>
      </c>
      <c r="C70" t="s">
        <v>290</v>
      </c>
      <c r="D70" t="s">
        <v>425</v>
      </c>
      <c r="E70" t="s">
        <v>253</v>
      </c>
      <c r="F70" t="s">
        <v>302</v>
      </c>
      <c r="G70">
        <v>242</v>
      </c>
    </row>
    <row r="71" spans="1:7" x14ac:dyDescent="0.35">
      <c r="A71" s="13">
        <v>41275</v>
      </c>
      <c r="B71">
        <f>YEAR(Table2__2[[#This Row],[Year1]])</f>
        <v>2013</v>
      </c>
      <c r="C71" t="s">
        <v>290</v>
      </c>
      <c r="D71" t="s">
        <v>425</v>
      </c>
      <c r="E71" t="s">
        <v>254</v>
      </c>
      <c r="F71" t="s">
        <v>302</v>
      </c>
      <c r="G71">
        <v>376</v>
      </c>
    </row>
    <row r="72" spans="1:7" x14ac:dyDescent="0.35">
      <c r="A72" s="13">
        <v>41275</v>
      </c>
      <c r="B72">
        <f>YEAR(Table2__2[[#This Row],[Year1]])</f>
        <v>2013</v>
      </c>
      <c r="C72" t="s">
        <v>290</v>
      </c>
      <c r="D72" t="s">
        <v>425</v>
      </c>
      <c r="E72" t="s">
        <v>255</v>
      </c>
      <c r="F72" t="s">
        <v>302</v>
      </c>
      <c r="G72">
        <v>168</v>
      </c>
    </row>
    <row r="73" spans="1:7" x14ac:dyDescent="0.35">
      <c r="A73" s="13">
        <v>41275</v>
      </c>
      <c r="B73">
        <f>YEAR(Table2__2[[#This Row],[Year1]])</f>
        <v>2013</v>
      </c>
      <c r="C73" t="s">
        <v>290</v>
      </c>
      <c r="D73" t="s">
        <v>425</v>
      </c>
      <c r="E73" t="s">
        <v>270</v>
      </c>
      <c r="F73" t="s">
        <v>302</v>
      </c>
      <c r="G73">
        <v>303</v>
      </c>
    </row>
    <row r="74" spans="1:7" x14ac:dyDescent="0.35">
      <c r="A74" s="13">
        <v>41275</v>
      </c>
      <c r="B74">
        <f>YEAR(Table2__2[[#This Row],[Year1]])</f>
        <v>2013</v>
      </c>
      <c r="C74" t="s">
        <v>290</v>
      </c>
      <c r="D74" t="s">
        <v>426</v>
      </c>
      <c r="E74" t="s">
        <v>271</v>
      </c>
      <c r="F74" t="s">
        <v>302</v>
      </c>
      <c r="G74">
        <v>50</v>
      </c>
    </row>
    <row r="75" spans="1:7" x14ac:dyDescent="0.35">
      <c r="A75" s="13">
        <v>41275</v>
      </c>
      <c r="B75">
        <f>YEAR(Table2__2[[#This Row],[Year1]])</f>
        <v>2013</v>
      </c>
      <c r="C75" t="s">
        <v>291</v>
      </c>
      <c r="D75" t="s">
        <v>425</v>
      </c>
      <c r="E75" t="s">
        <v>244</v>
      </c>
      <c r="F75" t="s">
        <v>302</v>
      </c>
      <c r="G75">
        <v>17480</v>
      </c>
    </row>
    <row r="76" spans="1:7" x14ac:dyDescent="0.35">
      <c r="A76" s="13">
        <v>41275</v>
      </c>
      <c r="B76">
        <f>YEAR(Table2__2[[#This Row],[Year1]])</f>
        <v>2013</v>
      </c>
      <c r="C76" t="s">
        <v>291</v>
      </c>
      <c r="D76" t="s">
        <v>425</v>
      </c>
      <c r="E76" t="s">
        <v>245</v>
      </c>
      <c r="F76" t="s">
        <v>302</v>
      </c>
      <c r="G76">
        <v>2562</v>
      </c>
    </row>
    <row r="77" spans="1:7" x14ac:dyDescent="0.35">
      <c r="A77" s="13">
        <v>41275</v>
      </c>
      <c r="B77">
        <f>YEAR(Table2__2[[#This Row],[Year1]])</f>
        <v>2013</v>
      </c>
      <c r="C77" t="s">
        <v>291</v>
      </c>
      <c r="D77" t="s">
        <v>425</v>
      </c>
      <c r="E77" t="s">
        <v>246</v>
      </c>
      <c r="F77" t="s">
        <v>302</v>
      </c>
      <c r="G77">
        <v>3908</v>
      </c>
    </row>
    <row r="78" spans="1:7" x14ac:dyDescent="0.35">
      <c r="A78" s="13">
        <v>41275</v>
      </c>
      <c r="B78">
        <f>YEAR(Table2__2[[#This Row],[Year1]])</f>
        <v>2013</v>
      </c>
      <c r="C78" t="s">
        <v>291</v>
      </c>
      <c r="D78" t="s">
        <v>425</v>
      </c>
      <c r="E78" t="s">
        <v>234</v>
      </c>
      <c r="F78" t="s">
        <v>302</v>
      </c>
      <c r="G78">
        <v>1668</v>
      </c>
    </row>
    <row r="79" spans="1:7" x14ac:dyDescent="0.35">
      <c r="A79" s="13">
        <v>41275</v>
      </c>
      <c r="B79">
        <f>YEAR(Table2__2[[#This Row],[Year1]])</f>
        <v>2013</v>
      </c>
      <c r="C79" t="s">
        <v>291</v>
      </c>
      <c r="D79" t="s">
        <v>425</v>
      </c>
      <c r="E79" t="s">
        <v>247</v>
      </c>
      <c r="F79" t="s">
        <v>302</v>
      </c>
      <c r="G79">
        <v>11817</v>
      </c>
    </row>
    <row r="80" spans="1:7" x14ac:dyDescent="0.35">
      <c r="A80" s="13">
        <v>41275</v>
      </c>
      <c r="B80">
        <f>YEAR(Table2__2[[#This Row],[Year1]])</f>
        <v>2013</v>
      </c>
      <c r="C80" t="s">
        <v>291</v>
      </c>
      <c r="D80" t="s">
        <v>425</v>
      </c>
      <c r="E80" t="s">
        <v>259</v>
      </c>
      <c r="F80" t="s">
        <v>302</v>
      </c>
      <c r="G80">
        <v>15882</v>
      </c>
    </row>
    <row r="81" spans="1:7" x14ac:dyDescent="0.35">
      <c r="A81" s="13">
        <v>41275</v>
      </c>
      <c r="B81">
        <f>YEAR(Table2__2[[#This Row],[Year1]])</f>
        <v>2013</v>
      </c>
      <c r="C81" t="s">
        <v>291</v>
      </c>
      <c r="D81" t="s">
        <v>425</v>
      </c>
      <c r="E81" t="s">
        <v>260</v>
      </c>
      <c r="F81" t="s">
        <v>302</v>
      </c>
      <c r="G81">
        <v>4819</v>
      </c>
    </row>
    <row r="82" spans="1:7" x14ac:dyDescent="0.35">
      <c r="A82" s="13">
        <v>41275</v>
      </c>
      <c r="B82">
        <f>YEAR(Table2__2[[#This Row],[Year1]])</f>
        <v>2013</v>
      </c>
      <c r="C82" t="s">
        <v>291</v>
      </c>
      <c r="D82" t="s">
        <v>425</v>
      </c>
      <c r="E82" t="s">
        <v>235</v>
      </c>
      <c r="F82" t="s">
        <v>302</v>
      </c>
      <c r="G82">
        <v>5374</v>
      </c>
    </row>
    <row r="83" spans="1:7" x14ac:dyDescent="0.35">
      <c r="A83" s="13">
        <v>41275</v>
      </c>
      <c r="B83">
        <f>YEAR(Table2__2[[#This Row],[Year1]])</f>
        <v>2013</v>
      </c>
      <c r="C83" t="s">
        <v>291</v>
      </c>
      <c r="D83" t="s">
        <v>425</v>
      </c>
      <c r="E83" t="s">
        <v>226</v>
      </c>
      <c r="F83" t="s">
        <v>302</v>
      </c>
      <c r="G83">
        <v>3244</v>
      </c>
    </row>
    <row r="84" spans="1:7" x14ac:dyDescent="0.35">
      <c r="A84" s="13">
        <v>41275</v>
      </c>
      <c r="B84">
        <f>YEAR(Table2__2[[#This Row],[Year1]])</f>
        <v>2013</v>
      </c>
      <c r="C84" t="s">
        <v>291</v>
      </c>
      <c r="D84" t="s">
        <v>425</v>
      </c>
      <c r="E84" t="s">
        <v>248</v>
      </c>
      <c r="F84" t="s">
        <v>302</v>
      </c>
      <c r="G84">
        <v>13866</v>
      </c>
    </row>
    <row r="85" spans="1:7" x14ac:dyDescent="0.35">
      <c r="A85" s="13">
        <v>41275</v>
      </c>
      <c r="B85">
        <f>YEAR(Table2__2[[#This Row],[Year1]])</f>
        <v>2013</v>
      </c>
      <c r="C85" t="s">
        <v>291</v>
      </c>
      <c r="D85" t="s">
        <v>425</v>
      </c>
      <c r="E85" t="s">
        <v>249</v>
      </c>
      <c r="F85" t="s">
        <v>302</v>
      </c>
      <c r="G85">
        <v>24582</v>
      </c>
    </row>
    <row r="86" spans="1:7" x14ac:dyDescent="0.35">
      <c r="A86" s="13">
        <v>41275</v>
      </c>
      <c r="B86">
        <f>YEAR(Table2__2[[#This Row],[Year1]])</f>
        <v>2013</v>
      </c>
      <c r="C86" t="s">
        <v>291</v>
      </c>
      <c r="D86" t="s">
        <v>425</v>
      </c>
      <c r="E86" t="s">
        <v>239</v>
      </c>
      <c r="F86" t="s">
        <v>302</v>
      </c>
      <c r="G86">
        <v>11147</v>
      </c>
    </row>
    <row r="87" spans="1:7" x14ac:dyDescent="0.35">
      <c r="A87" s="13">
        <v>41275</v>
      </c>
      <c r="B87">
        <f>YEAR(Table2__2[[#This Row],[Year1]])</f>
        <v>2013</v>
      </c>
      <c r="C87" t="s">
        <v>291</v>
      </c>
      <c r="D87" t="s">
        <v>425</v>
      </c>
      <c r="E87" t="s">
        <v>240</v>
      </c>
      <c r="F87" t="s">
        <v>302</v>
      </c>
      <c r="G87">
        <v>8972</v>
      </c>
    </row>
    <row r="88" spans="1:7" x14ac:dyDescent="0.35">
      <c r="A88" s="13">
        <v>41275</v>
      </c>
      <c r="B88">
        <f>YEAR(Table2__2[[#This Row],[Year1]])</f>
        <v>2013</v>
      </c>
      <c r="C88" t="s">
        <v>291</v>
      </c>
      <c r="D88" t="s">
        <v>425</v>
      </c>
      <c r="E88" t="s">
        <v>250</v>
      </c>
      <c r="F88" t="s">
        <v>302</v>
      </c>
      <c r="G88">
        <v>5560</v>
      </c>
    </row>
    <row r="89" spans="1:7" x14ac:dyDescent="0.35">
      <c r="A89" s="13">
        <v>41275</v>
      </c>
      <c r="B89">
        <f>YEAR(Table2__2[[#This Row],[Year1]])</f>
        <v>2013</v>
      </c>
      <c r="C89" t="s">
        <v>291</v>
      </c>
      <c r="D89" t="s">
        <v>425</v>
      </c>
      <c r="E89" t="s">
        <v>265</v>
      </c>
      <c r="F89" t="s">
        <v>302</v>
      </c>
      <c r="G89">
        <v>4380</v>
      </c>
    </row>
    <row r="90" spans="1:7" x14ac:dyDescent="0.35">
      <c r="A90" s="13">
        <v>41275</v>
      </c>
      <c r="B90">
        <f>YEAR(Table2__2[[#This Row],[Year1]])</f>
        <v>2013</v>
      </c>
      <c r="C90" t="s">
        <v>291</v>
      </c>
      <c r="D90" t="s">
        <v>425</v>
      </c>
      <c r="E90" t="s">
        <v>266</v>
      </c>
      <c r="F90" t="s">
        <v>302</v>
      </c>
      <c r="G90">
        <v>4980</v>
      </c>
    </row>
    <row r="91" spans="1:7" x14ac:dyDescent="0.35">
      <c r="A91" s="13">
        <v>41275</v>
      </c>
      <c r="B91">
        <f>YEAR(Table2__2[[#This Row],[Year1]])</f>
        <v>2013</v>
      </c>
      <c r="C91" t="s">
        <v>291</v>
      </c>
      <c r="D91" t="s">
        <v>425</v>
      </c>
      <c r="E91" t="s">
        <v>267</v>
      </c>
      <c r="F91" t="s">
        <v>302</v>
      </c>
      <c r="G91">
        <v>10941</v>
      </c>
    </row>
    <row r="92" spans="1:7" x14ac:dyDescent="0.35">
      <c r="A92" s="13">
        <v>41275</v>
      </c>
      <c r="B92">
        <f>YEAR(Table2__2[[#This Row],[Year1]])</f>
        <v>2013</v>
      </c>
      <c r="C92" t="s">
        <v>291</v>
      </c>
      <c r="D92" t="s">
        <v>425</v>
      </c>
      <c r="E92" t="s">
        <v>268</v>
      </c>
      <c r="F92" t="s">
        <v>302</v>
      </c>
      <c r="G92">
        <v>5505</v>
      </c>
    </row>
    <row r="93" spans="1:7" x14ac:dyDescent="0.35">
      <c r="A93" s="13">
        <v>41275</v>
      </c>
      <c r="B93">
        <f>YEAR(Table2__2[[#This Row],[Year1]])</f>
        <v>2013</v>
      </c>
      <c r="C93" t="s">
        <v>291</v>
      </c>
      <c r="D93" t="s">
        <v>425</v>
      </c>
      <c r="E93" t="s">
        <v>272</v>
      </c>
      <c r="F93" t="s">
        <v>302</v>
      </c>
      <c r="G93">
        <v>6182</v>
      </c>
    </row>
    <row r="94" spans="1:7" x14ac:dyDescent="0.35">
      <c r="A94" s="13">
        <v>41275</v>
      </c>
      <c r="B94">
        <f>YEAR(Table2__2[[#This Row],[Year1]])</f>
        <v>2013</v>
      </c>
      <c r="C94" t="s">
        <v>291</v>
      </c>
      <c r="D94" t="s">
        <v>425</v>
      </c>
      <c r="E94" t="s">
        <v>269</v>
      </c>
      <c r="F94" t="s">
        <v>302</v>
      </c>
      <c r="G94">
        <v>25658</v>
      </c>
    </row>
    <row r="95" spans="1:7" x14ac:dyDescent="0.35">
      <c r="A95" s="13">
        <v>41275</v>
      </c>
      <c r="B95">
        <f>YEAR(Table2__2[[#This Row],[Year1]])</f>
        <v>2013</v>
      </c>
      <c r="C95" t="s">
        <v>291</v>
      </c>
      <c r="D95" t="s">
        <v>425</v>
      </c>
      <c r="E95" t="s">
        <v>229</v>
      </c>
      <c r="F95" t="s">
        <v>302</v>
      </c>
      <c r="G95">
        <v>6521</v>
      </c>
    </row>
    <row r="96" spans="1:7" x14ac:dyDescent="0.35">
      <c r="A96" s="13">
        <v>41275</v>
      </c>
      <c r="B96">
        <f>YEAR(Table2__2[[#This Row],[Year1]])</f>
        <v>2013</v>
      </c>
      <c r="C96" t="s">
        <v>291</v>
      </c>
      <c r="D96" t="s">
        <v>425</v>
      </c>
      <c r="E96" t="s">
        <v>252</v>
      </c>
      <c r="F96" t="s">
        <v>302</v>
      </c>
      <c r="G96">
        <v>20441</v>
      </c>
    </row>
    <row r="97" spans="1:7" x14ac:dyDescent="0.35">
      <c r="A97" s="13">
        <v>41275</v>
      </c>
      <c r="B97">
        <f>YEAR(Table2__2[[#This Row],[Year1]])</f>
        <v>2013</v>
      </c>
      <c r="C97" t="s">
        <v>291</v>
      </c>
      <c r="D97" t="s">
        <v>425</v>
      </c>
      <c r="E97" t="s">
        <v>254</v>
      </c>
      <c r="F97" t="s">
        <v>302</v>
      </c>
      <c r="G97">
        <v>7156</v>
      </c>
    </row>
    <row r="98" spans="1:7" x14ac:dyDescent="0.35">
      <c r="A98" s="13">
        <v>41275</v>
      </c>
      <c r="B98">
        <f>YEAR(Table2__2[[#This Row],[Year1]])</f>
        <v>2013</v>
      </c>
      <c r="C98" t="s">
        <v>291</v>
      </c>
      <c r="D98" t="s">
        <v>425</v>
      </c>
      <c r="E98" t="s">
        <v>270</v>
      </c>
      <c r="F98" t="s">
        <v>302</v>
      </c>
      <c r="G98">
        <v>5557</v>
      </c>
    </row>
    <row r="99" spans="1:7" x14ac:dyDescent="0.35">
      <c r="A99" s="13">
        <v>41275</v>
      </c>
      <c r="B99">
        <f>YEAR(Table2__2[[#This Row],[Year1]])</f>
        <v>2013</v>
      </c>
      <c r="C99" t="s">
        <v>291</v>
      </c>
      <c r="D99" t="s">
        <v>425</v>
      </c>
      <c r="E99" t="s">
        <v>273</v>
      </c>
      <c r="F99" t="s">
        <v>302</v>
      </c>
      <c r="G99">
        <v>12</v>
      </c>
    </row>
    <row r="100" spans="1:7" x14ac:dyDescent="0.35">
      <c r="A100" s="13">
        <v>41275</v>
      </c>
      <c r="B100">
        <f>YEAR(Table2__2[[#This Row],[Year1]])</f>
        <v>2013</v>
      </c>
      <c r="C100" t="s">
        <v>291</v>
      </c>
      <c r="D100" t="s">
        <v>425</v>
      </c>
      <c r="E100" t="s">
        <v>39</v>
      </c>
      <c r="F100" t="s">
        <v>302</v>
      </c>
      <c r="G100">
        <v>1484</v>
      </c>
    </row>
    <row r="101" spans="1:7" x14ac:dyDescent="0.35">
      <c r="A101" s="13">
        <v>41640</v>
      </c>
      <c r="B101">
        <f>YEAR(Table2__2[[#This Row],[Year1]])</f>
        <v>2014</v>
      </c>
      <c r="C101" t="s">
        <v>288</v>
      </c>
      <c r="D101" t="s">
        <v>222</v>
      </c>
      <c r="E101" t="s">
        <v>223</v>
      </c>
      <c r="F101" t="s">
        <v>299</v>
      </c>
      <c r="G101">
        <v>4096</v>
      </c>
    </row>
    <row r="102" spans="1:7" x14ac:dyDescent="0.35">
      <c r="A102" s="13">
        <v>41640</v>
      </c>
      <c r="B102">
        <f>YEAR(Table2__2[[#This Row],[Year1]])</f>
        <v>2014</v>
      </c>
      <c r="C102" t="s">
        <v>288</v>
      </c>
      <c r="D102" t="s">
        <v>222</v>
      </c>
      <c r="E102" t="s">
        <v>224</v>
      </c>
      <c r="F102" t="s">
        <v>299</v>
      </c>
      <c r="G102">
        <v>24255</v>
      </c>
    </row>
    <row r="103" spans="1:7" x14ac:dyDescent="0.35">
      <c r="A103" s="13">
        <v>41640</v>
      </c>
      <c r="B103">
        <f>YEAR(Table2__2[[#This Row],[Year1]])</f>
        <v>2014</v>
      </c>
      <c r="C103" t="s">
        <v>288</v>
      </c>
      <c r="D103" t="s">
        <v>222</v>
      </c>
      <c r="E103" t="s">
        <v>225</v>
      </c>
      <c r="F103" t="s">
        <v>299</v>
      </c>
      <c r="G103">
        <v>14511</v>
      </c>
    </row>
    <row r="104" spans="1:7" x14ac:dyDescent="0.35">
      <c r="A104" s="13">
        <v>41640</v>
      </c>
      <c r="B104">
        <f>YEAR(Table2__2[[#This Row],[Year1]])</f>
        <v>2014</v>
      </c>
      <c r="C104" t="s">
        <v>288</v>
      </c>
      <c r="D104" t="s">
        <v>222</v>
      </c>
      <c r="E104" t="s">
        <v>226</v>
      </c>
      <c r="F104" t="s">
        <v>299</v>
      </c>
      <c r="G104">
        <v>12339</v>
      </c>
    </row>
    <row r="105" spans="1:7" x14ac:dyDescent="0.35">
      <c r="A105" s="13">
        <v>41640</v>
      </c>
      <c r="B105">
        <f>YEAR(Table2__2[[#This Row],[Year1]])</f>
        <v>2014</v>
      </c>
      <c r="C105" t="s">
        <v>288</v>
      </c>
      <c r="D105" t="s">
        <v>222</v>
      </c>
      <c r="E105" t="s">
        <v>227</v>
      </c>
      <c r="F105" t="s">
        <v>299</v>
      </c>
      <c r="G105">
        <v>44049</v>
      </c>
    </row>
    <row r="106" spans="1:7" x14ac:dyDescent="0.35">
      <c r="A106" s="13">
        <v>41640</v>
      </c>
      <c r="B106">
        <f>YEAR(Table2__2[[#This Row],[Year1]])</f>
        <v>2014</v>
      </c>
      <c r="C106" t="s">
        <v>288</v>
      </c>
      <c r="D106" t="s">
        <v>222</v>
      </c>
      <c r="E106" t="s">
        <v>228</v>
      </c>
      <c r="F106" t="s">
        <v>299</v>
      </c>
      <c r="G106">
        <v>256393</v>
      </c>
    </row>
    <row r="107" spans="1:7" x14ac:dyDescent="0.35">
      <c r="A107" s="13">
        <v>41640</v>
      </c>
      <c r="B107">
        <f>YEAR(Table2__2[[#This Row],[Year1]])</f>
        <v>2014</v>
      </c>
      <c r="C107" t="s">
        <v>288</v>
      </c>
      <c r="D107" t="s">
        <v>222</v>
      </c>
      <c r="E107" t="s">
        <v>229</v>
      </c>
      <c r="F107" t="s">
        <v>299</v>
      </c>
      <c r="G107">
        <v>29911</v>
      </c>
    </row>
    <row r="108" spans="1:7" x14ac:dyDescent="0.35">
      <c r="A108" s="13">
        <v>41640</v>
      </c>
      <c r="B108">
        <f>YEAR(Table2__2[[#This Row],[Year1]])</f>
        <v>2014</v>
      </c>
      <c r="C108" t="s">
        <v>288</v>
      </c>
      <c r="D108" t="s">
        <v>222</v>
      </c>
      <c r="E108" t="s">
        <v>230</v>
      </c>
      <c r="F108" t="s">
        <v>299</v>
      </c>
      <c r="G108">
        <v>87915</v>
      </c>
    </row>
    <row r="109" spans="1:7" x14ac:dyDescent="0.35">
      <c r="A109" s="13">
        <v>41640</v>
      </c>
      <c r="B109">
        <f>YEAR(Table2__2[[#This Row],[Year1]])</f>
        <v>2014</v>
      </c>
      <c r="C109" t="s">
        <v>288</v>
      </c>
      <c r="D109" t="s">
        <v>222</v>
      </c>
      <c r="E109" t="s">
        <v>231</v>
      </c>
      <c r="F109" t="s">
        <v>299</v>
      </c>
      <c r="G109">
        <v>5902</v>
      </c>
    </row>
    <row r="110" spans="1:7" x14ac:dyDescent="0.35">
      <c r="A110" s="13">
        <v>41640</v>
      </c>
      <c r="B110">
        <f>YEAR(Table2__2[[#This Row],[Year1]])</f>
        <v>2014</v>
      </c>
      <c r="C110" t="s">
        <v>288</v>
      </c>
      <c r="D110" t="s">
        <v>232</v>
      </c>
      <c r="E110" t="s">
        <v>233</v>
      </c>
      <c r="F110" t="s">
        <v>299</v>
      </c>
      <c r="G110">
        <v>272</v>
      </c>
    </row>
    <row r="111" spans="1:7" x14ac:dyDescent="0.35">
      <c r="A111" s="13">
        <v>41640</v>
      </c>
      <c r="B111">
        <f>YEAR(Table2__2[[#This Row],[Year1]])</f>
        <v>2014</v>
      </c>
      <c r="C111" t="s">
        <v>288</v>
      </c>
      <c r="D111" t="s">
        <v>232</v>
      </c>
      <c r="E111" t="s">
        <v>234</v>
      </c>
      <c r="F111" t="s">
        <v>299</v>
      </c>
      <c r="G111">
        <v>741</v>
      </c>
    </row>
    <row r="112" spans="1:7" x14ac:dyDescent="0.35">
      <c r="A112" s="13">
        <v>41640</v>
      </c>
      <c r="B112">
        <f>YEAR(Table2__2[[#This Row],[Year1]])</f>
        <v>2014</v>
      </c>
      <c r="C112" t="s">
        <v>288</v>
      </c>
      <c r="D112" t="s">
        <v>232</v>
      </c>
      <c r="E112" t="s">
        <v>235</v>
      </c>
      <c r="F112" t="s">
        <v>299</v>
      </c>
      <c r="G112">
        <v>647</v>
      </c>
    </row>
    <row r="113" spans="1:7" x14ac:dyDescent="0.35">
      <c r="A113" s="13">
        <v>41640</v>
      </c>
      <c r="B113">
        <f>YEAR(Table2__2[[#This Row],[Year1]])</f>
        <v>2014</v>
      </c>
      <c r="C113" t="s">
        <v>288</v>
      </c>
      <c r="D113" t="s">
        <v>232</v>
      </c>
      <c r="E113" t="s">
        <v>236</v>
      </c>
      <c r="F113" t="s">
        <v>299</v>
      </c>
      <c r="G113">
        <v>767</v>
      </c>
    </row>
    <row r="114" spans="1:7" x14ac:dyDescent="0.35">
      <c r="A114" s="13">
        <v>41640</v>
      </c>
      <c r="B114">
        <f>YEAR(Table2__2[[#This Row],[Year1]])</f>
        <v>2014</v>
      </c>
      <c r="C114" t="s">
        <v>288</v>
      </c>
      <c r="D114" t="s">
        <v>232</v>
      </c>
      <c r="E114" t="s">
        <v>237</v>
      </c>
      <c r="F114" t="s">
        <v>299</v>
      </c>
      <c r="G114">
        <v>91</v>
      </c>
    </row>
    <row r="115" spans="1:7" x14ac:dyDescent="0.35">
      <c r="A115" s="13">
        <v>41640</v>
      </c>
      <c r="B115">
        <f>YEAR(Table2__2[[#This Row],[Year1]])</f>
        <v>2014</v>
      </c>
      <c r="C115" t="s">
        <v>288</v>
      </c>
      <c r="D115" t="s">
        <v>232</v>
      </c>
      <c r="E115" t="s">
        <v>238</v>
      </c>
      <c r="F115" t="s">
        <v>299</v>
      </c>
      <c r="G115">
        <v>45</v>
      </c>
    </row>
    <row r="116" spans="1:7" x14ac:dyDescent="0.35">
      <c r="A116" s="13">
        <v>41640</v>
      </c>
      <c r="B116">
        <f>YEAR(Table2__2[[#This Row],[Year1]])</f>
        <v>2014</v>
      </c>
      <c r="C116" t="s">
        <v>288</v>
      </c>
      <c r="D116" t="s">
        <v>232</v>
      </c>
      <c r="E116" t="s">
        <v>239</v>
      </c>
      <c r="F116" t="s">
        <v>299</v>
      </c>
      <c r="G116">
        <v>2034</v>
      </c>
    </row>
    <row r="117" spans="1:7" x14ac:dyDescent="0.35">
      <c r="A117" s="13">
        <v>41640</v>
      </c>
      <c r="B117">
        <f>YEAR(Table2__2[[#This Row],[Year1]])</f>
        <v>2014</v>
      </c>
      <c r="C117" t="s">
        <v>288</v>
      </c>
      <c r="D117" t="s">
        <v>232</v>
      </c>
      <c r="E117" t="s">
        <v>240</v>
      </c>
      <c r="F117" t="s">
        <v>299</v>
      </c>
      <c r="G117">
        <v>950</v>
      </c>
    </row>
    <row r="118" spans="1:7" x14ac:dyDescent="0.35">
      <c r="A118" s="13">
        <v>41640</v>
      </c>
      <c r="B118">
        <f>YEAR(Table2__2[[#This Row],[Year1]])</f>
        <v>2014</v>
      </c>
      <c r="C118" t="s">
        <v>288</v>
      </c>
      <c r="D118" t="s">
        <v>232</v>
      </c>
      <c r="E118" t="s">
        <v>241</v>
      </c>
      <c r="F118" t="s">
        <v>299</v>
      </c>
      <c r="G118">
        <v>958</v>
      </c>
    </row>
    <row r="119" spans="1:7" x14ac:dyDescent="0.35">
      <c r="A119" s="13">
        <v>41640</v>
      </c>
      <c r="B119">
        <f>YEAR(Table2__2[[#This Row],[Year1]])</f>
        <v>2014</v>
      </c>
      <c r="C119" t="s">
        <v>288</v>
      </c>
      <c r="D119" t="s">
        <v>232</v>
      </c>
      <c r="E119" t="s">
        <v>242</v>
      </c>
      <c r="F119" t="s">
        <v>299</v>
      </c>
      <c r="G119">
        <v>269</v>
      </c>
    </row>
    <row r="120" spans="1:7" x14ac:dyDescent="0.35">
      <c r="A120" s="13">
        <v>41640</v>
      </c>
      <c r="B120">
        <f>YEAR(Table2__2[[#This Row],[Year1]])</f>
        <v>2014</v>
      </c>
      <c r="C120" t="s">
        <v>288</v>
      </c>
      <c r="D120" t="s">
        <v>232</v>
      </c>
      <c r="E120" t="s">
        <v>243</v>
      </c>
      <c r="F120" t="s">
        <v>299</v>
      </c>
      <c r="G120">
        <v>506</v>
      </c>
    </row>
    <row r="121" spans="1:7" x14ac:dyDescent="0.35">
      <c r="A121" s="13">
        <v>41640</v>
      </c>
      <c r="B121">
        <f>YEAR(Table2__2[[#This Row],[Year1]])</f>
        <v>2014</v>
      </c>
      <c r="C121" t="s">
        <v>289</v>
      </c>
      <c r="D121" t="s">
        <v>281</v>
      </c>
      <c r="E121" t="s">
        <v>226</v>
      </c>
      <c r="F121" t="s">
        <v>301</v>
      </c>
      <c r="G121">
        <v>8260</v>
      </c>
    </row>
    <row r="122" spans="1:7" x14ac:dyDescent="0.35">
      <c r="A122" s="13">
        <v>41640</v>
      </c>
      <c r="B122">
        <f>YEAR(Table2__2[[#This Row],[Year1]])</f>
        <v>2014</v>
      </c>
      <c r="C122" t="s">
        <v>289</v>
      </c>
      <c r="D122" t="s">
        <v>281</v>
      </c>
      <c r="E122" t="s">
        <v>227</v>
      </c>
      <c r="F122" t="s">
        <v>301</v>
      </c>
      <c r="G122">
        <v>20546</v>
      </c>
    </row>
    <row r="123" spans="1:7" x14ac:dyDescent="0.35">
      <c r="A123" s="13">
        <v>41640</v>
      </c>
      <c r="B123">
        <f>YEAR(Table2__2[[#This Row],[Year1]])</f>
        <v>2014</v>
      </c>
      <c r="C123" t="s">
        <v>289</v>
      </c>
      <c r="D123" t="s">
        <v>281</v>
      </c>
      <c r="E123" t="s">
        <v>229</v>
      </c>
      <c r="F123" t="s">
        <v>301</v>
      </c>
      <c r="G123">
        <v>28969</v>
      </c>
    </row>
    <row r="124" spans="1:7" x14ac:dyDescent="0.35">
      <c r="A124" s="13">
        <v>41640</v>
      </c>
      <c r="B124">
        <f>YEAR(Table2__2[[#This Row],[Year1]])</f>
        <v>2014</v>
      </c>
      <c r="C124" t="s">
        <v>289</v>
      </c>
      <c r="D124" t="s">
        <v>281</v>
      </c>
      <c r="E124" t="s">
        <v>230</v>
      </c>
      <c r="F124" t="s">
        <v>301</v>
      </c>
      <c r="G124">
        <v>7522</v>
      </c>
    </row>
    <row r="125" spans="1:7" x14ac:dyDescent="0.35">
      <c r="A125" s="13">
        <v>41640</v>
      </c>
      <c r="B125">
        <f>YEAR(Table2__2[[#This Row],[Year1]])</f>
        <v>2014</v>
      </c>
      <c r="C125" t="s">
        <v>289</v>
      </c>
      <c r="D125" t="s">
        <v>283</v>
      </c>
      <c r="E125" t="s">
        <v>244</v>
      </c>
      <c r="F125" t="s">
        <v>301</v>
      </c>
      <c r="G125">
        <v>2940</v>
      </c>
    </row>
    <row r="126" spans="1:7" x14ac:dyDescent="0.35">
      <c r="A126" s="13">
        <v>41640</v>
      </c>
      <c r="B126">
        <f>YEAR(Table2__2[[#This Row],[Year1]])</f>
        <v>2014</v>
      </c>
      <c r="C126" t="s">
        <v>289</v>
      </c>
      <c r="D126" t="s">
        <v>283</v>
      </c>
      <c r="E126" t="s">
        <v>245</v>
      </c>
      <c r="F126" t="s">
        <v>301</v>
      </c>
      <c r="G126">
        <v>1998</v>
      </c>
    </row>
    <row r="127" spans="1:7" x14ac:dyDescent="0.35">
      <c r="A127" s="13">
        <v>41640</v>
      </c>
      <c r="B127">
        <f>YEAR(Table2__2[[#This Row],[Year1]])</f>
        <v>2014</v>
      </c>
      <c r="C127" t="s">
        <v>289</v>
      </c>
      <c r="D127" t="s">
        <v>283</v>
      </c>
      <c r="E127" t="s">
        <v>246</v>
      </c>
      <c r="F127" t="s">
        <v>301</v>
      </c>
      <c r="G127">
        <v>2931</v>
      </c>
    </row>
    <row r="128" spans="1:7" x14ac:dyDescent="0.35">
      <c r="A128" s="13">
        <v>41640</v>
      </c>
      <c r="B128">
        <f>YEAR(Table2__2[[#This Row],[Year1]])</f>
        <v>2014</v>
      </c>
      <c r="C128" t="s">
        <v>289</v>
      </c>
      <c r="D128" t="s">
        <v>283</v>
      </c>
      <c r="E128" t="s">
        <v>234</v>
      </c>
      <c r="F128" t="s">
        <v>301</v>
      </c>
      <c r="G128">
        <v>9697</v>
      </c>
    </row>
    <row r="129" spans="1:7" x14ac:dyDescent="0.35">
      <c r="A129" s="13">
        <v>41640</v>
      </c>
      <c r="B129">
        <f>YEAR(Table2__2[[#This Row],[Year1]])</f>
        <v>2014</v>
      </c>
      <c r="C129" t="s">
        <v>289</v>
      </c>
      <c r="D129" t="s">
        <v>283</v>
      </c>
      <c r="E129" t="s">
        <v>247</v>
      </c>
      <c r="F129" t="s">
        <v>301</v>
      </c>
      <c r="G129">
        <v>2122</v>
      </c>
    </row>
    <row r="130" spans="1:7" x14ac:dyDescent="0.35">
      <c r="A130" s="13">
        <v>41640</v>
      </c>
      <c r="B130">
        <f>YEAR(Table2__2[[#This Row],[Year1]])</f>
        <v>2014</v>
      </c>
      <c r="C130" t="s">
        <v>289</v>
      </c>
      <c r="D130" t="s">
        <v>283</v>
      </c>
      <c r="E130" t="s">
        <v>235</v>
      </c>
      <c r="F130" t="s">
        <v>301</v>
      </c>
      <c r="G130">
        <v>5645</v>
      </c>
    </row>
    <row r="131" spans="1:7" x14ac:dyDescent="0.35">
      <c r="A131" s="13">
        <v>41640</v>
      </c>
      <c r="B131">
        <f>YEAR(Table2__2[[#This Row],[Year1]])</f>
        <v>2014</v>
      </c>
      <c r="C131" t="s">
        <v>289</v>
      </c>
      <c r="D131" t="s">
        <v>283</v>
      </c>
      <c r="E131" t="s">
        <v>226</v>
      </c>
      <c r="F131" t="s">
        <v>301</v>
      </c>
      <c r="G131">
        <v>4</v>
      </c>
    </row>
    <row r="132" spans="1:7" x14ac:dyDescent="0.35">
      <c r="A132" s="13">
        <v>41640</v>
      </c>
      <c r="B132">
        <f>YEAR(Table2__2[[#This Row],[Year1]])</f>
        <v>2014</v>
      </c>
      <c r="C132" t="s">
        <v>289</v>
      </c>
      <c r="D132" t="s">
        <v>283</v>
      </c>
      <c r="E132" t="s">
        <v>248</v>
      </c>
      <c r="F132" t="s">
        <v>301</v>
      </c>
      <c r="G132">
        <v>3442</v>
      </c>
    </row>
    <row r="133" spans="1:7" x14ac:dyDescent="0.35">
      <c r="A133" s="13">
        <v>41640</v>
      </c>
      <c r="B133">
        <f>YEAR(Table2__2[[#This Row],[Year1]])</f>
        <v>2014</v>
      </c>
      <c r="C133" t="s">
        <v>289</v>
      </c>
      <c r="D133" t="s">
        <v>283</v>
      </c>
      <c r="E133" t="s">
        <v>227</v>
      </c>
      <c r="F133" t="s">
        <v>301</v>
      </c>
      <c r="G133">
        <v>23</v>
      </c>
    </row>
    <row r="134" spans="1:7" x14ac:dyDescent="0.35">
      <c r="A134" s="13">
        <v>41640</v>
      </c>
      <c r="B134">
        <f>YEAR(Table2__2[[#This Row],[Year1]])</f>
        <v>2014</v>
      </c>
      <c r="C134" t="s">
        <v>289</v>
      </c>
      <c r="D134" t="s">
        <v>283</v>
      </c>
      <c r="E134" t="s">
        <v>249</v>
      </c>
      <c r="F134" t="s">
        <v>301</v>
      </c>
      <c r="G134">
        <v>3331</v>
      </c>
    </row>
    <row r="135" spans="1:7" x14ac:dyDescent="0.35">
      <c r="A135" s="13">
        <v>41640</v>
      </c>
      <c r="B135">
        <f>YEAR(Table2__2[[#This Row],[Year1]])</f>
        <v>2014</v>
      </c>
      <c r="C135" t="s">
        <v>289</v>
      </c>
      <c r="D135" t="s">
        <v>283</v>
      </c>
      <c r="E135" t="s">
        <v>239</v>
      </c>
      <c r="F135" t="s">
        <v>301</v>
      </c>
      <c r="G135">
        <v>3869</v>
      </c>
    </row>
    <row r="136" spans="1:7" x14ac:dyDescent="0.35">
      <c r="A136" s="13">
        <v>41640</v>
      </c>
      <c r="B136">
        <f>YEAR(Table2__2[[#This Row],[Year1]])</f>
        <v>2014</v>
      </c>
      <c r="C136" t="s">
        <v>289</v>
      </c>
      <c r="D136" t="s">
        <v>283</v>
      </c>
      <c r="E136" t="s">
        <v>240</v>
      </c>
      <c r="F136" t="s">
        <v>301</v>
      </c>
      <c r="G136">
        <v>44</v>
      </c>
    </row>
    <row r="137" spans="1:7" x14ac:dyDescent="0.35">
      <c r="A137" s="13">
        <v>41640</v>
      </c>
      <c r="B137">
        <f>YEAR(Table2__2[[#This Row],[Year1]])</f>
        <v>2014</v>
      </c>
      <c r="C137" t="s">
        <v>289</v>
      </c>
      <c r="D137" t="s">
        <v>283</v>
      </c>
      <c r="E137" t="s">
        <v>250</v>
      </c>
      <c r="F137" t="s">
        <v>301</v>
      </c>
      <c r="G137">
        <v>4370</v>
      </c>
    </row>
    <row r="138" spans="1:7" x14ac:dyDescent="0.35">
      <c r="A138" s="13">
        <v>41640</v>
      </c>
      <c r="B138">
        <f>YEAR(Table2__2[[#This Row],[Year1]])</f>
        <v>2014</v>
      </c>
      <c r="C138" t="s">
        <v>289</v>
      </c>
      <c r="D138" t="s">
        <v>283</v>
      </c>
      <c r="E138" t="s">
        <v>251</v>
      </c>
      <c r="F138" t="s">
        <v>301</v>
      </c>
      <c r="G138">
        <v>136</v>
      </c>
    </row>
    <row r="139" spans="1:7" x14ac:dyDescent="0.35">
      <c r="A139" s="13">
        <v>41640</v>
      </c>
      <c r="B139">
        <f>YEAR(Table2__2[[#This Row],[Year1]])</f>
        <v>2014</v>
      </c>
      <c r="C139" t="s">
        <v>289</v>
      </c>
      <c r="D139" t="s">
        <v>283</v>
      </c>
      <c r="E139" t="s">
        <v>229</v>
      </c>
      <c r="F139" t="s">
        <v>301</v>
      </c>
      <c r="G139">
        <v>66</v>
      </c>
    </row>
    <row r="140" spans="1:7" x14ac:dyDescent="0.35">
      <c r="A140" s="13">
        <v>41640</v>
      </c>
      <c r="B140">
        <f>YEAR(Table2__2[[#This Row],[Year1]])</f>
        <v>2014</v>
      </c>
      <c r="C140" t="s">
        <v>289</v>
      </c>
      <c r="D140" t="s">
        <v>283</v>
      </c>
      <c r="E140" t="s">
        <v>252</v>
      </c>
      <c r="F140" t="s">
        <v>301</v>
      </c>
      <c r="G140">
        <v>1427</v>
      </c>
    </row>
    <row r="141" spans="1:7" x14ac:dyDescent="0.35">
      <c r="A141" s="13">
        <v>41640</v>
      </c>
      <c r="B141">
        <f>YEAR(Table2__2[[#This Row],[Year1]])</f>
        <v>2014</v>
      </c>
      <c r="C141" t="s">
        <v>289</v>
      </c>
      <c r="D141" t="s">
        <v>283</v>
      </c>
      <c r="E141" t="s">
        <v>253</v>
      </c>
      <c r="F141" t="s">
        <v>301</v>
      </c>
      <c r="G141">
        <v>614</v>
      </c>
    </row>
    <row r="142" spans="1:7" x14ac:dyDescent="0.35">
      <c r="A142" s="13">
        <v>41640</v>
      </c>
      <c r="B142">
        <f>YEAR(Table2__2[[#This Row],[Year1]])</f>
        <v>2014</v>
      </c>
      <c r="C142" t="s">
        <v>289</v>
      </c>
      <c r="D142" t="s">
        <v>283</v>
      </c>
      <c r="E142" t="s">
        <v>254</v>
      </c>
      <c r="F142" t="s">
        <v>301</v>
      </c>
      <c r="G142">
        <v>7599</v>
      </c>
    </row>
    <row r="143" spans="1:7" x14ac:dyDescent="0.35">
      <c r="A143" s="13">
        <v>41640</v>
      </c>
      <c r="B143">
        <f>YEAR(Table2__2[[#This Row],[Year1]])</f>
        <v>2014</v>
      </c>
      <c r="C143" t="s">
        <v>289</v>
      </c>
      <c r="D143" t="s">
        <v>283</v>
      </c>
      <c r="E143" t="s">
        <v>255</v>
      </c>
      <c r="F143" t="s">
        <v>301</v>
      </c>
      <c r="G143">
        <v>407</v>
      </c>
    </row>
    <row r="144" spans="1:7" x14ac:dyDescent="0.35">
      <c r="A144" s="13">
        <v>41640</v>
      </c>
      <c r="B144">
        <f>YEAR(Table2__2[[#This Row],[Year1]])</f>
        <v>2014</v>
      </c>
      <c r="C144" t="s">
        <v>289</v>
      </c>
      <c r="D144" t="s">
        <v>283</v>
      </c>
      <c r="E144" t="s">
        <v>230</v>
      </c>
      <c r="F144" t="s">
        <v>301</v>
      </c>
      <c r="G144">
        <v>56</v>
      </c>
    </row>
    <row r="145" spans="1:7" x14ac:dyDescent="0.35">
      <c r="A145" s="13">
        <v>41640</v>
      </c>
      <c r="B145">
        <f>YEAR(Table2__2[[#This Row],[Year1]])</f>
        <v>2014</v>
      </c>
      <c r="C145" t="s">
        <v>289</v>
      </c>
      <c r="D145" t="s">
        <v>283</v>
      </c>
      <c r="E145" t="s">
        <v>298</v>
      </c>
      <c r="F145" t="s">
        <v>301</v>
      </c>
      <c r="G145">
        <v>9262</v>
      </c>
    </row>
    <row r="146" spans="1:7" x14ac:dyDescent="0.35">
      <c r="A146" s="13">
        <v>41640</v>
      </c>
      <c r="B146">
        <f>YEAR(Table2__2[[#This Row],[Year1]])</f>
        <v>2014</v>
      </c>
      <c r="C146" t="s">
        <v>289</v>
      </c>
      <c r="D146" t="s">
        <v>283</v>
      </c>
      <c r="E146" t="s">
        <v>257</v>
      </c>
      <c r="F146" t="s">
        <v>301</v>
      </c>
      <c r="G146">
        <v>58</v>
      </c>
    </row>
    <row r="147" spans="1:7" x14ac:dyDescent="0.35">
      <c r="A147" s="13">
        <v>41640</v>
      </c>
      <c r="B147">
        <f>YEAR(Table2__2[[#This Row],[Year1]])</f>
        <v>2014</v>
      </c>
      <c r="C147" t="s">
        <v>290</v>
      </c>
      <c r="D147" t="s">
        <v>425</v>
      </c>
      <c r="E147" t="s">
        <v>244</v>
      </c>
      <c r="F147" t="s">
        <v>302</v>
      </c>
      <c r="G147">
        <v>224</v>
      </c>
    </row>
    <row r="148" spans="1:7" x14ac:dyDescent="0.35">
      <c r="A148" s="13">
        <v>41640</v>
      </c>
      <c r="B148">
        <f>YEAR(Table2__2[[#This Row],[Year1]])</f>
        <v>2014</v>
      </c>
      <c r="C148" t="s">
        <v>290</v>
      </c>
      <c r="D148" t="s">
        <v>425</v>
      </c>
      <c r="E148" t="s">
        <v>245</v>
      </c>
      <c r="F148" t="s">
        <v>302</v>
      </c>
      <c r="G148">
        <v>133</v>
      </c>
    </row>
    <row r="149" spans="1:7" x14ac:dyDescent="0.35">
      <c r="A149" s="13">
        <v>41640</v>
      </c>
      <c r="B149">
        <f>YEAR(Table2__2[[#This Row],[Year1]])</f>
        <v>2014</v>
      </c>
      <c r="C149" t="s">
        <v>290</v>
      </c>
      <c r="D149" t="s">
        <v>425</v>
      </c>
      <c r="E149" t="s">
        <v>246</v>
      </c>
      <c r="F149" t="s">
        <v>302</v>
      </c>
      <c r="G149">
        <v>173</v>
      </c>
    </row>
    <row r="150" spans="1:7" x14ac:dyDescent="0.35">
      <c r="A150" s="13">
        <v>41640</v>
      </c>
      <c r="B150">
        <f>YEAR(Table2__2[[#This Row],[Year1]])</f>
        <v>2014</v>
      </c>
      <c r="C150" t="s">
        <v>290</v>
      </c>
      <c r="D150" t="s">
        <v>425</v>
      </c>
      <c r="E150" t="s">
        <v>234</v>
      </c>
      <c r="F150" t="s">
        <v>302</v>
      </c>
      <c r="G150">
        <v>118</v>
      </c>
    </row>
    <row r="151" spans="1:7" x14ac:dyDescent="0.35">
      <c r="A151" s="13">
        <v>41640</v>
      </c>
      <c r="B151">
        <f>YEAR(Table2__2[[#This Row],[Year1]])</f>
        <v>2014</v>
      </c>
      <c r="C151" t="s">
        <v>290</v>
      </c>
      <c r="D151" t="s">
        <v>425</v>
      </c>
      <c r="E151" t="s">
        <v>247</v>
      </c>
      <c r="F151" t="s">
        <v>302</v>
      </c>
      <c r="G151">
        <v>909</v>
      </c>
    </row>
    <row r="152" spans="1:7" x14ac:dyDescent="0.35">
      <c r="A152" s="13">
        <v>41640</v>
      </c>
      <c r="B152">
        <f>YEAR(Table2__2[[#This Row],[Year1]])</f>
        <v>2014</v>
      </c>
      <c r="C152" t="s">
        <v>290</v>
      </c>
      <c r="D152" t="s">
        <v>425</v>
      </c>
      <c r="E152" t="s">
        <v>259</v>
      </c>
      <c r="F152" t="s">
        <v>302</v>
      </c>
      <c r="G152">
        <v>328</v>
      </c>
    </row>
    <row r="153" spans="1:7" x14ac:dyDescent="0.35">
      <c r="A153" s="13">
        <v>41640</v>
      </c>
      <c r="B153">
        <f>YEAR(Table2__2[[#This Row],[Year1]])</f>
        <v>2014</v>
      </c>
      <c r="C153" t="s">
        <v>290</v>
      </c>
      <c r="D153" t="s">
        <v>425</v>
      </c>
      <c r="E153" t="s">
        <v>260</v>
      </c>
      <c r="F153" t="s">
        <v>302</v>
      </c>
      <c r="G153">
        <v>128</v>
      </c>
    </row>
    <row r="154" spans="1:7" x14ac:dyDescent="0.35">
      <c r="A154" s="13">
        <v>41640</v>
      </c>
      <c r="B154">
        <f>YEAR(Table2__2[[#This Row],[Year1]])</f>
        <v>2014</v>
      </c>
      <c r="C154" t="s">
        <v>290</v>
      </c>
      <c r="D154" t="s">
        <v>425</v>
      </c>
      <c r="E154" t="s">
        <v>235</v>
      </c>
      <c r="F154" t="s">
        <v>302</v>
      </c>
      <c r="G154">
        <v>229</v>
      </c>
    </row>
    <row r="155" spans="1:7" x14ac:dyDescent="0.35">
      <c r="A155" s="13">
        <v>41640</v>
      </c>
      <c r="B155">
        <f>YEAR(Table2__2[[#This Row],[Year1]])</f>
        <v>2014</v>
      </c>
      <c r="C155" t="s">
        <v>290</v>
      </c>
      <c r="D155" t="s">
        <v>425</v>
      </c>
      <c r="E155" t="s">
        <v>226</v>
      </c>
      <c r="F155" t="s">
        <v>302</v>
      </c>
      <c r="G155">
        <v>447</v>
      </c>
    </row>
    <row r="156" spans="1:7" x14ac:dyDescent="0.35">
      <c r="A156" s="13">
        <v>41640</v>
      </c>
      <c r="B156">
        <f>YEAR(Table2__2[[#This Row],[Year1]])</f>
        <v>2014</v>
      </c>
      <c r="C156" t="s">
        <v>290</v>
      </c>
      <c r="D156" t="s">
        <v>425</v>
      </c>
      <c r="E156" t="s">
        <v>261</v>
      </c>
      <c r="F156" t="s">
        <v>302</v>
      </c>
      <c r="G156">
        <v>72</v>
      </c>
    </row>
    <row r="157" spans="1:7" x14ac:dyDescent="0.35">
      <c r="A157" s="13">
        <v>41640</v>
      </c>
      <c r="B157">
        <f>YEAR(Table2__2[[#This Row],[Year1]])</f>
        <v>2014</v>
      </c>
      <c r="C157" t="s">
        <v>290</v>
      </c>
      <c r="D157" t="s">
        <v>425</v>
      </c>
      <c r="E157" t="s">
        <v>248</v>
      </c>
      <c r="F157" t="s">
        <v>302</v>
      </c>
      <c r="G157">
        <v>924</v>
      </c>
    </row>
    <row r="158" spans="1:7" x14ac:dyDescent="0.35">
      <c r="A158" s="13">
        <v>41640</v>
      </c>
      <c r="B158">
        <f>YEAR(Table2__2[[#This Row],[Year1]])</f>
        <v>2014</v>
      </c>
      <c r="C158" t="s">
        <v>290</v>
      </c>
      <c r="D158" t="s">
        <v>425</v>
      </c>
      <c r="E158" t="s">
        <v>249</v>
      </c>
      <c r="F158" t="s">
        <v>302</v>
      </c>
      <c r="G158">
        <v>401</v>
      </c>
    </row>
    <row r="159" spans="1:7" x14ac:dyDescent="0.35">
      <c r="A159" s="13">
        <v>41640</v>
      </c>
      <c r="B159">
        <f>YEAR(Table2__2[[#This Row],[Year1]])</f>
        <v>2014</v>
      </c>
      <c r="C159" t="s">
        <v>290</v>
      </c>
      <c r="D159" t="s">
        <v>425</v>
      </c>
      <c r="E159" t="s">
        <v>239</v>
      </c>
      <c r="F159" t="s">
        <v>302</v>
      </c>
      <c r="G159">
        <v>984</v>
      </c>
    </row>
    <row r="160" spans="1:7" x14ac:dyDescent="0.35">
      <c r="A160" s="13">
        <v>41640</v>
      </c>
      <c r="B160">
        <f>YEAR(Table2__2[[#This Row],[Year1]])</f>
        <v>2014</v>
      </c>
      <c r="C160" t="s">
        <v>290</v>
      </c>
      <c r="D160" t="s">
        <v>425</v>
      </c>
      <c r="E160" t="s">
        <v>240</v>
      </c>
      <c r="F160" t="s">
        <v>302</v>
      </c>
      <c r="G160">
        <v>415</v>
      </c>
    </row>
    <row r="161" spans="1:7" x14ac:dyDescent="0.35">
      <c r="A161" s="13">
        <v>41640</v>
      </c>
      <c r="B161">
        <f>YEAR(Table2__2[[#This Row],[Year1]])</f>
        <v>2014</v>
      </c>
      <c r="C161" t="s">
        <v>290</v>
      </c>
      <c r="D161" t="s">
        <v>425</v>
      </c>
      <c r="E161" t="s">
        <v>250</v>
      </c>
      <c r="F161" t="s">
        <v>302</v>
      </c>
      <c r="G161">
        <v>245</v>
      </c>
    </row>
    <row r="162" spans="1:7" x14ac:dyDescent="0.35">
      <c r="A162" s="13">
        <v>41640</v>
      </c>
      <c r="B162">
        <f>YEAR(Table2__2[[#This Row],[Year1]])</f>
        <v>2014</v>
      </c>
      <c r="C162" t="s">
        <v>290</v>
      </c>
      <c r="D162" t="s">
        <v>425</v>
      </c>
      <c r="E162" t="s">
        <v>265</v>
      </c>
      <c r="F162" t="s">
        <v>302</v>
      </c>
      <c r="G162">
        <v>185</v>
      </c>
    </row>
    <row r="163" spans="1:7" x14ac:dyDescent="0.35">
      <c r="A163" s="13">
        <v>41640</v>
      </c>
      <c r="B163">
        <f>YEAR(Table2__2[[#This Row],[Year1]])</f>
        <v>2014</v>
      </c>
      <c r="C163" t="s">
        <v>290</v>
      </c>
      <c r="D163" t="s">
        <v>425</v>
      </c>
      <c r="E163" t="s">
        <v>266</v>
      </c>
      <c r="F163" t="s">
        <v>302</v>
      </c>
      <c r="G163">
        <v>233</v>
      </c>
    </row>
    <row r="164" spans="1:7" x14ac:dyDescent="0.35">
      <c r="A164" s="13">
        <v>41640</v>
      </c>
      <c r="B164">
        <f>YEAR(Table2__2[[#This Row],[Year1]])</f>
        <v>2014</v>
      </c>
      <c r="C164" t="s">
        <v>290</v>
      </c>
      <c r="D164" t="s">
        <v>425</v>
      </c>
      <c r="E164" t="s">
        <v>267</v>
      </c>
      <c r="F164" t="s">
        <v>302</v>
      </c>
      <c r="G164">
        <v>258</v>
      </c>
    </row>
    <row r="165" spans="1:7" x14ac:dyDescent="0.35">
      <c r="A165" s="13">
        <v>41640</v>
      </c>
      <c r="B165">
        <f>YEAR(Table2__2[[#This Row],[Year1]])</f>
        <v>2014</v>
      </c>
      <c r="C165" t="s">
        <v>290</v>
      </c>
      <c r="D165" t="s">
        <v>425</v>
      </c>
      <c r="E165" t="s">
        <v>268</v>
      </c>
      <c r="F165" t="s">
        <v>302</v>
      </c>
      <c r="G165">
        <v>180</v>
      </c>
    </row>
    <row r="166" spans="1:7" x14ac:dyDescent="0.35">
      <c r="A166" s="13">
        <v>41640</v>
      </c>
      <c r="B166">
        <f>YEAR(Table2__2[[#This Row],[Year1]])</f>
        <v>2014</v>
      </c>
      <c r="C166" t="s">
        <v>290</v>
      </c>
      <c r="D166" t="s">
        <v>425</v>
      </c>
      <c r="E166" t="s">
        <v>269</v>
      </c>
      <c r="F166" t="s">
        <v>302</v>
      </c>
      <c r="G166">
        <v>3677</v>
      </c>
    </row>
    <row r="167" spans="1:7" x14ac:dyDescent="0.35">
      <c r="A167" s="13">
        <v>41640</v>
      </c>
      <c r="B167">
        <f>YEAR(Table2__2[[#This Row],[Year1]])</f>
        <v>2014</v>
      </c>
      <c r="C167" t="s">
        <v>290</v>
      </c>
      <c r="D167" t="s">
        <v>425</v>
      </c>
      <c r="E167" t="s">
        <v>229</v>
      </c>
      <c r="F167" t="s">
        <v>302</v>
      </c>
      <c r="G167">
        <v>311</v>
      </c>
    </row>
    <row r="168" spans="1:7" x14ac:dyDescent="0.35">
      <c r="A168" s="13">
        <v>41640</v>
      </c>
      <c r="B168">
        <f>YEAR(Table2__2[[#This Row],[Year1]])</f>
        <v>2014</v>
      </c>
      <c r="C168" t="s">
        <v>290</v>
      </c>
      <c r="D168" t="s">
        <v>425</v>
      </c>
      <c r="E168" t="s">
        <v>252</v>
      </c>
      <c r="F168" t="s">
        <v>302</v>
      </c>
      <c r="G168">
        <v>176</v>
      </c>
    </row>
    <row r="169" spans="1:7" x14ac:dyDescent="0.35">
      <c r="A169" s="13">
        <v>41640</v>
      </c>
      <c r="B169">
        <f>YEAR(Table2__2[[#This Row],[Year1]])</f>
        <v>2014</v>
      </c>
      <c r="C169" t="s">
        <v>290</v>
      </c>
      <c r="D169" t="s">
        <v>425</v>
      </c>
      <c r="E169" t="s">
        <v>253</v>
      </c>
      <c r="F169" t="s">
        <v>302</v>
      </c>
      <c r="G169">
        <v>65</v>
      </c>
    </row>
    <row r="170" spans="1:7" x14ac:dyDescent="0.35">
      <c r="A170" s="13">
        <v>41640</v>
      </c>
      <c r="B170">
        <f>YEAR(Table2__2[[#This Row],[Year1]])</f>
        <v>2014</v>
      </c>
      <c r="C170" t="s">
        <v>290</v>
      </c>
      <c r="D170" t="s">
        <v>425</v>
      </c>
      <c r="E170" t="s">
        <v>254</v>
      </c>
      <c r="F170" t="s">
        <v>302</v>
      </c>
      <c r="G170">
        <v>259</v>
      </c>
    </row>
    <row r="171" spans="1:7" x14ac:dyDescent="0.35">
      <c r="A171" s="13">
        <v>41640</v>
      </c>
      <c r="B171">
        <f>YEAR(Table2__2[[#This Row],[Year1]])</f>
        <v>2014</v>
      </c>
      <c r="C171" t="s">
        <v>290</v>
      </c>
      <c r="D171" t="s">
        <v>425</v>
      </c>
      <c r="E171" t="s">
        <v>255</v>
      </c>
      <c r="F171" t="s">
        <v>302</v>
      </c>
      <c r="G171">
        <v>181</v>
      </c>
    </row>
    <row r="172" spans="1:7" x14ac:dyDescent="0.35">
      <c r="A172" s="13">
        <v>41640</v>
      </c>
      <c r="B172">
        <f>YEAR(Table2__2[[#This Row],[Year1]])</f>
        <v>2014</v>
      </c>
      <c r="C172" t="s">
        <v>290</v>
      </c>
      <c r="D172" t="s">
        <v>425</v>
      </c>
      <c r="E172" t="s">
        <v>270</v>
      </c>
      <c r="F172" t="s">
        <v>302</v>
      </c>
      <c r="G172">
        <v>299</v>
      </c>
    </row>
    <row r="173" spans="1:7" x14ac:dyDescent="0.35">
      <c r="A173" s="13">
        <v>41640</v>
      </c>
      <c r="B173">
        <f>YEAR(Table2__2[[#This Row],[Year1]])</f>
        <v>2014</v>
      </c>
      <c r="C173" t="s">
        <v>290</v>
      </c>
      <c r="D173" t="s">
        <v>426</v>
      </c>
      <c r="E173" t="s">
        <v>271</v>
      </c>
      <c r="F173" t="s">
        <v>302</v>
      </c>
      <c r="G173">
        <v>72</v>
      </c>
    </row>
    <row r="174" spans="1:7" x14ac:dyDescent="0.35">
      <c r="A174" s="13">
        <v>41640</v>
      </c>
      <c r="B174">
        <f>YEAR(Table2__2[[#This Row],[Year1]])</f>
        <v>2014</v>
      </c>
      <c r="C174" t="s">
        <v>291</v>
      </c>
      <c r="D174" t="s">
        <v>425</v>
      </c>
      <c r="E174" t="s">
        <v>244</v>
      </c>
      <c r="F174" t="s">
        <v>302</v>
      </c>
      <c r="G174">
        <v>14208</v>
      </c>
    </row>
    <row r="175" spans="1:7" x14ac:dyDescent="0.35">
      <c r="A175" s="13">
        <v>41640</v>
      </c>
      <c r="B175">
        <f>YEAR(Table2__2[[#This Row],[Year1]])</f>
        <v>2014</v>
      </c>
      <c r="C175" t="s">
        <v>291</v>
      </c>
      <c r="D175" t="s">
        <v>425</v>
      </c>
      <c r="E175" t="s">
        <v>245</v>
      </c>
      <c r="F175" t="s">
        <v>302</v>
      </c>
      <c r="G175">
        <v>2114</v>
      </c>
    </row>
    <row r="176" spans="1:7" x14ac:dyDescent="0.35">
      <c r="A176" s="13">
        <v>41640</v>
      </c>
      <c r="B176">
        <f>YEAR(Table2__2[[#This Row],[Year1]])</f>
        <v>2014</v>
      </c>
      <c r="C176" t="s">
        <v>291</v>
      </c>
      <c r="D176" t="s">
        <v>425</v>
      </c>
      <c r="E176" t="s">
        <v>246</v>
      </c>
      <c r="F176" t="s">
        <v>302</v>
      </c>
      <c r="G176">
        <v>2795</v>
      </c>
    </row>
    <row r="177" spans="1:7" x14ac:dyDescent="0.35">
      <c r="A177" s="13">
        <v>41640</v>
      </c>
      <c r="B177">
        <f>YEAR(Table2__2[[#This Row],[Year1]])</f>
        <v>2014</v>
      </c>
      <c r="C177" t="s">
        <v>291</v>
      </c>
      <c r="D177" t="s">
        <v>425</v>
      </c>
      <c r="E177" t="s">
        <v>234</v>
      </c>
      <c r="F177" t="s">
        <v>302</v>
      </c>
      <c r="G177">
        <v>1510</v>
      </c>
    </row>
    <row r="178" spans="1:7" x14ac:dyDescent="0.35">
      <c r="A178" s="13">
        <v>41640</v>
      </c>
      <c r="B178">
        <f>YEAR(Table2__2[[#This Row],[Year1]])</f>
        <v>2014</v>
      </c>
      <c r="C178" t="s">
        <v>291</v>
      </c>
      <c r="D178" t="s">
        <v>425</v>
      </c>
      <c r="E178" t="s">
        <v>247</v>
      </c>
      <c r="F178" t="s">
        <v>302</v>
      </c>
      <c r="G178">
        <v>9951</v>
      </c>
    </row>
    <row r="179" spans="1:7" x14ac:dyDescent="0.35">
      <c r="A179" s="13">
        <v>41640</v>
      </c>
      <c r="B179">
        <f>YEAR(Table2__2[[#This Row],[Year1]])</f>
        <v>2014</v>
      </c>
      <c r="C179" t="s">
        <v>291</v>
      </c>
      <c r="D179" t="s">
        <v>425</v>
      </c>
      <c r="E179" t="s">
        <v>259</v>
      </c>
      <c r="F179" t="s">
        <v>302</v>
      </c>
      <c r="G179">
        <v>13026</v>
      </c>
    </row>
    <row r="180" spans="1:7" x14ac:dyDescent="0.35">
      <c r="A180" s="13">
        <v>41640</v>
      </c>
      <c r="B180">
        <f>YEAR(Table2__2[[#This Row],[Year1]])</f>
        <v>2014</v>
      </c>
      <c r="C180" t="s">
        <v>291</v>
      </c>
      <c r="D180" t="s">
        <v>425</v>
      </c>
      <c r="E180" t="s">
        <v>260</v>
      </c>
      <c r="F180" t="s">
        <v>302</v>
      </c>
      <c r="G180">
        <v>3272</v>
      </c>
    </row>
    <row r="181" spans="1:7" x14ac:dyDescent="0.35">
      <c r="A181" s="13">
        <v>41640</v>
      </c>
      <c r="B181">
        <f>YEAR(Table2__2[[#This Row],[Year1]])</f>
        <v>2014</v>
      </c>
      <c r="C181" t="s">
        <v>291</v>
      </c>
      <c r="D181" t="s">
        <v>425</v>
      </c>
      <c r="E181" t="s">
        <v>235</v>
      </c>
      <c r="F181" t="s">
        <v>302</v>
      </c>
      <c r="G181">
        <v>4549</v>
      </c>
    </row>
    <row r="182" spans="1:7" x14ac:dyDescent="0.35">
      <c r="A182" s="13">
        <v>41640</v>
      </c>
      <c r="B182">
        <f>YEAR(Table2__2[[#This Row],[Year1]])</f>
        <v>2014</v>
      </c>
      <c r="C182" t="s">
        <v>291</v>
      </c>
      <c r="D182" t="s">
        <v>425</v>
      </c>
      <c r="E182" t="s">
        <v>226</v>
      </c>
      <c r="F182" t="s">
        <v>302</v>
      </c>
      <c r="G182">
        <v>2636</v>
      </c>
    </row>
    <row r="183" spans="1:7" x14ac:dyDescent="0.35">
      <c r="A183" s="13">
        <v>41640</v>
      </c>
      <c r="B183">
        <f>YEAR(Table2__2[[#This Row],[Year1]])</f>
        <v>2014</v>
      </c>
      <c r="C183" t="s">
        <v>291</v>
      </c>
      <c r="D183" t="s">
        <v>425</v>
      </c>
      <c r="E183" t="s">
        <v>248</v>
      </c>
      <c r="F183" t="s">
        <v>302</v>
      </c>
      <c r="G183">
        <v>16112</v>
      </c>
    </row>
    <row r="184" spans="1:7" x14ac:dyDescent="0.35">
      <c r="A184" s="13">
        <v>41640</v>
      </c>
      <c r="B184">
        <f>YEAR(Table2__2[[#This Row],[Year1]])</f>
        <v>2014</v>
      </c>
      <c r="C184" t="s">
        <v>291</v>
      </c>
      <c r="D184" t="s">
        <v>425</v>
      </c>
      <c r="E184" t="s">
        <v>249</v>
      </c>
      <c r="F184" t="s">
        <v>302</v>
      </c>
      <c r="G184">
        <v>18347</v>
      </c>
    </row>
    <row r="185" spans="1:7" x14ac:dyDescent="0.35">
      <c r="A185" s="13">
        <v>41640</v>
      </c>
      <c r="B185">
        <f>YEAR(Table2__2[[#This Row],[Year1]])</f>
        <v>2014</v>
      </c>
      <c r="C185" t="s">
        <v>291</v>
      </c>
      <c r="D185" t="s">
        <v>425</v>
      </c>
      <c r="E185" t="s">
        <v>239</v>
      </c>
      <c r="F185" t="s">
        <v>302</v>
      </c>
      <c r="G185">
        <v>8411</v>
      </c>
    </row>
    <row r="186" spans="1:7" x14ac:dyDescent="0.35">
      <c r="A186" s="13">
        <v>41640</v>
      </c>
      <c r="B186">
        <f>YEAR(Table2__2[[#This Row],[Year1]])</f>
        <v>2014</v>
      </c>
      <c r="C186" t="s">
        <v>291</v>
      </c>
      <c r="D186" t="s">
        <v>425</v>
      </c>
      <c r="E186" t="s">
        <v>240</v>
      </c>
      <c r="F186" t="s">
        <v>302</v>
      </c>
      <c r="G186">
        <v>7331</v>
      </c>
    </row>
    <row r="187" spans="1:7" x14ac:dyDescent="0.35">
      <c r="A187" s="13">
        <v>41640</v>
      </c>
      <c r="B187">
        <f>YEAR(Table2__2[[#This Row],[Year1]])</f>
        <v>2014</v>
      </c>
      <c r="C187" t="s">
        <v>291</v>
      </c>
      <c r="D187" t="s">
        <v>425</v>
      </c>
      <c r="E187" t="s">
        <v>250</v>
      </c>
      <c r="F187" t="s">
        <v>302</v>
      </c>
      <c r="G187">
        <v>4859</v>
      </c>
    </row>
    <row r="188" spans="1:7" x14ac:dyDescent="0.35">
      <c r="A188" s="13">
        <v>41640</v>
      </c>
      <c r="B188">
        <f>YEAR(Table2__2[[#This Row],[Year1]])</f>
        <v>2014</v>
      </c>
      <c r="C188" t="s">
        <v>291</v>
      </c>
      <c r="D188" t="s">
        <v>425</v>
      </c>
      <c r="E188" t="s">
        <v>265</v>
      </c>
      <c r="F188" t="s">
        <v>302</v>
      </c>
      <c r="G188">
        <v>3763</v>
      </c>
    </row>
    <row r="189" spans="1:7" x14ac:dyDescent="0.35">
      <c r="A189" s="13">
        <v>41640</v>
      </c>
      <c r="B189">
        <f>YEAR(Table2__2[[#This Row],[Year1]])</f>
        <v>2014</v>
      </c>
      <c r="C189" t="s">
        <v>291</v>
      </c>
      <c r="D189" t="s">
        <v>425</v>
      </c>
      <c r="E189" t="s">
        <v>266</v>
      </c>
      <c r="F189" t="s">
        <v>302</v>
      </c>
      <c r="G189">
        <v>4857</v>
      </c>
    </row>
    <row r="190" spans="1:7" x14ac:dyDescent="0.35">
      <c r="A190" s="13">
        <v>41640</v>
      </c>
      <c r="B190">
        <f>YEAR(Table2__2[[#This Row],[Year1]])</f>
        <v>2014</v>
      </c>
      <c r="C190" t="s">
        <v>291</v>
      </c>
      <c r="D190" t="s">
        <v>425</v>
      </c>
      <c r="E190" t="s">
        <v>267</v>
      </c>
      <c r="F190" t="s">
        <v>302</v>
      </c>
      <c r="G190">
        <v>8416</v>
      </c>
    </row>
    <row r="191" spans="1:7" x14ac:dyDescent="0.35">
      <c r="A191" s="13">
        <v>41640</v>
      </c>
      <c r="B191">
        <f>YEAR(Table2__2[[#This Row],[Year1]])</f>
        <v>2014</v>
      </c>
      <c r="C191" t="s">
        <v>291</v>
      </c>
      <c r="D191" t="s">
        <v>425</v>
      </c>
      <c r="E191" t="s">
        <v>268</v>
      </c>
      <c r="F191" t="s">
        <v>302</v>
      </c>
      <c r="G191">
        <v>3654</v>
      </c>
    </row>
    <row r="192" spans="1:7" x14ac:dyDescent="0.35">
      <c r="A192" s="13">
        <v>41640</v>
      </c>
      <c r="B192">
        <f>YEAR(Table2__2[[#This Row],[Year1]])</f>
        <v>2014</v>
      </c>
      <c r="C192" t="s">
        <v>291</v>
      </c>
      <c r="D192" t="s">
        <v>425</v>
      </c>
      <c r="E192" t="s">
        <v>272</v>
      </c>
      <c r="F192" t="s">
        <v>302</v>
      </c>
      <c r="G192">
        <v>5078</v>
      </c>
    </row>
    <row r="193" spans="1:7" x14ac:dyDescent="0.35">
      <c r="A193" s="13">
        <v>41640</v>
      </c>
      <c r="B193">
        <f>YEAR(Table2__2[[#This Row],[Year1]])</f>
        <v>2014</v>
      </c>
      <c r="C193" t="s">
        <v>291</v>
      </c>
      <c r="D193" t="s">
        <v>425</v>
      </c>
      <c r="E193" t="s">
        <v>269</v>
      </c>
      <c r="F193" t="s">
        <v>302</v>
      </c>
      <c r="G193">
        <v>18680</v>
      </c>
    </row>
    <row r="194" spans="1:7" x14ac:dyDescent="0.35">
      <c r="A194" s="13">
        <v>41640</v>
      </c>
      <c r="B194">
        <f>YEAR(Table2__2[[#This Row],[Year1]])</f>
        <v>2014</v>
      </c>
      <c r="C194" t="s">
        <v>291</v>
      </c>
      <c r="D194" t="s">
        <v>425</v>
      </c>
      <c r="E194" t="s">
        <v>229</v>
      </c>
      <c r="F194" t="s">
        <v>302</v>
      </c>
      <c r="G194">
        <v>6336</v>
      </c>
    </row>
    <row r="195" spans="1:7" x14ac:dyDescent="0.35">
      <c r="A195" s="13">
        <v>41640</v>
      </c>
      <c r="B195">
        <f>YEAR(Table2__2[[#This Row],[Year1]])</f>
        <v>2014</v>
      </c>
      <c r="C195" t="s">
        <v>291</v>
      </c>
      <c r="D195" t="s">
        <v>425</v>
      </c>
      <c r="E195" t="s">
        <v>252</v>
      </c>
      <c r="F195" t="s">
        <v>302</v>
      </c>
      <c r="G195">
        <v>10602</v>
      </c>
    </row>
    <row r="196" spans="1:7" x14ac:dyDescent="0.35">
      <c r="A196" s="13">
        <v>41640</v>
      </c>
      <c r="B196">
        <f>YEAR(Table2__2[[#This Row],[Year1]])</f>
        <v>2014</v>
      </c>
      <c r="C196" t="s">
        <v>291</v>
      </c>
      <c r="D196" t="s">
        <v>425</v>
      </c>
      <c r="E196" t="s">
        <v>254</v>
      </c>
      <c r="F196" t="s">
        <v>302</v>
      </c>
      <c r="G196">
        <v>4703</v>
      </c>
    </row>
    <row r="197" spans="1:7" x14ac:dyDescent="0.35">
      <c r="A197" s="13">
        <v>41640</v>
      </c>
      <c r="B197">
        <f>YEAR(Table2__2[[#This Row],[Year1]])</f>
        <v>2014</v>
      </c>
      <c r="C197" t="s">
        <v>291</v>
      </c>
      <c r="D197" t="s">
        <v>425</v>
      </c>
      <c r="E197" t="s">
        <v>270</v>
      </c>
      <c r="F197" t="s">
        <v>302</v>
      </c>
      <c r="G197">
        <v>4361</v>
      </c>
    </row>
    <row r="198" spans="1:7" x14ac:dyDescent="0.35">
      <c r="A198" s="13">
        <v>41640</v>
      </c>
      <c r="B198">
        <f>YEAR(Table2__2[[#This Row],[Year1]])</f>
        <v>2014</v>
      </c>
      <c r="C198" t="s">
        <v>291</v>
      </c>
      <c r="D198" t="s">
        <v>425</v>
      </c>
      <c r="E198" t="s">
        <v>273</v>
      </c>
      <c r="F198" t="s">
        <v>302</v>
      </c>
      <c r="G198">
        <v>11</v>
      </c>
    </row>
    <row r="199" spans="1:7" x14ac:dyDescent="0.35">
      <c r="A199" s="13">
        <v>41640</v>
      </c>
      <c r="B199">
        <f>YEAR(Table2__2[[#This Row],[Year1]])</f>
        <v>2014</v>
      </c>
      <c r="C199" t="s">
        <v>291</v>
      </c>
      <c r="D199" t="s">
        <v>425</v>
      </c>
      <c r="E199" t="s">
        <v>39</v>
      </c>
      <c r="F199" t="s">
        <v>302</v>
      </c>
      <c r="G199">
        <v>2137</v>
      </c>
    </row>
    <row r="200" spans="1:7" x14ac:dyDescent="0.35">
      <c r="A200" s="13">
        <v>42005</v>
      </c>
      <c r="B200">
        <f>YEAR(Table2__2[[#This Row],[Year1]])</f>
        <v>2015</v>
      </c>
      <c r="C200" t="s">
        <v>288</v>
      </c>
      <c r="D200" t="s">
        <v>222</v>
      </c>
      <c r="E200" t="s">
        <v>223</v>
      </c>
      <c r="F200" t="s">
        <v>299</v>
      </c>
      <c r="G200">
        <v>5031</v>
      </c>
    </row>
    <row r="201" spans="1:7" x14ac:dyDescent="0.35">
      <c r="A201" s="13">
        <v>42005</v>
      </c>
      <c r="B201">
        <f>YEAR(Table2__2[[#This Row],[Year1]])</f>
        <v>2015</v>
      </c>
      <c r="C201" t="s">
        <v>288</v>
      </c>
      <c r="D201" t="s">
        <v>222</v>
      </c>
      <c r="E201" t="s">
        <v>224</v>
      </c>
      <c r="F201" t="s">
        <v>299</v>
      </c>
      <c r="G201">
        <v>19013</v>
      </c>
    </row>
    <row r="202" spans="1:7" x14ac:dyDescent="0.35">
      <c r="A202" s="13">
        <v>42005</v>
      </c>
      <c r="B202">
        <f>YEAR(Table2__2[[#This Row],[Year1]])</f>
        <v>2015</v>
      </c>
      <c r="C202" t="s">
        <v>288</v>
      </c>
      <c r="D202" t="s">
        <v>222</v>
      </c>
      <c r="E202" t="s">
        <v>225</v>
      </c>
      <c r="F202" t="s">
        <v>299</v>
      </c>
      <c r="G202">
        <v>12820</v>
      </c>
    </row>
    <row r="203" spans="1:7" x14ac:dyDescent="0.35">
      <c r="A203" s="13">
        <v>42005</v>
      </c>
      <c r="B203">
        <f>YEAR(Table2__2[[#This Row],[Year1]])</f>
        <v>2015</v>
      </c>
      <c r="C203" t="s">
        <v>288</v>
      </c>
      <c r="D203" t="s">
        <v>222</v>
      </c>
      <c r="E203" t="s">
        <v>226</v>
      </c>
      <c r="F203" t="s">
        <v>299</v>
      </c>
      <c r="G203">
        <v>14495</v>
      </c>
    </row>
    <row r="204" spans="1:7" x14ac:dyDescent="0.35">
      <c r="A204" s="13">
        <v>42005</v>
      </c>
      <c r="B204">
        <f>YEAR(Table2__2[[#This Row],[Year1]])</f>
        <v>2015</v>
      </c>
      <c r="C204" t="s">
        <v>288</v>
      </c>
      <c r="D204" t="s">
        <v>222</v>
      </c>
      <c r="E204" t="s">
        <v>227</v>
      </c>
      <c r="F204" t="s">
        <v>299</v>
      </c>
      <c r="G204">
        <v>35888</v>
      </c>
    </row>
    <row r="205" spans="1:7" x14ac:dyDescent="0.35">
      <c r="A205" s="13">
        <v>42005</v>
      </c>
      <c r="B205">
        <f>YEAR(Table2__2[[#This Row],[Year1]])</f>
        <v>2015</v>
      </c>
      <c r="C205" t="s">
        <v>288</v>
      </c>
      <c r="D205" t="s">
        <v>222</v>
      </c>
      <c r="E205" t="s">
        <v>228</v>
      </c>
      <c r="F205" t="s">
        <v>299</v>
      </c>
      <c r="G205">
        <v>147257</v>
      </c>
    </row>
    <row r="206" spans="1:7" x14ac:dyDescent="0.35">
      <c r="A206" s="13">
        <v>42005</v>
      </c>
      <c r="B206">
        <f>YEAR(Table2__2[[#This Row],[Year1]])</f>
        <v>2015</v>
      </c>
      <c r="C206" t="s">
        <v>288</v>
      </c>
      <c r="D206" t="s">
        <v>222</v>
      </c>
      <c r="E206" t="s">
        <v>229</v>
      </c>
      <c r="F206" t="s">
        <v>299</v>
      </c>
      <c r="G206">
        <v>26290</v>
      </c>
    </row>
    <row r="207" spans="1:7" x14ac:dyDescent="0.35">
      <c r="A207" s="13">
        <v>42005</v>
      </c>
      <c r="B207">
        <f>YEAR(Table2__2[[#This Row],[Year1]])</f>
        <v>2015</v>
      </c>
      <c r="C207" t="s">
        <v>288</v>
      </c>
      <c r="D207" t="s">
        <v>222</v>
      </c>
      <c r="E207" t="s">
        <v>230</v>
      </c>
      <c r="F207" t="s">
        <v>299</v>
      </c>
      <c r="G207">
        <v>63397</v>
      </c>
    </row>
    <row r="208" spans="1:7" x14ac:dyDescent="0.35">
      <c r="A208" s="13">
        <v>42005</v>
      </c>
      <c r="B208">
        <f>YEAR(Table2__2[[#This Row],[Year1]])</f>
        <v>2015</v>
      </c>
      <c r="C208" t="s">
        <v>288</v>
      </c>
      <c r="D208" t="s">
        <v>222</v>
      </c>
      <c r="E208" t="s">
        <v>231</v>
      </c>
      <c r="F208" t="s">
        <v>299</v>
      </c>
      <c r="G208">
        <v>7142</v>
      </c>
    </row>
    <row r="209" spans="1:7" x14ac:dyDescent="0.35">
      <c r="A209" s="13">
        <v>42005</v>
      </c>
      <c r="B209">
        <f>YEAR(Table2__2[[#This Row],[Year1]])</f>
        <v>2015</v>
      </c>
      <c r="C209" t="s">
        <v>288</v>
      </c>
      <c r="D209" t="s">
        <v>232</v>
      </c>
      <c r="E209" t="s">
        <v>233</v>
      </c>
      <c r="F209" t="s">
        <v>299</v>
      </c>
      <c r="G209">
        <v>282</v>
      </c>
    </row>
    <row r="210" spans="1:7" x14ac:dyDescent="0.35">
      <c r="A210" s="13">
        <v>42005</v>
      </c>
      <c r="B210">
        <f>YEAR(Table2__2[[#This Row],[Year1]])</f>
        <v>2015</v>
      </c>
      <c r="C210" t="s">
        <v>288</v>
      </c>
      <c r="D210" t="s">
        <v>232</v>
      </c>
      <c r="E210" t="s">
        <v>234</v>
      </c>
      <c r="F210" t="s">
        <v>299</v>
      </c>
      <c r="G210">
        <v>291</v>
      </c>
    </row>
    <row r="211" spans="1:7" x14ac:dyDescent="0.35">
      <c r="A211" s="13">
        <v>42005</v>
      </c>
      <c r="B211">
        <f>YEAR(Table2__2[[#This Row],[Year1]])</f>
        <v>2015</v>
      </c>
      <c r="C211" t="s">
        <v>288</v>
      </c>
      <c r="D211" t="s">
        <v>232</v>
      </c>
      <c r="E211" t="s">
        <v>235</v>
      </c>
      <c r="F211" t="s">
        <v>299</v>
      </c>
      <c r="G211">
        <v>637</v>
      </c>
    </row>
    <row r="212" spans="1:7" x14ac:dyDescent="0.35">
      <c r="A212" s="13">
        <v>42005</v>
      </c>
      <c r="B212">
        <f>YEAR(Table2__2[[#This Row],[Year1]])</f>
        <v>2015</v>
      </c>
      <c r="C212" t="s">
        <v>288</v>
      </c>
      <c r="D212" t="s">
        <v>232</v>
      </c>
      <c r="E212" t="s">
        <v>236</v>
      </c>
      <c r="F212" t="s">
        <v>299</v>
      </c>
      <c r="G212">
        <v>789</v>
      </c>
    </row>
    <row r="213" spans="1:7" x14ac:dyDescent="0.35">
      <c r="A213" s="13">
        <v>42005</v>
      </c>
      <c r="B213">
        <f>YEAR(Table2__2[[#This Row],[Year1]])</f>
        <v>2015</v>
      </c>
      <c r="C213" t="s">
        <v>288</v>
      </c>
      <c r="D213" t="s">
        <v>232</v>
      </c>
      <c r="E213" t="s">
        <v>237</v>
      </c>
      <c r="F213" t="s">
        <v>299</v>
      </c>
      <c r="G213">
        <v>64</v>
      </c>
    </row>
    <row r="214" spans="1:7" x14ac:dyDescent="0.35">
      <c r="A214" s="13">
        <v>42005</v>
      </c>
      <c r="B214">
        <f>YEAR(Table2__2[[#This Row],[Year1]])</f>
        <v>2015</v>
      </c>
      <c r="C214" t="s">
        <v>288</v>
      </c>
      <c r="D214" t="s">
        <v>232</v>
      </c>
      <c r="E214" t="s">
        <v>238</v>
      </c>
      <c r="F214" t="s">
        <v>299</v>
      </c>
      <c r="G214">
        <v>32</v>
      </c>
    </row>
    <row r="215" spans="1:7" x14ac:dyDescent="0.35">
      <c r="A215" s="13">
        <v>42005</v>
      </c>
      <c r="B215">
        <f>YEAR(Table2__2[[#This Row],[Year1]])</f>
        <v>2015</v>
      </c>
      <c r="C215" t="s">
        <v>288</v>
      </c>
      <c r="D215" t="s">
        <v>232</v>
      </c>
      <c r="E215" t="s">
        <v>239</v>
      </c>
      <c r="F215" t="s">
        <v>299</v>
      </c>
      <c r="G215">
        <v>1752</v>
      </c>
    </row>
    <row r="216" spans="1:7" x14ac:dyDescent="0.35">
      <c r="A216" s="13">
        <v>42005</v>
      </c>
      <c r="B216">
        <f>YEAR(Table2__2[[#This Row],[Year1]])</f>
        <v>2015</v>
      </c>
      <c r="C216" t="s">
        <v>288</v>
      </c>
      <c r="D216" t="s">
        <v>232</v>
      </c>
      <c r="E216" t="s">
        <v>240</v>
      </c>
      <c r="F216" t="s">
        <v>299</v>
      </c>
      <c r="G216">
        <v>849</v>
      </c>
    </row>
    <row r="217" spans="1:7" x14ac:dyDescent="0.35">
      <c r="A217" s="13">
        <v>42005</v>
      </c>
      <c r="B217">
        <f>YEAR(Table2__2[[#This Row],[Year1]])</f>
        <v>2015</v>
      </c>
      <c r="C217" t="s">
        <v>288</v>
      </c>
      <c r="D217" t="s">
        <v>232</v>
      </c>
      <c r="E217" t="s">
        <v>241</v>
      </c>
      <c r="F217" t="s">
        <v>299</v>
      </c>
      <c r="G217">
        <v>557</v>
      </c>
    </row>
    <row r="218" spans="1:7" x14ac:dyDescent="0.35">
      <c r="A218" s="13">
        <v>42005</v>
      </c>
      <c r="B218">
        <f>YEAR(Table2__2[[#This Row],[Year1]])</f>
        <v>2015</v>
      </c>
      <c r="C218" t="s">
        <v>288</v>
      </c>
      <c r="D218" t="s">
        <v>232</v>
      </c>
      <c r="E218" t="s">
        <v>242</v>
      </c>
      <c r="F218" t="s">
        <v>299</v>
      </c>
      <c r="G218">
        <v>190</v>
      </c>
    </row>
    <row r="219" spans="1:7" x14ac:dyDescent="0.35">
      <c r="A219" s="13">
        <v>42005</v>
      </c>
      <c r="B219">
        <f>YEAR(Table2__2[[#This Row],[Year1]])</f>
        <v>2015</v>
      </c>
      <c r="C219" t="s">
        <v>288</v>
      </c>
      <c r="D219" t="s">
        <v>232</v>
      </c>
      <c r="E219" t="s">
        <v>243</v>
      </c>
      <c r="F219" t="s">
        <v>299</v>
      </c>
      <c r="G219">
        <v>341</v>
      </c>
    </row>
    <row r="220" spans="1:7" x14ac:dyDescent="0.35">
      <c r="A220" s="13">
        <v>42005</v>
      </c>
      <c r="B220">
        <f>YEAR(Table2__2[[#This Row],[Year1]])</f>
        <v>2015</v>
      </c>
      <c r="C220" t="s">
        <v>289</v>
      </c>
      <c r="D220" t="s">
        <v>281</v>
      </c>
      <c r="E220" t="s">
        <v>226</v>
      </c>
      <c r="F220" t="s">
        <v>301</v>
      </c>
      <c r="G220">
        <v>9655</v>
      </c>
    </row>
    <row r="221" spans="1:7" x14ac:dyDescent="0.35">
      <c r="A221" s="13">
        <v>42005</v>
      </c>
      <c r="B221">
        <f>YEAR(Table2__2[[#This Row],[Year1]])</f>
        <v>2015</v>
      </c>
      <c r="C221" t="s">
        <v>289</v>
      </c>
      <c r="D221" t="s">
        <v>281</v>
      </c>
      <c r="E221" t="s">
        <v>227</v>
      </c>
      <c r="F221" t="s">
        <v>301</v>
      </c>
      <c r="G221">
        <v>18093</v>
      </c>
    </row>
    <row r="222" spans="1:7" x14ac:dyDescent="0.35">
      <c r="A222" s="13">
        <v>42005</v>
      </c>
      <c r="B222">
        <f>YEAR(Table2__2[[#This Row],[Year1]])</f>
        <v>2015</v>
      </c>
      <c r="C222" t="s">
        <v>289</v>
      </c>
      <c r="D222" t="s">
        <v>281</v>
      </c>
      <c r="E222" t="s">
        <v>229</v>
      </c>
      <c r="F222" t="s">
        <v>301</v>
      </c>
      <c r="G222">
        <v>36775</v>
      </c>
    </row>
    <row r="223" spans="1:7" x14ac:dyDescent="0.35">
      <c r="A223" s="13">
        <v>42005</v>
      </c>
      <c r="B223">
        <f>YEAR(Table2__2[[#This Row],[Year1]])</f>
        <v>2015</v>
      </c>
      <c r="C223" t="s">
        <v>289</v>
      </c>
      <c r="D223" t="s">
        <v>281</v>
      </c>
      <c r="E223" t="s">
        <v>230</v>
      </c>
      <c r="F223" t="s">
        <v>301</v>
      </c>
      <c r="G223">
        <v>7617</v>
      </c>
    </row>
    <row r="224" spans="1:7" x14ac:dyDescent="0.35">
      <c r="A224" s="13">
        <v>42005</v>
      </c>
      <c r="B224">
        <f>YEAR(Table2__2[[#This Row],[Year1]])</f>
        <v>2015</v>
      </c>
      <c r="C224" t="s">
        <v>289</v>
      </c>
      <c r="D224" t="s">
        <v>283</v>
      </c>
      <c r="E224" t="s">
        <v>244</v>
      </c>
      <c r="F224" t="s">
        <v>301</v>
      </c>
      <c r="G224">
        <v>3026</v>
      </c>
    </row>
    <row r="225" spans="1:7" x14ac:dyDescent="0.35">
      <c r="A225" s="13">
        <v>42005</v>
      </c>
      <c r="B225">
        <f>YEAR(Table2__2[[#This Row],[Year1]])</f>
        <v>2015</v>
      </c>
      <c r="C225" t="s">
        <v>289</v>
      </c>
      <c r="D225" t="s">
        <v>283</v>
      </c>
      <c r="E225" t="s">
        <v>245</v>
      </c>
      <c r="F225" t="s">
        <v>301</v>
      </c>
      <c r="G225">
        <v>1808</v>
      </c>
    </row>
    <row r="226" spans="1:7" x14ac:dyDescent="0.35">
      <c r="A226" s="13">
        <v>42005</v>
      </c>
      <c r="B226">
        <f>YEAR(Table2__2[[#This Row],[Year1]])</f>
        <v>2015</v>
      </c>
      <c r="C226" t="s">
        <v>289</v>
      </c>
      <c r="D226" t="s">
        <v>283</v>
      </c>
      <c r="E226" t="s">
        <v>246</v>
      </c>
      <c r="F226" t="s">
        <v>301</v>
      </c>
      <c r="G226">
        <v>2871</v>
      </c>
    </row>
    <row r="227" spans="1:7" x14ac:dyDescent="0.35">
      <c r="A227" s="13">
        <v>42005</v>
      </c>
      <c r="B227">
        <f>YEAR(Table2__2[[#This Row],[Year1]])</f>
        <v>2015</v>
      </c>
      <c r="C227" t="s">
        <v>289</v>
      </c>
      <c r="D227" t="s">
        <v>283</v>
      </c>
      <c r="E227" t="s">
        <v>234</v>
      </c>
      <c r="F227" t="s">
        <v>301</v>
      </c>
      <c r="G227">
        <v>9023</v>
      </c>
    </row>
    <row r="228" spans="1:7" x14ac:dyDescent="0.35">
      <c r="A228" s="13">
        <v>42005</v>
      </c>
      <c r="B228">
        <f>YEAR(Table2__2[[#This Row],[Year1]])</f>
        <v>2015</v>
      </c>
      <c r="C228" t="s">
        <v>289</v>
      </c>
      <c r="D228" t="s">
        <v>283</v>
      </c>
      <c r="E228" t="s">
        <v>247</v>
      </c>
      <c r="F228" t="s">
        <v>301</v>
      </c>
      <c r="G228">
        <v>3895</v>
      </c>
    </row>
    <row r="229" spans="1:7" x14ac:dyDescent="0.35">
      <c r="A229" s="13">
        <v>42005</v>
      </c>
      <c r="B229">
        <f>YEAR(Table2__2[[#This Row],[Year1]])</f>
        <v>2015</v>
      </c>
      <c r="C229" t="s">
        <v>289</v>
      </c>
      <c r="D229" t="s">
        <v>283</v>
      </c>
      <c r="E229" t="s">
        <v>235</v>
      </c>
      <c r="F229" t="s">
        <v>301</v>
      </c>
      <c r="G229">
        <v>5699</v>
      </c>
    </row>
    <row r="230" spans="1:7" x14ac:dyDescent="0.35">
      <c r="A230" s="13">
        <v>42005</v>
      </c>
      <c r="B230">
        <f>YEAR(Table2__2[[#This Row],[Year1]])</f>
        <v>2015</v>
      </c>
      <c r="C230" t="s">
        <v>289</v>
      </c>
      <c r="D230" t="s">
        <v>283</v>
      </c>
      <c r="E230" t="s">
        <v>226</v>
      </c>
      <c r="F230" t="s">
        <v>301</v>
      </c>
      <c r="G230">
        <v>9</v>
      </c>
    </row>
    <row r="231" spans="1:7" x14ac:dyDescent="0.35">
      <c r="A231" s="13">
        <v>42005</v>
      </c>
      <c r="B231">
        <f>YEAR(Table2__2[[#This Row],[Year1]])</f>
        <v>2015</v>
      </c>
      <c r="C231" t="s">
        <v>289</v>
      </c>
      <c r="D231" t="s">
        <v>283</v>
      </c>
      <c r="E231" t="s">
        <v>248</v>
      </c>
      <c r="F231" t="s">
        <v>301</v>
      </c>
      <c r="G231">
        <v>4182</v>
      </c>
    </row>
    <row r="232" spans="1:7" x14ac:dyDescent="0.35">
      <c r="A232" s="13">
        <v>42005</v>
      </c>
      <c r="B232">
        <f>YEAR(Table2__2[[#This Row],[Year1]])</f>
        <v>2015</v>
      </c>
      <c r="C232" t="s">
        <v>289</v>
      </c>
      <c r="D232" t="s">
        <v>283</v>
      </c>
      <c r="E232" t="s">
        <v>227</v>
      </c>
      <c r="F232" t="s">
        <v>301</v>
      </c>
      <c r="G232">
        <v>24</v>
      </c>
    </row>
    <row r="233" spans="1:7" x14ac:dyDescent="0.35">
      <c r="A233" s="13">
        <v>42005</v>
      </c>
      <c r="B233">
        <f>YEAR(Table2__2[[#This Row],[Year1]])</f>
        <v>2015</v>
      </c>
      <c r="C233" t="s">
        <v>289</v>
      </c>
      <c r="D233" t="s">
        <v>283</v>
      </c>
      <c r="E233" t="s">
        <v>249</v>
      </c>
      <c r="F233" t="s">
        <v>301</v>
      </c>
      <c r="G233">
        <v>4349</v>
      </c>
    </row>
    <row r="234" spans="1:7" x14ac:dyDescent="0.35">
      <c r="A234" s="13">
        <v>42005</v>
      </c>
      <c r="B234">
        <f>YEAR(Table2__2[[#This Row],[Year1]])</f>
        <v>2015</v>
      </c>
      <c r="C234" t="s">
        <v>289</v>
      </c>
      <c r="D234" t="s">
        <v>283</v>
      </c>
      <c r="E234" t="s">
        <v>239</v>
      </c>
      <c r="F234" t="s">
        <v>301</v>
      </c>
      <c r="G234">
        <v>3926</v>
      </c>
    </row>
    <row r="235" spans="1:7" x14ac:dyDescent="0.35">
      <c r="A235" s="13">
        <v>42005</v>
      </c>
      <c r="B235">
        <f>YEAR(Table2__2[[#This Row],[Year1]])</f>
        <v>2015</v>
      </c>
      <c r="C235" t="s">
        <v>289</v>
      </c>
      <c r="D235" t="s">
        <v>283</v>
      </c>
      <c r="E235" t="s">
        <v>240</v>
      </c>
      <c r="F235" t="s">
        <v>301</v>
      </c>
      <c r="G235">
        <v>25</v>
      </c>
    </row>
    <row r="236" spans="1:7" x14ac:dyDescent="0.35">
      <c r="A236" s="13">
        <v>42005</v>
      </c>
      <c r="B236">
        <f>YEAR(Table2__2[[#This Row],[Year1]])</f>
        <v>2015</v>
      </c>
      <c r="C236" t="s">
        <v>289</v>
      </c>
      <c r="D236" t="s">
        <v>283</v>
      </c>
      <c r="E236" t="s">
        <v>250</v>
      </c>
      <c r="F236" t="s">
        <v>301</v>
      </c>
      <c r="G236">
        <v>3921</v>
      </c>
    </row>
    <row r="237" spans="1:7" x14ac:dyDescent="0.35">
      <c r="A237" s="13">
        <v>42005</v>
      </c>
      <c r="B237">
        <f>YEAR(Table2__2[[#This Row],[Year1]])</f>
        <v>2015</v>
      </c>
      <c r="C237" t="s">
        <v>289</v>
      </c>
      <c r="D237" t="s">
        <v>283</v>
      </c>
      <c r="E237" t="s">
        <v>251</v>
      </c>
      <c r="F237" t="s">
        <v>301</v>
      </c>
      <c r="G237">
        <v>235</v>
      </c>
    </row>
    <row r="238" spans="1:7" x14ac:dyDescent="0.35">
      <c r="A238" s="13">
        <v>42005</v>
      </c>
      <c r="B238">
        <f>YEAR(Table2__2[[#This Row],[Year1]])</f>
        <v>2015</v>
      </c>
      <c r="C238" t="s">
        <v>289</v>
      </c>
      <c r="D238" t="s">
        <v>283</v>
      </c>
      <c r="E238" t="s">
        <v>229</v>
      </c>
      <c r="F238" t="s">
        <v>301</v>
      </c>
      <c r="G238">
        <v>72</v>
      </c>
    </row>
    <row r="239" spans="1:7" x14ac:dyDescent="0.35">
      <c r="A239" s="13">
        <v>42005</v>
      </c>
      <c r="B239">
        <f>YEAR(Table2__2[[#This Row],[Year1]])</f>
        <v>2015</v>
      </c>
      <c r="C239" t="s">
        <v>289</v>
      </c>
      <c r="D239" t="s">
        <v>283</v>
      </c>
      <c r="E239" t="s">
        <v>252</v>
      </c>
      <c r="F239" t="s">
        <v>301</v>
      </c>
      <c r="G239">
        <v>1526</v>
      </c>
    </row>
    <row r="240" spans="1:7" x14ac:dyDescent="0.35">
      <c r="A240" s="13">
        <v>42005</v>
      </c>
      <c r="B240">
        <f>YEAR(Table2__2[[#This Row],[Year1]])</f>
        <v>2015</v>
      </c>
      <c r="C240" t="s">
        <v>289</v>
      </c>
      <c r="D240" t="s">
        <v>283</v>
      </c>
      <c r="E240" t="s">
        <v>253</v>
      </c>
      <c r="F240" t="s">
        <v>301</v>
      </c>
      <c r="G240">
        <v>651</v>
      </c>
    </row>
    <row r="241" spans="1:7" x14ac:dyDescent="0.35">
      <c r="A241" s="13">
        <v>42005</v>
      </c>
      <c r="B241">
        <f>YEAR(Table2__2[[#This Row],[Year1]])</f>
        <v>2015</v>
      </c>
      <c r="C241" t="s">
        <v>289</v>
      </c>
      <c r="D241" t="s">
        <v>283</v>
      </c>
      <c r="E241" t="s">
        <v>254</v>
      </c>
      <c r="F241" t="s">
        <v>301</v>
      </c>
      <c r="G241">
        <v>6804</v>
      </c>
    </row>
    <row r="242" spans="1:7" x14ac:dyDescent="0.35">
      <c r="A242" s="13">
        <v>42005</v>
      </c>
      <c r="B242">
        <f>YEAR(Table2__2[[#This Row],[Year1]])</f>
        <v>2015</v>
      </c>
      <c r="C242" t="s">
        <v>289</v>
      </c>
      <c r="D242" t="s">
        <v>283</v>
      </c>
      <c r="E242" t="s">
        <v>255</v>
      </c>
      <c r="F242" t="s">
        <v>301</v>
      </c>
      <c r="G242">
        <v>470</v>
      </c>
    </row>
    <row r="243" spans="1:7" x14ac:dyDescent="0.35">
      <c r="A243" s="13">
        <v>42005</v>
      </c>
      <c r="B243">
        <f>YEAR(Table2__2[[#This Row],[Year1]])</f>
        <v>2015</v>
      </c>
      <c r="C243" t="s">
        <v>289</v>
      </c>
      <c r="D243" t="s">
        <v>283</v>
      </c>
      <c r="E243" t="s">
        <v>230</v>
      </c>
      <c r="F243" t="s">
        <v>301</v>
      </c>
      <c r="G243">
        <v>68</v>
      </c>
    </row>
    <row r="244" spans="1:7" x14ac:dyDescent="0.35">
      <c r="A244" s="13">
        <v>42005</v>
      </c>
      <c r="B244">
        <f>YEAR(Table2__2[[#This Row],[Year1]])</f>
        <v>2015</v>
      </c>
      <c r="C244" t="s">
        <v>289</v>
      </c>
      <c r="D244" t="s">
        <v>283</v>
      </c>
      <c r="E244" t="s">
        <v>298</v>
      </c>
      <c r="F244" t="s">
        <v>301</v>
      </c>
      <c r="G244">
        <v>9363</v>
      </c>
    </row>
    <row r="245" spans="1:7" x14ac:dyDescent="0.35">
      <c r="A245" s="13">
        <v>42005</v>
      </c>
      <c r="B245">
        <f>YEAR(Table2__2[[#This Row],[Year1]])</f>
        <v>2015</v>
      </c>
      <c r="C245" t="s">
        <v>289</v>
      </c>
      <c r="D245" t="s">
        <v>283</v>
      </c>
      <c r="E245" t="s">
        <v>257</v>
      </c>
      <c r="F245" t="s">
        <v>301</v>
      </c>
      <c r="G245">
        <v>85</v>
      </c>
    </row>
    <row r="246" spans="1:7" x14ac:dyDescent="0.35">
      <c r="A246" s="13">
        <v>42005</v>
      </c>
      <c r="B246">
        <f>YEAR(Table2__2[[#This Row],[Year1]])</f>
        <v>2015</v>
      </c>
      <c r="C246" t="s">
        <v>290</v>
      </c>
      <c r="D246" t="s">
        <v>425</v>
      </c>
      <c r="E246" t="s">
        <v>244</v>
      </c>
      <c r="F246" t="s">
        <v>302</v>
      </c>
      <c r="G246">
        <v>166</v>
      </c>
    </row>
    <row r="247" spans="1:7" x14ac:dyDescent="0.35">
      <c r="A247" s="13">
        <v>42005</v>
      </c>
      <c r="B247">
        <f>YEAR(Table2__2[[#This Row],[Year1]])</f>
        <v>2015</v>
      </c>
      <c r="C247" t="s">
        <v>290</v>
      </c>
      <c r="D247" t="s">
        <v>425</v>
      </c>
      <c r="E247" t="s">
        <v>245</v>
      </c>
      <c r="F247" t="s">
        <v>302</v>
      </c>
      <c r="G247">
        <v>130</v>
      </c>
    </row>
    <row r="248" spans="1:7" x14ac:dyDescent="0.35">
      <c r="A248" s="13">
        <v>42005</v>
      </c>
      <c r="B248">
        <f>YEAR(Table2__2[[#This Row],[Year1]])</f>
        <v>2015</v>
      </c>
      <c r="C248" t="s">
        <v>290</v>
      </c>
      <c r="D248" t="s">
        <v>425</v>
      </c>
      <c r="E248" t="s">
        <v>246</v>
      </c>
      <c r="F248" t="s">
        <v>302</v>
      </c>
      <c r="G248">
        <v>157</v>
      </c>
    </row>
    <row r="249" spans="1:7" x14ac:dyDescent="0.35">
      <c r="A249" s="13">
        <v>42005</v>
      </c>
      <c r="B249">
        <f>YEAR(Table2__2[[#This Row],[Year1]])</f>
        <v>2015</v>
      </c>
      <c r="C249" t="s">
        <v>290</v>
      </c>
      <c r="D249" t="s">
        <v>425</v>
      </c>
      <c r="E249" t="s">
        <v>234</v>
      </c>
      <c r="F249" t="s">
        <v>302</v>
      </c>
      <c r="G249">
        <v>87</v>
      </c>
    </row>
    <row r="250" spans="1:7" x14ac:dyDescent="0.35">
      <c r="A250" s="13">
        <v>42005</v>
      </c>
      <c r="B250">
        <f>YEAR(Table2__2[[#This Row],[Year1]])</f>
        <v>2015</v>
      </c>
      <c r="C250" t="s">
        <v>290</v>
      </c>
      <c r="D250" t="s">
        <v>425</v>
      </c>
      <c r="E250" t="s">
        <v>247</v>
      </c>
      <c r="F250" t="s">
        <v>302</v>
      </c>
      <c r="G250">
        <v>750</v>
      </c>
    </row>
    <row r="251" spans="1:7" x14ac:dyDescent="0.35">
      <c r="A251" s="13">
        <v>42005</v>
      </c>
      <c r="B251">
        <f>YEAR(Table2__2[[#This Row],[Year1]])</f>
        <v>2015</v>
      </c>
      <c r="C251" t="s">
        <v>290</v>
      </c>
      <c r="D251" t="s">
        <v>425</v>
      </c>
      <c r="E251" t="s">
        <v>259</v>
      </c>
      <c r="F251" t="s">
        <v>302</v>
      </c>
      <c r="G251">
        <v>215</v>
      </c>
    </row>
    <row r="252" spans="1:7" x14ac:dyDescent="0.35">
      <c r="A252" s="13">
        <v>42005</v>
      </c>
      <c r="B252">
        <f>YEAR(Table2__2[[#This Row],[Year1]])</f>
        <v>2015</v>
      </c>
      <c r="C252" t="s">
        <v>290</v>
      </c>
      <c r="D252" t="s">
        <v>425</v>
      </c>
      <c r="E252" t="s">
        <v>260</v>
      </c>
      <c r="F252" t="s">
        <v>302</v>
      </c>
      <c r="G252">
        <v>74</v>
      </c>
    </row>
    <row r="253" spans="1:7" x14ac:dyDescent="0.35">
      <c r="A253" s="13">
        <v>42005</v>
      </c>
      <c r="B253">
        <f>YEAR(Table2__2[[#This Row],[Year1]])</f>
        <v>2015</v>
      </c>
      <c r="C253" t="s">
        <v>290</v>
      </c>
      <c r="D253" t="s">
        <v>425</v>
      </c>
      <c r="E253" t="s">
        <v>235</v>
      </c>
      <c r="F253" t="s">
        <v>302</v>
      </c>
      <c r="G253">
        <v>231</v>
      </c>
    </row>
    <row r="254" spans="1:7" x14ac:dyDescent="0.35">
      <c r="A254" s="13">
        <v>42005</v>
      </c>
      <c r="B254">
        <f>YEAR(Table2__2[[#This Row],[Year1]])</f>
        <v>2015</v>
      </c>
      <c r="C254" t="s">
        <v>290</v>
      </c>
      <c r="D254" t="s">
        <v>425</v>
      </c>
      <c r="E254" t="s">
        <v>226</v>
      </c>
      <c r="F254" t="s">
        <v>302</v>
      </c>
      <c r="G254">
        <v>394</v>
      </c>
    </row>
    <row r="255" spans="1:7" x14ac:dyDescent="0.35">
      <c r="A255" s="13">
        <v>42005</v>
      </c>
      <c r="B255">
        <f>YEAR(Table2__2[[#This Row],[Year1]])</f>
        <v>2015</v>
      </c>
      <c r="C255" t="s">
        <v>290</v>
      </c>
      <c r="D255" t="s">
        <v>425</v>
      </c>
      <c r="E255" t="s">
        <v>261</v>
      </c>
      <c r="F255" t="s">
        <v>302</v>
      </c>
      <c r="G255">
        <v>75</v>
      </c>
    </row>
    <row r="256" spans="1:7" x14ac:dyDescent="0.35">
      <c r="A256" s="13">
        <v>42005</v>
      </c>
      <c r="B256">
        <f>YEAR(Table2__2[[#This Row],[Year1]])</f>
        <v>2015</v>
      </c>
      <c r="C256" t="s">
        <v>290</v>
      </c>
      <c r="D256" t="s">
        <v>425</v>
      </c>
      <c r="E256" t="s">
        <v>248</v>
      </c>
      <c r="F256" t="s">
        <v>302</v>
      </c>
      <c r="G256">
        <v>355</v>
      </c>
    </row>
    <row r="257" spans="1:7" x14ac:dyDescent="0.35">
      <c r="A257" s="13">
        <v>42005</v>
      </c>
      <c r="B257">
        <f>YEAR(Table2__2[[#This Row],[Year1]])</f>
        <v>2015</v>
      </c>
      <c r="C257" t="s">
        <v>290</v>
      </c>
      <c r="D257" t="s">
        <v>425</v>
      </c>
      <c r="E257" t="s">
        <v>249</v>
      </c>
      <c r="F257" t="s">
        <v>302</v>
      </c>
      <c r="G257">
        <v>493</v>
      </c>
    </row>
    <row r="258" spans="1:7" x14ac:dyDescent="0.35">
      <c r="A258" s="13">
        <v>42005</v>
      </c>
      <c r="B258">
        <f>YEAR(Table2__2[[#This Row],[Year1]])</f>
        <v>2015</v>
      </c>
      <c r="C258" t="s">
        <v>290</v>
      </c>
      <c r="D258" t="s">
        <v>425</v>
      </c>
      <c r="E258" t="s">
        <v>239</v>
      </c>
      <c r="F258" t="s">
        <v>302</v>
      </c>
      <c r="G258">
        <v>794</v>
      </c>
    </row>
    <row r="259" spans="1:7" x14ac:dyDescent="0.35">
      <c r="A259" s="13">
        <v>42005</v>
      </c>
      <c r="B259">
        <f>YEAR(Table2__2[[#This Row],[Year1]])</f>
        <v>2015</v>
      </c>
      <c r="C259" t="s">
        <v>290</v>
      </c>
      <c r="D259" t="s">
        <v>425</v>
      </c>
      <c r="E259" t="s">
        <v>240</v>
      </c>
      <c r="F259" t="s">
        <v>302</v>
      </c>
      <c r="G259">
        <v>293</v>
      </c>
    </row>
    <row r="260" spans="1:7" x14ac:dyDescent="0.35">
      <c r="A260" s="13">
        <v>42005</v>
      </c>
      <c r="B260">
        <f>YEAR(Table2__2[[#This Row],[Year1]])</f>
        <v>2015</v>
      </c>
      <c r="C260" t="s">
        <v>290</v>
      </c>
      <c r="D260" t="s">
        <v>425</v>
      </c>
      <c r="E260" t="s">
        <v>250</v>
      </c>
      <c r="F260" t="s">
        <v>302</v>
      </c>
      <c r="G260">
        <v>171</v>
      </c>
    </row>
    <row r="261" spans="1:7" x14ac:dyDescent="0.35">
      <c r="A261" s="13">
        <v>42005</v>
      </c>
      <c r="B261">
        <f>YEAR(Table2__2[[#This Row],[Year1]])</f>
        <v>2015</v>
      </c>
      <c r="C261" t="s">
        <v>290</v>
      </c>
      <c r="D261" t="s">
        <v>425</v>
      </c>
      <c r="E261" t="s">
        <v>265</v>
      </c>
      <c r="F261" t="s">
        <v>302</v>
      </c>
      <c r="G261">
        <v>157</v>
      </c>
    </row>
    <row r="262" spans="1:7" x14ac:dyDescent="0.35">
      <c r="A262" s="13">
        <v>42005</v>
      </c>
      <c r="B262">
        <f>YEAR(Table2__2[[#This Row],[Year1]])</f>
        <v>2015</v>
      </c>
      <c r="C262" t="s">
        <v>290</v>
      </c>
      <c r="D262" t="s">
        <v>425</v>
      </c>
      <c r="E262" t="s">
        <v>266</v>
      </c>
      <c r="F262" t="s">
        <v>302</v>
      </c>
      <c r="G262">
        <v>158</v>
      </c>
    </row>
    <row r="263" spans="1:7" x14ac:dyDescent="0.35">
      <c r="A263" s="13">
        <v>42005</v>
      </c>
      <c r="B263">
        <f>YEAR(Table2__2[[#This Row],[Year1]])</f>
        <v>2015</v>
      </c>
      <c r="C263" t="s">
        <v>290</v>
      </c>
      <c r="D263" t="s">
        <v>425</v>
      </c>
      <c r="E263" t="s">
        <v>267</v>
      </c>
      <c r="F263" t="s">
        <v>302</v>
      </c>
      <c r="G263">
        <v>207</v>
      </c>
    </row>
    <row r="264" spans="1:7" x14ac:dyDescent="0.35">
      <c r="A264" s="13">
        <v>42005</v>
      </c>
      <c r="B264">
        <f>YEAR(Table2__2[[#This Row],[Year1]])</f>
        <v>2015</v>
      </c>
      <c r="C264" t="s">
        <v>290</v>
      </c>
      <c r="D264" t="s">
        <v>425</v>
      </c>
      <c r="E264" t="s">
        <v>268</v>
      </c>
      <c r="F264" t="s">
        <v>302</v>
      </c>
      <c r="G264">
        <v>94</v>
      </c>
    </row>
    <row r="265" spans="1:7" x14ac:dyDescent="0.35">
      <c r="A265" s="13">
        <v>42005</v>
      </c>
      <c r="B265">
        <f>YEAR(Table2__2[[#This Row],[Year1]])</f>
        <v>2015</v>
      </c>
      <c r="C265" t="s">
        <v>290</v>
      </c>
      <c r="D265" t="s">
        <v>425</v>
      </c>
      <c r="E265" t="s">
        <v>269</v>
      </c>
      <c r="F265" t="s">
        <v>302</v>
      </c>
      <c r="G265">
        <v>1438</v>
      </c>
    </row>
    <row r="266" spans="1:7" x14ac:dyDescent="0.35">
      <c r="A266" s="13">
        <v>42005</v>
      </c>
      <c r="B266">
        <f>YEAR(Table2__2[[#This Row],[Year1]])</f>
        <v>2015</v>
      </c>
      <c r="C266" t="s">
        <v>290</v>
      </c>
      <c r="D266" t="s">
        <v>425</v>
      </c>
      <c r="E266" t="s">
        <v>229</v>
      </c>
      <c r="F266" t="s">
        <v>302</v>
      </c>
      <c r="G266">
        <v>211</v>
      </c>
    </row>
    <row r="267" spans="1:7" x14ac:dyDescent="0.35">
      <c r="A267" s="13">
        <v>42005</v>
      </c>
      <c r="B267">
        <f>YEAR(Table2__2[[#This Row],[Year1]])</f>
        <v>2015</v>
      </c>
      <c r="C267" t="s">
        <v>290</v>
      </c>
      <c r="D267" t="s">
        <v>425</v>
      </c>
      <c r="E267" t="s">
        <v>252</v>
      </c>
      <c r="F267" t="s">
        <v>302</v>
      </c>
      <c r="G267">
        <v>96</v>
      </c>
    </row>
    <row r="268" spans="1:7" x14ac:dyDescent="0.35">
      <c r="A268" s="13">
        <v>42005</v>
      </c>
      <c r="B268">
        <f>YEAR(Table2__2[[#This Row],[Year1]])</f>
        <v>2015</v>
      </c>
      <c r="C268" t="s">
        <v>290</v>
      </c>
      <c r="D268" t="s">
        <v>425</v>
      </c>
      <c r="E268" t="s">
        <v>253</v>
      </c>
      <c r="F268" t="s">
        <v>302</v>
      </c>
      <c r="G268">
        <v>41</v>
      </c>
    </row>
    <row r="269" spans="1:7" x14ac:dyDescent="0.35">
      <c r="A269" s="13">
        <v>42005</v>
      </c>
      <c r="B269">
        <f>YEAR(Table2__2[[#This Row],[Year1]])</f>
        <v>2015</v>
      </c>
      <c r="C269" t="s">
        <v>290</v>
      </c>
      <c r="D269" t="s">
        <v>425</v>
      </c>
      <c r="E269" t="s">
        <v>254</v>
      </c>
      <c r="F269" t="s">
        <v>302</v>
      </c>
      <c r="G269">
        <v>209</v>
      </c>
    </row>
    <row r="270" spans="1:7" x14ac:dyDescent="0.35">
      <c r="A270" s="13">
        <v>42005</v>
      </c>
      <c r="B270">
        <f>YEAR(Table2__2[[#This Row],[Year1]])</f>
        <v>2015</v>
      </c>
      <c r="C270" t="s">
        <v>290</v>
      </c>
      <c r="D270" t="s">
        <v>425</v>
      </c>
      <c r="E270" t="s">
        <v>255</v>
      </c>
      <c r="F270" t="s">
        <v>302</v>
      </c>
      <c r="G270">
        <v>138</v>
      </c>
    </row>
    <row r="271" spans="1:7" x14ac:dyDescent="0.35">
      <c r="A271" s="13">
        <v>42005</v>
      </c>
      <c r="B271">
        <f>YEAR(Table2__2[[#This Row],[Year1]])</f>
        <v>2015</v>
      </c>
      <c r="C271" t="s">
        <v>290</v>
      </c>
      <c r="D271" t="s">
        <v>425</v>
      </c>
      <c r="E271" t="s">
        <v>270</v>
      </c>
      <c r="F271" t="s">
        <v>302</v>
      </c>
      <c r="G271">
        <v>136</v>
      </c>
    </row>
    <row r="272" spans="1:7" x14ac:dyDescent="0.35">
      <c r="A272" s="13">
        <v>42005</v>
      </c>
      <c r="B272">
        <f>YEAR(Table2__2[[#This Row],[Year1]])</f>
        <v>2015</v>
      </c>
      <c r="C272" t="s">
        <v>290</v>
      </c>
      <c r="D272" t="s">
        <v>426</v>
      </c>
      <c r="E272" t="s">
        <v>271</v>
      </c>
      <c r="F272" t="s">
        <v>302</v>
      </c>
      <c r="G272">
        <v>18</v>
      </c>
    </row>
    <row r="273" spans="1:7" x14ac:dyDescent="0.35">
      <c r="A273" s="13">
        <v>42005</v>
      </c>
      <c r="B273">
        <f>YEAR(Table2__2[[#This Row],[Year1]])</f>
        <v>2015</v>
      </c>
      <c r="C273" t="s">
        <v>291</v>
      </c>
      <c r="D273" t="s">
        <v>425</v>
      </c>
      <c r="E273" t="s">
        <v>244</v>
      </c>
      <c r="F273" t="s">
        <v>302</v>
      </c>
      <c r="G273">
        <v>10042</v>
      </c>
    </row>
    <row r="274" spans="1:7" x14ac:dyDescent="0.35">
      <c r="A274" s="13">
        <v>42005</v>
      </c>
      <c r="B274">
        <f>YEAR(Table2__2[[#This Row],[Year1]])</f>
        <v>2015</v>
      </c>
      <c r="C274" t="s">
        <v>291</v>
      </c>
      <c r="D274" t="s">
        <v>425</v>
      </c>
      <c r="E274" t="s">
        <v>245</v>
      </c>
      <c r="F274" t="s">
        <v>302</v>
      </c>
      <c r="G274">
        <v>1100</v>
      </c>
    </row>
    <row r="275" spans="1:7" x14ac:dyDescent="0.35">
      <c r="A275" s="13">
        <v>42005</v>
      </c>
      <c r="B275">
        <f>YEAR(Table2__2[[#This Row],[Year1]])</f>
        <v>2015</v>
      </c>
      <c r="C275" t="s">
        <v>291</v>
      </c>
      <c r="D275" t="s">
        <v>425</v>
      </c>
      <c r="E275" t="s">
        <v>246</v>
      </c>
      <c r="F275" t="s">
        <v>302</v>
      </c>
      <c r="G275">
        <v>1749</v>
      </c>
    </row>
    <row r="276" spans="1:7" x14ac:dyDescent="0.35">
      <c r="A276" s="13">
        <v>42005</v>
      </c>
      <c r="B276">
        <f>YEAR(Table2__2[[#This Row],[Year1]])</f>
        <v>2015</v>
      </c>
      <c r="C276" t="s">
        <v>291</v>
      </c>
      <c r="D276" t="s">
        <v>425</v>
      </c>
      <c r="E276" t="s">
        <v>234</v>
      </c>
      <c r="F276" t="s">
        <v>302</v>
      </c>
      <c r="G276">
        <v>1171</v>
      </c>
    </row>
    <row r="277" spans="1:7" x14ac:dyDescent="0.35">
      <c r="A277" s="13">
        <v>42005</v>
      </c>
      <c r="B277">
        <f>YEAR(Table2__2[[#This Row],[Year1]])</f>
        <v>2015</v>
      </c>
      <c r="C277" t="s">
        <v>291</v>
      </c>
      <c r="D277" t="s">
        <v>425</v>
      </c>
      <c r="E277" t="s">
        <v>247</v>
      </c>
      <c r="F277" t="s">
        <v>302</v>
      </c>
      <c r="G277">
        <v>6899</v>
      </c>
    </row>
    <row r="278" spans="1:7" x14ac:dyDescent="0.35">
      <c r="A278" s="13">
        <v>42005</v>
      </c>
      <c r="B278">
        <f>YEAR(Table2__2[[#This Row],[Year1]])</f>
        <v>2015</v>
      </c>
      <c r="C278" t="s">
        <v>291</v>
      </c>
      <c r="D278" t="s">
        <v>425</v>
      </c>
      <c r="E278" t="s">
        <v>259</v>
      </c>
      <c r="F278" t="s">
        <v>302</v>
      </c>
      <c r="G278">
        <v>8177</v>
      </c>
    </row>
    <row r="279" spans="1:7" x14ac:dyDescent="0.35">
      <c r="A279" s="13">
        <v>42005</v>
      </c>
      <c r="B279">
        <f>YEAR(Table2__2[[#This Row],[Year1]])</f>
        <v>2015</v>
      </c>
      <c r="C279" t="s">
        <v>291</v>
      </c>
      <c r="D279" t="s">
        <v>425</v>
      </c>
      <c r="E279" t="s">
        <v>260</v>
      </c>
      <c r="F279" t="s">
        <v>302</v>
      </c>
      <c r="G279">
        <v>2336</v>
      </c>
    </row>
    <row r="280" spans="1:7" x14ac:dyDescent="0.35">
      <c r="A280" s="13">
        <v>42005</v>
      </c>
      <c r="B280">
        <f>YEAR(Table2__2[[#This Row],[Year1]])</f>
        <v>2015</v>
      </c>
      <c r="C280" t="s">
        <v>291</v>
      </c>
      <c r="D280" t="s">
        <v>425</v>
      </c>
      <c r="E280" t="s">
        <v>235</v>
      </c>
      <c r="F280" t="s">
        <v>302</v>
      </c>
      <c r="G280">
        <v>2546</v>
      </c>
    </row>
    <row r="281" spans="1:7" x14ac:dyDescent="0.35">
      <c r="A281" s="13">
        <v>42005</v>
      </c>
      <c r="B281">
        <f>YEAR(Table2__2[[#This Row],[Year1]])</f>
        <v>2015</v>
      </c>
      <c r="C281" t="s">
        <v>291</v>
      </c>
      <c r="D281" t="s">
        <v>425</v>
      </c>
      <c r="E281" t="s">
        <v>226</v>
      </c>
      <c r="F281" t="s">
        <v>302</v>
      </c>
      <c r="G281">
        <v>1830</v>
      </c>
    </row>
    <row r="282" spans="1:7" x14ac:dyDescent="0.35">
      <c r="A282" s="13">
        <v>42005</v>
      </c>
      <c r="B282">
        <f>YEAR(Table2__2[[#This Row],[Year1]])</f>
        <v>2015</v>
      </c>
      <c r="C282" t="s">
        <v>291</v>
      </c>
      <c r="D282" t="s">
        <v>425</v>
      </c>
      <c r="E282" t="s">
        <v>248</v>
      </c>
      <c r="F282" t="s">
        <v>302</v>
      </c>
      <c r="G282">
        <v>13886</v>
      </c>
    </row>
    <row r="283" spans="1:7" x14ac:dyDescent="0.35">
      <c r="A283" s="13">
        <v>42005</v>
      </c>
      <c r="B283">
        <f>YEAR(Table2__2[[#This Row],[Year1]])</f>
        <v>2015</v>
      </c>
      <c r="C283" t="s">
        <v>291</v>
      </c>
      <c r="D283" t="s">
        <v>425</v>
      </c>
      <c r="E283" t="s">
        <v>249</v>
      </c>
      <c r="F283" t="s">
        <v>302</v>
      </c>
      <c r="G283">
        <v>8365</v>
      </c>
    </row>
    <row r="284" spans="1:7" x14ac:dyDescent="0.35">
      <c r="A284" s="13">
        <v>42005</v>
      </c>
      <c r="B284">
        <f>YEAR(Table2__2[[#This Row],[Year1]])</f>
        <v>2015</v>
      </c>
      <c r="C284" t="s">
        <v>291</v>
      </c>
      <c r="D284" t="s">
        <v>425</v>
      </c>
      <c r="E284" t="s">
        <v>239</v>
      </c>
      <c r="F284" t="s">
        <v>302</v>
      </c>
      <c r="G284">
        <v>4764</v>
      </c>
    </row>
    <row r="285" spans="1:7" x14ac:dyDescent="0.35">
      <c r="A285" s="13">
        <v>42005</v>
      </c>
      <c r="B285">
        <f>YEAR(Table2__2[[#This Row],[Year1]])</f>
        <v>2015</v>
      </c>
      <c r="C285" t="s">
        <v>291</v>
      </c>
      <c r="D285" t="s">
        <v>425</v>
      </c>
      <c r="E285" t="s">
        <v>240</v>
      </c>
      <c r="F285" t="s">
        <v>302</v>
      </c>
      <c r="G285">
        <v>5187</v>
      </c>
    </row>
    <row r="286" spans="1:7" x14ac:dyDescent="0.35">
      <c r="A286" s="13">
        <v>42005</v>
      </c>
      <c r="B286">
        <f>YEAR(Table2__2[[#This Row],[Year1]])</f>
        <v>2015</v>
      </c>
      <c r="C286" t="s">
        <v>291</v>
      </c>
      <c r="D286" t="s">
        <v>425</v>
      </c>
      <c r="E286" t="s">
        <v>250</v>
      </c>
      <c r="F286" t="s">
        <v>302</v>
      </c>
      <c r="G286">
        <v>2275</v>
      </c>
    </row>
    <row r="287" spans="1:7" x14ac:dyDescent="0.35">
      <c r="A287" s="13">
        <v>42005</v>
      </c>
      <c r="B287">
        <f>YEAR(Table2__2[[#This Row],[Year1]])</f>
        <v>2015</v>
      </c>
      <c r="C287" t="s">
        <v>291</v>
      </c>
      <c r="D287" t="s">
        <v>425</v>
      </c>
      <c r="E287" t="s">
        <v>265</v>
      </c>
      <c r="F287" t="s">
        <v>302</v>
      </c>
      <c r="G287">
        <v>2478</v>
      </c>
    </row>
    <row r="288" spans="1:7" x14ac:dyDescent="0.35">
      <c r="A288" s="13">
        <v>42005</v>
      </c>
      <c r="B288">
        <f>YEAR(Table2__2[[#This Row],[Year1]])</f>
        <v>2015</v>
      </c>
      <c r="C288" t="s">
        <v>291</v>
      </c>
      <c r="D288" t="s">
        <v>425</v>
      </c>
      <c r="E288" t="s">
        <v>266</v>
      </c>
      <c r="F288" t="s">
        <v>302</v>
      </c>
      <c r="G288">
        <v>3995</v>
      </c>
    </row>
    <row r="289" spans="1:7" x14ac:dyDescent="0.35">
      <c r="A289" s="13">
        <v>42005</v>
      </c>
      <c r="B289">
        <f>YEAR(Table2__2[[#This Row],[Year1]])</f>
        <v>2015</v>
      </c>
      <c r="C289" t="s">
        <v>291</v>
      </c>
      <c r="D289" t="s">
        <v>425</v>
      </c>
      <c r="E289" t="s">
        <v>267</v>
      </c>
      <c r="F289" t="s">
        <v>302</v>
      </c>
      <c r="G289">
        <v>7118</v>
      </c>
    </row>
    <row r="290" spans="1:7" x14ac:dyDescent="0.35">
      <c r="A290" s="13">
        <v>42005</v>
      </c>
      <c r="B290">
        <f>YEAR(Table2__2[[#This Row],[Year1]])</f>
        <v>2015</v>
      </c>
      <c r="C290" t="s">
        <v>291</v>
      </c>
      <c r="D290" t="s">
        <v>425</v>
      </c>
      <c r="E290" t="s">
        <v>268</v>
      </c>
      <c r="F290" t="s">
        <v>302</v>
      </c>
      <c r="G290">
        <v>2362</v>
      </c>
    </row>
    <row r="291" spans="1:7" x14ac:dyDescent="0.35">
      <c r="A291" s="13">
        <v>42005</v>
      </c>
      <c r="B291">
        <f>YEAR(Table2__2[[#This Row],[Year1]])</f>
        <v>2015</v>
      </c>
      <c r="C291" t="s">
        <v>291</v>
      </c>
      <c r="D291" t="s">
        <v>425</v>
      </c>
      <c r="E291" t="s">
        <v>272</v>
      </c>
      <c r="F291" t="s">
        <v>302</v>
      </c>
      <c r="G291">
        <v>4384</v>
      </c>
    </row>
    <row r="292" spans="1:7" x14ac:dyDescent="0.35">
      <c r="A292" s="13">
        <v>42005</v>
      </c>
      <c r="B292">
        <f>YEAR(Table2__2[[#This Row],[Year1]])</f>
        <v>2015</v>
      </c>
      <c r="C292" t="s">
        <v>291</v>
      </c>
      <c r="D292" t="s">
        <v>425</v>
      </c>
      <c r="E292" t="s">
        <v>269</v>
      </c>
      <c r="F292" t="s">
        <v>302</v>
      </c>
      <c r="G292">
        <v>11268</v>
      </c>
    </row>
    <row r="293" spans="1:7" x14ac:dyDescent="0.35">
      <c r="A293" s="13">
        <v>42005</v>
      </c>
      <c r="B293">
        <f>YEAR(Table2__2[[#This Row],[Year1]])</f>
        <v>2015</v>
      </c>
      <c r="C293" t="s">
        <v>291</v>
      </c>
      <c r="D293" t="s">
        <v>425</v>
      </c>
      <c r="E293" t="s">
        <v>229</v>
      </c>
      <c r="F293" t="s">
        <v>302</v>
      </c>
      <c r="G293">
        <v>3717</v>
      </c>
    </row>
    <row r="294" spans="1:7" x14ac:dyDescent="0.35">
      <c r="A294" s="13">
        <v>42005</v>
      </c>
      <c r="B294">
        <f>YEAR(Table2__2[[#This Row],[Year1]])</f>
        <v>2015</v>
      </c>
      <c r="C294" t="s">
        <v>291</v>
      </c>
      <c r="D294" t="s">
        <v>425</v>
      </c>
      <c r="E294" t="s">
        <v>252</v>
      </c>
      <c r="F294" t="s">
        <v>302</v>
      </c>
      <c r="G294">
        <v>6009</v>
      </c>
    </row>
    <row r="295" spans="1:7" x14ac:dyDescent="0.35">
      <c r="A295" s="13">
        <v>42005</v>
      </c>
      <c r="B295">
        <f>YEAR(Table2__2[[#This Row],[Year1]])</f>
        <v>2015</v>
      </c>
      <c r="C295" t="s">
        <v>291</v>
      </c>
      <c r="D295" t="s">
        <v>425</v>
      </c>
      <c r="E295" t="s">
        <v>254</v>
      </c>
      <c r="F295" t="s">
        <v>302</v>
      </c>
      <c r="G295">
        <v>2960</v>
      </c>
    </row>
    <row r="296" spans="1:7" x14ac:dyDescent="0.35">
      <c r="A296" s="13">
        <v>42005</v>
      </c>
      <c r="B296">
        <f>YEAR(Table2__2[[#This Row],[Year1]])</f>
        <v>2015</v>
      </c>
      <c r="C296" t="s">
        <v>291</v>
      </c>
      <c r="D296" t="s">
        <v>425</v>
      </c>
      <c r="E296" t="s">
        <v>270</v>
      </c>
      <c r="F296" t="s">
        <v>302</v>
      </c>
      <c r="G296">
        <v>3089</v>
      </c>
    </row>
    <row r="297" spans="1:7" x14ac:dyDescent="0.35">
      <c r="A297" s="13">
        <v>42005</v>
      </c>
      <c r="B297">
        <f>YEAR(Table2__2[[#This Row],[Year1]])</f>
        <v>2015</v>
      </c>
      <c r="C297" t="s">
        <v>291</v>
      </c>
      <c r="D297" t="s">
        <v>425</v>
      </c>
      <c r="E297" t="s">
        <v>273</v>
      </c>
      <c r="F297" t="s">
        <v>302</v>
      </c>
      <c r="G297">
        <v>4</v>
      </c>
    </row>
    <row r="298" spans="1:7" x14ac:dyDescent="0.35">
      <c r="A298" s="13">
        <v>42005</v>
      </c>
      <c r="B298">
        <f>YEAR(Table2__2[[#This Row],[Year1]])</f>
        <v>2015</v>
      </c>
      <c r="C298" t="s">
        <v>291</v>
      </c>
      <c r="D298" t="s">
        <v>425</v>
      </c>
      <c r="E298" t="s">
        <v>39</v>
      </c>
      <c r="F298" t="s">
        <v>302</v>
      </c>
      <c r="G298">
        <v>272</v>
      </c>
    </row>
    <row r="299" spans="1:7" x14ac:dyDescent="0.35">
      <c r="A299" s="13">
        <v>42370</v>
      </c>
      <c r="B299">
        <f>YEAR(Table2__2[[#This Row],[Year1]])</f>
        <v>2016</v>
      </c>
      <c r="C299" t="s">
        <v>288</v>
      </c>
      <c r="D299" t="s">
        <v>222</v>
      </c>
      <c r="E299" t="s">
        <v>223</v>
      </c>
      <c r="F299" t="s">
        <v>299</v>
      </c>
      <c r="G299">
        <v>6366</v>
      </c>
    </row>
    <row r="300" spans="1:7" x14ac:dyDescent="0.35">
      <c r="A300" s="13">
        <v>42370</v>
      </c>
      <c r="B300">
        <f>YEAR(Table2__2[[#This Row],[Year1]])</f>
        <v>2016</v>
      </c>
      <c r="C300" t="s">
        <v>288</v>
      </c>
      <c r="D300" t="s">
        <v>222</v>
      </c>
      <c r="E300" t="s">
        <v>224</v>
      </c>
      <c r="F300" t="s">
        <v>299</v>
      </c>
      <c r="G300">
        <v>23078</v>
      </c>
    </row>
    <row r="301" spans="1:7" x14ac:dyDescent="0.35">
      <c r="A301" s="13">
        <v>42370</v>
      </c>
      <c r="B301">
        <f>YEAR(Table2__2[[#This Row],[Year1]])</f>
        <v>2016</v>
      </c>
      <c r="C301" t="s">
        <v>288</v>
      </c>
      <c r="D301" t="s">
        <v>222</v>
      </c>
      <c r="E301" t="s">
        <v>225</v>
      </c>
      <c r="F301" t="s">
        <v>299</v>
      </c>
      <c r="G301">
        <v>19448</v>
      </c>
    </row>
    <row r="302" spans="1:7" x14ac:dyDescent="0.35">
      <c r="A302" s="13">
        <v>42370</v>
      </c>
      <c r="B302">
        <f>YEAR(Table2__2[[#This Row],[Year1]])</f>
        <v>2016</v>
      </c>
      <c r="C302" t="s">
        <v>288</v>
      </c>
      <c r="D302" t="s">
        <v>222</v>
      </c>
      <c r="E302" t="s">
        <v>226</v>
      </c>
      <c r="F302" t="s">
        <v>299</v>
      </c>
      <c r="G302">
        <v>25634</v>
      </c>
    </row>
    <row r="303" spans="1:7" x14ac:dyDescent="0.35">
      <c r="A303" s="13">
        <v>42370</v>
      </c>
      <c r="B303">
        <f>YEAR(Table2__2[[#This Row],[Year1]])</f>
        <v>2016</v>
      </c>
      <c r="C303" t="s">
        <v>288</v>
      </c>
      <c r="D303" t="s">
        <v>222</v>
      </c>
      <c r="E303" t="s">
        <v>227</v>
      </c>
      <c r="F303" t="s">
        <v>299</v>
      </c>
      <c r="G303">
        <v>36562</v>
      </c>
    </row>
    <row r="304" spans="1:7" x14ac:dyDescent="0.35">
      <c r="A304" s="13">
        <v>42370</v>
      </c>
      <c r="B304">
        <f>YEAR(Table2__2[[#This Row],[Year1]])</f>
        <v>2016</v>
      </c>
      <c r="C304" t="s">
        <v>288</v>
      </c>
      <c r="D304" t="s">
        <v>222</v>
      </c>
      <c r="E304" t="s">
        <v>228</v>
      </c>
      <c r="F304" t="s">
        <v>299</v>
      </c>
      <c r="G304">
        <v>186830</v>
      </c>
    </row>
    <row r="305" spans="1:7" x14ac:dyDescent="0.35">
      <c r="A305" s="13">
        <v>42370</v>
      </c>
      <c r="B305">
        <f>YEAR(Table2__2[[#This Row],[Year1]])</f>
        <v>2016</v>
      </c>
      <c r="C305" t="s">
        <v>288</v>
      </c>
      <c r="D305" t="s">
        <v>222</v>
      </c>
      <c r="E305" t="s">
        <v>229</v>
      </c>
      <c r="F305" t="s">
        <v>299</v>
      </c>
      <c r="G305">
        <v>31891</v>
      </c>
    </row>
    <row r="306" spans="1:7" x14ac:dyDescent="0.35">
      <c r="A306" s="13">
        <v>42370</v>
      </c>
      <c r="B306">
        <f>YEAR(Table2__2[[#This Row],[Year1]])</f>
        <v>2016</v>
      </c>
      <c r="C306" t="s">
        <v>288</v>
      </c>
      <c r="D306" t="s">
        <v>222</v>
      </c>
      <c r="E306" t="s">
        <v>230</v>
      </c>
      <c r="F306" t="s">
        <v>299</v>
      </c>
      <c r="G306">
        <v>64891</v>
      </c>
    </row>
    <row r="307" spans="1:7" x14ac:dyDescent="0.35">
      <c r="A307" s="13">
        <v>42370</v>
      </c>
      <c r="B307">
        <f>YEAR(Table2__2[[#This Row],[Year1]])</f>
        <v>2016</v>
      </c>
      <c r="C307" t="s">
        <v>288</v>
      </c>
      <c r="D307" t="s">
        <v>222</v>
      </c>
      <c r="E307" t="s">
        <v>231</v>
      </c>
      <c r="F307" t="s">
        <v>299</v>
      </c>
      <c r="G307">
        <v>14170</v>
      </c>
    </row>
    <row r="308" spans="1:7" x14ac:dyDescent="0.35">
      <c r="A308" s="13">
        <v>42370</v>
      </c>
      <c r="B308">
        <f>YEAR(Table2__2[[#This Row],[Year1]])</f>
        <v>2016</v>
      </c>
      <c r="C308" t="s">
        <v>288</v>
      </c>
      <c r="D308" t="s">
        <v>232</v>
      </c>
      <c r="E308" t="s">
        <v>233</v>
      </c>
      <c r="F308" t="s">
        <v>299</v>
      </c>
      <c r="G308">
        <v>271</v>
      </c>
    </row>
    <row r="309" spans="1:7" x14ac:dyDescent="0.35">
      <c r="A309" s="13">
        <v>42370</v>
      </c>
      <c r="B309">
        <f>YEAR(Table2__2[[#This Row],[Year1]])</f>
        <v>2016</v>
      </c>
      <c r="C309" t="s">
        <v>288</v>
      </c>
      <c r="D309" t="s">
        <v>232</v>
      </c>
      <c r="E309" t="s">
        <v>234</v>
      </c>
      <c r="F309" t="s">
        <v>299</v>
      </c>
      <c r="G309">
        <v>226</v>
      </c>
    </row>
    <row r="310" spans="1:7" x14ac:dyDescent="0.35">
      <c r="A310" s="13">
        <v>42370</v>
      </c>
      <c r="B310">
        <f>YEAR(Table2__2[[#This Row],[Year1]])</f>
        <v>2016</v>
      </c>
      <c r="C310" t="s">
        <v>288</v>
      </c>
      <c r="D310" t="s">
        <v>232</v>
      </c>
      <c r="E310" t="s">
        <v>235</v>
      </c>
      <c r="F310" t="s">
        <v>299</v>
      </c>
      <c r="G310">
        <v>716</v>
      </c>
    </row>
    <row r="311" spans="1:7" x14ac:dyDescent="0.35">
      <c r="A311" s="13">
        <v>42370</v>
      </c>
      <c r="B311">
        <f>YEAR(Table2__2[[#This Row],[Year1]])</f>
        <v>2016</v>
      </c>
      <c r="C311" t="s">
        <v>288</v>
      </c>
      <c r="D311" t="s">
        <v>232</v>
      </c>
      <c r="E311" t="s">
        <v>236</v>
      </c>
      <c r="F311" t="s">
        <v>299</v>
      </c>
      <c r="G311">
        <v>505</v>
      </c>
    </row>
    <row r="312" spans="1:7" x14ac:dyDescent="0.35">
      <c r="A312" s="13">
        <v>42370</v>
      </c>
      <c r="B312">
        <f>YEAR(Table2__2[[#This Row],[Year1]])</f>
        <v>2016</v>
      </c>
      <c r="C312" t="s">
        <v>288</v>
      </c>
      <c r="D312" t="s">
        <v>232</v>
      </c>
      <c r="E312" t="s">
        <v>237</v>
      </c>
      <c r="F312" t="s">
        <v>299</v>
      </c>
      <c r="G312">
        <v>43</v>
      </c>
    </row>
    <row r="313" spans="1:7" x14ac:dyDescent="0.35">
      <c r="A313" s="13">
        <v>42370</v>
      </c>
      <c r="B313">
        <f>YEAR(Table2__2[[#This Row],[Year1]])</f>
        <v>2016</v>
      </c>
      <c r="C313" t="s">
        <v>288</v>
      </c>
      <c r="D313" t="s">
        <v>232</v>
      </c>
      <c r="E313" t="s">
        <v>238</v>
      </c>
      <c r="F313" t="s">
        <v>299</v>
      </c>
      <c r="G313">
        <v>25</v>
      </c>
    </row>
    <row r="314" spans="1:7" x14ac:dyDescent="0.35">
      <c r="A314" s="13">
        <v>42370</v>
      </c>
      <c r="B314">
        <f>YEAR(Table2__2[[#This Row],[Year1]])</f>
        <v>2016</v>
      </c>
      <c r="C314" t="s">
        <v>288</v>
      </c>
      <c r="D314" t="s">
        <v>232</v>
      </c>
      <c r="E314" t="s">
        <v>239</v>
      </c>
      <c r="F314" t="s">
        <v>299</v>
      </c>
      <c r="G314">
        <v>3205</v>
      </c>
    </row>
    <row r="315" spans="1:7" x14ac:dyDescent="0.35">
      <c r="A315" s="13">
        <v>42370</v>
      </c>
      <c r="B315">
        <f>YEAR(Table2__2[[#This Row],[Year1]])</f>
        <v>2016</v>
      </c>
      <c r="C315" t="s">
        <v>288</v>
      </c>
      <c r="D315" t="s">
        <v>232</v>
      </c>
      <c r="E315" t="s">
        <v>240</v>
      </c>
      <c r="F315" t="s">
        <v>299</v>
      </c>
      <c r="G315">
        <v>764</v>
      </c>
    </row>
    <row r="316" spans="1:7" x14ac:dyDescent="0.35">
      <c r="A316" s="13">
        <v>42370</v>
      </c>
      <c r="B316">
        <f>YEAR(Table2__2[[#This Row],[Year1]])</f>
        <v>2016</v>
      </c>
      <c r="C316" t="s">
        <v>288</v>
      </c>
      <c r="D316" t="s">
        <v>232</v>
      </c>
      <c r="E316" t="s">
        <v>241</v>
      </c>
      <c r="F316" t="s">
        <v>299</v>
      </c>
      <c r="G316">
        <v>694</v>
      </c>
    </row>
    <row r="317" spans="1:7" x14ac:dyDescent="0.35">
      <c r="A317" s="13">
        <v>42370</v>
      </c>
      <c r="B317">
        <f>YEAR(Table2__2[[#This Row],[Year1]])</f>
        <v>2016</v>
      </c>
      <c r="C317" t="s">
        <v>288</v>
      </c>
      <c r="D317" t="s">
        <v>232</v>
      </c>
      <c r="E317" t="s">
        <v>242</v>
      </c>
      <c r="F317" t="s">
        <v>299</v>
      </c>
      <c r="G317">
        <v>206</v>
      </c>
    </row>
    <row r="318" spans="1:7" x14ac:dyDescent="0.35">
      <c r="A318" s="13">
        <v>42370</v>
      </c>
      <c r="B318">
        <f>YEAR(Table2__2[[#This Row],[Year1]])</f>
        <v>2016</v>
      </c>
      <c r="C318" t="s">
        <v>288</v>
      </c>
      <c r="D318" t="s">
        <v>232</v>
      </c>
      <c r="E318" t="s">
        <v>243</v>
      </c>
      <c r="F318" t="s">
        <v>299</v>
      </c>
      <c r="G318">
        <v>291</v>
      </c>
    </row>
    <row r="319" spans="1:7" x14ac:dyDescent="0.35">
      <c r="A319" s="13">
        <v>42370</v>
      </c>
      <c r="B319">
        <f>YEAR(Table2__2[[#This Row],[Year1]])</f>
        <v>2016</v>
      </c>
      <c r="C319" t="s">
        <v>289</v>
      </c>
      <c r="D319" t="s">
        <v>281</v>
      </c>
      <c r="E319" t="s">
        <v>226</v>
      </c>
      <c r="F319" t="s">
        <v>301</v>
      </c>
      <c r="G319">
        <v>16731</v>
      </c>
    </row>
    <row r="320" spans="1:7" x14ac:dyDescent="0.35">
      <c r="A320" s="13">
        <v>42370</v>
      </c>
      <c r="B320">
        <f>YEAR(Table2__2[[#This Row],[Year1]])</f>
        <v>2016</v>
      </c>
      <c r="C320" t="s">
        <v>289</v>
      </c>
      <c r="D320" t="s">
        <v>281</v>
      </c>
      <c r="E320" t="s">
        <v>227</v>
      </c>
      <c r="F320" t="s">
        <v>301</v>
      </c>
      <c r="G320">
        <v>24595</v>
      </c>
    </row>
    <row r="321" spans="1:7" x14ac:dyDescent="0.35">
      <c r="A321" s="13">
        <v>42370</v>
      </c>
      <c r="B321">
        <f>YEAR(Table2__2[[#This Row],[Year1]])</f>
        <v>2016</v>
      </c>
      <c r="C321" t="s">
        <v>289</v>
      </c>
      <c r="D321" t="s">
        <v>281</v>
      </c>
      <c r="E321" t="s">
        <v>229</v>
      </c>
      <c r="F321" t="s">
        <v>301</v>
      </c>
      <c r="G321">
        <v>44792</v>
      </c>
    </row>
    <row r="322" spans="1:7" x14ac:dyDescent="0.35">
      <c r="A322" s="13">
        <v>42370</v>
      </c>
      <c r="B322">
        <f>YEAR(Table2__2[[#This Row],[Year1]])</f>
        <v>2016</v>
      </c>
      <c r="C322" t="s">
        <v>289</v>
      </c>
      <c r="D322" t="s">
        <v>281</v>
      </c>
      <c r="E322" t="s">
        <v>230</v>
      </c>
      <c r="F322" t="s">
        <v>301</v>
      </c>
      <c r="G322">
        <v>10098</v>
      </c>
    </row>
    <row r="323" spans="1:7" x14ac:dyDescent="0.35">
      <c r="A323" s="13">
        <v>42370</v>
      </c>
      <c r="B323">
        <f>YEAR(Table2__2[[#This Row],[Year1]])</f>
        <v>2016</v>
      </c>
      <c r="C323" t="s">
        <v>289</v>
      </c>
      <c r="D323" t="s">
        <v>283</v>
      </c>
      <c r="E323" t="s">
        <v>244</v>
      </c>
      <c r="F323" t="s">
        <v>301</v>
      </c>
      <c r="G323">
        <v>2669</v>
      </c>
    </row>
    <row r="324" spans="1:7" x14ac:dyDescent="0.35">
      <c r="A324" s="13">
        <v>42370</v>
      </c>
      <c r="B324">
        <f>YEAR(Table2__2[[#This Row],[Year1]])</f>
        <v>2016</v>
      </c>
      <c r="C324" t="s">
        <v>289</v>
      </c>
      <c r="D324" t="s">
        <v>283</v>
      </c>
      <c r="E324" t="s">
        <v>245</v>
      </c>
      <c r="F324" t="s">
        <v>301</v>
      </c>
      <c r="G324">
        <v>870</v>
      </c>
    </row>
    <row r="325" spans="1:7" x14ac:dyDescent="0.35">
      <c r="A325" s="13">
        <v>42370</v>
      </c>
      <c r="B325">
        <f>YEAR(Table2__2[[#This Row],[Year1]])</f>
        <v>2016</v>
      </c>
      <c r="C325" t="s">
        <v>289</v>
      </c>
      <c r="D325" t="s">
        <v>283</v>
      </c>
      <c r="E325" t="s">
        <v>246</v>
      </c>
      <c r="F325" t="s">
        <v>301</v>
      </c>
      <c r="G325">
        <v>2042</v>
      </c>
    </row>
    <row r="326" spans="1:7" x14ac:dyDescent="0.35">
      <c r="A326" s="13">
        <v>42370</v>
      </c>
      <c r="B326">
        <f>YEAR(Table2__2[[#This Row],[Year1]])</f>
        <v>2016</v>
      </c>
      <c r="C326" t="s">
        <v>289</v>
      </c>
      <c r="D326" t="s">
        <v>283</v>
      </c>
      <c r="E326" t="s">
        <v>234</v>
      </c>
      <c r="F326" t="s">
        <v>301</v>
      </c>
      <c r="G326">
        <v>9812</v>
      </c>
    </row>
    <row r="327" spans="1:7" x14ac:dyDescent="0.35">
      <c r="A327" s="13">
        <v>42370</v>
      </c>
      <c r="B327">
        <f>YEAR(Table2__2[[#This Row],[Year1]])</f>
        <v>2016</v>
      </c>
      <c r="C327" t="s">
        <v>289</v>
      </c>
      <c r="D327" t="s">
        <v>283</v>
      </c>
      <c r="E327" t="s">
        <v>247</v>
      </c>
      <c r="F327" t="s">
        <v>301</v>
      </c>
      <c r="G327">
        <v>2819</v>
      </c>
    </row>
    <row r="328" spans="1:7" x14ac:dyDescent="0.35">
      <c r="A328" s="13">
        <v>42370</v>
      </c>
      <c r="B328">
        <f>YEAR(Table2__2[[#This Row],[Year1]])</f>
        <v>2016</v>
      </c>
      <c r="C328" t="s">
        <v>289</v>
      </c>
      <c r="D328" t="s">
        <v>283</v>
      </c>
      <c r="E328" t="s">
        <v>235</v>
      </c>
      <c r="F328" t="s">
        <v>301</v>
      </c>
      <c r="G328">
        <v>4901</v>
      </c>
    </row>
    <row r="329" spans="1:7" x14ac:dyDescent="0.35">
      <c r="A329" s="13">
        <v>42370</v>
      </c>
      <c r="B329">
        <f>YEAR(Table2__2[[#This Row],[Year1]])</f>
        <v>2016</v>
      </c>
      <c r="C329" t="s">
        <v>289</v>
      </c>
      <c r="D329" t="s">
        <v>283</v>
      </c>
      <c r="E329" t="s">
        <v>226</v>
      </c>
      <c r="F329" t="s">
        <v>301</v>
      </c>
      <c r="G329">
        <v>3</v>
      </c>
    </row>
    <row r="330" spans="1:7" x14ac:dyDescent="0.35">
      <c r="A330" s="13">
        <v>42370</v>
      </c>
      <c r="B330">
        <f>YEAR(Table2__2[[#This Row],[Year1]])</f>
        <v>2016</v>
      </c>
      <c r="C330" t="s">
        <v>289</v>
      </c>
      <c r="D330" t="s">
        <v>283</v>
      </c>
      <c r="E330" t="s">
        <v>248</v>
      </c>
      <c r="F330" t="s">
        <v>301</v>
      </c>
      <c r="G330">
        <v>4672</v>
      </c>
    </row>
    <row r="331" spans="1:7" x14ac:dyDescent="0.35">
      <c r="A331" s="13">
        <v>42370</v>
      </c>
      <c r="B331">
        <f>YEAR(Table2__2[[#This Row],[Year1]])</f>
        <v>2016</v>
      </c>
      <c r="C331" t="s">
        <v>289</v>
      </c>
      <c r="D331" t="s">
        <v>283</v>
      </c>
      <c r="E331" t="s">
        <v>227</v>
      </c>
      <c r="F331" t="s">
        <v>301</v>
      </c>
      <c r="G331">
        <v>22</v>
      </c>
    </row>
    <row r="332" spans="1:7" x14ac:dyDescent="0.35">
      <c r="A332" s="13">
        <v>42370</v>
      </c>
      <c r="B332">
        <f>YEAR(Table2__2[[#This Row],[Year1]])</f>
        <v>2016</v>
      </c>
      <c r="C332" t="s">
        <v>289</v>
      </c>
      <c r="D332" t="s">
        <v>283</v>
      </c>
      <c r="E332" t="s">
        <v>249</v>
      </c>
      <c r="F332" t="s">
        <v>301</v>
      </c>
      <c r="G332">
        <v>4141</v>
      </c>
    </row>
    <row r="333" spans="1:7" x14ac:dyDescent="0.35">
      <c r="A333" s="13">
        <v>42370</v>
      </c>
      <c r="B333">
        <f>YEAR(Table2__2[[#This Row],[Year1]])</f>
        <v>2016</v>
      </c>
      <c r="C333" t="s">
        <v>289</v>
      </c>
      <c r="D333" t="s">
        <v>283</v>
      </c>
      <c r="E333" t="s">
        <v>239</v>
      </c>
      <c r="F333" t="s">
        <v>301</v>
      </c>
      <c r="G333">
        <v>4377</v>
      </c>
    </row>
    <row r="334" spans="1:7" x14ac:dyDescent="0.35">
      <c r="A334" s="13">
        <v>42370</v>
      </c>
      <c r="B334">
        <f>YEAR(Table2__2[[#This Row],[Year1]])</f>
        <v>2016</v>
      </c>
      <c r="C334" t="s">
        <v>289</v>
      </c>
      <c r="D334" t="s">
        <v>283</v>
      </c>
      <c r="E334" t="s">
        <v>240</v>
      </c>
      <c r="F334" t="s">
        <v>301</v>
      </c>
      <c r="G334">
        <v>37</v>
      </c>
    </row>
    <row r="335" spans="1:7" x14ac:dyDescent="0.35">
      <c r="A335" s="13">
        <v>42370</v>
      </c>
      <c r="B335">
        <f>YEAR(Table2__2[[#This Row],[Year1]])</f>
        <v>2016</v>
      </c>
      <c r="C335" t="s">
        <v>289</v>
      </c>
      <c r="D335" t="s">
        <v>283</v>
      </c>
      <c r="E335" t="s">
        <v>250</v>
      </c>
      <c r="F335" t="s">
        <v>301</v>
      </c>
      <c r="G335">
        <v>4063</v>
      </c>
    </row>
    <row r="336" spans="1:7" x14ac:dyDescent="0.35">
      <c r="A336" s="13">
        <v>42370</v>
      </c>
      <c r="B336">
        <f>YEAR(Table2__2[[#This Row],[Year1]])</f>
        <v>2016</v>
      </c>
      <c r="C336" t="s">
        <v>289</v>
      </c>
      <c r="D336" t="s">
        <v>283</v>
      </c>
      <c r="E336" t="s">
        <v>251</v>
      </c>
      <c r="F336" t="s">
        <v>301</v>
      </c>
      <c r="G336">
        <v>361</v>
      </c>
    </row>
    <row r="337" spans="1:7" x14ac:dyDescent="0.35">
      <c r="A337" s="13">
        <v>42370</v>
      </c>
      <c r="B337">
        <f>YEAR(Table2__2[[#This Row],[Year1]])</f>
        <v>2016</v>
      </c>
      <c r="C337" t="s">
        <v>289</v>
      </c>
      <c r="D337" t="s">
        <v>283</v>
      </c>
      <c r="E337" t="s">
        <v>229</v>
      </c>
      <c r="F337" t="s">
        <v>301</v>
      </c>
      <c r="G337">
        <v>49</v>
      </c>
    </row>
    <row r="338" spans="1:7" x14ac:dyDescent="0.35">
      <c r="A338" s="13">
        <v>42370</v>
      </c>
      <c r="B338">
        <f>YEAR(Table2__2[[#This Row],[Year1]])</f>
        <v>2016</v>
      </c>
      <c r="C338" t="s">
        <v>289</v>
      </c>
      <c r="D338" t="s">
        <v>283</v>
      </c>
      <c r="E338" t="s">
        <v>252</v>
      </c>
      <c r="F338" t="s">
        <v>301</v>
      </c>
      <c r="G338">
        <v>2064</v>
      </c>
    </row>
    <row r="339" spans="1:7" x14ac:dyDescent="0.35">
      <c r="A339" s="13">
        <v>42370</v>
      </c>
      <c r="B339">
        <f>YEAR(Table2__2[[#This Row],[Year1]])</f>
        <v>2016</v>
      </c>
      <c r="C339" t="s">
        <v>289</v>
      </c>
      <c r="D339" t="s">
        <v>283</v>
      </c>
      <c r="E339" t="s">
        <v>253</v>
      </c>
      <c r="F339" t="s">
        <v>301</v>
      </c>
      <c r="G339">
        <v>737</v>
      </c>
    </row>
    <row r="340" spans="1:7" x14ac:dyDescent="0.35">
      <c r="A340" s="13">
        <v>42370</v>
      </c>
      <c r="B340">
        <f>YEAR(Table2__2[[#This Row],[Year1]])</f>
        <v>2016</v>
      </c>
      <c r="C340" t="s">
        <v>289</v>
      </c>
      <c r="D340" t="s">
        <v>283</v>
      </c>
      <c r="E340" t="s">
        <v>254</v>
      </c>
      <c r="F340" t="s">
        <v>301</v>
      </c>
      <c r="G340">
        <v>6268</v>
      </c>
    </row>
    <row r="341" spans="1:7" x14ac:dyDescent="0.35">
      <c r="A341" s="13">
        <v>42370</v>
      </c>
      <c r="B341">
        <f>YEAR(Table2__2[[#This Row],[Year1]])</f>
        <v>2016</v>
      </c>
      <c r="C341" t="s">
        <v>289</v>
      </c>
      <c r="D341" t="s">
        <v>283</v>
      </c>
      <c r="E341" t="s">
        <v>255</v>
      </c>
      <c r="F341" t="s">
        <v>301</v>
      </c>
      <c r="G341">
        <v>832</v>
      </c>
    </row>
    <row r="342" spans="1:7" x14ac:dyDescent="0.35">
      <c r="A342" s="13">
        <v>42370</v>
      </c>
      <c r="B342">
        <f>YEAR(Table2__2[[#This Row],[Year1]])</f>
        <v>2016</v>
      </c>
      <c r="C342" t="s">
        <v>289</v>
      </c>
      <c r="D342" t="s">
        <v>283</v>
      </c>
      <c r="E342" t="s">
        <v>230</v>
      </c>
      <c r="F342" t="s">
        <v>301</v>
      </c>
      <c r="G342">
        <v>38</v>
      </c>
    </row>
    <row r="343" spans="1:7" x14ac:dyDescent="0.35">
      <c r="A343" s="13">
        <v>42370</v>
      </c>
      <c r="B343">
        <f>YEAR(Table2__2[[#This Row],[Year1]])</f>
        <v>2016</v>
      </c>
      <c r="C343" t="s">
        <v>289</v>
      </c>
      <c r="D343" t="s">
        <v>283</v>
      </c>
      <c r="E343" t="s">
        <v>298</v>
      </c>
      <c r="F343" t="s">
        <v>301</v>
      </c>
      <c r="G343">
        <v>6494</v>
      </c>
    </row>
    <row r="344" spans="1:7" x14ac:dyDescent="0.35">
      <c r="A344" s="13">
        <v>42370</v>
      </c>
      <c r="B344">
        <f>YEAR(Table2__2[[#This Row],[Year1]])</f>
        <v>2016</v>
      </c>
      <c r="C344" t="s">
        <v>289</v>
      </c>
      <c r="D344" t="s">
        <v>283</v>
      </c>
      <c r="E344" t="s">
        <v>257</v>
      </c>
      <c r="F344" t="s">
        <v>301</v>
      </c>
      <c r="G344">
        <v>45</v>
      </c>
    </row>
    <row r="345" spans="1:7" x14ac:dyDescent="0.35">
      <c r="A345" s="13">
        <v>42370</v>
      </c>
      <c r="B345">
        <f>YEAR(Table2__2[[#This Row],[Year1]])</f>
        <v>2016</v>
      </c>
      <c r="C345" t="s">
        <v>290</v>
      </c>
      <c r="D345" t="s">
        <v>425</v>
      </c>
      <c r="E345" t="s">
        <v>244</v>
      </c>
      <c r="F345" t="s">
        <v>302</v>
      </c>
      <c r="G345">
        <v>75</v>
      </c>
    </row>
    <row r="346" spans="1:7" x14ac:dyDescent="0.35">
      <c r="A346" s="13">
        <v>42370</v>
      </c>
      <c r="B346">
        <f>YEAR(Table2__2[[#This Row],[Year1]])</f>
        <v>2016</v>
      </c>
      <c r="C346" t="s">
        <v>290</v>
      </c>
      <c r="D346" t="s">
        <v>425</v>
      </c>
      <c r="E346" t="s">
        <v>245</v>
      </c>
      <c r="F346" t="s">
        <v>302</v>
      </c>
      <c r="G346">
        <v>34</v>
      </c>
    </row>
    <row r="347" spans="1:7" x14ac:dyDescent="0.35">
      <c r="A347" s="13">
        <v>42370</v>
      </c>
      <c r="B347">
        <f>YEAR(Table2__2[[#This Row],[Year1]])</f>
        <v>2016</v>
      </c>
      <c r="C347" t="s">
        <v>290</v>
      </c>
      <c r="D347" t="s">
        <v>425</v>
      </c>
      <c r="E347" t="s">
        <v>246</v>
      </c>
      <c r="F347" t="s">
        <v>302</v>
      </c>
      <c r="G347">
        <v>91</v>
      </c>
    </row>
    <row r="348" spans="1:7" x14ac:dyDescent="0.35">
      <c r="A348" s="13">
        <v>42370</v>
      </c>
      <c r="B348">
        <f>YEAR(Table2__2[[#This Row],[Year1]])</f>
        <v>2016</v>
      </c>
      <c r="C348" t="s">
        <v>290</v>
      </c>
      <c r="D348" t="s">
        <v>425</v>
      </c>
      <c r="E348" t="s">
        <v>234</v>
      </c>
      <c r="F348" t="s">
        <v>302</v>
      </c>
      <c r="G348">
        <v>42</v>
      </c>
    </row>
    <row r="349" spans="1:7" x14ac:dyDescent="0.35">
      <c r="A349" s="13">
        <v>42370</v>
      </c>
      <c r="B349">
        <f>YEAR(Table2__2[[#This Row],[Year1]])</f>
        <v>2016</v>
      </c>
      <c r="C349" t="s">
        <v>290</v>
      </c>
      <c r="D349" t="s">
        <v>425</v>
      </c>
      <c r="E349" t="s">
        <v>247</v>
      </c>
      <c r="F349" t="s">
        <v>302</v>
      </c>
      <c r="G349">
        <v>379</v>
      </c>
    </row>
    <row r="350" spans="1:7" x14ac:dyDescent="0.35">
      <c r="A350" s="13">
        <v>42370</v>
      </c>
      <c r="B350">
        <f>YEAR(Table2__2[[#This Row],[Year1]])</f>
        <v>2016</v>
      </c>
      <c r="C350" t="s">
        <v>290</v>
      </c>
      <c r="D350" t="s">
        <v>425</v>
      </c>
      <c r="E350" t="s">
        <v>259</v>
      </c>
      <c r="F350" t="s">
        <v>302</v>
      </c>
      <c r="G350">
        <v>131</v>
      </c>
    </row>
    <row r="351" spans="1:7" x14ac:dyDescent="0.35">
      <c r="A351" s="13">
        <v>42370</v>
      </c>
      <c r="B351">
        <f>YEAR(Table2__2[[#This Row],[Year1]])</f>
        <v>2016</v>
      </c>
      <c r="C351" t="s">
        <v>290</v>
      </c>
      <c r="D351" t="s">
        <v>425</v>
      </c>
      <c r="E351" t="s">
        <v>260</v>
      </c>
      <c r="F351" t="s">
        <v>302</v>
      </c>
      <c r="G351">
        <v>90</v>
      </c>
    </row>
    <row r="352" spans="1:7" x14ac:dyDescent="0.35">
      <c r="A352" s="13">
        <v>42370</v>
      </c>
      <c r="B352">
        <f>YEAR(Table2__2[[#This Row],[Year1]])</f>
        <v>2016</v>
      </c>
      <c r="C352" t="s">
        <v>290</v>
      </c>
      <c r="D352" t="s">
        <v>425</v>
      </c>
      <c r="E352" t="s">
        <v>235</v>
      </c>
      <c r="F352" t="s">
        <v>302</v>
      </c>
      <c r="G352">
        <v>98</v>
      </c>
    </row>
    <row r="353" spans="1:7" x14ac:dyDescent="0.35">
      <c r="A353" s="13">
        <v>42370</v>
      </c>
      <c r="B353">
        <f>YEAR(Table2__2[[#This Row],[Year1]])</f>
        <v>2016</v>
      </c>
      <c r="C353" t="s">
        <v>290</v>
      </c>
      <c r="D353" t="s">
        <v>425</v>
      </c>
      <c r="E353" t="s">
        <v>226</v>
      </c>
      <c r="F353" t="s">
        <v>302</v>
      </c>
      <c r="G353">
        <v>343</v>
      </c>
    </row>
    <row r="354" spans="1:7" x14ac:dyDescent="0.35">
      <c r="A354" s="13">
        <v>42370</v>
      </c>
      <c r="B354">
        <f>YEAR(Table2__2[[#This Row],[Year1]])</f>
        <v>2016</v>
      </c>
      <c r="C354" t="s">
        <v>290</v>
      </c>
      <c r="D354" t="s">
        <v>425</v>
      </c>
      <c r="E354" t="s">
        <v>261</v>
      </c>
      <c r="F354" t="s">
        <v>302</v>
      </c>
      <c r="G354">
        <v>60</v>
      </c>
    </row>
    <row r="355" spans="1:7" x14ac:dyDescent="0.35">
      <c r="A355" s="13">
        <v>42370</v>
      </c>
      <c r="B355">
        <f>YEAR(Table2__2[[#This Row],[Year1]])</f>
        <v>2016</v>
      </c>
      <c r="C355" t="s">
        <v>290</v>
      </c>
      <c r="D355" t="s">
        <v>425</v>
      </c>
      <c r="E355" t="s">
        <v>248</v>
      </c>
      <c r="F355" t="s">
        <v>302</v>
      </c>
      <c r="G355">
        <v>251</v>
      </c>
    </row>
    <row r="356" spans="1:7" x14ac:dyDescent="0.35">
      <c r="A356" s="13">
        <v>42370</v>
      </c>
      <c r="B356">
        <f>YEAR(Table2__2[[#This Row],[Year1]])</f>
        <v>2016</v>
      </c>
      <c r="C356" t="s">
        <v>290</v>
      </c>
      <c r="D356" t="s">
        <v>425</v>
      </c>
      <c r="E356" t="s">
        <v>249</v>
      </c>
      <c r="F356" t="s">
        <v>302</v>
      </c>
      <c r="G356">
        <v>210</v>
      </c>
    </row>
    <row r="357" spans="1:7" x14ac:dyDescent="0.35">
      <c r="A357" s="13">
        <v>42370</v>
      </c>
      <c r="B357">
        <f>YEAR(Table2__2[[#This Row],[Year1]])</f>
        <v>2016</v>
      </c>
      <c r="C357" t="s">
        <v>290</v>
      </c>
      <c r="D357" t="s">
        <v>425</v>
      </c>
      <c r="E357" t="s">
        <v>239</v>
      </c>
      <c r="F357" t="s">
        <v>302</v>
      </c>
      <c r="G357">
        <v>397</v>
      </c>
    </row>
    <row r="358" spans="1:7" x14ac:dyDescent="0.35">
      <c r="A358" s="13">
        <v>42370</v>
      </c>
      <c r="B358">
        <f>YEAR(Table2__2[[#This Row],[Year1]])</f>
        <v>2016</v>
      </c>
      <c r="C358" t="s">
        <v>290</v>
      </c>
      <c r="D358" t="s">
        <v>425</v>
      </c>
      <c r="E358" t="s">
        <v>240</v>
      </c>
      <c r="F358" t="s">
        <v>302</v>
      </c>
      <c r="G358">
        <v>224</v>
      </c>
    </row>
    <row r="359" spans="1:7" x14ac:dyDescent="0.35">
      <c r="A359" s="13">
        <v>42370</v>
      </c>
      <c r="B359">
        <f>YEAR(Table2__2[[#This Row],[Year1]])</f>
        <v>2016</v>
      </c>
      <c r="C359" t="s">
        <v>290</v>
      </c>
      <c r="D359" t="s">
        <v>425</v>
      </c>
      <c r="E359" t="s">
        <v>250</v>
      </c>
      <c r="F359" t="s">
        <v>302</v>
      </c>
      <c r="G359">
        <v>155</v>
      </c>
    </row>
    <row r="360" spans="1:7" x14ac:dyDescent="0.35">
      <c r="A360" s="13">
        <v>42370</v>
      </c>
      <c r="B360">
        <f>YEAR(Table2__2[[#This Row],[Year1]])</f>
        <v>2016</v>
      </c>
      <c r="C360" t="s">
        <v>290</v>
      </c>
      <c r="D360" t="s">
        <v>425</v>
      </c>
      <c r="E360" t="s">
        <v>265</v>
      </c>
      <c r="F360" t="s">
        <v>302</v>
      </c>
      <c r="G360">
        <v>108</v>
      </c>
    </row>
    <row r="361" spans="1:7" x14ac:dyDescent="0.35">
      <c r="A361" s="13">
        <v>42370</v>
      </c>
      <c r="B361">
        <f>YEAR(Table2__2[[#This Row],[Year1]])</f>
        <v>2016</v>
      </c>
      <c r="C361" t="s">
        <v>290</v>
      </c>
      <c r="D361" t="s">
        <v>425</v>
      </c>
      <c r="E361" t="s">
        <v>266</v>
      </c>
      <c r="F361" t="s">
        <v>302</v>
      </c>
      <c r="G361">
        <v>87</v>
      </c>
    </row>
    <row r="362" spans="1:7" x14ac:dyDescent="0.35">
      <c r="A362" s="13">
        <v>42370</v>
      </c>
      <c r="B362">
        <f>YEAR(Table2__2[[#This Row],[Year1]])</f>
        <v>2016</v>
      </c>
      <c r="C362" t="s">
        <v>290</v>
      </c>
      <c r="D362" t="s">
        <v>425</v>
      </c>
      <c r="E362" t="s">
        <v>267</v>
      </c>
      <c r="F362" t="s">
        <v>302</v>
      </c>
      <c r="G362">
        <v>337</v>
      </c>
    </row>
    <row r="363" spans="1:7" x14ac:dyDescent="0.35">
      <c r="A363" s="13">
        <v>42370</v>
      </c>
      <c r="B363">
        <f>YEAR(Table2__2[[#This Row],[Year1]])</f>
        <v>2016</v>
      </c>
      <c r="C363" t="s">
        <v>290</v>
      </c>
      <c r="D363" t="s">
        <v>425</v>
      </c>
      <c r="E363" t="s">
        <v>268</v>
      </c>
      <c r="F363" t="s">
        <v>302</v>
      </c>
      <c r="G363">
        <v>50</v>
      </c>
    </row>
    <row r="364" spans="1:7" x14ac:dyDescent="0.35">
      <c r="A364" s="13">
        <v>42370</v>
      </c>
      <c r="B364">
        <f>YEAR(Table2__2[[#This Row],[Year1]])</f>
        <v>2016</v>
      </c>
      <c r="C364" t="s">
        <v>290</v>
      </c>
      <c r="D364" t="s">
        <v>425</v>
      </c>
      <c r="E364" t="s">
        <v>269</v>
      </c>
      <c r="F364" t="s">
        <v>302</v>
      </c>
      <c r="G364">
        <v>662</v>
      </c>
    </row>
    <row r="365" spans="1:7" x14ac:dyDescent="0.35">
      <c r="A365" s="13">
        <v>42370</v>
      </c>
      <c r="B365">
        <f>YEAR(Table2__2[[#This Row],[Year1]])</f>
        <v>2016</v>
      </c>
      <c r="C365" t="s">
        <v>290</v>
      </c>
      <c r="D365" t="s">
        <v>425</v>
      </c>
      <c r="E365" t="s">
        <v>229</v>
      </c>
      <c r="F365" t="s">
        <v>302</v>
      </c>
      <c r="G365">
        <v>145</v>
      </c>
    </row>
    <row r="366" spans="1:7" x14ac:dyDescent="0.35">
      <c r="A366" s="13">
        <v>42370</v>
      </c>
      <c r="B366">
        <f>YEAR(Table2__2[[#This Row],[Year1]])</f>
        <v>2016</v>
      </c>
      <c r="C366" t="s">
        <v>290</v>
      </c>
      <c r="D366" t="s">
        <v>425</v>
      </c>
      <c r="E366" t="s">
        <v>252</v>
      </c>
      <c r="F366" t="s">
        <v>302</v>
      </c>
      <c r="G366">
        <v>61</v>
      </c>
    </row>
    <row r="367" spans="1:7" x14ac:dyDescent="0.35">
      <c r="A367" s="13">
        <v>42370</v>
      </c>
      <c r="B367">
        <f>YEAR(Table2__2[[#This Row],[Year1]])</f>
        <v>2016</v>
      </c>
      <c r="C367" t="s">
        <v>290</v>
      </c>
      <c r="D367" t="s">
        <v>425</v>
      </c>
      <c r="E367" t="s">
        <v>253</v>
      </c>
      <c r="F367" t="s">
        <v>302</v>
      </c>
      <c r="G367">
        <v>15</v>
      </c>
    </row>
    <row r="368" spans="1:7" x14ac:dyDescent="0.35">
      <c r="A368" s="13">
        <v>42370</v>
      </c>
      <c r="B368">
        <f>YEAR(Table2__2[[#This Row],[Year1]])</f>
        <v>2016</v>
      </c>
      <c r="C368" t="s">
        <v>290</v>
      </c>
      <c r="D368" t="s">
        <v>425</v>
      </c>
      <c r="E368" t="s">
        <v>254</v>
      </c>
      <c r="F368" t="s">
        <v>302</v>
      </c>
      <c r="G368">
        <v>117</v>
      </c>
    </row>
    <row r="369" spans="1:7" x14ac:dyDescent="0.35">
      <c r="A369" s="13">
        <v>42370</v>
      </c>
      <c r="B369">
        <f>YEAR(Table2__2[[#This Row],[Year1]])</f>
        <v>2016</v>
      </c>
      <c r="C369" t="s">
        <v>290</v>
      </c>
      <c r="D369" t="s">
        <v>425</v>
      </c>
      <c r="E369" t="s">
        <v>255</v>
      </c>
      <c r="F369" t="s">
        <v>302</v>
      </c>
      <c r="G369">
        <v>45</v>
      </c>
    </row>
    <row r="370" spans="1:7" x14ac:dyDescent="0.35">
      <c r="A370" s="13">
        <v>42370</v>
      </c>
      <c r="B370">
        <f>YEAR(Table2__2[[#This Row],[Year1]])</f>
        <v>2016</v>
      </c>
      <c r="C370" t="s">
        <v>290</v>
      </c>
      <c r="D370" t="s">
        <v>425</v>
      </c>
      <c r="E370" t="s">
        <v>270</v>
      </c>
      <c r="F370" t="s">
        <v>302</v>
      </c>
      <c r="G370">
        <v>73</v>
      </c>
    </row>
    <row r="371" spans="1:7" x14ac:dyDescent="0.35">
      <c r="A371" s="13">
        <v>42370</v>
      </c>
      <c r="B371">
        <f>YEAR(Table2__2[[#This Row],[Year1]])</f>
        <v>2016</v>
      </c>
      <c r="C371" t="s">
        <v>290</v>
      </c>
      <c r="D371" t="s">
        <v>426</v>
      </c>
      <c r="E371" t="s">
        <v>271</v>
      </c>
      <c r="F371" t="s">
        <v>302</v>
      </c>
      <c r="G371">
        <v>50</v>
      </c>
    </row>
    <row r="372" spans="1:7" x14ac:dyDescent="0.35">
      <c r="A372" s="13">
        <v>42370</v>
      </c>
      <c r="B372">
        <f>YEAR(Table2__2[[#This Row],[Year1]])</f>
        <v>2016</v>
      </c>
      <c r="C372" t="s">
        <v>291</v>
      </c>
      <c r="D372" t="s">
        <v>425</v>
      </c>
      <c r="E372" t="s">
        <v>244</v>
      </c>
      <c r="F372" t="s">
        <v>302</v>
      </c>
      <c r="G372">
        <v>8866</v>
      </c>
    </row>
    <row r="373" spans="1:7" x14ac:dyDescent="0.35">
      <c r="A373" s="13">
        <v>42370</v>
      </c>
      <c r="B373">
        <f>YEAR(Table2__2[[#This Row],[Year1]])</f>
        <v>2016</v>
      </c>
      <c r="C373" t="s">
        <v>291</v>
      </c>
      <c r="D373" t="s">
        <v>425</v>
      </c>
      <c r="E373" t="s">
        <v>245</v>
      </c>
      <c r="F373" t="s">
        <v>302</v>
      </c>
      <c r="G373">
        <v>1239</v>
      </c>
    </row>
    <row r="374" spans="1:7" x14ac:dyDescent="0.35">
      <c r="A374" s="13">
        <v>42370</v>
      </c>
      <c r="B374">
        <f>YEAR(Table2__2[[#This Row],[Year1]])</f>
        <v>2016</v>
      </c>
      <c r="C374" t="s">
        <v>291</v>
      </c>
      <c r="D374" t="s">
        <v>425</v>
      </c>
      <c r="E374" t="s">
        <v>246</v>
      </c>
      <c r="F374" t="s">
        <v>302</v>
      </c>
      <c r="G374">
        <v>1858</v>
      </c>
    </row>
    <row r="375" spans="1:7" x14ac:dyDescent="0.35">
      <c r="A375" s="13">
        <v>42370</v>
      </c>
      <c r="B375">
        <f>YEAR(Table2__2[[#This Row],[Year1]])</f>
        <v>2016</v>
      </c>
      <c r="C375" t="s">
        <v>291</v>
      </c>
      <c r="D375" t="s">
        <v>425</v>
      </c>
      <c r="E375" t="s">
        <v>234</v>
      </c>
      <c r="F375" t="s">
        <v>302</v>
      </c>
      <c r="G375">
        <v>1173</v>
      </c>
    </row>
    <row r="376" spans="1:7" x14ac:dyDescent="0.35">
      <c r="A376" s="13">
        <v>42370</v>
      </c>
      <c r="B376">
        <f>YEAR(Table2__2[[#This Row],[Year1]])</f>
        <v>2016</v>
      </c>
      <c r="C376" t="s">
        <v>291</v>
      </c>
      <c r="D376" t="s">
        <v>425</v>
      </c>
      <c r="E376" t="s">
        <v>247</v>
      </c>
      <c r="F376" t="s">
        <v>302</v>
      </c>
      <c r="G376">
        <v>7055</v>
      </c>
    </row>
    <row r="377" spans="1:7" x14ac:dyDescent="0.35">
      <c r="A377" s="13">
        <v>42370</v>
      </c>
      <c r="B377">
        <f>YEAR(Table2__2[[#This Row],[Year1]])</f>
        <v>2016</v>
      </c>
      <c r="C377" t="s">
        <v>291</v>
      </c>
      <c r="D377" t="s">
        <v>425</v>
      </c>
      <c r="E377" t="s">
        <v>259</v>
      </c>
      <c r="F377" t="s">
        <v>302</v>
      </c>
      <c r="G377">
        <v>9634</v>
      </c>
    </row>
    <row r="378" spans="1:7" x14ac:dyDescent="0.35">
      <c r="A378" s="13">
        <v>42370</v>
      </c>
      <c r="B378">
        <f>YEAR(Table2__2[[#This Row],[Year1]])</f>
        <v>2016</v>
      </c>
      <c r="C378" t="s">
        <v>291</v>
      </c>
      <c r="D378" t="s">
        <v>425</v>
      </c>
      <c r="E378" t="s">
        <v>260</v>
      </c>
      <c r="F378" t="s">
        <v>302</v>
      </c>
      <c r="G378">
        <v>2284</v>
      </c>
    </row>
    <row r="379" spans="1:7" x14ac:dyDescent="0.35">
      <c r="A379" s="13">
        <v>42370</v>
      </c>
      <c r="B379">
        <f>YEAR(Table2__2[[#This Row],[Year1]])</f>
        <v>2016</v>
      </c>
      <c r="C379" t="s">
        <v>291</v>
      </c>
      <c r="D379" t="s">
        <v>425</v>
      </c>
      <c r="E379" t="s">
        <v>235</v>
      </c>
      <c r="F379" t="s">
        <v>302</v>
      </c>
      <c r="G379">
        <v>2241</v>
      </c>
    </row>
    <row r="380" spans="1:7" x14ac:dyDescent="0.35">
      <c r="A380" s="13">
        <v>42370</v>
      </c>
      <c r="B380">
        <f>YEAR(Table2__2[[#This Row],[Year1]])</f>
        <v>2016</v>
      </c>
      <c r="C380" t="s">
        <v>291</v>
      </c>
      <c r="D380" t="s">
        <v>425</v>
      </c>
      <c r="E380" t="s">
        <v>226</v>
      </c>
      <c r="F380" t="s">
        <v>302</v>
      </c>
      <c r="G380">
        <v>1611</v>
      </c>
    </row>
    <row r="381" spans="1:7" x14ac:dyDescent="0.35">
      <c r="A381" s="13">
        <v>42370</v>
      </c>
      <c r="B381">
        <f>YEAR(Table2__2[[#This Row],[Year1]])</f>
        <v>2016</v>
      </c>
      <c r="C381" t="s">
        <v>291</v>
      </c>
      <c r="D381" t="s">
        <v>425</v>
      </c>
      <c r="E381" t="s">
        <v>248</v>
      </c>
      <c r="F381" t="s">
        <v>302</v>
      </c>
      <c r="G381">
        <v>12896</v>
      </c>
    </row>
    <row r="382" spans="1:7" x14ac:dyDescent="0.35">
      <c r="A382" s="13">
        <v>42370</v>
      </c>
      <c r="B382">
        <f>YEAR(Table2__2[[#This Row],[Year1]])</f>
        <v>2016</v>
      </c>
      <c r="C382" t="s">
        <v>291</v>
      </c>
      <c r="D382" t="s">
        <v>425</v>
      </c>
      <c r="E382" t="s">
        <v>249</v>
      </c>
      <c r="F382" t="s">
        <v>302</v>
      </c>
      <c r="G382">
        <v>7651</v>
      </c>
    </row>
    <row r="383" spans="1:7" x14ac:dyDescent="0.35">
      <c r="A383" s="13">
        <v>42370</v>
      </c>
      <c r="B383">
        <f>YEAR(Table2__2[[#This Row],[Year1]])</f>
        <v>2016</v>
      </c>
      <c r="C383" t="s">
        <v>291</v>
      </c>
      <c r="D383" t="s">
        <v>425</v>
      </c>
      <c r="E383" t="s">
        <v>239</v>
      </c>
      <c r="F383" t="s">
        <v>302</v>
      </c>
      <c r="G383">
        <v>3524</v>
      </c>
    </row>
    <row r="384" spans="1:7" x14ac:dyDescent="0.35">
      <c r="A384" s="13">
        <v>42370</v>
      </c>
      <c r="B384">
        <f>YEAR(Table2__2[[#This Row],[Year1]])</f>
        <v>2016</v>
      </c>
      <c r="C384" t="s">
        <v>291</v>
      </c>
      <c r="D384" t="s">
        <v>425</v>
      </c>
      <c r="E384" t="s">
        <v>240</v>
      </c>
      <c r="F384" t="s">
        <v>302</v>
      </c>
      <c r="G384">
        <v>5174</v>
      </c>
    </row>
    <row r="385" spans="1:7" x14ac:dyDescent="0.35">
      <c r="A385" s="13">
        <v>42370</v>
      </c>
      <c r="B385">
        <f>YEAR(Table2__2[[#This Row],[Year1]])</f>
        <v>2016</v>
      </c>
      <c r="C385" t="s">
        <v>291</v>
      </c>
      <c r="D385" t="s">
        <v>425</v>
      </c>
      <c r="E385" t="s">
        <v>250</v>
      </c>
      <c r="F385" t="s">
        <v>302</v>
      </c>
      <c r="G385">
        <v>1847</v>
      </c>
    </row>
    <row r="386" spans="1:7" x14ac:dyDescent="0.35">
      <c r="A386" s="13">
        <v>42370</v>
      </c>
      <c r="B386">
        <f>YEAR(Table2__2[[#This Row],[Year1]])</f>
        <v>2016</v>
      </c>
      <c r="C386" t="s">
        <v>291</v>
      </c>
      <c r="D386" t="s">
        <v>425</v>
      </c>
      <c r="E386" t="s">
        <v>265</v>
      </c>
      <c r="F386" t="s">
        <v>302</v>
      </c>
      <c r="G386">
        <v>2247</v>
      </c>
    </row>
    <row r="387" spans="1:7" x14ac:dyDescent="0.35">
      <c r="A387" s="13">
        <v>42370</v>
      </c>
      <c r="B387">
        <f>YEAR(Table2__2[[#This Row],[Year1]])</f>
        <v>2016</v>
      </c>
      <c r="C387" t="s">
        <v>291</v>
      </c>
      <c r="D387" t="s">
        <v>425</v>
      </c>
      <c r="E387" t="s">
        <v>266</v>
      </c>
      <c r="F387" t="s">
        <v>302</v>
      </c>
      <c r="G387">
        <v>3672</v>
      </c>
    </row>
    <row r="388" spans="1:7" x14ac:dyDescent="0.35">
      <c r="A388" s="13">
        <v>42370</v>
      </c>
      <c r="B388">
        <f>YEAR(Table2__2[[#This Row],[Year1]])</f>
        <v>2016</v>
      </c>
      <c r="C388" t="s">
        <v>291</v>
      </c>
      <c r="D388" t="s">
        <v>425</v>
      </c>
      <c r="E388" t="s">
        <v>267</v>
      </c>
      <c r="F388" t="s">
        <v>302</v>
      </c>
      <c r="G388">
        <v>5370</v>
      </c>
    </row>
    <row r="389" spans="1:7" x14ac:dyDescent="0.35">
      <c r="A389" s="13">
        <v>42370</v>
      </c>
      <c r="B389">
        <f>YEAR(Table2__2[[#This Row],[Year1]])</f>
        <v>2016</v>
      </c>
      <c r="C389" t="s">
        <v>291</v>
      </c>
      <c r="D389" t="s">
        <v>425</v>
      </c>
      <c r="E389" t="s">
        <v>268</v>
      </c>
      <c r="F389" t="s">
        <v>302</v>
      </c>
      <c r="G389">
        <v>2500</v>
      </c>
    </row>
    <row r="390" spans="1:7" x14ac:dyDescent="0.35">
      <c r="A390" s="13">
        <v>42370</v>
      </c>
      <c r="B390">
        <f>YEAR(Table2__2[[#This Row],[Year1]])</f>
        <v>2016</v>
      </c>
      <c r="C390" t="s">
        <v>291</v>
      </c>
      <c r="D390" t="s">
        <v>425</v>
      </c>
      <c r="E390" t="s">
        <v>272</v>
      </c>
      <c r="F390" t="s">
        <v>302</v>
      </c>
      <c r="G390">
        <v>4638</v>
      </c>
    </row>
    <row r="391" spans="1:7" x14ac:dyDescent="0.35">
      <c r="A391" s="13">
        <v>42370</v>
      </c>
      <c r="B391">
        <f>YEAR(Table2__2[[#This Row],[Year1]])</f>
        <v>2016</v>
      </c>
      <c r="C391" t="s">
        <v>291</v>
      </c>
      <c r="D391" t="s">
        <v>425</v>
      </c>
      <c r="E391" t="s">
        <v>269</v>
      </c>
      <c r="F391" t="s">
        <v>302</v>
      </c>
      <c r="G391">
        <v>8425</v>
      </c>
    </row>
    <row r="392" spans="1:7" x14ac:dyDescent="0.35">
      <c r="A392" s="13">
        <v>42370</v>
      </c>
      <c r="B392">
        <f>YEAR(Table2__2[[#This Row],[Year1]])</f>
        <v>2016</v>
      </c>
      <c r="C392" t="s">
        <v>291</v>
      </c>
      <c r="D392" t="s">
        <v>425</v>
      </c>
      <c r="E392" t="s">
        <v>229</v>
      </c>
      <c r="F392" t="s">
        <v>302</v>
      </c>
      <c r="G392">
        <v>3683</v>
      </c>
    </row>
    <row r="393" spans="1:7" x14ac:dyDescent="0.35">
      <c r="A393" s="13">
        <v>42370</v>
      </c>
      <c r="B393">
        <f>YEAR(Table2__2[[#This Row],[Year1]])</f>
        <v>2016</v>
      </c>
      <c r="C393" t="s">
        <v>291</v>
      </c>
      <c r="D393" t="s">
        <v>425</v>
      </c>
      <c r="E393" t="s">
        <v>252</v>
      </c>
      <c r="F393" t="s">
        <v>302</v>
      </c>
      <c r="G393">
        <v>6651</v>
      </c>
    </row>
    <row r="394" spans="1:7" x14ac:dyDescent="0.35">
      <c r="A394" s="13">
        <v>42370</v>
      </c>
      <c r="B394">
        <f>YEAR(Table2__2[[#This Row],[Year1]])</f>
        <v>2016</v>
      </c>
      <c r="C394" t="s">
        <v>291</v>
      </c>
      <c r="D394" t="s">
        <v>425</v>
      </c>
      <c r="E394" t="s">
        <v>254</v>
      </c>
      <c r="F394" t="s">
        <v>302</v>
      </c>
      <c r="G394">
        <v>2698</v>
      </c>
    </row>
    <row r="395" spans="1:7" x14ac:dyDescent="0.35">
      <c r="A395" s="13">
        <v>42370</v>
      </c>
      <c r="B395">
        <f>YEAR(Table2__2[[#This Row],[Year1]])</f>
        <v>2016</v>
      </c>
      <c r="C395" t="s">
        <v>291</v>
      </c>
      <c r="D395" t="s">
        <v>425</v>
      </c>
      <c r="E395" t="s">
        <v>270</v>
      </c>
      <c r="F395" t="s">
        <v>302</v>
      </c>
      <c r="G395">
        <v>2883</v>
      </c>
    </row>
    <row r="396" spans="1:7" x14ac:dyDescent="0.35">
      <c r="A396" s="13">
        <v>42370</v>
      </c>
      <c r="B396">
        <f>YEAR(Table2__2[[#This Row],[Year1]])</f>
        <v>2016</v>
      </c>
      <c r="C396" t="s">
        <v>291</v>
      </c>
      <c r="D396" t="s">
        <v>425</v>
      </c>
      <c r="E396" t="s">
        <v>273</v>
      </c>
      <c r="F396" t="s">
        <v>302</v>
      </c>
      <c r="G396">
        <v>12</v>
      </c>
    </row>
    <row r="397" spans="1:7" x14ac:dyDescent="0.35">
      <c r="A397" s="13">
        <v>42370</v>
      </c>
      <c r="B397">
        <f>YEAR(Table2__2[[#This Row],[Year1]])</f>
        <v>2016</v>
      </c>
      <c r="C397" t="s">
        <v>291</v>
      </c>
      <c r="D397" t="s">
        <v>425</v>
      </c>
      <c r="E397" t="s">
        <v>39</v>
      </c>
      <c r="F397" t="s">
        <v>302</v>
      </c>
      <c r="G397">
        <v>272</v>
      </c>
    </row>
    <row r="398" spans="1:7" x14ac:dyDescent="0.35">
      <c r="A398" s="13">
        <v>42736</v>
      </c>
      <c r="B398">
        <f>YEAR(Table2__2[[#This Row],[Year1]])</f>
        <v>2017</v>
      </c>
      <c r="C398" t="s">
        <v>288</v>
      </c>
      <c r="D398" t="s">
        <v>222</v>
      </c>
      <c r="E398" t="s">
        <v>223</v>
      </c>
      <c r="F398" t="s">
        <v>299</v>
      </c>
      <c r="G398">
        <v>6002</v>
      </c>
    </row>
    <row r="399" spans="1:7" x14ac:dyDescent="0.35">
      <c r="A399" s="13">
        <v>42736</v>
      </c>
      <c r="B399">
        <f>YEAR(Table2__2[[#This Row],[Year1]])</f>
        <v>2017</v>
      </c>
      <c r="C399" t="s">
        <v>288</v>
      </c>
      <c r="D399" t="s">
        <v>222</v>
      </c>
      <c r="E399" t="s">
        <v>224</v>
      </c>
      <c r="F399" t="s">
        <v>299</v>
      </c>
      <c r="G399">
        <v>13476</v>
      </c>
    </row>
    <row r="400" spans="1:7" x14ac:dyDescent="0.35">
      <c r="A400" s="13">
        <v>42736</v>
      </c>
      <c r="B400">
        <f>YEAR(Table2__2[[#This Row],[Year1]])</f>
        <v>2017</v>
      </c>
      <c r="C400" t="s">
        <v>288</v>
      </c>
      <c r="D400" t="s">
        <v>222</v>
      </c>
      <c r="E400" t="s">
        <v>225</v>
      </c>
      <c r="F400" t="s">
        <v>299</v>
      </c>
      <c r="G400">
        <v>18633</v>
      </c>
    </row>
    <row r="401" spans="1:7" x14ac:dyDescent="0.35">
      <c r="A401" s="13">
        <v>42736</v>
      </c>
      <c r="B401">
        <f>YEAR(Table2__2[[#This Row],[Year1]])</f>
        <v>2017</v>
      </c>
      <c r="C401" t="s">
        <v>288</v>
      </c>
      <c r="D401" t="s">
        <v>222</v>
      </c>
      <c r="E401" t="s">
        <v>226</v>
      </c>
      <c r="F401" t="s">
        <v>299</v>
      </c>
      <c r="G401">
        <v>25193</v>
      </c>
    </row>
    <row r="402" spans="1:7" x14ac:dyDescent="0.35">
      <c r="A402" s="13">
        <v>42736</v>
      </c>
      <c r="B402">
        <f>YEAR(Table2__2[[#This Row],[Year1]])</f>
        <v>2017</v>
      </c>
      <c r="C402" t="s">
        <v>288</v>
      </c>
      <c r="D402" t="s">
        <v>222</v>
      </c>
      <c r="E402" t="s">
        <v>227</v>
      </c>
      <c r="F402" t="s">
        <v>299</v>
      </c>
      <c r="G402">
        <v>25460</v>
      </c>
    </row>
    <row r="403" spans="1:7" x14ac:dyDescent="0.35">
      <c r="A403" s="13">
        <v>42736</v>
      </c>
      <c r="B403">
        <f>YEAR(Table2__2[[#This Row],[Year1]])</f>
        <v>2017</v>
      </c>
      <c r="C403" t="s">
        <v>288</v>
      </c>
      <c r="D403" t="s">
        <v>222</v>
      </c>
      <c r="E403" t="s">
        <v>228</v>
      </c>
      <c r="F403" t="s">
        <v>299</v>
      </c>
      <c r="G403">
        <v>137562</v>
      </c>
    </row>
    <row r="404" spans="1:7" x14ac:dyDescent="0.35">
      <c r="A404" s="13">
        <v>42736</v>
      </c>
      <c r="B404">
        <f>YEAR(Table2__2[[#This Row],[Year1]])</f>
        <v>2017</v>
      </c>
      <c r="C404" t="s">
        <v>288</v>
      </c>
      <c r="D404" t="s">
        <v>222</v>
      </c>
      <c r="E404" t="s">
        <v>229</v>
      </c>
      <c r="F404" t="s">
        <v>299</v>
      </c>
      <c r="G404">
        <v>26086</v>
      </c>
    </row>
    <row r="405" spans="1:7" x14ac:dyDescent="0.35">
      <c r="A405" s="13">
        <v>42736</v>
      </c>
      <c r="B405">
        <f>YEAR(Table2__2[[#This Row],[Year1]])</f>
        <v>2017</v>
      </c>
      <c r="C405" t="s">
        <v>288</v>
      </c>
      <c r="D405" t="s">
        <v>222</v>
      </c>
      <c r="E405" t="s">
        <v>230</v>
      </c>
      <c r="F405" t="s">
        <v>299</v>
      </c>
      <c r="G405">
        <v>38657</v>
      </c>
    </row>
    <row r="406" spans="1:7" x14ac:dyDescent="0.35">
      <c r="A406" s="13">
        <v>42736</v>
      </c>
      <c r="B406">
        <f>YEAR(Table2__2[[#This Row],[Year1]])</f>
        <v>2017</v>
      </c>
      <c r="C406" t="s">
        <v>288</v>
      </c>
      <c r="D406" t="s">
        <v>222</v>
      </c>
      <c r="E406" t="s">
        <v>231</v>
      </c>
      <c r="F406" t="s">
        <v>299</v>
      </c>
      <c r="G406">
        <v>12847</v>
      </c>
    </row>
    <row r="407" spans="1:7" x14ac:dyDescent="0.35">
      <c r="A407" s="13">
        <v>42736</v>
      </c>
      <c r="B407">
        <f>YEAR(Table2__2[[#This Row],[Year1]])</f>
        <v>2017</v>
      </c>
      <c r="C407" t="s">
        <v>288</v>
      </c>
      <c r="D407" t="s">
        <v>232</v>
      </c>
      <c r="E407" t="s">
        <v>233</v>
      </c>
      <c r="F407" t="s">
        <v>299</v>
      </c>
      <c r="G407">
        <v>288</v>
      </c>
    </row>
    <row r="408" spans="1:7" x14ac:dyDescent="0.35">
      <c r="A408" s="13">
        <v>42736</v>
      </c>
      <c r="B408">
        <f>YEAR(Table2__2[[#This Row],[Year1]])</f>
        <v>2017</v>
      </c>
      <c r="C408" t="s">
        <v>288</v>
      </c>
      <c r="D408" t="s">
        <v>232</v>
      </c>
      <c r="E408" t="s">
        <v>234</v>
      </c>
      <c r="F408" t="s">
        <v>299</v>
      </c>
      <c r="G408">
        <v>447</v>
      </c>
    </row>
    <row r="409" spans="1:7" x14ac:dyDescent="0.35">
      <c r="A409" s="13">
        <v>42736</v>
      </c>
      <c r="B409">
        <f>YEAR(Table2__2[[#This Row],[Year1]])</f>
        <v>2017</v>
      </c>
      <c r="C409" t="s">
        <v>288</v>
      </c>
      <c r="D409" t="s">
        <v>232</v>
      </c>
      <c r="E409" t="s">
        <v>235</v>
      </c>
      <c r="F409" t="s">
        <v>299</v>
      </c>
      <c r="G409">
        <v>1070</v>
      </c>
    </row>
    <row r="410" spans="1:7" x14ac:dyDescent="0.35">
      <c r="A410" s="13">
        <v>42736</v>
      </c>
      <c r="B410">
        <f>YEAR(Table2__2[[#This Row],[Year1]])</f>
        <v>2017</v>
      </c>
      <c r="C410" t="s">
        <v>288</v>
      </c>
      <c r="D410" t="s">
        <v>232</v>
      </c>
      <c r="E410" t="s">
        <v>236</v>
      </c>
      <c r="F410" t="s">
        <v>299</v>
      </c>
      <c r="G410">
        <v>496</v>
      </c>
    </row>
    <row r="411" spans="1:7" x14ac:dyDescent="0.35">
      <c r="A411" s="13">
        <v>42736</v>
      </c>
      <c r="B411">
        <f>YEAR(Table2__2[[#This Row],[Year1]])</f>
        <v>2017</v>
      </c>
      <c r="C411" t="s">
        <v>288</v>
      </c>
      <c r="D411" t="s">
        <v>232</v>
      </c>
      <c r="E411" t="s">
        <v>237</v>
      </c>
      <c r="F411" t="s">
        <v>299</v>
      </c>
      <c r="G411">
        <v>39</v>
      </c>
    </row>
    <row r="412" spans="1:7" x14ac:dyDescent="0.35">
      <c r="A412" s="13">
        <v>42736</v>
      </c>
      <c r="B412">
        <f>YEAR(Table2__2[[#This Row],[Year1]])</f>
        <v>2017</v>
      </c>
      <c r="C412" t="s">
        <v>288</v>
      </c>
      <c r="D412" t="s">
        <v>232</v>
      </c>
      <c r="E412" t="s">
        <v>238</v>
      </c>
      <c r="F412" t="s">
        <v>299</v>
      </c>
      <c r="G412">
        <v>30</v>
      </c>
    </row>
    <row r="413" spans="1:7" x14ac:dyDescent="0.35">
      <c r="A413" s="13">
        <v>42736</v>
      </c>
      <c r="B413">
        <f>YEAR(Table2__2[[#This Row],[Year1]])</f>
        <v>2017</v>
      </c>
      <c r="C413" t="s">
        <v>288</v>
      </c>
      <c r="D413" t="s">
        <v>232</v>
      </c>
      <c r="E413" t="s">
        <v>239</v>
      </c>
      <c r="F413" t="s">
        <v>299</v>
      </c>
      <c r="G413">
        <v>2280</v>
      </c>
    </row>
    <row r="414" spans="1:7" x14ac:dyDescent="0.35">
      <c r="A414" s="13">
        <v>42736</v>
      </c>
      <c r="B414">
        <f>YEAR(Table2__2[[#This Row],[Year1]])</f>
        <v>2017</v>
      </c>
      <c r="C414" t="s">
        <v>288</v>
      </c>
      <c r="D414" t="s">
        <v>232</v>
      </c>
      <c r="E414" t="s">
        <v>240</v>
      </c>
      <c r="F414" t="s">
        <v>299</v>
      </c>
      <c r="G414">
        <v>920</v>
      </c>
    </row>
    <row r="415" spans="1:7" x14ac:dyDescent="0.35">
      <c r="A415" s="13">
        <v>42736</v>
      </c>
      <c r="B415">
        <f>YEAR(Table2__2[[#This Row],[Year1]])</f>
        <v>2017</v>
      </c>
      <c r="C415" t="s">
        <v>288</v>
      </c>
      <c r="D415" t="s">
        <v>232</v>
      </c>
      <c r="E415" t="s">
        <v>241</v>
      </c>
      <c r="F415" t="s">
        <v>299</v>
      </c>
      <c r="G415">
        <v>388</v>
      </c>
    </row>
    <row r="416" spans="1:7" x14ac:dyDescent="0.35">
      <c r="A416" s="13">
        <v>42736</v>
      </c>
      <c r="B416">
        <f>YEAR(Table2__2[[#This Row],[Year1]])</f>
        <v>2017</v>
      </c>
      <c r="C416" t="s">
        <v>288</v>
      </c>
      <c r="D416" t="s">
        <v>232</v>
      </c>
      <c r="E416" t="s">
        <v>242</v>
      </c>
      <c r="F416" t="s">
        <v>299</v>
      </c>
      <c r="G416">
        <v>208</v>
      </c>
    </row>
    <row r="417" spans="1:7" x14ac:dyDescent="0.35">
      <c r="A417" s="13">
        <v>42736</v>
      </c>
      <c r="B417">
        <f>YEAR(Table2__2[[#This Row],[Year1]])</f>
        <v>2017</v>
      </c>
      <c r="C417" t="s">
        <v>288</v>
      </c>
      <c r="D417" t="s">
        <v>232</v>
      </c>
      <c r="E417" t="s">
        <v>243</v>
      </c>
      <c r="F417" t="s">
        <v>299</v>
      </c>
      <c r="G417">
        <v>449</v>
      </c>
    </row>
    <row r="418" spans="1:7" x14ac:dyDescent="0.35">
      <c r="A418" s="13">
        <v>42736</v>
      </c>
      <c r="B418">
        <f>YEAR(Table2__2[[#This Row],[Year1]])</f>
        <v>2017</v>
      </c>
      <c r="C418" t="s">
        <v>289</v>
      </c>
      <c r="D418" t="s">
        <v>281</v>
      </c>
      <c r="E418" t="s">
        <v>226</v>
      </c>
      <c r="F418" t="s">
        <v>301</v>
      </c>
      <c r="G418">
        <v>15689</v>
      </c>
    </row>
    <row r="419" spans="1:7" x14ac:dyDescent="0.35">
      <c r="A419" s="13">
        <v>42736</v>
      </c>
      <c r="B419">
        <f>YEAR(Table2__2[[#This Row],[Year1]])</f>
        <v>2017</v>
      </c>
      <c r="C419" t="s">
        <v>289</v>
      </c>
      <c r="D419" t="s">
        <v>281</v>
      </c>
      <c r="E419" t="s">
        <v>227</v>
      </c>
      <c r="F419" t="s">
        <v>301</v>
      </c>
      <c r="G419">
        <v>25009</v>
      </c>
    </row>
    <row r="420" spans="1:7" x14ac:dyDescent="0.35">
      <c r="A420" s="13">
        <v>42736</v>
      </c>
      <c r="B420">
        <f>YEAR(Table2__2[[#This Row],[Year1]])</f>
        <v>2017</v>
      </c>
      <c r="C420" t="s">
        <v>289</v>
      </c>
      <c r="D420" t="s">
        <v>281</v>
      </c>
      <c r="E420" t="s">
        <v>229</v>
      </c>
      <c r="F420" t="s">
        <v>301</v>
      </c>
      <c r="G420">
        <v>29063</v>
      </c>
    </row>
    <row r="421" spans="1:7" x14ac:dyDescent="0.35">
      <c r="A421" s="13">
        <v>42736</v>
      </c>
      <c r="B421">
        <f>YEAR(Table2__2[[#This Row],[Year1]])</f>
        <v>2017</v>
      </c>
      <c r="C421" t="s">
        <v>289</v>
      </c>
      <c r="D421" t="s">
        <v>281</v>
      </c>
      <c r="E421" t="s">
        <v>230</v>
      </c>
      <c r="F421" t="s">
        <v>301</v>
      </c>
      <c r="G421">
        <v>11515</v>
      </c>
    </row>
    <row r="422" spans="1:7" x14ac:dyDescent="0.35">
      <c r="A422" s="13">
        <v>42736</v>
      </c>
      <c r="B422">
        <f>YEAR(Table2__2[[#This Row],[Year1]])</f>
        <v>2017</v>
      </c>
      <c r="C422" t="s">
        <v>289</v>
      </c>
      <c r="D422" t="s">
        <v>283</v>
      </c>
      <c r="E422" t="s">
        <v>244</v>
      </c>
      <c r="F422" t="s">
        <v>301</v>
      </c>
      <c r="G422">
        <v>2267</v>
      </c>
    </row>
    <row r="423" spans="1:7" x14ac:dyDescent="0.35">
      <c r="A423" s="13">
        <v>42736</v>
      </c>
      <c r="B423">
        <f>YEAR(Table2__2[[#This Row],[Year1]])</f>
        <v>2017</v>
      </c>
      <c r="C423" t="s">
        <v>289</v>
      </c>
      <c r="D423" t="s">
        <v>283</v>
      </c>
      <c r="E423" t="s">
        <v>245</v>
      </c>
      <c r="F423" t="s">
        <v>301</v>
      </c>
      <c r="G423">
        <v>1055</v>
      </c>
    </row>
    <row r="424" spans="1:7" x14ac:dyDescent="0.35">
      <c r="A424" s="13">
        <v>42736</v>
      </c>
      <c r="B424">
        <f>YEAR(Table2__2[[#This Row],[Year1]])</f>
        <v>2017</v>
      </c>
      <c r="C424" t="s">
        <v>289</v>
      </c>
      <c r="D424" t="s">
        <v>283</v>
      </c>
      <c r="E424" t="s">
        <v>246</v>
      </c>
      <c r="F424" t="s">
        <v>301</v>
      </c>
      <c r="G424">
        <v>2574</v>
      </c>
    </row>
    <row r="425" spans="1:7" x14ac:dyDescent="0.35">
      <c r="A425" s="13">
        <v>42736</v>
      </c>
      <c r="B425">
        <f>YEAR(Table2__2[[#This Row],[Year1]])</f>
        <v>2017</v>
      </c>
      <c r="C425" t="s">
        <v>289</v>
      </c>
      <c r="D425" t="s">
        <v>283</v>
      </c>
      <c r="E425" t="s">
        <v>234</v>
      </c>
      <c r="F425" t="s">
        <v>301</v>
      </c>
      <c r="G425">
        <v>10124</v>
      </c>
    </row>
    <row r="426" spans="1:7" x14ac:dyDescent="0.35">
      <c r="A426" s="13">
        <v>42736</v>
      </c>
      <c r="B426">
        <f>YEAR(Table2__2[[#This Row],[Year1]])</f>
        <v>2017</v>
      </c>
      <c r="C426" t="s">
        <v>289</v>
      </c>
      <c r="D426" t="s">
        <v>283</v>
      </c>
      <c r="E426" t="s">
        <v>247</v>
      </c>
      <c r="F426" t="s">
        <v>301</v>
      </c>
      <c r="G426">
        <v>5200</v>
      </c>
    </row>
    <row r="427" spans="1:7" x14ac:dyDescent="0.35">
      <c r="A427" s="13">
        <v>42736</v>
      </c>
      <c r="B427">
        <f>YEAR(Table2__2[[#This Row],[Year1]])</f>
        <v>2017</v>
      </c>
      <c r="C427" t="s">
        <v>289</v>
      </c>
      <c r="D427" t="s">
        <v>283</v>
      </c>
      <c r="E427" t="s">
        <v>235</v>
      </c>
      <c r="F427" t="s">
        <v>301</v>
      </c>
      <c r="G427">
        <v>5273</v>
      </c>
    </row>
    <row r="428" spans="1:7" x14ac:dyDescent="0.35">
      <c r="A428" s="13">
        <v>42736</v>
      </c>
      <c r="B428">
        <f>YEAR(Table2__2[[#This Row],[Year1]])</f>
        <v>2017</v>
      </c>
      <c r="C428" t="s">
        <v>289</v>
      </c>
      <c r="D428" t="s">
        <v>283</v>
      </c>
      <c r="E428" t="s">
        <v>226</v>
      </c>
      <c r="F428" t="s">
        <v>301</v>
      </c>
      <c r="G428">
        <v>125</v>
      </c>
    </row>
    <row r="429" spans="1:7" x14ac:dyDescent="0.35">
      <c r="A429" s="13">
        <v>42736</v>
      </c>
      <c r="B429">
        <f>YEAR(Table2__2[[#This Row],[Year1]])</f>
        <v>2017</v>
      </c>
      <c r="C429" t="s">
        <v>289</v>
      </c>
      <c r="D429" t="s">
        <v>283</v>
      </c>
      <c r="E429" t="s">
        <v>248</v>
      </c>
      <c r="F429" t="s">
        <v>301</v>
      </c>
      <c r="G429">
        <v>4481</v>
      </c>
    </row>
    <row r="430" spans="1:7" x14ac:dyDescent="0.35">
      <c r="A430" s="13">
        <v>42736</v>
      </c>
      <c r="B430">
        <f>YEAR(Table2__2[[#This Row],[Year1]])</f>
        <v>2017</v>
      </c>
      <c r="C430" t="s">
        <v>289</v>
      </c>
      <c r="D430" t="s">
        <v>283</v>
      </c>
      <c r="E430" t="s">
        <v>227</v>
      </c>
      <c r="F430" t="s">
        <v>301</v>
      </c>
      <c r="G430">
        <v>24</v>
      </c>
    </row>
    <row r="431" spans="1:7" x14ac:dyDescent="0.35">
      <c r="A431" s="13">
        <v>42736</v>
      </c>
      <c r="B431">
        <f>YEAR(Table2__2[[#This Row],[Year1]])</f>
        <v>2017</v>
      </c>
      <c r="C431" t="s">
        <v>289</v>
      </c>
      <c r="D431" t="s">
        <v>283</v>
      </c>
      <c r="E431" t="s">
        <v>249</v>
      </c>
      <c r="F431" t="s">
        <v>301</v>
      </c>
      <c r="G431">
        <v>5147</v>
      </c>
    </row>
    <row r="432" spans="1:7" x14ac:dyDescent="0.35">
      <c r="A432" s="13">
        <v>42736</v>
      </c>
      <c r="B432">
        <f>YEAR(Table2__2[[#This Row],[Year1]])</f>
        <v>2017</v>
      </c>
      <c r="C432" t="s">
        <v>289</v>
      </c>
      <c r="D432" t="s">
        <v>283</v>
      </c>
      <c r="E432" t="s">
        <v>239</v>
      </c>
      <c r="F432" t="s">
        <v>301</v>
      </c>
      <c r="G432">
        <v>4869</v>
      </c>
    </row>
    <row r="433" spans="1:7" x14ac:dyDescent="0.35">
      <c r="A433" s="13">
        <v>42736</v>
      </c>
      <c r="B433">
        <f>YEAR(Table2__2[[#This Row],[Year1]])</f>
        <v>2017</v>
      </c>
      <c r="C433" t="s">
        <v>289</v>
      </c>
      <c r="D433" t="s">
        <v>283</v>
      </c>
      <c r="E433" t="s">
        <v>240</v>
      </c>
      <c r="F433" t="s">
        <v>301</v>
      </c>
      <c r="G433">
        <v>29</v>
      </c>
    </row>
    <row r="434" spans="1:7" x14ac:dyDescent="0.35">
      <c r="A434" s="13">
        <v>42736</v>
      </c>
      <c r="B434">
        <f>YEAR(Table2__2[[#This Row],[Year1]])</f>
        <v>2017</v>
      </c>
      <c r="C434" t="s">
        <v>289</v>
      </c>
      <c r="D434" t="s">
        <v>283</v>
      </c>
      <c r="E434" t="s">
        <v>250</v>
      </c>
      <c r="F434" t="s">
        <v>301</v>
      </c>
      <c r="G434">
        <v>3992</v>
      </c>
    </row>
    <row r="435" spans="1:7" x14ac:dyDescent="0.35">
      <c r="A435" s="13">
        <v>42736</v>
      </c>
      <c r="B435">
        <f>YEAR(Table2__2[[#This Row],[Year1]])</f>
        <v>2017</v>
      </c>
      <c r="C435" t="s">
        <v>289</v>
      </c>
      <c r="D435" t="s">
        <v>283</v>
      </c>
      <c r="E435" t="s">
        <v>251</v>
      </c>
      <c r="F435" t="s">
        <v>301</v>
      </c>
      <c r="G435">
        <v>379</v>
      </c>
    </row>
    <row r="436" spans="1:7" x14ac:dyDescent="0.35">
      <c r="A436" s="13">
        <v>42736</v>
      </c>
      <c r="B436">
        <f>YEAR(Table2__2[[#This Row],[Year1]])</f>
        <v>2017</v>
      </c>
      <c r="C436" t="s">
        <v>289</v>
      </c>
      <c r="D436" t="s">
        <v>283</v>
      </c>
      <c r="E436" t="s">
        <v>229</v>
      </c>
      <c r="F436" t="s">
        <v>301</v>
      </c>
      <c r="G436">
        <v>94</v>
      </c>
    </row>
    <row r="437" spans="1:7" x14ac:dyDescent="0.35">
      <c r="A437" s="13">
        <v>42736</v>
      </c>
      <c r="B437">
        <f>YEAR(Table2__2[[#This Row],[Year1]])</f>
        <v>2017</v>
      </c>
      <c r="C437" t="s">
        <v>289</v>
      </c>
      <c r="D437" t="s">
        <v>283</v>
      </c>
      <c r="E437" t="s">
        <v>252</v>
      </c>
      <c r="F437" t="s">
        <v>301</v>
      </c>
      <c r="G437">
        <v>4221</v>
      </c>
    </row>
    <row r="438" spans="1:7" x14ac:dyDescent="0.35">
      <c r="A438" s="13">
        <v>42736</v>
      </c>
      <c r="B438">
        <f>YEAR(Table2__2[[#This Row],[Year1]])</f>
        <v>2017</v>
      </c>
      <c r="C438" t="s">
        <v>289</v>
      </c>
      <c r="D438" t="s">
        <v>283</v>
      </c>
      <c r="E438" t="s">
        <v>253</v>
      </c>
      <c r="F438" t="s">
        <v>301</v>
      </c>
      <c r="G438">
        <v>752</v>
      </c>
    </row>
    <row r="439" spans="1:7" x14ac:dyDescent="0.35">
      <c r="A439" s="13">
        <v>42736</v>
      </c>
      <c r="B439">
        <f>YEAR(Table2__2[[#This Row],[Year1]])</f>
        <v>2017</v>
      </c>
      <c r="C439" t="s">
        <v>289</v>
      </c>
      <c r="D439" t="s">
        <v>283</v>
      </c>
      <c r="E439" t="s">
        <v>254</v>
      </c>
      <c r="F439" t="s">
        <v>301</v>
      </c>
      <c r="G439">
        <v>6419</v>
      </c>
    </row>
    <row r="440" spans="1:7" x14ac:dyDescent="0.35">
      <c r="A440" s="13">
        <v>42736</v>
      </c>
      <c r="B440">
        <f>YEAR(Table2__2[[#This Row],[Year1]])</f>
        <v>2017</v>
      </c>
      <c r="C440" t="s">
        <v>289</v>
      </c>
      <c r="D440" t="s">
        <v>283</v>
      </c>
      <c r="E440" t="s">
        <v>255</v>
      </c>
      <c r="F440" t="s">
        <v>301</v>
      </c>
      <c r="G440">
        <v>1042</v>
      </c>
    </row>
    <row r="441" spans="1:7" x14ac:dyDescent="0.35">
      <c r="A441" s="13">
        <v>42736</v>
      </c>
      <c r="B441">
        <f>YEAR(Table2__2[[#This Row],[Year1]])</f>
        <v>2017</v>
      </c>
      <c r="C441" t="s">
        <v>289</v>
      </c>
      <c r="D441" t="s">
        <v>283</v>
      </c>
      <c r="E441" t="s">
        <v>230</v>
      </c>
      <c r="F441" t="s">
        <v>301</v>
      </c>
      <c r="G441">
        <v>48</v>
      </c>
    </row>
    <row r="442" spans="1:7" x14ac:dyDescent="0.35">
      <c r="A442" s="13">
        <v>42736</v>
      </c>
      <c r="B442">
        <f>YEAR(Table2__2[[#This Row],[Year1]])</f>
        <v>2017</v>
      </c>
      <c r="C442" t="s">
        <v>289</v>
      </c>
      <c r="D442" t="s">
        <v>283</v>
      </c>
      <c r="E442" t="s">
        <v>298</v>
      </c>
      <c r="F442" t="s">
        <v>301</v>
      </c>
      <c r="G442">
        <v>6695</v>
      </c>
    </row>
    <row r="443" spans="1:7" x14ac:dyDescent="0.35">
      <c r="A443" s="13">
        <v>42736</v>
      </c>
      <c r="B443">
        <f>YEAR(Table2__2[[#This Row],[Year1]])</f>
        <v>2017</v>
      </c>
      <c r="C443" t="s">
        <v>289</v>
      </c>
      <c r="D443" t="s">
        <v>283</v>
      </c>
      <c r="E443" t="s">
        <v>257</v>
      </c>
      <c r="F443" t="s">
        <v>301</v>
      </c>
      <c r="G443">
        <v>51</v>
      </c>
    </row>
    <row r="444" spans="1:7" x14ac:dyDescent="0.35">
      <c r="A444" s="13">
        <v>42736</v>
      </c>
      <c r="B444">
        <f>YEAR(Table2__2[[#This Row],[Year1]])</f>
        <v>2017</v>
      </c>
      <c r="C444" t="s">
        <v>290</v>
      </c>
      <c r="D444" t="s">
        <v>425</v>
      </c>
      <c r="E444" t="s">
        <v>244</v>
      </c>
      <c r="F444" t="s">
        <v>302</v>
      </c>
      <c r="G444">
        <v>226</v>
      </c>
    </row>
    <row r="445" spans="1:7" x14ac:dyDescent="0.35">
      <c r="A445" s="13">
        <v>42736</v>
      </c>
      <c r="B445">
        <f>YEAR(Table2__2[[#This Row],[Year1]])</f>
        <v>2017</v>
      </c>
      <c r="C445" t="s">
        <v>290</v>
      </c>
      <c r="D445" t="s">
        <v>425</v>
      </c>
      <c r="E445" t="s">
        <v>245</v>
      </c>
      <c r="F445" t="s">
        <v>302</v>
      </c>
      <c r="G445">
        <v>132</v>
      </c>
    </row>
    <row r="446" spans="1:7" x14ac:dyDescent="0.35">
      <c r="A446" s="13">
        <v>42736</v>
      </c>
      <c r="B446">
        <f>YEAR(Table2__2[[#This Row],[Year1]])</f>
        <v>2017</v>
      </c>
      <c r="C446" t="s">
        <v>290</v>
      </c>
      <c r="D446" t="s">
        <v>425</v>
      </c>
      <c r="E446" t="s">
        <v>246</v>
      </c>
      <c r="F446" t="s">
        <v>302</v>
      </c>
      <c r="G446">
        <v>137</v>
      </c>
    </row>
    <row r="447" spans="1:7" x14ac:dyDescent="0.35">
      <c r="A447" s="13">
        <v>42736</v>
      </c>
      <c r="B447">
        <f>YEAR(Table2__2[[#This Row],[Year1]])</f>
        <v>2017</v>
      </c>
      <c r="C447" t="s">
        <v>290</v>
      </c>
      <c r="D447" t="s">
        <v>425</v>
      </c>
      <c r="E447" t="s">
        <v>234</v>
      </c>
      <c r="F447" t="s">
        <v>302</v>
      </c>
      <c r="G447">
        <v>126</v>
      </c>
    </row>
    <row r="448" spans="1:7" x14ac:dyDescent="0.35">
      <c r="A448" s="13">
        <v>42736</v>
      </c>
      <c r="B448">
        <f>YEAR(Table2__2[[#This Row],[Year1]])</f>
        <v>2017</v>
      </c>
      <c r="C448" t="s">
        <v>290</v>
      </c>
      <c r="D448" t="s">
        <v>425</v>
      </c>
      <c r="E448" t="s">
        <v>247</v>
      </c>
      <c r="F448" t="s">
        <v>302</v>
      </c>
      <c r="G448">
        <v>848</v>
      </c>
    </row>
    <row r="449" spans="1:7" x14ac:dyDescent="0.35">
      <c r="A449" s="13">
        <v>42736</v>
      </c>
      <c r="B449">
        <f>YEAR(Table2__2[[#This Row],[Year1]])</f>
        <v>2017</v>
      </c>
      <c r="C449" t="s">
        <v>290</v>
      </c>
      <c r="D449" t="s">
        <v>425</v>
      </c>
      <c r="E449" t="s">
        <v>259</v>
      </c>
      <c r="F449" t="s">
        <v>302</v>
      </c>
      <c r="G449">
        <v>224</v>
      </c>
    </row>
    <row r="450" spans="1:7" x14ac:dyDescent="0.35">
      <c r="A450" s="13">
        <v>42736</v>
      </c>
      <c r="B450">
        <f>YEAR(Table2__2[[#This Row],[Year1]])</f>
        <v>2017</v>
      </c>
      <c r="C450" t="s">
        <v>290</v>
      </c>
      <c r="D450" t="s">
        <v>425</v>
      </c>
      <c r="E450" t="s">
        <v>260</v>
      </c>
      <c r="F450" t="s">
        <v>302</v>
      </c>
      <c r="G450">
        <v>129</v>
      </c>
    </row>
    <row r="451" spans="1:7" x14ac:dyDescent="0.35">
      <c r="A451" s="13">
        <v>42736</v>
      </c>
      <c r="B451">
        <f>YEAR(Table2__2[[#This Row],[Year1]])</f>
        <v>2017</v>
      </c>
      <c r="C451" t="s">
        <v>290</v>
      </c>
      <c r="D451" t="s">
        <v>425</v>
      </c>
      <c r="E451" t="s">
        <v>235</v>
      </c>
      <c r="F451" t="s">
        <v>302</v>
      </c>
      <c r="G451">
        <v>173</v>
      </c>
    </row>
    <row r="452" spans="1:7" x14ac:dyDescent="0.35">
      <c r="A452" s="13">
        <v>42736</v>
      </c>
      <c r="B452">
        <f>YEAR(Table2__2[[#This Row],[Year1]])</f>
        <v>2017</v>
      </c>
      <c r="C452" t="s">
        <v>290</v>
      </c>
      <c r="D452" t="s">
        <v>425</v>
      </c>
      <c r="E452" t="s">
        <v>226</v>
      </c>
      <c r="F452" t="s">
        <v>302</v>
      </c>
      <c r="G452">
        <v>723</v>
      </c>
    </row>
    <row r="453" spans="1:7" x14ac:dyDescent="0.35">
      <c r="A453" s="13">
        <v>42736</v>
      </c>
      <c r="B453">
        <f>YEAR(Table2__2[[#This Row],[Year1]])</f>
        <v>2017</v>
      </c>
      <c r="C453" t="s">
        <v>290</v>
      </c>
      <c r="D453" t="s">
        <v>425</v>
      </c>
      <c r="E453" t="s">
        <v>261</v>
      </c>
      <c r="F453" t="s">
        <v>302</v>
      </c>
      <c r="G453">
        <v>260</v>
      </c>
    </row>
    <row r="454" spans="1:7" x14ac:dyDescent="0.35">
      <c r="A454" s="13">
        <v>42736</v>
      </c>
      <c r="B454">
        <f>YEAR(Table2__2[[#This Row],[Year1]])</f>
        <v>2017</v>
      </c>
      <c r="C454" t="s">
        <v>290</v>
      </c>
      <c r="D454" t="s">
        <v>425</v>
      </c>
      <c r="E454" t="s">
        <v>248</v>
      </c>
      <c r="F454" t="s">
        <v>302</v>
      </c>
      <c r="G454">
        <v>399</v>
      </c>
    </row>
    <row r="455" spans="1:7" x14ac:dyDescent="0.35">
      <c r="A455" s="13">
        <v>42736</v>
      </c>
      <c r="B455">
        <f>YEAR(Table2__2[[#This Row],[Year1]])</f>
        <v>2017</v>
      </c>
      <c r="C455" t="s">
        <v>290</v>
      </c>
      <c r="D455" t="s">
        <v>425</v>
      </c>
      <c r="E455" t="s">
        <v>249</v>
      </c>
      <c r="F455" t="s">
        <v>302</v>
      </c>
      <c r="G455">
        <v>229</v>
      </c>
    </row>
    <row r="456" spans="1:7" x14ac:dyDescent="0.35">
      <c r="A456" s="13">
        <v>42736</v>
      </c>
      <c r="B456">
        <f>YEAR(Table2__2[[#This Row],[Year1]])</f>
        <v>2017</v>
      </c>
      <c r="C456" t="s">
        <v>290</v>
      </c>
      <c r="D456" t="s">
        <v>425</v>
      </c>
      <c r="E456" t="s">
        <v>239</v>
      </c>
      <c r="F456" t="s">
        <v>302</v>
      </c>
      <c r="G456">
        <v>310</v>
      </c>
    </row>
    <row r="457" spans="1:7" x14ac:dyDescent="0.35">
      <c r="A457" s="13">
        <v>42736</v>
      </c>
      <c r="B457">
        <f>YEAR(Table2__2[[#This Row],[Year1]])</f>
        <v>2017</v>
      </c>
      <c r="C457" t="s">
        <v>290</v>
      </c>
      <c r="D457" t="s">
        <v>425</v>
      </c>
      <c r="E457" t="s">
        <v>240</v>
      </c>
      <c r="F457" t="s">
        <v>302</v>
      </c>
      <c r="G457">
        <v>751</v>
      </c>
    </row>
    <row r="458" spans="1:7" x14ac:dyDescent="0.35">
      <c r="A458" s="13">
        <v>42736</v>
      </c>
      <c r="B458">
        <f>YEAR(Table2__2[[#This Row],[Year1]])</f>
        <v>2017</v>
      </c>
      <c r="C458" t="s">
        <v>290</v>
      </c>
      <c r="D458" t="s">
        <v>425</v>
      </c>
      <c r="E458" t="s">
        <v>250</v>
      </c>
      <c r="F458" t="s">
        <v>302</v>
      </c>
      <c r="G458">
        <v>345</v>
      </c>
    </row>
    <row r="459" spans="1:7" x14ac:dyDescent="0.35">
      <c r="A459" s="13">
        <v>42736</v>
      </c>
      <c r="B459">
        <f>YEAR(Table2__2[[#This Row],[Year1]])</f>
        <v>2017</v>
      </c>
      <c r="C459" t="s">
        <v>290</v>
      </c>
      <c r="D459" t="s">
        <v>425</v>
      </c>
      <c r="E459" t="s">
        <v>265</v>
      </c>
      <c r="F459" t="s">
        <v>302</v>
      </c>
      <c r="G459">
        <v>308</v>
      </c>
    </row>
    <row r="460" spans="1:7" x14ac:dyDescent="0.35">
      <c r="A460" s="13">
        <v>42736</v>
      </c>
      <c r="B460">
        <f>YEAR(Table2__2[[#This Row],[Year1]])</f>
        <v>2017</v>
      </c>
      <c r="C460" t="s">
        <v>290</v>
      </c>
      <c r="D460" t="s">
        <v>425</v>
      </c>
      <c r="E460" t="s">
        <v>266</v>
      </c>
      <c r="F460" t="s">
        <v>302</v>
      </c>
      <c r="G460">
        <v>182</v>
      </c>
    </row>
    <row r="461" spans="1:7" x14ac:dyDescent="0.35">
      <c r="A461" s="13">
        <v>42736</v>
      </c>
      <c r="B461">
        <f>YEAR(Table2__2[[#This Row],[Year1]])</f>
        <v>2017</v>
      </c>
      <c r="C461" t="s">
        <v>290</v>
      </c>
      <c r="D461" t="s">
        <v>425</v>
      </c>
      <c r="E461" t="s">
        <v>267</v>
      </c>
      <c r="F461" t="s">
        <v>302</v>
      </c>
      <c r="G461">
        <v>348</v>
      </c>
    </row>
    <row r="462" spans="1:7" x14ac:dyDescent="0.35">
      <c r="A462" s="13">
        <v>42736</v>
      </c>
      <c r="B462">
        <f>YEAR(Table2__2[[#This Row],[Year1]])</f>
        <v>2017</v>
      </c>
      <c r="C462" t="s">
        <v>290</v>
      </c>
      <c r="D462" t="s">
        <v>425</v>
      </c>
      <c r="E462" t="s">
        <v>268</v>
      </c>
      <c r="F462" t="s">
        <v>302</v>
      </c>
      <c r="G462">
        <v>110</v>
      </c>
    </row>
    <row r="463" spans="1:7" x14ac:dyDescent="0.35">
      <c r="A463" s="13">
        <v>42736</v>
      </c>
      <c r="B463">
        <f>YEAR(Table2__2[[#This Row],[Year1]])</f>
        <v>2017</v>
      </c>
      <c r="C463" t="s">
        <v>290</v>
      </c>
      <c r="D463" t="s">
        <v>425</v>
      </c>
      <c r="E463" t="s">
        <v>269</v>
      </c>
      <c r="F463" t="s">
        <v>302</v>
      </c>
      <c r="G463">
        <v>693</v>
      </c>
    </row>
    <row r="464" spans="1:7" x14ac:dyDescent="0.35">
      <c r="A464" s="13">
        <v>42736</v>
      </c>
      <c r="B464">
        <f>YEAR(Table2__2[[#This Row],[Year1]])</f>
        <v>2017</v>
      </c>
      <c r="C464" t="s">
        <v>290</v>
      </c>
      <c r="D464" t="s">
        <v>425</v>
      </c>
      <c r="E464" t="s">
        <v>229</v>
      </c>
      <c r="F464" t="s">
        <v>302</v>
      </c>
      <c r="G464">
        <v>86</v>
      </c>
    </row>
    <row r="465" spans="1:7" x14ac:dyDescent="0.35">
      <c r="A465" s="13">
        <v>42736</v>
      </c>
      <c r="B465">
        <f>YEAR(Table2__2[[#This Row],[Year1]])</f>
        <v>2017</v>
      </c>
      <c r="C465" t="s">
        <v>290</v>
      </c>
      <c r="D465" t="s">
        <v>425</v>
      </c>
      <c r="E465" t="s">
        <v>252</v>
      </c>
      <c r="F465" t="s">
        <v>302</v>
      </c>
      <c r="G465">
        <v>203</v>
      </c>
    </row>
    <row r="466" spans="1:7" x14ac:dyDescent="0.35">
      <c r="A466" s="13">
        <v>42736</v>
      </c>
      <c r="B466">
        <f>YEAR(Table2__2[[#This Row],[Year1]])</f>
        <v>2017</v>
      </c>
      <c r="C466" t="s">
        <v>290</v>
      </c>
      <c r="D466" t="s">
        <v>425</v>
      </c>
      <c r="E466" t="s">
        <v>253</v>
      </c>
      <c r="F466" t="s">
        <v>302</v>
      </c>
      <c r="G466">
        <v>90</v>
      </c>
    </row>
    <row r="467" spans="1:7" x14ac:dyDescent="0.35">
      <c r="A467" s="13">
        <v>42736</v>
      </c>
      <c r="B467">
        <f>YEAR(Table2__2[[#This Row],[Year1]])</f>
        <v>2017</v>
      </c>
      <c r="C467" t="s">
        <v>290</v>
      </c>
      <c r="D467" t="s">
        <v>425</v>
      </c>
      <c r="E467" t="s">
        <v>254</v>
      </c>
      <c r="F467" t="s">
        <v>302</v>
      </c>
      <c r="G467">
        <v>161</v>
      </c>
    </row>
    <row r="468" spans="1:7" x14ac:dyDescent="0.35">
      <c r="A468" s="13">
        <v>42736</v>
      </c>
      <c r="B468">
        <f>YEAR(Table2__2[[#This Row],[Year1]])</f>
        <v>2017</v>
      </c>
      <c r="C468" t="s">
        <v>290</v>
      </c>
      <c r="D468" t="s">
        <v>425</v>
      </c>
      <c r="E468" t="s">
        <v>255</v>
      </c>
      <c r="F468" t="s">
        <v>302</v>
      </c>
      <c r="G468">
        <v>167</v>
      </c>
    </row>
    <row r="469" spans="1:7" x14ac:dyDescent="0.35">
      <c r="A469" s="13">
        <v>42736</v>
      </c>
      <c r="B469">
        <f>YEAR(Table2__2[[#This Row],[Year1]])</f>
        <v>2017</v>
      </c>
      <c r="C469" t="s">
        <v>290</v>
      </c>
      <c r="D469" t="s">
        <v>425</v>
      </c>
      <c r="E469" t="s">
        <v>270</v>
      </c>
      <c r="F469" t="s">
        <v>302</v>
      </c>
      <c r="G469">
        <v>143</v>
      </c>
    </row>
    <row r="470" spans="1:7" x14ac:dyDescent="0.35">
      <c r="A470" s="13">
        <v>42736</v>
      </c>
      <c r="B470">
        <f>YEAR(Table2__2[[#This Row],[Year1]])</f>
        <v>2017</v>
      </c>
      <c r="C470" t="s">
        <v>290</v>
      </c>
      <c r="D470" t="s">
        <v>426</v>
      </c>
      <c r="E470" t="s">
        <v>271</v>
      </c>
      <c r="F470" t="s">
        <v>302</v>
      </c>
      <c r="G470">
        <v>36</v>
      </c>
    </row>
    <row r="471" spans="1:7" x14ac:dyDescent="0.35">
      <c r="A471" s="13">
        <v>42736</v>
      </c>
      <c r="B471">
        <f>YEAR(Table2__2[[#This Row],[Year1]])</f>
        <v>2017</v>
      </c>
      <c r="C471" t="s">
        <v>291</v>
      </c>
      <c r="D471" t="s">
        <v>425</v>
      </c>
      <c r="E471" t="s">
        <v>244</v>
      </c>
      <c r="F471" t="s">
        <v>302</v>
      </c>
      <c r="G471">
        <v>13551</v>
      </c>
    </row>
    <row r="472" spans="1:7" x14ac:dyDescent="0.35">
      <c r="A472" s="13">
        <v>42736</v>
      </c>
      <c r="B472">
        <f>YEAR(Table2__2[[#This Row],[Year1]])</f>
        <v>2017</v>
      </c>
      <c r="C472" t="s">
        <v>291</v>
      </c>
      <c r="D472" t="s">
        <v>425</v>
      </c>
      <c r="E472" t="s">
        <v>245</v>
      </c>
      <c r="F472" t="s">
        <v>302</v>
      </c>
      <c r="G472">
        <v>1666</v>
      </c>
    </row>
    <row r="473" spans="1:7" x14ac:dyDescent="0.35">
      <c r="A473" s="13">
        <v>42736</v>
      </c>
      <c r="B473">
        <f>YEAR(Table2__2[[#This Row],[Year1]])</f>
        <v>2017</v>
      </c>
      <c r="C473" t="s">
        <v>291</v>
      </c>
      <c r="D473" t="s">
        <v>425</v>
      </c>
      <c r="E473" t="s">
        <v>246</v>
      </c>
      <c r="F473" t="s">
        <v>302</v>
      </c>
      <c r="G473">
        <v>2834</v>
      </c>
    </row>
    <row r="474" spans="1:7" x14ac:dyDescent="0.35">
      <c r="A474" s="13">
        <v>42736</v>
      </c>
      <c r="B474">
        <f>YEAR(Table2__2[[#This Row],[Year1]])</f>
        <v>2017</v>
      </c>
      <c r="C474" t="s">
        <v>291</v>
      </c>
      <c r="D474" t="s">
        <v>425</v>
      </c>
      <c r="E474" t="s">
        <v>234</v>
      </c>
      <c r="F474" t="s">
        <v>302</v>
      </c>
      <c r="G474">
        <v>1494</v>
      </c>
    </row>
    <row r="475" spans="1:7" x14ac:dyDescent="0.35">
      <c r="A475" s="13">
        <v>42736</v>
      </c>
      <c r="B475">
        <f>YEAR(Table2__2[[#This Row],[Year1]])</f>
        <v>2017</v>
      </c>
      <c r="C475" t="s">
        <v>291</v>
      </c>
      <c r="D475" t="s">
        <v>425</v>
      </c>
      <c r="E475" t="s">
        <v>247</v>
      </c>
      <c r="F475" t="s">
        <v>302</v>
      </c>
      <c r="G475">
        <v>8604</v>
      </c>
    </row>
    <row r="476" spans="1:7" x14ac:dyDescent="0.35">
      <c r="A476" s="13">
        <v>42736</v>
      </c>
      <c r="B476">
        <f>YEAR(Table2__2[[#This Row],[Year1]])</f>
        <v>2017</v>
      </c>
      <c r="C476" t="s">
        <v>291</v>
      </c>
      <c r="D476" t="s">
        <v>425</v>
      </c>
      <c r="E476" t="s">
        <v>259</v>
      </c>
      <c r="F476" t="s">
        <v>302</v>
      </c>
      <c r="G476">
        <v>16520</v>
      </c>
    </row>
    <row r="477" spans="1:7" x14ac:dyDescent="0.35">
      <c r="A477" s="13">
        <v>42736</v>
      </c>
      <c r="B477">
        <f>YEAR(Table2__2[[#This Row],[Year1]])</f>
        <v>2017</v>
      </c>
      <c r="C477" t="s">
        <v>291</v>
      </c>
      <c r="D477" t="s">
        <v>425</v>
      </c>
      <c r="E477" t="s">
        <v>260</v>
      </c>
      <c r="F477" t="s">
        <v>302</v>
      </c>
      <c r="G477">
        <v>2746</v>
      </c>
    </row>
    <row r="478" spans="1:7" x14ac:dyDescent="0.35">
      <c r="A478" s="13">
        <v>42736</v>
      </c>
      <c r="B478">
        <f>YEAR(Table2__2[[#This Row],[Year1]])</f>
        <v>2017</v>
      </c>
      <c r="C478" t="s">
        <v>291</v>
      </c>
      <c r="D478" t="s">
        <v>425</v>
      </c>
      <c r="E478" t="s">
        <v>235</v>
      </c>
      <c r="F478" t="s">
        <v>302</v>
      </c>
      <c r="G478">
        <v>3409</v>
      </c>
    </row>
    <row r="479" spans="1:7" x14ac:dyDescent="0.35">
      <c r="A479" s="13">
        <v>42736</v>
      </c>
      <c r="B479">
        <f>YEAR(Table2__2[[#This Row],[Year1]])</f>
        <v>2017</v>
      </c>
      <c r="C479" t="s">
        <v>291</v>
      </c>
      <c r="D479" t="s">
        <v>425</v>
      </c>
      <c r="E479" t="s">
        <v>226</v>
      </c>
      <c r="F479" t="s">
        <v>302</v>
      </c>
      <c r="G479">
        <v>1892</v>
      </c>
    </row>
    <row r="480" spans="1:7" x14ac:dyDescent="0.35">
      <c r="A480" s="13">
        <v>42736</v>
      </c>
      <c r="B480">
        <f>YEAR(Table2__2[[#This Row],[Year1]])</f>
        <v>2017</v>
      </c>
      <c r="C480" t="s">
        <v>291</v>
      </c>
      <c r="D480" t="s">
        <v>425</v>
      </c>
      <c r="E480" t="s">
        <v>248</v>
      </c>
      <c r="F480" t="s">
        <v>302</v>
      </c>
      <c r="G480">
        <v>13565</v>
      </c>
    </row>
    <row r="481" spans="1:7" x14ac:dyDescent="0.35">
      <c r="A481" s="13">
        <v>42736</v>
      </c>
      <c r="B481">
        <f>YEAR(Table2__2[[#This Row],[Year1]])</f>
        <v>2017</v>
      </c>
      <c r="C481" t="s">
        <v>291</v>
      </c>
      <c r="D481" t="s">
        <v>425</v>
      </c>
      <c r="E481" t="s">
        <v>249</v>
      </c>
      <c r="F481" t="s">
        <v>302</v>
      </c>
      <c r="G481">
        <v>8419</v>
      </c>
    </row>
    <row r="482" spans="1:7" x14ac:dyDescent="0.35">
      <c r="A482" s="13">
        <v>42736</v>
      </c>
      <c r="B482">
        <f>YEAR(Table2__2[[#This Row],[Year1]])</f>
        <v>2017</v>
      </c>
      <c r="C482" t="s">
        <v>291</v>
      </c>
      <c r="D482" t="s">
        <v>425</v>
      </c>
      <c r="E482" t="s">
        <v>239</v>
      </c>
      <c r="F482" t="s">
        <v>302</v>
      </c>
      <c r="G482">
        <v>6192</v>
      </c>
    </row>
    <row r="483" spans="1:7" x14ac:dyDescent="0.35">
      <c r="A483" s="13">
        <v>42736</v>
      </c>
      <c r="B483">
        <f>YEAR(Table2__2[[#This Row],[Year1]])</f>
        <v>2017</v>
      </c>
      <c r="C483" t="s">
        <v>291</v>
      </c>
      <c r="D483" t="s">
        <v>425</v>
      </c>
      <c r="E483" t="s">
        <v>240</v>
      </c>
      <c r="F483" t="s">
        <v>302</v>
      </c>
      <c r="G483">
        <v>7968</v>
      </c>
    </row>
    <row r="484" spans="1:7" x14ac:dyDescent="0.35">
      <c r="A484" s="13">
        <v>42736</v>
      </c>
      <c r="B484">
        <f>YEAR(Table2__2[[#This Row],[Year1]])</f>
        <v>2017</v>
      </c>
      <c r="C484" t="s">
        <v>291</v>
      </c>
      <c r="D484" t="s">
        <v>425</v>
      </c>
      <c r="E484" t="s">
        <v>250</v>
      </c>
      <c r="F484" t="s">
        <v>302</v>
      </c>
      <c r="G484">
        <v>2576</v>
      </c>
    </row>
    <row r="485" spans="1:7" x14ac:dyDescent="0.35">
      <c r="A485" s="13">
        <v>42736</v>
      </c>
      <c r="B485">
        <f>YEAR(Table2__2[[#This Row],[Year1]])</f>
        <v>2017</v>
      </c>
      <c r="C485" t="s">
        <v>291</v>
      </c>
      <c r="D485" t="s">
        <v>425</v>
      </c>
      <c r="E485" t="s">
        <v>265</v>
      </c>
      <c r="F485" t="s">
        <v>302</v>
      </c>
      <c r="G485">
        <v>3189</v>
      </c>
    </row>
    <row r="486" spans="1:7" x14ac:dyDescent="0.35">
      <c r="A486" s="13">
        <v>42736</v>
      </c>
      <c r="B486">
        <f>YEAR(Table2__2[[#This Row],[Year1]])</f>
        <v>2017</v>
      </c>
      <c r="C486" t="s">
        <v>291</v>
      </c>
      <c r="D486" t="s">
        <v>425</v>
      </c>
      <c r="E486" t="s">
        <v>266</v>
      </c>
      <c r="F486" t="s">
        <v>302</v>
      </c>
      <c r="G486">
        <v>4938</v>
      </c>
    </row>
    <row r="487" spans="1:7" x14ac:dyDescent="0.35">
      <c r="A487" s="13">
        <v>42736</v>
      </c>
      <c r="B487">
        <f>YEAR(Table2__2[[#This Row],[Year1]])</f>
        <v>2017</v>
      </c>
      <c r="C487" t="s">
        <v>291</v>
      </c>
      <c r="D487" t="s">
        <v>425</v>
      </c>
      <c r="E487" t="s">
        <v>267</v>
      </c>
      <c r="F487" t="s">
        <v>302</v>
      </c>
      <c r="G487">
        <v>6457</v>
      </c>
    </row>
    <row r="488" spans="1:7" x14ac:dyDescent="0.35">
      <c r="A488" s="13">
        <v>42736</v>
      </c>
      <c r="B488">
        <f>YEAR(Table2__2[[#This Row],[Year1]])</f>
        <v>2017</v>
      </c>
      <c r="C488" t="s">
        <v>291</v>
      </c>
      <c r="D488" t="s">
        <v>425</v>
      </c>
      <c r="E488" t="s">
        <v>268</v>
      </c>
      <c r="F488" t="s">
        <v>302</v>
      </c>
      <c r="G488">
        <v>4175</v>
      </c>
    </row>
    <row r="489" spans="1:7" x14ac:dyDescent="0.35">
      <c r="A489" s="13">
        <v>42736</v>
      </c>
      <c r="B489">
        <f>YEAR(Table2__2[[#This Row],[Year1]])</f>
        <v>2017</v>
      </c>
      <c r="C489" t="s">
        <v>291</v>
      </c>
      <c r="D489" t="s">
        <v>425</v>
      </c>
      <c r="E489" t="s">
        <v>272</v>
      </c>
      <c r="F489" t="s">
        <v>302</v>
      </c>
      <c r="G489">
        <v>5177</v>
      </c>
    </row>
    <row r="490" spans="1:7" x14ac:dyDescent="0.35">
      <c r="A490" s="13">
        <v>42736</v>
      </c>
      <c r="B490">
        <f>YEAR(Table2__2[[#This Row],[Year1]])</f>
        <v>2017</v>
      </c>
      <c r="C490" t="s">
        <v>291</v>
      </c>
      <c r="D490" t="s">
        <v>425</v>
      </c>
      <c r="E490" t="s">
        <v>269</v>
      </c>
      <c r="F490" t="s">
        <v>302</v>
      </c>
      <c r="G490">
        <v>8510</v>
      </c>
    </row>
    <row r="491" spans="1:7" x14ac:dyDescent="0.35">
      <c r="A491" s="13">
        <v>42736</v>
      </c>
      <c r="B491">
        <f>YEAR(Table2__2[[#This Row],[Year1]])</f>
        <v>2017</v>
      </c>
      <c r="C491" t="s">
        <v>291</v>
      </c>
      <c r="D491" t="s">
        <v>425</v>
      </c>
      <c r="E491" t="s">
        <v>229</v>
      </c>
      <c r="F491" t="s">
        <v>302</v>
      </c>
      <c r="G491">
        <v>4551</v>
      </c>
    </row>
    <row r="492" spans="1:7" x14ac:dyDescent="0.35">
      <c r="A492" s="13">
        <v>42736</v>
      </c>
      <c r="B492">
        <f>YEAR(Table2__2[[#This Row],[Year1]])</f>
        <v>2017</v>
      </c>
      <c r="C492" t="s">
        <v>291</v>
      </c>
      <c r="D492" t="s">
        <v>425</v>
      </c>
      <c r="E492" t="s">
        <v>252</v>
      </c>
      <c r="F492" t="s">
        <v>302</v>
      </c>
      <c r="G492">
        <v>7231</v>
      </c>
    </row>
    <row r="493" spans="1:7" x14ac:dyDescent="0.35">
      <c r="A493" s="13">
        <v>42736</v>
      </c>
      <c r="B493">
        <f>YEAR(Table2__2[[#This Row],[Year1]])</f>
        <v>2017</v>
      </c>
      <c r="C493" t="s">
        <v>291</v>
      </c>
      <c r="D493" t="s">
        <v>425</v>
      </c>
      <c r="E493" t="s">
        <v>254</v>
      </c>
      <c r="F493" t="s">
        <v>302</v>
      </c>
      <c r="G493">
        <v>3376</v>
      </c>
    </row>
    <row r="494" spans="1:7" x14ac:dyDescent="0.35">
      <c r="A494" s="13">
        <v>42736</v>
      </c>
      <c r="B494">
        <f>YEAR(Table2__2[[#This Row],[Year1]])</f>
        <v>2017</v>
      </c>
      <c r="C494" t="s">
        <v>291</v>
      </c>
      <c r="D494" t="s">
        <v>425</v>
      </c>
      <c r="E494" t="s">
        <v>270</v>
      </c>
      <c r="F494" t="s">
        <v>302</v>
      </c>
      <c r="G494">
        <v>4163</v>
      </c>
    </row>
    <row r="495" spans="1:7" x14ac:dyDescent="0.35">
      <c r="A495" s="13">
        <v>42736</v>
      </c>
      <c r="B495">
        <f>YEAR(Table2__2[[#This Row],[Year1]])</f>
        <v>2017</v>
      </c>
      <c r="C495" t="s">
        <v>291</v>
      </c>
      <c r="D495" t="s">
        <v>425</v>
      </c>
      <c r="E495" t="s">
        <v>273</v>
      </c>
      <c r="F495" t="s">
        <v>302</v>
      </c>
      <c r="G495">
        <v>20</v>
      </c>
    </row>
    <row r="496" spans="1:7" x14ac:dyDescent="0.35">
      <c r="A496" s="13">
        <v>42736</v>
      </c>
      <c r="B496">
        <f>YEAR(Table2__2[[#This Row],[Year1]])</f>
        <v>2017</v>
      </c>
      <c r="C496" t="s">
        <v>291</v>
      </c>
      <c r="D496" t="s">
        <v>425</v>
      </c>
      <c r="E496" t="s">
        <v>39</v>
      </c>
      <c r="F496" t="s">
        <v>302</v>
      </c>
      <c r="G496">
        <v>247</v>
      </c>
    </row>
    <row r="497" spans="1:7" x14ac:dyDescent="0.35">
      <c r="A497" s="13">
        <v>43101</v>
      </c>
      <c r="B497">
        <f>YEAR(Table2__2[[#This Row],[Year1]])</f>
        <v>2018</v>
      </c>
      <c r="C497" t="s">
        <v>288</v>
      </c>
      <c r="D497" t="s">
        <v>222</v>
      </c>
      <c r="E497" t="s">
        <v>223</v>
      </c>
      <c r="F497" t="s">
        <v>299</v>
      </c>
      <c r="G497">
        <v>8045</v>
      </c>
    </row>
    <row r="498" spans="1:7" x14ac:dyDescent="0.35">
      <c r="A498" s="13">
        <v>43101</v>
      </c>
      <c r="B498">
        <f>YEAR(Table2__2[[#This Row],[Year1]])</f>
        <v>2018</v>
      </c>
      <c r="C498" t="s">
        <v>288</v>
      </c>
      <c r="D498" t="s">
        <v>222</v>
      </c>
      <c r="E498" t="s">
        <v>224</v>
      </c>
      <c r="F498" t="s">
        <v>299</v>
      </c>
      <c r="G498">
        <v>15833</v>
      </c>
    </row>
    <row r="499" spans="1:7" x14ac:dyDescent="0.35">
      <c r="A499" s="13">
        <v>43101</v>
      </c>
      <c r="B499">
        <f>YEAR(Table2__2[[#This Row],[Year1]])</f>
        <v>2018</v>
      </c>
      <c r="C499" t="s">
        <v>288</v>
      </c>
      <c r="D499" t="s">
        <v>222</v>
      </c>
      <c r="E499" t="s">
        <v>225</v>
      </c>
      <c r="F499" t="s">
        <v>299</v>
      </c>
      <c r="G499">
        <v>29230</v>
      </c>
    </row>
    <row r="500" spans="1:7" x14ac:dyDescent="0.35">
      <c r="A500" s="13">
        <v>43101</v>
      </c>
      <c r="B500">
        <f>YEAR(Table2__2[[#This Row],[Year1]])</f>
        <v>2018</v>
      </c>
      <c r="C500" t="s">
        <v>288</v>
      </c>
      <c r="D500" t="s">
        <v>222</v>
      </c>
      <c r="E500" t="s">
        <v>226</v>
      </c>
      <c r="F500" t="s">
        <v>299</v>
      </c>
      <c r="G500">
        <v>31561</v>
      </c>
    </row>
    <row r="501" spans="1:7" x14ac:dyDescent="0.35">
      <c r="A501" s="13">
        <v>43101</v>
      </c>
      <c r="B501">
        <f>YEAR(Table2__2[[#This Row],[Year1]])</f>
        <v>2018</v>
      </c>
      <c r="C501" t="s">
        <v>288</v>
      </c>
      <c r="D501" t="s">
        <v>222</v>
      </c>
      <c r="E501" t="s">
        <v>227</v>
      </c>
      <c r="F501" t="s">
        <v>299</v>
      </c>
      <c r="G501">
        <v>32641</v>
      </c>
    </row>
    <row r="502" spans="1:7" x14ac:dyDescent="0.35">
      <c r="A502" s="13">
        <v>43101</v>
      </c>
      <c r="B502">
        <f>YEAR(Table2__2[[#This Row],[Year1]])</f>
        <v>2018</v>
      </c>
      <c r="C502" t="s">
        <v>288</v>
      </c>
      <c r="D502" t="s">
        <v>222</v>
      </c>
      <c r="E502" t="s">
        <v>228</v>
      </c>
      <c r="F502" t="s">
        <v>299</v>
      </c>
      <c r="G502">
        <v>162262</v>
      </c>
    </row>
    <row r="503" spans="1:7" x14ac:dyDescent="0.35">
      <c r="A503" s="13">
        <v>43101</v>
      </c>
      <c r="B503">
        <f>YEAR(Table2__2[[#This Row],[Year1]])</f>
        <v>2018</v>
      </c>
      <c r="C503" t="s">
        <v>288</v>
      </c>
      <c r="D503" t="s">
        <v>222</v>
      </c>
      <c r="E503" t="s">
        <v>229</v>
      </c>
      <c r="F503" t="s">
        <v>299</v>
      </c>
      <c r="G503">
        <v>38591</v>
      </c>
    </row>
    <row r="504" spans="1:7" x14ac:dyDescent="0.35">
      <c r="A504" s="13">
        <v>43101</v>
      </c>
      <c r="B504">
        <f>YEAR(Table2__2[[#This Row],[Year1]])</f>
        <v>2018</v>
      </c>
      <c r="C504" t="s">
        <v>288</v>
      </c>
      <c r="D504" t="s">
        <v>222</v>
      </c>
      <c r="E504" t="s">
        <v>230</v>
      </c>
      <c r="F504" t="s">
        <v>299</v>
      </c>
      <c r="G504">
        <v>52172</v>
      </c>
    </row>
    <row r="505" spans="1:7" x14ac:dyDescent="0.35">
      <c r="A505" s="13">
        <v>43101</v>
      </c>
      <c r="B505">
        <f>YEAR(Table2__2[[#This Row],[Year1]])</f>
        <v>2018</v>
      </c>
      <c r="C505" t="s">
        <v>288</v>
      </c>
      <c r="D505" t="s">
        <v>222</v>
      </c>
      <c r="E505" t="s">
        <v>231</v>
      </c>
      <c r="F505" t="s">
        <v>299</v>
      </c>
      <c r="G505">
        <v>26244</v>
      </c>
    </row>
    <row r="506" spans="1:7" x14ac:dyDescent="0.35">
      <c r="A506" s="13">
        <v>43101</v>
      </c>
      <c r="B506">
        <f>YEAR(Table2__2[[#This Row],[Year1]])</f>
        <v>2018</v>
      </c>
      <c r="C506" t="s">
        <v>288</v>
      </c>
      <c r="D506" t="s">
        <v>232</v>
      </c>
      <c r="E506" t="s">
        <v>233</v>
      </c>
      <c r="F506" t="s">
        <v>299</v>
      </c>
      <c r="G506">
        <v>359</v>
      </c>
    </row>
    <row r="507" spans="1:7" x14ac:dyDescent="0.35">
      <c r="A507" s="13">
        <v>43101</v>
      </c>
      <c r="B507">
        <f>YEAR(Table2__2[[#This Row],[Year1]])</f>
        <v>2018</v>
      </c>
      <c r="C507" t="s">
        <v>288</v>
      </c>
      <c r="D507" t="s">
        <v>232</v>
      </c>
      <c r="E507" t="s">
        <v>234</v>
      </c>
      <c r="F507" t="s">
        <v>299</v>
      </c>
      <c r="G507">
        <v>384</v>
      </c>
    </row>
    <row r="508" spans="1:7" x14ac:dyDescent="0.35">
      <c r="A508" s="13">
        <v>43101</v>
      </c>
      <c r="B508">
        <f>YEAR(Table2__2[[#This Row],[Year1]])</f>
        <v>2018</v>
      </c>
      <c r="C508" t="s">
        <v>288</v>
      </c>
      <c r="D508" t="s">
        <v>232</v>
      </c>
      <c r="E508" t="s">
        <v>235</v>
      </c>
      <c r="F508" t="s">
        <v>299</v>
      </c>
      <c r="G508">
        <v>1930</v>
      </c>
    </row>
    <row r="509" spans="1:7" x14ac:dyDescent="0.35">
      <c r="A509" s="13">
        <v>43101</v>
      </c>
      <c r="B509">
        <f>YEAR(Table2__2[[#This Row],[Year1]])</f>
        <v>2018</v>
      </c>
      <c r="C509" t="s">
        <v>288</v>
      </c>
      <c r="D509" t="s">
        <v>232</v>
      </c>
      <c r="E509" t="s">
        <v>236</v>
      </c>
      <c r="F509" t="s">
        <v>299</v>
      </c>
      <c r="G509">
        <v>461</v>
      </c>
    </row>
    <row r="510" spans="1:7" x14ac:dyDescent="0.35">
      <c r="A510" s="13">
        <v>43101</v>
      </c>
      <c r="B510">
        <f>YEAR(Table2__2[[#This Row],[Year1]])</f>
        <v>2018</v>
      </c>
      <c r="C510" t="s">
        <v>288</v>
      </c>
      <c r="D510" t="s">
        <v>232</v>
      </c>
      <c r="E510" t="s">
        <v>237</v>
      </c>
      <c r="F510" t="s">
        <v>299</v>
      </c>
      <c r="G510">
        <v>47</v>
      </c>
    </row>
    <row r="511" spans="1:7" x14ac:dyDescent="0.35">
      <c r="A511" s="13">
        <v>43101</v>
      </c>
      <c r="B511">
        <f>YEAR(Table2__2[[#This Row],[Year1]])</f>
        <v>2018</v>
      </c>
      <c r="C511" t="s">
        <v>288</v>
      </c>
      <c r="D511" t="s">
        <v>232</v>
      </c>
      <c r="E511" t="s">
        <v>238</v>
      </c>
      <c r="F511" t="s">
        <v>299</v>
      </c>
      <c r="G511">
        <v>52</v>
      </c>
    </row>
    <row r="512" spans="1:7" x14ac:dyDescent="0.35">
      <c r="A512" s="13">
        <v>43101</v>
      </c>
      <c r="B512">
        <f>YEAR(Table2__2[[#This Row],[Year1]])</f>
        <v>2018</v>
      </c>
      <c r="C512" t="s">
        <v>288</v>
      </c>
      <c r="D512" t="s">
        <v>232</v>
      </c>
      <c r="E512" t="s">
        <v>239</v>
      </c>
      <c r="F512" t="s">
        <v>299</v>
      </c>
      <c r="G512">
        <v>2169</v>
      </c>
    </row>
    <row r="513" spans="1:7" x14ac:dyDescent="0.35">
      <c r="A513" s="13">
        <v>43101</v>
      </c>
      <c r="B513">
        <f>YEAR(Table2__2[[#This Row],[Year1]])</f>
        <v>2018</v>
      </c>
      <c r="C513" t="s">
        <v>288</v>
      </c>
      <c r="D513" t="s">
        <v>232</v>
      </c>
      <c r="E513" t="s">
        <v>240</v>
      </c>
      <c r="F513" t="s">
        <v>299</v>
      </c>
      <c r="G513">
        <v>798</v>
      </c>
    </row>
    <row r="514" spans="1:7" x14ac:dyDescent="0.35">
      <c r="A514" s="13">
        <v>43101</v>
      </c>
      <c r="B514">
        <f>YEAR(Table2__2[[#This Row],[Year1]])</f>
        <v>2018</v>
      </c>
      <c r="C514" t="s">
        <v>288</v>
      </c>
      <c r="D514" t="s">
        <v>232</v>
      </c>
      <c r="E514" t="s">
        <v>241</v>
      </c>
      <c r="F514" t="s">
        <v>299</v>
      </c>
      <c r="G514">
        <v>280</v>
      </c>
    </row>
    <row r="515" spans="1:7" x14ac:dyDescent="0.35">
      <c r="A515" s="13">
        <v>43101</v>
      </c>
      <c r="B515">
        <f>YEAR(Table2__2[[#This Row],[Year1]])</f>
        <v>2018</v>
      </c>
      <c r="C515" t="s">
        <v>288</v>
      </c>
      <c r="D515" t="s">
        <v>232</v>
      </c>
      <c r="E515" t="s">
        <v>242</v>
      </c>
      <c r="F515" t="s">
        <v>299</v>
      </c>
      <c r="G515">
        <v>347</v>
      </c>
    </row>
    <row r="516" spans="1:7" x14ac:dyDescent="0.35">
      <c r="A516" s="13">
        <v>43101</v>
      </c>
      <c r="B516">
        <f>YEAR(Table2__2[[#This Row],[Year1]])</f>
        <v>2018</v>
      </c>
      <c r="C516" t="s">
        <v>288</v>
      </c>
      <c r="D516" t="s">
        <v>232</v>
      </c>
      <c r="E516" t="s">
        <v>243</v>
      </c>
      <c r="F516" t="s">
        <v>299</v>
      </c>
      <c r="G516">
        <v>736</v>
      </c>
    </row>
    <row r="517" spans="1:7" x14ac:dyDescent="0.35">
      <c r="A517" s="13">
        <v>43101</v>
      </c>
      <c r="B517">
        <f>YEAR(Table2__2[[#This Row],[Year1]])</f>
        <v>2018</v>
      </c>
      <c r="C517" t="s">
        <v>289</v>
      </c>
      <c r="D517" t="s">
        <v>281</v>
      </c>
      <c r="E517" t="s">
        <v>226</v>
      </c>
      <c r="F517" t="s">
        <v>301</v>
      </c>
      <c r="G517">
        <v>22185</v>
      </c>
    </row>
    <row r="518" spans="1:7" x14ac:dyDescent="0.35">
      <c r="A518" s="13">
        <v>43101</v>
      </c>
      <c r="B518">
        <f>YEAR(Table2__2[[#This Row],[Year1]])</f>
        <v>2018</v>
      </c>
      <c r="C518" t="s">
        <v>289</v>
      </c>
      <c r="D518" t="s">
        <v>281</v>
      </c>
      <c r="E518" t="s">
        <v>227</v>
      </c>
      <c r="F518" t="s">
        <v>301</v>
      </c>
      <c r="G518">
        <v>32860</v>
      </c>
    </row>
    <row r="519" spans="1:7" x14ac:dyDescent="0.35">
      <c r="A519" s="13">
        <v>43101</v>
      </c>
      <c r="B519">
        <f>YEAR(Table2__2[[#This Row],[Year1]])</f>
        <v>2018</v>
      </c>
      <c r="C519" t="s">
        <v>289</v>
      </c>
      <c r="D519" t="s">
        <v>281</v>
      </c>
      <c r="E519" t="s">
        <v>229</v>
      </c>
      <c r="F519" t="s">
        <v>301</v>
      </c>
      <c r="G519">
        <v>32065</v>
      </c>
    </row>
    <row r="520" spans="1:7" x14ac:dyDescent="0.35">
      <c r="A520" s="13">
        <v>43101</v>
      </c>
      <c r="B520">
        <f>YEAR(Table2__2[[#This Row],[Year1]])</f>
        <v>2018</v>
      </c>
      <c r="C520" t="s">
        <v>289</v>
      </c>
      <c r="D520" t="s">
        <v>281</v>
      </c>
      <c r="E520" t="s">
        <v>230</v>
      </c>
      <c r="F520" t="s">
        <v>301</v>
      </c>
      <c r="G520">
        <v>14695</v>
      </c>
    </row>
    <row r="521" spans="1:7" x14ac:dyDescent="0.35">
      <c r="A521" s="13">
        <v>43101</v>
      </c>
      <c r="B521">
        <f>YEAR(Table2__2[[#This Row],[Year1]])</f>
        <v>2018</v>
      </c>
      <c r="C521" t="s">
        <v>289</v>
      </c>
      <c r="D521" t="s">
        <v>283</v>
      </c>
      <c r="E521" t="s">
        <v>244</v>
      </c>
      <c r="F521" t="s">
        <v>301</v>
      </c>
      <c r="G521">
        <v>1895</v>
      </c>
    </row>
    <row r="522" spans="1:7" x14ac:dyDescent="0.35">
      <c r="A522" s="13">
        <v>43101</v>
      </c>
      <c r="B522">
        <f>YEAR(Table2__2[[#This Row],[Year1]])</f>
        <v>2018</v>
      </c>
      <c r="C522" t="s">
        <v>289</v>
      </c>
      <c r="D522" t="s">
        <v>283</v>
      </c>
      <c r="E522" t="s">
        <v>245</v>
      </c>
      <c r="F522" t="s">
        <v>301</v>
      </c>
      <c r="G522">
        <v>950</v>
      </c>
    </row>
    <row r="523" spans="1:7" x14ac:dyDescent="0.35">
      <c r="A523" s="13">
        <v>43101</v>
      </c>
      <c r="B523">
        <f>YEAR(Table2__2[[#This Row],[Year1]])</f>
        <v>2018</v>
      </c>
      <c r="C523" t="s">
        <v>289</v>
      </c>
      <c r="D523" t="s">
        <v>283</v>
      </c>
      <c r="E523" t="s">
        <v>246</v>
      </c>
      <c r="F523" t="s">
        <v>301</v>
      </c>
      <c r="G523">
        <v>5995</v>
      </c>
    </row>
    <row r="524" spans="1:7" x14ac:dyDescent="0.35">
      <c r="A524" s="13">
        <v>43101</v>
      </c>
      <c r="B524">
        <f>YEAR(Table2__2[[#This Row],[Year1]])</f>
        <v>2018</v>
      </c>
      <c r="C524" t="s">
        <v>289</v>
      </c>
      <c r="D524" t="s">
        <v>283</v>
      </c>
      <c r="E524" t="s">
        <v>234</v>
      </c>
      <c r="F524" t="s">
        <v>301</v>
      </c>
      <c r="G524">
        <v>8688</v>
      </c>
    </row>
    <row r="525" spans="1:7" x14ac:dyDescent="0.35">
      <c r="A525" s="13">
        <v>43101</v>
      </c>
      <c r="B525">
        <f>YEAR(Table2__2[[#This Row],[Year1]])</f>
        <v>2018</v>
      </c>
      <c r="C525" t="s">
        <v>289</v>
      </c>
      <c r="D525" t="s">
        <v>283</v>
      </c>
      <c r="E525" t="s">
        <v>247</v>
      </c>
      <c r="F525" t="s">
        <v>301</v>
      </c>
      <c r="G525">
        <v>4577</v>
      </c>
    </row>
    <row r="526" spans="1:7" x14ac:dyDescent="0.35">
      <c r="A526" s="13">
        <v>43101</v>
      </c>
      <c r="B526">
        <f>YEAR(Table2__2[[#This Row],[Year1]])</f>
        <v>2018</v>
      </c>
      <c r="C526" t="s">
        <v>289</v>
      </c>
      <c r="D526" t="s">
        <v>283</v>
      </c>
      <c r="E526" t="s">
        <v>235</v>
      </c>
      <c r="F526" t="s">
        <v>301</v>
      </c>
      <c r="G526">
        <v>4244</v>
      </c>
    </row>
    <row r="527" spans="1:7" x14ac:dyDescent="0.35">
      <c r="A527" s="13">
        <v>43101</v>
      </c>
      <c r="B527">
        <f>YEAR(Table2__2[[#This Row],[Year1]])</f>
        <v>2018</v>
      </c>
      <c r="C527" t="s">
        <v>289</v>
      </c>
      <c r="D527" t="s">
        <v>283</v>
      </c>
      <c r="E527" t="s">
        <v>226</v>
      </c>
      <c r="F527" t="s">
        <v>301</v>
      </c>
      <c r="G527">
        <v>299</v>
      </c>
    </row>
    <row r="528" spans="1:7" x14ac:dyDescent="0.35">
      <c r="A528" s="13">
        <v>43101</v>
      </c>
      <c r="B528">
        <f>YEAR(Table2__2[[#This Row],[Year1]])</f>
        <v>2018</v>
      </c>
      <c r="C528" t="s">
        <v>289</v>
      </c>
      <c r="D528" t="s">
        <v>283</v>
      </c>
      <c r="E528" t="s">
        <v>248</v>
      </c>
      <c r="F528" t="s">
        <v>301</v>
      </c>
      <c r="G528">
        <v>4678</v>
      </c>
    </row>
    <row r="529" spans="1:7" x14ac:dyDescent="0.35">
      <c r="A529" s="13">
        <v>43101</v>
      </c>
      <c r="B529">
        <f>YEAR(Table2__2[[#This Row],[Year1]])</f>
        <v>2018</v>
      </c>
      <c r="C529" t="s">
        <v>289</v>
      </c>
      <c r="D529" t="s">
        <v>283</v>
      </c>
      <c r="E529" t="s">
        <v>227</v>
      </c>
      <c r="F529" t="s">
        <v>301</v>
      </c>
      <c r="G529">
        <v>269</v>
      </c>
    </row>
    <row r="530" spans="1:7" x14ac:dyDescent="0.35">
      <c r="A530" s="13">
        <v>43101</v>
      </c>
      <c r="B530">
        <f>YEAR(Table2__2[[#This Row],[Year1]])</f>
        <v>2018</v>
      </c>
      <c r="C530" t="s">
        <v>289</v>
      </c>
      <c r="D530" t="s">
        <v>283</v>
      </c>
      <c r="E530" t="s">
        <v>249</v>
      </c>
      <c r="F530" t="s">
        <v>301</v>
      </c>
      <c r="G530">
        <v>4424</v>
      </c>
    </row>
    <row r="531" spans="1:7" x14ac:dyDescent="0.35">
      <c r="A531" s="13">
        <v>43101</v>
      </c>
      <c r="B531">
        <f>YEAR(Table2__2[[#This Row],[Year1]])</f>
        <v>2018</v>
      </c>
      <c r="C531" t="s">
        <v>289</v>
      </c>
      <c r="D531" t="s">
        <v>283</v>
      </c>
      <c r="E531" t="s">
        <v>239</v>
      </c>
      <c r="F531" t="s">
        <v>301</v>
      </c>
      <c r="G531">
        <v>5819</v>
      </c>
    </row>
    <row r="532" spans="1:7" x14ac:dyDescent="0.35">
      <c r="A532" s="13">
        <v>43101</v>
      </c>
      <c r="B532">
        <f>YEAR(Table2__2[[#This Row],[Year1]])</f>
        <v>2018</v>
      </c>
      <c r="C532" t="s">
        <v>289</v>
      </c>
      <c r="D532" t="s">
        <v>283</v>
      </c>
      <c r="E532" t="s">
        <v>240</v>
      </c>
      <c r="F532" t="s">
        <v>301</v>
      </c>
      <c r="G532">
        <v>68</v>
      </c>
    </row>
    <row r="533" spans="1:7" x14ac:dyDescent="0.35">
      <c r="A533" s="13">
        <v>43101</v>
      </c>
      <c r="B533">
        <f>YEAR(Table2__2[[#This Row],[Year1]])</f>
        <v>2018</v>
      </c>
      <c r="C533" t="s">
        <v>289</v>
      </c>
      <c r="D533" t="s">
        <v>283</v>
      </c>
      <c r="E533" t="s">
        <v>250</v>
      </c>
      <c r="F533" t="s">
        <v>301</v>
      </c>
      <c r="G533">
        <v>4224</v>
      </c>
    </row>
    <row r="534" spans="1:7" x14ac:dyDescent="0.35">
      <c r="A534" s="13">
        <v>43101</v>
      </c>
      <c r="B534">
        <f>YEAR(Table2__2[[#This Row],[Year1]])</f>
        <v>2018</v>
      </c>
      <c r="C534" t="s">
        <v>289</v>
      </c>
      <c r="D534" t="s">
        <v>283</v>
      </c>
      <c r="E534" t="s">
        <v>251</v>
      </c>
      <c r="F534" t="s">
        <v>301</v>
      </c>
      <c r="G534">
        <v>350</v>
      </c>
    </row>
    <row r="535" spans="1:7" x14ac:dyDescent="0.35">
      <c r="A535" s="13">
        <v>43101</v>
      </c>
      <c r="B535">
        <f>YEAR(Table2__2[[#This Row],[Year1]])</f>
        <v>2018</v>
      </c>
      <c r="C535" t="s">
        <v>289</v>
      </c>
      <c r="D535" t="s">
        <v>283</v>
      </c>
      <c r="E535" t="s">
        <v>229</v>
      </c>
      <c r="F535" t="s">
        <v>301</v>
      </c>
      <c r="G535">
        <v>353</v>
      </c>
    </row>
    <row r="536" spans="1:7" x14ac:dyDescent="0.35">
      <c r="A536" s="13">
        <v>43101</v>
      </c>
      <c r="B536">
        <f>YEAR(Table2__2[[#This Row],[Year1]])</f>
        <v>2018</v>
      </c>
      <c r="C536" t="s">
        <v>289</v>
      </c>
      <c r="D536" t="s">
        <v>283</v>
      </c>
      <c r="E536" t="s">
        <v>252</v>
      </c>
      <c r="F536" t="s">
        <v>301</v>
      </c>
      <c r="G536">
        <v>3377</v>
      </c>
    </row>
    <row r="537" spans="1:7" x14ac:dyDescent="0.35">
      <c r="A537" s="13">
        <v>43101</v>
      </c>
      <c r="B537">
        <f>YEAR(Table2__2[[#This Row],[Year1]])</f>
        <v>2018</v>
      </c>
      <c r="C537" t="s">
        <v>289</v>
      </c>
      <c r="D537" t="s">
        <v>283</v>
      </c>
      <c r="E537" t="s">
        <v>253</v>
      </c>
      <c r="F537" t="s">
        <v>301</v>
      </c>
      <c r="G537">
        <v>743</v>
      </c>
    </row>
    <row r="538" spans="1:7" x14ac:dyDescent="0.35">
      <c r="A538" s="13">
        <v>43101</v>
      </c>
      <c r="B538">
        <f>YEAR(Table2__2[[#This Row],[Year1]])</f>
        <v>2018</v>
      </c>
      <c r="C538" t="s">
        <v>289</v>
      </c>
      <c r="D538" t="s">
        <v>283</v>
      </c>
      <c r="E538" t="s">
        <v>254</v>
      </c>
      <c r="F538" t="s">
        <v>301</v>
      </c>
      <c r="G538">
        <v>5219</v>
      </c>
    </row>
    <row r="539" spans="1:7" x14ac:dyDescent="0.35">
      <c r="A539" s="13">
        <v>43101</v>
      </c>
      <c r="B539">
        <f>YEAR(Table2__2[[#This Row],[Year1]])</f>
        <v>2018</v>
      </c>
      <c r="C539" t="s">
        <v>289</v>
      </c>
      <c r="D539" t="s">
        <v>283</v>
      </c>
      <c r="E539" t="s">
        <v>255</v>
      </c>
      <c r="F539" t="s">
        <v>301</v>
      </c>
      <c r="G539">
        <v>827</v>
      </c>
    </row>
    <row r="540" spans="1:7" x14ac:dyDescent="0.35">
      <c r="A540" s="13">
        <v>43101</v>
      </c>
      <c r="B540">
        <f>YEAR(Table2__2[[#This Row],[Year1]])</f>
        <v>2018</v>
      </c>
      <c r="C540" t="s">
        <v>289</v>
      </c>
      <c r="D540" t="s">
        <v>283</v>
      </c>
      <c r="E540" t="s">
        <v>230</v>
      </c>
      <c r="F540" t="s">
        <v>301</v>
      </c>
      <c r="G540">
        <v>124</v>
      </c>
    </row>
    <row r="541" spans="1:7" x14ac:dyDescent="0.35">
      <c r="A541" s="13">
        <v>43101</v>
      </c>
      <c r="B541">
        <f>YEAR(Table2__2[[#This Row],[Year1]])</f>
        <v>2018</v>
      </c>
      <c r="C541" t="s">
        <v>289</v>
      </c>
      <c r="D541" t="s">
        <v>283</v>
      </c>
      <c r="E541" t="s">
        <v>298</v>
      </c>
      <c r="F541" t="s">
        <v>301</v>
      </c>
      <c r="G541">
        <v>7986</v>
      </c>
    </row>
    <row r="542" spans="1:7" x14ac:dyDescent="0.35">
      <c r="A542" s="13">
        <v>43101</v>
      </c>
      <c r="B542">
        <f>YEAR(Table2__2[[#This Row],[Year1]])</f>
        <v>2018</v>
      </c>
      <c r="C542" t="s">
        <v>289</v>
      </c>
      <c r="D542" t="s">
        <v>283</v>
      </c>
      <c r="E542" t="s">
        <v>257</v>
      </c>
      <c r="F542" t="s">
        <v>301</v>
      </c>
      <c r="G542">
        <v>6</v>
      </c>
    </row>
    <row r="543" spans="1:7" x14ac:dyDescent="0.35">
      <c r="A543" s="13">
        <v>43101</v>
      </c>
      <c r="B543">
        <f>YEAR(Table2__2[[#This Row],[Year1]])</f>
        <v>2018</v>
      </c>
      <c r="C543" t="s">
        <v>290</v>
      </c>
      <c r="D543" t="s">
        <v>425</v>
      </c>
      <c r="E543" t="s">
        <v>244</v>
      </c>
      <c r="F543" t="s">
        <v>302</v>
      </c>
      <c r="G543">
        <v>284</v>
      </c>
    </row>
    <row r="544" spans="1:7" x14ac:dyDescent="0.35">
      <c r="A544" s="13">
        <v>43101</v>
      </c>
      <c r="B544">
        <f>YEAR(Table2__2[[#This Row],[Year1]])</f>
        <v>2018</v>
      </c>
      <c r="C544" t="s">
        <v>290</v>
      </c>
      <c r="D544" t="s">
        <v>425</v>
      </c>
      <c r="E544" t="s">
        <v>245</v>
      </c>
      <c r="F544" t="s">
        <v>302</v>
      </c>
      <c r="G544">
        <v>155</v>
      </c>
    </row>
    <row r="545" spans="1:7" x14ac:dyDescent="0.35">
      <c r="A545" s="13">
        <v>43101</v>
      </c>
      <c r="B545">
        <f>YEAR(Table2__2[[#This Row],[Year1]])</f>
        <v>2018</v>
      </c>
      <c r="C545" t="s">
        <v>290</v>
      </c>
      <c r="D545" t="s">
        <v>425</v>
      </c>
      <c r="E545" t="s">
        <v>246</v>
      </c>
      <c r="F545" t="s">
        <v>302</v>
      </c>
      <c r="G545">
        <v>166</v>
      </c>
    </row>
    <row r="546" spans="1:7" x14ac:dyDescent="0.35">
      <c r="A546" s="13">
        <v>43101</v>
      </c>
      <c r="B546">
        <f>YEAR(Table2__2[[#This Row],[Year1]])</f>
        <v>2018</v>
      </c>
      <c r="C546" t="s">
        <v>290</v>
      </c>
      <c r="D546" t="s">
        <v>425</v>
      </c>
      <c r="E546" t="s">
        <v>234</v>
      </c>
      <c r="F546" t="s">
        <v>302</v>
      </c>
      <c r="G546">
        <v>121</v>
      </c>
    </row>
    <row r="547" spans="1:7" x14ac:dyDescent="0.35">
      <c r="A547" s="13">
        <v>43101</v>
      </c>
      <c r="B547">
        <f>YEAR(Table2__2[[#This Row],[Year1]])</f>
        <v>2018</v>
      </c>
      <c r="C547" t="s">
        <v>290</v>
      </c>
      <c r="D547" t="s">
        <v>425</v>
      </c>
      <c r="E547" t="s">
        <v>247</v>
      </c>
      <c r="F547" t="s">
        <v>302</v>
      </c>
      <c r="G547">
        <v>776</v>
      </c>
    </row>
    <row r="548" spans="1:7" x14ac:dyDescent="0.35">
      <c r="A548" s="13">
        <v>43101</v>
      </c>
      <c r="B548">
        <f>YEAR(Table2__2[[#This Row],[Year1]])</f>
        <v>2018</v>
      </c>
      <c r="C548" t="s">
        <v>290</v>
      </c>
      <c r="D548" t="s">
        <v>425</v>
      </c>
      <c r="E548" t="s">
        <v>259</v>
      </c>
      <c r="F548" t="s">
        <v>302</v>
      </c>
      <c r="G548">
        <v>637</v>
      </c>
    </row>
    <row r="549" spans="1:7" x14ac:dyDescent="0.35">
      <c r="A549" s="13">
        <v>43101</v>
      </c>
      <c r="B549">
        <f>YEAR(Table2__2[[#This Row],[Year1]])</f>
        <v>2018</v>
      </c>
      <c r="C549" t="s">
        <v>290</v>
      </c>
      <c r="D549" t="s">
        <v>425</v>
      </c>
      <c r="E549" t="s">
        <v>260</v>
      </c>
      <c r="F549" t="s">
        <v>302</v>
      </c>
      <c r="G549">
        <v>258</v>
      </c>
    </row>
    <row r="550" spans="1:7" x14ac:dyDescent="0.35">
      <c r="A550" s="13">
        <v>43101</v>
      </c>
      <c r="B550">
        <f>YEAR(Table2__2[[#This Row],[Year1]])</f>
        <v>2018</v>
      </c>
      <c r="C550" t="s">
        <v>290</v>
      </c>
      <c r="D550" t="s">
        <v>425</v>
      </c>
      <c r="E550" t="s">
        <v>235</v>
      </c>
      <c r="F550" t="s">
        <v>302</v>
      </c>
      <c r="G550">
        <v>232</v>
      </c>
    </row>
    <row r="551" spans="1:7" x14ac:dyDescent="0.35">
      <c r="A551" s="13">
        <v>43101</v>
      </c>
      <c r="B551">
        <f>YEAR(Table2__2[[#This Row],[Year1]])</f>
        <v>2018</v>
      </c>
      <c r="C551" t="s">
        <v>290</v>
      </c>
      <c r="D551" t="s">
        <v>425</v>
      </c>
      <c r="E551" t="s">
        <v>226</v>
      </c>
      <c r="F551" t="s">
        <v>302</v>
      </c>
      <c r="G551">
        <v>996</v>
      </c>
    </row>
    <row r="552" spans="1:7" x14ac:dyDescent="0.35">
      <c r="A552" s="13">
        <v>43101</v>
      </c>
      <c r="B552">
        <f>YEAR(Table2__2[[#This Row],[Year1]])</f>
        <v>2018</v>
      </c>
      <c r="C552" t="s">
        <v>290</v>
      </c>
      <c r="D552" t="s">
        <v>425</v>
      </c>
      <c r="E552" t="s">
        <v>261</v>
      </c>
      <c r="F552" t="s">
        <v>302</v>
      </c>
      <c r="G552">
        <v>174</v>
      </c>
    </row>
    <row r="553" spans="1:7" x14ac:dyDescent="0.35">
      <c r="A553" s="13">
        <v>43101</v>
      </c>
      <c r="B553">
        <f>YEAR(Table2__2[[#This Row],[Year1]])</f>
        <v>2018</v>
      </c>
      <c r="C553" t="s">
        <v>290</v>
      </c>
      <c r="D553" t="s">
        <v>425</v>
      </c>
      <c r="E553" t="s">
        <v>248</v>
      </c>
      <c r="F553" t="s">
        <v>302</v>
      </c>
      <c r="G553">
        <v>451</v>
      </c>
    </row>
    <row r="554" spans="1:7" x14ac:dyDescent="0.35">
      <c r="A554" s="13">
        <v>43101</v>
      </c>
      <c r="B554">
        <f>YEAR(Table2__2[[#This Row],[Year1]])</f>
        <v>2018</v>
      </c>
      <c r="C554" t="s">
        <v>290</v>
      </c>
      <c r="D554" t="s">
        <v>425</v>
      </c>
      <c r="E554" t="s">
        <v>249</v>
      </c>
      <c r="F554" t="s">
        <v>302</v>
      </c>
      <c r="G554">
        <v>545</v>
      </c>
    </row>
    <row r="555" spans="1:7" x14ac:dyDescent="0.35">
      <c r="A555" s="13">
        <v>43101</v>
      </c>
      <c r="B555">
        <f>YEAR(Table2__2[[#This Row],[Year1]])</f>
        <v>2018</v>
      </c>
      <c r="C555" t="s">
        <v>290</v>
      </c>
      <c r="D555" t="s">
        <v>425</v>
      </c>
      <c r="E555" t="s">
        <v>239</v>
      </c>
      <c r="F555" t="s">
        <v>302</v>
      </c>
      <c r="G555">
        <v>381</v>
      </c>
    </row>
    <row r="556" spans="1:7" x14ac:dyDescent="0.35">
      <c r="A556" s="13">
        <v>43101</v>
      </c>
      <c r="B556">
        <f>YEAR(Table2__2[[#This Row],[Year1]])</f>
        <v>2018</v>
      </c>
      <c r="C556" t="s">
        <v>290</v>
      </c>
      <c r="D556" t="s">
        <v>425</v>
      </c>
      <c r="E556" t="s">
        <v>240</v>
      </c>
      <c r="F556" t="s">
        <v>302</v>
      </c>
      <c r="G556">
        <v>1005</v>
      </c>
    </row>
    <row r="557" spans="1:7" x14ac:dyDescent="0.35">
      <c r="A557" s="13">
        <v>43101</v>
      </c>
      <c r="B557">
        <f>YEAR(Table2__2[[#This Row],[Year1]])</f>
        <v>2018</v>
      </c>
      <c r="C557" t="s">
        <v>290</v>
      </c>
      <c r="D557" t="s">
        <v>425</v>
      </c>
      <c r="E557" t="s">
        <v>250</v>
      </c>
      <c r="F557" t="s">
        <v>302</v>
      </c>
      <c r="G557">
        <v>309</v>
      </c>
    </row>
    <row r="558" spans="1:7" x14ac:dyDescent="0.35">
      <c r="A558" s="13">
        <v>43101</v>
      </c>
      <c r="B558">
        <f>YEAR(Table2__2[[#This Row],[Year1]])</f>
        <v>2018</v>
      </c>
      <c r="C558" t="s">
        <v>290</v>
      </c>
      <c r="D558" t="s">
        <v>425</v>
      </c>
      <c r="E558" t="s">
        <v>265</v>
      </c>
      <c r="F558" t="s">
        <v>302</v>
      </c>
      <c r="G558">
        <v>360</v>
      </c>
    </row>
    <row r="559" spans="1:7" x14ac:dyDescent="0.35">
      <c r="A559" s="13">
        <v>43101</v>
      </c>
      <c r="B559">
        <f>YEAR(Table2__2[[#This Row],[Year1]])</f>
        <v>2018</v>
      </c>
      <c r="C559" t="s">
        <v>290</v>
      </c>
      <c r="D559" t="s">
        <v>425</v>
      </c>
      <c r="E559" t="s">
        <v>266</v>
      </c>
      <c r="F559" t="s">
        <v>302</v>
      </c>
      <c r="G559">
        <v>254</v>
      </c>
    </row>
    <row r="560" spans="1:7" x14ac:dyDescent="0.35">
      <c r="A560" s="13">
        <v>43101</v>
      </c>
      <c r="B560">
        <f>YEAR(Table2__2[[#This Row],[Year1]])</f>
        <v>2018</v>
      </c>
      <c r="C560" t="s">
        <v>290</v>
      </c>
      <c r="D560" t="s">
        <v>425</v>
      </c>
      <c r="E560" t="s">
        <v>267</v>
      </c>
      <c r="F560" t="s">
        <v>302</v>
      </c>
      <c r="G560">
        <v>394</v>
      </c>
    </row>
    <row r="561" spans="1:7" x14ac:dyDescent="0.35">
      <c r="A561" s="13">
        <v>43101</v>
      </c>
      <c r="B561">
        <f>YEAR(Table2__2[[#This Row],[Year1]])</f>
        <v>2018</v>
      </c>
      <c r="C561" t="s">
        <v>290</v>
      </c>
      <c r="D561" t="s">
        <v>425</v>
      </c>
      <c r="E561" t="s">
        <v>268</v>
      </c>
      <c r="F561" t="s">
        <v>302</v>
      </c>
      <c r="G561">
        <v>317</v>
      </c>
    </row>
    <row r="562" spans="1:7" x14ac:dyDescent="0.35">
      <c r="A562" s="13">
        <v>43101</v>
      </c>
      <c r="B562">
        <f>YEAR(Table2__2[[#This Row],[Year1]])</f>
        <v>2018</v>
      </c>
      <c r="C562" t="s">
        <v>290</v>
      </c>
      <c r="D562" t="s">
        <v>425</v>
      </c>
      <c r="E562" t="s">
        <v>269</v>
      </c>
      <c r="F562" t="s">
        <v>302</v>
      </c>
      <c r="G562">
        <v>955</v>
      </c>
    </row>
    <row r="563" spans="1:7" x14ac:dyDescent="0.35">
      <c r="A563" s="13">
        <v>43101</v>
      </c>
      <c r="B563">
        <f>YEAR(Table2__2[[#This Row],[Year1]])</f>
        <v>2018</v>
      </c>
      <c r="C563" t="s">
        <v>290</v>
      </c>
      <c r="D563" t="s">
        <v>425</v>
      </c>
      <c r="E563" t="s">
        <v>229</v>
      </c>
      <c r="F563" t="s">
        <v>302</v>
      </c>
      <c r="G563">
        <v>56</v>
      </c>
    </row>
    <row r="564" spans="1:7" x14ac:dyDescent="0.35">
      <c r="A564" s="13">
        <v>43101</v>
      </c>
      <c r="B564">
        <f>YEAR(Table2__2[[#This Row],[Year1]])</f>
        <v>2018</v>
      </c>
      <c r="C564" t="s">
        <v>290</v>
      </c>
      <c r="D564" t="s">
        <v>425</v>
      </c>
      <c r="E564" t="s">
        <v>252</v>
      </c>
      <c r="F564" t="s">
        <v>302</v>
      </c>
      <c r="G564">
        <v>230</v>
      </c>
    </row>
    <row r="565" spans="1:7" x14ac:dyDescent="0.35">
      <c r="A565" s="13">
        <v>43101</v>
      </c>
      <c r="B565">
        <f>YEAR(Table2__2[[#This Row],[Year1]])</f>
        <v>2018</v>
      </c>
      <c r="C565" t="s">
        <v>290</v>
      </c>
      <c r="D565" t="s">
        <v>425</v>
      </c>
      <c r="E565" t="s">
        <v>253</v>
      </c>
      <c r="F565" t="s">
        <v>302</v>
      </c>
      <c r="G565">
        <v>108</v>
      </c>
    </row>
    <row r="566" spans="1:7" x14ac:dyDescent="0.35">
      <c r="A566" s="13">
        <v>43101</v>
      </c>
      <c r="B566">
        <f>YEAR(Table2__2[[#This Row],[Year1]])</f>
        <v>2018</v>
      </c>
      <c r="C566" t="s">
        <v>290</v>
      </c>
      <c r="D566" t="s">
        <v>425</v>
      </c>
      <c r="E566" t="s">
        <v>254</v>
      </c>
      <c r="F566" t="s">
        <v>302</v>
      </c>
      <c r="G566">
        <v>109</v>
      </c>
    </row>
    <row r="567" spans="1:7" x14ac:dyDescent="0.35">
      <c r="A567" s="13">
        <v>43101</v>
      </c>
      <c r="B567">
        <f>YEAR(Table2__2[[#This Row],[Year1]])</f>
        <v>2018</v>
      </c>
      <c r="C567" t="s">
        <v>290</v>
      </c>
      <c r="D567" t="s">
        <v>425</v>
      </c>
      <c r="E567" t="s">
        <v>255</v>
      </c>
      <c r="F567" t="s">
        <v>302</v>
      </c>
      <c r="G567">
        <v>328</v>
      </c>
    </row>
    <row r="568" spans="1:7" x14ac:dyDescent="0.35">
      <c r="A568" s="13">
        <v>43101</v>
      </c>
      <c r="B568">
        <f>YEAR(Table2__2[[#This Row],[Year1]])</f>
        <v>2018</v>
      </c>
      <c r="C568" t="s">
        <v>290</v>
      </c>
      <c r="D568" t="s">
        <v>425</v>
      </c>
      <c r="E568" t="s">
        <v>270</v>
      </c>
      <c r="F568" t="s">
        <v>302</v>
      </c>
      <c r="G568">
        <v>93</v>
      </c>
    </row>
    <row r="569" spans="1:7" x14ac:dyDescent="0.35">
      <c r="A569" s="13">
        <v>43101</v>
      </c>
      <c r="B569">
        <f>YEAR(Table2__2[[#This Row],[Year1]])</f>
        <v>2018</v>
      </c>
      <c r="C569" t="s">
        <v>290</v>
      </c>
      <c r="D569" t="s">
        <v>426</v>
      </c>
      <c r="E569" t="s">
        <v>271</v>
      </c>
      <c r="F569" t="s">
        <v>302</v>
      </c>
      <c r="G569">
        <v>149</v>
      </c>
    </row>
    <row r="570" spans="1:7" x14ac:dyDescent="0.35">
      <c r="A570" s="13">
        <v>43101</v>
      </c>
      <c r="B570">
        <f>YEAR(Table2__2[[#This Row],[Year1]])</f>
        <v>2018</v>
      </c>
      <c r="C570" t="s">
        <v>291</v>
      </c>
      <c r="D570" t="s">
        <v>425</v>
      </c>
      <c r="E570" t="s">
        <v>244</v>
      </c>
      <c r="F570" t="s">
        <v>302</v>
      </c>
      <c r="G570">
        <v>15189</v>
      </c>
    </row>
    <row r="571" spans="1:7" x14ac:dyDescent="0.35">
      <c r="A571" s="13">
        <v>43101</v>
      </c>
      <c r="B571">
        <f>YEAR(Table2__2[[#This Row],[Year1]])</f>
        <v>2018</v>
      </c>
      <c r="C571" t="s">
        <v>291</v>
      </c>
      <c r="D571" t="s">
        <v>425</v>
      </c>
      <c r="E571" t="s">
        <v>245</v>
      </c>
      <c r="F571" t="s">
        <v>302</v>
      </c>
      <c r="G571">
        <v>1703</v>
      </c>
    </row>
    <row r="572" spans="1:7" x14ac:dyDescent="0.35">
      <c r="A572" s="13">
        <v>43101</v>
      </c>
      <c r="B572">
        <f>YEAR(Table2__2[[#This Row],[Year1]])</f>
        <v>2018</v>
      </c>
      <c r="C572" t="s">
        <v>291</v>
      </c>
      <c r="D572" t="s">
        <v>425</v>
      </c>
      <c r="E572" t="s">
        <v>246</v>
      </c>
      <c r="F572" t="s">
        <v>302</v>
      </c>
      <c r="G572">
        <v>2908</v>
      </c>
    </row>
    <row r="573" spans="1:7" x14ac:dyDescent="0.35">
      <c r="A573" s="13">
        <v>43101</v>
      </c>
      <c r="B573">
        <f>YEAR(Table2__2[[#This Row],[Year1]])</f>
        <v>2018</v>
      </c>
      <c r="C573" t="s">
        <v>291</v>
      </c>
      <c r="D573" t="s">
        <v>425</v>
      </c>
      <c r="E573" t="s">
        <v>234</v>
      </c>
      <c r="F573" t="s">
        <v>302</v>
      </c>
      <c r="G573">
        <v>1582</v>
      </c>
    </row>
    <row r="574" spans="1:7" x14ac:dyDescent="0.35">
      <c r="A574" s="13">
        <v>43101</v>
      </c>
      <c r="B574">
        <f>YEAR(Table2__2[[#This Row],[Year1]])</f>
        <v>2018</v>
      </c>
      <c r="C574" t="s">
        <v>291</v>
      </c>
      <c r="D574" t="s">
        <v>425</v>
      </c>
      <c r="E574" t="s">
        <v>247</v>
      </c>
      <c r="F574" t="s">
        <v>302</v>
      </c>
      <c r="G574">
        <v>9241</v>
      </c>
    </row>
    <row r="575" spans="1:7" x14ac:dyDescent="0.35">
      <c r="A575" s="13">
        <v>43101</v>
      </c>
      <c r="B575">
        <f>YEAR(Table2__2[[#This Row],[Year1]])</f>
        <v>2018</v>
      </c>
      <c r="C575" t="s">
        <v>291</v>
      </c>
      <c r="D575" t="s">
        <v>425</v>
      </c>
      <c r="E575" t="s">
        <v>259</v>
      </c>
      <c r="F575" t="s">
        <v>302</v>
      </c>
      <c r="G575">
        <v>17644</v>
      </c>
    </row>
    <row r="576" spans="1:7" x14ac:dyDescent="0.35">
      <c r="A576" s="13">
        <v>43101</v>
      </c>
      <c r="B576">
        <f>YEAR(Table2__2[[#This Row],[Year1]])</f>
        <v>2018</v>
      </c>
      <c r="C576" t="s">
        <v>291</v>
      </c>
      <c r="D576" t="s">
        <v>425</v>
      </c>
      <c r="E576" t="s">
        <v>260</v>
      </c>
      <c r="F576" t="s">
        <v>302</v>
      </c>
      <c r="G576">
        <v>2755</v>
      </c>
    </row>
    <row r="577" spans="1:7" x14ac:dyDescent="0.35">
      <c r="A577" s="13">
        <v>43101</v>
      </c>
      <c r="B577">
        <f>YEAR(Table2__2[[#This Row],[Year1]])</f>
        <v>2018</v>
      </c>
      <c r="C577" t="s">
        <v>291</v>
      </c>
      <c r="D577" t="s">
        <v>425</v>
      </c>
      <c r="E577" t="s">
        <v>235</v>
      </c>
      <c r="F577" t="s">
        <v>302</v>
      </c>
      <c r="G577">
        <v>3604</v>
      </c>
    </row>
    <row r="578" spans="1:7" x14ac:dyDescent="0.35">
      <c r="A578" s="13">
        <v>43101</v>
      </c>
      <c r="B578">
        <f>YEAR(Table2__2[[#This Row],[Year1]])</f>
        <v>2018</v>
      </c>
      <c r="C578" t="s">
        <v>291</v>
      </c>
      <c r="D578" t="s">
        <v>425</v>
      </c>
      <c r="E578" t="s">
        <v>226</v>
      </c>
      <c r="F578" t="s">
        <v>302</v>
      </c>
      <c r="G578">
        <v>2159</v>
      </c>
    </row>
    <row r="579" spans="1:7" x14ac:dyDescent="0.35">
      <c r="A579" s="13">
        <v>43101</v>
      </c>
      <c r="B579">
        <f>YEAR(Table2__2[[#This Row],[Year1]])</f>
        <v>2018</v>
      </c>
      <c r="C579" t="s">
        <v>291</v>
      </c>
      <c r="D579" t="s">
        <v>425</v>
      </c>
      <c r="E579" t="s">
        <v>248</v>
      </c>
      <c r="F579" t="s">
        <v>302</v>
      </c>
      <c r="G579">
        <v>14333</v>
      </c>
    </row>
    <row r="580" spans="1:7" x14ac:dyDescent="0.35">
      <c r="A580" s="13">
        <v>43101</v>
      </c>
      <c r="B580">
        <f>YEAR(Table2__2[[#This Row],[Year1]])</f>
        <v>2018</v>
      </c>
      <c r="C580" t="s">
        <v>291</v>
      </c>
      <c r="D580" t="s">
        <v>425</v>
      </c>
      <c r="E580" t="s">
        <v>249</v>
      </c>
      <c r="F580" t="s">
        <v>302</v>
      </c>
      <c r="G580">
        <v>7854</v>
      </c>
    </row>
    <row r="581" spans="1:7" x14ac:dyDescent="0.35">
      <c r="A581" s="13">
        <v>43101</v>
      </c>
      <c r="B581">
        <f>YEAR(Table2__2[[#This Row],[Year1]])</f>
        <v>2018</v>
      </c>
      <c r="C581" t="s">
        <v>291</v>
      </c>
      <c r="D581" t="s">
        <v>425</v>
      </c>
      <c r="E581" t="s">
        <v>239</v>
      </c>
      <c r="F581" t="s">
        <v>302</v>
      </c>
      <c r="G581">
        <v>8474</v>
      </c>
    </row>
    <row r="582" spans="1:7" x14ac:dyDescent="0.35">
      <c r="A582" s="13">
        <v>43101</v>
      </c>
      <c r="B582">
        <f>YEAR(Table2__2[[#This Row],[Year1]])</f>
        <v>2018</v>
      </c>
      <c r="C582" t="s">
        <v>291</v>
      </c>
      <c r="D582" t="s">
        <v>425</v>
      </c>
      <c r="E582" t="s">
        <v>240</v>
      </c>
      <c r="F582" t="s">
        <v>302</v>
      </c>
      <c r="G582">
        <v>10270</v>
      </c>
    </row>
    <row r="583" spans="1:7" x14ac:dyDescent="0.35">
      <c r="A583" s="13">
        <v>43101</v>
      </c>
      <c r="B583">
        <f>YEAR(Table2__2[[#This Row],[Year1]])</f>
        <v>2018</v>
      </c>
      <c r="C583" t="s">
        <v>291</v>
      </c>
      <c r="D583" t="s">
        <v>425</v>
      </c>
      <c r="E583" t="s">
        <v>250</v>
      </c>
      <c r="F583" t="s">
        <v>302</v>
      </c>
      <c r="G583">
        <v>3476</v>
      </c>
    </row>
    <row r="584" spans="1:7" x14ac:dyDescent="0.35">
      <c r="A584" s="13">
        <v>43101</v>
      </c>
      <c r="B584">
        <f>YEAR(Table2__2[[#This Row],[Year1]])</f>
        <v>2018</v>
      </c>
      <c r="C584" t="s">
        <v>291</v>
      </c>
      <c r="D584" t="s">
        <v>425</v>
      </c>
      <c r="E584" t="s">
        <v>265</v>
      </c>
      <c r="F584" t="s">
        <v>302</v>
      </c>
      <c r="G584">
        <v>3409</v>
      </c>
    </row>
    <row r="585" spans="1:7" x14ac:dyDescent="0.35">
      <c r="A585" s="13">
        <v>43101</v>
      </c>
      <c r="B585">
        <f>YEAR(Table2__2[[#This Row],[Year1]])</f>
        <v>2018</v>
      </c>
      <c r="C585" t="s">
        <v>291</v>
      </c>
      <c r="D585" t="s">
        <v>425</v>
      </c>
      <c r="E585" t="s">
        <v>266</v>
      </c>
      <c r="F585" t="s">
        <v>302</v>
      </c>
      <c r="G585">
        <v>5143</v>
      </c>
    </row>
    <row r="586" spans="1:7" x14ac:dyDescent="0.35">
      <c r="A586" s="13">
        <v>43101</v>
      </c>
      <c r="B586">
        <f>YEAR(Table2__2[[#This Row],[Year1]])</f>
        <v>2018</v>
      </c>
      <c r="C586" t="s">
        <v>291</v>
      </c>
      <c r="D586" t="s">
        <v>425</v>
      </c>
      <c r="E586" t="s">
        <v>267</v>
      </c>
      <c r="F586" t="s">
        <v>302</v>
      </c>
      <c r="G586">
        <v>7162</v>
      </c>
    </row>
    <row r="587" spans="1:7" x14ac:dyDescent="0.35">
      <c r="A587" s="13">
        <v>43101</v>
      </c>
      <c r="B587">
        <f>YEAR(Table2__2[[#This Row],[Year1]])</f>
        <v>2018</v>
      </c>
      <c r="C587" t="s">
        <v>291</v>
      </c>
      <c r="D587" t="s">
        <v>425</v>
      </c>
      <c r="E587" t="s">
        <v>268</v>
      </c>
      <c r="F587" t="s">
        <v>302</v>
      </c>
      <c r="G587">
        <v>4658</v>
      </c>
    </row>
    <row r="588" spans="1:7" x14ac:dyDescent="0.35">
      <c r="A588" s="13">
        <v>43101</v>
      </c>
      <c r="B588">
        <f>YEAR(Table2__2[[#This Row],[Year1]])</f>
        <v>2018</v>
      </c>
      <c r="C588" t="s">
        <v>291</v>
      </c>
      <c r="D588" t="s">
        <v>425</v>
      </c>
      <c r="E588" t="s">
        <v>272</v>
      </c>
      <c r="F588" t="s">
        <v>302</v>
      </c>
      <c r="G588">
        <v>5754</v>
      </c>
    </row>
    <row r="589" spans="1:7" x14ac:dyDescent="0.35">
      <c r="A589" s="13">
        <v>43101</v>
      </c>
      <c r="B589">
        <f>YEAR(Table2__2[[#This Row],[Year1]])</f>
        <v>2018</v>
      </c>
      <c r="C589" t="s">
        <v>291</v>
      </c>
      <c r="D589" t="s">
        <v>425</v>
      </c>
      <c r="E589" t="s">
        <v>269</v>
      </c>
      <c r="F589" t="s">
        <v>302</v>
      </c>
      <c r="G589">
        <v>10749</v>
      </c>
    </row>
    <row r="590" spans="1:7" x14ac:dyDescent="0.35">
      <c r="A590" s="13">
        <v>43101</v>
      </c>
      <c r="B590">
        <f>YEAR(Table2__2[[#This Row],[Year1]])</f>
        <v>2018</v>
      </c>
      <c r="C590" t="s">
        <v>291</v>
      </c>
      <c r="D590" t="s">
        <v>425</v>
      </c>
      <c r="E590" t="s">
        <v>229</v>
      </c>
      <c r="F590" t="s">
        <v>302</v>
      </c>
      <c r="G590">
        <v>6000</v>
      </c>
    </row>
    <row r="591" spans="1:7" x14ac:dyDescent="0.35">
      <c r="A591" s="13">
        <v>43101</v>
      </c>
      <c r="B591">
        <f>YEAR(Table2__2[[#This Row],[Year1]])</f>
        <v>2018</v>
      </c>
      <c r="C591" t="s">
        <v>291</v>
      </c>
      <c r="D591" t="s">
        <v>425</v>
      </c>
      <c r="E591" t="s">
        <v>252</v>
      </c>
      <c r="F591" t="s">
        <v>302</v>
      </c>
      <c r="G591">
        <v>6210</v>
      </c>
    </row>
    <row r="592" spans="1:7" x14ac:dyDescent="0.35">
      <c r="A592" s="13">
        <v>43101</v>
      </c>
      <c r="B592">
        <f>YEAR(Table2__2[[#This Row],[Year1]])</f>
        <v>2018</v>
      </c>
      <c r="C592" t="s">
        <v>291</v>
      </c>
      <c r="D592" t="s">
        <v>425</v>
      </c>
      <c r="E592" t="s">
        <v>254</v>
      </c>
      <c r="F592" t="s">
        <v>302</v>
      </c>
      <c r="G592">
        <v>3067</v>
      </c>
    </row>
    <row r="593" spans="1:7" x14ac:dyDescent="0.35">
      <c r="A593" s="13">
        <v>43101</v>
      </c>
      <c r="B593">
        <f>YEAR(Table2__2[[#This Row],[Year1]])</f>
        <v>2018</v>
      </c>
      <c r="C593" t="s">
        <v>291</v>
      </c>
      <c r="D593" t="s">
        <v>425</v>
      </c>
      <c r="E593" t="s">
        <v>270</v>
      </c>
      <c r="F593" t="s">
        <v>302</v>
      </c>
      <c r="G593">
        <v>4359</v>
      </c>
    </row>
    <row r="594" spans="1:7" x14ac:dyDescent="0.35">
      <c r="A594" s="13">
        <v>43101</v>
      </c>
      <c r="B594">
        <f>YEAR(Table2__2[[#This Row],[Year1]])</f>
        <v>2018</v>
      </c>
      <c r="C594" t="s">
        <v>291</v>
      </c>
      <c r="D594" t="s">
        <v>425</v>
      </c>
      <c r="E594" t="s">
        <v>273</v>
      </c>
      <c r="F594" t="s">
        <v>302</v>
      </c>
      <c r="G594">
        <v>5</v>
      </c>
    </row>
    <row r="595" spans="1:7" x14ac:dyDescent="0.35">
      <c r="A595" s="13">
        <v>43101</v>
      </c>
      <c r="B595">
        <f>YEAR(Table2__2[[#This Row],[Year1]])</f>
        <v>2018</v>
      </c>
      <c r="C595" t="s">
        <v>291</v>
      </c>
      <c r="D595" t="s">
        <v>425</v>
      </c>
      <c r="E595" t="s">
        <v>39</v>
      </c>
      <c r="F595" t="s">
        <v>302</v>
      </c>
      <c r="G595">
        <v>873</v>
      </c>
    </row>
    <row r="596" spans="1:7" x14ac:dyDescent="0.35">
      <c r="A596" s="13">
        <v>43466</v>
      </c>
      <c r="B596">
        <f>YEAR(Table2__2[[#This Row],[Year1]])</f>
        <v>2019</v>
      </c>
      <c r="C596" t="s">
        <v>288</v>
      </c>
      <c r="D596" t="s">
        <v>222</v>
      </c>
      <c r="E596" t="s">
        <v>223</v>
      </c>
      <c r="F596" t="s">
        <v>299</v>
      </c>
      <c r="G596">
        <v>9637</v>
      </c>
    </row>
    <row r="597" spans="1:7" x14ac:dyDescent="0.35">
      <c r="A597" s="13">
        <v>43466</v>
      </c>
      <c r="B597">
        <f>YEAR(Table2__2[[#This Row],[Year1]])</f>
        <v>2019</v>
      </c>
      <c r="C597" t="s">
        <v>288</v>
      </c>
      <c r="D597" t="s">
        <v>222</v>
      </c>
      <c r="E597" t="s">
        <v>224</v>
      </c>
      <c r="F597" t="s">
        <v>299</v>
      </c>
      <c r="G597">
        <v>57269</v>
      </c>
    </row>
    <row r="598" spans="1:7" x14ac:dyDescent="0.35">
      <c r="A598" s="13">
        <v>43466</v>
      </c>
      <c r="B598">
        <f>YEAR(Table2__2[[#This Row],[Year1]])</f>
        <v>2019</v>
      </c>
      <c r="C598" t="s">
        <v>288</v>
      </c>
      <c r="D598" t="s">
        <v>222</v>
      </c>
      <c r="E598" t="s">
        <v>225</v>
      </c>
      <c r="F598" t="s">
        <v>299</v>
      </c>
      <c r="G598">
        <v>35138</v>
      </c>
    </row>
    <row r="599" spans="1:7" x14ac:dyDescent="0.35">
      <c r="A599" s="13">
        <v>43466</v>
      </c>
      <c r="B599">
        <f>YEAR(Table2__2[[#This Row],[Year1]])</f>
        <v>2019</v>
      </c>
      <c r="C599" t="s">
        <v>288</v>
      </c>
      <c r="D599" t="s">
        <v>222</v>
      </c>
      <c r="E599" t="s">
        <v>226</v>
      </c>
      <c r="F599" t="s">
        <v>299</v>
      </c>
      <c r="G599">
        <v>182143</v>
      </c>
    </row>
    <row r="600" spans="1:7" x14ac:dyDescent="0.35">
      <c r="A600" s="13">
        <v>43466</v>
      </c>
      <c r="B600">
        <f>YEAR(Table2__2[[#This Row],[Year1]])</f>
        <v>2019</v>
      </c>
      <c r="C600" t="s">
        <v>288</v>
      </c>
      <c r="D600" t="s">
        <v>222</v>
      </c>
      <c r="E600" t="s">
        <v>227</v>
      </c>
      <c r="F600" t="s">
        <v>299</v>
      </c>
      <c r="G600">
        <v>38378</v>
      </c>
    </row>
    <row r="601" spans="1:7" x14ac:dyDescent="0.35">
      <c r="A601" s="13">
        <v>43466</v>
      </c>
      <c r="B601">
        <f>YEAR(Table2__2[[#This Row],[Year1]])</f>
        <v>2019</v>
      </c>
      <c r="C601" t="s">
        <v>288</v>
      </c>
      <c r="D601" t="s">
        <v>222</v>
      </c>
      <c r="E601" t="s">
        <v>228</v>
      </c>
      <c r="F601" t="s">
        <v>299</v>
      </c>
      <c r="G601">
        <v>339135</v>
      </c>
    </row>
    <row r="602" spans="1:7" x14ac:dyDescent="0.35">
      <c r="A602" s="13">
        <v>43466</v>
      </c>
      <c r="B602">
        <f>YEAR(Table2__2[[#This Row],[Year1]])</f>
        <v>2019</v>
      </c>
      <c r="C602" t="s">
        <v>288</v>
      </c>
      <c r="D602" t="s">
        <v>222</v>
      </c>
      <c r="E602" t="s">
        <v>229</v>
      </c>
      <c r="F602" t="s">
        <v>299</v>
      </c>
      <c r="G602">
        <v>58049</v>
      </c>
    </row>
    <row r="603" spans="1:7" x14ac:dyDescent="0.35">
      <c r="A603" s="13">
        <v>43466</v>
      </c>
      <c r="B603">
        <f>YEAR(Table2__2[[#This Row],[Year1]])</f>
        <v>2019</v>
      </c>
      <c r="C603" t="s">
        <v>288</v>
      </c>
      <c r="D603" t="s">
        <v>222</v>
      </c>
      <c r="E603" t="s">
        <v>230</v>
      </c>
      <c r="F603" t="s">
        <v>299</v>
      </c>
      <c r="G603">
        <v>63490</v>
      </c>
    </row>
    <row r="604" spans="1:7" x14ac:dyDescent="0.35">
      <c r="A604" s="13">
        <v>43466</v>
      </c>
      <c r="B604">
        <f>YEAR(Table2__2[[#This Row],[Year1]])</f>
        <v>2019</v>
      </c>
      <c r="C604" t="s">
        <v>288</v>
      </c>
      <c r="D604" t="s">
        <v>222</v>
      </c>
      <c r="E604" t="s">
        <v>231</v>
      </c>
      <c r="F604" t="s">
        <v>299</v>
      </c>
      <c r="G604">
        <v>68269</v>
      </c>
    </row>
    <row r="605" spans="1:7" x14ac:dyDescent="0.35">
      <c r="A605" s="13">
        <v>43466</v>
      </c>
      <c r="B605">
        <f>YEAR(Table2__2[[#This Row],[Year1]])</f>
        <v>2019</v>
      </c>
      <c r="C605" t="s">
        <v>288</v>
      </c>
      <c r="D605" t="s">
        <v>232</v>
      </c>
      <c r="E605" t="s">
        <v>233</v>
      </c>
      <c r="F605" t="s">
        <v>299</v>
      </c>
      <c r="G605">
        <v>524</v>
      </c>
    </row>
    <row r="606" spans="1:7" x14ac:dyDescent="0.35">
      <c r="A606" s="13">
        <v>43466</v>
      </c>
      <c r="B606">
        <f>YEAR(Table2__2[[#This Row],[Year1]])</f>
        <v>2019</v>
      </c>
      <c r="C606" t="s">
        <v>288</v>
      </c>
      <c r="D606" t="s">
        <v>232</v>
      </c>
      <c r="E606" t="s">
        <v>234</v>
      </c>
      <c r="F606" t="s">
        <v>299</v>
      </c>
      <c r="G606">
        <v>537</v>
      </c>
    </row>
    <row r="607" spans="1:7" x14ac:dyDescent="0.35">
      <c r="A607" s="13">
        <v>43466</v>
      </c>
      <c r="B607">
        <f>YEAR(Table2__2[[#This Row],[Year1]])</f>
        <v>2019</v>
      </c>
      <c r="C607" t="s">
        <v>288</v>
      </c>
      <c r="D607" t="s">
        <v>232</v>
      </c>
      <c r="E607" t="s">
        <v>235</v>
      </c>
      <c r="F607" t="s">
        <v>299</v>
      </c>
      <c r="G607">
        <v>1322</v>
      </c>
    </row>
    <row r="608" spans="1:7" x14ac:dyDescent="0.35">
      <c r="A608" s="13">
        <v>43466</v>
      </c>
      <c r="B608">
        <f>YEAR(Table2__2[[#This Row],[Year1]])</f>
        <v>2019</v>
      </c>
      <c r="C608" t="s">
        <v>288</v>
      </c>
      <c r="D608" t="s">
        <v>232</v>
      </c>
      <c r="E608" t="s">
        <v>236</v>
      </c>
      <c r="F608" t="s">
        <v>299</v>
      </c>
      <c r="G608">
        <v>412</v>
      </c>
    </row>
    <row r="609" spans="1:7" x14ac:dyDescent="0.35">
      <c r="A609" s="13">
        <v>43466</v>
      </c>
      <c r="B609">
        <f>YEAR(Table2__2[[#This Row],[Year1]])</f>
        <v>2019</v>
      </c>
      <c r="C609" t="s">
        <v>288</v>
      </c>
      <c r="D609" t="s">
        <v>232</v>
      </c>
      <c r="E609" t="s">
        <v>237</v>
      </c>
      <c r="F609" t="s">
        <v>299</v>
      </c>
      <c r="G609">
        <v>77</v>
      </c>
    </row>
    <row r="610" spans="1:7" x14ac:dyDescent="0.35">
      <c r="A610" s="13">
        <v>43466</v>
      </c>
      <c r="B610">
        <f>YEAR(Table2__2[[#This Row],[Year1]])</f>
        <v>2019</v>
      </c>
      <c r="C610" t="s">
        <v>288</v>
      </c>
      <c r="D610" t="s">
        <v>232</v>
      </c>
      <c r="E610" t="s">
        <v>238</v>
      </c>
      <c r="F610" t="s">
        <v>299</v>
      </c>
      <c r="G610">
        <v>52</v>
      </c>
    </row>
    <row r="611" spans="1:7" x14ac:dyDescent="0.35">
      <c r="A611" s="13">
        <v>43466</v>
      </c>
      <c r="B611">
        <f>YEAR(Table2__2[[#This Row],[Year1]])</f>
        <v>2019</v>
      </c>
      <c r="C611" t="s">
        <v>288</v>
      </c>
      <c r="D611" t="s">
        <v>232</v>
      </c>
      <c r="E611" t="s">
        <v>239</v>
      </c>
      <c r="F611" t="s">
        <v>299</v>
      </c>
      <c r="G611">
        <v>1891</v>
      </c>
    </row>
    <row r="612" spans="1:7" x14ac:dyDescent="0.35">
      <c r="A612" s="13">
        <v>43466</v>
      </c>
      <c r="B612">
        <f>YEAR(Table2__2[[#This Row],[Year1]])</f>
        <v>2019</v>
      </c>
      <c r="C612" t="s">
        <v>288</v>
      </c>
      <c r="D612" t="s">
        <v>232</v>
      </c>
      <c r="E612" t="s">
        <v>240</v>
      </c>
      <c r="F612" t="s">
        <v>299</v>
      </c>
      <c r="G612">
        <v>1132</v>
      </c>
    </row>
    <row r="613" spans="1:7" x14ac:dyDescent="0.35">
      <c r="A613" s="13">
        <v>43466</v>
      </c>
      <c r="B613">
        <f>YEAR(Table2__2[[#This Row],[Year1]])</f>
        <v>2019</v>
      </c>
      <c r="C613" t="s">
        <v>288</v>
      </c>
      <c r="D613" t="s">
        <v>232</v>
      </c>
      <c r="E613" t="s">
        <v>241</v>
      </c>
      <c r="F613" t="s">
        <v>299</v>
      </c>
      <c r="G613">
        <v>562</v>
      </c>
    </row>
    <row r="614" spans="1:7" x14ac:dyDescent="0.35">
      <c r="A614" s="13">
        <v>43466</v>
      </c>
      <c r="B614">
        <f>YEAR(Table2__2[[#This Row],[Year1]])</f>
        <v>2019</v>
      </c>
      <c r="C614" t="s">
        <v>288</v>
      </c>
      <c r="D614" t="s">
        <v>232</v>
      </c>
      <c r="E614" t="s">
        <v>242</v>
      </c>
      <c r="F614" t="s">
        <v>299</v>
      </c>
      <c r="G614">
        <v>428</v>
      </c>
    </row>
    <row r="615" spans="1:7" x14ac:dyDescent="0.35">
      <c r="A615" s="13">
        <v>43466</v>
      </c>
      <c r="B615">
        <f>YEAR(Table2__2[[#This Row],[Year1]])</f>
        <v>2019</v>
      </c>
      <c r="C615" t="s">
        <v>288</v>
      </c>
      <c r="D615" t="s">
        <v>232</v>
      </c>
      <c r="E615" t="s">
        <v>243</v>
      </c>
      <c r="F615" t="s">
        <v>299</v>
      </c>
      <c r="G615">
        <v>1056</v>
      </c>
    </row>
    <row r="616" spans="1:7" x14ac:dyDescent="0.35">
      <c r="A616" s="13">
        <v>43466</v>
      </c>
      <c r="B616">
        <f>YEAR(Table2__2[[#This Row],[Year1]])</f>
        <v>2019</v>
      </c>
      <c r="C616" t="s">
        <v>289</v>
      </c>
      <c r="D616" t="s">
        <v>281</v>
      </c>
      <c r="E616" t="s">
        <v>226</v>
      </c>
      <c r="F616" t="s">
        <v>301</v>
      </c>
      <c r="G616">
        <v>25372</v>
      </c>
    </row>
    <row r="617" spans="1:7" x14ac:dyDescent="0.35">
      <c r="A617" s="13">
        <v>43466</v>
      </c>
      <c r="B617">
        <f>YEAR(Table2__2[[#This Row],[Year1]])</f>
        <v>2019</v>
      </c>
      <c r="C617" t="s">
        <v>289</v>
      </c>
      <c r="D617" t="s">
        <v>281</v>
      </c>
      <c r="E617" t="s">
        <v>227</v>
      </c>
      <c r="F617" t="s">
        <v>301</v>
      </c>
      <c r="G617">
        <v>36908</v>
      </c>
    </row>
    <row r="618" spans="1:7" x14ac:dyDescent="0.35">
      <c r="A618" s="13">
        <v>43466</v>
      </c>
      <c r="B618">
        <f>YEAR(Table2__2[[#This Row],[Year1]])</f>
        <v>2019</v>
      </c>
      <c r="C618" t="s">
        <v>289</v>
      </c>
      <c r="D618" t="s">
        <v>281</v>
      </c>
      <c r="E618" t="s">
        <v>229</v>
      </c>
      <c r="F618" t="s">
        <v>301</v>
      </c>
      <c r="G618">
        <v>29811</v>
      </c>
    </row>
    <row r="619" spans="1:7" x14ac:dyDescent="0.35">
      <c r="A619" s="13">
        <v>43466</v>
      </c>
      <c r="B619">
        <f>YEAR(Table2__2[[#This Row],[Year1]])</f>
        <v>2019</v>
      </c>
      <c r="C619" t="s">
        <v>289</v>
      </c>
      <c r="D619" t="s">
        <v>281</v>
      </c>
      <c r="E619" t="s">
        <v>230</v>
      </c>
      <c r="F619" t="s">
        <v>301</v>
      </c>
      <c r="G619">
        <v>13810</v>
      </c>
    </row>
    <row r="620" spans="1:7" x14ac:dyDescent="0.35">
      <c r="A620" s="13">
        <v>43466</v>
      </c>
      <c r="B620">
        <f>YEAR(Table2__2[[#This Row],[Year1]])</f>
        <v>2019</v>
      </c>
      <c r="C620" t="s">
        <v>289</v>
      </c>
      <c r="D620" t="s">
        <v>283</v>
      </c>
      <c r="E620" t="s">
        <v>244</v>
      </c>
      <c r="F620" t="s">
        <v>301</v>
      </c>
      <c r="G620">
        <v>2179</v>
      </c>
    </row>
    <row r="621" spans="1:7" x14ac:dyDescent="0.35">
      <c r="A621" s="13">
        <v>43466</v>
      </c>
      <c r="B621">
        <f>YEAR(Table2__2[[#This Row],[Year1]])</f>
        <v>2019</v>
      </c>
      <c r="C621" t="s">
        <v>289</v>
      </c>
      <c r="D621" t="s">
        <v>283</v>
      </c>
      <c r="E621" t="s">
        <v>245</v>
      </c>
      <c r="F621" t="s">
        <v>301</v>
      </c>
      <c r="G621">
        <v>840</v>
      </c>
    </row>
    <row r="622" spans="1:7" x14ac:dyDescent="0.35">
      <c r="A622" s="13">
        <v>43466</v>
      </c>
      <c r="B622">
        <f>YEAR(Table2__2[[#This Row],[Year1]])</f>
        <v>2019</v>
      </c>
      <c r="C622" t="s">
        <v>289</v>
      </c>
      <c r="D622" t="s">
        <v>283</v>
      </c>
      <c r="E622" t="s">
        <v>246</v>
      </c>
      <c r="F622" t="s">
        <v>301</v>
      </c>
      <c r="G622">
        <v>3128</v>
      </c>
    </row>
    <row r="623" spans="1:7" x14ac:dyDescent="0.35">
      <c r="A623" s="13">
        <v>43466</v>
      </c>
      <c r="B623">
        <f>YEAR(Table2__2[[#This Row],[Year1]])</f>
        <v>2019</v>
      </c>
      <c r="C623" t="s">
        <v>289</v>
      </c>
      <c r="D623" t="s">
        <v>283</v>
      </c>
      <c r="E623" t="s">
        <v>234</v>
      </c>
      <c r="F623" t="s">
        <v>301</v>
      </c>
      <c r="G623">
        <v>6335</v>
      </c>
    </row>
    <row r="624" spans="1:7" x14ac:dyDescent="0.35">
      <c r="A624" s="13">
        <v>43466</v>
      </c>
      <c r="B624">
        <f>YEAR(Table2__2[[#This Row],[Year1]])</f>
        <v>2019</v>
      </c>
      <c r="C624" t="s">
        <v>289</v>
      </c>
      <c r="D624" t="s">
        <v>283</v>
      </c>
      <c r="E624" t="s">
        <v>247</v>
      </c>
      <c r="F624" t="s">
        <v>301</v>
      </c>
      <c r="G624">
        <v>4047</v>
      </c>
    </row>
    <row r="625" spans="1:7" x14ac:dyDescent="0.35">
      <c r="A625" s="13">
        <v>43466</v>
      </c>
      <c r="B625">
        <f>YEAR(Table2__2[[#This Row],[Year1]])</f>
        <v>2019</v>
      </c>
      <c r="C625" t="s">
        <v>289</v>
      </c>
      <c r="D625" t="s">
        <v>283</v>
      </c>
      <c r="E625" t="s">
        <v>235</v>
      </c>
      <c r="F625" t="s">
        <v>301</v>
      </c>
      <c r="G625">
        <v>2111</v>
      </c>
    </row>
    <row r="626" spans="1:7" x14ac:dyDescent="0.35">
      <c r="A626" s="13">
        <v>43466</v>
      </c>
      <c r="B626">
        <f>YEAR(Table2__2[[#This Row],[Year1]])</f>
        <v>2019</v>
      </c>
      <c r="C626" t="s">
        <v>289</v>
      </c>
      <c r="D626" t="s">
        <v>283</v>
      </c>
      <c r="E626" t="s">
        <v>226</v>
      </c>
      <c r="F626" t="s">
        <v>301</v>
      </c>
      <c r="G626">
        <v>13</v>
      </c>
    </row>
    <row r="627" spans="1:7" x14ac:dyDescent="0.35">
      <c r="A627" s="13">
        <v>43466</v>
      </c>
      <c r="B627">
        <f>YEAR(Table2__2[[#This Row],[Year1]])</f>
        <v>2019</v>
      </c>
      <c r="C627" t="s">
        <v>289</v>
      </c>
      <c r="D627" t="s">
        <v>283</v>
      </c>
      <c r="E627" t="s">
        <v>248</v>
      </c>
      <c r="F627" t="s">
        <v>301</v>
      </c>
      <c r="G627">
        <v>4262</v>
      </c>
    </row>
    <row r="628" spans="1:7" x14ac:dyDescent="0.35">
      <c r="A628" s="13">
        <v>43466</v>
      </c>
      <c r="B628">
        <f>YEAR(Table2__2[[#This Row],[Year1]])</f>
        <v>2019</v>
      </c>
      <c r="C628" t="s">
        <v>289</v>
      </c>
      <c r="D628" t="s">
        <v>283</v>
      </c>
      <c r="E628" t="s">
        <v>227</v>
      </c>
      <c r="F628" t="s">
        <v>301</v>
      </c>
      <c r="G628">
        <v>54</v>
      </c>
    </row>
    <row r="629" spans="1:7" x14ac:dyDescent="0.35">
      <c r="A629" s="13">
        <v>43466</v>
      </c>
      <c r="B629">
        <f>YEAR(Table2__2[[#This Row],[Year1]])</f>
        <v>2019</v>
      </c>
      <c r="C629" t="s">
        <v>289</v>
      </c>
      <c r="D629" t="s">
        <v>283</v>
      </c>
      <c r="E629" t="s">
        <v>249</v>
      </c>
      <c r="F629" t="s">
        <v>301</v>
      </c>
      <c r="G629">
        <v>5135</v>
      </c>
    </row>
    <row r="630" spans="1:7" x14ac:dyDescent="0.35">
      <c r="A630" s="13">
        <v>43466</v>
      </c>
      <c r="B630">
        <f>YEAR(Table2__2[[#This Row],[Year1]])</f>
        <v>2019</v>
      </c>
      <c r="C630" t="s">
        <v>289</v>
      </c>
      <c r="D630" t="s">
        <v>283</v>
      </c>
      <c r="E630" t="s">
        <v>239</v>
      </c>
      <c r="F630" t="s">
        <v>301</v>
      </c>
      <c r="G630">
        <v>6327</v>
      </c>
    </row>
    <row r="631" spans="1:7" x14ac:dyDescent="0.35">
      <c r="A631" s="13">
        <v>43466</v>
      </c>
      <c r="B631">
        <f>YEAR(Table2__2[[#This Row],[Year1]])</f>
        <v>2019</v>
      </c>
      <c r="C631" t="s">
        <v>289</v>
      </c>
      <c r="D631" t="s">
        <v>283</v>
      </c>
      <c r="E631" t="s">
        <v>240</v>
      </c>
      <c r="F631" t="s">
        <v>301</v>
      </c>
      <c r="G631">
        <v>85</v>
      </c>
    </row>
    <row r="632" spans="1:7" x14ac:dyDescent="0.35">
      <c r="A632" s="13">
        <v>43466</v>
      </c>
      <c r="B632">
        <f>YEAR(Table2__2[[#This Row],[Year1]])</f>
        <v>2019</v>
      </c>
      <c r="C632" t="s">
        <v>289</v>
      </c>
      <c r="D632" t="s">
        <v>283</v>
      </c>
      <c r="E632" t="s">
        <v>250</v>
      </c>
      <c r="F632" t="s">
        <v>301</v>
      </c>
      <c r="G632">
        <v>4970</v>
      </c>
    </row>
    <row r="633" spans="1:7" x14ac:dyDescent="0.35">
      <c r="A633" s="13">
        <v>43466</v>
      </c>
      <c r="B633">
        <f>YEAR(Table2__2[[#This Row],[Year1]])</f>
        <v>2019</v>
      </c>
      <c r="C633" t="s">
        <v>289</v>
      </c>
      <c r="D633" t="s">
        <v>283</v>
      </c>
      <c r="E633" t="s">
        <v>251</v>
      </c>
      <c r="F633" t="s">
        <v>301</v>
      </c>
      <c r="G633">
        <v>209</v>
      </c>
    </row>
    <row r="634" spans="1:7" x14ac:dyDescent="0.35">
      <c r="A634" s="13">
        <v>43466</v>
      </c>
      <c r="B634">
        <f>YEAR(Table2__2[[#This Row],[Year1]])</f>
        <v>2019</v>
      </c>
      <c r="C634" t="s">
        <v>289</v>
      </c>
      <c r="D634" t="s">
        <v>283</v>
      </c>
      <c r="E634" t="s">
        <v>229</v>
      </c>
      <c r="F634" t="s">
        <v>301</v>
      </c>
      <c r="G634">
        <v>66</v>
      </c>
    </row>
    <row r="635" spans="1:7" x14ac:dyDescent="0.35">
      <c r="A635" s="13">
        <v>43466</v>
      </c>
      <c r="B635">
        <f>YEAR(Table2__2[[#This Row],[Year1]])</f>
        <v>2019</v>
      </c>
      <c r="C635" t="s">
        <v>289</v>
      </c>
      <c r="D635" t="s">
        <v>283</v>
      </c>
      <c r="E635" t="s">
        <v>252</v>
      </c>
      <c r="F635" t="s">
        <v>301</v>
      </c>
      <c r="G635">
        <v>4104</v>
      </c>
    </row>
    <row r="636" spans="1:7" x14ac:dyDescent="0.35">
      <c r="A636" s="13">
        <v>43466</v>
      </c>
      <c r="B636">
        <f>YEAR(Table2__2[[#This Row],[Year1]])</f>
        <v>2019</v>
      </c>
      <c r="C636" t="s">
        <v>289</v>
      </c>
      <c r="D636" t="s">
        <v>283</v>
      </c>
      <c r="E636" t="s">
        <v>253</v>
      </c>
      <c r="F636" t="s">
        <v>301</v>
      </c>
      <c r="G636">
        <v>978</v>
      </c>
    </row>
    <row r="637" spans="1:7" x14ac:dyDescent="0.35">
      <c r="A637" s="13">
        <v>43466</v>
      </c>
      <c r="B637">
        <f>YEAR(Table2__2[[#This Row],[Year1]])</f>
        <v>2019</v>
      </c>
      <c r="C637" t="s">
        <v>289</v>
      </c>
      <c r="D637" t="s">
        <v>283</v>
      </c>
      <c r="E637" t="s">
        <v>254</v>
      </c>
      <c r="F637" t="s">
        <v>301</v>
      </c>
      <c r="G637">
        <v>4424</v>
      </c>
    </row>
    <row r="638" spans="1:7" x14ac:dyDescent="0.35">
      <c r="A638" s="13">
        <v>43466</v>
      </c>
      <c r="B638">
        <f>YEAR(Table2__2[[#This Row],[Year1]])</f>
        <v>2019</v>
      </c>
      <c r="C638" t="s">
        <v>289</v>
      </c>
      <c r="D638" t="s">
        <v>283</v>
      </c>
      <c r="E638" t="s">
        <v>255</v>
      </c>
      <c r="F638" t="s">
        <v>301</v>
      </c>
      <c r="G638">
        <v>988</v>
      </c>
    </row>
    <row r="639" spans="1:7" x14ac:dyDescent="0.35">
      <c r="A639" s="13">
        <v>43466</v>
      </c>
      <c r="B639">
        <f>YEAR(Table2__2[[#This Row],[Year1]])</f>
        <v>2019</v>
      </c>
      <c r="C639" t="s">
        <v>289</v>
      </c>
      <c r="D639" t="s">
        <v>283</v>
      </c>
      <c r="E639" t="s">
        <v>230</v>
      </c>
      <c r="F639" t="s">
        <v>301</v>
      </c>
      <c r="G639">
        <v>55</v>
      </c>
    </row>
    <row r="640" spans="1:7" x14ac:dyDescent="0.35">
      <c r="A640" s="13">
        <v>43466</v>
      </c>
      <c r="B640">
        <f>YEAR(Table2__2[[#This Row],[Year1]])</f>
        <v>2019</v>
      </c>
      <c r="C640" t="s">
        <v>289</v>
      </c>
      <c r="D640" t="s">
        <v>283</v>
      </c>
      <c r="E640" t="s">
        <v>298</v>
      </c>
      <c r="F640" t="s">
        <v>301</v>
      </c>
      <c r="G640">
        <v>6091</v>
      </c>
    </row>
    <row r="641" spans="1:7" x14ac:dyDescent="0.35">
      <c r="A641" s="13">
        <v>43466</v>
      </c>
      <c r="B641">
        <f>YEAR(Table2__2[[#This Row],[Year1]])</f>
        <v>2019</v>
      </c>
      <c r="C641" t="s">
        <v>289</v>
      </c>
      <c r="D641" t="s">
        <v>283</v>
      </c>
      <c r="E641" t="s">
        <v>257</v>
      </c>
      <c r="F641" t="s">
        <v>301</v>
      </c>
    </row>
    <row r="642" spans="1:7" x14ac:dyDescent="0.35">
      <c r="A642" s="13">
        <v>43466</v>
      </c>
      <c r="B642">
        <f>YEAR(Table2__2[[#This Row],[Year1]])</f>
        <v>2019</v>
      </c>
      <c r="C642" t="s">
        <v>290</v>
      </c>
      <c r="D642" t="s">
        <v>425</v>
      </c>
      <c r="E642" t="s">
        <v>244</v>
      </c>
      <c r="F642" t="s">
        <v>302</v>
      </c>
      <c r="G642">
        <v>232</v>
      </c>
    </row>
    <row r="643" spans="1:7" x14ac:dyDescent="0.35">
      <c r="A643" s="13">
        <v>43466</v>
      </c>
      <c r="B643">
        <f>YEAR(Table2__2[[#This Row],[Year1]])</f>
        <v>2019</v>
      </c>
      <c r="C643" t="s">
        <v>290</v>
      </c>
      <c r="D643" t="s">
        <v>425</v>
      </c>
      <c r="E643" t="s">
        <v>245</v>
      </c>
      <c r="F643" t="s">
        <v>302</v>
      </c>
      <c r="G643">
        <v>91</v>
      </c>
    </row>
    <row r="644" spans="1:7" x14ac:dyDescent="0.35">
      <c r="A644" s="13">
        <v>43466</v>
      </c>
      <c r="B644">
        <f>YEAR(Table2__2[[#This Row],[Year1]])</f>
        <v>2019</v>
      </c>
      <c r="C644" t="s">
        <v>290</v>
      </c>
      <c r="D644" t="s">
        <v>425</v>
      </c>
      <c r="E644" t="s">
        <v>246</v>
      </c>
      <c r="F644" t="s">
        <v>302</v>
      </c>
      <c r="G644">
        <v>171</v>
      </c>
    </row>
    <row r="645" spans="1:7" x14ac:dyDescent="0.35">
      <c r="A645" s="13">
        <v>43466</v>
      </c>
      <c r="B645">
        <f>YEAR(Table2__2[[#This Row],[Year1]])</f>
        <v>2019</v>
      </c>
      <c r="C645" t="s">
        <v>290</v>
      </c>
      <c r="D645" t="s">
        <v>425</v>
      </c>
      <c r="E645" t="s">
        <v>234</v>
      </c>
      <c r="F645" t="s">
        <v>302</v>
      </c>
      <c r="G645">
        <v>68</v>
      </c>
    </row>
    <row r="646" spans="1:7" x14ac:dyDescent="0.35">
      <c r="A646" s="13">
        <v>43466</v>
      </c>
      <c r="B646">
        <f>YEAR(Table2__2[[#This Row],[Year1]])</f>
        <v>2019</v>
      </c>
      <c r="C646" t="s">
        <v>290</v>
      </c>
      <c r="D646" t="s">
        <v>425</v>
      </c>
      <c r="E646" t="s">
        <v>258</v>
      </c>
      <c r="F646" t="s">
        <v>302</v>
      </c>
      <c r="G646">
        <v>86</v>
      </c>
    </row>
    <row r="647" spans="1:7" x14ac:dyDescent="0.35">
      <c r="A647" s="13">
        <v>43466</v>
      </c>
      <c r="B647">
        <f>YEAR(Table2__2[[#This Row],[Year1]])</f>
        <v>2019</v>
      </c>
      <c r="C647" t="s">
        <v>290</v>
      </c>
      <c r="D647" t="s">
        <v>425</v>
      </c>
      <c r="E647" t="s">
        <v>247</v>
      </c>
      <c r="F647" t="s">
        <v>302</v>
      </c>
      <c r="G647">
        <v>581</v>
      </c>
    </row>
    <row r="648" spans="1:7" x14ac:dyDescent="0.35">
      <c r="A648" s="13">
        <v>43466</v>
      </c>
      <c r="B648">
        <f>YEAR(Table2__2[[#This Row],[Year1]])</f>
        <v>2019</v>
      </c>
      <c r="C648" t="s">
        <v>290</v>
      </c>
      <c r="D648" t="s">
        <v>425</v>
      </c>
      <c r="E648" t="s">
        <v>259</v>
      </c>
      <c r="F648" t="s">
        <v>302</v>
      </c>
      <c r="G648">
        <v>647</v>
      </c>
    </row>
    <row r="649" spans="1:7" x14ac:dyDescent="0.35">
      <c r="A649" s="13">
        <v>43466</v>
      </c>
      <c r="B649">
        <f>YEAR(Table2__2[[#This Row],[Year1]])</f>
        <v>2019</v>
      </c>
      <c r="C649" t="s">
        <v>290</v>
      </c>
      <c r="D649" t="s">
        <v>425</v>
      </c>
      <c r="E649" t="s">
        <v>260</v>
      </c>
      <c r="F649" t="s">
        <v>302</v>
      </c>
      <c r="G649">
        <v>265</v>
      </c>
    </row>
    <row r="650" spans="1:7" x14ac:dyDescent="0.35">
      <c r="A650" s="13">
        <v>43466</v>
      </c>
      <c r="B650">
        <f>YEAR(Table2__2[[#This Row],[Year1]])</f>
        <v>2019</v>
      </c>
      <c r="C650" t="s">
        <v>290</v>
      </c>
      <c r="D650" t="s">
        <v>425</v>
      </c>
      <c r="E650" t="s">
        <v>235</v>
      </c>
      <c r="F650" t="s">
        <v>302</v>
      </c>
      <c r="G650">
        <v>192</v>
      </c>
    </row>
    <row r="651" spans="1:7" x14ac:dyDescent="0.35">
      <c r="A651" s="13">
        <v>43466</v>
      </c>
      <c r="B651">
        <f>YEAR(Table2__2[[#This Row],[Year1]])</f>
        <v>2019</v>
      </c>
      <c r="C651" t="s">
        <v>290</v>
      </c>
      <c r="D651" t="s">
        <v>425</v>
      </c>
      <c r="E651" t="s">
        <v>226</v>
      </c>
      <c r="F651" t="s">
        <v>302</v>
      </c>
      <c r="G651">
        <v>1499</v>
      </c>
    </row>
    <row r="652" spans="1:7" x14ac:dyDescent="0.35">
      <c r="A652" s="13">
        <v>43466</v>
      </c>
      <c r="B652">
        <f>YEAR(Table2__2[[#This Row],[Year1]])</f>
        <v>2019</v>
      </c>
      <c r="C652" t="s">
        <v>290</v>
      </c>
      <c r="D652" t="s">
        <v>425</v>
      </c>
      <c r="E652" t="s">
        <v>261</v>
      </c>
      <c r="F652" t="s">
        <v>302</v>
      </c>
      <c r="G652">
        <v>147</v>
      </c>
    </row>
    <row r="653" spans="1:7" x14ac:dyDescent="0.35">
      <c r="A653" s="13">
        <v>43466</v>
      </c>
      <c r="B653">
        <f>YEAR(Table2__2[[#This Row],[Year1]])</f>
        <v>2019</v>
      </c>
      <c r="C653" t="s">
        <v>290</v>
      </c>
      <c r="D653" t="s">
        <v>425</v>
      </c>
      <c r="E653" t="s">
        <v>248</v>
      </c>
      <c r="F653" t="s">
        <v>302</v>
      </c>
      <c r="G653">
        <v>496</v>
      </c>
    </row>
    <row r="654" spans="1:7" x14ac:dyDescent="0.35">
      <c r="A654" s="13">
        <v>43466</v>
      </c>
      <c r="B654">
        <f>YEAR(Table2__2[[#This Row],[Year1]])</f>
        <v>2019</v>
      </c>
      <c r="C654" t="s">
        <v>290</v>
      </c>
      <c r="D654" t="s">
        <v>425</v>
      </c>
      <c r="E654" t="s">
        <v>262</v>
      </c>
      <c r="F654" t="s">
        <v>302</v>
      </c>
      <c r="G654">
        <v>227</v>
      </c>
    </row>
    <row r="655" spans="1:7" x14ac:dyDescent="0.35">
      <c r="A655" s="13">
        <v>43466</v>
      </c>
      <c r="B655">
        <f>YEAR(Table2__2[[#This Row],[Year1]])</f>
        <v>2019</v>
      </c>
      <c r="C655" t="s">
        <v>290</v>
      </c>
      <c r="D655" t="s">
        <v>425</v>
      </c>
      <c r="E655" t="s">
        <v>263</v>
      </c>
      <c r="F655" t="s">
        <v>302</v>
      </c>
      <c r="G655">
        <v>79</v>
      </c>
    </row>
    <row r="656" spans="1:7" x14ac:dyDescent="0.35">
      <c r="A656" s="13">
        <v>43466</v>
      </c>
      <c r="B656">
        <f>YEAR(Table2__2[[#This Row],[Year1]])</f>
        <v>2019</v>
      </c>
      <c r="C656" t="s">
        <v>290</v>
      </c>
      <c r="D656" t="s">
        <v>425</v>
      </c>
      <c r="E656" t="s">
        <v>249</v>
      </c>
      <c r="F656" t="s">
        <v>302</v>
      </c>
      <c r="G656">
        <v>313</v>
      </c>
    </row>
    <row r="657" spans="1:7" x14ac:dyDescent="0.35">
      <c r="A657" s="13">
        <v>43466</v>
      </c>
      <c r="B657">
        <f>YEAR(Table2__2[[#This Row],[Year1]])</f>
        <v>2019</v>
      </c>
      <c r="C657" t="s">
        <v>290</v>
      </c>
      <c r="D657" t="s">
        <v>425</v>
      </c>
      <c r="E657" t="s">
        <v>239</v>
      </c>
      <c r="F657" t="s">
        <v>302</v>
      </c>
      <c r="G657">
        <v>473</v>
      </c>
    </row>
    <row r="658" spans="1:7" x14ac:dyDescent="0.35">
      <c r="A658" s="13">
        <v>43466</v>
      </c>
      <c r="B658">
        <f>YEAR(Table2__2[[#This Row],[Year1]])</f>
        <v>2019</v>
      </c>
      <c r="C658" t="s">
        <v>290</v>
      </c>
      <c r="D658" t="s">
        <v>425</v>
      </c>
      <c r="E658" t="s">
        <v>264</v>
      </c>
      <c r="F658" t="s">
        <v>302</v>
      </c>
      <c r="G658">
        <v>258</v>
      </c>
    </row>
    <row r="659" spans="1:7" x14ac:dyDescent="0.35">
      <c r="A659" s="13">
        <v>43466</v>
      </c>
      <c r="B659">
        <f>YEAR(Table2__2[[#This Row],[Year1]])</f>
        <v>2019</v>
      </c>
      <c r="C659" t="s">
        <v>290</v>
      </c>
      <c r="D659" t="s">
        <v>425</v>
      </c>
      <c r="E659" t="s">
        <v>240</v>
      </c>
      <c r="F659" t="s">
        <v>302</v>
      </c>
      <c r="G659">
        <v>281</v>
      </c>
    </row>
    <row r="660" spans="1:7" x14ac:dyDescent="0.35">
      <c r="A660" s="13">
        <v>43466</v>
      </c>
      <c r="B660">
        <f>YEAR(Table2__2[[#This Row],[Year1]])</f>
        <v>2019</v>
      </c>
      <c r="C660" t="s">
        <v>290</v>
      </c>
      <c r="D660" t="s">
        <v>425</v>
      </c>
      <c r="E660" t="s">
        <v>250</v>
      </c>
      <c r="F660" t="s">
        <v>302</v>
      </c>
      <c r="G660">
        <v>223</v>
      </c>
    </row>
    <row r="661" spans="1:7" x14ac:dyDescent="0.35">
      <c r="A661" s="13">
        <v>43466</v>
      </c>
      <c r="B661">
        <f>YEAR(Table2__2[[#This Row],[Year1]])</f>
        <v>2019</v>
      </c>
      <c r="C661" t="s">
        <v>290</v>
      </c>
      <c r="D661" t="s">
        <v>425</v>
      </c>
      <c r="E661" t="s">
        <v>265</v>
      </c>
      <c r="F661" t="s">
        <v>302</v>
      </c>
      <c r="G661">
        <v>396</v>
      </c>
    </row>
    <row r="662" spans="1:7" x14ac:dyDescent="0.35">
      <c r="A662" s="13">
        <v>43466</v>
      </c>
      <c r="B662">
        <f>YEAR(Table2__2[[#This Row],[Year1]])</f>
        <v>2019</v>
      </c>
      <c r="C662" t="s">
        <v>290</v>
      </c>
      <c r="D662" t="s">
        <v>425</v>
      </c>
      <c r="E662" t="s">
        <v>266</v>
      </c>
      <c r="F662" t="s">
        <v>302</v>
      </c>
      <c r="G662">
        <v>256</v>
      </c>
    </row>
    <row r="663" spans="1:7" x14ac:dyDescent="0.35">
      <c r="A663" s="13">
        <v>43466</v>
      </c>
      <c r="B663">
        <f>YEAR(Table2__2[[#This Row],[Year1]])</f>
        <v>2019</v>
      </c>
      <c r="C663" t="s">
        <v>290</v>
      </c>
      <c r="D663" t="s">
        <v>425</v>
      </c>
      <c r="E663" t="s">
        <v>267</v>
      </c>
      <c r="F663" t="s">
        <v>302</v>
      </c>
      <c r="G663">
        <v>728</v>
      </c>
    </row>
    <row r="664" spans="1:7" x14ac:dyDescent="0.35">
      <c r="A664" s="13">
        <v>43466</v>
      </c>
      <c r="B664">
        <f>YEAR(Table2__2[[#This Row],[Year1]])</f>
        <v>2019</v>
      </c>
      <c r="C664" t="s">
        <v>290</v>
      </c>
      <c r="D664" t="s">
        <v>425</v>
      </c>
      <c r="E664" t="s">
        <v>268</v>
      </c>
      <c r="F664" t="s">
        <v>302</v>
      </c>
      <c r="G664">
        <v>97</v>
      </c>
    </row>
    <row r="665" spans="1:7" x14ac:dyDescent="0.35">
      <c r="A665" s="13">
        <v>43466</v>
      </c>
      <c r="B665">
        <f>YEAR(Table2__2[[#This Row],[Year1]])</f>
        <v>2019</v>
      </c>
      <c r="C665" t="s">
        <v>290</v>
      </c>
      <c r="D665" t="s">
        <v>425</v>
      </c>
      <c r="E665" t="s">
        <v>269</v>
      </c>
      <c r="F665" t="s">
        <v>302</v>
      </c>
      <c r="G665">
        <v>2154</v>
      </c>
    </row>
    <row r="666" spans="1:7" x14ac:dyDescent="0.35">
      <c r="A666" s="13">
        <v>43466</v>
      </c>
      <c r="B666">
        <f>YEAR(Table2__2[[#This Row],[Year1]])</f>
        <v>2019</v>
      </c>
      <c r="C666" t="s">
        <v>290</v>
      </c>
      <c r="D666" t="s">
        <v>425</v>
      </c>
      <c r="E666" t="s">
        <v>229</v>
      </c>
      <c r="F666" t="s">
        <v>302</v>
      </c>
      <c r="G666">
        <v>95</v>
      </c>
    </row>
    <row r="667" spans="1:7" x14ac:dyDescent="0.35">
      <c r="A667" s="13">
        <v>43466</v>
      </c>
      <c r="B667">
        <f>YEAR(Table2__2[[#This Row],[Year1]])</f>
        <v>2019</v>
      </c>
      <c r="C667" t="s">
        <v>290</v>
      </c>
      <c r="D667" t="s">
        <v>425</v>
      </c>
      <c r="E667" t="s">
        <v>252</v>
      </c>
      <c r="F667" t="s">
        <v>302</v>
      </c>
      <c r="G667">
        <v>210</v>
      </c>
    </row>
    <row r="668" spans="1:7" x14ac:dyDescent="0.35">
      <c r="A668" s="13">
        <v>43466</v>
      </c>
      <c r="B668">
        <f>YEAR(Table2__2[[#This Row],[Year1]])</f>
        <v>2019</v>
      </c>
      <c r="C668" t="s">
        <v>290</v>
      </c>
      <c r="D668" t="s">
        <v>425</v>
      </c>
      <c r="E668" t="s">
        <v>253</v>
      </c>
      <c r="F668" t="s">
        <v>302</v>
      </c>
      <c r="G668">
        <v>95</v>
      </c>
    </row>
    <row r="669" spans="1:7" x14ac:dyDescent="0.35">
      <c r="A669" s="13">
        <v>43466</v>
      </c>
      <c r="B669">
        <f>YEAR(Table2__2[[#This Row],[Year1]])</f>
        <v>2019</v>
      </c>
      <c r="C669" t="s">
        <v>290</v>
      </c>
      <c r="D669" t="s">
        <v>425</v>
      </c>
      <c r="E669" t="s">
        <v>254</v>
      </c>
      <c r="F669" t="s">
        <v>302</v>
      </c>
      <c r="G669">
        <v>138</v>
      </c>
    </row>
    <row r="670" spans="1:7" x14ac:dyDescent="0.35">
      <c r="A670" s="13">
        <v>43466</v>
      </c>
      <c r="B670">
        <f>YEAR(Table2__2[[#This Row],[Year1]])</f>
        <v>2019</v>
      </c>
      <c r="C670" t="s">
        <v>290</v>
      </c>
      <c r="D670" t="s">
        <v>425</v>
      </c>
      <c r="E670" t="s">
        <v>255</v>
      </c>
      <c r="F670" t="s">
        <v>302</v>
      </c>
      <c r="G670">
        <v>224</v>
      </c>
    </row>
    <row r="671" spans="1:7" x14ac:dyDescent="0.35">
      <c r="A671" s="13">
        <v>43466</v>
      </c>
      <c r="B671">
        <f>YEAR(Table2__2[[#This Row],[Year1]])</f>
        <v>2019</v>
      </c>
      <c r="C671" t="s">
        <v>290</v>
      </c>
      <c r="D671" t="s">
        <v>425</v>
      </c>
      <c r="E671" t="s">
        <v>270</v>
      </c>
      <c r="F671" t="s">
        <v>302</v>
      </c>
      <c r="G671">
        <v>113</v>
      </c>
    </row>
    <row r="672" spans="1:7" x14ac:dyDescent="0.35">
      <c r="A672" s="13">
        <v>43466</v>
      </c>
      <c r="B672">
        <f>YEAR(Table2__2[[#This Row],[Year1]])</f>
        <v>2019</v>
      </c>
      <c r="C672" t="s">
        <v>290</v>
      </c>
      <c r="D672" t="s">
        <v>426</v>
      </c>
      <c r="E672" t="s">
        <v>271</v>
      </c>
      <c r="F672" t="s">
        <v>302</v>
      </c>
      <c r="G672">
        <v>104</v>
      </c>
    </row>
    <row r="673" spans="1:7" x14ac:dyDescent="0.35">
      <c r="A673" s="13">
        <v>43466</v>
      </c>
      <c r="B673">
        <f>YEAR(Table2__2[[#This Row],[Year1]])</f>
        <v>2019</v>
      </c>
      <c r="C673" t="s">
        <v>291</v>
      </c>
      <c r="D673" t="s">
        <v>425</v>
      </c>
      <c r="E673" t="s">
        <v>244</v>
      </c>
      <c r="F673" t="s">
        <v>302</v>
      </c>
      <c r="G673">
        <v>13247</v>
      </c>
    </row>
    <row r="674" spans="1:7" x14ac:dyDescent="0.35">
      <c r="A674" s="13">
        <v>43466</v>
      </c>
      <c r="B674">
        <f>YEAR(Table2__2[[#This Row],[Year1]])</f>
        <v>2019</v>
      </c>
      <c r="C674" t="s">
        <v>291</v>
      </c>
      <c r="D674" t="s">
        <v>425</v>
      </c>
      <c r="E674" t="s">
        <v>245</v>
      </c>
      <c r="F674" t="s">
        <v>302</v>
      </c>
      <c r="G674">
        <v>1450</v>
      </c>
    </row>
    <row r="675" spans="1:7" x14ac:dyDescent="0.35">
      <c r="A675" s="13">
        <v>43466</v>
      </c>
      <c r="B675">
        <f>YEAR(Table2__2[[#This Row],[Year1]])</f>
        <v>2019</v>
      </c>
      <c r="C675" t="s">
        <v>291</v>
      </c>
      <c r="D675" t="s">
        <v>425</v>
      </c>
      <c r="E675" t="s">
        <v>246</v>
      </c>
      <c r="F675" t="s">
        <v>302</v>
      </c>
      <c r="G675">
        <v>2469</v>
      </c>
    </row>
    <row r="676" spans="1:7" x14ac:dyDescent="0.35">
      <c r="A676" s="13">
        <v>43466</v>
      </c>
      <c r="B676">
        <f>YEAR(Table2__2[[#This Row],[Year1]])</f>
        <v>2019</v>
      </c>
      <c r="C676" t="s">
        <v>291</v>
      </c>
      <c r="D676" t="s">
        <v>425</v>
      </c>
      <c r="E676" t="s">
        <v>234</v>
      </c>
      <c r="F676" t="s">
        <v>302</v>
      </c>
      <c r="G676">
        <v>1287</v>
      </c>
    </row>
    <row r="677" spans="1:7" x14ac:dyDescent="0.35">
      <c r="A677" s="13">
        <v>43466</v>
      </c>
      <c r="B677">
        <f>YEAR(Table2__2[[#This Row],[Year1]])</f>
        <v>2019</v>
      </c>
      <c r="C677" t="s">
        <v>291</v>
      </c>
      <c r="D677" t="s">
        <v>425</v>
      </c>
      <c r="E677" t="s">
        <v>247</v>
      </c>
      <c r="F677" t="s">
        <v>302</v>
      </c>
      <c r="G677">
        <v>8427</v>
      </c>
    </row>
    <row r="678" spans="1:7" x14ac:dyDescent="0.35">
      <c r="A678" s="13">
        <v>43466</v>
      </c>
      <c r="B678">
        <f>YEAR(Table2__2[[#This Row],[Year1]])</f>
        <v>2019</v>
      </c>
      <c r="C678" t="s">
        <v>291</v>
      </c>
      <c r="D678" t="s">
        <v>425</v>
      </c>
      <c r="E678" t="s">
        <v>259</v>
      </c>
      <c r="F678" t="s">
        <v>302</v>
      </c>
      <c r="G678">
        <v>16900</v>
      </c>
    </row>
    <row r="679" spans="1:7" x14ac:dyDescent="0.35">
      <c r="A679" s="13">
        <v>43466</v>
      </c>
      <c r="B679">
        <f>YEAR(Table2__2[[#This Row],[Year1]])</f>
        <v>2019</v>
      </c>
      <c r="C679" t="s">
        <v>291</v>
      </c>
      <c r="D679" t="s">
        <v>425</v>
      </c>
      <c r="E679" t="s">
        <v>260</v>
      </c>
      <c r="F679" t="s">
        <v>302</v>
      </c>
      <c r="G679">
        <v>2408</v>
      </c>
    </row>
    <row r="680" spans="1:7" x14ac:dyDescent="0.35">
      <c r="A680" s="13">
        <v>43466</v>
      </c>
      <c r="B680">
        <f>YEAR(Table2__2[[#This Row],[Year1]])</f>
        <v>2019</v>
      </c>
      <c r="C680" t="s">
        <v>291</v>
      </c>
      <c r="D680" t="s">
        <v>425</v>
      </c>
      <c r="E680" t="s">
        <v>235</v>
      </c>
      <c r="F680" t="s">
        <v>302</v>
      </c>
      <c r="G680">
        <v>3318</v>
      </c>
    </row>
    <row r="681" spans="1:7" x14ac:dyDescent="0.35">
      <c r="A681" s="13">
        <v>43466</v>
      </c>
      <c r="B681">
        <f>YEAR(Table2__2[[#This Row],[Year1]])</f>
        <v>2019</v>
      </c>
      <c r="C681" t="s">
        <v>291</v>
      </c>
      <c r="D681" t="s">
        <v>425</v>
      </c>
      <c r="E681" t="s">
        <v>226</v>
      </c>
      <c r="F681" t="s">
        <v>302</v>
      </c>
      <c r="G681">
        <v>2270</v>
      </c>
    </row>
    <row r="682" spans="1:7" x14ac:dyDescent="0.35">
      <c r="A682" s="13">
        <v>43466</v>
      </c>
      <c r="B682">
        <f>YEAR(Table2__2[[#This Row],[Year1]])</f>
        <v>2019</v>
      </c>
      <c r="C682" t="s">
        <v>291</v>
      </c>
      <c r="D682" t="s">
        <v>425</v>
      </c>
      <c r="E682" t="s">
        <v>248</v>
      </c>
      <c r="F682" t="s">
        <v>302</v>
      </c>
      <c r="G682">
        <v>11584</v>
      </c>
    </row>
    <row r="683" spans="1:7" x14ac:dyDescent="0.35">
      <c r="A683" s="13">
        <v>43466</v>
      </c>
      <c r="B683">
        <f>YEAR(Table2__2[[#This Row],[Year1]])</f>
        <v>2019</v>
      </c>
      <c r="C683" t="s">
        <v>291</v>
      </c>
      <c r="D683" t="s">
        <v>425</v>
      </c>
      <c r="E683" t="s">
        <v>249</v>
      </c>
      <c r="F683" t="s">
        <v>302</v>
      </c>
      <c r="G683">
        <v>6657</v>
      </c>
    </row>
    <row r="684" spans="1:7" x14ac:dyDescent="0.35">
      <c r="A684" s="13">
        <v>43466</v>
      </c>
      <c r="B684">
        <f>YEAR(Table2__2[[#This Row],[Year1]])</f>
        <v>2019</v>
      </c>
      <c r="C684" t="s">
        <v>291</v>
      </c>
      <c r="D684" t="s">
        <v>425</v>
      </c>
      <c r="E684" t="s">
        <v>239</v>
      </c>
      <c r="F684" t="s">
        <v>302</v>
      </c>
      <c r="G684">
        <v>9512</v>
      </c>
    </row>
    <row r="685" spans="1:7" x14ac:dyDescent="0.35">
      <c r="A685" s="13">
        <v>43466</v>
      </c>
      <c r="B685">
        <f>YEAR(Table2__2[[#This Row],[Year1]])</f>
        <v>2019</v>
      </c>
      <c r="C685" t="s">
        <v>291</v>
      </c>
      <c r="D685" t="s">
        <v>425</v>
      </c>
      <c r="E685" t="s">
        <v>240</v>
      </c>
      <c r="F685" t="s">
        <v>302</v>
      </c>
      <c r="G685">
        <v>9831</v>
      </c>
    </row>
    <row r="686" spans="1:7" x14ac:dyDescent="0.35">
      <c r="A686" s="13">
        <v>43466</v>
      </c>
      <c r="B686">
        <f>YEAR(Table2__2[[#This Row],[Year1]])</f>
        <v>2019</v>
      </c>
      <c r="C686" t="s">
        <v>291</v>
      </c>
      <c r="D686" t="s">
        <v>425</v>
      </c>
      <c r="E686" t="s">
        <v>250</v>
      </c>
      <c r="F686" t="s">
        <v>302</v>
      </c>
      <c r="G686">
        <v>2477</v>
      </c>
    </row>
    <row r="687" spans="1:7" x14ac:dyDescent="0.35">
      <c r="A687" s="13">
        <v>43466</v>
      </c>
      <c r="B687">
        <f>YEAR(Table2__2[[#This Row],[Year1]])</f>
        <v>2019</v>
      </c>
      <c r="C687" t="s">
        <v>291</v>
      </c>
      <c r="D687" t="s">
        <v>425</v>
      </c>
      <c r="E687" t="s">
        <v>265</v>
      </c>
      <c r="F687" t="s">
        <v>302</v>
      </c>
      <c r="G687">
        <v>2903</v>
      </c>
    </row>
    <row r="688" spans="1:7" x14ac:dyDescent="0.35">
      <c r="A688" s="13">
        <v>43466</v>
      </c>
      <c r="B688">
        <f>YEAR(Table2__2[[#This Row],[Year1]])</f>
        <v>2019</v>
      </c>
      <c r="C688" t="s">
        <v>291</v>
      </c>
      <c r="D688" t="s">
        <v>425</v>
      </c>
      <c r="E688" t="s">
        <v>266</v>
      </c>
      <c r="F688" t="s">
        <v>302</v>
      </c>
      <c r="G688">
        <v>4096</v>
      </c>
    </row>
    <row r="689" spans="1:7" x14ac:dyDescent="0.35">
      <c r="A689" s="13">
        <v>43466</v>
      </c>
      <c r="B689">
        <f>YEAR(Table2__2[[#This Row],[Year1]])</f>
        <v>2019</v>
      </c>
      <c r="C689" t="s">
        <v>291</v>
      </c>
      <c r="D689" t="s">
        <v>425</v>
      </c>
      <c r="E689" t="s">
        <v>267</v>
      </c>
      <c r="F689" t="s">
        <v>302</v>
      </c>
      <c r="G689">
        <v>5904</v>
      </c>
    </row>
    <row r="690" spans="1:7" x14ac:dyDescent="0.35">
      <c r="A690" s="13">
        <v>43466</v>
      </c>
      <c r="B690">
        <f>YEAR(Table2__2[[#This Row],[Year1]])</f>
        <v>2019</v>
      </c>
      <c r="C690" t="s">
        <v>291</v>
      </c>
      <c r="D690" t="s">
        <v>425</v>
      </c>
      <c r="E690" t="s">
        <v>268</v>
      </c>
      <c r="F690" t="s">
        <v>302</v>
      </c>
      <c r="G690">
        <v>4340</v>
      </c>
    </row>
    <row r="691" spans="1:7" x14ac:dyDescent="0.35">
      <c r="A691" s="13">
        <v>43466</v>
      </c>
      <c r="B691">
        <f>YEAR(Table2__2[[#This Row],[Year1]])</f>
        <v>2019</v>
      </c>
      <c r="C691" t="s">
        <v>291</v>
      </c>
      <c r="D691" t="s">
        <v>425</v>
      </c>
      <c r="E691" t="s">
        <v>272</v>
      </c>
      <c r="F691" t="s">
        <v>302</v>
      </c>
      <c r="G691">
        <v>5382</v>
      </c>
    </row>
    <row r="692" spans="1:7" x14ac:dyDescent="0.35">
      <c r="A692" s="13">
        <v>43466</v>
      </c>
      <c r="B692">
        <f>YEAR(Table2__2[[#This Row],[Year1]])</f>
        <v>2019</v>
      </c>
      <c r="C692" t="s">
        <v>291</v>
      </c>
      <c r="D692" t="s">
        <v>425</v>
      </c>
      <c r="E692" t="s">
        <v>269</v>
      </c>
      <c r="F692" t="s">
        <v>302</v>
      </c>
      <c r="G692">
        <v>11780</v>
      </c>
    </row>
    <row r="693" spans="1:7" x14ac:dyDescent="0.35">
      <c r="A693" s="13">
        <v>43466</v>
      </c>
      <c r="B693">
        <f>YEAR(Table2__2[[#This Row],[Year1]])</f>
        <v>2019</v>
      </c>
      <c r="C693" t="s">
        <v>291</v>
      </c>
      <c r="D693" t="s">
        <v>425</v>
      </c>
      <c r="E693" t="s">
        <v>229</v>
      </c>
      <c r="F693" t="s">
        <v>302</v>
      </c>
      <c r="G693">
        <v>2280</v>
      </c>
    </row>
    <row r="694" spans="1:7" x14ac:dyDescent="0.35">
      <c r="A694" s="13">
        <v>43466</v>
      </c>
      <c r="B694">
        <f>YEAR(Table2__2[[#This Row],[Year1]])</f>
        <v>2019</v>
      </c>
      <c r="C694" t="s">
        <v>291</v>
      </c>
      <c r="D694" t="s">
        <v>425</v>
      </c>
      <c r="E694" t="s">
        <v>252</v>
      </c>
      <c r="F694" t="s">
        <v>302</v>
      </c>
      <c r="G694">
        <v>5098</v>
      </c>
    </row>
    <row r="695" spans="1:7" x14ac:dyDescent="0.35">
      <c r="A695" s="13">
        <v>43466</v>
      </c>
      <c r="B695">
        <f>YEAR(Table2__2[[#This Row],[Year1]])</f>
        <v>2019</v>
      </c>
      <c r="C695" t="s">
        <v>291</v>
      </c>
      <c r="D695" t="s">
        <v>425</v>
      </c>
      <c r="E695" t="s">
        <v>254</v>
      </c>
      <c r="F695" t="s">
        <v>302</v>
      </c>
      <c r="G695">
        <v>2550</v>
      </c>
    </row>
    <row r="696" spans="1:7" x14ac:dyDescent="0.35">
      <c r="A696" s="13">
        <v>43466</v>
      </c>
      <c r="B696">
        <f>YEAR(Table2__2[[#This Row],[Year1]])</f>
        <v>2019</v>
      </c>
      <c r="C696" t="s">
        <v>291</v>
      </c>
      <c r="D696" t="s">
        <v>425</v>
      </c>
      <c r="E696" t="s">
        <v>270</v>
      </c>
      <c r="F696" t="s">
        <v>302</v>
      </c>
      <c r="G696">
        <v>4276</v>
      </c>
    </row>
    <row r="697" spans="1:7" x14ac:dyDescent="0.35">
      <c r="A697" s="13">
        <v>43466</v>
      </c>
      <c r="B697">
        <f>YEAR(Table2__2[[#This Row],[Year1]])</f>
        <v>2019</v>
      </c>
      <c r="C697" t="s">
        <v>291</v>
      </c>
      <c r="D697" t="s">
        <v>425</v>
      </c>
      <c r="E697" t="s">
        <v>273</v>
      </c>
      <c r="F697" t="s">
        <v>302</v>
      </c>
      <c r="G697">
        <v>4</v>
      </c>
    </row>
    <row r="698" spans="1:7" x14ac:dyDescent="0.35">
      <c r="A698" s="13">
        <v>43466</v>
      </c>
      <c r="B698">
        <f>YEAR(Table2__2[[#This Row],[Year1]])</f>
        <v>2019</v>
      </c>
      <c r="C698" t="s">
        <v>291</v>
      </c>
      <c r="D698" t="s">
        <v>425</v>
      </c>
      <c r="E698" t="s">
        <v>39</v>
      </c>
      <c r="F698" t="s">
        <v>302</v>
      </c>
      <c r="G698">
        <v>2649</v>
      </c>
    </row>
    <row r="699" spans="1:7" x14ac:dyDescent="0.35">
      <c r="A699" s="13">
        <v>43831</v>
      </c>
      <c r="B699">
        <f>YEAR(Table2__2[[#This Row],[Year1]])</f>
        <v>2020</v>
      </c>
      <c r="C699" t="s">
        <v>288</v>
      </c>
      <c r="D699" t="s">
        <v>222</v>
      </c>
      <c r="E699" t="s">
        <v>223</v>
      </c>
      <c r="F699" t="s">
        <v>299</v>
      </c>
      <c r="G699">
        <v>8627</v>
      </c>
    </row>
    <row r="700" spans="1:7" x14ac:dyDescent="0.35">
      <c r="A700" s="13">
        <v>43831</v>
      </c>
      <c r="B700">
        <f>YEAR(Table2__2[[#This Row],[Year1]])</f>
        <v>2020</v>
      </c>
      <c r="C700" t="s">
        <v>288</v>
      </c>
      <c r="D700" t="s">
        <v>222</v>
      </c>
      <c r="E700" t="s">
        <v>224</v>
      </c>
      <c r="F700" t="s">
        <v>299</v>
      </c>
      <c r="G700">
        <v>40342</v>
      </c>
    </row>
    <row r="701" spans="1:7" x14ac:dyDescent="0.35">
      <c r="A701" s="13">
        <v>43831</v>
      </c>
      <c r="B701">
        <f>YEAR(Table2__2[[#This Row],[Year1]])</f>
        <v>2020</v>
      </c>
      <c r="C701" t="s">
        <v>288</v>
      </c>
      <c r="D701" t="s">
        <v>222</v>
      </c>
      <c r="E701" t="s">
        <v>225</v>
      </c>
      <c r="F701" t="s">
        <v>299</v>
      </c>
      <c r="G701">
        <v>27487</v>
      </c>
    </row>
    <row r="702" spans="1:7" x14ac:dyDescent="0.35">
      <c r="A702" s="13">
        <v>43831</v>
      </c>
      <c r="B702">
        <f>YEAR(Table2__2[[#This Row],[Year1]])</f>
        <v>2020</v>
      </c>
      <c r="C702" t="s">
        <v>288</v>
      </c>
      <c r="D702" t="s">
        <v>222</v>
      </c>
      <c r="E702" t="s">
        <v>226</v>
      </c>
      <c r="F702" t="s">
        <v>299</v>
      </c>
      <c r="G702">
        <v>54396</v>
      </c>
    </row>
    <row r="703" spans="1:7" x14ac:dyDescent="0.35">
      <c r="A703" s="13">
        <v>43831</v>
      </c>
      <c r="B703">
        <f>YEAR(Table2__2[[#This Row],[Year1]])</f>
        <v>2020</v>
      </c>
      <c r="C703" t="s">
        <v>288</v>
      </c>
      <c r="D703" t="s">
        <v>222</v>
      </c>
      <c r="E703" t="s">
        <v>227</v>
      </c>
      <c r="F703" t="s">
        <v>299</v>
      </c>
      <c r="G703">
        <v>51425</v>
      </c>
    </row>
    <row r="704" spans="1:7" x14ac:dyDescent="0.35">
      <c r="A704" s="13">
        <v>43831</v>
      </c>
      <c r="B704">
        <f>YEAR(Table2__2[[#This Row],[Year1]])</f>
        <v>2020</v>
      </c>
      <c r="C704" t="s">
        <v>288</v>
      </c>
      <c r="D704" t="s">
        <v>222</v>
      </c>
      <c r="E704" t="s">
        <v>228</v>
      </c>
      <c r="F704" t="s">
        <v>299</v>
      </c>
      <c r="G704">
        <v>90203</v>
      </c>
    </row>
    <row r="705" spans="1:7" x14ac:dyDescent="0.35">
      <c r="A705" s="13">
        <v>43831</v>
      </c>
      <c r="B705">
        <f>YEAR(Table2__2[[#This Row],[Year1]])</f>
        <v>2020</v>
      </c>
      <c r="C705" t="s">
        <v>288</v>
      </c>
      <c r="D705" t="s">
        <v>222</v>
      </c>
      <c r="E705" t="s">
        <v>229</v>
      </c>
      <c r="F705" t="s">
        <v>299</v>
      </c>
      <c r="G705">
        <v>53277</v>
      </c>
    </row>
    <row r="706" spans="1:7" x14ac:dyDescent="0.35">
      <c r="A706" s="13">
        <v>43831</v>
      </c>
      <c r="B706">
        <f>YEAR(Table2__2[[#This Row],[Year1]])</f>
        <v>2020</v>
      </c>
      <c r="C706" t="s">
        <v>288</v>
      </c>
      <c r="D706" t="s">
        <v>222</v>
      </c>
      <c r="E706" t="s">
        <v>230</v>
      </c>
      <c r="F706" t="s">
        <v>299</v>
      </c>
      <c r="G706">
        <v>66074</v>
      </c>
    </row>
    <row r="707" spans="1:7" x14ac:dyDescent="0.35">
      <c r="A707" s="13">
        <v>43831</v>
      </c>
      <c r="B707">
        <f>YEAR(Table2__2[[#This Row],[Year1]])</f>
        <v>2020</v>
      </c>
      <c r="C707" t="s">
        <v>288</v>
      </c>
      <c r="D707" t="s">
        <v>222</v>
      </c>
      <c r="E707" t="s">
        <v>231</v>
      </c>
      <c r="F707" t="s">
        <v>299</v>
      </c>
      <c r="G707">
        <v>8804</v>
      </c>
    </row>
    <row r="708" spans="1:7" x14ac:dyDescent="0.35">
      <c r="A708" s="13">
        <v>43831</v>
      </c>
      <c r="B708">
        <f>YEAR(Table2__2[[#This Row],[Year1]])</f>
        <v>2020</v>
      </c>
      <c r="C708" t="s">
        <v>288</v>
      </c>
      <c r="D708" t="s">
        <v>232</v>
      </c>
      <c r="E708" t="s">
        <v>233</v>
      </c>
      <c r="F708" t="s">
        <v>299</v>
      </c>
      <c r="G708">
        <v>227</v>
      </c>
    </row>
    <row r="709" spans="1:7" x14ac:dyDescent="0.35">
      <c r="A709" s="13">
        <v>43831</v>
      </c>
      <c r="B709">
        <f>YEAR(Table2__2[[#This Row],[Year1]])</f>
        <v>2020</v>
      </c>
      <c r="C709" t="s">
        <v>288</v>
      </c>
      <c r="D709" t="s">
        <v>232</v>
      </c>
      <c r="E709" t="s">
        <v>234</v>
      </c>
      <c r="F709" t="s">
        <v>299</v>
      </c>
      <c r="G709">
        <v>302</v>
      </c>
    </row>
    <row r="710" spans="1:7" x14ac:dyDescent="0.35">
      <c r="A710" s="13">
        <v>43831</v>
      </c>
      <c r="B710">
        <f>YEAR(Table2__2[[#This Row],[Year1]])</f>
        <v>2020</v>
      </c>
      <c r="C710" t="s">
        <v>288</v>
      </c>
      <c r="D710" t="s">
        <v>232</v>
      </c>
      <c r="E710" t="s">
        <v>235</v>
      </c>
      <c r="F710" t="s">
        <v>299</v>
      </c>
      <c r="G710">
        <v>455</v>
      </c>
    </row>
    <row r="711" spans="1:7" x14ac:dyDescent="0.35">
      <c r="A711" s="13">
        <v>43831</v>
      </c>
      <c r="B711">
        <f>YEAR(Table2__2[[#This Row],[Year1]])</f>
        <v>2020</v>
      </c>
      <c r="C711" t="s">
        <v>288</v>
      </c>
      <c r="D711" t="s">
        <v>232</v>
      </c>
      <c r="E711" t="s">
        <v>236</v>
      </c>
      <c r="F711" t="s">
        <v>299</v>
      </c>
      <c r="G711">
        <v>227</v>
      </c>
    </row>
    <row r="712" spans="1:7" x14ac:dyDescent="0.35">
      <c r="A712" s="13">
        <v>43831</v>
      </c>
      <c r="B712">
        <f>YEAR(Table2__2[[#This Row],[Year1]])</f>
        <v>2020</v>
      </c>
      <c r="C712" t="s">
        <v>288</v>
      </c>
      <c r="D712" t="s">
        <v>232</v>
      </c>
      <c r="E712" t="s">
        <v>237</v>
      </c>
      <c r="F712" t="s">
        <v>299</v>
      </c>
      <c r="G712">
        <v>30</v>
      </c>
    </row>
    <row r="713" spans="1:7" x14ac:dyDescent="0.35">
      <c r="A713" s="13">
        <v>43831</v>
      </c>
      <c r="B713">
        <f>YEAR(Table2__2[[#This Row],[Year1]])</f>
        <v>2020</v>
      </c>
      <c r="C713" t="s">
        <v>288</v>
      </c>
      <c r="D713" t="s">
        <v>232</v>
      </c>
      <c r="E713" t="s">
        <v>238</v>
      </c>
      <c r="F713" t="s">
        <v>299</v>
      </c>
      <c r="G713">
        <v>104</v>
      </c>
    </row>
    <row r="714" spans="1:7" x14ac:dyDescent="0.35">
      <c r="A714" s="13">
        <v>43831</v>
      </c>
      <c r="B714">
        <f>YEAR(Table2__2[[#This Row],[Year1]])</f>
        <v>2020</v>
      </c>
      <c r="C714" t="s">
        <v>288</v>
      </c>
      <c r="D714" t="s">
        <v>232</v>
      </c>
      <c r="E714" t="s">
        <v>239</v>
      </c>
      <c r="F714" t="s">
        <v>299</v>
      </c>
      <c r="G714">
        <v>1302</v>
      </c>
    </row>
    <row r="715" spans="1:7" x14ac:dyDescent="0.35">
      <c r="A715" s="13">
        <v>43831</v>
      </c>
      <c r="B715">
        <f>YEAR(Table2__2[[#This Row],[Year1]])</f>
        <v>2020</v>
      </c>
      <c r="C715" t="s">
        <v>288</v>
      </c>
      <c r="D715" t="s">
        <v>232</v>
      </c>
      <c r="E715" t="s">
        <v>240</v>
      </c>
      <c r="F715" t="s">
        <v>299</v>
      </c>
      <c r="G715">
        <v>572</v>
      </c>
    </row>
    <row r="716" spans="1:7" x14ac:dyDescent="0.35">
      <c r="A716" s="13">
        <v>43831</v>
      </c>
      <c r="B716">
        <f>YEAR(Table2__2[[#This Row],[Year1]])</f>
        <v>2020</v>
      </c>
      <c r="C716" t="s">
        <v>288</v>
      </c>
      <c r="D716" t="s">
        <v>232</v>
      </c>
      <c r="E716" t="s">
        <v>241</v>
      </c>
      <c r="F716" t="s">
        <v>299</v>
      </c>
      <c r="G716">
        <v>356</v>
      </c>
    </row>
    <row r="717" spans="1:7" x14ac:dyDescent="0.35">
      <c r="A717" s="13">
        <v>43831</v>
      </c>
      <c r="B717">
        <f>YEAR(Table2__2[[#This Row],[Year1]])</f>
        <v>2020</v>
      </c>
      <c r="C717" t="s">
        <v>288</v>
      </c>
      <c r="D717" t="s">
        <v>232</v>
      </c>
      <c r="E717" t="s">
        <v>242</v>
      </c>
      <c r="F717" t="s">
        <v>299</v>
      </c>
      <c r="G717">
        <v>236</v>
      </c>
    </row>
    <row r="718" spans="1:7" x14ac:dyDescent="0.35">
      <c r="A718" s="13">
        <v>43831</v>
      </c>
      <c r="B718">
        <f>YEAR(Table2__2[[#This Row],[Year1]])</f>
        <v>2020</v>
      </c>
      <c r="C718" t="s">
        <v>288</v>
      </c>
      <c r="D718" t="s">
        <v>232</v>
      </c>
      <c r="E718" t="s">
        <v>243</v>
      </c>
      <c r="F718" t="s">
        <v>299</v>
      </c>
      <c r="G718">
        <v>574</v>
      </c>
    </row>
    <row r="719" spans="1:7" x14ac:dyDescent="0.35">
      <c r="A719" s="13">
        <v>43831</v>
      </c>
      <c r="B719">
        <f>YEAR(Table2__2[[#This Row],[Year1]])</f>
        <v>2020</v>
      </c>
      <c r="C719" t="s">
        <v>289</v>
      </c>
      <c r="D719" t="s">
        <v>281</v>
      </c>
      <c r="E719" t="s">
        <v>226</v>
      </c>
      <c r="F719" t="s">
        <v>301</v>
      </c>
      <c r="G719">
        <v>8973</v>
      </c>
    </row>
    <row r="720" spans="1:7" x14ac:dyDescent="0.35">
      <c r="A720" s="13">
        <v>43831</v>
      </c>
      <c r="B720">
        <f>YEAR(Table2__2[[#This Row],[Year1]])</f>
        <v>2020</v>
      </c>
      <c r="C720" t="s">
        <v>289</v>
      </c>
      <c r="D720" t="s">
        <v>281</v>
      </c>
      <c r="E720" t="s">
        <v>227</v>
      </c>
      <c r="F720" t="s">
        <v>301</v>
      </c>
      <c r="G720">
        <v>16750</v>
      </c>
    </row>
    <row r="721" spans="1:7" x14ac:dyDescent="0.35">
      <c r="A721" s="13">
        <v>43831</v>
      </c>
      <c r="B721">
        <f>YEAR(Table2__2[[#This Row],[Year1]])</f>
        <v>2020</v>
      </c>
      <c r="C721" t="s">
        <v>289</v>
      </c>
      <c r="D721" t="s">
        <v>281</v>
      </c>
      <c r="E721" t="s">
        <v>229</v>
      </c>
      <c r="F721" t="s">
        <v>301</v>
      </c>
      <c r="G721">
        <v>16842</v>
      </c>
    </row>
    <row r="722" spans="1:7" x14ac:dyDescent="0.35">
      <c r="A722" s="13">
        <v>43831</v>
      </c>
      <c r="B722">
        <f>YEAR(Table2__2[[#This Row],[Year1]])</f>
        <v>2020</v>
      </c>
      <c r="C722" t="s">
        <v>289</v>
      </c>
      <c r="D722" t="s">
        <v>281</v>
      </c>
      <c r="E722" t="s">
        <v>230</v>
      </c>
      <c r="F722" t="s">
        <v>301</v>
      </c>
      <c r="G722">
        <v>6017</v>
      </c>
    </row>
    <row r="723" spans="1:7" x14ac:dyDescent="0.35">
      <c r="A723" s="13">
        <v>43831</v>
      </c>
      <c r="B723">
        <f>YEAR(Table2__2[[#This Row],[Year1]])</f>
        <v>2020</v>
      </c>
      <c r="C723" t="s">
        <v>289</v>
      </c>
      <c r="D723" t="s">
        <v>283</v>
      </c>
      <c r="E723" t="s">
        <v>244</v>
      </c>
      <c r="F723" t="s">
        <v>301</v>
      </c>
      <c r="G723">
        <v>1474</v>
      </c>
    </row>
    <row r="724" spans="1:7" x14ac:dyDescent="0.35">
      <c r="A724" s="13">
        <v>43831</v>
      </c>
      <c r="B724">
        <f>YEAR(Table2__2[[#This Row],[Year1]])</f>
        <v>2020</v>
      </c>
      <c r="C724" t="s">
        <v>289</v>
      </c>
      <c r="D724" t="s">
        <v>283</v>
      </c>
      <c r="E724" t="s">
        <v>245</v>
      </c>
      <c r="F724" t="s">
        <v>301</v>
      </c>
      <c r="G724">
        <v>596</v>
      </c>
    </row>
    <row r="725" spans="1:7" x14ac:dyDescent="0.35">
      <c r="A725" s="13">
        <v>43831</v>
      </c>
      <c r="B725">
        <f>YEAR(Table2__2[[#This Row],[Year1]])</f>
        <v>2020</v>
      </c>
      <c r="C725" t="s">
        <v>289</v>
      </c>
      <c r="D725" t="s">
        <v>283</v>
      </c>
      <c r="E725" t="s">
        <v>246</v>
      </c>
      <c r="F725" t="s">
        <v>301</v>
      </c>
      <c r="G725">
        <v>2134</v>
      </c>
    </row>
    <row r="726" spans="1:7" x14ac:dyDescent="0.35">
      <c r="A726" s="13">
        <v>43831</v>
      </c>
      <c r="B726">
        <f>YEAR(Table2__2[[#This Row],[Year1]])</f>
        <v>2020</v>
      </c>
      <c r="C726" t="s">
        <v>289</v>
      </c>
      <c r="D726" t="s">
        <v>283</v>
      </c>
      <c r="E726" t="s">
        <v>234</v>
      </c>
      <c r="F726" t="s">
        <v>301</v>
      </c>
      <c r="G726">
        <v>4550</v>
      </c>
    </row>
    <row r="727" spans="1:7" x14ac:dyDescent="0.35">
      <c r="A727" s="13">
        <v>43831</v>
      </c>
      <c r="B727">
        <f>YEAR(Table2__2[[#This Row],[Year1]])</f>
        <v>2020</v>
      </c>
      <c r="C727" t="s">
        <v>289</v>
      </c>
      <c r="D727" t="s">
        <v>283</v>
      </c>
      <c r="E727" t="s">
        <v>247</v>
      </c>
      <c r="F727" t="s">
        <v>301</v>
      </c>
      <c r="G727">
        <v>2777</v>
      </c>
    </row>
    <row r="728" spans="1:7" x14ac:dyDescent="0.35">
      <c r="A728" s="13">
        <v>43831</v>
      </c>
      <c r="B728">
        <f>YEAR(Table2__2[[#This Row],[Year1]])</f>
        <v>2020</v>
      </c>
      <c r="C728" t="s">
        <v>289</v>
      </c>
      <c r="D728" t="s">
        <v>283</v>
      </c>
      <c r="E728" t="s">
        <v>235</v>
      </c>
      <c r="F728" t="s">
        <v>301</v>
      </c>
      <c r="G728">
        <v>1571</v>
      </c>
    </row>
    <row r="729" spans="1:7" x14ac:dyDescent="0.35">
      <c r="A729" s="13">
        <v>43831</v>
      </c>
      <c r="B729">
        <f>YEAR(Table2__2[[#This Row],[Year1]])</f>
        <v>2020</v>
      </c>
      <c r="C729" t="s">
        <v>289</v>
      </c>
      <c r="D729" t="s">
        <v>283</v>
      </c>
      <c r="E729" t="s">
        <v>226</v>
      </c>
      <c r="F729" t="s">
        <v>301</v>
      </c>
    </row>
    <row r="730" spans="1:7" x14ac:dyDescent="0.35">
      <c r="A730" s="13">
        <v>43831</v>
      </c>
      <c r="B730">
        <f>YEAR(Table2__2[[#This Row],[Year1]])</f>
        <v>2020</v>
      </c>
      <c r="C730" t="s">
        <v>289</v>
      </c>
      <c r="D730" t="s">
        <v>283</v>
      </c>
      <c r="E730" t="s">
        <v>248</v>
      </c>
      <c r="F730" t="s">
        <v>301</v>
      </c>
      <c r="G730">
        <v>3842</v>
      </c>
    </row>
    <row r="731" spans="1:7" x14ac:dyDescent="0.35">
      <c r="A731" s="13">
        <v>43831</v>
      </c>
      <c r="B731">
        <f>YEAR(Table2__2[[#This Row],[Year1]])</f>
        <v>2020</v>
      </c>
      <c r="C731" t="s">
        <v>289</v>
      </c>
      <c r="D731" t="s">
        <v>283</v>
      </c>
      <c r="E731" t="s">
        <v>227</v>
      </c>
      <c r="F731" t="s">
        <v>301</v>
      </c>
      <c r="G731">
        <v>24</v>
      </c>
    </row>
    <row r="732" spans="1:7" x14ac:dyDescent="0.35">
      <c r="A732" s="13">
        <v>43831</v>
      </c>
      <c r="B732">
        <f>YEAR(Table2__2[[#This Row],[Year1]])</f>
        <v>2020</v>
      </c>
      <c r="C732" t="s">
        <v>289</v>
      </c>
      <c r="D732" t="s">
        <v>283</v>
      </c>
      <c r="E732" t="s">
        <v>249</v>
      </c>
      <c r="F732" t="s">
        <v>301</v>
      </c>
      <c r="G732">
        <v>4883</v>
      </c>
    </row>
    <row r="733" spans="1:7" x14ac:dyDescent="0.35">
      <c r="A733" s="13">
        <v>43831</v>
      </c>
      <c r="B733">
        <f>YEAR(Table2__2[[#This Row],[Year1]])</f>
        <v>2020</v>
      </c>
      <c r="C733" t="s">
        <v>289</v>
      </c>
      <c r="D733" t="s">
        <v>283</v>
      </c>
      <c r="E733" t="s">
        <v>239</v>
      </c>
      <c r="F733" t="s">
        <v>301</v>
      </c>
      <c r="G733">
        <v>4664</v>
      </c>
    </row>
    <row r="734" spans="1:7" x14ac:dyDescent="0.35">
      <c r="A734" s="13">
        <v>43831</v>
      </c>
      <c r="B734">
        <f>YEAR(Table2__2[[#This Row],[Year1]])</f>
        <v>2020</v>
      </c>
      <c r="C734" t="s">
        <v>289</v>
      </c>
      <c r="D734" t="s">
        <v>283</v>
      </c>
      <c r="E734" t="s">
        <v>240</v>
      </c>
      <c r="F734" t="s">
        <v>301</v>
      </c>
      <c r="G734">
        <v>64</v>
      </c>
    </row>
    <row r="735" spans="1:7" x14ac:dyDescent="0.35">
      <c r="A735" s="13">
        <v>43831</v>
      </c>
      <c r="B735">
        <f>YEAR(Table2__2[[#This Row],[Year1]])</f>
        <v>2020</v>
      </c>
      <c r="C735" t="s">
        <v>289</v>
      </c>
      <c r="D735" t="s">
        <v>283</v>
      </c>
      <c r="E735" t="s">
        <v>250</v>
      </c>
      <c r="F735" t="s">
        <v>301</v>
      </c>
      <c r="G735">
        <v>3193</v>
      </c>
    </row>
    <row r="736" spans="1:7" x14ac:dyDescent="0.35">
      <c r="A736" s="13">
        <v>43831</v>
      </c>
      <c r="B736">
        <f>YEAR(Table2__2[[#This Row],[Year1]])</f>
        <v>2020</v>
      </c>
      <c r="C736" t="s">
        <v>289</v>
      </c>
      <c r="D736" t="s">
        <v>283</v>
      </c>
      <c r="E736" t="s">
        <v>251</v>
      </c>
      <c r="F736" t="s">
        <v>301</v>
      </c>
      <c r="G736">
        <v>152</v>
      </c>
    </row>
    <row r="737" spans="1:7" x14ac:dyDescent="0.35">
      <c r="A737" s="13">
        <v>43831</v>
      </c>
      <c r="B737">
        <f>YEAR(Table2__2[[#This Row],[Year1]])</f>
        <v>2020</v>
      </c>
      <c r="C737" t="s">
        <v>289</v>
      </c>
      <c r="D737" t="s">
        <v>283</v>
      </c>
      <c r="E737" t="s">
        <v>229</v>
      </c>
      <c r="F737" t="s">
        <v>301</v>
      </c>
      <c r="G737">
        <v>39</v>
      </c>
    </row>
    <row r="738" spans="1:7" x14ac:dyDescent="0.35">
      <c r="A738" s="13">
        <v>43831</v>
      </c>
      <c r="B738">
        <f>YEAR(Table2__2[[#This Row],[Year1]])</f>
        <v>2020</v>
      </c>
      <c r="C738" t="s">
        <v>289</v>
      </c>
      <c r="D738" t="s">
        <v>283</v>
      </c>
      <c r="E738" t="s">
        <v>252</v>
      </c>
      <c r="F738" t="s">
        <v>301</v>
      </c>
      <c r="G738">
        <v>3192</v>
      </c>
    </row>
    <row r="739" spans="1:7" x14ac:dyDescent="0.35">
      <c r="A739" s="13">
        <v>43831</v>
      </c>
      <c r="B739">
        <f>YEAR(Table2__2[[#This Row],[Year1]])</f>
        <v>2020</v>
      </c>
      <c r="C739" t="s">
        <v>289</v>
      </c>
      <c r="D739" t="s">
        <v>283</v>
      </c>
      <c r="E739" t="s">
        <v>253</v>
      </c>
      <c r="F739" t="s">
        <v>301</v>
      </c>
      <c r="G739">
        <v>847</v>
      </c>
    </row>
    <row r="740" spans="1:7" x14ac:dyDescent="0.35">
      <c r="A740" s="13">
        <v>43831</v>
      </c>
      <c r="B740">
        <f>YEAR(Table2__2[[#This Row],[Year1]])</f>
        <v>2020</v>
      </c>
      <c r="C740" t="s">
        <v>289</v>
      </c>
      <c r="D740" t="s">
        <v>283</v>
      </c>
      <c r="E740" t="s">
        <v>254</v>
      </c>
      <c r="F740" t="s">
        <v>301</v>
      </c>
      <c r="G740">
        <v>3236</v>
      </c>
    </row>
    <row r="741" spans="1:7" x14ac:dyDescent="0.35">
      <c r="A741" s="13">
        <v>43831</v>
      </c>
      <c r="B741">
        <f>YEAR(Table2__2[[#This Row],[Year1]])</f>
        <v>2020</v>
      </c>
      <c r="C741" t="s">
        <v>289</v>
      </c>
      <c r="D741" t="s">
        <v>283</v>
      </c>
      <c r="E741" t="s">
        <v>255</v>
      </c>
      <c r="F741" t="s">
        <v>301</v>
      </c>
      <c r="G741">
        <v>235</v>
      </c>
    </row>
    <row r="742" spans="1:7" x14ac:dyDescent="0.35">
      <c r="A742" s="13">
        <v>43831</v>
      </c>
      <c r="B742">
        <f>YEAR(Table2__2[[#This Row],[Year1]])</f>
        <v>2020</v>
      </c>
      <c r="C742" t="s">
        <v>289</v>
      </c>
      <c r="D742" t="s">
        <v>283</v>
      </c>
      <c r="E742" t="s">
        <v>230</v>
      </c>
      <c r="F742" t="s">
        <v>301</v>
      </c>
      <c r="G742">
        <v>40</v>
      </c>
    </row>
    <row r="743" spans="1:7" x14ac:dyDescent="0.35">
      <c r="A743" s="13">
        <v>43831</v>
      </c>
      <c r="B743">
        <f>YEAR(Table2__2[[#This Row],[Year1]])</f>
        <v>2020</v>
      </c>
      <c r="C743" t="s">
        <v>289</v>
      </c>
      <c r="D743" t="s">
        <v>283</v>
      </c>
      <c r="E743" t="s">
        <v>298</v>
      </c>
      <c r="F743" t="s">
        <v>301</v>
      </c>
      <c r="G743">
        <v>4573</v>
      </c>
    </row>
    <row r="744" spans="1:7" x14ac:dyDescent="0.35">
      <c r="A744" s="13">
        <v>43831</v>
      </c>
      <c r="B744">
        <f>YEAR(Table2__2[[#This Row],[Year1]])</f>
        <v>2020</v>
      </c>
      <c r="C744" t="s">
        <v>289</v>
      </c>
      <c r="D744" t="s">
        <v>283</v>
      </c>
      <c r="E744" t="s">
        <v>257</v>
      </c>
      <c r="F744" t="s">
        <v>301</v>
      </c>
    </row>
    <row r="745" spans="1:7" x14ac:dyDescent="0.35">
      <c r="A745" s="13">
        <v>43831</v>
      </c>
      <c r="B745">
        <f>YEAR(Table2__2[[#This Row],[Year1]])</f>
        <v>2020</v>
      </c>
      <c r="C745" t="s">
        <v>290</v>
      </c>
      <c r="D745" t="s">
        <v>425</v>
      </c>
      <c r="E745" t="s">
        <v>244</v>
      </c>
      <c r="F745" t="s">
        <v>302</v>
      </c>
      <c r="G745">
        <v>278</v>
      </c>
    </row>
    <row r="746" spans="1:7" x14ac:dyDescent="0.35">
      <c r="A746" s="13">
        <v>43831</v>
      </c>
      <c r="B746">
        <f>YEAR(Table2__2[[#This Row],[Year1]])</f>
        <v>2020</v>
      </c>
      <c r="C746" t="s">
        <v>290</v>
      </c>
      <c r="D746" t="s">
        <v>425</v>
      </c>
      <c r="E746" t="s">
        <v>245</v>
      </c>
      <c r="F746" t="s">
        <v>302</v>
      </c>
      <c r="G746">
        <v>94</v>
      </c>
    </row>
    <row r="747" spans="1:7" x14ac:dyDescent="0.35">
      <c r="A747" s="13">
        <v>43831</v>
      </c>
      <c r="B747">
        <f>YEAR(Table2__2[[#This Row],[Year1]])</f>
        <v>2020</v>
      </c>
      <c r="C747" t="s">
        <v>290</v>
      </c>
      <c r="D747" t="s">
        <v>425</v>
      </c>
      <c r="E747" t="s">
        <v>246</v>
      </c>
      <c r="F747" t="s">
        <v>302</v>
      </c>
      <c r="G747">
        <v>131</v>
      </c>
    </row>
    <row r="748" spans="1:7" x14ac:dyDescent="0.35">
      <c r="A748" s="13">
        <v>43831</v>
      </c>
      <c r="B748">
        <f>YEAR(Table2__2[[#This Row],[Year1]])</f>
        <v>2020</v>
      </c>
      <c r="C748" t="s">
        <v>290</v>
      </c>
      <c r="D748" t="s">
        <v>425</v>
      </c>
      <c r="E748" t="s">
        <v>234</v>
      </c>
      <c r="F748" t="s">
        <v>302</v>
      </c>
      <c r="G748">
        <v>61</v>
      </c>
    </row>
    <row r="749" spans="1:7" x14ac:dyDescent="0.35">
      <c r="A749" s="13">
        <v>43831</v>
      </c>
      <c r="B749">
        <f>YEAR(Table2__2[[#This Row],[Year1]])</f>
        <v>2020</v>
      </c>
      <c r="C749" t="s">
        <v>290</v>
      </c>
      <c r="D749" t="s">
        <v>425</v>
      </c>
      <c r="E749" t="s">
        <v>258</v>
      </c>
      <c r="F749" t="s">
        <v>302</v>
      </c>
      <c r="G749">
        <v>101</v>
      </c>
    </row>
    <row r="750" spans="1:7" x14ac:dyDescent="0.35">
      <c r="A750" s="13">
        <v>43831</v>
      </c>
      <c r="B750">
        <f>YEAR(Table2__2[[#This Row],[Year1]])</f>
        <v>2020</v>
      </c>
      <c r="C750" t="s">
        <v>290</v>
      </c>
      <c r="D750" t="s">
        <v>425</v>
      </c>
      <c r="E750" t="s">
        <v>247</v>
      </c>
      <c r="F750" t="s">
        <v>302</v>
      </c>
      <c r="G750">
        <v>363</v>
      </c>
    </row>
    <row r="751" spans="1:7" x14ac:dyDescent="0.35">
      <c r="A751" s="13">
        <v>43831</v>
      </c>
      <c r="B751">
        <f>YEAR(Table2__2[[#This Row],[Year1]])</f>
        <v>2020</v>
      </c>
      <c r="C751" t="s">
        <v>290</v>
      </c>
      <c r="D751" t="s">
        <v>425</v>
      </c>
      <c r="E751" t="s">
        <v>259</v>
      </c>
      <c r="F751" t="s">
        <v>302</v>
      </c>
      <c r="G751">
        <v>470</v>
      </c>
    </row>
    <row r="752" spans="1:7" x14ac:dyDescent="0.35">
      <c r="A752" s="13">
        <v>43831</v>
      </c>
      <c r="B752">
        <f>YEAR(Table2__2[[#This Row],[Year1]])</f>
        <v>2020</v>
      </c>
      <c r="C752" t="s">
        <v>290</v>
      </c>
      <c r="D752" t="s">
        <v>425</v>
      </c>
      <c r="E752" t="s">
        <v>260</v>
      </c>
      <c r="F752" t="s">
        <v>302</v>
      </c>
      <c r="G752">
        <v>232</v>
      </c>
    </row>
    <row r="753" spans="1:7" x14ac:dyDescent="0.35">
      <c r="A753" s="13">
        <v>43831</v>
      </c>
      <c r="B753">
        <f>YEAR(Table2__2[[#This Row],[Year1]])</f>
        <v>2020</v>
      </c>
      <c r="C753" t="s">
        <v>290</v>
      </c>
      <c r="D753" t="s">
        <v>425</v>
      </c>
      <c r="E753" t="s">
        <v>235</v>
      </c>
      <c r="F753" t="s">
        <v>302</v>
      </c>
      <c r="G753">
        <v>166</v>
      </c>
    </row>
    <row r="754" spans="1:7" x14ac:dyDescent="0.35">
      <c r="A754" s="13">
        <v>43831</v>
      </c>
      <c r="B754">
        <f>YEAR(Table2__2[[#This Row],[Year1]])</f>
        <v>2020</v>
      </c>
      <c r="C754" t="s">
        <v>290</v>
      </c>
      <c r="D754" t="s">
        <v>425</v>
      </c>
      <c r="E754" t="s">
        <v>226</v>
      </c>
      <c r="F754" t="s">
        <v>302</v>
      </c>
      <c r="G754">
        <v>2211</v>
      </c>
    </row>
    <row r="755" spans="1:7" x14ac:dyDescent="0.35">
      <c r="A755" s="13">
        <v>43831</v>
      </c>
      <c r="B755">
        <f>YEAR(Table2__2[[#This Row],[Year1]])</f>
        <v>2020</v>
      </c>
      <c r="C755" t="s">
        <v>290</v>
      </c>
      <c r="D755" t="s">
        <v>425</v>
      </c>
      <c r="E755" t="s">
        <v>261</v>
      </c>
      <c r="F755" t="s">
        <v>302</v>
      </c>
      <c r="G755">
        <v>115</v>
      </c>
    </row>
    <row r="756" spans="1:7" x14ac:dyDescent="0.35">
      <c r="A756" s="13">
        <v>43831</v>
      </c>
      <c r="B756">
        <f>YEAR(Table2__2[[#This Row],[Year1]])</f>
        <v>2020</v>
      </c>
      <c r="C756" t="s">
        <v>290</v>
      </c>
      <c r="D756" t="s">
        <v>425</v>
      </c>
      <c r="E756" t="s">
        <v>248</v>
      </c>
      <c r="F756" t="s">
        <v>302</v>
      </c>
      <c r="G756">
        <v>221</v>
      </c>
    </row>
    <row r="757" spans="1:7" x14ac:dyDescent="0.35">
      <c r="A757" s="13">
        <v>43831</v>
      </c>
      <c r="B757">
        <f>YEAR(Table2__2[[#This Row],[Year1]])</f>
        <v>2020</v>
      </c>
      <c r="C757" t="s">
        <v>290</v>
      </c>
      <c r="D757" t="s">
        <v>425</v>
      </c>
      <c r="E757" t="s">
        <v>262</v>
      </c>
      <c r="F757" t="s">
        <v>302</v>
      </c>
      <c r="G757">
        <v>159</v>
      </c>
    </row>
    <row r="758" spans="1:7" x14ac:dyDescent="0.35">
      <c r="A758" s="13">
        <v>43831</v>
      </c>
      <c r="B758">
        <f>YEAR(Table2__2[[#This Row],[Year1]])</f>
        <v>2020</v>
      </c>
      <c r="C758" t="s">
        <v>290</v>
      </c>
      <c r="D758" t="s">
        <v>425</v>
      </c>
      <c r="E758" t="s">
        <v>263</v>
      </c>
      <c r="F758" t="s">
        <v>302</v>
      </c>
      <c r="G758">
        <v>112</v>
      </c>
    </row>
    <row r="759" spans="1:7" x14ac:dyDescent="0.35">
      <c r="A759" s="13">
        <v>43831</v>
      </c>
      <c r="B759">
        <f>YEAR(Table2__2[[#This Row],[Year1]])</f>
        <v>2020</v>
      </c>
      <c r="C759" t="s">
        <v>290</v>
      </c>
      <c r="D759" t="s">
        <v>425</v>
      </c>
      <c r="E759" t="s">
        <v>249</v>
      </c>
      <c r="F759" t="s">
        <v>302</v>
      </c>
      <c r="G759">
        <v>272</v>
      </c>
    </row>
    <row r="760" spans="1:7" x14ac:dyDescent="0.35">
      <c r="A760" s="13">
        <v>43831</v>
      </c>
      <c r="B760">
        <f>YEAR(Table2__2[[#This Row],[Year1]])</f>
        <v>2020</v>
      </c>
      <c r="C760" t="s">
        <v>290</v>
      </c>
      <c r="D760" t="s">
        <v>425</v>
      </c>
      <c r="E760" t="s">
        <v>239</v>
      </c>
      <c r="F760" t="s">
        <v>302</v>
      </c>
      <c r="G760">
        <v>407</v>
      </c>
    </row>
    <row r="761" spans="1:7" x14ac:dyDescent="0.35">
      <c r="A761" s="13">
        <v>43831</v>
      </c>
      <c r="B761">
        <f>YEAR(Table2__2[[#This Row],[Year1]])</f>
        <v>2020</v>
      </c>
      <c r="C761" t="s">
        <v>290</v>
      </c>
      <c r="D761" t="s">
        <v>425</v>
      </c>
      <c r="E761" t="s">
        <v>264</v>
      </c>
      <c r="F761" t="s">
        <v>302</v>
      </c>
      <c r="G761">
        <v>112</v>
      </c>
    </row>
    <row r="762" spans="1:7" x14ac:dyDescent="0.35">
      <c r="A762" s="13">
        <v>43831</v>
      </c>
      <c r="B762">
        <f>YEAR(Table2__2[[#This Row],[Year1]])</f>
        <v>2020</v>
      </c>
      <c r="C762" t="s">
        <v>290</v>
      </c>
      <c r="D762" t="s">
        <v>425</v>
      </c>
      <c r="E762" t="s">
        <v>240</v>
      </c>
      <c r="F762" t="s">
        <v>302</v>
      </c>
      <c r="G762">
        <v>219</v>
      </c>
    </row>
    <row r="763" spans="1:7" x14ac:dyDescent="0.35">
      <c r="A763" s="13">
        <v>43831</v>
      </c>
      <c r="B763">
        <f>YEAR(Table2__2[[#This Row],[Year1]])</f>
        <v>2020</v>
      </c>
      <c r="C763" t="s">
        <v>290</v>
      </c>
      <c r="D763" t="s">
        <v>425</v>
      </c>
      <c r="E763" t="s">
        <v>250</v>
      </c>
      <c r="F763" t="s">
        <v>302</v>
      </c>
      <c r="G763">
        <v>297</v>
      </c>
    </row>
    <row r="764" spans="1:7" x14ac:dyDescent="0.35">
      <c r="A764" s="13">
        <v>43831</v>
      </c>
      <c r="B764">
        <f>YEAR(Table2__2[[#This Row],[Year1]])</f>
        <v>2020</v>
      </c>
      <c r="C764" t="s">
        <v>290</v>
      </c>
      <c r="D764" t="s">
        <v>425</v>
      </c>
      <c r="E764" t="s">
        <v>265</v>
      </c>
      <c r="F764" t="s">
        <v>302</v>
      </c>
      <c r="G764">
        <v>276</v>
      </c>
    </row>
    <row r="765" spans="1:7" x14ac:dyDescent="0.35">
      <c r="A765" s="13">
        <v>43831</v>
      </c>
      <c r="B765">
        <f>YEAR(Table2__2[[#This Row],[Year1]])</f>
        <v>2020</v>
      </c>
      <c r="C765" t="s">
        <v>290</v>
      </c>
      <c r="D765" t="s">
        <v>425</v>
      </c>
      <c r="E765" t="s">
        <v>266</v>
      </c>
      <c r="F765" t="s">
        <v>302</v>
      </c>
      <c r="G765">
        <v>83</v>
      </c>
    </row>
    <row r="766" spans="1:7" x14ac:dyDescent="0.35">
      <c r="A766" s="13">
        <v>43831</v>
      </c>
      <c r="B766">
        <f>YEAR(Table2__2[[#This Row],[Year1]])</f>
        <v>2020</v>
      </c>
      <c r="C766" t="s">
        <v>290</v>
      </c>
      <c r="D766" t="s">
        <v>425</v>
      </c>
      <c r="E766" t="s">
        <v>267</v>
      </c>
      <c r="F766" t="s">
        <v>302</v>
      </c>
      <c r="G766">
        <v>332</v>
      </c>
    </row>
    <row r="767" spans="1:7" x14ac:dyDescent="0.35">
      <c r="A767" s="13">
        <v>43831</v>
      </c>
      <c r="B767">
        <f>YEAR(Table2__2[[#This Row],[Year1]])</f>
        <v>2020</v>
      </c>
      <c r="C767" t="s">
        <v>290</v>
      </c>
      <c r="D767" t="s">
        <v>425</v>
      </c>
      <c r="E767" t="s">
        <v>268</v>
      </c>
      <c r="F767" t="s">
        <v>302</v>
      </c>
      <c r="G767">
        <v>29</v>
      </c>
    </row>
    <row r="768" spans="1:7" x14ac:dyDescent="0.35">
      <c r="A768" s="13">
        <v>43831</v>
      </c>
      <c r="B768">
        <f>YEAR(Table2__2[[#This Row],[Year1]])</f>
        <v>2020</v>
      </c>
      <c r="C768" t="s">
        <v>290</v>
      </c>
      <c r="D768" t="s">
        <v>425</v>
      </c>
      <c r="E768" t="s">
        <v>269</v>
      </c>
      <c r="F768" t="s">
        <v>302</v>
      </c>
      <c r="G768">
        <v>1523</v>
      </c>
    </row>
    <row r="769" spans="1:7" x14ac:dyDescent="0.35">
      <c r="A769" s="13">
        <v>43831</v>
      </c>
      <c r="B769">
        <f>YEAR(Table2__2[[#This Row],[Year1]])</f>
        <v>2020</v>
      </c>
      <c r="C769" t="s">
        <v>290</v>
      </c>
      <c r="D769" t="s">
        <v>425</v>
      </c>
      <c r="E769" t="s">
        <v>229</v>
      </c>
      <c r="F769" t="s">
        <v>302</v>
      </c>
      <c r="G769">
        <v>1045</v>
      </c>
    </row>
    <row r="770" spans="1:7" x14ac:dyDescent="0.35">
      <c r="A770" s="13">
        <v>43831</v>
      </c>
      <c r="B770">
        <f>YEAR(Table2__2[[#This Row],[Year1]])</f>
        <v>2020</v>
      </c>
      <c r="C770" t="s">
        <v>290</v>
      </c>
      <c r="D770" t="s">
        <v>425</v>
      </c>
      <c r="E770" t="s">
        <v>252</v>
      </c>
      <c r="F770" t="s">
        <v>302</v>
      </c>
      <c r="G770">
        <v>119</v>
      </c>
    </row>
    <row r="771" spans="1:7" x14ac:dyDescent="0.35">
      <c r="A771" s="13">
        <v>43831</v>
      </c>
      <c r="B771">
        <f>YEAR(Table2__2[[#This Row],[Year1]])</f>
        <v>2020</v>
      </c>
      <c r="C771" t="s">
        <v>290</v>
      </c>
      <c r="D771" t="s">
        <v>425</v>
      </c>
      <c r="E771" t="s">
        <v>253</v>
      </c>
      <c r="F771" t="s">
        <v>302</v>
      </c>
      <c r="G771">
        <v>67</v>
      </c>
    </row>
    <row r="772" spans="1:7" x14ac:dyDescent="0.35">
      <c r="A772" s="13">
        <v>43831</v>
      </c>
      <c r="B772">
        <f>YEAR(Table2__2[[#This Row],[Year1]])</f>
        <v>2020</v>
      </c>
      <c r="C772" t="s">
        <v>290</v>
      </c>
      <c r="D772" t="s">
        <v>425</v>
      </c>
      <c r="E772" t="s">
        <v>254</v>
      </c>
      <c r="F772" t="s">
        <v>302</v>
      </c>
      <c r="G772">
        <v>156</v>
      </c>
    </row>
    <row r="773" spans="1:7" x14ac:dyDescent="0.35">
      <c r="A773" s="13">
        <v>43831</v>
      </c>
      <c r="B773">
        <f>YEAR(Table2__2[[#This Row],[Year1]])</f>
        <v>2020</v>
      </c>
      <c r="C773" t="s">
        <v>290</v>
      </c>
      <c r="D773" t="s">
        <v>425</v>
      </c>
      <c r="E773" t="s">
        <v>255</v>
      </c>
      <c r="F773" t="s">
        <v>302</v>
      </c>
      <c r="G773">
        <v>217</v>
      </c>
    </row>
    <row r="774" spans="1:7" x14ac:dyDescent="0.35">
      <c r="A774" s="13">
        <v>43831</v>
      </c>
      <c r="B774">
        <f>YEAR(Table2__2[[#This Row],[Year1]])</f>
        <v>2020</v>
      </c>
      <c r="C774" t="s">
        <v>290</v>
      </c>
      <c r="D774" t="s">
        <v>425</v>
      </c>
      <c r="E774" t="s">
        <v>270</v>
      </c>
      <c r="F774" t="s">
        <v>302</v>
      </c>
      <c r="G774">
        <v>59</v>
      </c>
    </row>
    <row r="775" spans="1:7" x14ac:dyDescent="0.35">
      <c r="A775" s="13">
        <v>43831</v>
      </c>
      <c r="B775">
        <f>YEAR(Table2__2[[#This Row],[Year1]])</f>
        <v>2020</v>
      </c>
      <c r="C775" t="s">
        <v>290</v>
      </c>
      <c r="D775" t="s">
        <v>426</v>
      </c>
      <c r="E775" t="s">
        <v>271</v>
      </c>
      <c r="F775" t="s">
        <v>302</v>
      </c>
      <c r="G775">
        <v>47</v>
      </c>
    </row>
    <row r="776" spans="1:7" x14ac:dyDescent="0.35">
      <c r="A776" s="13">
        <v>43831</v>
      </c>
      <c r="B776">
        <f>YEAR(Table2__2[[#This Row],[Year1]])</f>
        <v>2020</v>
      </c>
      <c r="C776" t="s">
        <v>291</v>
      </c>
      <c r="D776" t="s">
        <v>425</v>
      </c>
      <c r="E776" t="s">
        <v>244</v>
      </c>
      <c r="F776" t="s">
        <v>302</v>
      </c>
      <c r="G776">
        <v>10146</v>
      </c>
    </row>
    <row r="777" spans="1:7" x14ac:dyDescent="0.35">
      <c r="A777" s="13">
        <v>43831</v>
      </c>
      <c r="B777">
        <f>YEAR(Table2__2[[#This Row],[Year1]])</f>
        <v>2020</v>
      </c>
      <c r="C777" t="s">
        <v>291</v>
      </c>
      <c r="D777" t="s">
        <v>425</v>
      </c>
      <c r="E777" t="s">
        <v>245</v>
      </c>
      <c r="F777" t="s">
        <v>302</v>
      </c>
      <c r="G777" t="s">
        <v>205</v>
      </c>
    </row>
    <row r="778" spans="1:7" x14ac:dyDescent="0.35">
      <c r="A778" s="13">
        <v>43831</v>
      </c>
      <c r="B778">
        <f>YEAR(Table2__2[[#This Row],[Year1]])</f>
        <v>2020</v>
      </c>
      <c r="C778" t="s">
        <v>291</v>
      </c>
      <c r="D778" t="s">
        <v>425</v>
      </c>
      <c r="E778" t="s">
        <v>246</v>
      </c>
      <c r="F778" t="s">
        <v>302</v>
      </c>
      <c r="G778">
        <v>1604</v>
      </c>
    </row>
    <row r="779" spans="1:7" x14ac:dyDescent="0.35">
      <c r="A779" s="13">
        <v>43831</v>
      </c>
      <c r="B779">
        <f>YEAR(Table2__2[[#This Row],[Year1]])</f>
        <v>2020</v>
      </c>
      <c r="C779" t="s">
        <v>291</v>
      </c>
      <c r="D779" t="s">
        <v>425</v>
      </c>
      <c r="E779" t="s">
        <v>234</v>
      </c>
      <c r="F779" t="s">
        <v>302</v>
      </c>
      <c r="G779">
        <v>930</v>
      </c>
    </row>
    <row r="780" spans="1:7" x14ac:dyDescent="0.35">
      <c r="A780" s="13">
        <v>43831</v>
      </c>
      <c r="B780">
        <f>YEAR(Table2__2[[#This Row],[Year1]])</f>
        <v>2020</v>
      </c>
      <c r="C780" t="s">
        <v>291</v>
      </c>
      <c r="D780" t="s">
        <v>425</v>
      </c>
      <c r="E780" t="s">
        <v>247</v>
      </c>
      <c r="F780" t="s">
        <v>302</v>
      </c>
      <c r="G780">
        <v>6211</v>
      </c>
    </row>
    <row r="781" spans="1:7" x14ac:dyDescent="0.35">
      <c r="A781" s="13">
        <v>43831</v>
      </c>
      <c r="B781">
        <f>YEAR(Table2__2[[#This Row],[Year1]])</f>
        <v>2020</v>
      </c>
      <c r="C781" t="s">
        <v>291</v>
      </c>
      <c r="D781" t="s">
        <v>425</v>
      </c>
      <c r="E781" t="s">
        <v>259</v>
      </c>
      <c r="F781" t="s">
        <v>302</v>
      </c>
      <c r="G781">
        <v>14630</v>
      </c>
    </row>
    <row r="782" spans="1:7" x14ac:dyDescent="0.35">
      <c r="A782" s="13">
        <v>43831</v>
      </c>
      <c r="B782">
        <f>YEAR(Table2__2[[#This Row],[Year1]])</f>
        <v>2020</v>
      </c>
      <c r="C782" t="s">
        <v>291</v>
      </c>
      <c r="D782" t="s">
        <v>425</v>
      </c>
      <c r="E782" t="s">
        <v>260</v>
      </c>
      <c r="F782" t="s">
        <v>302</v>
      </c>
      <c r="G782">
        <v>1433</v>
      </c>
    </row>
    <row r="783" spans="1:7" x14ac:dyDescent="0.35">
      <c r="A783" s="13">
        <v>43831</v>
      </c>
      <c r="B783">
        <f>YEAR(Table2__2[[#This Row],[Year1]])</f>
        <v>2020</v>
      </c>
      <c r="C783" t="s">
        <v>291</v>
      </c>
      <c r="D783" t="s">
        <v>425</v>
      </c>
      <c r="E783" t="s">
        <v>235</v>
      </c>
      <c r="F783" t="s">
        <v>302</v>
      </c>
      <c r="G783">
        <v>2508</v>
      </c>
    </row>
    <row r="784" spans="1:7" x14ac:dyDescent="0.35">
      <c r="A784" s="13">
        <v>43831</v>
      </c>
      <c r="B784">
        <f>YEAR(Table2__2[[#This Row],[Year1]])</f>
        <v>2020</v>
      </c>
      <c r="C784" t="s">
        <v>291</v>
      </c>
      <c r="D784" t="s">
        <v>425</v>
      </c>
      <c r="E784" t="s">
        <v>226</v>
      </c>
      <c r="F784" t="s">
        <v>302</v>
      </c>
      <c r="G784">
        <v>1674</v>
      </c>
    </row>
    <row r="785" spans="1:7" x14ac:dyDescent="0.35">
      <c r="A785" s="13">
        <v>43831</v>
      </c>
      <c r="B785">
        <f>YEAR(Table2__2[[#This Row],[Year1]])</f>
        <v>2020</v>
      </c>
      <c r="C785" t="s">
        <v>291</v>
      </c>
      <c r="D785" t="s">
        <v>425</v>
      </c>
      <c r="E785" t="s">
        <v>248</v>
      </c>
      <c r="F785" t="s">
        <v>302</v>
      </c>
      <c r="G785">
        <v>10172</v>
      </c>
    </row>
    <row r="786" spans="1:7" x14ac:dyDescent="0.35">
      <c r="A786" s="13">
        <v>43831</v>
      </c>
      <c r="B786">
        <f>YEAR(Table2__2[[#This Row],[Year1]])</f>
        <v>2020</v>
      </c>
      <c r="C786" t="s">
        <v>291</v>
      </c>
      <c r="D786" t="s">
        <v>425</v>
      </c>
      <c r="E786" t="s">
        <v>249</v>
      </c>
      <c r="F786" t="s">
        <v>302</v>
      </c>
      <c r="G786">
        <v>4383</v>
      </c>
    </row>
    <row r="787" spans="1:7" x14ac:dyDescent="0.35">
      <c r="A787" s="13">
        <v>43831</v>
      </c>
      <c r="B787">
        <f>YEAR(Table2__2[[#This Row],[Year1]])</f>
        <v>2020</v>
      </c>
      <c r="C787" t="s">
        <v>291</v>
      </c>
      <c r="D787" t="s">
        <v>425</v>
      </c>
      <c r="E787" t="s">
        <v>239</v>
      </c>
      <c r="F787" t="s">
        <v>302</v>
      </c>
      <c r="G787">
        <v>7397</v>
      </c>
    </row>
    <row r="788" spans="1:7" x14ac:dyDescent="0.35">
      <c r="A788" s="13">
        <v>43831</v>
      </c>
      <c r="B788">
        <f>YEAR(Table2__2[[#This Row],[Year1]])</f>
        <v>2020</v>
      </c>
      <c r="C788" t="s">
        <v>291</v>
      </c>
      <c r="D788" t="s">
        <v>425</v>
      </c>
      <c r="E788" t="s">
        <v>240</v>
      </c>
      <c r="F788" t="s">
        <v>302</v>
      </c>
      <c r="G788">
        <v>6342</v>
      </c>
    </row>
    <row r="789" spans="1:7" x14ac:dyDescent="0.35">
      <c r="A789" s="13">
        <v>43831</v>
      </c>
      <c r="B789">
        <f>YEAR(Table2__2[[#This Row],[Year1]])</f>
        <v>2020</v>
      </c>
      <c r="C789" t="s">
        <v>291</v>
      </c>
      <c r="D789" t="s">
        <v>425</v>
      </c>
      <c r="E789" t="s">
        <v>250</v>
      </c>
      <c r="F789" t="s">
        <v>302</v>
      </c>
      <c r="G789">
        <v>1517</v>
      </c>
    </row>
    <row r="790" spans="1:7" x14ac:dyDescent="0.35">
      <c r="A790" s="13">
        <v>43831</v>
      </c>
      <c r="B790">
        <f>YEAR(Table2__2[[#This Row],[Year1]])</f>
        <v>2020</v>
      </c>
      <c r="C790" t="s">
        <v>291</v>
      </c>
      <c r="D790" t="s">
        <v>425</v>
      </c>
      <c r="E790" t="s">
        <v>265</v>
      </c>
      <c r="F790" t="s">
        <v>302</v>
      </c>
      <c r="G790">
        <v>2099</v>
      </c>
    </row>
    <row r="791" spans="1:7" x14ac:dyDescent="0.35">
      <c r="A791" s="13">
        <v>43831</v>
      </c>
      <c r="B791">
        <f>YEAR(Table2__2[[#This Row],[Year1]])</f>
        <v>2020</v>
      </c>
      <c r="C791" t="s">
        <v>291</v>
      </c>
      <c r="D791" t="s">
        <v>425</v>
      </c>
      <c r="E791" t="s">
        <v>266</v>
      </c>
      <c r="F791" t="s">
        <v>302</v>
      </c>
      <c r="G791">
        <v>2826</v>
      </c>
    </row>
    <row r="792" spans="1:7" x14ac:dyDescent="0.35">
      <c r="A792" s="13">
        <v>43831</v>
      </c>
      <c r="B792">
        <f>YEAR(Table2__2[[#This Row],[Year1]])</f>
        <v>2020</v>
      </c>
      <c r="C792" t="s">
        <v>291</v>
      </c>
      <c r="D792" t="s">
        <v>425</v>
      </c>
      <c r="E792" t="s">
        <v>267</v>
      </c>
      <c r="F792" t="s">
        <v>302</v>
      </c>
      <c r="G792">
        <v>4262</v>
      </c>
    </row>
    <row r="793" spans="1:7" x14ac:dyDescent="0.35">
      <c r="A793" s="13">
        <v>43831</v>
      </c>
      <c r="B793">
        <f>YEAR(Table2__2[[#This Row],[Year1]])</f>
        <v>2020</v>
      </c>
      <c r="C793" t="s">
        <v>291</v>
      </c>
      <c r="D793" t="s">
        <v>425</v>
      </c>
      <c r="E793" t="s">
        <v>268</v>
      </c>
      <c r="F793" t="s">
        <v>302</v>
      </c>
      <c r="G793">
        <v>3138</v>
      </c>
    </row>
    <row r="794" spans="1:7" x14ac:dyDescent="0.35">
      <c r="A794" s="13">
        <v>43831</v>
      </c>
      <c r="B794">
        <f>YEAR(Table2__2[[#This Row],[Year1]])</f>
        <v>2020</v>
      </c>
      <c r="C794" t="s">
        <v>291</v>
      </c>
      <c r="D794" t="s">
        <v>425</v>
      </c>
      <c r="E794" t="s">
        <v>272</v>
      </c>
      <c r="F794" t="s">
        <v>302</v>
      </c>
      <c r="G794">
        <v>3473</v>
      </c>
    </row>
    <row r="795" spans="1:7" x14ac:dyDescent="0.35">
      <c r="A795" s="13">
        <v>43831</v>
      </c>
      <c r="B795">
        <f>YEAR(Table2__2[[#This Row],[Year1]])</f>
        <v>2020</v>
      </c>
      <c r="C795" t="s">
        <v>291</v>
      </c>
      <c r="D795" t="s">
        <v>425</v>
      </c>
      <c r="E795" t="s">
        <v>269</v>
      </c>
      <c r="F795" t="s">
        <v>302</v>
      </c>
      <c r="G795">
        <v>7659</v>
      </c>
    </row>
    <row r="796" spans="1:7" x14ac:dyDescent="0.35">
      <c r="A796" s="13">
        <v>43831</v>
      </c>
      <c r="B796">
        <f>YEAR(Table2__2[[#This Row],[Year1]])</f>
        <v>2020</v>
      </c>
      <c r="C796" t="s">
        <v>291</v>
      </c>
      <c r="D796" t="s">
        <v>425</v>
      </c>
      <c r="E796" t="s">
        <v>229</v>
      </c>
      <c r="F796" t="s">
        <v>302</v>
      </c>
      <c r="G796">
        <v>1309</v>
      </c>
    </row>
    <row r="797" spans="1:7" x14ac:dyDescent="0.35">
      <c r="A797" s="13">
        <v>43831</v>
      </c>
      <c r="B797">
        <f>YEAR(Table2__2[[#This Row],[Year1]])</f>
        <v>2020</v>
      </c>
      <c r="C797" t="s">
        <v>291</v>
      </c>
      <c r="D797" t="s">
        <v>425</v>
      </c>
      <c r="E797" t="s">
        <v>252</v>
      </c>
      <c r="F797" t="s">
        <v>302</v>
      </c>
      <c r="G797">
        <v>3457</v>
      </c>
    </row>
    <row r="798" spans="1:7" x14ac:dyDescent="0.35">
      <c r="A798" s="13">
        <v>43831</v>
      </c>
      <c r="B798">
        <f>YEAR(Table2__2[[#This Row],[Year1]])</f>
        <v>2020</v>
      </c>
      <c r="C798" t="s">
        <v>291</v>
      </c>
      <c r="D798" t="s">
        <v>425</v>
      </c>
      <c r="E798" t="s">
        <v>254</v>
      </c>
      <c r="F798" t="s">
        <v>302</v>
      </c>
      <c r="G798">
        <v>1525</v>
      </c>
    </row>
    <row r="799" spans="1:7" x14ac:dyDescent="0.35">
      <c r="A799" s="13">
        <v>43831</v>
      </c>
      <c r="B799">
        <f>YEAR(Table2__2[[#This Row],[Year1]])</f>
        <v>2020</v>
      </c>
      <c r="C799" t="s">
        <v>291</v>
      </c>
      <c r="D799" t="s">
        <v>425</v>
      </c>
      <c r="E799" t="s">
        <v>270</v>
      </c>
      <c r="F799" t="s">
        <v>302</v>
      </c>
      <c r="G799">
        <v>2885</v>
      </c>
    </row>
    <row r="800" spans="1:7" x14ac:dyDescent="0.35">
      <c r="A800" s="13">
        <v>43831</v>
      </c>
      <c r="B800">
        <f>YEAR(Table2__2[[#This Row],[Year1]])</f>
        <v>2020</v>
      </c>
      <c r="C800" t="s">
        <v>291</v>
      </c>
      <c r="D800" t="s">
        <v>425</v>
      </c>
      <c r="E800" t="s">
        <v>273</v>
      </c>
      <c r="F800" t="s">
        <v>302</v>
      </c>
      <c r="G800" t="s">
        <v>205</v>
      </c>
    </row>
    <row r="801" spans="1:7" x14ac:dyDescent="0.35">
      <c r="A801" s="13">
        <v>43831</v>
      </c>
      <c r="B801">
        <f>YEAR(Table2__2[[#This Row],[Year1]])</f>
        <v>2020</v>
      </c>
      <c r="C801" t="s">
        <v>291</v>
      </c>
      <c r="D801" t="s">
        <v>425</v>
      </c>
      <c r="E801" t="s">
        <v>39</v>
      </c>
      <c r="F801" t="s">
        <v>302</v>
      </c>
      <c r="G801">
        <v>1119</v>
      </c>
    </row>
    <row r="802" spans="1:7" x14ac:dyDescent="0.35">
      <c r="A802" s="13">
        <v>44197</v>
      </c>
      <c r="B802">
        <f>YEAR(Table2__2[[#This Row],[Year1]])</f>
        <v>2021</v>
      </c>
      <c r="C802" t="s">
        <v>288</v>
      </c>
      <c r="D802" t="s">
        <v>222</v>
      </c>
      <c r="E802" t="s">
        <v>223</v>
      </c>
      <c r="F802" t="s">
        <v>299</v>
      </c>
      <c r="G802">
        <v>37266</v>
      </c>
    </row>
    <row r="803" spans="1:7" x14ac:dyDescent="0.35">
      <c r="A803" s="13">
        <v>44197</v>
      </c>
      <c r="B803">
        <f>YEAR(Table2__2[[#This Row],[Year1]])</f>
        <v>2021</v>
      </c>
      <c r="C803" t="s">
        <v>288</v>
      </c>
      <c r="D803" t="s">
        <v>222</v>
      </c>
      <c r="E803" t="s">
        <v>224</v>
      </c>
      <c r="F803" t="s">
        <v>299</v>
      </c>
      <c r="G803">
        <v>259294</v>
      </c>
    </row>
    <row r="804" spans="1:7" x14ac:dyDescent="0.35">
      <c r="A804" s="13">
        <v>44197</v>
      </c>
      <c r="B804">
        <f>YEAR(Table2__2[[#This Row],[Year1]])</f>
        <v>2021</v>
      </c>
      <c r="C804" t="s">
        <v>288</v>
      </c>
      <c r="D804" t="s">
        <v>222</v>
      </c>
      <c r="E804" t="s">
        <v>225</v>
      </c>
      <c r="F804" t="s">
        <v>299</v>
      </c>
      <c r="G804">
        <v>59231</v>
      </c>
    </row>
    <row r="805" spans="1:7" x14ac:dyDescent="0.35">
      <c r="A805" s="13">
        <v>44197</v>
      </c>
      <c r="B805">
        <f>YEAR(Table2__2[[#This Row],[Year1]])</f>
        <v>2021</v>
      </c>
      <c r="C805" t="s">
        <v>288</v>
      </c>
      <c r="D805" t="s">
        <v>222</v>
      </c>
      <c r="E805" t="s">
        <v>226</v>
      </c>
      <c r="F805" t="s">
        <v>299</v>
      </c>
      <c r="G805">
        <v>193918</v>
      </c>
    </row>
    <row r="806" spans="1:7" x14ac:dyDescent="0.35">
      <c r="A806" s="13">
        <v>44197</v>
      </c>
      <c r="B806">
        <f>YEAR(Table2__2[[#This Row],[Year1]])</f>
        <v>2021</v>
      </c>
      <c r="C806" t="s">
        <v>288</v>
      </c>
      <c r="D806" t="s">
        <v>222</v>
      </c>
      <c r="E806" t="s">
        <v>227</v>
      </c>
      <c r="F806" t="s">
        <v>299</v>
      </c>
      <c r="G806">
        <v>112241</v>
      </c>
    </row>
    <row r="807" spans="1:7" x14ac:dyDescent="0.35">
      <c r="A807" s="13">
        <v>44197</v>
      </c>
      <c r="B807">
        <f>YEAR(Table2__2[[#This Row],[Year1]])</f>
        <v>2021</v>
      </c>
      <c r="C807" t="s">
        <v>288</v>
      </c>
      <c r="D807" t="s">
        <v>222</v>
      </c>
      <c r="E807" t="s">
        <v>228</v>
      </c>
      <c r="F807" t="s">
        <v>299</v>
      </c>
      <c r="G807">
        <v>549077</v>
      </c>
    </row>
    <row r="808" spans="1:7" x14ac:dyDescent="0.35">
      <c r="A808" s="13">
        <v>44197</v>
      </c>
      <c r="B808">
        <f>YEAR(Table2__2[[#This Row],[Year1]])</f>
        <v>2021</v>
      </c>
      <c r="C808" t="s">
        <v>288</v>
      </c>
      <c r="D808" t="s">
        <v>222</v>
      </c>
      <c r="E808" t="s">
        <v>229</v>
      </c>
      <c r="F808" t="s">
        <v>299</v>
      </c>
      <c r="G808">
        <v>142459</v>
      </c>
    </row>
    <row r="809" spans="1:7" x14ac:dyDescent="0.35">
      <c r="A809" s="13">
        <v>44197</v>
      </c>
      <c r="B809">
        <f>YEAR(Table2__2[[#This Row],[Year1]])</f>
        <v>2021</v>
      </c>
      <c r="C809" t="s">
        <v>288</v>
      </c>
      <c r="D809" t="s">
        <v>222</v>
      </c>
      <c r="E809" t="s">
        <v>230</v>
      </c>
      <c r="F809" t="s">
        <v>299</v>
      </c>
      <c r="G809">
        <v>191232</v>
      </c>
    </row>
    <row r="810" spans="1:7" x14ac:dyDescent="0.35">
      <c r="A810" s="13">
        <v>44197</v>
      </c>
      <c r="B810">
        <f>YEAR(Table2__2[[#This Row],[Year1]])</f>
        <v>2021</v>
      </c>
      <c r="C810" t="s">
        <v>288</v>
      </c>
      <c r="D810" t="s">
        <v>222</v>
      </c>
      <c r="E810" t="s">
        <v>231</v>
      </c>
      <c r="F810" t="s">
        <v>299</v>
      </c>
      <c r="G810">
        <v>114488</v>
      </c>
    </row>
    <row r="811" spans="1:7" x14ac:dyDescent="0.35">
      <c r="A811" s="13">
        <v>44197</v>
      </c>
      <c r="B811">
        <f>YEAR(Table2__2[[#This Row],[Year1]])</f>
        <v>2021</v>
      </c>
      <c r="C811" t="s">
        <v>288</v>
      </c>
      <c r="D811" t="s">
        <v>232</v>
      </c>
      <c r="E811" t="s">
        <v>233</v>
      </c>
      <c r="F811" t="s">
        <v>299</v>
      </c>
      <c r="G811">
        <v>112</v>
      </c>
    </row>
    <row r="812" spans="1:7" x14ac:dyDescent="0.35">
      <c r="A812" s="13">
        <v>44197</v>
      </c>
      <c r="B812">
        <f>YEAR(Table2__2[[#This Row],[Year1]])</f>
        <v>2021</v>
      </c>
      <c r="C812" t="s">
        <v>288</v>
      </c>
      <c r="D812" t="s">
        <v>232</v>
      </c>
      <c r="E812" t="s">
        <v>234</v>
      </c>
      <c r="F812" t="s">
        <v>299</v>
      </c>
      <c r="G812">
        <v>143</v>
      </c>
    </row>
    <row r="813" spans="1:7" x14ac:dyDescent="0.35">
      <c r="A813" s="13">
        <v>44197</v>
      </c>
      <c r="B813">
        <f>YEAR(Table2__2[[#This Row],[Year1]])</f>
        <v>2021</v>
      </c>
      <c r="C813" t="s">
        <v>288</v>
      </c>
      <c r="D813" t="s">
        <v>232</v>
      </c>
      <c r="E813" t="s">
        <v>235</v>
      </c>
      <c r="F813" t="s">
        <v>299</v>
      </c>
      <c r="G813">
        <v>32</v>
      </c>
    </row>
    <row r="814" spans="1:7" x14ac:dyDescent="0.35">
      <c r="A814" s="13">
        <v>44197</v>
      </c>
      <c r="B814">
        <f>YEAR(Table2__2[[#This Row],[Year1]])</f>
        <v>2021</v>
      </c>
      <c r="C814" t="s">
        <v>288</v>
      </c>
      <c r="D814" t="s">
        <v>232</v>
      </c>
      <c r="E814" t="s">
        <v>236</v>
      </c>
      <c r="F814" t="s">
        <v>299</v>
      </c>
      <c r="G814">
        <v>90</v>
      </c>
    </row>
    <row r="815" spans="1:7" x14ac:dyDescent="0.35">
      <c r="A815" s="13">
        <v>44197</v>
      </c>
      <c r="B815">
        <f>YEAR(Table2__2[[#This Row],[Year1]])</f>
        <v>2021</v>
      </c>
      <c r="C815" t="s">
        <v>288</v>
      </c>
      <c r="D815" t="s">
        <v>232</v>
      </c>
      <c r="E815" t="s">
        <v>237</v>
      </c>
      <c r="F815" t="s">
        <v>299</v>
      </c>
      <c r="G815">
        <v>63</v>
      </c>
    </row>
    <row r="816" spans="1:7" x14ac:dyDescent="0.35">
      <c r="A816" s="13">
        <v>44197</v>
      </c>
      <c r="B816">
        <f>YEAR(Table2__2[[#This Row],[Year1]])</f>
        <v>2021</v>
      </c>
      <c r="C816" t="s">
        <v>288</v>
      </c>
      <c r="D816" t="s">
        <v>232</v>
      </c>
      <c r="E816" t="s">
        <v>238</v>
      </c>
      <c r="F816" t="s">
        <v>299</v>
      </c>
      <c r="G816">
        <v>57</v>
      </c>
    </row>
    <row r="817" spans="1:7" x14ac:dyDescent="0.35">
      <c r="A817" s="13">
        <v>44197</v>
      </c>
      <c r="B817">
        <f>YEAR(Table2__2[[#This Row],[Year1]])</f>
        <v>2021</v>
      </c>
      <c r="C817" t="s">
        <v>288</v>
      </c>
      <c r="D817" t="s">
        <v>232</v>
      </c>
      <c r="E817" t="s">
        <v>239</v>
      </c>
      <c r="F817" t="s">
        <v>299</v>
      </c>
      <c r="G817">
        <v>1031</v>
      </c>
    </row>
    <row r="818" spans="1:7" x14ac:dyDescent="0.35">
      <c r="A818" s="13">
        <v>44197</v>
      </c>
      <c r="B818">
        <f>YEAR(Table2__2[[#This Row],[Year1]])</f>
        <v>2021</v>
      </c>
      <c r="C818" t="s">
        <v>288</v>
      </c>
      <c r="D818" t="s">
        <v>232</v>
      </c>
      <c r="E818" t="s">
        <v>240</v>
      </c>
      <c r="F818" t="s">
        <v>299</v>
      </c>
      <c r="G818">
        <v>344</v>
      </c>
    </row>
    <row r="819" spans="1:7" x14ac:dyDescent="0.35">
      <c r="A819" s="13">
        <v>44197</v>
      </c>
      <c r="B819">
        <f>YEAR(Table2__2[[#This Row],[Year1]])</f>
        <v>2021</v>
      </c>
      <c r="C819" t="s">
        <v>288</v>
      </c>
      <c r="D819" t="s">
        <v>232</v>
      </c>
      <c r="E819" t="s">
        <v>241</v>
      </c>
      <c r="F819" t="s">
        <v>299</v>
      </c>
      <c r="G819">
        <v>670</v>
      </c>
    </row>
    <row r="820" spans="1:7" x14ac:dyDescent="0.35">
      <c r="A820" s="13">
        <v>44197</v>
      </c>
      <c r="B820">
        <f>YEAR(Table2__2[[#This Row],[Year1]])</f>
        <v>2021</v>
      </c>
      <c r="C820" t="s">
        <v>288</v>
      </c>
      <c r="D820" t="s">
        <v>232</v>
      </c>
      <c r="E820" t="s">
        <v>242</v>
      </c>
      <c r="F820" t="s">
        <v>299</v>
      </c>
      <c r="G820">
        <v>54</v>
      </c>
    </row>
    <row r="821" spans="1:7" x14ac:dyDescent="0.35">
      <c r="A821" s="13">
        <v>44197</v>
      </c>
      <c r="B821">
        <f>YEAR(Table2__2[[#This Row],[Year1]])</f>
        <v>2021</v>
      </c>
      <c r="C821" t="s">
        <v>288</v>
      </c>
      <c r="D821" t="s">
        <v>232</v>
      </c>
      <c r="E821" t="s">
        <v>243</v>
      </c>
      <c r="F821" t="s">
        <v>299</v>
      </c>
      <c r="G821">
        <v>365</v>
      </c>
    </row>
    <row r="822" spans="1:7" x14ac:dyDescent="0.35">
      <c r="A822" s="13">
        <v>44197</v>
      </c>
      <c r="B822">
        <f>YEAR(Table2__2[[#This Row],[Year1]])</f>
        <v>2021</v>
      </c>
      <c r="C822" t="s">
        <v>289</v>
      </c>
      <c r="D822" t="s">
        <v>281</v>
      </c>
      <c r="E822" t="s">
        <v>226</v>
      </c>
      <c r="F822" t="s">
        <v>301</v>
      </c>
      <c r="G822">
        <v>8804</v>
      </c>
    </row>
    <row r="823" spans="1:7" x14ac:dyDescent="0.35">
      <c r="A823" s="13">
        <v>44197</v>
      </c>
      <c r="B823">
        <f>YEAR(Table2__2[[#This Row],[Year1]])</f>
        <v>2021</v>
      </c>
      <c r="C823" t="s">
        <v>289</v>
      </c>
      <c r="D823" t="s">
        <v>281</v>
      </c>
      <c r="E823" t="s">
        <v>227</v>
      </c>
      <c r="F823" t="s">
        <v>301</v>
      </c>
      <c r="G823">
        <v>19947</v>
      </c>
    </row>
    <row r="824" spans="1:7" x14ac:dyDescent="0.35">
      <c r="A824" s="13">
        <v>44197</v>
      </c>
      <c r="B824">
        <f>YEAR(Table2__2[[#This Row],[Year1]])</f>
        <v>2021</v>
      </c>
      <c r="C824" t="s">
        <v>289</v>
      </c>
      <c r="D824" t="s">
        <v>281</v>
      </c>
      <c r="E824" t="s">
        <v>229</v>
      </c>
      <c r="F824" t="s">
        <v>301</v>
      </c>
      <c r="G824">
        <v>33596</v>
      </c>
    </row>
    <row r="825" spans="1:7" x14ac:dyDescent="0.35">
      <c r="A825" s="13">
        <v>44197</v>
      </c>
      <c r="B825">
        <f>YEAR(Table2__2[[#This Row],[Year1]])</f>
        <v>2021</v>
      </c>
      <c r="C825" t="s">
        <v>289</v>
      </c>
      <c r="D825" t="s">
        <v>281</v>
      </c>
      <c r="E825" t="s">
        <v>230</v>
      </c>
      <c r="F825" t="s">
        <v>301</v>
      </c>
      <c r="G825">
        <v>5394</v>
      </c>
    </row>
    <row r="826" spans="1:7" x14ac:dyDescent="0.35">
      <c r="A826" s="13">
        <v>44197</v>
      </c>
      <c r="B826">
        <f>YEAR(Table2__2[[#This Row],[Year1]])</f>
        <v>2021</v>
      </c>
      <c r="C826" t="s">
        <v>289</v>
      </c>
      <c r="D826" t="s">
        <v>283</v>
      </c>
      <c r="E826" t="s">
        <v>244</v>
      </c>
      <c r="F826" t="s">
        <v>301</v>
      </c>
      <c r="G826">
        <v>2254</v>
      </c>
    </row>
    <row r="827" spans="1:7" x14ac:dyDescent="0.35">
      <c r="A827" s="13">
        <v>44197</v>
      </c>
      <c r="B827">
        <f>YEAR(Table2__2[[#This Row],[Year1]])</f>
        <v>2021</v>
      </c>
      <c r="C827" t="s">
        <v>289</v>
      </c>
      <c r="D827" t="s">
        <v>283</v>
      </c>
      <c r="E827" t="s">
        <v>245</v>
      </c>
      <c r="F827" t="s">
        <v>301</v>
      </c>
      <c r="G827">
        <v>592</v>
      </c>
    </row>
    <row r="828" spans="1:7" x14ac:dyDescent="0.35">
      <c r="A828" s="13">
        <v>44197</v>
      </c>
      <c r="B828">
        <f>YEAR(Table2__2[[#This Row],[Year1]])</f>
        <v>2021</v>
      </c>
      <c r="C828" t="s">
        <v>289</v>
      </c>
      <c r="D828" t="s">
        <v>283</v>
      </c>
      <c r="E828" t="s">
        <v>246</v>
      </c>
      <c r="F828" t="s">
        <v>301</v>
      </c>
      <c r="G828">
        <v>2693</v>
      </c>
    </row>
    <row r="829" spans="1:7" x14ac:dyDescent="0.35">
      <c r="A829" s="13">
        <v>44197</v>
      </c>
      <c r="B829">
        <f>YEAR(Table2__2[[#This Row],[Year1]])</f>
        <v>2021</v>
      </c>
      <c r="C829" t="s">
        <v>289</v>
      </c>
      <c r="D829" t="s">
        <v>283</v>
      </c>
      <c r="E829" t="s">
        <v>234</v>
      </c>
      <c r="F829" t="s">
        <v>301</v>
      </c>
      <c r="G829">
        <v>5780</v>
      </c>
    </row>
    <row r="830" spans="1:7" x14ac:dyDescent="0.35">
      <c r="A830" s="13">
        <v>44197</v>
      </c>
      <c r="B830">
        <f>YEAR(Table2__2[[#This Row],[Year1]])</f>
        <v>2021</v>
      </c>
      <c r="C830" t="s">
        <v>289</v>
      </c>
      <c r="D830" t="s">
        <v>283</v>
      </c>
      <c r="E830" t="s">
        <v>247</v>
      </c>
      <c r="F830" t="s">
        <v>301</v>
      </c>
      <c r="G830">
        <v>3598</v>
      </c>
    </row>
    <row r="831" spans="1:7" x14ac:dyDescent="0.35">
      <c r="A831" s="13">
        <v>44197</v>
      </c>
      <c r="B831">
        <f>YEAR(Table2__2[[#This Row],[Year1]])</f>
        <v>2021</v>
      </c>
      <c r="C831" t="s">
        <v>289</v>
      </c>
      <c r="D831" t="s">
        <v>283</v>
      </c>
      <c r="E831" t="s">
        <v>235</v>
      </c>
      <c r="F831" t="s">
        <v>301</v>
      </c>
      <c r="G831">
        <v>1349</v>
      </c>
    </row>
    <row r="832" spans="1:7" x14ac:dyDescent="0.35">
      <c r="A832" s="13">
        <v>44197</v>
      </c>
      <c r="B832">
        <f>YEAR(Table2__2[[#This Row],[Year1]])</f>
        <v>2021</v>
      </c>
      <c r="C832" t="s">
        <v>289</v>
      </c>
      <c r="D832" t="s">
        <v>283</v>
      </c>
      <c r="E832" t="s">
        <v>226</v>
      </c>
      <c r="F832" t="s">
        <v>301</v>
      </c>
    </row>
    <row r="833" spans="1:7" x14ac:dyDescent="0.35">
      <c r="A833" s="13">
        <v>44197</v>
      </c>
      <c r="B833">
        <f>YEAR(Table2__2[[#This Row],[Year1]])</f>
        <v>2021</v>
      </c>
      <c r="C833" t="s">
        <v>289</v>
      </c>
      <c r="D833" t="s">
        <v>283</v>
      </c>
      <c r="E833" t="s">
        <v>248</v>
      </c>
      <c r="F833" t="s">
        <v>301</v>
      </c>
      <c r="G833">
        <v>7037</v>
      </c>
    </row>
    <row r="834" spans="1:7" x14ac:dyDescent="0.35">
      <c r="A834" s="13">
        <v>44197</v>
      </c>
      <c r="B834">
        <f>YEAR(Table2__2[[#This Row],[Year1]])</f>
        <v>2021</v>
      </c>
      <c r="C834" t="s">
        <v>289</v>
      </c>
      <c r="D834" t="s">
        <v>283</v>
      </c>
      <c r="E834" t="s">
        <v>227</v>
      </c>
      <c r="F834" t="s">
        <v>301</v>
      </c>
      <c r="G834">
        <v>93</v>
      </c>
    </row>
    <row r="835" spans="1:7" x14ac:dyDescent="0.35">
      <c r="A835" s="13">
        <v>44197</v>
      </c>
      <c r="B835">
        <f>YEAR(Table2__2[[#This Row],[Year1]])</f>
        <v>2021</v>
      </c>
      <c r="C835" t="s">
        <v>289</v>
      </c>
      <c r="D835" t="s">
        <v>283</v>
      </c>
      <c r="E835" t="s">
        <v>249</v>
      </c>
      <c r="F835" t="s">
        <v>301</v>
      </c>
      <c r="G835">
        <v>7174</v>
      </c>
    </row>
    <row r="836" spans="1:7" x14ac:dyDescent="0.35">
      <c r="A836" s="13">
        <v>44197</v>
      </c>
      <c r="B836">
        <f>YEAR(Table2__2[[#This Row],[Year1]])</f>
        <v>2021</v>
      </c>
      <c r="C836" t="s">
        <v>289</v>
      </c>
      <c r="D836" t="s">
        <v>283</v>
      </c>
      <c r="E836" t="s">
        <v>239</v>
      </c>
      <c r="F836" t="s">
        <v>301</v>
      </c>
      <c r="G836">
        <v>5483</v>
      </c>
    </row>
    <row r="837" spans="1:7" x14ac:dyDescent="0.35">
      <c r="A837" s="13">
        <v>44197</v>
      </c>
      <c r="B837">
        <f>YEAR(Table2__2[[#This Row],[Year1]])</f>
        <v>2021</v>
      </c>
      <c r="C837" t="s">
        <v>289</v>
      </c>
      <c r="D837" t="s">
        <v>283</v>
      </c>
      <c r="E837" t="s">
        <v>240</v>
      </c>
      <c r="F837" t="s">
        <v>301</v>
      </c>
      <c r="G837">
        <v>10</v>
      </c>
    </row>
    <row r="838" spans="1:7" x14ac:dyDescent="0.35">
      <c r="A838" s="13">
        <v>44197</v>
      </c>
      <c r="B838">
        <f>YEAR(Table2__2[[#This Row],[Year1]])</f>
        <v>2021</v>
      </c>
      <c r="C838" t="s">
        <v>289</v>
      </c>
      <c r="D838" t="s">
        <v>283</v>
      </c>
      <c r="E838" t="s">
        <v>250</v>
      </c>
      <c r="F838" t="s">
        <v>301</v>
      </c>
      <c r="G838">
        <v>2692</v>
      </c>
    </row>
    <row r="839" spans="1:7" x14ac:dyDescent="0.35">
      <c r="A839" s="13">
        <v>44197</v>
      </c>
      <c r="B839">
        <f>YEAR(Table2__2[[#This Row],[Year1]])</f>
        <v>2021</v>
      </c>
      <c r="C839" t="s">
        <v>289</v>
      </c>
      <c r="D839" t="s">
        <v>283</v>
      </c>
      <c r="E839" t="s">
        <v>251</v>
      </c>
      <c r="F839" t="s">
        <v>301</v>
      </c>
      <c r="G839">
        <v>356</v>
      </c>
    </row>
    <row r="840" spans="1:7" x14ac:dyDescent="0.35">
      <c r="A840" s="13">
        <v>44197</v>
      </c>
      <c r="B840">
        <f>YEAR(Table2__2[[#This Row],[Year1]])</f>
        <v>2021</v>
      </c>
      <c r="C840" t="s">
        <v>289</v>
      </c>
      <c r="D840" t="s">
        <v>283</v>
      </c>
      <c r="E840" t="s">
        <v>229</v>
      </c>
      <c r="F840" t="s">
        <v>301</v>
      </c>
      <c r="G840">
        <v>12</v>
      </c>
    </row>
    <row r="841" spans="1:7" x14ac:dyDescent="0.35">
      <c r="A841" s="13">
        <v>44197</v>
      </c>
      <c r="B841">
        <f>YEAR(Table2__2[[#This Row],[Year1]])</f>
        <v>2021</v>
      </c>
      <c r="C841" t="s">
        <v>289</v>
      </c>
      <c r="D841" t="s">
        <v>283</v>
      </c>
      <c r="E841" t="s">
        <v>252</v>
      </c>
      <c r="F841" t="s">
        <v>301</v>
      </c>
      <c r="G841">
        <v>3174</v>
      </c>
    </row>
    <row r="842" spans="1:7" x14ac:dyDescent="0.35">
      <c r="A842" s="13">
        <v>44197</v>
      </c>
      <c r="B842">
        <f>YEAR(Table2__2[[#This Row],[Year1]])</f>
        <v>2021</v>
      </c>
      <c r="C842" t="s">
        <v>289</v>
      </c>
      <c r="D842" t="s">
        <v>283</v>
      </c>
      <c r="E842" t="s">
        <v>253</v>
      </c>
      <c r="F842" t="s">
        <v>301</v>
      </c>
      <c r="G842">
        <v>1380</v>
      </c>
    </row>
    <row r="843" spans="1:7" x14ac:dyDescent="0.35">
      <c r="A843" s="13">
        <v>44197</v>
      </c>
      <c r="B843">
        <f>YEAR(Table2__2[[#This Row],[Year1]])</f>
        <v>2021</v>
      </c>
      <c r="C843" t="s">
        <v>289</v>
      </c>
      <c r="D843" t="s">
        <v>283</v>
      </c>
      <c r="E843" t="s">
        <v>254</v>
      </c>
      <c r="F843" t="s">
        <v>301</v>
      </c>
      <c r="G843">
        <v>4638</v>
      </c>
    </row>
    <row r="844" spans="1:7" x14ac:dyDescent="0.35">
      <c r="A844" s="13">
        <v>44197</v>
      </c>
      <c r="B844">
        <f>YEAR(Table2__2[[#This Row],[Year1]])</f>
        <v>2021</v>
      </c>
      <c r="C844" t="s">
        <v>289</v>
      </c>
      <c r="D844" t="s">
        <v>283</v>
      </c>
      <c r="E844" t="s">
        <v>255</v>
      </c>
      <c r="F844" t="s">
        <v>301</v>
      </c>
      <c r="G844">
        <v>180</v>
      </c>
    </row>
    <row r="845" spans="1:7" x14ac:dyDescent="0.35">
      <c r="A845" s="13">
        <v>44197</v>
      </c>
      <c r="B845">
        <f>YEAR(Table2__2[[#This Row],[Year1]])</f>
        <v>2021</v>
      </c>
      <c r="C845" t="s">
        <v>289</v>
      </c>
      <c r="D845" t="s">
        <v>283</v>
      </c>
      <c r="E845" t="s">
        <v>230</v>
      </c>
      <c r="F845" t="s">
        <v>301</v>
      </c>
      <c r="G845">
        <v>110</v>
      </c>
    </row>
    <row r="846" spans="1:7" x14ac:dyDescent="0.35">
      <c r="A846" s="13">
        <v>44197</v>
      </c>
      <c r="B846">
        <f>YEAR(Table2__2[[#This Row],[Year1]])</f>
        <v>2021</v>
      </c>
      <c r="C846" t="s">
        <v>289</v>
      </c>
      <c r="D846" t="s">
        <v>283</v>
      </c>
      <c r="E846" t="s">
        <v>298</v>
      </c>
      <c r="F846" t="s">
        <v>301</v>
      </c>
      <c r="G846">
        <v>5231</v>
      </c>
    </row>
    <row r="847" spans="1:7" x14ac:dyDescent="0.35">
      <c r="A847" s="13">
        <v>44197</v>
      </c>
      <c r="B847">
        <f>YEAR(Table2__2[[#This Row],[Year1]])</f>
        <v>2021</v>
      </c>
      <c r="C847" t="s">
        <v>289</v>
      </c>
      <c r="D847" t="s">
        <v>283</v>
      </c>
      <c r="E847" t="s">
        <v>257</v>
      </c>
      <c r="F847" t="s">
        <v>301</v>
      </c>
    </row>
    <row r="848" spans="1:7" x14ac:dyDescent="0.35">
      <c r="A848" s="13">
        <v>44197</v>
      </c>
      <c r="B848">
        <f>YEAR(Table2__2[[#This Row],[Year1]])</f>
        <v>2021</v>
      </c>
      <c r="C848" t="s">
        <v>290</v>
      </c>
      <c r="D848" t="s">
        <v>425</v>
      </c>
      <c r="E848" t="s">
        <v>244</v>
      </c>
      <c r="F848" t="s">
        <v>302</v>
      </c>
      <c r="G848">
        <v>60</v>
      </c>
    </row>
    <row r="849" spans="1:7" x14ac:dyDescent="0.35">
      <c r="A849" s="13">
        <v>44197</v>
      </c>
      <c r="B849">
        <f>YEAR(Table2__2[[#This Row],[Year1]])</f>
        <v>2021</v>
      </c>
      <c r="C849" t="s">
        <v>290</v>
      </c>
      <c r="D849" t="s">
        <v>425</v>
      </c>
      <c r="E849" t="s">
        <v>245</v>
      </c>
      <c r="F849" t="s">
        <v>302</v>
      </c>
      <c r="G849">
        <v>32</v>
      </c>
    </row>
    <row r="850" spans="1:7" x14ac:dyDescent="0.35">
      <c r="A850" s="13">
        <v>44197</v>
      </c>
      <c r="B850">
        <f>YEAR(Table2__2[[#This Row],[Year1]])</f>
        <v>2021</v>
      </c>
      <c r="C850" t="s">
        <v>290</v>
      </c>
      <c r="D850" t="s">
        <v>425</v>
      </c>
      <c r="E850" t="s">
        <v>246</v>
      </c>
      <c r="F850" t="s">
        <v>302</v>
      </c>
      <c r="G850">
        <v>65</v>
      </c>
    </row>
    <row r="851" spans="1:7" x14ac:dyDescent="0.35">
      <c r="A851" s="13">
        <v>44197</v>
      </c>
      <c r="B851">
        <f>YEAR(Table2__2[[#This Row],[Year1]])</f>
        <v>2021</v>
      </c>
      <c r="C851" t="s">
        <v>290</v>
      </c>
      <c r="D851" t="s">
        <v>425</v>
      </c>
      <c r="E851" t="s">
        <v>234</v>
      </c>
      <c r="F851" t="s">
        <v>302</v>
      </c>
      <c r="G851">
        <v>17</v>
      </c>
    </row>
    <row r="852" spans="1:7" x14ac:dyDescent="0.35">
      <c r="A852" s="13">
        <v>44197</v>
      </c>
      <c r="B852">
        <f>YEAR(Table2__2[[#This Row],[Year1]])</f>
        <v>2021</v>
      </c>
      <c r="C852" t="s">
        <v>290</v>
      </c>
      <c r="D852" t="s">
        <v>425</v>
      </c>
      <c r="E852" t="s">
        <v>258</v>
      </c>
      <c r="F852" t="s">
        <v>302</v>
      </c>
      <c r="G852">
        <v>18</v>
      </c>
    </row>
    <row r="853" spans="1:7" x14ac:dyDescent="0.35">
      <c r="A853" s="13">
        <v>44197</v>
      </c>
      <c r="B853">
        <f>YEAR(Table2__2[[#This Row],[Year1]])</f>
        <v>2021</v>
      </c>
      <c r="C853" t="s">
        <v>290</v>
      </c>
      <c r="D853" t="s">
        <v>425</v>
      </c>
      <c r="E853" t="s">
        <v>247</v>
      </c>
      <c r="F853" t="s">
        <v>302</v>
      </c>
      <c r="G853">
        <v>221</v>
      </c>
    </row>
    <row r="854" spans="1:7" x14ac:dyDescent="0.35">
      <c r="A854" s="13">
        <v>44197</v>
      </c>
      <c r="B854">
        <f>YEAR(Table2__2[[#This Row],[Year1]])</f>
        <v>2021</v>
      </c>
      <c r="C854" t="s">
        <v>290</v>
      </c>
      <c r="D854" t="s">
        <v>425</v>
      </c>
      <c r="E854" t="s">
        <v>259</v>
      </c>
      <c r="F854" t="s">
        <v>302</v>
      </c>
      <c r="G854">
        <v>195</v>
      </c>
    </row>
    <row r="855" spans="1:7" x14ac:dyDescent="0.35">
      <c r="A855" s="13">
        <v>44197</v>
      </c>
      <c r="B855">
        <f>YEAR(Table2__2[[#This Row],[Year1]])</f>
        <v>2021</v>
      </c>
      <c r="C855" t="s">
        <v>290</v>
      </c>
      <c r="D855" t="s">
        <v>425</v>
      </c>
      <c r="E855" t="s">
        <v>260</v>
      </c>
      <c r="F855" t="s">
        <v>302</v>
      </c>
      <c r="G855">
        <v>90</v>
      </c>
    </row>
    <row r="856" spans="1:7" x14ac:dyDescent="0.35">
      <c r="A856" s="13">
        <v>44197</v>
      </c>
      <c r="B856">
        <f>YEAR(Table2__2[[#This Row],[Year1]])</f>
        <v>2021</v>
      </c>
      <c r="C856" t="s">
        <v>290</v>
      </c>
      <c r="D856" t="s">
        <v>425</v>
      </c>
      <c r="E856" t="s">
        <v>235</v>
      </c>
      <c r="F856" t="s">
        <v>302</v>
      </c>
      <c r="G856">
        <v>49</v>
      </c>
    </row>
    <row r="857" spans="1:7" x14ac:dyDescent="0.35">
      <c r="A857" s="13">
        <v>44197</v>
      </c>
      <c r="B857">
        <f>YEAR(Table2__2[[#This Row],[Year1]])</f>
        <v>2021</v>
      </c>
      <c r="C857" t="s">
        <v>290</v>
      </c>
      <c r="D857" t="s">
        <v>425</v>
      </c>
      <c r="E857" t="s">
        <v>226</v>
      </c>
      <c r="F857" t="s">
        <v>302</v>
      </c>
      <c r="G857">
        <v>4053</v>
      </c>
    </row>
    <row r="858" spans="1:7" x14ac:dyDescent="0.35">
      <c r="A858" s="13">
        <v>44197</v>
      </c>
      <c r="B858">
        <f>YEAR(Table2__2[[#This Row],[Year1]])</f>
        <v>2021</v>
      </c>
      <c r="C858" t="s">
        <v>290</v>
      </c>
      <c r="D858" t="s">
        <v>425</v>
      </c>
      <c r="E858" t="s">
        <v>261</v>
      </c>
      <c r="F858" t="s">
        <v>302</v>
      </c>
      <c r="G858">
        <v>45</v>
      </c>
    </row>
    <row r="859" spans="1:7" x14ac:dyDescent="0.35">
      <c r="A859" s="13">
        <v>44197</v>
      </c>
      <c r="B859">
        <f>YEAR(Table2__2[[#This Row],[Year1]])</f>
        <v>2021</v>
      </c>
      <c r="C859" t="s">
        <v>290</v>
      </c>
      <c r="D859" t="s">
        <v>425</v>
      </c>
      <c r="E859" t="s">
        <v>248</v>
      </c>
      <c r="F859" t="s">
        <v>302</v>
      </c>
      <c r="G859">
        <v>257</v>
      </c>
    </row>
    <row r="860" spans="1:7" x14ac:dyDescent="0.35">
      <c r="A860" s="13">
        <v>44197</v>
      </c>
      <c r="B860">
        <f>YEAR(Table2__2[[#This Row],[Year1]])</f>
        <v>2021</v>
      </c>
      <c r="C860" t="s">
        <v>290</v>
      </c>
      <c r="D860" t="s">
        <v>425</v>
      </c>
      <c r="E860" t="s">
        <v>262</v>
      </c>
      <c r="F860" t="s">
        <v>302</v>
      </c>
      <c r="G860">
        <v>20</v>
      </c>
    </row>
    <row r="861" spans="1:7" x14ac:dyDescent="0.35">
      <c r="A861" s="13">
        <v>44197</v>
      </c>
      <c r="B861">
        <f>YEAR(Table2__2[[#This Row],[Year1]])</f>
        <v>2021</v>
      </c>
      <c r="C861" t="s">
        <v>290</v>
      </c>
      <c r="D861" t="s">
        <v>425</v>
      </c>
      <c r="E861" t="s">
        <v>263</v>
      </c>
      <c r="F861" t="s">
        <v>302</v>
      </c>
      <c r="G861">
        <v>126</v>
      </c>
    </row>
    <row r="862" spans="1:7" x14ac:dyDescent="0.35">
      <c r="A862" s="13">
        <v>44197</v>
      </c>
      <c r="B862">
        <f>YEAR(Table2__2[[#This Row],[Year1]])</f>
        <v>2021</v>
      </c>
      <c r="C862" t="s">
        <v>290</v>
      </c>
      <c r="D862" t="s">
        <v>425</v>
      </c>
      <c r="E862" t="s">
        <v>249</v>
      </c>
      <c r="F862" t="s">
        <v>302</v>
      </c>
      <c r="G862">
        <v>200</v>
      </c>
    </row>
    <row r="863" spans="1:7" x14ac:dyDescent="0.35">
      <c r="A863" s="13">
        <v>44197</v>
      </c>
      <c r="B863">
        <f>YEAR(Table2__2[[#This Row],[Year1]])</f>
        <v>2021</v>
      </c>
      <c r="C863" t="s">
        <v>290</v>
      </c>
      <c r="D863" t="s">
        <v>425</v>
      </c>
      <c r="E863" t="s">
        <v>239</v>
      </c>
      <c r="F863" t="s">
        <v>302</v>
      </c>
      <c r="G863">
        <v>86</v>
      </c>
    </row>
    <row r="864" spans="1:7" x14ac:dyDescent="0.35">
      <c r="A864" s="13">
        <v>44197</v>
      </c>
      <c r="B864">
        <f>YEAR(Table2__2[[#This Row],[Year1]])</f>
        <v>2021</v>
      </c>
      <c r="C864" t="s">
        <v>290</v>
      </c>
      <c r="D864" t="s">
        <v>425</v>
      </c>
      <c r="E864" t="s">
        <v>264</v>
      </c>
      <c r="F864" t="s">
        <v>302</v>
      </c>
      <c r="G864">
        <v>46</v>
      </c>
    </row>
    <row r="865" spans="1:7" x14ac:dyDescent="0.35">
      <c r="A865" s="13">
        <v>44197</v>
      </c>
      <c r="B865">
        <f>YEAR(Table2__2[[#This Row],[Year1]])</f>
        <v>2021</v>
      </c>
      <c r="C865" t="s">
        <v>290</v>
      </c>
      <c r="D865" t="s">
        <v>425</v>
      </c>
      <c r="E865" t="s">
        <v>240</v>
      </c>
      <c r="F865" t="s">
        <v>302</v>
      </c>
      <c r="G865">
        <v>104</v>
      </c>
    </row>
    <row r="866" spans="1:7" x14ac:dyDescent="0.35">
      <c r="A866" s="13">
        <v>44197</v>
      </c>
      <c r="B866">
        <f>YEAR(Table2__2[[#This Row],[Year1]])</f>
        <v>2021</v>
      </c>
      <c r="C866" t="s">
        <v>290</v>
      </c>
      <c r="D866" t="s">
        <v>425</v>
      </c>
      <c r="E866" t="s">
        <v>250</v>
      </c>
      <c r="F866" t="s">
        <v>302</v>
      </c>
      <c r="G866">
        <v>38</v>
      </c>
    </row>
    <row r="867" spans="1:7" x14ac:dyDescent="0.35">
      <c r="A867" s="13">
        <v>44197</v>
      </c>
      <c r="B867">
        <f>YEAR(Table2__2[[#This Row],[Year1]])</f>
        <v>2021</v>
      </c>
      <c r="C867" t="s">
        <v>290</v>
      </c>
      <c r="D867" t="s">
        <v>425</v>
      </c>
      <c r="E867" t="s">
        <v>265</v>
      </c>
      <c r="F867" t="s">
        <v>302</v>
      </c>
      <c r="G867">
        <v>91</v>
      </c>
    </row>
    <row r="868" spans="1:7" x14ac:dyDescent="0.35">
      <c r="A868" s="13">
        <v>44197</v>
      </c>
      <c r="B868">
        <f>YEAR(Table2__2[[#This Row],[Year1]])</f>
        <v>2021</v>
      </c>
      <c r="C868" t="s">
        <v>290</v>
      </c>
      <c r="D868" t="s">
        <v>425</v>
      </c>
      <c r="E868" t="s">
        <v>266</v>
      </c>
      <c r="F868" t="s">
        <v>302</v>
      </c>
      <c r="G868">
        <v>45</v>
      </c>
    </row>
    <row r="869" spans="1:7" x14ac:dyDescent="0.35">
      <c r="A869" s="13">
        <v>44197</v>
      </c>
      <c r="B869">
        <f>YEAR(Table2__2[[#This Row],[Year1]])</f>
        <v>2021</v>
      </c>
      <c r="C869" t="s">
        <v>290</v>
      </c>
      <c r="D869" t="s">
        <v>425</v>
      </c>
      <c r="E869" t="s">
        <v>267</v>
      </c>
      <c r="F869" t="s">
        <v>302</v>
      </c>
      <c r="G869">
        <v>376</v>
      </c>
    </row>
    <row r="870" spans="1:7" x14ac:dyDescent="0.35">
      <c r="A870" s="13">
        <v>44197</v>
      </c>
      <c r="B870">
        <f>YEAR(Table2__2[[#This Row],[Year1]])</f>
        <v>2021</v>
      </c>
      <c r="C870" t="s">
        <v>290</v>
      </c>
      <c r="D870" t="s">
        <v>425</v>
      </c>
      <c r="E870" t="s">
        <v>268</v>
      </c>
      <c r="F870" t="s">
        <v>302</v>
      </c>
      <c r="G870" t="s">
        <v>205</v>
      </c>
    </row>
    <row r="871" spans="1:7" x14ac:dyDescent="0.35">
      <c r="A871" s="13">
        <v>44197</v>
      </c>
      <c r="B871">
        <f>YEAR(Table2__2[[#This Row],[Year1]])</f>
        <v>2021</v>
      </c>
      <c r="C871" t="s">
        <v>290</v>
      </c>
      <c r="D871" t="s">
        <v>425</v>
      </c>
      <c r="E871" t="s">
        <v>269</v>
      </c>
      <c r="F871" t="s">
        <v>302</v>
      </c>
      <c r="G871">
        <v>1016</v>
      </c>
    </row>
    <row r="872" spans="1:7" x14ac:dyDescent="0.35">
      <c r="A872" s="13">
        <v>44197</v>
      </c>
      <c r="B872">
        <f>YEAR(Table2__2[[#This Row],[Year1]])</f>
        <v>2021</v>
      </c>
      <c r="C872" t="s">
        <v>290</v>
      </c>
      <c r="D872" t="s">
        <v>425</v>
      </c>
      <c r="E872" t="s">
        <v>229</v>
      </c>
      <c r="F872" t="s">
        <v>302</v>
      </c>
      <c r="G872">
        <v>20</v>
      </c>
    </row>
    <row r="873" spans="1:7" x14ac:dyDescent="0.35">
      <c r="A873" s="13">
        <v>44197</v>
      </c>
      <c r="B873">
        <f>YEAR(Table2__2[[#This Row],[Year1]])</f>
        <v>2021</v>
      </c>
      <c r="C873" t="s">
        <v>290</v>
      </c>
      <c r="D873" t="s">
        <v>425</v>
      </c>
      <c r="E873" t="s">
        <v>252</v>
      </c>
      <c r="F873" t="s">
        <v>302</v>
      </c>
      <c r="G873">
        <v>72</v>
      </c>
    </row>
    <row r="874" spans="1:7" x14ac:dyDescent="0.35">
      <c r="A874" s="13">
        <v>44197</v>
      </c>
      <c r="B874">
        <f>YEAR(Table2__2[[#This Row],[Year1]])</f>
        <v>2021</v>
      </c>
      <c r="C874" t="s">
        <v>290</v>
      </c>
      <c r="D874" t="s">
        <v>425</v>
      </c>
      <c r="E874" t="s">
        <v>253</v>
      </c>
      <c r="F874" t="s">
        <v>302</v>
      </c>
      <c r="G874">
        <v>63</v>
      </c>
    </row>
    <row r="875" spans="1:7" x14ac:dyDescent="0.35">
      <c r="A875" s="13">
        <v>44197</v>
      </c>
      <c r="B875">
        <f>YEAR(Table2__2[[#This Row],[Year1]])</f>
        <v>2021</v>
      </c>
      <c r="C875" t="s">
        <v>290</v>
      </c>
      <c r="D875" t="s">
        <v>425</v>
      </c>
      <c r="E875" t="s">
        <v>254</v>
      </c>
      <c r="F875" t="s">
        <v>302</v>
      </c>
      <c r="G875">
        <v>63</v>
      </c>
    </row>
    <row r="876" spans="1:7" x14ac:dyDescent="0.35">
      <c r="A876" s="13">
        <v>44197</v>
      </c>
      <c r="B876">
        <f>YEAR(Table2__2[[#This Row],[Year1]])</f>
        <v>2021</v>
      </c>
      <c r="C876" t="s">
        <v>290</v>
      </c>
      <c r="D876" t="s">
        <v>425</v>
      </c>
      <c r="E876" t="s">
        <v>255</v>
      </c>
      <c r="F876" t="s">
        <v>302</v>
      </c>
      <c r="G876">
        <v>42</v>
      </c>
    </row>
    <row r="877" spans="1:7" x14ac:dyDescent="0.35">
      <c r="A877" s="13">
        <v>44197</v>
      </c>
      <c r="B877">
        <f>YEAR(Table2__2[[#This Row],[Year1]])</f>
        <v>2021</v>
      </c>
      <c r="C877" t="s">
        <v>290</v>
      </c>
      <c r="D877" t="s">
        <v>425</v>
      </c>
      <c r="E877" t="s">
        <v>270</v>
      </c>
      <c r="F877" t="s">
        <v>302</v>
      </c>
      <c r="G877">
        <v>27</v>
      </c>
    </row>
    <row r="878" spans="1:7" x14ac:dyDescent="0.35">
      <c r="A878" s="13">
        <v>44197</v>
      </c>
      <c r="B878">
        <f>YEAR(Table2__2[[#This Row],[Year1]])</f>
        <v>2021</v>
      </c>
      <c r="C878" t="s">
        <v>290</v>
      </c>
      <c r="D878" t="s">
        <v>426</v>
      </c>
      <c r="E878" t="s">
        <v>271</v>
      </c>
      <c r="F878" t="s">
        <v>302</v>
      </c>
      <c r="G878" t="s">
        <v>205</v>
      </c>
    </row>
    <row r="879" spans="1:7" x14ac:dyDescent="0.35">
      <c r="A879" s="13">
        <v>44197</v>
      </c>
      <c r="B879">
        <f>YEAR(Table2__2[[#This Row],[Year1]])</f>
        <v>2021</v>
      </c>
      <c r="C879" t="s">
        <v>291</v>
      </c>
      <c r="D879" t="s">
        <v>425</v>
      </c>
      <c r="E879" t="s">
        <v>244</v>
      </c>
      <c r="F879" t="s">
        <v>302</v>
      </c>
      <c r="G879">
        <v>5607</v>
      </c>
    </row>
    <row r="880" spans="1:7" x14ac:dyDescent="0.35">
      <c r="A880" s="13">
        <v>44197</v>
      </c>
      <c r="B880">
        <f>YEAR(Table2__2[[#This Row],[Year1]])</f>
        <v>2021</v>
      </c>
      <c r="C880" t="s">
        <v>291</v>
      </c>
      <c r="D880" t="s">
        <v>425</v>
      </c>
      <c r="E880" t="s">
        <v>245</v>
      </c>
      <c r="F880" t="s">
        <v>302</v>
      </c>
      <c r="G880">
        <v>562</v>
      </c>
    </row>
    <row r="881" spans="1:7" x14ac:dyDescent="0.35">
      <c r="A881" s="13">
        <v>44197</v>
      </c>
      <c r="B881">
        <f>YEAR(Table2__2[[#This Row],[Year1]])</f>
        <v>2021</v>
      </c>
      <c r="C881" t="s">
        <v>291</v>
      </c>
      <c r="D881" t="s">
        <v>425</v>
      </c>
      <c r="E881" t="s">
        <v>246</v>
      </c>
      <c r="F881" t="s">
        <v>302</v>
      </c>
      <c r="G881">
        <v>1782</v>
      </c>
    </row>
    <row r="882" spans="1:7" x14ac:dyDescent="0.35">
      <c r="A882" s="13">
        <v>44197</v>
      </c>
      <c r="B882">
        <f>YEAR(Table2__2[[#This Row],[Year1]])</f>
        <v>2021</v>
      </c>
      <c r="C882" t="s">
        <v>291</v>
      </c>
      <c r="D882" t="s">
        <v>425</v>
      </c>
      <c r="E882" t="s">
        <v>234</v>
      </c>
      <c r="F882" t="s">
        <v>302</v>
      </c>
      <c r="G882">
        <v>692</v>
      </c>
    </row>
    <row r="883" spans="1:7" x14ac:dyDescent="0.35">
      <c r="A883" s="13">
        <v>44197</v>
      </c>
      <c r="B883">
        <f>YEAR(Table2__2[[#This Row],[Year1]])</f>
        <v>2021</v>
      </c>
      <c r="C883" t="s">
        <v>291</v>
      </c>
      <c r="D883" t="s">
        <v>425</v>
      </c>
      <c r="E883" t="s">
        <v>247</v>
      </c>
      <c r="F883" t="s">
        <v>302</v>
      </c>
      <c r="G883">
        <v>5192</v>
      </c>
    </row>
    <row r="884" spans="1:7" x14ac:dyDescent="0.35">
      <c r="A884" s="13">
        <v>44197</v>
      </c>
      <c r="B884">
        <f>YEAR(Table2__2[[#This Row],[Year1]])</f>
        <v>2021</v>
      </c>
      <c r="C884" t="s">
        <v>291</v>
      </c>
      <c r="D884" t="s">
        <v>425</v>
      </c>
      <c r="E884" t="s">
        <v>259</v>
      </c>
      <c r="F884" t="s">
        <v>302</v>
      </c>
      <c r="G884">
        <v>8907</v>
      </c>
    </row>
    <row r="885" spans="1:7" x14ac:dyDescent="0.35">
      <c r="A885" s="13">
        <v>44197</v>
      </c>
      <c r="B885">
        <f>YEAR(Table2__2[[#This Row],[Year1]])</f>
        <v>2021</v>
      </c>
      <c r="C885" t="s">
        <v>291</v>
      </c>
      <c r="D885" t="s">
        <v>425</v>
      </c>
      <c r="E885" t="s">
        <v>260</v>
      </c>
      <c r="F885" t="s">
        <v>302</v>
      </c>
      <c r="G885">
        <v>1382</v>
      </c>
    </row>
    <row r="886" spans="1:7" x14ac:dyDescent="0.35">
      <c r="A886" s="13">
        <v>44197</v>
      </c>
      <c r="B886">
        <f>YEAR(Table2__2[[#This Row],[Year1]])</f>
        <v>2021</v>
      </c>
      <c r="C886" t="s">
        <v>291</v>
      </c>
      <c r="D886" t="s">
        <v>425</v>
      </c>
      <c r="E886" t="s">
        <v>235</v>
      </c>
      <c r="F886" t="s">
        <v>302</v>
      </c>
      <c r="G886">
        <v>2031</v>
      </c>
    </row>
    <row r="887" spans="1:7" x14ac:dyDescent="0.35">
      <c r="A887" s="13">
        <v>44197</v>
      </c>
      <c r="B887">
        <f>YEAR(Table2__2[[#This Row],[Year1]])</f>
        <v>2021</v>
      </c>
      <c r="C887" t="s">
        <v>291</v>
      </c>
      <c r="D887" t="s">
        <v>425</v>
      </c>
      <c r="E887" t="s">
        <v>226</v>
      </c>
      <c r="F887" t="s">
        <v>302</v>
      </c>
      <c r="G887">
        <v>1810</v>
      </c>
    </row>
    <row r="888" spans="1:7" x14ac:dyDescent="0.35">
      <c r="A888" s="13">
        <v>44197</v>
      </c>
      <c r="B888">
        <f>YEAR(Table2__2[[#This Row],[Year1]])</f>
        <v>2021</v>
      </c>
      <c r="C888" t="s">
        <v>291</v>
      </c>
      <c r="D888" t="s">
        <v>425</v>
      </c>
      <c r="E888" t="s">
        <v>248</v>
      </c>
      <c r="F888" t="s">
        <v>302</v>
      </c>
      <c r="G888">
        <v>6191</v>
      </c>
    </row>
    <row r="889" spans="1:7" x14ac:dyDescent="0.35">
      <c r="A889" s="13">
        <v>44197</v>
      </c>
      <c r="B889">
        <f>YEAR(Table2__2[[#This Row],[Year1]])</f>
        <v>2021</v>
      </c>
      <c r="C889" t="s">
        <v>291</v>
      </c>
      <c r="D889" t="s">
        <v>425</v>
      </c>
      <c r="E889" t="s">
        <v>249</v>
      </c>
      <c r="F889" t="s">
        <v>302</v>
      </c>
      <c r="G889">
        <v>3222</v>
      </c>
    </row>
    <row r="890" spans="1:7" x14ac:dyDescent="0.35">
      <c r="A890" s="13">
        <v>44197</v>
      </c>
      <c r="B890">
        <f>YEAR(Table2__2[[#This Row],[Year1]])</f>
        <v>2021</v>
      </c>
      <c r="C890" t="s">
        <v>291</v>
      </c>
      <c r="D890" t="s">
        <v>425</v>
      </c>
      <c r="E890" t="s">
        <v>239</v>
      </c>
      <c r="F890" t="s">
        <v>302</v>
      </c>
      <c r="G890">
        <v>4476</v>
      </c>
    </row>
    <row r="891" spans="1:7" x14ac:dyDescent="0.35">
      <c r="A891" s="13">
        <v>44197</v>
      </c>
      <c r="B891">
        <f>YEAR(Table2__2[[#This Row],[Year1]])</f>
        <v>2021</v>
      </c>
      <c r="C891" t="s">
        <v>291</v>
      </c>
      <c r="D891" t="s">
        <v>425</v>
      </c>
      <c r="E891" t="s">
        <v>240</v>
      </c>
      <c r="F891" t="s">
        <v>302</v>
      </c>
      <c r="G891">
        <v>3595</v>
      </c>
    </row>
    <row r="892" spans="1:7" x14ac:dyDescent="0.35">
      <c r="A892" s="13">
        <v>44197</v>
      </c>
      <c r="B892">
        <f>YEAR(Table2__2[[#This Row],[Year1]])</f>
        <v>2021</v>
      </c>
      <c r="C892" t="s">
        <v>291</v>
      </c>
      <c r="D892" t="s">
        <v>425</v>
      </c>
      <c r="E892" t="s">
        <v>250</v>
      </c>
      <c r="F892" t="s">
        <v>302</v>
      </c>
      <c r="G892">
        <v>3857</v>
      </c>
    </row>
    <row r="893" spans="1:7" x14ac:dyDescent="0.35">
      <c r="A893" s="13">
        <v>44197</v>
      </c>
      <c r="B893">
        <f>YEAR(Table2__2[[#This Row],[Year1]])</f>
        <v>2021</v>
      </c>
      <c r="C893" t="s">
        <v>291</v>
      </c>
      <c r="D893" t="s">
        <v>425</v>
      </c>
      <c r="E893" t="s">
        <v>265</v>
      </c>
      <c r="F893" t="s">
        <v>302</v>
      </c>
      <c r="G893">
        <v>4002</v>
      </c>
    </row>
    <row r="894" spans="1:7" x14ac:dyDescent="0.35">
      <c r="A894" s="13">
        <v>44197</v>
      </c>
      <c r="B894">
        <f>YEAR(Table2__2[[#This Row],[Year1]])</f>
        <v>2021</v>
      </c>
      <c r="C894" t="s">
        <v>291</v>
      </c>
      <c r="D894" t="s">
        <v>425</v>
      </c>
      <c r="E894" t="s">
        <v>266</v>
      </c>
      <c r="F894" t="s">
        <v>302</v>
      </c>
      <c r="G894">
        <v>1886</v>
      </c>
    </row>
    <row r="895" spans="1:7" x14ac:dyDescent="0.35">
      <c r="A895" s="13">
        <v>44197</v>
      </c>
      <c r="B895">
        <f>YEAR(Table2__2[[#This Row],[Year1]])</f>
        <v>2021</v>
      </c>
      <c r="C895" t="s">
        <v>291</v>
      </c>
      <c r="D895" t="s">
        <v>425</v>
      </c>
      <c r="E895" t="s">
        <v>267</v>
      </c>
      <c r="F895" t="s">
        <v>302</v>
      </c>
      <c r="G895">
        <v>2381</v>
      </c>
    </row>
    <row r="896" spans="1:7" x14ac:dyDescent="0.35">
      <c r="A896" s="13">
        <v>44197</v>
      </c>
      <c r="B896">
        <f>YEAR(Table2__2[[#This Row],[Year1]])</f>
        <v>2021</v>
      </c>
      <c r="C896" t="s">
        <v>291</v>
      </c>
      <c r="D896" t="s">
        <v>425</v>
      </c>
      <c r="E896" t="s">
        <v>268</v>
      </c>
      <c r="F896" t="s">
        <v>302</v>
      </c>
      <c r="G896">
        <v>1851</v>
      </c>
    </row>
    <row r="897" spans="1:7" x14ac:dyDescent="0.35">
      <c r="A897" s="13">
        <v>44197</v>
      </c>
      <c r="B897">
        <f>YEAR(Table2__2[[#This Row],[Year1]])</f>
        <v>2021</v>
      </c>
      <c r="C897" t="s">
        <v>291</v>
      </c>
      <c r="D897" t="s">
        <v>425</v>
      </c>
      <c r="E897" t="s">
        <v>272</v>
      </c>
      <c r="F897" t="s">
        <v>302</v>
      </c>
      <c r="G897">
        <v>1944</v>
      </c>
    </row>
    <row r="898" spans="1:7" x14ac:dyDescent="0.35">
      <c r="A898" s="13">
        <v>44197</v>
      </c>
      <c r="B898">
        <f>YEAR(Table2__2[[#This Row],[Year1]])</f>
        <v>2021</v>
      </c>
      <c r="C898" t="s">
        <v>291</v>
      </c>
      <c r="D898" t="s">
        <v>425</v>
      </c>
      <c r="E898" t="s">
        <v>269</v>
      </c>
      <c r="F898" t="s">
        <v>302</v>
      </c>
      <c r="G898">
        <v>5586</v>
      </c>
    </row>
    <row r="899" spans="1:7" x14ac:dyDescent="0.35">
      <c r="A899" s="13">
        <v>44197</v>
      </c>
      <c r="B899">
        <f>YEAR(Table2__2[[#This Row],[Year1]])</f>
        <v>2021</v>
      </c>
      <c r="C899" t="s">
        <v>291</v>
      </c>
      <c r="D899" t="s">
        <v>425</v>
      </c>
      <c r="E899" t="s">
        <v>229</v>
      </c>
      <c r="F899" t="s">
        <v>302</v>
      </c>
      <c r="G899">
        <v>574</v>
      </c>
    </row>
    <row r="900" spans="1:7" x14ac:dyDescent="0.35">
      <c r="A900" s="13">
        <v>44197</v>
      </c>
      <c r="B900">
        <f>YEAR(Table2__2[[#This Row],[Year1]])</f>
        <v>2021</v>
      </c>
      <c r="C900" t="s">
        <v>291</v>
      </c>
      <c r="D900" t="s">
        <v>425</v>
      </c>
      <c r="E900" t="s">
        <v>252</v>
      </c>
      <c r="F900" t="s">
        <v>302</v>
      </c>
      <c r="G900">
        <v>2291</v>
      </c>
    </row>
    <row r="901" spans="1:7" x14ac:dyDescent="0.35">
      <c r="A901" s="13">
        <v>44197</v>
      </c>
      <c r="B901">
        <f>YEAR(Table2__2[[#This Row],[Year1]])</f>
        <v>2021</v>
      </c>
      <c r="C901" t="s">
        <v>291</v>
      </c>
      <c r="D901" t="s">
        <v>425</v>
      </c>
      <c r="E901" t="s">
        <v>254</v>
      </c>
      <c r="F901" t="s">
        <v>302</v>
      </c>
      <c r="G901">
        <v>2008</v>
      </c>
    </row>
    <row r="902" spans="1:7" x14ac:dyDescent="0.35">
      <c r="A902" s="13">
        <v>44197</v>
      </c>
      <c r="B902">
        <f>YEAR(Table2__2[[#This Row],[Year1]])</f>
        <v>2021</v>
      </c>
      <c r="C902" t="s">
        <v>291</v>
      </c>
      <c r="D902" t="s">
        <v>425</v>
      </c>
      <c r="E902" t="s">
        <v>270</v>
      </c>
      <c r="F902" t="s">
        <v>302</v>
      </c>
      <c r="G902">
        <v>1155</v>
      </c>
    </row>
    <row r="903" spans="1:7" x14ac:dyDescent="0.35">
      <c r="A903" s="13">
        <v>44197</v>
      </c>
      <c r="B903">
        <f>YEAR(Table2__2[[#This Row],[Year1]])</f>
        <v>2021</v>
      </c>
      <c r="C903" t="s">
        <v>291</v>
      </c>
      <c r="D903" t="s">
        <v>425</v>
      </c>
      <c r="E903" t="s">
        <v>273</v>
      </c>
      <c r="F903" t="s">
        <v>302</v>
      </c>
      <c r="G903">
        <v>4</v>
      </c>
    </row>
    <row r="904" spans="1:7" x14ac:dyDescent="0.35">
      <c r="A904" s="13">
        <v>44197</v>
      </c>
      <c r="B904">
        <f>YEAR(Table2__2[[#This Row],[Year1]])</f>
        <v>2021</v>
      </c>
      <c r="C904" t="s">
        <v>291</v>
      </c>
      <c r="D904" t="s">
        <v>425</v>
      </c>
      <c r="E904" t="s">
        <v>39</v>
      </c>
      <c r="F904" t="s">
        <v>302</v>
      </c>
      <c r="G904">
        <v>1094</v>
      </c>
    </row>
    <row r="905" spans="1:7" x14ac:dyDescent="0.35">
      <c r="A905" s="13">
        <v>44562</v>
      </c>
      <c r="B905">
        <f>YEAR(Table2__2[[#This Row],[Year1]])</f>
        <v>2022</v>
      </c>
      <c r="C905" t="s">
        <v>288</v>
      </c>
      <c r="D905" t="s">
        <v>222</v>
      </c>
      <c r="E905" t="s">
        <v>223</v>
      </c>
      <c r="F905" t="s">
        <v>299</v>
      </c>
      <c r="G905">
        <v>31948</v>
      </c>
    </row>
    <row r="906" spans="1:7" x14ac:dyDescent="0.35">
      <c r="A906" s="13">
        <v>44562</v>
      </c>
      <c r="B906">
        <f>YEAR(Table2__2[[#This Row],[Year1]])</f>
        <v>2022</v>
      </c>
      <c r="C906" t="s">
        <v>288</v>
      </c>
      <c r="D906" t="s">
        <v>222</v>
      </c>
      <c r="E906" t="s">
        <v>224</v>
      </c>
      <c r="F906" t="s">
        <v>299</v>
      </c>
      <c r="G906">
        <v>480932</v>
      </c>
    </row>
    <row r="907" spans="1:7" x14ac:dyDescent="0.35">
      <c r="A907" s="13">
        <v>44562</v>
      </c>
      <c r="B907">
        <f>YEAR(Table2__2[[#This Row],[Year1]])</f>
        <v>2022</v>
      </c>
      <c r="C907" t="s">
        <v>288</v>
      </c>
      <c r="D907" t="s">
        <v>222</v>
      </c>
      <c r="E907" t="s">
        <v>225</v>
      </c>
      <c r="F907" t="s">
        <v>299</v>
      </c>
      <c r="G907">
        <v>72378</v>
      </c>
    </row>
    <row r="908" spans="1:7" x14ac:dyDescent="0.35">
      <c r="A908" s="13">
        <v>44562</v>
      </c>
      <c r="B908">
        <f>YEAR(Table2__2[[#This Row],[Year1]])</f>
        <v>2022</v>
      </c>
      <c r="C908" t="s">
        <v>288</v>
      </c>
      <c r="D908" t="s">
        <v>222</v>
      </c>
      <c r="E908" t="s">
        <v>226</v>
      </c>
      <c r="F908" t="s">
        <v>299</v>
      </c>
      <c r="G908">
        <v>307844</v>
      </c>
    </row>
    <row r="909" spans="1:7" x14ac:dyDescent="0.35">
      <c r="A909" s="13">
        <v>44562</v>
      </c>
      <c r="B909">
        <f>YEAR(Table2__2[[#This Row],[Year1]])</f>
        <v>2022</v>
      </c>
      <c r="C909" t="s">
        <v>288</v>
      </c>
      <c r="D909" t="s">
        <v>222</v>
      </c>
      <c r="E909" t="s">
        <v>227</v>
      </c>
      <c r="F909" t="s">
        <v>299</v>
      </c>
      <c r="G909">
        <v>106843</v>
      </c>
    </row>
    <row r="910" spans="1:7" x14ac:dyDescent="0.35">
      <c r="A910" s="13">
        <v>44562</v>
      </c>
      <c r="B910">
        <f>YEAR(Table2__2[[#This Row],[Year1]])</f>
        <v>2022</v>
      </c>
      <c r="C910" t="s">
        <v>288</v>
      </c>
      <c r="D910" t="s">
        <v>222</v>
      </c>
      <c r="E910" t="s">
        <v>228</v>
      </c>
      <c r="F910" t="s">
        <v>299</v>
      </c>
      <c r="G910">
        <v>468124</v>
      </c>
    </row>
    <row r="911" spans="1:7" x14ac:dyDescent="0.35">
      <c r="A911" s="13">
        <v>44562</v>
      </c>
      <c r="B911">
        <f>YEAR(Table2__2[[#This Row],[Year1]])</f>
        <v>2022</v>
      </c>
      <c r="C911" t="s">
        <v>288</v>
      </c>
      <c r="D911" t="s">
        <v>222</v>
      </c>
      <c r="E911" t="s">
        <v>229</v>
      </c>
      <c r="F911" t="s">
        <v>299</v>
      </c>
      <c r="G911">
        <v>176290</v>
      </c>
    </row>
    <row r="912" spans="1:7" x14ac:dyDescent="0.35">
      <c r="A912" s="13">
        <v>44562</v>
      </c>
      <c r="B912">
        <f>YEAR(Table2__2[[#This Row],[Year1]])</f>
        <v>2022</v>
      </c>
      <c r="C912" t="s">
        <v>288</v>
      </c>
      <c r="D912" t="s">
        <v>222</v>
      </c>
      <c r="E912" t="s">
        <v>230</v>
      </c>
      <c r="F912" t="s">
        <v>299</v>
      </c>
      <c r="G912">
        <v>251984</v>
      </c>
    </row>
    <row r="913" spans="1:7" x14ac:dyDescent="0.35">
      <c r="A913" s="13">
        <v>44562</v>
      </c>
      <c r="B913">
        <f>YEAR(Table2__2[[#This Row],[Year1]])</f>
        <v>2022</v>
      </c>
      <c r="C913" t="s">
        <v>288</v>
      </c>
      <c r="D913" t="s">
        <v>222</v>
      </c>
      <c r="E913" t="s">
        <v>231</v>
      </c>
      <c r="F913" t="s">
        <v>299</v>
      </c>
      <c r="G913">
        <v>310094</v>
      </c>
    </row>
    <row r="914" spans="1:7" x14ac:dyDescent="0.35">
      <c r="A914" s="13">
        <v>44562</v>
      </c>
      <c r="B914">
        <f>YEAR(Table2__2[[#This Row],[Year1]])</f>
        <v>2022</v>
      </c>
      <c r="C914" t="s">
        <v>288</v>
      </c>
      <c r="D914" t="s">
        <v>232</v>
      </c>
      <c r="E914" t="s">
        <v>233</v>
      </c>
      <c r="F914" t="s">
        <v>299</v>
      </c>
      <c r="G914">
        <v>407</v>
      </c>
    </row>
    <row r="915" spans="1:7" x14ac:dyDescent="0.35">
      <c r="A915" s="13">
        <v>44562</v>
      </c>
      <c r="B915">
        <f>YEAR(Table2__2[[#This Row],[Year1]])</f>
        <v>2022</v>
      </c>
      <c r="C915" t="s">
        <v>288</v>
      </c>
      <c r="D915" t="s">
        <v>232</v>
      </c>
      <c r="E915" t="s">
        <v>234</v>
      </c>
      <c r="F915" t="s">
        <v>299</v>
      </c>
      <c r="G915">
        <v>90</v>
      </c>
    </row>
    <row r="916" spans="1:7" x14ac:dyDescent="0.35">
      <c r="A916" s="13">
        <v>44562</v>
      </c>
      <c r="B916">
        <f>YEAR(Table2__2[[#This Row],[Year1]])</f>
        <v>2022</v>
      </c>
      <c r="C916" t="s">
        <v>288</v>
      </c>
      <c r="D916" t="s">
        <v>232</v>
      </c>
      <c r="E916" t="s">
        <v>235</v>
      </c>
      <c r="F916" t="s">
        <v>299</v>
      </c>
      <c r="G916">
        <v>125</v>
      </c>
    </row>
    <row r="917" spans="1:7" x14ac:dyDescent="0.35">
      <c r="A917" s="13">
        <v>44562</v>
      </c>
      <c r="B917">
        <f>YEAR(Table2__2[[#This Row],[Year1]])</f>
        <v>2022</v>
      </c>
      <c r="C917" t="s">
        <v>288</v>
      </c>
      <c r="D917" t="s">
        <v>232</v>
      </c>
      <c r="E917" t="s">
        <v>236</v>
      </c>
      <c r="F917" t="s">
        <v>299</v>
      </c>
      <c r="G917">
        <v>81</v>
      </c>
    </row>
    <row r="918" spans="1:7" x14ac:dyDescent="0.35">
      <c r="A918" s="13">
        <v>44562</v>
      </c>
      <c r="B918">
        <f>YEAR(Table2__2[[#This Row],[Year1]])</f>
        <v>2022</v>
      </c>
      <c r="C918" t="s">
        <v>288</v>
      </c>
      <c r="D918" t="s">
        <v>232</v>
      </c>
      <c r="E918" t="s">
        <v>237</v>
      </c>
      <c r="F918" t="s">
        <v>299</v>
      </c>
      <c r="G918">
        <v>80</v>
      </c>
    </row>
    <row r="919" spans="1:7" x14ac:dyDescent="0.35">
      <c r="A919" s="13">
        <v>44562</v>
      </c>
      <c r="B919">
        <f>YEAR(Table2__2[[#This Row],[Year1]])</f>
        <v>2022</v>
      </c>
      <c r="C919" t="s">
        <v>288</v>
      </c>
      <c r="D919" t="s">
        <v>232</v>
      </c>
      <c r="E919" t="s">
        <v>238</v>
      </c>
      <c r="F919" t="s">
        <v>299</v>
      </c>
      <c r="G919">
        <v>303</v>
      </c>
    </row>
    <row r="920" spans="1:7" x14ac:dyDescent="0.35">
      <c r="A920" s="13">
        <v>44562</v>
      </c>
      <c r="B920">
        <f>YEAR(Table2__2[[#This Row],[Year1]])</f>
        <v>2022</v>
      </c>
      <c r="C920" t="s">
        <v>288</v>
      </c>
      <c r="D920" t="s">
        <v>232</v>
      </c>
      <c r="E920" t="s">
        <v>239</v>
      </c>
      <c r="F920" t="s">
        <v>299</v>
      </c>
      <c r="G920">
        <v>4009</v>
      </c>
    </row>
    <row r="921" spans="1:7" x14ac:dyDescent="0.35">
      <c r="A921" s="13">
        <v>44562</v>
      </c>
      <c r="B921">
        <f>YEAR(Table2__2[[#This Row],[Year1]])</f>
        <v>2022</v>
      </c>
      <c r="C921" t="s">
        <v>288</v>
      </c>
      <c r="D921" t="s">
        <v>232</v>
      </c>
      <c r="E921" t="s">
        <v>240</v>
      </c>
      <c r="F921" t="s">
        <v>299</v>
      </c>
      <c r="G921">
        <v>329</v>
      </c>
    </row>
    <row r="922" spans="1:7" x14ac:dyDescent="0.35">
      <c r="A922" s="13">
        <v>44562</v>
      </c>
      <c r="B922">
        <f>YEAR(Table2__2[[#This Row],[Year1]])</f>
        <v>2022</v>
      </c>
      <c r="C922" t="s">
        <v>288</v>
      </c>
      <c r="D922" t="s">
        <v>232</v>
      </c>
      <c r="E922" t="s">
        <v>241</v>
      </c>
      <c r="F922" t="s">
        <v>299</v>
      </c>
      <c r="G922">
        <v>1640</v>
      </c>
    </row>
    <row r="923" spans="1:7" x14ac:dyDescent="0.35">
      <c r="A923" s="13">
        <v>44562</v>
      </c>
      <c r="B923">
        <f>YEAR(Table2__2[[#This Row],[Year1]])</f>
        <v>2022</v>
      </c>
      <c r="C923" t="s">
        <v>288</v>
      </c>
      <c r="D923" t="s">
        <v>232</v>
      </c>
      <c r="E923" t="s">
        <v>242</v>
      </c>
      <c r="F923" t="s">
        <v>299</v>
      </c>
      <c r="G923">
        <v>87</v>
      </c>
    </row>
    <row r="924" spans="1:7" x14ac:dyDescent="0.35">
      <c r="A924" s="13">
        <v>44562</v>
      </c>
      <c r="B924">
        <f>YEAR(Table2__2[[#This Row],[Year1]])</f>
        <v>2022</v>
      </c>
      <c r="C924" t="s">
        <v>288</v>
      </c>
      <c r="D924" t="s">
        <v>232</v>
      </c>
      <c r="E924" t="s">
        <v>243</v>
      </c>
      <c r="F924" t="s">
        <v>299</v>
      </c>
      <c r="G924">
        <v>1065</v>
      </c>
    </row>
    <row r="925" spans="1:7" x14ac:dyDescent="0.35">
      <c r="A925" s="13">
        <v>44562</v>
      </c>
      <c r="B925">
        <f>YEAR(Table2__2[[#This Row],[Year1]])</f>
        <v>2022</v>
      </c>
      <c r="C925" t="s">
        <v>289</v>
      </c>
      <c r="D925" t="s">
        <v>281</v>
      </c>
      <c r="E925" t="s">
        <v>226</v>
      </c>
      <c r="F925" t="s">
        <v>301</v>
      </c>
      <c r="G925">
        <v>13111</v>
      </c>
    </row>
    <row r="926" spans="1:7" x14ac:dyDescent="0.35">
      <c r="A926" s="13">
        <v>44562</v>
      </c>
      <c r="B926">
        <f>YEAR(Table2__2[[#This Row],[Year1]])</f>
        <v>2022</v>
      </c>
      <c r="C926" t="s">
        <v>289</v>
      </c>
      <c r="D926" t="s">
        <v>281</v>
      </c>
      <c r="E926" t="s">
        <v>227</v>
      </c>
      <c r="F926" t="s">
        <v>301</v>
      </c>
      <c r="G926">
        <v>61938</v>
      </c>
    </row>
    <row r="927" spans="1:7" x14ac:dyDescent="0.35">
      <c r="A927" s="13">
        <v>44562</v>
      </c>
      <c r="B927">
        <f>YEAR(Table2__2[[#This Row],[Year1]])</f>
        <v>2022</v>
      </c>
      <c r="C927" t="s">
        <v>289</v>
      </c>
      <c r="D927" t="s">
        <v>281</v>
      </c>
      <c r="E927" t="s">
        <v>229</v>
      </c>
      <c r="F927" t="s">
        <v>301</v>
      </c>
      <c r="G927">
        <v>52863</v>
      </c>
    </row>
    <row r="928" spans="1:7" x14ac:dyDescent="0.35">
      <c r="A928" s="13">
        <v>44562</v>
      </c>
      <c r="B928">
        <f>YEAR(Table2__2[[#This Row],[Year1]])</f>
        <v>2022</v>
      </c>
      <c r="C928" t="s">
        <v>289</v>
      </c>
      <c r="D928" t="s">
        <v>281</v>
      </c>
      <c r="E928" t="s">
        <v>230</v>
      </c>
      <c r="F928" t="s">
        <v>301</v>
      </c>
      <c r="G928">
        <v>7150</v>
      </c>
    </row>
    <row r="929" spans="1:7" x14ac:dyDescent="0.35">
      <c r="A929" s="13">
        <v>44562</v>
      </c>
      <c r="B929">
        <f>YEAR(Table2__2[[#This Row],[Year1]])</f>
        <v>2022</v>
      </c>
      <c r="C929" t="s">
        <v>289</v>
      </c>
      <c r="D929" t="s">
        <v>283</v>
      </c>
      <c r="E929" t="s">
        <v>244</v>
      </c>
      <c r="F929" t="s">
        <v>301</v>
      </c>
      <c r="G929">
        <v>1814</v>
      </c>
    </row>
    <row r="930" spans="1:7" x14ac:dyDescent="0.35">
      <c r="A930" s="13">
        <v>44562</v>
      </c>
      <c r="B930">
        <f>YEAR(Table2__2[[#This Row],[Year1]])</f>
        <v>2022</v>
      </c>
      <c r="C930" t="s">
        <v>289</v>
      </c>
      <c r="D930" t="s">
        <v>283</v>
      </c>
      <c r="E930" t="s">
        <v>245</v>
      </c>
      <c r="F930" t="s">
        <v>301</v>
      </c>
      <c r="G930">
        <v>792</v>
      </c>
    </row>
    <row r="931" spans="1:7" x14ac:dyDescent="0.35">
      <c r="A931" s="13">
        <v>44562</v>
      </c>
      <c r="B931">
        <f>YEAR(Table2__2[[#This Row],[Year1]])</f>
        <v>2022</v>
      </c>
      <c r="C931" t="s">
        <v>289</v>
      </c>
      <c r="D931" t="s">
        <v>283</v>
      </c>
      <c r="E931" t="s">
        <v>246</v>
      </c>
      <c r="F931" t="s">
        <v>301</v>
      </c>
      <c r="G931">
        <v>4196</v>
      </c>
    </row>
    <row r="932" spans="1:7" x14ac:dyDescent="0.35">
      <c r="A932" s="13">
        <v>44562</v>
      </c>
      <c r="B932">
        <f>YEAR(Table2__2[[#This Row],[Year1]])</f>
        <v>2022</v>
      </c>
      <c r="C932" t="s">
        <v>289</v>
      </c>
      <c r="D932" t="s">
        <v>283</v>
      </c>
      <c r="E932" t="s">
        <v>234</v>
      </c>
      <c r="F932" t="s">
        <v>301</v>
      </c>
      <c r="G932">
        <v>28576</v>
      </c>
    </row>
    <row r="933" spans="1:7" x14ac:dyDescent="0.35">
      <c r="A933" s="13">
        <v>44562</v>
      </c>
      <c r="B933">
        <f>YEAR(Table2__2[[#This Row],[Year1]])</f>
        <v>2022</v>
      </c>
      <c r="C933" t="s">
        <v>289</v>
      </c>
      <c r="D933" t="s">
        <v>283</v>
      </c>
      <c r="E933" t="s">
        <v>247</v>
      </c>
      <c r="F933" t="s">
        <v>301</v>
      </c>
      <c r="G933">
        <v>3878</v>
      </c>
    </row>
    <row r="934" spans="1:7" x14ac:dyDescent="0.35">
      <c r="A934" s="13">
        <v>44562</v>
      </c>
      <c r="B934">
        <f>YEAR(Table2__2[[#This Row],[Year1]])</f>
        <v>2022</v>
      </c>
      <c r="C934" t="s">
        <v>289</v>
      </c>
      <c r="D934" t="s">
        <v>283</v>
      </c>
      <c r="E934" t="s">
        <v>235</v>
      </c>
      <c r="F934" t="s">
        <v>301</v>
      </c>
      <c r="G934">
        <v>2657</v>
      </c>
    </row>
    <row r="935" spans="1:7" x14ac:dyDescent="0.35">
      <c r="A935" s="13">
        <v>44562</v>
      </c>
      <c r="B935">
        <f>YEAR(Table2__2[[#This Row],[Year1]])</f>
        <v>2022</v>
      </c>
      <c r="C935" t="s">
        <v>289</v>
      </c>
      <c r="D935" t="s">
        <v>283</v>
      </c>
      <c r="E935" t="s">
        <v>226</v>
      </c>
      <c r="F935" t="s">
        <v>301</v>
      </c>
    </row>
    <row r="936" spans="1:7" x14ac:dyDescent="0.35">
      <c r="A936" s="13">
        <v>44562</v>
      </c>
      <c r="B936">
        <f>YEAR(Table2__2[[#This Row],[Year1]])</f>
        <v>2022</v>
      </c>
      <c r="C936" t="s">
        <v>289</v>
      </c>
      <c r="D936" t="s">
        <v>283</v>
      </c>
      <c r="E936" t="s">
        <v>248</v>
      </c>
      <c r="F936" t="s">
        <v>301</v>
      </c>
      <c r="G936">
        <v>6161</v>
      </c>
    </row>
    <row r="937" spans="1:7" x14ac:dyDescent="0.35">
      <c r="A937" s="13">
        <v>44562</v>
      </c>
      <c r="B937">
        <f>YEAR(Table2__2[[#This Row],[Year1]])</f>
        <v>2022</v>
      </c>
      <c r="C937" t="s">
        <v>289</v>
      </c>
      <c r="D937" t="s">
        <v>283</v>
      </c>
      <c r="E937" t="s">
        <v>227</v>
      </c>
      <c r="F937" t="s">
        <v>301</v>
      </c>
      <c r="G937">
        <v>22</v>
      </c>
    </row>
    <row r="938" spans="1:7" x14ac:dyDescent="0.35">
      <c r="A938" s="13">
        <v>44562</v>
      </c>
      <c r="B938">
        <f>YEAR(Table2__2[[#This Row],[Year1]])</f>
        <v>2022</v>
      </c>
      <c r="C938" t="s">
        <v>289</v>
      </c>
      <c r="D938" t="s">
        <v>283</v>
      </c>
      <c r="E938" t="s">
        <v>249</v>
      </c>
      <c r="F938" t="s">
        <v>301</v>
      </c>
      <c r="G938">
        <v>6631</v>
      </c>
    </row>
    <row r="939" spans="1:7" x14ac:dyDescent="0.35">
      <c r="A939" s="13">
        <v>44562</v>
      </c>
      <c r="B939">
        <f>YEAR(Table2__2[[#This Row],[Year1]])</f>
        <v>2022</v>
      </c>
      <c r="C939" t="s">
        <v>289</v>
      </c>
      <c r="D939" t="s">
        <v>283</v>
      </c>
      <c r="E939" t="s">
        <v>239</v>
      </c>
      <c r="F939" t="s">
        <v>301</v>
      </c>
      <c r="G939">
        <v>5222</v>
      </c>
    </row>
    <row r="940" spans="1:7" x14ac:dyDescent="0.35">
      <c r="A940" s="13">
        <v>44562</v>
      </c>
      <c r="B940">
        <f>YEAR(Table2__2[[#This Row],[Year1]])</f>
        <v>2022</v>
      </c>
      <c r="C940" t="s">
        <v>289</v>
      </c>
      <c r="D940" t="s">
        <v>283</v>
      </c>
      <c r="E940" t="s">
        <v>240</v>
      </c>
      <c r="F940" t="s">
        <v>301</v>
      </c>
      <c r="G940">
        <v>85</v>
      </c>
    </row>
    <row r="941" spans="1:7" x14ac:dyDescent="0.35">
      <c r="A941" s="13">
        <v>44562</v>
      </c>
      <c r="B941">
        <f>YEAR(Table2__2[[#This Row],[Year1]])</f>
        <v>2022</v>
      </c>
      <c r="C941" t="s">
        <v>289</v>
      </c>
      <c r="D941" t="s">
        <v>283</v>
      </c>
      <c r="E941" t="s">
        <v>250</v>
      </c>
      <c r="F941" t="s">
        <v>301</v>
      </c>
      <c r="G941">
        <v>3190</v>
      </c>
    </row>
    <row r="942" spans="1:7" x14ac:dyDescent="0.35">
      <c r="A942" s="13">
        <v>44562</v>
      </c>
      <c r="B942">
        <f>YEAR(Table2__2[[#This Row],[Year1]])</f>
        <v>2022</v>
      </c>
      <c r="C942" t="s">
        <v>289</v>
      </c>
      <c r="D942" t="s">
        <v>283</v>
      </c>
      <c r="E942" t="s">
        <v>251</v>
      </c>
      <c r="F942" t="s">
        <v>301</v>
      </c>
      <c r="G942">
        <v>351</v>
      </c>
    </row>
    <row r="943" spans="1:7" x14ac:dyDescent="0.35">
      <c r="A943" s="13">
        <v>44562</v>
      </c>
      <c r="B943">
        <f>YEAR(Table2__2[[#This Row],[Year1]])</f>
        <v>2022</v>
      </c>
      <c r="C943" t="s">
        <v>289</v>
      </c>
      <c r="D943" t="s">
        <v>283</v>
      </c>
      <c r="E943" t="s">
        <v>229</v>
      </c>
      <c r="F943" t="s">
        <v>301</v>
      </c>
      <c r="G943">
        <v>30</v>
      </c>
    </row>
    <row r="944" spans="1:7" x14ac:dyDescent="0.35">
      <c r="A944" s="13">
        <v>44562</v>
      </c>
      <c r="B944">
        <f>YEAR(Table2__2[[#This Row],[Year1]])</f>
        <v>2022</v>
      </c>
      <c r="C944" t="s">
        <v>289</v>
      </c>
      <c r="D944" t="s">
        <v>283</v>
      </c>
      <c r="E944" t="s">
        <v>252</v>
      </c>
      <c r="F944" t="s">
        <v>301</v>
      </c>
      <c r="G944">
        <v>2689</v>
      </c>
    </row>
    <row r="945" spans="1:7" x14ac:dyDescent="0.35">
      <c r="A945" s="13">
        <v>44562</v>
      </c>
      <c r="B945">
        <f>YEAR(Table2__2[[#This Row],[Year1]])</f>
        <v>2022</v>
      </c>
      <c r="C945" t="s">
        <v>289</v>
      </c>
      <c r="D945" t="s">
        <v>283</v>
      </c>
      <c r="E945" t="s">
        <v>253</v>
      </c>
      <c r="F945" t="s">
        <v>301</v>
      </c>
      <c r="G945">
        <v>1768</v>
      </c>
    </row>
    <row r="946" spans="1:7" x14ac:dyDescent="0.35">
      <c r="A946" s="13">
        <v>44562</v>
      </c>
      <c r="B946">
        <f>YEAR(Table2__2[[#This Row],[Year1]])</f>
        <v>2022</v>
      </c>
      <c r="C946" t="s">
        <v>289</v>
      </c>
      <c r="D946" t="s">
        <v>283</v>
      </c>
      <c r="E946" t="s">
        <v>254</v>
      </c>
      <c r="F946" t="s">
        <v>301</v>
      </c>
      <c r="G946">
        <v>9819</v>
      </c>
    </row>
    <row r="947" spans="1:7" x14ac:dyDescent="0.35">
      <c r="A947" s="13">
        <v>44562</v>
      </c>
      <c r="B947">
        <f>YEAR(Table2__2[[#This Row],[Year1]])</f>
        <v>2022</v>
      </c>
      <c r="C947" t="s">
        <v>289</v>
      </c>
      <c r="D947" t="s">
        <v>283</v>
      </c>
      <c r="E947" t="s">
        <v>255</v>
      </c>
      <c r="F947" t="s">
        <v>301</v>
      </c>
      <c r="G947">
        <v>522</v>
      </c>
    </row>
    <row r="948" spans="1:7" x14ac:dyDescent="0.35">
      <c r="A948" s="13">
        <v>44562</v>
      </c>
      <c r="B948">
        <f>YEAR(Table2__2[[#This Row],[Year1]])</f>
        <v>2022</v>
      </c>
      <c r="C948" t="s">
        <v>289</v>
      </c>
      <c r="D948" t="s">
        <v>283</v>
      </c>
      <c r="E948" t="s">
        <v>230</v>
      </c>
      <c r="F948" t="s">
        <v>301</v>
      </c>
      <c r="G948">
        <v>37</v>
      </c>
    </row>
    <row r="949" spans="1:7" x14ac:dyDescent="0.35">
      <c r="A949" s="13">
        <v>44562</v>
      </c>
      <c r="B949">
        <f>YEAR(Table2__2[[#This Row],[Year1]])</f>
        <v>2022</v>
      </c>
      <c r="C949" t="s">
        <v>289</v>
      </c>
      <c r="D949" t="s">
        <v>283</v>
      </c>
      <c r="E949" t="s">
        <v>298</v>
      </c>
      <c r="F949" t="s">
        <v>301</v>
      </c>
      <c r="G949">
        <v>7949</v>
      </c>
    </row>
    <row r="950" spans="1:7" x14ac:dyDescent="0.35">
      <c r="A950" s="13">
        <v>44562</v>
      </c>
      <c r="B950">
        <f>YEAR(Table2__2[[#This Row],[Year1]])</f>
        <v>2022</v>
      </c>
      <c r="C950" t="s">
        <v>289</v>
      </c>
      <c r="D950" t="s">
        <v>283</v>
      </c>
      <c r="E950" t="s">
        <v>257</v>
      </c>
      <c r="F950" t="s">
        <v>301</v>
      </c>
    </row>
    <row r="951" spans="1:7" x14ac:dyDescent="0.35">
      <c r="A951" s="13">
        <v>44562</v>
      </c>
      <c r="B951">
        <f>YEAR(Table2__2[[#This Row],[Year1]])</f>
        <v>2022</v>
      </c>
      <c r="C951" t="s">
        <v>290</v>
      </c>
      <c r="D951" t="s">
        <v>425</v>
      </c>
      <c r="E951" t="s">
        <v>244</v>
      </c>
      <c r="F951" t="s">
        <v>302</v>
      </c>
      <c r="G951">
        <v>27</v>
      </c>
    </row>
    <row r="952" spans="1:7" x14ac:dyDescent="0.35">
      <c r="A952" s="13">
        <v>44562</v>
      </c>
      <c r="B952">
        <f>YEAR(Table2__2[[#This Row],[Year1]])</f>
        <v>2022</v>
      </c>
      <c r="C952" t="s">
        <v>290</v>
      </c>
      <c r="D952" t="s">
        <v>425</v>
      </c>
      <c r="E952" t="s">
        <v>245</v>
      </c>
      <c r="F952" t="s">
        <v>302</v>
      </c>
      <c r="G952">
        <v>5</v>
      </c>
    </row>
    <row r="953" spans="1:7" x14ac:dyDescent="0.35">
      <c r="A953" s="13">
        <v>44562</v>
      </c>
      <c r="B953">
        <f>YEAR(Table2__2[[#This Row],[Year1]])</f>
        <v>2022</v>
      </c>
      <c r="C953" t="s">
        <v>290</v>
      </c>
      <c r="D953" t="s">
        <v>425</v>
      </c>
      <c r="E953" t="s">
        <v>246</v>
      </c>
      <c r="F953" t="s">
        <v>302</v>
      </c>
      <c r="G953">
        <v>72</v>
      </c>
    </row>
    <row r="954" spans="1:7" x14ac:dyDescent="0.35">
      <c r="A954" s="13">
        <v>44562</v>
      </c>
      <c r="B954">
        <f>YEAR(Table2__2[[#This Row],[Year1]])</f>
        <v>2022</v>
      </c>
      <c r="C954" t="s">
        <v>290</v>
      </c>
      <c r="D954" t="s">
        <v>425</v>
      </c>
      <c r="E954" t="s">
        <v>234</v>
      </c>
      <c r="F954" t="s">
        <v>302</v>
      </c>
      <c r="G954">
        <v>42</v>
      </c>
    </row>
    <row r="955" spans="1:7" x14ac:dyDescent="0.35">
      <c r="A955" s="13">
        <v>44562</v>
      </c>
      <c r="B955">
        <f>YEAR(Table2__2[[#This Row],[Year1]])</f>
        <v>2022</v>
      </c>
      <c r="C955" t="s">
        <v>290</v>
      </c>
      <c r="D955" t="s">
        <v>425</v>
      </c>
      <c r="E955" t="s">
        <v>258</v>
      </c>
      <c r="F955" t="s">
        <v>302</v>
      </c>
      <c r="G955">
        <v>11</v>
      </c>
    </row>
    <row r="956" spans="1:7" x14ac:dyDescent="0.35">
      <c r="A956" s="13">
        <v>44562</v>
      </c>
      <c r="B956">
        <f>YEAR(Table2__2[[#This Row],[Year1]])</f>
        <v>2022</v>
      </c>
      <c r="C956" t="s">
        <v>290</v>
      </c>
      <c r="D956" t="s">
        <v>425</v>
      </c>
      <c r="E956" t="s">
        <v>247</v>
      </c>
      <c r="F956" t="s">
        <v>302</v>
      </c>
      <c r="G956">
        <v>76</v>
      </c>
    </row>
    <row r="957" spans="1:7" x14ac:dyDescent="0.35">
      <c r="A957" s="13">
        <v>44562</v>
      </c>
      <c r="B957">
        <f>YEAR(Table2__2[[#This Row],[Year1]])</f>
        <v>2022</v>
      </c>
      <c r="C957" t="s">
        <v>290</v>
      </c>
      <c r="D957" t="s">
        <v>425</v>
      </c>
      <c r="E957" t="s">
        <v>259</v>
      </c>
      <c r="F957" t="s">
        <v>302</v>
      </c>
      <c r="G957">
        <v>41</v>
      </c>
    </row>
    <row r="958" spans="1:7" x14ac:dyDescent="0.35">
      <c r="A958" s="13">
        <v>44562</v>
      </c>
      <c r="B958">
        <f>YEAR(Table2__2[[#This Row],[Year1]])</f>
        <v>2022</v>
      </c>
      <c r="C958" t="s">
        <v>290</v>
      </c>
      <c r="D958" t="s">
        <v>425</v>
      </c>
      <c r="E958" t="s">
        <v>260</v>
      </c>
      <c r="F958" t="s">
        <v>302</v>
      </c>
      <c r="G958">
        <v>17</v>
      </c>
    </row>
    <row r="959" spans="1:7" x14ac:dyDescent="0.35">
      <c r="A959" s="13">
        <v>44562</v>
      </c>
      <c r="B959">
        <f>YEAR(Table2__2[[#This Row],[Year1]])</f>
        <v>2022</v>
      </c>
      <c r="C959" t="s">
        <v>290</v>
      </c>
      <c r="D959" t="s">
        <v>425</v>
      </c>
      <c r="E959" t="s">
        <v>235</v>
      </c>
      <c r="F959" t="s">
        <v>302</v>
      </c>
      <c r="G959">
        <v>57</v>
      </c>
    </row>
    <row r="960" spans="1:7" x14ac:dyDescent="0.35">
      <c r="A960" s="13">
        <v>44562</v>
      </c>
      <c r="B960">
        <f>YEAR(Table2__2[[#This Row],[Year1]])</f>
        <v>2022</v>
      </c>
      <c r="C960" t="s">
        <v>290</v>
      </c>
      <c r="D960" t="s">
        <v>425</v>
      </c>
      <c r="E960" t="s">
        <v>226</v>
      </c>
      <c r="F960" t="s">
        <v>302</v>
      </c>
      <c r="G960">
        <v>2759</v>
      </c>
    </row>
    <row r="961" spans="1:7" x14ac:dyDescent="0.35">
      <c r="A961" s="13">
        <v>44562</v>
      </c>
      <c r="B961">
        <f>YEAR(Table2__2[[#This Row],[Year1]])</f>
        <v>2022</v>
      </c>
      <c r="C961" t="s">
        <v>290</v>
      </c>
      <c r="D961" t="s">
        <v>425</v>
      </c>
      <c r="E961" t="s">
        <v>261</v>
      </c>
      <c r="F961" t="s">
        <v>302</v>
      </c>
    </row>
    <row r="962" spans="1:7" x14ac:dyDescent="0.35">
      <c r="A962" s="13">
        <v>44562</v>
      </c>
      <c r="B962">
        <f>YEAR(Table2__2[[#This Row],[Year1]])</f>
        <v>2022</v>
      </c>
      <c r="C962" t="s">
        <v>290</v>
      </c>
      <c r="D962" t="s">
        <v>425</v>
      </c>
      <c r="E962" t="s">
        <v>248</v>
      </c>
      <c r="F962" t="s">
        <v>302</v>
      </c>
      <c r="G962">
        <v>162</v>
      </c>
    </row>
    <row r="963" spans="1:7" x14ac:dyDescent="0.35">
      <c r="A963" s="13">
        <v>44562</v>
      </c>
      <c r="B963">
        <f>YEAR(Table2__2[[#This Row],[Year1]])</f>
        <v>2022</v>
      </c>
      <c r="C963" t="s">
        <v>290</v>
      </c>
      <c r="D963" t="s">
        <v>425</v>
      </c>
      <c r="E963" t="s">
        <v>262</v>
      </c>
      <c r="F963" t="s">
        <v>302</v>
      </c>
      <c r="G963">
        <v>4</v>
      </c>
    </row>
    <row r="964" spans="1:7" x14ac:dyDescent="0.35">
      <c r="A964" s="13">
        <v>44562</v>
      </c>
      <c r="B964">
        <f>YEAR(Table2__2[[#This Row],[Year1]])</f>
        <v>2022</v>
      </c>
      <c r="C964" t="s">
        <v>290</v>
      </c>
      <c r="D964" t="s">
        <v>425</v>
      </c>
      <c r="E964" t="s">
        <v>263</v>
      </c>
      <c r="F964" t="s">
        <v>302</v>
      </c>
      <c r="G964">
        <v>236</v>
      </c>
    </row>
    <row r="965" spans="1:7" x14ac:dyDescent="0.35">
      <c r="A965" s="13">
        <v>44562</v>
      </c>
      <c r="B965">
        <f>YEAR(Table2__2[[#This Row],[Year1]])</f>
        <v>2022</v>
      </c>
      <c r="C965" t="s">
        <v>290</v>
      </c>
      <c r="D965" t="s">
        <v>425</v>
      </c>
      <c r="E965" t="s">
        <v>249</v>
      </c>
      <c r="F965" t="s">
        <v>302</v>
      </c>
      <c r="G965">
        <v>169</v>
      </c>
    </row>
    <row r="966" spans="1:7" x14ac:dyDescent="0.35">
      <c r="A966" s="13">
        <v>44562</v>
      </c>
      <c r="B966">
        <f>YEAR(Table2__2[[#This Row],[Year1]])</f>
        <v>2022</v>
      </c>
      <c r="C966" t="s">
        <v>290</v>
      </c>
      <c r="D966" t="s">
        <v>425</v>
      </c>
      <c r="E966" t="s">
        <v>239</v>
      </c>
      <c r="F966" t="s">
        <v>302</v>
      </c>
      <c r="G966">
        <v>24</v>
      </c>
    </row>
    <row r="967" spans="1:7" x14ac:dyDescent="0.35">
      <c r="A967" s="13">
        <v>44562</v>
      </c>
      <c r="B967">
        <f>YEAR(Table2__2[[#This Row],[Year1]])</f>
        <v>2022</v>
      </c>
      <c r="C967" t="s">
        <v>290</v>
      </c>
      <c r="D967" t="s">
        <v>425</v>
      </c>
      <c r="E967" t="s">
        <v>264</v>
      </c>
      <c r="F967" t="s">
        <v>302</v>
      </c>
      <c r="G967">
        <v>63</v>
      </c>
    </row>
    <row r="968" spans="1:7" x14ac:dyDescent="0.35">
      <c r="A968" s="13">
        <v>44562</v>
      </c>
      <c r="B968">
        <f>YEAR(Table2__2[[#This Row],[Year1]])</f>
        <v>2022</v>
      </c>
      <c r="C968" t="s">
        <v>290</v>
      </c>
      <c r="D968" t="s">
        <v>425</v>
      </c>
      <c r="E968" t="s">
        <v>240</v>
      </c>
      <c r="F968" t="s">
        <v>302</v>
      </c>
      <c r="G968">
        <v>135</v>
      </c>
    </row>
    <row r="969" spans="1:7" x14ac:dyDescent="0.35">
      <c r="A969" s="13">
        <v>44562</v>
      </c>
      <c r="B969">
        <f>YEAR(Table2__2[[#This Row],[Year1]])</f>
        <v>2022</v>
      </c>
      <c r="C969" t="s">
        <v>290</v>
      </c>
      <c r="D969" t="s">
        <v>425</v>
      </c>
      <c r="E969" t="s">
        <v>250</v>
      </c>
      <c r="F969" t="s">
        <v>302</v>
      </c>
      <c r="G969">
        <v>39</v>
      </c>
    </row>
    <row r="970" spans="1:7" x14ac:dyDescent="0.35">
      <c r="A970" s="13">
        <v>44562</v>
      </c>
      <c r="B970">
        <f>YEAR(Table2__2[[#This Row],[Year1]])</f>
        <v>2022</v>
      </c>
      <c r="C970" t="s">
        <v>290</v>
      </c>
      <c r="D970" t="s">
        <v>425</v>
      </c>
      <c r="E970" t="s">
        <v>265</v>
      </c>
      <c r="F970" t="s">
        <v>302</v>
      </c>
      <c r="G970">
        <v>79</v>
      </c>
    </row>
    <row r="971" spans="1:7" x14ac:dyDescent="0.35">
      <c r="A971" s="13">
        <v>44562</v>
      </c>
      <c r="B971">
        <f>YEAR(Table2__2[[#This Row],[Year1]])</f>
        <v>2022</v>
      </c>
      <c r="C971" t="s">
        <v>290</v>
      </c>
      <c r="D971" t="s">
        <v>425</v>
      </c>
      <c r="E971" t="s">
        <v>266</v>
      </c>
      <c r="F971" t="s">
        <v>302</v>
      </c>
      <c r="G971">
        <v>18</v>
      </c>
    </row>
    <row r="972" spans="1:7" x14ac:dyDescent="0.35">
      <c r="A972" s="13">
        <v>44562</v>
      </c>
      <c r="B972">
        <f>YEAR(Table2__2[[#This Row],[Year1]])</f>
        <v>2022</v>
      </c>
      <c r="C972" t="s">
        <v>290</v>
      </c>
      <c r="D972" t="s">
        <v>425</v>
      </c>
      <c r="E972" t="s">
        <v>267</v>
      </c>
      <c r="F972" t="s">
        <v>302</v>
      </c>
      <c r="G972">
        <v>780</v>
      </c>
    </row>
    <row r="973" spans="1:7" x14ac:dyDescent="0.35">
      <c r="A973" s="13">
        <v>44562</v>
      </c>
      <c r="B973">
        <f>YEAR(Table2__2[[#This Row],[Year1]])</f>
        <v>2022</v>
      </c>
      <c r="C973" t="s">
        <v>290</v>
      </c>
      <c r="D973" t="s">
        <v>425</v>
      </c>
      <c r="E973" t="s">
        <v>268</v>
      </c>
      <c r="F973" t="s">
        <v>302</v>
      </c>
      <c r="G973">
        <v>22</v>
      </c>
    </row>
    <row r="974" spans="1:7" x14ac:dyDescent="0.35">
      <c r="A974" s="13">
        <v>44562</v>
      </c>
      <c r="B974">
        <f>YEAR(Table2__2[[#This Row],[Year1]])</f>
        <v>2022</v>
      </c>
      <c r="C974" t="s">
        <v>290</v>
      </c>
      <c r="D974" t="s">
        <v>425</v>
      </c>
      <c r="E974" t="s">
        <v>269</v>
      </c>
      <c r="F974" t="s">
        <v>302</v>
      </c>
      <c r="G974">
        <v>121</v>
      </c>
    </row>
    <row r="975" spans="1:7" x14ac:dyDescent="0.35">
      <c r="A975" s="13">
        <v>44562</v>
      </c>
      <c r="B975">
        <f>YEAR(Table2__2[[#This Row],[Year1]])</f>
        <v>2022</v>
      </c>
      <c r="C975" t="s">
        <v>290</v>
      </c>
      <c r="D975" t="s">
        <v>425</v>
      </c>
      <c r="E975" t="s">
        <v>229</v>
      </c>
      <c r="F975" t="s">
        <v>302</v>
      </c>
      <c r="G975">
        <v>10</v>
      </c>
    </row>
    <row r="976" spans="1:7" x14ac:dyDescent="0.35">
      <c r="A976" s="13">
        <v>44562</v>
      </c>
      <c r="B976">
        <f>YEAR(Table2__2[[#This Row],[Year1]])</f>
        <v>2022</v>
      </c>
      <c r="C976" t="s">
        <v>290</v>
      </c>
      <c r="D976" t="s">
        <v>425</v>
      </c>
      <c r="E976" t="s">
        <v>252</v>
      </c>
      <c r="F976" t="s">
        <v>302</v>
      </c>
      <c r="G976">
        <v>64</v>
      </c>
    </row>
    <row r="977" spans="1:7" x14ac:dyDescent="0.35">
      <c r="A977" s="13">
        <v>44562</v>
      </c>
      <c r="B977">
        <f>YEAR(Table2__2[[#This Row],[Year1]])</f>
        <v>2022</v>
      </c>
      <c r="C977" t="s">
        <v>290</v>
      </c>
      <c r="D977" t="s">
        <v>425</v>
      </c>
      <c r="E977" t="s">
        <v>253</v>
      </c>
      <c r="F977" t="s">
        <v>302</v>
      </c>
      <c r="G977">
        <v>105</v>
      </c>
    </row>
    <row r="978" spans="1:7" x14ac:dyDescent="0.35">
      <c r="A978" s="13">
        <v>44562</v>
      </c>
      <c r="B978">
        <f>YEAR(Table2__2[[#This Row],[Year1]])</f>
        <v>2022</v>
      </c>
      <c r="C978" t="s">
        <v>290</v>
      </c>
      <c r="D978" t="s">
        <v>425</v>
      </c>
      <c r="E978" t="s">
        <v>254</v>
      </c>
      <c r="F978" t="s">
        <v>302</v>
      </c>
      <c r="G978">
        <v>43</v>
      </c>
    </row>
    <row r="979" spans="1:7" x14ac:dyDescent="0.35">
      <c r="A979" s="13">
        <v>44562</v>
      </c>
      <c r="B979">
        <f>YEAR(Table2__2[[#This Row],[Year1]])</f>
        <v>2022</v>
      </c>
      <c r="C979" t="s">
        <v>290</v>
      </c>
      <c r="D979" t="s">
        <v>425</v>
      </c>
      <c r="E979" t="s">
        <v>255</v>
      </c>
      <c r="F979" t="s">
        <v>302</v>
      </c>
      <c r="G979">
        <v>17</v>
      </c>
    </row>
    <row r="980" spans="1:7" x14ac:dyDescent="0.35">
      <c r="A980" s="13">
        <v>44562</v>
      </c>
      <c r="B980">
        <f>YEAR(Table2__2[[#This Row],[Year1]])</f>
        <v>2022</v>
      </c>
      <c r="C980" t="s">
        <v>290</v>
      </c>
      <c r="D980" t="s">
        <v>425</v>
      </c>
      <c r="E980" t="s">
        <v>270</v>
      </c>
      <c r="F980" t="s">
        <v>302</v>
      </c>
      <c r="G980">
        <v>36</v>
      </c>
    </row>
    <row r="981" spans="1:7" x14ac:dyDescent="0.35">
      <c r="A981" s="13">
        <v>44562</v>
      </c>
      <c r="B981">
        <f>YEAR(Table2__2[[#This Row],[Year1]])</f>
        <v>2022</v>
      </c>
      <c r="C981" t="s">
        <v>290</v>
      </c>
      <c r="D981" t="s">
        <v>426</v>
      </c>
      <c r="E981" t="s">
        <v>271</v>
      </c>
      <c r="F981" t="s">
        <v>302</v>
      </c>
      <c r="G981">
        <v>132</v>
      </c>
    </row>
    <row r="982" spans="1:7" x14ac:dyDescent="0.35">
      <c r="A982" s="13">
        <v>44562</v>
      </c>
      <c r="B982">
        <f>YEAR(Table2__2[[#This Row],[Year1]])</f>
        <v>2022</v>
      </c>
      <c r="C982" t="s">
        <v>291</v>
      </c>
      <c r="D982" t="s">
        <v>425</v>
      </c>
      <c r="E982" t="s">
        <v>244</v>
      </c>
      <c r="F982" t="s">
        <v>302</v>
      </c>
      <c r="G982">
        <v>8183</v>
      </c>
    </row>
    <row r="983" spans="1:7" x14ac:dyDescent="0.35">
      <c r="A983" s="13">
        <v>44562</v>
      </c>
      <c r="B983">
        <f>YEAR(Table2__2[[#This Row],[Year1]])</f>
        <v>2022</v>
      </c>
      <c r="C983" t="s">
        <v>291</v>
      </c>
      <c r="D983" t="s">
        <v>425</v>
      </c>
      <c r="E983" t="s">
        <v>245</v>
      </c>
      <c r="F983" t="s">
        <v>302</v>
      </c>
      <c r="G983">
        <v>1995</v>
      </c>
    </row>
    <row r="984" spans="1:7" x14ac:dyDescent="0.35">
      <c r="A984" s="13">
        <v>44562</v>
      </c>
      <c r="B984">
        <f>YEAR(Table2__2[[#This Row],[Year1]])</f>
        <v>2022</v>
      </c>
      <c r="C984" t="s">
        <v>291</v>
      </c>
      <c r="D984" t="s">
        <v>425</v>
      </c>
      <c r="E984" t="s">
        <v>246</v>
      </c>
      <c r="F984" t="s">
        <v>302</v>
      </c>
      <c r="G984">
        <v>6971</v>
      </c>
    </row>
    <row r="985" spans="1:7" x14ac:dyDescent="0.35">
      <c r="A985" s="13">
        <v>44562</v>
      </c>
      <c r="B985">
        <f>YEAR(Table2__2[[#This Row],[Year1]])</f>
        <v>2022</v>
      </c>
      <c r="C985" t="s">
        <v>291</v>
      </c>
      <c r="D985" t="s">
        <v>425</v>
      </c>
      <c r="E985" t="s">
        <v>234</v>
      </c>
      <c r="F985" t="s">
        <v>302</v>
      </c>
      <c r="G985">
        <v>1240</v>
      </c>
    </row>
    <row r="986" spans="1:7" x14ac:dyDescent="0.35">
      <c r="A986" s="13">
        <v>44562</v>
      </c>
      <c r="B986">
        <f>YEAR(Table2__2[[#This Row],[Year1]])</f>
        <v>2022</v>
      </c>
      <c r="C986" t="s">
        <v>291</v>
      </c>
      <c r="D986" t="s">
        <v>425</v>
      </c>
      <c r="E986" t="s">
        <v>247</v>
      </c>
      <c r="F986" t="s">
        <v>302</v>
      </c>
      <c r="G986">
        <v>8554</v>
      </c>
    </row>
    <row r="987" spans="1:7" x14ac:dyDescent="0.35">
      <c r="A987" s="13">
        <v>44562</v>
      </c>
      <c r="B987">
        <f>YEAR(Table2__2[[#This Row],[Year1]])</f>
        <v>2022</v>
      </c>
      <c r="C987" t="s">
        <v>291</v>
      </c>
      <c r="D987" t="s">
        <v>425</v>
      </c>
      <c r="E987" t="s">
        <v>259</v>
      </c>
      <c r="F987" t="s">
        <v>302</v>
      </c>
      <c r="G987">
        <v>13004</v>
      </c>
    </row>
    <row r="988" spans="1:7" x14ac:dyDescent="0.35">
      <c r="A988" s="13">
        <v>44562</v>
      </c>
      <c r="B988">
        <f>YEAR(Table2__2[[#This Row],[Year1]])</f>
        <v>2022</v>
      </c>
      <c r="C988" t="s">
        <v>291</v>
      </c>
      <c r="D988" t="s">
        <v>425</v>
      </c>
      <c r="E988" t="s">
        <v>260</v>
      </c>
      <c r="F988" t="s">
        <v>302</v>
      </c>
      <c r="G988">
        <v>2991</v>
      </c>
    </row>
    <row r="989" spans="1:7" x14ac:dyDescent="0.35">
      <c r="A989" s="13">
        <v>44562</v>
      </c>
      <c r="B989">
        <f>YEAR(Table2__2[[#This Row],[Year1]])</f>
        <v>2022</v>
      </c>
      <c r="C989" t="s">
        <v>291</v>
      </c>
      <c r="D989" t="s">
        <v>425</v>
      </c>
      <c r="E989" t="s">
        <v>235</v>
      </c>
      <c r="F989" t="s">
        <v>302</v>
      </c>
      <c r="G989">
        <v>3560</v>
      </c>
    </row>
    <row r="990" spans="1:7" x14ac:dyDescent="0.35">
      <c r="A990" s="13">
        <v>44562</v>
      </c>
      <c r="B990">
        <f>YEAR(Table2__2[[#This Row],[Year1]])</f>
        <v>2022</v>
      </c>
      <c r="C990" t="s">
        <v>291</v>
      </c>
      <c r="D990" t="s">
        <v>425</v>
      </c>
      <c r="E990" t="s">
        <v>226</v>
      </c>
      <c r="F990" t="s">
        <v>302</v>
      </c>
      <c r="G990">
        <v>1919</v>
      </c>
    </row>
    <row r="991" spans="1:7" x14ac:dyDescent="0.35">
      <c r="A991" s="13">
        <v>44562</v>
      </c>
      <c r="B991">
        <f>YEAR(Table2__2[[#This Row],[Year1]])</f>
        <v>2022</v>
      </c>
      <c r="C991" t="s">
        <v>291</v>
      </c>
      <c r="D991" t="s">
        <v>425</v>
      </c>
      <c r="E991" t="s">
        <v>248</v>
      </c>
      <c r="F991" t="s">
        <v>302</v>
      </c>
      <c r="G991">
        <v>8799</v>
      </c>
    </row>
    <row r="992" spans="1:7" x14ac:dyDescent="0.35">
      <c r="A992" s="13">
        <v>44562</v>
      </c>
      <c r="B992">
        <f>YEAR(Table2__2[[#This Row],[Year1]])</f>
        <v>2022</v>
      </c>
      <c r="C992" t="s">
        <v>291</v>
      </c>
      <c r="D992" t="s">
        <v>425</v>
      </c>
      <c r="E992" t="s">
        <v>249</v>
      </c>
      <c r="F992" t="s">
        <v>302</v>
      </c>
      <c r="G992">
        <v>6601</v>
      </c>
    </row>
    <row r="993" spans="1:7" x14ac:dyDescent="0.35">
      <c r="A993" s="13">
        <v>44562</v>
      </c>
      <c r="B993">
        <f>YEAR(Table2__2[[#This Row],[Year1]])</f>
        <v>2022</v>
      </c>
      <c r="C993" t="s">
        <v>291</v>
      </c>
      <c r="D993" t="s">
        <v>425</v>
      </c>
      <c r="E993" t="s">
        <v>239</v>
      </c>
      <c r="F993" t="s">
        <v>302</v>
      </c>
      <c r="G993">
        <v>9621</v>
      </c>
    </row>
    <row r="994" spans="1:7" x14ac:dyDescent="0.35">
      <c r="A994" s="13">
        <v>44562</v>
      </c>
      <c r="B994">
        <f>YEAR(Table2__2[[#This Row],[Year1]])</f>
        <v>2022</v>
      </c>
      <c r="C994" t="s">
        <v>291</v>
      </c>
      <c r="D994" t="s">
        <v>425</v>
      </c>
      <c r="E994" t="s">
        <v>240</v>
      </c>
      <c r="F994" t="s">
        <v>302</v>
      </c>
      <c r="G994">
        <v>8637</v>
      </c>
    </row>
    <row r="995" spans="1:7" x14ac:dyDescent="0.35">
      <c r="A995" s="13">
        <v>44562</v>
      </c>
      <c r="B995">
        <f>YEAR(Table2__2[[#This Row],[Year1]])</f>
        <v>2022</v>
      </c>
      <c r="C995" t="s">
        <v>291</v>
      </c>
      <c r="D995" t="s">
        <v>425</v>
      </c>
      <c r="E995" t="s">
        <v>250</v>
      </c>
      <c r="F995" t="s">
        <v>302</v>
      </c>
      <c r="G995">
        <v>10674</v>
      </c>
    </row>
    <row r="996" spans="1:7" x14ac:dyDescent="0.35">
      <c r="A996" s="13">
        <v>44562</v>
      </c>
      <c r="B996">
        <f>YEAR(Table2__2[[#This Row],[Year1]])</f>
        <v>2022</v>
      </c>
      <c r="C996" t="s">
        <v>291</v>
      </c>
      <c r="D996" t="s">
        <v>425</v>
      </c>
      <c r="E996" t="s">
        <v>265</v>
      </c>
      <c r="F996" t="s">
        <v>302</v>
      </c>
      <c r="G996">
        <v>12137</v>
      </c>
    </row>
    <row r="997" spans="1:7" x14ac:dyDescent="0.35">
      <c r="A997" s="13">
        <v>44562</v>
      </c>
      <c r="B997">
        <f>YEAR(Table2__2[[#This Row],[Year1]])</f>
        <v>2022</v>
      </c>
      <c r="C997" t="s">
        <v>291</v>
      </c>
      <c r="D997" t="s">
        <v>425</v>
      </c>
      <c r="E997" t="s">
        <v>266</v>
      </c>
      <c r="F997" t="s">
        <v>302</v>
      </c>
      <c r="G997">
        <v>2847</v>
      </c>
    </row>
    <row r="998" spans="1:7" x14ac:dyDescent="0.35">
      <c r="A998" s="13">
        <v>44562</v>
      </c>
      <c r="B998">
        <f>YEAR(Table2__2[[#This Row],[Year1]])</f>
        <v>2022</v>
      </c>
      <c r="C998" t="s">
        <v>291</v>
      </c>
      <c r="D998" t="s">
        <v>425</v>
      </c>
      <c r="E998" t="s">
        <v>267</v>
      </c>
      <c r="F998" t="s">
        <v>302</v>
      </c>
      <c r="G998">
        <v>4286</v>
      </c>
    </row>
    <row r="999" spans="1:7" x14ac:dyDescent="0.35">
      <c r="A999" s="13">
        <v>44562</v>
      </c>
      <c r="B999">
        <f>YEAR(Table2__2[[#This Row],[Year1]])</f>
        <v>2022</v>
      </c>
      <c r="C999" t="s">
        <v>291</v>
      </c>
      <c r="D999" t="s">
        <v>425</v>
      </c>
      <c r="E999" t="s">
        <v>268</v>
      </c>
      <c r="F999" t="s">
        <v>302</v>
      </c>
      <c r="G999">
        <v>3046</v>
      </c>
    </row>
    <row r="1000" spans="1:7" x14ac:dyDescent="0.35">
      <c r="A1000" s="13">
        <v>44562</v>
      </c>
      <c r="B1000">
        <f>YEAR(Table2__2[[#This Row],[Year1]])</f>
        <v>2022</v>
      </c>
      <c r="C1000" t="s">
        <v>291</v>
      </c>
      <c r="D1000" t="s">
        <v>425</v>
      </c>
      <c r="E1000" t="s">
        <v>272</v>
      </c>
      <c r="F1000" t="s">
        <v>302</v>
      </c>
      <c r="G1000">
        <v>4321</v>
      </c>
    </row>
    <row r="1001" spans="1:7" x14ac:dyDescent="0.35">
      <c r="A1001" s="13">
        <v>44562</v>
      </c>
      <c r="B1001">
        <f>YEAR(Table2__2[[#This Row],[Year1]])</f>
        <v>2022</v>
      </c>
      <c r="C1001" t="s">
        <v>291</v>
      </c>
      <c r="D1001" t="s">
        <v>425</v>
      </c>
      <c r="E1001" t="s">
        <v>269</v>
      </c>
      <c r="F1001" t="s">
        <v>302</v>
      </c>
      <c r="G1001">
        <v>6432</v>
      </c>
    </row>
    <row r="1002" spans="1:7" x14ac:dyDescent="0.35">
      <c r="A1002" s="13">
        <v>44562</v>
      </c>
      <c r="B1002">
        <f>YEAR(Table2__2[[#This Row],[Year1]])</f>
        <v>2022</v>
      </c>
      <c r="C1002" t="s">
        <v>291</v>
      </c>
      <c r="D1002" t="s">
        <v>425</v>
      </c>
      <c r="E1002" t="s">
        <v>229</v>
      </c>
      <c r="F1002" t="s">
        <v>302</v>
      </c>
      <c r="G1002">
        <v>1108</v>
      </c>
    </row>
    <row r="1003" spans="1:7" x14ac:dyDescent="0.35">
      <c r="A1003" s="13">
        <v>44562</v>
      </c>
      <c r="B1003">
        <f>YEAR(Table2__2[[#This Row],[Year1]])</f>
        <v>2022</v>
      </c>
      <c r="C1003" t="s">
        <v>291</v>
      </c>
      <c r="D1003" t="s">
        <v>425</v>
      </c>
      <c r="E1003" t="s">
        <v>252</v>
      </c>
      <c r="F1003" t="s">
        <v>302</v>
      </c>
      <c r="G1003">
        <v>2850</v>
      </c>
    </row>
    <row r="1004" spans="1:7" x14ac:dyDescent="0.35">
      <c r="A1004" s="13">
        <v>44562</v>
      </c>
      <c r="B1004">
        <f>YEAR(Table2__2[[#This Row],[Year1]])</f>
        <v>2022</v>
      </c>
      <c r="C1004" t="s">
        <v>291</v>
      </c>
      <c r="D1004" t="s">
        <v>425</v>
      </c>
      <c r="E1004" t="s">
        <v>254</v>
      </c>
      <c r="F1004" t="s">
        <v>302</v>
      </c>
      <c r="G1004">
        <v>2450</v>
      </c>
    </row>
    <row r="1005" spans="1:7" x14ac:dyDescent="0.35">
      <c r="A1005" s="13">
        <v>44562</v>
      </c>
      <c r="B1005">
        <f>YEAR(Table2__2[[#This Row],[Year1]])</f>
        <v>2022</v>
      </c>
      <c r="C1005" t="s">
        <v>291</v>
      </c>
      <c r="D1005" t="s">
        <v>425</v>
      </c>
      <c r="E1005" t="s">
        <v>270</v>
      </c>
      <c r="F1005" t="s">
        <v>302</v>
      </c>
      <c r="G1005">
        <v>1667</v>
      </c>
    </row>
    <row r="1006" spans="1:7" x14ac:dyDescent="0.35">
      <c r="A1006" s="13">
        <v>44562</v>
      </c>
      <c r="B1006">
        <f>YEAR(Table2__2[[#This Row],[Year1]])</f>
        <v>2022</v>
      </c>
      <c r="C1006" t="s">
        <v>291</v>
      </c>
      <c r="D1006" t="s">
        <v>425</v>
      </c>
      <c r="E1006" t="s">
        <v>273</v>
      </c>
      <c r="F1006" t="s">
        <v>302</v>
      </c>
    </row>
    <row r="1007" spans="1:7" x14ac:dyDescent="0.35">
      <c r="A1007" s="13">
        <v>44562</v>
      </c>
      <c r="B1007">
        <f>YEAR(Table2__2[[#This Row],[Year1]])</f>
        <v>2022</v>
      </c>
      <c r="C1007" t="s">
        <v>291</v>
      </c>
      <c r="D1007" t="s">
        <v>425</v>
      </c>
      <c r="E1007" t="s">
        <v>39</v>
      </c>
      <c r="F1007" t="s">
        <v>302</v>
      </c>
      <c r="G1007">
        <v>8857</v>
      </c>
    </row>
    <row r="1010" spans="1:2" x14ac:dyDescent="0.35">
      <c r="A1010" s="1" t="s">
        <v>304</v>
      </c>
      <c r="B1010" s="1"/>
    </row>
    <row r="1012" spans="1:2" x14ac:dyDescent="0.35">
      <c r="A1012" s="24" t="s">
        <v>208</v>
      </c>
      <c r="B1012" s="25"/>
    </row>
    <row r="1013" spans="1:2" x14ac:dyDescent="0.35">
      <c r="A1013" s="25" t="s">
        <v>207</v>
      </c>
      <c r="B1013" s="25"/>
    </row>
    <row r="1014" spans="1:2" x14ac:dyDescent="0.35">
      <c r="A1014" s="2" t="s">
        <v>274</v>
      </c>
      <c r="B1014" s="2"/>
    </row>
    <row r="1015" spans="1:2" x14ac:dyDescent="0.35">
      <c r="A1015" s="26" t="s">
        <v>275</v>
      </c>
      <c r="B1015" s="26"/>
    </row>
    <row r="1016" spans="1:2" x14ac:dyDescent="0.35">
      <c r="A1016" s="16" t="s">
        <v>276</v>
      </c>
      <c r="B1016" s="16"/>
    </row>
    <row r="1017" spans="1:2" x14ac:dyDescent="0.35">
      <c r="A1017" s="16" t="s">
        <v>277</v>
      </c>
      <c r="B1017" s="16"/>
    </row>
    <row r="1018" spans="1:2" x14ac:dyDescent="0.35">
      <c r="A1018" s="2" t="s">
        <v>278</v>
      </c>
      <c r="B1018" s="2"/>
    </row>
    <row r="1019" spans="1:2" x14ac:dyDescent="0.35">
      <c r="A1019" s="2" t="s">
        <v>32</v>
      </c>
      <c r="B1019" s="2"/>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4CAD-AE9F-481D-8E6B-82144BF1CF2E}">
  <dimension ref="A1:F995"/>
  <sheetViews>
    <sheetView workbookViewId="0">
      <selection activeCell="B1" sqref="B1"/>
    </sheetView>
  </sheetViews>
  <sheetFormatPr defaultRowHeight="14.5" x14ac:dyDescent="0.35"/>
  <cols>
    <col min="1" max="1" width="11.54296875" customWidth="1"/>
    <col min="2" max="2" width="12.453125" customWidth="1"/>
    <col min="3" max="3" width="20.54296875" customWidth="1"/>
    <col min="4" max="4" width="19.453125" customWidth="1"/>
    <col min="5" max="5" width="12.453125" customWidth="1"/>
  </cols>
  <sheetData>
    <row r="1" spans="1:6" ht="15.5" x14ac:dyDescent="0.35">
      <c r="A1" s="39" t="s">
        <v>24</v>
      </c>
      <c r="B1" s="40" t="s">
        <v>314</v>
      </c>
      <c r="C1" s="40" t="s">
        <v>315</v>
      </c>
      <c r="D1" s="40" t="s">
        <v>316</v>
      </c>
      <c r="E1" s="40" t="s">
        <v>317</v>
      </c>
    </row>
    <row r="2" spans="1:6" x14ac:dyDescent="0.35">
      <c r="A2" s="29">
        <v>1892</v>
      </c>
      <c r="B2" s="30">
        <v>2801</v>
      </c>
      <c r="C2" s="31"/>
      <c r="D2" s="31"/>
      <c r="E2" s="31" t="s">
        <v>206</v>
      </c>
      <c r="F2" s="13"/>
    </row>
    <row r="3" spans="1:6" x14ac:dyDescent="0.35">
      <c r="A3" s="29">
        <v>1893</v>
      </c>
      <c r="B3" s="30">
        <v>1630</v>
      </c>
      <c r="C3" s="32"/>
      <c r="D3" s="32"/>
      <c r="E3" s="32" t="s">
        <v>206</v>
      </c>
    </row>
    <row r="4" spans="1:6" x14ac:dyDescent="0.35">
      <c r="A4" s="29">
        <v>1894</v>
      </c>
      <c r="B4" s="30">
        <v>1806</v>
      </c>
      <c r="C4" s="32"/>
      <c r="D4" s="32"/>
      <c r="E4" s="32" t="s">
        <v>206</v>
      </c>
    </row>
    <row r="5" spans="1:6" x14ac:dyDescent="0.35">
      <c r="A5" s="29">
        <v>1895</v>
      </c>
      <c r="B5" s="30">
        <v>2596</v>
      </c>
      <c r="C5" s="32"/>
      <c r="D5" s="32"/>
      <c r="E5" s="32" t="s">
        <v>206</v>
      </c>
    </row>
    <row r="6" spans="1:6" x14ac:dyDescent="0.35">
      <c r="A6" s="29">
        <v>1896</v>
      </c>
      <c r="B6" s="30">
        <v>3037</v>
      </c>
      <c r="C6" s="32"/>
      <c r="D6" s="32"/>
      <c r="E6" s="32" t="s">
        <v>206</v>
      </c>
    </row>
    <row r="7" spans="1:6" x14ac:dyDescent="0.35">
      <c r="A7" s="29">
        <v>1897</v>
      </c>
      <c r="B7" s="30">
        <v>1880</v>
      </c>
      <c r="C7" s="32"/>
      <c r="D7" s="32"/>
      <c r="E7" s="32" t="s">
        <v>206</v>
      </c>
    </row>
    <row r="8" spans="1:6" x14ac:dyDescent="0.35">
      <c r="A8" s="29">
        <v>1898</v>
      </c>
      <c r="B8" s="30">
        <v>3229</v>
      </c>
      <c r="C8" s="32"/>
      <c r="D8" s="32"/>
      <c r="E8" s="32" t="s">
        <v>206</v>
      </c>
    </row>
    <row r="9" spans="1:6" x14ac:dyDescent="0.35">
      <c r="A9" s="29">
        <v>1899</v>
      </c>
      <c r="B9" s="30">
        <v>4052</v>
      </c>
      <c r="C9" s="32"/>
      <c r="D9" s="32"/>
      <c r="E9" s="32" t="s">
        <v>206</v>
      </c>
    </row>
    <row r="10" spans="1:6" x14ac:dyDescent="0.35">
      <c r="A10" s="29">
        <v>1900</v>
      </c>
      <c r="B10" s="30">
        <v>4602</v>
      </c>
      <c r="C10" s="32"/>
      <c r="D10" s="32"/>
      <c r="E10" s="32" t="s">
        <v>206</v>
      </c>
    </row>
    <row r="11" spans="1:6" x14ac:dyDescent="0.35">
      <c r="A11" s="29">
        <v>1901</v>
      </c>
      <c r="B11" s="30">
        <v>3879</v>
      </c>
      <c r="C11" s="32"/>
      <c r="D11" s="32"/>
      <c r="E11" s="32" t="s">
        <v>206</v>
      </c>
    </row>
    <row r="12" spans="1:6" x14ac:dyDescent="0.35">
      <c r="A12" s="29">
        <v>1902</v>
      </c>
      <c r="B12" s="30">
        <v>5439</v>
      </c>
      <c r="C12" s="32"/>
      <c r="D12" s="32"/>
      <c r="E12" s="32" t="s">
        <v>206</v>
      </c>
    </row>
    <row r="13" spans="1:6" x14ac:dyDescent="0.35">
      <c r="A13" s="29">
        <v>1903</v>
      </c>
      <c r="B13" s="30">
        <v>9316</v>
      </c>
      <c r="C13" s="32"/>
      <c r="D13" s="32"/>
      <c r="E13" s="32" t="s">
        <v>206</v>
      </c>
    </row>
    <row r="14" spans="1:6" x14ac:dyDescent="0.35">
      <c r="A14" s="29">
        <v>1904</v>
      </c>
      <c r="B14" s="30">
        <v>8773</v>
      </c>
      <c r="C14" s="32"/>
      <c r="D14" s="32"/>
      <c r="E14" s="32" t="s">
        <v>206</v>
      </c>
    </row>
    <row r="15" spans="1:6" x14ac:dyDescent="0.35">
      <c r="A15" s="29">
        <v>1905</v>
      </c>
      <c r="B15" s="30">
        <v>12724</v>
      </c>
      <c r="C15" s="32"/>
      <c r="D15" s="32"/>
      <c r="E15" s="32" t="s">
        <v>206</v>
      </c>
    </row>
    <row r="16" spans="1:6" x14ac:dyDescent="0.35">
      <c r="A16" s="29">
        <v>1906</v>
      </c>
      <c r="B16" s="30">
        <v>13108</v>
      </c>
      <c r="C16" s="32"/>
      <c r="D16" s="32"/>
      <c r="E16" s="32" t="s">
        <v>206</v>
      </c>
    </row>
    <row r="17" spans="1:5" x14ac:dyDescent="0.35">
      <c r="A17" s="29">
        <v>1907</v>
      </c>
      <c r="B17" s="30">
        <v>14059</v>
      </c>
      <c r="C17" s="32"/>
      <c r="D17" s="32"/>
      <c r="E17" s="32" t="s">
        <v>206</v>
      </c>
    </row>
    <row r="18" spans="1:5" x14ac:dyDescent="0.35">
      <c r="A18" s="29">
        <v>1908</v>
      </c>
      <c r="B18" s="30">
        <v>12971</v>
      </c>
      <c r="C18" s="32"/>
      <c r="D18" s="32"/>
      <c r="E18" s="32" t="s">
        <v>206</v>
      </c>
    </row>
    <row r="19" spans="1:5" x14ac:dyDescent="0.35">
      <c r="A19" s="29">
        <v>1909</v>
      </c>
      <c r="B19" s="30">
        <v>12535</v>
      </c>
      <c r="C19" s="32"/>
      <c r="D19" s="32"/>
      <c r="E19" s="32" t="s">
        <v>206</v>
      </c>
    </row>
    <row r="20" spans="1:5" x14ac:dyDescent="0.35">
      <c r="A20" s="29">
        <v>1910</v>
      </c>
      <c r="B20" s="30">
        <v>26965</v>
      </c>
      <c r="C20" s="32"/>
      <c r="D20" s="32"/>
      <c r="E20" s="32" t="s">
        <v>206</v>
      </c>
    </row>
    <row r="21" spans="1:5" x14ac:dyDescent="0.35">
      <c r="A21" s="29">
        <v>1911</v>
      </c>
      <c r="B21" s="30">
        <v>25137</v>
      </c>
      <c r="C21" s="32"/>
      <c r="D21" s="32"/>
      <c r="E21" s="32" t="s">
        <v>206</v>
      </c>
    </row>
    <row r="22" spans="1:5" x14ac:dyDescent="0.35">
      <c r="A22" s="29">
        <v>1912</v>
      </c>
      <c r="B22" s="30">
        <v>18513</v>
      </c>
      <c r="C22" s="32"/>
      <c r="D22" s="32"/>
      <c r="E22" s="32" t="s">
        <v>206</v>
      </c>
    </row>
    <row r="23" spans="1:5" x14ac:dyDescent="0.35">
      <c r="A23" s="29">
        <v>1913</v>
      </c>
      <c r="B23" s="30">
        <v>23399</v>
      </c>
      <c r="C23" s="32"/>
      <c r="D23" s="32"/>
      <c r="E23" s="32" t="s">
        <v>206</v>
      </c>
    </row>
    <row r="24" spans="1:5" x14ac:dyDescent="0.35">
      <c r="A24" s="29">
        <v>1914</v>
      </c>
      <c r="B24" s="30">
        <v>37651</v>
      </c>
      <c r="C24" s="32"/>
      <c r="D24" s="32"/>
      <c r="E24" s="32" t="s">
        <v>206</v>
      </c>
    </row>
    <row r="25" spans="1:5" x14ac:dyDescent="0.35">
      <c r="A25" s="29">
        <v>1915</v>
      </c>
      <c r="B25" s="30">
        <v>26675</v>
      </c>
      <c r="C25" s="32"/>
      <c r="D25" s="32"/>
      <c r="E25" s="32" t="s">
        <v>206</v>
      </c>
    </row>
    <row r="26" spans="1:5" x14ac:dyDescent="0.35">
      <c r="A26" s="29">
        <v>1916</v>
      </c>
      <c r="B26" s="30">
        <v>21648</v>
      </c>
      <c r="C26" s="32"/>
      <c r="D26" s="32"/>
      <c r="E26" s="32" t="s">
        <v>206</v>
      </c>
    </row>
    <row r="27" spans="1:5" x14ac:dyDescent="0.35">
      <c r="A27" s="29">
        <v>1917</v>
      </c>
      <c r="B27" s="30">
        <v>17881</v>
      </c>
      <c r="C27" s="32"/>
      <c r="D27" s="32"/>
      <c r="E27" s="32" t="s">
        <v>206</v>
      </c>
    </row>
    <row r="28" spans="1:5" x14ac:dyDescent="0.35">
      <c r="A28" s="29">
        <v>1918</v>
      </c>
      <c r="B28" s="30">
        <v>8866</v>
      </c>
      <c r="C28" s="32"/>
      <c r="D28" s="32"/>
      <c r="E28" s="32" t="s">
        <v>206</v>
      </c>
    </row>
    <row r="29" spans="1:5" x14ac:dyDescent="0.35">
      <c r="A29" s="29">
        <v>1919</v>
      </c>
      <c r="B29" s="30">
        <v>11694</v>
      </c>
      <c r="C29" s="32"/>
      <c r="D29" s="32"/>
      <c r="E29" s="32" t="s">
        <v>206</v>
      </c>
    </row>
    <row r="30" spans="1:5" x14ac:dyDescent="0.35">
      <c r="A30" s="29">
        <v>1920</v>
      </c>
      <c r="B30" s="32">
        <v>14557</v>
      </c>
      <c r="C30" s="32"/>
      <c r="D30" s="32"/>
      <c r="E30" s="32" t="s">
        <v>206</v>
      </c>
    </row>
    <row r="31" spans="1:5" x14ac:dyDescent="0.35">
      <c r="A31" s="29">
        <v>1921</v>
      </c>
      <c r="B31" s="30">
        <v>18296</v>
      </c>
      <c r="C31" s="32"/>
      <c r="D31" s="32"/>
      <c r="E31" s="32" t="s">
        <v>206</v>
      </c>
    </row>
    <row r="32" spans="1:5" x14ac:dyDescent="0.35">
      <c r="A32" s="29">
        <v>1922</v>
      </c>
      <c r="B32" s="30">
        <v>18076</v>
      </c>
      <c r="C32" s="32"/>
      <c r="D32" s="32"/>
      <c r="E32" s="32" t="s">
        <v>206</v>
      </c>
    </row>
    <row r="33" spans="1:5" x14ac:dyDescent="0.35">
      <c r="A33" s="29">
        <v>1923</v>
      </c>
      <c r="B33" s="32">
        <v>24280</v>
      </c>
      <c r="C33" s="32"/>
      <c r="D33" s="32"/>
      <c r="E33" s="32" t="s">
        <v>206</v>
      </c>
    </row>
    <row r="34" spans="1:5" x14ac:dyDescent="0.35">
      <c r="A34" s="29">
        <v>1924</v>
      </c>
      <c r="B34" s="30">
        <v>36693</v>
      </c>
      <c r="C34" s="32"/>
      <c r="D34" s="32"/>
      <c r="E34" s="32" t="s">
        <v>206</v>
      </c>
    </row>
    <row r="35" spans="1:5" x14ac:dyDescent="0.35">
      <c r="A35" s="29">
        <v>1925</v>
      </c>
      <c r="B35" s="30">
        <v>34885</v>
      </c>
      <c r="C35" s="32"/>
      <c r="D35" s="32"/>
      <c r="E35" s="32" t="s">
        <v>206</v>
      </c>
    </row>
    <row r="36" spans="1:5" x14ac:dyDescent="0.35">
      <c r="A36" s="29">
        <v>1926</v>
      </c>
      <c r="B36" s="30">
        <v>31454</v>
      </c>
      <c r="C36" s="32"/>
      <c r="D36" s="32"/>
      <c r="E36" s="32" t="s">
        <v>206</v>
      </c>
    </row>
    <row r="37" spans="1:5" x14ac:dyDescent="0.35">
      <c r="A37" s="29">
        <v>1927</v>
      </c>
      <c r="B37" s="30">
        <v>31417</v>
      </c>
      <c r="C37" s="32"/>
      <c r="D37" s="32">
        <v>15012</v>
      </c>
      <c r="E37" s="32" t="s">
        <v>206</v>
      </c>
    </row>
    <row r="38" spans="1:5" x14ac:dyDescent="0.35">
      <c r="A38" s="29">
        <v>1928</v>
      </c>
      <c r="B38" s="30">
        <v>30464</v>
      </c>
      <c r="C38" s="32"/>
      <c r="D38" s="32">
        <v>19946</v>
      </c>
      <c r="E38" s="32" t="s">
        <v>206</v>
      </c>
    </row>
    <row r="39" spans="1:5" x14ac:dyDescent="0.35">
      <c r="A39" s="29">
        <v>1929</v>
      </c>
      <c r="B39" s="30">
        <v>31035</v>
      </c>
      <c r="C39" s="32"/>
      <c r="D39" s="32">
        <v>25888</v>
      </c>
      <c r="E39" s="32" t="s">
        <v>206</v>
      </c>
    </row>
    <row r="40" spans="1:5" x14ac:dyDescent="0.35">
      <c r="A40" s="29">
        <v>1930</v>
      </c>
      <c r="B40" s="30">
        <v>24864</v>
      </c>
      <c r="C40" s="32"/>
      <c r="D40" s="32">
        <v>11387</v>
      </c>
      <c r="E40" s="32" t="s">
        <v>206</v>
      </c>
    </row>
    <row r="41" spans="1:5" x14ac:dyDescent="0.35">
      <c r="A41" s="29">
        <v>1931</v>
      </c>
      <c r="B41" s="30">
        <v>27886</v>
      </c>
      <c r="C41" s="32"/>
      <c r="D41" s="32">
        <v>11719</v>
      </c>
      <c r="E41" s="32" t="s">
        <v>206</v>
      </c>
    </row>
    <row r="42" spans="1:5" x14ac:dyDescent="0.35">
      <c r="A42" s="29">
        <v>1932</v>
      </c>
      <c r="B42" s="32">
        <v>26490</v>
      </c>
      <c r="C42" s="32"/>
      <c r="D42" s="32">
        <v>10775</v>
      </c>
      <c r="E42" s="32" t="s">
        <v>206</v>
      </c>
    </row>
    <row r="43" spans="1:5" x14ac:dyDescent="0.35">
      <c r="A43" s="29">
        <v>1933</v>
      </c>
      <c r="B43" s="30">
        <v>25392</v>
      </c>
      <c r="C43" s="32"/>
      <c r="D43" s="32">
        <v>10347</v>
      </c>
      <c r="E43" s="32" t="s">
        <v>206</v>
      </c>
    </row>
    <row r="44" spans="1:5" x14ac:dyDescent="0.35">
      <c r="A44" s="29">
        <v>1934</v>
      </c>
      <c r="B44" s="30">
        <v>14263</v>
      </c>
      <c r="C44" s="32"/>
      <c r="D44" s="32">
        <v>8010</v>
      </c>
      <c r="E44" s="32" t="s">
        <v>206</v>
      </c>
    </row>
    <row r="45" spans="1:5" x14ac:dyDescent="0.35">
      <c r="A45" s="29">
        <v>1935</v>
      </c>
      <c r="B45" s="30">
        <v>13877</v>
      </c>
      <c r="C45" s="32"/>
      <c r="D45" s="32">
        <v>7978</v>
      </c>
      <c r="E45" s="32" t="s">
        <v>206</v>
      </c>
    </row>
    <row r="46" spans="1:5" x14ac:dyDescent="0.35">
      <c r="A46" s="29">
        <v>1936</v>
      </c>
      <c r="B46" s="30">
        <v>16195</v>
      </c>
      <c r="C46" s="32"/>
      <c r="D46" s="32">
        <v>8251</v>
      </c>
      <c r="E46" s="32" t="s">
        <v>206</v>
      </c>
    </row>
    <row r="47" spans="1:5" x14ac:dyDescent="0.35">
      <c r="A47" s="29">
        <v>1937</v>
      </c>
      <c r="B47" s="30">
        <v>16905</v>
      </c>
      <c r="C47" s="32"/>
      <c r="D47" s="32">
        <v>8788</v>
      </c>
      <c r="E47" s="32" t="s">
        <v>206</v>
      </c>
    </row>
    <row r="48" spans="1:5" x14ac:dyDescent="0.35">
      <c r="A48" s="29">
        <v>1938</v>
      </c>
      <c r="B48" s="30">
        <v>17341</v>
      </c>
      <c r="C48" s="32"/>
      <c r="D48" s="32">
        <v>9278</v>
      </c>
      <c r="E48" s="32" t="s">
        <v>206</v>
      </c>
    </row>
    <row r="49" spans="1:5" x14ac:dyDescent="0.35">
      <c r="A49" s="29">
        <v>1939</v>
      </c>
      <c r="B49" s="30">
        <v>14700</v>
      </c>
      <c r="C49" s="32"/>
      <c r="D49" s="32">
        <v>9590</v>
      </c>
      <c r="E49" s="32" t="s">
        <v>206</v>
      </c>
    </row>
    <row r="50" spans="1:5" x14ac:dyDescent="0.35">
      <c r="A50" s="29">
        <v>1940</v>
      </c>
      <c r="B50" s="30">
        <v>12254</v>
      </c>
      <c r="C50" s="32"/>
      <c r="D50" s="32">
        <v>8594</v>
      </c>
      <c r="E50" s="32" t="s">
        <v>206</v>
      </c>
    </row>
    <row r="51" spans="1:5" x14ac:dyDescent="0.35">
      <c r="A51" s="29">
        <v>1941</v>
      </c>
      <c r="B51" s="30">
        <v>7336</v>
      </c>
      <c r="C51" s="32"/>
      <c r="D51" s="32">
        <v>6531</v>
      </c>
      <c r="E51" s="32" t="s">
        <v>206</v>
      </c>
    </row>
    <row r="52" spans="1:5" x14ac:dyDescent="0.35">
      <c r="A52" s="29">
        <v>1942</v>
      </c>
      <c r="B52" s="30">
        <v>5542</v>
      </c>
      <c r="C52" s="32"/>
      <c r="D52" s="32">
        <v>6904</v>
      </c>
      <c r="E52" s="32" t="s">
        <v>206</v>
      </c>
    </row>
    <row r="53" spans="1:5" x14ac:dyDescent="0.35">
      <c r="A53" s="29">
        <v>1943</v>
      </c>
      <c r="B53" s="30">
        <v>5702</v>
      </c>
      <c r="C53" s="32"/>
      <c r="D53" s="32">
        <v>11947</v>
      </c>
      <c r="E53" s="32" t="s">
        <v>206</v>
      </c>
    </row>
    <row r="54" spans="1:5" x14ac:dyDescent="0.35">
      <c r="A54" s="29">
        <v>1944</v>
      </c>
      <c r="B54" s="30">
        <v>8821</v>
      </c>
      <c r="C54" s="32"/>
      <c r="D54" s="32">
        <v>32270</v>
      </c>
      <c r="E54" s="32" t="s">
        <v>206</v>
      </c>
    </row>
    <row r="55" spans="1:5" x14ac:dyDescent="0.35">
      <c r="A55" s="29">
        <v>1945</v>
      </c>
      <c r="B55" s="30">
        <v>13611</v>
      </c>
      <c r="C55" s="32"/>
      <c r="D55" s="32">
        <v>69490</v>
      </c>
      <c r="E55" s="32" t="s">
        <v>206</v>
      </c>
    </row>
    <row r="56" spans="1:5" x14ac:dyDescent="0.35">
      <c r="A56" s="29">
        <v>1946</v>
      </c>
      <c r="B56" s="30">
        <v>17317</v>
      </c>
      <c r="C56" s="32"/>
      <c r="D56" s="32">
        <v>101945</v>
      </c>
      <c r="E56" s="32" t="s">
        <v>206</v>
      </c>
    </row>
    <row r="57" spans="1:5" x14ac:dyDescent="0.35">
      <c r="A57" s="29">
        <v>1947</v>
      </c>
      <c r="B57" s="30">
        <v>23434</v>
      </c>
      <c r="C57" s="32"/>
      <c r="D57" s="32">
        <v>195880</v>
      </c>
      <c r="E57" s="32" t="s">
        <v>206</v>
      </c>
    </row>
    <row r="58" spans="1:5" x14ac:dyDescent="0.35">
      <c r="A58" s="29">
        <v>1948</v>
      </c>
      <c r="B58" s="30">
        <v>25276</v>
      </c>
      <c r="C58" s="32"/>
      <c r="D58" s="32">
        <v>197184</v>
      </c>
      <c r="E58" s="32" t="s">
        <v>206</v>
      </c>
    </row>
    <row r="59" spans="1:5" x14ac:dyDescent="0.35">
      <c r="A59" s="29">
        <v>1949</v>
      </c>
      <c r="B59" s="30">
        <v>23874</v>
      </c>
      <c r="C59" s="32"/>
      <c r="D59" s="32">
        <v>276297</v>
      </c>
      <c r="E59" s="32" t="s">
        <v>206</v>
      </c>
    </row>
    <row r="60" spans="1:5" x14ac:dyDescent="0.35">
      <c r="A60" s="29">
        <v>1950</v>
      </c>
      <c r="B60" s="30">
        <v>10199</v>
      </c>
      <c r="C60" s="32"/>
      <c r="D60" s="32">
        <v>572477</v>
      </c>
      <c r="E60" s="32" t="s">
        <v>206</v>
      </c>
    </row>
    <row r="61" spans="1:5" x14ac:dyDescent="0.35">
      <c r="A61" s="29">
        <v>1951</v>
      </c>
      <c r="B61" s="30">
        <v>17328</v>
      </c>
      <c r="C61" s="32"/>
      <c r="D61" s="32">
        <v>673169</v>
      </c>
      <c r="E61" s="32" t="s">
        <v>206</v>
      </c>
    </row>
    <row r="62" spans="1:5" x14ac:dyDescent="0.35">
      <c r="A62" s="29">
        <v>1952</v>
      </c>
      <c r="B62" s="30">
        <v>23125</v>
      </c>
      <c r="C62" s="32"/>
      <c r="D62" s="32">
        <v>703778</v>
      </c>
      <c r="E62" s="32" t="s">
        <v>206</v>
      </c>
    </row>
    <row r="63" spans="1:5" x14ac:dyDescent="0.35">
      <c r="A63" s="29">
        <v>1953</v>
      </c>
      <c r="B63" s="30">
        <v>23482</v>
      </c>
      <c r="C63" s="32"/>
      <c r="D63" s="32">
        <v>885391</v>
      </c>
      <c r="E63" s="32" t="s">
        <v>206</v>
      </c>
    </row>
    <row r="64" spans="1:5" x14ac:dyDescent="0.35">
      <c r="A64" s="29">
        <v>1954</v>
      </c>
      <c r="B64" s="30">
        <v>30264</v>
      </c>
      <c r="C64" s="32"/>
      <c r="D64" s="32">
        <v>1074277</v>
      </c>
      <c r="E64" s="32" t="s">
        <v>206</v>
      </c>
    </row>
    <row r="65" spans="1:5" x14ac:dyDescent="0.35">
      <c r="A65" s="29">
        <v>1955</v>
      </c>
      <c r="B65" s="30">
        <v>17695</v>
      </c>
      <c r="C65" s="32"/>
      <c r="D65" s="32">
        <v>232769</v>
      </c>
      <c r="E65" s="32" t="s">
        <v>206</v>
      </c>
    </row>
    <row r="66" spans="1:5" x14ac:dyDescent="0.35">
      <c r="A66" s="29">
        <v>1956</v>
      </c>
      <c r="B66" s="30">
        <v>9006</v>
      </c>
      <c r="C66" s="32"/>
      <c r="D66" s="32">
        <v>80891</v>
      </c>
      <c r="E66" s="32" t="s">
        <v>206</v>
      </c>
    </row>
    <row r="67" spans="1:5" x14ac:dyDescent="0.35">
      <c r="A67" s="29">
        <v>1957</v>
      </c>
      <c r="B67" s="30">
        <v>5989</v>
      </c>
      <c r="C67" s="32"/>
      <c r="D67" s="32">
        <v>63379</v>
      </c>
      <c r="E67" s="32" t="s">
        <v>206</v>
      </c>
    </row>
    <row r="68" spans="1:5" x14ac:dyDescent="0.35">
      <c r="A68" s="29">
        <v>1958</v>
      </c>
      <c r="B68" s="30">
        <v>7875</v>
      </c>
      <c r="C68" s="32"/>
      <c r="D68" s="32">
        <v>60600</v>
      </c>
      <c r="E68" s="32" t="s">
        <v>206</v>
      </c>
    </row>
    <row r="69" spans="1:5" x14ac:dyDescent="0.35">
      <c r="A69" s="29">
        <v>1959</v>
      </c>
      <c r="B69" s="30">
        <v>8468</v>
      </c>
      <c r="C69" s="32"/>
      <c r="D69" s="32">
        <v>56610</v>
      </c>
      <c r="E69" s="32" t="s">
        <v>206</v>
      </c>
    </row>
    <row r="70" spans="1:5" x14ac:dyDescent="0.35">
      <c r="A70" s="29">
        <v>1960</v>
      </c>
      <c r="B70" s="30">
        <v>7240</v>
      </c>
      <c r="C70" s="32"/>
      <c r="D70" s="32">
        <v>52796</v>
      </c>
      <c r="E70" s="32" t="s">
        <v>206</v>
      </c>
    </row>
    <row r="71" spans="1:5" x14ac:dyDescent="0.35">
      <c r="A71" s="29">
        <v>1961</v>
      </c>
      <c r="B71" s="30">
        <v>8181</v>
      </c>
      <c r="C71" s="32"/>
      <c r="D71" s="32">
        <v>52383</v>
      </c>
      <c r="E71" s="32" t="s">
        <v>206</v>
      </c>
    </row>
    <row r="72" spans="1:5" x14ac:dyDescent="0.35">
      <c r="A72" s="29">
        <v>1962</v>
      </c>
      <c r="B72" s="30">
        <v>8025</v>
      </c>
      <c r="C72" s="32"/>
      <c r="D72" s="32">
        <v>54164</v>
      </c>
      <c r="E72" s="32" t="s">
        <v>206</v>
      </c>
    </row>
    <row r="73" spans="1:5" x14ac:dyDescent="0.35">
      <c r="A73" s="29">
        <v>1963</v>
      </c>
      <c r="B73" s="30">
        <v>7763</v>
      </c>
      <c r="C73" s="32"/>
      <c r="D73" s="32">
        <v>69392</v>
      </c>
      <c r="E73" s="32" t="s">
        <v>206</v>
      </c>
    </row>
    <row r="74" spans="1:5" x14ac:dyDescent="0.35">
      <c r="A74" s="29">
        <v>1964</v>
      </c>
      <c r="B74" s="30">
        <v>9167</v>
      </c>
      <c r="C74" s="32"/>
      <c r="D74" s="32">
        <v>73042</v>
      </c>
      <c r="E74" s="32" t="s">
        <v>206</v>
      </c>
    </row>
    <row r="75" spans="1:5" x14ac:dyDescent="0.35">
      <c r="A75" s="29">
        <v>1965</v>
      </c>
      <c r="B75" s="30">
        <v>10572</v>
      </c>
      <c r="C75" s="32"/>
      <c r="D75" s="32">
        <v>95263</v>
      </c>
      <c r="E75" s="32" t="s">
        <v>206</v>
      </c>
    </row>
    <row r="76" spans="1:5" x14ac:dyDescent="0.35">
      <c r="A76" s="29">
        <v>1966</v>
      </c>
      <c r="B76" s="30">
        <v>9680</v>
      </c>
      <c r="C76" s="32"/>
      <c r="D76" s="32">
        <v>123683</v>
      </c>
      <c r="E76" s="32" t="s">
        <v>206</v>
      </c>
    </row>
    <row r="77" spans="1:5" x14ac:dyDescent="0.35">
      <c r="A77" s="29">
        <v>1967</v>
      </c>
      <c r="B77" s="30">
        <v>9728</v>
      </c>
      <c r="C77" s="32"/>
      <c r="D77" s="32">
        <v>142343</v>
      </c>
      <c r="E77" s="32" t="s">
        <v>206</v>
      </c>
    </row>
    <row r="78" spans="1:5" x14ac:dyDescent="0.35">
      <c r="A78" s="29">
        <v>1968</v>
      </c>
      <c r="B78" s="30">
        <v>9590</v>
      </c>
      <c r="C78" s="32"/>
      <c r="D78" s="32">
        <v>179952</v>
      </c>
      <c r="E78" s="32" t="s">
        <v>206</v>
      </c>
    </row>
    <row r="79" spans="1:5" x14ac:dyDescent="0.35">
      <c r="A79" s="29">
        <v>1969</v>
      </c>
      <c r="B79" s="30">
        <v>11030</v>
      </c>
      <c r="C79" s="32"/>
      <c r="D79" s="32">
        <v>240958</v>
      </c>
      <c r="E79" s="32" t="s">
        <v>206</v>
      </c>
    </row>
    <row r="80" spans="1:5" x14ac:dyDescent="0.35">
      <c r="A80" s="29">
        <v>1970</v>
      </c>
      <c r="B80" s="30">
        <v>17469</v>
      </c>
      <c r="C80" s="32"/>
      <c r="D80" s="32">
        <v>303348</v>
      </c>
      <c r="E80" s="32" t="s">
        <v>206</v>
      </c>
    </row>
    <row r="81" spans="1:5" x14ac:dyDescent="0.35">
      <c r="A81" s="29">
        <v>1971</v>
      </c>
      <c r="B81" s="30">
        <v>18294</v>
      </c>
      <c r="C81" s="32"/>
      <c r="D81" s="32">
        <v>370074</v>
      </c>
      <c r="E81" s="32" t="s">
        <v>206</v>
      </c>
    </row>
    <row r="82" spans="1:5" x14ac:dyDescent="0.35">
      <c r="A82" s="29">
        <v>1972</v>
      </c>
      <c r="B82" s="30">
        <v>16883</v>
      </c>
      <c r="C82" s="32"/>
      <c r="D82" s="32">
        <v>450927</v>
      </c>
      <c r="E82" s="32" t="s">
        <v>206</v>
      </c>
    </row>
    <row r="83" spans="1:5" x14ac:dyDescent="0.35">
      <c r="A83" s="29">
        <v>1973</v>
      </c>
      <c r="B83" s="30">
        <v>17346</v>
      </c>
      <c r="C83" s="32"/>
      <c r="D83" s="32">
        <v>568005</v>
      </c>
      <c r="E83" s="32" t="s">
        <v>206</v>
      </c>
    </row>
    <row r="84" spans="1:5" x14ac:dyDescent="0.35">
      <c r="A84" s="29">
        <v>1974</v>
      </c>
      <c r="B84" s="30">
        <v>19413</v>
      </c>
      <c r="C84" s="32"/>
      <c r="D84" s="32">
        <v>718740</v>
      </c>
      <c r="E84" s="32" t="s">
        <v>206</v>
      </c>
    </row>
    <row r="85" spans="1:5" x14ac:dyDescent="0.35">
      <c r="A85" s="29">
        <v>1975</v>
      </c>
      <c r="B85" s="30">
        <v>24432</v>
      </c>
      <c r="C85" s="32"/>
      <c r="D85" s="32">
        <v>655814</v>
      </c>
      <c r="E85" s="32" t="s">
        <v>206</v>
      </c>
    </row>
    <row r="86" spans="1:5" ht="15.5" x14ac:dyDescent="0.35">
      <c r="A86" s="29" t="s">
        <v>308</v>
      </c>
      <c r="B86" s="30">
        <v>38471</v>
      </c>
      <c r="C86" s="32"/>
      <c r="D86" s="32">
        <v>955374</v>
      </c>
      <c r="E86" s="32" t="s">
        <v>206</v>
      </c>
    </row>
    <row r="87" spans="1:5" x14ac:dyDescent="0.35">
      <c r="A87" s="29">
        <v>1977</v>
      </c>
      <c r="B87" s="30">
        <v>31263</v>
      </c>
      <c r="C87" s="32"/>
      <c r="D87" s="32">
        <v>867015</v>
      </c>
      <c r="E87" s="32" t="s">
        <v>206</v>
      </c>
    </row>
    <row r="88" spans="1:5" x14ac:dyDescent="0.35">
      <c r="A88" s="29">
        <v>1978</v>
      </c>
      <c r="B88" s="30">
        <v>29277</v>
      </c>
      <c r="C88" s="32"/>
      <c r="D88" s="32">
        <v>975515</v>
      </c>
      <c r="E88" s="32" t="s">
        <v>206</v>
      </c>
    </row>
    <row r="89" spans="1:5" x14ac:dyDescent="0.35">
      <c r="A89" s="29">
        <v>1979</v>
      </c>
      <c r="B89" s="30">
        <v>26825</v>
      </c>
      <c r="C89" s="32"/>
      <c r="D89" s="32">
        <v>966137</v>
      </c>
      <c r="E89" s="32" t="s">
        <v>206</v>
      </c>
    </row>
    <row r="90" spans="1:5" x14ac:dyDescent="0.35">
      <c r="A90" s="29">
        <v>1980</v>
      </c>
      <c r="B90" s="30">
        <v>18013</v>
      </c>
      <c r="C90" s="32"/>
      <c r="D90" s="32">
        <v>719211</v>
      </c>
      <c r="E90" s="32" t="s">
        <v>206</v>
      </c>
    </row>
    <row r="91" spans="1:5" x14ac:dyDescent="0.35">
      <c r="A91" s="29">
        <v>1981</v>
      </c>
      <c r="B91" s="30">
        <v>17379</v>
      </c>
      <c r="C91" s="32"/>
      <c r="D91" s="32">
        <v>823875</v>
      </c>
      <c r="E91" s="32" t="s">
        <v>206</v>
      </c>
    </row>
    <row r="92" spans="1:5" x14ac:dyDescent="0.35">
      <c r="A92" s="29">
        <v>1982</v>
      </c>
      <c r="B92" s="30">
        <v>15216</v>
      </c>
      <c r="C92" s="32"/>
      <c r="D92" s="32">
        <v>812572</v>
      </c>
      <c r="E92" s="32" t="s">
        <v>206</v>
      </c>
    </row>
    <row r="93" spans="1:5" x14ac:dyDescent="0.35">
      <c r="A93" s="29">
        <v>1983</v>
      </c>
      <c r="B93" s="30">
        <v>19211</v>
      </c>
      <c r="C93" s="32"/>
      <c r="D93" s="32">
        <v>931600</v>
      </c>
      <c r="E93" s="32" t="s">
        <v>206</v>
      </c>
    </row>
    <row r="94" spans="1:5" x14ac:dyDescent="0.35">
      <c r="A94" s="29">
        <v>1984</v>
      </c>
      <c r="B94" s="30">
        <v>18696</v>
      </c>
      <c r="C94" s="32"/>
      <c r="D94" s="32">
        <v>909833</v>
      </c>
      <c r="E94" s="32" t="s">
        <v>206</v>
      </c>
    </row>
    <row r="95" spans="1:5" x14ac:dyDescent="0.35">
      <c r="A95" s="29">
        <v>1985</v>
      </c>
      <c r="B95" s="30">
        <v>23105</v>
      </c>
      <c r="C95" s="32"/>
      <c r="D95" s="32">
        <v>1041296</v>
      </c>
      <c r="E95" s="32" t="s">
        <v>206</v>
      </c>
    </row>
    <row r="96" spans="1:5" x14ac:dyDescent="0.35">
      <c r="A96" s="29">
        <v>1986</v>
      </c>
      <c r="B96" s="30">
        <v>24592</v>
      </c>
      <c r="C96" s="32"/>
      <c r="D96" s="32">
        <v>1586320</v>
      </c>
      <c r="E96" s="32" t="s">
        <v>206</v>
      </c>
    </row>
    <row r="97" spans="1:5" x14ac:dyDescent="0.35">
      <c r="A97" s="29">
        <v>1987</v>
      </c>
      <c r="B97" s="30">
        <v>24336</v>
      </c>
      <c r="C97" s="32"/>
      <c r="D97" s="32">
        <v>1091203</v>
      </c>
      <c r="E97" s="32" t="s">
        <v>206</v>
      </c>
    </row>
    <row r="98" spans="1:5" x14ac:dyDescent="0.35">
      <c r="A98" s="29">
        <v>1988</v>
      </c>
      <c r="B98" s="30">
        <v>25829</v>
      </c>
      <c r="C98" s="32"/>
      <c r="D98" s="32">
        <v>911790</v>
      </c>
      <c r="E98" s="32" t="s">
        <v>206</v>
      </c>
    </row>
    <row r="99" spans="1:5" x14ac:dyDescent="0.35">
      <c r="A99" s="29">
        <v>1989</v>
      </c>
      <c r="B99" s="30">
        <v>34427</v>
      </c>
      <c r="C99" s="32"/>
      <c r="D99" s="32">
        <v>830890</v>
      </c>
      <c r="E99" s="32" t="s">
        <v>206</v>
      </c>
    </row>
    <row r="100" spans="1:5" x14ac:dyDescent="0.35">
      <c r="A100" s="29">
        <v>1990</v>
      </c>
      <c r="B100" s="30">
        <v>30039</v>
      </c>
      <c r="C100" s="32"/>
      <c r="D100" s="32">
        <v>1022533</v>
      </c>
      <c r="E100" s="32" t="s">
        <v>206</v>
      </c>
    </row>
    <row r="101" spans="1:5" x14ac:dyDescent="0.35">
      <c r="A101" s="29">
        <v>1991</v>
      </c>
      <c r="B101" s="30">
        <v>33189</v>
      </c>
      <c r="C101" s="32"/>
      <c r="D101" s="32">
        <v>1061105</v>
      </c>
      <c r="E101" s="32" t="s">
        <v>206</v>
      </c>
    </row>
    <row r="102" spans="1:5" x14ac:dyDescent="0.35">
      <c r="A102" s="29">
        <v>1992</v>
      </c>
      <c r="B102" s="30">
        <v>43671</v>
      </c>
      <c r="C102" s="32"/>
      <c r="D102" s="32">
        <v>1105829</v>
      </c>
      <c r="E102" s="32" t="s">
        <v>206</v>
      </c>
    </row>
    <row r="103" spans="1:5" x14ac:dyDescent="0.35">
      <c r="A103" s="29">
        <v>1993</v>
      </c>
      <c r="B103" s="30">
        <v>42542</v>
      </c>
      <c r="C103" s="32"/>
      <c r="D103" s="32">
        <v>1243410</v>
      </c>
      <c r="E103" s="32" t="s">
        <v>206</v>
      </c>
    </row>
    <row r="104" spans="1:5" x14ac:dyDescent="0.35">
      <c r="A104" s="29">
        <v>1994</v>
      </c>
      <c r="B104" s="30">
        <v>45674</v>
      </c>
      <c r="C104" s="32"/>
      <c r="D104" s="32">
        <v>1029107</v>
      </c>
      <c r="E104" s="32" t="s">
        <v>206</v>
      </c>
    </row>
    <row r="105" spans="1:5" x14ac:dyDescent="0.35">
      <c r="A105" s="29">
        <v>1995</v>
      </c>
      <c r="B105" s="30">
        <v>50924</v>
      </c>
      <c r="C105" s="32"/>
      <c r="D105" s="32">
        <v>1313764</v>
      </c>
      <c r="E105" s="32" t="s">
        <v>206</v>
      </c>
    </row>
    <row r="106" spans="1:5" x14ac:dyDescent="0.35">
      <c r="A106" s="29">
        <v>1996</v>
      </c>
      <c r="B106" s="30">
        <v>69680</v>
      </c>
      <c r="C106" s="32"/>
      <c r="D106" s="32">
        <v>1573428</v>
      </c>
      <c r="E106" s="32" t="s">
        <v>206</v>
      </c>
    </row>
    <row r="107" spans="1:5" x14ac:dyDescent="0.35">
      <c r="A107" s="29">
        <v>1997</v>
      </c>
      <c r="B107" s="30">
        <v>114432</v>
      </c>
      <c r="C107" s="32"/>
      <c r="D107" s="32">
        <v>1440684</v>
      </c>
      <c r="E107" s="32" t="s">
        <v>206</v>
      </c>
    </row>
    <row r="108" spans="1:5" x14ac:dyDescent="0.35">
      <c r="A108" s="29">
        <v>1998</v>
      </c>
      <c r="B108" s="30">
        <v>174813</v>
      </c>
      <c r="C108" s="32"/>
      <c r="D108" s="32">
        <v>1570127</v>
      </c>
      <c r="E108" s="32" t="s">
        <v>206</v>
      </c>
    </row>
    <row r="109" spans="1:5" x14ac:dyDescent="0.35">
      <c r="A109" s="29">
        <v>1999</v>
      </c>
      <c r="B109" s="30">
        <v>183114</v>
      </c>
      <c r="C109" s="32"/>
      <c r="D109" s="32">
        <v>1574863</v>
      </c>
      <c r="E109" s="32" t="s">
        <v>206</v>
      </c>
    </row>
    <row r="110" spans="1:5" x14ac:dyDescent="0.35">
      <c r="A110" s="29">
        <v>2000</v>
      </c>
      <c r="B110" s="30">
        <v>188467</v>
      </c>
      <c r="C110" s="32"/>
      <c r="D110" s="32">
        <v>1675876</v>
      </c>
      <c r="E110" s="32" t="s">
        <v>206</v>
      </c>
    </row>
    <row r="111" spans="1:5" x14ac:dyDescent="0.35">
      <c r="A111" s="29">
        <v>2001</v>
      </c>
      <c r="B111" s="30">
        <v>189026</v>
      </c>
      <c r="C111" s="32"/>
      <c r="D111" s="32">
        <v>1349371</v>
      </c>
      <c r="E111" s="32" t="s">
        <v>206</v>
      </c>
    </row>
    <row r="112" spans="1:5" x14ac:dyDescent="0.35">
      <c r="A112" s="29">
        <v>2002</v>
      </c>
      <c r="B112" s="30">
        <v>165168</v>
      </c>
      <c r="C112" s="32"/>
      <c r="D112" s="32">
        <v>1012116</v>
      </c>
      <c r="E112" s="32" t="s">
        <v>206</v>
      </c>
    </row>
    <row r="113" spans="1:5" x14ac:dyDescent="0.35">
      <c r="A113" s="29">
        <v>2003</v>
      </c>
      <c r="B113" s="30">
        <v>211098</v>
      </c>
      <c r="C113" s="32"/>
      <c r="D113" s="32">
        <v>945294</v>
      </c>
      <c r="E113" s="32" t="s">
        <v>206</v>
      </c>
    </row>
    <row r="114" spans="1:5" x14ac:dyDescent="0.35">
      <c r="A114" s="29">
        <v>2004</v>
      </c>
      <c r="B114" s="30">
        <v>240665</v>
      </c>
      <c r="C114" s="32"/>
      <c r="D114" s="32">
        <v>1166576</v>
      </c>
      <c r="E114" s="32" t="s">
        <v>206</v>
      </c>
    </row>
    <row r="115" spans="1:5" x14ac:dyDescent="0.35">
      <c r="A115" s="29">
        <v>2005</v>
      </c>
      <c r="B115" s="30">
        <v>246431</v>
      </c>
      <c r="C115" s="32"/>
      <c r="D115" s="32">
        <v>1096920</v>
      </c>
      <c r="E115" s="32" t="s">
        <v>206</v>
      </c>
    </row>
    <row r="116" spans="1:5" x14ac:dyDescent="0.35">
      <c r="A116" s="29">
        <v>2006</v>
      </c>
      <c r="B116" s="30">
        <v>280974</v>
      </c>
      <c r="C116" s="32"/>
      <c r="D116" s="32">
        <v>1043381</v>
      </c>
      <c r="E116" s="32" t="s">
        <v>206</v>
      </c>
    </row>
    <row r="117" spans="1:5" x14ac:dyDescent="0.35">
      <c r="A117" s="29">
        <v>2007</v>
      </c>
      <c r="B117" s="30">
        <v>319382</v>
      </c>
      <c r="C117" s="32"/>
      <c r="D117" s="32">
        <v>891390</v>
      </c>
      <c r="E117" s="32" t="s">
        <v>206</v>
      </c>
    </row>
    <row r="118" spans="1:5" x14ac:dyDescent="0.35">
      <c r="A118" s="29">
        <v>2008</v>
      </c>
      <c r="B118" s="30">
        <v>359795</v>
      </c>
      <c r="C118" s="32"/>
      <c r="D118" s="32">
        <v>811263</v>
      </c>
      <c r="E118" s="32" t="s">
        <v>206</v>
      </c>
    </row>
    <row r="119" spans="1:5" x14ac:dyDescent="0.35">
      <c r="A119" s="33">
        <v>2009</v>
      </c>
      <c r="B119" s="7">
        <v>379739</v>
      </c>
      <c r="C119" s="30">
        <v>59409</v>
      </c>
      <c r="D119" s="30">
        <v>523153</v>
      </c>
      <c r="E119" s="32" t="s">
        <v>206</v>
      </c>
    </row>
    <row r="120" spans="1:5" x14ac:dyDescent="0.35">
      <c r="A120" s="29">
        <v>2010</v>
      </c>
      <c r="B120" s="34">
        <v>382449</v>
      </c>
      <c r="C120" s="30">
        <v>61895</v>
      </c>
      <c r="D120" s="30">
        <v>409898</v>
      </c>
      <c r="E120" s="32" t="s">
        <v>206</v>
      </c>
    </row>
    <row r="121" spans="1:5" x14ac:dyDescent="0.35">
      <c r="A121" s="29">
        <v>2011</v>
      </c>
      <c r="B121" s="30">
        <v>390413</v>
      </c>
      <c r="C121" s="30">
        <v>60896</v>
      </c>
      <c r="D121" s="30">
        <v>261149</v>
      </c>
      <c r="E121" s="32" t="s">
        <v>206</v>
      </c>
    </row>
    <row r="122" spans="1:5" x14ac:dyDescent="0.35">
      <c r="A122" s="29">
        <v>2012</v>
      </c>
      <c r="B122" s="34">
        <v>415579</v>
      </c>
      <c r="C122" s="30">
        <v>47361</v>
      </c>
      <c r="D122" s="30">
        <v>183744</v>
      </c>
      <c r="E122" s="32" t="s">
        <v>206</v>
      </c>
    </row>
    <row r="123" spans="1:5" x14ac:dyDescent="0.35">
      <c r="A123" s="29">
        <v>2013</v>
      </c>
      <c r="B123" s="34">
        <v>432334</v>
      </c>
      <c r="C123" s="30">
        <v>44707</v>
      </c>
      <c r="D123" s="30">
        <v>134265</v>
      </c>
      <c r="E123" s="35" t="s">
        <v>206</v>
      </c>
    </row>
    <row r="124" spans="1:5" x14ac:dyDescent="0.35">
      <c r="A124" s="29">
        <v>2014</v>
      </c>
      <c r="B124" s="34">
        <v>405193</v>
      </c>
      <c r="C124" s="30">
        <v>45666</v>
      </c>
      <c r="D124" s="30">
        <v>118170</v>
      </c>
      <c r="E124" s="35" t="s">
        <v>206</v>
      </c>
    </row>
    <row r="125" spans="1:5" x14ac:dyDescent="0.35">
      <c r="A125" s="3">
        <v>2015</v>
      </c>
      <c r="B125" s="34">
        <v>324428</v>
      </c>
      <c r="C125" s="30">
        <v>43237</v>
      </c>
      <c r="D125" s="30">
        <v>86399</v>
      </c>
      <c r="E125" s="35" t="s">
        <v>206</v>
      </c>
    </row>
    <row r="126" spans="1:5" x14ac:dyDescent="0.35">
      <c r="A126" s="3">
        <v>2016</v>
      </c>
      <c r="B126" s="34">
        <v>332331</v>
      </c>
      <c r="C126" s="30">
        <v>30341</v>
      </c>
      <c r="D126" s="30">
        <v>76137</v>
      </c>
      <c r="E126" s="35" t="s">
        <v>206</v>
      </c>
    </row>
    <row r="127" spans="1:5" x14ac:dyDescent="0.35">
      <c r="A127" s="3">
        <v>2017</v>
      </c>
      <c r="B127" s="34">
        <v>284365</v>
      </c>
      <c r="C127" s="30">
        <v>15072</v>
      </c>
      <c r="D127" s="30">
        <v>85380</v>
      </c>
      <c r="E127" s="35" t="s">
        <v>206</v>
      </c>
    </row>
    <row r="128" spans="1:5" x14ac:dyDescent="0.35">
      <c r="A128" s="29">
        <v>2018</v>
      </c>
      <c r="B128" s="34">
        <v>327608</v>
      </c>
      <c r="C128" s="30">
        <v>72756</v>
      </c>
      <c r="D128" s="30">
        <v>87202</v>
      </c>
      <c r="E128" s="35" t="s">
        <v>206</v>
      </c>
    </row>
    <row r="129" spans="1:5" x14ac:dyDescent="0.35">
      <c r="A129" s="29">
        <v>2019</v>
      </c>
      <c r="B129" s="34">
        <v>347090</v>
      </c>
      <c r="C129" s="30">
        <v>89719</v>
      </c>
      <c r="D129" s="30">
        <v>81401</v>
      </c>
      <c r="E129" s="35" t="s">
        <v>206</v>
      </c>
    </row>
    <row r="130" spans="1:5" x14ac:dyDescent="0.35">
      <c r="A130" s="29">
        <v>2020</v>
      </c>
      <c r="B130" s="34">
        <v>237364</v>
      </c>
      <c r="C130" s="30">
        <v>113857</v>
      </c>
      <c r="D130" s="30">
        <v>53595</v>
      </c>
      <c r="E130" s="35">
        <v>206770</v>
      </c>
    </row>
    <row r="131" spans="1:5" x14ac:dyDescent="0.35">
      <c r="A131" s="29">
        <v>2021</v>
      </c>
      <c r="B131" s="34">
        <v>85783</v>
      </c>
      <c r="C131" s="30">
        <v>128339</v>
      </c>
      <c r="D131" s="30">
        <v>49664</v>
      </c>
      <c r="E131" s="35">
        <v>1071074</v>
      </c>
    </row>
    <row r="132" spans="1:5" x14ac:dyDescent="0.35">
      <c r="A132" s="22">
        <v>2022</v>
      </c>
      <c r="B132" s="36">
        <v>108733</v>
      </c>
      <c r="C132" s="36">
        <v>180266</v>
      </c>
      <c r="D132" s="36">
        <v>81121</v>
      </c>
      <c r="E132" s="37">
        <v>1103966</v>
      </c>
    </row>
    <row r="133" spans="1:5" x14ac:dyDescent="0.35">
      <c r="A133" s="25" t="s">
        <v>208</v>
      </c>
      <c r="B133" s="2"/>
      <c r="C133" s="38"/>
      <c r="D133" s="38"/>
      <c r="E133" s="16"/>
    </row>
    <row r="134" spans="1:5" x14ac:dyDescent="0.35">
      <c r="A134" s="2" t="s">
        <v>309</v>
      </c>
      <c r="B134" s="26"/>
      <c r="C134" s="26"/>
      <c r="D134" s="26"/>
      <c r="E134" s="26"/>
    </row>
    <row r="135" spans="1:5" x14ac:dyDescent="0.35">
      <c r="A135" s="26" t="s">
        <v>310</v>
      </c>
      <c r="B135" s="26"/>
      <c r="C135" s="26"/>
      <c r="D135" s="26"/>
      <c r="E135" s="26"/>
    </row>
    <row r="136" spans="1:5" x14ac:dyDescent="0.35">
      <c r="A136" s="16" t="s">
        <v>311</v>
      </c>
      <c r="B136" s="26"/>
      <c r="C136" s="26"/>
      <c r="D136" s="26"/>
      <c r="E136" s="26"/>
    </row>
    <row r="137" spans="1:5" x14ac:dyDescent="0.35">
      <c r="A137" s="26" t="s">
        <v>312</v>
      </c>
      <c r="B137" s="26"/>
      <c r="C137" s="26"/>
      <c r="D137" s="26"/>
      <c r="E137" s="26"/>
    </row>
    <row r="138" spans="1:5" x14ac:dyDescent="0.35">
      <c r="A138" s="26" t="s">
        <v>313</v>
      </c>
      <c r="B138" s="26"/>
      <c r="C138" s="26"/>
      <c r="D138" s="26"/>
      <c r="E138" s="26"/>
    </row>
    <row r="139" spans="1:5" x14ac:dyDescent="0.35">
      <c r="A139" s="16" t="s">
        <v>32</v>
      </c>
      <c r="B139" s="3"/>
      <c r="C139" s="3"/>
      <c r="D139" s="3"/>
      <c r="E139" s="4"/>
    </row>
    <row r="140" spans="1:5" x14ac:dyDescent="0.35">
      <c r="A140" s="19" t="s">
        <v>306</v>
      </c>
      <c r="B140" s="3"/>
      <c r="C140" s="3"/>
      <c r="D140" s="3"/>
      <c r="E140" s="4"/>
    </row>
    <row r="141" spans="1:5" x14ac:dyDescent="0.35">
      <c r="A141" s="21" t="s">
        <v>307</v>
      </c>
      <c r="B141" s="3"/>
      <c r="C141" s="3"/>
      <c r="D141" s="3"/>
      <c r="E141" s="4"/>
    </row>
    <row r="142" spans="1:5" x14ac:dyDescent="0.35">
      <c r="A142" s="4"/>
      <c r="B142" s="3"/>
      <c r="C142" s="3"/>
      <c r="D142" s="3"/>
      <c r="E142" s="4"/>
    </row>
    <row r="143" spans="1:5" x14ac:dyDescent="0.35">
      <c r="A143" s="4"/>
      <c r="B143" s="3"/>
      <c r="C143" s="3"/>
      <c r="D143" s="3"/>
      <c r="E143" s="4"/>
    </row>
    <row r="144" spans="1:5" x14ac:dyDescent="0.35">
      <c r="A144" s="4"/>
      <c r="B144" s="3"/>
      <c r="C144" s="3"/>
      <c r="D144" s="3"/>
      <c r="E144" s="4"/>
    </row>
    <row r="145" spans="1:5" x14ac:dyDescent="0.35">
      <c r="A145" s="4"/>
      <c r="B145" s="3"/>
      <c r="C145" s="3"/>
      <c r="D145" s="3"/>
      <c r="E145" s="4"/>
    </row>
    <row r="146" spans="1:5" x14ac:dyDescent="0.35">
      <c r="A146" s="4"/>
      <c r="B146" s="3"/>
      <c r="C146" s="3"/>
      <c r="D146" s="3"/>
      <c r="E146" s="4"/>
    </row>
    <row r="147" spans="1:5" x14ac:dyDescent="0.35">
      <c r="A147" s="4"/>
      <c r="B147" s="3"/>
      <c r="C147" s="3"/>
      <c r="D147" s="3"/>
      <c r="E147" s="4"/>
    </row>
    <row r="148" spans="1:5" x14ac:dyDescent="0.35">
      <c r="A148" s="4"/>
      <c r="B148" s="3"/>
      <c r="C148" s="3"/>
      <c r="D148" s="3"/>
      <c r="E148" s="4"/>
    </row>
    <row r="149" spans="1:5" x14ac:dyDescent="0.35">
      <c r="A149" s="4"/>
      <c r="B149" s="3"/>
      <c r="C149" s="3"/>
      <c r="D149" s="3"/>
      <c r="E149" s="4"/>
    </row>
    <row r="150" spans="1:5" x14ac:dyDescent="0.35">
      <c r="A150" s="4"/>
      <c r="B150" s="3"/>
      <c r="C150" s="3"/>
      <c r="D150" s="3"/>
      <c r="E150" s="4"/>
    </row>
    <row r="151" spans="1:5" x14ac:dyDescent="0.35">
      <c r="A151" s="4"/>
      <c r="B151" s="3"/>
      <c r="C151" s="3"/>
      <c r="D151" s="3"/>
      <c r="E151" s="4"/>
    </row>
    <row r="152" spans="1:5" x14ac:dyDescent="0.35">
      <c r="A152" s="4"/>
      <c r="B152" s="3"/>
      <c r="C152" s="3"/>
      <c r="D152" s="3"/>
      <c r="E152" s="4"/>
    </row>
    <row r="153" spans="1:5" x14ac:dyDescent="0.35">
      <c r="A153" s="4"/>
      <c r="B153" s="3"/>
      <c r="C153" s="3"/>
      <c r="D153" s="3"/>
      <c r="E153" s="4"/>
    </row>
    <row r="154" spans="1:5" x14ac:dyDescent="0.35">
      <c r="A154" s="4"/>
      <c r="B154" s="3"/>
      <c r="C154" s="3"/>
      <c r="D154" s="3"/>
      <c r="E154" s="4"/>
    </row>
    <row r="155" spans="1:5" x14ac:dyDescent="0.35">
      <c r="A155" s="4"/>
      <c r="B155" s="3"/>
      <c r="C155" s="3"/>
      <c r="D155" s="3"/>
      <c r="E155" s="4"/>
    </row>
    <row r="156" spans="1:5" x14ac:dyDescent="0.35">
      <c r="A156" s="4"/>
      <c r="B156" s="3"/>
      <c r="C156" s="3"/>
      <c r="D156" s="3"/>
      <c r="E156" s="4"/>
    </row>
    <row r="157" spans="1:5" x14ac:dyDescent="0.35">
      <c r="A157" s="4"/>
      <c r="B157" s="3"/>
      <c r="C157" s="3"/>
      <c r="D157" s="3"/>
      <c r="E157" s="4"/>
    </row>
    <row r="158" spans="1:5" x14ac:dyDescent="0.35">
      <c r="A158" s="4"/>
      <c r="B158" s="3"/>
      <c r="C158" s="3"/>
      <c r="D158" s="3"/>
      <c r="E158" s="4"/>
    </row>
    <row r="159" spans="1:5" x14ac:dyDescent="0.35">
      <c r="A159" s="4"/>
      <c r="B159" s="3"/>
      <c r="C159" s="3"/>
      <c r="D159" s="3"/>
      <c r="E159" s="4"/>
    </row>
    <row r="160" spans="1:5" x14ac:dyDescent="0.35">
      <c r="A160" s="4"/>
      <c r="B160" s="3"/>
      <c r="C160" s="3"/>
      <c r="D160" s="3"/>
      <c r="E160" s="4"/>
    </row>
    <row r="161" spans="1:5" x14ac:dyDescent="0.35">
      <c r="A161" s="4"/>
      <c r="B161" s="3"/>
      <c r="C161" s="3"/>
      <c r="D161" s="3"/>
      <c r="E161" s="4"/>
    </row>
    <row r="162" spans="1:5" x14ac:dyDescent="0.35">
      <c r="A162" s="4"/>
      <c r="B162" s="3"/>
      <c r="C162" s="3"/>
      <c r="D162" s="3"/>
      <c r="E162" s="4"/>
    </row>
    <row r="163" spans="1:5" x14ac:dyDescent="0.35">
      <c r="A163" s="4"/>
      <c r="B163" s="3"/>
      <c r="C163" s="3"/>
      <c r="D163" s="3"/>
      <c r="E163" s="4"/>
    </row>
    <row r="164" spans="1:5" x14ac:dyDescent="0.35">
      <c r="A164" s="4"/>
      <c r="B164" s="3"/>
      <c r="C164" s="3"/>
      <c r="D164" s="3"/>
      <c r="E164" s="4"/>
    </row>
    <row r="165" spans="1:5" x14ac:dyDescent="0.35">
      <c r="A165" s="4"/>
      <c r="B165" s="3"/>
      <c r="C165" s="3"/>
      <c r="D165" s="3"/>
      <c r="E165" s="4"/>
    </row>
    <row r="166" spans="1:5" x14ac:dyDescent="0.35">
      <c r="A166" s="4"/>
      <c r="B166" s="3"/>
      <c r="C166" s="3"/>
      <c r="D166" s="3"/>
      <c r="E166" s="4"/>
    </row>
    <row r="167" spans="1:5" x14ac:dyDescent="0.35">
      <c r="A167" s="4"/>
      <c r="B167" s="3"/>
      <c r="C167" s="3"/>
      <c r="D167" s="3"/>
      <c r="E167" s="4"/>
    </row>
    <row r="168" spans="1:5" x14ac:dyDescent="0.35">
      <c r="A168" s="4"/>
      <c r="B168" s="3"/>
      <c r="C168" s="3"/>
      <c r="D168" s="3"/>
      <c r="E168" s="4"/>
    </row>
    <row r="169" spans="1:5" x14ac:dyDescent="0.35">
      <c r="A169" s="4"/>
      <c r="B169" s="3"/>
      <c r="C169" s="3"/>
      <c r="D169" s="3"/>
      <c r="E169" s="4"/>
    </row>
    <row r="170" spans="1:5" x14ac:dyDescent="0.35">
      <c r="A170" s="4"/>
      <c r="B170" s="3"/>
      <c r="C170" s="3"/>
      <c r="D170" s="3"/>
      <c r="E170" s="4"/>
    </row>
    <row r="171" spans="1:5" x14ac:dyDescent="0.35">
      <c r="A171" s="4"/>
      <c r="B171" s="3"/>
      <c r="C171" s="3"/>
      <c r="D171" s="3"/>
      <c r="E171" s="4"/>
    </row>
    <row r="172" spans="1:5" x14ac:dyDescent="0.35">
      <c r="A172" s="4"/>
      <c r="B172" s="3"/>
      <c r="C172" s="3"/>
      <c r="D172" s="3"/>
      <c r="E172" s="4"/>
    </row>
    <row r="173" spans="1:5" x14ac:dyDescent="0.35">
      <c r="A173" s="4"/>
      <c r="B173" s="3"/>
      <c r="C173" s="3"/>
      <c r="D173" s="3"/>
      <c r="E173" s="4"/>
    </row>
    <row r="174" spans="1:5" x14ac:dyDescent="0.35">
      <c r="A174" s="4"/>
      <c r="B174" s="3"/>
      <c r="C174" s="3"/>
      <c r="D174" s="3"/>
      <c r="E174" s="4"/>
    </row>
    <row r="175" spans="1:5" x14ac:dyDescent="0.35">
      <c r="A175" s="4"/>
      <c r="B175" s="3"/>
      <c r="C175" s="3"/>
      <c r="D175" s="3"/>
      <c r="E175" s="4"/>
    </row>
    <row r="176" spans="1:5" x14ac:dyDescent="0.35">
      <c r="A176" s="4"/>
      <c r="B176" s="3"/>
      <c r="C176" s="3"/>
      <c r="D176" s="3"/>
      <c r="E176" s="4"/>
    </row>
    <row r="177" spans="1:5" x14ac:dyDescent="0.35">
      <c r="A177" s="4"/>
      <c r="B177" s="3"/>
      <c r="C177" s="3"/>
      <c r="D177" s="3"/>
      <c r="E177" s="4"/>
    </row>
    <row r="178" spans="1:5" x14ac:dyDescent="0.35">
      <c r="A178" s="4"/>
      <c r="B178" s="3"/>
      <c r="C178" s="3"/>
      <c r="D178" s="3"/>
      <c r="E178" s="4"/>
    </row>
    <row r="179" spans="1:5" x14ac:dyDescent="0.35">
      <c r="A179" s="4"/>
      <c r="B179" s="3"/>
      <c r="C179" s="3"/>
      <c r="D179" s="3"/>
      <c r="E179" s="4"/>
    </row>
    <row r="180" spans="1:5" x14ac:dyDescent="0.35">
      <c r="A180" s="4"/>
      <c r="B180" s="3"/>
      <c r="C180" s="3"/>
      <c r="D180" s="3"/>
      <c r="E180" s="4"/>
    </row>
    <row r="181" spans="1:5" x14ac:dyDescent="0.35">
      <c r="A181" s="4"/>
      <c r="B181" s="3"/>
      <c r="C181" s="3"/>
      <c r="D181" s="3"/>
      <c r="E181" s="4"/>
    </row>
    <row r="182" spans="1:5" x14ac:dyDescent="0.35">
      <c r="A182" s="4"/>
      <c r="B182" s="3"/>
      <c r="C182" s="3"/>
      <c r="D182" s="3"/>
      <c r="E182" s="4"/>
    </row>
    <row r="183" spans="1:5" x14ac:dyDescent="0.35">
      <c r="A183" s="4"/>
      <c r="B183" s="3"/>
      <c r="C183" s="3"/>
      <c r="D183" s="3"/>
      <c r="E183" s="4"/>
    </row>
    <row r="184" spans="1:5" x14ac:dyDescent="0.35">
      <c r="A184" s="4"/>
      <c r="B184" s="3"/>
      <c r="C184" s="3"/>
      <c r="D184" s="3"/>
      <c r="E184" s="4"/>
    </row>
    <row r="185" spans="1:5" x14ac:dyDescent="0.35">
      <c r="A185" s="4"/>
      <c r="B185" s="3"/>
      <c r="C185" s="3"/>
      <c r="D185" s="3"/>
      <c r="E185" s="4"/>
    </row>
    <row r="186" spans="1:5" x14ac:dyDescent="0.35">
      <c r="A186" s="4"/>
      <c r="B186" s="3"/>
      <c r="C186" s="3"/>
      <c r="D186" s="3"/>
      <c r="E186" s="4"/>
    </row>
    <row r="187" spans="1:5" x14ac:dyDescent="0.35">
      <c r="A187" s="4"/>
      <c r="B187" s="3"/>
      <c r="C187" s="3"/>
      <c r="D187" s="3"/>
      <c r="E187" s="4"/>
    </row>
    <row r="188" spans="1:5" x14ac:dyDescent="0.35">
      <c r="A188" s="4"/>
      <c r="B188" s="3"/>
      <c r="C188" s="3"/>
      <c r="D188" s="3"/>
      <c r="E188" s="4"/>
    </row>
    <row r="189" spans="1:5" x14ac:dyDescent="0.35">
      <c r="A189" s="4"/>
      <c r="B189" s="3"/>
      <c r="C189" s="3"/>
      <c r="D189" s="3"/>
      <c r="E189" s="4"/>
    </row>
    <row r="190" spans="1:5" x14ac:dyDescent="0.35">
      <c r="A190" s="4"/>
      <c r="B190" s="3"/>
      <c r="C190" s="3"/>
      <c r="D190" s="3"/>
      <c r="E190" s="4"/>
    </row>
    <row r="191" spans="1:5" x14ac:dyDescent="0.35">
      <c r="A191" s="4"/>
      <c r="B191" s="3"/>
      <c r="C191" s="3"/>
      <c r="D191" s="3"/>
      <c r="E191" s="4"/>
    </row>
    <row r="192" spans="1:5" x14ac:dyDescent="0.35">
      <c r="A192" s="4"/>
      <c r="B192" s="3"/>
      <c r="C192" s="3"/>
      <c r="D192" s="3"/>
      <c r="E192" s="4"/>
    </row>
    <row r="193" spans="1:5" x14ac:dyDescent="0.35">
      <c r="A193" s="4"/>
      <c r="B193" s="3"/>
      <c r="C193" s="3"/>
      <c r="D193" s="3"/>
      <c r="E193" s="4"/>
    </row>
    <row r="194" spans="1:5" x14ac:dyDescent="0.35">
      <c r="A194" s="4"/>
      <c r="B194" s="3"/>
      <c r="C194" s="3"/>
      <c r="D194" s="3"/>
      <c r="E194" s="4"/>
    </row>
    <row r="195" spans="1:5" x14ac:dyDescent="0.35">
      <c r="A195" s="4"/>
      <c r="B195" s="3"/>
      <c r="C195" s="3"/>
      <c r="D195" s="3"/>
      <c r="E195" s="4"/>
    </row>
    <row r="196" spans="1:5" x14ac:dyDescent="0.35">
      <c r="A196" s="4"/>
      <c r="B196" s="3"/>
      <c r="C196" s="3"/>
      <c r="D196" s="3"/>
      <c r="E196" s="4"/>
    </row>
    <row r="197" spans="1:5" x14ac:dyDescent="0.35">
      <c r="A197" s="4"/>
      <c r="B197" s="3"/>
      <c r="C197" s="3"/>
      <c r="D197" s="3"/>
      <c r="E197" s="4"/>
    </row>
    <row r="198" spans="1:5" x14ac:dyDescent="0.35">
      <c r="A198" s="4"/>
      <c r="B198" s="3"/>
      <c r="C198" s="3"/>
      <c r="D198" s="3"/>
      <c r="E198" s="4"/>
    </row>
    <row r="199" spans="1:5" x14ac:dyDescent="0.35">
      <c r="A199" s="4"/>
      <c r="B199" s="3"/>
      <c r="C199" s="3"/>
      <c r="D199" s="3"/>
      <c r="E199" s="4"/>
    </row>
    <row r="200" spans="1:5" x14ac:dyDescent="0.35">
      <c r="A200" s="4"/>
      <c r="B200" s="3"/>
      <c r="C200" s="3"/>
      <c r="D200" s="3"/>
      <c r="E200" s="4"/>
    </row>
    <row r="201" spans="1:5" x14ac:dyDescent="0.35">
      <c r="A201" s="4"/>
      <c r="B201" s="3"/>
      <c r="C201" s="3"/>
      <c r="D201" s="3"/>
      <c r="E201" s="4"/>
    </row>
    <row r="202" spans="1:5" x14ac:dyDescent="0.35">
      <c r="A202" s="4"/>
      <c r="B202" s="3"/>
      <c r="C202" s="3"/>
      <c r="D202" s="3"/>
      <c r="E202" s="4"/>
    </row>
    <row r="203" spans="1:5" x14ac:dyDescent="0.35">
      <c r="A203" s="4"/>
      <c r="B203" s="3"/>
      <c r="C203" s="3"/>
      <c r="D203" s="3"/>
      <c r="E203" s="4"/>
    </row>
    <row r="204" spans="1:5" x14ac:dyDescent="0.35">
      <c r="A204" s="4"/>
      <c r="B204" s="3"/>
      <c r="C204" s="3"/>
      <c r="D204" s="3"/>
      <c r="E204" s="4"/>
    </row>
    <row r="205" spans="1:5" x14ac:dyDescent="0.35">
      <c r="A205" s="4"/>
      <c r="B205" s="3"/>
      <c r="C205" s="3"/>
      <c r="D205" s="3"/>
      <c r="E205" s="4"/>
    </row>
    <row r="206" spans="1:5" x14ac:dyDescent="0.35">
      <c r="A206" s="4"/>
      <c r="B206" s="3"/>
      <c r="C206" s="3"/>
      <c r="D206" s="3"/>
      <c r="E206" s="4"/>
    </row>
    <row r="207" spans="1:5" x14ac:dyDescent="0.35">
      <c r="A207" s="4"/>
      <c r="B207" s="3"/>
      <c r="C207" s="3"/>
      <c r="D207" s="3"/>
      <c r="E207" s="4"/>
    </row>
    <row r="208" spans="1:5" x14ac:dyDescent="0.35">
      <c r="A208" s="4"/>
      <c r="B208" s="3"/>
      <c r="C208" s="3"/>
      <c r="D208" s="3"/>
      <c r="E208" s="4"/>
    </row>
    <row r="209" spans="1:5" x14ac:dyDescent="0.35">
      <c r="A209" s="4"/>
      <c r="B209" s="3"/>
      <c r="C209" s="3"/>
      <c r="D209" s="3"/>
      <c r="E209" s="4"/>
    </row>
    <row r="210" spans="1:5" x14ac:dyDescent="0.35">
      <c r="A210" s="4"/>
      <c r="B210" s="3"/>
      <c r="C210" s="3"/>
      <c r="D210" s="3"/>
      <c r="E210" s="4"/>
    </row>
    <row r="211" spans="1:5" x14ac:dyDescent="0.35">
      <c r="A211" s="4"/>
      <c r="B211" s="3"/>
      <c r="C211" s="3"/>
      <c r="D211" s="3"/>
      <c r="E211" s="4"/>
    </row>
    <row r="212" spans="1:5" x14ac:dyDescent="0.35">
      <c r="A212" s="4"/>
      <c r="B212" s="3"/>
      <c r="C212" s="3"/>
      <c r="D212" s="3"/>
      <c r="E212" s="4"/>
    </row>
    <row r="213" spans="1:5" x14ac:dyDescent="0.35">
      <c r="A213" s="4"/>
      <c r="B213" s="3"/>
      <c r="C213" s="3"/>
      <c r="D213" s="3"/>
      <c r="E213" s="4"/>
    </row>
    <row r="214" spans="1:5" x14ac:dyDescent="0.35">
      <c r="A214" s="4"/>
      <c r="B214" s="3"/>
      <c r="C214" s="3"/>
      <c r="D214" s="3"/>
      <c r="E214" s="4"/>
    </row>
    <row r="215" spans="1:5" x14ac:dyDescent="0.35">
      <c r="A215" s="4"/>
      <c r="B215" s="3"/>
      <c r="C215" s="3"/>
      <c r="D215" s="3"/>
      <c r="E215" s="4"/>
    </row>
    <row r="216" spans="1:5" x14ac:dyDescent="0.35">
      <c r="A216" s="4"/>
      <c r="B216" s="3"/>
      <c r="C216" s="3"/>
      <c r="D216" s="3"/>
      <c r="E216" s="4"/>
    </row>
    <row r="217" spans="1:5" x14ac:dyDescent="0.35">
      <c r="A217" s="4"/>
      <c r="B217" s="3"/>
      <c r="C217" s="3"/>
      <c r="D217" s="3"/>
      <c r="E217" s="4"/>
    </row>
    <row r="218" spans="1:5" x14ac:dyDescent="0.35">
      <c r="A218" s="4"/>
      <c r="B218" s="3"/>
      <c r="C218" s="3"/>
      <c r="D218" s="3"/>
      <c r="E218" s="4"/>
    </row>
    <row r="219" spans="1:5" x14ac:dyDescent="0.35">
      <c r="A219" s="4"/>
      <c r="B219" s="3"/>
      <c r="C219" s="3"/>
      <c r="D219" s="3"/>
      <c r="E219" s="4"/>
    </row>
    <row r="220" spans="1:5" x14ac:dyDescent="0.35">
      <c r="A220" s="4"/>
      <c r="B220" s="3"/>
      <c r="C220" s="3"/>
      <c r="D220" s="3"/>
      <c r="E220" s="4"/>
    </row>
    <row r="221" spans="1:5" x14ac:dyDescent="0.35">
      <c r="A221" s="4"/>
      <c r="B221" s="3"/>
      <c r="C221" s="3"/>
      <c r="D221" s="3"/>
      <c r="E221" s="4"/>
    </row>
    <row r="222" spans="1:5" x14ac:dyDescent="0.35">
      <c r="A222" s="4"/>
      <c r="B222" s="3"/>
      <c r="C222" s="3"/>
      <c r="D222" s="3"/>
      <c r="E222" s="4"/>
    </row>
    <row r="223" spans="1:5" x14ac:dyDescent="0.35">
      <c r="A223" s="4"/>
      <c r="B223" s="3"/>
      <c r="C223" s="3"/>
      <c r="D223" s="3"/>
      <c r="E223" s="4"/>
    </row>
    <row r="224" spans="1:5" x14ac:dyDescent="0.35">
      <c r="A224" s="4"/>
      <c r="B224" s="3"/>
      <c r="C224" s="3"/>
      <c r="D224" s="3"/>
      <c r="E224" s="4"/>
    </row>
    <row r="225" spans="1:5" x14ac:dyDescent="0.35">
      <c r="A225" s="4"/>
      <c r="B225" s="3"/>
      <c r="C225" s="3"/>
      <c r="D225" s="3"/>
      <c r="E225" s="4"/>
    </row>
    <row r="226" spans="1:5" x14ac:dyDescent="0.35">
      <c r="A226" s="4"/>
      <c r="B226" s="3"/>
      <c r="C226" s="3"/>
      <c r="D226" s="3"/>
      <c r="E226" s="4"/>
    </row>
    <row r="227" spans="1:5" x14ac:dyDescent="0.35">
      <c r="A227" s="4"/>
      <c r="B227" s="3"/>
      <c r="C227" s="3"/>
      <c r="D227" s="3"/>
      <c r="E227" s="4"/>
    </row>
    <row r="228" spans="1:5" x14ac:dyDescent="0.35">
      <c r="A228" s="4"/>
      <c r="B228" s="3"/>
      <c r="C228" s="3"/>
      <c r="D228" s="3"/>
      <c r="E228" s="4"/>
    </row>
    <row r="229" spans="1:5" x14ac:dyDescent="0.35">
      <c r="A229" s="4"/>
      <c r="B229" s="3"/>
      <c r="C229" s="3"/>
      <c r="D229" s="3"/>
      <c r="E229" s="4"/>
    </row>
    <row r="230" spans="1:5" x14ac:dyDescent="0.35">
      <c r="A230" s="4"/>
      <c r="B230" s="3"/>
      <c r="C230" s="3"/>
      <c r="D230" s="3"/>
      <c r="E230" s="4"/>
    </row>
    <row r="231" spans="1:5" x14ac:dyDescent="0.35">
      <c r="A231" s="4"/>
      <c r="B231" s="3"/>
      <c r="C231" s="3"/>
      <c r="D231" s="3"/>
      <c r="E231" s="4"/>
    </row>
    <row r="232" spans="1:5" x14ac:dyDescent="0.35">
      <c r="A232" s="4"/>
      <c r="B232" s="3"/>
      <c r="C232" s="3"/>
      <c r="D232" s="3"/>
      <c r="E232" s="4"/>
    </row>
    <row r="233" spans="1:5" x14ac:dyDescent="0.35">
      <c r="A233" s="4"/>
      <c r="B233" s="3"/>
      <c r="C233" s="3"/>
      <c r="D233" s="3"/>
      <c r="E233" s="4"/>
    </row>
    <row r="234" spans="1:5" x14ac:dyDescent="0.35">
      <c r="A234" s="4"/>
      <c r="B234" s="3"/>
      <c r="C234" s="3"/>
      <c r="D234" s="3"/>
      <c r="E234" s="4"/>
    </row>
    <row r="235" spans="1:5" x14ac:dyDescent="0.35">
      <c r="A235" s="4"/>
      <c r="B235" s="3"/>
      <c r="C235" s="3"/>
      <c r="D235" s="3"/>
      <c r="E235" s="4"/>
    </row>
    <row r="236" spans="1:5" x14ac:dyDescent="0.35">
      <c r="A236" s="4"/>
      <c r="B236" s="3"/>
      <c r="C236" s="3"/>
      <c r="D236" s="3"/>
      <c r="E236" s="4"/>
    </row>
    <row r="237" spans="1:5" x14ac:dyDescent="0.35">
      <c r="A237" s="4"/>
      <c r="B237" s="3"/>
      <c r="C237" s="3"/>
      <c r="D237" s="3"/>
      <c r="E237" s="4"/>
    </row>
    <row r="238" spans="1:5" x14ac:dyDescent="0.35">
      <c r="A238" s="4"/>
      <c r="B238" s="3"/>
      <c r="C238" s="3"/>
      <c r="D238" s="3"/>
      <c r="E238" s="4"/>
    </row>
    <row r="239" spans="1:5" x14ac:dyDescent="0.35">
      <c r="A239" s="4"/>
      <c r="B239" s="3"/>
      <c r="C239" s="3"/>
      <c r="D239" s="3"/>
      <c r="E239" s="4"/>
    </row>
    <row r="240" spans="1:5" x14ac:dyDescent="0.35">
      <c r="A240" s="4"/>
      <c r="B240" s="3"/>
      <c r="C240" s="3"/>
      <c r="D240" s="3"/>
      <c r="E240" s="4"/>
    </row>
    <row r="241" spans="1:5" x14ac:dyDescent="0.35">
      <c r="A241" s="4"/>
      <c r="B241" s="3"/>
      <c r="C241" s="3"/>
      <c r="D241" s="3"/>
      <c r="E241" s="4"/>
    </row>
    <row r="242" spans="1:5" x14ac:dyDescent="0.35">
      <c r="A242" s="4"/>
      <c r="B242" s="3"/>
      <c r="C242" s="3"/>
      <c r="D242" s="3"/>
      <c r="E242" s="4"/>
    </row>
    <row r="243" spans="1:5" x14ac:dyDescent="0.35">
      <c r="A243" s="4"/>
      <c r="B243" s="3"/>
      <c r="C243" s="3"/>
      <c r="D243" s="3"/>
      <c r="E243" s="4"/>
    </row>
    <row r="244" spans="1:5" x14ac:dyDescent="0.35">
      <c r="A244" s="4"/>
      <c r="B244" s="3"/>
      <c r="C244" s="3"/>
      <c r="D244" s="3"/>
      <c r="E244" s="4"/>
    </row>
    <row r="245" spans="1:5" x14ac:dyDescent="0.35">
      <c r="A245" s="4"/>
      <c r="B245" s="3"/>
      <c r="C245" s="3"/>
      <c r="D245" s="3"/>
      <c r="E245" s="4"/>
    </row>
    <row r="246" spans="1:5" x14ac:dyDescent="0.35">
      <c r="A246" s="4"/>
      <c r="B246" s="3"/>
      <c r="C246" s="3"/>
      <c r="D246" s="3"/>
      <c r="E246" s="4"/>
    </row>
    <row r="247" spans="1:5" x14ac:dyDescent="0.35">
      <c r="A247" s="4"/>
      <c r="B247" s="3"/>
      <c r="C247" s="3"/>
      <c r="D247" s="3"/>
      <c r="E247" s="4"/>
    </row>
    <row r="248" spans="1:5" x14ac:dyDescent="0.35">
      <c r="A248" s="4"/>
      <c r="B248" s="3"/>
      <c r="C248" s="3"/>
      <c r="D248" s="3"/>
      <c r="E248" s="4"/>
    </row>
    <row r="249" spans="1:5" x14ac:dyDescent="0.35">
      <c r="A249" s="4"/>
      <c r="B249" s="3"/>
      <c r="C249" s="3"/>
      <c r="D249" s="3"/>
      <c r="E249" s="4"/>
    </row>
    <row r="250" spans="1:5" x14ac:dyDescent="0.35">
      <c r="A250" s="4"/>
      <c r="B250" s="3"/>
      <c r="C250" s="3"/>
      <c r="D250" s="3"/>
      <c r="E250" s="4"/>
    </row>
    <row r="251" spans="1:5" x14ac:dyDescent="0.35">
      <c r="A251" s="4"/>
      <c r="B251" s="3"/>
      <c r="C251" s="3"/>
      <c r="D251" s="3"/>
      <c r="E251" s="4"/>
    </row>
    <row r="252" spans="1:5" x14ac:dyDescent="0.35">
      <c r="A252" s="4"/>
      <c r="B252" s="3"/>
      <c r="C252" s="3"/>
      <c r="D252" s="3"/>
      <c r="E252" s="4"/>
    </row>
    <row r="253" spans="1:5" x14ac:dyDescent="0.35">
      <c r="A253" s="4"/>
      <c r="B253" s="3"/>
      <c r="C253" s="3"/>
      <c r="D253" s="3"/>
      <c r="E253" s="4"/>
    </row>
    <row r="254" spans="1:5" x14ac:dyDescent="0.35">
      <c r="A254" s="4"/>
      <c r="B254" s="3"/>
      <c r="C254" s="3"/>
      <c r="D254" s="3"/>
      <c r="E254" s="4"/>
    </row>
    <row r="255" spans="1:5" x14ac:dyDescent="0.35">
      <c r="A255" s="4"/>
      <c r="B255" s="3"/>
      <c r="C255" s="3"/>
      <c r="D255" s="3"/>
      <c r="E255" s="4"/>
    </row>
    <row r="256" spans="1:5" x14ac:dyDescent="0.35">
      <c r="A256" s="4"/>
      <c r="B256" s="3"/>
      <c r="C256" s="3"/>
      <c r="D256" s="3"/>
      <c r="E256" s="4"/>
    </row>
    <row r="257" spans="1:5" x14ac:dyDescent="0.35">
      <c r="A257" s="4"/>
      <c r="B257" s="3"/>
      <c r="C257" s="3"/>
      <c r="D257" s="3"/>
      <c r="E257" s="4"/>
    </row>
    <row r="258" spans="1:5" x14ac:dyDescent="0.35">
      <c r="A258" s="4"/>
      <c r="B258" s="3"/>
      <c r="C258" s="3"/>
      <c r="D258" s="3"/>
      <c r="E258" s="4"/>
    </row>
    <row r="259" spans="1:5" x14ac:dyDescent="0.35">
      <c r="A259" s="4"/>
      <c r="B259" s="3"/>
      <c r="C259" s="3"/>
      <c r="D259" s="3"/>
      <c r="E259" s="4"/>
    </row>
    <row r="260" spans="1:5" x14ac:dyDescent="0.35">
      <c r="A260" s="4"/>
      <c r="B260" s="3"/>
      <c r="C260" s="3"/>
      <c r="D260" s="3"/>
      <c r="E260" s="4"/>
    </row>
    <row r="261" spans="1:5" x14ac:dyDescent="0.35">
      <c r="A261" s="4"/>
      <c r="B261" s="3"/>
      <c r="C261" s="3"/>
      <c r="D261" s="3"/>
      <c r="E261" s="4"/>
    </row>
    <row r="262" spans="1:5" x14ac:dyDescent="0.35">
      <c r="A262" s="4"/>
      <c r="B262" s="3"/>
      <c r="C262" s="3"/>
      <c r="D262" s="3"/>
      <c r="E262" s="4"/>
    </row>
    <row r="263" spans="1:5" x14ac:dyDescent="0.35">
      <c r="A263" s="4"/>
      <c r="B263" s="3"/>
      <c r="C263" s="3"/>
      <c r="D263" s="3"/>
      <c r="E263" s="4"/>
    </row>
    <row r="264" spans="1:5" x14ac:dyDescent="0.35">
      <c r="A264" s="4"/>
      <c r="B264" s="3"/>
      <c r="C264" s="3"/>
      <c r="D264" s="3"/>
      <c r="E264" s="4"/>
    </row>
    <row r="265" spans="1:5" x14ac:dyDescent="0.35">
      <c r="A265" s="4"/>
      <c r="B265" s="3"/>
      <c r="C265" s="3"/>
      <c r="D265" s="3"/>
      <c r="E265" s="4"/>
    </row>
    <row r="266" spans="1:5" x14ac:dyDescent="0.35">
      <c r="A266" s="4"/>
      <c r="B266" s="3"/>
      <c r="C266" s="3"/>
      <c r="D266" s="3"/>
      <c r="E266" s="4"/>
    </row>
    <row r="267" spans="1:5" x14ac:dyDescent="0.35">
      <c r="A267" s="4"/>
      <c r="B267" s="3"/>
      <c r="C267" s="3"/>
      <c r="D267" s="3"/>
      <c r="E267" s="4"/>
    </row>
    <row r="268" spans="1:5" x14ac:dyDescent="0.35">
      <c r="A268" s="4"/>
      <c r="B268" s="3"/>
      <c r="C268" s="3"/>
      <c r="D268" s="3"/>
      <c r="E268" s="4"/>
    </row>
    <row r="269" spans="1:5" x14ac:dyDescent="0.35">
      <c r="A269" s="4"/>
      <c r="B269" s="3"/>
      <c r="C269" s="3"/>
      <c r="D269" s="3"/>
      <c r="E269" s="4"/>
    </row>
    <row r="270" spans="1:5" x14ac:dyDescent="0.35">
      <c r="A270" s="4"/>
      <c r="B270" s="3"/>
      <c r="C270" s="3"/>
      <c r="D270" s="3"/>
      <c r="E270" s="4"/>
    </row>
    <row r="271" spans="1:5" x14ac:dyDescent="0.35">
      <c r="A271" s="4"/>
      <c r="B271" s="3"/>
      <c r="C271" s="3"/>
      <c r="D271" s="3"/>
      <c r="E271" s="4"/>
    </row>
    <row r="272" spans="1:5" x14ac:dyDescent="0.35">
      <c r="A272" s="4"/>
      <c r="B272" s="3"/>
      <c r="C272" s="3"/>
      <c r="D272" s="3"/>
      <c r="E272" s="4"/>
    </row>
    <row r="273" spans="1:5" x14ac:dyDescent="0.35">
      <c r="A273" s="4"/>
      <c r="B273" s="3"/>
      <c r="C273" s="3"/>
      <c r="D273" s="3"/>
      <c r="E273" s="4"/>
    </row>
    <row r="274" spans="1:5" x14ac:dyDescent="0.35">
      <c r="A274" s="4"/>
      <c r="B274" s="3"/>
      <c r="C274" s="3"/>
      <c r="D274" s="3"/>
      <c r="E274" s="4"/>
    </row>
    <row r="275" spans="1:5" x14ac:dyDescent="0.35">
      <c r="A275" s="4"/>
      <c r="B275" s="3"/>
      <c r="C275" s="3"/>
      <c r="D275" s="3"/>
      <c r="E275" s="4"/>
    </row>
    <row r="276" spans="1:5" x14ac:dyDescent="0.35">
      <c r="A276" s="4"/>
      <c r="B276" s="3"/>
      <c r="C276" s="3"/>
      <c r="D276" s="3"/>
      <c r="E276" s="4"/>
    </row>
    <row r="277" spans="1:5" x14ac:dyDescent="0.35">
      <c r="A277" s="4"/>
      <c r="B277" s="3"/>
      <c r="C277" s="3"/>
      <c r="D277" s="3"/>
      <c r="E277" s="4"/>
    </row>
    <row r="278" spans="1:5" x14ac:dyDescent="0.35">
      <c r="A278" s="4"/>
      <c r="B278" s="3"/>
      <c r="C278" s="3"/>
      <c r="D278" s="3"/>
      <c r="E278" s="4"/>
    </row>
    <row r="279" spans="1:5" x14ac:dyDescent="0.35">
      <c r="A279" s="4"/>
      <c r="B279" s="3"/>
      <c r="C279" s="3"/>
      <c r="D279" s="3"/>
      <c r="E279" s="4"/>
    </row>
    <row r="280" spans="1:5" x14ac:dyDescent="0.35">
      <c r="A280" s="4"/>
      <c r="B280" s="3"/>
      <c r="C280" s="3"/>
      <c r="D280" s="3"/>
      <c r="E280" s="4"/>
    </row>
    <row r="281" spans="1:5" x14ac:dyDescent="0.35">
      <c r="A281" s="4"/>
      <c r="B281" s="3"/>
      <c r="C281" s="3"/>
      <c r="D281" s="3"/>
      <c r="E281" s="4"/>
    </row>
    <row r="282" spans="1:5" x14ac:dyDescent="0.35">
      <c r="A282" s="4"/>
      <c r="B282" s="3"/>
      <c r="C282" s="3"/>
      <c r="D282" s="3"/>
      <c r="E282" s="4"/>
    </row>
    <row r="283" spans="1:5" x14ac:dyDescent="0.35">
      <c r="A283" s="4"/>
      <c r="B283" s="3"/>
      <c r="C283" s="3"/>
      <c r="D283" s="3"/>
      <c r="E283" s="4"/>
    </row>
    <row r="284" spans="1:5" x14ac:dyDescent="0.35">
      <c r="A284" s="4"/>
      <c r="B284" s="3"/>
      <c r="C284" s="3"/>
      <c r="D284" s="3"/>
      <c r="E284" s="4"/>
    </row>
    <row r="285" spans="1:5" x14ac:dyDescent="0.35">
      <c r="A285" s="4"/>
      <c r="B285" s="3"/>
      <c r="C285" s="3"/>
      <c r="D285" s="3"/>
      <c r="E285" s="4"/>
    </row>
    <row r="286" spans="1:5" x14ac:dyDescent="0.35">
      <c r="A286" s="4"/>
      <c r="B286" s="3"/>
      <c r="C286" s="3"/>
      <c r="D286" s="3"/>
      <c r="E286" s="4"/>
    </row>
    <row r="287" spans="1:5" x14ac:dyDescent="0.35">
      <c r="A287" s="4"/>
      <c r="B287" s="3"/>
      <c r="C287" s="3"/>
      <c r="D287" s="3"/>
      <c r="E287" s="4"/>
    </row>
    <row r="288" spans="1:5" x14ac:dyDescent="0.35">
      <c r="A288" s="4"/>
      <c r="B288" s="3"/>
      <c r="C288" s="3"/>
      <c r="D288" s="3"/>
      <c r="E288" s="4"/>
    </row>
    <row r="289" spans="1:5" x14ac:dyDescent="0.35">
      <c r="A289" s="4"/>
      <c r="B289" s="3"/>
      <c r="C289" s="3"/>
      <c r="D289" s="3"/>
      <c r="E289" s="4"/>
    </row>
    <row r="290" spans="1:5" x14ac:dyDescent="0.35">
      <c r="A290" s="4"/>
      <c r="B290" s="3"/>
      <c r="C290" s="3"/>
      <c r="D290" s="3"/>
      <c r="E290" s="4"/>
    </row>
    <row r="291" spans="1:5" x14ac:dyDescent="0.35">
      <c r="A291" s="4"/>
      <c r="B291" s="3"/>
      <c r="C291" s="3"/>
      <c r="D291" s="3"/>
      <c r="E291" s="4"/>
    </row>
    <row r="292" spans="1:5" x14ac:dyDescent="0.35">
      <c r="A292" s="4"/>
      <c r="B292" s="3"/>
      <c r="C292" s="3"/>
      <c r="D292" s="3"/>
      <c r="E292" s="4"/>
    </row>
    <row r="293" spans="1:5" x14ac:dyDescent="0.35">
      <c r="A293" s="4"/>
      <c r="B293" s="3"/>
      <c r="C293" s="3"/>
      <c r="D293" s="3"/>
      <c r="E293" s="4"/>
    </row>
    <row r="294" spans="1:5" x14ac:dyDescent="0.35">
      <c r="A294" s="4"/>
      <c r="B294" s="3"/>
      <c r="C294" s="3"/>
      <c r="D294" s="3"/>
      <c r="E294" s="4"/>
    </row>
    <row r="295" spans="1:5" x14ac:dyDescent="0.35">
      <c r="A295" s="4"/>
      <c r="B295" s="3"/>
      <c r="C295" s="3"/>
      <c r="D295" s="3"/>
      <c r="E295" s="4"/>
    </row>
    <row r="296" spans="1:5" x14ac:dyDescent="0.35">
      <c r="A296" s="4"/>
      <c r="B296" s="3"/>
      <c r="C296" s="3"/>
      <c r="D296" s="3"/>
      <c r="E296" s="4"/>
    </row>
    <row r="297" spans="1:5" x14ac:dyDescent="0.35">
      <c r="A297" s="4"/>
      <c r="B297" s="3"/>
      <c r="C297" s="3"/>
      <c r="D297" s="3"/>
      <c r="E297" s="4"/>
    </row>
    <row r="298" spans="1:5" x14ac:dyDescent="0.35">
      <c r="A298" s="4"/>
      <c r="B298" s="3"/>
      <c r="C298" s="3"/>
      <c r="D298" s="3"/>
      <c r="E298" s="4"/>
    </row>
    <row r="299" spans="1:5" x14ac:dyDescent="0.35">
      <c r="A299" s="4"/>
      <c r="B299" s="3"/>
      <c r="C299" s="3"/>
      <c r="D299" s="3"/>
      <c r="E299" s="4"/>
    </row>
    <row r="300" spans="1:5" x14ac:dyDescent="0.35">
      <c r="A300" s="4"/>
      <c r="B300" s="3"/>
      <c r="C300" s="3"/>
      <c r="D300" s="3"/>
      <c r="E300" s="4"/>
    </row>
    <row r="301" spans="1:5" x14ac:dyDescent="0.35">
      <c r="A301" s="4"/>
      <c r="B301" s="3"/>
      <c r="C301" s="3"/>
      <c r="D301" s="3"/>
      <c r="E301" s="4"/>
    </row>
    <row r="302" spans="1:5" x14ac:dyDescent="0.35">
      <c r="A302" s="4"/>
      <c r="B302" s="3"/>
      <c r="C302" s="3"/>
      <c r="D302" s="3"/>
      <c r="E302" s="4"/>
    </row>
    <row r="303" spans="1:5" x14ac:dyDescent="0.35">
      <c r="A303" s="4"/>
      <c r="B303" s="3"/>
      <c r="C303" s="3"/>
      <c r="D303" s="3"/>
      <c r="E303" s="4"/>
    </row>
    <row r="304" spans="1:5" x14ac:dyDescent="0.35">
      <c r="A304" s="4"/>
      <c r="B304" s="3"/>
      <c r="C304" s="3"/>
      <c r="D304" s="3"/>
      <c r="E304" s="4"/>
    </row>
    <row r="305" spans="1:5" x14ac:dyDescent="0.35">
      <c r="A305" s="4"/>
      <c r="B305" s="3"/>
      <c r="C305" s="3"/>
      <c r="D305" s="3"/>
      <c r="E305" s="4"/>
    </row>
    <row r="306" spans="1:5" x14ac:dyDescent="0.35">
      <c r="A306" s="4"/>
      <c r="B306" s="3"/>
      <c r="C306" s="3"/>
      <c r="D306" s="3"/>
      <c r="E306" s="4"/>
    </row>
    <row r="307" spans="1:5" x14ac:dyDescent="0.35">
      <c r="A307" s="4"/>
      <c r="B307" s="3"/>
      <c r="C307" s="3"/>
      <c r="D307" s="3"/>
      <c r="E307" s="4"/>
    </row>
    <row r="308" spans="1:5" x14ac:dyDescent="0.35">
      <c r="A308" s="4"/>
      <c r="B308" s="3"/>
      <c r="C308" s="3"/>
      <c r="D308" s="3"/>
      <c r="E308" s="4"/>
    </row>
    <row r="309" spans="1:5" x14ac:dyDescent="0.35">
      <c r="A309" s="4"/>
      <c r="B309" s="3"/>
      <c r="C309" s="3"/>
      <c r="D309" s="3"/>
      <c r="E309" s="4"/>
    </row>
    <row r="310" spans="1:5" x14ac:dyDescent="0.35">
      <c r="A310" s="4"/>
      <c r="B310" s="3"/>
      <c r="C310" s="3"/>
      <c r="D310" s="3"/>
      <c r="E310" s="4"/>
    </row>
    <row r="311" spans="1:5" x14ac:dyDescent="0.35">
      <c r="A311" s="4"/>
      <c r="B311" s="3"/>
      <c r="C311" s="3"/>
      <c r="D311" s="3"/>
      <c r="E311" s="4"/>
    </row>
    <row r="312" spans="1:5" x14ac:dyDescent="0.35">
      <c r="A312" s="4"/>
      <c r="B312" s="3"/>
      <c r="C312" s="3"/>
      <c r="D312" s="3"/>
      <c r="E312" s="4"/>
    </row>
    <row r="313" spans="1:5" x14ac:dyDescent="0.35">
      <c r="A313" s="4"/>
      <c r="B313" s="3"/>
      <c r="C313" s="3"/>
      <c r="D313" s="3"/>
      <c r="E313" s="4"/>
    </row>
    <row r="314" spans="1:5" x14ac:dyDescent="0.35">
      <c r="A314" s="4"/>
      <c r="B314" s="3"/>
      <c r="C314" s="3"/>
      <c r="D314" s="3"/>
      <c r="E314" s="4"/>
    </row>
    <row r="315" spans="1:5" x14ac:dyDescent="0.35">
      <c r="A315" s="4"/>
      <c r="B315" s="3"/>
      <c r="C315" s="3"/>
      <c r="D315" s="3"/>
      <c r="E315" s="4"/>
    </row>
    <row r="316" spans="1:5" x14ac:dyDescent="0.35">
      <c r="A316" s="4"/>
      <c r="B316" s="3"/>
      <c r="C316" s="3"/>
      <c r="D316" s="3"/>
      <c r="E316" s="4"/>
    </row>
    <row r="317" spans="1:5" x14ac:dyDescent="0.35">
      <c r="A317" s="4"/>
      <c r="B317" s="3"/>
      <c r="C317" s="3"/>
      <c r="D317" s="3"/>
      <c r="E317" s="4"/>
    </row>
    <row r="318" spans="1:5" x14ac:dyDescent="0.35">
      <c r="A318" s="4"/>
      <c r="B318" s="3"/>
      <c r="C318" s="3"/>
      <c r="D318" s="3"/>
      <c r="E318" s="4"/>
    </row>
    <row r="319" spans="1:5" x14ac:dyDescent="0.35">
      <c r="A319" s="4"/>
      <c r="B319" s="3"/>
      <c r="C319" s="3"/>
      <c r="D319" s="3"/>
      <c r="E319" s="4"/>
    </row>
    <row r="320" spans="1:5" x14ac:dyDescent="0.35">
      <c r="A320" s="4"/>
      <c r="B320" s="3"/>
      <c r="C320" s="3"/>
      <c r="D320" s="3"/>
      <c r="E320" s="4"/>
    </row>
    <row r="321" spans="1:5" x14ac:dyDescent="0.35">
      <c r="A321" s="4"/>
      <c r="B321" s="3"/>
      <c r="C321" s="3"/>
      <c r="D321" s="3"/>
      <c r="E321" s="4"/>
    </row>
    <row r="322" spans="1:5" x14ac:dyDescent="0.35">
      <c r="A322" s="4"/>
      <c r="B322" s="3"/>
      <c r="C322" s="3"/>
      <c r="D322" s="3"/>
      <c r="E322" s="4"/>
    </row>
    <row r="323" spans="1:5" x14ac:dyDescent="0.35">
      <c r="A323" s="4"/>
      <c r="B323" s="3"/>
      <c r="C323" s="3"/>
      <c r="D323" s="3"/>
      <c r="E323" s="4"/>
    </row>
    <row r="324" spans="1:5" x14ac:dyDescent="0.35">
      <c r="A324" s="4"/>
      <c r="B324" s="3"/>
      <c r="C324" s="3"/>
      <c r="D324" s="3"/>
      <c r="E324" s="4"/>
    </row>
    <row r="325" spans="1:5" x14ac:dyDescent="0.35">
      <c r="A325" s="4"/>
      <c r="B325" s="3"/>
      <c r="C325" s="3"/>
      <c r="D325" s="3"/>
      <c r="E325" s="4"/>
    </row>
    <row r="326" spans="1:5" x14ac:dyDescent="0.35">
      <c r="A326" s="4"/>
      <c r="B326" s="3"/>
      <c r="C326" s="3"/>
      <c r="D326" s="3"/>
      <c r="E326" s="4"/>
    </row>
    <row r="327" spans="1:5" x14ac:dyDescent="0.35">
      <c r="A327" s="4"/>
      <c r="B327" s="3"/>
      <c r="C327" s="3"/>
      <c r="D327" s="3"/>
      <c r="E327" s="4"/>
    </row>
    <row r="328" spans="1:5" x14ac:dyDescent="0.35">
      <c r="A328" s="4"/>
      <c r="B328" s="3"/>
      <c r="C328" s="3"/>
      <c r="D328" s="3"/>
      <c r="E328" s="4"/>
    </row>
    <row r="329" spans="1:5" x14ac:dyDescent="0.35">
      <c r="A329" s="4"/>
      <c r="B329" s="3"/>
      <c r="C329" s="3"/>
      <c r="D329" s="3"/>
      <c r="E329" s="4"/>
    </row>
    <row r="330" spans="1:5" x14ac:dyDescent="0.35">
      <c r="A330" s="4"/>
      <c r="B330" s="3"/>
      <c r="C330" s="3"/>
      <c r="D330" s="3"/>
      <c r="E330" s="4"/>
    </row>
    <row r="331" spans="1:5" x14ac:dyDescent="0.35">
      <c r="A331" s="4"/>
      <c r="B331" s="3"/>
      <c r="C331" s="3"/>
      <c r="D331" s="3"/>
      <c r="E331" s="4"/>
    </row>
    <row r="332" spans="1:5" x14ac:dyDescent="0.35">
      <c r="A332" s="4"/>
      <c r="B332" s="3"/>
      <c r="C332" s="3"/>
      <c r="D332" s="3"/>
      <c r="E332" s="4"/>
    </row>
    <row r="333" spans="1:5" x14ac:dyDescent="0.35">
      <c r="A333" s="4"/>
      <c r="B333" s="3"/>
      <c r="C333" s="3"/>
      <c r="D333" s="3"/>
      <c r="E333" s="4"/>
    </row>
    <row r="334" spans="1:5" x14ac:dyDescent="0.35">
      <c r="A334" s="4"/>
      <c r="B334" s="3"/>
      <c r="C334" s="3"/>
      <c r="D334" s="3"/>
      <c r="E334" s="4"/>
    </row>
    <row r="335" spans="1:5" x14ac:dyDescent="0.35">
      <c r="A335" s="4"/>
      <c r="B335" s="3"/>
      <c r="C335" s="3"/>
      <c r="D335" s="3"/>
      <c r="E335" s="4"/>
    </row>
    <row r="336" spans="1:5" x14ac:dyDescent="0.35">
      <c r="A336" s="4"/>
      <c r="B336" s="3"/>
      <c r="C336" s="3"/>
      <c r="D336" s="3"/>
      <c r="E336" s="4"/>
    </row>
    <row r="337" spans="1:5" x14ac:dyDescent="0.35">
      <c r="A337" s="4"/>
      <c r="B337" s="3"/>
      <c r="C337" s="3"/>
      <c r="D337" s="3"/>
      <c r="E337" s="4"/>
    </row>
    <row r="338" spans="1:5" x14ac:dyDescent="0.35">
      <c r="A338" s="4"/>
      <c r="B338" s="3"/>
      <c r="C338" s="3"/>
      <c r="D338" s="3"/>
      <c r="E338" s="4"/>
    </row>
    <row r="339" spans="1:5" x14ac:dyDescent="0.35">
      <c r="A339" s="4"/>
      <c r="B339" s="3"/>
      <c r="C339" s="3"/>
      <c r="D339" s="3"/>
      <c r="E339" s="4"/>
    </row>
    <row r="340" spans="1:5" x14ac:dyDescent="0.35">
      <c r="A340" s="4"/>
      <c r="B340" s="3"/>
      <c r="C340" s="3"/>
      <c r="D340" s="3"/>
      <c r="E340" s="4"/>
    </row>
    <row r="341" spans="1:5" x14ac:dyDescent="0.35">
      <c r="A341" s="4"/>
      <c r="B341" s="3"/>
      <c r="C341" s="3"/>
      <c r="D341" s="3"/>
      <c r="E341" s="4"/>
    </row>
    <row r="342" spans="1:5" x14ac:dyDescent="0.35">
      <c r="A342" s="4"/>
      <c r="B342" s="3"/>
      <c r="C342" s="3"/>
      <c r="D342" s="3"/>
      <c r="E342" s="4"/>
    </row>
    <row r="343" spans="1:5" x14ac:dyDescent="0.35">
      <c r="A343" s="4"/>
      <c r="B343" s="3"/>
      <c r="C343" s="3"/>
      <c r="D343" s="3"/>
      <c r="E343" s="4"/>
    </row>
    <row r="344" spans="1:5" x14ac:dyDescent="0.35">
      <c r="A344" s="4"/>
      <c r="B344" s="3"/>
      <c r="C344" s="3"/>
      <c r="D344" s="3"/>
      <c r="E344" s="4"/>
    </row>
    <row r="345" spans="1:5" x14ac:dyDescent="0.35">
      <c r="A345" s="4"/>
      <c r="B345" s="3"/>
      <c r="C345" s="3"/>
      <c r="D345" s="3"/>
      <c r="E345" s="4"/>
    </row>
    <row r="346" spans="1:5" x14ac:dyDescent="0.35">
      <c r="A346" s="4"/>
      <c r="B346" s="3"/>
      <c r="C346" s="3"/>
      <c r="D346" s="3"/>
      <c r="E346" s="4"/>
    </row>
    <row r="347" spans="1:5" x14ac:dyDescent="0.35">
      <c r="A347" s="4"/>
      <c r="B347" s="3"/>
      <c r="C347" s="3"/>
      <c r="D347" s="3"/>
      <c r="E347" s="4"/>
    </row>
    <row r="348" spans="1:5" x14ac:dyDescent="0.35">
      <c r="A348" s="4"/>
      <c r="B348" s="3"/>
      <c r="C348" s="3"/>
      <c r="D348" s="3"/>
      <c r="E348" s="4"/>
    </row>
    <row r="349" spans="1:5" x14ac:dyDescent="0.35">
      <c r="A349" s="4"/>
      <c r="B349" s="3"/>
      <c r="C349" s="3"/>
      <c r="D349" s="3"/>
      <c r="E349" s="4"/>
    </row>
    <row r="350" spans="1:5" x14ac:dyDescent="0.35">
      <c r="A350" s="4"/>
      <c r="B350" s="3"/>
      <c r="C350" s="3"/>
      <c r="D350" s="3"/>
      <c r="E350" s="4"/>
    </row>
    <row r="351" spans="1:5" x14ac:dyDescent="0.35">
      <c r="A351" s="4"/>
      <c r="B351" s="3"/>
      <c r="C351" s="3"/>
      <c r="D351" s="3"/>
      <c r="E351" s="4"/>
    </row>
    <row r="352" spans="1:5" x14ac:dyDescent="0.35">
      <c r="A352" s="4"/>
      <c r="B352" s="3"/>
      <c r="C352" s="3"/>
      <c r="D352" s="3"/>
      <c r="E352" s="4"/>
    </row>
    <row r="353" spans="1:5" x14ac:dyDescent="0.35">
      <c r="A353" s="4"/>
      <c r="B353" s="3"/>
      <c r="C353" s="3"/>
      <c r="D353" s="3"/>
      <c r="E353" s="4"/>
    </row>
    <row r="354" spans="1:5" x14ac:dyDescent="0.35">
      <c r="A354" s="4"/>
      <c r="B354" s="3"/>
      <c r="C354" s="3"/>
      <c r="D354" s="3"/>
      <c r="E354" s="4"/>
    </row>
    <row r="355" spans="1:5" x14ac:dyDescent="0.35">
      <c r="A355" s="4"/>
      <c r="B355" s="3"/>
      <c r="C355" s="3"/>
      <c r="D355" s="3"/>
      <c r="E355" s="4"/>
    </row>
    <row r="356" spans="1:5" x14ac:dyDescent="0.35">
      <c r="A356" s="4"/>
      <c r="B356" s="3"/>
      <c r="C356" s="3"/>
      <c r="D356" s="3"/>
      <c r="E356" s="4"/>
    </row>
    <row r="357" spans="1:5" x14ac:dyDescent="0.35">
      <c r="A357" s="4"/>
      <c r="B357" s="3"/>
      <c r="C357" s="3"/>
      <c r="D357" s="3"/>
      <c r="E357" s="4"/>
    </row>
    <row r="358" spans="1:5" x14ac:dyDescent="0.35">
      <c r="A358" s="4"/>
      <c r="B358" s="3"/>
      <c r="C358" s="3"/>
      <c r="D358" s="3"/>
      <c r="E358" s="4"/>
    </row>
    <row r="359" spans="1:5" x14ac:dyDescent="0.35">
      <c r="A359" s="4"/>
      <c r="B359" s="3"/>
      <c r="C359" s="3"/>
      <c r="D359" s="3"/>
      <c r="E359" s="4"/>
    </row>
    <row r="360" spans="1:5" x14ac:dyDescent="0.35">
      <c r="A360" s="4"/>
      <c r="B360" s="3"/>
      <c r="C360" s="3"/>
      <c r="D360" s="3"/>
      <c r="E360" s="4"/>
    </row>
    <row r="361" spans="1:5" x14ac:dyDescent="0.35">
      <c r="A361" s="4"/>
      <c r="B361" s="3"/>
      <c r="C361" s="3"/>
      <c r="D361" s="3"/>
      <c r="E361" s="4"/>
    </row>
    <row r="362" spans="1:5" x14ac:dyDescent="0.35">
      <c r="A362" s="4"/>
      <c r="B362" s="3"/>
      <c r="C362" s="3"/>
      <c r="D362" s="3"/>
      <c r="E362" s="4"/>
    </row>
    <row r="363" spans="1:5" x14ac:dyDescent="0.35">
      <c r="A363" s="4"/>
      <c r="B363" s="3"/>
      <c r="C363" s="3"/>
      <c r="D363" s="3"/>
      <c r="E363" s="4"/>
    </row>
    <row r="364" spans="1:5" x14ac:dyDescent="0.35">
      <c r="A364" s="4"/>
      <c r="B364" s="3"/>
      <c r="C364" s="3"/>
      <c r="D364" s="3"/>
      <c r="E364" s="4"/>
    </row>
    <row r="365" spans="1:5" x14ac:dyDescent="0.35">
      <c r="A365" s="4"/>
      <c r="B365" s="3"/>
      <c r="C365" s="3"/>
      <c r="D365" s="3"/>
      <c r="E365" s="4"/>
    </row>
    <row r="366" spans="1:5" x14ac:dyDescent="0.35">
      <c r="A366" s="4"/>
      <c r="B366" s="3"/>
      <c r="C366" s="3"/>
      <c r="D366" s="3"/>
      <c r="E366" s="4"/>
    </row>
    <row r="367" spans="1:5" x14ac:dyDescent="0.35">
      <c r="A367" s="4"/>
      <c r="B367" s="3"/>
      <c r="C367" s="3"/>
      <c r="D367" s="3"/>
      <c r="E367" s="4"/>
    </row>
    <row r="368" spans="1:5" x14ac:dyDescent="0.35">
      <c r="A368" s="4"/>
      <c r="B368" s="3"/>
      <c r="C368" s="3"/>
      <c r="D368" s="3"/>
      <c r="E368" s="4"/>
    </row>
    <row r="369" spans="1:5" x14ac:dyDescent="0.35">
      <c r="A369" s="4"/>
      <c r="B369" s="3"/>
      <c r="C369" s="3"/>
      <c r="D369" s="3"/>
      <c r="E369" s="4"/>
    </row>
    <row r="370" spans="1:5" x14ac:dyDescent="0.35">
      <c r="A370" s="4"/>
      <c r="B370" s="3"/>
      <c r="C370" s="3"/>
      <c r="D370" s="3"/>
      <c r="E370" s="4"/>
    </row>
    <row r="371" spans="1:5" x14ac:dyDescent="0.35">
      <c r="A371" s="4"/>
      <c r="B371" s="3"/>
      <c r="C371" s="3"/>
      <c r="D371" s="3"/>
      <c r="E371" s="4"/>
    </row>
    <row r="372" spans="1:5" x14ac:dyDescent="0.35">
      <c r="A372" s="4"/>
      <c r="B372" s="3"/>
      <c r="C372" s="3"/>
      <c r="D372" s="3"/>
      <c r="E372" s="4"/>
    </row>
    <row r="373" spans="1:5" x14ac:dyDescent="0.35">
      <c r="A373" s="4"/>
      <c r="B373" s="3"/>
      <c r="C373" s="3"/>
      <c r="D373" s="3"/>
      <c r="E373" s="4"/>
    </row>
    <row r="374" spans="1:5" x14ac:dyDescent="0.35">
      <c r="A374" s="4"/>
      <c r="B374" s="3"/>
      <c r="C374" s="3"/>
      <c r="D374" s="3"/>
      <c r="E374" s="4"/>
    </row>
    <row r="375" spans="1:5" x14ac:dyDescent="0.35">
      <c r="A375" s="4"/>
      <c r="B375" s="3"/>
      <c r="C375" s="3"/>
      <c r="D375" s="3"/>
      <c r="E375" s="4"/>
    </row>
    <row r="376" spans="1:5" x14ac:dyDescent="0.35">
      <c r="A376" s="4"/>
      <c r="B376" s="3"/>
      <c r="C376" s="3"/>
      <c r="D376" s="3"/>
      <c r="E376" s="4"/>
    </row>
    <row r="377" spans="1:5" x14ac:dyDescent="0.35">
      <c r="A377" s="4"/>
      <c r="B377" s="3"/>
      <c r="C377" s="3"/>
      <c r="D377" s="3"/>
      <c r="E377" s="4"/>
    </row>
    <row r="378" spans="1:5" x14ac:dyDescent="0.35">
      <c r="A378" s="4"/>
      <c r="B378" s="3"/>
      <c r="C378" s="3"/>
      <c r="D378" s="3"/>
      <c r="E378" s="4"/>
    </row>
    <row r="379" spans="1:5" x14ac:dyDescent="0.35">
      <c r="A379" s="4"/>
      <c r="B379" s="3"/>
      <c r="C379" s="3"/>
      <c r="D379" s="3"/>
      <c r="E379" s="4"/>
    </row>
    <row r="380" spans="1:5" x14ac:dyDescent="0.35">
      <c r="A380" s="4"/>
      <c r="B380" s="3"/>
      <c r="C380" s="3"/>
      <c r="D380" s="3"/>
      <c r="E380" s="4"/>
    </row>
    <row r="381" spans="1:5" x14ac:dyDescent="0.35">
      <c r="A381" s="4"/>
      <c r="B381" s="3"/>
      <c r="C381" s="3"/>
      <c r="D381" s="3"/>
      <c r="E381" s="4"/>
    </row>
    <row r="382" spans="1:5" x14ac:dyDescent="0.35">
      <c r="A382" s="4"/>
      <c r="B382" s="3"/>
      <c r="C382" s="3"/>
      <c r="D382" s="3"/>
      <c r="E382" s="4"/>
    </row>
    <row r="383" spans="1:5" x14ac:dyDescent="0.35">
      <c r="A383" s="4"/>
      <c r="B383" s="3"/>
      <c r="C383" s="3"/>
      <c r="D383" s="3"/>
      <c r="E383" s="4"/>
    </row>
    <row r="384" spans="1:5" x14ac:dyDescent="0.35">
      <c r="A384" s="4"/>
      <c r="B384" s="3"/>
      <c r="C384" s="3"/>
      <c r="D384" s="3"/>
      <c r="E384" s="4"/>
    </row>
    <row r="385" spans="1:5" x14ac:dyDescent="0.35">
      <c r="A385" s="4"/>
      <c r="B385" s="3"/>
      <c r="C385" s="3"/>
      <c r="D385" s="3"/>
      <c r="E385" s="4"/>
    </row>
    <row r="386" spans="1:5" x14ac:dyDescent="0.35">
      <c r="A386" s="4"/>
      <c r="B386" s="3"/>
      <c r="C386" s="3"/>
      <c r="D386" s="3"/>
      <c r="E386" s="4"/>
    </row>
    <row r="387" spans="1:5" x14ac:dyDescent="0.35">
      <c r="A387" s="4"/>
      <c r="B387" s="3"/>
      <c r="C387" s="3"/>
      <c r="D387" s="3"/>
      <c r="E387" s="4"/>
    </row>
    <row r="388" spans="1:5" x14ac:dyDescent="0.35">
      <c r="A388" s="4"/>
      <c r="B388" s="3"/>
      <c r="C388" s="3"/>
      <c r="D388" s="3"/>
      <c r="E388" s="4"/>
    </row>
    <row r="389" spans="1:5" x14ac:dyDescent="0.35">
      <c r="A389" s="4"/>
      <c r="B389" s="3"/>
      <c r="C389" s="3"/>
      <c r="D389" s="3"/>
      <c r="E389" s="4"/>
    </row>
    <row r="390" spans="1:5" x14ac:dyDescent="0.35">
      <c r="A390" s="4"/>
      <c r="B390" s="3"/>
      <c r="C390" s="3"/>
      <c r="D390" s="3"/>
      <c r="E390" s="4"/>
    </row>
    <row r="391" spans="1:5" x14ac:dyDescent="0.35">
      <c r="A391" s="4"/>
      <c r="B391" s="3"/>
      <c r="C391" s="3"/>
      <c r="D391" s="3"/>
      <c r="E391" s="4"/>
    </row>
    <row r="392" spans="1:5" x14ac:dyDescent="0.35">
      <c r="A392" s="4"/>
      <c r="B392" s="3"/>
      <c r="C392" s="3"/>
      <c r="D392" s="3"/>
      <c r="E392" s="4"/>
    </row>
    <row r="393" spans="1:5" x14ac:dyDescent="0.35">
      <c r="A393" s="4"/>
      <c r="B393" s="3"/>
      <c r="C393" s="3"/>
      <c r="D393" s="3"/>
      <c r="E393" s="4"/>
    </row>
    <row r="394" spans="1:5" x14ac:dyDescent="0.35">
      <c r="A394" s="4"/>
      <c r="B394" s="3"/>
      <c r="C394" s="3"/>
      <c r="D394" s="3"/>
      <c r="E394" s="4"/>
    </row>
    <row r="395" spans="1:5" x14ac:dyDescent="0.35">
      <c r="A395" s="4"/>
      <c r="B395" s="3"/>
      <c r="C395" s="3"/>
      <c r="D395" s="3"/>
      <c r="E395" s="4"/>
    </row>
    <row r="396" spans="1:5" x14ac:dyDescent="0.35">
      <c r="A396" s="4"/>
      <c r="B396" s="3"/>
      <c r="C396" s="3"/>
      <c r="D396" s="3"/>
      <c r="E396" s="4"/>
    </row>
    <row r="397" spans="1:5" x14ac:dyDescent="0.35">
      <c r="A397" s="4"/>
      <c r="B397" s="3"/>
      <c r="C397" s="3"/>
      <c r="D397" s="3"/>
      <c r="E397" s="4"/>
    </row>
    <row r="398" spans="1:5" x14ac:dyDescent="0.35">
      <c r="A398" s="4"/>
      <c r="B398" s="3"/>
      <c r="C398" s="3"/>
      <c r="D398" s="3"/>
      <c r="E398" s="4"/>
    </row>
    <row r="399" spans="1:5" x14ac:dyDescent="0.35">
      <c r="A399" s="4"/>
      <c r="B399" s="3"/>
      <c r="C399" s="3"/>
      <c r="D399" s="3"/>
      <c r="E399" s="4"/>
    </row>
    <row r="400" spans="1:5" x14ac:dyDescent="0.35">
      <c r="A400" s="4"/>
      <c r="B400" s="3"/>
      <c r="C400" s="3"/>
      <c r="D400" s="3"/>
      <c r="E400" s="4"/>
    </row>
    <row r="401" spans="1:5" x14ac:dyDescent="0.35">
      <c r="A401" s="4"/>
      <c r="B401" s="3"/>
      <c r="C401" s="3"/>
      <c r="D401" s="3"/>
      <c r="E401" s="4"/>
    </row>
    <row r="402" spans="1:5" x14ac:dyDescent="0.35">
      <c r="A402" s="4"/>
      <c r="B402" s="3"/>
      <c r="C402" s="3"/>
      <c r="D402" s="3"/>
      <c r="E402" s="4"/>
    </row>
    <row r="403" spans="1:5" x14ac:dyDescent="0.35">
      <c r="A403" s="4"/>
      <c r="B403" s="3"/>
      <c r="C403" s="3"/>
      <c r="D403" s="3"/>
      <c r="E403" s="4"/>
    </row>
    <row r="404" spans="1:5" x14ac:dyDescent="0.35">
      <c r="A404" s="4"/>
      <c r="B404" s="3"/>
      <c r="C404" s="3"/>
      <c r="D404" s="3"/>
      <c r="E404" s="4"/>
    </row>
    <row r="405" spans="1:5" x14ac:dyDescent="0.35">
      <c r="A405" s="4"/>
      <c r="B405" s="3"/>
      <c r="C405" s="3"/>
      <c r="D405" s="3"/>
      <c r="E405" s="4"/>
    </row>
    <row r="406" spans="1:5" x14ac:dyDescent="0.35">
      <c r="A406" s="4"/>
      <c r="B406" s="3"/>
      <c r="C406" s="3"/>
      <c r="D406" s="3"/>
      <c r="E406" s="4"/>
    </row>
    <row r="407" spans="1:5" x14ac:dyDescent="0.35">
      <c r="A407" s="4"/>
      <c r="B407" s="3"/>
      <c r="C407" s="3"/>
      <c r="D407" s="3"/>
      <c r="E407" s="4"/>
    </row>
    <row r="408" spans="1:5" x14ac:dyDescent="0.35">
      <c r="A408" s="4"/>
      <c r="B408" s="3"/>
      <c r="C408" s="3"/>
      <c r="D408" s="3"/>
      <c r="E408" s="4"/>
    </row>
    <row r="409" spans="1:5" x14ac:dyDescent="0.35">
      <c r="A409" s="4"/>
      <c r="B409" s="3"/>
      <c r="C409" s="3"/>
      <c r="D409" s="3"/>
      <c r="E409" s="4"/>
    </row>
    <row r="410" spans="1:5" x14ac:dyDescent="0.35">
      <c r="A410" s="4"/>
      <c r="B410" s="3"/>
      <c r="C410" s="3"/>
      <c r="D410" s="3"/>
      <c r="E410" s="4"/>
    </row>
    <row r="411" spans="1:5" x14ac:dyDescent="0.35">
      <c r="A411" s="4"/>
      <c r="B411" s="3"/>
      <c r="C411" s="3"/>
      <c r="D411" s="3"/>
      <c r="E411" s="4"/>
    </row>
    <row r="412" spans="1:5" x14ac:dyDescent="0.35">
      <c r="A412" s="4"/>
      <c r="B412" s="3"/>
      <c r="C412" s="3"/>
      <c r="D412" s="3"/>
      <c r="E412" s="4"/>
    </row>
    <row r="413" spans="1:5" x14ac:dyDescent="0.35">
      <c r="A413" s="4"/>
      <c r="B413" s="3"/>
      <c r="C413" s="3"/>
      <c r="D413" s="3"/>
      <c r="E413" s="4"/>
    </row>
    <row r="414" spans="1:5" x14ac:dyDescent="0.35">
      <c r="A414" s="4"/>
      <c r="B414" s="3"/>
      <c r="C414" s="3"/>
      <c r="D414" s="3"/>
      <c r="E414" s="4"/>
    </row>
    <row r="415" spans="1:5" x14ac:dyDescent="0.35">
      <c r="A415" s="4"/>
      <c r="B415" s="3"/>
      <c r="C415" s="3"/>
      <c r="D415" s="3"/>
      <c r="E415" s="4"/>
    </row>
    <row r="416" spans="1:5" x14ac:dyDescent="0.35">
      <c r="A416" s="4"/>
      <c r="B416" s="3"/>
      <c r="C416" s="3"/>
      <c r="D416" s="3"/>
      <c r="E416" s="4"/>
    </row>
    <row r="417" spans="1:5" x14ac:dyDescent="0.35">
      <c r="A417" s="4"/>
      <c r="B417" s="3"/>
      <c r="C417" s="3"/>
      <c r="D417" s="3"/>
      <c r="E417" s="4"/>
    </row>
    <row r="418" spans="1:5" x14ac:dyDescent="0.35">
      <c r="A418" s="4"/>
      <c r="B418" s="3"/>
      <c r="C418" s="3"/>
      <c r="D418" s="3"/>
      <c r="E418" s="4"/>
    </row>
    <row r="419" spans="1:5" x14ac:dyDescent="0.35">
      <c r="A419" s="4"/>
      <c r="B419" s="3"/>
      <c r="C419" s="3"/>
      <c r="D419" s="3"/>
      <c r="E419" s="4"/>
    </row>
    <row r="420" spans="1:5" x14ac:dyDescent="0.35">
      <c r="A420" s="4"/>
      <c r="B420" s="3"/>
      <c r="C420" s="3"/>
      <c r="D420" s="3"/>
      <c r="E420" s="4"/>
    </row>
    <row r="421" spans="1:5" x14ac:dyDescent="0.35">
      <c r="A421" s="4"/>
      <c r="B421" s="3"/>
      <c r="C421" s="3"/>
      <c r="D421" s="3"/>
      <c r="E421" s="4"/>
    </row>
    <row r="422" spans="1:5" x14ac:dyDescent="0.35">
      <c r="A422" s="4"/>
      <c r="B422" s="3"/>
      <c r="C422" s="3"/>
      <c r="D422" s="3"/>
      <c r="E422" s="4"/>
    </row>
    <row r="423" spans="1:5" x14ac:dyDescent="0.35">
      <c r="A423" s="4"/>
      <c r="B423" s="3"/>
      <c r="C423" s="3"/>
      <c r="D423" s="3"/>
      <c r="E423" s="4"/>
    </row>
    <row r="424" spans="1:5" x14ac:dyDescent="0.35">
      <c r="A424" s="4"/>
      <c r="B424" s="3"/>
      <c r="C424" s="3"/>
      <c r="D424" s="3"/>
      <c r="E424" s="4"/>
    </row>
    <row r="425" spans="1:5" x14ac:dyDescent="0.35">
      <c r="A425" s="4"/>
      <c r="B425" s="3"/>
      <c r="C425" s="3"/>
      <c r="D425" s="3"/>
      <c r="E425" s="4"/>
    </row>
    <row r="426" spans="1:5" x14ac:dyDescent="0.35">
      <c r="A426" s="4"/>
      <c r="B426" s="3"/>
      <c r="C426" s="3"/>
      <c r="D426" s="3"/>
      <c r="E426" s="4"/>
    </row>
    <row r="427" spans="1:5" x14ac:dyDescent="0.35">
      <c r="A427" s="4"/>
      <c r="B427" s="3"/>
      <c r="C427" s="3"/>
      <c r="D427" s="3"/>
      <c r="E427" s="4"/>
    </row>
    <row r="428" spans="1:5" x14ac:dyDescent="0.35">
      <c r="A428" s="4"/>
      <c r="B428" s="3"/>
      <c r="C428" s="3"/>
      <c r="D428" s="3"/>
      <c r="E428" s="4"/>
    </row>
    <row r="429" spans="1:5" x14ac:dyDescent="0.35">
      <c r="A429" s="4"/>
      <c r="B429" s="3"/>
      <c r="C429" s="3"/>
      <c r="D429" s="3"/>
      <c r="E429" s="4"/>
    </row>
    <row r="430" spans="1:5" x14ac:dyDescent="0.35">
      <c r="A430" s="4"/>
      <c r="B430" s="3"/>
      <c r="C430" s="3"/>
      <c r="D430" s="3"/>
      <c r="E430" s="4"/>
    </row>
    <row r="431" spans="1:5" x14ac:dyDescent="0.35">
      <c r="A431" s="4"/>
      <c r="B431" s="3"/>
      <c r="C431" s="3"/>
      <c r="D431" s="3"/>
      <c r="E431" s="4"/>
    </row>
    <row r="432" spans="1:5" x14ac:dyDescent="0.35">
      <c r="A432" s="4"/>
      <c r="B432" s="3"/>
      <c r="C432" s="3"/>
      <c r="D432" s="3"/>
      <c r="E432" s="4"/>
    </row>
    <row r="433" spans="1:5" x14ac:dyDescent="0.35">
      <c r="A433" s="4"/>
      <c r="B433" s="3"/>
      <c r="C433" s="3"/>
      <c r="D433" s="3"/>
      <c r="E433" s="4"/>
    </row>
    <row r="434" spans="1:5" x14ac:dyDescent="0.35">
      <c r="A434" s="4"/>
      <c r="B434" s="3"/>
      <c r="C434" s="3"/>
      <c r="D434" s="3"/>
      <c r="E434" s="4"/>
    </row>
    <row r="435" spans="1:5" x14ac:dyDescent="0.35">
      <c r="A435" s="4"/>
      <c r="B435" s="3"/>
      <c r="C435" s="3"/>
      <c r="D435" s="3"/>
      <c r="E435" s="4"/>
    </row>
    <row r="436" spans="1:5" x14ac:dyDescent="0.35">
      <c r="A436" s="4"/>
      <c r="B436" s="3"/>
      <c r="C436" s="3"/>
      <c r="D436" s="3"/>
      <c r="E436" s="4"/>
    </row>
    <row r="437" spans="1:5" x14ac:dyDescent="0.35">
      <c r="A437" s="4"/>
      <c r="B437" s="3"/>
      <c r="C437" s="3"/>
      <c r="D437" s="3"/>
      <c r="E437" s="4"/>
    </row>
    <row r="438" spans="1:5" x14ac:dyDescent="0.35">
      <c r="A438" s="4"/>
      <c r="B438" s="3"/>
      <c r="C438" s="3"/>
      <c r="D438" s="3"/>
      <c r="E438" s="4"/>
    </row>
    <row r="439" spans="1:5" x14ac:dyDescent="0.35">
      <c r="A439" s="4"/>
      <c r="B439" s="3"/>
      <c r="C439" s="3"/>
      <c r="D439" s="3"/>
      <c r="E439" s="4"/>
    </row>
    <row r="440" spans="1:5" x14ac:dyDescent="0.35">
      <c r="A440" s="4"/>
      <c r="B440" s="3"/>
      <c r="C440" s="3"/>
      <c r="D440" s="3"/>
      <c r="E440" s="4"/>
    </row>
    <row r="441" spans="1:5" x14ac:dyDescent="0.35">
      <c r="A441" s="4"/>
      <c r="B441" s="3"/>
      <c r="C441" s="3"/>
      <c r="D441" s="3"/>
      <c r="E441" s="4"/>
    </row>
    <row r="442" spans="1:5" x14ac:dyDescent="0.35">
      <c r="A442" s="4"/>
      <c r="B442" s="3"/>
      <c r="C442" s="3"/>
      <c r="D442" s="3"/>
      <c r="E442" s="4"/>
    </row>
    <row r="443" spans="1:5" x14ac:dyDescent="0.35">
      <c r="A443" s="4"/>
      <c r="B443" s="3"/>
      <c r="C443" s="3"/>
      <c r="D443" s="3"/>
      <c r="E443" s="4"/>
    </row>
    <row r="444" spans="1:5" x14ac:dyDescent="0.35">
      <c r="A444" s="4"/>
      <c r="B444" s="3"/>
      <c r="C444" s="3"/>
      <c r="D444" s="3"/>
      <c r="E444" s="4"/>
    </row>
    <row r="445" spans="1:5" x14ac:dyDescent="0.35">
      <c r="A445" s="4"/>
      <c r="B445" s="3"/>
      <c r="C445" s="3"/>
      <c r="D445" s="3"/>
      <c r="E445" s="4"/>
    </row>
    <row r="446" spans="1:5" x14ac:dyDescent="0.35">
      <c r="A446" s="4"/>
      <c r="B446" s="3"/>
      <c r="C446" s="3"/>
      <c r="D446" s="3"/>
      <c r="E446" s="4"/>
    </row>
    <row r="447" spans="1:5" x14ac:dyDescent="0.35">
      <c r="A447" s="4"/>
      <c r="B447" s="3"/>
      <c r="C447" s="3"/>
      <c r="D447" s="3"/>
      <c r="E447" s="4"/>
    </row>
    <row r="448" spans="1:5" x14ac:dyDescent="0.35">
      <c r="A448" s="4"/>
      <c r="B448" s="3"/>
      <c r="C448" s="3"/>
      <c r="D448" s="3"/>
      <c r="E448" s="4"/>
    </row>
    <row r="449" spans="1:5" x14ac:dyDescent="0.35">
      <c r="A449" s="4"/>
      <c r="B449" s="3"/>
      <c r="C449" s="3"/>
      <c r="D449" s="3"/>
      <c r="E449" s="4"/>
    </row>
    <row r="450" spans="1:5" x14ac:dyDescent="0.35">
      <c r="A450" s="4"/>
      <c r="B450" s="3"/>
      <c r="C450" s="3"/>
      <c r="D450" s="3"/>
      <c r="E450" s="4"/>
    </row>
    <row r="451" spans="1:5" x14ac:dyDescent="0.35">
      <c r="A451" s="4"/>
      <c r="B451" s="3"/>
      <c r="C451" s="3"/>
      <c r="D451" s="3"/>
      <c r="E451" s="4"/>
    </row>
    <row r="452" spans="1:5" x14ac:dyDescent="0.35">
      <c r="A452" s="4"/>
      <c r="B452" s="3"/>
      <c r="C452" s="3"/>
      <c r="D452" s="3"/>
      <c r="E452" s="4"/>
    </row>
    <row r="453" spans="1:5" x14ac:dyDescent="0.35">
      <c r="A453" s="4"/>
      <c r="B453" s="3"/>
      <c r="C453" s="3"/>
      <c r="D453" s="3"/>
      <c r="E453" s="4"/>
    </row>
    <row r="454" spans="1:5" x14ac:dyDescent="0.35">
      <c r="A454" s="4"/>
      <c r="B454" s="3"/>
      <c r="C454" s="3"/>
      <c r="D454" s="3"/>
      <c r="E454" s="4"/>
    </row>
    <row r="455" spans="1:5" x14ac:dyDescent="0.35">
      <c r="A455" s="4"/>
      <c r="B455" s="3"/>
      <c r="C455" s="3"/>
      <c r="D455" s="3"/>
      <c r="E455" s="4"/>
    </row>
    <row r="456" spans="1:5" x14ac:dyDescent="0.35">
      <c r="A456" s="4"/>
      <c r="B456" s="3"/>
      <c r="C456" s="3"/>
      <c r="D456" s="3"/>
      <c r="E456" s="4"/>
    </row>
    <row r="457" spans="1:5" x14ac:dyDescent="0.35">
      <c r="A457" s="4"/>
      <c r="B457" s="3"/>
      <c r="C457" s="3"/>
      <c r="D457" s="3"/>
      <c r="E457" s="4"/>
    </row>
    <row r="458" spans="1:5" x14ac:dyDescent="0.35">
      <c r="A458" s="4"/>
      <c r="B458" s="3"/>
      <c r="C458" s="3"/>
      <c r="D458" s="3"/>
      <c r="E458" s="4"/>
    </row>
    <row r="459" spans="1:5" x14ac:dyDescent="0.35">
      <c r="A459" s="4"/>
      <c r="B459" s="3"/>
      <c r="C459" s="3"/>
      <c r="D459" s="3"/>
      <c r="E459" s="4"/>
    </row>
    <row r="460" spans="1:5" x14ac:dyDescent="0.35">
      <c r="A460" s="4"/>
      <c r="B460" s="3"/>
      <c r="C460" s="3"/>
      <c r="D460" s="3"/>
      <c r="E460" s="4"/>
    </row>
    <row r="461" spans="1:5" x14ac:dyDescent="0.35">
      <c r="A461" s="4"/>
      <c r="B461" s="3"/>
      <c r="C461" s="3"/>
      <c r="D461" s="3"/>
      <c r="E461" s="4"/>
    </row>
    <row r="462" spans="1:5" x14ac:dyDescent="0.35">
      <c r="A462" s="4"/>
      <c r="B462" s="3"/>
      <c r="C462" s="3"/>
      <c r="D462" s="3"/>
      <c r="E462" s="4"/>
    </row>
    <row r="463" spans="1:5" x14ac:dyDescent="0.35">
      <c r="A463" s="4"/>
      <c r="B463" s="3"/>
      <c r="C463" s="3"/>
      <c r="D463" s="3"/>
      <c r="E463" s="4"/>
    </row>
    <row r="464" spans="1:5" x14ac:dyDescent="0.35">
      <c r="A464" s="4"/>
      <c r="B464" s="3"/>
      <c r="C464" s="3"/>
      <c r="D464" s="3"/>
      <c r="E464" s="4"/>
    </row>
    <row r="465" spans="1:5" x14ac:dyDescent="0.35">
      <c r="A465" s="4"/>
      <c r="B465" s="3"/>
      <c r="C465" s="3"/>
      <c r="D465" s="3"/>
      <c r="E465" s="4"/>
    </row>
    <row r="466" spans="1:5" x14ac:dyDescent="0.35">
      <c r="A466" s="4"/>
      <c r="B466" s="3"/>
      <c r="C466" s="3"/>
      <c r="D466" s="3"/>
      <c r="E466" s="4"/>
    </row>
    <row r="467" spans="1:5" x14ac:dyDescent="0.35">
      <c r="A467" s="4"/>
      <c r="B467" s="3"/>
      <c r="C467" s="3"/>
      <c r="D467" s="3"/>
      <c r="E467" s="4"/>
    </row>
    <row r="468" spans="1:5" x14ac:dyDescent="0.35">
      <c r="A468" s="4"/>
      <c r="B468" s="3"/>
      <c r="C468" s="3"/>
      <c r="D468" s="3"/>
      <c r="E468" s="4"/>
    </row>
    <row r="469" spans="1:5" x14ac:dyDescent="0.35">
      <c r="A469" s="4"/>
      <c r="B469" s="3"/>
      <c r="C469" s="3"/>
      <c r="D469" s="3"/>
      <c r="E469" s="4"/>
    </row>
    <row r="470" spans="1:5" x14ac:dyDescent="0.35">
      <c r="A470" s="4"/>
      <c r="B470" s="3"/>
      <c r="C470" s="3"/>
      <c r="D470" s="3"/>
      <c r="E470" s="4"/>
    </row>
    <row r="471" spans="1:5" x14ac:dyDescent="0.35">
      <c r="A471" s="4"/>
      <c r="B471" s="3"/>
      <c r="C471" s="3"/>
      <c r="D471" s="3"/>
      <c r="E471" s="4"/>
    </row>
    <row r="472" spans="1:5" x14ac:dyDescent="0.35">
      <c r="A472" s="4"/>
      <c r="B472" s="3"/>
      <c r="C472" s="3"/>
      <c r="D472" s="3"/>
      <c r="E472" s="4"/>
    </row>
    <row r="473" spans="1:5" x14ac:dyDescent="0.35">
      <c r="A473" s="4"/>
      <c r="B473" s="3"/>
      <c r="C473" s="3"/>
      <c r="D473" s="3"/>
      <c r="E473" s="4"/>
    </row>
    <row r="474" spans="1:5" x14ac:dyDescent="0.35">
      <c r="A474" s="4"/>
      <c r="B474" s="3"/>
      <c r="C474" s="3"/>
      <c r="D474" s="3"/>
      <c r="E474" s="4"/>
    </row>
    <row r="475" spans="1:5" x14ac:dyDescent="0.35">
      <c r="A475" s="4"/>
      <c r="B475" s="3"/>
      <c r="C475" s="3"/>
      <c r="D475" s="3"/>
      <c r="E475" s="4"/>
    </row>
    <row r="476" spans="1:5" x14ac:dyDescent="0.35">
      <c r="A476" s="4"/>
      <c r="B476" s="3"/>
      <c r="C476" s="3"/>
      <c r="D476" s="3"/>
      <c r="E476" s="4"/>
    </row>
    <row r="477" spans="1:5" x14ac:dyDescent="0.35">
      <c r="A477" s="4"/>
      <c r="B477" s="3"/>
      <c r="C477" s="3"/>
      <c r="D477" s="3"/>
      <c r="E477" s="4"/>
    </row>
    <row r="478" spans="1:5" x14ac:dyDescent="0.35">
      <c r="A478" s="4"/>
      <c r="B478" s="3"/>
      <c r="C478" s="3"/>
      <c r="D478" s="3"/>
      <c r="E478" s="4"/>
    </row>
    <row r="479" spans="1:5" x14ac:dyDescent="0.35">
      <c r="A479" s="4"/>
      <c r="B479" s="3"/>
      <c r="C479" s="3"/>
      <c r="D479" s="3"/>
      <c r="E479" s="4"/>
    </row>
    <row r="480" spans="1:5" x14ac:dyDescent="0.35">
      <c r="A480" s="4"/>
      <c r="B480" s="3"/>
      <c r="C480" s="3"/>
      <c r="D480" s="3"/>
      <c r="E480" s="4"/>
    </row>
    <row r="481" spans="1:5" x14ac:dyDescent="0.35">
      <c r="A481" s="4"/>
      <c r="B481" s="3"/>
      <c r="C481" s="3"/>
      <c r="D481" s="3"/>
      <c r="E481" s="4"/>
    </row>
    <row r="482" spans="1:5" x14ac:dyDescent="0.35">
      <c r="A482" s="4"/>
      <c r="B482" s="3"/>
      <c r="C482" s="3"/>
      <c r="D482" s="3"/>
      <c r="E482" s="4"/>
    </row>
    <row r="483" spans="1:5" x14ac:dyDescent="0.35">
      <c r="A483" s="4"/>
      <c r="B483" s="3"/>
      <c r="C483" s="3"/>
      <c r="D483" s="3"/>
      <c r="E483" s="4"/>
    </row>
    <row r="484" spans="1:5" x14ac:dyDescent="0.35">
      <c r="A484" s="4"/>
      <c r="B484" s="3"/>
      <c r="C484" s="3"/>
      <c r="D484" s="3"/>
      <c r="E484" s="4"/>
    </row>
    <row r="485" spans="1:5" x14ac:dyDescent="0.35">
      <c r="A485" s="4"/>
      <c r="B485" s="3"/>
      <c r="C485" s="3"/>
      <c r="D485" s="3"/>
      <c r="E485" s="4"/>
    </row>
    <row r="486" spans="1:5" x14ac:dyDescent="0.35">
      <c r="A486" s="4"/>
      <c r="B486" s="3"/>
      <c r="C486" s="3"/>
      <c r="D486" s="3"/>
      <c r="E486" s="4"/>
    </row>
    <row r="487" spans="1:5" x14ac:dyDescent="0.35">
      <c r="A487" s="4"/>
      <c r="B487" s="3"/>
      <c r="C487" s="3"/>
      <c r="D487" s="3"/>
      <c r="E487" s="4"/>
    </row>
    <row r="488" spans="1:5" x14ac:dyDescent="0.35">
      <c r="A488" s="4"/>
      <c r="B488" s="3"/>
      <c r="C488" s="3"/>
      <c r="D488" s="3"/>
      <c r="E488" s="4"/>
    </row>
    <row r="489" spans="1:5" x14ac:dyDescent="0.35">
      <c r="A489" s="4"/>
      <c r="B489" s="3"/>
      <c r="C489" s="3"/>
      <c r="D489" s="3"/>
      <c r="E489" s="4"/>
    </row>
    <row r="490" spans="1:5" x14ac:dyDescent="0.35">
      <c r="A490" s="4"/>
      <c r="B490" s="3"/>
      <c r="C490" s="3"/>
      <c r="D490" s="3"/>
      <c r="E490" s="4"/>
    </row>
    <row r="491" spans="1:5" x14ac:dyDescent="0.35">
      <c r="A491" s="4"/>
      <c r="B491" s="3"/>
      <c r="C491" s="3"/>
      <c r="D491" s="3"/>
      <c r="E491" s="4"/>
    </row>
    <row r="492" spans="1:5" x14ac:dyDescent="0.35">
      <c r="A492" s="4"/>
      <c r="B492" s="3"/>
      <c r="C492" s="3"/>
      <c r="D492" s="3"/>
      <c r="E492" s="4"/>
    </row>
    <row r="493" spans="1:5" x14ac:dyDescent="0.35">
      <c r="A493" s="4"/>
      <c r="B493" s="3"/>
      <c r="C493" s="3"/>
      <c r="D493" s="3"/>
      <c r="E493" s="4"/>
    </row>
    <row r="494" spans="1:5" x14ac:dyDescent="0.35">
      <c r="A494" s="4"/>
      <c r="B494" s="3"/>
      <c r="C494" s="3"/>
      <c r="D494" s="3"/>
      <c r="E494" s="4"/>
    </row>
    <row r="495" spans="1:5" x14ac:dyDescent="0.35">
      <c r="A495" s="4"/>
      <c r="B495" s="3"/>
      <c r="C495" s="3"/>
      <c r="D495" s="3"/>
      <c r="E495" s="4"/>
    </row>
    <row r="496" spans="1:5" x14ac:dyDescent="0.35">
      <c r="A496" s="4"/>
      <c r="B496" s="3"/>
      <c r="C496" s="3"/>
      <c r="D496" s="3"/>
      <c r="E496" s="4"/>
    </row>
    <row r="497" spans="1:5" x14ac:dyDescent="0.35">
      <c r="A497" s="4"/>
      <c r="B497" s="3"/>
      <c r="C497" s="3"/>
      <c r="D497" s="3"/>
      <c r="E497" s="4"/>
    </row>
    <row r="498" spans="1:5" x14ac:dyDescent="0.35">
      <c r="A498" s="4"/>
      <c r="B498" s="3"/>
      <c r="C498" s="3"/>
      <c r="D498" s="3"/>
      <c r="E498" s="4"/>
    </row>
    <row r="499" spans="1:5" x14ac:dyDescent="0.35">
      <c r="A499" s="4"/>
      <c r="B499" s="3"/>
      <c r="C499" s="3"/>
      <c r="D499" s="3"/>
      <c r="E499" s="4"/>
    </row>
    <row r="500" spans="1:5" x14ac:dyDescent="0.35">
      <c r="A500" s="4"/>
      <c r="B500" s="3"/>
      <c r="C500" s="3"/>
      <c r="D500" s="3"/>
      <c r="E500" s="4"/>
    </row>
    <row r="501" spans="1:5" x14ac:dyDescent="0.35">
      <c r="A501" s="4"/>
      <c r="B501" s="3"/>
      <c r="C501" s="3"/>
      <c r="D501" s="3"/>
      <c r="E501" s="4"/>
    </row>
    <row r="502" spans="1:5" x14ac:dyDescent="0.35">
      <c r="A502" s="4"/>
      <c r="B502" s="3"/>
      <c r="C502" s="3"/>
      <c r="D502" s="3"/>
      <c r="E502" s="4"/>
    </row>
    <row r="503" spans="1:5" x14ac:dyDescent="0.35">
      <c r="A503" s="4"/>
      <c r="B503" s="3"/>
      <c r="C503" s="3"/>
      <c r="D503" s="3"/>
      <c r="E503" s="4"/>
    </row>
    <row r="504" spans="1:5" x14ac:dyDescent="0.35">
      <c r="A504" s="4"/>
      <c r="B504" s="3"/>
      <c r="C504" s="3"/>
      <c r="D504" s="3"/>
      <c r="E504" s="4"/>
    </row>
    <row r="505" spans="1:5" x14ac:dyDescent="0.35">
      <c r="A505" s="4"/>
      <c r="B505" s="3"/>
      <c r="C505" s="3"/>
      <c r="D505" s="3"/>
      <c r="E505" s="4"/>
    </row>
    <row r="506" spans="1:5" x14ac:dyDescent="0.35">
      <c r="A506" s="4"/>
      <c r="B506" s="3"/>
      <c r="C506" s="3"/>
      <c r="D506" s="3"/>
      <c r="E506" s="4"/>
    </row>
    <row r="507" spans="1:5" x14ac:dyDescent="0.35">
      <c r="A507" s="4"/>
      <c r="B507" s="3"/>
      <c r="C507" s="3"/>
      <c r="D507" s="3"/>
      <c r="E507" s="4"/>
    </row>
    <row r="508" spans="1:5" x14ac:dyDescent="0.35">
      <c r="A508" s="4"/>
      <c r="B508" s="3"/>
      <c r="C508" s="3"/>
      <c r="D508" s="3"/>
      <c r="E508" s="4"/>
    </row>
    <row r="509" spans="1:5" x14ac:dyDescent="0.35">
      <c r="A509" s="4"/>
      <c r="B509" s="3"/>
      <c r="C509" s="3"/>
      <c r="D509" s="3"/>
      <c r="E509" s="4"/>
    </row>
    <row r="510" spans="1:5" x14ac:dyDescent="0.35">
      <c r="A510" s="4"/>
      <c r="B510" s="3"/>
      <c r="C510" s="3"/>
      <c r="D510" s="3"/>
      <c r="E510" s="4"/>
    </row>
    <row r="511" spans="1:5" x14ac:dyDescent="0.35">
      <c r="A511" s="4"/>
      <c r="B511" s="3"/>
      <c r="C511" s="3"/>
      <c r="D511" s="3"/>
      <c r="E511" s="4"/>
    </row>
    <row r="512" spans="1:5" x14ac:dyDescent="0.35">
      <c r="A512" s="4"/>
      <c r="B512" s="3"/>
      <c r="C512" s="3"/>
      <c r="D512" s="3"/>
      <c r="E512" s="4"/>
    </row>
    <row r="513" spans="1:5" x14ac:dyDescent="0.35">
      <c r="A513" s="4"/>
      <c r="B513" s="3"/>
      <c r="C513" s="3"/>
      <c r="D513" s="3"/>
      <c r="E513" s="4"/>
    </row>
    <row r="514" spans="1:5" x14ac:dyDescent="0.35">
      <c r="A514" s="4"/>
      <c r="B514" s="3"/>
      <c r="C514" s="3"/>
      <c r="D514" s="3"/>
      <c r="E514" s="4"/>
    </row>
    <row r="515" spans="1:5" x14ac:dyDescent="0.35">
      <c r="A515" s="4"/>
      <c r="B515" s="3"/>
      <c r="C515" s="3"/>
      <c r="D515" s="3"/>
      <c r="E515" s="4"/>
    </row>
    <row r="516" spans="1:5" x14ac:dyDescent="0.35">
      <c r="A516" s="4"/>
      <c r="B516" s="3"/>
      <c r="C516" s="3"/>
      <c r="D516" s="3"/>
      <c r="E516" s="4"/>
    </row>
    <row r="517" spans="1:5" x14ac:dyDescent="0.35">
      <c r="A517" s="4"/>
      <c r="B517" s="3"/>
      <c r="C517" s="3"/>
      <c r="D517" s="3"/>
      <c r="E517" s="4"/>
    </row>
    <row r="518" spans="1:5" x14ac:dyDescent="0.35">
      <c r="A518" s="4"/>
      <c r="B518" s="3"/>
      <c r="C518" s="3"/>
      <c r="D518" s="3"/>
      <c r="E518" s="4"/>
    </row>
    <row r="519" spans="1:5" x14ac:dyDescent="0.35">
      <c r="A519" s="4"/>
      <c r="B519" s="3"/>
      <c r="C519" s="3"/>
      <c r="D519" s="3"/>
      <c r="E519" s="4"/>
    </row>
    <row r="520" spans="1:5" x14ac:dyDescent="0.35">
      <c r="A520" s="4"/>
      <c r="B520" s="3"/>
      <c r="C520" s="3"/>
      <c r="D520" s="3"/>
      <c r="E520" s="4"/>
    </row>
    <row r="521" spans="1:5" x14ac:dyDescent="0.35">
      <c r="A521" s="4"/>
      <c r="B521" s="3"/>
      <c r="C521" s="3"/>
      <c r="D521" s="3"/>
      <c r="E521" s="4"/>
    </row>
    <row r="522" spans="1:5" x14ac:dyDescent="0.35">
      <c r="A522" s="4"/>
      <c r="B522" s="3"/>
      <c r="C522" s="3"/>
      <c r="D522" s="3"/>
      <c r="E522" s="4"/>
    </row>
    <row r="523" spans="1:5" x14ac:dyDescent="0.35">
      <c r="A523" s="4"/>
      <c r="B523" s="3"/>
      <c r="C523" s="3"/>
      <c r="D523" s="3"/>
      <c r="E523" s="4"/>
    </row>
    <row r="524" spans="1:5" x14ac:dyDescent="0.35">
      <c r="A524" s="4"/>
      <c r="B524" s="3"/>
      <c r="C524" s="3"/>
      <c r="D524" s="3"/>
      <c r="E524" s="4"/>
    </row>
    <row r="525" spans="1:5" x14ac:dyDescent="0.35">
      <c r="A525" s="4"/>
      <c r="B525" s="3"/>
      <c r="C525" s="3"/>
      <c r="D525" s="3"/>
      <c r="E525" s="4"/>
    </row>
    <row r="526" spans="1:5" x14ac:dyDescent="0.35">
      <c r="A526" s="4"/>
      <c r="B526" s="3"/>
      <c r="C526" s="3"/>
      <c r="D526" s="3"/>
      <c r="E526" s="4"/>
    </row>
    <row r="527" spans="1:5" x14ac:dyDescent="0.35">
      <c r="A527" s="4"/>
      <c r="B527" s="3"/>
      <c r="C527" s="3"/>
      <c r="D527" s="3"/>
      <c r="E527" s="4"/>
    </row>
    <row r="528" spans="1:5" x14ac:dyDescent="0.35">
      <c r="A528" s="4"/>
      <c r="B528" s="3"/>
      <c r="C528" s="3"/>
      <c r="D528" s="3"/>
      <c r="E528" s="4"/>
    </row>
    <row r="529" spans="1:5" x14ac:dyDescent="0.35">
      <c r="A529" s="4"/>
      <c r="B529" s="3"/>
      <c r="C529" s="3"/>
      <c r="D529" s="3"/>
      <c r="E529" s="4"/>
    </row>
    <row r="530" spans="1:5" x14ac:dyDescent="0.35">
      <c r="A530" s="4"/>
      <c r="B530" s="3"/>
      <c r="C530" s="3"/>
      <c r="D530" s="3"/>
      <c r="E530" s="4"/>
    </row>
    <row r="531" spans="1:5" x14ac:dyDescent="0.35">
      <c r="A531" s="4"/>
      <c r="B531" s="3"/>
      <c r="C531" s="3"/>
      <c r="D531" s="3"/>
      <c r="E531" s="4"/>
    </row>
    <row r="532" spans="1:5" x14ac:dyDescent="0.35">
      <c r="A532" s="4"/>
      <c r="B532" s="3"/>
      <c r="C532" s="3"/>
      <c r="D532" s="3"/>
      <c r="E532" s="4"/>
    </row>
    <row r="533" spans="1:5" x14ac:dyDescent="0.35">
      <c r="A533" s="4"/>
      <c r="B533" s="3"/>
      <c r="C533" s="3"/>
      <c r="D533" s="3"/>
      <c r="E533" s="4"/>
    </row>
    <row r="534" spans="1:5" x14ac:dyDescent="0.35">
      <c r="A534" s="4"/>
      <c r="B534" s="3"/>
      <c r="C534" s="3"/>
      <c r="D534" s="3"/>
      <c r="E534" s="4"/>
    </row>
    <row r="535" spans="1:5" x14ac:dyDescent="0.35">
      <c r="A535" s="4"/>
      <c r="B535" s="3"/>
      <c r="C535" s="3"/>
      <c r="D535" s="3"/>
      <c r="E535" s="4"/>
    </row>
    <row r="536" spans="1:5" x14ac:dyDescent="0.35">
      <c r="A536" s="4"/>
      <c r="B536" s="3"/>
      <c r="C536" s="3"/>
      <c r="D536" s="3"/>
      <c r="E536" s="4"/>
    </row>
    <row r="537" spans="1:5" x14ac:dyDescent="0.35">
      <c r="A537" s="4"/>
      <c r="B537" s="3"/>
      <c r="C537" s="3"/>
      <c r="D537" s="3"/>
      <c r="E537" s="4"/>
    </row>
    <row r="538" spans="1:5" x14ac:dyDescent="0.35">
      <c r="A538" s="4"/>
      <c r="B538" s="3"/>
      <c r="C538" s="3"/>
      <c r="D538" s="3"/>
      <c r="E538" s="4"/>
    </row>
    <row r="539" spans="1:5" x14ac:dyDescent="0.35">
      <c r="A539" s="4"/>
      <c r="B539" s="3"/>
      <c r="C539" s="3"/>
      <c r="D539" s="3"/>
      <c r="E539" s="4"/>
    </row>
    <row r="540" spans="1:5" x14ac:dyDescent="0.35">
      <c r="A540" s="4"/>
      <c r="B540" s="3"/>
      <c r="C540" s="3"/>
      <c r="D540" s="3"/>
      <c r="E540" s="4"/>
    </row>
    <row r="541" spans="1:5" x14ac:dyDescent="0.35">
      <c r="A541" s="4"/>
      <c r="B541" s="3"/>
      <c r="C541" s="3"/>
      <c r="D541" s="3"/>
      <c r="E541" s="4"/>
    </row>
    <row r="542" spans="1:5" x14ac:dyDescent="0.35">
      <c r="A542" s="4"/>
      <c r="B542" s="3"/>
      <c r="C542" s="3"/>
      <c r="D542" s="3"/>
      <c r="E542" s="4"/>
    </row>
    <row r="543" spans="1:5" x14ac:dyDescent="0.35">
      <c r="A543" s="4"/>
      <c r="B543" s="3"/>
      <c r="C543" s="3"/>
      <c r="D543" s="3"/>
      <c r="E543" s="4"/>
    </row>
    <row r="544" spans="1:5" x14ac:dyDescent="0.35">
      <c r="A544" s="4"/>
      <c r="B544" s="3"/>
      <c r="C544" s="3"/>
      <c r="D544" s="3"/>
      <c r="E544" s="4"/>
    </row>
    <row r="545" spans="1:5" x14ac:dyDescent="0.35">
      <c r="A545" s="4"/>
      <c r="B545" s="3"/>
      <c r="C545" s="3"/>
      <c r="D545" s="3"/>
      <c r="E545" s="4"/>
    </row>
    <row r="546" spans="1:5" x14ac:dyDescent="0.35">
      <c r="A546" s="4"/>
      <c r="B546" s="3"/>
      <c r="C546" s="3"/>
      <c r="D546" s="3"/>
      <c r="E546" s="4"/>
    </row>
    <row r="547" spans="1:5" x14ac:dyDescent="0.35">
      <c r="A547" s="4"/>
      <c r="B547" s="3"/>
      <c r="C547" s="3"/>
      <c r="D547" s="3"/>
      <c r="E547" s="4"/>
    </row>
    <row r="548" spans="1:5" x14ac:dyDescent="0.35">
      <c r="A548" s="4"/>
      <c r="B548" s="3"/>
      <c r="C548" s="3"/>
      <c r="D548" s="3"/>
      <c r="E548" s="4"/>
    </row>
    <row r="549" spans="1:5" x14ac:dyDescent="0.35">
      <c r="A549" s="4"/>
      <c r="B549" s="3"/>
      <c r="C549" s="3"/>
      <c r="D549" s="3"/>
      <c r="E549" s="4"/>
    </row>
    <row r="550" spans="1:5" x14ac:dyDescent="0.35">
      <c r="A550" s="4"/>
      <c r="B550" s="3"/>
      <c r="C550" s="3"/>
      <c r="D550" s="3"/>
      <c r="E550" s="4"/>
    </row>
    <row r="551" spans="1:5" x14ac:dyDescent="0.35">
      <c r="A551" s="4"/>
      <c r="B551" s="3"/>
      <c r="C551" s="3"/>
      <c r="D551" s="3"/>
      <c r="E551" s="4"/>
    </row>
    <row r="552" spans="1:5" x14ac:dyDescent="0.35">
      <c r="A552" s="4"/>
      <c r="B552" s="3"/>
      <c r="C552" s="3"/>
      <c r="D552" s="3"/>
      <c r="E552" s="4"/>
    </row>
    <row r="553" spans="1:5" x14ac:dyDescent="0.35">
      <c r="A553" s="4"/>
      <c r="B553" s="3"/>
      <c r="C553" s="3"/>
      <c r="D553" s="3"/>
      <c r="E553" s="4"/>
    </row>
    <row r="554" spans="1:5" x14ac:dyDescent="0.35">
      <c r="A554" s="4"/>
      <c r="B554" s="3"/>
      <c r="C554" s="3"/>
      <c r="D554" s="3"/>
      <c r="E554" s="4"/>
    </row>
    <row r="555" spans="1:5" x14ac:dyDescent="0.35">
      <c r="A555" s="4"/>
      <c r="B555" s="3"/>
      <c r="C555" s="3"/>
      <c r="D555" s="3"/>
      <c r="E555" s="4"/>
    </row>
    <row r="556" spans="1:5" x14ac:dyDescent="0.35">
      <c r="A556" s="4"/>
      <c r="B556" s="3"/>
      <c r="C556" s="3"/>
      <c r="D556" s="3"/>
      <c r="E556" s="4"/>
    </row>
    <row r="557" spans="1:5" x14ac:dyDescent="0.35">
      <c r="A557" s="4"/>
      <c r="B557" s="3"/>
      <c r="C557" s="3"/>
      <c r="D557" s="3"/>
      <c r="E557" s="4"/>
    </row>
    <row r="558" spans="1:5" x14ac:dyDescent="0.35">
      <c r="A558" s="4"/>
      <c r="B558" s="3"/>
      <c r="C558" s="3"/>
      <c r="D558" s="3"/>
      <c r="E558" s="4"/>
    </row>
    <row r="559" spans="1:5" x14ac:dyDescent="0.35">
      <c r="A559" s="4"/>
      <c r="B559" s="3"/>
      <c r="C559" s="3"/>
      <c r="D559" s="3"/>
      <c r="E559" s="4"/>
    </row>
    <row r="560" spans="1:5" x14ac:dyDescent="0.35">
      <c r="A560" s="4"/>
      <c r="B560" s="3"/>
      <c r="C560" s="3"/>
      <c r="D560" s="3"/>
      <c r="E560" s="4"/>
    </row>
    <row r="561" spans="1:5" x14ac:dyDescent="0.35">
      <c r="A561" s="4"/>
      <c r="B561" s="3"/>
      <c r="C561" s="3"/>
      <c r="D561" s="3"/>
      <c r="E561" s="4"/>
    </row>
    <row r="562" spans="1:5" x14ac:dyDescent="0.35">
      <c r="A562" s="4"/>
      <c r="B562" s="3"/>
      <c r="C562" s="3"/>
      <c r="D562" s="3"/>
      <c r="E562" s="4"/>
    </row>
    <row r="563" spans="1:5" x14ac:dyDescent="0.35">
      <c r="A563" s="4"/>
      <c r="B563" s="3"/>
      <c r="C563" s="3"/>
      <c r="D563" s="3"/>
      <c r="E563" s="4"/>
    </row>
    <row r="564" spans="1:5" x14ac:dyDescent="0.35">
      <c r="A564" s="4"/>
      <c r="B564" s="3"/>
      <c r="C564" s="3"/>
      <c r="D564" s="3"/>
      <c r="E564" s="4"/>
    </row>
    <row r="565" spans="1:5" x14ac:dyDescent="0.35">
      <c r="A565" s="4"/>
      <c r="B565" s="3"/>
      <c r="C565" s="3"/>
      <c r="D565" s="3"/>
      <c r="E565" s="4"/>
    </row>
    <row r="566" spans="1:5" x14ac:dyDescent="0.35">
      <c r="A566" s="4"/>
      <c r="B566" s="3"/>
      <c r="C566" s="3"/>
      <c r="D566" s="3"/>
      <c r="E566" s="4"/>
    </row>
    <row r="567" spans="1:5" x14ac:dyDescent="0.35">
      <c r="A567" s="4"/>
      <c r="B567" s="3"/>
      <c r="C567" s="3"/>
      <c r="D567" s="3"/>
      <c r="E567" s="4"/>
    </row>
    <row r="568" spans="1:5" x14ac:dyDescent="0.35">
      <c r="A568" s="4"/>
      <c r="B568" s="3"/>
      <c r="C568" s="3"/>
      <c r="D568" s="3"/>
      <c r="E568" s="4"/>
    </row>
    <row r="569" spans="1:5" x14ac:dyDescent="0.35">
      <c r="A569" s="4"/>
      <c r="B569" s="3"/>
      <c r="C569" s="3"/>
      <c r="D569" s="3"/>
      <c r="E569" s="4"/>
    </row>
    <row r="570" spans="1:5" x14ac:dyDescent="0.35">
      <c r="A570" s="4"/>
      <c r="B570" s="3"/>
      <c r="C570" s="3"/>
      <c r="D570" s="3"/>
      <c r="E570" s="4"/>
    </row>
    <row r="571" spans="1:5" x14ac:dyDescent="0.35">
      <c r="A571" s="4"/>
      <c r="B571" s="3"/>
      <c r="C571" s="3"/>
      <c r="D571" s="3"/>
      <c r="E571" s="4"/>
    </row>
    <row r="572" spans="1:5" x14ac:dyDescent="0.35">
      <c r="A572" s="4"/>
      <c r="B572" s="3"/>
      <c r="C572" s="3"/>
      <c r="D572" s="3"/>
      <c r="E572" s="4"/>
    </row>
    <row r="573" spans="1:5" x14ac:dyDescent="0.35">
      <c r="A573" s="4"/>
      <c r="B573" s="3"/>
      <c r="C573" s="3"/>
      <c r="D573" s="3"/>
      <c r="E573" s="4"/>
    </row>
    <row r="574" spans="1:5" x14ac:dyDescent="0.35">
      <c r="A574" s="4"/>
      <c r="B574" s="3"/>
      <c r="C574" s="3"/>
      <c r="D574" s="3"/>
      <c r="E574" s="4"/>
    </row>
    <row r="575" spans="1:5" x14ac:dyDescent="0.35">
      <c r="A575" s="4"/>
      <c r="B575" s="3"/>
      <c r="C575" s="3"/>
      <c r="D575" s="3"/>
      <c r="E575" s="4"/>
    </row>
    <row r="576" spans="1:5" x14ac:dyDescent="0.35">
      <c r="A576" s="4"/>
      <c r="B576" s="3"/>
      <c r="C576" s="3"/>
      <c r="D576" s="3"/>
      <c r="E576" s="4"/>
    </row>
    <row r="577" spans="1:5" x14ac:dyDescent="0.35">
      <c r="A577" s="4"/>
      <c r="B577" s="3"/>
      <c r="C577" s="3"/>
      <c r="D577" s="3"/>
      <c r="E577" s="4"/>
    </row>
    <row r="578" spans="1:5" x14ac:dyDescent="0.35">
      <c r="A578" s="4"/>
      <c r="B578" s="3"/>
      <c r="C578" s="3"/>
      <c r="D578" s="3"/>
      <c r="E578" s="4"/>
    </row>
    <row r="579" spans="1:5" x14ac:dyDescent="0.35">
      <c r="A579" s="4"/>
      <c r="B579" s="3"/>
      <c r="C579" s="3"/>
      <c r="D579" s="3"/>
      <c r="E579" s="4"/>
    </row>
    <row r="580" spans="1:5" x14ac:dyDescent="0.35">
      <c r="A580" s="4"/>
      <c r="B580" s="3"/>
      <c r="C580" s="3"/>
      <c r="D580" s="3"/>
      <c r="E580" s="4"/>
    </row>
    <row r="581" spans="1:5" x14ac:dyDescent="0.35">
      <c r="A581" s="4"/>
      <c r="B581" s="3"/>
      <c r="C581" s="3"/>
      <c r="D581" s="3"/>
      <c r="E581" s="4"/>
    </row>
    <row r="582" spans="1:5" x14ac:dyDescent="0.35">
      <c r="A582" s="4"/>
      <c r="B582" s="3"/>
      <c r="C582" s="3"/>
      <c r="D582" s="3"/>
      <c r="E582" s="4"/>
    </row>
    <row r="583" spans="1:5" x14ac:dyDescent="0.35">
      <c r="A583" s="4"/>
      <c r="B583" s="3"/>
      <c r="C583" s="3"/>
      <c r="D583" s="3"/>
      <c r="E583" s="4"/>
    </row>
    <row r="584" spans="1:5" x14ac:dyDescent="0.35">
      <c r="A584" s="4"/>
      <c r="B584" s="3"/>
      <c r="C584" s="3"/>
      <c r="D584" s="3"/>
      <c r="E584" s="4"/>
    </row>
    <row r="585" spans="1:5" x14ac:dyDescent="0.35">
      <c r="A585" s="4"/>
      <c r="B585" s="3"/>
      <c r="C585" s="3"/>
      <c r="D585" s="3"/>
      <c r="E585" s="4"/>
    </row>
    <row r="586" spans="1:5" x14ac:dyDescent="0.35">
      <c r="A586" s="4"/>
      <c r="B586" s="3"/>
      <c r="C586" s="3"/>
      <c r="D586" s="3"/>
      <c r="E586" s="4"/>
    </row>
    <row r="587" spans="1:5" x14ac:dyDescent="0.35">
      <c r="A587" s="4"/>
      <c r="B587" s="3"/>
      <c r="C587" s="3"/>
      <c r="D587" s="3"/>
      <c r="E587" s="4"/>
    </row>
    <row r="588" spans="1:5" x14ac:dyDescent="0.35">
      <c r="A588" s="4"/>
      <c r="B588" s="3"/>
      <c r="C588" s="3"/>
      <c r="D588" s="3"/>
      <c r="E588" s="4"/>
    </row>
    <row r="589" spans="1:5" x14ac:dyDescent="0.35">
      <c r="A589" s="4"/>
      <c r="B589" s="3"/>
      <c r="C589" s="3"/>
      <c r="D589" s="3"/>
      <c r="E589" s="4"/>
    </row>
    <row r="590" spans="1:5" x14ac:dyDescent="0.35">
      <c r="A590" s="4"/>
      <c r="B590" s="3"/>
      <c r="C590" s="3"/>
      <c r="D590" s="3"/>
      <c r="E590" s="4"/>
    </row>
    <row r="591" spans="1:5" x14ac:dyDescent="0.35">
      <c r="A591" s="4"/>
      <c r="B591" s="3"/>
      <c r="C591" s="3"/>
      <c r="D591" s="3"/>
      <c r="E591" s="4"/>
    </row>
    <row r="592" spans="1:5" x14ac:dyDescent="0.35">
      <c r="A592" s="4"/>
      <c r="B592" s="3"/>
      <c r="C592" s="3"/>
      <c r="D592" s="3"/>
      <c r="E592" s="4"/>
    </row>
    <row r="593" spans="1:5" x14ac:dyDescent="0.35">
      <c r="A593" s="4"/>
      <c r="B593" s="3"/>
      <c r="C593" s="3"/>
      <c r="D593" s="3"/>
      <c r="E593" s="4"/>
    </row>
    <row r="594" spans="1:5" x14ac:dyDescent="0.35">
      <c r="A594" s="4"/>
      <c r="B594" s="3"/>
      <c r="C594" s="3"/>
      <c r="D594" s="3"/>
      <c r="E594" s="4"/>
    </row>
    <row r="595" spans="1:5" x14ac:dyDescent="0.35">
      <c r="A595" s="4"/>
      <c r="B595" s="3"/>
      <c r="C595" s="3"/>
      <c r="D595" s="3"/>
      <c r="E595" s="4"/>
    </row>
    <row r="596" spans="1:5" x14ac:dyDescent="0.35">
      <c r="A596" s="4"/>
      <c r="B596" s="3"/>
      <c r="C596" s="3"/>
      <c r="D596" s="3"/>
      <c r="E596" s="4"/>
    </row>
    <row r="597" spans="1:5" x14ac:dyDescent="0.35">
      <c r="A597" s="4"/>
      <c r="B597" s="3"/>
      <c r="C597" s="3"/>
      <c r="D597" s="3"/>
      <c r="E597" s="4"/>
    </row>
    <row r="598" spans="1:5" x14ac:dyDescent="0.35">
      <c r="A598" s="4"/>
      <c r="B598" s="3"/>
      <c r="C598" s="3"/>
      <c r="D598" s="3"/>
      <c r="E598" s="4"/>
    </row>
    <row r="599" spans="1:5" x14ac:dyDescent="0.35">
      <c r="A599" s="4"/>
      <c r="B599" s="3"/>
      <c r="C599" s="3"/>
      <c r="D599" s="3"/>
      <c r="E599" s="4"/>
    </row>
    <row r="600" spans="1:5" x14ac:dyDescent="0.35">
      <c r="A600" s="4"/>
      <c r="B600" s="3"/>
      <c r="C600" s="3"/>
      <c r="D600" s="3"/>
      <c r="E600" s="4"/>
    </row>
    <row r="601" spans="1:5" x14ac:dyDescent="0.35">
      <c r="A601" s="4"/>
      <c r="B601" s="3"/>
      <c r="C601" s="3"/>
      <c r="D601" s="3"/>
      <c r="E601" s="4"/>
    </row>
    <row r="602" spans="1:5" x14ac:dyDescent="0.35">
      <c r="A602" s="4"/>
      <c r="B602" s="3"/>
      <c r="C602" s="3"/>
      <c r="D602" s="3"/>
      <c r="E602" s="4"/>
    </row>
    <row r="603" spans="1:5" x14ac:dyDescent="0.35">
      <c r="A603" s="4"/>
      <c r="B603" s="3"/>
      <c r="C603" s="3"/>
      <c r="D603" s="3"/>
      <c r="E603" s="4"/>
    </row>
    <row r="604" spans="1:5" x14ac:dyDescent="0.35">
      <c r="A604" s="4"/>
      <c r="B604" s="3"/>
      <c r="C604" s="3"/>
      <c r="D604" s="3"/>
      <c r="E604" s="4"/>
    </row>
    <row r="605" spans="1:5" x14ac:dyDescent="0.35">
      <c r="A605" s="4"/>
      <c r="B605" s="3"/>
      <c r="C605" s="3"/>
      <c r="D605" s="3"/>
      <c r="E605" s="4"/>
    </row>
    <row r="606" spans="1:5" x14ac:dyDescent="0.35">
      <c r="A606" s="4"/>
      <c r="B606" s="3"/>
      <c r="C606" s="3"/>
      <c r="D606" s="3"/>
      <c r="E606" s="4"/>
    </row>
    <row r="607" spans="1:5" x14ac:dyDescent="0.35">
      <c r="A607" s="4"/>
      <c r="B607" s="3"/>
      <c r="C607" s="3"/>
      <c r="D607" s="3"/>
      <c r="E607" s="4"/>
    </row>
    <row r="608" spans="1:5" x14ac:dyDescent="0.35">
      <c r="A608" s="4"/>
      <c r="B608" s="3"/>
      <c r="C608" s="3"/>
      <c r="D608" s="3"/>
      <c r="E608" s="4"/>
    </row>
    <row r="609" spans="1:5" x14ac:dyDescent="0.35">
      <c r="A609" s="4"/>
      <c r="B609" s="3"/>
      <c r="C609" s="3"/>
      <c r="D609" s="3"/>
      <c r="E609" s="4"/>
    </row>
    <row r="610" spans="1:5" x14ac:dyDescent="0.35">
      <c r="A610" s="4"/>
      <c r="B610" s="3"/>
      <c r="C610" s="3"/>
      <c r="D610" s="3"/>
      <c r="E610" s="4"/>
    </row>
    <row r="611" spans="1:5" x14ac:dyDescent="0.35">
      <c r="A611" s="4"/>
      <c r="B611" s="3"/>
      <c r="C611" s="3"/>
      <c r="D611" s="3"/>
      <c r="E611" s="4"/>
    </row>
    <row r="612" spans="1:5" x14ac:dyDescent="0.35">
      <c r="A612" s="4"/>
      <c r="B612" s="3"/>
      <c r="C612" s="3"/>
      <c r="D612" s="3"/>
      <c r="E612" s="4"/>
    </row>
    <row r="613" spans="1:5" x14ac:dyDescent="0.35">
      <c r="A613" s="4"/>
      <c r="B613" s="3"/>
      <c r="C613" s="3"/>
      <c r="D613" s="3"/>
      <c r="E613" s="4"/>
    </row>
    <row r="614" spans="1:5" x14ac:dyDescent="0.35">
      <c r="A614" s="4"/>
      <c r="B614" s="3"/>
      <c r="C614" s="3"/>
      <c r="D614" s="3"/>
      <c r="E614" s="4"/>
    </row>
    <row r="615" spans="1:5" x14ac:dyDescent="0.35">
      <c r="A615" s="4"/>
      <c r="B615" s="3"/>
      <c r="C615" s="3"/>
      <c r="D615" s="3"/>
      <c r="E615" s="4"/>
    </row>
    <row r="616" spans="1:5" x14ac:dyDescent="0.35">
      <c r="A616" s="4"/>
      <c r="B616" s="3"/>
      <c r="C616" s="3"/>
      <c r="D616" s="3"/>
      <c r="E616" s="4"/>
    </row>
    <row r="617" spans="1:5" x14ac:dyDescent="0.35">
      <c r="A617" s="4"/>
      <c r="B617" s="3"/>
      <c r="C617" s="3"/>
      <c r="D617" s="3"/>
      <c r="E617" s="4"/>
    </row>
    <row r="618" spans="1:5" x14ac:dyDescent="0.35">
      <c r="A618" s="4"/>
      <c r="B618" s="3"/>
      <c r="C618" s="3"/>
      <c r="D618" s="3"/>
      <c r="E618" s="4"/>
    </row>
    <row r="619" spans="1:5" x14ac:dyDescent="0.35">
      <c r="A619" s="4"/>
      <c r="B619" s="3"/>
      <c r="C619" s="3"/>
      <c r="D619" s="3"/>
      <c r="E619" s="4"/>
    </row>
    <row r="620" spans="1:5" x14ac:dyDescent="0.35">
      <c r="A620" s="4"/>
      <c r="B620" s="3"/>
      <c r="C620" s="3"/>
      <c r="D620" s="3"/>
      <c r="E620" s="4"/>
    </row>
    <row r="621" spans="1:5" x14ac:dyDescent="0.35">
      <c r="A621" s="4"/>
      <c r="B621" s="3"/>
      <c r="C621" s="3"/>
      <c r="D621" s="3"/>
      <c r="E621" s="4"/>
    </row>
    <row r="622" spans="1:5" x14ac:dyDescent="0.35">
      <c r="A622" s="4"/>
      <c r="B622" s="3"/>
      <c r="C622" s="3"/>
      <c r="D622" s="3"/>
      <c r="E622" s="4"/>
    </row>
    <row r="623" spans="1:5" x14ac:dyDescent="0.35">
      <c r="A623" s="4"/>
      <c r="B623" s="3"/>
      <c r="C623" s="3"/>
      <c r="D623" s="3"/>
      <c r="E623" s="4"/>
    </row>
    <row r="624" spans="1:5" x14ac:dyDescent="0.35">
      <c r="A624" s="4"/>
      <c r="B624" s="3"/>
      <c r="C624" s="3"/>
      <c r="D624" s="3"/>
      <c r="E624" s="4"/>
    </row>
    <row r="625" spans="1:5" x14ac:dyDescent="0.35">
      <c r="A625" s="4"/>
      <c r="B625" s="3"/>
      <c r="C625" s="3"/>
      <c r="D625" s="3"/>
      <c r="E625" s="4"/>
    </row>
    <row r="626" spans="1:5" x14ac:dyDescent="0.35">
      <c r="A626" s="4"/>
      <c r="B626" s="3"/>
      <c r="C626" s="3"/>
      <c r="D626" s="3"/>
      <c r="E626" s="4"/>
    </row>
    <row r="627" spans="1:5" x14ac:dyDescent="0.35">
      <c r="A627" s="4"/>
      <c r="B627" s="3"/>
      <c r="C627" s="3"/>
      <c r="D627" s="3"/>
      <c r="E627" s="4"/>
    </row>
    <row r="628" spans="1:5" x14ac:dyDescent="0.35">
      <c r="A628" s="4"/>
      <c r="B628" s="3"/>
      <c r="C628" s="3"/>
      <c r="D628" s="3"/>
      <c r="E628" s="4"/>
    </row>
    <row r="629" spans="1:5" x14ac:dyDescent="0.35">
      <c r="A629" s="4"/>
      <c r="B629" s="3"/>
      <c r="C629" s="3"/>
      <c r="D629" s="3"/>
      <c r="E629" s="4"/>
    </row>
    <row r="630" spans="1:5" x14ac:dyDescent="0.35">
      <c r="A630" s="4"/>
      <c r="B630" s="3"/>
      <c r="C630" s="3"/>
      <c r="D630" s="3"/>
      <c r="E630" s="4"/>
    </row>
    <row r="631" spans="1:5" x14ac:dyDescent="0.35">
      <c r="A631" s="4"/>
      <c r="B631" s="3"/>
      <c r="C631" s="3"/>
      <c r="D631" s="3"/>
      <c r="E631" s="4"/>
    </row>
    <row r="632" spans="1:5" x14ac:dyDescent="0.35">
      <c r="A632" s="4"/>
      <c r="B632" s="3"/>
      <c r="C632" s="3"/>
      <c r="D632" s="3"/>
      <c r="E632" s="4"/>
    </row>
    <row r="633" spans="1:5" x14ac:dyDescent="0.35">
      <c r="A633" s="4"/>
      <c r="B633" s="3"/>
      <c r="C633" s="3"/>
      <c r="D633" s="3"/>
      <c r="E633" s="4"/>
    </row>
    <row r="634" spans="1:5" x14ac:dyDescent="0.35">
      <c r="A634" s="4"/>
      <c r="B634" s="3"/>
      <c r="C634" s="3"/>
      <c r="D634" s="3"/>
      <c r="E634" s="4"/>
    </row>
    <row r="635" spans="1:5" x14ac:dyDescent="0.35">
      <c r="A635" s="4"/>
      <c r="B635" s="3"/>
      <c r="C635" s="3"/>
      <c r="D635" s="3"/>
      <c r="E635" s="4"/>
    </row>
    <row r="636" spans="1:5" x14ac:dyDescent="0.35">
      <c r="A636" s="4"/>
      <c r="B636" s="3"/>
      <c r="C636" s="3"/>
      <c r="D636" s="3"/>
      <c r="E636" s="4"/>
    </row>
    <row r="637" spans="1:5" x14ac:dyDescent="0.35">
      <c r="A637" s="4"/>
      <c r="B637" s="3"/>
      <c r="C637" s="3"/>
      <c r="D637" s="3"/>
      <c r="E637" s="4"/>
    </row>
    <row r="638" spans="1:5" x14ac:dyDescent="0.35">
      <c r="A638" s="4"/>
      <c r="B638" s="3"/>
      <c r="C638" s="3"/>
      <c r="D638" s="3"/>
      <c r="E638" s="4"/>
    </row>
    <row r="639" spans="1:5" x14ac:dyDescent="0.35">
      <c r="A639" s="4"/>
      <c r="B639" s="3"/>
      <c r="C639" s="3"/>
      <c r="D639" s="3"/>
      <c r="E639" s="4"/>
    </row>
    <row r="640" spans="1:5" x14ac:dyDescent="0.35">
      <c r="A640" s="4"/>
      <c r="B640" s="3"/>
      <c r="C640" s="3"/>
      <c r="D640" s="3"/>
      <c r="E640" s="4"/>
    </row>
    <row r="641" spans="1:5" x14ac:dyDescent="0.35">
      <c r="A641" s="4"/>
      <c r="B641" s="3"/>
      <c r="C641" s="3"/>
      <c r="D641" s="3"/>
      <c r="E641" s="4"/>
    </row>
    <row r="642" spans="1:5" x14ac:dyDescent="0.35">
      <c r="A642" s="4"/>
      <c r="B642" s="3"/>
      <c r="C642" s="3"/>
      <c r="D642" s="3"/>
      <c r="E642" s="4"/>
    </row>
    <row r="643" spans="1:5" x14ac:dyDescent="0.35">
      <c r="A643" s="4"/>
      <c r="B643" s="3"/>
      <c r="C643" s="3"/>
      <c r="D643" s="3"/>
      <c r="E643" s="4"/>
    </row>
    <row r="644" spans="1:5" x14ac:dyDescent="0.35">
      <c r="A644" s="4"/>
      <c r="B644" s="3"/>
      <c r="C644" s="3"/>
      <c r="D644" s="3"/>
      <c r="E644" s="4"/>
    </row>
    <row r="645" spans="1:5" x14ac:dyDescent="0.35">
      <c r="A645" s="4"/>
      <c r="B645" s="3"/>
      <c r="C645" s="3"/>
      <c r="D645" s="3"/>
      <c r="E645" s="4"/>
    </row>
    <row r="646" spans="1:5" x14ac:dyDescent="0.35">
      <c r="A646" s="4"/>
      <c r="B646" s="3"/>
      <c r="C646" s="3"/>
      <c r="D646" s="3"/>
      <c r="E646" s="4"/>
    </row>
    <row r="647" spans="1:5" x14ac:dyDescent="0.35">
      <c r="A647" s="4"/>
      <c r="B647" s="3"/>
      <c r="C647" s="3"/>
      <c r="D647" s="3"/>
      <c r="E647" s="4"/>
    </row>
    <row r="648" spans="1:5" x14ac:dyDescent="0.35">
      <c r="A648" s="4"/>
      <c r="B648" s="3"/>
      <c r="C648" s="3"/>
      <c r="D648" s="3"/>
      <c r="E648" s="4"/>
    </row>
    <row r="649" spans="1:5" x14ac:dyDescent="0.35">
      <c r="A649" s="4"/>
      <c r="B649" s="3"/>
      <c r="C649" s="3"/>
      <c r="D649" s="3"/>
      <c r="E649" s="4"/>
    </row>
    <row r="650" spans="1:5" x14ac:dyDescent="0.35">
      <c r="A650" s="4"/>
      <c r="B650" s="3"/>
      <c r="C650" s="3"/>
      <c r="D650" s="3"/>
      <c r="E650" s="4"/>
    </row>
    <row r="651" spans="1:5" x14ac:dyDescent="0.35">
      <c r="A651" s="4"/>
      <c r="B651" s="3"/>
      <c r="C651" s="3"/>
      <c r="D651" s="3"/>
      <c r="E651" s="4"/>
    </row>
    <row r="652" spans="1:5" x14ac:dyDescent="0.35">
      <c r="A652" s="4"/>
      <c r="B652" s="3"/>
      <c r="C652" s="3"/>
      <c r="D652" s="3"/>
      <c r="E652" s="4"/>
    </row>
    <row r="653" spans="1:5" x14ac:dyDescent="0.35">
      <c r="A653" s="4"/>
      <c r="B653" s="3"/>
      <c r="C653" s="3"/>
      <c r="D653" s="3"/>
      <c r="E653" s="4"/>
    </row>
    <row r="654" spans="1:5" x14ac:dyDescent="0.35">
      <c r="A654" s="4"/>
      <c r="B654" s="3"/>
      <c r="C654" s="3"/>
      <c r="D654" s="3"/>
      <c r="E654" s="4"/>
    </row>
    <row r="655" spans="1:5" x14ac:dyDescent="0.35">
      <c r="A655" s="4"/>
      <c r="B655" s="3"/>
      <c r="C655" s="3"/>
      <c r="D655" s="3"/>
      <c r="E655" s="4"/>
    </row>
    <row r="656" spans="1:5" x14ac:dyDescent="0.35">
      <c r="A656" s="4"/>
      <c r="B656" s="3"/>
      <c r="C656" s="3"/>
      <c r="D656" s="3"/>
      <c r="E656" s="4"/>
    </row>
    <row r="657" spans="1:5" x14ac:dyDescent="0.35">
      <c r="A657" s="4"/>
      <c r="B657" s="3"/>
      <c r="C657" s="3"/>
      <c r="D657" s="3"/>
      <c r="E657" s="4"/>
    </row>
    <row r="658" spans="1:5" x14ac:dyDescent="0.35">
      <c r="A658" s="4"/>
      <c r="B658" s="3"/>
      <c r="C658" s="3"/>
      <c r="D658" s="3"/>
      <c r="E658" s="4"/>
    </row>
    <row r="659" spans="1:5" x14ac:dyDescent="0.35">
      <c r="A659" s="4"/>
      <c r="B659" s="3"/>
      <c r="C659" s="3"/>
      <c r="D659" s="3"/>
      <c r="E659" s="4"/>
    </row>
    <row r="660" spans="1:5" x14ac:dyDescent="0.35">
      <c r="A660" s="4"/>
      <c r="B660" s="3"/>
      <c r="C660" s="3"/>
      <c r="D660" s="3"/>
      <c r="E660" s="4"/>
    </row>
    <row r="661" spans="1:5" x14ac:dyDescent="0.35">
      <c r="A661" s="4"/>
      <c r="B661" s="3"/>
      <c r="C661" s="3"/>
      <c r="D661" s="3"/>
      <c r="E661" s="4"/>
    </row>
    <row r="662" spans="1:5" x14ac:dyDescent="0.35">
      <c r="A662" s="4"/>
      <c r="B662" s="3"/>
      <c r="C662" s="3"/>
      <c r="D662" s="3"/>
      <c r="E662" s="4"/>
    </row>
    <row r="663" spans="1:5" x14ac:dyDescent="0.35">
      <c r="A663" s="4"/>
      <c r="B663" s="3"/>
      <c r="C663" s="3"/>
      <c r="D663" s="3"/>
      <c r="E663" s="4"/>
    </row>
    <row r="664" spans="1:5" x14ac:dyDescent="0.35">
      <c r="A664" s="4"/>
      <c r="B664" s="3"/>
      <c r="C664" s="3"/>
      <c r="D664" s="3"/>
      <c r="E664" s="4"/>
    </row>
    <row r="665" spans="1:5" x14ac:dyDescent="0.35">
      <c r="A665" s="4"/>
      <c r="B665" s="3"/>
      <c r="C665" s="3"/>
      <c r="D665" s="3"/>
      <c r="E665" s="4"/>
    </row>
    <row r="666" spans="1:5" x14ac:dyDescent="0.35">
      <c r="A666" s="4"/>
      <c r="B666" s="3"/>
      <c r="C666" s="3"/>
      <c r="D666" s="3"/>
      <c r="E666" s="4"/>
    </row>
    <row r="667" spans="1:5" x14ac:dyDescent="0.35">
      <c r="A667" s="4"/>
      <c r="B667" s="3"/>
      <c r="C667" s="3"/>
      <c r="D667" s="3"/>
      <c r="E667" s="4"/>
    </row>
    <row r="668" spans="1:5" x14ac:dyDescent="0.35">
      <c r="A668" s="4"/>
      <c r="B668" s="3"/>
      <c r="C668" s="3"/>
      <c r="D668" s="3"/>
      <c r="E668" s="4"/>
    </row>
    <row r="669" spans="1:5" x14ac:dyDescent="0.35">
      <c r="A669" s="4"/>
      <c r="B669" s="3"/>
      <c r="C669" s="3"/>
      <c r="D669" s="3"/>
      <c r="E669" s="4"/>
    </row>
    <row r="670" spans="1:5" x14ac:dyDescent="0.35">
      <c r="A670" s="4"/>
      <c r="B670" s="3"/>
      <c r="C670" s="3"/>
      <c r="D670" s="3"/>
      <c r="E670" s="4"/>
    </row>
    <row r="671" spans="1:5" x14ac:dyDescent="0.35">
      <c r="A671" s="4"/>
      <c r="B671" s="3"/>
      <c r="C671" s="3"/>
      <c r="D671" s="3"/>
      <c r="E671" s="4"/>
    </row>
    <row r="672" spans="1:5" x14ac:dyDescent="0.35">
      <c r="A672" s="4"/>
      <c r="B672" s="3"/>
      <c r="C672" s="3"/>
      <c r="D672" s="3"/>
      <c r="E672" s="4"/>
    </row>
    <row r="673" spans="1:5" x14ac:dyDescent="0.35">
      <c r="A673" s="4"/>
      <c r="B673" s="3"/>
      <c r="C673" s="3"/>
      <c r="D673" s="3"/>
      <c r="E673" s="4"/>
    </row>
    <row r="674" spans="1:5" x14ac:dyDescent="0.35">
      <c r="A674" s="4"/>
      <c r="B674" s="3"/>
      <c r="C674" s="3"/>
      <c r="D674" s="3"/>
      <c r="E674" s="4"/>
    </row>
    <row r="675" spans="1:5" x14ac:dyDescent="0.35">
      <c r="A675" s="4"/>
      <c r="B675" s="3"/>
      <c r="C675" s="3"/>
      <c r="D675" s="3"/>
      <c r="E675" s="4"/>
    </row>
    <row r="676" spans="1:5" x14ac:dyDescent="0.35">
      <c r="A676" s="4"/>
      <c r="B676" s="3"/>
      <c r="C676" s="3"/>
      <c r="D676" s="3"/>
      <c r="E676" s="4"/>
    </row>
    <row r="677" spans="1:5" x14ac:dyDescent="0.35">
      <c r="A677" s="4"/>
      <c r="B677" s="3"/>
      <c r="C677" s="3"/>
      <c r="D677" s="3"/>
      <c r="E677" s="4"/>
    </row>
    <row r="678" spans="1:5" x14ac:dyDescent="0.35">
      <c r="A678" s="4"/>
      <c r="B678" s="3"/>
      <c r="C678" s="3"/>
      <c r="D678" s="3"/>
      <c r="E678" s="4"/>
    </row>
    <row r="679" spans="1:5" x14ac:dyDescent="0.35">
      <c r="A679" s="4"/>
      <c r="B679" s="3"/>
      <c r="C679" s="3"/>
      <c r="D679" s="3"/>
      <c r="E679" s="4"/>
    </row>
    <row r="680" spans="1:5" x14ac:dyDescent="0.35">
      <c r="A680" s="4"/>
      <c r="B680" s="3"/>
      <c r="C680" s="3"/>
      <c r="D680" s="3"/>
      <c r="E680" s="4"/>
    </row>
    <row r="681" spans="1:5" x14ac:dyDescent="0.35">
      <c r="A681" s="4"/>
      <c r="B681" s="3"/>
      <c r="C681" s="3"/>
      <c r="D681" s="3"/>
      <c r="E681" s="4"/>
    </row>
    <row r="682" spans="1:5" x14ac:dyDescent="0.35">
      <c r="A682" s="4"/>
      <c r="B682" s="3"/>
      <c r="C682" s="3"/>
      <c r="D682" s="3"/>
      <c r="E682" s="4"/>
    </row>
    <row r="683" spans="1:5" x14ac:dyDescent="0.35">
      <c r="A683" s="4"/>
      <c r="B683" s="3"/>
      <c r="C683" s="3"/>
      <c r="D683" s="3"/>
      <c r="E683" s="4"/>
    </row>
    <row r="684" spans="1:5" x14ac:dyDescent="0.35">
      <c r="A684" s="4"/>
      <c r="B684" s="3"/>
      <c r="C684" s="3"/>
      <c r="D684" s="3"/>
      <c r="E684" s="4"/>
    </row>
    <row r="685" spans="1:5" x14ac:dyDescent="0.35">
      <c r="A685" s="4"/>
      <c r="B685" s="3"/>
      <c r="C685" s="3"/>
      <c r="D685" s="3"/>
      <c r="E685" s="4"/>
    </row>
    <row r="686" spans="1:5" x14ac:dyDescent="0.35">
      <c r="A686" s="4"/>
      <c r="B686" s="3"/>
      <c r="C686" s="3"/>
      <c r="D686" s="3"/>
      <c r="E686" s="4"/>
    </row>
    <row r="687" spans="1:5" x14ac:dyDescent="0.35">
      <c r="A687" s="4"/>
      <c r="B687" s="3"/>
      <c r="C687" s="3"/>
      <c r="D687" s="3"/>
      <c r="E687" s="4"/>
    </row>
    <row r="688" spans="1:5" x14ac:dyDescent="0.35">
      <c r="A688" s="4"/>
      <c r="B688" s="3"/>
      <c r="C688" s="3"/>
      <c r="D688" s="3"/>
      <c r="E688" s="4"/>
    </row>
    <row r="689" spans="1:5" x14ac:dyDescent="0.35">
      <c r="A689" s="4"/>
      <c r="B689" s="3"/>
      <c r="C689" s="3"/>
      <c r="D689" s="3"/>
      <c r="E689" s="4"/>
    </row>
    <row r="690" spans="1:5" x14ac:dyDescent="0.35">
      <c r="A690" s="4"/>
      <c r="B690" s="3"/>
      <c r="C690" s="3"/>
      <c r="D690" s="3"/>
      <c r="E690" s="4"/>
    </row>
    <row r="691" spans="1:5" x14ac:dyDescent="0.35">
      <c r="A691" s="4"/>
      <c r="B691" s="3"/>
      <c r="C691" s="3"/>
      <c r="D691" s="3"/>
      <c r="E691" s="4"/>
    </row>
    <row r="692" spans="1:5" x14ac:dyDescent="0.35">
      <c r="A692" s="4"/>
      <c r="B692" s="3"/>
      <c r="C692" s="3"/>
      <c r="D692" s="3"/>
      <c r="E692" s="4"/>
    </row>
    <row r="693" spans="1:5" x14ac:dyDescent="0.35">
      <c r="A693" s="4"/>
      <c r="B693" s="3"/>
      <c r="C693" s="3"/>
      <c r="D693" s="3"/>
      <c r="E693" s="4"/>
    </row>
    <row r="694" spans="1:5" x14ac:dyDescent="0.35">
      <c r="A694" s="4"/>
      <c r="B694" s="3"/>
      <c r="C694" s="3"/>
      <c r="D694" s="3"/>
      <c r="E694" s="4"/>
    </row>
    <row r="695" spans="1:5" x14ac:dyDescent="0.35">
      <c r="A695" s="4"/>
      <c r="B695" s="3"/>
      <c r="C695" s="3"/>
      <c r="D695" s="3"/>
      <c r="E695" s="4"/>
    </row>
    <row r="696" spans="1:5" x14ac:dyDescent="0.35">
      <c r="A696" s="4"/>
      <c r="B696" s="3"/>
      <c r="C696" s="3"/>
      <c r="D696" s="3"/>
      <c r="E696" s="4"/>
    </row>
    <row r="697" spans="1:5" x14ac:dyDescent="0.35">
      <c r="A697" s="4"/>
      <c r="B697" s="3"/>
      <c r="C697" s="3"/>
      <c r="D697" s="3"/>
      <c r="E697" s="4"/>
    </row>
    <row r="698" spans="1:5" x14ac:dyDescent="0.35">
      <c r="A698" s="4"/>
      <c r="B698" s="3"/>
      <c r="C698" s="3"/>
      <c r="D698" s="3"/>
      <c r="E698" s="4"/>
    </row>
    <row r="699" spans="1:5" x14ac:dyDescent="0.35">
      <c r="A699" s="4"/>
      <c r="B699" s="3"/>
      <c r="C699" s="3"/>
      <c r="D699" s="3"/>
      <c r="E699" s="4"/>
    </row>
    <row r="700" spans="1:5" x14ac:dyDescent="0.35">
      <c r="A700" s="4"/>
      <c r="B700" s="3"/>
      <c r="C700" s="3"/>
      <c r="D700" s="3"/>
      <c r="E700" s="4"/>
    </row>
    <row r="701" spans="1:5" x14ac:dyDescent="0.35">
      <c r="A701" s="4"/>
      <c r="B701" s="3"/>
      <c r="C701" s="3"/>
      <c r="D701" s="3"/>
      <c r="E701" s="4"/>
    </row>
    <row r="702" spans="1:5" x14ac:dyDescent="0.35">
      <c r="A702" s="4"/>
      <c r="B702" s="3"/>
      <c r="C702" s="3"/>
      <c r="D702" s="3"/>
      <c r="E702" s="4"/>
    </row>
    <row r="703" spans="1:5" x14ac:dyDescent="0.35">
      <c r="A703" s="4"/>
      <c r="B703" s="3"/>
      <c r="C703" s="3"/>
      <c r="D703" s="3"/>
      <c r="E703" s="4"/>
    </row>
    <row r="704" spans="1:5" x14ac:dyDescent="0.35">
      <c r="A704" s="4"/>
      <c r="B704" s="3"/>
      <c r="C704" s="3"/>
      <c r="D704" s="3"/>
      <c r="E704" s="4"/>
    </row>
    <row r="705" spans="1:5" x14ac:dyDescent="0.35">
      <c r="A705" s="4"/>
      <c r="B705" s="3"/>
      <c r="C705" s="3"/>
      <c r="D705" s="3"/>
      <c r="E705" s="4"/>
    </row>
    <row r="706" spans="1:5" x14ac:dyDescent="0.35">
      <c r="A706" s="4"/>
      <c r="B706" s="3"/>
      <c r="C706" s="3"/>
      <c r="D706" s="3"/>
      <c r="E706" s="4"/>
    </row>
    <row r="707" spans="1:5" x14ac:dyDescent="0.35">
      <c r="A707" s="4"/>
      <c r="B707" s="3"/>
      <c r="C707" s="3"/>
      <c r="D707" s="3"/>
      <c r="E707" s="4"/>
    </row>
    <row r="708" spans="1:5" x14ac:dyDescent="0.35">
      <c r="A708" s="4"/>
      <c r="B708" s="3"/>
      <c r="C708" s="3"/>
      <c r="D708" s="3"/>
      <c r="E708" s="4"/>
    </row>
    <row r="709" spans="1:5" x14ac:dyDescent="0.35">
      <c r="A709" s="4"/>
      <c r="B709" s="3"/>
      <c r="C709" s="3"/>
      <c r="D709" s="3"/>
      <c r="E709" s="4"/>
    </row>
    <row r="710" spans="1:5" x14ac:dyDescent="0.35">
      <c r="A710" s="4"/>
      <c r="B710" s="3"/>
      <c r="C710" s="3"/>
      <c r="D710" s="3"/>
      <c r="E710" s="4"/>
    </row>
    <row r="711" spans="1:5" x14ac:dyDescent="0.35">
      <c r="A711" s="4"/>
      <c r="B711" s="3"/>
      <c r="C711" s="3"/>
      <c r="D711" s="3"/>
      <c r="E711" s="4"/>
    </row>
    <row r="712" spans="1:5" x14ac:dyDescent="0.35">
      <c r="A712" s="4"/>
      <c r="B712" s="3"/>
      <c r="C712" s="3"/>
      <c r="D712" s="3"/>
      <c r="E712" s="4"/>
    </row>
    <row r="713" spans="1:5" x14ac:dyDescent="0.35">
      <c r="A713" s="4"/>
      <c r="B713" s="3"/>
      <c r="C713" s="3"/>
      <c r="D713" s="3"/>
      <c r="E713" s="4"/>
    </row>
    <row r="714" spans="1:5" x14ac:dyDescent="0.35">
      <c r="A714" s="4"/>
      <c r="B714" s="3"/>
      <c r="C714" s="3"/>
      <c r="D714" s="3"/>
      <c r="E714" s="4"/>
    </row>
    <row r="715" spans="1:5" x14ac:dyDescent="0.35">
      <c r="A715" s="4"/>
      <c r="B715" s="3"/>
      <c r="C715" s="3"/>
      <c r="D715" s="3"/>
      <c r="E715" s="4"/>
    </row>
    <row r="716" spans="1:5" x14ac:dyDescent="0.35">
      <c r="A716" s="4"/>
      <c r="B716" s="3"/>
      <c r="C716" s="3"/>
      <c r="D716" s="3"/>
      <c r="E716" s="4"/>
    </row>
    <row r="717" spans="1:5" x14ac:dyDescent="0.35">
      <c r="A717" s="4"/>
      <c r="B717" s="3"/>
      <c r="C717" s="3"/>
      <c r="D717" s="3"/>
      <c r="E717" s="4"/>
    </row>
    <row r="718" spans="1:5" x14ac:dyDescent="0.35">
      <c r="A718" s="4"/>
      <c r="B718" s="3"/>
      <c r="C718" s="3"/>
      <c r="D718" s="3"/>
      <c r="E718" s="4"/>
    </row>
    <row r="719" spans="1:5" x14ac:dyDescent="0.35">
      <c r="A719" s="4"/>
      <c r="B719" s="3"/>
      <c r="C719" s="3"/>
      <c r="D719" s="3"/>
      <c r="E719" s="4"/>
    </row>
    <row r="720" spans="1:5" x14ac:dyDescent="0.35">
      <c r="A720" s="4"/>
      <c r="B720" s="3"/>
      <c r="C720" s="3"/>
      <c r="D720" s="3"/>
      <c r="E720" s="4"/>
    </row>
    <row r="721" spans="1:5" x14ac:dyDescent="0.35">
      <c r="A721" s="4"/>
      <c r="B721" s="3"/>
      <c r="C721" s="3"/>
      <c r="D721" s="3"/>
      <c r="E721" s="4"/>
    </row>
    <row r="722" spans="1:5" x14ac:dyDescent="0.35">
      <c r="A722" s="4"/>
      <c r="B722" s="3"/>
      <c r="C722" s="3"/>
      <c r="D722" s="3"/>
      <c r="E722" s="4"/>
    </row>
    <row r="723" spans="1:5" x14ac:dyDescent="0.35">
      <c r="A723" s="4"/>
      <c r="B723" s="3"/>
      <c r="C723" s="3"/>
      <c r="D723" s="3"/>
      <c r="E723" s="4"/>
    </row>
    <row r="724" spans="1:5" x14ac:dyDescent="0.35">
      <c r="A724" s="4"/>
      <c r="B724" s="3"/>
      <c r="C724" s="3"/>
      <c r="D724" s="3"/>
      <c r="E724" s="4"/>
    </row>
    <row r="725" spans="1:5" x14ac:dyDescent="0.35">
      <c r="A725" s="4"/>
      <c r="B725" s="3"/>
      <c r="C725" s="3"/>
      <c r="D725" s="3"/>
      <c r="E725" s="4"/>
    </row>
    <row r="726" spans="1:5" x14ac:dyDescent="0.35">
      <c r="A726" s="4"/>
      <c r="B726" s="3"/>
      <c r="C726" s="3"/>
      <c r="D726" s="3"/>
      <c r="E726" s="4"/>
    </row>
    <row r="727" spans="1:5" x14ac:dyDescent="0.35">
      <c r="A727" s="4"/>
      <c r="B727" s="3"/>
      <c r="C727" s="3"/>
      <c r="D727" s="3"/>
      <c r="E727" s="4"/>
    </row>
    <row r="728" spans="1:5" x14ac:dyDescent="0.35">
      <c r="A728" s="4"/>
      <c r="B728" s="3"/>
      <c r="C728" s="3"/>
      <c r="D728" s="3"/>
      <c r="E728" s="4"/>
    </row>
    <row r="729" spans="1:5" x14ac:dyDescent="0.35">
      <c r="A729" s="4"/>
      <c r="B729" s="3"/>
      <c r="C729" s="3"/>
      <c r="D729" s="3"/>
      <c r="E729" s="4"/>
    </row>
    <row r="730" spans="1:5" x14ac:dyDescent="0.35">
      <c r="A730" s="4"/>
      <c r="B730" s="3"/>
      <c r="C730" s="3"/>
      <c r="D730" s="3"/>
      <c r="E730" s="4"/>
    </row>
    <row r="731" spans="1:5" x14ac:dyDescent="0.35">
      <c r="A731" s="4"/>
      <c r="B731" s="3"/>
      <c r="C731" s="3"/>
      <c r="D731" s="3"/>
      <c r="E731" s="4"/>
    </row>
    <row r="732" spans="1:5" x14ac:dyDescent="0.35">
      <c r="A732" s="4"/>
      <c r="B732" s="3"/>
      <c r="C732" s="3"/>
      <c r="D732" s="3"/>
      <c r="E732" s="4"/>
    </row>
    <row r="733" spans="1:5" x14ac:dyDescent="0.35">
      <c r="A733" s="4"/>
      <c r="B733" s="3"/>
      <c r="C733" s="3"/>
      <c r="D733" s="3"/>
      <c r="E733" s="4"/>
    </row>
    <row r="734" spans="1:5" x14ac:dyDescent="0.35">
      <c r="A734" s="4"/>
      <c r="B734" s="3"/>
      <c r="C734" s="3"/>
      <c r="D734" s="3"/>
      <c r="E734" s="4"/>
    </row>
    <row r="735" spans="1:5" x14ac:dyDescent="0.35">
      <c r="A735" s="4"/>
      <c r="B735" s="3"/>
      <c r="C735" s="3"/>
      <c r="D735" s="3"/>
      <c r="E735" s="4"/>
    </row>
    <row r="736" spans="1:5" x14ac:dyDescent="0.35">
      <c r="A736" s="4"/>
      <c r="B736" s="3"/>
      <c r="C736" s="3"/>
      <c r="D736" s="3"/>
      <c r="E736" s="4"/>
    </row>
    <row r="737" spans="1:5" x14ac:dyDescent="0.35">
      <c r="A737" s="4"/>
      <c r="B737" s="3"/>
      <c r="C737" s="3"/>
      <c r="D737" s="3"/>
      <c r="E737" s="4"/>
    </row>
    <row r="738" spans="1:5" x14ac:dyDescent="0.35">
      <c r="A738" s="4"/>
      <c r="B738" s="3"/>
      <c r="C738" s="3"/>
      <c r="D738" s="3"/>
      <c r="E738" s="4"/>
    </row>
    <row r="739" spans="1:5" x14ac:dyDescent="0.35">
      <c r="A739" s="4"/>
      <c r="B739" s="3"/>
      <c r="C739" s="3"/>
      <c r="D739" s="3"/>
      <c r="E739" s="4"/>
    </row>
    <row r="740" spans="1:5" x14ac:dyDescent="0.35">
      <c r="A740" s="4"/>
      <c r="B740" s="3"/>
      <c r="C740" s="3"/>
      <c r="D740" s="3"/>
      <c r="E740" s="4"/>
    </row>
    <row r="741" spans="1:5" x14ac:dyDescent="0.35">
      <c r="A741" s="4"/>
      <c r="B741" s="3"/>
      <c r="C741" s="3"/>
      <c r="D741" s="3"/>
      <c r="E741" s="4"/>
    </row>
    <row r="742" spans="1:5" x14ac:dyDescent="0.35">
      <c r="A742" s="4"/>
      <c r="B742" s="3"/>
      <c r="C742" s="3"/>
      <c r="D742" s="3"/>
      <c r="E742" s="4"/>
    </row>
    <row r="743" spans="1:5" x14ac:dyDescent="0.35">
      <c r="A743" s="4"/>
      <c r="B743" s="3"/>
      <c r="C743" s="3"/>
      <c r="D743" s="3"/>
      <c r="E743" s="4"/>
    </row>
    <row r="744" spans="1:5" x14ac:dyDescent="0.35">
      <c r="A744" s="4"/>
      <c r="B744" s="3"/>
      <c r="C744" s="3"/>
      <c r="D744" s="3"/>
      <c r="E744" s="4"/>
    </row>
    <row r="745" spans="1:5" x14ac:dyDescent="0.35">
      <c r="A745" s="4"/>
      <c r="B745" s="3"/>
      <c r="C745" s="3"/>
      <c r="D745" s="3"/>
      <c r="E745" s="4"/>
    </row>
    <row r="746" spans="1:5" x14ac:dyDescent="0.35">
      <c r="A746" s="4"/>
      <c r="B746" s="3"/>
      <c r="C746" s="3"/>
      <c r="D746" s="3"/>
      <c r="E746" s="4"/>
    </row>
    <row r="747" spans="1:5" x14ac:dyDescent="0.35">
      <c r="A747" s="4"/>
      <c r="B747" s="3"/>
      <c r="C747" s="3"/>
      <c r="D747" s="3"/>
      <c r="E747" s="4"/>
    </row>
    <row r="748" spans="1:5" x14ac:dyDescent="0.35">
      <c r="A748" s="4"/>
      <c r="B748" s="3"/>
      <c r="C748" s="3"/>
      <c r="D748" s="3"/>
      <c r="E748" s="4"/>
    </row>
    <row r="749" spans="1:5" x14ac:dyDescent="0.35">
      <c r="A749" s="4"/>
      <c r="B749" s="3"/>
      <c r="C749" s="3"/>
      <c r="D749" s="3"/>
      <c r="E749" s="4"/>
    </row>
    <row r="750" spans="1:5" x14ac:dyDescent="0.35">
      <c r="A750" s="4"/>
      <c r="B750" s="3"/>
      <c r="C750" s="3"/>
      <c r="D750" s="3"/>
      <c r="E750" s="4"/>
    </row>
    <row r="751" spans="1:5" x14ac:dyDescent="0.35">
      <c r="A751" s="4"/>
      <c r="B751" s="3"/>
      <c r="C751" s="3"/>
      <c r="D751" s="3"/>
      <c r="E751" s="4"/>
    </row>
    <row r="752" spans="1:5" x14ac:dyDescent="0.35">
      <c r="A752" s="4"/>
      <c r="B752" s="3"/>
      <c r="C752" s="3"/>
      <c r="D752" s="3"/>
      <c r="E752" s="4"/>
    </row>
    <row r="753" spans="1:5" x14ac:dyDescent="0.35">
      <c r="A753" s="4"/>
      <c r="B753" s="3"/>
      <c r="C753" s="3"/>
      <c r="D753" s="3"/>
      <c r="E753" s="4"/>
    </row>
    <row r="754" spans="1:5" x14ac:dyDescent="0.35">
      <c r="A754" s="4"/>
      <c r="B754" s="3"/>
      <c r="C754" s="3"/>
      <c r="D754" s="3"/>
      <c r="E754" s="4"/>
    </row>
    <row r="755" spans="1:5" x14ac:dyDescent="0.35">
      <c r="A755" s="4"/>
      <c r="B755" s="3"/>
      <c r="C755" s="3"/>
      <c r="D755" s="3"/>
      <c r="E755" s="4"/>
    </row>
    <row r="756" spans="1:5" x14ac:dyDescent="0.35">
      <c r="A756" s="4"/>
      <c r="B756" s="3"/>
      <c r="C756" s="3"/>
      <c r="D756" s="3"/>
      <c r="E756" s="4"/>
    </row>
    <row r="757" spans="1:5" x14ac:dyDescent="0.35">
      <c r="A757" s="4"/>
      <c r="B757" s="3"/>
      <c r="C757" s="3"/>
      <c r="D757" s="3"/>
      <c r="E757" s="4"/>
    </row>
    <row r="758" spans="1:5" x14ac:dyDescent="0.35">
      <c r="A758" s="4"/>
      <c r="B758" s="3"/>
      <c r="C758" s="3"/>
      <c r="D758" s="3"/>
      <c r="E758" s="4"/>
    </row>
    <row r="759" spans="1:5" x14ac:dyDescent="0.35">
      <c r="A759" s="4"/>
      <c r="B759" s="3"/>
      <c r="C759" s="3"/>
      <c r="D759" s="3"/>
      <c r="E759" s="4"/>
    </row>
    <row r="760" spans="1:5" x14ac:dyDescent="0.35">
      <c r="A760" s="4"/>
      <c r="B760" s="3"/>
      <c r="C760" s="3"/>
      <c r="D760" s="3"/>
      <c r="E760" s="4"/>
    </row>
    <row r="761" spans="1:5" x14ac:dyDescent="0.35">
      <c r="A761" s="4"/>
      <c r="B761" s="3"/>
      <c r="C761" s="3"/>
      <c r="D761" s="3"/>
      <c r="E761" s="4"/>
    </row>
    <row r="762" spans="1:5" x14ac:dyDescent="0.35">
      <c r="A762" s="4"/>
      <c r="B762" s="3"/>
      <c r="C762" s="3"/>
      <c r="D762" s="3"/>
      <c r="E762" s="4"/>
    </row>
    <row r="763" spans="1:5" x14ac:dyDescent="0.35">
      <c r="A763" s="4"/>
      <c r="B763" s="3"/>
      <c r="C763" s="3"/>
      <c r="D763" s="3"/>
      <c r="E763" s="4"/>
    </row>
    <row r="764" spans="1:5" x14ac:dyDescent="0.35">
      <c r="A764" s="4"/>
      <c r="B764" s="3"/>
      <c r="C764" s="3"/>
      <c r="D764" s="3"/>
      <c r="E764" s="4"/>
    </row>
    <row r="765" spans="1:5" x14ac:dyDescent="0.35">
      <c r="A765" s="4"/>
      <c r="B765" s="3"/>
      <c r="C765" s="3"/>
      <c r="D765" s="3"/>
      <c r="E765" s="4"/>
    </row>
    <row r="766" spans="1:5" x14ac:dyDescent="0.35">
      <c r="A766" s="4"/>
      <c r="B766" s="3"/>
      <c r="C766" s="3"/>
      <c r="D766" s="3"/>
      <c r="E766" s="4"/>
    </row>
    <row r="767" spans="1:5" x14ac:dyDescent="0.35">
      <c r="A767" s="4"/>
      <c r="B767" s="3"/>
      <c r="C767" s="3"/>
      <c r="D767" s="3"/>
      <c r="E767" s="4"/>
    </row>
    <row r="768" spans="1:5" x14ac:dyDescent="0.35">
      <c r="A768" s="4"/>
      <c r="B768" s="3"/>
      <c r="C768" s="3"/>
      <c r="D768" s="3"/>
      <c r="E768" s="4"/>
    </row>
    <row r="769" spans="1:5" x14ac:dyDescent="0.35">
      <c r="A769" s="4"/>
      <c r="B769" s="3"/>
      <c r="C769" s="3"/>
      <c r="D769" s="3"/>
      <c r="E769" s="4"/>
    </row>
    <row r="770" spans="1:5" x14ac:dyDescent="0.35">
      <c r="A770" s="4"/>
      <c r="B770" s="3"/>
      <c r="C770" s="3"/>
      <c r="D770" s="3"/>
      <c r="E770" s="4"/>
    </row>
    <row r="771" spans="1:5" x14ac:dyDescent="0.35">
      <c r="A771" s="4"/>
      <c r="B771" s="3"/>
      <c r="C771" s="3"/>
      <c r="D771" s="3"/>
      <c r="E771" s="4"/>
    </row>
    <row r="772" spans="1:5" x14ac:dyDescent="0.35">
      <c r="A772" s="4"/>
      <c r="B772" s="3"/>
      <c r="C772" s="3"/>
      <c r="D772" s="3"/>
      <c r="E772" s="4"/>
    </row>
    <row r="773" spans="1:5" x14ac:dyDescent="0.35">
      <c r="A773" s="4"/>
      <c r="B773" s="3"/>
      <c r="C773" s="3"/>
      <c r="D773" s="3"/>
      <c r="E773" s="4"/>
    </row>
    <row r="774" spans="1:5" x14ac:dyDescent="0.35">
      <c r="A774" s="4"/>
      <c r="B774" s="3"/>
      <c r="C774" s="3"/>
      <c r="D774" s="3"/>
      <c r="E774" s="4"/>
    </row>
    <row r="775" spans="1:5" x14ac:dyDescent="0.35">
      <c r="A775" s="4"/>
      <c r="B775" s="3"/>
      <c r="C775" s="3"/>
      <c r="D775" s="3"/>
      <c r="E775" s="4"/>
    </row>
    <row r="776" spans="1:5" x14ac:dyDescent="0.35">
      <c r="A776" s="4"/>
      <c r="B776" s="3"/>
      <c r="C776" s="3"/>
      <c r="D776" s="3"/>
      <c r="E776" s="4"/>
    </row>
    <row r="777" spans="1:5" x14ac:dyDescent="0.35">
      <c r="A777" s="4"/>
      <c r="B777" s="3"/>
      <c r="C777" s="3"/>
      <c r="D777" s="3"/>
      <c r="E777" s="4"/>
    </row>
    <row r="778" spans="1:5" x14ac:dyDescent="0.35">
      <c r="A778" s="4"/>
      <c r="B778" s="3"/>
      <c r="C778" s="3"/>
      <c r="D778" s="3"/>
      <c r="E778" s="4"/>
    </row>
    <row r="779" spans="1:5" x14ac:dyDescent="0.35">
      <c r="A779" s="4"/>
      <c r="B779" s="3"/>
      <c r="C779" s="3"/>
      <c r="D779" s="3"/>
      <c r="E779" s="4"/>
    </row>
    <row r="780" spans="1:5" x14ac:dyDescent="0.35">
      <c r="A780" s="4"/>
      <c r="B780" s="3"/>
      <c r="C780" s="3"/>
      <c r="D780" s="3"/>
      <c r="E780" s="4"/>
    </row>
    <row r="781" spans="1:5" x14ac:dyDescent="0.35">
      <c r="A781" s="4"/>
      <c r="B781" s="3"/>
      <c r="C781" s="3"/>
      <c r="D781" s="3"/>
      <c r="E781" s="4"/>
    </row>
    <row r="782" spans="1:5" x14ac:dyDescent="0.35">
      <c r="A782" s="4"/>
      <c r="B782" s="3"/>
      <c r="C782" s="3"/>
      <c r="D782" s="3"/>
      <c r="E782" s="4"/>
    </row>
    <row r="783" spans="1:5" x14ac:dyDescent="0.35">
      <c r="A783" s="4"/>
      <c r="B783" s="3"/>
      <c r="C783" s="3"/>
      <c r="D783" s="3"/>
      <c r="E783" s="4"/>
    </row>
    <row r="784" spans="1:5" x14ac:dyDescent="0.35">
      <c r="A784" s="4"/>
      <c r="B784" s="3"/>
      <c r="C784" s="3"/>
      <c r="D784" s="3"/>
      <c r="E784" s="4"/>
    </row>
    <row r="785" spans="1:5" x14ac:dyDescent="0.35">
      <c r="A785" s="4"/>
      <c r="B785" s="3"/>
      <c r="C785" s="3"/>
      <c r="D785" s="3"/>
      <c r="E785" s="4"/>
    </row>
    <row r="786" spans="1:5" x14ac:dyDescent="0.35">
      <c r="A786" s="4"/>
      <c r="B786" s="3"/>
      <c r="C786" s="3"/>
      <c r="D786" s="3"/>
      <c r="E786" s="4"/>
    </row>
    <row r="787" spans="1:5" x14ac:dyDescent="0.35">
      <c r="A787" s="4"/>
      <c r="B787" s="3"/>
      <c r="C787" s="3"/>
      <c r="D787" s="3"/>
      <c r="E787" s="4"/>
    </row>
    <row r="788" spans="1:5" x14ac:dyDescent="0.35">
      <c r="A788" s="4"/>
      <c r="B788" s="3"/>
      <c r="C788" s="3"/>
      <c r="D788" s="3"/>
      <c r="E788" s="4"/>
    </row>
    <row r="789" spans="1:5" x14ac:dyDescent="0.35">
      <c r="A789" s="4"/>
      <c r="B789" s="3"/>
      <c r="C789" s="3"/>
      <c r="D789" s="3"/>
      <c r="E789" s="4"/>
    </row>
    <row r="790" spans="1:5" x14ac:dyDescent="0.35">
      <c r="A790" s="4"/>
      <c r="B790" s="3"/>
      <c r="C790" s="3"/>
      <c r="D790" s="3"/>
      <c r="E790" s="4"/>
    </row>
    <row r="791" spans="1:5" x14ac:dyDescent="0.35">
      <c r="A791" s="4"/>
      <c r="B791" s="3"/>
      <c r="C791" s="3"/>
      <c r="D791" s="3"/>
      <c r="E791" s="4"/>
    </row>
    <row r="792" spans="1:5" x14ac:dyDescent="0.35">
      <c r="A792" s="4"/>
      <c r="B792" s="3"/>
      <c r="C792" s="3"/>
      <c r="D792" s="3"/>
      <c r="E792" s="4"/>
    </row>
    <row r="793" spans="1:5" x14ac:dyDescent="0.35">
      <c r="A793" s="4"/>
      <c r="B793" s="3"/>
      <c r="C793" s="3"/>
      <c r="D793" s="3"/>
      <c r="E793" s="4"/>
    </row>
    <row r="794" spans="1:5" x14ac:dyDescent="0.35">
      <c r="A794" s="4"/>
      <c r="B794" s="3"/>
      <c r="C794" s="3"/>
      <c r="D794" s="3"/>
      <c r="E794" s="4"/>
    </row>
    <row r="795" spans="1:5" x14ac:dyDescent="0.35">
      <c r="A795" s="4"/>
      <c r="B795" s="3"/>
      <c r="C795" s="3"/>
      <c r="D795" s="3"/>
      <c r="E795" s="4"/>
    </row>
    <row r="796" spans="1:5" x14ac:dyDescent="0.35">
      <c r="A796" s="4"/>
      <c r="B796" s="3"/>
      <c r="C796" s="3"/>
      <c r="D796" s="3"/>
      <c r="E796" s="4"/>
    </row>
    <row r="797" spans="1:5" x14ac:dyDescent="0.35">
      <c r="A797" s="4"/>
      <c r="B797" s="3"/>
      <c r="C797" s="3"/>
      <c r="D797" s="3"/>
      <c r="E797" s="4"/>
    </row>
    <row r="798" spans="1:5" x14ac:dyDescent="0.35">
      <c r="A798" s="4"/>
      <c r="B798" s="3"/>
      <c r="C798" s="3"/>
      <c r="D798" s="3"/>
      <c r="E798" s="4"/>
    </row>
    <row r="799" spans="1:5" x14ac:dyDescent="0.35">
      <c r="A799" s="4"/>
      <c r="B799" s="3"/>
      <c r="C799" s="3"/>
      <c r="D799" s="3"/>
      <c r="E799" s="4"/>
    </row>
    <row r="800" spans="1:5" x14ac:dyDescent="0.35">
      <c r="A800" s="4"/>
      <c r="B800" s="3"/>
      <c r="C800" s="3"/>
      <c r="D800" s="3"/>
      <c r="E800" s="4"/>
    </row>
    <row r="801" spans="1:5" x14ac:dyDescent="0.35">
      <c r="A801" s="4"/>
      <c r="B801" s="3"/>
      <c r="C801" s="3"/>
      <c r="D801" s="3"/>
      <c r="E801" s="4"/>
    </row>
    <row r="802" spans="1:5" x14ac:dyDescent="0.35">
      <c r="A802" s="4"/>
      <c r="B802" s="3"/>
      <c r="C802" s="3"/>
      <c r="D802" s="3"/>
      <c r="E802" s="4"/>
    </row>
    <row r="803" spans="1:5" x14ac:dyDescent="0.35">
      <c r="A803" s="4"/>
      <c r="B803" s="3"/>
      <c r="C803" s="3"/>
      <c r="D803" s="3"/>
      <c r="E803" s="4"/>
    </row>
    <row r="804" spans="1:5" x14ac:dyDescent="0.35">
      <c r="A804" s="4"/>
      <c r="B804" s="3"/>
      <c r="C804" s="3"/>
      <c r="D804" s="3"/>
      <c r="E804" s="4"/>
    </row>
    <row r="805" spans="1:5" x14ac:dyDescent="0.35">
      <c r="A805" s="4"/>
      <c r="B805" s="3"/>
      <c r="C805" s="3"/>
      <c r="D805" s="3"/>
      <c r="E805" s="4"/>
    </row>
    <row r="806" spans="1:5" x14ac:dyDescent="0.35">
      <c r="A806" s="4"/>
      <c r="B806" s="3"/>
      <c r="C806" s="3"/>
      <c r="D806" s="3"/>
      <c r="E806" s="4"/>
    </row>
    <row r="807" spans="1:5" x14ac:dyDescent="0.35">
      <c r="A807" s="4"/>
      <c r="B807" s="3"/>
      <c r="C807" s="3"/>
      <c r="D807" s="3"/>
      <c r="E807" s="4"/>
    </row>
    <row r="808" spans="1:5" x14ac:dyDescent="0.35">
      <c r="A808" s="4"/>
      <c r="B808" s="3"/>
      <c r="C808" s="3"/>
      <c r="D808" s="3"/>
      <c r="E808" s="4"/>
    </row>
    <row r="809" spans="1:5" x14ac:dyDescent="0.35">
      <c r="A809" s="4"/>
      <c r="B809" s="3"/>
      <c r="C809" s="3"/>
      <c r="D809" s="3"/>
      <c r="E809" s="4"/>
    </row>
    <row r="810" spans="1:5" x14ac:dyDescent="0.35">
      <c r="A810" s="4"/>
      <c r="B810" s="3"/>
      <c r="C810" s="3"/>
      <c r="D810" s="3"/>
      <c r="E810" s="4"/>
    </row>
    <row r="811" spans="1:5" x14ac:dyDescent="0.35">
      <c r="A811" s="4"/>
      <c r="B811" s="3"/>
      <c r="C811" s="3"/>
      <c r="D811" s="3"/>
      <c r="E811" s="4"/>
    </row>
    <row r="812" spans="1:5" x14ac:dyDescent="0.35">
      <c r="A812" s="4"/>
      <c r="B812" s="3"/>
      <c r="C812" s="3"/>
      <c r="D812" s="3"/>
      <c r="E812" s="4"/>
    </row>
    <row r="813" spans="1:5" x14ac:dyDescent="0.35">
      <c r="A813" s="4"/>
      <c r="B813" s="3"/>
      <c r="C813" s="3"/>
      <c r="D813" s="3"/>
      <c r="E813" s="4"/>
    </row>
    <row r="814" spans="1:5" x14ac:dyDescent="0.35">
      <c r="A814" s="4"/>
      <c r="B814" s="3"/>
      <c r="C814" s="3"/>
      <c r="D814" s="3"/>
      <c r="E814" s="4"/>
    </row>
    <row r="815" spans="1:5" x14ac:dyDescent="0.35">
      <c r="A815" s="4"/>
      <c r="B815" s="3"/>
      <c r="C815" s="3"/>
      <c r="D815" s="3"/>
      <c r="E815" s="4"/>
    </row>
    <row r="816" spans="1:5" x14ac:dyDescent="0.35">
      <c r="A816" s="4"/>
      <c r="B816" s="3"/>
      <c r="C816" s="3"/>
      <c r="D816" s="3"/>
      <c r="E816" s="4"/>
    </row>
    <row r="817" spans="1:5" x14ac:dyDescent="0.35">
      <c r="A817" s="4"/>
      <c r="B817" s="3"/>
      <c r="C817" s="3"/>
      <c r="D817" s="3"/>
      <c r="E817" s="4"/>
    </row>
    <row r="818" spans="1:5" x14ac:dyDescent="0.35">
      <c r="A818" s="4"/>
      <c r="B818" s="3"/>
      <c r="C818" s="3"/>
      <c r="D818" s="3"/>
      <c r="E818" s="4"/>
    </row>
    <row r="819" spans="1:5" x14ac:dyDescent="0.35">
      <c r="A819" s="4"/>
      <c r="B819" s="3"/>
      <c r="C819" s="3"/>
      <c r="D819" s="3"/>
      <c r="E819" s="4"/>
    </row>
    <row r="820" spans="1:5" x14ac:dyDescent="0.35">
      <c r="A820" s="4"/>
      <c r="B820" s="3"/>
      <c r="C820" s="3"/>
      <c r="D820" s="3"/>
      <c r="E820" s="4"/>
    </row>
    <row r="821" spans="1:5" x14ac:dyDescent="0.35">
      <c r="A821" s="4"/>
      <c r="B821" s="3"/>
      <c r="C821" s="3"/>
      <c r="D821" s="3"/>
      <c r="E821" s="4"/>
    </row>
    <row r="822" spans="1:5" x14ac:dyDescent="0.35">
      <c r="A822" s="4"/>
      <c r="B822" s="3"/>
      <c r="C822" s="3"/>
      <c r="D822" s="3"/>
      <c r="E822" s="4"/>
    </row>
    <row r="823" spans="1:5" x14ac:dyDescent="0.35">
      <c r="A823" s="4"/>
      <c r="B823" s="3"/>
      <c r="C823" s="3"/>
      <c r="D823" s="3"/>
      <c r="E823" s="4"/>
    </row>
    <row r="824" spans="1:5" x14ac:dyDescent="0.35">
      <c r="A824" s="4"/>
      <c r="B824" s="3"/>
      <c r="C824" s="3"/>
      <c r="D824" s="3"/>
      <c r="E824" s="4"/>
    </row>
    <row r="825" spans="1:5" x14ac:dyDescent="0.35">
      <c r="A825" s="4"/>
      <c r="B825" s="3"/>
      <c r="C825" s="3"/>
      <c r="D825" s="3"/>
      <c r="E825" s="4"/>
    </row>
    <row r="826" spans="1:5" x14ac:dyDescent="0.35">
      <c r="A826" s="4"/>
      <c r="B826" s="3"/>
      <c r="C826" s="3"/>
      <c r="D826" s="3"/>
      <c r="E826" s="4"/>
    </row>
    <row r="827" spans="1:5" x14ac:dyDescent="0.35">
      <c r="A827" s="4"/>
      <c r="B827" s="3"/>
      <c r="C827" s="3"/>
      <c r="D827" s="3"/>
      <c r="E827" s="4"/>
    </row>
    <row r="828" spans="1:5" x14ac:dyDescent="0.35">
      <c r="A828" s="4"/>
      <c r="B828" s="3"/>
      <c r="C828" s="3"/>
      <c r="D828" s="3"/>
      <c r="E828" s="4"/>
    </row>
    <row r="829" spans="1:5" x14ac:dyDescent="0.35">
      <c r="A829" s="4"/>
      <c r="B829" s="3"/>
      <c r="C829" s="3"/>
      <c r="D829" s="3"/>
      <c r="E829" s="4"/>
    </row>
    <row r="830" spans="1:5" x14ac:dyDescent="0.35">
      <c r="A830" s="4"/>
      <c r="B830" s="3"/>
      <c r="C830" s="3"/>
      <c r="D830" s="3"/>
      <c r="E830" s="4"/>
    </row>
    <row r="831" spans="1:5" x14ac:dyDescent="0.35">
      <c r="A831" s="4"/>
      <c r="B831" s="3"/>
      <c r="C831" s="3"/>
      <c r="D831" s="3"/>
      <c r="E831" s="4"/>
    </row>
    <row r="832" spans="1:5" x14ac:dyDescent="0.35">
      <c r="A832" s="4"/>
      <c r="B832" s="3"/>
      <c r="C832" s="3"/>
      <c r="D832" s="3"/>
      <c r="E832" s="4"/>
    </row>
    <row r="833" spans="1:5" x14ac:dyDescent="0.35">
      <c r="A833" s="4"/>
      <c r="B833" s="3"/>
      <c r="C833" s="3"/>
      <c r="D833" s="3"/>
      <c r="E833" s="4"/>
    </row>
    <row r="834" spans="1:5" x14ac:dyDescent="0.35">
      <c r="A834" s="4"/>
      <c r="B834" s="3"/>
      <c r="C834" s="3"/>
      <c r="D834" s="3"/>
      <c r="E834" s="4"/>
    </row>
    <row r="835" spans="1:5" x14ac:dyDescent="0.35">
      <c r="A835" s="4"/>
      <c r="B835" s="3"/>
      <c r="C835" s="3"/>
      <c r="D835" s="3"/>
      <c r="E835" s="4"/>
    </row>
    <row r="836" spans="1:5" x14ac:dyDescent="0.35">
      <c r="A836" s="4"/>
      <c r="B836" s="3"/>
      <c r="C836" s="3"/>
      <c r="D836" s="3"/>
      <c r="E836" s="4"/>
    </row>
    <row r="837" spans="1:5" x14ac:dyDescent="0.35">
      <c r="A837" s="4"/>
      <c r="B837" s="3"/>
      <c r="C837" s="3"/>
      <c r="D837" s="3"/>
      <c r="E837" s="4"/>
    </row>
    <row r="838" spans="1:5" x14ac:dyDescent="0.35">
      <c r="A838" s="4"/>
      <c r="B838" s="3"/>
      <c r="C838" s="3"/>
      <c r="D838" s="3"/>
      <c r="E838" s="4"/>
    </row>
    <row r="839" spans="1:5" x14ac:dyDescent="0.35">
      <c r="A839" s="4"/>
      <c r="B839" s="3"/>
      <c r="C839" s="3"/>
      <c r="D839" s="3"/>
      <c r="E839" s="4"/>
    </row>
    <row r="840" spans="1:5" x14ac:dyDescent="0.35">
      <c r="A840" s="4"/>
      <c r="B840" s="3"/>
      <c r="C840" s="3"/>
      <c r="D840" s="3"/>
      <c r="E840" s="4"/>
    </row>
    <row r="841" spans="1:5" x14ac:dyDescent="0.35">
      <c r="A841" s="4"/>
      <c r="B841" s="3"/>
      <c r="C841" s="3"/>
      <c r="D841" s="3"/>
      <c r="E841" s="4"/>
    </row>
    <row r="842" spans="1:5" x14ac:dyDescent="0.35">
      <c r="A842" s="4"/>
      <c r="B842" s="3"/>
      <c r="C842" s="3"/>
      <c r="D842" s="3"/>
      <c r="E842" s="4"/>
    </row>
    <row r="843" spans="1:5" x14ac:dyDescent="0.35">
      <c r="A843" s="4"/>
      <c r="B843" s="3"/>
      <c r="C843" s="3"/>
      <c r="D843" s="3"/>
      <c r="E843" s="4"/>
    </row>
    <row r="844" spans="1:5" x14ac:dyDescent="0.35">
      <c r="A844" s="4"/>
      <c r="B844" s="3"/>
      <c r="C844" s="3"/>
      <c r="D844" s="3"/>
      <c r="E844" s="4"/>
    </row>
    <row r="845" spans="1:5" x14ac:dyDescent="0.35">
      <c r="A845" s="4"/>
      <c r="B845" s="3"/>
      <c r="C845" s="3"/>
      <c r="D845" s="3"/>
      <c r="E845" s="4"/>
    </row>
    <row r="846" spans="1:5" x14ac:dyDescent="0.35">
      <c r="A846" s="4"/>
      <c r="B846" s="3"/>
      <c r="C846" s="3"/>
      <c r="D846" s="3"/>
      <c r="E846" s="4"/>
    </row>
    <row r="847" spans="1:5" x14ac:dyDescent="0.35">
      <c r="A847" s="4"/>
      <c r="B847" s="3"/>
      <c r="C847" s="3"/>
      <c r="D847" s="3"/>
      <c r="E847" s="4"/>
    </row>
    <row r="848" spans="1:5" x14ac:dyDescent="0.35">
      <c r="A848" s="4"/>
      <c r="B848" s="3"/>
      <c r="C848" s="3"/>
      <c r="D848" s="3"/>
      <c r="E848" s="4"/>
    </row>
    <row r="849" spans="1:5" x14ac:dyDescent="0.35">
      <c r="A849" s="4"/>
      <c r="B849" s="3"/>
      <c r="C849" s="3"/>
      <c r="D849" s="3"/>
      <c r="E849" s="4"/>
    </row>
    <row r="850" spans="1:5" x14ac:dyDescent="0.35">
      <c r="A850" s="4"/>
      <c r="B850" s="3"/>
      <c r="C850" s="3"/>
      <c r="D850" s="3"/>
      <c r="E850" s="4"/>
    </row>
    <row r="851" spans="1:5" x14ac:dyDescent="0.35">
      <c r="A851" s="4"/>
      <c r="B851" s="3"/>
      <c r="C851" s="3"/>
      <c r="D851" s="3"/>
      <c r="E851" s="4"/>
    </row>
    <row r="852" spans="1:5" x14ac:dyDescent="0.35">
      <c r="A852" s="4"/>
      <c r="B852" s="3"/>
      <c r="C852" s="3"/>
      <c r="D852" s="3"/>
      <c r="E852" s="4"/>
    </row>
    <row r="853" spans="1:5" x14ac:dyDescent="0.35">
      <c r="A853" s="4"/>
      <c r="B853" s="3"/>
      <c r="C853" s="3"/>
      <c r="D853" s="3"/>
      <c r="E853" s="4"/>
    </row>
    <row r="854" spans="1:5" x14ac:dyDescent="0.35">
      <c r="A854" s="4"/>
      <c r="B854" s="3"/>
      <c r="C854" s="3"/>
      <c r="D854" s="3"/>
      <c r="E854" s="4"/>
    </row>
    <row r="855" spans="1:5" x14ac:dyDescent="0.35">
      <c r="A855" s="4"/>
      <c r="B855" s="3"/>
      <c r="C855" s="3"/>
      <c r="D855" s="3"/>
      <c r="E855" s="4"/>
    </row>
    <row r="856" spans="1:5" x14ac:dyDescent="0.35">
      <c r="A856" s="4"/>
      <c r="B856" s="3"/>
      <c r="C856" s="3"/>
      <c r="D856" s="3"/>
      <c r="E856" s="4"/>
    </row>
    <row r="857" spans="1:5" x14ac:dyDescent="0.35">
      <c r="A857" s="4"/>
      <c r="B857" s="3"/>
      <c r="C857" s="3"/>
      <c r="D857" s="3"/>
      <c r="E857" s="4"/>
    </row>
    <row r="858" spans="1:5" x14ac:dyDescent="0.35">
      <c r="A858" s="4"/>
      <c r="B858" s="3"/>
      <c r="C858" s="3"/>
      <c r="D858" s="3"/>
      <c r="E858" s="4"/>
    </row>
    <row r="859" spans="1:5" x14ac:dyDescent="0.35">
      <c r="A859" s="4"/>
      <c r="B859" s="3"/>
      <c r="C859" s="3"/>
      <c r="D859" s="3"/>
      <c r="E859" s="4"/>
    </row>
    <row r="860" spans="1:5" x14ac:dyDescent="0.35">
      <c r="A860" s="4"/>
      <c r="B860" s="3"/>
      <c r="C860" s="3"/>
      <c r="D860" s="3"/>
      <c r="E860" s="4"/>
    </row>
    <row r="861" spans="1:5" x14ac:dyDescent="0.35">
      <c r="A861" s="4"/>
      <c r="B861" s="3"/>
      <c r="C861" s="3"/>
      <c r="D861" s="3"/>
      <c r="E861" s="4"/>
    </row>
    <row r="862" spans="1:5" x14ac:dyDescent="0.35">
      <c r="A862" s="4"/>
      <c r="B862" s="3"/>
      <c r="C862" s="3"/>
      <c r="D862" s="3"/>
      <c r="E862" s="4"/>
    </row>
    <row r="863" spans="1:5" x14ac:dyDescent="0.35">
      <c r="A863" s="4"/>
      <c r="B863" s="3"/>
      <c r="C863" s="3"/>
      <c r="D863" s="3"/>
      <c r="E863" s="4"/>
    </row>
    <row r="864" spans="1:5" x14ac:dyDescent="0.35">
      <c r="A864" s="4"/>
      <c r="B864" s="3"/>
      <c r="C864" s="3"/>
      <c r="D864" s="3"/>
      <c r="E864" s="4"/>
    </row>
    <row r="865" spans="1:5" x14ac:dyDescent="0.35">
      <c r="A865" s="4"/>
      <c r="B865" s="3"/>
      <c r="C865" s="3"/>
      <c r="D865" s="3"/>
      <c r="E865" s="4"/>
    </row>
    <row r="866" spans="1:5" x14ac:dyDescent="0.35">
      <c r="A866" s="4"/>
      <c r="B866" s="3"/>
      <c r="C866" s="3"/>
      <c r="D866" s="3"/>
      <c r="E866" s="4"/>
    </row>
    <row r="867" spans="1:5" x14ac:dyDescent="0.35">
      <c r="A867" s="4"/>
      <c r="B867" s="3"/>
      <c r="C867" s="3"/>
      <c r="D867" s="3"/>
      <c r="E867" s="4"/>
    </row>
    <row r="868" spans="1:5" x14ac:dyDescent="0.35">
      <c r="A868" s="4"/>
      <c r="B868" s="3"/>
      <c r="C868" s="3"/>
      <c r="D868" s="3"/>
      <c r="E868" s="4"/>
    </row>
    <row r="869" spans="1:5" x14ac:dyDescent="0.35">
      <c r="A869" s="4"/>
      <c r="B869" s="3"/>
      <c r="C869" s="3"/>
      <c r="D869" s="3"/>
      <c r="E869" s="4"/>
    </row>
    <row r="870" spans="1:5" x14ac:dyDescent="0.35">
      <c r="A870" s="4"/>
      <c r="B870" s="3"/>
      <c r="C870" s="3"/>
      <c r="D870" s="3"/>
      <c r="E870" s="4"/>
    </row>
    <row r="871" spans="1:5" x14ac:dyDescent="0.35">
      <c r="A871" s="4"/>
      <c r="B871" s="3"/>
      <c r="C871" s="3"/>
      <c r="D871" s="3"/>
      <c r="E871" s="4"/>
    </row>
    <row r="872" spans="1:5" x14ac:dyDescent="0.35">
      <c r="A872" s="4"/>
      <c r="B872" s="3"/>
      <c r="C872" s="3"/>
      <c r="D872" s="3"/>
      <c r="E872" s="4"/>
    </row>
    <row r="873" spans="1:5" x14ac:dyDescent="0.35">
      <c r="A873" s="4"/>
      <c r="B873" s="3"/>
      <c r="C873" s="3"/>
      <c r="D873" s="3"/>
      <c r="E873" s="4"/>
    </row>
    <row r="874" spans="1:5" x14ac:dyDescent="0.35">
      <c r="A874" s="4"/>
      <c r="B874" s="3"/>
      <c r="C874" s="3"/>
      <c r="D874" s="3"/>
      <c r="E874" s="4"/>
    </row>
    <row r="875" spans="1:5" x14ac:dyDescent="0.35">
      <c r="A875" s="4"/>
      <c r="B875" s="3"/>
      <c r="C875" s="3"/>
      <c r="D875" s="3"/>
      <c r="E875" s="4"/>
    </row>
    <row r="876" spans="1:5" x14ac:dyDescent="0.35">
      <c r="A876" s="4"/>
      <c r="B876" s="3"/>
      <c r="C876" s="3"/>
      <c r="D876" s="3"/>
      <c r="E876" s="4"/>
    </row>
    <row r="877" spans="1:5" x14ac:dyDescent="0.35">
      <c r="A877" s="4"/>
      <c r="B877" s="3"/>
      <c r="C877" s="3"/>
      <c r="D877" s="3"/>
      <c r="E877" s="4"/>
    </row>
    <row r="878" spans="1:5" x14ac:dyDescent="0.35">
      <c r="A878" s="4"/>
      <c r="B878" s="3"/>
      <c r="C878" s="3"/>
      <c r="D878" s="3"/>
      <c r="E878" s="4"/>
    </row>
    <row r="879" spans="1:5" x14ac:dyDescent="0.35">
      <c r="A879" s="4"/>
      <c r="B879" s="3"/>
      <c r="C879" s="3"/>
      <c r="D879" s="3"/>
      <c r="E879" s="4"/>
    </row>
    <row r="880" spans="1:5" x14ac:dyDescent="0.35">
      <c r="A880" s="4"/>
      <c r="B880" s="3"/>
      <c r="C880" s="3"/>
      <c r="D880" s="3"/>
      <c r="E880" s="4"/>
    </row>
    <row r="881" spans="1:5" x14ac:dyDescent="0.35">
      <c r="A881" s="4"/>
      <c r="B881" s="3"/>
      <c r="C881" s="3"/>
      <c r="D881" s="3"/>
      <c r="E881" s="4"/>
    </row>
    <row r="882" spans="1:5" x14ac:dyDescent="0.35">
      <c r="A882" s="4"/>
      <c r="B882" s="3"/>
      <c r="C882" s="3"/>
      <c r="D882" s="3"/>
      <c r="E882" s="4"/>
    </row>
    <row r="883" spans="1:5" x14ac:dyDescent="0.35">
      <c r="A883" s="4"/>
      <c r="B883" s="3"/>
      <c r="C883" s="3"/>
      <c r="D883" s="3"/>
      <c r="E883" s="4"/>
    </row>
    <row r="884" spans="1:5" x14ac:dyDescent="0.35">
      <c r="A884" s="4"/>
      <c r="B884" s="3"/>
      <c r="C884" s="3"/>
      <c r="D884" s="3"/>
      <c r="E884" s="4"/>
    </row>
    <row r="885" spans="1:5" x14ac:dyDescent="0.35">
      <c r="A885" s="4"/>
      <c r="B885" s="3"/>
      <c r="C885" s="3"/>
      <c r="D885" s="3"/>
      <c r="E885" s="4"/>
    </row>
    <row r="886" spans="1:5" x14ac:dyDescent="0.35">
      <c r="A886" s="4"/>
      <c r="B886" s="3"/>
      <c r="C886" s="3"/>
      <c r="D886" s="3"/>
      <c r="E886" s="4"/>
    </row>
    <row r="887" spans="1:5" x14ac:dyDescent="0.35">
      <c r="A887" s="4"/>
      <c r="B887" s="3"/>
      <c r="C887" s="3"/>
      <c r="D887" s="3"/>
      <c r="E887" s="4"/>
    </row>
    <row r="888" spans="1:5" x14ac:dyDescent="0.35">
      <c r="A888" s="4"/>
      <c r="B888" s="3"/>
      <c r="C888" s="3"/>
      <c r="D888" s="3"/>
      <c r="E888" s="4"/>
    </row>
    <row r="889" spans="1:5" x14ac:dyDescent="0.35">
      <c r="A889" s="4"/>
      <c r="B889" s="3"/>
      <c r="C889" s="3"/>
      <c r="D889" s="3"/>
      <c r="E889" s="4"/>
    </row>
    <row r="890" spans="1:5" x14ac:dyDescent="0.35">
      <c r="A890" s="4"/>
      <c r="B890" s="3"/>
      <c r="C890" s="3"/>
      <c r="D890" s="3"/>
      <c r="E890" s="4"/>
    </row>
    <row r="891" spans="1:5" x14ac:dyDescent="0.35">
      <c r="A891" s="4"/>
      <c r="B891" s="3"/>
      <c r="C891" s="3"/>
      <c r="D891" s="3"/>
      <c r="E891" s="4"/>
    </row>
    <row r="892" spans="1:5" x14ac:dyDescent="0.35">
      <c r="A892" s="4"/>
      <c r="B892" s="3"/>
      <c r="C892" s="3"/>
      <c r="D892" s="3"/>
      <c r="E892" s="4"/>
    </row>
    <row r="893" spans="1:5" x14ac:dyDescent="0.35">
      <c r="A893" s="4"/>
      <c r="B893" s="3"/>
      <c r="C893" s="3"/>
      <c r="D893" s="3"/>
      <c r="E893" s="4"/>
    </row>
    <row r="894" spans="1:5" x14ac:dyDescent="0.35">
      <c r="A894" s="4"/>
      <c r="B894" s="3"/>
      <c r="C894" s="3"/>
      <c r="D894" s="3"/>
      <c r="E894" s="4"/>
    </row>
    <row r="895" spans="1:5" x14ac:dyDescent="0.35">
      <c r="A895" s="4"/>
      <c r="B895" s="3"/>
      <c r="C895" s="3"/>
      <c r="D895" s="3"/>
      <c r="E895" s="4"/>
    </row>
    <row r="896" spans="1:5" x14ac:dyDescent="0.35">
      <c r="A896" s="4"/>
      <c r="B896" s="3"/>
      <c r="C896" s="3"/>
      <c r="D896" s="3"/>
      <c r="E896" s="4"/>
    </row>
    <row r="897" spans="1:5" x14ac:dyDescent="0.35">
      <c r="A897" s="4"/>
      <c r="B897" s="3"/>
      <c r="C897" s="3"/>
      <c r="D897" s="3"/>
      <c r="E897" s="4"/>
    </row>
    <row r="898" spans="1:5" x14ac:dyDescent="0.35">
      <c r="A898" s="4"/>
      <c r="B898" s="3"/>
      <c r="C898" s="3"/>
      <c r="D898" s="3"/>
      <c r="E898" s="4"/>
    </row>
    <row r="899" spans="1:5" x14ac:dyDescent="0.35">
      <c r="A899" s="4"/>
      <c r="B899" s="3"/>
      <c r="C899" s="3"/>
      <c r="D899" s="3"/>
      <c r="E899" s="4"/>
    </row>
    <row r="900" spans="1:5" x14ac:dyDescent="0.35">
      <c r="A900" s="4"/>
      <c r="B900" s="3"/>
      <c r="C900" s="3"/>
      <c r="D900" s="3"/>
      <c r="E900" s="4"/>
    </row>
    <row r="901" spans="1:5" x14ac:dyDescent="0.35">
      <c r="A901" s="4"/>
      <c r="B901" s="3"/>
      <c r="C901" s="3"/>
      <c r="D901" s="3"/>
      <c r="E901" s="4"/>
    </row>
    <row r="902" spans="1:5" x14ac:dyDescent="0.35">
      <c r="A902" s="4"/>
      <c r="B902" s="3"/>
      <c r="C902" s="3"/>
      <c r="D902" s="3"/>
      <c r="E902" s="4"/>
    </row>
    <row r="903" spans="1:5" x14ac:dyDescent="0.35">
      <c r="A903" s="4"/>
      <c r="B903" s="3"/>
      <c r="C903" s="3"/>
      <c r="D903" s="3"/>
      <c r="E903" s="4"/>
    </row>
    <row r="904" spans="1:5" x14ac:dyDescent="0.35">
      <c r="A904" s="4"/>
      <c r="B904" s="3"/>
      <c r="C904" s="3"/>
      <c r="D904" s="3"/>
      <c r="E904" s="4"/>
    </row>
    <row r="905" spans="1:5" x14ac:dyDescent="0.35">
      <c r="A905" s="4"/>
      <c r="B905" s="3"/>
      <c r="C905" s="3"/>
      <c r="D905" s="3"/>
      <c r="E905" s="4"/>
    </row>
    <row r="906" spans="1:5" x14ac:dyDescent="0.35">
      <c r="A906" s="4"/>
      <c r="B906" s="3"/>
      <c r="C906" s="3"/>
      <c r="D906" s="3"/>
      <c r="E906" s="4"/>
    </row>
    <row r="907" spans="1:5" x14ac:dyDescent="0.35">
      <c r="A907" s="4"/>
      <c r="B907" s="3"/>
      <c r="C907" s="3"/>
      <c r="D907" s="3"/>
      <c r="E907" s="4"/>
    </row>
    <row r="908" spans="1:5" x14ac:dyDescent="0.35">
      <c r="A908" s="4"/>
      <c r="B908" s="3"/>
      <c r="C908" s="3"/>
      <c r="D908" s="3"/>
      <c r="E908" s="4"/>
    </row>
    <row r="909" spans="1:5" x14ac:dyDescent="0.35">
      <c r="A909" s="4"/>
      <c r="B909" s="3"/>
      <c r="C909" s="3"/>
      <c r="D909" s="3"/>
      <c r="E909" s="4"/>
    </row>
    <row r="910" spans="1:5" x14ac:dyDescent="0.35">
      <c r="A910" s="4"/>
      <c r="B910" s="3"/>
      <c r="C910" s="3"/>
      <c r="D910" s="3"/>
      <c r="E910" s="4"/>
    </row>
    <row r="911" spans="1:5" x14ac:dyDescent="0.35">
      <c r="A911" s="4"/>
      <c r="B911" s="3"/>
      <c r="C911" s="3"/>
      <c r="D911" s="3"/>
      <c r="E911" s="4"/>
    </row>
    <row r="912" spans="1:5" x14ac:dyDescent="0.35">
      <c r="A912" s="4"/>
      <c r="B912" s="3"/>
      <c r="C912" s="3"/>
      <c r="D912" s="3"/>
      <c r="E912" s="4"/>
    </row>
    <row r="913" spans="1:5" x14ac:dyDescent="0.35">
      <c r="A913" s="4"/>
      <c r="B913" s="3"/>
      <c r="C913" s="3"/>
      <c r="D913" s="3"/>
      <c r="E913" s="4"/>
    </row>
    <row r="914" spans="1:5" x14ac:dyDescent="0.35">
      <c r="A914" s="4"/>
      <c r="B914" s="3"/>
      <c r="C914" s="3"/>
      <c r="D914" s="3"/>
      <c r="E914" s="4"/>
    </row>
    <row r="915" spans="1:5" x14ac:dyDescent="0.35">
      <c r="A915" s="4"/>
      <c r="B915" s="3"/>
      <c r="C915" s="3"/>
      <c r="D915" s="3"/>
      <c r="E915" s="4"/>
    </row>
    <row r="916" spans="1:5" x14ac:dyDescent="0.35">
      <c r="A916" s="4"/>
      <c r="B916" s="3"/>
      <c r="C916" s="3"/>
      <c r="D916" s="3"/>
      <c r="E916" s="4"/>
    </row>
    <row r="917" spans="1:5" x14ac:dyDescent="0.35">
      <c r="A917" s="4"/>
      <c r="B917" s="3"/>
      <c r="C917" s="3"/>
      <c r="D917" s="3"/>
      <c r="E917" s="4"/>
    </row>
    <row r="918" spans="1:5" x14ac:dyDescent="0.35">
      <c r="A918" s="4"/>
      <c r="B918" s="3"/>
      <c r="C918" s="3"/>
      <c r="D918" s="3"/>
      <c r="E918" s="4"/>
    </row>
    <row r="919" spans="1:5" x14ac:dyDescent="0.35">
      <c r="A919" s="4"/>
      <c r="B919" s="3"/>
      <c r="C919" s="3"/>
      <c r="D919" s="3"/>
      <c r="E919" s="4"/>
    </row>
    <row r="920" spans="1:5" x14ac:dyDescent="0.35">
      <c r="A920" s="4"/>
      <c r="B920" s="3"/>
      <c r="C920" s="3"/>
      <c r="D920" s="3"/>
      <c r="E920" s="4"/>
    </row>
    <row r="921" spans="1:5" x14ac:dyDescent="0.35">
      <c r="A921" s="4"/>
      <c r="B921" s="3"/>
      <c r="C921" s="3"/>
      <c r="D921" s="3"/>
      <c r="E921" s="4"/>
    </row>
    <row r="922" spans="1:5" x14ac:dyDescent="0.35">
      <c r="A922" s="4"/>
      <c r="B922" s="3"/>
      <c r="C922" s="3"/>
      <c r="D922" s="3"/>
      <c r="E922" s="4"/>
    </row>
    <row r="923" spans="1:5" x14ac:dyDescent="0.35">
      <c r="A923" s="4"/>
      <c r="B923" s="3"/>
      <c r="C923" s="3"/>
      <c r="D923" s="3"/>
      <c r="E923" s="4"/>
    </row>
    <row r="924" spans="1:5" x14ac:dyDescent="0.35">
      <c r="A924" s="4"/>
      <c r="B924" s="3"/>
      <c r="C924" s="3"/>
      <c r="D924" s="3"/>
      <c r="E924" s="4"/>
    </row>
    <row r="925" spans="1:5" x14ac:dyDescent="0.35">
      <c r="A925" s="4"/>
      <c r="B925" s="3"/>
      <c r="C925" s="3"/>
      <c r="D925" s="3"/>
      <c r="E925" s="4"/>
    </row>
    <row r="926" spans="1:5" x14ac:dyDescent="0.35">
      <c r="A926" s="4"/>
      <c r="B926" s="3"/>
      <c r="C926" s="3"/>
      <c r="D926" s="3"/>
      <c r="E926" s="4"/>
    </row>
    <row r="927" spans="1:5" x14ac:dyDescent="0.35">
      <c r="A927" s="4"/>
      <c r="B927" s="3"/>
      <c r="C927" s="3"/>
      <c r="D927" s="3"/>
      <c r="E927" s="4"/>
    </row>
    <row r="928" spans="1:5" x14ac:dyDescent="0.35">
      <c r="A928" s="4"/>
      <c r="B928" s="3"/>
      <c r="C928" s="3"/>
      <c r="D928" s="3"/>
      <c r="E928" s="4"/>
    </row>
    <row r="929" spans="1:5" x14ac:dyDescent="0.35">
      <c r="A929" s="4"/>
      <c r="B929" s="3"/>
      <c r="C929" s="3"/>
      <c r="D929" s="3"/>
      <c r="E929" s="4"/>
    </row>
    <row r="930" spans="1:5" x14ac:dyDescent="0.35">
      <c r="A930" s="4"/>
      <c r="B930" s="3"/>
      <c r="C930" s="3"/>
      <c r="D930" s="3"/>
      <c r="E930" s="4"/>
    </row>
    <row r="931" spans="1:5" x14ac:dyDescent="0.35">
      <c r="A931" s="4"/>
      <c r="B931" s="3"/>
      <c r="C931" s="3"/>
      <c r="D931" s="3"/>
      <c r="E931" s="4"/>
    </row>
    <row r="932" spans="1:5" x14ac:dyDescent="0.35">
      <c r="A932" s="4"/>
      <c r="B932" s="3"/>
      <c r="C932" s="3"/>
      <c r="D932" s="3"/>
      <c r="E932" s="4"/>
    </row>
    <row r="933" spans="1:5" x14ac:dyDescent="0.35">
      <c r="A933" s="4"/>
      <c r="B933" s="3"/>
      <c r="C933" s="3"/>
      <c r="D933" s="3"/>
      <c r="E933" s="4"/>
    </row>
    <row r="934" spans="1:5" x14ac:dyDescent="0.35">
      <c r="A934" s="4"/>
      <c r="B934" s="3"/>
      <c r="C934" s="3"/>
      <c r="D934" s="3"/>
      <c r="E934" s="4"/>
    </row>
    <row r="935" spans="1:5" x14ac:dyDescent="0.35">
      <c r="A935" s="4"/>
      <c r="B935" s="3"/>
      <c r="C935" s="3"/>
      <c r="D935" s="3"/>
      <c r="E935" s="4"/>
    </row>
    <row r="936" spans="1:5" x14ac:dyDescent="0.35">
      <c r="A936" s="4"/>
      <c r="B936" s="3"/>
      <c r="C936" s="3"/>
      <c r="D936" s="3"/>
      <c r="E936" s="4"/>
    </row>
    <row r="937" spans="1:5" x14ac:dyDescent="0.35">
      <c r="A937" s="4"/>
      <c r="B937" s="3"/>
      <c r="C937" s="3"/>
      <c r="D937" s="3"/>
      <c r="E937" s="4"/>
    </row>
    <row r="938" spans="1:5" x14ac:dyDescent="0.35">
      <c r="A938" s="4"/>
      <c r="B938" s="3"/>
      <c r="C938" s="3"/>
      <c r="D938" s="3"/>
      <c r="E938" s="4"/>
    </row>
    <row r="939" spans="1:5" x14ac:dyDescent="0.35">
      <c r="A939" s="4"/>
      <c r="B939" s="3"/>
      <c r="C939" s="3"/>
      <c r="D939" s="3"/>
      <c r="E939" s="4"/>
    </row>
    <row r="940" spans="1:5" x14ac:dyDescent="0.35">
      <c r="A940" s="4"/>
      <c r="B940" s="3"/>
      <c r="C940" s="3"/>
      <c r="D940" s="3"/>
      <c r="E940" s="4"/>
    </row>
    <row r="941" spans="1:5" x14ac:dyDescent="0.35">
      <c r="A941" s="4"/>
      <c r="B941" s="3"/>
      <c r="C941" s="3"/>
      <c r="D941" s="3"/>
      <c r="E941" s="4"/>
    </row>
    <row r="942" spans="1:5" x14ac:dyDescent="0.35">
      <c r="A942" s="4"/>
      <c r="B942" s="3"/>
      <c r="C942" s="3"/>
      <c r="D942" s="3"/>
      <c r="E942" s="4"/>
    </row>
    <row r="943" spans="1:5" x14ac:dyDescent="0.35">
      <c r="A943" s="4"/>
      <c r="B943" s="3"/>
      <c r="C943" s="3"/>
      <c r="D943" s="3"/>
      <c r="E943" s="4"/>
    </row>
    <row r="944" spans="1:5" x14ac:dyDescent="0.35">
      <c r="A944" s="4"/>
      <c r="B944" s="3"/>
      <c r="C944" s="3"/>
      <c r="D944" s="3"/>
      <c r="E944" s="4"/>
    </row>
    <row r="945" spans="1:5" x14ac:dyDescent="0.35">
      <c r="A945" s="4"/>
      <c r="B945" s="3"/>
      <c r="C945" s="3"/>
      <c r="D945" s="3"/>
      <c r="E945" s="4"/>
    </row>
    <row r="946" spans="1:5" x14ac:dyDescent="0.35">
      <c r="A946" s="4"/>
      <c r="B946" s="3"/>
      <c r="C946" s="3"/>
      <c r="D946" s="3"/>
      <c r="E946" s="4"/>
    </row>
    <row r="947" spans="1:5" x14ac:dyDescent="0.35">
      <c r="A947" s="4"/>
      <c r="B947" s="3"/>
      <c r="C947" s="3"/>
      <c r="D947" s="3"/>
      <c r="E947" s="4"/>
    </row>
    <row r="948" spans="1:5" x14ac:dyDescent="0.35">
      <c r="A948" s="4"/>
      <c r="B948" s="3"/>
      <c r="C948" s="3"/>
      <c r="D948" s="3"/>
      <c r="E948" s="4"/>
    </row>
    <row r="949" spans="1:5" x14ac:dyDescent="0.35">
      <c r="A949" s="4"/>
      <c r="B949" s="3"/>
      <c r="C949" s="3"/>
      <c r="D949" s="3"/>
      <c r="E949" s="4"/>
    </row>
    <row r="950" spans="1:5" x14ac:dyDescent="0.35">
      <c r="A950" s="4"/>
      <c r="B950" s="3"/>
      <c r="C950" s="3"/>
      <c r="D950" s="3"/>
      <c r="E950" s="4"/>
    </row>
    <row r="951" spans="1:5" x14ac:dyDescent="0.35">
      <c r="A951" s="4"/>
      <c r="B951" s="3"/>
      <c r="C951" s="3"/>
      <c r="D951" s="3"/>
      <c r="E951" s="4"/>
    </row>
    <row r="952" spans="1:5" x14ac:dyDescent="0.35">
      <c r="A952" s="4"/>
      <c r="B952" s="3"/>
      <c r="C952" s="3"/>
      <c r="D952" s="3"/>
      <c r="E952" s="4"/>
    </row>
    <row r="953" spans="1:5" x14ac:dyDescent="0.35">
      <c r="A953" s="4"/>
      <c r="B953" s="3"/>
      <c r="C953" s="3"/>
      <c r="D953" s="3"/>
      <c r="E953" s="4"/>
    </row>
    <row r="954" spans="1:5" x14ac:dyDescent="0.35">
      <c r="A954" s="4"/>
      <c r="B954" s="3"/>
      <c r="C954" s="3"/>
      <c r="D954" s="3"/>
      <c r="E954" s="4"/>
    </row>
    <row r="955" spans="1:5" x14ac:dyDescent="0.35">
      <c r="A955" s="4"/>
      <c r="B955" s="3"/>
      <c r="C955" s="3"/>
      <c r="D955" s="3"/>
      <c r="E955" s="4"/>
    </row>
    <row r="956" spans="1:5" x14ac:dyDescent="0.35">
      <c r="A956" s="4"/>
      <c r="B956" s="3"/>
      <c r="C956" s="3"/>
      <c r="D956" s="3"/>
      <c r="E956" s="4"/>
    </row>
    <row r="957" spans="1:5" x14ac:dyDescent="0.35">
      <c r="A957" s="4"/>
      <c r="B957" s="3"/>
      <c r="C957" s="3"/>
      <c r="D957" s="3"/>
      <c r="E957" s="4"/>
    </row>
    <row r="958" spans="1:5" x14ac:dyDescent="0.35">
      <c r="A958" s="4"/>
      <c r="B958" s="3"/>
      <c r="C958" s="3"/>
      <c r="D958" s="3"/>
      <c r="E958" s="4"/>
    </row>
    <row r="959" spans="1:5" x14ac:dyDescent="0.35">
      <c r="A959" s="4"/>
      <c r="B959" s="3"/>
      <c r="C959" s="3"/>
      <c r="D959" s="3"/>
      <c r="E959" s="4"/>
    </row>
    <row r="960" spans="1:5" x14ac:dyDescent="0.35">
      <c r="A960" s="4"/>
      <c r="B960" s="3"/>
      <c r="C960" s="3"/>
      <c r="D960" s="3"/>
      <c r="E960" s="4"/>
    </row>
    <row r="961" spans="1:5" x14ac:dyDescent="0.35">
      <c r="A961" s="4"/>
      <c r="B961" s="3"/>
      <c r="C961" s="3"/>
      <c r="D961" s="3"/>
      <c r="E961" s="4"/>
    </row>
    <row r="962" spans="1:5" x14ac:dyDescent="0.35">
      <c r="A962" s="4"/>
      <c r="B962" s="3"/>
      <c r="C962" s="3"/>
      <c r="D962" s="3"/>
      <c r="E962" s="4"/>
    </row>
    <row r="963" spans="1:5" x14ac:dyDescent="0.35">
      <c r="A963" s="4"/>
      <c r="B963" s="3"/>
      <c r="C963" s="3"/>
      <c r="D963" s="3"/>
      <c r="E963" s="4"/>
    </row>
    <row r="964" spans="1:5" x14ac:dyDescent="0.35">
      <c r="A964" s="4"/>
      <c r="B964" s="3"/>
      <c r="C964" s="3"/>
      <c r="D964" s="3"/>
      <c r="E964" s="4"/>
    </row>
    <row r="965" spans="1:5" x14ac:dyDescent="0.35">
      <c r="A965" s="4"/>
      <c r="B965" s="3"/>
      <c r="C965" s="3"/>
      <c r="D965" s="3"/>
      <c r="E965" s="4"/>
    </row>
    <row r="966" spans="1:5" x14ac:dyDescent="0.35">
      <c r="A966" s="4"/>
      <c r="B966" s="3"/>
      <c r="C966" s="3"/>
      <c r="D966" s="3"/>
      <c r="E966" s="4"/>
    </row>
    <row r="967" spans="1:5" x14ac:dyDescent="0.35">
      <c r="A967" s="4"/>
      <c r="B967" s="3"/>
      <c r="C967" s="3"/>
      <c r="D967" s="3"/>
      <c r="E967" s="4"/>
    </row>
    <row r="968" spans="1:5" x14ac:dyDescent="0.35">
      <c r="A968" s="4"/>
      <c r="B968" s="3"/>
      <c r="C968" s="3"/>
      <c r="D968" s="3"/>
      <c r="E968" s="4"/>
    </row>
    <row r="969" spans="1:5" x14ac:dyDescent="0.35">
      <c r="A969" s="4"/>
      <c r="B969" s="3"/>
      <c r="C969" s="3"/>
      <c r="D969" s="3"/>
      <c r="E969" s="4"/>
    </row>
    <row r="970" spans="1:5" x14ac:dyDescent="0.35">
      <c r="A970" s="4"/>
      <c r="B970" s="3"/>
      <c r="C970" s="3"/>
      <c r="D970" s="3"/>
      <c r="E970" s="4"/>
    </row>
    <row r="971" spans="1:5" x14ac:dyDescent="0.35">
      <c r="A971" s="4"/>
      <c r="B971" s="3"/>
      <c r="C971" s="3"/>
      <c r="D971" s="3"/>
      <c r="E971" s="4"/>
    </row>
    <row r="972" spans="1:5" x14ac:dyDescent="0.35">
      <c r="A972" s="4"/>
      <c r="B972" s="3"/>
      <c r="C972" s="3"/>
      <c r="D972" s="3"/>
      <c r="E972" s="4"/>
    </row>
    <row r="973" spans="1:5" x14ac:dyDescent="0.35">
      <c r="A973" s="4"/>
      <c r="B973" s="3"/>
      <c r="C973" s="3"/>
      <c r="D973" s="3"/>
      <c r="E973" s="4"/>
    </row>
    <row r="974" spans="1:5" x14ac:dyDescent="0.35">
      <c r="A974" s="4"/>
      <c r="B974" s="3"/>
      <c r="C974" s="3"/>
      <c r="D974" s="3"/>
      <c r="E974" s="4"/>
    </row>
    <row r="975" spans="1:5" x14ac:dyDescent="0.35">
      <c r="A975" s="4"/>
      <c r="B975" s="3"/>
      <c r="C975" s="3"/>
      <c r="D975" s="3"/>
      <c r="E975" s="4"/>
    </row>
    <row r="976" spans="1:5" x14ac:dyDescent="0.35">
      <c r="A976" s="4"/>
      <c r="B976" s="3"/>
      <c r="C976" s="3"/>
      <c r="D976" s="3"/>
      <c r="E976" s="4"/>
    </row>
    <row r="977" spans="1:5" x14ac:dyDescent="0.35">
      <c r="A977" s="4"/>
      <c r="B977" s="3"/>
      <c r="C977" s="3"/>
      <c r="D977" s="3"/>
      <c r="E977" s="4"/>
    </row>
    <row r="978" spans="1:5" x14ac:dyDescent="0.35">
      <c r="A978" s="4"/>
      <c r="B978" s="3"/>
      <c r="C978" s="3"/>
      <c r="D978" s="3"/>
      <c r="E978" s="4"/>
    </row>
    <row r="979" spans="1:5" x14ac:dyDescent="0.35">
      <c r="A979" s="4"/>
      <c r="B979" s="3"/>
      <c r="C979" s="3"/>
      <c r="D979" s="3"/>
      <c r="E979" s="4"/>
    </row>
    <row r="980" spans="1:5" x14ac:dyDescent="0.35">
      <c r="A980" s="4"/>
      <c r="B980" s="3"/>
      <c r="C980" s="3"/>
      <c r="D980" s="3"/>
      <c r="E980" s="4"/>
    </row>
    <row r="981" spans="1:5" x14ac:dyDescent="0.35">
      <c r="A981" s="4"/>
      <c r="B981" s="3"/>
      <c r="C981" s="3"/>
      <c r="D981" s="3"/>
      <c r="E981" s="4"/>
    </row>
    <row r="982" spans="1:5" x14ac:dyDescent="0.35">
      <c r="A982" s="4"/>
      <c r="B982" s="3"/>
      <c r="C982" s="3"/>
      <c r="D982" s="3"/>
      <c r="E982" s="4"/>
    </row>
    <row r="983" spans="1:5" x14ac:dyDescent="0.35">
      <c r="A983" s="4"/>
      <c r="B983" s="3"/>
      <c r="C983" s="3"/>
      <c r="D983" s="3"/>
      <c r="E983" s="4"/>
    </row>
    <row r="984" spans="1:5" x14ac:dyDescent="0.35">
      <c r="A984" s="4"/>
      <c r="B984" s="3"/>
      <c r="C984" s="3"/>
      <c r="D984" s="3"/>
      <c r="E984" s="4"/>
    </row>
    <row r="985" spans="1:5" x14ac:dyDescent="0.35">
      <c r="A985" s="4"/>
      <c r="B985" s="3"/>
      <c r="C985" s="3"/>
      <c r="D985" s="3"/>
      <c r="E985" s="4"/>
    </row>
    <row r="986" spans="1:5" x14ac:dyDescent="0.35">
      <c r="A986" s="4"/>
      <c r="B986" s="3"/>
      <c r="C986" s="3"/>
      <c r="D986" s="3"/>
      <c r="E986" s="4"/>
    </row>
    <row r="987" spans="1:5" x14ac:dyDescent="0.35">
      <c r="A987" s="4"/>
      <c r="B987" s="3"/>
      <c r="C987" s="3"/>
      <c r="D987" s="3"/>
      <c r="E987" s="4"/>
    </row>
    <row r="988" spans="1:5" x14ac:dyDescent="0.35">
      <c r="A988" s="4"/>
      <c r="B988" s="3"/>
      <c r="C988" s="3"/>
      <c r="D988" s="3"/>
      <c r="E988" s="4"/>
    </row>
    <row r="989" spans="1:5" x14ac:dyDescent="0.35">
      <c r="A989" s="4"/>
      <c r="B989" s="3"/>
      <c r="C989" s="3"/>
      <c r="D989" s="3"/>
      <c r="E989" s="4"/>
    </row>
    <row r="990" spans="1:5" x14ac:dyDescent="0.35">
      <c r="A990" s="4"/>
      <c r="B990" s="3"/>
      <c r="C990" s="3"/>
      <c r="D990" s="3"/>
      <c r="E990" s="4"/>
    </row>
    <row r="991" spans="1:5" x14ac:dyDescent="0.35">
      <c r="A991" s="4"/>
      <c r="B991" s="3"/>
      <c r="C991" s="3"/>
      <c r="D991" s="3"/>
      <c r="E991" s="4"/>
    </row>
    <row r="992" spans="1:5" x14ac:dyDescent="0.35">
      <c r="A992" s="4"/>
      <c r="B992" s="3"/>
      <c r="C992" s="3"/>
      <c r="D992" s="3"/>
      <c r="E992" s="4"/>
    </row>
    <row r="993" spans="1:5" x14ac:dyDescent="0.35">
      <c r="A993" s="4"/>
      <c r="B993" s="3"/>
      <c r="C993" s="3"/>
      <c r="D993" s="3"/>
      <c r="E993" s="4"/>
    </row>
    <row r="994" spans="1:5" x14ac:dyDescent="0.35">
      <c r="A994" s="4"/>
      <c r="B994" s="3"/>
      <c r="C994" s="3"/>
      <c r="D994" s="3"/>
      <c r="E994" s="4"/>
    </row>
    <row r="995" spans="1:5" x14ac:dyDescent="0.35">
      <c r="A995" s="4"/>
      <c r="B995" s="3"/>
      <c r="C995" s="3"/>
      <c r="D995" s="3"/>
      <c r="E995" s="4"/>
    </row>
  </sheetData>
  <autoFilter ref="A1:F141" xr:uid="{DDFF4CAD-AE9F-481D-8E6B-82144BF1CF2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B9CD5-0FD7-44B1-B289-039A80A3BF07}">
  <dimension ref="A1:E1638"/>
  <sheetViews>
    <sheetView workbookViewId="0">
      <selection activeCell="E20" sqref="E20"/>
    </sheetView>
  </sheetViews>
  <sheetFormatPr defaultRowHeight="14.5" x14ac:dyDescent="0.35"/>
  <cols>
    <col min="1" max="1" width="16" bestFit="1" customWidth="1"/>
    <col min="2" max="2" width="16" customWidth="1"/>
    <col min="3" max="3" width="19.81640625" customWidth="1"/>
    <col min="4" max="4" width="24.453125" customWidth="1"/>
    <col min="5" max="5" width="32.26953125" customWidth="1"/>
  </cols>
  <sheetData>
    <row r="1" spans="1:5" x14ac:dyDescent="0.35">
      <c r="A1" t="s">
        <v>461</v>
      </c>
      <c r="B1" t="s">
        <v>24</v>
      </c>
      <c r="C1" t="s">
        <v>217</v>
      </c>
      <c r="D1" t="s">
        <v>13</v>
      </c>
      <c r="E1" t="s">
        <v>325</v>
      </c>
    </row>
    <row r="2" spans="1:5" x14ac:dyDescent="0.35">
      <c r="A2" s="13">
        <v>41275</v>
      </c>
      <c r="B2">
        <f>YEAR(Country_Masterlist__6[[#This Row],[Year1]])</f>
        <v>2013</v>
      </c>
      <c r="C2" t="s">
        <v>34</v>
      </c>
      <c r="D2" t="s">
        <v>40</v>
      </c>
      <c r="E2">
        <v>44</v>
      </c>
    </row>
    <row r="3" spans="1:5" x14ac:dyDescent="0.35">
      <c r="A3" s="13">
        <v>41275</v>
      </c>
      <c r="B3">
        <f>YEAR(Country_Masterlist__6[[#This Row],[Year1]])</f>
        <v>2013</v>
      </c>
      <c r="C3" t="s">
        <v>35</v>
      </c>
      <c r="D3" t="s">
        <v>41</v>
      </c>
      <c r="E3">
        <v>23</v>
      </c>
    </row>
    <row r="4" spans="1:5" x14ac:dyDescent="0.35">
      <c r="A4" s="13">
        <v>41275</v>
      </c>
      <c r="B4">
        <f>YEAR(Country_Masterlist__6[[#This Row],[Year1]])</f>
        <v>2013</v>
      </c>
      <c r="C4" t="s">
        <v>33</v>
      </c>
      <c r="D4" t="s">
        <v>42</v>
      </c>
      <c r="E4">
        <v>39</v>
      </c>
    </row>
    <row r="5" spans="1:5" x14ac:dyDescent="0.35">
      <c r="A5" s="13">
        <v>41275</v>
      </c>
      <c r="B5">
        <f>YEAR(Country_Masterlist__6[[#This Row],[Year1]])</f>
        <v>2013</v>
      </c>
      <c r="D5" t="s">
        <v>373</v>
      </c>
      <c r="E5">
        <v>62</v>
      </c>
    </row>
    <row r="6" spans="1:5" x14ac:dyDescent="0.35">
      <c r="A6" s="13">
        <v>41275</v>
      </c>
      <c r="B6">
        <f>YEAR(Country_Masterlist__6[[#This Row],[Year1]])</f>
        <v>2013</v>
      </c>
      <c r="C6" t="s">
        <v>33</v>
      </c>
      <c r="D6" t="s">
        <v>43</v>
      </c>
      <c r="E6">
        <v>17</v>
      </c>
    </row>
    <row r="7" spans="1:5" x14ac:dyDescent="0.35">
      <c r="A7" s="13">
        <v>41275</v>
      </c>
      <c r="B7">
        <f>YEAR(Country_Masterlist__6[[#This Row],[Year1]])</f>
        <v>2013</v>
      </c>
      <c r="C7" t="s">
        <v>36</v>
      </c>
      <c r="D7" t="s">
        <v>44</v>
      </c>
      <c r="E7">
        <v>7</v>
      </c>
    </row>
    <row r="8" spans="1:5" x14ac:dyDescent="0.35">
      <c r="A8" s="13">
        <v>41275</v>
      </c>
      <c r="B8">
        <f>YEAR(Country_Masterlist__6[[#This Row],[Year1]])</f>
        <v>2013</v>
      </c>
      <c r="C8" t="s">
        <v>38</v>
      </c>
      <c r="D8" t="s">
        <v>45</v>
      </c>
      <c r="E8">
        <v>68</v>
      </c>
    </row>
    <row r="9" spans="1:5" x14ac:dyDescent="0.35">
      <c r="A9" s="13">
        <v>41275</v>
      </c>
      <c r="B9">
        <f>YEAR(Country_Masterlist__6[[#This Row],[Year1]])</f>
        <v>2013</v>
      </c>
      <c r="C9" t="s">
        <v>34</v>
      </c>
      <c r="D9" t="s">
        <v>46</v>
      </c>
      <c r="E9">
        <v>7</v>
      </c>
    </row>
    <row r="10" spans="1:5" x14ac:dyDescent="0.35">
      <c r="A10" s="13">
        <v>41275</v>
      </c>
      <c r="B10">
        <f>YEAR(Country_Masterlist__6[[#This Row],[Year1]])</f>
        <v>2013</v>
      </c>
      <c r="C10" t="s">
        <v>37</v>
      </c>
      <c r="D10" t="s">
        <v>47</v>
      </c>
      <c r="E10">
        <v>389</v>
      </c>
    </row>
    <row r="11" spans="1:5" x14ac:dyDescent="0.35">
      <c r="A11" s="13">
        <v>41275</v>
      </c>
      <c r="B11">
        <f>YEAR(Country_Masterlist__6[[#This Row],[Year1]])</f>
        <v>2013</v>
      </c>
      <c r="C11" t="s">
        <v>35</v>
      </c>
      <c r="D11" t="s">
        <v>48</v>
      </c>
      <c r="E11">
        <v>46</v>
      </c>
    </row>
    <row r="12" spans="1:5" x14ac:dyDescent="0.35">
      <c r="A12" s="13">
        <v>41275</v>
      </c>
      <c r="B12">
        <f>YEAR(Country_Masterlist__6[[#This Row],[Year1]])</f>
        <v>2013</v>
      </c>
      <c r="C12" t="s">
        <v>34</v>
      </c>
      <c r="D12" t="s">
        <v>49</v>
      </c>
      <c r="E12">
        <v>7</v>
      </c>
    </row>
    <row r="13" spans="1:5" x14ac:dyDescent="0.35">
      <c r="A13" s="13">
        <v>41275</v>
      </c>
      <c r="B13">
        <f>YEAR(Country_Masterlist__6[[#This Row],[Year1]])</f>
        <v>2013</v>
      </c>
      <c r="C13" t="s">
        <v>36</v>
      </c>
      <c r="D13" t="s">
        <v>50</v>
      </c>
      <c r="E13">
        <v>486</v>
      </c>
    </row>
    <row r="14" spans="1:5" x14ac:dyDescent="0.35">
      <c r="A14" s="13">
        <v>41275</v>
      </c>
      <c r="B14">
        <f>YEAR(Country_Masterlist__6[[#This Row],[Year1]])</f>
        <v>2013</v>
      </c>
      <c r="C14" t="s">
        <v>34</v>
      </c>
      <c r="D14" t="s">
        <v>51</v>
      </c>
      <c r="E14">
        <v>3</v>
      </c>
    </row>
    <row r="15" spans="1:5" x14ac:dyDescent="0.35">
      <c r="A15" s="13">
        <v>41275</v>
      </c>
      <c r="B15">
        <f>YEAR(Country_Masterlist__6[[#This Row],[Year1]])</f>
        <v>2013</v>
      </c>
      <c r="C15" t="s">
        <v>34</v>
      </c>
      <c r="D15" t="s">
        <v>52</v>
      </c>
      <c r="E15">
        <v>83</v>
      </c>
    </row>
    <row r="16" spans="1:5" x14ac:dyDescent="0.35">
      <c r="A16" s="13">
        <v>41275</v>
      </c>
      <c r="B16">
        <f>YEAR(Country_Masterlist__6[[#This Row],[Year1]])</f>
        <v>2013</v>
      </c>
      <c r="C16" t="s">
        <v>36</v>
      </c>
      <c r="D16" t="s">
        <v>53</v>
      </c>
      <c r="E16">
        <v>23</v>
      </c>
    </row>
    <row r="17" spans="1:5" x14ac:dyDescent="0.35">
      <c r="A17" s="13">
        <v>41275</v>
      </c>
      <c r="B17">
        <f>YEAR(Country_Masterlist__6[[#This Row],[Year1]])</f>
        <v>2013</v>
      </c>
      <c r="C17" t="s">
        <v>35</v>
      </c>
      <c r="D17" t="s">
        <v>54</v>
      </c>
      <c r="E17">
        <v>12</v>
      </c>
    </row>
    <row r="18" spans="1:5" x14ac:dyDescent="0.35">
      <c r="A18" s="13">
        <v>41275</v>
      </c>
      <c r="B18">
        <f>YEAR(Country_Masterlist__6[[#This Row],[Year1]])</f>
        <v>2013</v>
      </c>
      <c r="C18" t="s">
        <v>35</v>
      </c>
      <c r="D18" t="s">
        <v>55</v>
      </c>
      <c r="E18">
        <v>95</v>
      </c>
    </row>
    <row r="19" spans="1:5" x14ac:dyDescent="0.35">
      <c r="A19" s="13">
        <v>41275</v>
      </c>
      <c r="B19">
        <f>YEAR(Country_Masterlist__6[[#This Row],[Year1]])</f>
        <v>2013</v>
      </c>
      <c r="C19" t="s">
        <v>36</v>
      </c>
      <c r="D19" t="s">
        <v>56</v>
      </c>
      <c r="E19">
        <v>35</v>
      </c>
    </row>
    <row r="20" spans="1:5" x14ac:dyDescent="0.35">
      <c r="A20" s="13">
        <v>41275</v>
      </c>
      <c r="B20">
        <f>YEAR(Country_Masterlist__6[[#This Row],[Year1]])</f>
        <v>2013</v>
      </c>
      <c r="C20" t="s">
        <v>33</v>
      </c>
      <c r="D20" t="s">
        <v>57</v>
      </c>
      <c r="E20">
        <v>19</v>
      </c>
    </row>
    <row r="21" spans="1:5" x14ac:dyDescent="0.35">
      <c r="A21" s="13">
        <v>41275</v>
      </c>
      <c r="B21">
        <f>YEAR(Country_Masterlist__6[[#This Row],[Year1]])</f>
        <v>2013</v>
      </c>
      <c r="C21" t="s">
        <v>38</v>
      </c>
      <c r="D21" t="s">
        <v>59</v>
      </c>
      <c r="E21">
        <v>46</v>
      </c>
    </row>
    <row r="22" spans="1:5" x14ac:dyDescent="0.35">
      <c r="A22" s="13">
        <v>41275</v>
      </c>
      <c r="B22">
        <f>YEAR(Country_Masterlist__6[[#This Row],[Year1]])</f>
        <v>2013</v>
      </c>
      <c r="C22" t="s">
        <v>35</v>
      </c>
      <c r="D22" t="s">
        <v>60</v>
      </c>
      <c r="E22">
        <v>9</v>
      </c>
    </row>
    <row r="23" spans="1:5" x14ac:dyDescent="0.35">
      <c r="A23" s="13">
        <v>41275</v>
      </c>
      <c r="B23">
        <f>YEAR(Country_Masterlist__6[[#This Row],[Year1]])</f>
        <v>2013</v>
      </c>
      <c r="C23" t="s">
        <v>38</v>
      </c>
      <c r="D23" t="s">
        <v>21</v>
      </c>
      <c r="E23">
        <v>512</v>
      </c>
    </row>
    <row r="24" spans="1:5" x14ac:dyDescent="0.35">
      <c r="A24" s="13">
        <v>41275</v>
      </c>
      <c r="B24">
        <f>YEAR(Country_Masterlist__6[[#This Row],[Year1]])</f>
        <v>2013</v>
      </c>
      <c r="C24" t="s">
        <v>35</v>
      </c>
      <c r="D24" t="s">
        <v>62</v>
      </c>
      <c r="E24">
        <v>36</v>
      </c>
    </row>
    <row r="25" spans="1:5" x14ac:dyDescent="0.35">
      <c r="A25" s="13">
        <v>41275</v>
      </c>
      <c r="B25">
        <f>YEAR(Country_Masterlist__6[[#This Row],[Year1]])</f>
        <v>2013</v>
      </c>
      <c r="C25" t="s">
        <v>33</v>
      </c>
      <c r="D25" t="s">
        <v>63</v>
      </c>
      <c r="E25">
        <v>12</v>
      </c>
    </row>
    <row r="26" spans="1:5" x14ac:dyDescent="0.35">
      <c r="A26" s="13">
        <v>41275</v>
      </c>
      <c r="B26">
        <f>YEAR(Country_Masterlist__6[[#This Row],[Year1]])</f>
        <v>2013</v>
      </c>
      <c r="C26" t="s">
        <v>34</v>
      </c>
      <c r="D26" t="s">
        <v>64</v>
      </c>
      <c r="E26">
        <v>5</v>
      </c>
    </row>
    <row r="27" spans="1:5" x14ac:dyDescent="0.35">
      <c r="A27" s="13">
        <v>41275</v>
      </c>
      <c r="B27">
        <f>YEAR(Country_Masterlist__6[[#This Row],[Year1]])</f>
        <v>2013</v>
      </c>
      <c r="C27" t="s">
        <v>33</v>
      </c>
      <c r="D27" t="s">
        <v>65</v>
      </c>
      <c r="E27">
        <v>12</v>
      </c>
    </row>
    <row r="28" spans="1:5" x14ac:dyDescent="0.35">
      <c r="A28" s="13">
        <v>41275</v>
      </c>
      <c r="B28">
        <f>YEAR(Country_Masterlist__6[[#This Row],[Year1]])</f>
        <v>2013</v>
      </c>
      <c r="C28" t="s">
        <v>33</v>
      </c>
      <c r="D28" t="s">
        <v>66</v>
      </c>
      <c r="E28">
        <v>5</v>
      </c>
    </row>
    <row r="29" spans="1:5" x14ac:dyDescent="0.35">
      <c r="A29" s="13">
        <v>41275</v>
      </c>
      <c r="B29">
        <f>YEAR(Country_Masterlist__6[[#This Row],[Year1]])</f>
        <v>2013</v>
      </c>
      <c r="C29" t="s">
        <v>34</v>
      </c>
      <c r="D29" t="s">
        <v>67</v>
      </c>
      <c r="E29">
        <v>12</v>
      </c>
    </row>
    <row r="30" spans="1:5" x14ac:dyDescent="0.35">
      <c r="A30" s="13">
        <v>41275</v>
      </c>
      <c r="B30">
        <f>YEAR(Country_Masterlist__6[[#This Row],[Year1]])</f>
        <v>2013</v>
      </c>
      <c r="C30" t="s">
        <v>33</v>
      </c>
      <c r="D30" t="s">
        <v>68</v>
      </c>
      <c r="E30">
        <v>48</v>
      </c>
    </row>
    <row r="31" spans="1:5" x14ac:dyDescent="0.35">
      <c r="A31" s="13">
        <v>41275</v>
      </c>
      <c r="B31">
        <f>YEAR(Country_Masterlist__6[[#This Row],[Year1]])</f>
        <v>2013</v>
      </c>
      <c r="C31" t="s">
        <v>36</v>
      </c>
      <c r="D31" t="s">
        <v>69</v>
      </c>
      <c r="E31">
        <v>23931</v>
      </c>
    </row>
    <row r="32" spans="1:5" x14ac:dyDescent="0.35">
      <c r="A32" s="13">
        <v>41275</v>
      </c>
      <c r="B32">
        <f>YEAR(Country_Masterlist__6[[#This Row],[Year1]])</f>
        <v>2013</v>
      </c>
      <c r="C32" t="s">
        <v>38</v>
      </c>
      <c r="D32" t="s">
        <v>72</v>
      </c>
      <c r="E32">
        <v>47</v>
      </c>
    </row>
    <row r="33" spans="1:5" x14ac:dyDescent="0.35">
      <c r="A33" s="13">
        <v>41275</v>
      </c>
      <c r="B33">
        <f>YEAR(Country_Masterlist__6[[#This Row],[Year1]])</f>
        <v>2013</v>
      </c>
      <c r="C33" t="s">
        <v>34</v>
      </c>
      <c r="D33" t="s">
        <v>73</v>
      </c>
      <c r="E33">
        <v>1525</v>
      </c>
    </row>
    <row r="34" spans="1:5" x14ac:dyDescent="0.35">
      <c r="A34" s="13">
        <v>41275</v>
      </c>
      <c r="B34">
        <f>YEAR(Country_Masterlist__6[[#This Row],[Year1]])</f>
        <v>2013</v>
      </c>
      <c r="C34" t="s">
        <v>38</v>
      </c>
      <c r="D34" t="s">
        <v>20</v>
      </c>
      <c r="E34">
        <v>444</v>
      </c>
    </row>
    <row r="35" spans="1:5" x14ac:dyDescent="0.35">
      <c r="A35" s="13">
        <v>41275</v>
      </c>
      <c r="B35">
        <f>YEAR(Country_Masterlist__6[[#This Row],[Year1]])</f>
        <v>2013</v>
      </c>
      <c r="C35" t="s">
        <v>33</v>
      </c>
      <c r="D35" t="s">
        <v>74</v>
      </c>
      <c r="E35">
        <v>17</v>
      </c>
    </row>
    <row r="36" spans="1:5" x14ac:dyDescent="0.35">
      <c r="A36" s="13">
        <v>41275</v>
      </c>
      <c r="B36">
        <f>YEAR(Country_Masterlist__6[[#This Row],[Year1]])</f>
        <v>2013</v>
      </c>
      <c r="C36" t="s">
        <v>33</v>
      </c>
      <c r="D36" t="s">
        <v>75</v>
      </c>
      <c r="E36">
        <v>19</v>
      </c>
    </row>
    <row r="37" spans="1:5" x14ac:dyDescent="0.35">
      <c r="A37" s="13">
        <v>41275</v>
      </c>
      <c r="B37">
        <f>YEAR(Country_Masterlist__6[[#This Row],[Year1]])</f>
        <v>2013</v>
      </c>
      <c r="C37" t="s">
        <v>36</v>
      </c>
      <c r="D37" t="s">
        <v>76</v>
      </c>
      <c r="E37">
        <v>52</v>
      </c>
    </row>
    <row r="38" spans="1:5" x14ac:dyDescent="0.35">
      <c r="A38" s="13">
        <v>41275</v>
      </c>
      <c r="B38">
        <f>YEAR(Country_Masterlist__6[[#This Row],[Year1]])</f>
        <v>2013</v>
      </c>
      <c r="C38" t="s">
        <v>33</v>
      </c>
      <c r="D38" t="s">
        <v>77</v>
      </c>
      <c r="E38">
        <v>19</v>
      </c>
    </row>
    <row r="39" spans="1:5" x14ac:dyDescent="0.35">
      <c r="A39" s="13">
        <v>41275</v>
      </c>
      <c r="B39">
        <f>YEAR(Country_Masterlist__6[[#This Row],[Year1]])</f>
        <v>2013</v>
      </c>
      <c r="C39" t="s">
        <v>35</v>
      </c>
      <c r="D39" t="s">
        <v>78</v>
      </c>
      <c r="E39">
        <v>32</v>
      </c>
    </row>
    <row r="40" spans="1:5" x14ac:dyDescent="0.35">
      <c r="A40" s="13">
        <v>41275</v>
      </c>
      <c r="B40">
        <f>YEAR(Country_Masterlist__6[[#This Row],[Year1]])</f>
        <v>2013</v>
      </c>
      <c r="C40" t="s">
        <v>36</v>
      </c>
      <c r="D40" t="s">
        <v>79</v>
      </c>
      <c r="E40">
        <v>73</v>
      </c>
    </row>
    <row r="41" spans="1:5" x14ac:dyDescent="0.35">
      <c r="A41" s="13">
        <v>41275</v>
      </c>
      <c r="B41">
        <f>YEAR(Country_Masterlist__6[[#This Row],[Year1]])</f>
        <v>2013</v>
      </c>
      <c r="C41" t="s">
        <v>34</v>
      </c>
      <c r="D41" t="s">
        <v>80</v>
      </c>
      <c r="E41" t="s">
        <v>205</v>
      </c>
    </row>
    <row r="42" spans="1:5" x14ac:dyDescent="0.35">
      <c r="A42" s="13">
        <v>41275</v>
      </c>
      <c r="B42">
        <f>YEAR(Country_Masterlist__6[[#This Row],[Year1]])</f>
        <v>2013</v>
      </c>
      <c r="C42" t="s">
        <v>35</v>
      </c>
      <c r="D42" t="s">
        <v>81</v>
      </c>
      <c r="E42">
        <v>132</v>
      </c>
    </row>
    <row r="43" spans="1:5" x14ac:dyDescent="0.35">
      <c r="A43" s="13">
        <v>41275</v>
      </c>
      <c r="B43">
        <f>YEAR(Country_Masterlist__6[[#This Row],[Year1]])</f>
        <v>2013</v>
      </c>
      <c r="C43" t="s">
        <v>35</v>
      </c>
      <c r="D43" t="s">
        <v>82</v>
      </c>
      <c r="E43">
        <v>54</v>
      </c>
    </row>
    <row r="44" spans="1:5" x14ac:dyDescent="0.35">
      <c r="A44" s="13">
        <v>41275</v>
      </c>
      <c r="B44">
        <f>YEAR(Country_Masterlist__6[[#This Row],[Year1]])</f>
        <v>2013</v>
      </c>
      <c r="C44" t="s">
        <v>36</v>
      </c>
      <c r="D44" t="s">
        <v>84</v>
      </c>
      <c r="E44">
        <v>13</v>
      </c>
    </row>
    <row r="45" spans="1:5" x14ac:dyDescent="0.35">
      <c r="A45" s="13">
        <v>41275</v>
      </c>
      <c r="B45">
        <f>YEAR(Country_Masterlist__6[[#This Row],[Year1]])</f>
        <v>2013</v>
      </c>
      <c r="C45" t="s">
        <v>36</v>
      </c>
      <c r="D45" t="s">
        <v>85</v>
      </c>
      <c r="E45">
        <v>401</v>
      </c>
    </row>
    <row r="46" spans="1:5" x14ac:dyDescent="0.35">
      <c r="A46" s="13">
        <v>41275</v>
      </c>
      <c r="B46">
        <f>YEAR(Country_Masterlist__6[[#This Row],[Year1]])</f>
        <v>2013</v>
      </c>
      <c r="C46" t="s">
        <v>38</v>
      </c>
      <c r="D46" t="s">
        <v>86</v>
      </c>
      <c r="E46">
        <v>211</v>
      </c>
    </row>
    <row r="47" spans="1:5" x14ac:dyDescent="0.35">
      <c r="A47" s="13">
        <v>41275</v>
      </c>
      <c r="B47">
        <f>YEAR(Country_Masterlist__6[[#This Row],[Year1]])</f>
        <v>2013</v>
      </c>
      <c r="C47" t="s">
        <v>33</v>
      </c>
      <c r="D47" t="s">
        <v>87</v>
      </c>
      <c r="E47">
        <v>121</v>
      </c>
    </row>
    <row r="48" spans="1:5" x14ac:dyDescent="0.35">
      <c r="A48" s="13">
        <v>41275</v>
      </c>
      <c r="B48">
        <f>YEAR(Country_Masterlist__6[[#This Row],[Year1]])</f>
        <v>2013</v>
      </c>
      <c r="C48" t="s">
        <v>36</v>
      </c>
      <c r="D48" t="s">
        <v>16</v>
      </c>
      <c r="E48">
        <v>596</v>
      </c>
    </row>
    <row r="49" spans="1:5" x14ac:dyDescent="0.35">
      <c r="A49" s="13">
        <v>41275</v>
      </c>
      <c r="B49">
        <f>YEAR(Country_Masterlist__6[[#This Row],[Year1]])</f>
        <v>2013</v>
      </c>
      <c r="C49" t="s">
        <v>33</v>
      </c>
      <c r="D49" t="s">
        <v>89</v>
      </c>
      <c r="E49">
        <v>10</v>
      </c>
    </row>
    <row r="50" spans="1:5" x14ac:dyDescent="0.35">
      <c r="A50" s="13">
        <v>41275</v>
      </c>
      <c r="B50">
        <f>YEAR(Country_Masterlist__6[[#This Row],[Year1]])</f>
        <v>2013</v>
      </c>
      <c r="C50" t="s">
        <v>35</v>
      </c>
      <c r="D50" t="s">
        <v>90</v>
      </c>
      <c r="E50">
        <v>27</v>
      </c>
    </row>
    <row r="51" spans="1:5" x14ac:dyDescent="0.35">
      <c r="A51" s="13">
        <v>41275</v>
      </c>
      <c r="B51">
        <f>YEAR(Country_Masterlist__6[[#This Row],[Year1]])</f>
        <v>2013</v>
      </c>
      <c r="C51" t="s">
        <v>33</v>
      </c>
      <c r="D51" t="s">
        <v>91</v>
      </c>
      <c r="E51">
        <v>40</v>
      </c>
    </row>
    <row r="52" spans="1:5" x14ac:dyDescent="0.35">
      <c r="A52" s="13">
        <v>41275</v>
      </c>
      <c r="B52">
        <f>YEAR(Country_Masterlist__6[[#This Row],[Year1]])</f>
        <v>2013</v>
      </c>
      <c r="C52" t="s">
        <v>37</v>
      </c>
      <c r="D52" t="s">
        <v>92</v>
      </c>
      <c r="E52">
        <v>45</v>
      </c>
    </row>
    <row r="53" spans="1:5" x14ac:dyDescent="0.35">
      <c r="A53" s="13">
        <v>41275</v>
      </c>
      <c r="B53">
        <f>YEAR(Country_Masterlist__6[[#This Row],[Year1]])</f>
        <v>2013</v>
      </c>
      <c r="C53" t="s">
        <v>35</v>
      </c>
      <c r="D53" t="s">
        <v>93</v>
      </c>
      <c r="E53">
        <v>32</v>
      </c>
    </row>
    <row r="54" spans="1:5" x14ac:dyDescent="0.35">
      <c r="A54" s="13">
        <v>41275</v>
      </c>
      <c r="B54">
        <f>YEAR(Country_Masterlist__6[[#This Row],[Year1]])</f>
        <v>2013</v>
      </c>
      <c r="C54" t="s">
        <v>35</v>
      </c>
      <c r="D54" t="s">
        <v>94</v>
      </c>
      <c r="E54">
        <v>591</v>
      </c>
    </row>
    <row r="55" spans="1:5" x14ac:dyDescent="0.35">
      <c r="A55" s="13">
        <v>41275</v>
      </c>
      <c r="B55">
        <f>YEAR(Country_Masterlist__6[[#This Row],[Year1]])</f>
        <v>2013</v>
      </c>
      <c r="C55" t="s">
        <v>33</v>
      </c>
      <c r="D55" t="s">
        <v>95</v>
      </c>
      <c r="E55">
        <v>6</v>
      </c>
    </row>
    <row r="56" spans="1:5" x14ac:dyDescent="0.35">
      <c r="A56" s="13">
        <v>41275</v>
      </c>
      <c r="B56">
        <f>YEAR(Country_Masterlist__6[[#This Row],[Year1]])</f>
        <v>2013</v>
      </c>
      <c r="C56" t="s">
        <v>33</v>
      </c>
      <c r="D56" t="s">
        <v>96</v>
      </c>
      <c r="E56">
        <v>9</v>
      </c>
    </row>
    <row r="57" spans="1:5" x14ac:dyDescent="0.35">
      <c r="A57" s="13">
        <v>41275</v>
      </c>
      <c r="B57">
        <f>YEAR(Country_Masterlist__6[[#This Row],[Year1]])</f>
        <v>2013</v>
      </c>
      <c r="C57" t="s">
        <v>34</v>
      </c>
      <c r="D57" t="s">
        <v>8</v>
      </c>
      <c r="E57">
        <v>7</v>
      </c>
    </row>
    <row r="58" spans="1:5" x14ac:dyDescent="0.35">
      <c r="A58" s="13">
        <v>41275</v>
      </c>
      <c r="B58">
        <f>YEAR(Country_Masterlist__6[[#This Row],[Year1]])</f>
        <v>2013</v>
      </c>
      <c r="C58" t="s">
        <v>35</v>
      </c>
      <c r="D58" t="s">
        <v>97</v>
      </c>
      <c r="E58">
        <v>469</v>
      </c>
    </row>
    <row r="59" spans="1:5" x14ac:dyDescent="0.35">
      <c r="A59" s="13">
        <v>41275</v>
      </c>
      <c r="B59">
        <f>YEAR(Country_Masterlist__6[[#This Row],[Year1]])</f>
        <v>2013</v>
      </c>
      <c r="C59" t="s">
        <v>33</v>
      </c>
      <c r="D59" t="s">
        <v>98</v>
      </c>
      <c r="E59">
        <v>75</v>
      </c>
    </row>
    <row r="60" spans="1:5" x14ac:dyDescent="0.35">
      <c r="A60" s="13">
        <v>41275</v>
      </c>
      <c r="B60">
        <f>YEAR(Country_Masterlist__6[[#This Row],[Year1]])</f>
        <v>2013</v>
      </c>
      <c r="C60" t="s">
        <v>35</v>
      </c>
      <c r="D60" t="s">
        <v>99</v>
      </c>
      <c r="E60">
        <v>94</v>
      </c>
    </row>
    <row r="61" spans="1:5" x14ac:dyDescent="0.35">
      <c r="A61" s="13">
        <v>41275</v>
      </c>
      <c r="B61">
        <f>YEAR(Country_Masterlist__6[[#This Row],[Year1]])</f>
        <v>2013</v>
      </c>
      <c r="C61" t="s">
        <v>36</v>
      </c>
      <c r="D61" t="s">
        <v>100</v>
      </c>
      <c r="E61">
        <v>10</v>
      </c>
    </row>
    <row r="62" spans="1:5" x14ac:dyDescent="0.35">
      <c r="A62" s="13">
        <v>41275</v>
      </c>
      <c r="B62">
        <f>YEAR(Country_Masterlist__6[[#This Row],[Year1]])</f>
        <v>2013</v>
      </c>
      <c r="C62" t="s">
        <v>36</v>
      </c>
      <c r="D62" t="s">
        <v>15</v>
      </c>
      <c r="E62">
        <v>1379</v>
      </c>
    </row>
    <row r="63" spans="1:5" x14ac:dyDescent="0.35">
      <c r="A63" s="13">
        <v>41275</v>
      </c>
      <c r="B63">
        <f>YEAR(Country_Masterlist__6[[#This Row],[Year1]])</f>
        <v>2013</v>
      </c>
      <c r="C63" t="s">
        <v>33</v>
      </c>
      <c r="D63" t="s">
        <v>101</v>
      </c>
      <c r="E63">
        <v>5</v>
      </c>
    </row>
    <row r="64" spans="1:5" x14ac:dyDescent="0.35">
      <c r="A64" s="13">
        <v>41275</v>
      </c>
      <c r="B64">
        <f>YEAR(Country_Masterlist__6[[#This Row],[Year1]])</f>
        <v>2013</v>
      </c>
      <c r="C64" t="s">
        <v>38</v>
      </c>
      <c r="D64" t="s">
        <v>103</v>
      </c>
      <c r="E64">
        <v>56</v>
      </c>
    </row>
    <row r="65" spans="1:5" x14ac:dyDescent="0.35">
      <c r="A65" s="13">
        <v>41275</v>
      </c>
      <c r="B65">
        <f>YEAR(Country_Masterlist__6[[#This Row],[Year1]])</f>
        <v>2013</v>
      </c>
      <c r="C65" t="s">
        <v>36</v>
      </c>
      <c r="D65" t="s">
        <v>104</v>
      </c>
      <c r="E65">
        <v>148</v>
      </c>
    </row>
    <row r="66" spans="1:5" x14ac:dyDescent="0.35">
      <c r="A66" s="13">
        <v>41275</v>
      </c>
      <c r="B66">
        <f>YEAR(Country_Masterlist__6[[#This Row],[Year1]])</f>
        <v>2013</v>
      </c>
      <c r="C66" t="s">
        <v>36</v>
      </c>
      <c r="D66" t="s">
        <v>17</v>
      </c>
      <c r="E66">
        <v>786</v>
      </c>
    </row>
    <row r="67" spans="1:5" x14ac:dyDescent="0.35">
      <c r="A67" s="13">
        <v>41275</v>
      </c>
      <c r="B67">
        <f>YEAR(Country_Masterlist__6[[#This Row],[Year1]])</f>
        <v>2013</v>
      </c>
      <c r="C67" t="s">
        <v>35</v>
      </c>
      <c r="D67" t="s">
        <v>105</v>
      </c>
      <c r="E67">
        <v>169</v>
      </c>
    </row>
    <row r="68" spans="1:5" x14ac:dyDescent="0.35">
      <c r="A68" s="13">
        <v>41275</v>
      </c>
      <c r="B68">
        <f>YEAR(Country_Masterlist__6[[#This Row],[Year1]])</f>
        <v>2013</v>
      </c>
      <c r="C68" t="s">
        <v>35</v>
      </c>
      <c r="D68" t="s">
        <v>106</v>
      </c>
      <c r="E68">
        <v>8</v>
      </c>
    </row>
    <row r="69" spans="1:5" x14ac:dyDescent="0.35">
      <c r="A69" s="13">
        <v>41275</v>
      </c>
      <c r="B69">
        <f>YEAR(Country_Masterlist__6[[#This Row],[Year1]])</f>
        <v>2013</v>
      </c>
      <c r="C69" t="s">
        <v>34</v>
      </c>
      <c r="D69" t="s">
        <v>22</v>
      </c>
      <c r="E69">
        <v>904</v>
      </c>
    </row>
    <row r="70" spans="1:5" x14ac:dyDescent="0.35">
      <c r="A70" s="13">
        <v>41275</v>
      </c>
      <c r="B70">
        <f>YEAR(Country_Masterlist__6[[#This Row],[Year1]])</f>
        <v>2013</v>
      </c>
      <c r="C70" t="s">
        <v>34</v>
      </c>
      <c r="D70" t="s">
        <v>107</v>
      </c>
      <c r="E70">
        <v>77</v>
      </c>
    </row>
    <row r="71" spans="1:5" x14ac:dyDescent="0.35">
      <c r="A71" s="13">
        <v>41275</v>
      </c>
      <c r="B71">
        <f>YEAR(Country_Masterlist__6[[#This Row],[Year1]])</f>
        <v>2013</v>
      </c>
      <c r="C71" t="s">
        <v>34</v>
      </c>
      <c r="D71" t="s">
        <v>108</v>
      </c>
      <c r="E71">
        <v>354</v>
      </c>
    </row>
    <row r="72" spans="1:5" x14ac:dyDescent="0.35">
      <c r="A72" s="13">
        <v>41275</v>
      </c>
      <c r="B72">
        <f>YEAR(Country_Masterlist__6[[#This Row],[Year1]])</f>
        <v>2013</v>
      </c>
      <c r="C72" t="s">
        <v>34</v>
      </c>
      <c r="D72" t="s">
        <v>109</v>
      </c>
      <c r="E72">
        <v>131</v>
      </c>
    </row>
    <row r="73" spans="1:5" x14ac:dyDescent="0.35">
      <c r="A73" s="13">
        <v>41275</v>
      </c>
      <c r="B73">
        <f>YEAR(Country_Masterlist__6[[#This Row],[Year1]])</f>
        <v>2013</v>
      </c>
      <c r="C73" t="s">
        <v>35</v>
      </c>
      <c r="D73" t="s">
        <v>110</v>
      </c>
      <c r="E73">
        <v>199</v>
      </c>
    </row>
    <row r="74" spans="1:5" x14ac:dyDescent="0.35">
      <c r="A74" s="13">
        <v>41275</v>
      </c>
      <c r="B74">
        <f>YEAR(Country_Masterlist__6[[#This Row],[Year1]])</f>
        <v>2013</v>
      </c>
      <c r="C74" t="s">
        <v>34</v>
      </c>
      <c r="D74" t="s">
        <v>111</v>
      </c>
      <c r="E74">
        <v>234</v>
      </c>
    </row>
    <row r="75" spans="1:5" x14ac:dyDescent="0.35">
      <c r="A75" s="13">
        <v>41275</v>
      </c>
      <c r="B75">
        <f>YEAR(Country_Masterlist__6[[#This Row],[Year1]])</f>
        <v>2013</v>
      </c>
      <c r="C75" t="s">
        <v>35</v>
      </c>
      <c r="D75" t="s">
        <v>112</v>
      </c>
      <c r="E75">
        <v>519</v>
      </c>
    </row>
    <row r="76" spans="1:5" x14ac:dyDescent="0.35">
      <c r="A76" s="13">
        <v>41275</v>
      </c>
      <c r="B76">
        <f>YEAR(Country_Masterlist__6[[#This Row],[Year1]])</f>
        <v>2013</v>
      </c>
      <c r="C76" t="s">
        <v>36</v>
      </c>
      <c r="D76" t="s">
        <v>113</v>
      </c>
      <c r="E76">
        <v>321</v>
      </c>
    </row>
    <row r="77" spans="1:5" x14ac:dyDescent="0.35">
      <c r="A77" s="13">
        <v>41275</v>
      </c>
      <c r="B77">
        <f>YEAR(Country_Masterlist__6[[#This Row],[Year1]])</f>
        <v>2013</v>
      </c>
      <c r="C77" t="s">
        <v>34</v>
      </c>
      <c r="D77" t="s">
        <v>114</v>
      </c>
      <c r="E77">
        <v>337</v>
      </c>
    </row>
    <row r="78" spans="1:5" x14ac:dyDescent="0.35">
      <c r="A78" s="13">
        <v>41275</v>
      </c>
      <c r="B78">
        <f>YEAR(Country_Masterlist__6[[#This Row],[Year1]])</f>
        <v>2013</v>
      </c>
      <c r="C78" t="s">
        <v>34</v>
      </c>
      <c r="D78" t="s">
        <v>115</v>
      </c>
      <c r="E78">
        <v>123</v>
      </c>
    </row>
    <row r="79" spans="1:5" x14ac:dyDescent="0.35">
      <c r="A79" s="13">
        <v>41275</v>
      </c>
      <c r="B79">
        <f>YEAR(Country_Masterlist__6[[#This Row],[Year1]])</f>
        <v>2013</v>
      </c>
      <c r="C79" t="s">
        <v>34</v>
      </c>
      <c r="D79" t="s">
        <v>116</v>
      </c>
      <c r="E79">
        <v>26</v>
      </c>
    </row>
    <row r="80" spans="1:5" x14ac:dyDescent="0.35">
      <c r="A80" s="13">
        <v>41275</v>
      </c>
      <c r="B80">
        <f>YEAR(Country_Masterlist__6[[#This Row],[Year1]])</f>
        <v>2013</v>
      </c>
      <c r="C80" t="s">
        <v>33</v>
      </c>
      <c r="D80" t="s">
        <v>117</v>
      </c>
      <c r="E80">
        <v>96</v>
      </c>
    </row>
    <row r="81" spans="1:5" x14ac:dyDescent="0.35">
      <c r="A81" s="13">
        <v>41275</v>
      </c>
      <c r="B81">
        <f>YEAR(Country_Masterlist__6[[#This Row],[Year1]])</f>
        <v>2013</v>
      </c>
      <c r="C81" t="s">
        <v>34</v>
      </c>
      <c r="D81" t="s">
        <v>118</v>
      </c>
      <c r="E81">
        <v>885</v>
      </c>
    </row>
    <row r="82" spans="1:5" x14ac:dyDescent="0.35">
      <c r="A82" s="13">
        <v>41275</v>
      </c>
      <c r="B82">
        <f>YEAR(Country_Masterlist__6[[#This Row],[Year1]])</f>
        <v>2013</v>
      </c>
      <c r="C82" t="s">
        <v>35</v>
      </c>
      <c r="D82" t="s">
        <v>119</v>
      </c>
      <c r="E82">
        <v>12</v>
      </c>
    </row>
    <row r="83" spans="1:5" x14ac:dyDescent="0.35">
      <c r="A83" s="13">
        <v>41275</v>
      </c>
      <c r="B83">
        <f>YEAR(Country_Masterlist__6[[#This Row],[Year1]])</f>
        <v>2013</v>
      </c>
      <c r="C83" t="s">
        <v>34</v>
      </c>
      <c r="D83" t="s">
        <v>120</v>
      </c>
      <c r="E83">
        <v>41</v>
      </c>
    </row>
    <row r="84" spans="1:5" x14ac:dyDescent="0.35">
      <c r="A84" s="13">
        <v>41275</v>
      </c>
      <c r="B84">
        <f>YEAR(Country_Masterlist__6[[#This Row],[Year1]])</f>
        <v>2013</v>
      </c>
      <c r="C84" t="s">
        <v>34</v>
      </c>
      <c r="D84" t="s">
        <v>121</v>
      </c>
      <c r="E84">
        <v>9</v>
      </c>
    </row>
    <row r="85" spans="1:5" x14ac:dyDescent="0.35">
      <c r="A85" s="13">
        <v>41275</v>
      </c>
      <c r="B85">
        <f>YEAR(Country_Masterlist__6[[#This Row],[Year1]])</f>
        <v>2013</v>
      </c>
      <c r="C85" t="s">
        <v>34</v>
      </c>
      <c r="D85" t="s">
        <v>122</v>
      </c>
      <c r="E85">
        <v>5</v>
      </c>
    </row>
    <row r="86" spans="1:5" x14ac:dyDescent="0.35">
      <c r="A86" s="13">
        <v>41275</v>
      </c>
      <c r="B86">
        <f>YEAR(Country_Masterlist__6[[#This Row],[Year1]])</f>
        <v>2013</v>
      </c>
      <c r="C86" t="s">
        <v>35</v>
      </c>
      <c r="D86" t="s">
        <v>123</v>
      </c>
      <c r="E86">
        <v>59</v>
      </c>
    </row>
    <row r="87" spans="1:5" x14ac:dyDescent="0.35">
      <c r="A87" s="13">
        <v>41275</v>
      </c>
      <c r="B87">
        <f>YEAR(Country_Masterlist__6[[#This Row],[Year1]])</f>
        <v>2013</v>
      </c>
      <c r="C87" t="s">
        <v>34</v>
      </c>
      <c r="D87" t="s">
        <v>124</v>
      </c>
      <c r="E87">
        <v>93</v>
      </c>
    </row>
    <row r="88" spans="1:5" x14ac:dyDescent="0.35">
      <c r="A88" s="13">
        <v>41275</v>
      </c>
      <c r="B88">
        <f>YEAR(Country_Masterlist__6[[#This Row],[Year1]])</f>
        <v>2013</v>
      </c>
      <c r="C88" t="s">
        <v>33</v>
      </c>
      <c r="D88" t="s">
        <v>125</v>
      </c>
      <c r="E88">
        <v>14</v>
      </c>
    </row>
    <row r="89" spans="1:5" x14ac:dyDescent="0.35">
      <c r="A89" s="13">
        <v>41275</v>
      </c>
      <c r="B89">
        <f>YEAR(Country_Masterlist__6[[#This Row],[Year1]])</f>
        <v>2013</v>
      </c>
      <c r="C89" t="s">
        <v>33</v>
      </c>
      <c r="D89" t="s">
        <v>126</v>
      </c>
      <c r="E89">
        <v>18</v>
      </c>
    </row>
    <row r="90" spans="1:5" x14ac:dyDescent="0.35">
      <c r="A90" s="13">
        <v>41275</v>
      </c>
      <c r="B90">
        <f>YEAR(Country_Masterlist__6[[#This Row],[Year1]])</f>
        <v>2013</v>
      </c>
      <c r="C90" t="s">
        <v>35</v>
      </c>
      <c r="D90" t="s">
        <v>127</v>
      </c>
      <c r="E90">
        <v>47</v>
      </c>
    </row>
    <row r="91" spans="1:5" x14ac:dyDescent="0.35">
      <c r="A91" s="13">
        <v>41275</v>
      </c>
      <c r="B91">
        <f>YEAR(Country_Masterlist__6[[#This Row],[Year1]])</f>
        <v>2013</v>
      </c>
      <c r="C91" t="s">
        <v>33</v>
      </c>
      <c r="D91" t="s">
        <v>129</v>
      </c>
      <c r="E91">
        <v>4</v>
      </c>
    </row>
    <row r="92" spans="1:5" x14ac:dyDescent="0.35">
      <c r="A92" s="13">
        <v>41275</v>
      </c>
      <c r="B92">
        <f>YEAR(Country_Masterlist__6[[#This Row],[Year1]])</f>
        <v>2013</v>
      </c>
      <c r="C92" t="s">
        <v>34</v>
      </c>
      <c r="D92" t="s">
        <v>131</v>
      </c>
      <c r="E92">
        <v>47</v>
      </c>
    </row>
    <row r="93" spans="1:5" x14ac:dyDescent="0.35">
      <c r="A93" s="13">
        <v>41275</v>
      </c>
      <c r="B93">
        <f>YEAR(Country_Masterlist__6[[#This Row],[Year1]])</f>
        <v>2013</v>
      </c>
      <c r="C93" t="s">
        <v>33</v>
      </c>
      <c r="D93" t="s">
        <v>132</v>
      </c>
      <c r="E93">
        <v>8</v>
      </c>
    </row>
    <row r="94" spans="1:5" x14ac:dyDescent="0.35">
      <c r="A94" s="13">
        <v>41275</v>
      </c>
      <c r="B94">
        <f>YEAR(Country_Masterlist__6[[#This Row],[Year1]])</f>
        <v>2013</v>
      </c>
      <c r="C94" t="s">
        <v>33</v>
      </c>
      <c r="D94" t="s">
        <v>136</v>
      </c>
      <c r="E94">
        <v>11</v>
      </c>
    </row>
    <row r="95" spans="1:5" x14ac:dyDescent="0.35">
      <c r="A95" s="13">
        <v>41275</v>
      </c>
      <c r="B95">
        <f>YEAR(Country_Masterlist__6[[#This Row],[Year1]])</f>
        <v>2013</v>
      </c>
      <c r="C95" t="s">
        <v>36</v>
      </c>
      <c r="D95" t="s">
        <v>14</v>
      </c>
      <c r="E95">
        <v>88240</v>
      </c>
    </row>
    <row r="96" spans="1:5" x14ac:dyDescent="0.35">
      <c r="A96" s="13">
        <v>41275</v>
      </c>
      <c r="B96">
        <f>YEAR(Country_Masterlist__6[[#This Row],[Year1]])</f>
        <v>2013</v>
      </c>
      <c r="C96" t="s">
        <v>37</v>
      </c>
      <c r="D96" t="s">
        <v>137</v>
      </c>
      <c r="E96">
        <v>3</v>
      </c>
    </row>
    <row r="97" spans="1:5" x14ac:dyDescent="0.35">
      <c r="A97" s="13">
        <v>41275</v>
      </c>
      <c r="B97">
        <f>YEAR(Country_Masterlist__6[[#This Row],[Year1]])</f>
        <v>2013</v>
      </c>
      <c r="C97" t="s">
        <v>35</v>
      </c>
      <c r="D97" t="s">
        <v>138</v>
      </c>
      <c r="E97">
        <v>41</v>
      </c>
    </row>
    <row r="98" spans="1:5" x14ac:dyDescent="0.35">
      <c r="A98" s="13">
        <v>41275</v>
      </c>
      <c r="B98">
        <f>YEAR(Country_Masterlist__6[[#This Row],[Year1]])</f>
        <v>2013</v>
      </c>
      <c r="C98" t="s">
        <v>34</v>
      </c>
      <c r="D98" t="s">
        <v>139</v>
      </c>
      <c r="E98">
        <v>41</v>
      </c>
    </row>
    <row r="99" spans="1:5" x14ac:dyDescent="0.35">
      <c r="A99" s="13">
        <v>41275</v>
      </c>
      <c r="B99">
        <f>YEAR(Country_Masterlist__6[[#This Row],[Year1]])</f>
        <v>2013</v>
      </c>
      <c r="C99" t="s">
        <v>35</v>
      </c>
      <c r="D99" t="s">
        <v>140</v>
      </c>
      <c r="E99">
        <v>6</v>
      </c>
    </row>
    <row r="100" spans="1:5" x14ac:dyDescent="0.35">
      <c r="A100" s="13">
        <v>41275</v>
      </c>
      <c r="B100">
        <f>YEAR(Country_Masterlist__6[[#This Row],[Year1]])</f>
        <v>2013</v>
      </c>
      <c r="C100" t="s">
        <v>33</v>
      </c>
      <c r="D100" t="s">
        <v>141</v>
      </c>
      <c r="E100">
        <v>108</v>
      </c>
    </row>
    <row r="101" spans="1:5" x14ac:dyDescent="0.35">
      <c r="A101" s="13">
        <v>41275</v>
      </c>
      <c r="B101">
        <f>YEAR(Country_Masterlist__6[[#This Row],[Year1]])</f>
        <v>2013</v>
      </c>
      <c r="C101" t="s">
        <v>34</v>
      </c>
      <c r="D101" t="s">
        <v>144</v>
      </c>
      <c r="E101">
        <v>24</v>
      </c>
    </row>
    <row r="102" spans="1:5" x14ac:dyDescent="0.35">
      <c r="A102" s="13">
        <v>41275</v>
      </c>
      <c r="B102">
        <f>YEAR(Country_Masterlist__6[[#This Row],[Year1]])</f>
        <v>2013</v>
      </c>
      <c r="C102" t="s">
        <v>35</v>
      </c>
      <c r="D102" t="s">
        <v>145</v>
      </c>
      <c r="E102">
        <v>256</v>
      </c>
    </row>
    <row r="103" spans="1:5" x14ac:dyDescent="0.35">
      <c r="A103" s="13">
        <v>41275</v>
      </c>
      <c r="B103">
        <f>YEAR(Country_Masterlist__6[[#This Row],[Year1]])</f>
        <v>2013</v>
      </c>
      <c r="C103" t="s">
        <v>37</v>
      </c>
      <c r="D103" t="s">
        <v>146</v>
      </c>
      <c r="E103">
        <v>94</v>
      </c>
    </row>
    <row r="104" spans="1:5" x14ac:dyDescent="0.35">
      <c r="A104" s="13">
        <v>41275</v>
      </c>
      <c r="B104">
        <f>YEAR(Country_Masterlist__6[[#This Row],[Year1]])</f>
        <v>2013</v>
      </c>
      <c r="C104" t="s">
        <v>36</v>
      </c>
      <c r="D104" t="s">
        <v>147</v>
      </c>
      <c r="E104">
        <v>107</v>
      </c>
    </row>
    <row r="105" spans="1:5" x14ac:dyDescent="0.35">
      <c r="A105" s="13">
        <v>41275</v>
      </c>
      <c r="B105">
        <f>YEAR(Country_Masterlist__6[[#This Row],[Year1]])</f>
        <v>2013</v>
      </c>
      <c r="C105" t="s">
        <v>33</v>
      </c>
      <c r="D105" t="s">
        <v>148</v>
      </c>
      <c r="E105">
        <v>6</v>
      </c>
    </row>
    <row r="106" spans="1:5" x14ac:dyDescent="0.35">
      <c r="A106" s="13">
        <v>41275</v>
      </c>
      <c r="B106">
        <f>YEAR(Country_Masterlist__6[[#This Row],[Year1]])</f>
        <v>2013</v>
      </c>
      <c r="C106" t="s">
        <v>33</v>
      </c>
      <c r="D106" t="s">
        <v>149</v>
      </c>
      <c r="E106">
        <v>287</v>
      </c>
    </row>
    <row r="107" spans="1:5" x14ac:dyDescent="0.35">
      <c r="A107" s="13">
        <v>41275</v>
      </c>
      <c r="B107">
        <f>YEAR(Country_Masterlist__6[[#This Row],[Year1]])</f>
        <v>2013</v>
      </c>
      <c r="C107" t="s">
        <v>35</v>
      </c>
      <c r="D107" t="s">
        <v>322</v>
      </c>
      <c r="E107">
        <v>11</v>
      </c>
    </row>
    <row r="108" spans="1:5" x14ac:dyDescent="0.35">
      <c r="A108" s="13">
        <v>41275</v>
      </c>
      <c r="B108">
        <f>YEAR(Country_Masterlist__6[[#This Row],[Year1]])</f>
        <v>2013</v>
      </c>
      <c r="C108" t="s">
        <v>35</v>
      </c>
      <c r="D108" t="s">
        <v>150</v>
      </c>
      <c r="E108">
        <v>58</v>
      </c>
    </row>
    <row r="109" spans="1:5" x14ac:dyDescent="0.35">
      <c r="A109" s="13">
        <v>41275</v>
      </c>
      <c r="B109">
        <f>YEAR(Country_Masterlist__6[[#This Row],[Year1]])</f>
        <v>2013</v>
      </c>
      <c r="C109" t="s">
        <v>34</v>
      </c>
      <c r="D109" t="s">
        <v>151</v>
      </c>
      <c r="E109" t="s">
        <v>205</v>
      </c>
    </row>
    <row r="110" spans="1:5" x14ac:dyDescent="0.35">
      <c r="A110" s="13">
        <v>41275</v>
      </c>
      <c r="B110">
        <f>YEAR(Country_Masterlist__6[[#This Row],[Year1]])</f>
        <v>2013</v>
      </c>
      <c r="C110" t="s">
        <v>34</v>
      </c>
      <c r="D110" t="s">
        <v>152</v>
      </c>
      <c r="E110">
        <v>192</v>
      </c>
    </row>
    <row r="111" spans="1:5" x14ac:dyDescent="0.35">
      <c r="A111" s="13">
        <v>41275</v>
      </c>
      <c r="B111">
        <f>YEAR(Country_Masterlist__6[[#This Row],[Year1]])</f>
        <v>2013</v>
      </c>
      <c r="C111" t="s">
        <v>36</v>
      </c>
      <c r="D111" t="s">
        <v>154</v>
      </c>
      <c r="E111">
        <v>44</v>
      </c>
    </row>
    <row r="112" spans="1:5" x14ac:dyDescent="0.35">
      <c r="A112" s="13">
        <v>41275</v>
      </c>
      <c r="B112">
        <f>YEAR(Country_Masterlist__6[[#This Row],[Year1]])</f>
        <v>2013</v>
      </c>
      <c r="C112" t="s">
        <v>38</v>
      </c>
      <c r="D112" t="s">
        <v>155</v>
      </c>
      <c r="E112">
        <v>16</v>
      </c>
    </row>
    <row r="113" spans="1:5" x14ac:dyDescent="0.35">
      <c r="A113" s="13">
        <v>41275</v>
      </c>
      <c r="B113">
        <f>YEAR(Country_Masterlist__6[[#This Row],[Year1]])</f>
        <v>2013</v>
      </c>
      <c r="C113" t="s">
        <v>38</v>
      </c>
      <c r="D113" t="s">
        <v>156</v>
      </c>
      <c r="E113">
        <v>206</v>
      </c>
    </row>
    <row r="114" spans="1:5" x14ac:dyDescent="0.35">
      <c r="A114" s="13">
        <v>41275</v>
      </c>
      <c r="B114">
        <f>YEAR(Country_Masterlist__6[[#This Row],[Year1]])</f>
        <v>2013</v>
      </c>
      <c r="C114" t="s">
        <v>34</v>
      </c>
      <c r="D114" t="s">
        <v>18</v>
      </c>
      <c r="E114">
        <v>658</v>
      </c>
    </row>
    <row r="115" spans="1:5" x14ac:dyDescent="0.35">
      <c r="A115" s="13">
        <v>41275</v>
      </c>
      <c r="B115">
        <f>YEAR(Country_Masterlist__6[[#This Row],[Year1]])</f>
        <v>2013</v>
      </c>
      <c r="C115" t="s">
        <v>35</v>
      </c>
      <c r="D115" t="s">
        <v>157</v>
      </c>
      <c r="E115">
        <v>179</v>
      </c>
    </row>
    <row r="116" spans="1:5" x14ac:dyDescent="0.35">
      <c r="A116" s="13">
        <v>41275</v>
      </c>
      <c r="B116">
        <f>YEAR(Country_Masterlist__6[[#This Row],[Year1]])</f>
        <v>2013</v>
      </c>
      <c r="C116" t="s">
        <v>35</v>
      </c>
      <c r="D116" t="s">
        <v>158</v>
      </c>
      <c r="E116">
        <v>262</v>
      </c>
    </row>
    <row r="117" spans="1:5" x14ac:dyDescent="0.35">
      <c r="A117" s="13">
        <v>41275</v>
      </c>
      <c r="B117">
        <f>YEAR(Country_Masterlist__6[[#This Row],[Year1]])</f>
        <v>2013</v>
      </c>
      <c r="C117" t="s">
        <v>34</v>
      </c>
      <c r="D117" t="s">
        <v>159</v>
      </c>
      <c r="E117">
        <v>12</v>
      </c>
    </row>
    <row r="118" spans="1:5" x14ac:dyDescent="0.35">
      <c r="A118" s="13">
        <v>41275</v>
      </c>
      <c r="B118">
        <f>YEAR(Country_Masterlist__6[[#This Row],[Year1]])</f>
        <v>2013</v>
      </c>
      <c r="C118" t="s">
        <v>35</v>
      </c>
      <c r="D118" t="s">
        <v>160</v>
      </c>
      <c r="E118">
        <v>116</v>
      </c>
    </row>
    <row r="119" spans="1:5" x14ac:dyDescent="0.35">
      <c r="A119" s="13">
        <v>41275</v>
      </c>
      <c r="B119">
        <f>YEAR(Country_Masterlist__6[[#This Row],[Year1]])</f>
        <v>2013</v>
      </c>
      <c r="C119" t="s">
        <v>35</v>
      </c>
      <c r="D119" t="s">
        <v>161</v>
      </c>
      <c r="E119">
        <v>134</v>
      </c>
    </row>
    <row r="120" spans="1:5" x14ac:dyDescent="0.35">
      <c r="A120" s="13">
        <v>41275</v>
      </c>
      <c r="B120">
        <f>YEAR(Country_Masterlist__6[[#This Row],[Year1]])</f>
        <v>2013</v>
      </c>
      <c r="C120" t="s">
        <v>33</v>
      </c>
      <c r="D120" t="s">
        <v>162</v>
      </c>
      <c r="E120">
        <v>14</v>
      </c>
    </row>
    <row r="121" spans="1:5" x14ac:dyDescent="0.35">
      <c r="A121" s="13">
        <v>41275</v>
      </c>
      <c r="B121">
        <f>YEAR(Country_Masterlist__6[[#This Row],[Year1]])</f>
        <v>2013</v>
      </c>
      <c r="C121" t="s">
        <v>36</v>
      </c>
      <c r="D121" t="s">
        <v>163</v>
      </c>
      <c r="E121">
        <v>15</v>
      </c>
    </row>
    <row r="122" spans="1:5" x14ac:dyDescent="0.35">
      <c r="A122" s="13">
        <v>41275</v>
      </c>
      <c r="B122">
        <f>YEAR(Country_Masterlist__6[[#This Row],[Year1]])</f>
        <v>2013</v>
      </c>
      <c r="C122" t="s">
        <v>36</v>
      </c>
      <c r="D122" t="s">
        <v>164</v>
      </c>
      <c r="E122">
        <v>26</v>
      </c>
    </row>
    <row r="123" spans="1:5" x14ac:dyDescent="0.35">
      <c r="A123" s="13">
        <v>41275</v>
      </c>
      <c r="B123">
        <f>YEAR(Country_Masterlist__6[[#This Row],[Year1]])</f>
        <v>2013</v>
      </c>
      <c r="C123" t="s">
        <v>36</v>
      </c>
      <c r="D123" t="s">
        <v>165</v>
      </c>
      <c r="E123">
        <v>17</v>
      </c>
    </row>
    <row r="124" spans="1:5" x14ac:dyDescent="0.35">
      <c r="A124" s="13">
        <v>41275</v>
      </c>
      <c r="B124">
        <f>YEAR(Country_Masterlist__6[[#This Row],[Year1]])</f>
        <v>2013</v>
      </c>
      <c r="C124" t="s">
        <v>37</v>
      </c>
      <c r="D124" t="s">
        <v>166</v>
      </c>
      <c r="E124" t="s">
        <v>205</v>
      </c>
    </row>
    <row r="125" spans="1:5" x14ac:dyDescent="0.35">
      <c r="A125" s="13">
        <v>41275</v>
      </c>
      <c r="B125">
        <f>YEAR(Country_Masterlist__6[[#This Row],[Year1]])</f>
        <v>2013</v>
      </c>
      <c r="C125" t="s">
        <v>34</v>
      </c>
      <c r="D125" t="s">
        <v>167</v>
      </c>
      <c r="E125">
        <v>345</v>
      </c>
    </row>
    <row r="126" spans="1:5" x14ac:dyDescent="0.35">
      <c r="A126" s="13">
        <v>41275</v>
      </c>
      <c r="B126">
        <f>YEAR(Country_Masterlist__6[[#This Row],[Year1]])</f>
        <v>2013</v>
      </c>
      <c r="C126" t="s">
        <v>33</v>
      </c>
      <c r="D126" t="s">
        <v>168</v>
      </c>
      <c r="E126">
        <v>86</v>
      </c>
    </row>
    <row r="127" spans="1:5" x14ac:dyDescent="0.35">
      <c r="A127" s="13">
        <v>41275</v>
      </c>
      <c r="B127">
        <f>YEAR(Country_Masterlist__6[[#This Row],[Year1]])</f>
        <v>2013</v>
      </c>
      <c r="C127" t="s">
        <v>35</v>
      </c>
      <c r="D127" t="s">
        <v>169</v>
      </c>
      <c r="E127">
        <v>31</v>
      </c>
    </row>
    <row r="128" spans="1:5" x14ac:dyDescent="0.35">
      <c r="A128" s="13">
        <v>41275</v>
      </c>
      <c r="B128">
        <f>YEAR(Country_Masterlist__6[[#This Row],[Year1]])</f>
        <v>2013</v>
      </c>
      <c r="C128" t="s">
        <v>33</v>
      </c>
      <c r="D128" t="s">
        <v>170</v>
      </c>
      <c r="E128">
        <v>11</v>
      </c>
    </row>
    <row r="129" spans="1:5" x14ac:dyDescent="0.35">
      <c r="A129" s="13">
        <v>41275</v>
      </c>
      <c r="B129">
        <f>YEAR(Country_Masterlist__6[[#This Row],[Year1]])</f>
        <v>2013</v>
      </c>
      <c r="C129" t="s">
        <v>34</v>
      </c>
      <c r="D129" t="s">
        <v>171</v>
      </c>
      <c r="E129">
        <v>50</v>
      </c>
    </row>
    <row r="130" spans="1:5" x14ac:dyDescent="0.35">
      <c r="A130" s="13">
        <v>41275</v>
      </c>
      <c r="B130">
        <f>YEAR(Country_Masterlist__6[[#This Row],[Year1]])</f>
        <v>2013</v>
      </c>
      <c r="C130" t="s">
        <v>35</v>
      </c>
      <c r="D130" t="s">
        <v>172</v>
      </c>
      <c r="E130">
        <v>59</v>
      </c>
    </row>
    <row r="131" spans="1:5" x14ac:dyDescent="0.35">
      <c r="A131" s="13">
        <v>41275</v>
      </c>
      <c r="B131">
        <f>YEAR(Country_Masterlist__6[[#This Row],[Year1]])</f>
        <v>2013</v>
      </c>
      <c r="C131" t="s">
        <v>35</v>
      </c>
      <c r="D131" t="s">
        <v>173</v>
      </c>
      <c r="E131">
        <v>16</v>
      </c>
    </row>
    <row r="132" spans="1:5" x14ac:dyDescent="0.35">
      <c r="A132" s="13">
        <v>41275</v>
      </c>
      <c r="B132">
        <f>YEAR(Country_Masterlist__6[[#This Row],[Year1]])</f>
        <v>2013</v>
      </c>
      <c r="C132" t="s">
        <v>33</v>
      </c>
      <c r="D132" t="s">
        <v>174</v>
      </c>
      <c r="E132">
        <v>10</v>
      </c>
    </row>
    <row r="133" spans="1:5" x14ac:dyDescent="0.35">
      <c r="A133" s="13">
        <v>41275</v>
      </c>
      <c r="B133">
        <f>YEAR(Country_Masterlist__6[[#This Row],[Year1]])</f>
        <v>2013</v>
      </c>
      <c r="C133" t="s">
        <v>33</v>
      </c>
      <c r="D133" t="s">
        <v>175</v>
      </c>
      <c r="E133">
        <v>95</v>
      </c>
    </row>
    <row r="134" spans="1:5" x14ac:dyDescent="0.35">
      <c r="A134" s="13">
        <v>41275</v>
      </c>
      <c r="B134">
        <f>YEAR(Country_Masterlist__6[[#This Row],[Year1]])</f>
        <v>2013</v>
      </c>
      <c r="C134" t="s">
        <v>35</v>
      </c>
      <c r="D134" t="s">
        <v>177</v>
      </c>
      <c r="E134">
        <v>1059</v>
      </c>
    </row>
    <row r="135" spans="1:5" x14ac:dyDescent="0.35">
      <c r="A135" s="13">
        <v>41275</v>
      </c>
      <c r="B135">
        <f>YEAR(Country_Masterlist__6[[#This Row],[Year1]])</f>
        <v>2013</v>
      </c>
      <c r="C135" t="s">
        <v>34</v>
      </c>
      <c r="D135" t="s">
        <v>178</v>
      </c>
      <c r="E135">
        <v>58</v>
      </c>
    </row>
    <row r="136" spans="1:5" x14ac:dyDescent="0.35">
      <c r="A136" s="13">
        <v>41275</v>
      </c>
      <c r="B136">
        <f>YEAR(Country_Masterlist__6[[#This Row],[Year1]])</f>
        <v>2013</v>
      </c>
      <c r="C136" t="s">
        <v>33</v>
      </c>
      <c r="D136" t="s">
        <v>179</v>
      </c>
      <c r="E136">
        <v>13</v>
      </c>
    </row>
    <row r="137" spans="1:5" x14ac:dyDescent="0.35">
      <c r="A137" s="13">
        <v>41275</v>
      </c>
      <c r="B137">
        <f>YEAR(Country_Masterlist__6[[#This Row],[Year1]])</f>
        <v>2013</v>
      </c>
      <c r="C137" t="s">
        <v>35</v>
      </c>
      <c r="D137" t="s">
        <v>182</v>
      </c>
      <c r="E137">
        <v>140</v>
      </c>
    </row>
    <row r="138" spans="1:5" x14ac:dyDescent="0.35">
      <c r="A138" s="13">
        <v>41275</v>
      </c>
      <c r="B138">
        <f>YEAR(Country_Masterlist__6[[#This Row],[Year1]])</f>
        <v>2013</v>
      </c>
      <c r="C138" t="s">
        <v>35</v>
      </c>
      <c r="D138" t="s">
        <v>183</v>
      </c>
      <c r="E138">
        <v>85</v>
      </c>
    </row>
    <row r="139" spans="1:5" x14ac:dyDescent="0.35">
      <c r="A139" s="13">
        <v>41275</v>
      </c>
      <c r="B139">
        <f>YEAR(Country_Masterlist__6[[#This Row],[Year1]])</f>
        <v>2013</v>
      </c>
      <c r="C139" t="s">
        <v>34</v>
      </c>
      <c r="D139" t="s">
        <v>184</v>
      </c>
      <c r="E139">
        <v>79</v>
      </c>
    </row>
    <row r="140" spans="1:5" x14ac:dyDescent="0.35">
      <c r="A140" s="13">
        <v>41275</v>
      </c>
      <c r="B140">
        <f>YEAR(Country_Masterlist__6[[#This Row],[Year1]])</f>
        <v>2013</v>
      </c>
      <c r="C140" t="s">
        <v>34</v>
      </c>
      <c r="D140" t="s">
        <v>185</v>
      </c>
      <c r="E140">
        <v>347</v>
      </c>
    </row>
    <row r="141" spans="1:5" x14ac:dyDescent="0.35">
      <c r="A141" s="13">
        <v>41275</v>
      </c>
      <c r="B141">
        <f>YEAR(Country_Masterlist__6[[#This Row],[Year1]])</f>
        <v>2013</v>
      </c>
      <c r="C141" t="s">
        <v>33</v>
      </c>
      <c r="D141" t="s">
        <v>187</v>
      </c>
      <c r="E141">
        <v>18</v>
      </c>
    </row>
    <row r="142" spans="1:5" x14ac:dyDescent="0.35">
      <c r="A142" s="13">
        <v>41275</v>
      </c>
      <c r="B142">
        <f>YEAR(Country_Masterlist__6[[#This Row],[Year1]])</f>
        <v>2013</v>
      </c>
      <c r="C142" t="s">
        <v>34</v>
      </c>
      <c r="D142" t="s">
        <v>188</v>
      </c>
      <c r="E142">
        <v>124</v>
      </c>
    </row>
    <row r="143" spans="1:5" x14ac:dyDescent="0.35">
      <c r="A143" s="13">
        <v>41275</v>
      </c>
      <c r="B143">
        <f>YEAR(Country_Masterlist__6[[#This Row],[Year1]])</f>
        <v>2013</v>
      </c>
      <c r="C143" t="s">
        <v>33</v>
      </c>
      <c r="D143" t="s">
        <v>189</v>
      </c>
      <c r="E143">
        <v>13</v>
      </c>
    </row>
    <row r="144" spans="1:5" x14ac:dyDescent="0.35">
      <c r="A144" s="13">
        <v>41275</v>
      </c>
      <c r="B144">
        <f>YEAR(Country_Masterlist__6[[#This Row],[Year1]])</f>
        <v>2013</v>
      </c>
      <c r="C144" t="s">
        <v>37</v>
      </c>
      <c r="D144" t="s">
        <v>190</v>
      </c>
      <c r="E144">
        <v>5</v>
      </c>
    </row>
    <row r="145" spans="1:5" x14ac:dyDescent="0.35">
      <c r="A145" s="13">
        <v>41275</v>
      </c>
      <c r="B145">
        <f>YEAR(Country_Masterlist__6[[#This Row],[Year1]])</f>
        <v>2013</v>
      </c>
      <c r="C145" t="s">
        <v>36</v>
      </c>
      <c r="D145" t="s">
        <v>191</v>
      </c>
      <c r="E145">
        <v>68</v>
      </c>
    </row>
    <row r="146" spans="1:5" x14ac:dyDescent="0.35">
      <c r="A146" s="13">
        <v>41275</v>
      </c>
      <c r="B146">
        <f>YEAR(Country_Masterlist__6[[#This Row],[Year1]])</f>
        <v>2013</v>
      </c>
      <c r="C146" t="s">
        <v>33</v>
      </c>
      <c r="D146" t="s">
        <v>192</v>
      </c>
      <c r="E146">
        <v>20</v>
      </c>
    </row>
    <row r="147" spans="1:5" x14ac:dyDescent="0.35">
      <c r="A147" s="13">
        <v>41275</v>
      </c>
      <c r="B147">
        <f>YEAR(Country_Masterlist__6[[#This Row],[Year1]])</f>
        <v>2013</v>
      </c>
      <c r="C147" t="s">
        <v>34</v>
      </c>
      <c r="D147" t="s">
        <v>193</v>
      </c>
      <c r="E147">
        <v>128</v>
      </c>
    </row>
    <row r="148" spans="1:5" x14ac:dyDescent="0.35">
      <c r="A148" s="13">
        <v>41275</v>
      </c>
      <c r="B148">
        <f>YEAR(Country_Masterlist__6[[#This Row],[Year1]])</f>
        <v>2013</v>
      </c>
      <c r="C148" t="s">
        <v>34</v>
      </c>
      <c r="D148" t="s">
        <v>194</v>
      </c>
      <c r="E148">
        <v>5</v>
      </c>
    </row>
    <row r="149" spans="1:5" x14ac:dyDescent="0.35">
      <c r="A149" s="13">
        <v>41275</v>
      </c>
      <c r="B149">
        <f>YEAR(Country_Masterlist__6[[#This Row],[Year1]])</f>
        <v>2013</v>
      </c>
      <c r="C149" t="s">
        <v>33</v>
      </c>
      <c r="D149" t="s">
        <v>195</v>
      </c>
      <c r="E149">
        <v>20</v>
      </c>
    </row>
    <row r="150" spans="1:5" x14ac:dyDescent="0.35">
      <c r="A150" s="13">
        <v>41275</v>
      </c>
      <c r="B150">
        <f>YEAR(Country_Masterlist__6[[#This Row],[Year1]])</f>
        <v>2013</v>
      </c>
      <c r="C150" t="s">
        <v>35</v>
      </c>
      <c r="D150" t="s">
        <v>196</v>
      </c>
      <c r="E150">
        <v>98</v>
      </c>
    </row>
    <row r="151" spans="1:5" x14ac:dyDescent="0.35">
      <c r="A151" s="13">
        <v>41275</v>
      </c>
      <c r="B151">
        <f>YEAR(Country_Masterlist__6[[#This Row],[Year1]])</f>
        <v>2013</v>
      </c>
      <c r="C151" t="s">
        <v>34</v>
      </c>
      <c r="D151" t="s">
        <v>197</v>
      </c>
      <c r="E151">
        <v>13</v>
      </c>
    </row>
    <row r="152" spans="1:5" x14ac:dyDescent="0.35">
      <c r="A152" s="13">
        <v>41275</v>
      </c>
      <c r="B152">
        <f>YEAR(Country_Masterlist__6[[#This Row],[Year1]])</f>
        <v>2013</v>
      </c>
      <c r="C152" t="s">
        <v>35</v>
      </c>
      <c r="D152" t="s">
        <v>198</v>
      </c>
      <c r="E152">
        <v>1291</v>
      </c>
    </row>
    <row r="153" spans="1:5" x14ac:dyDescent="0.35">
      <c r="A153" s="13">
        <v>41275</v>
      </c>
      <c r="B153">
        <f>YEAR(Country_Masterlist__6[[#This Row],[Year1]])</f>
        <v>2013</v>
      </c>
      <c r="C153" t="s">
        <v>38</v>
      </c>
      <c r="D153" t="s">
        <v>199</v>
      </c>
      <c r="E153">
        <v>22</v>
      </c>
    </row>
    <row r="154" spans="1:5" x14ac:dyDescent="0.35">
      <c r="A154" s="13">
        <v>41275</v>
      </c>
      <c r="B154">
        <f>YEAR(Country_Masterlist__6[[#This Row],[Year1]])</f>
        <v>2013</v>
      </c>
      <c r="C154" t="s">
        <v>34</v>
      </c>
      <c r="D154" t="s">
        <v>200</v>
      </c>
      <c r="E154">
        <v>22</v>
      </c>
    </row>
    <row r="155" spans="1:5" x14ac:dyDescent="0.35">
      <c r="A155" s="13">
        <v>41275</v>
      </c>
      <c r="B155">
        <f>YEAR(Country_Masterlist__6[[#This Row],[Year1]])</f>
        <v>2013</v>
      </c>
      <c r="C155" t="s">
        <v>38</v>
      </c>
      <c r="D155" t="s">
        <v>19</v>
      </c>
      <c r="E155">
        <v>173</v>
      </c>
    </row>
    <row r="156" spans="1:5" x14ac:dyDescent="0.35">
      <c r="A156" s="13">
        <v>41275</v>
      </c>
      <c r="B156">
        <f>YEAR(Country_Masterlist__6[[#This Row],[Year1]])</f>
        <v>2013</v>
      </c>
      <c r="C156" t="s">
        <v>34</v>
      </c>
      <c r="D156" t="s">
        <v>201</v>
      </c>
      <c r="E156">
        <v>78</v>
      </c>
    </row>
    <row r="157" spans="1:5" x14ac:dyDescent="0.35">
      <c r="A157" s="13">
        <v>41275</v>
      </c>
      <c r="B157">
        <f>YEAR(Country_Masterlist__6[[#This Row],[Year1]])</f>
        <v>2013</v>
      </c>
      <c r="C157" t="s">
        <v>34</v>
      </c>
      <c r="D157" t="s">
        <v>202</v>
      </c>
      <c r="E157">
        <v>12</v>
      </c>
    </row>
    <row r="158" spans="1:5" x14ac:dyDescent="0.35">
      <c r="A158" s="13">
        <v>41275</v>
      </c>
      <c r="B158">
        <f>YEAR(Country_Masterlist__6[[#This Row],[Year1]])</f>
        <v>2013</v>
      </c>
      <c r="C158" t="s">
        <v>33</v>
      </c>
      <c r="D158" t="s">
        <v>203</v>
      </c>
      <c r="E158">
        <v>7</v>
      </c>
    </row>
    <row r="159" spans="1:5" x14ac:dyDescent="0.35">
      <c r="A159" s="13">
        <v>41275</v>
      </c>
      <c r="B159">
        <f>YEAR(Country_Masterlist__6[[#This Row],[Year1]])</f>
        <v>2013</v>
      </c>
      <c r="C159" t="s">
        <v>33</v>
      </c>
      <c r="D159" t="s">
        <v>204</v>
      </c>
      <c r="E159">
        <v>21</v>
      </c>
    </row>
    <row r="160" spans="1:5" x14ac:dyDescent="0.35">
      <c r="A160" s="13">
        <v>41275</v>
      </c>
      <c r="B160">
        <f>YEAR(Country_Masterlist__6[[#This Row],[Year1]])</f>
        <v>2013</v>
      </c>
      <c r="C160" t="s">
        <v>39</v>
      </c>
      <c r="D160" t="s">
        <v>39</v>
      </c>
      <c r="E160">
        <v>75</v>
      </c>
    </row>
    <row r="161" spans="1:5" x14ac:dyDescent="0.35">
      <c r="A161" s="13">
        <v>41640</v>
      </c>
      <c r="B161">
        <f>YEAR(Country_Masterlist__6[[#This Row],[Year1]])</f>
        <v>2014</v>
      </c>
      <c r="C161" t="s">
        <v>34</v>
      </c>
      <c r="D161" t="s">
        <v>40</v>
      </c>
      <c r="E161">
        <v>37</v>
      </c>
    </row>
    <row r="162" spans="1:5" x14ac:dyDescent="0.35">
      <c r="A162" s="13">
        <v>41640</v>
      </c>
      <c r="B162">
        <f>YEAR(Country_Masterlist__6[[#This Row],[Year1]])</f>
        <v>2014</v>
      </c>
      <c r="C162" t="s">
        <v>35</v>
      </c>
      <c r="D162" t="s">
        <v>41</v>
      </c>
      <c r="E162">
        <v>32</v>
      </c>
    </row>
    <row r="163" spans="1:5" x14ac:dyDescent="0.35">
      <c r="A163" s="13">
        <v>41640</v>
      </c>
      <c r="B163">
        <f>YEAR(Country_Masterlist__6[[#This Row],[Year1]])</f>
        <v>2014</v>
      </c>
      <c r="C163" t="s">
        <v>33</v>
      </c>
      <c r="D163" t="s">
        <v>42</v>
      </c>
      <c r="E163">
        <v>29</v>
      </c>
    </row>
    <row r="164" spans="1:5" x14ac:dyDescent="0.35">
      <c r="A164" s="13">
        <v>41640</v>
      </c>
      <c r="B164">
        <f>YEAR(Country_Masterlist__6[[#This Row],[Year1]])</f>
        <v>2014</v>
      </c>
      <c r="C164" t="s">
        <v>33</v>
      </c>
      <c r="D164" t="s">
        <v>43</v>
      </c>
      <c r="E164">
        <v>37</v>
      </c>
    </row>
    <row r="165" spans="1:5" x14ac:dyDescent="0.35">
      <c r="A165" s="13">
        <v>41640</v>
      </c>
      <c r="B165">
        <f>YEAR(Country_Masterlist__6[[#This Row],[Year1]])</f>
        <v>2014</v>
      </c>
      <c r="C165" t="s">
        <v>36</v>
      </c>
      <c r="D165" t="s">
        <v>44</v>
      </c>
      <c r="E165">
        <v>11</v>
      </c>
    </row>
    <row r="166" spans="1:5" x14ac:dyDescent="0.35">
      <c r="A166" s="13">
        <v>41640</v>
      </c>
      <c r="B166">
        <f>YEAR(Country_Masterlist__6[[#This Row],[Year1]])</f>
        <v>2014</v>
      </c>
      <c r="C166" t="s">
        <v>38</v>
      </c>
      <c r="D166" t="s">
        <v>45</v>
      </c>
      <c r="E166">
        <v>79</v>
      </c>
    </row>
    <row r="167" spans="1:5" x14ac:dyDescent="0.35">
      <c r="A167" s="13">
        <v>41640</v>
      </c>
      <c r="B167">
        <f>YEAR(Country_Masterlist__6[[#This Row],[Year1]])</f>
        <v>2014</v>
      </c>
      <c r="C167" t="s">
        <v>34</v>
      </c>
      <c r="D167" t="s">
        <v>46</v>
      </c>
      <c r="E167">
        <v>4</v>
      </c>
    </row>
    <row r="168" spans="1:5" x14ac:dyDescent="0.35">
      <c r="A168" s="13">
        <v>41640</v>
      </c>
      <c r="B168">
        <f>YEAR(Country_Masterlist__6[[#This Row],[Year1]])</f>
        <v>2014</v>
      </c>
      <c r="C168" t="s">
        <v>37</v>
      </c>
      <c r="D168" t="s">
        <v>47</v>
      </c>
      <c r="E168">
        <v>380</v>
      </c>
    </row>
    <row r="169" spans="1:5" x14ac:dyDescent="0.35">
      <c r="A169" s="13">
        <v>41640</v>
      </c>
      <c r="B169">
        <f>YEAR(Country_Masterlist__6[[#This Row],[Year1]])</f>
        <v>2014</v>
      </c>
      <c r="C169" t="s">
        <v>35</v>
      </c>
      <c r="D169" t="s">
        <v>48</v>
      </c>
      <c r="E169">
        <v>32</v>
      </c>
    </row>
    <row r="170" spans="1:5" x14ac:dyDescent="0.35">
      <c r="A170" s="13">
        <v>41640</v>
      </c>
      <c r="B170">
        <f>YEAR(Country_Masterlist__6[[#This Row],[Year1]])</f>
        <v>2014</v>
      </c>
      <c r="C170" t="s">
        <v>34</v>
      </c>
      <c r="D170" t="s">
        <v>49</v>
      </c>
      <c r="E170">
        <v>4</v>
      </c>
    </row>
    <row r="171" spans="1:5" x14ac:dyDescent="0.35">
      <c r="A171" s="13">
        <v>41640</v>
      </c>
      <c r="B171">
        <f>YEAR(Country_Masterlist__6[[#This Row],[Year1]])</f>
        <v>2014</v>
      </c>
      <c r="C171" t="s">
        <v>36</v>
      </c>
      <c r="D171" t="s">
        <v>50</v>
      </c>
      <c r="E171">
        <v>551</v>
      </c>
    </row>
    <row r="172" spans="1:5" x14ac:dyDescent="0.35">
      <c r="A172" s="13">
        <v>41640</v>
      </c>
      <c r="B172">
        <f>YEAR(Country_Masterlist__6[[#This Row],[Year1]])</f>
        <v>2014</v>
      </c>
      <c r="C172" t="s">
        <v>34</v>
      </c>
      <c r="D172" t="s">
        <v>51</v>
      </c>
      <c r="E172">
        <v>11</v>
      </c>
    </row>
    <row r="173" spans="1:5" x14ac:dyDescent="0.35">
      <c r="A173" s="13">
        <v>41640</v>
      </c>
      <c r="B173">
        <f>YEAR(Country_Masterlist__6[[#This Row],[Year1]])</f>
        <v>2014</v>
      </c>
      <c r="C173" t="s">
        <v>34</v>
      </c>
      <c r="D173" t="s">
        <v>52</v>
      </c>
      <c r="E173">
        <v>111</v>
      </c>
    </row>
    <row r="174" spans="1:5" x14ac:dyDescent="0.35">
      <c r="A174" s="13">
        <v>41640</v>
      </c>
      <c r="B174">
        <f>YEAR(Country_Masterlist__6[[#This Row],[Year1]])</f>
        <v>2014</v>
      </c>
      <c r="C174" t="s">
        <v>36</v>
      </c>
      <c r="D174" t="s">
        <v>53</v>
      </c>
      <c r="E174">
        <v>20</v>
      </c>
    </row>
    <row r="175" spans="1:5" x14ac:dyDescent="0.35">
      <c r="A175" s="13">
        <v>41640</v>
      </c>
      <c r="B175">
        <f>YEAR(Country_Masterlist__6[[#This Row],[Year1]])</f>
        <v>2014</v>
      </c>
      <c r="C175" t="s">
        <v>35</v>
      </c>
      <c r="D175" t="s">
        <v>54</v>
      </c>
      <c r="E175">
        <v>10</v>
      </c>
    </row>
    <row r="176" spans="1:5" x14ac:dyDescent="0.35">
      <c r="A176" s="13">
        <v>41640</v>
      </c>
      <c r="B176">
        <f>YEAR(Country_Masterlist__6[[#This Row],[Year1]])</f>
        <v>2014</v>
      </c>
      <c r="C176" t="s">
        <v>35</v>
      </c>
      <c r="D176" t="s">
        <v>55</v>
      </c>
      <c r="E176">
        <v>105</v>
      </c>
    </row>
    <row r="177" spans="1:5" x14ac:dyDescent="0.35">
      <c r="A177" s="13">
        <v>41640</v>
      </c>
      <c r="B177">
        <f>YEAR(Country_Masterlist__6[[#This Row],[Year1]])</f>
        <v>2014</v>
      </c>
      <c r="C177" t="s">
        <v>36</v>
      </c>
      <c r="D177" t="s">
        <v>56</v>
      </c>
      <c r="E177">
        <v>34</v>
      </c>
    </row>
    <row r="178" spans="1:5" x14ac:dyDescent="0.35">
      <c r="A178" s="13">
        <v>41640</v>
      </c>
      <c r="B178">
        <f>YEAR(Country_Masterlist__6[[#This Row],[Year1]])</f>
        <v>2014</v>
      </c>
      <c r="C178" t="s">
        <v>33</v>
      </c>
      <c r="D178" t="s">
        <v>57</v>
      </c>
      <c r="E178">
        <v>16</v>
      </c>
    </row>
    <row r="179" spans="1:5" x14ac:dyDescent="0.35">
      <c r="A179" s="13">
        <v>41640</v>
      </c>
      <c r="B179">
        <f>YEAR(Country_Masterlist__6[[#This Row],[Year1]])</f>
        <v>2014</v>
      </c>
      <c r="C179" t="s">
        <v>38</v>
      </c>
      <c r="D179" t="s">
        <v>59</v>
      </c>
      <c r="E179">
        <v>35</v>
      </c>
    </row>
    <row r="180" spans="1:5" x14ac:dyDescent="0.35">
      <c r="A180" s="13">
        <v>41640</v>
      </c>
      <c r="B180">
        <f>YEAR(Country_Masterlist__6[[#This Row],[Year1]])</f>
        <v>2014</v>
      </c>
      <c r="C180" t="s">
        <v>35</v>
      </c>
      <c r="D180" t="s">
        <v>60</v>
      </c>
      <c r="E180">
        <v>12</v>
      </c>
    </row>
    <row r="181" spans="1:5" x14ac:dyDescent="0.35">
      <c r="A181" s="13">
        <v>41640</v>
      </c>
      <c r="B181">
        <f>YEAR(Country_Masterlist__6[[#This Row],[Year1]])</f>
        <v>2014</v>
      </c>
      <c r="C181" t="s">
        <v>38</v>
      </c>
      <c r="D181" t="s">
        <v>21</v>
      </c>
      <c r="E181">
        <v>406</v>
      </c>
    </row>
    <row r="182" spans="1:5" x14ac:dyDescent="0.35">
      <c r="A182" s="13">
        <v>41640</v>
      </c>
      <c r="B182">
        <f>YEAR(Country_Masterlist__6[[#This Row],[Year1]])</f>
        <v>2014</v>
      </c>
      <c r="C182" t="s">
        <v>35</v>
      </c>
      <c r="D182" t="s">
        <v>62</v>
      </c>
      <c r="E182">
        <v>32</v>
      </c>
    </row>
    <row r="183" spans="1:5" x14ac:dyDescent="0.35">
      <c r="A183" s="13">
        <v>41640</v>
      </c>
      <c r="B183">
        <f>YEAR(Country_Masterlist__6[[#This Row],[Year1]])</f>
        <v>2014</v>
      </c>
      <c r="C183" t="s">
        <v>33</v>
      </c>
      <c r="D183" t="s">
        <v>63</v>
      </c>
      <c r="E183">
        <v>22</v>
      </c>
    </row>
    <row r="184" spans="1:5" x14ac:dyDescent="0.35">
      <c r="A184" s="13">
        <v>41640</v>
      </c>
      <c r="B184">
        <f>YEAR(Country_Masterlist__6[[#This Row],[Year1]])</f>
        <v>2014</v>
      </c>
      <c r="C184" t="s">
        <v>34</v>
      </c>
      <c r="D184" t="s">
        <v>64</v>
      </c>
      <c r="E184">
        <v>7</v>
      </c>
    </row>
    <row r="185" spans="1:5" x14ac:dyDescent="0.35">
      <c r="A185" s="13">
        <v>41640</v>
      </c>
      <c r="B185">
        <f>YEAR(Country_Masterlist__6[[#This Row],[Year1]])</f>
        <v>2014</v>
      </c>
      <c r="C185" t="s">
        <v>33</v>
      </c>
      <c r="D185" t="s">
        <v>65</v>
      </c>
      <c r="E185">
        <v>7</v>
      </c>
    </row>
    <row r="186" spans="1:5" x14ac:dyDescent="0.35">
      <c r="A186" s="13">
        <v>41640</v>
      </c>
      <c r="B186">
        <f>YEAR(Country_Masterlist__6[[#This Row],[Year1]])</f>
        <v>2014</v>
      </c>
      <c r="C186" t="s">
        <v>33</v>
      </c>
      <c r="D186" t="s">
        <v>66</v>
      </c>
      <c r="E186">
        <v>5</v>
      </c>
    </row>
    <row r="187" spans="1:5" x14ac:dyDescent="0.35">
      <c r="A187" s="13">
        <v>41640</v>
      </c>
      <c r="B187">
        <f>YEAR(Country_Masterlist__6[[#This Row],[Year1]])</f>
        <v>2014</v>
      </c>
      <c r="C187" t="s">
        <v>34</v>
      </c>
      <c r="D187" t="s">
        <v>67</v>
      </c>
      <c r="E187">
        <v>11</v>
      </c>
    </row>
    <row r="188" spans="1:5" x14ac:dyDescent="0.35">
      <c r="A188" s="13">
        <v>41640</v>
      </c>
      <c r="B188">
        <f>YEAR(Country_Masterlist__6[[#This Row],[Year1]])</f>
        <v>2014</v>
      </c>
      <c r="C188" t="s">
        <v>33</v>
      </c>
      <c r="D188" t="s">
        <v>68</v>
      </c>
      <c r="E188">
        <v>34</v>
      </c>
    </row>
    <row r="189" spans="1:5" x14ac:dyDescent="0.35">
      <c r="A189" s="13">
        <v>41640</v>
      </c>
      <c r="B189">
        <f>YEAR(Country_Masterlist__6[[#This Row],[Year1]])</f>
        <v>2014</v>
      </c>
      <c r="C189" t="s">
        <v>36</v>
      </c>
      <c r="D189" t="s">
        <v>69</v>
      </c>
      <c r="E189">
        <v>23253</v>
      </c>
    </row>
    <row r="190" spans="1:5" x14ac:dyDescent="0.35">
      <c r="A190" s="13">
        <v>41640</v>
      </c>
      <c r="B190">
        <f>YEAR(Country_Masterlist__6[[#This Row],[Year1]])</f>
        <v>2014</v>
      </c>
      <c r="C190" t="s">
        <v>38</v>
      </c>
      <c r="D190" t="s">
        <v>72</v>
      </c>
      <c r="E190">
        <v>137</v>
      </c>
    </row>
    <row r="191" spans="1:5" x14ac:dyDescent="0.35">
      <c r="A191" s="13">
        <v>41640</v>
      </c>
      <c r="B191">
        <f>YEAR(Country_Masterlist__6[[#This Row],[Year1]])</f>
        <v>2014</v>
      </c>
      <c r="C191" t="s">
        <v>34</v>
      </c>
      <c r="D191" t="s">
        <v>73</v>
      </c>
      <c r="E191">
        <v>1896</v>
      </c>
    </row>
    <row r="192" spans="1:5" x14ac:dyDescent="0.35">
      <c r="A192" s="13">
        <v>41640</v>
      </c>
      <c r="B192">
        <f>YEAR(Country_Masterlist__6[[#This Row],[Year1]])</f>
        <v>2014</v>
      </c>
      <c r="C192" t="s">
        <v>38</v>
      </c>
      <c r="D192" t="s">
        <v>20</v>
      </c>
      <c r="E192">
        <v>367</v>
      </c>
    </row>
    <row r="193" spans="1:5" x14ac:dyDescent="0.35">
      <c r="A193" s="13">
        <v>41640</v>
      </c>
      <c r="B193">
        <f>YEAR(Country_Masterlist__6[[#This Row],[Year1]])</f>
        <v>2014</v>
      </c>
      <c r="C193" t="s">
        <v>33</v>
      </c>
      <c r="D193" t="s">
        <v>74</v>
      </c>
      <c r="E193">
        <v>32</v>
      </c>
    </row>
    <row r="194" spans="1:5" x14ac:dyDescent="0.35">
      <c r="A194" s="13">
        <v>41640</v>
      </c>
      <c r="B194">
        <f>YEAR(Country_Masterlist__6[[#This Row],[Year1]])</f>
        <v>2014</v>
      </c>
      <c r="C194" t="s">
        <v>33</v>
      </c>
      <c r="D194" t="s">
        <v>75</v>
      </c>
      <c r="E194">
        <v>16</v>
      </c>
    </row>
    <row r="195" spans="1:5" x14ac:dyDescent="0.35">
      <c r="A195" s="13">
        <v>41640</v>
      </c>
      <c r="B195">
        <f>YEAR(Country_Masterlist__6[[#This Row],[Year1]])</f>
        <v>2014</v>
      </c>
      <c r="C195" t="s">
        <v>36</v>
      </c>
      <c r="D195" t="s">
        <v>76</v>
      </c>
      <c r="E195">
        <v>52</v>
      </c>
    </row>
    <row r="196" spans="1:5" x14ac:dyDescent="0.35">
      <c r="A196" s="13">
        <v>41640</v>
      </c>
      <c r="B196">
        <f>YEAR(Country_Masterlist__6[[#This Row],[Year1]])</f>
        <v>2014</v>
      </c>
      <c r="C196" t="s">
        <v>33</v>
      </c>
      <c r="D196" t="s">
        <v>77</v>
      </c>
      <c r="E196">
        <v>24</v>
      </c>
    </row>
    <row r="197" spans="1:5" x14ac:dyDescent="0.35">
      <c r="A197" s="13">
        <v>41640</v>
      </c>
      <c r="B197">
        <f>YEAR(Country_Masterlist__6[[#This Row],[Year1]])</f>
        <v>2014</v>
      </c>
      <c r="C197" t="s">
        <v>35</v>
      </c>
      <c r="D197" t="s">
        <v>78</v>
      </c>
      <c r="E197">
        <v>39</v>
      </c>
    </row>
    <row r="198" spans="1:5" x14ac:dyDescent="0.35">
      <c r="A198" s="13">
        <v>41640</v>
      </c>
      <c r="B198">
        <f>YEAR(Country_Masterlist__6[[#This Row],[Year1]])</f>
        <v>2014</v>
      </c>
      <c r="C198" t="s">
        <v>36</v>
      </c>
      <c r="D198" t="s">
        <v>79</v>
      </c>
      <c r="E198">
        <v>63</v>
      </c>
    </row>
    <row r="199" spans="1:5" x14ac:dyDescent="0.35">
      <c r="A199" s="13">
        <v>41640</v>
      </c>
      <c r="B199">
        <f>YEAR(Country_Masterlist__6[[#This Row],[Year1]])</f>
        <v>2014</v>
      </c>
      <c r="C199" t="s">
        <v>34</v>
      </c>
      <c r="D199" t="s">
        <v>80</v>
      </c>
      <c r="E199">
        <v>8</v>
      </c>
    </row>
    <row r="200" spans="1:5" x14ac:dyDescent="0.35">
      <c r="A200" s="13">
        <v>41640</v>
      </c>
      <c r="B200">
        <f>YEAR(Country_Masterlist__6[[#This Row],[Year1]])</f>
        <v>2014</v>
      </c>
      <c r="C200" t="s">
        <v>35</v>
      </c>
      <c r="D200" t="s">
        <v>81</v>
      </c>
      <c r="E200">
        <v>103</v>
      </c>
    </row>
    <row r="201" spans="1:5" x14ac:dyDescent="0.35">
      <c r="A201" s="13">
        <v>41640</v>
      </c>
      <c r="B201">
        <f>YEAR(Country_Masterlist__6[[#This Row],[Year1]])</f>
        <v>2014</v>
      </c>
      <c r="C201" t="s">
        <v>35</v>
      </c>
      <c r="D201" t="s">
        <v>82</v>
      </c>
      <c r="E201">
        <v>42</v>
      </c>
    </row>
    <row r="202" spans="1:5" x14ac:dyDescent="0.35">
      <c r="A202" s="13">
        <v>41640</v>
      </c>
      <c r="B202">
        <f>YEAR(Country_Masterlist__6[[#This Row],[Year1]])</f>
        <v>2014</v>
      </c>
      <c r="C202" t="s">
        <v>36</v>
      </c>
      <c r="D202" t="s">
        <v>84</v>
      </c>
      <c r="E202">
        <v>9</v>
      </c>
    </row>
    <row r="203" spans="1:5" x14ac:dyDescent="0.35">
      <c r="A203" s="13">
        <v>41640</v>
      </c>
      <c r="B203">
        <f>YEAR(Country_Masterlist__6[[#This Row],[Year1]])</f>
        <v>2014</v>
      </c>
      <c r="C203" t="s">
        <v>36</v>
      </c>
      <c r="D203" t="s">
        <v>85</v>
      </c>
      <c r="E203">
        <v>310</v>
      </c>
    </row>
    <row r="204" spans="1:5" x14ac:dyDescent="0.35">
      <c r="A204" s="13">
        <v>41640</v>
      </c>
      <c r="B204">
        <f>YEAR(Country_Masterlist__6[[#This Row],[Year1]])</f>
        <v>2014</v>
      </c>
      <c r="C204" t="s">
        <v>38</v>
      </c>
      <c r="D204" t="s">
        <v>86</v>
      </c>
      <c r="E204">
        <v>184</v>
      </c>
    </row>
    <row r="205" spans="1:5" x14ac:dyDescent="0.35">
      <c r="A205" s="13">
        <v>41640</v>
      </c>
      <c r="B205">
        <f>YEAR(Country_Masterlist__6[[#This Row],[Year1]])</f>
        <v>2014</v>
      </c>
      <c r="C205" t="s">
        <v>33</v>
      </c>
      <c r="D205" t="s">
        <v>87</v>
      </c>
      <c r="E205">
        <v>111</v>
      </c>
    </row>
    <row r="206" spans="1:5" x14ac:dyDescent="0.35">
      <c r="A206" s="13">
        <v>41640</v>
      </c>
      <c r="B206">
        <f>YEAR(Country_Masterlist__6[[#This Row],[Year1]])</f>
        <v>2014</v>
      </c>
      <c r="C206" t="s">
        <v>36</v>
      </c>
      <c r="D206" t="s">
        <v>16</v>
      </c>
      <c r="E206">
        <v>497</v>
      </c>
    </row>
    <row r="207" spans="1:5" x14ac:dyDescent="0.35">
      <c r="A207" s="13">
        <v>41640</v>
      </c>
      <c r="B207">
        <f>YEAR(Country_Masterlist__6[[#This Row],[Year1]])</f>
        <v>2014</v>
      </c>
      <c r="C207" t="s">
        <v>33</v>
      </c>
      <c r="D207" t="s">
        <v>89</v>
      </c>
      <c r="E207">
        <v>9</v>
      </c>
    </row>
    <row r="208" spans="1:5" x14ac:dyDescent="0.35">
      <c r="A208" s="13">
        <v>41640</v>
      </c>
      <c r="B208">
        <f>YEAR(Country_Masterlist__6[[#This Row],[Year1]])</f>
        <v>2014</v>
      </c>
      <c r="C208" t="s">
        <v>35</v>
      </c>
      <c r="D208" t="s">
        <v>90</v>
      </c>
      <c r="E208">
        <v>18</v>
      </c>
    </row>
    <row r="209" spans="1:5" x14ac:dyDescent="0.35">
      <c r="A209" s="13">
        <v>41640</v>
      </c>
      <c r="B209">
        <f>YEAR(Country_Masterlist__6[[#This Row],[Year1]])</f>
        <v>2014</v>
      </c>
      <c r="C209" t="s">
        <v>33</v>
      </c>
      <c r="D209" t="s">
        <v>91</v>
      </c>
      <c r="E209">
        <v>52</v>
      </c>
    </row>
    <row r="210" spans="1:5" x14ac:dyDescent="0.35">
      <c r="A210" s="13">
        <v>41640</v>
      </c>
      <c r="B210">
        <f>YEAR(Country_Masterlist__6[[#This Row],[Year1]])</f>
        <v>2014</v>
      </c>
      <c r="C210" t="s">
        <v>37</v>
      </c>
      <c r="D210" t="s">
        <v>92</v>
      </c>
      <c r="E210">
        <v>42</v>
      </c>
    </row>
    <row r="211" spans="1:5" x14ac:dyDescent="0.35">
      <c r="A211" s="13">
        <v>41640</v>
      </c>
      <c r="B211">
        <f>YEAR(Country_Masterlist__6[[#This Row],[Year1]])</f>
        <v>2014</v>
      </c>
      <c r="C211" t="s">
        <v>35</v>
      </c>
      <c r="D211" t="s">
        <v>93</v>
      </c>
      <c r="E211">
        <v>25</v>
      </c>
    </row>
    <row r="212" spans="1:5" x14ac:dyDescent="0.35">
      <c r="A212" s="13">
        <v>41640</v>
      </c>
      <c r="B212">
        <f>YEAR(Country_Masterlist__6[[#This Row],[Year1]])</f>
        <v>2014</v>
      </c>
      <c r="C212" t="s">
        <v>35</v>
      </c>
      <c r="D212" t="s">
        <v>94</v>
      </c>
      <c r="E212">
        <v>627</v>
      </c>
    </row>
    <row r="213" spans="1:5" x14ac:dyDescent="0.35">
      <c r="A213" s="13">
        <v>41640</v>
      </c>
      <c r="B213">
        <f>YEAR(Country_Masterlist__6[[#This Row],[Year1]])</f>
        <v>2014</v>
      </c>
      <c r="C213" t="s">
        <v>33</v>
      </c>
      <c r="D213" t="s">
        <v>95</v>
      </c>
      <c r="E213">
        <v>5</v>
      </c>
    </row>
    <row r="214" spans="1:5" x14ac:dyDescent="0.35">
      <c r="A214" s="13">
        <v>41640</v>
      </c>
      <c r="B214">
        <f>YEAR(Country_Masterlist__6[[#This Row],[Year1]])</f>
        <v>2014</v>
      </c>
      <c r="C214" t="s">
        <v>33</v>
      </c>
      <c r="D214" t="s">
        <v>96</v>
      </c>
      <c r="E214" t="s">
        <v>205</v>
      </c>
    </row>
    <row r="215" spans="1:5" x14ac:dyDescent="0.35">
      <c r="A215" s="13">
        <v>41640</v>
      </c>
      <c r="B215">
        <f>YEAR(Country_Masterlist__6[[#This Row],[Year1]])</f>
        <v>2014</v>
      </c>
      <c r="C215" t="s">
        <v>34</v>
      </c>
      <c r="D215" t="s">
        <v>8</v>
      </c>
      <c r="E215">
        <v>12</v>
      </c>
    </row>
    <row r="216" spans="1:5" x14ac:dyDescent="0.35">
      <c r="A216" s="13">
        <v>41640</v>
      </c>
      <c r="B216">
        <f>YEAR(Country_Masterlist__6[[#This Row],[Year1]])</f>
        <v>2014</v>
      </c>
      <c r="C216" t="s">
        <v>35</v>
      </c>
      <c r="D216" t="s">
        <v>97</v>
      </c>
      <c r="E216">
        <v>413</v>
      </c>
    </row>
    <row r="217" spans="1:5" x14ac:dyDescent="0.35">
      <c r="A217" s="13">
        <v>41640</v>
      </c>
      <c r="B217">
        <f>YEAR(Country_Masterlist__6[[#This Row],[Year1]])</f>
        <v>2014</v>
      </c>
      <c r="C217" t="s">
        <v>33</v>
      </c>
      <c r="D217" t="s">
        <v>98</v>
      </c>
      <c r="E217">
        <v>54</v>
      </c>
    </row>
    <row r="218" spans="1:5" x14ac:dyDescent="0.35">
      <c r="A218" s="13">
        <v>41640</v>
      </c>
      <c r="B218">
        <f>YEAR(Country_Masterlist__6[[#This Row],[Year1]])</f>
        <v>2014</v>
      </c>
      <c r="C218" t="s">
        <v>35</v>
      </c>
      <c r="D218" t="s">
        <v>99</v>
      </c>
      <c r="E218">
        <v>152</v>
      </c>
    </row>
    <row r="219" spans="1:5" x14ac:dyDescent="0.35">
      <c r="A219" s="13">
        <v>41640</v>
      </c>
      <c r="B219">
        <f>YEAR(Country_Masterlist__6[[#This Row],[Year1]])</f>
        <v>2014</v>
      </c>
      <c r="C219" t="s">
        <v>36</v>
      </c>
      <c r="D219" t="s">
        <v>100</v>
      </c>
      <c r="E219">
        <v>10</v>
      </c>
    </row>
    <row r="220" spans="1:5" x14ac:dyDescent="0.35">
      <c r="A220" s="13">
        <v>41640</v>
      </c>
      <c r="B220">
        <f>YEAR(Country_Masterlist__6[[#This Row],[Year1]])</f>
        <v>2014</v>
      </c>
      <c r="C220" t="s">
        <v>36</v>
      </c>
      <c r="D220" t="s">
        <v>15</v>
      </c>
      <c r="E220">
        <v>1134</v>
      </c>
    </row>
    <row r="221" spans="1:5" x14ac:dyDescent="0.35">
      <c r="A221" s="13">
        <v>41640</v>
      </c>
      <c r="B221">
        <f>YEAR(Country_Masterlist__6[[#This Row],[Year1]])</f>
        <v>2014</v>
      </c>
      <c r="C221" t="s">
        <v>33</v>
      </c>
      <c r="D221" t="s">
        <v>101</v>
      </c>
      <c r="E221">
        <v>12</v>
      </c>
    </row>
    <row r="222" spans="1:5" x14ac:dyDescent="0.35">
      <c r="A222" s="13">
        <v>41640</v>
      </c>
      <c r="B222">
        <f>YEAR(Country_Masterlist__6[[#This Row],[Year1]])</f>
        <v>2014</v>
      </c>
      <c r="C222" t="s">
        <v>38</v>
      </c>
      <c r="D222" t="s">
        <v>103</v>
      </c>
      <c r="E222">
        <v>33</v>
      </c>
    </row>
    <row r="223" spans="1:5" x14ac:dyDescent="0.35">
      <c r="A223" s="13">
        <v>41640</v>
      </c>
      <c r="B223">
        <f>YEAR(Country_Masterlist__6[[#This Row],[Year1]])</f>
        <v>2014</v>
      </c>
      <c r="C223" t="s">
        <v>36</v>
      </c>
      <c r="D223" t="s">
        <v>104</v>
      </c>
      <c r="E223">
        <v>175</v>
      </c>
    </row>
    <row r="224" spans="1:5" x14ac:dyDescent="0.35">
      <c r="A224" s="13">
        <v>41640</v>
      </c>
      <c r="B224">
        <f>YEAR(Country_Masterlist__6[[#This Row],[Year1]])</f>
        <v>2014</v>
      </c>
      <c r="C224" t="s">
        <v>36</v>
      </c>
      <c r="D224" t="s">
        <v>17</v>
      </c>
      <c r="E224">
        <v>869</v>
      </c>
    </row>
    <row r="225" spans="1:5" x14ac:dyDescent="0.35">
      <c r="A225" s="13">
        <v>41640</v>
      </c>
      <c r="B225">
        <f>YEAR(Country_Masterlist__6[[#This Row],[Year1]])</f>
        <v>2014</v>
      </c>
      <c r="C225" t="s">
        <v>35</v>
      </c>
      <c r="D225" t="s">
        <v>105</v>
      </c>
      <c r="E225">
        <v>189</v>
      </c>
    </row>
    <row r="226" spans="1:5" x14ac:dyDescent="0.35">
      <c r="A226" s="13">
        <v>41640</v>
      </c>
      <c r="B226">
        <f>YEAR(Country_Masterlist__6[[#This Row],[Year1]])</f>
        <v>2014</v>
      </c>
      <c r="C226" t="s">
        <v>35</v>
      </c>
      <c r="D226" t="s">
        <v>106</v>
      </c>
      <c r="E226">
        <v>8</v>
      </c>
    </row>
    <row r="227" spans="1:5" x14ac:dyDescent="0.35">
      <c r="A227" s="13">
        <v>41640</v>
      </c>
      <c r="B227">
        <f>YEAR(Country_Masterlist__6[[#This Row],[Year1]])</f>
        <v>2014</v>
      </c>
      <c r="C227" t="s">
        <v>34</v>
      </c>
      <c r="D227" t="s">
        <v>22</v>
      </c>
      <c r="E227">
        <v>1054</v>
      </c>
    </row>
    <row r="228" spans="1:5" x14ac:dyDescent="0.35">
      <c r="A228" s="13">
        <v>41640</v>
      </c>
      <c r="B228">
        <f>YEAR(Country_Masterlist__6[[#This Row],[Year1]])</f>
        <v>2014</v>
      </c>
      <c r="C228" t="s">
        <v>34</v>
      </c>
      <c r="D228" t="s">
        <v>107</v>
      </c>
      <c r="E228">
        <v>47</v>
      </c>
    </row>
    <row r="229" spans="1:5" x14ac:dyDescent="0.35">
      <c r="A229" s="13">
        <v>41640</v>
      </c>
      <c r="B229">
        <f>YEAR(Country_Masterlist__6[[#This Row],[Year1]])</f>
        <v>2014</v>
      </c>
      <c r="C229" t="s">
        <v>34</v>
      </c>
      <c r="D229" t="s">
        <v>108</v>
      </c>
      <c r="E229">
        <v>556</v>
      </c>
    </row>
    <row r="230" spans="1:5" x14ac:dyDescent="0.35">
      <c r="A230" s="13">
        <v>41640</v>
      </c>
      <c r="B230">
        <f>YEAR(Country_Masterlist__6[[#This Row],[Year1]])</f>
        <v>2014</v>
      </c>
      <c r="C230" t="s">
        <v>34</v>
      </c>
      <c r="D230" t="s">
        <v>109</v>
      </c>
      <c r="E230">
        <v>154</v>
      </c>
    </row>
    <row r="231" spans="1:5" x14ac:dyDescent="0.35">
      <c r="A231" s="13">
        <v>41640</v>
      </c>
      <c r="B231">
        <f>YEAR(Country_Masterlist__6[[#This Row],[Year1]])</f>
        <v>2014</v>
      </c>
      <c r="C231" t="s">
        <v>35</v>
      </c>
      <c r="D231" t="s">
        <v>110</v>
      </c>
      <c r="E231">
        <v>145</v>
      </c>
    </row>
    <row r="232" spans="1:5" x14ac:dyDescent="0.35">
      <c r="A232" s="13">
        <v>41640</v>
      </c>
      <c r="B232">
        <f>YEAR(Country_Masterlist__6[[#This Row],[Year1]])</f>
        <v>2014</v>
      </c>
      <c r="C232" t="s">
        <v>34</v>
      </c>
      <c r="D232" t="s">
        <v>111</v>
      </c>
      <c r="E232">
        <v>186</v>
      </c>
    </row>
    <row r="233" spans="1:5" x14ac:dyDescent="0.35">
      <c r="A233" s="13">
        <v>41640</v>
      </c>
      <c r="B233">
        <f>YEAR(Country_Masterlist__6[[#This Row],[Year1]])</f>
        <v>2014</v>
      </c>
      <c r="C233" t="s">
        <v>35</v>
      </c>
      <c r="D233" t="s">
        <v>112</v>
      </c>
      <c r="E233">
        <v>537</v>
      </c>
    </row>
    <row r="234" spans="1:5" x14ac:dyDescent="0.35">
      <c r="A234" s="13">
        <v>41640</v>
      </c>
      <c r="B234">
        <f>YEAR(Country_Masterlist__6[[#This Row],[Year1]])</f>
        <v>2014</v>
      </c>
      <c r="C234" t="s">
        <v>36</v>
      </c>
      <c r="D234" t="s">
        <v>113</v>
      </c>
      <c r="E234">
        <v>373</v>
      </c>
    </row>
    <row r="235" spans="1:5" x14ac:dyDescent="0.35">
      <c r="A235" s="13">
        <v>41640</v>
      </c>
      <c r="B235">
        <f>YEAR(Country_Masterlist__6[[#This Row],[Year1]])</f>
        <v>2014</v>
      </c>
      <c r="C235" t="s">
        <v>34</v>
      </c>
      <c r="D235" t="s">
        <v>114</v>
      </c>
      <c r="E235">
        <v>331</v>
      </c>
    </row>
    <row r="236" spans="1:5" x14ac:dyDescent="0.35">
      <c r="A236" s="13">
        <v>41640</v>
      </c>
      <c r="B236">
        <f>YEAR(Country_Masterlist__6[[#This Row],[Year1]])</f>
        <v>2014</v>
      </c>
      <c r="C236" t="s">
        <v>34</v>
      </c>
      <c r="D236" t="s">
        <v>115</v>
      </c>
      <c r="E236">
        <v>166</v>
      </c>
    </row>
    <row r="237" spans="1:5" x14ac:dyDescent="0.35">
      <c r="A237" s="13">
        <v>41640</v>
      </c>
      <c r="B237">
        <f>YEAR(Country_Masterlist__6[[#This Row],[Year1]])</f>
        <v>2014</v>
      </c>
      <c r="C237" t="s">
        <v>34</v>
      </c>
      <c r="D237" t="s">
        <v>116</v>
      </c>
      <c r="E237">
        <v>22</v>
      </c>
    </row>
    <row r="238" spans="1:5" x14ac:dyDescent="0.35">
      <c r="A238" s="13">
        <v>41640</v>
      </c>
      <c r="B238">
        <f>YEAR(Country_Masterlist__6[[#This Row],[Year1]])</f>
        <v>2014</v>
      </c>
      <c r="C238" t="s">
        <v>33</v>
      </c>
      <c r="D238" t="s">
        <v>117</v>
      </c>
      <c r="E238">
        <v>68</v>
      </c>
    </row>
    <row r="239" spans="1:5" x14ac:dyDescent="0.35">
      <c r="A239" s="13">
        <v>41640</v>
      </c>
      <c r="B239">
        <f>YEAR(Country_Masterlist__6[[#This Row],[Year1]])</f>
        <v>2014</v>
      </c>
      <c r="C239" t="s">
        <v>34</v>
      </c>
      <c r="D239" t="s">
        <v>118</v>
      </c>
      <c r="E239">
        <v>942</v>
      </c>
    </row>
    <row r="240" spans="1:5" x14ac:dyDescent="0.35">
      <c r="A240" s="13">
        <v>41640</v>
      </c>
      <c r="B240">
        <f>YEAR(Country_Masterlist__6[[#This Row],[Year1]])</f>
        <v>2014</v>
      </c>
      <c r="C240" t="s">
        <v>35</v>
      </c>
      <c r="D240" t="s">
        <v>119</v>
      </c>
      <c r="E240">
        <v>14</v>
      </c>
    </row>
    <row r="241" spans="1:5" x14ac:dyDescent="0.35">
      <c r="A241" s="13">
        <v>41640</v>
      </c>
      <c r="B241">
        <f>YEAR(Country_Masterlist__6[[#This Row],[Year1]])</f>
        <v>2014</v>
      </c>
      <c r="C241" t="s">
        <v>34</v>
      </c>
      <c r="D241" t="s">
        <v>120</v>
      </c>
      <c r="E241">
        <v>30</v>
      </c>
    </row>
    <row r="242" spans="1:5" x14ac:dyDescent="0.35">
      <c r="A242" s="13">
        <v>41640</v>
      </c>
      <c r="B242">
        <f>YEAR(Country_Masterlist__6[[#This Row],[Year1]])</f>
        <v>2014</v>
      </c>
      <c r="C242" t="s">
        <v>34</v>
      </c>
      <c r="D242" t="s">
        <v>121</v>
      </c>
      <c r="E242">
        <v>13</v>
      </c>
    </row>
    <row r="243" spans="1:5" x14ac:dyDescent="0.35">
      <c r="A243" s="13">
        <v>41640</v>
      </c>
      <c r="B243">
        <f>YEAR(Country_Masterlist__6[[#This Row],[Year1]])</f>
        <v>2014</v>
      </c>
      <c r="C243" t="s">
        <v>34</v>
      </c>
      <c r="D243" t="s">
        <v>122</v>
      </c>
      <c r="E243">
        <v>3</v>
      </c>
    </row>
    <row r="244" spans="1:5" x14ac:dyDescent="0.35">
      <c r="A244" s="13">
        <v>41640</v>
      </c>
      <c r="B244">
        <f>YEAR(Country_Masterlist__6[[#This Row],[Year1]])</f>
        <v>2014</v>
      </c>
      <c r="C244" t="s">
        <v>35</v>
      </c>
      <c r="D244" t="s">
        <v>123</v>
      </c>
      <c r="E244">
        <v>66</v>
      </c>
    </row>
    <row r="245" spans="1:5" x14ac:dyDescent="0.35">
      <c r="A245" s="13">
        <v>41640</v>
      </c>
      <c r="B245">
        <f>YEAR(Country_Masterlist__6[[#This Row],[Year1]])</f>
        <v>2014</v>
      </c>
      <c r="C245" t="s">
        <v>34</v>
      </c>
      <c r="D245" t="s">
        <v>124</v>
      </c>
      <c r="E245">
        <v>115</v>
      </c>
    </row>
    <row r="246" spans="1:5" x14ac:dyDescent="0.35">
      <c r="A246" s="13">
        <v>41640</v>
      </c>
      <c r="B246">
        <f>YEAR(Country_Masterlist__6[[#This Row],[Year1]])</f>
        <v>2014</v>
      </c>
      <c r="C246" t="s">
        <v>33</v>
      </c>
      <c r="D246" t="s">
        <v>125</v>
      </c>
      <c r="E246">
        <v>27</v>
      </c>
    </row>
    <row r="247" spans="1:5" x14ac:dyDescent="0.35">
      <c r="A247" s="13">
        <v>41640</v>
      </c>
      <c r="B247">
        <f>YEAR(Country_Masterlist__6[[#This Row],[Year1]])</f>
        <v>2014</v>
      </c>
      <c r="C247" t="s">
        <v>33</v>
      </c>
      <c r="D247" t="s">
        <v>126</v>
      </c>
      <c r="E247">
        <v>25</v>
      </c>
    </row>
    <row r="248" spans="1:5" x14ac:dyDescent="0.35">
      <c r="A248" s="13">
        <v>41640</v>
      </c>
      <c r="B248">
        <f>YEAR(Country_Masterlist__6[[#This Row],[Year1]])</f>
        <v>2014</v>
      </c>
      <c r="C248" t="s">
        <v>35</v>
      </c>
      <c r="D248" t="s">
        <v>127</v>
      </c>
      <c r="E248">
        <v>74</v>
      </c>
    </row>
    <row r="249" spans="1:5" x14ac:dyDescent="0.35">
      <c r="A249" s="13">
        <v>41640</v>
      </c>
      <c r="B249">
        <f>YEAR(Country_Masterlist__6[[#This Row],[Year1]])</f>
        <v>2014</v>
      </c>
      <c r="C249" t="s">
        <v>33</v>
      </c>
      <c r="D249" t="s">
        <v>129</v>
      </c>
      <c r="E249">
        <v>9</v>
      </c>
    </row>
    <row r="250" spans="1:5" x14ac:dyDescent="0.35">
      <c r="A250" s="13">
        <v>41640</v>
      </c>
      <c r="B250">
        <f>YEAR(Country_Masterlist__6[[#This Row],[Year1]])</f>
        <v>2014</v>
      </c>
      <c r="C250" t="s">
        <v>34</v>
      </c>
      <c r="D250" t="s">
        <v>131</v>
      </c>
      <c r="E250">
        <v>50</v>
      </c>
    </row>
    <row r="251" spans="1:5" x14ac:dyDescent="0.35">
      <c r="A251" s="13">
        <v>41640</v>
      </c>
      <c r="B251">
        <f>YEAR(Country_Masterlist__6[[#This Row],[Year1]])</f>
        <v>2014</v>
      </c>
      <c r="C251" t="s">
        <v>33</v>
      </c>
      <c r="D251" t="s">
        <v>132</v>
      </c>
      <c r="E251">
        <v>11</v>
      </c>
    </row>
    <row r="252" spans="1:5" x14ac:dyDescent="0.35">
      <c r="A252" s="13">
        <v>41640</v>
      </c>
      <c r="B252">
        <f>YEAR(Country_Masterlist__6[[#This Row],[Year1]])</f>
        <v>2014</v>
      </c>
      <c r="C252" t="s">
        <v>33</v>
      </c>
      <c r="D252" t="s">
        <v>136</v>
      </c>
      <c r="E252">
        <v>12</v>
      </c>
    </row>
    <row r="253" spans="1:5" x14ac:dyDescent="0.35">
      <c r="A253" s="13">
        <v>41640</v>
      </c>
      <c r="B253">
        <f>YEAR(Country_Masterlist__6[[#This Row],[Year1]])</f>
        <v>2014</v>
      </c>
      <c r="C253" t="s">
        <v>36</v>
      </c>
      <c r="D253" t="s">
        <v>14</v>
      </c>
      <c r="E253">
        <v>72688</v>
      </c>
    </row>
    <row r="254" spans="1:5" x14ac:dyDescent="0.35">
      <c r="A254" s="13">
        <v>41640</v>
      </c>
      <c r="B254">
        <f>YEAR(Country_Masterlist__6[[#This Row],[Year1]])</f>
        <v>2014</v>
      </c>
      <c r="C254" t="s">
        <v>37</v>
      </c>
      <c r="D254" t="s">
        <v>137</v>
      </c>
      <c r="E254">
        <v>3</v>
      </c>
    </row>
    <row r="255" spans="1:5" x14ac:dyDescent="0.35">
      <c r="A255" s="13">
        <v>41640</v>
      </c>
      <c r="B255">
        <f>YEAR(Country_Masterlist__6[[#This Row],[Year1]])</f>
        <v>2014</v>
      </c>
      <c r="C255" t="s">
        <v>35</v>
      </c>
      <c r="D255" t="s">
        <v>138</v>
      </c>
      <c r="E255">
        <v>27</v>
      </c>
    </row>
    <row r="256" spans="1:5" x14ac:dyDescent="0.35">
      <c r="A256" s="13">
        <v>41640</v>
      </c>
      <c r="B256">
        <f>YEAR(Country_Masterlist__6[[#This Row],[Year1]])</f>
        <v>2014</v>
      </c>
      <c r="C256" t="s">
        <v>34</v>
      </c>
      <c r="D256" t="s">
        <v>139</v>
      </c>
      <c r="E256">
        <v>35</v>
      </c>
    </row>
    <row r="257" spans="1:5" x14ac:dyDescent="0.35">
      <c r="A257" s="13">
        <v>41640</v>
      </c>
      <c r="B257">
        <f>YEAR(Country_Masterlist__6[[#This Row],[Year1]])</f>
        <v>2014</v>
      </c>
      <c r="C257" t="s">
        <v>35</v>
      </c>
      <c r="D257" t="s">
        <v>140</v>
      </c>
      <c r="E257" t="s">
        <v>205</v>
      </c>
    </row>
    <row r="258" spans="1:5" x14ac:dyDescent="0.35">
      <c r="A258" s="13">
        <v>41640</v>
      </c>
      <c r="B258">
        <f>YEAR(Country_Masterlist__6[[#This Row],[Year1]])</f>
        <v>2014</v>
      </c>
      <c r="C258" t="s">
        <v>33</v>
      </c>
      <c r="D258" t="s">
        <v>141</v>
      </c>
      <c r="E258">
        <v>88</v>
      </c>
    </row>
    <row r="259" spans="1:5" x14ac:dyDescent="0.35">
      <c r="A259" s="13">
        <v>41640</v>
      </c>
      <c r="B259">
        <f>YEAR(Country_Masterlist__6[[#This Row],[Year1]])</f>
        <v>2014</v>
      </c>
      <c r="C259" t="s">
        <v>34</v>
      </c>
      <c r="D259" t="s">
        <v>144</v>
      </c>
      <c r="E259">
        <v>30</v>
      </c>
    </row>
    <row r="260" spans="1:5" x14ac:dyDescent="0.35">
      <c r="A260" s="13">
        <v>41640</v>
      </c>
      <c r="B260">
        <f>YEAR(Country_Masterlist__6[[#This Row],[Year1]])</f>
        <v>2014</v>
      </c>
      <c r="C260" t="s">
        <v>35</v>
      </c>
      <c r="D260" t="s">
        <v>145</v>
      </c>
      <c r="E260">
        <v>276</v>
      </c>
    </row>
    <row r="261" spans="1:5" x14ac:dyDescent="0.35">
      <c r="A261" s="13">
        <v>41640</v>
      </c>
      <c r="B261">
        <f>YEAR(Country_Masterlist__6[[#This Row],[Year1]])</f>
        <v>2014</v>
      </c>
      <c r="C261" t="s">
        <v>37</v>
      </c>
      <c r="D261" t="s">
        <v>146</v>
      </c>
      <c r="E261">
        <v>100</v>
      </c>
    </row>
    <row r="262" spans="1:5" x14ac:dyDescent="0.35">
      <c r="A262" s="13">
        <v>41640</v>
      </c>
      <c r="B262">
        <f>YEAR(Country_Masterlist__6[[#This Row],[Year1]])</f>
        <v>2014</v>
      </c>
      <c r="C262" t="s">
        <v>36</v>
      </c>
      <c r="D262" t="s">
        <v>147</v>
      </c>
      <c r="E262">
        <v>104</v>
      </c>
    </row>
    <row r="263" spans="1:5" x14ac:dyDescent="0.35">
      <c r="A263" s="13">
        <v>41640</v>
      </c>
      <c r="B263">
        <f>YEAR(Country_Masterlist__6[[#This Row],[Year1]])</f>
        <v>2014</v>
      </c>
      <c r="C263" t="s">
        <v>33</v>
      </c>
      <c r="D263" t="s">
        <v>148</v>
      </c>
      <c r="E263">
        <v>8</v>
      </c>
    </row>
    <row r="264" spans="1:5" x14ac:dyDescent="0.35">
      <c r="A264" s="13">
        <v>41640</v>
      </c>
      <c r="B264">
        <f>YEAR(Country_Masterlist__6[[#This Row],[Year1]])</f>
        <v>2014</v>
      </c>
      <c r="C264" t="s">
        <v>33</v>
      </c>
      <c r="D264" t="s">
        <v>149</v>
      </c>
      <c r="E264">
        <v>490</v>
      </c>
    </row>
    <row r="265" spans="1:5" x14ac:dyDescent="0.35">
      <c r="A265" s="13">
        <v>41640</v>
      </c>
      <c r="B265">
        <f>YEAR(Country_Masterlist__6[[#This Row],[Year1]])</f>
        <v>2014</v>
      </c>
      <c r="C265" t="s">
        <v>35</v>
      </c>
      <c r="D265" t="s">
        <v>322</v>
      </c>
      <c r="E265">
        <v>9</v>
      </c>
    </row>
    <row r="266" spans="1:5" x14ac:dyDescent="0.35">
      <c r="A266" s="13">
        <v>41640</v>
      </c>
      <c r="B266">
        <f>YEAR(Country_Masterlist__6[[#This Row],[Year1]])</f>
        <v>2014</v>
      </c>
      <c r="C266" t="s">
        <v>35</v>
      </c>
      <c r="D266" t="s">
        <v>150</v>
      </c>
      <c r="E266">
        <v>55</v>
      </c>
    </row>
    <row r="267" spans="1:5" x14ac:dyDescent="0.35">
      <c r="A267" s="13">
        <v>41640</v>
      </c>
      <c r="B267">
        <f>YEAR(Country_Masterlist__6[[#This Row],[Year1]])</f>
        <v>2014</v>
      </c>
      <c r="C267" t="s">
        <v>34</v>
      </c>
      <c r="D267" t="s">
        <v>151</v>
      </c>
      <c r="E267">
        <v>5</v>
      </c>
    </row>
    <row r="268" spans="1:5" x14ac:dyDescent="0.35">
      <c r="A268" s="13">
        <v>41640</v>
      </c>
      <c r="B268">
        <f>YEAR(Country_Masterlist__6[[#This Row],[Year1]])</f>
        <v>2014</v>
      </c>
      <c r="C268" t="s">
        <v>34</v>
      </c>
      <c r="D268" t="s">
        <v>152</v>
      </c>
      <c r="E268">
        <v>254</v>
      </c>
    </row>
    <row r="269" spans="1:5" x14ac:dyDescent="0.35">
      <c r="A269" s="13">
        <v>41640</v>
      </c>
      <c r="B269">
        <f>YEAR(Country_Masterlist__6[[#This Row],[Year1]])</f>
        <v>2014</v>
      </c>
      <c r="C269" t="s">
        <v>36</v>
      </c>
      <c r="D269" t="s">
        <v>154</v>
      </c>
      <c r="E269">
        <v>37</v>
      </c>
    </row>
    <row r="270" spans="1:5" x14ac:dyDescent="0.35">
      <c r="A270" s="13">
        <v>41640</v>
      </c>
      <c r="B270">
        <f>YEAR(Country_Masterlist__6[[#This Row],[Year1]])</f>
        <v>2014</v>
      </c>
      <c r="C270" t="s">
        <v>38</v>
      </c>
      <c r="D270" t="s">
        <v>155</v>
      </c>
      <c r="E270">
        <v>11</v>
      </c>
    </row>
    <row r="271" spans="1:5" x14ac:dyDescent="0.35">
      <c r="A271" s="13">
        <v>41640</v>
      </c>
      <c r="B271">
        <f>YEAR(Country_Masterlist__6[[#This Row],[Year1]])</f>
        <v>2014</v>
      </c>
      <c r="C271" t="s">
        <v>38</v>
      </c>
      <c r="D271" t="s">
        <v>156</v>
      </c>
      <c r="E271">
        <v>174</v>
      </c>
    </row>
    <row r="272" spans="1:5" x14ac:dyDescent="0.35">
      <c r="A272" s="13">
        <v>41640</v>
      </c>
      <c r="B272">
        <f>YEAR(Country_Masterlist__6[[#This Row],[Year1]])</f>
        <v>2014</v>
      </c>
      <c r="C272" t="s">
        <v>34</v>
      </c>
      <c r="D272" t="s">
        <v>18</v>
      </c>
      <c r="E272">
        <v>554</v>
      </c>
    </row>
    <row r="273" spans="1:5" x14ac:dyDescent="0.35">
      <c r="A273" s="13">
        <v>41640</v>
      </c>
      <c r="B273">
        <f>YEAR(Country_Masterlist__6[[#This Row],[Year1]])</f>
        <v>2014</v>
      </c>
      <c r="C273" t="s">
        <v>35</v>
      </c>
      <c r="D273" t="s">
        <v>157</v>
      </c>
      <c r="E273">
        <v>185</v>
      </c>
    </row>
    <row r="274" spans="1:5" x14ac:dyDescent="0.35">
      <c r="A274" s="13">
        <v>41640</v>
      </c>
      <c r="B274">
        <f>YEAR(Country_Masterlist__6[[#This Row],[Year1]])</f>
        <v>2014</v>
      </c>
      <c r="C274" t="s">
        <v>35</v>
      </c>
      <c r="D274" t="s">
        <v>158</v>
      </c>
      <c r="E274">
        <v>250</v>
      </c>
    </row>
    <row r="275" spans="1:5" x14ac:dyDescent="0.35">
      <c r="A275" s="13">
        <v>41640</v>
      </c>
      <c r="B275">
        <f>YEAR(Country_Masterlist__6[[#This Row],[Year1]])</f>
        <v>2014</v>
      </c>
      <c r="C275" t="s">
        <v>34</v>
      </c>
      <c r="D275" t="s">
        <v>159</v>
      </c>
      <c r="E275">
        <v>12</v>
      </c>
    </row>
    <row r="276" spans="1:5" x14ac:dyDescent="0.35">
      <c r="A276" s="13">
        <v>41640</v>
      </c>
      <c r="B276">
        <f>YEAR(Country_Masterlist__6[[#This Row],[Year1]])</f>
        <v>2014</v>
      </c>
      <c r="C276" t="s">
        <v>35</v>
      </c>
      <c r="D276" t="s">
        <v>160</v>
      </c>
      <c r="E276">
        <v>119</v>
      </c>
    </row>
    <row r="277" spans="1:5" x14ac:dyDescent="0.35">
      <c r="A277" s="13">
        <v>41640</v>
      </c>
      <c r="B277">
        <f>YEAR(Country_Masterlist__6[[#This Row],[Year1]])</f>
        <v>2014</v>
      </c>
      <c r="C277" t="s">
        <v>35</v>
      </c>
      <c r="D277" t="s">
        <v>161</v>
      </c>
      <c r="E277">
        <v>122</v>
      </c>
    </row>
    <row r="278" spans="1:5" x14ac:dyDescent="0.35">
      <c r="A278" s="13">
        <v>41640</v>
      </c>
      <c r="B278">
        <f>YEAR(Country_Masterlist__6[[#This Row],[Year1]])</f>
        <v>2014</v>
      </c>
      <c r="C278" t="s">
        <v>33</v>
      </c>
      <c r="D278" t="s">
        <v>162</v>
      </c>
      <c r="E278">
        <v>21</v>
      </c>
    </row>
    <row r="279" spans="1:5" x14ac:dyDescent="0.35">
      <c r="A279" s="13">
        <v>41640</v>
      </c>
      <c r="B279">
        <f>YEAR(Country_Masterlist__6[[#This Row],[Year1]])</f>
        <v>2014</v>
      </c>
      <c r="C279" t="s">
        <v>36</v>
      </c>
      <c r="D279" t="s">
        <v>163</v>
      </c>
      <c r="E279">
        <v>7</v>
      </c>
    </row>
    <row r="280" spans="1:5" x14ac:dyDescent="0.35">
      <c r="A280" s="13">
        <v>41640</v>
      </c>
      <c r="B280">
        <f>YEAR(Country_Masterlist__6[[#This Row],[Year1]])</f>
        <v>2014</v>
      </c>
      <c r="C280" t="s">
        <v>36</v>
      </c>
      <c r="D280" t="s">
        <v>164</v>
      </c>
      <c r="E280">
        <v>13</v>
      </c>
    </row>
    <row r="281" spans="1:5" x14ac:dyDescent="0.35">
      <c r="A281" s="13">
        <v>41640</v>
      </c>
      <c r="B281">
        <f>YEAR(Country_Masterlist__6[[#This Row],[Year1]])</f>
        <v>2014</v>
      </c>
      <c r="C281" t="s">
        <v>36</v>
      </c>
      <c r="D281" t="s">
        <v>165</v>
      </c>
      <c r="E281">
        <v>19</v>
      </c>
    </row>
    <row r="282" spans="1:5" x14ac:dyDescent="0.35">
      <c r="A282" s="13">
        <v>41640</v>
      </c>
      <c r="B282">
        <f>YEAR(Country_Masterlist__6[[#This Row],[Year1]])</f>
        <v>2014</v>
      </c>
      <c r="C282" t="s">
        <v>37</v>
      </c>
      <c r="D282" t="s">
        <v>166</v>
      </c>
      <c r="E282" t="s">
        <v>205</v>
      </c>
    </row>
    <row r="283" spans="1:5" x14ac:dyDescent="0.35">
      <c r="A283" s="13">
        <v>41640</v>
      </c>
      <c r="B283">
        <f>YEAR(Country_Masterlist__6[[#This Row],[Year1]])</f>
        <v>2014</v>
      </c>
      <c r="C283" t="s">
        <v>34</v>
      </c>
      <c r="D283" t="s">
        <v>167</v>
      </c>
      <c r="E283">
        <v>431</v>
      </c>
    </row>
    <row r="284" spans="1:5" x14ac:dyDescent="0.35">
      <c r="A284" s="13">
        <v>41640</v>
      </c>
      <c r="B284">
        <f>YEAR(Country_Masterlist__6[[#This Row],[Year1]])</f>
        <v>2014</v>
      </c>
      <c r="C284" t="s">
        <v>33</v>
      </c>
      <c r="D284" t="s">
        <v>168</v>
      </c>
      <c r="E284">
        <v>63</v>
      </c>
    </row>
    <row r="285" spans="1:5" x14ac:dyDescent="0.35">
      <c r="A285" s="13">
        <v>41640</v>
      </c>
      <c r="B285">
        <f>YEAR(Country_Masterlist__6[[#This Row],[Year1]])</f>
        <v>2014</v>
      </c>
      <c r="C285" t="s">
        <v>35</v>
      </c>
      <c r="D285" t="s">
        <v>169</v>
      </c>
      <c r="E285">
        <v>17</v>
      </c>
    </row>
    <row r="286" spans="1:5" x14ac:dyDescent="0.35">
      <c r="A286" s="13">
        <v>41640</v>
      </c>
      <c r="B286">
        <f>YEAR(Country_Masterlist__6[[#This Row],[Year1]])</f>
        <v>2014</v>
      </c>
      <c r="C286" t="s">
        <v>33</v>
      </c>
      <c r="D286" t="s">
        <v>170</v>
      </c>
      <c r="E286">
        <v>4</v>
      </c>
    </row>
    <row r="287" spans="1:5" x14ac:dyDescent="0.35">
      <c r="A287" s="13">
        <v>41640</v>
      </c>
      <c r="B287">
        <f>YEAR(Country_Masterlist__6[[#This Row],[Year1]])</f>
        <v>2014</v>
      </c>
      <c r="C287" t="s">
        <v>34</v>
      </c>
      <c r="D287" t="s">
        <v>171</v>
      </c>
      <c r="E287">
        <v>41</v>
      </c>
    </row>
    <row r="288" spans="1:5" x14ac:dyDescent="0.35">
      <c r="A288" s="13">
        <v>41640</v>
      </c>
      <c r="B288">
        <f>YEAR(Country_Masterlist__6[[#This Row],[Year1]])</f>
        <v>2014</v>
      </c>
      <c r="C288" t="s">
        <v>35</v>
      </c>
      <c r="D288" t="s">
        <v>172</v>
      </c>
      <c r="E288">
        <v>55</v>
      </c>
    </row>
    <row r="289" spans="1:5" x14ac:dyDescent="0.35">
      <c r="A289" s="13">
        <v>41640</v>
      </c>
      <c r="B289">
        <f>YEAR(Country_Masterlist__6[[#This Row],[Year1]])</f>
        <v>2014</v>
      </c>
      <c r="C289" t="s">
        <v>35</v>
      </c>
      <c r="D289" t="s">
        <v>173</v>
      </c>
      <c r="E289">
        <v>22</v>
      </c>
    </row>
    <row r="290" spans="1:5" x14ac:dyDescent="0.35">
      <c r="A290" s="13">
        <v>41640</v>
      </c>
      <c r="B290">
        <f>YEAR(Country_Masterlist__6[[#This Row],[Year1]])</f>
        <v>2014</v>
      </c>
      <c r="C290" t="s">
        <v>33</v>
      </c>
      <c r="D290" t="s">
        <v>174</v>
      </c>
      <c r="E290">
        <v>18</v>
      </c>
    </row>
    <row r="291" spans="1:5" x14ac:dyDescent="0.35">
      <c r="A291" s="13">
        <v>41640</v>
      </c>
      <c r="B291">
        <f>YEAR(Country_Masterlist__6[[#This Row],[Year1]])</f>
        <v>2014</v>
      </c>
      <c r="C291" t="s">
        <v>33</v>
      </c>
      <c r="D291" t="s">
        <v>175</v>
      </c>
      <c r="E291">
        <v>88</v>
      </c>
    </row>
    <row r="292" spans="1:5" x14ac:dyDescent="0.35">
      <c r="A292" s="13">
        <v>41640</v>
      </c>
      <c r="B292">
        <f>YEAR(Country_Masterlist__6[[#This Row],[Year1]])</f>
        <v>2014</v>
      </c>
      <c r="C292" t="s">
        <v>35</v>
      </c>
      <c r="D292" t="s">
        <v>177</v>
      </c>
      <c r="E292">
        <v>880</v>
      </c>
    </row>
    <row r="293" spans="1:5" x14ac:dyDescent="0.35">
      <c r="A293" s="13">
        <v>41640</v>
      </c>
      <c r="B293">
        <f>YEAR(Country_Masterlist__6[[#This Row],[Year1]])</f>
        <v>2014</v>
      </c>
      <c r="C293" t="s">
        <v>34</v>
      </c>
      <c r="D293" t="s">
        <v>178</v>
      </c>
      <c r="E293">
        <v>63</v>
      </c>
    </row>
    <row r="294" spans="1:5" x14ac:dyDescent="0.35">
      <c r="A294" s="13">
        <v>41640</v>
      </c>
      <c r="B294">
        <f>YEAR(Country_Masterlist__6[[#This Row],[Year1]])</f>
        <v>2014</v>
      </c>
      <c r="C294" t="s">
        <v>33</v>
      </c>
      <c r="D294" t="s">
        <v>179</v>
      </c>
      <c r="E294">
        <v>20</v>
      </c>
    </row>
    <row r="295" spans="1:5" x14ac:dyDescent="0.35">
      <c r="A295" s="13">
        <v>41640</v>
      </c>
      <c r="B295">
        <f>YEAR(Country_Masterlist__6[[#This Row],[Year1]])</f>
        <v>2014</v>
      </c>
      <c r="C295" t="s">
        <v>35</v>
      </c>
      <c r="D295" t="s">
        <v>182</v>
      </c>
      <c r="E295">
        <v>110</v>
      </c>
    </row>
    <row r="296" spans="1:5" x14ac:dyDescent="0.35">
      <c r="A296" s="13">
        <v>41640</v>
      </c>
      <c r="B296">
        <f>YEAR(Country_Masterlist__6[[#This Row],[Year1]])</f>
        <v>2014</v>
      </c>
      <c r="C296" t="s">
        <v>35</v>
      </c>
      <c r="D296" t="s">
        <v>183</v>
      </c>
      <c r="E296">
        <v>73</v>
      </c>
    </row>
    <row r="297" spans="1:5" x14ac:dyDescent="0.35">
      <c r="A297" s="13">
        <v>41640</v>
      </c>
      <c r="B297">
        <f>YEAR(Country_Masterlist__6[[#This Row],[Year1]])</f>
        <v>2014</v>
      </c>
      <c r="C297" t="s">
        <v>34</v>
      </c>
      <c r="D297" t="s">
        <v>184</v>
      </c>
      <c r="E297">
        <v>78</v>
      </c>
    </row>
    <row r="298" spans="1:5" x14ac:dyDescent="0.35">
      <c r="A298" s="13">
        <v>41640</v>
      </c>
      <c r="B298">
        <f>YEAR(Country_Masterlist__6[[#This Row],[Year1]])</f>
        <v>2014</v>
      </c>
      <c r="C298" t="s">
        <v>34</v>
      </c>
      <c r="D298" t="s">
        <v>185</v>
      </c>
      <c r="E298">
        <v>339</v>
      </c>
    </row>
    <row r="299" spans="1:5" x14ac:dyDescent="0.35">
      <c r="A299" s="13">
        <v>41640</v>
      </c>
      <c r="B299">
        <f>YEAR(Country_Masterlist__6[[#This Row],[Year1]])</f>
        <v>2014</v>
      </c>
      <c r="C299" t="s">
        <v>33</v>
      </c>
      <c r="D299" t="s">
        <v>187</v>
      </c>
      <c r="E299">
        <v>22</v>
      </c>
    </row>
    <row r="300" spans="1:5" x14ac:dyDescent="0.35">
      <c r="A300" s="13">
        <v>41640</v>
      </c>
      <c r="B300">
        <f>YEAR(Country_Masterlist__6[[#This Row],[Year1]])</f>
        <v>2014</v>
      </c>
      <c r="C300" t="s">
        <v>34</v>
      </c>
      <c r="D300" t="s">
        <v>188</v>
      </c>
      <c r="E300">
        <v>93</v>
      </c>
    </row>
    <row r="301" spans="1:5" x14ac:dyDescent="0.35">
      <c r="A301" s="13">
        <v>41640</v>
      </c>
      <c r="B301">
        <f>YEAR(Country_Masterlist__6[[#This Row],[Year1]])</f>
        <v>2014</v>
      </c>
      <c r="C301" t="s">
        <v>33</v>
      </c>
      <c r="D301" t="s">
        <v>189</v>
      </c>
      <c r="E301">
        <v>9</v>
      </c>
    </row>
    <row r="302" spans="1:5" x14ac:dyDescent="0.35">
      <c r="A302" s="13">
        <v>41640</v>
      </c>
      <c r="B302">
        <f>YEAR(Country_Masterlist__6[[#This Row],[Year1]])</f>
        <v>2014</v>
      </c>
      <c r="C302" t="s">
        <v>37</v>
      </c>
      <c r="D302" t="s">
        <v>190</v>
      </c>
      <c r="E302">
        <v>4</v>
      </c>
    </row>
    <row r="303" spans="1:5" x14ac:dyDescent="0.35">
      <c r="A303" s="13">
        <v>41640</v>
      </c>
      <c r="B303">
        <f>YEAR(Country_Masterlist__6[[#This Row],[Year1]])</f>
        <v>2014</v>
      </c>
      <c r="C303" t="s">
        <v>36</v>
      </c>
      <c r="D303" t="s">
        <v>191</v>
      </c>
      <c r="E303">
        <v>46</v>
      </c>
    </row>
    <row r="304" spans="1:5" x14ac:dyDescent="0.35">
      <c r="A304" s="13">
        <v>41640</v>
      </c>
      <c r="B304">
        <f>YEAR(Country_Masterlist__6[[#This Row],[Year1]])</f>
        <v>2014</v>
      </c>
      <c r="C304" t="s">
        <v>33</v>
      </c>
      <c r="D304" t="s">
        <v>192</v>
      </c>
      <c r="E304">
        <v>29</v>
      </c>
    </row>
    <row r="305" spans="1:5" x14ac:dyDescent="0.35">
      <c r="A305" s="13">
        <v>41640</v>
      </c>
      <c r="B305">
        <f>YEAR(Country_Masterlist__6[[#This Row],[Year1]])</f>
        <v>2014</v>
      </c>
      <c r="C305" t="s">
        <v>34</v>
      </c>
      <c r="D305" t="s">
        <v>193</v>
      </c>
      <c r="E305">
        <v>69</v>
      </c>
    </row>
    <row r="306" spans="1:5" x14ac:dyDescent="0.35">
      <c r="A306" s="13">
        <v>41640</v>
      </c>
      <c r="B306">
        <f>YEAR(Country_Masterlist__6[[#This Row],[Year1]])</f>
        <v>2014</v>
      </c>
      <c r="C306" t="s">
        <v>34</v>
      </c>
      <c r="D306" t="s">
        <v>194</v>
      </c>
      <c r="E306">
        <v>13</v>
      </c>
    </row>
    <row r="307" spans="1:5" x14ac:dyDescent="0.35">
      <c r="A307" s="13">
        <v>41640</v>
      </c>
      <c r="B307">
        <f>YEAR(Country_Masterlist__6[[#This Row],[Year1]])</f>
        <v>2014</v>
      </c>
      <c r="C307" t="s">
        <v>33</v>
      </c>
      <c r="D307" t="s">
        <v>195</v>
      </c>
      <c r="E307">
        <v>19</v>
      </c>
    </row>
    <row r="308" spans="1:5" x14ac:dyDescent="0.35">
      <c r="A308" s="13">
        <v>41640</v>
      </c>
      <c r="B308">
        <f>YEAR(Country_Masterlist__6[[#This Row],[Year1]])</f>
        <v>2014</v>
      </c>
      <c r="C308" t="s">
        <v>35</v>
      </c>
      <c r="D308" t="s">
        <v>196</v>
      </c>
      <c r="E308">
        <v>88</v>
      </c>
    </row>
    <row r="309" spans="1:5" x14ac:dyDescent="0.35">
      <c r="A309" s="13">
        <v>41640</v>
      </c>
      <c r="B309">
        <f>YEAR(Country_Masterlist__6[[#This Row],[Year1]])</f>
        <v>2014</v>
      </c>
      <c r="C309" t="s">
        <v>34</v>
      </c>
      <c r="D309" t="s">
        <v>197</v>
      </c>
      <c r="E309">
        <v>23</v>
      </c>
    </row>
    <row r="310" spans="1:5" x14ac:dyDescent="0.35">
      <c r="A310" s="13">
        <v>41640</v>
      </c>
      <c r="B310">
        <f>YEAR(Country_Masterlist__6[[#This Row],[Year1]])</f>
        <v>2014</v>
      </c>
      <c r="C310" t="s">
        <v>35</v>
      </c>
      <c r="D310" t="s">
        <v>198</v>
      </c>
      <c r="E310">
        <v>1151</v>
      </c>
    </row>
    <row r="311" spans="1:5" x14ac:dyDescent="0.35">
      <c r="A311" s="13">
        <v>41640</v>
      </c>
      <c r="B311">
        <f>YEAR(Country_Masterlist__6[[#This Row],[Year1]])</f>
        <v>2014</v>
      </c>
      <c r="C311" t="s">
        <v>38</v>
      </c>
      <c r="D311" t="s">
        <v>199</v>
      </c>
      <c r="E311">
        <v>6</v>
      </c>
    </row>
    <row r="312" spans="1:5" x14ac:dyDescent="0.35">
      <c r="A312" s="13">
        <v>41640</v>
      </c>
      <c r="B312">
        <f>YEAR(Country_Masterlist__6[[#This Row],[Year1]])</f>
        <v>2014</v>
      </c>
      <c r="C312" t="s">
        <v>34</v>
      </c>
      <c r="D312" t="s">
        <v>200</v>
      </c>
      <c r="E312">
        <v>19</v>
      </c>
    </row>
    <row r="313" spans="1:5" x14ac:dyDescent="0.35">
      <c r="A313" s="13">
        <v>41640</v>
      </c>
      <c r="B313">
        <f>YEAR(Country_Masterlist__6[[#This Row],[Year1]])</f>
        <v>2014</v>
      </c>
      <c r="C313" t="s">
        <v>38</v>
      </c>
      <c r="D313" t="s">
        <v>19</v>
      </c>
      <c r="E313">
        <v>177</v>
      </c>
    </row>
    <row r="314" spans="1:5" x14ac:dyDescent="0.35">
      <c r="A314" s="13">
        <v>41640</v>
      </c>
      <c r="B314">
        <f>YEAR(Country_Masterlist__6[[#This Row],[Year1]])</f>
        <v>2014</v>
      </c>
      <c r="C314" t="s">
        <v>34</v>
      </c>
      <c r="D314" t="s">
        <v>201</v>
      </c>
      <c r="E314">
        <v>88</v>
      </c>
    </row>
    <row r="315" spans="1:5" x14ac:dyDescent="0.35">
      <c r="A315" s="13">
        <v>41640</v>
      </c>
      <c r="B315">
        <f>YEAR(Country_Masterlist__6[[#This Row],[Year1]])</f>
        <v>2014</v>
      </c>
      <c r="C315" t="s">
        <v>34</v>
      </c>
      <c r="D315" t="s">
        <v>202</v>
      </c>
      <c r="E315">
        <v>16</v>
      </c>
    </row>
    <row r="316" spans="1:5" x14ac:dyDescent="0.35">
      <c r="A316" s="13">
        <v>41640</v>
      </c>
      <c r="B316">
        <f>YEAR(Country_Masterlist__6[[#This Row],[Year1]])</f>
        <v>2014</v>
      </c>
      <c r="C316" t="s">
        <v>33</v>
      </c>
      <c r="D316" t="s">
        <v>203</v>
      </c>
      <c r="E316">
        <v>7</v>
      </c>
    </row>
    <row r="317" spans="1:5" x14ac:dyDescent="0.35">
      <c r="A317" s="13">
        <v>41640</v>
      </c>
      <c r="B317">
        <f>YEAR(Country_Masterlist__6[[#This Row],[Year1]])</f>
        <v>2014</v>
      </c>
      <c r="C317" t="s">
        <v>33</v>
      </c>
      <c r="D317" t="s">
        <v>204</v>
      </c>
      <c r="E317">
        <v>26</v>
      </c>
    </row>
    <row r="318" spans="1:5" x14ac:dyDescent="0.35">
      <c r="A318" s="13">
        <v>41640</v>
      </c>
      <c r="B318">
        <f>YEAR(Country_Masterlist__6[[#This Row],[Year1]])</f>
        <v>2014</v>
      </c>
      <c r="D318" t="s">
        <v>373</v>
      </c>
      <c r="E318">
        <v>72</v>
      </c>
    </row>
    <row r="319" spans="1:5" x14ac:dyDescent="0.35">
      <c r="A319" s="13">
        <v>41640</v>
      </c>
      <c r="B319">
        <f>YEAR(Country_Masterlist__6[[#This Row],[Year1]])</f>
        <v>2014</v>
      </c>
      <c r="C319" t="s">
        <v>39</v>
      </c>
      <c r="D319" t="s">
        <v>39</v>
      </c>
      <c r="E319">
        <v>104</v>
      </c>
    </row>
    <row r="320" spans="1:5" x14ac:dyDescent="0.35">
      <c r="A320" s="13">
        <v>42005</v>
      </c>
      <c r="B320">
        <f>YEAR(Country_Masterlist__6[[#This Row],[Year1]])</f>
        <v>2015</v>
      </c>
      <c r="C320" t="s">
        <v>34</v>
      </c>
      <c r="D320" t="s">
        <v>40</v>
      </c>
      <c r="E320">
        <v>48</v>
      </c>
    </row>
    <row r="321" spans="1:5" x14ac:dyDescent="0.35">
      <c r="A321" s="13">
        <v>42005</v>
      </c>
      <c r="B321">
        <f>YEAR(Country_Masterlist__6[[#This Row],[Year1]])</f>
        <v>2015</v>
      </c>
      <c r="C321" t="s">
        <v>35</v>
      </c>
      <c r="D321" t="s">
        <v>41</v>
      </c>
      <c r="E321">
        <v>14</v>
      </c>
    </row>
    <row r="322" spans="1:5" x14ac:dyDescent="0.35">
      <c r="A322" s="13">
        <v>42005</v>
      </c>
      <c r="B322">
        <f>YEAR(Country_Masterlist__6[[#This Row],[Year1]])</f>
        <v>2015</v>
      </c>
      <c r="C322" t="s">
        <v>33</v>
      </c>
      <c r="D322" t="s">
        <v>42</v>
      </c>
      <c r="E322">
        <v>45</v>
      </c>
    </row>
    <row r="323" spans="1:5" x14ac:dyDescent="0.35">
      <c r="A323" s="13">
        <v>42005</v>
      </c>
      <c r="B323">
        <f>YEAR(Country_Masterlist__6[[#This Row],[Year1]])</f>
        <v>2015</v>
      </c>
      <c r="C323" t="s">
        <v>33</v>
      </c>
      <c r="D323" t="s">
        <v>43</v>
      </c>
      <c r="E323">
        <v>21</v>
      </c>
    </row>
    <row r="324" spans="1:5" x14ac:dyDescent="0.35">
      <c r="A324" s="13">
        <v>42005</v>
      </c>
      <c r="B324">
        <f>YEAR(Country_Masterlist__6[[#This Row],[Year1]])</f>
        <v>2015</v>
      </c>
      <c r="C324" t="s">
        <v>36</v>
      </c>
      <c r="D324" t="s">
        <v>44</v>
      </c>
      <c r="E324">
        <v>10</v>
      </c>
    </row>
    <row r="325" spans="1:5" x14ac:dyDescent="0.35">
      <c r="A325" s="13">
        <v>42005</v>
      </c>
      <c r="B325">
        <f>YEAR(Country_Masterlist__6[[#This Row],[Year1]])</f>
        <v>2015</v>
      </c>
      <c r="C325" t="s">
        <v>38</v>
      </c>
      <c r="D325" t="s">
        <v>45</v>
      </c>
      <c r="E325">
        <v>69</v>
      </c>
    </row>
    <row r="326" spans="1:5" x14ac:dyDescent="0.35">
      <c r="A326" s="13">
        <v>42005</v>
      </c>
      <c r="B326">
        <f>YEAR(Country_Masterlist__6[[#This Row],[Year1]])</f>
        <v>2015</v>
      </c>
      <c r="C326" t="s">
        <v>34</v>
      </c>
      <c r="D326" t="s">
        <v>46</v>
      </c>
      <c r="E326">
        <v>13</v>
      </c>
    </row>
    <row r="327" spans="1:5" x14ac:dyDescent="0.35">
      <c r="A327" s="13">
        <v>42005</v>
      </c>
      <c r="B327">
        <f>YEAR(Country_Masterlist__6[[#This Row],[Year1]])</f>
        <v>2015</v>
      </c>
      <c r="C327" t="s">
        <v>37</v>
      </c>
      <c r="D327" t="s">
        <v>47</v>
      </c>
      <c r="E327">
        <v>449</v>
      </c>
    </row>
    <row r="328" spans="1:5" x14ac:dyDescent="0.35">
      <c r="A328" s="13">
        <v>42005</v>
      </c>
      <c r="B328">
        <f>YEAR(Country_Masterlist__6[[#This Row],[Year1]])</f>
        <v>2015</v>
      </c>
      <c r="C328" t="s">
        <v>35</v>
      </c>
      <c r="D328" t="s">
        <v>48</v>
      </c>
      <c r="E328">
        <v>31</v>
      </c>
    </row>
    <row r="329" spans="1:5" x14ac:dyDescent="0.35">
      <c r="A329" s="13">
        <v>42005</v>
      </c>
      <c r="B329">
        <f>YEAR(Country_Masterlist__6[[#This Row],[Year1]])</f>
        <v>2015</v>
      </c>
      <c r="C329" t="s">
        <v>34</v>
      </c>
      <c r="D329" t="s">
        <v>49</v>
      </c>
      <c r="E329">
        <v>3</v>
      </c>
    </row>
    <row r="330" spans="1:5" x14ac:dyDescent="0.35">
      <c r="A330" s="13">
        <v>42005</v>
      </c>
      <c r="B330">
        <f>YEAR(Country_Masterlist__6[[#This Row],[Year1]])</f>
        <v>2015</v>
      </c>
      <c r="C330" t="s">
        <v>36</v>
      </c>
      <c r="D330" t="s">
        <v>50</v>
      </c>
      <c r="E330">
        <v>448</v>
      </c>
    </row>
    <row r="331" spans="1:5" x14ac:dyDescent="0.35">
      <c r="A331" s="13">
        <v>42005</v>
      </c>
      <c r="B331">
        <f>YEAR(Country_Masterlist__6[[#This Row],[Year1]])</f>
        <v>2015</v>
      </c>
      <c r="C331" t="s">
        <v>34</v>
      </c>
      <c r="D331" t="s">
        <v>51</v>
      </c>
      <c r="E331" t="s">
        <v>205</v>
      </c>
    </row>
    <row r="332" spans="1:5" x14ac:dyDescent="0.35">
      <c r="A332" s="13">
        <v>42005</v>
      </c>
      <c r="B332">
        <f>YEAR(Country_Masterlist__6[[#This Row],[Year1]])</f>
        <v>2015</v>
      </c>
      <c r="C332" t="s">
        <v>34</v>
      </c>
      <c r="D332" t="s">
        <v>52</v>
      </c>
      <c r="E332">
        <v>169</v>
      </c>
    </row>
    <row r="333" spans="1:5" x14ac:dyDescent="0.35">
      <c r="A333" s="13">
        <v>42005</v>
      </c>
      <c r="B333">
        <f>YEAR(Country_Masterlist__6[[#This Row],[Year1]])</f>
        <v>2015</v>
      </c>
      <c r="C333" t="s">
        <v>36</v>
      </c>
      <c r="D333" t="s">
        <v>53</v>
      </c>
      <c r="E333">
        <v>19</v>
      </c>
    </row>
    <row r="334" spans="1:5" x14ac:dyDescent="0.35">
      <c r="A334" s="13">
        <v>42005</v>
      </c>
      <c r="B334">
        <f>YEAR(Country_Masterlist__6[[#This Row],[Year1]])</f>
        <v>2015</v>
      </c>
      <c r="C334" t="s">
        <v>35</v>
      </c>
      <c r="D334" t="s">
        <v>54</v>
      </c>
      <c r="E334">
        <v>14</v>
      </c>
    </row>
    <row r="335" spans="1:5" x14ac:dyDescent="0.35">
      <c r="A335" s="13">
        <v>42005</v>
      </c>
      <c r="B335">
        <f>YEAR(Country_Masterlist__6[[#This Row],[Year1]])</f>
        <v>2015</v>
      </c>
      <c r="C335" t="s">
        <v>35</v>
      </c>
      <c r="D335" t="s">
        <v>55</v>
      </c>
      <c r="E335">
        <v>71</v>
      </c>
    </row>
    <row r="336" spans="1:5" x14ac:dyDescent="0.35">
      <c r="A336" s="13">
        <v>42005</v>
      </c>
      <c r="B336">
        <f>YEAR(Country_Masterlist__6[[#This Row],[Year1]])</f>
        <v>2015</v>
      </c>
      <c r="C336" t="s">
        <v>36</v>
      </c>
      <c r="D336" t="s">
        <v>56</v>
      </c>
      <c r="E336">
        <v>26</v>
      </c>
    </row>
    <row r="337" spans="1:5" x14ac:dyDescent="0.35">
      <c r="A337" s="13">
        <v>42005</v>
      </c>
      <c r="B337">
        <f>YEAR(Country_Masterlist__6[[#This Row],[Year1]])</f>
        <v>2015</v>
      </c>
      <c r="C337" t="s">
        <v>33</v>
      </c>
      <c r="D337" t="s">
        <v>57</v>
      </c>
      <c r="E337">
        <v>16</v>
      </c>
    </row>
    <row r="338" spans="1:5" x14ac:dyDescent="0.35">
      <c r="A338" s="13">
        <v>42005</v>
      </c>
      <c r="B338">
        <f>YEAR(Country_Masterlist__6[[#This Row],[Year1]])</f>
        <v>2015</v>
      </c>
      <c r="C338" t="s">
        <v>38</v>
      </c>
      <c r="D338" t="s">
        <v>59</v>
      </c>
      <c r="E338">
        <v>19</v>
      </c>
    </row>
    <row r="339" spans="1:5" x14ac:dyDescent="0.35">
      <c r="A339" s="13">
        <v>42005</v>
      </c>
      <c r="B339">
        <f>YEAR(Country_Masterlist__6[[#This Row],[Year1]])</f>
        <v>2015</v>
      </c>
      <c r="C339" t="s">
        <v>35</v>
      </c>
      <c r="D339" t="s">
        <v>60</v>
      </c>
      <c r="E339">
        <v>12</v>
      </c>
    </row>
    <row r="340" spans="1:5" x14ac:dyDescent="0.35">
      <c r="A340" s="13">
        <v>42005</v>
      </c>
      <c r="B340">
        <f>YEAR(Country_Masterlist__6[[#This Row],[Year1]])</f>
        <v>2015</v>
      </c>
      <c r="C340" t="s">
        <v>38</v>
      </c>
      <c r="D340" t="s">
        <v>21</v>
      </c>
      <c r="E340">
        <v>472</v>
      </c>
    </row>
    <row r="341" spans="1:5" x14ac:dyDescent="0.35">
      <c r="A341" s="13">
        <v>42005</v>
      </c>
      <c r="B341">
        <f>YEAR(Country_Masterlist__6[[#This Row],[Year1]])</f>
        <v>2015</v>
      </c>
      <c r="C341" t="s">
        <v>35</v>
      </c>
      <c r="D341" t="s">
        <v>62</v>
      </c>
      <c r="E341">
        <v>34</v>
      </c>
    </row>
    <row r="342" spans="1:5" x14ac:dyDescent="0.35">
      <c r="A342" s="13">
        <v>42005</v>
      </c>
      <c r="B342">
        <f>YEAR(Country_Masterlist__6[[#This Row],[Year1]])</f>
        <v>2015</v>
      </c>
      <c r="C342" t="s">
        <v>33</v>
      </c>
      <c r="D342" t="s">
        <v>63</v>
      </c>
      <c r="E342">
        <v>23</v>
      </c>
    </row>
    <row r="343" spans="1:5" x14ac:dyDescent="0.35">
      <c r="A343" s="13">
        <v>42005</v>
      </c>
      <c r="B343">
        <f>YEAR(Country_Masterlist__6[[#This Row],[Year1]])</f>
        <v>2015</v>
      </c>
      <c r="C343" t="s">
        <v>34</v>
      </c>
      <c r="D343" t="s">
        <v>64</v>
      </c>
      <c r="E343">
        <v>8</v>
      </c>
    </row>
    <row r="344" spans="1:5" x14ac:dyDescent="0.35">
      <c r="A344" s="13">
        <v>42005</v>
      </c>
      <c r="B344">
        <f>YEAR(Country_Masterlist__6[[#This Row],[Year1]])</f>
        <v>2015</v>
      </c>
      <c r="C344" t="s">
        <v>33</v>
      </c>
      <c r="D344" t="s">
        <v>65</v>
      </c>
      <c r="E344">
        <v>6</v>
      </c>
    </row>
    <row r="345" spans="1:5" x14ac:dyDescent="0.35">
      <c r="A345" s="13">
        <v>42005</v>
      </c>
      <c r="B345">
        <f>YEAR(Country_Masterlist__6[[#This Row],[Year1]])</f>
        <v>2015</v>
      </c>
      <c r="C345" t="s">
        <v>33</v>
      </c>
      <c r="D345" t="s">
        <v>66</v>
      </c>
      <c r="E345">
        <v>3</v>
      </c>
    </row>
    <row r="346" spans="1:5" x14ac:dyDescent="0.35">
      <c r="A346" s="13">
        <v>42005</v>
      </c>
      <c r="B346">
        <f>YEAR(Country_Masterlist__6[[#This Row],[Year1]])</f>
        <v>2015</v>
      </c>
      <c r="C346" t="s">
        <v>34</v>
      </c>
      <c r="D346" t="s">
        <v>67</v>
      </c>
      <c r="E346">
        <v>8</v>
      </c>
    </row>
    <row r="347" spans="1:5" x14ac:dyDescent="0.35">
      <c r="A347" s="13">
        <v>42005</v>
      </c>
      <c r="B347">
        <f>YEAR(Country_Masterlist__6[[#This Row],[Year1]])</f>
        <v>2015</v>
      </c>
      <c r="C347" t="s">
        <v>33</v>
      </c>
      <c r="D347" t="s">
        <v>68</v>
      </c>
      <c r="E347">
        <v>73</v>
      </c>
    </row>
    <row r="348" spans="1:5" x14ac:dyDescent="0.35">
      <c r="A348" s="13">
        <v>42005</v>
      </c>
      <c r="B348">
        <f>YEAR(Country_Masterlist__6[[#This Row],[Year1]])</f>
        <v>2015</v>
      </c>
      <c r="C348" t="s">
        <v>36</v>
      </c>
      <c r="D348" t="s">
        <v>69</v>
      </c>
      <c r="E348">
        <v>22512</v>
      </c>
    </row>
    <row r="349" spans="1:5" x14ac:dyDescent="0.35">
      <c r="A349" s="13">
        <v>42005</v>
      </c>
      <c r="B349">
        <f>YEAR(Country_Masterlist__6[[#This Row],[Year1]])</f>
        <v>2015</v>
      </c>
      <c r="C349" t="s">
        <v>38</v>
      </c>
      <c r="D349" t="s">
        <v>72</v>
      </c>
      <c r="E349">
        <v>262</v>
      </c>
    </row>
    <row r="350" spans="1:5" x14ac:dyDescent="0.35">
      <c r="A350" s="13">
        <v>42005</v>
      </c>
      <c r="B350">
        <f>YEAR(Country_Masterlist__6[[#This Row],[Year1]])</f>
        <v>2015</v>
      </c>
      <c r="C350" t="s">
        <v>34</v>
      </c>
      <c r="D350" t="s">
        <v>73</v>
      </c>
      <c r="E350">
        <v>2121</v>
      </c>
    </row>
    <row r="351" spans="1:5" x14ac:dyDescent="0.35">
      <c r="A351" s="13">
        <v>42005</v>
      </c>
      <c r="B351">
        <f>YEAR(Country_Masterlist__6[[#This Row],[Year1]])</f>
        <v>2015</v>
      </c>
      <c r="C351" t="s">
        <v>38</v>
      </c>
      <c r="D351" t="s">
        <v>20</v>
      </c>
      <c r="E351">
        <v>501</v>
      </c>
    </row>
    <row r="352" spans="1:5" x14ac:dyDescent="0.35">
      <c r="A352" s="13">
        <v>42005</v>
      </c>
      <c r="B352">
        <f>YEAR(Country_Masterlist__6[[#This Row],[Year1]])</f>
        <v>2015</v>
      </c>
      <c r="C352" t="s">
        <v>33</v>
      </c>
      <c r="D352" t="s">
        <v>74</v>
      </c>
      <c r="E352">
        <v>74</v>
      </c>
    </row>
    <row r="353" spans="1:5" x14ac:dyDescent="0.35">
      <c r="A353" s="13">
        <v>42005</v>
      </c>
      <c r="B353">
        <f>YEAR(Country_Masterlist__6[[#This Row],[Year1]])</f>
        <v>2015</v>
      </c>
      <c r="C353" t="s">
        <v>33</v>
      </c>
      <c r="D353" t="s">
        <v>75</v>
      </c>
      <c r="E353">
        <v>6</v>
      </c>
    </row>
    <row r="354" spans="1:5" x14ac:dyDescent="0.35">
      <c r="A354" s="13">
        <v>42005</v>
      </c>
      <c r="B354">
        <f>YEAR(Country_Masterlist__6[[#This Row],[Year1]])</f>
        <v>2015</v>
      </c>
      <c r="C354" t="s">
        <v>36</v>
      </c>
      <c r="D354" t="s">
        <v>76</v>
      </c>
      <c r="E354">
        <v>55</v>
      </c>
    </row>
    <row r="355" spans="1:5" x14ac:dyDescent="0.35">
      <c r="A355" s="13">
        <v>42005</v>
      </c>
      <c r="B355">
        <f>YEAR(Country_Masterlist__6[[#This Row],[Year1]])</f>
        <v>2015</v>
      </c>
      <c r="C355" t="s">
        <v>33</v>
      </c>
      <c r="D355" t="s">
        <v>77</v>
      </c>
      <c r="E355">
        <v>30</v>
      </c>
    </row>
    <row r="356" spans="1:5" x14ac:dyDescent="0.35">
      <c r="A356" s="13">
        <v>42005</v>
      </c>
      <c r="B356">
        <f>YEAR(Country_Masterlist__6[[#This Row],[Year1]])</f>
        <v>2015</v>
      </c>
      <c r="C356" t="s">
        <v>35</v>
      </c>
      <c r="D356" t="s">
        <v>78</v>
      </c>
      <c r="E356">
        <v>29</v>
      </c>
    </row>
    <row r="357" spans="1:5" x14ac:dyDescent="0.35">
      <c r="A357" s="13">
        <v>42005</v>
      </c>
      <c r="B357">
        <f>YEAR(Country_Masterlist__6[[#This Row],[Year1]])</f>
        <v>2015</v>
      </c>
      <c r="C357" t="s">
        <v>36</v>
      </c>
      <c r="D357" t="s">
        <v>79</v>
      </c>
      <c r="E357">
        <v>49</v>
      </c>
    </row>
    <row r="358" spans="1:5" x14ac:dyDescent="0.35">
      <c r="A358" s="13">
        <v>42005</v>
      </c>
      <c r="B358">
        <f>YEAR(Country_Masterlist__6[[#This Row],[Year1]])</f>
        <v>2015</v>
      </c>
      <c r="C358" t="s">
        <v>34</v>
      </c>
      <c r="D358" t="s">
        <v>80</v>
      </c>
      <c r="E358">
        <v>12</v>
      </c>
    </row>
    <row r="359" spans="1:5" x14ac:dyDescent="0.35">
      <c r="A359" s="13">
        <v>42005</v>
      </c>
      <c r="B359">
        <f>YEAR(Country_Masterlist__6[[#This Row],[Year1]])</f>
        <v>2015</v>
      </c>
      <c r="C359" t="s">
        <v>35</v>
      </c>
      <c r="D359" t="s">
        <v>81</v>
      </c>
      <c r="E359">
        <v>129</v>
      </c>
    </row>
    <row r="360" spans="1:5" x14ac:dyDescent="0.35">
      <c r="A360" s="13">
        <v>42005</v>
      </c>
      <c r="B360">
        <f>YEAR(Country_Masterlist__6[[#This Row],[Year1]])</f>
        <v>2015</v>
      </c>
      <c r="C360" t="s">
        <v>35</v>
      </c>
      <c r="D360" t="s">
        <v>82</v>
      </c>
      <c r="E360">
        <v>48</v>
      </c>
    </row>
    <row r="361" spans="1:5" x14ac:dyDescent="0.35">
      <c r="A361" s="13">
        <v>42005</v>
      </c>
      <c r="B361">
        <f>YEAR(Country_Masterlist__6[[#This Row],[Year1]])</f>
        <v>2015</v>
      </c>
      <c r="C361" t="s">
        <v>36</v>
      </c>
      <c r="D361" t="s">
        <v>84</v>
      </c>
      <c r="E361">
        <v>12</v>
      </c>
    </row>
    <row r="362" spans="1:5" x14ac:dyDescent="0.35">
      <c r="A362" s="13">
        <v>42005</v>
      </c>
      <c r="B362">
        <f>YEAR(Country_Masterlist__6[[#This Row],[Year1]])</f>
        <v>2015</v>
      </c>
      <c r="C362" t="s">
        <v>36</v>
      </c>
      <c r="D362" t="s">
        <v>85</v>
      </c>
      <c r="E362">
        <v>335</v>
      </c>
    </row>
    <row r="363" spans="1:5" x14ac:dyDescent="0.35">
      <c r="A363" s="13">
        <v>42005</v>
      </c>
      <c r="B363">
        <f>YEAR(Country_Masterlist__6[[#This Row],[Year1]])</f>
        <v>2015</v>
      </c>
      <c r="C363" t="s">
        <v>38</v>
      </c>
      <c r="D363" t="s">
        <v>86</v>
      </c>
      <c r="E363">
        <v>243</v>
      </c>
    </row>
    <row r="364" spans="1:5" x14ac:dyDescent="0.35">
      <c r="A364" s="13">
        <v>42005</v>
      </c>
      <c r="B364">
        <f>YEAR(Country_Masterlist__6[[#This Row],[Year1]])</f>
        <v>2015</v>
      </c>
      <c r="C364" t="s">
        <v>33</v>
      </c>
      <c r="D364" t="s">
        <v>87</v>
      </c>
      <c r="E364">
        <v>126</v>
      </c>
    </row>
    <row r="365" spans="1:5" x14ac:dyDescent="0.35">
      <c r="A365" s="13">
        <v>42005</v>
      </c>
      <c r="B365">
        <f>YEAR(Country_Masterlist__6[[#This Row],[Year1]])</f>
        <v>2015</v>
      </c>
      <c r="C365" t="s">
        <v>36</v>
      </c>
      <c r="D365" t="s">
        <v>16</v>
      </c>
      <c r="E365">
        <v>423</v>
      </c>
    </row>
    <row r="366" spans="1:5" x14ac:dyDescent="0.35">
      <c r="A366" s="13">
        <v>42005</v>
      </c>
      <c r="B366">
        <f>YEAR(Country_Masterlist__6[[#This Row],[Year1]])</f>
        <v>2015</v>
      </c>
      <c r="C366" t="s">
        <v>33</v>
      </c>
      <c r="D366" t="s">
        <v>89</v>
      </c>
      <c r="E366">
        <v>18</v>
      </c>
    </row>
    <row r="367" spans="1:5" x14ac:dyDescent="0.35">
      <c r="A367" s="13">
        <v>42005</v>
      </c>
      <c r="B367">
        <f>YEAR(Country_Masterlist__6[[#This Row],[Year1]])</f>
        <v>2015</v>
      </c>
      <c r="C367" t="s">
        <v>35</v>
      </c>
      <c r="D367" t="s">
        <v>90</v>
      </c>
      <c r="E367">
        <v>21</v>
      </c>
    </row>
    <row r="368" spans="1:5" x14ac:dyDescent="0.35">
      <c r="A368" s="13">
        <v>42005</v>
      </c>
      <c r="B368">
        <f>YEAR(Country_Masterlist__6[[#This Row],[Year1]])</f>
        <v>2015</v>
      </c>
      <c r="C368" t="s">
        <v>33</v>
      </c>
      <c r="D368" t="s">
        <v>91</v>
      </c>
      <c r="E368">
        <v>36</v>
      </c>
    </row>
    <row r="369" spans="1:5" x14ac:dyDescent="0.35">
      <c r="A369" s="13">
        <v>42005</v>
      </c>
      <c r="B369">
        <f>YEAR(Country_Masterlist__6[[#This Row],[Year1]])</f>
        <v>2015</v>
      </c>
      <c r="C369" t="s">
        <v>37</v>
      </c>
      <c r="D369" t="s">
        <v>92</v>
      </c>
      <c r="E369">
        <v>29</v>
      </c>
    </row>
    <row r="370" spans="1:5" x14ac:dyDescent="0.35">
      <c r="A370" s="13">
        <v>42005</v>
      </c>
      <c r="B370">
        <f>YEAR(Country_Masterlist__6[[#This Row],[Year1]])</f>
        <v>2015</v>
      </c>
      <c r="C370" t="s">
        <v>35</v>
      </c>
      <c r="D370" t="s">
        <v>93</v>
      </c>
      <c r="E370">
        <v>30</v>
      </c>
    </row>
    <row r="371" spans="1:5" x14ac:dyDescent="0.35">
      <c r="A371" s="13">
        <v>42005</v>
      </c>
      <c r="B371">
        <f>YEAR(Country_Masterlist__6[[#This Row],[Year1]])</f>
        <v>2015</v>
      </c>
      <c r="C371" t="s">
        <v>35</v>
      </c>
      <c r="D371" t="s">
        <v>94</v>
      </c>
      <c r="E371">
        <v>556</v>
      </c>
    </row>
    <row r="372" spans="1:5" x14ac:dyDescent="0.35">
      <c r="A372" s="13">
        <v>42005</v>
      </c>
      <c r="B372">
        <f>YEAR(Country_Masterlist__6[[#This Row],[Year1]])</f>
        <v>2015</v>
      </c>
      <c r="C372" t="s">
        <v>33</v>
      </c>
      <c r="D372" t="s">
        <v>95</v>
      </c>
      <c r="E372">
        <v>12</v>
      </c>
    </row>
    <row r="373" spans="1:5" x14ac:dyDescent="0.35">
      <c r="A373" s="13">
        <v>42005</v>
      </c>
      <c r="B373">
        <f>YEAR(Country_Masterlist__6[[#This Row],[Year1]])</f>
        <v>2015</v>
      </c>
      <c r="C373" t="s">
        <v>33</v>
      </c>
      <c r="D373" t="s">
        <v>96</v>
      </c>
      <c r="E373">
        <v>3</v>
      </c>
    </row>
    <row r="374" spans="1:5" x14ac:dyDescent="0.35">
      <c r="A374" s="13">
        <v>42005</v>
      </c>
      <c r="B374">
        <f>YEAR(Country_Masterlist__6[[#This Row],[Year1]])</f>
        <v>2015</v>
      </c>
      <c r="C374" t="s">
        <v>34</v>
      </c>
      <c r="D374" t="s">
        <v>8</v>
      </c>
      <c r="E374">
        <v>4</v>
      </c>
    </row>
    <row r="375" spans="1:5" x14ac:dyDescent="0.35">
      <c r="A375" s="13">
        <v>42005</v>
      </c>
      <c r="B375">
        <f>YEAR(Country_Masterlist__6[[#This Row],[Year1]])</f>
        <v>2015</v>
      </c>
      <c r="C375" t="s">
        <v>35</v>
      </c>
      <c r="D375" t="s">
        <v>97</v>
      </c>
      <c r="E375">
        <v>391</v>
      </c>
    </row>
    <row r="376" spans="1:5" x14ac:dyDescent="0.35">
      <c r="A376" s="13">
        <v>42005</v>
      </c>
      <c r="B376">
        <f>YEAR(Country_Masterlist__6[[#This Row],[Year1]])</f>
        <v>2015</v>
      </c>
      <c r="C376" t="s">
        <v>33</v>
      </c>
      <c r="D376" t="s">
        <v>98</v>
      </c>
      <c r="E376">
        <v>79</v>
      </c>
    </row>
    <row r="377" spans="1:5" x14ac:dyDescent="0.35">
      <c r="A377" s="13">
        <v>42005</v>
      </c>
      <c r="B377">
        <f>YEAR(Country_Masterlist__6[[#This Row],[Year1]])</f>
        <v>2015</v>
      </c>
      <c r="C377" t="s">
        <v>35</v>
      </c>
      <c r="D377" t="s">
        <v>99</v>
      </c>
      <c r="E377">
        <v>142</v>
      </c>
    </row>
    <row r="378" spans="1:5" x14ac:dyDescent="0.35">
      <c r="A378" s="13">
        <v>42005</v>
      </c>
      <c r="B378">
        <f>YEAR(Country_Masterlist__6[[#This Row],[Year1]])</f>
        <v>2015</v>
      </c>
      <c r="C378" t="s">
        <v>36</v>
      </c>
      <c r="D378" t="s">
        <v>100</v>
      </c>
      <c r="E378">
        <v>12</v>
      </c>
    </row>
    <row r="379" spans="1:5" x14ac:dyDescent="0.35">
      <c r="A379" s="13">
        <v>42005</v>
      </c>
      <c r="B379">
        <f>YEAR(Country_Masterlist__6[[#This Row],[Year1]])</f>
        <v>2015</v>
      </c>
      <c r="C379" t="s">
        <v>36</v>
      </c>
      <c r="D379" t="s">
        <v>15</v>
      </c>
      <c r="E379">
        <v>799</v>
      </c>
    </row>
    <row r="380" spans="1:5" x14ac:dyDescent="0.35">
      <c r="A380" s="13">
        <v>42005</v>
      </c>
      <c r="B380">
        <f>YEAR(Country_Masterlist__6[[#This Row],[Year1]])</f>
        <v>2015</v>
      </c>
      <c r="C380" t="s">
        <v>33</v>
      </c>
      <c r="D380" t="s">
        <v>101</v>
      </c>
      <c r="E380">
        <v>15</v>
      </c>
    </row>
    <row r="381" spans="1:5" x14ac:dyDescent="0.35">
      <c r="A381" s="13">
        <v>42005</v>
      </c>
      <c r="B381">
        <f>YEAR(Country_Masterlist__6[[#This Row],[Year1]])</f>
        <v>2015</v>
      </c>
      <c r="C381" t="s">
        <v>38</v>
      </c>
      <c r="D381" t="s">
        <v>103</v>
      </c>
      <c r="E381">
        <v>55</v>
      </c>
    </row>
    <row r="382" spans="1:5" x14ac:dyDescent="0.35">
      <c r="A382" s="13">
        <v>42005</v>
      </c>
      <c r="B382">
        <f>YEAR(Country_Masterlist__6[[#This Row],[Year1]])</f>
        <v>2015</v>
      </c>
      <c r="C382" t="s">
        <v>36</v>
      </c>
      <c r="D382" t="s">
        <v>104</v>
      </c>
      <c r="E382">
        <v>180</v>
      </c>
    </row>
    <row r="383" spans="1:5" x14ac:dyDescent="0.35">
      <c r="A383" s="13">
        <v>42005</v>
      </c>
      <c r="B383">
        <f>YEAR(Country_Masterlist__6[[#This Row],[Year1]])</f>
        <v>2015</v>
      </c>
      <c r="C383" t="s">
        <v>36</v>
      </c>
      <c r="D383" t="s">
        <v>17</v>
      </c>
      <c r="E383">
        <v>555</v>
      </c>
    </row>
    <row r="384" spans="1:5" x14ac:dyDescent="0.35">
      <c r="A384" s="13">
        <v>42005</v>
      </c>
      <c r="B384">
        <f>YEAR(Country_Masterlist__6[[#This Row],[Year1]])</f>
        <v>2015</v>
      </c>
      <c r="C384" t="s">
        <v>35</v>
      </c>
      <c r="D384" t="s">
        <v>105</v>
      </c>
      <c r="E384">
        <v>174</v>
      </c>
    </row>
    <row r="385" spans="1:5" x14ac:dyDescent="0.35">
      <c r="A385" s="13">
        <v>42005</v>
      </c>
      <c r="B385">
        <f>YEAR(Country_Masterlist__6[[#This Row],[Year1]])</f>
        <v>2015</v>
      </c>
      <c r="C385" t="s">
        <v>35</v>
      </c>
      <c r="D385" t="s">
        <v>106</v>
      </c>
      <c r="E385">
        <v>5</v>
      </c>
    </row>
    <row r="386" spans="1:5" x14ac:dyDescent="0.35">
      <c r="A386" s="13">
        <v>42005</v>
      </c>
      <c r="B386">
        <f>YEAR(Country_Masterlist__6[[#This Row],[Year1]])</f>
        <v>2015</v>
      </c>
      <c r="C386" t="s">
        <v>34</v>
      </c>
      <c r="D386" t="s">
        <v>22</v>
      </c>
      <c r="E386">
        <v>1116</v>
      </c>
    </row>
    <row r="387" spans="1:5" x14ac:dyDescent="0.35">
      <c r="A387" s="13">
        <v>42005</v>
      </c>
      <c r="B387">
        <f>YEAR(Country_Masterlist__6[[#This Row],[Year1]])</f>
        <v>2015</v>
      </c>
      <c r="C387" t="s">
        <v>34</v>
      </c>
      <c r="D387" t="s">
        <v>107</v>
      </c>
      <c r="E387">
        <v>59</v>
      </c>
    </row>
    <row r="388" spans="1:5" x14ac:dyDescent="0.35">
      <c r="A388" s="13">
        <v>42005</v>
      </c>
      <c r="B388">
        <f>YEAR(Country_Masterlist__6[[#This Row],[Year1]])</f>
        <v>2015</v>
      </c>
      <c r="C388" t="s">
        <v>34</v>
      </c>
      <c r="D388" t="s">
        <v>108</v>
      </c>
      <c r="E388">
        <v>541</v>
      </c>
    </row>
    <row r="389" spans="1:5" x14ac:dyDescent="0.35">
      <c r="A389" s="13">
        <v>42005</v>
      </c>
      <c r="B389">
        <f>YEAR(Country_Masterlist__6[[#This Row],[Year1]])</f>
        <v>2015</v>
      </c>
      <c r="C389" t="s">
        <v>34</v>
      </c>
      <c r="D389" t="s">
        <v>109</v>
      </c>
      <c r="E389">
        <v>201</v>
      </c>
    </row>
    <row r="390" spans="1:5" x14ac:dyDescent="0.35">
      <c r="A390" s="13">
        <v>42005</v>
      </c>
      <c r="B390">
        <f>YEAR(Country_Masterlist__6[[#This Row],[Year1]])</f>
        <v>2015</v>
      </c>
      <c r="C390" t="s">
        <v>35</v>
      </c>
      <c r="D390" t="s">
        <v>110</v>
      </c>
      <c r="E390">
        <v>125</v>
      </c>
    </row>
    <row r="391" spans="1:5" x14ac:dyDescent="0.35">
      <c r="A391" s="13">
        <v>42005</v>
      </c>
      <c r="B391">
        <f>YEAR(Country_Masterlist__6[[#This Row],[Year1]])</f>
        <v>2015</v>
      </c>
      <c r="C391" t="s">
        <v>34</v>
      </c>
      <c r="D391" t="s">
        <v>111</v>
      </c>
      <c r="E391">
        <v>180</v>
      </c>
    </row>
    <row r="392" spans="1:5" x14ac:dyDescent="0.35">
      <c r="A392" s="13">
        <v>42005</v>
      </c>
      <c r="B392">
        <f>YEAR(Country_Masterlist__6[[#This Row],[Year1]])</f>
        <v>2015</v>
      </c>
      <c r="C392" t="s">
        <v>35</v>
      </c>
      <c r="D392" t="s">
        <v>112</v>
      </c>
      <c r="E392">
        <v>581</v>
      </c>
    </row>
    <row r="393" spans="1:5" x14ac:dyDescent="0.35">
      <c r="A393" s="13">
        <v>42005</v>
      </c>
      <c r="B393">
        <f>YEAR(Country_Masterlist__6[[#This Row],[Year1]])</f>
        <v>2015</v>
      </c>
      <c r="C393" t="s">
        <v>36</v>
      </c>
      <c r="D393" t="s">
        <v>113</v>
      </c>
      <c r="E393">
        <v>461</v>
      </c>
    </row>
    <row r="394" spans="1:5" x14ac:dyDescent="0.35">
      <c r="A394" s="13">
        <v>42005</v>
      </c>
      <c r="B394">
        <f>YEAR(Country_Masterlist__6[[#This Row],[Year1]])</f>
        <v>2015</v>
      </c>
      <c r="C394" t="s">
        <v>34</v>
      </c>
      <c r="D394" t="s">
        <v>114</v>
      </c>
      <c r="E394">
        <v>357</v>
      </c>
    </row>
    <row r="395" spans="1:5" x14ac:dyDescent="0.35">
      <c r="A395" s="13">
        <v>42005</v>
      </c>
      <c r="B395">
        <f>YEAR(Country_Masterlist__6[[#This Row],[Year1]])</f>
        <v>2015</v>
      </c>
      <c r="C395" t="s">
        <v>34</v>
      </c>
      <c r="D395" t="s">
        <v>115</v>
      </c>
      <c r="E395">
        <v>341</v>
      </c>
    </row>
    <row r="396" spans="1:5" x14ac:dyDescent="0.35">
      <c r="A396" s="13">
        <v>42005</v>
      </c>
      <c r="B396">
        <f>YEAR(Country_Masterlist__6[[#This Row],[Year1]])</f>
        <v>2015</v>
      </c>
      <c r="C396" t="s">
        <v>34</v>
      </c>
      <c r="D396" t="s">
        <v>116</v>
      </c>
      <c r="E396">
        <v>24</v>
      </c>
    </row>
    <row r="397" spans="1:5" x14ac:dyDescent="0.35">
      <c r="A397" s="13">
        <v>42005</v>
      </c>
      <c r="B397">
        <f>YEAR(Country_Masterlist__6[[#This Row],[Year1]])</f>
        <v>2015</v>
      </c>
      <c r="C397" t="s">
        <v>33</v>
      </c>
      <c r="D397" t="s">
        <v>117</v>
      </c>
      <c r="E397">
        <v>69</v>
      </c>
    </row>
    <row r="398" spans="1:5" x14ac:dyDescent="0.35">
      <c r="A398" s="13">
        <v>42005</v>
      </c>
      <c r="B398">
        <f>YEAR(Country_Masterlist__6[[#This Row],[Year1]])</f>
        <v>2015</v>
      </c>
      <c r="C398" t="s">
        <v>34</v>
      </c>
      <c r="D398" t="s">
        <v>118</v>
      </c>
      <c r="E398">
        <v>870</v>
      </c>
    </row>
    <row r="399" spans="1:5" x14ac:dyDescent="0.35">
      <c r="A399" s="13">
        <v>42005</v>
      </c>
      <c r="B399">
        <f>YEAR(Country_Masterlist__6[[#This Row],[Year1]])</f>
        <v>2015</v>
      </c>
      <c r="C399" t="s">
        <v>35</v>
      </c>
      <c r="D399" t="s">
        <v>119</v>
      </c>
      <c r="E399">
        <v>11</v>
      </c>
    </row>
    <row r="400" spans="1:5" x14ac:dyDescent="0.35">
      <c r="A400" s="13">
        <v>42005</v>
      </c>
      <c r="B400">
        <f>YEAR(Country_Masterlist__6[[#This Row],[Year1]])</f>
        <v>2015</v>
      </c>
      <c r="C400" t="s">
        <v>34</v>
      </c>
      <c r="D400" t="s">
        <v>120</v>
      </c>
      <c r="E400">
        <v>56</v>
      </c>
    </row>
    <row r="401" spans="1:5" x14ac:dyDescent="0.35">
      <c r="A401" s="13">
        <v>42005</v>
      </c>
      <c r="B401">
        <f>YEAR(Country_Masterlist__6[[#This Row],[Year1]])</f>
        <v>2015</v>
      </c>
      <c r="C401" t="s">
        <v>34</v>
      </c>
      <c r="D401" t="s">
        <v>121</v>
      </c>
      <c r="E401">
        <v>8</v>
      </c>
    </row>
    <row r="402" spans="1:5" x14ac:dyDescent="0.35">
      <c r="A402" s="13">
        <v>42005</v>
      </c>
      <c r="B402">
        <f>YEAR(Country_Masterlist__6[[#This Row],[Year1]])</f>
        <v>2015</v>
      </c>
      <c r="C402" t="s">
        <v>34</v>
      </c>
      <c r="D402" t="s">
        <v>122</v>
      </c>
      <c r="E402">
        <v>6</v>
      </c>
    </row>
    <row r="403" spans="1:5" x14ac:dyDescent="0.35">
      <c r="A403" s="13">
        <v>42005</v>
      </c>
      <c r="B403">
        <f>YEAR(Country_Masterlist__6[[#This Row],[Year1]])</f>
        <v>2015</v>
      </c>
      <c r="C403" t="s">
        <v>35</v>
      </c>
      <c r="D403" t="s">
        <v>123</v>
      </c>
      <c r="E403">
        <v>64</v>
      </c>
    </row>
    <row r="404" spans="1:5" x14ac:dyDescent="0.35">
      <c r="A404" s="13">
        <v>42005</v>
      </c>
      <c r="B404">
        <f>YEAR(Country_Masterlist__6[[#This Row],[Year1]])</f>
        <v>2015</v>
      </c>
      <c r="C404" t="s">
        <v>34</v>
      </c>
      <c r="D404" t="s">
        <v>124</v>
      </c>
      <c r="E404">
        <v>107</v>
      </c>
    </row>
    <row r="405" spans="1:5" x14ac:dyDescent="0.35">
      <c r="A405" s="13">
        <v>42005</v>
      </c>
      <c r="B405">
        <f>YEAR(Country_Masterlist__6[[#This Row],[Year1]])</f>
        <v>2015</v>
      </c>
      <c r="C405" t="s">
        <v>33</v>
      </c>
      <c r="D405" t="s">
        <v>125</v>
      </c>
      <c r="E405">
        <v>16</v>
      </c>
    </row>
    <row r="406" spans="1:5" x14ac:dyDescent="0.35">
      <c r="A406" s="13">
        <v>42005</v>
      </c>
      <c r="B406">
        <f>YEAR(Country_Masterlist__6[[#This Row],[Year1]])</f>
        <v>2015</v>
      </c>
      <c r="C406" t="s">
        <v>33</v>
      </c>
      <c r="D406" t="s">
        <v>126</v>
      </c>
      <c r="E406">
        <v>41</v>
      </c>
    </row>
    <row r="407" spans="1:5" x14ac:dyDescent="0.35">
      <c r="A407" s="13">
        <v>42005</v>
      </c>
      <c r="B407">
        <f>YEAR(Country_Masterlist__6[[#This Row],[Year1]])</f>
        <v>2015</v>
      </c>
      <c r="C407" t="s">
        <v>35</v>
      </c>
      <c r="D407" t="s">
        <v>127</v>
      </c>
      <c r="E407">
        <v>77</v>
      </c>
    </row>
    <row r="408" spans="1:5" x14ac:dyDescent="0.35">
      <c r="A408" s="13">
        <v>42005</v>
      </c>
      <c r="B408">
        <f>YEAR(Country_Masterlist__6[[#This Row],[Year1]])</f>
        <v>2015</v>
      </c>
      <c r="C408" t="s">
        <v>33</v>
      </c>
      <c r="D408" t="s">
        <v>129</v>
      </c>
      <c r="E408" t="s">
        <v>205</v>
      </c>
    </row>
    <row r="409" spans="1:5" x14ac:dyDescent="0.35">
      <c r="A409" s="13">
        <v>42005</v>
      </c>
      <c r="B409">
        <f>YEAR(Country_Masterlist__6[[#This Row],[Year1]])</f>
        <v>2015</v>
      </c>
      <c r="C409" t="s">
        <v>34</v>
      </c>
      <c r="D409" t="s">
        <v>131</v>
      </c>
      <c r="E409">
        <v>36</v>
      </c>
    </row>
    <row r="410" spans="1:5" x14ac:dyDescent="0.35">
      <c r="A410" s="13">
        <v>42005</v>
      </c>
      <c r="B410">
        <f>YEAR(Country_Masterlist__6[[#This Row],[Year1]])</f>
        <v>2015</v>
      </c>
      <c r="C410" t="s">
        <v>33</v>
      </c>
      <c r="D410" t="s">
        <v>132</v>
      </c>
      <c r="E410">
        <v>23</v>
      </c>
    </row>
    <row r="411" spans="1:5" x14ac:dyDescent="0.35">
      <c r="A411" s="13">
        <v>42005</v>
      </c>
      <c r="B411">
        <f>YEAR(Country_Masterlist__6[[#This Row],[Year1]])</f>
        <v>2015</v>
      </c>
      <c r="C411" t="s">
        <v>33</v>
      </c>
      <c r="D411" t="s">
        <v>136</v>
      </c>
      <c r="E411">
        <v>3</v>
      </c>
    </row>
    <row r="412" spans="1:5" x14ac:dyDescent="0.35">
      <c r="A412" s="13">
        <v>42005</v>
      </c>
      <c r="B412">
        <f>YEAR(Country_Masterlist__6[[#This Row],[Year1]])</f>
        <v>2015</v>
      </c>
      <c r="C412" t="s">
        <v>36</v>
      </c>
      <c r="D412" t="s">
        <v>14</v>
      </c>
      <c r="E412">
        <v>40521</v>
      </c>
    </row>
    <row r="413" spans="1:5" x14ac:dyDescent="0.35">
      <c r="A413" s="13">
        <v>42005</v>
      </c>
      <c r="B413">
        <f>YEAR(Country_Masterlist__6[[#This Row],[Year1]])</f>
        <v>2015</v>
      </c>
      <c r="C413" t="s">
        <v>37</v>
      </c>
      <c r="D413" t="s">
        <v>137</v>
      </c>
      <c r="E413">
        <v>14</v>
      </c>
    </row>
    <row r="414" spans="1:5" x14ac:dyDescent="0.35">
      <c r="A414" s="13">
        <v>42005</v>
      </c>
      <c r="B414">
        <f>YEAR(Country_Masterlist__6[[#This Row],[Year1]])</f>
        <v>2015</v>
      </c>
      <c r="C414" t="s">
        <v>35</v>
      </c>
      <c r="D414" t="s">
        <v>138</v>
      </c>
      <c r="E414">
        <v>36</v>
      </c>
    </row>
    <row r="415" spans="1:5" x14ac:dyDescent="0.35">
      <c r="A415" s="13">
        <v>42005</v>
      </c>
      <c r="B415">
        <f>YEAR(Country_Masterlist__6[[#This Row],[Year1]])</f>
        <v>2015</v>
      </c>
      <c r="C415" t="s">
        <v>34</v>
      </c>
      <c r="D415" t="s">
        <v>139</v>
      </c>
      <c r="E415">
        <v>48</v>
      </c>
    </row>
    <row r="416" spans="1:5" x14ac:dyDescent="0.35">
      <c r="A416" s="13">
        <v>42005</v>
      </c>
      <c r="B416">
        <f>YEAR(Country_Masterlist__6[[#This Row],[Year1]])</f>
        <v>2015</v>
      </c>
      <c r="C416" t="s">
        <v>35</v>
      </c>
      <c r="D416" t="s">
        <v>140</v>
      </c>
      <c r="E416">
        <v>13</v>
      </c>
    </row>
    <row r="417" spans="1:5" x14ac:dyDescent="0.35">
      <c r="A417" s="13">
        <v>42005</v>
      </c>
      <c r="B417">
        <f>YEAR(Country_Masterlist__6[[#This Row],[Year1]])</f>
        <v>2015</v>
      </c>
      <c r="C417" t="s">
        <v>33</v>
      </c>
      <c r="D417" t="s">
        <v>141</v>
      </c>
      <c r="E417">
        <v>67</v>
      </c>
    </row>
    <row r="418" spans="1:5" x14ac:dyDescent="0.35">
      <c r="A418" s="13">
        <v>42005</v>
      </c>
      <c r="B418">
        <f>YEAR(Country_Masterlist__6[[#This Row],[Year1]])</f>
        <v>2015</v>
      </c>
      <c r="C418" t="s">
        <v>34</v>
      </c>
      <c r="D418" t="s">
        <v>144</v>
      </c>
      <c r="E418">
        <v>35</v>
      </c>
    </row>
    <row r="419" spans="1:5" x14ac:dyDescent="0.35">
      <c r="A419" s="13">
        <v>42005</v>
      </c>
      <c r="B419">
        <f>YEAR(Country_Masterlist__6[[#This Row],[Year1]])</f>
        <v>2015</v>
      </c>
      <c r="C419" t="s">
        <v>35</v>
      </c>
      <c r="D419" t="s">
        <v>145</v>
      </c>
      <c r="E419">
        <v>238</v>
      </c>
    </row>
    <row r="420" spans="1:5" x14ac:dyDescent="0.35">
      <c r="A420" s="13">
        <v>42005</v>
      </c>
      <c r="B420">
        <f>YEAR(Country_Masterlist__6[[#This Row],[Year1]])</f>
        <v>2015</v>
      </c>
      <c r="C420" t="s">
        <v>37</v>
      </c>
      <c r="D420" t="s">
        <v>146</v>
      </c>
      <c r="E420">
        <v>100</v>
      </c>
    </row>
    <row r="421" spans="1:5" x14ac:dyDescent="0.35">
      <c r="A421" s="13">
        <v>42005</v>
      </c>
      <c r="B421">
        <f>YEAR(Country_Masterlist__6[[#This Row],[Year1]])</f>
        <v>2015</v>
      </c>
      <c r="C421" t="s">
        <v>36</v>
      </c>
      <c r="D421" t="s">
        <v>147</v>
      </c>
      <c r="E421">
        <v>80</v>
      </c>
    </row>
    <row r="422" spans="1:5" x14ac:dyDescent="0.35">
      <c r="A422" s="13">
        <v>42005</v>
      </c>
      <c r="B422">
        <f>YEAR(Country_Masterlist__6[[#This Row],[Year1]])</f>
        <v>2015</v>
      </c>
      <c r="C422" t="s">
        <v>33</v>
      </c>
      <c r="D422" t="s">
        <v>148</v>
      </c>
      <c r="E422">
        <v>3</v>
      </c>
    </row>
    <row r="423" spans="1:5" x14ac:dyDescent="0.35">
      <c r="A423" s="13">
        <v>42005</v>
      </c>
      <c r="B423">
        <f>YEAR(Country_Masterlist__6[[#This Row],[Year1]])</f>
        <v>2015</v>
      </c>
      <c r="C423" t="s">
        <v>33</v>
      </c>
      <c r="D423" t="s">
        <v>149</v>
      </c>
      <c r="E423">
        <v>786</v>
      </c>
    </row>
    <row r="424" spans="1:5" x14ac:dyDescent="0.35">
      <c r="A424" s="13">
        <v>42005</v>
      </c>
      <c r="B424">
        <f>YEAR(Country_Masterlist__6[[#This Row],[Year1]])</f>
        <v>2015</v>
      </c>
      <c r="C424" t="s">
        <v>35</v>
      </c>
      <c r="D424" t="s">
        <v>322</v>
      </c>
      <c r="E424">
        <v>21</v>
      </c>
    </row>
    <row r="425" spans="1:5" x14ac:dyDescent="0.35">
      <c r="A425" s="13">
        <v>42005</v>
      </c>
      <c r="B425">
        <f>YEAR(Country_Masterlist__6[[#This Row],[Year1]])</f>
        <v>2015</v>
      </c>
      <c r="C425" t="s">
        <v>35</v>
      </c>
      <c r="D425" t="s">
        <v>150</v>
      </c>
      <c r="E425">
        <v>41</v>
      </c>
    </row>
    <row r="426" spans="1:5" x14ac:dyDescent="0.35">
      <c r="A426" s="13">
        <v>42005</v>
      </c>
      <c r="B426">
        <f>YEAR(Country_Masterlist__6[[#This Row],[Year1]])</f>
        <v>2015</v>
      </c>
      <c r="C426" t="s">
        <v>34</v>
      </c>
      <c r="D426" t="s">
        <v>151</v>
      </c>
      <c r="E426">
        <v>6</v>
      </c>
    </row>
    <row r="427" spans="1:5" x14ac:dyDescent="0.35">
      <c r="A427" s="13">
        <v>42005</v>
      </c>
      <c r="B427">
        <f>YEAR(Country_Masterlist__6[[#This Row],[Year1]])</f>
        <v>2015</v>
      </c>
      <c r="C427" t="s">
        <v>34</v>
      </c>
      <c r="D427" t="s">
        <v>152</v>
      </c>
      <c r="E427">
        <v>349</v>
      </c>
    </row>
    <row r="428" spans="1:5" x14ac:dyDescent="0.35">
      <c r="A428" s="13">
        <v>42005</v>
      </c>
      <c r="B428">
        <f>YEAR(Country_Masterlist__6[[#This Row],[Year1]])</f>
        <v>2015</v>
      </c>
      <c r="C428" t="s">
        <v>36</v>
      </c>
      <c r="D428" t="s">
        <v>154</v>
      </c>
      <c r="E428">
        <v>42</v>
      </c>
    </row>
    <row r="429" spans="1:5" x14ac:dyDescent="0.35">
      <c r="A429" s="13">
        <v>42005</v>
      </c>
      <c r="B429">
        <f>YEAR(Country_Masterlist__6[[#This Row],[Year1]])</f>
        <v>2015</v>
      </c>
      <c r="C429" t="s">
        <v>38</v>
      </c>
      <c r="D429" t="s">
        <v>155</v>
      </c>
      <c r="E429">
        <v>9</v>
      </c>
    </row>
    <row r="430" spans="1:5" x14ac:dyDescent="0.35">
      <c r="A430" s="13">
        <v>42005</v>
      </c>
      <c r="B430">
        <f>YEAR(Country_Masterlist__6[[#This Row],[Year1]])</f>
        <v>2015</v>
      </c>
      <c r="C430" t="s">
        <v>38</v>
      </c>
      <c r="D430" t="s">
        <v>156</v>
      </c>
      <c r="E430">
        <v>175</v>
      </c>
    </row>
    <row r="431" spans="1:5" x14ac:dyDescent="0.35">
      <c r="A431" s="13">
        <v>42005</v>
      </c>
      <c r="B431">
        <f>YEAR(Country_Masterlist__6[[#This Row],[Year1]])</f>
        <v>2015</v>
      </c>
      <c r="C431" t="s">
        <v>34</v>
      </c>
      <c r="D431" t="s">
        <v>18</v>
      </c>
      <c r="E431">
        <v>477</v>
      </c>
    </row>
    <row r="432" spans="1:5" x14ac:dyDescent="0.35">
      <c r="A432" s="13">
        <v>42005</v>
      </c>
      <c r="B432">
        <f>YEAR(Country_Masterlist__6[[#This Row],[Year1]])</f>
        <v>2015</v>
      </c>
      <c r="C432" t="s">
        <v>35</v>
      </c>
      <c r="D432" t="s">
        <v>157</v>
      </c>
      <c r="E432">
        <v>271</v>
      </c>
    </row>
    <row r="433" spans="1:5" x14ac:dyDescent="0.35">
      <c r="A433" s="13">
        <v>42005</v>
      </c>
      <c r="B433">
        <f>YEAR(Country_Masterlist__6[[#This Row],[Year1]])</f>
        <v>2015</v>
      </c>
      <c r="C433" t="s">
        <v>35</v>
      </c>
      <c r="D433" t="s">
        <v>158</v>
      </c>
      <c r="E433">
        <v>243</v>
      </c>
    </row>
    <row r="434" spans="1:5" x14ac:dyDescent="0.35">
      <c r="A434" s="13">
        <v>42005</v>
      </c>
      <c r="B434">
        <f>YEAR(Country_Masterlist__6[[#This Row],[Year1]])</f>
        <v>2015</v>
      </c>
      <c r="C434" t="s">
        <v>34</v>
      </c>
      <c r="D434" t="s">
        <v>159</v>
      </c>
      <c r="E434">
        <v>19</v>
      </c>
    </row>
    <row r="435" spans="1:5" x14ac:dyDescent="0.35">
      <c r="A435" s="13">
        <v>42005</v>
      </c>
      <c r="B435">
        <f>YEAR(Country_Masterlist__6[[#This Row],[Year1]])</f>
        <v>2015</v>
      </c>
      <c r="C435" t="s">
        <v>35</v>
      </c>
      <c r="D435" t="s">
        <v>160</v>
      </c>
      <c r="E435">
        <v>129</v>
      </c>
    </row>
    <row r="436" spans="1:5" x14ac:dyDescent="0.35">
      <c r="A436" s="13">
        <v>42005</v>
      </c>
      <c r="B436">
        <f>YEAR(Country_Masterlist__6[[#This Row],[Year1]])</f>
        <v>2015</v>
      </c>
      <c r="C436" t="s">
        <v>35</v>
      </c>
      <c r="D436" t="s">
        <v>161</v>
      </c>
      <c r="E436">
        <v>150</v>
      </c>
    </row>
    <row r="437" spans="1:5" x14ac:dyDescent="0.35">
      <c r="A437" s="13">
        <v>42005</v>
      </c>
      <c r="B437">
        <f>YEAR(Country_Masterlist__6[[#This Row],[Year1]])</f>
        <v>2015</v>
      </c>
      <c r="C437" t="s">
        <v>33</v>
      </c>
      <c r="D437" t="s">
        <v>162</v>
      </c>
      <c r="E437">
        <v>26</v>
      </c>
    </row>
    <row r="438" spans="1:5" x14ac:dyDescent="0.35">
      <c r="A438" s="13">
        <v>42005</v>
      </c>
      <c r="B438">
        <f>YEAR(Country_Masterlist__6[[#This Row],[Year1]])</f>
        <v>2015</v>
      </c>
      <c r="C438" t="s">
        <v>36</v>
      </c>
      <c r="D438" t="s">
        <v>163</v>
      </c>
      <c r="E438">
        <v>10</v>
      </c>
    </row>
    <row r="439" spans="1:5" x14ac:dyDescent="0.35">
      <c r="A439" s="13">
        <v>42005</v>
      </c>
      <c r="B439">
        <f>YEAR(Country_Masterlist__6[[#This Row],[Year1]])</f>
        <v>2015</v>
      </c>
      <c r="C439" t="s">
        <v>36</v>
      </c>
      <c r="D439" t="s">
        <v>164</v>
      </c>
      <c r="E439">
        <v>15</v>
      </c>
    </row>
    <row r="440" spans="1:5" x14ac:dyDescent="0.35">
      <c r="A440" s="13">
        <v>42005</v>
      </c>
      <c r="B440">
        <f>YEAR(Country_Masterlist__6[[#This Row],[Year1]])</f>
        <v>2015</v>
      </c>
      <c r="C440" t="s">
        <v>36</v>
      </c>
      <c r="D440" t="s">
        <v>165</v>
      </c>
      <c r="E440">
        <v>10</v>
      </c>
    </row>
    <row r="441" spans="1:5" x14ac:dyDescent="0.35">
      <c r="A441" s="13">
        <v>42005</v>
      </c>
      <c r="B441">
        <f>YEAR(Country_Masterlist__6[[#This Row],[Year1]])</f>
        <v>2015</v>
      </c>
      <c r="C441" t="s">
        <v>37</v>
      </c>
      <c r="D441" t="s">
        <v>166</v>
      </c>
      <c r="E441">
        <v>3</v>
      </c>
    </row>
    <row r="442" spans="1:5" x14ac:dyDescent="0.35">
      <c r="A442" s="13">
        <v>42005</v>
      </c>
      <c r="B442">
        <f>YEAR(Country_Masterlist__6[[#This Row],[Year1]])</f>
        <v>2015</v>
      </c>
      <c r="C442" t="s">
        <v>34</v>
      </c>
      <c r="D442" t="s">
        <v>167</v>
      </c>
      <c r="E442">
        <v>508</v>
      </c>
    </row>
    <row r="443" spans="1:5" x14ac:dyDescent="0.35">
      <c r="A443" s="13">
        <v>42005</v>
      </c>
      <c r="B443">
        <f>YEAR(Country_Masterlist__6[[#This Row],[Year1]])</f>
        <v>2015</v>
      </c>
      <c r="C443" t="s">
        <v>33</v>
      </c>
      <c r="D443" t="s">
        <v>168</v>
      </c>
      <c r="E443">
        <v>57</v>
      </c>
    </row>
    <row r="444" spans="1:5" x14ac:dyDescent="0.35">
      <c r="A444" s="13">
        <v>42005</v>
      </c>
      <c r="B444">
        <f>YEAR(Country_Masterlist__6[[#This Row],[Year1]])</f>
        <v>2015</v>
      </c>
      <c r="C444" t="s">
        <v>35</v>
      </c>
      <c r="D444" t="s">
        <v>169</v>
      </c>
      <c r="E444">
        <v>42</v>
      </c>
    </row>
    <row r="445" spans="1:5" x14ac:dyDescent="0.35">
      <c r="A445" s="13">
        <v>42005</v>
      </c>
      <c r="B445">
        <f>YEAR(Country_Masterlist__6[[#This Row],[Year1]])</f>
        <v>2015</v>
      </c>
      <c r="C445" t="s">
        <v>33</v>
      </c>
      <c r="D445" t="s">
        <v>170</v>
      </c>
      <c r="E445">
        <v>4</v>
      </c>
    </row>
    <row r="446" spans="1:5" x14ac:dyDescent="0.35">
      <c r="A446" s="13">
        <v>42005</v>
      </c>
      <c r="B446">
        <f>YEAR(Country_Masterlist__6[[#This Row],[Year1]])</f>
        <v>2015</v>
      </c>
      <c r="C446" t="s">
        <v>34</v>
      </c>
      <c r="D446" t="s">
        <v>171</v>
      </c>
      <c r="E446">
        <v>44</v>
      </c>
    </row>
    <row r="447" spans="1:5" x14ac:dyDescent="0.35">
      <c r="A447" s="13">
        <v>42005</v>
      </c>
      <c r="B447">
        <f>YEAR(Country_Masterlist__6[[#This Row],[Year1]])</f>
        <v>2015</v>
      </c>
      <c r="C447" t="s">
        <v>35</v>
      </c>
      <c r="D447" t="s">
        <v>172</v>
      </c>
      <c r="E447">
        <v>67</v>
      </c>
    </row>
    <row r="448" spans="1:5" x14ac:dyDescent="0.35">
      <c r="A448" s="13">
        <v>42005</v>
      </c>
      <c r="B448">
        <f>YEAR(Country_Masterlist__6[[#This Row],[Year1]])</f>
        <v>2015</v>
      </c>
      <c r="C448" t="s">
        <v>35</v>
      </c>
      <c r="D448" t="s">
        <v>173</v>
      </c>
      <c r="E448">
        <v>22</v>
      </c>
    </row>
    <row r="449" spans="1:5" x14ac:dyDescent="0.35">
      <c r="A449" s="13">
        <v>42005</v>
      </c>
      <c r="B449">
        <f>YEAR(Country_Masterlist__6[[#This Row],[Year1]])</f>
        <v>2015</v>
      </c>
      <c r="C449" t="s">
        <v>33</v>
      </c>
      <c r="D449" t="s">
        <v>174</v>
      </c>
      <c r="E449">
        <v>17</v>
      </c>
    </row>
    <row r="450" spans="1:5" x14ac:dyDescent="0.35">
      <c r="A450" s="13">
        <v>42005</v>
      </c>
      <c r="B450">
        <f>YEAR(Country_Masterlist__6[[#This Row],[Year1]])</f>
        <v>2015</v>
      </c>
      <c r="C450" t="s">
        <v>33</v>
      </c>
      <c r="D450" t="s">
        <v>175</v>
      </c>
      <c r="E450">
        <v>131</v>
      </c>
    </row>
    <row r="451" spans="1:5" x14ac:dyDescent="0.35">
      <c r="A451" s="13">
        <v>42005</v>
      </c>
      <c r="B451">
        <f>YEAR(Country_Masterlist__6[[#This Row],[Year1]])</f>
        <v>2015</v>
      </c>
      <c r="C451" t="s">
        <v>35</v>
      </c>
      <c r="D451" t="s">
        <v>177</v>
      </c>
      <c r="E451">
        <v>916</v>
      </c>
    </row>
    <row r="452" spans="1:5" x14ac:dyDescent="0.35">
      <c r="A452" s="13">
        <v>42005</v>
      </c>
      <c r="B452">
        <f>YEAR(Country_Masterlist__6[[#This Row],[Year1]])</f>
        <v>2015</v>
      </c>
      <c r="C452" t="s">
        <v>34</v>
      </c>
      <c r="D452" t="s">
        <v>178</v>
      </c>
      <c r="E452">
        <v>55</v>
      </c>
    </row>
    <row r="453" spans="1:5" x14ac:dyDescent="0.35">
      <c r="A453" s="13">
        <v>42005</v>
      </c>
      <c r="B453">
        <f>YEAR(Country_Masterlist__6[[#This Row],[Year1]])</f>
        <v>2015</v>
      </c>
      <c r="C453" t="s">
        <v>33</v>
      </c>
      <c r="D453" t="s">
        <v>179</v>
      </c>
      <c r="E453">
        <v>23</v>
      </c>
    </row>
    <row r="454" spans="1:5" x14ac:dyDescent="0.35">
      <c r="A454" s="13">
        <v>42005</v>
      </c>
      <c r="B454">
        <f>YEAR(Country_Masterlist__6[[#This Row],[Year1]])</f>
        <v>2015</v>
      </c>
      <c r="C454" t="s">
        <v>35</v>
      </c>
      <c r="D454" t="s">
        <v>182</v>
      </c>
      <c r="E454">
        <v>128</v>
      </c>
    </row>
    <row r="455" spans="1:5" x14ac:dyDescent="0.35">
      <c r="A455" s="13">
        <v>42005</v>
      </c>
      <c r="B455">
        <f>YEAR(Country_Masterlist__6[[#This Row],[Year1]])</f>
        <v>2015</v>
      </c>
      <c r="C455" t="s">
        <v>35</v>
      </c>
      <c r="D455" t="s">
        <v>183</v>
      </c>
      <c r="E455">
        <v>76</v>
      </c>
    </row>
    <row r="456" spans="1:5" x14ac:dyDescent="0.35">
      <c r="A456" s="13">
        <v>42005</v>
      </c>
      <c r="B456">
        <f>YEAR(Country_Masterlist__6[[#This Row],[Year1]])</f>
        <v>2015</v>
      </c>
      <c r="C456" t="s">
        <v>34</v>
      </c>
      <c r="D456" t="s">
        <v>184</v>
      </c>
      <c r="E456">
        <v>90</v>
      </c>
    </row>
    <row r="457" spans="1:5" x14ac:dyDescent="0.35">
      <c r="A457" s="13">
        <v>42005</v>
      </c>
      <c r="B457">
        <f>YEAR(Country_Masterlist__6[[#This Row],[Year1]])</f>
        <v>2015</v>
      </c>
      <c r="C457" t="s">
        <v>34</v>
      </c>
      <c r="D457" t="s">
        <v>185</v>
      </c>
      <c r="E457">
        <v>411</v>
      </c>
    </row>
    <row r="458" spans="1:5" x14ac:dyDescent="0.35">
      <c r="A458" s="13">
        <v>42005</v>
      </c>
      <c r="B458">
        <f>YEAR(Country_Masterlist__6[[#This Row],[Year1]])</f>
        <v>2015</v>
      </c>
      <c r="C458" t="s">
        <v>33</v>
      </c>
      <c r="D458" t="s">
        <v>187</v>
      </c>
      <c r="E458">
        <v>27</v>
      </c>
    </row>
    <row r="459" spans="1:5" x14ac:dyDescent="0.35">
      <c r="A459" s="13">
        <v>42005</v>
      </c>
      <c r="B459">
        <f>YEAR(Country_Masterlist__6[[#This Row],[Year1]])</f>
        <v>2015</v>
      </c>
      <c r="C459" t="s">
        <v>34</v>
      </c>
      <c r="D459" t="s">
        <v>188</v>
      </c>
      <c r="E459">
        <v>85</v>
      </c>
    </row>
    <row r="460" spans="1:5" x14ac:dyDescent="0.35">
      <c r="A460" s="13">
        <v>42005</v>
      </c>
      <c r="B460">
        <f>YEAR(Country_Masterlist__6[[#This Row],[Year1]])</f>
        <v>2015</v>
      </c>
      <c r="C460" t="s">
        <v>33</v>
      </c>
      <c r="D460" t="s">
        <v>189</v>
      </c>
      <c r="E460">
        <v>9</v>
      </c>
    </row>
    <row r="461" spans="1:5" x14ac:dyDescent="0.35">
      <c r="A461" s="13">
        <v>42005</v>
      </c>
      <c r="B461">
        <f>YEAR(Country_Masterlist__6[[#This Row],[Year1]])</f>
        <v>2015</v>
      </c>
      <c r="C461" t="s">
        <v>37</v>
      </c>
      <c r="D461" t="s">
        <v>190</v>
      </c>
      <c r="E461">
        <v>8</v>
      </c>
    </row>
    <row r="462" spans="1:5" x14ac:dyDescent="0.35">
      <c r="A462" s="13">
        <v>42005</v>
      </c>
      <c r="B462">
        <f>YEAR(Country_Masterlist__6[[#This Row],[Year1]])</f>
        <v>2015</v>
      </c>
      <c r="C462" t="s">
        <v>36</v>
      </c>
      <c r="D462" t="s">
        <v>191</v>
      </c>
      <c r="E462">
        <v>44</v>
      </c>
    </row>
    <row r="463" spans="1:5" x14ac:dyDescent="0.35">
      <c r="A463" s="13">
        <v>42005</v>
      </c>
      <c r="B463">
        <f>YEAR(Country_Masterlist__6[[#This Row],[Year1]])</f>
        <v>2015</v>
      </c>
      <c r="C463" t="s">
        <v>33</v>
      </c>
      <c r="D463" t="s">
        <v>192</v>
      </c>
      <c r="E463">
        <v>20</v>
      </c>
    </row>
    <row r="464" spans="1:5" x14ac:dyDescent="0.35">
      <c r="A464" s="13">
        <v>42005</v>
      </c>
      <c r="B464">
        <f>YEAR(Country_Masterlist__6[[#This Row],[Year1]])</f>
        <v>2015</v>
      </c>
      <c r="C464" t="s">
        <v>34</v>
      </c>
      <c r="D464" t="s">
        <v>193</v>
      </c>
      <c r="E464">
        <v>105</v>
      </c>
    </row>
    <row r="465" spans="1:5" x14ac:dyDescent="0.35">
      <c r="A465" s="13">
        <v>42005</v>
      </c>
      <c r="B465">
        <f>YEAR(Country_Masterlist__6[[#This Row],[Year1]])</f>
        <v>2015</v>
      </c>
      <c r="C465" t="s">
        <v>34</v>
      </c>
      <c r="D465" t="s">
        <v>194</v>
      </c>
      <c r="E465">
        <v>30</v>
      </c>
    </row>
    <row r="466" spans="1:5" x14ac:dyDescent="0.35">
      <c r="A466" s="13">
        <v>42005</v>
      </c>
      <c r="B466">
        <f>YEAR(Country_Masterlist__6[[#This Row],[Year1]])</f>
        <v>2015</v>
      </c>
      <c r="C466" t="s">
        <v>33</v>
      </c>
      <c r="D466" t="s">
        <v>195</v>
      </c>
      <c r="E466">
        <v>14</v>
      </c>
    </row>
    <row r="467" spans="1:5" x14ac:dyDescent="0.35">
      <c r="A467" s="13">
        <v>42005</v>
      </c>
      <c r="B467">
        <f>YEAR(Country_Masterlist__6[[#This Row],[Year1]])</f>
        <v>2015</v>
      </c>
      <c r="C467" t="s">
        <v>35</v>
      </c>
      <c r="D467" t="s">
        <v>196</v>
      </c>
      <c r="E467">
        <v>175</v>
      </c>
    </row>
    <row r="468" spans="1:5" x14ac:dyDescent="0.35">
      <c r="A468" s="13">
        <v>42005</v>
      </c>
      <c r="B468">
        <f>YEAR(Country_Masterlist__6[[#This Row],[Year1]])</f>
        <v>2015</v>
      </c>
      <c r="C468" t="s">
        <v>34</v>
      </c>
      <c r="D468" t="s">
        <v>197</v>
      </c>
      <c r="E468">
        <v>31</v>
      </c>
    </row>
    <row r="469" spans="1:5" x14ac:dyDescent="0.35">
      <c r="A469" s="13">
        <v>42005</v>
      </c>
      <c r="B469">
        <f>YEAR(Country_Masterlist__6[[#This Row],[Year1]])</f>
        <v>2015</v>
      </c>
      <c r="C469" t="s">
        <v>35</v>
      </c>
      <c r="D469" t="s">
        <v>198</v>
      </c>
      <c r="E469">
        <v>1108</v>
      </c>
    </row>
    <row r="470" spans="1:5" x14ac:dyDescent="0.35">
      <c r="A470" s="13">
        <v>42005</v>
      </c>
      <c r="B470">
        <f>YEAR(Country_Masterlist__6[[#This Row],[Year1]])</f>
        <v>2015</v>
      </c>
      <c r="C470" t="s">
        <v>38</v>
      </c>
      <c r="D470" t="s">
        <v>199</v>
      </c>
      <c r="E470">
        <v>10</v>
      </c>
    </row>
    <row r="471" spans="1:5" x14ac:dyDescent="0.35">
      <c r="A471" s="13">
        <v>42005</v>
      </c>
      <c r="B471">
        <f>YEAR(Country_Masterlist__6[[#This Row],[Year1]])</f>
        <v>2015</v>
      </c>
      <c r="C471" t="s">
        <v>34</v>
      </c>
      <c r="D471" t="s">
        <v>200</v>
      </c>
      <c r="E471">
        <v>16</v>
      </c>
    </row>
    <row r="472" spans="1:5" x14ac:dyDescent="0.35">
      <c r="A472" s="13">
        <v>42005</v>
      </c>
      <c r="B472">
        <f>YEAR(Country_Masterlist__6[[#This Row],[Year1]])</f>
        <v>2015</v>
      </c>
      <c r="C472" t="s">
        <v>38</v>
      </c>
      <c r="D472" t="s">
        <v>19</v>
      </c>
      <c r="E472">
        <v>268</v>
      </c>
    </row>
    <row r="473" spans="1:5" x14ac:dyDescent="0.35">
      <c r="A473" s="13">
        <v>42005</v>
      </c>
      <c r="B473">
        <f>YEAR(Country_Masterlist__6[[#This Row],[Year1]])</f>
        <v>2015</v>
      </c>
      <c r="C473" t="s">
        <v>34</v>
      </c>
      <c r="D473" t="s">
        <v>201</v>
      </c>
      <c r="E473">
        <v>111</v>
      </c>
    </row>
    <row r="474" spans="1:5" x14ac:dyDescent="0.35">
      <c r="A474" s="13">
        <v>42005</v>
      </c>
      <c r="B474">
        <f>YEAR(Country_Masterlist__6[[#This Row],[Year1]])</f>
        <v>2015</v>
      </c>
      <c r="C474" t="s">
        <v>34</v>
      </c>
      <c r="D474" t="s">
        <v>202</v>
      </c>
      <c r="E474">
        <v>24</v>
      </c>
    </row>
    <row r="475" spans="1:5" x14ac:dyDescent="0.35">
      <c r="A475" s="13">
        <v>42005</v>
      </c>
      <c r="B475">
        <f>YEAR(Country_Masterlist__6[[#This Row],[Year1]])</f>
        <v>2015</v>
      </c>
      <c r="C475" t="s">
        <v>33</v>
      </c>
      <c r="D475" t="s">
        <v>203</v>
      </c>
      <c r="E475">
        <v>7</v>
      </c>
    </row>
    <row r="476" spans="1:5" x14ac:dyDescent="0.35">
      <c r="A476" s="13">
        <v>42005</v>
      </c>
      <c r="B476">
        <f>YEAR(Country_Masterlist__6[[#This Row],[Year1]])</f>
        <v>2015</v>
      </c>
      <c r="C476" t="s">
        <v>33</v>
      </c>
      <c r="D476" t="s">
        <v>204</v>
      </c>
      <c r="E476">
        <v>19</v>
      </c>
    </row>
    <row r="477" spans="1:5" x14ac:dyDescent="0.35">
      <c r="A477" s="13">
        <v>42005</v>
      </c>
      <c r="B477">
        <f>YEAR(Country_Masterlist__6[[#This Row],[Year1]])</f>
        <v>2015</v>
      </c>
      <c r="D477" t="s">
        <v>373</v>
      </c>
      <c r="E477">
        <v>72</v>
      </c>
    </row>
    <row r="478" spans="1:5" x14ac:dyDescent="0.35">
      <c r="A478" s="13">
        <v>42005</v>
      </c>
      <c r="B478">
        <f>YEAR(Country_Masterlist__6[[#This Row],[Year1]])</f>
        <v>2015</v>
      </c>
      <c r="C478" t="s">
        <v>39</v>
      </c>
      <c r="D478" t="s">
        <v>39</v>
      </c>
      <c r="E478">
        <v>104</v>
      </c>
    </row>
    <row r="479" spans="1:5" x14ac:dyDescent="0.35">
      <c r="A479" s="13">
        <v>42370</v>
      </c>
      <c r="B479">
        <f>YEAR(Country_Masterlist__6[[#This Row],[Year1]])</f>
        <v>2016</v>
      </c>
      <c r="C479" t="s">
        <v>34</v>
      </c>
      <c r="D479" t="s">
        <v>40</v>
      </c>
      <c r="E479">
        <v>44</v>
      </c>
    </row>
    <row r="480" spans="1:5" x14ac:dyDescent="0.35">
      <c r="A480" s="13">
        <v>42370</v>
      </c>
      <c r="B480">
        <f>YEAR(Country_Masterlist__6[[#This Row],[Year1]])</f>
        <v>2016</v>
      </c>
      <c r="C480" t="s">
        <v>35</v>
      </c>
      <c r="D480" t="s">
        <v>41</v>
      </c>
      <c r="E480">
        <v>25</v>
      </c>
    </row>
    <row r="481" spans="1:5" x14ac:dyDescent="0.35">
      <c r="A481" s="13">
        <v>42370</v>
      </c>
      <c r="B481">
        <f>YEAR(Country_Masterlist__6[[#This Row],[Year1]])</f>
        <v>2016</v>
      </c>
      <c r="C481" t="s">
        <v>33</v>
      </c>
      <c r="D481" t="s">
        <v>42</v>
      </c>
      <c r="E481">
        <v>134</v>
      </c>
    </row>
    <row r="482" spans="1:5" x14ac:dyDescent="0.35">
      <c r="A482" s="13">
        <v>42370</v>
      </c>
      <c r="B482">
        <f>YEAR(Country_Masterlist__6[[#This Row],[Year1]])</f>
        <v>2016</v>
      </c>
      <c r="C482" t="s">
        <v>33</v>
      </c>
      <c r="D482" t="s">
        <v>43</v>
      </c>
      <c r="E482">
        <v>11</v>
      </c>
    </row>
    <row r="483" spans="1:5" x14ac:dyDescent="0.35">
      <c r="A483" s="13">
        <v>42370</v>
      </c>
      <c r="B483">
        <f>YEAR(Country_Masterlist__6[[#This Row],[Year1]])</f>
        <v>2016</v>
      </c>
      <c r="C483" t="s">
        <v>36</v>
      </c>
      <c r="D483" t="s">
        <v>44</v>
      </c>
      <c r="E483">
        <v>9</v>
      </c>
    </row>
    <row r="484" spans="1:5" x14ac:dyDescent="0.35">
      <c r="A484" s="13">
        <v>42370</v>
      </c>
      <c r="B484">
        <f>YEAR(Country_Masterlist__6[[#This Row],[Year1]])</f>
        <v>2016</v>
      </c>
      <c r="C484" t="s">
        <v>38</v>
      </c>
      <c r="D484" t="s">
        <v>45</v>
      </c>
      <c r="E484">
        <v>57</v>
      </c>
    </row>
    <row r="485" spans="1:5" x14ac:dyDescent="0.35">
      <c r="A485" s="13">
        <v>42370</v>
      </c>
      <c r="B485">
        <f>YEAR(Country_Masterlist__6[[#This Row],[Year1]])</f>
        <v>2016</v>
      </c>
      <c r="C485" t="s">
        <v>34</v>
      </c>
      <c r="D485" t="s">
        <v>46</v>
      </c>
      <c r="E485">
        <v>8</v>
      </c>
    </row>
    <row r="486" spans="1:5" x14ac:dyDescent="0.35">
      <c r="A486" s="13">
        <v>42370</v>
      </c>
      <c r="B486">
        <f>YEAR(Country_Masterlist__6[[#This Row],[Year1]])</f>
        <v>2016</v>
      </c>
      <c r="C486" t="s">
        <v>37</v>
      </c>
      <c r="D486" t="s">
        <v>47</v>
      </c>
      <c r="E486">
        <v>464</v>
      </c>
    </row>
    <row r="487" spans="1:5" x14ac:dyDescent="0.35">
      <c r="A487" s="13">
        <v>42370</v>
      </c>
      <c r="B487">
        <f>YEAR(Country_Masterlist__6[[#This Row],[Year1]])</f>
        <v>2016</v>
      </c>
      <c r="C487" t="s">
        <v>35</v>
      </c>
      <c r="D487" t="s">
        <v>48</v>
      </c>
      <c r="E487">
        <v>31</v>
      </c>
    </row>
    <row r="488" spans="1:5" x14ac:dyDescent="0.35">
      <c r="A488" s="13">
        <v>42370</v>
      </c>
      <c r="B488">
        <f>YEAR(Country_Masterlist__6[[#This Row],[Year1]])</f>
        <v>2016</v>
      </c>
      <c r="C488" t="s">
        <v>34</v>
      </c>
      <c r="D488" t="s">
        <v>49</v>
      </c>
      <c r="E488">
        <v>10</v>
      </c>
    </row>
    <row r="489" spans="1:5" x14ac:dyDescent="0.35">
      <c r="A489" s="13">
        <v>42370</v>
      </c>
      <c r="B489">
        <f>YEAR(Country_Masterlist__6[[#This Row],[Year1]])</f>
        <v>2016</v>
      </c>
      <c r="C489" t="s">
        <v>36</v>
      </c>
      <c r="D489" t="s">
        <v>50</v>
      </c>
      <c r="E489">
        <v>141</v>
      </c>
    </row>
    <row r="490" spans="1:5" x14ac:dyDescent="0.35">
      <c r="A490" s="13">
        <v>42370</v>
      </c>
      <c r="B490">
        <f>YEAR(Country_Masterlist__6[[#This Row],[Year1]])</f>
        <v>2016</v>
      </c>
      <c r="C490" t="s">
        <v>34</v>
      </c>
      <c r="D490" t="s">
        <v>51</v>
      </c>
      <c r="E490">
        <v>7</v>
      </c>
    </row>
    <row r="491" spans="1:5" x14ac:dyDescent="0.35">
      <c r="A491" s="13">
        <v>42370</v>
      </c>
      <c r="B491">
        <f>YEAR(Country_Masterlist__6[[#This Row],[Year1]])</f>
        <v>2016</v>
      </c>
      <c r="C491" t="s">
        <v>34</v>
      </c>
      <c r="D491" t="s">
        <v>52</v>
      </c>
      <c r="E491">
        <v>91</v>
      </c>
    </row>
    <row r="492" spans="1:5" x14ac:dyDescent="0.35">
      <c r="A492" s="13">
        <v>42370</v>
      </c>
      <c r="B492">
        <f>YEAR(Country_Masterlist__6[[#This Row],[Year1]])</f>
        <v>2016</v>
      </c>
      <c r="C492" t="s">
        <v>36</v>
      </c>
      <c r="D492" t="s">
        <v>53</v>
      </c>
      <c r="E492">
        <v>13</v>
      </c>
    </row>
    <row r="493" spans="1:5" x14ac:dyDescent="0.35">
      <c r="A493" s="13">
        <v>42370</v>
      </c>
      <c r="B493">
        <f>YEAR(Country_Masterlist__6[[#This Row],[Year1]])</f>
        <v>2016</v>
      </c>
      <c r="C493" t="s">
        <v>35</v>
      </c>
      <c r="D493" t="s">
        <v>54</v>
      </c>
      <c r="E493">
        <v>10</v>
      </c>
    </row>
    <row r="494" spans="1:5" x14ac:dyDescent="0.35">
      <c r="A494" s="13">
        <v>42370</v>
      </c>
      <c r="B494">
        <f>YEAR(Country_Masterlist__6[[#This Row],[Year1]])</f>
        <v>2016</v>
      </c>
      <c r="C494" t="s">
        <v>35</v>
      </c>
      <c r="D494" t="s">
        <v>55</v>
      </c>
      <c r="E494">
        <v>80</v>
      </c>
    </row>
    <row r="495" spans="1:5" x14ac:dyDescent="0.35">
      <c r="A495" s="13">
        <v>42370</v>
      </c>
      <c r="B495">
        <f>YEAR(Country_Masterlist__6[[#This Row],[Year1]])</f>
        <v>2016</v>
      </c>
      <c r="C495" t="s">
        <v>36</v>
      </c>
      <c r="D495" t="s">
        <v>56</v>
      </c>
      <c r="E495">
        <v>24</v>
      </c>
    </row>
    <row r="496" spans="1:5" x14ac:dyDescent="0.35">
      <c r="A496" s="13">
        <v>42370</v>
      </c>
      <c r="B496">
        <f>YEAR(Country_Masterlist__6[[#This Row],[Year1]])</f>
        <v>2016</v>
      </c>
      <c r="C496" t="s">
        <v>33</v>
      </c>
      <c r="D496" t="s">
        <v>57</v>
      </c>
      <c r="E496">
        <v>16</v>
      </c>
    </row>
    <row r="497" spans="1:5" x14ac:dyDescent="0.35">
      <c r="A497" s="13">
        <v>42370</v>
      </c>
      <c r="B497">
        <f>YEAR(Country_Masterlist__6[[#This Row],[Year1]])</f>
        <v>2016</v>
      </c>
      <c r="C497" t="s">
        <v>38</v>
      </c>
      <c r="D497" t="s">
        <v>59</v>
      </c>
      <c r="E497">
        <v>28</v>
      </c>
    </row>
    <row r="498" spans="1:5" x14ac:dyDescent="0.35">
      <c r="A498" s="13">
        <v>42370</v>
      </c>
      <c r="B498">
        <f>YEAR(Country_Masterlist__6[[#This Row],[Year1]])</f>
        <v>2016</v>
      </c>
      <c r="C498" t="s">
        <v>35</v>
      </c>
      <c r="D498" t="s">
        <v>60</v>
      </c>
      <c r="E498">
        <v>20</v>
      </c>
    </row>
    <row r="499" spans="1:5" x14ac:dyDescent="0.35">
      <c r="A499" s="13">
        <v>42370</v>
      </c>
      <c r="B499">
        <f>YEAR(Country_Masterlist__6[[#This Row],[Year1]])</f>
        <v>2016</v>
      </c>
      <c r="C499" t="s">
        <v>38</v>
      </c>
      <c r="D499" t="s">
        <v>21</v>
      </c>
      <c r="E499">
        <v>384</v>
      </c>
    </row>
    <row r="500" spans="1:5" x14ac:dyDescent="0.35">
      <c r="A500" s="13">
        <v>42370</v>
      </c>
      <c r="B500">
        <f>YEAR(Country_Masterlist__6[[#This Row],[Year1]])</f>
        <v>2016</v>
      </c>
      <c r="C500" t="s">
        <v>35</v>
      </c>
      <c r="D500" t="s">
        <v>62</v>
      </c>
      <c r="E500">
        <v>26</v>
      </c>
    </row>
    <row r="501" spans="1:5" x14ac:dyDescent="0.35">
      <c r="A501" s="13">
        <v>42370</v>
      </c>
      <c r="B501">
        <f>YEAR(Country_Masterlist__6[[#This Row],[Year1]])</f>
        <v>2016</v>
      </c>
      <c r="C501" t="s">
        <v>33</v>
      </c>
      <c r="D501" t="s">
        <v>63</v>
      </c>
      <c r="E501">
        <v>37</v>
      </c>
    </row>
    <row r="502" spans="1:5" x14ac:dyDescent="0.35">
      <c r="A502" s="13">
        <v>42370</v>
      </c>
      <c r="B502">
        <f>YEAR(Country_Masterlist__6[[#This Row],[Year1]])</f>
        <v>2016</v>
      </c>
      <c r="C502" t="s">
        <v>34</v>
      </c>
      <c r="D502" t="s">
        <v>64</v>
      </c>
      <c r="E502">
        <v>7</v>
      </c>
    </row>
    <row r="503" spans="1:5" x14ac:dyDescent="0.35">
      <c r="A503" s="13">
        <v>42370</v>
      </c>
      <c r="B503">
        <f>YEAR(Country_Masterlist__6[[#This Row],[Year1]])</f>
        <v>2016</v>
      </c>
      <c r="C503" t="s">
        <v>33</v>
      </c>
      <c r="D503" t="s">
        <v>65</v>
      </c>
      <c r="E503">
        <v>8</v>
      </c>
    </row>
    <row r="504" spans="1:5" x14ac:dyDescent="0.35">
      <c r="A504" s="13">
        <v>42370</v>
      </c>
      <c r="B504">
        <f>YEAR(Country_Masterlist__6[[#This Row],[Year1]])</f>
        <v>2016</v>
      </c>
      <c r="C504" t="s">
        <v>33</v>
      </c>
      <c r="D504" t="s">
        <v>66</v>
      </c>
      <c r="E504" t="s">
        <v>205</v>
      </c>
    </row>
    <row r="505" spans="1:5" x14ac:dyDescent="0.35">
      <c r="A505" s="13">
        <v>42370</v>
      </c>
      <c r="B505">
        <f>YEAR(Country_Masterlist__6[[#This Row],[Year1]])</f>
        <v>2016</v>
      </c>
      <c r="C505" t="s">
        <v>34</v>
      </c>
      <c r="D505" t="s">
        <v>67</v>
      </c>
      <c r="E505">
        <v>13</v>
      </c>
    </row>
    <row r="506" spans="1:5" x14ac:dyDescent="0.35">
      <c r="A506" s="13">
        <v>42370</v>
      </c>
      <c r="B506">
        <f>YEAR(Country_Masterlist__6[[#This Row],[Year1]])</f>
        <v>2016</v>
      </c>
      <c r="C506" t="s">
        <v>33</v>
      </c>
      <c r="D506" t="s">
        <v>68</v>
      </c>
      <c r="E506">
        <v>69</v>
      </c>
    </row>
    <row r="507" spans="1:5" x14ac:dyDescent="0.35">
      <c r="A507" s="13">
        <v>42370</v>
      </c>
      <c r="B507">
        <f>YEAR(Country_Masterlist__6[[#This Row],[Year1]])</f>
        <v>2016</v>
      </c>
      <c r="C507" t="s">
        <v>36</v>
      </c>
      <c r="D507" t="s">
        <v>69</v>
      </c>
      <c r="E507">
        <v>18411</v>
      </c>
    </row>
    <row r="508" spans="1:5" x14ac:dyDescent="0.35">
      <c r="A508" s="13">
        <v>42370</v>
      </c>
      <c r="B508">
        <f>YEAR(Country_Masterlist__6[[#This Row],[Year1]])</f>
        <v>2016</v>
      </c>
      <c r="C508" t="s">
        <v>38</v>
      </c>
      <c r="D508" t="s">
        <v>72</v>
      </c>
      <c r="E508">
        <v>357</v>
      </c>
    </row>
    <row r="509" spans="1:5" x14ac:dyDescent="0.35">
      <c r="A509" s="13">
        <v>42370</v>
      </c>
      <c r="B509">
        <f>YEAR(Country_Masterlist__6[[#This Row],[Year1]])</f>
        <v>2016</v>
      </c>
      <c r="C509" t="s">
        <v>34</v>
      </c>
      <c r="D509" t="s">
        <v>73</v>
      </c>
      <c r="E509">
        <v>1592</v>
      </c>
    </row>
    <row r="510" spans="1:5" x14ac:dyDescent="0.35">
      <c r="A510" s="13">
        <v>42370</v>
      </c>
      <c r="B510">
        <f>YEAR(Country_Masterlist__6[[#This Row],[Year1]])</f>
        <v>2016</v>
      </c>
      <c r="C510" t="s">
        <v>38</v>
      </c>
      <c r="D510" t="s">
        <v>20</v>
      </c>
      <c r="E510">
        <v>586</v>
      </c>
    </row>
    <row r="511" spans="1:5" x14ac:dyDescent="0.35">
      <c r="A511" s="13">
        <v>42370</v>
      </c>
      <c r="B511">
        <f>YEAR(Country_Masterlist__6[[#This Row],[Year1]])</f>
        <v>2016</v>
      </c>
      <c r="C511" t="s">
        <v>33</v>
      </c>
      <c r="D511" t="s">
        <v>74</v>
      </c>
      <c r="E511">
        <v>36</v>
      </c>
    </row>
    <row r="512" spans="1:5" x14ac:dyDescent="0.35">
      <c r="A512" s="13">
        <v>42370</v>
      </c>
      <c r="B512">
        <f>YEAR(Country_Masterlist__6[[#This Row],[Year1]])</f>
        <v>2016</v>
      </c>
      <c r="C512" t="s">
        <v>33</v>
      </c>
      <c r="D512" t="s">
        <v>75</v>
      </c>
      <c r="E512">
        <v>7</v>
      </c>
    </row>
    <row r="513" spans="1:5" x14ac:dyDescent="0.35">
      <c r="A513" s="13">
        <v>42370</v>
      </c>
      <c r="B513">
        <f>YEAR(Country_Masterlist__6[[#This Row],[Year1]])</f>
        <v>2016</v>
      </c>
      <c r="C513" t="s">
        <v>36</v>
      </c>
      <c r="D513" t="s">
        <v>76</v>
      </c>
      <c r="E513">
        <v>61</v>
      </c>
    </row>
    <row r="514" spans="1:5" x14ac:dyDescent="0.35">
      <c r="A514" s="13">
        <v>42370</v>
      </c>
      <c r="B514">
        <f>YEAR(Country_Masterlist__6[[#This Row],[Year1]])</f>
        <v>2016</v>
      </c>
      <c r="C514" t="s">
        <v>33</v>
      </c>
      <c r="D514" t="s">
        <v>77</v>
      </c>
      <c r="E514">
        <v>23</v>
      </c>
    </row>
    <row r="515" spans="1:5" x14ac:dyDescent="0.35">
      <c r="A515" s="13">
        <v>42370</v>
      </c>
      <c r="B515">
        <f>YEAR(Country_Masterlist__6[[#This Row],[Year1]])</f>
        <v>2016</v>
      </c>
      <c r="C515" t="s">
        <v>35</v>
      </c>
      <c r="D515" t="s">
        <v>78</v>
      </c>
      <c r="E515">
        <v>23</v>
      </c>
    </row>
    <row r="516" spans="1:5" x14ac:dyDescent="0.35">
      <c r="A516" s="13">
        <v>42370</v>
      </c>
      <c r="B516">
        <f>YEAR(Country_Masterlist__6[[#This Row],[Year1]])</f>
        <v>2016</v>
      </c>
      <c r="C516" t="s">
        <v>36</v>
      </c>
      <c r="D516" t="s">
        <v>79</v>
      </c>
      <c r="E516">
        <v>78</v>
      </c>
    </row>
    <row r="517" spans="1:5" x14ac:dyDescent="0.35">
      <c r="A517" s="13">
        <v>42370</v>
      </c>
      <c r="B517">
        <f>YEAR(Country_Masterlist__6[[#This Row],[Year1]])</f>
        <v>2016</v>
      </c>
      <c r="C517" t="s">
        <v>34</v>
      </c>
      <c r="D517" t="s">
        <v>80</v>
      </c>
      <c r="E517">
        <v>5</v>
      </c>
    </row>
    <row r="518" spans="1:5" x14ac:dyDescent="0.35">
      <c r="A518" s="13">
        <v>42370</v>
      </c>
      <c r="B518">
        <f>YEAR(Country_Masterlist__6[[#This Row],[Year1]])</f>
        <v>2016</v>
      </c>
      <c r="C518" t="s">
        <v>35</v>
      </c>
      <c r="D518" t="s">
        <v>81</v>
      </c>
      <c r="E518">
        <v>87</v>
      </c>
    </row>
    <row r="519" spans="1:5" x14ac:dyDescent="0.35">
      <c r="A519" s="13">
        <v>42370</v>
      </c>
      <c r="B519">
        <f>YEAR(Country_Masterlist__6[[#This Row],[Year1]])</f>
        <v>2016</v>
      </c>
      <c r="C519" t="s">
        <v>35</v>
      </c>
      <c r="D519" t="s">
        <v>82</v>
      </c>
      <c r="E519">
        <v>43</v>
      </c>
    </row>
    <row r="520" spans="1:5" x14ac:dyDescent="0.35">
      <c r="A520" s="13">
        <v>42370</v>
      </c>
      <c r="B520">
        <f>YEAR(Country_Masterlist__6[[#This Row],[Year1]])</f>
        <v>2016</v>
      </c>
      <c r="C520" t="s">
        <v>36</v>
      </c>
      <c r="D520" t="s">
        <v>84</v>
      </c>
      <c r="E520">
        <v>7</v>
      </c>
    </row>
    <row r="521" spans="1:5" x14ac:dyDescent="0.35">
      <c r="A521" s="13">
        <v>42370</v>
      </c>
      <c r="B521">
        <f>YEAR(Country_Masterlist__6[[#This Row],[Year1]])</f>
        <v>2016</v>
      </c>
      <c r="C521" t="s">
        <v>36</v>
      </c>
      <c r="D521" t="s">
        <v>85</v>
      </c>
      <c r="E521">
        <v>310</v>
      </c>
    </row>
    <row r="522" spans="1:5" x14ac:dyDescent="0.35">
      <c r="A522" s="13">
        <v>42370</v>
      </c>
      <c r="B522">
        <f>YEAR(Country_Masterlist__6[[#This Row],[Year1]])</f>
        <v>2016</v>
      </c>
      <c r="C522" t="s">
        <v>38</v>
      </c>
      <c r="D522" t="s">
        <v>86</v>
      </c>
      <c r="E522">
        <v>204</v>
      </c>
    </row>
    <row r="523" spans="1:5" x14ac:dyDescent="0.35">
      <c r="A523" s="13">
        <v>42370</v>
      </c>
      <c r="B523">
        <f>YEAR(Country_Masterlist__6[[#This Row],[Year1]])</f>
        <v>2016</v>
      </c>
      <c r="C523" t="s">
        <v>33</v>
      </c>
      <c r="D523" t="s">
        <v>87</v>
      </c>
      <c r="E523">
        <v>149</v>
      </c>
    </row>
    <row r="524" spans="1:5" x14ac:dyDescent="0.35">
      <c r="A524" s="13">
        <v>42370</v>
      </c>
      <c r="B524">
        <f>YEAR(Country_Masterlist__6[[#This Row],[Year1]])</f>
        <v>2016</v>
      </c>
      <c r="C524" t="s">
        <v>36</v>
      </c>
      <c r="D524" t="s">
        <v>16</v>
      </c>
      <c r="E524">
        <v>469</v>
      </c>
    </row>
    <row r="525" spans="1:5" x14ac:dyDescent="0.35">
      <c r="A525" s="13">
        <v>42370</v>
      </c>
      <c r="B525">
        <f>YEAR(Country_Masterlist__6[[#This Row],[Year1]])</f>
        <v>2016</v>
      </c>
      <c r="C525" t="s">
        <v>33</v>
      </c>
      <c r="D525" t="s">
        <v>89</v>
      </c>
      <c r="E525">
        <v>21</v>
      </c>
    </row>
    <row r="526" spans="1:5" x14ac:dyDescent="0.35">
      <c r="A526" s="13">
        <v>42370</v>
      </c>
      <c r="B526">
        <f>YEAR(Country_Masterlist__6[[#This Row],[Year1]])</f>
        <v>2016</v>
      </c>
      <c r="C526" t="s">
        <v>35</v>
      </c>
      <c r="D526" t="s">
        <v>90</v>
      </c>
      <c r="E526">
        <v>27</v>
      </c>
    </row>
    <row r="527" spans="1:5" x14ac:dyDescent="0.35">
      <c r="A527" s="13">
        <v>42370</v>
      </c>
      <c r="B527">
        <f>YEAR(Country_Masterlist__6[[#This Row],[Year1]])</f>
        <v>2016</v>
      </c>
      <c r="C527" t="s">
        <v>33</v>
      </c>
      <c r="D527" t="s">
        <v>91</v>
      </c>
      <c r="E527">
        <v>26</v>
      </c>
    </row>
    <row r="528" spans="1:5" x14ac:dyDescent="0.35">
      <c r="A528" s="13">
        <v>42370</v>
      </c>
      <c r="B528">
        <f>YEAR(Country_Masterlist__6[[#This Row],[Year1]])</f>
        <v>2016</v>
      </c>
      <c r="C528" t="s">
        <v>37</v>
      </c>
      <c r="D528" t="s">
        <v>92</v>
      </c>
      <c r="E528">
        <v>51</v>
      </c>
    </row>
    <row r="529" spans="1:5" x14ac:dyDescent="0.35">
      <c r="A529" s="13">
        <v>42370</v>
      </c>
      <c r="B529">
        <f>YEAR(Country_Masterlist__6[[#This Row],[Year1]])</f>
        <v>2016</v>
      </c>
      <c r="C529" t="s">
        <v>35</v>
      </c>
      <c r="D529" t="s">
        <v>93</v>
      </c>
      <c r="E529">
        <v>24</v>
      </c>
    </row>
    <row r="530" spans="1:5" x14ac:dyDescent="0.35">
      <c r="A530" s="13">
        <v>42370</v>
      </c>
      <c r="B530">
        <f>YEAR(Country_Masterlist__6[[#This Row],[Year1]])</f>
        <v>2016</v>
      </c>
      <c r="C530" t="s">
        <v>35</v>
      </c>
      <c r="D530" t="s">
        <v>94</v>
      </c>
      <c r="E530">
        <v>616</v>
      </c>
    </row>
    <row r="531" spans="1:5" x14ac:dyDescent="0.35">
      <c r="A531" s="13">
        <v>42370</v>
      </c>
      <c r="B531">
        <f>YEAR(Country_Masterlist__6[[#This Row],[Year1]])</f>
        <v>2016</v>
      </c>
      <c r="C531" t="s">
        <v>33</v>
      </c>
      <c r="D531" t="s">
        <v>95</v>
      </c>
      <c r="E531">
        <v>5</v>
      </c>
    </row>
    <row r="532" spans="1:5" x14ac:dyDescent="0.35">
      <c r="A532" s="13">
        <v>42370</v>
      </c>
      <c r="B532">
        <f>YEAR(Country_Masterlist__6[[#This Row],[Year1]])</f>
        <v>2016</v>
      </c>
      <c r="C532" t="s">
        <v>33</v>
      </c>
      <c r="D532" t="s">
        <v>96</v>
      </c>
      <c r="E532">
        <v>11</v>
      </c>
    </row>
    <row r="533" spans="1:5" x14ac:dyDescent="0.35">
      <c r="A533" s="13">
        <v>42370</v>
      </c>
      <c r="B533">
        <f>YEAR(Country_Masterlist__6[[#This Row],[Year1]])</f>
        <v>2016</v>
      </c>
      <c r="C533" t="s">
        <v>34</v>
      </c>
      <c r="D533" t="s">
        <v>8</v>
      </c>
      <c r="E533">
        <v>7</v>
      </c>
    </row>
    <row r="534" spans="1:5" x14ac:dyDescent="0.35">
      <c r="A534" s="13">
        <v>42370</v>
      </c>
      <c r="B534">
        <f>YEAR(Country_Masterlist__6[[#This Row],[Year1]])</f>
        <v>2016</v>
      </c>
      <c r="C534" t="s">
        <v>35</v>
      </c>
      <c r="D534" t="s">
        <v>97</v>
      </c>
      <c r="E534">
        <v>368</v>
      </c>
    </row>
    <row r="535" spans="1:5" x14ac:dyDescent="0.35">
      <c r="A535" s="13">
        <v>42370</v>
      </c>
      <c r="B535">
        <f>YEAR(Country_Masterlist__6[[#This Row],[Year1]])</f>
        <v>2016</v>
      </c>
      <c r="C535" t="s">
        <v>33</v>
      </c>
      <c r="D535" t="s">
        <v>98</v>
      </c>
      <c r="E535">
        <v>49</v>
      </c>
    </row>
    <row r="536" spans="1:5" x14ac:dyDescent="0.35">
      <c r="A536" s="13">
        <v>42370</v>
      </c>
      <c r="B536">
        <f>YEAR(Country_Masterlist__6[[#This Row],[Year1]])</f>
        <v>2016</v>
      </c>
      <c r="C536" t="s">
        <v>35</v>
      </c>
      <c r="D536" t="s">
        <v>99</v>
      </c>
      <c r="E536">
        <v>113</v>
      </c>
    </row>
    <row r="537" spans="1:5" x14ac:dyDescent="0.35">
      <c r="A537" s="13">
        <v>42370</v>
      </c>
      <c r="B537">
        <f>YEAR(Country_Masterlist__6[[#This Row],[Year1]])</f>
        <v>2016</v>
      </c>
      <c r="C537" t="s">
        <v>36</v>
      </c>
      <c r="D537" t="s">
        <v>100</v>
      </c>
      <c r="E537">
        <v>8</v>
      </c>
    </row>
    <row r="538" spans="1:5" x14ac:dyDescent="0.35">
      <c r="A538" s="13">
        <v>42370</v>
      </c>
      <c r="B538">
        <f>YEAR(Country_Masterlist__6[[#This Row],[Year1]])</f>
        <v>2016</v>
      </c>
      <c r="C538" t="s">
        <v>36</v>
      </c>
      <c r="D538" t="s">
        <v>15</v>
      </c>
      <c r="E538">
        <v>902</v>
      </c>
    </row>
    <row r="539" spans="1:5" x14ac:dyDescent="0.35">
      <c r="A539" s="13">
        <v>42370</v>
      </c>
      <c r="B539">
        <f>YEAR(Country_Masterlist__6[[#This Row],[Year1]])</f>
        <v>2016</v>
      </c>
      <c r="C539" t="s">
        <v>33</v>
      </c>
      <c r="D539" t="s">
        <v>101</v>
      </c>
      <c r="E539">
        <v>9</v>
      </c>
    </row>
    <row r="540" spans="1:5" x14ac:dyDescent="0.35">
      <c r="A540" s="13">
        <v>42370</v>
      </c>
      <c r="B540">
        <f>YEAR(Country_Masterlist__6[[#This Row],[Year1]])</f>
        <v>2016</v>
      </c>
      <c r="C540" t="s">
        <v>38</v>
      </c>
      <c r="D540" t="s">
        <v>103</v>
      </c>
      <c r="E540">
        <v>55</v>
      </c>
    </row>
    <row r="541" spans="1:5" x14ac:dyDescent="0.35">
      <c r="A541" s="13">
        <v>42370</v>
      </c>
      <c r="B541">
        <f>YEAR(Country_Masterlist__6[[#This Row],[Year1]])</f>
        <v>2016</v>
      </c>
      <c r="C541" t="s">
        <v>36</v>
      </c>
      <c r="D541" t="s">
        <v>104</v>
      </c>
      <c r="E541">
        <v>146</v>
      </c>
    </row>
    <row r="542" spans="1:5" x14ac:dyDescent="0.35">
      <c r="A542" s="13">
        <v>42370</v>
      </c>
      <c r="B542">
        <f>YEAR(Country_Masterlist__6[[#This Row],[Year1]])</f>
        <v>2016</v>
      </c>
      <c r="C542" t="s">
        <v>36</v>
      </c>
      <c r="D542" t="s">
        <v>17</v>
      </c>
      <c r="E542">
        <v>462</v>
      </c>
    </row>
    <row r="543" spans="1:5" x14ac:dyDescent="0.35">
      <c r="A543" s="13">
        <v>42370</v>
      </c>
      <c r="B543">
        <f>YEAR(Country_Masterlist__6[[#This Row],[Year1]])</f>
        <v>2016</v>
      </c>
      <c r="C543" t="s">
        <v>35</v>
      </c>
      <c r="D543" t="s">
        <v>105</v>
      </c>
      <c r="E543">
        <v>126</v>
      </c>
    </row>
    <row r="544" spans="1:5" x14ac:dyDescent="0.35">
      <c r="A544" s="13">
        <v>42370</v>
      </c>
      <c r="B544">
        <f>YEAR(Country_Masterlist__6[[#This Row],[Year1]])</f>
        <v>2016</v>
      </c>
      <c r="C544" t="s">
        <v>35</v>
      </c>
      <c r="D544" t="s">
        <v>106</v>
      </c>
      <c r="E544">
        <v>9</v>
      </c>
    </row>
    <row r="545" spans="1:5" x14ac:dyDescent="0.35">
      <c r="A545" s="13">
        <v>42370</v>
      </c>
      <c r="B545">
        <f>YEAR(Country_Masterlist__6[[#This Row],[Year1]])</f>
        <v>2016</v>
      </c>
      <c r="C545" t="s">
        <v>34</v>
      </c>
      <c r="D545" t="s">
        <v>22</v>
      </c>
      <c r="E545">
        <v>1574</v>
      </c>
    </row>
    <row r="546" spans="1:5" x14ac:dyDescent="0.35">
      <c r="A546" s="13">
        <v>42370</v>
      </c>
      <c r="B546">
        <f>YEAR(Country_Masterlist__6[[#This Row],[Year1]])</f>
        <v>2016</v>
      </c>
      <c r="C546" t="s">
        <v>34</v>
      </c>
      <c r="D546" t="s">
        <v>107</v>
      </c>
      <c r="E546">
        <v>54</v>
      </c>
    </row>
    <row r="547" spans="1:5" x14ac:dyDescent="0.35">
      <c r="A547" s="13">
        <v>42370</v>
      </c>
      <c r="B547">
        <f>YEAR(Country_Masterlist__6[[#This Row],[Year1]])</f>
        <v>2016</v>
      </c>
      <c r="C547" t="s">
        <v>34</v>
      </c>
      <c r="D547" t="s">
        <v>108</v>
      </c>
      <c r="E547">
        <v>519</v>
      </c>
    </row>
    <row r="548" spans="1:5" x14ac:dyDescent="0.35">
      <c r="A548" s="13">
        <v>42370</v>
      </c>
      <c r="B548">
        <f>YEAR(Country_Masterlist__6[[#This Row],[Year1]])</f>
        <v>2016</v>
      </c>
      <c r="C548" t="s">
        <v>34</v>
      </c>
      <c r="D548" t="s">
        <v>109</v>
      </c>
      <c r="E548">
        <v>240</v>
      </c>
    </row>
    <row r="549" spans="1:5" x14ac:dyDescent="0.35">
      <c r="A549" s="13">
        <v>42370</v>
      </c>
      <c r="B549">
        <f>YEAR(Country_Masterlist__6[[#This Row],[Year1]])</f>
        <v>2016</v>
      </c>
      <c r="C549" t="s">
        <v>35</v>
      </c>
      <c r="D549" t="s">
        <v>110</v>
      </c>
      <c r="E549">
        <v>152</v>
      </c>
    </row>
    <row r="550" spans="1:5" x14ac:dyDescent="0.35">
      <c r="A550" s="13">
        <v>42370</v>
      </c>
      <c r="B550">
        <f>YEAR(Country_Masterlist__6[[#This Row],[Year1]])</f>
        <v>2016</v>
      </c>
      <c r="C550" t="s">
        <v>34</v>
      </c>
      <c r="D550" t="s">
        <v>111</v>
      </c>
      <c r="E550">
        <v>125</v>
      </c>
    </row>
    <row r="551" spans="1:5" x14ac:dyDescent="0.35">
      <c r="A551" s="13">
        <v>42370</v>
      </c>
      <c r="B551">
        <f>YEAR(Country_Masterlist__6[[#This Row],[Year1]])</f>
        <v>2016</v>
      </c>
      <c r="C551" t="s">
        <v>35</v>
      </c>
      <c r="D551" t="s">
        <v>112</v>
      </c>
      <c r="E551">
        <v>488</v>
      </c>
    </row>
    <row r="552" spans="1:5" x14ac:dyDescent="0.35">
      <c r="A552" s="13">
        <v>42370</v>
      </c>
      <c r="B552">
        <f>YEAR(Country_Masterlist__6[[#This Row],[Year1]])</f>
        <v>2016</v>
      </c>
      <c r="C552" t="s">
        <v>36</v>
      </c>
      <c r="D552" t="s">
        <v>113</v>
      </c>
      <c r="E552">
        <v>363</v>
      </c>
    </row>
    <row r="553" spans="1:5" x14ac:dyDescent="0.35">
      <c r="A553" s="13">
        <v>42370</v>
      </c>
      <c r="B553">
        <f>YEAR(Country_Masterlist__6[[#This Row],[Year1]])</f>
        <v>2016</v>
      </c>
      <c r="C553" t="s">
        <v>34</v>
      </c>
      <c r="D553" t="s">
        <v>114</v>
      </c>
      <c r="E553">
        <v>261</v>
      </c>
    </row>
    <row r="554" spans="1:5" x14ac:dyDescent="0.35">
      <c r="A554" s="13">
        <v>42370</v>
      </c>
      <c r="B554">
        <f>YEAR(Country_Masterlist__6[[#This Row],[Year1]])</f>
        <v>2016</v>
      </c>
      <c r="C554" t="s">
        <v>34</v>
      </c>
      <c r="D554" t="s">
        <v>115</v>
      </c>
      <c r="E554">
        <v>246</v>
      </c>
    </row>
    <row r="555" spans="1:5" x14ac:dyDescent="0.35">
      <c r="A555" s="13">
        <v>42370</v>
      </c>
      <c r="B555">
        <f>YEAR(Country_Masterlist__6[[#This Row],[Year1]])</f>
        <v>2016</v>
      </c>
      <c r="C555" t="s">
        <v>34</v>
      </c>
      <c r="D555" t="s">
        <v>116</v>
      </c>
      <c r="E555">
        <v>27</v>
      </c>
    </row>
    <row r="556" spans="1:5" x14ac:dyDescent="0.35">
      <c r="A556" s="13">
        <v>42370</v>
      </c>
      <c r="B556">
        <f>YEAR(Country_Masterlist__6[[#This Row],[Year1]])</f>
        <v>2016</v>
      </c>
      <c r="C556" t="s">
        <v>33</v>
      </c>
      <c r="D556" t="s">
        <v>117</v>
      </c>
      <c r="E556">
        <v>47</v>
      </c>
    </row>
    <row r="557" spans="1:5" x14ac:dyDescent="0.35">
      <c r="A557" s="13">
        <v>42370</v>
      </c>
      <c r="B557">
        <f>YEAR(Country_Masterlist__6[[#This Row],[Year1]])</f>
        <v>2016</v>
      </c>
      <c r="C557" t="s">
        <v>34</v>
      </c>
      <c r="D557" t="s">
        <v>118</v>
      </c>
      <c r="E557">
        <v>689</v>
      </c>
    </row>
    <row r="558" spans="1:5" x14ac:dyDescent="0.35">
      <c r="A558" s="13">
        <v>42370</v>
      </c>
      <c r="B558">
        <f>YEAR(Country_Masterlist__6[[#This Row],[Year1]])</f>
        <v>2016</v>
      </c>
      <c r="C558" t="s">
        <v>35</v>
      </c>
      <c r="D558" t="s">
        <v>119</v>
      </c>
      <c r="E558">
        <v>16</v>
      </c>
    </row>
    <row r="559" spans="1:5" x14ac:dyDescent="0.35">
      <c r="A559" s="13">
        <v>42370</v>
      </c>
      <c r="B559">
        <f>YEAR(Country_Masterlist__6[[#This Row],[Year1]])</f>
        <v>2016</v>
      </c>
      <c r="C559" t="s">
        <v>34</v>
      </c>
      <c r="D559" t="s">
        <v>120</v>
      </c>
      <c r="E559">
        <v>47</v>
      </c>
    </row>
    <row r="560" spans="1:5" x14ac:dyDescent="0.35">
      <c r="A560" s="13">
        <v>42370</v>
      </c>
      <c r="B560">
        <f>YEAR(Country_Masterlist__6[[#This Row],[Year1]])</f>
        <v>2016</v>
      </c>
      <c r="C560" t="s">
        <v>34</v>
      </c>
      <c r="D560" t="s">
        <v>121</v>
      </c>
      <c r="E560">
        <v>6</v>
      </c>
    </row>
    <row r="561" spans="1:5" x14ac:dyDescent="0.35">
      <c r="A561" s="13">
        <v>42370</v>
      </c>
      <c r="B561">
        <f>YEAR(Country_Masterlist__6[[#This Row],[Year1]])</f>
        <v>2016</v>
      </c>
      <c r="C561" t="s">
        <v>34</v>
      </c>
      <c r="D561" t="s">
        <v>122</v>
      </c>
    </row>
    <row r="562" spans="1:5" x14ac:dyDescent="0.35">
      <c r="A562" s="13">
        <v>42370</v>
      </c>
      <c r="B562">
        <f>YEAR(Country_Masterlist__6[[#This Row],[Year1]])</f>
        <v>2016</v>
      </c>
      <c r="C562" t="s">
        <v>35</v>
      </c>
      <c r="D562" t="s">
        <v>123</v>
      </c>
      <c r="E562">
        <v>37</v>
      </c>
    </row>
    <row r="563" spans="1:5" x14ac:dyDescent="0.35">
      <c r="A563" s="13">
        <v>42370</v>
      </c>
      <c r="B563">
        <f>YEAR(Country_Masterlist__6[[#This Row],[Year1]])</f>
        <v>2016</v>
      </c>
      <c r="C563" t="s">
        <v>34</v>
      </c>
      <c r="D563" t="s">
        <v>124</v>
      </c>
      <c r="E563">
        <v>107</v>
      </c>
    </row>
    <row r="564" spans="1:5" x14ac:dyDescent="0.35">
      <c r="A564" s="13">
        <v>42370</v>
      </c>
      <c r="B564">
        <f>YEAR(Country_Masterlist__6[[#This Row],[Year1]])</f>
        <v>2016</v>
      </c>
      <c r="C564" t="s">
        <v>33</v>
      </c>
      <c r="D564" t="s">
        <v>125</v>
      </c>
      <c r="E564">
        <v>13</v>
      </c>
    </row>
    <row r="565" spans="1:5" x14ac:dyDescent="0.35">
      <c r="A565" s="13">
        <v>42370</v>
      </c>
      <c r="B565">
        <f>YEAR(Country_Masterlist__6[[#This Row],[Year1]])</f>
        <v>2016</v>
      </c>
      <c r="C565" t="s">
        <v>33</v>
      </c>
      <c r="D565" t="s">
        <v>126</v>
      </c>
      <c r="E565">
        <v>31</v>
      </c>
    </row>
    <row r="566" spans="1:5" x14ac:dyDescent="0.35">
      <c r="A566" s="13">
        <v>42370</v>
      </c>
      <c r="B566">
        <f>YEAR(Country_Masterlist__6[[#This Row],[Year1]])</f>
        <v>2016</v>
      </c>
      <c r="C566" t="s">
        <v>35</v>
      </c>
      <c r="D566" t="s">
        <v>127</v>
      </c>
      <c r="E566">
        <v>46</v>
      </c>
    </row>
    <row r="567" spans="1:5" x14ac:dyDescent="0.35">
      <c r="A567" s="13">
        <v>42370</v>
      </c>
      <c r="B567">
        <f>YEAR(Country_Masterlist__6[[#This Row],[Year1]])</f>
        <v>2016</v>
      </c>
      <c r="C567" t="s">
        <v>33</v>
      </c>
      <c r="D567" t="s">
        <v>129</v>
      </c>
      <c r="E567">
        <v>5</v>
      </c>
    </row>
    <row r="568" spans="1:5" x14ac:dyDescent="0.35">
      <c r="A568" s="13">
        <v>42370</v>
      </c>
      <c r="B568">
        <f>YEAR(Country_Masterlist__6[[#This Row],[Year1]])</f>
        <v>2016</v>
      </c>
      <c r="C568" t="s">
        <v>34</v>
      </c>
      <c r="D568" t="s">
        <v>131</v>
      </c>
      <c r="E568">
        <v>24</v>
      </c>
    </row>
    <row r="569" spans="1:5" x14ac:dyDescent="0.35">
      <c r="A569" s="13">
        <v>42370</v>
      </c>
      <c r="B569">
        <f>YEAR(Country_Masterlist__6[[#This Row],[Year1]])</f>
        <v>2016</v>
      </c>
      <c r="C569" t="s">
        <v>33</v>
      </c>
      <c r="D569" t="s">
        <v>132</v>
      </c>
      <c r="E569">
        <v>14</v>
      </c>
    </row>
    <row r="570" spans="1:5" x14ac:dyDescent="0.35">
      <c r="A570" s="13">
        <v>42370</v>
      </c>
      <c r="B570">
        <f>YEAR(Country_Masterlist__6[[#This Row],[Year1]])</f>
        <v>2016</v>
      </c>
      <c r="C570" t="s">
        <v>33</v>
      </c>
      <c r="D570" t="s">
        <v>136</v>
      </c>
      <c r="E570">
        <v>9</v>
      </c>
    </row>
    <row r="571" spans="1:5" x14ac:dyDescent="0.35">
      <c r="A571" s="13">
        <v>42370</v>
      </c>
      <c r="B571">
        <f>YEAR(Country_Masterlist__6[[#This Row],[Year1]])</f>
        <v>2016</v>
      </c>
      <c r="C571" t="s">
        <v>36</v>
      </c>
      <c r="D571" t="s">
        <v>14</v>
      </c>
      <c r="E571">
        <v>36761</v>
      </c>
    </row>
    <row r="572" spans="1:5" x14ac:dyDescent="0.35">
      <c r="A572" s="13">
        <v>42370</v>
      </c>
      <c r="B572">
        <f>YEAR(Country_Masterlist__6[[#This Row],[Year1]])</f>
        <v>2016</v>
      </c>
      <c r="C572" t="s">
        <v>37</v>
      </c>
      <c r="D572" t="s">
        <v>137</v>
      </c>
      <c r="E572">
        <v>4</v>
      </c>
    </row>
    <row r="573" spans="1:5" x14ac:dyDescent="0.35">
      <c r="A573" s="13">
        <v>42370</v>
      </c>
      <c r="B573">
        <f>YEAR(Country_Masterlist__6[[#This Row],[Year1]])</f>
        <v>2016</v>
      </c>
      <c r="C573" t="s">
        <v>35</v>
      </c>
      <c r="D573" t="s">
        <v>138</v>
      </c>
      <c r="E573">
        <v>18</v>
      </c>
    </row>
    <row r="574" spans="1:5" x14ac:dyDescent="0.35">
      <c r="A574" s="13">
        <v>42370</v>
      </c>
      <c r="B574">
        <f>YEAR(Country_Masterlist__6[[#This Row],[Year1]])</f>
        <v>2016</v>
      </c>
      <c r="C574" t="s">
        <v>34</v>
      </c>
      <c r="D574" t="s">
        <v>139</v>
      </c>
      <c r="E574">
        <v>28</v>
      </c>
    </row>
    <row r="575" spans="1:5" x14ac:dyDescent="0.35">
      <c r="A575" s="13">
        <v>42370</v>
      </c>
      <c r="B575">
        <f>YEAR(Country_Masterlist__6[[#This Row],[Year1]])</f>
        <v>2016</v>
      </c>
      <c r="C575" t="s">
        <v>35</v>
      </c>
      <c r="D575" t="s">
        <v>140</v>
      </c>
      <c r="E575">
        <v>6</v>
      </c>
    </row>
    <row r="576" spans="1:5" x14ac:dyDescent="0.35">
      <c r="A576" s="13">
        <v>42370</v>
      </c>
      <c r="B576">
        <f>YEAR(Country_Masterlist__6[[#This Row],[Year1]])</f>
        <v>2016</v>
      </c>
      <c r="C576" t="s">
        <v>33</v>
      </c>
      <c r="D576" t="s">
        <v>141</v>
      </c>
      <c r="E576">
        <v>188</v>
      </c>
    </row>
    <row r="577" spans="1:5" x14ac:dyDescent="0.35">
      <c r="A577" s="13">
        <v>42370</v>
      </c>
      <c r="B577">
        <f>YEAR(Country_Masterlist__6[[#This Row],[Year1]])</f>
        <v>2016</v>
      </c>
      <c r="C577" t="s">
        <v>34</v>
      </c>
      <c r="D577" t="s">
        <v>144</v>
      </c>
      <c r="E577">
        <v>34</v>
      </c>
    </row>
    <row r="578" spans="1:5" x14ac:dyDescent="0.35">
      <c r="A578" s="13">
        <v>42370</v>
      </c>
      <c r="B578">
        <f>YEAR(Country_Masterlist__6[[#This Row],[Year1]])</f>
        <v>2016</v>
      </c>
      <c r="C578" t="s">
        <v>35</v>
      </c>
      <c r="D578" t="s">
        <v>145</v>
      </c>
      <c r="E578">
        <v>199</v>
      </c>
    </row>
    <row r="579" spans="1:5" x14ac:dyDescent="0.35">
      <c r="A579" s="13">
        <v>42370</v>
      </c>
      <c r="B579">
        <f>YEAR(Country_Masterlist__6[[#This Row],[Year1]])</f>
        <v>2016</v>
      </c>
      <c r="C579" t="s">
        <v>37</v>
      </c>
      <c r="D579" t="s">
        <v>146</v>
      </c>
      <c r="E579">
        <v>92</v>
      </c>
    </row>
    <row r="580" spans="1:5" x14ac:dyDescent="0.35">
      <c r="A580" s="13">
        <v>42370</v>
      </c>
      <c r="B580">
        <f>YEAR(Country_Masterlist__6[[#This Row],[Year1]])</f>
        <v>2016</v>
      </c>
      <c r="C580" t="s">
        <v>36</v>
      </c>
      <c r="D580" t="s">
        <v>147</v>
      </c>
      <c r="E580">
        <v>55</v>
      </c>
    </row>
    <row r="581" spans="1:5" x14ac:dyDescent="0.35">
      <c r="A581" s="13">
        <v>42370</v>
      </c>
      <c r="B581">
        <f>YEAR(Country_Masterlist__6[[#This Row],[Year1]])</f>
        <v>2016</v>
      </c>
      <c r="C581" t="s">
        <v>33</v>
      </c>
      <c r="D581" t="s">
        <v>148</v>
      </c>
      <c r="E581" t="s">
        <v>205</v>
      </c>
    </row>
    <row r="582" spans="1:5" x14ac:dyDescent="0.35">
      <c r="A582" s="13">
        <v>42370</v>
      </c>
      <c r="B582">
        <f>YEAR(Country_Masterlist__6[[#This Row],[Year1]])</f>
        <v>2016</v>
      </c>
      <c r="C582" t="s">
        <v>33</v>
      </c>
      <c r="D582" t="s">
        <v>149</v>
      </c>
      <c r="E582">
        <v>572</v>
      </c>
    </row>
    <row r="583" spans="1:5" x14ac:dyDescent="0.35">
      <c r="A583" s="13">
        <v>42370</v>
      </c>
      <c r="B583">
        <f>YEAR(Country_Masterlist__6[[#This Row],[Year1]])</f>
        <v>2016</v>
      </c>
      <c r="C583" t="s">
        <v>35</v>
      </c>
      <c r="D583" t="s">
        <v>322</v>
      </c>
      <c r="E583">
        <v>8</v>
      </c>
    </row>
    <row r="584" spans="1:5" x14ac:dyDescent="0.35">
      <c r="A584" s="13">
        <v>42370</v>
      </c>
      <c r="B584">
        <f>YEAR(Country_Masterlist__6[[#This Row],[Year1]])</f>
        <v>2016</v>
      </c>
      <c r="C584" t="s">
        <v>35</v>
      </c>
      <c r="D584" t="s">
        <v>150</v>
      </c>
      <c r="E584">
        <v>47</v>
      </c>
    </row>
    <row r="585" spans="1:5" x14ac:dyDescent="0.35">
      <c r="A585" s="13">
        <v>42370</v>
      </c>
      <c r="B585">
        <f>YEAR(Country_Masterlist__6[[#This Row],[Year1]])</f>
        <v>2016</v>
      </c>
      <c r="C585" t="s">
        <v>34</v>
      </c>
      <c r="D585" t="s">
        <v>151</v>
      </c>
      <c r="E585">
        <v>10</v>
      </c>
    </row>
    <row r="586" spans="1:5" x14ac:dyDescent="0.35">
      <c r="A586" s="13">
        <v>42370</v>
      </c>
      <c r="B586">
        <f>YEAR(Country_Masterlist__6[[#This Row],[Year1]])</f>
        <v>2016</v>
      </c>
      <c r="C586" t="s">
        <v>34</v>
      </c>
      <c r="D586" t="s">
        <v>152</v>
      </c>
      <c r="E586">
        <v>309</v>
      </c>
    </row>
    <row r="587" spans="1:5" x14ac:dyDescent="0.35">
      <c r="A587" s="13">
        <v>42370</v>
      </c>
      <c r="B587">
        <f>YEAR(Country_Masterlist__6[[#This Row],[Year1]])</f>
        <v>2016</v>
      </c>
      <c r="C587" t="s">
        <v>36</v>
      </c>
      <c r="D587" t="s">
        <v>154</v>
      </c>
      <c r="E587">
        <v>24</v>
      </c>
    </row>
    <row r="588" spans="1:5" x14ac:dyDescent="0.35">
      <c r="A588" s="13">
        <v>42370</v>
      </c>
      <c r="B588">
        <f>YEAR(Country_Masterlist__6[[#This Row],[Year1]])</f>
        <v>2016</v>
      </c>
      <c r="C588" t="s">
        <v>38</v>
      </c>
      <c r="D588" t="s">
        <v>155</v>
      </c>
      <c r="E588">
        <v>7</v>
      </c>
    </row>
    <row r="589" spans="1:5" x14ac:dyDescent="0.35">
      <c r="A589" s="13">
        <v>42370</v>
      </c>
      <c r="B589">
        <f>YEAR(Country_Masterlist__6[[#This Row],[Year1]])</f>
        <v>2016</v>
      </c>
      <c r="C589" t="s">
        <v>38</v>
      </c>
      <c r="D589" t="s">
        <v>156</v>
      </c>
      <c r="E589">
        <v>143</v>
      </c>
    </row>
    <row r="590" spans="1:5" x14ac:dyDescent="0.35">
      <c r="A590" s="13">
        <v>42370</v>
      </c>
      <c r="B590">
        <f>YEAR(Country_Masterlist__6[[#This Row],[Year1]])</f>
        <v>2016</v>
      </c>
      <c r="C590" t="s">
        <v>34</v>
      </c>
      <c r="D590" t="s">
        <v>18</v>
      </c>
      <c r="E590">
        <v>374</v>
      </c>
    </row>
    <row r="591" spans="1:5" x14ac:dyDescent="0.35">
      <c r="A591" s="13">
        <v>42370</v>
      </c>
      <c r="B591">
        <f>YEAR(Country_Masterlist__6[[#This Row],[Year1]])</f>
        <v>2016</v>
      </c>
      <c r="C591" t="s">
        <v>35</v>
      </c>
      <c r="D591" t="s">
        <v>157</v>
      </c>
      <c r="E591">
        <v>177</v>
      </c>
    </row>
    <row r="592" spans="1:5" x14ac:dyDescent="0.35">
      <c r="A592" s="13">
        <v>42370</v>
      </c>
      <c r="B592">
        <f>YEAR(Country_Masterlist__6[[#This Row],[Year1]])</f>
        <v>2016</v>
      </c>
      <c r="C592" t="s">
        <v>35</v>
      </c>
      <c r="D592" t="s">
        <v>158</v>
      </c>
      <c r="E592">
        <v>192</v>
      </c>
    </row>
    <row r="593" spans="1:5" x14ac:dyDescent="0.35">
      <c r="A593" s="13">
        <v>42370</v>
      </c>
      <c r="B593">
        <f>YEAR(Country_Masterlist__6[[#This Row],[Year1]])</f>
        <v>2016</v>
      </c>
      <c r="C593" t="s">
        <v>34</v>
      </c>
      <c r="D593" t="s">
        <v>159</v>
      </c>
      <c r="E593">
        <v>9</v>
      </c>
    </row>
    <row r="594" spans="1:5" x14ac:dyDescent="0.35">
      <c r="A594" s="13">
        <v>42370</v>
      </c>
      <c r="B594">
        <f>YEAR(Country_Masterlist__6[[#This Row],[Year1]])</f>
        <v>2016</v>
      </c>
      <c r="C594" t="s">
        <v>35</v>
      </c>
      <c r="D594" t="s">
        <v>160</v>
      </c>
      <c r="E594">
        <v>108</v>
      </c>
    </row>
    <row r="595" spans="1:5" x14ac:dyDescent="0.35">
      <c r="A595" s="13">
        <v>42370</v>
      </c>
      <c r="B595">
        <f>YEAR(Country_Masterlist__6[[#This Row],[Year1]])</f>
        <v>2016</v>
      </c>
      <c r="C595" t="s">
        <v>35</v>
      </c>
      <c r="D595" t="s">
        <v>161</v>
      </c>
      <c r="E595">
        <v>105</v>
      </c>
    </row>
    <row r="596" spans="1:5" x14ac:dyDescent="0.35">
      <c r="A596" s="13">
        <v>42370</v>
      </c>
      <c r="B596">
        <f>YEAR(Country_Masterlist__6[[#This Row],[Year1]])</f>
        <v>2016</v>
      </c>
      <c r="C596" t="s">
        <v>33</v>
      </c>
      <c r="D596" t="s">
        <v>162</v>
      </c>
      <c r="E596">
        <v>14</v>
      </c>
    </row>
    <row r="597" spans="1:5" x14ac:dyDescent="0.35">
      <c r="A597" s="13">
        <v>42370</v>
      </c>
      <c r="B597">
        <f>YEAR(Country_Masterlist__6[[#This Row],[Year1]])</f>
        <v>2016</v>
      </c>
      <c r="C597" t="s">
        <v>36</v>
      </c>
      <c r="D597" t="s">
        <v>163</v>
      </c>
      <c r="E597">
        <v>4</v>
      </c>
    </row>
    <row r="598" spans="1:5" x14ac:dyDescent="0.35">
      <c r="A598" s="13">
        <v>42370</v>
      </c>
      <c r="B598">
        <f>YEAR(Country_Masterlist__6[[#This Row],[Year1]])</f>
        <v>2016</v>
      </c>
      <c r="C598" t="s">
        <v>36</v>
      </c>
      <c r="D598" t="s">
        <v>164</v>
      </c>
      <c r="E598">
        <v>9</v>
      </c>
    </row>
    <row r="599" spans="1:5" x14ac:dyDescent="0.35">
      <c r="A599" s="13">
        <v>42370</v>
      </c>
      <c r="B599">
        <f>YEAR(Country_Masterlist__6[[#This Row],[Year1]])</f>
        <v>2016</v>
      </c>
      <c r="C599" t="s">
        <v>36</v>
      </c>
      <c r="D599" t="s">
        <v>165</v>
      </c>
      <c r="E599">
        <v>13</v>
      </c>
    </row>
    <row r="600" spans="1:5" x14ac:dyDescent="0.35">
      <c r="A600" s="13">
        <v>42370</v>
      </c>
      <c r="B600">
        <f>YEAR(Country_Masterlist__6[[#This Row],[Year1]])</f>
        <v>2016</v>
      </c>
      <c r="C600" t="s">
        <v>37</v>
      </c>
      <c r="D600" t="s">
        <v>166</v>
      </c>
      <c r="E600">
        <v>7</v>
      </c>
    </row>
    <row r="601" spans="1:5" x14ac:dyDescent="0.35">
      <c r="A601" s="13">
        <v>42370</v>
      </c>
      <c r="B601">
        <f>YEAR(Country_Masterlist__6[[#This Row],[Year1]])</f>
        <v>2016</v>
      </c>
      <c r="C601" t="s">
        <v>34</v>
      </c>
      <c r="D601" t="s">
        <v>167</v>
      </c>
      <c r="E601">
        <v>418</v>
      </c>
    </row>
    <row r="602" spans="1:5" x14ac:dyDescent="0.35">
      <c r="A602" s="13">
        <v>42370</v>
      </c>
      <c r="B602">
        <f>YEAR(Country_Masterlist__6[[#This Row],[Year1]])</f>
        <v>2016</v>
      </c>
      <c r="C602" t="s">
        <v>33</v>
      </c>
      <c r="D602" t="s">
        <v>168</v>
      </c>
      <c r="E602">
        <v>50</v>
      </c>
    </row>
    <row r="603" spans="1:5" x14ac:dyDescent="0.35">
      <c r="A603" s="13">
        <v>42370</v>
      </c>
      <c r="B603">
        <f>YEAR(Country_Masterlist__6[[#This Row],[Year1]])</f>
        <v>2016</v>
      </c>
      <c r="C603" t="s">
        <v>35</v>
      </c>
      <c r="D603" t="s">
        <v>169</v>
      </c>
      <c r="E603">
        <v>32</v>
      </c>
    </row>
    <row r="604" spans="1:5" x14ac:dyDescent="0.35">
      <c r="A604" s="13">
        <v>42370</v>
      </c>
      <c r="B604">
        <f>YEAR(Country_Masterlist__6[[#This Row],[Year1]])</f>
        <v>2016</v>
      </c>
      <c r="C604" t="s">
        <v>33</v>
      </c>
      <c r="D604" t="s">
        <v>170</v>
      </c>
      <c r="E604">
        <v>3</v>
      </c>
    </row>
    <row r="605" spans="1:5" x14ac:dyDescent="0.35">
      <c r="A605" s="13">
        <v>42370</v>
      </c>
      <c r="B605">
        <f>YEAR(Country_Masterlist__6[[#This Row],[Year1]])</f>
        <v>2016</v>
      </c>
      <c r="C605" t="s">
        <v>34</v>
      </c>
      <c r="D605" t="s">
        <v>171</v>
      </c>
      <c r="E605">
        <v>31</v>
      </c>
    </row>
    <row r="606" spans="1:5" x14ac:dyDescent="0.35">
      <c r="A606" s="13">
        <v>42370</v>
      </c>
      <c r="B606">
        <f>YEAR(Country_Masterlist__6[[#This Row],[Year1]])</f>
        <v>2016</v>
      </c>
      <c r="C606" t="s">
        <v>35</v>
      </c>
      <c r="D606" t="s">
        <v>172</v>
      </c>
      <c r="E606">
        <v>48</v>
      </c>
    </row>
    <row r="607" spans="1:5" x14ac:dyDescent="0.35">
      <c r="A607" s="13">
        <v>42370</v>
      </c>
      <c r="B607">
        <f>YEAR(Country_Masterlist__6[[#This Row],[Year1]])</f>
        <v>2016</v>
      </c>
      <c r="C607" t="s">
        <v>35</v>
      </c>
      <c r="D607" t="s">
        <v>173</v>
      </c>
      <c r="E607">
        <v>10</v>
      </c>
    </row>
    <row r="608" spans="1:5" x14ac:dyDescent="0.35">
      <c r="A608" s="13">
        <v>42370</v>
      </c>
      <c r="B608">
        <f>YEAR(Country_Masterlist__6[[#This Row],[Year1]])</f>
        <v>2016</v>
      </c>
      <c r="C608" t="s">
        <v>33</v>
      </c>
      <c r="D608" t="s">
        <v>174</v>
      </c>
      <c r="E608">
        <v>15</v>
      </c>
    </row>
    <row r="609" spans="1:5" x14ac:dyDescent="0.35">
      <c r="A609" s="13">
        <v>42370</v>
      </c>
      <c r="B609">
        <f>YEAR(Country_Masterlist__6[[#This Row],[Year1]])</f>
        <v>2016</v>
      </c>
      <c r="C609" t="s">
        <v>33</v>
      </c>
      <c r="D609" t="s">
        <v>175</v>
      </c>
      <c r="E609">
        <v>82</v>
      </c>
    </row>
    <row r="610" spans="1:5" x14ac:dyDescent="0.35">
      <c r="A610" s="13">
        <v>42370</v>
      </c>
      <c r="B610">
        <f>YEAR(Country_Masterlist__6[[#This Row],[Year1]])</f>
        <v>2016</v>
      </c>
      <c r="C610" t="s">
        <v>35</v>
      </c>
      <c r="D610" t="s">
        <v>177</v>
      </c>
      <c r="E610">
        <v>769</v>
      </c>
    </row>
    <row r="611" spans="1:5" x14ac:dyDescent="0.35">
      <c r="A611" s="13">
        <v>42370</v>
      </c>
      <c r="B611">
        <f>YEAR(Country_Masterlist__6[[#This Row],[Year1]])</f>
        <v>2016</v>
      </c>
      <c r="C611" t="s">
        <v>34</v>
      </c>
      <c r="D611" t="s">
        <v>178</v>
      </c>
      <c r="E611">
        <v>40</v>
      </c>
    </row>
    <row r="612" spans="1:5" x14ac:dyDescent="0.35">
      <c r="A612" s="13">
        <v>42370</v>
      </c>
      <c r="B612">
        <f>YEAR(Country_Masterlist__6[[#This Row],[Year1]])</f>
        <v>2016</v>
      </c>
      <c r="C612" t="s">
        <v>33</v>
      </c>
      <c r="D612" t="s">
        <v>179</v>
      </c>
      <c r="E612">
        <v>25</v>
      </c>
    </row>
    <row r="613" spans="1:5" x14ac:dyDescent="0.35">
      <c r="A613" s="13">
        <v>42370</v>
      </c>
      <c r="B613">
        <f>YEAR(Country_Masterlist__6[[#This Row],[Year1]])</f>
        <v>2016</v>
      </c>
      <c r="C613" t="s">
        <v>35</v>
      </c>
      <c r="D613" t="s">
        <v>182</v>
      </c>
      <c r="E613">
        <v>127</v>
      </c>
    </row>
    <row r="614" spans="1:5" x14ac:dyDescent="0.35">
      <c r="A614" s="13">
        <v>42370</v>
      </c>
      <c r="B614">
        <f>YEAR(Country_Masterlist__6[[#This Row],[Year1]])</f>
        <v>2016</v>
      </c>
      <c r="C614" t="s">
        <v>35</v>
      </c>
      <c r="D614" t="s">
        <v>183</v>
      </c>
      <c r="E614">
        <v>55</v>
      </c>
    </row>
    <row r="615" spans="1:5" x14ac:dyDescent="0.35">
      <c r="A615" s="13">
        <v>42370</v>
      </c>
      <c r="B615">
        <f>YEAR(Country_Masterlist__6[[#This Row],[Year1]])</f>
        <v>2016</v>
      </c>
      <c r="C615" t="s">
        <v>34</v>
      </c>
      <c r="D615" t="s">
        <v>184</v>
      </c>
      <c r="E615">
        <v>148</v>
      </c>
    </row>
    <row r="616" spans="1:5" x14ac:dyDescent="0.35">
      <c r="A616" s="13">
        <v>42370</v>
      </c>
      <c r="B616">
        <f>YEAR(Country_Masterlist__6[[#This Row],[Year1]])</f>
        <v>2016</v>
      </c>
      <c r="C616" t="s">
        <v>34</v>
      </c>
      <c r="D616" t="s">
        <v>185</v>
      </c>
      <c r="E616">
        <v>305</v>
      </c>
    </row>
    <row r="617" spans="1:5" x14ac:dyDescent="0.35">
      <c r="A617" s="13">
        <v>42370</v>
      </c>
      <c r="B617">
        <f>YEAR(Country_Masterlist__6[[#This Row],[Year1]])</f>
        <v>2016</v>
      </c>
      <c r="C617" t="s">
        <v>33</v>
      </c>
      <c r="D617" t="s">
        <v>187</v>
      </c>
      <c r="E617">
        <v>16</v>
      </c>
    </row>
    <row r="618" spans="1:5" x14ac:dyDescent="0.35">
      <c r="A618" s="13">
        <v>42370</v>
      </c>
      <c r="B618">
        <f>YEAR(Country_Masterlist__6[[#This Row],[Year1]])</f>
        <v>2016</v>
      </c>
      <c r="C618" t="s">
        <v>34</v>
      </c>
      <c r="D618" t="s">
        <v>188</v>
      </c>
      <c r="E618">
        <v>74</v>
      </c>
    </row>
    <row r="619" spans="1:5" x14ac:dyDescent="0.35">
      <c r="A619" s="13">
        <v>42370</v>
      </c>
      <c r="B619">
        <f>YEAR(Country_Masterlist__6[[#This Row],[Year1]])</f>
        <v>2016</v>
      </c>
      <c r="C619" t="s">
        <v>33</v>
      </c>
      <c r="D619" t="s">
        <v>189</v>
      </c>
      <c r="E619">
        <v>13</v>
      </c>
    </row>
    <row r="620" spans="1:5" x14ac:dyDescent="0.35">
      <c r="A620" s="13">
        <v>42370</v>
      </c>
      <c r="B620">
        <f>YEAR(Country_Masterlist__6[[#This Row],[Year1]])</f>
        <v>2016</v>
      </c>
      <c r="C620" t="s">
        <v>37</v>
      </c>
      <c r="D620" t="s">
        <v>190</v>
      </c>
      <c r="E620">
        <v>15</v>
      </c>
    </row>
    <row r="621" spans="1:5" x14ac:dyDescent="0.35">
      <c r="A621" s="13">
        <v>42370</v>
      </c>
      <c r="B621">
        <f>YEAR(Country_Masterlist__6[[#This Row],[Year1]])</f>
        <v>2016</v>
      </c>
      <c r="C621" t="s">
        <v>36</v>
      </c>
      <c r="D621" t="s">
        <v>191</v>
      </c>
      <c r="E621">
        <v>43</v>
      </c>
    </row>
    <row r="622" spans="1:5" x14ac:dyDescent="0.35">
      <c r="A622" s="13">
        <v>42370</v>
      </c>
      <c r="B622">
        <f>YEAR(Country_Masterlist__6[[#This Row],[Year1]])</f>
        <v>2016</v>
      </c>
      <c r="C622" t="s">
        <v>33</v>
      </c>
      <c r="D622" t="s">
        <v>192</v>
      </c>
      <c r="E622">
        <v>120</v>
      </c>
    </row>
    <row r="623" spans="1:5" x14ac:dyDescent="0.35">
      <c r="A623" s="13">
        <v>42370</v>
      </c>
      <c r="B623">
        <f>YEAR(Country_Masterlist__6[[#This Row],[Year1]])</f>
        <v>2016</v>
      </c>
      <c r="C623" t="s">
        <v>34</v>
      </c>
      <c r="D623" t="s">
        <v>193</v>
      </c>
      <c r="E623">
        <v>92</v>
      </c>
    </row>
    <row r="624" spans="1:5" x14ac:dyDescent="0.35">
      <c r="A624" s="13">
        <v>42370</v>
      </c>
      <c r="B624">
        <f>YEAR(Country_Masterlist__6[[#This Row],[Year1]])</f>
        <v>2016</v>
      </c>
      <c r="C624" t="s">
        <v>34</v>
      </c>
      <c r="D624" t="s">
        <v>194</v>
      </c>
      <c r="E624">
        <v>31</v>
      </c>
    </row>
    <row r="625" spans="1:5" x14ac:dyDescent="0.35">
      <c r="A625" s="13">
        <v>42370</v>
      </c>
      <c r="B625">
        <f>YEAR(Country_Masterlist__6[[#This Row],[Year1]])</f>
        <v>2016</v>
      </c>
      <c r="C625" t="s">
        <v>33</v>
      </c>
      <c r="D625" t="s">
        <v>195</v>
      </c>
      <c r="E625">
        <v>13</v>
      </c>
    </row>
    <row r="626" spans="1:5" x14ac:dyDescent="0.35">
      <c r="A626" s="13">
        <v>42370</v>
      </c>
      <c r="B626">
        <f>YEAR(Country_Masterlist__6[[#This Row],[Year1]])</f>
        <v>2016</v>
      </c>
      <c r="C626" t="s">
        <v>35</v>
      </c>
      <c r="D626" t="s">
        <v>196</v>
      </c>
      <c r="E626">
        <v>132</v>
      </c>
    </row>
    <row r="627" spans="1:5" x14ac:dyDescent="0.35">
      <c r="A627" s="13">
        <v>42370</v>
      </c>
      <c r="B627">
        <f>YEAR(Country_Masterlist__6[[#This Row],[Year1]])</f>
        <v>2016</v>
      </c>
      <c r="C627" t="s">
        <v>34</v>
      </c>
      <c r="D627" t="s">
        <v>197</v>
      </c>
      <c r="E627">
        <v>25</v>
      </c>
    </row>
    <row r="628" spans="1:5" x14ac:dyDescent="0.35">
      <c r="A628" s="13">
        <v>42370</v>
      </c>
      <c r="B628">
        <f>YEAR(Country_Masterlist__6[[#This Row],[Year1]])</f>
        <v>2016</v>
      </c>
      <c r="C628" t="s">
        <v>35</v>
      </c>
      <c r="D628" t="s">
        <v>198</v>
      </c>
      <c r="E628">
        <v>923</v>
      </c>
    </row>
    <row r="629" spans="1:5" x14ac:dyDescent="0.35">
      <c r="A629" s="13">
        <v>42370</v>
      </c>
      <c r="B629">
        <f>YEAR(Country_Masterlist__6[[#This Row],[Year1]])</f>
        <v>2016</v>
      </c>
      <c r="C629" t="s">
        <v>38</v>
      </c>
      <c r="D629" t="s">
        <v>199</v>
      </c>
      <c r="E629">
        <v>10</v>
      </c>
    </row>
    <row r="630" spans="1:5" x14ac:dyDescent="0.35">
      <c r="A630" s="13">
        <v>42370</v>
      </c>
      <c r="B630">
        <f>YEAR(Country_Masterlist__6[[#This Row],[Year1]])</f>
        <v>2016</v>
      </c>
      <c r="C630" t="s">
        <v>34</v>
      </c>
      <c r="D630" t="s">
        <v>200</v>
      </c>
      <c r="E630">
        <v>9</v>
      </c>
    </row>
    <row r="631" spans="1:5" x14ac:dyDescent="0.35">
      <c r="A631" s="13">
        <v>42370</v>
      </c>
      <c r="B631">
        <f>YEAR(Country_Masterlist__6[[#This Row],[Year1]])</f>
        <v>2016</v>
      </c>
      <c r="C631" t="s">
        <v>38</v>
      </c>
      <c r="D631" t="s">
        <v>19</v>
      </c>
      <c r="E631">
        <v>226</v>
      </c>
    </row>
    <row r="632" spans="1:5" x14ac:dyDescent="0.35">
      <c r="A632" s="13">
        <v>42370</v>
      </c>
      <c r="B632">
        <f>YEAR(Country_Masterlist__6[[#This Row],[Year1]])</f>
        <v>2016</v>
      </c>
      <c r="C632" t="s">
        <v>34</v>
      </c>
      <c r="D632" t="s">
        <v>201</v>
      </c>
      <c r="E632">
        <v>76</v>
      </c>
    </row>
    <row r="633" spans="1:5" x14ac:dyDescent="0.35">
      <c r="A633" s="13">
        <v>42370</v>
      </c>
      <c r="B633">
        <f>YEAR(Country_Masterlist__6[[#This Row],[Year1]])</f>
        <v>2016</v>
      </c>
      <c r="C633" t="s">
        <v>34</v>
      </c>
      <c r="D633" t="s">
        <v>202</v>
      </c>
      <c r="E633">
        <v>24</v>
      </c>
    </row>
    <row r="634" spans="1:5" x14ac:dyDescent="0.35">
      <c r="A634" s="13">
        <v>42370</v>
      </c>
      <c r="B634">
        <f>YEAR(Country_Masterlist__6[[#This Row],[Year1]])</f>
        <v>2016</v>
      </c>
      <c r="C634" t="s">
        <v>33</v>
      </c>
      <c r="D634" t="s">
        <v>203</v>
      </c>
      <c r="E634">
        <v>11</v>
      </c>
    </row>
    <row r="635" spans="1:5" x14ac:dyDescent="0.35">
      <c r="A635" s="13">
        <v>42370</v>
      </c>
      <c r="B635">
        <f>YEAR(Country_Masterlist__6[[#This Row],[Year1]])</f>
        <v>2016</v>
      </c>
      <c r="C635" t="s">
        <v>33</v>
      </c>
      <c r="D635" t="s">
        <v>204</v>
      </c>
      <c r="E635">
        <v>10</v>
      </c>
    </row>
    <row r="636" spans="1:5" x14ac:dyDescent="0.35">
      <c r="A636" s="13">
        <v>42370</v>
      </c>
      <c r="B636">
        <f>YEAR(Country_Masterlist__6[[#This Row],[Year1]])</f>
        <v>2016</v>
      </c>
      <c r="D636" t="s">
        <v>373</v>
      </c>
      <c r="E636">
        <v>68</v>
      </c>
    </row>
    <row r="637" spans="1:5" x14ac:dyDescent="0.35">
      <c r="A637" s="13">
        <v>42370</v>
      </c>
      <c r="B637">
        <f>YEAR(Country_Masterlist__6[[#This Row],[Year1]])</f>
        <v>2016</v>
      </c>
      <c r="C637" t="s">
        <v>39</v>
      </c>
      <c r="D637" t="s">
        <v>39</v>
      </c>
      <c r="E637">
        <v>136</v>
      </c>
    </row>
    <row r="638" spans="1:5" x14ac:dyDescent="0.35">
      <c r="A638" s="13">
        <v>42736</v>
      </c>
      <c r="B638">
        <f>YEAR(Country_Masterlist__6[[#This Row],[Year1]])</f>
        <v>2017</v>
      </c>
      <c r="C638" t="s">
        <v>34</v>
      </c>
      <c r="D638" t="s">
        <v>40</v>
      </c>
      <c r="E638">
        <v>56</v>
      </c>
    </row>
    <row r="639" spans="1:5" x14ac:dyDescent="0.35">
      <c r="A639" s="13">
        <v>42736</v>
      </c>
      <c r="B639">
        <f>YEAR(Country_Masterlist__6[[#This Row],[Year1]])</f>
        <v>2017</v>
      </c>
      <c r="C639" t="s">
        <v>35</v>
      </c>
      <c r="D639" t="s">
        <v>41</v>
      </c>
      <c r="E639">
        <v>55</v>
      </c>
    </row>
    <row r="640" spans="1:5" x14ac:dyDescent="0.35">
      <c r="A640" s="13">
        <v>42736</v>
      </c>
      <c r="B640">
        <f>YEAR(Country_Masterlist__6[[#This Row],[Year1]])</f>
        <v>2017</v>
      </c>
      <c r="C640" t="s">
        <v>33</v>
      </c>
      <c r="D640" t="s">
        <v>42</v>
      </c>
      <c r="E640">
        <v>52</v>
      </c>
    </row>
    <row r="641" spans="1:5" x14ac:dyDescent="0.35">
      <c r="A641" s="13">
        <v>42736</v>
      </c>
      <c r="B641">
        <f>YEAR(Country_Masterlist__6[[#This Row],[Year1]])</f>
        <v>2017</v>
      </c>
      <c r="C641" t="s">
        <v>33</v>
      </c>
      <c r="D641" t="s">
        <v>43</v>
      </c>
      <c r="E641">
        <v>18</v>
      </c>
    </row>
    <row r="642" spans="1:5" x14ac:dyDescent="0.35">
      <c r="A642" s="13">
        <v>42736</v>
      </c>
      <c r="B642">
        <f>YEAR(Country_Masterlist__6[[#This Row],[Year1]])</f>
        <v>2017</v>
      </c>
      <c r="C642" t="s">
        <v>36</v>
      </c>
      <c r="D642" t="s">
        <v>44</v>
      </c>
      <c r="E642">
        <v>8</v>
      </c>
    </row>
    <row r="643" spans="1:5" x14ac:dyDescent="0.35">
      <c r="A643" s="13">
        <v>42736</v>
      </c>
      <c r="B643">
        <f>YEAR(Country_Masterlist__6[[#This Row],[Year1]])</f>
        <v>2017</v>
      </c>
      <c r="C643" t="s">
        <v>38</v>
      </c>
      <c r="D643" t="s">
        <v>45</v>
      </c>
      <c r="E643">
        <v>93</v>
      </c>
    </row>
    <row r="644" spans="1:5" x14ac:dyDescent="0.35">
      <c r="A644" s="13">
        <v>42736</v>
      </c>
      <c r="B644">
        <f>YEAR(Country_Masterlist__6[[#This Row],[Year1]])</f>
        <v>2017</v>
      </c>
      <c r="C644" t="s">
        <v>34</v>
      </c>
      <c r="D644" t="s">
        <v>46</v>
      </c>
      <c r="E644">
        <v>25</v>
      </c>
    </row>
    <row r="645" spans="1:5" x14ac:dyDescent="0.35">
      <c r="A645" s="13">
        <v>42736</v>
      </c>
      <c r="B645">
        <f>YEAR(Country_Masterlist__6[[#This Row],[Year1]])</f>
        <v>2017</v>
      </c>
      <c r="C645" t="s">
        <v>37</v>
      </c>
      <c r="D645" t="s">
        <v>47</v>
      </c>
      <c r="E645">
        <v>564</v>
      </c>
    </row>
    <row r="646" spans="1:5" x14ac:dyDescent="0.35">
      <c r="A646" s="13">
        <v>42736</v>
      </c>
      <c r="B646">
        <f>YEAR(Country_Masterlist__6[[#This Row],[Year1]])</f>
        <v>2017</v>
      </c>
      <c r="C646" t="s">
        <v>35</v>
      </c>
      <c r="D646" t="s">
        <v>48</v>
      </c>
      <c r="E646">
        <v>53</v>
      </c>
    </row>
    <row r="647" spans="1:5" x14ac:dyDescent="0.35">
      <c r="A647" s="13">
        <v>42736</v>
      </c>
      <c r="B647">
        <f>YEAR(Country_Masterlist__6[[#This Row],[Year1]])</f>
        <v>2017</v>
      </c>
      <c r="C647" t="s">
        <v>34</v>
      </c>
      <c r="D647" t="s">
        <v>49</v>
      </c>
      <c r="E647">
        <v>11</v>
      </c>
    </row>
    <row r="648" spans="1:5" x14ac:dyDescent="0.35">
      <c r="A648" s="13">
        <v>42736</v>
      </c>
      <c r="B648">
        <f>YEAR(Country_Masterlist__6[[#This Row],[Year1]])</f>
        <v>2017</v>
      </c>
      <c r="C648" t="s">
        <v>36</v>
      </c>
      <c r="D648" t="s">
        <v>50</v>
      </c>
      <c r="E648">
        <v>222</v>
      </c>
    </row>
    <row r="649" spans="1:5" x14ac:dyDescent="0.35">
      <c r="A649" s="13">
        <v>42736</v>
      </c>
      <c r="B649">
        <f>YEAR(Country_Masterlist__6[[#This Row],[Year1]])</f>
        <v>2017</v>
      </c>
      <c r="C649" t="s">
        <v>34</v>
      </c>
      <c r="D649" t="s">
        <v>51</v>
      </c>
      <c r="E649">
        <v>22</v>
      </c>
    </row>
    <row r="650" spans="1:5" x14ac:dyDescent="0.35">
      <c r="A650" s="13">
        <v>42736</v>
      </c>
      <c r="B650">
        <f>YEAR(Country_Masterlist__6[[#This Row],[Year1]])</f>
        <v>2017</v>
      </c>
      <c r="C650" t="s">
        <v>34</v>
      </c>
      <c r="D650" t="s">
        <v>52</v>
      </c>
      <c r="E650">
        <v>148</v>
      </c>
    </row>
    <row r="651" spans="1:5" x14ac:dyDescent="0.35">
      <c r="A651" s="13">
        <v>42736</v>
      </c>
      <c r="B651">
        <f>YEAR(Country_Masterlist__6[[#This Row],[Year1]])</f>
        <v>2017</v>
      </c>
      <c r="C651" t="s">
        <v>36</v>
      </c>
      <c r="D651" t="s">
        <v>53</v>
      </c>
      <c r="E651">
        <v>12</v>
      </c>
    </row>
    <row r="652" spans="1:5" x14ac:dyDescent="0.35">
      <c r="A652" s="13">
        <v>42736</v>
      </c>
      <c r="B652">
        <f>YEAR(Country_Masterlist__6[[#This Row],[Year1]])</f>
        <v>2017</v>
      </c>
      <c r="C652" t="s">
        <v>35</v>
      </c>
      <c r="D652" t="s">
        <v>54</v>
      </c>
      <c r="E652">
        <v>20</v>
      </c>
    </row>
    <row r="653" spans="1:5" x14ac:dyDescent="0.35">
      <c r="A653" s="13">
        <v>42736</v>
      </c>
      <c r="B653">
        <f>YEAR(Country_Masterlist__6[[#This Row],[Year1]])</f>
        <v>2017</v>
      </c>
      <c r="C653" t="s">
        <v>35</v>
      </c>
      <c r="D653" t="s">
        <v>55</v>
      </c>
      <c r="E653">
        <v>102</v>
      </c>
    </row>
    <row r="654" spans="1:5" x14ac:dyDescent="0.35">
      <c r="A654" s="13">
        <v>42736</v>
      </c>
      <c r="B654">
        <f>YEAR(Country_Masterlist__6[[#This Row],[Year1]])</f>
        <v>2017</v>
      </c>
      <c r="C654" t="s">
        <v>36</v>
      </c>
      <c r="D654" t="s">
        <v>56</v>
      </c>
      <c r="E654">
        <v>31</v>
      </c>
    </row>
    <row r="655" spans="1:5" x14ac:dyDescent="0.35">
      <c r="A655" s="13">
        <v>42736</v>
      </c>
      <c r="B655">
        <f>YEAR(Country_Masterlist__6[[#This Row],[Year1]])</f>
        <v>2017</v>
      </c>
      <c r="C655" t="s">
        <v>33</v>
      </c>
      <c r="D655" t="s">
        <v>57</v>
      </c>
      <c r="E655">
        <v>8</v>
      </c>
    </row>
    <row r="656" spans="1:5" x14ac:dyDescent="0.35">
      <c r="A656" s="13">
        <v>42736</v>
      </c>
      <c r="B656">
        <f>YEAR(Country_Masterlist__6[[#This Row],[Year1]])</f>
        <v>2017</v>
      </c>
      <c r="C656" t="s">
        <v>38</v>
      </c>
      <c r="D656" t="s">
        <v>59</v>
      </c>
      <c r="E656">
        <v>37</v>
      </c>
    </row>
    <row r="657" spans="1:5" x14ac:dyDescent="0.35">
      <c r="A657" s="13">
        <v>42736</v>
      </c>
      <c r="B657">
        <f>YEAR(Country_Masterlist__6[[#This Row],[Year1]])</f>
        <v>2017</v>
      </c>
      <c r="C657" t="s">
        <v>35</v>
      </c>
      <c r="D657" t="s">
        <v>60</v>
      </c>
      <c r="E657">
        <v>19</v>
      </c>
    </row>
    <row r="658" spans="1:5" x14ac:dyDescent="0.35">
      <c r="A658" s="13">
        <v>42736</v>
      </c>
      <c r="B658">
        <f>YEAR(Country_Masterlist__6[[#This Row],[Year1]])</f>
        <v>2017</v>
      </c>
      <c r="C658" t="s">
        <v>38</v>
      </c>
      <c r="D658" t="s">
        <v>21</v>
      </c>
      <c r="E658">
        <v>519</v>
      </c>
    </row>
    <row r="659" spans="1:5" x14ac:dyDescent="0.35">
      <c r="A659" s="13">
        <v>42736</v>
      </c>
      <c r="B659">
        <f>YEAR(Country_Masterlist__6[[#This Row],[Year1]])</f>
        <v>2017</v>
      </c>
      <c r="C659" t="s">
        <v>35</v>
      </c>
      <c r="D659" t="s">
        <v>62</v>
      </c>
      <c r="E659">
        <v>43</v>
      </c>
    </row>
    <row r="660" spans="1:5" x14ac:dyDescent="0.35">
      <c r="A660" s="13">
        <v>42736</v>
      </c>
      <c r="B660">
        <f>YEAR(Country_Masterlist__6[[#This Row],[Year1]])</f>
        <v>2017</v>
      </c>
      <c r="C660" t="s">
        <v>33</v>
      </c>
      <c r="D660" t="s">
        <v>63</v>
      </c>
      <c r="E660">
        <v>15</v>
      </c>
    </row>
    <row r="661" spans="1:5" x14ac:dyDescent="0.35">
      <c r="A661" s="13">
        <v>42736</v>
      </c>
      <c r="B661">
        <f>YEAR(Country_Masterlist__6[[#This Row],[Year1]])</f>
        <v>2017</v>
      </c>
      <c r="C661" t="s">
        <v>34</v>
      </c>
      <c r="D661" t="s">
        <v>64</v>
      </c>
      <c r="E661">
        <v>9</v>
      </c>
    </row>
    <row r="662" spans="1:5" x14ac:dyDescent="0.35">
      <c r="A662" s="13">
        <v>42736</v>
      </c>
      <c r="B662">
        <f>YEAR(Country_Masterlist__6[[#This Row],[Year1]])</f>
        <v>2017</v>
      </c>
      <c r="C662" t="s">
        <v>33</v>
      </c>
      <c r="D662" t="s">
        <v>65</v>
      </c>
      <c r="E662">
        <v>9</v>
      </c>
    </row>
    <row r="663" spans="1:5" x14ac:dyDescent="0.35">
      <c r="A663" s="13">
        <v>42736</v>
      </c>
      <c r="B663">
        <f>YEAR(Country_Masterlist__6[[#This Row],[Year1]])</f>
        <v>2017</v>
      </c>
      <c r="C663" t="s">
        <v>33</v>
      </c>
      <c r="D663" t="s">
        <v>66</v>
      </c>
      <c r="E663">
        <v>8</v>
      </c>
    </row>
    <row r="664" spans="1:5" x14ac:dyDescent="0.35">
      <c r="A664" s="13">
        <v>42736</v>
      </c>
      <c r="B664">
        <f>YEAR(Country_Masterlist__6[[#This Row],[Year1]])</f>
        <v>2017</v>
      </c>
      <c r="C664" t="s">
        <v>34</v>
      </c>
      <c r="D664" t="s">
        <v>67</v>
      </c>
      <c r="E664">
        <v>13</v>
      </c>
    </row>
    <row r="665" spans="1:5" x14ac:dyDescent="0.35">
      <c r="A665" s="13">
        <v>42736</v>
      </c>
      <c r="B665">
        <f>YEAR(Country_Masterlist__6[[#This Row],[Year1]])</f>
        <v>2017</v>
      </c>
      <c r="C665" t="s">
        <v>33</v>
      </c>
      <c r="D665" t="s">
        <v>68</v>
      </c>
      <c r="E665">
        <v>62</v>
      </c>
    </row>
    <row r="666" spans="1:5" x14ac:dyDescent="0.35">
      <c r="A666" s="13">
        <v>42736</v>
      </c>
      <c r="B666">
        <f>YEAR(Country_Masterlist__6[[#This Row],[Year1]])</f>
        <v>2017</v>
      </c>
      <c r="C666" t="s">
        <v>36</v>
      </c>
      <c r="D666" t="s">
        <v>69</v>
      </c>
      <c r="E666">
        <v>18515</v>
      </c>
    </row>
    <row r="667" spans="1:5" x14ac:dyDescent="0.35">
      <c r="A667" s="13">
        <v>42736</v>
      </c>
      <c r="B667">
        <f>YEAR(Country_Masterlist__6[[#This Row],[Year1]])</f>
        <v>2017</v>
      </c>
      <c r="C667" t="s">
        <v>38</v>
      </c>
      <c r="D667" t="s">
        <v>72</v>
      </c>
      <c r="E667">
        <v>493</v>
      </c>
    </row>
    <row r="668" spans="1:5" x14ac:dyDescent="0.35">
      <c r="A668" s="13">
        <v>42736</v>
      </c>
      <c r="B668">
        <f>YEAR(Country_Masterlist__6[[#This Row],[Year1]])</f>
        <v>2017</v>
      </c>
      <c r="C668" t="s">
        <v>34</v>
      </c>
      <c r="D668" t="s">
        <v>73</v>
      </c>
      <c r="E668">
        <v>2162</v>
      </c>
    </row>
    <row r="669" spans="1:5" x14ac:dyDescent="0.35">
      <c r="A669" s="13">
        <v>42736</v>
      </c>
      <c r="B669">
        <f>YEAR(Country_Masterlist__6[[#This Row],[Year1]])</f>
        <v>2017</v>
      </c>
      <c r="C669" t="s">
        <v>38</v>
      </c>
      <c r="D669" t="s">
        <v>20</v>
      </c>
      <c r="E669">
        <v>768</v>
      </c>
    </row>
    <row r="670" spans="1:5" x14ac:dyDescent="0.35">
      <c r="A670" s="13">
        <v>42736</v>
      </c>
      <c r="B670">
        <f>YEAR(Country_Masterlist__6[[#This Row],[Year1]])</f>
        <v>2017</v>
      </c>
      <c r="C670" t="s">
        <v>33</v>
      </c>
      <c r="D670" t="s">
        <v>74</v>
      </c>
      <c r="E670">
        <v>33</v>
      </c>
    </row>
    <row r="671" spans="1:5" x14ac:dyDescent="0.35">
      <c r="A671" s="13">
        <v>42736</v>
      </c>
      <c r="B671">
        <f>YEAR(Country_Masterlist__6[[#This Row],[Year1]])</f>
        <v>2017</v>
      </c>
      <c r="C671" t="s">
        <v>33</v>
      </c>
      <c r="D671" t="s">
        <v>75</v>
      </c>
      <c r="E671">
        <v>11</v>
      </c>
    </row>
    <row r="672" spans="1:5" x14ac:dyDescent="0.35">
      <c r="A672" s="13">
        <v>42736</v>
      </c>
      <c r="B672">
        <f>YEAR(Country_Masterlist__6[[#This Row],[Year1]])</f>
        <v>2017</v>
      </c>
      <c r="C672" t="s">
        <v>36</v>
      </c>
      <c r="D672" t="s">
        <v>76</v>
      </c>
      <c r="E672">
        <v>78</v>
      </c>
    </row>
    <row r="673" spans="1:5" x14ac:dyDescent="0.35">
      <c r="A673" s="13">
        <v>42736</v>
      </c>
      <c r="B673">
        <f>YEAR(Country_Masterlist__6[[#This Row],[Year1]])</f>
        <v>2017</v>
      </c>
      <c r="C673" t="s">
        <v>33</v>
      </c>
      <c r="D673" t="s">
        <v>77</v>
      </c>
      <c r="E673">
        <v>15</v>
      </c>
    </row>
    <row r="674" spans="1:5" x14ac:dyDescent="0.35">
      <c r="A674" s="13">
        <v>42736</v>
      </c>
      <c r="B674">
        <f>YEAR(Country_Masterlist__6[[#This Row],[Year1]])</f>
        <v>2017</v>
      </c>
      <c r="C674" t="s">
        <v>35</v>
      </c>
      <c r="D674" t="s">
        <v>78</v>
      </c>
      <c r="E674">
        <v>31</v>
      </c>
    </row>
    <row r="675" spans="1:5" x14ac:dyDescent="0.35">
      <c r="A675" s="13">
        <v>42736</v>
      </c>
      <c r="B675">
        <f>YEAR(Country_Masterlist__6[[#This Row],[Year1]])</f>
        <v>2017</v>
      </c>
      <c r="C675" t="s">
        <v>36</v>
      </c>
      <c r="D675" t="s">
        <v>79</v>
      </c>
      <c r="E675">
        <v>204</v>
      </c>
    </row>
    <row r="676" spans="1:5" x14ac:dyDescent="0.35">
      <c r="A676" s="13">
        <v>42736</v>
      </c>
      <c r="B676">
        <f>YEAR(Country_Masterlist__6[[#This Row],[Year1]])</f>
        <v>2017</v>
      </c>
      <c r="C676" t="s">
        <v>34</v>
      </c>
      <c r="D676" t="s">
        <v>80</v>
      </c>
      <c r="E676">
        <v>6</v>
      </c>
    </row>
    <row r="677" spans="1:5" x14ac:dyDescent="0.35">
      <c r="A677" s="13">
        <v>42736</v>
      </c>
      <c r="B677">
        <f>YEAR(Country_Masterlist__6[[#This Row],[Year1]])</f>
        <v>2017</v>
      </c>
      <c r="C677" t="s">
        <v>35</v>
      </c>
      <c r="D677" t="s">
        <v>81</v>
      </c>
      <c r="E677">
        <v>130</v>
      </c>
    </row>
    <row r="678" spans="1:5" x14ac:dyDescent="0.35">
      <c r="A678" s="13">
        <v>42736</v>
      </c>
      <c r="B678">
        <f>YEAR(Country_Masterlist__6[[#This Row],[Year1]])</f>
        <v>2017</v>
      </c>
      <c r="C678" t="s">
        <v>35</v>
      </c>
      <c r="D678" t="s">
        <v>82</v>
      </c>
      <c r="E678">
        <v>60</v>
      </c>
    </row>
    <row r="679" spans="1:5" x14ac:dyDescent="0.35">
      <c r="A679" s="13">
        <v>42736</v>
      </c>
      <c r="B679">
        <f>YEAR(Country_Masterlist__6[[#This Row],[Year1]])</f>
        <v>2017</v>
      </c>
      <c r="C679" t="s">
        <v>36</v>
      </c>
      <c r="D679" t="s">
        <v>84</v>
      </c>
      <c r="E679">
        <v>6</v>
      </c>
    </row>
    <row r="680" spans="1:5" x14ac:dyDescent="0.35">
      <c r="A680" s="13">
        <v>42736</v>
      </c>
      <c r="B680">
        <f>YEAR(Country_Masterlist__6[[#This Row],[Year1]])</f>
        <v>2017</v>
      </c>
      <c r="C680" t="s">
        <v>36</v>
      </c>
      <c r="D680" t="s">
        <v>85</v>
      </c>
      <c r="E680">
        <v>419</v>
      </c>
    </row>
    <row r="681" spans="1:5" x14ac:dyDescent="0.35">
      <c r="A681" s="13">
        <v>42736</v>
      </c>
      <c r="B681">
        <f>YEAR(Country_Masterlist__6[[#This Row],[Year1]])</f>
        <v>2017</v>
      </c>
      <c r="C681" t="s">
        <v>38</v>
      </c>
      <c r="D681" t="s">
        <v>86</v>
      </c>
      <c r="E681">
        <v>283</v>
      </c>
    </row>
    <row r="682" spans="1:5" x14ac:dyDescent="0.35">
      <c r="A682" s="13">
        <v>42736</v>
      </c>
      <c r="B682">
        <f>YEAR(Country_Masterlist__6[[#This Row],[Year1]])</f>
        <v>2017</v>
      </c>
      <c r="C682" t="s">
        <v>33</v>
      </c>
      <c r="D682" t="s">
        <v>87</v>
      </c>
      <c r="E682">
        <v>190</v>
      </c>
    </row>
    <row r="683" spans="1:5" x14ac:dyDescent="0.35">
      <c r="A683" s="13">
        <v>42736</v>
      </c>
      <c r="B683">
        <f>YEAR(Country_Masterlist__6[[#This Row],[Year1]])</f>
        <v>2017</v>
      </c>
      <c r="C683" t="s">
        <v>36</v>
      </c>
      <c r="D683" t="s">
        <v>16</v>
      </c>
      <c r="E683">
        <v>589</v>
      </c>
    </row>
    <row r="684" spans="1:5" x14ac:dyDescent="0.35">
      <c r="A684" s="13">
        <v>42736</v>
      </c>
      <c r="B684">
        <f>YEAR(Country_Masterlist__6[[#This Row],[Year1]])</f>
        <v>2017</v>
      </c>
      <c r="C684" t="s">
        <v>33</v>
      </c>
      <c r="D684" t="s">
        <v>89</v>
      </c>
      <c r="E684">
        <v>20</v>
      </c>
    </row>
    <row r="685" spans="1:5" x14ac:dyDescent="0.35">
      <c r="A685" s="13">
        <v>42736</v>
      </c>
      <c r="B685">
        <f>YEAR(Country_Masterlist__6[[#This Row],[Year1]])</f>
        <v>2017</v>
      </c>
      <c r="C685" t="s">
        <v>35</v>
      </c>
      <c r="D685" t="s">
        <v>90</v>
      </c>
      <c r="E685">
        <v>30</v>
      </c>
    </row>
    <row r="686" spans="1:5" x14ac:dyDescent="0.35">
      <c r="A686" s="13">
        <v>42736</v>
      </c>
      <c r="B686">
        <f>YEAR(Country_Masterlist__6[[#This Row],[Year1]])</f>
        <v>2017</v>
      </c>
      <c r="C686" t="s">
        <v>33</v>
      </c>
      <c r="D686" t="s">
        <v>91</v>
      </c>
      <c r="E686">
        <v>45</v>
      </c>
    </row>
    <row r="687" spans="1:5" x14ac:dyDescent="0.35">
      <c r="A687" s="13">
        <v>42736</v>
      </c>
      <c r="B687">
        <f>YEAR(Country_Masterlist__6[[#This Row],[Year1]])</f>
        <v>2017</v>
      </c>
      <c r="C687" t="s">
        <v>37</v>
      </c>
      <c r="D687" t="s">
        <v>92</v>
      </c>
      <c r="E687">
        <v>55</v>
      </c>
    </row>
    <row r="688" spans="1:5" x14ac:dyDescent="0.35">
      <c r="A688" s="13">
        <v>42736</v>
      </c>
      <c r="B688">
        <f>YEAR(Country_Masterlist__6[[#This Row],[Year1]])</f>
        <v>2017</v>
      </c>
      <c r="C688" t="s">
        <v>35</v>
      </c>
      <c r="D688" t="s">
        <v>93</v>
      </c>
      <c r="E688">
        <v>28</v>
      </c>
    </row>
    <row r="689" spans="1:5" x14ac:dyDescent="0.35">
      <c r="A689" s="13">
        <v>42736</v>
      </c>
      <c r="B689">
        <f>YEAR(Country_Masterlist__6[[#This Row],[Year1]])</f>
        <v>2017</v>
      </c>
      <c r="C689" t="s">
        <v>35</v>
      </c>
      <c r="D689" t="s">
        <v>94</v>
      </c>
      <c r="E689">
        <v>711</v>
      </c>
    </row>
    <row r="690" spans="1:5" x14ac:dyDescent="0.35">
      <c r="A690" s="13">
        <v>42736</v>
      </c>
      <c r="B690">
        <f>YEAR(Country_Masterlist__6[[#This Row],[Year1]])</f>
        <v>2017</v>
      </c>
      <c r="C690" t="s">
        <v>33</v>
      </c>
      <c r="D690" t="s">
        <v>95</v>
      </c>
      <c r="E690">
        <v>16</v>
      </c>
    </row>
    <row r="691" spans="1:5" x14ac:dyDescent="0.35">
      <c r="A691" s="13">
        <v>42736</v>
      </c>
      <c r="B691">
        <f>YEAR(Country_Masterlist__6[[#This Row],[Year1]])</f>
        <v>2017</v>
      </c>
      <c r="C691" t="s">
        <v>33</v>
      </c>
      <c r="D691" t="s">
        <v>96</v>
      </c>
      <c r="E691">
        <v>9</v>
      </c>
    </row>
    <row r="692" spans="1:5" x14ac:dyDescent="0.35">
      <c r="A692" s="13">
        <v>42736</v>
      </c>
      <c r="B692">
        <f>YEAR(Country_Masterlist__6[[#This Row],[Year1]])</f>
        <v>2017</v>
      </c>
      <c r="C692" t="s">
        <v>34</v>
      </c>
      <c r="D692" t="s">
        <v>8</v>
      </c>
      <c r="E692">
        <v>10</v>
      </c>
    </row>
    <row r="693" spans="1:5" x14ac:dyDescent="0.35">
      <c r="A693" s="13">
        <v>42736</v>
      </c>
      <c r="B693">
        <f>YEAR(Country_Masterlist__6[[#This Row],[Year1]])</f>
        <v>2017</v>
      </c>
      <c r="C693" t="s">
        <v>35</v>
      </c>
      <c r="D693" t="s">
        <v>97</v>
      </c>
      <c r="E693">
        <v>503</v>
      </c>
    </row>
    <row r="694" spans="1:5" x14ac:dyDescent="0.35">
      <c r="A694" s="13">
        <v>42736</v>
      </c>
      <c r="B694">
        <f>YEAR(Country_Masterlist__6[[#This Row],[Year1]])</f>
        <v>2017</v>
      </c>
      <c r="C694" t="s">
        <v>33</v>
      </c>
      <c r="D694" t="s">
        <v>98</v>
      </c>
      <c r="E694">
        <v>85</v>
      </c>
    </row>
    <row r="695" spans="1:5" x14ac:dyDescent="0.35">
      <c r="A695" s="13">
        <v>42736</v>
      </c>
      <c r="B695">
        <f>YEAR(Country_Masterlist__6[[#This Row],[Year1]])</f>
        <v>2017</v>
      </c>
      <c r="C695" t="s">
        <v>35</v>
      </c>
      <c r="D695" t="s">
        <v>99</v>
      </c>
      <c r="E695">
        <v>142</v>
      </c>
    </row>
    <row r="696" spans="1:5" x14ac:dyDescent="0.35">
      <c r="A696" s="13">
        <v>42736</v>
      </c>
      <c r="B696">
        <f>YEAR(Country_Masterlist__6[[#This Row],[Year1]])</f>
        <v>2017</v>
      </c>
      <c r="C696" t="s">
        <v>36</v>
      </c>
      <c r="D696" t="s">
        <v>100</v>
      </c>
      <c r="E696">
        <v>6</v>
      </c>
    </row>
    <row r="697" spans="1:5" x14ac:dyDescent="0.35">
      <c r="A697" s="13">
        <v>42736</v>
      </c>
      <c r="B697">
        <f>YEAR(Country_Masterlist__6[[#This Row],[Year1]])</f>
        <v>2017</v>
      </c>
      <c r="C697" t="s">
        <v>36</v>
      </c>
      <c r="D697" t="s">
        <v>15</v>
      </c>
      <c r="E697">
        <v>1316</v>
      </c>
    </row>
    <row r="698" spans="1:5" x14ac:dyDescent="0.35">
      <c r="A698" s="13">
        <v>42736</v>
      </c>
      <c r="B698">
        <f>YEAR(Country_Masterlist__6[[#This Row],[Year1]])</f>
        <v>2017</v>
      </c>
      <c r="C698" t="s">
        <v>33</v>
      </c>
      <c r="D698" t="s">
        <v>101</v>
      </c>
      <c r="E698">
        <v>22</v>
      </c>
    </row>
    <row r="699" spans="1:5" x14ac:dyDescent="0.35">
      <c r="A699" s="13">
        <v>42736</v>
      </c>
      <c r="B699">
        <f>YEAR(Country_Masterlist__6[[#This Row],[Year1]])</f>
        <v>2017</v>
      </c>
      <c r="C699" t="s">
        <v>38</v>
      </c>
      <c r="D699" t="s">
        <v>103</v>
      </c>
      <c r="E699">
        <v>66</v>
      </c>
    </row>
    <row r="700" spans="1:5" x14ac:dyDescent="0.35">
      <c r="A700" s="13">
        <v>42736</v>
      </c>
      <c r="B700">
        <f>YEAR(Country_Masterlist__6[[#This Row],[Year1]])</f>
        <v>2017</v>
      </c>
      <c r="C700" t="s">
        <v>36</v>
      </c>
      <c r="D700" t="s">
        <v>104</v>
      </c>
      <c r="E700">
        <v>153</v>
      </c>
    </row>
    <row r="701" spans="1:5" x14ac:dyDescent="0.35">
      <c r="A701" s="13">
        <v>42736</v>
      </c>
      <c r="B701">
        <f>YEAR(Country_Masterlist__6[[#This Row],[Year1]])</f>
        <v>2017</v>
      </c>
      <c r="C701" t="s">
        <v>36</v>
      </c>
      <c r="D701" t="s">
        <v>17</v>
      </c>
      <c r="E701">
        <v>722</v>
      </c>
    </row>
    <row r="702" spans="1:5" x14ac:dyDescent="0.35">
      <c r="A702" s="13">
        <v>42736</v>
      </c>
      <c r="B702">
        <f>YEAR(Country_Masterlist__6[[#This Row],[Year1]])</f>
        <v>2017</v>
      </c>
      <c r="C702" t="s">
        <v>35</v>
      </c>
      <c r="D702" t="s">
        <v>105</v>
      </c>
      <c r="E702">
        <v>217</v>
      </c>
    </row>
    <row r="703" spans="1:5" x14ac:dyDescent="0.35">
      <c r="A703" s="13">
        <v>42736</v>
      </c>
      <c r="B703">
        <f>YEAR(Country_Masterlist__6[[#This Row],[Year1]])</f>
        <v>2017</v>
      </c>
      <c r="C703" t="s">
        <v>35</v>
      </c>
      <c r="D703" t="s">
        <v>106</v>
      </c>
      <c r="E703">
        <v>8</v>
      </c>
    </row>
    <row r="704" spans="1:5" x14ac:dyDescent="0.35">
      <c r="A704" s="13">
        <v>42736</v>
      </c>
      <c r="B704">
        <f>YEAR(Country_Masterlist__6[[#This Row],[Year1]])</f>
        <v>2017</v>
      </c>
      <c r="C704" t="s">
        <v>34</v>
      </c>
      <c r="D704" t="s">
        <v>22</v>
      </c>
      <c r="E704">
        <v>1493</v>
      </c>
    </row>
    <row r="705" spans="1:5" x14ac:dyDescent="0.35">
      <c r="A705" s="13">
        <v>42736</v>
      </c>
      <c r="B705">
        <f>YEAR(Country_Masterlist__6[[#This Row],[Year1]])</f>
        <v>2017</v>
      </c>
      <c r="C705" t="s">
        <v>34</v>
      </c>
      <c r="D705" t="s">
        <v>107</v>
      </c>
      <c r="E705">
        <v>55</v>
      </c>
    </row>
    <row r="706" spans="1:5" x14ac:dyDescent="0.35">
      <c r="A706" s="13">
        <v>42736</v>
      </c>
      <c r="B706">
        <f>YEAR(Country_Masterlist__6[[#This Row],[Year1]])</f>
        <v>2017</v>
      </c>
      <c r="C706" t="s">
        <v>34</v>
      </c>
      <c r="D706" t="s">
        <v>108</v>
      </c>
      <c r="E706">
        <v>645</v>
      </c>
    </row>
    <row r="707" spans="1:5" x14ac:dyDescent="0.35">
      <c r="A707" s="13">
        <v>42736</v>
      </c>
      <c r="B707">
        <f>YEAR(Country_Masterlist__6[[#This Row],[Year1]])</f>
        <v>2017</v>
      </c>
      <c r="C707" t="s">
        <v>34</v>
      </c>
      <c r="D707" t="s">
        <v>109</v>
      </c>
      <c r="E707">
        <v>262</v>
      </c>
    </row>
    <row r="708" spans="1:5" x14ac:dyDescent="0.35">
      <c r="A708" s="13">
        <v>42736</v>
      </c>
      <c r="B708">
        <f>YEAR(Country_Masterlist__6[[#This Row],[Year1]])</f>
        <v>2017</v>
      </c>
      <c r="C708" t="s">
        <v>35</v>
      </c>
      <c r="D708" t="s">
        <v>110</v>
      </c>
      <c r="E708">
        <v>238</v>
      </c>
    </row>
    <row r="709" spans="1:5" x14ac:dyDescent="0.35">
      <c r="A709" s="13">
        <v>42736</v>
      </c>
      <c r="B709">
        <f>YEAR(Country_Masterlist__6[[#This Row],[Year1]])</f>
        <v>2017</v>
      </c>
      <c r="C709" t="s">
        <v>34</v>
      </c>
      <c r="D709" t="s">
        <v>111</v>
      </c>
      <c r="E709">
        <v>165</v>
      </c>
    </row>
    <row r="710" spans="1:5" x14ac:dyDescent="0.35">
      <c r="A710" s="13">
        <v>42736</v>
      </c>
      <c r="B710">
        <f>YEAR(Country_Masterlist__6[[#This Row],[Year1]])</f>
        <v>2017</v>
      </c>
      <c r="C710" t="s">
        <v>35</v>
      </c>
      <c r="D710" t="s">
        <v>112</v>
      </c>
      <c r="E710">
        <v>718</v>
      </c>
    </row>
    <row r="711" spans="1:5" x14ac:dyDescent="0.35">
      <c r="A711" s="13">
        <v>42736</v>
      </c>
      <c r="B711">
        <f>YEAR(Country_Masterlist__6[[#This Row],[Year1]])</f>
        <v>2017</v>
      </c>
      <c r="C711" t="s">
        <v>36</v>
      </c>
      <c r="D711" t="s">
        <v>113</v>
      </c>
      <c r="E711">
        <v>379</v>
      </c>
    </row>
    <row r="712" spans="1:5" x14ac:dyDescent="0.35">
      <c r="A712" s="13">
        <v>42736</v>
      </c>
      <c r="B712">
        <f>YEAR(Country_Masterlist__6[[#This Row],[Year1]])</f>
        <v>2017</v>
      </c>
      <c r="C712" t="s">
        <v>34</v>
      </c>
      <c r="D712" t="s">
        <v>114</v>
      </c>
      <c r="E712">
        <v>373</v>
      </c>
    </row>
    <row r="713" spans="1:5" x14ac:dyDescent="0.35">
      <c r="A713" s="13">
        <v>42736</v>
      </c>
      <c r="B713">
        <f>YEAR(Country_Masterlist__6[[#This Row],[Year1]])</f>
        <v>2017</v>
      </c>
      <c r="C713" t="s">
        <v>34</v>
      </c>
      <c r="D713" t="s">
        <v>115</v>
      </c>
      <c r="E713">
        <v>349</v>
      </c>
    </row>
    <row r="714" spans="1:5" x14ac:dyDescent="0.35">
      <c r="A714" s="13">
        <v>42736</v>
      </c>
      <c r="B714">
        <f>YEAR(Country_Masterlist__6[[#This Row],[Year1]])</f>
        <v>2017</v>
      </c>
      <c r="C714" t="s">
        <v>34</v>
      </c>
      <c r="D714" t="s">
        <v>116</v>
      </c>
      <c r="E714">
        <v>32</v>
      </c>
    </row>
    <row r="715" spans="1:5" x14ac:dyDescent="0.35">
      <c r="A715" s="13">
        <v>42736</v>
      </c>
      <c r="B715">
        <f>YEAR(Country_Masterlist__6[[#This Row],[Year1]])</f>
        <v>2017</v>
      </c>
      <c r="C715" t="s">
        <v>33</v>
      </c>
      <c r="D715" t="s">
        <v>117</v>
      </c>
      <c r="E715">
        <v>93</v>
      </c>
    </row>
    <row r="716" spans="1:5" x14ac:dyDescent="0.35">
      <c r="A716" s="13">
        <v>42736</v>
      </c>
      <c r="B716">
        <f>YEAR(Country_Masterlist__6[[#This Row],[Year1]])</f>
        <v>2017</v>
      </c>
      <c r="C716" t="s">
        <v>34</v>
      </c>
      <c r="D716" t="s">
        <v>118</v>
      </c>
      <c r="E716">
        <v>871</v>
      </c>
    </row>
    <row r="717" spans="1:5" x14ac:dyDescent="0.35">
      <c r="A717" s="13">
        <v>42736</v>
      </c>
      <c r="B717">
        <f>YEAR(Country_Masterlist__6[[#This Row],[Year1]])</f>
        <v>2017</v>
      </c>
      <c r="C717" t="s">
        <v>35</v>
      </c>
      <c r="D717" t="s">
        <v>119</v>
      </c>
      <c r="E717">
        <v>11</v>
      </c>
    </row>
    <row r="718" spans="1:5" x14ac:dyDescent="0.35">
      <c r="A718" s="13">
        <v>42736</v>
      </c>
      <c r="B718">
        <f>YEAR(Country_Masterlist__6[[#This Row],[Year1]])</f>
        <v>2017</v>
      </c>
      <c r="C718" t="s">
        <v>34</v>
      </c>
      <c r="D718" t="s">
        <v>120</v>
      </c>
      <c r="E718">
        <v>52</v>
      </c>
    </row>
    <row r="719" spans="1:5" x14ac:dyDescent="0.35">
      <c r="A719" s="13">
        <v>42736</v>
      </c>
      <c r="B719">
        <f>YEAR(Country_Masterlist__6[[#This Row],[Year1]])</f>
        <v>2017</v>
      </c>
      <c r="C719" t="s">
        <v>34</v>
      </c>
      <c r="D719" t="s">
        <v>121</v>
      </c>
      <c r="E719">
        <v>13</v>
      </c>
    </row>
    <row r="720" spans="1:5" x14ac:dyDescent="0.35">
      <c r="A720" s="13">
        <v>42736</v>
      </c>
      <c r="B720">
        <f>YEAR(Country_Masterlist__6[[#This Row],[Year1]])</f>
        <v>2017</v>
      </c>
      <c r="C720" t="s">
        <v>34</v>
      </c>
      <c r="D720" t="s">
        <v>122</v>
      </c>
      <c r="E720">
        <v>10</v>
      </c>
    </row>
    <row r="721" spans="1:5" x14ac:dyDescent="0.35">
      <c r="A721" s="13">
        <v>42736</v>
      </c>
      <c r="B721">
        <f>YEAR(Country_Masterlist__6[[#This Row],[Year1]])</f>
        <v>2017</v>
      </c>
      <c r="C721" t="s">
        <v>35</v>
      </c>
      <c r="D721" t="s">
        <v>123</v>
      </c>
      <c r="E721">
        <v>43</v>
      </c>
    </row>
    <row r="722" spans="1:5" x14ac:dyDescent="0.35">
      <c r="A722" s="13">
        <v>42736</v>
      </c>
      <c r="B722">
        <f>YEAR(Country_Masterlist__6[[#This Row],[Year1]])</f>
        <v>2017</v>
      </c>
      <c r="C722" t="s">
        <v>34</v>
      </c>
      <c r="D722" t="s">
        <v>124</v>
      </c>
      <c r="E722">
        <v>109</v>
      </c>
    </row>
    <row r="723" spans="1:5" x14ac:dyDescent="0.35">
      <c r="A723" s="13">
        <v>42736</v>
      </c>
      <c r="B723">
        <f>YEAR(Country_Masterlist__6[[#This Row],[Year1]])</f>
        <v>2017</v>
      </c>
      <c r="C723" t="s">
        <v>33</v>
      </c>
      <c r="D723" t="s">
        <v>125</v>
      </c>
      <c r="E723">
        <v>23</v>
      </c>
    </row>
    <row r="724" spans="1:5" x14ac:dyDescent="0.35">
      <c r="A724" s="13">
        <v>42736</v>
      </c>
      <c r="B724">
        <f>YEAR(Country_Masterlist__6[[#This Row],[Year1]])</f>
        <v>2017</v>
      </c>
      <c r="C724" t="s">
        <v>33</v>
      </c>
      <c r="D724" t="s">
        <v>126</v>
      </c>
      <c r="E724">
        <v>23</v>
      </c>
    </row>
    <row r="725" spans="1:5" x14ac:dyDescent="0.35">
      <c r="A725" s="13">
        <v>42736</v>
      </c>
      <c r="B725">
        <f>YEAR(Country_Masterlist__6[[#This Row],[Year1]])</f>
        <v>2017</v>
      </c>
      <c r="C725" t="s">
        <v>35</v>
      </c>
      <c r="D725" t="s">
        <v>127</v>
      </c>
      <c r="E725">
        <v>68</v>
      </c>
    </row>
    <row r="726" spans="1:5" x14ac:dyDescent="0.35">
      <c r="A726" s="13">
        <v>42736</v>
      </c>
      <c r="B726">
        <f>YEAR(Country_Masterlist__6[[#This Row],[Year1]])</f>
        <v>2017</v>
      </c>
      <c r="C726" t="s">
        <v>33</v>
      </c>
      <c r="D726" t="s">
        <v>129</v>
      </c>
      <c r="E726" t="s">
        <v>205</v>
      </c>
    </row>
    <row r="727" spans="1:5" x14ac:dyDescent="0.35">
      <c r="A727" s="13">
        <v>42736</v>
      </c>
      <c r="B727">
        <f>YEAR(Country_Masterlist__6[[#This Row],[Year1]])</f>
        <v>2017</v>
      </c>
      <c r="C727" t="s">
        <v>34</v>
      </c>
      <c r="D727" t="s">
        <v>131</v>
      </c>
      <c r="E727">
        <v>35</v>
      </c>
    </row>
    <row r="728" spans="1:5" x14ac:dyDescent="0.35">
      <c r="A728" s="13">
        <v>42736</v>
      </c>
      <c r="B728">
        <f>YEAR(Country_Masterlist__6[[#This Row],[Year1]])</f>
        <v>2017</v>
      </c>
      <c r="C728" t="s">
        <v>33</v>
      </c>
      <c r="D728" t="s">
        <v>132</v>
      </c>
      <c r="E728">
        <v>24</v>
      </c>
    </row>
    <row r="729" spans="1:5" x14ac:dyDescent="0.35">
      <c r="A729" s="13">
        <v>42736</v>
      </c>
      <c r="B729">
        <f>YEAR(Country_Masterlist__6[[#This Row],[Year1]])</f>
        <v>2017</v>
      </c>
      <c r="C729" t="s">
        <v>33</v>
      </c>
      <c r="D729" t="s">
        <v>136</v>
      </c>
      <c r="E729">
        <v>13</v>
      </c>
    </row>
    <row r="730" spans="1:5" x14ac:dyDescent="0.35">
      <c r="A730" s="13">
        <v>42736</v>
      </c>
      <c r="B730">
        <f>YEAR(Country_Masterlist__6[[#This Row],[Year1]])</f>
        <v>2017</v>
      </c>
      <c r="C730" t="s">
        <v>36</v>
      </c>
      <c r="D730" t="s">
        <v>14</v>
      </c>
      <c r="E730">
        <v>39359</v>
      </c>
    </row>
    <row r="731" spans="1:5" x14ac:dyDescent="0.35">
      <c r="A731" s="13">
        <v>42736</v>
      </c>
      <c r="B731">
        <f>YEAR(Country_Masterlist__6[[#This Row],[Year1]])</f>
        <v>2017</v>
      </c>
      <c r="C731" t="s">
        <v>37</v>
      </c>
      <c r="D731" t="s">
        <v>137</v>
      </c>
      <c r="E731">
        <v>15</v>
      </c>
    </row>
    <row r="732" spans="1:5" x14ac:dyDescent="0.35">
      <c r="A732" s="13">
        <v>42736</v>
      </c>
      <c r="B732">
        <f>YEAR(Country_Masterlist__6[[#This Row],[Year1]])</f>
        <v>2017</v>
      </c>
      <c r="C732" t="s">
        <v>35</v>
      </c>
      <c r="D732" t="s">
        <v>138</v>
      </c>
      <c r="E732">
        <v>45</v>
      </c>
    </row>
    <row r="733" spans="1:5" x14ac:dyDescent="0.35">
      <c r="A733" s="13">
        <v>42736</v>
      </c>
      <c r="B733">
        <f>YEAR(Country_Masterlist__6[[#This Row],[Year1]])</f>
        <v>2017</v>
      </c>
      <c r="C733" t="s">
        <v>34</v>
      </c>
      <c r="D733" t="s">
        <v>139</v>
      </c>
      <c r="E733">
        <v>55</v>
      </c>
    </row>
    <row r="734" spans="1:5" x14ac:dyDescent="0.35">
      <c r="A734" s="13">
        <v>42736</v>
      </c>
      <c r="B734">
        <f>YEAR(Country_Masterlist__6[[#This Row],[Year1]])</f>
        <v>2017</v>
      </c>
      <c r="C734" t="s">
        <v>35</v>
      </c>
      <c r="D734" t="s">
        <v>140</v>
      </c>
      <c r="E734">
        <v>21</v>
      </c>
    </row>
    <row r="735" spans="1:5" x14ac:dyDescent="0.35">
      <c r="A735" s="13">
        <v>42736</v>
      </c>
      <c r="B735">
        <f>YEAR(Country_Masterlist__6[[#This Row],[Year1]])</f>
        <v>2017</v>
      </c>
      <c r="C735" t="s">
        <v>33</v>
      </c>
      <c r="D735" t="s">
        <v>141</v>
      </c>
      <c r="E735">
        <v>94</v>
      </c>
    </row>
    <row r="736" spans="1:5" x14ac:dyDescent="0.35">
      <c r="A736" s="13">
        <v>42736</v>
      </c>
      <c r="B736">
        <f>YEAR(Country_Masterlist__6[[#This Row],[Year1]])</f>
        <v>2017</v>
      </c>
      <c r="C736" t="s">
        <v>34</v>
      </c>
      <c r="D736" t="s">
        <v>144</v>
      </c>
      <c r="E736">
        <v>29</v>
      </c>
    </row>
    <row r="737" spans="1:5" x14ac:dyDescent="0.35">
      <c r="A737" s="13">
        <v>42736</v>
      </c>
      <c r="B737">
        <f>YEAR(Country_Masterlist__6[[#This Row],[Year1]])</f>
        <v>2017</v>
      </c>
      <c r="C737" t="s">
        <v>35</v>
      </c>
      <c r="D737" t="s">
        <v>145</v>
      </c>
      <c r="E737">
        <v>256</v>
      </c>
    </row>
    <row r="738" spans="1:5" x14ac:dyDescent="0.35">
      <c r="A738" s="13">
        <v>42736</v>
      </c>
      <c r="B738">
        <f>YEAR(Country_Masterlist__6[[#This Row],[Year1]])</f>
        <v>2017</v>
      </c>
      <c r="C738" t="s">
        <v>37</v>
      </c>
      <c r="D738" t="s">
        <v>146</v>
      </c>
      <c r="E738">
        <v>167</v>
      </c>
    </row>
    <row r="739" spans="1:5" x14ac:dyDescent="0.35">
      <c r="A739" s="13">
        <v>42736</v>
      </c>
      <c r="B739">
        <f>YEAR(Country_Masterlist__6[[#This Row],[Year1]])</f>
        <v>2017</v>
      </c>
      <c r="C739" t="s">
        <v>36</v>
      </c>
      <c r="D739" t="s">
        <v>147</v>
      </c>
      <c r="E739">
        <v>80</v>
      </c>
    </row>
    <row r="740" spans="1:5" x14ac:dyDescent="0.35">
      <c r="A740" s="13">
        <v>42736</v>
      </c>
      <c r="B740">
        <f>YEAR(Country_Masterlist__6[[#This Row],[Year1]])</f>
        <v>2017</v>
      </c>
      <c r="C740" t="s">
        <v>33</v>
      </c>
      <c r="D740" t="s">
        <v>148</v>
      </c>
      <c r="E740" t="s">
        <v>205</v>
      </c>
    </row>
    <row r="741" spans="1:5" x14ac:dyDescent="0.35">
      <c r="A741" s="13">
        <v>42736</v>
      </c>
      <c r="B741">
        <f>YEAR(Country_Masterlist__6[[#This Row],[Year1]])</f>
        <v>2017</v>
      </c>
      <c r="C741" t="s">
        <v>33</v>
      </c>
      <c r="D741" t="s">
        <v>149</v>
      </c>
      <c r="E741">
        <v>996</v>
      </c>
    </row>
    <row r="742" spans="1:5" x14ac:dyDescent="0.35">
      <c r="A742" s="13">
        <v>42736</v>
      </c>
      <c r="B742">
        <f>YEAR(Country_Masterlist__6[[#This Row],[Year1]])</f>
        <v>2017</v>
      </c>
      <c r="C742" t="s">
        <v>35</v>
      </c>
      <c r="D742" t="s">
        <v>322</v>
      </c>
      <c r="E742">
        <v>21</v>
      </c>
    </row>
    <row r="743" spans="1:5" x14ac:dyDescent="0.35">
      <c r="A743" s="13">
        <v>42736</v>
      </c>
      <c r="B743">
        <f>YEAR(Country_Masterlist__6[[#This Row],[Year1]])</f>
        <v>2017</v>
      </c>
      <c r="C743" t="s">
        <v>35</v>
      </c>
      <c r="D743" t="s">
        <v>150</v>
      </c>
      <c r="E743">
        <v>68</v>
      </c>
    </row>
    <row r="744" spans="1:5" x14ac:dyDescent="0.35">
      <c r="A744" s="13">
        <v>42736</v>
      </c>
      <c r="B744">
        <f>YEAR(Country_Masterlist__6[[#This Row],[Year1]])</f>
        <v>2017</v>
      </c>
      <c r="C744" t="s">
        <v>34</v>
      </c>
      <c r="D744" t="s">
        <v>151</v>
      </c>
      <c r="E744">
        <v>14</v>
      </c>
    </row>
    <row r="745" spans="1:5" x14ac:dyDescent="0.35">
      <c r="A745" s="13">
        <v>42736</v>
      </c>
      <c r="B745">
        <f>YEAR(Country_Masterlist__6[[#This Row],[Year1]])</f>
        <v>2017</v>
      </c>
      <c r="C745" t="s">
        <v>34</v>
      </c>
      <c r="D745" t="s">
        <v>152</v>
      </c>
      <c r="E745">
        <v>409</v>
      </c>
    </row>
    <row r="746" spans="1:5" x14ac:dyDescent="0.35">
      <c r="A746" s="13">
        <v>42736</v>
      </c>
      <c r="B746">
        <f>YEAR(Country_Masterlist__6[[#This Row],[Year1]])</f>
        <v>2017</v>
      </c>
      <c r="C746" t="s">
        <v>36</v>
      </c>
      <c r="D746" t="s">
        <v>154</v>
      </c>
      <c r="E746">
        <v>36</v>
      </c>
    </row>
    <row r="747" spans="1:5" x14ac:dyDescent="0.35">
      <c r="A747" s="13">
        <v>42736</v>
      </c>
      <c r="B747">
        <f>YEAR(Country_Masterlist__6[[#This Row],[Year1]])</f>
        <v>2017</v>
      </c>
      <c r="C747" t="s">
        <v>38</v>
      </c>
      <c r="D747" t="s">
        <v>155</v>
      </c>
      <c r="E747">
        <v>11</v>
      </c>
    </row>
    <row r="748" spans="1:5" x14ac:dyDescent="0.35">
      <c r="A748" s="13">
        <v>42736</v>
      </c>
      <c r="B748">
        <f>YEAR(Country_Masterlist__6[[#This Row],[Year1]])</f>
        <v>2017</v>
      </c>
      <c r="C748" t="s">
        <v>38</v>
      </c>
      <c r="D748" t="s">
        <v>156</v>
      </c>
      <c r="E748">
        <v>175</v>
      </c>
    </row>
    <row r="749" spans="1:5" x14ac:dyDescent="0.35">
      <c r="A749" s="13">
        <v>42736</v>
      </c>
      <c r="B749">
        <f>YEAR(Country_Masterlist__6[[#This Row],[Year1]])</f>
        <v>2017</v>
      </c>
      <c r="C749" t="s">
        <v>34</v>
      </c>
      <c r="D749" t="s">
        <v>18</v>
      </c>
      <c r="E749">
        <v>513</v>
      </c>
    </row>
    <row r="750" spans="1:5" x14ac:dyDescent="0.35">
      <c r="A750" s="13">
        <v>42736</v>
      </c>
      <c r="B750">
        <f>YEAR(Country_Masterlist__6[[#This Row],[Year1]])</f>
        <v>2017</v>
      </c>
      <c r="C750" t="s">
        <v>35</v>
      </c>
      <c r="D750" t="s">
        <v>157</v>
      </c>
      <c r="E750">
        <v>281</v>
      </c>
    </row>
    <row r="751" spans="1:5" x14ac:dyDescent="0.35">
      <c r="A751" s="13">
        <v>42736</v>
      </c>
      <c r="B751">
        <f>YEAR(Country_Masterlist__6[[#This Row],[Year1]])</f>
        <v>2017</v>
      </c>
      <c r="C751" t="s">
        <v>35</v>
      </c>
      <c r="D751" t="s">
        <v>158</v>
      </c>
      <c r="E751">
        <v>216</v>
      </c>
    </row>
    <row r="752" spans="1:5" x14ac:dyDescent="0.35">
      <c r="A752" s="13">
        <v>42736</v>
      </c>
      <c r="B752">
        <f>YEAR(Country_Masterlist__6[[#This Row],[Year1]])</f>
        <v>2017</v>
      </c>
      <c r="C752" t="s">
        <v>34</v>
      </c>
      <c r="D752" t="s">
        <v>159</v>
      </c>
      <c r="E752">
        <v>17</v>
      </c>
    </row>
    <row r="753" spans="1:5" x14ac:dyDescent="0.35">
      <c r="A753" s="13">
        <v>42736</v>
      </c>
      <c r="B753">
        <f>YEAR(Country_Masterlist__6[[#This Row],[Year1]])</f>
        <v>2017</v>
      </c>
      <c r="C753" t="s">
        <v>35</v>
      </c>
      <c r="D753" t="s">
        <v>160</v>
      </c>
      <c r="E753">
        <v>187</v>
      </c>
    </row>
    <row r="754" spans="1:5" x14ac:dyDescent="0.35">
      <c r="A754" s="13">
        <v>42736</v>
      </c>
      <c r="B754">
        <f>YEAR(Country_Masterlist__6[[#This Row],[Year1]])</f>
        <v>2017</v>
      </c>
      <c r="C754" t="s">
        <v>35</v>
      </c>
      <c r="D754" t="s">
        <v>161</v>
      </c>
      <c r="E754">
        <v>171</v>
      </c>
    </row>
    <row r="755" spans="1:5" x14ac:dyDescent="0.35">
      <c r="A755" s="13">
        <v>42736</v>
      </c>
      <c r="B755">
        <f>YEAR(Country_Masterlist__6[[#This Row],[Year1]])</f>
        <v>2017</v>
      </c>
      <c r="C755" t="s">
        <v>33</v>
      </c>
      <c r="D755" t="s">
        <v>162</v>
      </c>
      <c r="E755">
        <v>12</v>
      </c>
    </row>
    <row r="756" spans="1:5" x14ac:dyDescent="0.35">
      <c r="A756" s="13">
        <v>42736</v>
      </c>
      <c r="B756">
        <f>YEAR(Country_Masterlist__6[[#This Row],[Year1]])</f>
        <v>2017</v>
      </c>
      <c r="C756" t="s">
        <v>36</v>
      </c>
      <c r="D756" t="s">
        <v>163</v>
      </c>
      <c r="E756">
        <v>11</v>
      </c>
    </row>
    <row r="757" spans="1:5" x14ac:dyDescent="0.35">
      <c r="A757" s="13">
        <v>42736</v>
      </c>
      <c r="B757">
        <f>YEAR(Country_Masterlist__6[[#This Row],[Year1]])</f>
        <v>2017</v>
      </c>
      <c r="C757" t="s">
        <v>36</v>
      </c>
      <c r="D757" t="s">
        <v>164</v>
      </c>
      <c r="E757">
        <v>11</v>
      </c>
    </row>
    <row r="758" spans="1:5" x14ac:dyDescent="0.35">
      <c r="A758" s="13">
        <v>42736</v>
      </c>
      <c r="B758">
        <f>YEAR(Country_Masterlist__6[[#This Row],[Year1]])</f>
        <v>2017</v>
      </c>
      <c r="C758" t="s">
        <v>36</v>
      </c>
      <c r="D758" t="s">
        <v>165</v>
      </c>
      <c r="E758">
        <v>15</v>
      </c>
    </row>
    <row r="759" spans="1:5" x14ac:dyDescent="0.35">
      <c r="A759" s="13">
        <v>42736</v>
      </c>
      <c r="B759">
        <f>YEAR(Country_Masterlist__6[[#This Row],[Year1]])</f>
        <v>2017</v>
      </c>
      <c r="C759" t="s">
        <v>37</v>
      </c>
      <c r="D759" t="s">
        <v>166</v>
      </c>
      <c r="E759">
        <v>6</v>
      </c>
    </row>
    <row r="760" spans="1:5" x14ac:dyDescent="0.35">
      <c r="A760" s="13">
        <v>42736</v>
      </c>
      <c r="B760">
        <f>YEAR(Country_Masterlist__6[[#This Row],[Year1]])</f>
        <v>2017</v>
      </c>
      <c r="C760" t="s">
        <v>34</v>
      </c>
      <c r="D760" t="s">
        <v>167</v>
      </c>
      <c r="E760">
        <v>329</v>
      </c>
    </row>
    <row r="761" spans="1:5" x14ac:dyDescent="0.35">
      <c r="A761" s="13">
        <v>42736</v>
      </c>
      <c r="B761">
        <f>YEAR(Country_Masterlist__6[[#This Row],[Year1]])</f>
        <v>2017</v>
      </c>
      <c r="C761" t="s">
        <v>33</v>
      </c>
      <c r="D761" t="s">
        <v>168</v>
      </c>
      <c r="E761">
        <v>36</v>
      </c>
    </row>
    <row r="762" spans="1:5" x14ac:dyDescent="0.35">
      <c r="A762" s="13">
        <v>42736</v>
      </c>
      <c r="B762">
        <f>YEAR(Country_Masterlist__6[[#This Row],[Year1]])</f>
        <v>2017</v>
      </c>
      <c r="C762" t="s">
        <v>35</v>
      </c>
      <c r="D762" t="s">
        <v>169</v>
      </c>
      <c r="E762">
        <v>48</v>
      </c>
    </row>
    <row r="763" spans="1:5" x14ac:dyDescent="0.35">
      <c r="A763" s="13">
        <v>42736</v>
      </c>
      <c r="B763">
        <f>YEAR(Country_Masterlist__6[[#This Row],[Year1]])</f>
        <v>2017</v>
      </c>
      <c r="C763" t="s">
        <v>33</v>
      </c>
      <c r="D763" t="s">
        <v>170</v>
      </c>
      <c r="E763">
        <v>14</v>
      </c>
    </row>
    <row r="764" spans="1:5" x14ac:dyDescent="0.35">
      <c r="A764" s="13">
        <v>42736</v>
      </c>
      <c r="B764">
        <f>YEAR(Country_Masterlist__6[[#This Row],[Year1]])</f>
        <v>2017</v>
      </c>
      <c r="C764" t="s">
        <v>34</v>
      </c>
      <c r="D764" t="s">
        <v>171</v>
      </c>
      <c r="E764">
        <v>42</v>
      </c>
    </row>
    <row r="765" spans="1:5" x14ac:dyDescent="0.35">
      <c r="A765" s="13">
        <v>42736</v>
      </c>
      <c r="B765">
        <f>YEAR(Country_Masterlist__6[[#This Row],[Year1]])</f>
        <v>2017</v>
      </c>
      <c r="C765" t="s">
        <v>35</v>
      </c>
      <c r="D765" t="s">
        <v>172</v>
      </c>
      <c r="E765">
        <v>60</v>
      </c>
    </row>
    <row r="766" spans="1:5" x14ac:dyDescent="0.35">
      <c r="A766" s="13">
        <v>42736</v>
      </c>
      <c r="B766">
        <f>YEAR(Country_Masterlist__6[[#This Row],[Year1]])</f>
        <v>2017</v>
      </c>
      <c r="C766" t="s">
        <v>35</v>
      </c>
      <c r="D766" t="s">
        <v>173</v>
      </c>
      <c r="E766">
        <v>20</v>
      </c>
    </row>
    <row r="767" spans="1:5" x14ac:dyDescent="0.35">
      <c r="A767" s="13">
        <v>42736</v>
      </c>
      <c r="B767">
        <f>YEAR(Country_Masterlist__6[[#This Row],[Year1]])</f>
        <v>2017</v>
      </c>
      <c r="C767" t="s">
        <v>33</v>
      </c>
      <c r="D767" t="s">
        <v>174</v>
      </c>
      <c r="E767">
        <v>10</v>
      </c>
    </row>
    <row r="768" spans="1:5" x14ac:dyDescent="0.35">
      <c r="A768" s="13">
        <v>42736</v>
      </c>
      <c r="B768">
        <f>YEAR(Country_Masterlist__6[[#This Row],[Year1]])</f>
        <v>2017</v>
      </c>
      <c r="C768" t="s">
        <v>33</v>
      </c>
      <c r="D768" t="s">
        <v>175</v>
      </c>
      <c r="E768">
        <v>94</v>
      </c>
    </row>
    <row r="769" spans="1:5" x14ac:dyDescent="0.35">
      <c r="A769" s="13">
        <v>42736</v>
      </c>
      <c r="B769">
        <f>YEAR(Country_Masterlist__6[[#This Row],[Year1]])</f>
        <v>2017</v>
      </c>
      <c r="C769" t="s">
        <v>35</v>
      </c>
      <c r="D769" t="s">
        <v>177</v>
      </c>
      <c r="E769">
        <v>1122</v>
      </c>
    </row>
    <row r="770" spans="1:5" x14ac:dyDescent="0.35">
      <c r="A770" s="13">
        <v>42736</v>
      </c>
      <c r="B770">
        <f>YEAR(Country_Masterlist__6[[#This Row],[Year1]])</f>
        <v>2017</v>
      </c>
      <c r="C770" t="s">
        <v>34</v>
      </c>
      <c r="D770" t="s">
        <v>178</v>
      </c>
      <c r="E770">
        <v>52</v>
      </c>
    </row>
    <row r="771" spans="1:5" x14ac:dyDescent="0.35">
      <c r="A771" s="13">
        <v>42736</v>
      </c>
      <c r="B771">
        <f>YEAR(Country_Masterlist__6[[#This Row],[Year1]])</f>
        <v>2017</v>
      </c>
      <c r="C771" t="s">
        <v>33</v>
      </c>
      <c r="D771" t="s">
        <v>179</v>
      </c>
      <c r="E771">
        <v>56</v>
      </c>
    </row>
    <row r="772" spans="1:5" x14ac:dyDescent="0.35">
      <c r="A772" s="13">
        <v>42736</v>
      </c>
      <c r="B772">
        <f>YEAR(Country_Masterlist__6[[#This Row],[Year1]])</f>
        <v>2017</v>
      </c>
      <c r="C772" t="s">
        <v>35</v>
      </c>
      <c r="D772" t="s">
        <v>182</v>
      </c>
      <c r="E772">
        <v>163</v>
      </c>
    </row>
    <row r="773" spans="1:5" x14ac:dyDescent="0.35">
      <c r="A773" s="13">
        <v>42736</v>
      </c>
      <c r="B773">
        <f>YEAR(Country_Masterlist__6[[#This Row],[Year1]])</f>
        <v>2017</v>
      </c>
      <c r="C773" t="s">
        <v>35</v>
      </c>
      <c r="D773" t="s">
        <v>183</v>
      </c>
      <c r="E773">
        <v>81</v>
      </c>
    </row>
    <row r="774" spans="1:5" x14ac:dyDescent="0.35">
      <c r="A774" s="13">
        <v>42736</v>
      </c>
      <c r="B774">
        <f>YEAR(Country_Masterlist__6[[#This Row],[Year1]])</f>
        <v>2017</v>
      </c>
      <c r="C774" t="s">
        <v>34</v>
      </c>
      <c r="D774" t="s">
        <v>184</v>
      </c>
      <c r="E774">
        <v>310</v>
      </c>
    </row>
    <row r="775" spans="1:5" x14ac:dyDescent="0.35">
      <c r="A775" s="13">
        <v>42736</v>
      </c>
      <c r="B775">
        <f>YEAR(Country_Masterlist__6[[#This Row],[Year1]])</f>
        <v>2017</v>
      </c>
      <c r="C775" t="s">
        <v>34</v>
      </c>
      <c r="D775" t="s">
        <v>185</v>
      </c>
      <c r="E775">
        <v>476</v>
      </c>
    </row>
    <row r="776" spans="1:5" x14ac:dyDescent="0.35">
      <c r="A776" s="13">
        <v>42736</v>
      </c>
      <c r="B776">
        <f>YEAR(Country_Masterlist__6[[#This Row],[Year1]])</f>
        <v>2017</v>
      </c>
      <c r="C776" t="s">
        <v>33</v>
      </c>
      <c r="D776" t="s">
        <v>187</v>
      </c>
      <c r="E776">
        <v>15</v>
      </c>
    </row>
    <row r="777" spans="1:5" x14ac:dyDescent="0.35">
      <c r="A777" s="13">
        <v>42736</v>
      </c>
      <c r="B777">
        <f>YEAR(Country_Masterlist__6[[#This Row],[Year1]])</f>
        <v>2017</v>
      </c>
      <c r="C777" t="s">
        <v>34</v>
      </c>
      <c r="D777" t="s">
        <v>188</v>
      </c>
      <c r="E777">
        <v>110</v>
      </c>
    </row>
    <row r="778" spans="1:5" x14ac:dyDescent="0.35">
      <c r="A778" s="13">
        <v>42736</v>
      </c>
      <c r="B778">
        <f>YEAR(Country_Masterlist__6[[#This Row],[Year1]])</f>
        <v>2017</v>
      </c>
      <c r="C778" t="s">
        <v>33</v>
      </c>
      <c r="D778" t="s">
        <v>189</v>
      </c>
      <c r="E778">
        <v>23</v>
      </c>
    </row>
    <row r="779" spans="1:5" x14ac:dyDescent="0.35">
      <c r="A779" s="13">
        <v>42736</v>
      </c>
      <c r="B779">
        <f>YEAR(Country_Masterlist__6[[#This Row],[Year1]])</f>
        <v>2017</v>
      </c>
      <c r="C779" t="s">
        <v>37</v>
      </c>
      <c r="D779" t="s">
        <v>190</v>
      </c>
      <c r="E779">
        <v>12</v>
      </c>
    </row>
    <row r="780" spans="1:5" x14ac:dyDescent="0.35">
      <c r="A780" s="13">
        <v>42736</v>
      </c>
      <c r="B780">
        <f>YEAR(Country_Masterlist__6[[#This Row],[Year1]])</f>
        <v>2017</v>
      </c>
      <c r="C780" t="s">
        <v>36</v>
      </c>
      <c r="D780" t="s">
        <v>191</v>
      </c>
      <c r="E780">
        <v>42</v>
      </c>
    </row>
    <row r="781" spans="1:5" x14ac:dyDescent="0.35">
      <c r="A781" s="13">
        <v>42736</v>
      </c>
      <c r="B781">
        <f>YEAR(Country_Masterlist__6[[#This Row],[Year1]])</f>
        <v>2017</v>
      </c>
      <c r="C781" t="s">
        <v>33</v>
      </c>
      <c r="D781" t="s">
        <v>192</v>
      </c>
      <c r="E781">
        <v>54</v>
      </c>
    </row>
    <row r="782" spans="1:5" x14ac:dyDescent="0.35">
      <c r="A782" s="13">
        <v>42736</v>
      </c>
      <c r="B782">
        <f>YEAR(Country_Masterlist__6[[#This Row],[Year1]])</f>
        <v>2017</v>
      </c>
      <c r="C782" t="s">
        <v>34</v>
      </c>
      <c r="D782" t="s">
        <v>193</v>
      </c>
      <c r="E782">
        <v>126</v>
      </c>
    </row>
    <row r="783" spans="1:5" x14ac:dyDescent="0.35">
      <c r="A783" s="13">
        <v>42736</v>
      </c>
      <c r="B783">
        <f>YEAR(Country_Masterlist__6[[#This Row],[Year1]])</f>
        <v>2017</v>
      </c>
      <c r="C783" t="s">
        <v>34</v>
      </c>
      <c r="D783" t="s">
        <v>194</v>
      </c>
      <c r="E783">
        <v>43</v>
      </c>
    </row>
    <row r="784" spans="1:5" x14ac:dyDescent="0.35">
      <c r="A784" s="13">
        <v>42736</v>
      </c>
      <c r="B784">
        <f>YEAR(Country_Masterlist__6[[#This Row],[Year1]])</f>
        <v>2017</v>
      </c>
      <c r="C784" t="s">
        <v>33</v>
      </c>
      <c r="D784" t="s">
        <v>195</v>
      </c>
      <c r="E784">
        <v>19</v>
      </c>
    </row>
    <row r="785" spans="1:5" x14ac:dyDescent="0.35">
      <c r="A785" s="13">
        <v>42736</v>
      </c>
      <c r="B785">
        <f>YEAR(Country_Masterlist__6[[#This Row],[Year1]])</f>
        <v>2017</v>
      </c>
      <c r="C785" t="s">
        <v>35</v>
      </c>
      <c r="D785" t="s">
        <v>196</v>
      </c>
      <c r="E785">
        <v>153</v>
      </c>
    </row>
    <row r="786" spans="1:5" x14ac:dyDescent="0.35">
      <c r="A786" s="13">
        <v>42736</v>
      </c>
      <c r="B786">
        <f>YEAR(Country_Masterlist__6[[#This Row],[Year1]])</f>
        <v>2017</v>
      </c>
      <c r="C786" t="s">
        <v>34</v>
      </c>
      <c r="D786" t="s">
        <v>197</v>
      </c>
      <c r="E786">
        <v>19</v>
      </c>
    </row>
    <row r="787" spans="1:5" x14ac:dyDescent="0.35">
      <c r="A787" s="13">
        <v>42736</v>
      </c>
      <c r="B787">
        <f>YEAR(Country_Masterlist__6[[#This Row],[Year1]])</f>
        <v>2017</v>
      </c>
      <c r="C787" t="s">
        <v>35</v>
      </c>
      <c r="D787" t="s">
        <v>198</v>
      </c>
      <c r="E787">
        <v>1100</v>
      </c>
    </row>
    <row r="788" spans="1:5" x14ac:dyDescent="0.35">
      <c r="A788" s="13">
        <v>42736</v>
      </c>
      <c r="B788">
        <f>YEAR(Country_Masterlist__6[[#This Row],[Year1]])</f>
        <v>2017</v>
      </c>
      <c r="C788" t="s">
        <v>38</v>
      </c>
      <c r="D788" t="s">
        <v>199</v>
      </c>
      <c r="E788">
        <v>15</v>
      </c>
    </row>
    <row r="789" spans="1:5" x14ac:dyDescent="0.35">
      <c r="A789" s="13">
        <v>42736</v>
      </c>
      <c r="B789">
        <f>YEAR(Country_Masterlist__6[[#This Row],[Year1]])</f>
        <v>2017</v>
      </c>
      <c r="C789" t="s">
        <v>34</v>
      </c>
      <c r="D789" t="s">
        <v>200</v>
      </c>
      <c r="E789">
        <v>19</v>
      </c>
    </row>
    <row r="790" spans="1:5" x14ac:dyDescent="0.35">
      <c r="A790" s="13">
        <v>42736</v>
      </c>
      <c r="B790">
        <f>YEAR(Country_Masterlist__6[[#This Row],[Year1]])</f>
        <v>2017</v>
      </c>
      <c r="C790" t="s">
        <v>38</v>
      </c>
      <c r="D790" t="s">
        <v>19</v>
      </c>
      <c r="E790">
        <v>546</v>
      </c>
    </row>
    <row r="791" spans="1:5" x14ac:dyDescent="0.35">
      <c r="A791" s="13">
        <v>42736</v>
      </c>
      <c r="B791">
        <f>YEAR(Country_Masterlist__6[[#This Row],[Year1]])</f>
        <v>2017</v>
      </c>
      <c r="C791" t="s">
        <v>34</v>
      </c>
      <c r="D791" t="s">
        <v>201</v>
      </c>
      <c r="E791">
        <v>92</v>
      </c>
    </row>
    <row r="792" spans="1:5" x14ac:dyDescent="0.35">
      <c r="A792" s="13">
        <v>42736</v>
      </c>
      <c r="B792">
        <f>YEAR(Country_Masterlist__6[[#This Row],[Year1]])</f>
        <v>2017</v>
      </c>
      <c r="C792" t="s">
        <v>34</v>
      </c>
      <c r="D792" t="s">
        <v>202</v>
      </c>
      <c r="E792">
        <v>43</v>
      </c>
    </row>
    <row r="793" spans="1:5" x14ac:dyDescent="0.35">
      <c r="A793" s="13">
        <v>42736</v>
      </c>
      <c r="B793">
        <f>YEAR(Country_Masterlist__6[[#This Row],[Year1]])</f>
        <v>2017</v>
      </c>
      <c r="C793" t="s">
        <v>33</v>
      </c>
      <c r="D793" t="s">
        <v>203</v>
      </c>
      <c r="E793">
        <v>11</v>
      </c>
    </row>
    <row r="794" spans="1:5" x14ac:dyDescent="0.35">
      <c r="A794" s="13">
        <v>42736</v>
      </c>
      <c r="B794">
        <f>YEAR(Country_Masterlist__6[[#This Row],[Year1]])</f>
        <v>2017</v>
      </c>
      <c r="C794" t="s">
        <v>33</v>
      </c>
      <c r="D794" t="s">
        <v>204</v>
      </c>
      <c r="E794">
        <v>13</v>
      </c>
    </row>
    <row r="795" spans="1:5" x14ac:dyDescent="0.35">
      <c r="A795" s="13">
        <v>42736</v>
      </c>
      <c r="B795">
        <f>YEAR(Country_Masterlist__6[[#This Row],[Year1]])</f>
        <v>2017</v>
      </c>
      <c r="D795" t="s">
        <v>373</v>
      </c>
      <c r="E795">
        <v>88</v>
      </c>
    </row>
    <row r="796" spans="1:5" x14ac:dyDescent="0.35">
      <c r="A796" s="13">
        <v>42736</v>
      </c>
      <c r="B796">
        <f>YEAR(Country_Masterlist__6[[#This Row],[Year1]])</f>
        <v>2017</v>
      </c>
      <c r="C796" t="s">
        <v>39</v>
      </c>
      <c r="D796" t="s">
        <v>39</v>
      </c>
      <c r="E796">
        <v>141</v>
      </c>
    </row>
    <row r="797" spans="1:5" x14ac:dyDescent="0.35">
      <c r="A797" s="13">
        <v>43101</v>
      </c>
      <c r="B797">
        <f>YEAR(Country_Masterlist__6[[#This Row],[Year1]])</f>
        <v>2018</v>
      </c>
      <c r="C797" t="s">
        <v>34</v>
      </c>
      <c r="D797" t="s">
        <v>40</v>
      </c>
      <c r="E797">
        <v>48</v>
      </c>
    </row>
    <row r="798" spans="1:5" x14ac:dyDescent="0.35">
      <c r="A798" s="13">
        <v>43101</v>
      </c>
      <c r="B798">
        <f>YEAR(Country_Masterlist__6[[#This Row],[Year1]])</f>
        <v>2018</v>
      </c>
      <c r="C798" t="s">
        <v>35</v>
      </c>
      <c r="D798" t="s">
        <v>41</v>
      </c>
      <c r="E798">
        <v>68</v>
      </c>
    </row>
    <row r="799" spans="1:5" x14ac:dyDescent="0.35">
      <c r="A799" s="13">
        <v>43101</v>
      </c>
      <c r="B799">
        <f>YEAR(Country_Masterlist__6[[#This Row],[Year1]])</f>
        <v>2018</v>
      </c>
      <c r="C799" t="s">
        <v>33</v>
      </c>
      <c r="D799" t="s">
        <v>42</v>
      </c>
      <c r="E799">
        <v>98</v>
      </c>
    </row>
    <row r="800" spans="1:5" x14ac:dyDescent="0.35">
      <c r="A800" s="13">
        <v>43101</v>
      </c>
      <c r="B800">
        <f>YEAR(Country_Masterlist__6[[#This Row],[Year1]])</f>
        <v>2018</v>
      </c>
      <c r="C800" t="s">
        <v>33</v>
      </c>
      <c r="D800" t="s">
        <v>43</v>
      </c>
      <c r="E800">
        <v>29</v>
      </c>
    </row>
    <row r="801" spans="1:5" x14ac:dyDescent="0.35">
      <c r="A801" s="13">
        <v>43101</v>
      </c>
      <c r="B801">
        <f>YEAR(Country_Masterlist__6[[#This Row],[Year1]])</f>
        <v>2018</v>
      </c>
      <c r="C801" t="s">
        <v>36</v>
      </c>
      <c r="D801" t="s">
        <v>44</v>
      </c>
      <c r="E801">
        <v>8</v>
      </c>
    </row>
    <row r="802" spans="1:5" x14ac:dyDescent="0.35">
      <c r="A802" s="13">
        <v>43101</v>
      </c>
      <c r="B802">
        <f>YEAR(Country_Masterlist__6[[#This Row],[Year1]])</f>
        <v>2018</v>
      </c>
      <c r="C802" t="s">
        <v>38</v>
      </c>
      <c r="D802" t="s">
        <v>45</v>
      </c>
      <c r="E802">
        <v>65</v>
      </c>
    </row>
    <row r="803" spans="1:5" x14ac:dyDescent="0.35">
      <c r="A803" s="13">
        <v>43101</v>
      </c>
      <c r="B803">
        <f>YEAR(Country_Masterlist__6[[#This Row],[Year1]])</f>
        <v>2018</v>
      </c>
      <c r="C803" t="s">
        <v>34</v>
      </c>
      <c r="D803" t="s">
        <v>46</v>
      </c>
      <c r="E803">
        <v>19</v>
      </c>
    </row>
    <row r="804" spans="1:5" x14ac:dyDescent="0.35">
      <c r="A804" s="13">
        <v>43101</v>
      </c>
      <c r="B804">
        <f>YEAR(Country_Masterlist__6[[#This Row],[Year1]])</f>
        <v>2018</v>
      </c>
      <c r="C804" t="s">
        <v>37</v>
      </c>
      <c r="D804" t="s">
        <v>47</v>
      </c>
      <c r="E804">
        <v>457</v>
      </c>
    </row>
    <row r="805" spans="1:5" x14ac:dyDescent="0.35">
      <c r="A805" s="13">
        <v>43101</v>
      </c>
      <c r="B805">
        <f>YEAR(Country_Masterlist__6[[#This Row],[Year1]])</f>
        <v>2018</v>
      </c>
      <c r="C805" t="s">
        <v>35</v>
      </c>
      <c r="D805" t="s">
        <v>48</v>
      </c>
      <c r="E805">
        <v>58</v>
      </c>
    </row>
    <row r="806" spans="1:5" x14ac:dyDescent="0.35">
      <c r="A806" s="13">
        <v>43101</v>
      </c>
      <c r="B806">
        <f>YEAR(Country_Masterlist__6[[#This Row],[Year1]])</f>
        <v>2018</v>
      </c>
      <c r="C806" t="s">
        <v>34</v>
      </c>
      <c r="D806" t="s">
        <v>49</v>
      </c>
      <c r="E806">
        <v>11</v>
      </c>
    </row>
    <row r="807" spans="1:5" x14ac:dyDescent="0.35">
      <c r="A807" s="13">
        <v>43101</v>
      </c>
      <c r="B807">
        <f>YEAR(Country_Masterlist__6[[#This Row],[Year1]])</f>
        <v>2018</v>
      </c>
      <c r="C807" t="s">
        <v>36</v>
      </c>
      <c r="D807" t="s">
        <v>50</v>
      </c>
      <c r="E807">
        <v>309</v>
      </c>
    </row>
    <row r="808" spans="1:5" x14ac:dyDescent="0.35">
      <c r="A808" s="13">
        <v>43101</v>
      </c>
      <c r="B808">
        <f>YEAR(Country_Masterlist__6[[#This Row],[Year1]])</f>
        <v>2018</v>
      </c>
      <c r="C808" t="s">
        <v>34</v>
      </c>
      <c r="D808" t="s">
        <v>51</v>
      </c>
      <c r="E808">
        <v>7</v>
      </c>
    </row>
    <row r="809" spans="1:5" x14ac:dyDescent="0.35">
      <c r="A809" s="13">
        <v>43101</v>
      </c>
      <c r="B809">
        <f>YEAR(Country_Masterlist__6[[#This Row],[Year1]])</f>
        <v>2018</v>
      </c>
      <c r="C809" t="s">
        <v>34</v>
      </c>
      <c r="D809" t="s">
        <v>52</v>
      </c>
      <c r="E809">
        <v>174</v>
      </c>
    </row>
    <row r="810" spans="1:5" x14ac:dyDescent="0.35">
      <c r="A810" s="13">
        <v>43101</v>
      </c>
      <c r="B810">
        <f>YEAR(Country_Masterlist__6[[#This Row],[Year1]])</f>
        <v>2018</v>
      </c>
      <c r="C810" t="s">
        <v>36</v>
      </c>
      <c r="D810" t="s">
        <v>53</v>
      </c>
      <c r="E810">
        <v>12</v>
      </c>
    </row>
    <row r="811" spans="1:5" x14ac:dyDescent="0.35">
      <c r="A811" s="13">
        <v>43101</v>
      </c>
      <c r="B811">
        <f>YEAR(Country_Masterlist__6[[#This Row],[Year1]])</f>
        <v>2018</v>
      </c>
      <c r="C811" t="s">
        <v>35</v>
      </c>
      <c r="D811" t="s">
        <v>54</v>
      </c>
      <c r="E811">
        <v>10</v>
      </c>
    </row>
    <row r="812" spans="1:5" x14ac:dyDescent="0.35">
      <c r="A812" s="13">
        <v>43101</v>
      </c>
      <c r="B812">
        <f>YEAR(Country_Masterlist__6[[#This Row],[Year1]])</f>
        <v>2018</v>
      </c>
      <c r="C812" t="s">
        <v>35</v>
      </c>
      <c r="D812" t="s">
        <v>55</v>
      </c>
      <c r="E812">
        <v>141</v>
      </c>
    </row>
    <row r="813" spans="1:5" x14ac:dyDescent="0.35">
      <c r="A813" s="13">
        <v>43101</v>
      </c>
      <c r="B813">
        <f>YEAR(Country_Masterlist__6[[#This Row],[Year1]])</f>
        <v>2018</v>
      </c>
      <c r="C813" t="s">
        <v>36</v>
      </c>
      <c r="D813" t="s">
        <v>56</v>
      </c>
      <c r="E813">
        <v>25</v>
      </c>
    </row>
    <row r="814" spans="1:5" x14ac:dyDescent="0.35">
      <c r="A814" s="13">
        <v>43101</v>
      </c>
      <c r="B814">
        <f>YEAR(Country_Masterlist__6[[#This Row],[Year1]])</f>
        <v>2018</v>
      </c>
      <c r="C814" t="s">
        <v>33</v>
      </c>
      <c r="D814" t="s">
        <v>57</v>
      </c>
      <c r="E814">
        <v>28</v>
      </c>
    </row>
    <row r="815" spans="1:5" x14ac:dyDescent="0.35">
      <c r="A815" s="13">
        <v>43101</v>
      </c>
      <c r="B815">
        <f>YEAR(Country_Masterlist__6[[#This Row],[Year1]])</f>
        <v>2018</v>
      </c>
      <c r="C815" t="s">
        <v>38</v>
      </c>
      <c r="D815" t="s">
        <v>59</v>
      </c>
      <c r="E815">
        <v>35</v>
      </c>
    </row>
    <row r="816" spans="1:5" x14ac:dyDescent="0.35">
      <c r="A816" s="13">
        <v>43101</v>
      </c>
      <c r="B816">
        <f>YEAR(Country_Masterlist__6[[#This Row],[Year1]])</f>
        <v>2018</v>
      </c>
      <c r="C816" t="s">
        <v>35</v>
      </c>
      <c r="D816" t="s">
        <v>60</v>
      </c>
      <c r="E816">
        <v>23</v>
      </c>
    </row>
    <row r="817" spans="1:5" x14ac:dyDescent="0.35">
      <c r="A817" s="13">
        <v>43101</v>
      </c>
      <c r="B817">
        <f>YEAR(Country_Masterlist__6[[#This Row],[Year1]])</f>
        <v>2018</v>
      </c>
      <c r="C817" t="s">
        <v>38</v>
      </c>
      <c r="D817" t="s">
        <v>21</v>
      </c>
      <c r="E817">
        <v>781</v>
      </c>
    </row>
    <row r="818" spans="1:5" x14ac:dyDescent="0.35">
      <c r="A818" s="13">
        <v>43101</v>
      </c>
      <c r="B818">
        <f>YEAR(Country_Masterlist__6[[#This Row],[Year1]])</f>
        <v>2018</v>
      </c>
      <c r="C818" t="s">
        <v>35</v>
      </c>
      <c r="D818" t="s">
        <v>62</v>
      </c>
      <c r="E818">
        <v>30</v>
      </c>
    </row>
    <row r="819" spans="1:5" x14ac:dyDescent="0.35">
      <c r="A819" s="13">
        <v>43101</v>
      </c>
      <c r="B819">
        <f>YEAR(Country_Masterlist__6[[#This Row],[Year1]])</f>
        <v>2018</v>
      </c>
      <c r="C819" t="s">
        <v>33</v>
      </c>
      <c r="D819" t="s">
        <v>63</v>
      </c>
      <c r="E819">
        <v>59</v>
      </c>
    </row>
    <row r="820" spans="1:5" x14ac:dyDescent="0.35">
      <c r="A820" s="13">
        <v>43101</v>
      </c>
      <c r="B820">
        <f>YEAR(Country_Masterlist__6[[#This Row],[Year1]])</f>
        <v>2018</v>
      </c>
      <c r="C820" t="s">
        <v>34</v>
      </c>
      <c r="D820" t="s">
        <v>64</v>
      </c>
      <c r="E820">
        <v>10</v>
      </c>
    </row>
    <row r="821" spans="1:5" x14ac:dyDescent="0.35">
      <c r="A821" s="13">
        <v>43101</v>
      </c>
      <c r="B821">
        <f>YEAR(Country_Masterlist__6[[#This Row],[Year1]])</f>
        <v>2018</v>
      </c>
      <c r="C821" t="s">
        <v>33</v>
      </c>
      <c r="D821" t="s">
        <v>65</v>
      </c>
      <c r="E821">
        <v>9</v>
      </c>
    </row>
    <row r="822" spans="1:5" x14ac:dyDescent="0.35">
      <c r="A822" s="13">
        <v>43101</v>
      </c>
      <c r="B822">
        <f>YEAR(Country_Masterlist__6[[#This Row],[Year1]])</f>
        <v>2018</v>
      </c>
      <c r="C822" t="s">
        <v>33</v>
      </c>
      <c r="D822" t="s">
        <v>66</v>
      </c>
      <c r="E822">
        <v>15</v>
      </c>
    </row>
    <row r="823" spans="1:5" x14ac:dyDescent="0.35">
      <c r="A823" s="13">
        <v>43101</v>
      </c>
      <c r="B823">
        <f>YEAR(Country_Masterlist__6[[#This Row],[Year1]])</f>
        <v>2018</v>
      </c>
      <c r="C823" t="s">
        <v>34</v>
      </c>
      <c r="D823" t="s">
        <v>67</v>
      </c>
      <c r="E823">
        <v>5</v>
      </c>
    </row>
    <row r="824" spans="1:5" x14ac:dyDescent="0.35">
      <c r="A824" s="13">
        <v>43101</v>
      </c>
      <c r="B824">
        <f>YEAR(Country_Masterlist__6[[#This Row],[Year1]])</f>
        <v>2018</v>
      </c>
      <c r="C824" t="s">
        <v>33</v>
      </c>
      <c r="D824" t="s">
        <v>68</v>
      </c>
      <c r="E824">
        <v>102</v>
      </c>
    </row>
    <row r="825" spans="1:5" x14ac:dyDescent="0.35">
      <c r="A825" s="13">
        <v>43101</v>
      </c>
      <c r="B825">
        <f>YEAR(Country_Masterlist__6[[#This Row],[Year1]])</f>
        <v>2018</v>
      </c>
      <c r="C825" t="s">
        <v>36</v>
      </c>
      <c r="D825" t="s">
        <v>69</v>
      </c>
      <c r="E825">
        <v>14901</v>
      </c>
    </row>
    <row r="826" spans="1:5" x14ac:dyDescent="0.35">
      <c r="A826" s="13">
        <v>43101</v>
      </c>
      <c r="B826">
        <f>YEAR(Country_Masterlist__6[[#This Row],[Year1]])</f>
        <v>2018</v>
      </c>
      <c r="C826" t="s">
        <v>38</v>
      </c>
      <c r="D826" t="s">
        <v>72</v>
      </c>
      <c r="E826">
        <v>443</v>
      </c>
    </row>
    <row r="827" spans="1:5" x14ac:dyDescent="0.35">
      <c r="A827" s="13">
        <v>43101</v>
      </c>
      <c r="B827">
        <f>YEAR(Country_Masterlist__6[[#This Row],[Year1]])</f>
        <v>2018</v>
      </c>
      <c r="C827" t="s">
        <v>34</v>
      </c>
      <c r="D827" t="s">
        <v>73</v>
      </c>
      <c r="E827">
        <v>1924</v>
      </c>
    </row>
    <row r="828" spans="1:5" x14ac:dyDescent="0.35">
      <c r="A828" s="13">
        <v>43101</v>
      </c>
      <c r="B828">
        <f>YEAR(Country_Masterlist__6[[#This Row],[Year1]])</f>
        <v>2018</v>
      </c>
      <c r="C828" t="s">
        <v>38</v>
      </c>
      <c r="D828" t="s">
        <v>20</v>
      </c>
      <c r="E828">
        <v>715</v>
      </c>
    </row>
    <row r="829" spans="1:5" x14ac:dyDescent="0.35">
      <c r="A829" s="13">
        <v>43101</v>
      </c>
      <c r="B829">
        <f>YEAR(Country_Masterlist__6[[#This Row],[Year1]])</f>
        <v>2018</v>
      </c>
      <c r="C829" t="s">
        <v>33</v>
      </c>
      <c r="D829" t="s">
        <v>74</v>
      </c>
      <c r="E829">
        <v>53</v>
      </c>
    </row>
    <row r="830" spans="1:5" x14ac:dyDescent="0.35">
      <c r="A830" s="13">
        <v>43101</v>
      </c>
      <c r="B830">
        <f>YEAR(Country_Masterlist__6[[#This Row],[Year1]])</f>
        <v>2018</v>
      </c>
      <c r="C830" t="s">
        <v>33</v>
      </c>
      <c r="D830" t="s">
        <v>75</v>
      </c>
      <c r="E830">
        <v>20</v>
      </c>
    </row>
    <row r="831" spans="1:5" x14ac:dyDescent="0.35">
      <c r="A831" s="13">
        <v>43101</v>
      </c>
      <c r="B831">
        <f>YEAR(Country_Masterlist__6[[#This Row],[Year1]])</f>
        <v>2018</v>
      </c>
      <c r="C831" t="s">
        <v>36</v>
      </c>
      <c r="D831" t="s">
        <v>76</v>
      </c>
      <c r="E831">
        <v>93</v>
      </c>
    </row>
    <row r="832" spans="1:5" x14ac:dyDescent="0.35">
      <c r="A832" s="13">
        <v>43101</v>
      </c>
      <c r="B832">
        <f>YEAR(Country_Masterlist__6[[#This Row],[Year1]])</f>
        <v>2018</v>
      </c>
      <c r="C832" t="s">
        <v>33</v>
      </c>
      <c r="D832" t="s">
        <v>77</v>
      </c>
      <c r="E832">
        <v>54</v>
      </c>
    </row>
    <row r="833" spans="1:5" x14ac:dyDescent="0.35">
      <c r="A833" s="13">
        <v>43101</v>
      </c>
      <c r="B833">
        <f>YEAR(Country_Masterlist__6[[#This Row],[Year1]])</f>
        <v>2018</v>
      </c>
      <c r="C833" t="s">
        <v>35</v>
      </c>
      <c r="D833" t="s">
        <v>78</v>
      </c>
      <c r="E833">
        <v>39</v>
      </c>
    </row>
    <row r="834" spans="1:5" x14ac:dyDescent="0.35">
      <c r="A834" s="13">
        <v>43101</v>
      </c>
      <c r="B834">
        <f>YEAR(Country_Masterlist__6[[#This Row],[Year1]])</f>
        <v>2018</v>
      </c>
      <c r="C834" t="s">
        <v>36</v>
      </c>
      <c r="D834" t="s">
        <v>79</v>
      </c>
      <c r="E834">
        <v>110</v>
      </c>
    </row>
    <row r="835" spans="1:5" x14ac:dyDescent="0.35">
      <c r="A835" s="13">
        <v>43101</v>
      </c>
      <c r="B835">
        <f>YEAR(Country_Masterlist__6[[#This Row],[Year1]])</f>
        <v>2018</v>
      </c>
      <c r="C835" t="s">
        <v>34</v>
      </c>
      <c r="D835" t="s">
        <v>80</v>
      </c>
      <c r="E835">
        <v>9</v>
      </c>
    </row>
    <row r="836" spans="1:5" x14ac:dyDescent="0.35">
      <c r="A836" s="13">
        <v>43101</v>
      </c>
      <c r="B836">
        <f>YEAR(Country_Masterlist__6[[#This Row],[Year1]])</f>
        <v>2018</v>
      </c>
      <c r="C836" t="s">
        <v>35</v>
      </c>
      <c r="D836" t="s">
        <v>81</v>
      </c>
      <c r="E836">
        <v>125</v>
      </c>
    </row>
    <row r="837" spans="1:5" x14ac:dyDescent="0.35">
      <c r="A837" s="13">
        <v>43101</v>
      </c>
      <c r="B837">
        <f>YEAR(Country_Masterlist__6[[#This Row],[Year1]])</f>
        <v>2018</v>
      </c>
      <c r="C837" t="s">
        <v>35</v>
      </c>
      <c r="D837" t="s">
        <v>82</v>
      </c>
      <c r="E837">
        <v>53</v>
      </c>
    </row>
    <row r="838" spans="1:5" x14ac:dyDescent="0.35">
      <c r="A838" s="13">
        <v>43101</v>
      </c>
      <c r="B838">
        <f>YEAR(Country_Masterlist__6[[#This Row],[Year1]])</f>
        <v>2018</v>
      </c>
      <c r="C838" t="s">
        <v>36</v>
      </c>
      <c r="D838" t="s">
        <v>84</v>
      </c>
      <c r="E838">
        <v>9</v>
      </c>
    </row>
    <row r="839" spans="1:5" x14ac:dyDescent="0.35">
      <c r="A839" s="13">
        <v>43101</v>
      </c>
      <c r="B839">
        <f>YEAR(Country_Masterlist__6[[#This Row],[Year1]])</f>
        <v>2018</v>
      </c>
      <c r="C839" t="s">
        <v>36</v>
      </c>
      <c r="D839" t="s">
        <v>85</v>
      </c>
      <c r="E839">
        <v>503</v>
      </c>
    </row>
    <row r="840" spans="1:5" x14ac:dyDescent="0.35">
      <c r="A840" s="13">
        <v>43101</v>
      </c>
      <c r="B840">
        <f>YEAR(Country_Masterlist__6[[#This Row],[Year1]])</f>
        <v>2018</v>
      </c>
      <c r="C840" t="s">
        <v>38</v>
      </c>
      <c r="D840" t="s">
        <v>86</v>
      </c>
      <c r="E840">
        <v>251</v>
      </c>
    </row>
    <row r="841" spans="1:5" x14ac:dyDescent="0.35">
      <c r="A841" s="13">
        <v>43101</v>
      </c>
      <c r="B841">
        <f>YEAR(Country_Masterlist__6[[#This Row],[Year1]])</f>
        <v>2018</v>
      </c>
      <c r="C841" t="s">
        <v>33</v>
      </c>
      <c r="D841" t="s">
        <v>87</v>
      </c>
      <c r="E841">
        <v>238</v>
      </c>
    </row>
    <row r="842" spans="1:5" x14ac:dyDescent="0.35">
      <c r="A842" s="13">
        <v>43101</v>
      </c>
      <c r="B842">
        <f>YEAR(Country_Masterlist__6[[#This Row],[Year1]])</f>
        <v>2018</v>
      </c>
      <c r="C842" t="s">
        <v>36</v>
      </c>
      <c r="D842" t="s">
        <v>16</v>
      </c>
      <c r="E842">
        <v>758</v>
      </c>
    </row>
    <row r="843" spans="1:5" x14ac:dyDescent="0.35">
      <c r="A843" s="13">
        <v>43101</v>
      </c>
      <c r="B843">
        <f>YEAR(Country_Masterlist__6[[#This Row],[Year1]])</f>
        <v>2018</v>
      </c>
      <c r="C843" t="s">
        <v>33</v>
      </c>
      <c r="D843" t="s">
        <v>89</v>
      </c>
      <c r="E843">
        <v>21</v>
      </c>
    </row>
    <row r="844" spans="1:5" x14ac:dyDescent="0.35">
      <c r="A844" s="13">
        <v>43101</v>
      </c>
      <c r="B844">
        <f>YEAR(Country_Masterlist__6[[#This Row],[Year1]])</f>
        <v>2018</v>
      </c>
      <c r="C844" t="s">
        <v>35</v>
      </c>
      <c r="D844" t="s">
        <v>90</v>
      </c>
      <c r="E844">
        <v>40</v>
      </c>
    </row>
    <row r="845" spans="1:5" x14ac:dyDescent="0.35">
      <c r="A845" s="13">
        <v>43101</v>
      </c>
      <c r="B845">
        <f>YEAR(Country_Masterlist__6[[#This Row],[Year1]])</f>
        <v>2018</v>
      </c>
      <c r="C845" t="s">
        <v>33</v>
      </c>
      <c r="D845" t="s">
        <v>91</v>
      </c>
      <c r="E845">
        <v>35</v>
      </c>
    </row>
    <row r="846" spans="1:5" x14ac:dyDescent="0.35">
      <c r="A846" s="13">
        <v>43101</v>
      </c>
      <c r="B846">
        <f>YEAR(Country_Masterlist__6[[#This Row],[Year1]])</f>
        <v>2018</v>
      </c>
      <c r="C846" t="s">
        <v>37</v>
      </c>
      <c r="D846" t="s">
        <v>92</v>
      </c>
      <c r="E846">
        <v>32</v>
      </c>
    </row>
    <row r="847" spans="1:5" x14ac:dyDescent="0.35">
      <c r="A847" s="13">
        <v>43101</v>
      </c>
      <c r="B847">
        <f>YEAR(Country_Masterlist__6[[#This Row],[Year1]])</f>
        <v>2018</v>
      </c>
      <c r="C847" t="s">
        <v>35</v>
      </c>
      <c r="D847" t="s">
        <v>93</v>
      </c>
      <c r="E847">
        <v>40</v>
      </c>
    </row>
    <row r="848" spans="1:5" x14ac:dyDescent="0.35">
      <c r="A848" s="13">
        <v>43101</v>
      </c>
      <c r="B848">
        <f>YEAR(Country_Masterlist__6[[#This Row],[Year1]])</f>
        <v>2018</v>
      </c>
      <c r="C848" t="s">
        <v>35</v>
      </c>
      <c r="D848" t="s">
        <v>94</v>
      </c>
      <c r="E848">
        <v>1370</v>
      </c>
    </row>
    <row r="849" spans="1:5" x14ac:dyDescent="0.35">
      <c r="A849" s="13">
        <v>43101</v>
      </c>
      <c r="B849">
        <f>YEAR(Country_Masterlist__6[[#This Row],[Year1]])</f>
        <v>2018</v>
      </c>
      <c r="C849" t="s">
        <v>33</v>
      </c>
      <c r="D849" t="s">
        <v>95</v>
      </c>
      <c r="E849">
        <v>14</v>
      </c>
    </row>
    <row r="850" spans="1:5" x14ac:dyDescent="0.35">
      <c r="A850" s="13">
        <v>43101</v>
      </c>
      <c r="B850">
        <f>YEAR(Country_Masterlist__6[[#This Row],[Year1]])</f>
        <v>2018</v>
      </c>
      <c r="C850" t="s">
        <v>33</v>
      </c>
      <c r="D850" t="s">
        <v>96</v>
      </c>
      <c r="E850">
        <v>14</v>
      </c>
    </row>
    <row r="851" spans="1:5" x14ac:dyDescent="0.35">
      <c r="A851" s="13">
        <v>43101</v>
      </c>
      <c r="B851">
        <f>YEAR(Country_Masterlist__6[[#This Row],[Year1]])</f>
        <v>2018</v>
      </c>
      <c r="C851" t="s">
        <v>34</v>
      </c>
      <c r="D851" t="s">
        <v>8</v>
      </c>
      <c r="E851">
        <v>8</v>
      </c>
    </row>
    <row r="852" spans="1:5" x14ac:dyDescent="0.35">
      <c r="A852" s="13">
        <v>43101</v>
      </c>
      <c r="B852">
        <f>YEAR(Country_Masterlist__6[[#This Row],[Year1]])</f>
        <v>2018</v>
      </c>
      <c r="C852" t="s">
        <v>35</v>
      </c>
      <c r="D852" t="s">
        <v>97</v>
      </c>
      <c r="E852">
        <v>503</v>
      </c>
    </row>
    <row r="853" spans="1:5" x14ac:dyDescent="0.35">
      <c r="A853" s="13">
        <v>43101</v>
      </c>
      <c r="B853">
        <f>YEAR(Country_Masterlist__6[[#This Row],[Year1]])</f>
        <v>2018</v>
      </c>
      <c r="C853" t="s">
        <v>33</v>
      </c>
      <c r="D853" t="s">
        <v>98</v>
      </c>
      <c r="E853">
        <v>91</v>
      </c>
    </row>
    <row r="854" spans="1:5" x14ac:dyDescent="0.35">
      <c r="A854" s="13">
        <v>43101</v>
      </c>
      <c r="B854">
        <f>YEAR(Country_Masterlist__6[[#This Row],[Year1]])</f>
        <v>2018</v>
      </c>
      <c r="C854" t="s">
        <v>35</v>
      </c>
      <c r="D854" t="s">
        <v>99</v>
      </c>
      <c r="E854">
        <v>140</v>
      </c>
    </row>
    <row r="855" spans="1:5" x14ac:dyDescent="0.35">
      <c r="A855" s="13">
        <v>43101</v>
      </c>
      <c r="B855">
        <f>YEAR(Country_Masterlist__6[[#This Row],[Year1]])</f>
        <v>2018</v>
      </c>
      <c r="C855" t="s">
        <v>36</v>
      </c>
      <c r="D855" t="s">
        <v>100</v>
      </c>
      <c r="E855">
        <v>13</v>
      </c>
    </row>
    <row r="856" spans="1:5" x14ac:dyDescent="0.35">
      <c r="A856" s="13">
        <v>43101</v>
      </c>
      <c r="B856">
        <f>YEAR(Country_Masterlist__6[[#This Row],[Year1]])</f>
        <v>2018</v>
      </c>
      <c r="C856" t="s">
        <v>36</v>
      </c>
      <c r="D856" t="s">
        <v>15</v>
      </c>
      <c r="E856">
        <v>2127</v>
      </c>
    </row>
    <row r="857" spans="1:5" x14ac:dyDescent="0.35">
      <c r="A857" s="13">
        <v>43101</v>
      </c>
      <c r="B857">
        <f>YEAR(Country_Masterlist__6[[#This Row],[Year1]])</f>
        <v>2018</v>
      </c>
      <c r="C857" t="s">
        <v>33</v>
      </c>
      <c r="D857" t="s">
        <v>101</v>
      </c>
      <c r="E857">
        <v>28</v>
      </c>
    </row>
    <row r="858" spans="1:5" x14ac:dyDescent="0.35">
      <c r="A858" s="13">
        <v>43101</v>
      </c>
      <c r="B858">
        <f>YEAR(Country_Masterlist__6[[#This Row],[Year1]])</f>
        <v>2018</v>
      </c>
      <c r="C858" t="s">
        <v>38</v>
      </c>
      <c r="D858" t="s">
        <v>103</v>
      </c>
      <c r="E858">
        <v>65</v>
      </c>
    </row>
    <row r="859" spans="1:5" x14ac:dyDescent="0.35">
      <c r="A859" s="13">
        <v>43101</v>
      </c>
      <c r="B859">
        <f>YEAR(Country_Masterlist__6[[#This Row],[Year1]])</f>
        <v>2018</v>
      </c>
      <c r="C859" t="s">
        <v>36</v>
      </c>
      <c r="D859" t="s">
        <v>104</v>
      </c>
      <c r="E859">
        <v>158</v>
      </c>
    </row>
    <row r="860" spans="1:5" x14ac:dyDescent="0.35">
      <c r="A860" s="13">
        <v>43101</v>
      </c>
      <c r="B860">
        <f>YEAR(Country_Masterlist__6[[#This Row],[Year1]])</f>
        <v>2018</v>
      </c>
      <c r="C860" t="s">
        <v>36</v>
      </c>
      <c r="D860" t="s">
        <v>17</v>
      </c>
      <c r="E860">
        <v>1059</v>
      </c>
    </row>
    <row r="861" spans="1:5" x14ac:dyDescent="0.35">
      <c r="A861" s="13">
        <v>43101</v>
      </c>
      <c r="B861">
        <f>YEAR(Country_Masterlist__6[[#This Row],[Year1]])</f>
        <v>2018</v>
      </c>
      <c r="C861" t="s">
        <v>35</v>
      </c>
      <c r="D861" t="s">
        <v>105</v>
      </c>
      <c r="E861">
        <v>169</v>
      </c>
    </row>
    <row r="862" spans="1:5" x14ac:dyDescent="0.35">
      <c r="A862" s="13">
        <v>43101</v>
      </c>
      <c r="B862">
        <f>YEAR(Country_Masterlist__6[[#This Row],[Year1]])</f>
        <v>2018</v>
      </c>
      <c r="C862" t="s">
        <v>35</v>
      </c>
      <c r="D862" t="s">
        <v>106</v>
      </c>
      <c r="E862">
        <v>10</v>
      </c>
    </row>
    <row r="863" spans="1:5" x14ac:dyDescent="0.35">
      <c r="A863" s="13">
        <v>43101</v>
      </c>
      <c r="B863">
        <f>YEAR(Country_Masterlist__6[[#This Row],[Year1]])</f>
        <v>2018</v>
      </c>
      <c r="C863" t="s">
        <v>34</v>
      </c>
      <c r="D863" t="s">
        <v>22</v>
      </c>
      <c r="E863">
        <v>2158</v>
      </c>
    </row>
    <row r="864" spans="1:5" x14ac:dyDescent="0.35">
      <c r="A864" s="13">
        <v>43101</v>
      </c>
      <c r="B864">
        <f>YEAR(Country_Masterlist__6[[#This Row],[Year1]])</f>
        <v>2018</v>
      </c>
      <c r="C864" t="s">
        <v>34</v>
      </c>
      <c r="D864" t="s">
        <v>107</v>
      </c>
      <c r="E864">
        <v>45</v>
      </c>
    </row>
    <row r="865" spans="1:5" x14ac:dyDescent="0.35">
      <c r="A865" s="13">
        <v>43101</v>
      </c>
      <c r="B865">
        <f>YEAR(Country_Masterlist__6[[#This Row],[Year1]])</f>
        <v>2018</v>
      </c>
      <c r="C865" t="s">
        <v>34</v>
      </c>
      <c r="D865" t="s">
        <v>108</v>
      </c>
      <c r="E865">
        <v>772</v>
      </c>
    </row>
    <row r="866" spans="1:5" x14ac:dyDescent="0.35">
      <c r="A866" s="13">
        <v>43101</v>
      </c>
      <c r="B866">
        <f>YEAR(Country_Masterlist__6[[#This Row],[Year1]])</f>
        <v>2018</v>
      </c>
      <c r="C866" t="s">
        <v>34</v>
      </c>
      <c r="D866" t="s">
        <v>109</v>
      </c>
      <c r="E866">
        <v>113</v>
      </c>
    </row>
    <row r="867" spans="1:5" x14ac:dyDescent="0.35">
      <c r="A867" s="13">
        <v>43101</v>
      </c>
      <c r="B867">
        <f>YEAR(Country_Masterlist__6[[#This Row],[Year1]])</f>
        <v>2018</v>
      </c>
      <c r="C867" t="s">
        <v>35</v>
      </c>
      <c r="D867" t="s">
        <v>110</v>
      </c>
      <c r="E867">
        <v>487</v>
      </c>
    </row>
    <row r="868" spans="1:5" x14ac:dyDescent="0.35">
      <c r="A868" s="13">
        <v>43101</v>
      </c>
      <c r="B868">
        <f>YEAR(Country_Masterlist__6[[#This Row],[Year1]])</f>
        <v>2018</v>
      </c>
      <c r="C868" t="s">
        <v>34</v>
      </c>
      <c r="D868" t="s">
        <v>111</v>
      </c>
      <c r="E868">
        <v>331</v>
      </c>
    </row>
    <row r="869" spans="1:5" x14ac:dyDescent="0.35">
      <c r="A869" s="13">
        <v>43101</v>
      </c>
      <c r="B869">
        <f>YEAR(Country_Masterlist__6[[#This Row],[Year1]])</f>
        <v>2018</v>
      </c>
      <c r="C869" t="s">
        <v>35</v>
      </c>
      <c r="D869" t="s">
        <v>112</v>
      </c>
      <c r="E869">
        <v>748</v>
      </c>
    </row>
    <row r="870" spans="1:5" x14ac:dyDescent="0.35">
      <c r="A870" s="13">
        <v>43101</v>
      </c>
      <c r="B870">
        <f>YEAR(Country_Masterlist__6[[#This Row],[Year1]])</f>
        <v>2018</v>
      </c>
      <c r="C870" t="s">
        <v>36</v>
      </c>
      <c r="D870" t="s">
        <v>113</v>
      </c>
      <c r="E870">
        <v>308</v>
      </c>
    </row>
    <row r="871" spans="1:5" x14ac:dyDescent="0.35">
      <c r="A871" s="13">
        <v>43101</v>
      </c>
      <c r="B871">
        <f>YEAR(Country_Masterlist__6[[#This Row],[Year1]])</f>
        <v>2018</v>
      </c>
      <c r="C871" t="s">
        <v>34</v>
      </c>
      <c r="D871" t="s">
        <v>114</v>
      </c>
      <c r="E871">
        <v>285</v>
      </c>
    </row>
    <row r="872" spans="1:5" x14ac:dyDescent="0.35">
      <c r="A872" s="13">
        <v>43101</v>
      </c>
      <c r="B872">
        <f>YEAR(Country_Masterlist__6[[#This Row],[Year1]])</f>
        <v>2018</v>
      </c>
      <c r="C872" t="s">
        <v>34</v>
      </c>
      <c r="D872" t="s">
        <v>115</v>
      </c>
      <c r="E872">
        <v>274</v>
      </c>
    </row>
    <row r="873" spans="1:5" x14ac:dyDescent="0.35">
      <c r="A873" s="13">
        <v>43101</v>
      </c>
      <c r="B873">
        <f>YEAR(Country_Masterlist__6[[#This Row],[Year1]])</f>
        <v>2018</v>
      </c>
      <c r="C873" t="s">
        <v>34</v>
      </c>
      <c r="D873" t="s">
        <v>116</v>
      </c>
      <c r="E873">
        <v>44</v>
      </c>
    </row>
    <row r="874" spans="1:5" x14ac:dyDescent="0.35">
      <c r="A874" s="13">
        <v>43101</v>
      </c>
      <c r="B874">
        <f>YEAR(Country_Masterlist__6[[#This Row],[Year1]])</f>
        <v>2018</v>
      </c>
      <c r="C874" t="s">
        <v>33</v>
      </c>
      <c r="D874" t="s">
        <v>117</v>
      </c>
      <c r="E874">
        <v>106</v>
      </c>
    </row>
    <row r="875" spans="1:5" x14ac:dyDescent="0.35">
      <c r="A875" s="13">
        <v>43101</v>
      </c>
      <c r="B875">
        <f>YEAR(Country_Masterlist__6[[#This Row],[Year1]])</f>
        <v>2018</v>
      </c>
      <c r="C875" t="s">
        <v>34</v>
      </c>
      <c r="D875" t="s">
        <v>118</v>
      </c>
      <c r="E875">
        <v>896</v>
      </c>
    </row>
    <row r="876" spans="1:5" x14ac:dyDescent="0.35">
      <c r="A876" s="13">
        <v>43101</v>
      </c>
      <c r="B876">
        <f>YEAR(Country_Masterlist__6[[#This Row],[Year1]])</f>
        <v>2018</v>
      </c>
      <c r="C876" t="s">
        <v>35</v>
      </c>
      <c r="D876" t="s">
        <v>119</v>
      </c>
      <c r="E876">
        <v>17</v>
      </c>
    </row>
    <row r="877" spans="1:5" x14ac:dyDescent="0.35">
      <c r="A877" s="13">
        <v>43101</v>
      </c>
      <c r="B877">
        <f>YEAR(Country_Masterlist__6[[#This Row],[Year1]])</f>
        <v>2018</v>
      </c>
      <c r="C877" t="s">
        <v>34</v>
      </c>
      <c r="D877" t="s">
        <v>120</v>
      </c>
      <c r="E877">
        <v>47</v>
      </c>
    </row>
    <row r="878" spans="1:5" x14ac:dyDescent="0.35">
      <c r="A878" s="13">
        <v>43101</v>
      </c>
      <c r="B878">
        <f>YEAR(Country_Masterlist__6[[#This Row],[Year1]])</f>
        <v>2018</v>
      </c>
      <c r="C878" t="s">
        <v>34</v>
      </c>
      <c r="D878" t="s">
        <v>121</v>
      </c>
      <c r="E878">
        <v>10</v>
      </c>
    </row>
    <row r="879" spans="1:5" x14ac:dyDescent="0.35">
      <c r="A879" s="13">
        <v>43101</v>
      </c>
      <c r="B879">
        <f>YEAR(Country_Masterlist__6[[#This Row],[Year1]])</f>
        <v>2018</v>
      </c>
      <c r="C879" t="s">
        <v>34</v>
      </c>
      <c r="D879" t="s">
        <v>122</v>
      </c>
      <c r="E879" t="s">
        <v>205</v>
      </c>
    </row>
    <row r="880" spans="1:5" x14ac:dyDescent="0.35">
      <c r="A880" s="13">
        <v>43101</v>
      </c>
      <c r="B880">
        <f>YEAR(Country_Masterlist__6[[#This Row],[Year1]])</f>
        <v>2018</v>
      </c>
      <c r="C880" t="s">
        <v>35</v>
      </c>
      <c r="D880" t="s">
        <v>123</v>
      </c>
      <c r="E880">
        <v>34</v>
      </c>
    </row>
    <row r="881" spans="1:5" x14ac:dyDescent="0.35">
      <c r="A881" s="13">
        <v>43101</v>
      </c>
      <c r="B881">
        <f>YEAR(Country_Masterlist__6[[#This Row],[Year1]])</f>
        <v>2018</v>
      </c>
      <c r="C881" t="s">
        <v>34</v>
      </c>
      <c r="D881" t="s">
        <v>124</v>
      </c>
      <c r="E881">
        <v>109</v>
      </c>
    </row>
    <row r="882" spans="1:5" x14ac:dyDescent="0.35">
      <c r="A882" s="13">
        <v>43101</v>
      </c>
      <c r="B882">
        <f>YEAR(Country_Masterlist__6[[#This Row],[Year1]])</f>
        <v>2018</v>
      </c>
      <c r="C882" t="s">
        <v>33</v>
      </c>
      <c r="D882" t="s">
        <v>125</v>
      </c>
      <c r="E882">
        <v>25</v>
      </c>
    </row>
    <row r="883" spans="1:5" x14ac:dyDescent="0.35">
      <c r="A883" s="13">
        <v>43101</v>
      </c>
      <c r="B883">
        <f>YEAR(Country_Masterlist__6[[#This Row],[Year1]])</f>
        <v>2018</v>
      </c>
      <c r="C883" t="s">
        <v>33</v>
      </c>
      <c r="D883" t="s">
        <v>126</v>
      </c>
      <c r="E883">
        <v>41</v>
      </c>
    </row>
    <row r="884" spans="1:5" x14ac:dyDescent="0.35">
      <c r="A884" s="13">
        <v>43101</v>
      </c>
      <c r="B884">
        <f>YEAR(Country_Masterlist__6[[#This Row],[Year1]])</f>
        <v>2018</v>
      </c>
      <c r="C884" t="s">
        <v>35</v>
      </c>
      <c r="D884" t="s">
        <v>127</v>
      </c>
      <c r="E884">
        <v>85</v>
      </c>
    </row>
    <row r="885" spans="1:5" x14ac:dyDescent="0.35">
      <c r="A885" s="13">
        <v>43101</v>
      </c>
      <c r="B885">
        <f>YEAR(Country_Masterlist__6[[#This Row],[Year1]])</f>
        <v>2018</v>
      </c>
      <c r="C885" t="s">
        <v>33</v>
      </c>
      <c r="D885" t="s">
        <v>129</v>
      </c>
      <c r="E885">
        <v>17</v>
      </c>
    </row>
    <row r="886" spans="1:5" x14ac:dyDescent="0.35">
      <c r="A886" s="13">
        <v>43101</v>
      </c>
      <c r="B886">
        <f>YEAR(Country_Masterlist__6[[#This Row],[Year1]])</f>
        <v>2018</v>
      </c>
      <c r="C886" t="s">
        <v>34</v>
      </c>
      <c r="D886" t="s">
        <v>131</v>
      </c>
      <c r="E886">
        <v>30</v>
      </c>
    </row>
    <row r="887" spans="1:5" x14ac:dyDescent="0.35">
      <c r="A887" s="13">
        <v>43101</v>
      </c>
      <c r="B887">
        <f>YEAR(Country_Masterlist__6[[#This Row],[Year1]])</f>
        <v>2018</v>
      </c>
      <c r="C887" t="s">
        <v>33</v>
      </c>
      <c r="D887" t="s">
        <v>132</v>
      </c>
      <c r="E887">
        <v>40</v>
      </c>
    </row>
    <row r="888" spans="1:5" x14ac:dyDescent="0.35">
      <c r="A888" s="13">
        <v>43101</v>
      </c>
      <c r="B888">
        <f>YEAR(Country_Masterlist__6[[#This Row],[Year1]])</f>
        <v>2018</v>
      </c>
      <c r="C888" t="s">
        <v>33</v>
      </c>
      <c r="D888" t="s">
        <v>136</v>
      </c>
      <c r="E888">
        <v>10</v>
      </c>
    </row>
    <row r="889" spans="1:5" x14ac:dyDescent="0.35">
      <c r="A889" s="13">
        <v>43101</v>
      </c>
      <c r="B889">
        <f>YEAR(Country_Masterlist__6[[#This Row],[Year1]])</f>
        <v>2018</v>
      </c>
      <c r="C889" t="s">
        <v>36</v>
      </c>
      <c r="D889" t="s">
        <v>14</v>
      </c>
      <c r="E889">
        <v>39947</v>
      </c>
    </row>
    <row r="890" spans="1:5" x14ac:dyDescent="0.35">
      <c r="A890" s="13">
        <v>43101</v>
      </c>
      <c r="B890">
        <f>YEAR(Country_Masterlist__6[[#This Row],[Year1]])</f>
        <v>2018</v>
      </c>
      <c r="C890" t="s">
        <v>37</v>
      </c>
      <c r="D890" t="s">
        <v>137</v>
      </c>
      <c r="E890">
        <v>13</v>
      </c>
    </row>
    <row r="891" spans="1:5" x14ac:dyDescent="0.35">
      <c r="A891" s="13">
        <v>43101</v>
      </c>
      <c r="B891">
        <f>YEAR(Country_Masterlist__6[[#This Row],[Year1]])</f>
        <v>2018</v>
      </c>
      <c r="C891" t="s">
        <v>35</v>
      </c>
      <c r="D891" t="s">
        <v>138</v>
      </c>
      <c r="E891">
        <v>31</v>
      </c>
    </row>
    <row r="892" spans="1:5" x14ac:dyDescent="0.35">
      <c r="A892" s="13">
        <v>43101</v>
      </c>
      <c r="B892">
        <f>YEAR(Country_Masterlist__6[[#This Row],[Year1]])</f>
        <v>2018</v>
      </c>
      <c r="C892" t="s">
        <v>34</v>
      </c>
      <c r="D892" t="s">
        <v>139</v>
      </c>
      <c r="E892">
        <v>52</v>
      </c>
    </row>
    <row r="893" spans="1:5" x14ac:dyDescent="0.35">
      <c r="A893" s="13">
        <v>43101</v>
      </c>
      <c r="B893">
        <f>YEAR(Country_Masterlist__6[[#This Row],[Year1]])</f>
        <v>2018</v>
      </c>
      <c r="C893" t="s">
        <v>35</v>
      </c>
      <c r="D893" t="s">
        <v>140</v>
      </c>
      <c r="E893">
        <v>12</v>
      </c>
    </row>
    <row r="894" spans="1:5" x14ac:dyDescent="0.35">
      <c r="A894" s="13">
        <v>43101</v>
      </c>
      <c r="B894">
        <f>YEAR(Country_Masterlist__6[[#This Row],[Year1]])</f>
        <v>2018</v>
      </c>
      <c r="C894" t="s">
        <v>33</v>
      </c>
      <c r="D894" t="s">
        <v>141</v>
      </c>
      <c r="E894">
        <v>158</v>
      </c>
    </row>
    <row r="895" spans="1:5" x14ac:dyDescent="0.35">
      <c r="A895" s="13">
        <v>43101</v>
      </c>
      <c r="B895">
        <f>YEAR(Country_Masterlist__6[[#This Row],[Year1]])</f>
        <v>2018</v>
      </c>
      <c r="C895" t="s">
        <v>34</v>
      </c>
      <c r="D895" t="s">
        <v>144</v>
      </c>
      <c r="E895">
        <v>39</v>
      </c>
    </row>
    <row r="896" spans="1:5" x14ac:dyDescent="0.35">
      <c r="A896" s="13">
        <v>43101</v>
      </c>
      <c r="B896">
        <f>YEAR(Country_Masterlist__6[[#This Row],[Year1]])</f>
        <v>2018</v>
      </c>
      <c r="C896" t="s">
        <v>35</v>
      </c>
      <c r="D896" t="s">
        <v>145</v>
      </c>
      <c r="E896">
        <v>265</v>
      </c>
    </row>
    <row r="897" spans="1:5" x14ac:dyDescent="0.35">
      <c r="A897" s="13">
        <v>43101</v>
      </c>
      <c r="B897">
        <f>YEAR(Country_Masterlist__6[[#This Row],[Year1]])</f>
        <v>2018</v>
      </c>
      <c r="C897" t="s">
        <v>37</v>
      </c>
      <c r="D897" t="s">
        <v>146</v>
      </c>
      <c r="E897">
        <v>160</v>
      </c>
    </row>
    <row r="898" spans="1:5" x14ac:dyDescent="0.35">
      <c r="A898" s="13">
        <v>43101</v>
      </c>
      <c r="B898">
        <f>YEAR(Country_Masterlist__6[[#This Row],[Year1]])</f>
        <v>2018</v>
      </c>
      <c r="C898" t="s">
        <v>36</v>
      </c>
      <c r="D898" t="s">
        <v>147</v>
      </c>
      <c r="E898">
        <v>92</v>
      </c>
    </row>
    <row r="899" spans="1:5" x14ac:dyDescent="0.35">
      <c r="A899" s="13">
        <v>43101</v>
      </c>
      <c r="B899">
        <f>YEAR(Country_Masterlist__6[[#This Row],[Year1]])</f>
        <v>2018</v>
      </c>
      <c r="C899" t="s">
        <v>33</v>
      </c>
      <c r="D899" t="s">
        <v>148</v>
      </c>
      <c r="E899">
        <v>12</v>
      </c>
    </row>
    <row r="900" spans="1:5" x14ac:dyDescent="0.35">
      <c r="A900" s="13">
        <v>43101</v>
      </c>
      <c r="B900">
        <f>YEAR(Country_Masterlist__6[[#This Row],[Year1]])</f>
        <v>2018</v>
      </c>
      <c r="C900" t="s">
        <v>33</v>
      </c>
      <c r="D900" t="s">
        <v>149</v>
      </c>
      <c r="E900">
        <v>1090</v>
      </c>
    </row>
    <row r="901" spans="1:5" x14ac:dyDescent="0.35">
      <c r="A901" s="13">
        <v>43101</v>
      </c>
      <c r="B901">
        <f>YEAR(Country_Masterlist__6[[#This Row],[Year1]])</f>
        <v>2018</v>
      </c>
      <c r="C901" t="s">
        <v>35</v>
      </c>
      <c r="D901" t="s">
        <v>322</v>
      </c>
      <c r="E901">
        <v>20</v>
      </c>
    </row>
    <row r="902" spans="1:5" x14ac:dyDescent="0.35">
      <c r="A902" s="13">
        <v>43101</v>
      </c>
      <c r="B902">
        <f>YEAR(Country_Masterlist__6[[#This Row],[Year1]])</f>
        <v>2018</v>
      </c>
      <c r="C902" t="s">
        <v>35</v>
      </c>
      <c r="D902" t="s">
        <v>150</v>
      </c>
      <c r="E902">
        <v>73</v>
      </c>
    </row>
    <row r="903" spans="1:5" x14ac:dyDescent="0.35">
      <c r="A903" s="13">
        <v>43101</v>
      </c>
      <c r="B903">
        <f>YEAR(Country_Masterlist__6[[#This Row],[Year1]])</f>
        <v>2018</v>
      </c>
      <c r="C903" t="s">
        <v>34</v>
      </c>
      <c r="D903" t="s">
        <v>151</v>
      </c>
      <c r="E903" t="s">
        <v>205</v>
      </c>
    </row>
    <row r="904" spans="1:5" x14ac:dyDescent="0.35">
      <c r="A904" s="13">
        <v>43101</v>
      </c>
      <c r="B904">
        <f>YEAR(Country_Masterlist__6[[#This Row],[Year1]])</f>
        <v>2018</v>
      </c>
      <c r="C904" t="s">
        <v>34</v>
      </c>
      <c r="D904" t="s">
        <v>152</v>
      </c>
      <c r="E904">
        <v>410</v>
      </c>
    </row>
    <row r="905" spans="1:5" x14ac:dyDescent="0.35">
      <c r="A905" s="13">
        <v>43101</v>
      </c>
      <c r="B905">
        <f>YEAR(Country_Masterlist__6[[#This Row],[Year1]])</f>
        <v>2018</v>
      </c>
      <c r="C905" t="s">
        <v>36</v>
      </c>
      <c r="D905" t="s">
        <v>154</v>
      </c>
      <c r="E905">
        <v>39</v>
      </c>
    </row>
    <row r="906" spans="1:5" x14ac:dyDescent="0.35">
      <c r="A906" s="13">
        <v>43101</v>
      </c>
      <c r="B906">
        <f>YEAR(Country_Masterlist__6[[#This Row],[Year1]])</f>
        <v>2018</v>
      </c>
      <c r="C906" t="s">
        <v>38</v>
      </c>
      <c r="D906" t="s">
        <v>155</v>
      </c>
      <c r="E906">
        <v>14</v>
      </c>
    </row>
    <row r="907" spans="1:5" x14ac:dyDescent="0.35">
      <c r="A907" s="13">
        <v>43101</v>
      </c>
      <c r="B907">
        <f>YEAR(Country_Masterlist__6[[#This Row],[Year1]])</f>
        <v>2018</v>
      </c>
      <c r="C907" t="s">
        <v>38</v>
      </c>
      <c r="D907" t="s">
        <v>156</v>
      </c>
      <c r="E907">
        <v>196</v>
      </c>
    </row>
    <row r="908" spans="1:5" x14ac:dyDescent="0.35">
      <c r="A908" s="13">
        <v>43101</v>
      </c>
      <c r="B908">
        <f>YEAR(Country_Masterlist__6[[#This Row],[Year1]])</f>
        <v>2018</v>
      </c>
      <c r="C908" t="s">
        <v>34</v>
      </c>
      <c r="D908" t="s">
        <v>18</v>
      </c>
      <c r="E908">
        <v>700</v>
      </c>
    </row>
    <row r="909" spans="1:5" x14ac:dyDescent="0.35">
      <c r="A909" s="13">
        <v>43101</v>
      </c>
      <c r="B909">
        <f>YEAR(Country_Masterlist__6[[#This Row],[Year1]])</f>
        <v>2018</v>
      </c>
      <c r="C909" t="s">
        <v>35</v>
      </c>
      <c r="D909" t="s">
        <v>157</v>
      </c>
      <c r="E909">
        <v>184</v>
      </c>
    </row>
    <row r="910" spans="1:5" x14ac:dyDescent="0.35">
      <c r="A910" s="13">
        <v>43101</v>
      </c>
      <c r="B910">
        <f>YEAR(Country_Masterlist__6[[#This Row],[Year1]])</f>
        <v>2018</v>
      </c>
      <c r="C910" t="s">
        <v>35</v>
      </c>
      <c r="D910" t="s">
        <v>158</v>
      </c>
      <c r="E910">
        <v>304</v>
      </c>
    </row>
    <row r="911" spans="1:5" x14ac:dyDescent="0.35">
      <c r="A911" s="13">
        <v>43101</v>
      </c>
      <c r="B911">
        <f>YEAR(Country_Masterlist__6[[#This Row],[Year1]])</f>
        <v>2018</v>
      </c>
      <c r="C911" t="s">
        <v>34</v>
      </c>
      <c r="D911" t="s">
        <v>159</v>
      </c>
      <c r="E911">
        <v>10</v>
      </c>
    </row>
    <row r="912" spans="1:5" x14ac:dyDescent="0.35">
      <c r="A912" s="13">
        <v>43101</v>
      </c>
      <c r="B912">
        <f>YEAR(Country_Masterlist__6[[#This Row],[Year1]])</f>
        <v>2018</v>
      </c>
      <c r="C912" t="s">
        <v>35</v>
      </c>
      <c r="D912" t="s">
        <v>160</v>
      </c>
      <c r="E912">
        <v>316</v>
      </c>
    </row>
    <row r="913" spans="1:5" x14ac:dyDescent="0.35">
      <c r="A913" s="13">
        <v>43101</v>
      </c>
      <c r="B913">
        <f>YEAR(Country_Masterlist__6[[#This Row],[Year1]])</f>
        <v>2018</v>
      </c>
      <c r="C913" t="s">
        <v>35</v>
      </c>
      <c r="D913" t="s">
        <v>161</v>
      </c>
      <c r="E913">
        <v>183</v>
      </c>
    </row>
    <row r="914" spans="1:5" x14ac:dyDescent="0.35">
      <c r="A914" s="13">
        <v>43101</v>
      </c>
      <c r="B914">
        <f>YEAR(Country_Masterlist__6[[#This Row],[Year1]])</f>
        <v>2018</v>
      </c>
      <c r="C914" t="s">
        <v>33</v>
      </c>
      <c r="D914" t="s">
        <v>162</v>
      </c>
      <c r="E914">
        <v>29</v>
      </c>
    </row>
    <row r="915" spans="1:5" x14ac:dyDescent="0.35">
      <c r="A915" s="13">
        <v>43101</v>
      </c>
      <c r="B915">
        <f>YEAR(Country_Masterlist__6[[#This Row],[Year1]])</f>
        <v>2018</v>
      </c>
      <c r="C915" t="s">
        <v>36</v>
      </c>
      <c r="D915" t="s">
        <v>163</v>
      </c>
      <c r="E915">
        <v>10</v>
      </c>
    </row>
    <row r="916" spans="1:5" x14ac:dyDescent="0.35">
      <c r="A916" s="13">
        <v>43101</v>
      </c>
      <c r="B916">
        <f>YEAR(Country_Masterlist__6[[#This Row],[Year1]])</f>
        <v>2018</v>
      </c>
      <c r="C916" t="s">
        <v>36</v>
      </c>
      <c r="D916" t="s">
        <v>164</v>
      </c>
      <c r="E916">
        <v>17</v>
      </c>
    </row>
    <row r="917" spans="1:5" x14ac:dyDescent="0.35">
      <c r="A917" s="13">
        <v>43101</v>
      </c>
      <c r="B917">
        <f>YEAR(Country_Masterlist__6[[#This Row],[Year1]])</f>
        <v>2018</v>
      </c>
      <c r="C917" t="s">
        <v>36</v>
      </c>
      <c r="D917" t="s">
        <v>165</v>
      </c>
      <c r="E917">
        <v>16</v>
      </c>
    </row>
    <row r="918" spans="1:5" x14ac:dyDescent="0.35">
      <c r="A918" s="13">
        <v>43101</v>
      </c>
      <c r="B918">
        <f>YEAR(Country_Masterlist__6[[#This Row],[Year1]])</f>
        <v>2018</v>
      </c>
      <c r="C918" t="s">
        <v>37</v>
      </c>
      <c r="D918" t="s">
        <v>166</v>
      </c>
      <c r="E918">
        <v>11</v>
      </c>
    </row>
    <row r="919" spans="1:5" x14ac:dyDescent="0.35">
      <c r="A919" s="13">
        <v>43101</v>
      </c>
      <c r="B919">
        <f>YEAR(Country_Masterlist__6[[#This Row],[Year1]])</f>
        <v>2018</v>
      </c>
      <c r="C919" t="s">
        <v>34</v>
      </c>
      <c r="D919" t="s">
        <v>167</v>
      </c>
      <c r="E919">
        <v>290</v>
      </c>
    </row>
    <row r="920" spans="1:5" x14ac:dyDescent="0.35">
      <c r="A920" s="13">
        <v>43101</v>
      </c>
      <c r="B920">
        <f>YEAR(Country_Masterlist__6[[#This Row],[Year1]])</f>
        <v>2018</v>
      </c>
      <c r="C920" t="s">
        <v>33</v>
      </c>
      <c r="D920" t="s">
        <v>168</v>
      </c>
      <c r="E920">
        <v>82</v>
      </c>
    </row>
    <row r="921" spans="1:5" x14ac:dyDescent="0.35">
      <c r="A921" s="13">
        <v>43101</v>
      </c>
      <c r="B921">
        <f>YEAR(Country_Masterlist__6[[#This Row],[Year1]])</f>
        <v>2018</v>
      </c>
      <c r="C921" t="s">
        <v>35</v>
      </c>
      <c r="D921" t="s">
        <v>169</v>
      </c>
      <c r="E921">
        <v>39</v>
      </c>
    </row>
    <row r="922" spans="1:5" x14ac:dyDescent="0.35">
      <c r="A922" s="13">
        <v>43101</v>
      </c>
      <c r="B922">
        <f>YEAR(Country_Masterlist__6[[#This Row],[Year1]])</f>
        <v>2018</v>
      </c>
      <c r="C922" t="s">
        <v>33</v>
      </c>
      <c r="D922" t="s">
        <v>170</v>
      </c>
      <c r="E922">
        <v>8</v>
      </c>
    </row>
    <row r="923" spans="1:5" x14ac:dyDescent="0.35">
      <c r="A923" s="13">
        <v>43101</v>
      </c>
      <c r="B923">
        <f>YEAR(Country_Masterlist__6[[#This Row],[Year1]])</f>
        <v>2018</v>
      </c>
      <c r="C923" t="s">
        <v>34</v>
      </c>
      <c r="D923" t="s">
        <v>171</v>
      </c>
      <c r="E923">
        <v>36</v>
      </c>
    </row>
    <row r="924" spans="1:5" x14ac:dyDescent="0.35">
      <c r="A924" s="13">
        <v>43101</v>
      </c>
      <c r="B924">
        <f>YEAR(Country_Masterlist__6[[#This Row],[Year1]])</f>
        <v>2018</v>
      </c>
      <c r="C924" t="s">
        <v>35</v>
      </c>
      <c r="D924" t="s">
        <v>172</v>
      </c>
      <c r="E924">
        <v>68</v>
      </c>
    </row>
    <row r="925" spans="1:5" x14ac:dyDescent="0.35">
      <c r="A925" s="13">
        <v>43101</v>
      </c>
      <c r="B925">
        <f>YEAR(Country_Masterlist__6[[#This Row],[Year1]])</f>
        <v>2018</v>
      </c>
      <c r="C925" t="s">
        <v>35</v>
      </c>
      <c r="D925" t="s">
        <v>173</v>
      </c>
      <c r="E925">
        <v>31</v>
      </c>
    </row>
    <row r="926" spans="1:5" x14ac:dyDescent="0.35">
      <c r="A926" s="13">
        <v>43101</v>
      </c>
      <c r="B926">
        <f>YEAR(Country_Masterlist__6[[#This Row],[Year1]])</f>
        <v>2018</v>
      </c>
      <c r="C926" t="s">
        <v>33</v>
      </c>
      <c r="D926" t="s">
        <v>174</v>
      </c>
      <c r="E926">
        <v>19</v>
      </c>
    </row>
    <row r="927" spans="1:5" x14ac:dyDescent="0.35">
      <c r="A927" s="13">
        <v>43101</v>
      </c>
      <c r="B927">
        <f>YEAR(Country_Masterlist__6[[#This Row],[Year1]])</f>
        <v>2018</v>
      </c>
      <c r="C927" t="s">
        <v>33</v>
      </c>
      <c r="D927" t="s">
        <v>175</v>
      </c>
      <c r="E927">
        <v>86</v>
      </c>
    </row>
    <row r="928" spans="1:5" x14ac:dyDescent="0.35">
      <c r="A928" s="13">
        <v>43101</v>
      </c>
      <c r="B928">
        <f>YEAR(Country_Masterlist__6[[#This Row],[Year1]])</f>
        <v>2018</v>
      </c>
      <c r="C928" t="s">
        <v>35</v>
      </c>
      <c r="D928" t="s">
        <v>177</v>
      </c>
      <c r="E928">
        <v>1263</v>
      </c>
    </row>
    <row r="929" spans="1:5" x14ac:dyDescent="0.35">
      <c r="A929" s="13">
        <v>43101</v>
      </c>
      <c r="B929">
        <f>YEAR(Country_Masterlist__6[[#This Row],[Year1]])</f>
        <v>2018</v>
      </c>
      <c r="C929" t="s">
        <v>34</v>
      </c>
      <c r="D929" t="s">
        <v>178</v>
      </c>
      <c r="E929">
        <v>59</v>
      </c>
    </row>
    <row r="930" spans="1:5" x14ac:dyDescent="0.35">
      <c r="A930" s="13">
        <v>43101</v>
      </c>
      <c r="B930">
        <f>YEAR(Country_Masterlist__6[[#This Row],[Year1]])</f>
        <v>2018</v>
      </c>
      <c r="C930" t="s">
        <v>33</v>
      </c>
      <c r="D930" t="s">
        <v>179</v>
      </c>
      <c r="E930">
        <v>27</v>
      </c>
    </row>
    <row r="931" spans="1:5" x14ac:dyDescent="0.35">
      <c r="A931" s="13">
        <v>43101</v>
      </c>
      <c r="B931">
        <f>YEAR(Country_Masterlist__6[[#This Row],[Year1]])</f>
        <v>2018</v>
      </c>
      <c r="C931" t="s">
        <v>35</v>
      </c>
      <c r="D931" t="s">
        <v>182</v>
      </c>
      <c r="E931">
        <v>159</v>
      </c>
    </row>
    <row r="932" spans="1:5" x14ac:dyDescent="0.35">
      <c r="A932" s="13">
        <v>43101</v>
      </c>
      <c r="B932">
        <f>YEAR(Country_Masterlist__6[[#This Row],[Year1]])</f>
        <v>2018</v>
      </c>
      <c r="C932" t="s">
        <v>35</v>
      </c>
      <c r="D932" t="s">
        <v>183</v>
      </c>
      <c r="E932">
        <v>93</v>
      </c>
    </row>
    <row r="933" spans="1:5" x14ac:dyDescent="0.35">
      <c r="A933" s="13">
        <v>43101</v>
      </c>
      <c r="B933">
        <f>YEAR(Country_Masterlist__6[[#This Row],[Year1]])</f>
        <v>2018</v>
      </c>
      <c r="C933" t="s">
        <v>34</v>
      </c>
      <c r="D933" t="s">
        <v>184</v>
      </c>
      <c r="E933">
        <v>210</v>
      </c>
    </row>
    <row r="934" spans="1:5" x14ac:dyDescent="0.35">
      <c r="A934" s="13">
        <v>43101</v>
      </c>
      <c r="B934">
        <f>YEAR(Country_Masterlist__6[[#This Row],[Year1]])</f>
        <v>2018</v>
      </c>
      <c r="C934" t="s">
        <v>34</v>
      </c>
      <c r="D934" t="s">
        <v>185</v>
      </c>
      <c r="E934">
        <v>395</v>
      </c>
    </row>
    <row r="935" spans="1:5" x14ac:dyDescent="0.35">
      <c r="A935" s="13">
        <v>43101</v>
      </c>
      <c r="B935">
        <f>YEAR(Country_Masterlist__6[[#This Row],[Year1]])</f>
        <v>2018</v>
      </c>
      <c r="C935" t="s">
        <v>33</v>
      </c>
      <c r="D935" t="s">
        <v>187</v>
      </c>
      <c r="E935">
        <v>13</v>
      </c>
    </row>
    <row r="936" spans="1:5" x14ac:dyDescent="0.35">
      <c r="A936" s="13">
        <v>43101</v>
      </c>
      <c r="B936">
        <f>YEAR(Country_Masterlist__6[[#This Row],[Year1]])</f>
        <v>2018</v>
      </c>
      <c r="C936" t="s">
        <v>34</v>
      </c>
      <c r="D936" t="s">
        <v>188</v>
      </c>
      <c r="E936">
        <v>83</v>
      </c>
    </row>
    <row r="937" spans="1:5" x14ac:dyDescent="0.35">
      <c r="A937" s="13">
        <v>43101</v>
      </c>
      <c r="B937">
        <f>YEAR(Country_Masterlist__6[[#This Row],[Year1]])</f>
        <v>2018</v>
      </c>
      <c r="C937" t="s">
        <v>33</v>
      </c>
      <c r="D937" t="s">
        <v>189</v>
      </c>
      <c r="E937">
        <v>23</v>
      </c>
    </row>
    <row r="938" spans="1:5" x14ac:dyDescent="0.35">
      <c r="A938" s="13">
        <v>43101</v>
      </c>
      <c r="B938">
        <f>YEAR(Country_Masterlist__6[[#This Row],[Year1]])</f>
        <v>2018</v>
      </c>
      <c r="C938" t="s">
        <v>37</v>
      </c>
      <c r="D938" t="s">
        <v>190</v>
      </c>
      <c r="E938">
        <v>7</v>
      </c>
    </row>
    <row r="939" spans="1:5" x14ac:dyDescent="0.35">
      <c r="A939" s="13">
        <v>43101</v>
      </c>
      <c r="B939">
        <f>YEAR(Country_Masterlist__6[[#This Row],[Year1]])</f>
        <v>2018</v>
      </c>
      <c r="C939" t="s">
        <v>36</v>
      </c>
      <c r="D939" t="s">
        <v>191</v>
      </c>
      <c r="E939">
        <v>46</v>
      </c>
    </row>
    <row r="940" spans="1:5" x14ac:dyDescent="0.35">
      <c r="A940" s="13">
        <v>43101</v>
      </c>
      <c r="B940">
        <f>YEAR(Country_Masterlist__6[[#This Row],[Year1]])</f>
        <v>2018</v>
      </c>
      <c r="C940" t="s">
        <v>33</v>
      </c>
      <c r="D940" t="s">
        <v>192</v>
      </c>
      <c r="E940">
        <v>134</v>
      </c>
    </row>
    <row r="941" spans="1:5" x14ac:dyDescent="0.35">
      <c r="A941" s="13">
        <v>43101</v>
      </c>
      <c r="B941">
        <f>YEAR(Country_Masterlist__6[[#This Row],[Year1]])</f>
        <v>2018</v>
      </c>
      <c r="C941" t="s">
        <v>34</v>
      </c>
      <c r="D941" t="s">
        <v>193</v>
      </c>
      <c r="E941">
        <v>123</v>
      </c>
    </row>
    <row r="942" spans="1:5" x14ac:dyDescent="0.35">
      <c r="A942" s="13">
        <v>43101</v>
      </c>
      <c r="B942">
        <f>YEAR(Country_Masterlist__6[[#This Row],[Year1]])</f>
        <v>2018</v>
      </c>
      <c r="C942" t="s">
        <v>34</v>
      </c>
      <c r="D942" t="s">
        <v>194</v>
      </c>
      <c r="E942">
        <v>25</v>
      </c>
    </row>
    <row r="943" spans="1:5" x14ac:dyDescent="0.35">
      <c r="A943" s="13">
        <v>43101</v>
      </c>
      <c r="B943">
        <f>YEAR(Country_Masterlist__6[[#This Row],[Year1]])</f>
        <v>2018</v>
      </c>
      <c r="C943" t="s">
        <v>33</v>
      </c>
      <c r="D943" t="s">
        <v>195</v>
      </c>
      <c r="E943">
        <v>31</v>
      </c>
    </row>
    <row r="944" spans="1:5" x14ac:dyDescent="0.35">
      <c r="A944" s="13">
        <v>43101</v>
      </c>
      <c r="B944">
        <f>YEAR(Country_Masterlist__6[[#This Row],[Year1]])</f>
        <v>2018</v>
      </c>
      <c r="C944" t="s">
        <v>35</v>
      </c>
      <c r="D944" t="s">
        <v>196</v>
      </c>
      <c r="E944">
        <v>200</v>
      </c>
    </row>
    <row r="945" spans="1:5" x14ac:dyDescent="0.35">
      <c r="A945" s="13">
        <v>43101</v>
      </c>
      <c r="B945">
        <f>YEAR(Country_Masterlist__6[[#This Row],[Year1]])</f>
        <v>2018</v>
      </c>
      <c r="C945" t="s">
        <v>34</v>
      </c>
      <c r="D945" t="s">
        <v>197</v>
      </c>
      <c r="E945">
        <v>27</v>
      </c>
    </row>
    <row r="946" spans="1:5" x14ac:dyDescent="0.35">
      <c r="A946" s="13">
        <v>43101</v>
      </c>
      <c r="B946">
        <f>YEAR(Country_Masterlist__6[[#This Row],[Year1]])</f>
        <v>2018</v>
      </c>
      <c r="C946" t="s">
        <v>35</v>
      </c>
      <c r="D946" t="s">
        <v>198</v>
      </c>
      <c r="E946">
        <v>1360</v>
      </c>
    </row>
    <row r="947" spans="1:5" x14ac:dyDescent="0.35">
      <c r="A947" s="13">
        <v>43101</v>
      </c>
      <c r="B947">
        <f>YEAR(Country_Masterlist__6[[#This Row],[Year1]])</f>
        <v>2018</v>
      </c>
      <c r="C947" t="s">
        <v>38</v>
      </c>
      <c r="D947" t="s">
        <v>199</v>
      </c>
      <c r="E947">
        <v>9</v>
      </c>
    </row>
    <row r="948" spans="1:5" x14ac:dyDescent="0.35">
      <c r="A948" s="13">
        <v>43101</v>
      </c>
      <c r="B948">
        <f>YEAR(Country_Masterlist__6[[#This Row],[Year1]])</f>
        <v>2018</v>
      </c>
      <c r="C948" t="s">
        <v>34</v>
      </c>
      <c r="D948" t="s">
        <v>200</v>
      </c>
      <c r="E948">
        <v>24</v>
      </c>
    </row>
    <row r="949" spans="1:5" x14ac:dyDescent="0.35">
      <c r="A949" s="13">
        <v>43101</v>
      </c>
      <c r="B949">
        <f>YEAR(Country_Masterlist__6[[#This Row],[Year1]])</f>
        <v>2018</v>
      </c>
      <c r="C949" t="s">
        <v>38</v>
      </c>
      <c r="D949" t="s">
        <v>19</v>
      </c>
      <c r="E949">
        <v>1587</v>
      </c>
    </row>
    <row r="950" spans="1:5" x14ac:dyDescent="0.35">
      <c r="A950" s="13">
        <v>43101</v>
      </c>
      <c r="B950">
        <f>YEAR(Country_Masterlist__6[[#This Row],[Year1]])</f>
        <v>2018</v>
      </c>
      <c r="C950" t="s">
        <v>34</v>
      </c>
      <c r="D950" t="s">
        <v>201</v>
      </c>
      <c r="E950">
        <v>84</v>
      </c>
    </row>
    <row r="951" spans="1:5" x14ac:dyDescent="0.35">
      <c r="A951" s="13">
        <v>43101</v>
      </c>
      <c r="B951">
        <f>YEAR(Country_Masterlist__6[[#This Row],[Year1]])</f>
        <v>2018</v>
      </c>
      <c r="C951" t="s">
        <v>34</v>
      </c>
      <c r="D951" t="s">
        <v>202</v>
      </c>
      <c r="E951">
        <v>44</v>
      </c>
    </row>
    <row r="952" spans="1:5" x14ac:dyDescent="0.35">
      <c r="A952" s="13">
        <v>43101</v>
      </c>
      <c r="B952">
        <f>YEAR(Country_Masterlist__6[[#This Row],[Year1]])</f>
        <v>2018</v>
      </c>
      <c r="C952" t="s">
        <v>33</v>
      </c>
      <c r="D952" t="s">
        <v>203</v>
      </c>
      <c r="E952">
        <v>12</v>
      </c>
    </row>
    <row r="953" spans="1:5" x14ac:dyDescent="0.35">
      <c r="A953" s="13">
        <v>43101</v>
      </c>
      <c r="B953">
        <f>YEAR(Country_Masterlist__6[[#This Row],[Year1]])</f>
        <v>2018</v>
      </c>
      <c r="C953" t="s">
        <v>33</v>
      </c>
      <c r="D953" t="s">
        <v>204</v>
      </c>
      <c r="E953">
        <v>17</v>
      </c>
    </row>
    <row r="954" spans="1:5" x14ac:dyDescent="0.35">
      <c r="A954" s="13">
        <v>43101</v>
      </c>
      <c r="B954">
        <f>YEAR(Country_Masterlist__6[[#This Row],[Year1]])</f>
        <v>2018</v>
      </c>
      <c r="D954" t="s">
        <v>373</v>
      </c>
      <c r="E954">
        <v>66</v>
      </c>
    </row>
    <row r="955" spans="1:5" x14ac:dyDescent="0.35">
      <c r="A955" s="13">
        <v>43101</v>
      </c>
      <c r="B955">
        <f>YEAR(Country_Masterlist__6[[#This Row],[Year1]])</f>
        <v>2018</v>
      </c>
      <c r="C955" t="s">
        <v>39</v>
      </c>
      <c r="D955" t="s">
        <v>39</v>
      </c>
      <c r="E955">
        <v>111</v>
      </c>
    </row>
    <row r="956" spans="1:5" x14ac:dyDescent="0.35">
      <c r="A956" s="13">
        <v>43466</v>
      </c>
      <c r="B956">
        <f>YEAR(Country_Masterlist__6[[#This Row],[Year1]])</f>
        <v>2019</v>
      </c>
      <c r="C956" t="s">
        <v>34</v>
      </c>
      <c r="D956" t="s">
        <v>40</v>
      </c>
      <c r="E956">
        <v>43</v>
      </c>
    </row>
    <row r="957" spans="1:5" x14ac:dyDescent="0.35">
      <c r="A957" s="13">
        <v>43466</v>
      </c>
      <c r="B957">
        <f>YEAR(Country_Masterlist__6[[#This Row],[Year1]])</f>
        <v>2019</v>
      </c>
      <c r="C957" t="s">
        <v>35</v>
      </c>
      <c r="D957" t="s">
        <v>41</v>
      </c>
      <c r="E957">
        <v>40</v>
      </c>
    </row>
    <row r="958" spans="1:5" x14ac:dyDescent="0.35">
      <c r="A958" s="13">
        <v>43466</v>
      </c>
      <c r="B958">
        <f>YEAR(Country_Masterlist__6[[#This Row],[Year1]])</f>
        <v>2019</v>
      </c>
      <c r="C958" t="s">
        <v>33</v>
      </c>
      <c r="D958" t="s">
        <v>42</v>
      </c>
      <c r="E958">
        <v>44</v>
      </c>
    </row>
    <row r="959" spans="1:5" x14ac:dyDescent="0.35">
      <c r="A959" s="13">
        <v>43466</v>
      </c>
      <c r="B959">
        <f>YEAR(Country_Masterlist__6[[#This Row],[Year1]])</f>
        <v>2019</v>
      </c>
      <c r="C959" t="s">
        <v>33</v>
      </c>
      <c r="D959" t="s">
        <v>43</v>
      </c>
      <c r="E959">
        <v>25</v>
      </c>
    </row>
    <row r="960" spans="1:5" x14ac:dyDescent="0.35">
      <c r="A960" s="13">
        <v>43466</v>
      </c>
      <c r="B960">
        <f>YEAR(Country_Masterlist__6[[#This Row],[Year1]])</f>
        <v>2019</v>
      </c>
      <c r="C960" t="s">
        <v>36</v>
      </c>
      <c r="D960" t="s">
        <v>44</v>
      </c>
      <c r="E960">
        <v>8</v>
      </c>
    </row>
    <row r="961" spans="1:5" x14ac:dyDescent="0.35">
      <c r="A961" s="13">
        <v>43466</v>
      </c>
      <c r="B961">
        <f>YEAR(Country_Masterlist__6[[#This Row],[Year1]])</f>
        <v>2019</v>
      </c>
      <c r="C961" t="s">
        <v>38</v>
      </c>
      <c r="D961" t="s">
        <v>45</v>
      </c>
      <c r="E961">
        <v>88</v>
      </c>
    </row>
    <row r="962" spans="1:5" x14ac:dyDescent="0.35">
      <c r="A962" s="13">
        <v>43466</v>
      </c>
      <c r="B962">
        <f>YEAR(Country_Masterlist__6[[#This Row],[Year1]])</f>
        <v>2019</v>
      </c>
      <c r="C962" t="s">
        <v>34</v>
      </c>
      <c r="D962" t="s">
        <v>46</v>
      </c>
      <c r="E962">
        <v>30</v>
      </c>
    </row>
    <row r="963" spans="1:5" x14ac:dyDescent="0.35">
      <c r="A963" s="13">
        <v>43466</v>
      </c>
      <c r="B963">
        <f>YEAR(Country_Masterlist__6[[#This Row],[Year1]])</f>
        <v>2019</v>
      </c>
      <c r="C963" t="s">
        <v>37</v>
      </c>
      <c r="D963" t="s">
        <v>47</v>
      </c>
      <c r="E963">
        <v>478</v>
      </c>
    </row>
    <row r="964" spans="1:5" x14ac:dyDescent="0.35">
      <c r="A964" s="13">
        <v>43466</v>
      </c>
      <c r="B964">
        <f>YEAR(Country_Masterlist__6[[#This Row],[Year1]])</f>
        <v>2019</v>
      </c>
      <c r="C964" t="s">
        <v>35</v>
      </c>
      <c r="D964" t="s">
        <v>48</v>
      </c>
      <c r="E964">
        <v>55</v>
      </c>
    </row>
    <row r="965" spans="1:5" x14ac:dyDescent="0.35">
      <c r="A965" s="13">
        <v>43466</v>
      </c>
      <c r="B965">
        <f>YEAR(Country_Masterlist__6[[#This Row],[Year1]])</f>
        <v>2019</v>
      </c>
      <c r="C965" t="s">
        <v>34</v>
      </c>
      <c r="D965" t="s">
        <v>49</v>
      </c>
      <c r="E965">
        <v>9</v>
      </c>
    </row>
    <row r="966" spans="1:5" x14ac:dyDescent="0.35">
      <c r="A966" s="13">
        <v>43466</v>
      </c>
      <c r="B966">
        <f>YEAR(Country_Masterlist__6[[#This Row],[Year1]])</f>
        <v>2019</v>
      </c>
      <c r="C966" t="s">
        <v>36</v>
      </c>
      <c r="D966" t="s">
        <v>50</v>
      </c>
      <c r="E966">
        <v>286</v>
      </c>
    </row>
    <row r="967" spans="1:5" x14ac:dyDescent="0.35">
      <c r="A967" s="13">
        <v>43466</v>
      </c>
      <c r="B967">
        <f>YEAR(Country_Masterlist__6[[#This Row],[Year1]])</f>
        <v>2019</v>
      </c>
      <c r="C967" t="s">
        <v>34</v>
      </c>
      <c r="D967" t="s">
        <v>51</v>
      </c>
      <c r="E967">
        <v>3</v>
      </c>
    </row>
    <row r="968" spans="1:5" x14ac:dyDescent="0.35">
      <c r="A968" s="13">
        <v>43466</v>
      </c>
      <c r="B968">
        <f>YEAR(Country_Masterlist__6[[#This Row],[Year1]])</f>
        <v>2019</v>
      </c>
      <c r="C968" t="s">
        <v>34</v>
      </c>
      <c r="D968" t="s">
        <v>52</v>
      </c>
      <c r="E968">
        <v>82</v>
      </c>
    </row>
    <row r="969" spans="1:5" x14ac:dyDescent="0.35">
      <c r="A969" s="13">
        <v>43466</v>
      </c>
      <c r="B969">
        <f>YEAR(Country_Masterlist__6[[#This Row],[Year1]])</f>
        <v>2019</v>
      </c>
      <c r="C969" t="s">
        <v>36</v>
      </c>
      <c r="D969" t="s">
        <v>53</v>
      </c>
      <c r="E969">
        <v>15</v>
      </c>
    </row>
    <row r="970" spans="1:5" x14ac:dyDescent="0.35">
      <c r="A970" s="13">
        <v>43466</v>
      </c>
      <c r="B970">
        <f>YEAR(Country_Masterlist__6[[#This Row],[Year1]])</f>
        <v>2019</v>
      </c>
      <c r="C970" t="s">
        <v>35</v>
      </c>
      <c r="D970" t="s">
        <v>54</v>
      </c>
      <c r="E970">
        <v>16</v>
      </c>
    </row>
    <row r="971" spans="1:5" x14ac:dyDescent="0.35">
      <c r="A971" s="13">
        <v>43466</v>
      </c>
      <c r="B971">
        <f>YEAR(Country_Masterlist__6[[#This Row],[Year1]])</f>
        <v>2019</v>
      </c>
      <c r="C971" t="s">
        <v>35</v>
      </c>
      <c r="D971" t="s">
        <v>55</v>
      </c>
      <c r="E971">
        <v>114</v>
      </c>
    </row>
    <row r="972" spans="1:5" x14ac:dyDescent="0.35">
      <c r="A972" s="13">
        <v>43466</v>
      </c>
      <c r="B972">
        <f>YEAR(Country_Masterlist__6[[#This Row],[Year1]])</f>
        <v>2019</v>
      </c>
      <c r="C972" t="s">
        <v>36</v>
      </c>
      <c r="D972" t="s">
        <v>56</v>
      </c>
      <c r="E972">
        <v>27</v>
      </c>
    </row>
    <row r="973" spans="1:5" x14ac:dyDescent="0.35">
      <c r="A973" s="13">
        <v>43466</v>
      </c>
      <c r="B973">
        <f>YEAR(Country_Masterlist__6[[#This Row],[Year1]])</f>
        <v>2019</v>
      </c>
      <c r="C973" t="s">
        <v>33</v>
      </c>
      <c r="D973" t="s">
        <v>57</v>
      </c>
      <c r="E973">
        <v>5</v>
      </c>
    </row>
    <row r="974" spans="1:5" x14ac:dyDescent="0.35">
      <c r="A974" s="13">
        <v>43466</v>
      </c>
      <c r="B974">
        <f>YEAR(Country_Masterlist__6[[#This Row],[Year1]])</f>
        <v>2019</v>
      </c>
      <c r="C974" t="s">
        <v>38</v>
      </c>
      <c r="D974" t="s">
        <v>59</v>
      </c>
      <c r="E974">
        <v>32</v>
      </c>
    </row>
    <row r="975" spans="1:5" x14ac:dyDescent="0.35">
      <c r="A975" s="13">
        <v>43466</v>
      </c>
      <c r="B975">
        <f>YEAR(Country_Masterlist__6[[#This Row],[Year1]])</f>
        <v>2019</v>
      </c>
      <c r="C975" t="s">
        <v>35</v>
      </c>
      <c r="D975" t="s">
        <v>60</v>
      </c>
      <c r="E975">
        <v>25</v>
      </c>
    </row>
    <row r="976" spans="1:5" x14ac:dyDescent="0.35">
      <c r="A976" s="13">
        <v>43466</v>
      </c>
      <c r="B976">
        <f>YEAR(Country_Masterlist__6[[#This Row],[Year1]])</f>
        <v>2019</v>
      </c>
      <c r="C976" t="s">
        <v>38</v>
      </c>
      <c r="D976" t="s">
        <v>21</v>
      </c>
      <c r="E976">
        <v>696</v>
      </c>
    </row>
    <row r="977" spans="1:5" x14ac:dyDescent="0.35">
      <c r="A977" s="13">
        <v>43466</v>
      </c>
      <c r="B977">
        <f>YEAR(Country_Masterlist__6[[#This Row],[Year1]])</f>
        <v>2019</v>
      </c>
      <c r="C977" t="s">
        <v>35</v>
      </c>
      <c r="D977" t="s">
        <v>62</v>
      </c>
      <c r="E977">
        <v>29</v>
      </c>
    </row>
    <row r="978" spans="1:5" x14ac:dyDescent="0.35">
      <c r="A978" s="13">
        <v>43466</v>
      </c>
      <c r="B978">
        <f>YEAR(Country_Masterlist__6[[#This Row],[Year1]])</f>
        <v>2019</v>
      </c>
      <c r="C978" t="s">
        <v>33</v>
      </c>
      <c r="D978" t="s">
        <v>63</v>
      </c>
      <c r="E978">
        <v>11</v>
      </c>
    </row>
    <row r="979" spans="1:5" x14ac:dyDescent="0.35">
      <c r="A979" s="13">
        <v>43466</v>
      </c>
      <c r="B979">
        <f>YEAR(Country_Masterlist__6[[#This Row],[Year1]])</f>
        <v>2019</v>
      </c>
      <c r="C979" t="s">
        <v>34</v>
      </c>
      <c r="D979" t="s">
        <v>64</v>
      </c>
      <c r="E979">
        <v>12</v>
      </c>
    </row>
    <row r="980" spans="1:5" x14ac:dyDescent="0.35">
      <c r="A980" s="13">
        <v>43466</v>
      </c>
      <c r="B980">
        <f>YEAR(Country_Masterlist__6[[#This Row],[Year1]])</f>
        <v>2019</v>
      </c>
      <c r="C980" t="s">
        <v>33</v>
      </c>
      <c r="D980" t="s">
        <v>65</v>
      </c>
      <c r="E980">
        <v>7</v>
      </c>
    </row>
    <row r="981" spans="1:5" x14ac:dyDescent="0.35">
      <c r="A981" s="13">
        <v>43466</v>
      </c>
      <c r="B981">
        <f>YEAR(Country_Masterlist__6[[#This Row],[Year1]])</f>
        <v>2019</v>
      </c>
      <c r="C981" t="s">
        <v>33</v>
      </c>
      <c r="D981" t="s">
        <v>66</v>
      </c>
      <c r="E981">
        <v>11</v>
      </c>
    </row>
    <row r="982" spans="1:5" x14ac:dyDescent="0.35">
      <c r="A982" s="13">
        <v>43466</v>
      </c>
      <c r="B982">
        <f>YEAR(Country_Masterlist__6[[#This Row],[Year1]])</f>
        <v>2019</v>
      </c>
      <c r="C982" t="s">
        <v>34</v>
      </c>
      <c r="D982" t="s">
        <v>67</v>
      </c>
      <c r="E982" t="s">
        <v>205</v>
      </c>
    </row>
    <row r="983" spans="1:5" x14ac:dyDescent="0.35">
      <c r="A983" s="13">
        <v>43466</v>
      </c>
      <c r="B983">
        <f>YEAR(Country_Masterlist__6[[#This Row],[Year1]])</f>
        <v>2019</v>
      </c>
      <c r="C983" t="s">
        <v>33</v>
      </c>
      <c r="D983" t="s">
        <v>68</v>
      </c>
      <c r="E983">
        <v>31</v>
      </c>
    </row>
    <row r="984" spans="1:5" x14ac:dyDescent="0.35">
      <c r="A984" s="13">
        <v>43466</v>
      </c>
      <c r="B984">
        <f>YEAR(Country_Masterlist__6[[#This Row],[Year1]])</f>
        <v>2019</v>
      </c>
      <c r="C984" t="s">
        <v>36</v>
      </c>
      <c r="D984" t="s">
        <v>69</v>
      </c>
      <c r="E984">
        <v>11104</v>
      </c>
    </row>
    <row r="985" spans="1:5" x14ac:dyDescent="0.35">
      <c r="A985" s="13">
        <v>43466</v>
      </c>
      <c r="B985">
        <f>YEAR(Country_Masterlist__6[[#This Row],[Year1]])</f>
        <v>2019</v>
      </c>
      <c r="C985" t="s">
        <v>38</v>
      </c>
      <c r="D985" t="s">
        <v>72</v>
      </c>
      <c r="E985">
        <v>550</v>
      </c>
    </row>
    <row r="986" spans="1:5" x14ac:dyDescent="0.35">
      <c r="A986" s="13">
        <v>43466</v>
      </c>
      <c r="B986">
        <f>YEAR(Country_Masterlist__6[[#This Row],[Year1]])</f>
        <v>2019</v>
      </c>
      <c r="C986" t="s">
        <v>34</v>
      </c>
      <c r="D986" t="s">
        <v>73</v>
      </c>
      <c r="E986">
        <v>1341</v>
      </c>
    </row>
    <row r="987" spans="1:5" x14ac:dyDescent="0.35">
      <c r="A987" s="13">
        <v>43466</v>
      </c>
      <c r="B987">
        <f>YEAR(Country_Masterlist__6[[#This Row],[Year1]])</f>
        <v>2019</v>
      </c>
      <c r="C987" t="s">
        <v>38</v>
      </c>
      <c r="D987" t="s">
        <v>20</v>
      </c>
      <c r="E987">
        <v>841</v>
      </c>
    </row>
    <row r="988" spans="1:5" x14ac:dyDescent="0.35">
      <c r="A988" s="13">
        <v>43466</v>
      </c>
      <c r="B988">
        <f>YEAR(Country_Masterlist__6[[#This Row],[Year1]])</f>
        <v>2019</v>
      </c>
      <c r="C988" t="s">
        <v>33</v>
      </c>
      <c r="D988" t="s">
        <v>74</v>
      </c>
      <c r="E988">
        <v>39</v>
      </c>
    </row>
    <row r="989" spans="1:5" x14ac:dyDescent="0.35">
      <c r="A989" s="13">
        <v>43466</v>
      </c>
      <c r="B989">
        <f>YEAR(Country_Masterlist__6[[#This Row],[Year1]])</f>
        <v>2019</v>
      </c>
      <c r="C989" t="s">
        <v>33</v>
      </c>
      <c r="D989" t="s">
        <v>75</v>
      </c>
      <c r="E989">
        <v>5</v>
      </c>
    </row>
    <row r="990" spans="1:5" x14ac:dyDescent="0.35">
      <c r="A990" s="13">
        <v>43466</v>
      </c>
      <c r="B990">
        <f>YEAR(Country_Masterlist__6[[#This Row],[Year1]])</f>
        <v>2019</v>
      </c>
      <c r="C990" t="s">
        <v>36</v>
      </c>
      <c r="D990" t="s">
        <v>76</v>
      </c>
      <c r="E990">
        <v>78</v>
      </c>
    </row>
    <row r="991" spans="1:5" x14ac:dyDescent="0.35">
      <c r="A991" s="13">
        <v>43466</v>
      </c>
      <c r="B991">
        <f>YEAR(Country_Masterlist__6[[#This Row],[Year1]])</f>
        <v>2019</v>
      </c>
      <c r="C991" t="s">
        <v>33</v>
      </c>
      <c r="D991" t="s">
        <v>77</v>
      </c>
      <c r="E991">
        <v>12</v>
      </c>
    </row>
    <row r="992" spans="1:5" x14ac:dyDescent="0.35">
      <c r="A992" s="13">
        <v>43466</v>
      </c>
      <c r="B992">
        <f>YEAR(Country_Masterlist__6[[#This Row],[Year1]])</f>
        <v>2019</v>
      </c>
      <c r="C992" t="s">
        <v>35</v>
      </c>
      <c r="D992" t="s">
        <v>78</v>
      </c>
      <c r="E992">
        <v>16</v>
      </c>
    </row>
    <row r="993" spans="1:5" x14ac:dyDescent="0.35">
      <c r="A993" s="13">
        <v>43466</v>
      </c>
      <c r="B993">
        <f>YEAR(Country_Masterlist__6[[#This Row],[Year1]])</f>
        <v>2019</v>
      </c>
      <c r="C993" t="s">
        <v>36</v>
      </c>
      <c r="D993" t="s">
        <v>79</v>
      </c>
      <c r="E993">
        <v>103</v>
      </c>
    </row>
    <row r="994" spans="1:5" x14ac:dyDescent="0.35">
      <c r="A994" s="13">
        <v>43466</v>
      </c>
      <c r="B994">
        <f>YEAR(Country_Masterlist__6[[#This Row],[Year1]])</f>
        <v>2019</v>
      </c>
      <c r="C994" t="s">
        <v>34</v>
      </c>
      <c r="D994" t="s">
        <v>80</v>
      </c>
      <c r="E994">
        <v>3</v>
      </c>
    </row>
    <row r="995" spans="1:5" x14ac:dyDescent="0.35">
      <c r="A995" s="13">
        <v>43466</v>
      </c>
      <c r="B995">
        <f>YEAR(Country_Masterlist__6[[#This Row],[Year1]])</f>
        <v>2019</v>
      </c>
      <c r="C995" t="s">
        <v>35</v>
      </c>
      <c r="D995" t="s">
        <v>81</v>
      </c>
      <c r="E995">
        <v>113</v>
      </c>
    </row>
    <row r="996" spans="1:5" x14ac:dyDescent="0.35">
      <c r="A996" s="13">
        <v>43466</v>
      </c>
      <c r="B996">
        <f>YEAR(Country_Masterlist__6[[#This Row],[Year1]])</f>
        <v>2019</v>
      </c>
      <c r="C996" t="s">
        <v>35</v>
      </c>
      <c r="D996" t="s">
        <v>82</v>
      </c>
      <c r="E996">
        <v>52</v>
      </c>
    </row>
    <row r="997" spans="1:5" x14ac:dyDescent="0.35">
      <c r="A997" s="13">
        <v>43466</v>
      </c>
      <c r="B997">
        <f>YEAR(Country_Masterlist__6[[#This Row],[Year1]])</f>
        <v>2019</v>
      </c>
      <c r="C997" t="s">
        <v>36</v>
      </c>
      <c r="D997" t="s">
        <v>84</v>
      </c>
      <c r="E997">
        <v>9</v>
      </c>
    </row>
    <row r="998" spans="1:5" x14ac:dyDescent="0.35">
      <c r="A998" s="13">
        <v>43466</v>
      </c>
      <c r="B998">
        <f>YEAR(Country_Masterlist__6[[#This Row],[Year1]])</f>
        <v>2019</v>
      </c>
      <c r="C998" t="s">
        <v>36</v>
      </c>
      <c r="D998" t="s">
        <v>85</v>
      </c>
      <c r="E998">
        <v>552</v>
      </c>
    </row>
    <row r="999" spans="1:5" x14ac:dyDescent="0.35">
      <c r="A999" s="13">
        <v>43466</v>
      </c>
      <c r="B999">
        <f>YEAR(Country_Masterlist__6[[#This Row],[Year1]])</f>
        <v>2019</v>
      </c>
      <c r="C999" t="s">
        <v>38</v>
      </c>
      <c r="D999" t="s">
        <v>86</v>
      </c>
      <c r="E999">
        <v>398</v>
      </c>
    </row>
    <row r="1000" spans="1:5" x14ac:dyDescent="0.35">
      <c r="A1000" s="13">
        <v>43466</v>
      </c>
      <c r="B1000">
        <f>YEAR(Country_Masterlist__6[[#This Row],[Year1]])</f>
        <v>2019</v>
      </c>
      <c r="C1000" t="s">
        <v>33</v>
      </c>
      <c r="D1000" t="s">
        <v>87</v>
      </c>
      <c r="E1000">
        <v>184</v>
      </c>
    </row>
    <row r="1001" spans="1:5" x14ac:dyDescent="0.35">
      <c r="A1001" s="13">
        <v>43466</v>
      </c>
      <c r="B1001">
        <f>YEAR(Country_Masterlist__6[[#This Row],[Year1]])</f>
        <v>2019</v>
      </c>
      <c r="C1001" t="s">
        <v>36</v>
      </c>
      <c r="D1001" t="s">
        <v>16</v>
      </c>
      <c r="E1001">
        <v>997</v>
      </c>
    </row>
    <row r="1002" spans="1:5" x14ac:dyDescent="0.35">
      <c r="A1002" s="13">
        <v>43466</v>
      </c>
      <c r="B1002">
        <f>YEAR(Country_Masterlist__6[[#This Row],[Year1]])</f>
        <v>2019</v>
      </c>
      <c r="C1002" t="s">
        <v>33</v>
      </c>
      <c r="D1002" t="s">
        <v>89</v>
      </c>
      <c r="E1002">
        <v>13</v>
      </c>
    </row>
    <row r="1003" spans="1:5" x14ac:dyDescent="0.35">
      <c r="A1003" s="13">
        <v>43466</v>
      </c>
      <c r="B1003">
        <f>YEAR(Country_Masterlist__6[[#This Row],[Year1]])</f>
        <v>2019</v>
      </c>
      <c r="C1003" t="s">
        <v>35</v>
      </c>
      <c r="D1003" t="s">
        <v>90</v>
      </c>
      <c r="E1003">
        <v>25</v>
      </c>
    </row>
    <row r="1004" spans="1:5" x14ac:dyDescent="0.35">
      <c r="A1004" s="13">
        <v>43466</v>
      </c>
      <c r="B1004">
        <f>YEAR(Country_Masterlist__6[[#This Row],[Year1]])</f>
        <v>2019</v>
      </c>
      <c r="C1004" t="s">
        <v>33</v>
      </c>
      <c r="D1004" t="s">
        <v>91</v>
      </c>
      <c r="E1004">
        <v>22</v>
      </c>
    </row>
    <row r="1005" spans="1:5" x14ac:dyDescent="0.35">
      <c r="A1005" s="13">
        <v>43466</v>
      </c>
      <c r="B1005">
        <f>YEAR(Country_Masterlist__6[[#This Row],[Year1]])</f>
        <v>2019</v>
      </c>
      <c r="C1005" t="s">
        <v>37</v>
      </c>
      <c r="D1005" t="s">
        <v>92</v>
      </c>
      <c r="E1005">
        <v>25</v>
      </c>
    </row>
    <row r="1006" spans="1:5" x14ac:dyDescent="0.35">
      <c r="A1006" s="13">
        <v>43466</v>
      </c>
      <c r="B1006">
        <f>YEAR(Country_Masterlist__6[[#This Row],[Year1]])</f>
        <v>2019</v>
      </c>
      <c r="C1006" t="s">
        <v>35</v>
      </c>
      <c r="D1006" t="s">
        <v>93</v>
      </c>
      <c r="E1006">
        <v>38</v>
      </c>
    </row>
    <row r="1007" spans="1:5" x14ac:dyDescent="0.35">
      <c r="A1007" s="13">
        <v>43466</v>
      </c>
      <c r="B1007">
        <f>YEAR(Country_Masterlist__6[[#This Row],[Year1]])</f>
        <v>2019</v>
      </c>
      <c r="C1007" t="s">
        <v>35</v>
      </c>
      <c r="D1007" t="s">
        <v>94</v>
      </c>
      <c r="E1007">
        <v>753</v>
      </c>
    </row>
    <row r="1008" spans="1:5" x14ac:dyDescent="0.35">
      <c r="A1008" s="13">
        <v>43466</v>
      </c>
      <c r="B1008">
        <f>YEAR(Country_Masterlist__6[[#This Row],[Year1]])</f>
        <v>2019</v>
      </c>
      <c r="C1008" t="s">
        <v>33</v>
      </c>
      <c r="D1008" t="s">
        <v>95</v>
      </c>
      <c r="E1008">
        <v>8</v>
      </c>
    </row>
    <row r="1009" spans="1:5" x14ac:dyDescent="0.35">
      <c r="A1009" s="13">
        <v>43466</v>
      </c>
      <c r="B1009">
        <f>YEAR(Country_Masterlist__6[[#This Row],[Year1]])</f>
        <v>2019</v>
      </c>
      <c r="C1009" t="s">
        <v>33</v>
      </c>
      <c r="D1009" t="s">
        <v>96</v>
      </c>
      <c r="E1009">
        <v>9</v>
      </c>
    </row>
    <row r="1010" spans="1:5" x14ac:dyDescent="0.35">
      <c r="A1010" s="13">
        <v>43466</v>
      </c>
      <c r="B1010">
        <f>YEAR(Country_Masterlist__6[[#This Row],[Year1]])</f>
        <v>2019</v>
      </c>
      <c r="C1010" t="s">
        <v>34</v>
      </c>
      <c r="D1010" t="s">
        <v>8</v>
      </c>
      <c r="E1010">
        <v>12</v>
      </c>
    </row>
    <row r="1011" spans="1:5" x14ac:dyDescent="0.35">
      <c r="A1011" s="13">
        <v>43466</v>
      </c>
      <c r="B1011">
        <f>YEAR(Country_Masterlist__6[[#This Row],[Year1]])</f>
        <v>2019</v>
      </c>
      <c r="C1011" t="s">
        <v>35</v>
      </c>
      <c r="D1011" t="s">
        <v>97</v>
      </c>
      <c r="E1011">
        <v>478</v>
      </c>
    </row>
    <row r="1012" spans="1:5" x14ac:dyDescent="0.35">
      <c r="A1012" s="13">
        <v>43466</v>
      </c>
      <c r="B1012">
        <f>YEAR(Country_Masterlist__6[[#This Row],[Year1]])</f>
        <v>2019</v>
      </c>
      <c r="C1012" t="s">
        <v>33</v>
      </c>
      <c r="D1012" t="s">
        <v>98</v>
      </c>
      <c r="E1012">
        <v>75</v>
      </c>
    </row>
    <row r="1013" spans="1:5" x14ac:dyDescent="0.35">
      <c r="A1013" s="13">
        <v>43466</v>
      </c>
      <c r="B1013">
        <f>YEAR(Country_Masterlist__6[[#This Row],[Year1]])</f>
        <v>2019</v>
      </c>
      <c r="C1013" t="s">
        <v>35</v>
      </c>
      <c r="D1013" t="s">
        <v>99</v>
      </c>
      <c r="E1013">
        <v>136</v>
      </c>
    </row>
    <row r="1014" spans="1:5" x14ac:dyDescent="0.35">
      <c r="A1014" s="13">
        <v>43466</v>
      </c>
      <c r="B1014">
        <f>YEAR(Country_Masterlist__6[[#This Row],[Year1]])</f>
        <v>2019</v>
      </c>
      <c r="C1014" t="s">
        <v>36</v>
      </c>
      <c r="D1014" t="s">
        <v>100</v>
      </c>
      <c r="E1014">
        <v>11</v>
      </c>
    </row>
    <row r="1015" spans="1:5" x14ac:dyDescent="0.35">
      <c r="A1015" s="13">
        <v>43466</v>
      </c>
      <c r="B1015">
        <f>YEAR(Country_Masterlist__6[[#This Row],[Year1]])</f>
        <v>2019</v>
      </c>
      <c r="C1015" t="s">
        <v>36</v>
      </c>
      <c r="D1015" t="s">
        <v>15</v>
      </c>
      <c r="E1015">
        <v>2624</v>
      </c>
    </row>
    <row r="1016" spans="1:5" x14ac:dyDescent="0.35">
      <c r="A1016" s="13">
        <v>43466</v>
      </c>
      <c r="B1016">
        <f>YEAR(Country_Masterlist__6[[#This Row],[Year1]])</f>
        <v>2019</v>
      </c>
      <c r="C1016" t="s">
        <v>33</v>
      </c>
      <c r="D1016" t="s">
        <v>101</v>
      </c>
      <c r="E1016">
        <v>17</v>
      </c>
    </row>
    <row r="1017" spans="1:5" x14ac:dyDescent="0.35">
      <c r="A1017" s="13">
        <v>43466</v>
      </c>
      <c r="B1017">
        <f>YEAR(Country_Masterlist__6[[#This Row],[Year1]])</f>
        <v>2019</v>
      </c>
      <c r="C1017" t="s">
        <v>38</v>
      </c>
      <c r="D1017" t="s">
        <v>103</v>
      </c>
      <c r="E1017">
        <v>82</v>
      </c>
    </row>
    <row r="1018" spans="1:5" x14ac:dyDescent="0.35">
      <c r="A1018" s="13">
        <v>43466</v>
      </c>
      <c r="B1018">
        <f>YEAR(Country_Masterlist__6[[#This Row],[Year1]])</f>
        <v>2019</v>
      </c>
      <c r="C1018" t="s">
        <v>36</v>
      </c>
      <c r="D1018" t="s">
        <v>104</v>
      </c>
      <c r="E1018">
        <v>112</v>
      </c>
    </row>
    <row r="1019" spans="1:5" x14ac:dyDescent="0.35">
      <c r="A1019" s="13">
        <v>43466</v>
      </c>
      <c r="B1019">
        <f>YEAR(Country_Masterlist__6[[#This Row],[Year1]])</f>
        <v>2019</v>
      </c>
      <c r="C1019" t="s">
        <v>36</v>
      </c>
      <c r="D1019" t="s">
        <v>17</v>
      </c>
      <c r="E1019">
        <v>1535</v>
      </c>
    </row>
    <row r="1020" spans="1:5" x14ac:dyDescent="0.35">
      <c r="A1020" s="13">
        <v>43466</v>
      </c>
      <c r="B1020">
        <f>YEAR(Country_Masterlist__6[[#This Row],[Year1]])</f>
        <v>2019</v>
      </c>
      <c r="C1020" t="s">
        <v>35</v>
      </c>
      <c r="D1020" t="s">
        <v>105</v>
      </c>
      <c r="E1020">
        <v>155</v>
      </c>
    </row>
    <row r="1021" spans="1:5" x14ac:dyDescent="0.35">
      <c r="A1021" s="13">
        <v>43466</v>
      </c>
      <c r="B1021">
        <f>YEAR(Country_Masterlist__6[[#This Row],[Year1]])</f>
        <v>2019</v>
      </c>
      <c r="C1021" t="s">
        <v>35</v>
      </c>
      <c r="D1021" t="s">
        <v>106</v>
      </c>
      <c r="E1021">
        <v>13</v>
      </c>
    </row>
    <row r="1022" spans="1:5" x14ac:dyDescent="0.35">
      <c r="A1022" s="13">
        <v>43466</v>
      </c>
      <c r="B1022">
        <f>YEAR(Country_Masterlist__6[[#This Row],[Year1]])</f>
        <v>2019</v>
      </c>
      <c r="C1022" t="s">
        <v>34</v>
      </c>
      <c r="D1022" t="s">
        <v>22</v>
      </c>
      <c r="E1022">
        <v>1374</v>
      </c>
    </row>
    <row r="1023" spans="1:5" x14ac:dyDescent="0.35">
      <c r="A1023" s="13">
        <v>43466</v>
      </c>
      <c r="B1023">
        <f>YEAR(Country_Masterlist__6[[#This Row],[Year1]])</f>
        <v>2019</v>
      </c>
      <c r="C1023" t="s">
        <v>34</v>
      </c>
      <c r="D1023" t="s">
        <v>107</v>
      </c>
      <c r="E1023">
        <v>56</v>
      </c>
    </row>
    <row r="1024" spans="1:5" x14ac:dyDescent="0.35">
      <c r="A1024" s="13">
        <v>43466</v>
      </c>
      <c r="B1024">
        <f>YEAR(Country_Masterlist__6[[#This Row],[Year1]])</f>
        <v>2019</v>
      </c>
      <c r="C1024" t="s">
        <v>34</v>
      </c>
      <c r="D1024" t="s">
        <v>108</v>
      </c>
      <c r="E1024">
        <v>575</v>
      </c>
    </row>
    <row r="1025" spans="1:5" x14ac:dyDescent="0.35">
      <c r="A1025" s="13">
        <v>43466</v>
      </c>
      <c r="B1025">
        <f>YEAR(Country_Masterlist__6[[#This Row],[Year1]])</f>
        <v>2019</v>
      </c>
      <c r="C1025" t="s">
        <v>34</v>
      </c>
      <c r="D1025" t="s">
        <v>109</v>
      </c>
      <c r="E1025">
        <v>85</v>
      </c>
    </row>
    <row r="1026" spans="1:5" x14ac:dyDescent="0.35">
      <c r="A1026" s="13">
        <v>43466</v>
      </c>
      <c r="B1026">
        <f>YEAR(Country_Masterlist__6[[#This Row],[Year1]])</f>
        <v>2019</v>
      </c>
      <c r="C1026" t="s">
        <v>35</v>
      </c>
      <c r="D1026" t="s">
        <v>110</v>
      </c>
      <c r="E1026">
        <v>658</v>
      </c>
    </row>
    <row r="1027" spans="1:5" x14ac:dyDescent="0.35">
      <c r="A1027" s="13">
        <v>43466</v>
      </c>
      <c r="B1027">
        <f>YEAR(Country_Masterlist__6[[#This Row],[Year1]])</f>
        <v>2019</v>
      </c>
      <c r="C1027" t="s">
        <v>34</v>
      </c>
      <c r="D1027" t="s">
        <v>111</v>
      </c>
      <c r="E1027">
        <v>143</v>
      </c>
    </row>
    <row r="1028" spans="1:5" x14ac:dyDescent="0.35">
      <c r="A1028" s="13">
        <v>43466</v>
      </c>
      <c r="B1028">
        <f>YEAR(Country_Masterlist__6[[#This Row],[Year1]])</f>
        <v>2019</v>
      </c>
      <c r="C1028" t="s">
        <v>35</v>
      </c>
      <c r="D1028" t="s">
        <v>112</v>
      </c>
      <c r="E1028">
        <v>787</v>
      </c>
    </row>
    <row r="1029" spans="1:5" x14ac:dyDescent="0.35">
      <c r="A1029" s="13">
        <v>43466</v>
      </c>
      <c r="B1029">
        <f>YEAR(Country_Masterlist__6[[#This Row],[Year1]])</f>
        <v>2019</v>
      </c>
      <c r="C1029" t="s">
        <v>36</v>
      </c>
      <c r="D1029" t="s">
        <v>113</v>
      </c>
      <c r="E1029">
        <v>297</v>
      </c>
    </row>
    <row r="1030" spans="1:5" x14ac:dyDescent="0.35">
      <c r="A1030" s="13">
        <v>43466</v>
      </c>
      <c r="B1030">
        <f>YEAR(Country_Masterlist__6[[#This Row],[Year1]])</f>
        <v>2019</v>
      </c>
      <c r="C1030" t="s">
        <v>34</v>
      </c>
      <c r="D1030" t="s">
        <v>114</v>
      </c>
      <c r="E1030">
        <v>359</v>
      </c>
    </row>
    <row r="1031" spans="1:5" x14ac:dyDescent="0.35">
      <c r="A1031" s="13">
        <v>43466</v>
      </c>
      <c r="B1031">
        <f>YEAR(Country_Masterlist__6[[#This Row],[Year1]])</f>
        <v>2019</v>
      </c>
      <c r="C1031" t="s">
        <v>34</v>
      </c>
      <c r="D1031" t="s">
        <v>115</v>
      </c>
      <c r="E1031">
        <v>164</v>
      </c>
    </row>
    <row r="1032" spans="1:5" x14ac:dyDescent="0.35">
      <c r="A1032" s="13">
        <v>43466</v>
      </c>
      <c r="B1032">
        <f>YEAR(Country_Masterlist__6[[#This Row],[Year1]])</f>
        <v>2019</v>
      </c>
      <c r="C1032" t="s">
        <v>34</v>
      </c>
      <c r="D1032" t="s">
        <v>116</v>
      </c>
      <c r="E1032">
        <v>33</v>
      </c>
    </row>
    <row r="1033" spans="1:5" x14ac:dyDescent="0.35">
      <c r="A1033" s="13">
        <v>43466</v>
      </c>
      <c r="B1033">
        <f>YEAR(Country_Masterlist__6[[#This Row],[Year1]])</f>
        <v>2019</v>
      </c>
      <c r="C1033" t="s">
        <v>33</v>
      </c>
      <c r="D1033" t="s">
        <v>117</v>
      </c>
      <c r="E1033">
        <v>84</v>
      </c>
    </row>
    <row r="1034" spans="1:5" x14ac:dyDescent="0.35">
      <c r="A1034" s="13">
        <v>43466</v>
      </c>
      <c r="B1034">
        <f>YEAR(Country_Masterlist__6[[#This Row],[Year1]])</f>
        <v>2019</v>
      </c>
      <c r="C1034" t="s">
        <v>34</v>
      </c>
      <c r="D1034" t="s">
        <v>118</v>
      </c>
      <c r="E1034">
        <v>805</v>
      </c>
    </row>
    <row r="1035" spans="1:5" x14ac:dyDescent="0.35">
      <c r="A1035" s="13">
        <v>43466</v>
      </c>
      <c r="B1035">
        <f>YEAR(Country_Masterlist__6[[#This Row],[Year1]])</f>
        <v>2019</v>
      </c>
      <c r="C1035" t="s">
        <v>35</v>
      </c>
      <c r="D1035" t="s">
        <v>119</v>
      </c>
      <c r="E1035">
        <v>9</v>
      </c>
    </row>
    <row r="1036" spans="1:5" x14ac:dyDescent="0.35">
      <c r="A1036" s="13">
        <v>43466</v>
      </c>
      <c r="B1036">
        <f>YEAR(Country_Masterlist__6[[#This Row],[Year1]])</f>
        <v>2019</v>
      </c>
      <c r="C1036" t="s">
        <v>34</v>
      </c>
      <c r="D1036" t="s">
        <v>120</v>
      </c>
      <c r="E1036">
        <v>48</v>
      </c>
    </row>
    <row r="1037" spans="1:5" x14ac:dyDescent="0.35">
      <c r="A1037" s="13">
        <v>43466</v>
      </c>
      <c r="B1037">
        <f>YEAR(Country_Masterlist__6[[#This Row],[Year1]])</f>
        <v>2019</v>
      </c>
      <c r="C1037" t="s">
        <v>34</v>
      </c>
      <c r="D1037" t="s">
        <v>121</v>
      </c>
      <c r="E1037">
        <v>5</v>
      </c>
    </row>
    <row r="1038" spans="1:5" x14ac:dyDescent="0.35">
      <c r="A1038" s="13">
        <v>43466</v>
      </c>
      <c r="B1038">
        <f>YEAR(Country_Masterlist__6[[#This Row],[Year1]])</f>
        <v>2019</v>
      </c>
      <c r="C1038" t="s">
        <v>34</v>
      </c>
      <c r="D1038" t="s">
        <v>122</v>
      </c>
      <c r="E1038" t="s">
        <v>205</v>
      </c>
    </row>
    <row r="1039" spans="1:5" x14ac:dyDescent="0.35">
      <c r="A1039" s="13">
        <v>43466</v>
      </c>
      <c r="B1039">
        <f>YEAR(Country_Masterlist__6[[#This Row],[Year1]])</f>
        <v>2019</v>
      </c>
      <c r="C1039" t="s">
        <v>35</v>
      </c>
      <c r="D1039" t="s">
        <v>123</v>
      </c>
      <c r="E1039">
        <v>51</v>
      </c>
    </row>
    <row r="1040" spans="1:5" x14ac:dyDescent="0.35">
      <c r="A1040" s="13">
        <v>43466</v>
      </c>
      <c r="B1040">
        <f>YEAR(Country_Masterlist__6[[#This Row],[Year1]])</f>
        <v>2019</v>
      </c>
      <c r="C1040" t="s">
        <v>34</v>
      </c>
      <c r="D1040" t="s">
        <v>124</v>
      </c>
      <c r="E1040">
        <v>71</v>
      </c>
    </row>
    <row r="1041" spans="1:5" x14ac:dyDescent="0.35">
      <c r="A1041" s="13">
        <v>43466</v>
      </c>
      <c r="B1041">
        <f>YEAR(Country_Masterlist__6[[#This Row],[Year1]])</f>
        <v>2019</v>
      </c>
      <c r="C1041" t="s">
        <v>33</v>
      </c>
      <c r="D1041" t="s">
        <v>125</v>
      </c>
      <c r="E1041">
        <v>13</v>
      </c>
    </row>
    <row r="1042" spans="1:5" x14ac:dyDescent="0.35">
      <c r="A1042" s="13">
        <v>43466</v>
      </c>
      <c r="B1042">
        <f>YEAR(Country_Masterlist__6[[#This Row],[Year1]])</f>
        <v>2019</v>
      </c>
      <c r="C1042" t="s">
        <v>33</v>
      </c>
      <c r="D1042" t="s">
        <v>126</v>
      </c>
      <c r="E1042">
        <v>27</v>
      </c>
    </row>
    <row r="1043" spans="1:5" x14ac:dyDescent="0.35">
      <c r="A1043" s="13">
        <v>43466</v>
      </c>
      <c r="B1043">
        <f>YEAR(Country_Masterlist__6[[#This Row],[Year1]])</f>
        <v>2019</v>
      </c>
      <c r="C1043" t="s">
        <v>35</v>
      </c>
      <c r="D1043" t="s">
        <v>127</v>
      </c>
      <c r="E1043">
        <v>81</v>
      </c>
    </row>
    <row r="1044" spans="1:5" x14ac:dyDescent="0.35">
      <c r="A1044" s="13">
        <v>43466</v>
      </c>
      <c r="B1044">
        <f>YEAR(Country_Masterlist__6[[#This Row],[Year1]])</f>
        <v>2019</v>
      </c>
      <c r="C1044" t="s">
        <v>33</v>
      </c>
      <c r="D1044" t="s">
        <v>129</v>
      </c>
    </row>
    <row r="1045" spans="1:5" x14ac:dyDescent="0.35">
      <c r="A1045" s="13">
        <v>43466</v>
      </c>
      <c r="B1045">
        <f>YEAR(Country_Masterlist__6[[#This Row],[Year1]])</f>
        <v>2019</v>
      </c>
      <c r="C1045" t="s">
        <v>34</v>
      </c>
      <c r="D1045" t="s">
        <v>131</v>
      </c>
      <c r="E1045">
        <v>17</v>
      </c>
    </row>
    <row r="1046" spans="1:5" x14ac:dyDescent="0.35">
      <c r="A1046" s="13">
        <v>43466</v>
      </c>
      <c r="B1046">
        <f>YEAR(Country_Masterlist__6[[#This Row],[Year1]])</f>
        <v>2019</v>
      </c>
      <c r="C1046" t="s">
        <v>33</v>
      </c>
      <c r="D1046" t="s">
        <v>132</v>
      </c>
      <c r="E1046">
        <v>56</v>
      </c>
    </row>
    <row r="1047" spans="1:5" x14ac:dyDescent="0.35">
      <c r="A1047" s="13">
        <v>43466</v>
      </c>
      <c r="B1047">
        <f>YEAR(Country_Masterlist__6[[#This Row],[Year1]])</f>
        <v>2019</v>
      </c>
      <c r="C1047" t="s">
        <v>33</v>
      </c>
      <c r="D1047" t="s">
        <v>136</v>
      </c>
      <c r="E1047">
        <v>3</v>
      </c>
    </row>
    <row r="1048" spans="1:5" x14ac:dyDescent="0.35">
      <c r="A1048" s="13">
        <v>43466</v>
      </c>
      <c r="B1048">
        <f>YEAR(Country_Masterlist__6[[#This Row],[Year1]])</f>
        <v>2019</v>
      </c>
      <c r="C1048" t="s">
        <v>36</v>
      </c>
      <c r="D1048" t="s">
        <v>14</v>
      </c>
      <c r="E1048">
        <v>42086</v>
      </c>
    </row>
    <row r="1049" spans="1:5" x14ac:dyDescent="0.35">
      <c r="A1049" s="13">
        <v>43466</v>
      </c>
      <c r="B1049">
        <f>YEAR(Country_Masterlist__6[[#This Row],[Year1]])</f>
        <v>2019</v>
      </c>
      <c r="C1049" t="s">
        <v>37</v>
      </c>
      <c r="D1049" t="s">
        <v>137</v>
      </c>
      <c r="E1049">
        <v>7</v>
      </c>
    </row>
    <row r="1050" spans="1:5" x14ac:dyDescent="0.35">
      <c r="A1050" s="13">
        <v>43466</v>
      </c>
      <c r="B1050">
        <f>YEAR(Country_Masterlist__6[[#This Row],[Year1]])</f>
        <v>2019</v>
      </c>
      <c r="C1050" t="s">
        <v>35</v>
      </c>
      <c r="D1050" t="s">
        <v>138</v>
      </c>
      <c r="E1050">
        <v>24</v>
      </c>
    </row>
    <row r="1051" spans="1:5" x14ac:dyDescent="0.35">
      <c r="A1051" s="13">
        <v>43466</v>
      </c>
      <c r="B1051">
        <f>YEAR(Country_Masterlist__6[[#This Row],[Year1]])</f>
        <v>2019</v>
      </c>
      <c r="C1051" t="s">
        <v>34</v>
      </c>
      <c r="D1051" t="s">
        <v>139</v>
      </c>
      <c r="E1051">
        <v>27</v>
      </c>
    </row>
    <row r="1052" spans="1:5" x14ac:dyDescent="0.35">
      <c r="A1052" s="13">
        <v>43466</v>
      </c>
      <c r="B1052">
        <f>YEAR(Country_Masterlist__6[[#This Row],[Year1]])</f>
        <v>2019</v>
      </c>
      <c r="C1052" t="s">
        <v>35</v>
      </c>
      <c r="D1052" t="s">
        <v>140</v>
      </c>
      <c r="E1052">
        <v>13</v>
      </c>
    </row>
    <row r="1053" spans="1:5" x14ac:dyDescent="0.35">
      <c r="A1053" s="13">
        <v>43466</v>
      </c>
      <c r="B1053">
        <f>YEAR(Country_Masterlist__6[[#This Row],[Year1]])</f>
        <v>2019</v>
      </c>
      <c r="C1053" t="s">
        <v>33</v>
      </c>
      <c r="D1053" t="s">
        <v>141</v>
      </c>
      <c r="E1053">
        <v>78</v>
      </c>
    </row>
    <row r="1054" spans="1:5" x14ac:dyDescent="0.35">
      <c r="A1054" s="13">
        <v>43466</v>
      </c>
      <c r="B1054">
        <f>YEAR(Country_Masterlist__6[[#This Row],[Year1]])</f>
        <v>2019</v>
      </c>
      <c r="C1054" t="s">
        <v>34</v>
      </c>
      <c r="D1054" t="s">
        <v>144</v>
      </c>
      <c r="E1054">
        <v>45</v>
      </c>
    </row>
    <row r="1055" spans="1:5" x14ac:dyDescent="0.35">
      <c r="A1055" s="13">
        <v>43466</v>
      </c>
      <c r="B1055">
        <f>YEAR(Country_Masterlist__6[[#This Row],[Year1]])</f>
        <v>2019</v>
      </c>
      <c r="C1055" t="s">
        <v>35</v>
      </c>
      <c r="D1055" t="s">
        <v>145</v>
      </c>
      <c r="E1055">
        <v>261</v>
      </c>
    </row>
    <row r="1056" spans="1:5" x14ac:dyDescent="0.35">
      <c r="A1056" s="13">
        <v>43466</v>
      </c>
      <c r="B1056">
        <f>YEAR(Country_Masterlist__6[[#This Row],[Year1]])</f>
        <v>2019</v>
      </c>
      <c r="C1056" t="s">
        <v>37</v>
      </c>
      <c r="D1056" t="s">
        <v>146</v>
      </c>
      <c r="E1056">
        <v>155</v>
      </c>
    </row>
    <row r="1057" spans="1:5" x14ac:dyDescent="0.35">
      <c r="A1057" s="13">
        <v>43466</v>
      </c>
      <c r="B1057">
        <f>YEAR(Country_Masterlist__6[[#This Row],[Year1]])</f>
        <v>2019</v>
      </c>
      <c r="C1057" t="s">
        <v>36</v>
      </c>
      <c r="D1057" t="s">
        <v>147</v>
      </c>
      <c r="E1057">
        <v>188</v>
      </c>
    </row>
    <row r="1058" spans="1:5" x14ac:dyDescent="0.35">
      <c r="A1058" s="13">
        <v>43466</v>
      </c>
      <c r="B1058">
        <f>YEAR(Country_Masterlist__6[[#This Row],[Year1]])</f>
        <v>2019</v>
      </c>
      <c r="C1058" t="s">
        <v>33</v>
      </c>
      <c r="D1058" t="s">
        <v>148</v>
      </c>
      <c r="E1058">
        <v>12</v>
      </c>
    </row>
    <row r="1059" spans="1:5" x14ac:dyDescent="0.35">
      <c r="A1059" s="13">
        <v>43466</v>
      </c>
      <c r="B1059">
        <f>YEAR(Country_Masterlist__6[[#This Row],[Year1]])</f>
        <v>2019</v>
      </c>
      <c r="C1059" t="s">
        <v>33</v>
      </c>
      <c r="D1059" t="s">
        <v>149</v>
      </c>
      <c r="E1059">
        <v>395</v>
      </c>
    </row>
    <row r="1060" spans="1:5" x14ac:dyDescent="0.35">
      <c r="A1060" s="13">
        <v>43466</v>
      </c>
      <c r="B1060">
        <f>YEAR(Country_Masterlist__6[[#This Row],[Year1]])</f>
        <v>2019</v>
      </c>
      <c r="C1060" t="s">
        <v>35</v>
      </c>
      <c r="D1060" t="s">
        <v>322</v>
      </c>
      <c r="E1060">
        <v>16</v>
      </c>
    </row>
    <row r="1061" spans="1:5" x14ac:dyDescent="0.35">
      <c r="A1061" s="13">
        <v>43466</v>
      </c>
      <c r="B1061">
        <f>YEAR(Country_Masterlist__6[[#This Row],[Year1]])</f>
        <v>2019</v>
      </c>
      <c r="C1061" t="s">
        <v>35</v>
      </c>
      <c r="D1061" t="s">
        <v>150</v>
      </c>
      <c r="E1061">
        <v>56</v>
      </c>
    </row>
    <row r="1062" spans="1:5" x14ac:dyDescent="0.35">
      <c r="A1062" s="13">
        <v>43466</v>
      </c>
      <c r="B1062">
        <f>YEAR(Country_Masterlist__6[[#This Row],[Year1]])</f>
        <v>2019</v>
      </c>
      <c r="C1062" t="s">
        <v>34</v>
      </c>
      <c r="D1062" t="s">
        <v>151</v>
      </c>
      <c r="E1062">
        <v>4</v>
      </c>
    </row>
    <row r="1063" spans="1:5" x14ac:dyDescent="0.35">
      <c r="A1063" s="13">
        <v>43466</v>
      </c>
      <c r="B1063">
        <f>YEAR(Country_Masterlist__6[[#This Row],[Year1]])</f>
        <v>2019</v>
      </c>
      <c r="C1063" t="s">
        <v>34</v>
      </c>
      <c r="D1063" t="s">
        <v>152</v>
      </c>
      <c r="E1063">
        <v>263</v>
      </c>
    </row>
    <row r="1064" spans="1:5" x14ac:dyDescent="0.35">
      <c r="A1064" s="13">
        <v>43466</v>
      </c>
      <c r="B1064">
        <f>YEAR(Country_Masterlist__6[[#This Row],[Year1]])</f>
        <v>2019</v>
      </c>
      <c r="C1064" t="s">
        <v>36</v>
      </c>
      <c r="D1064" t="s">
        <v>154</v>
      </c>
      <c r="E1064">
        <v>33</v>
      </c>
    </row>
    <row r="1065" spans="1:5" x14ac:dyDescent="0.35">
      <c r="A1065" s="13">
        <v>43466</v>
      </c>
      <c r="B1065">
        <f>YEAR(Country_Masterlist__6[[#This Row],[Year1]])</f>
        <v>2019</v>
      </c>
      <c r="C1065" t="s">
        <v>38</v>
      </c>
      <c r="D1065" t="s">
        <v>155</v>
      </c>
      <c r="E1065">
        <v>20</v>
      </c>
    </row>
    <row r="1066" spans="1:5" x14ac:dyDescent="0.35">
      <c r="A1066" s="13">
        <v>43466</v>
      </c>
      <c r="B1066">
        <f>YEAR(Country_Masterlist__6[[#This Row],[Year1]])</f>
        <v>2019</v>
      </c>
      <c r="C1066" t="s">
        <v>38</v>
      </c>
      <c r="D1066" t="s">
        <v>156</v>
      </c>
      <c r="E1066">
        <v>198</v>
      </c>
    </row>
    <row r="1067" spans="1:5" x14ac:dyDescent="0.35">
      <c r="A1067" s="13">
        <v>43466</v>
      </c>
      <c r="B1067">
        <f>YEAR(Country_Masterlist__6[[#This Row],[Year1]])</f>
        <v>2019</v>
      </c>
      <c r="C1067" t="s">
        <v>34</v>
      </c>
      <c r="D1067" t="s">
        <v>18</v>
      </c>
      <c r="E1067">
        <v>419</v>
      </c>
    </row>
    <row r="1068" spans="1:5" x14ac:dyDescent="0.35">
      <c r="A1068" s="13">
        <v>43466</v>
      </c>
      <c r="B1068">
        <f>YEAR(Country_Masterlist__6[[#This Row],[Year1]])</f>
        <v>2019</v>
      </c>
      <c r="C1068" t="s">
        <v>35</v>
      </c>
      <c r="D1068" t="s">
        <v>157</v>
      </c>
      <c r="E1068">
        <v>164</v>
      </c>
    </row>
    <row r="1069" spans="1:5" x14ac:dyDescent="0.35">
      <c r="A1069" s="13">
        <v>43466</v>
      </c>
      <c r="B1069">
        <f>YEAR(Country_Masterlist__6[[#This Row],[Year1]])</f>
        <v>2019</v>
      </c>
      <c r="C1069" t="s">
        <v>35</v>
      </c>
      <c r="D1069" t="s">
        <v>158</v>
      </c>
      <c r="E1069">
        <v>265</v>
      </c>
    </row>
    <row r="1070" spans="1:5" x14ac:dyDescent="0.35">
      <c r="A1070" s="13">
        <v>43466</v>
      </c>
      <c r="B1070">
        <f>YEAR(Country_Masterlist__6[[#This Row],[Year1]])</f>
        <v>2019</v>
      </c>
      <c r="C1070" t="s">
        <v>34</v>
      </c>
      <c r="D1070" t="s">
        <v>159</v>
      </c>
      <c r="E1070">
        <v>12</v>
      </c>
    </row>
    <row r="1071" spans="1:5" x14ac:dyDescent="0.35">
      <c r="A1071" s="13">
        <v>43466</v>
      </c>
      <c r="B1071">
        <f>YEAR(Country_Masterlist__6[[#This Row],[Year1]])</f>
        <v>2019</v>
      </c>
      <c r="C1071" t="s">
        <v>35</v>
      </c>
      <c r="D1071" t="s">
        <v>160</v>
      </c>
      <c r="E1071">
        <v>156</v>
      </c>
    </row>
    <row r="1072" spans="1:5" x14ac:dyDescent="0.35">
      <c r="A1072" s="13">
        <v>43466</v>
      </c>
      <c r="B1072">
        <f>YEAR(Country_Masterlist__6[[#This Row],[Year1]])</f>
        <v>2019</v>
      </c>
      <c r="C1072" t="s">
        <v>35</v>
      </c>
      <c r="D1072" t="s">
        <v>161</v>
      </c>
      <c r="E1072">
        <v>166</v>
      </c>
    </row>
    <row r="1073" spans="1:5" x14ac:dyDescent="0.35">
      <c r="A1073" s="13">
        <v>43466</v>
      </c>
      <c r="B1073">
        <f>YEAR(Country_Masterlist__6[[#This Row],[Year1]])</f>
        <v>2019</v>
      </c>
      <c r="C1073" t="s">
        <v>33</v>
      </c>
      <c r="D1073" t="s">
        <v>162</v>
      </c>
      <c r="E1073">
        <v>23</v>
      </c>
    </row>
    <row r="1074" spans="1:5" x14ac:dyDescent="0.35">
      <c r="A1074" s="13">
        <v>43466</v>
      </c>
      <c r="B1074">
        <f>YEAR(Country_Masterlist__6[[#This Row],[Year1]])</f>
        <v>2019</v>
      </c>
      <c r="C1074" t="s">
        <v>36</v>
      </c>
      <c r="D1074" t="s">
        <v>163</v>
      </c>
      <c r="E1074" t="s">
        <v>205</v>
      </c>
    </row>
    <row r="1075" spans="1:5" x14ac:dyDescent="0.35">
      <c r="A1075" s="13">
        <v>43466</v>
      </c>
      <c r="B1075">
        <f>YEAR(Country_Masterlist__6[[#This Row],[Year1]])</f>
        <v>2019</v>
      </c>
      <c r="C1075" t="s">
        <v>36</v>
      </c>
      <c r="D1075" t="s">
        <v>164</v>
      </c>
      <c r="E1075">
        <v>12</v>
      </c>
    </row>
    <row r="1076" spans="1:5" x14ac:dyDescent="0.35">
      <c r="A1076" s="13">
        <v>43466</v>
      </c>
      <c r="B1076">
        <f>YEAR(Country_Masterlist__6[[#This Row],[Year1]])</f>
        <v>2019</v>
      </c>
      <c r="C1076" t="s">
        <v>36</v>
      </c>
      <c r="D1076" t="s">
        <v>165</v>
      </c>
      <c r="E1076">
        <v>8</v>
      </c>
    </row>
    <row r="1077" spans="1:5" x14ac:dyDescent="0.35">
      <c r="A1077" s="13">
        <v>43466</v>
      </c>
      <c r="B1077">
        <f>YEAR(Country_Masterlist__6[[#This Row],[Year1]])</f>
        <v>2019</v>
      </c>
      <c r="C1077" t="s">
        <v>37</v>
      </c>
      <c r="D1077" t="s">
        <v>166</v>
      </c>
      <c r="E1077">
        <v>9</v>
      </c>
    </row>
    <row r="1078" spans="1:5" x14ac:dyDescent="0.35">
      <c r="A1078" s="13">
        <v>43466</v>
      </c>
      <c r="B1078">
        <f>YEAR(Country_Masterlist__6[[#This Row],[Year1]])</f>
        <v>2019</v>
      </c>
      <c r="C1078" t="s">
        <v>34</v>
      </c>
      <c r="D1078" t="s">
        <v>167</v>
      </c>
      <c r="E1078">
        <v>215</v>
      </c>
    </row>
    <row r="1079" spans="1:5" x14ac:dyDescent="0.35">
      <c r="A1079" s="13">
        <v>43466</v>
      </c>
      <c r="B1079">
        <f>YEAR(Country_Masterlist__6[[#This Row],[Year1]])</f>
        <v>2019</v>
      </c>
      <c r="C1079" t="s">
        <v>33</v>
      </c>
      <c r="D1079" t="s">
        <v>168</v>
      </c>
      <c r="E1079">
        <v>47</v>
      </c>
    </row>
    <row r="1080" spans="1:5" x14ac:dyDescent="0.35">
      <c r="A1080" s="13">
        <v>43466</v>
      </c>
      <c r="B1080">
        <f>YEAR(Country_Masterlist__6[[#This Row],[Year1]])</f>
        <v>2019</v>
      </c>
      <c r="C1080" t="s">
        <v>35</v>
      </c>
      <c r="D1080" t="s">
        <v>169</v>
      </c>
      <c r="E1080">
        <v>37</v>
      </c>
    </row>
    <row r="1081" spans="1:5" x14ac:dyDescent="0.35">
      <c r="A1081" s="13">
        <v>43466</v>
      </c>
      <c r="B1081">
        <f>YEAR(Country_Masterlist__6[[#This Row],[Year1]])</f>
        <v>2019</v>
      </c>
      <c r="C1081" t="s">
        <v>33</v>
      </c>
      <c r="D1081" t="s">
        <v>170</v>
      </c>
      <c r="E1081">
        <v>9</v>
      </c>
    </row>
    <row r="1082" spans="1:5" x14ac:dyDescent="0.35">
      <c r="A1082" s="13">
        <v>43466</v>
      </c>
      <c r="B1082">
        <f>YEAR(Country_Masterlist__6[[#This Row],[Year1]])</f>
        <v>2019</v>
      </c>
      <c r="C1082" t="s">
        <v>34</v>
      </c>
      <c r="D1082" t="s">
        <v>171</v>
      </c>
      <c r="E1082">
        <v>40</v>
      </c>
    </row>
    <row r="1083" spans="1:5" x14ac:dyDescent="0.35">
      <c r="A1083" s="13">
        <v>43466</v>
      </c>
      <c r="B1083">
        <f>YEAR(Country_Masterlist__6[[#This Row],[Year1]])</f>
        <v>2019</v>
      </c>
      <c r="C1083" t="s">
        <v>35</v>
      </c>
      <c r="D1083" t="s">
        <v>172</v>
      </c>
      <c r="E1083">
        <v>52</v>
      </c>
    </row>
    <row r="1084" spans="1:5" x14ac:dyDescent="0.35">
      <c r="A1084" s="13">
        <v>43466</v>
      </c>
      <c r="B1084">
        <f>YEAR(Country_Masterlist__6[[#This Row],[Year1]])</f>
        <v>2019</v>
      </c>
      <c r="C1084" t="s">
        <v>35</v>
      </c>
      <c r="D1084" t="s">
        <v>173</v>
      </c>
      <c r="E1084">
        <v>20</v>
      </c>
    </row>
    <row r="1085" spans="1:5" x14ac:dyDescent="0.35">
      <c r="A1085" s="13">
        <v>43466</v>
      </c>
      <c r="B1085">
        <f>YEAR(Country_Masterlist__6[[#This Row],[Year1]])</f>
        <v>2019</v>
      </c>
      <c r="C1085" t="s">
        <v>33</v>
      </c>
      <c r="D1085" t="s">
        <v>174</v>
      </c>
      <c r="E1085">
        <v>7</v>
      </c>
    </row>
    <row r="1086" spans="1:5" x14ac:dyDescent="0.35">
      <c r="A1086" s="13">
        <v>43466</v>
      </c>
      <c r="B1086">
        <f>YEAR(Country_Masterlist__6[[#This Row],[Year1]])</f>
        <v>2019</v>
      </c>
      <c r="C1086" t="s">
        <v>33</v>
      </c>
      <c r="D1086" t="s">
        <v>175</v>
      </c>
      <c r="E1086">
        <v>73</v>
      </c>
    </row>
    <row r="1087" spans="1:5" x14ac:dyDescent="0.35">
      <c r="A1087" s="13">
        <v>43466</v>
      </c>
      <c r="B1087">
        <f>YEAR(Country_Masterlist__6[[#This Row],[Year1]])</f>
        <v>2019</v>
      </c>
      <c r="C1087" t="s">
        <v>35</v>
      </c>
      <c r="D1087" t="s">
        <v>177</v>
      </c>
      <c r="E1087">
        <v>1370</v>
      </c>
    </row>
    <row r="1088" spans="1:5" x14ac:dyDescent="0.35">
      <c r="A1088" s="13">
        <v>43466</v>
      </c>
      <c r="B1088">
        <f>YEAR(Country_Masterlist__6[[#This Row],[Year1]])</f>
        <v>2019</v>
      </c>
      <c r="C1088" t="s">
        <v>34</v>
      </c>
      <c r="D1088" t="s">
        <v>178</v>
      </c>
      <c r="E1088">
        <v>46</v>
      </c>
    </row>
    <row r="1089" spans="1:5" x14ac:dyDescent="0.35">
      <c r="A1089" s="13">
        <v>43466</v>
      </c>
      <c r="B1089">
        <f>YEAR(Country_Masterlist__6[[#This Row],[Year1]])</f>
        <v>2019</v>
      </c>
      <c r="C1089" t="s">
        <v>33</v>
      </c>
      <c r="D1089" t="s">
        <v>179</v>
      </c>
      <c r="E1089">
        <v>27</v>
      </c>
    </row>
    <row r="1090" spans="1:5" x14ac:dyDescent="0.35">
      <c r="A1090" s="13">
        <v>43466</v>
      </c>
      <c r="B1090">
        <f>YEAR(Country_Masterlist__6[[#This Row],[Year1]])</f>
        <v>2019</v>
      </c>
      <c r="C1090" t="s">
        <v>35</v>
      </c>
      <c r="D1090" t="s">
        <v>182</v>
      </c>
      <c r="E1090">
        <v>186</v>
      </c>
    </row>
    <row r="1091" spans="1:5" x14ac:dyDescent="0.35">
      <c r="A1091" s="13">
        <v>43466</v>
      </c>
      <c r="B1091">
        <f>YEAR(Country_Masterlist__6[[#This Row],[Year1]])</f>
        <v>2019</v>
      </c>
      <c r="C1091" t="s">
        <v>35</v>
      </c>
      <c r="D1091" t="s">
        <v>183</v>
      </c>
      <c r="E1091">
        <v>84</v>
      </c>
    </row>
    <row r="1092" spans="1:5" x14ac:dyDescent="0.35">
      <c r="A1092" s="13">
        <v>43466</v>
      </c>
      <c r="B1092">
        <f>YEAR(Country_Masterlist__6[[#This Row],[Year1]])</f>
        <v>2019</v>
      </c>
      <c r="C1092" t="s">
        <v>34</v>
      </c>
      <c r="D1092" t="s">
        <v>184</v>
      </c>
      <c r="E1092">
        <v>121</v>
      </c>
    </row>
    <row r="1093" spans="1:5" x14ac:dyDescent="0.35">
      <c r="A1093" s="13">
        <v>43466</v>
      </c>
      <c r="B1093">
        <f>YEAR(Country_Masterlist__6[[#This Row],[Year1]])</f>
        <v>2019</v>
      </c>
      <c r="C1093" t="s">
        <v>34</v>
      </c>
      <c r="D1093" t="s">
        <v>185</v>
      </c>
      <c r="E1093">
        <v>569</v>
      </c>
    </row>
    <row r="1094" spans="1:5" x14ac:dyDescent="0.35">
      <c r="A1094" s="13">
        <v>43466</v>
      </c>
      <c r="B1094">
        <f>YEAR(Country_Masterlist__6[[#This Row],[Year1]])</f>
        <v>2019</v>
      </c>
      <c r="C1094" t="s">
        <v>33</v>
      </c>
      <c r="D1094" t="s">
        <v>187</v>
      </c>
      <c r="E1094">
        <v>12</v>
      </c>
    </row>
    <row r="1095" spans="1:5" x14ac:dyDescent="0.35">
      <c r="A1095" s="13">
        <v>43466</v>
      </c>
      <c r="B1095">
        <f>YEAR(Country_Masterlist__6[[#This Row],[Year1]])</f>
        <v>2019</v>
      </c>
      <c r="C1095" t="s">
        <v>34</v>
      </c>
      <c r="D1095" t="s">
        <v>188</v>
      </c>
      <c r="E1095">
        <v>106</v>
      </c>
    </row>
    <row r="1096" spans="1:5" x14ac:dyDescent="0.35">
      <c r="A1096" s="13">
        <v>43466</v>
      </c>
      <c r="B1096">
        <f>YEAR(Country_Masterlist__6[[#This Row],[Year1]])</f>
        <v>2019</v>
      </c>
      <c r="C1096" t="s">
        <v>33</v>
      </c>
      <c r="D1096" t="s">
        <v>189</v>
      </c>
      <c r="E1096" t="s">
        <v>205</v>
      </c>
    </row>
    <row r="1097" spans="1:5" x14ac:dyDescent="0.35">
      <c r="A1097" s="13">
        <v>43466</v>
      </c>
      <c r="B1097">
        <f>YEAR(Country_Masterlist__6[[#This Row],[Year1]])</f>
        <v>2019</v>
      </c>
      <c r="C1097" t="s">
        <v>37</v>
      </c>
      <c r="D1097" t="s">
        <v>190</v>
      </c>
      <c r="E1097">
        <v>9</v>
      </c>
    </row>
    <row r="1098" spans="1:5" x14ac:dyDescent="0.35">
      <c r="A1098" s="13">
        <v>43466</v>
      </c>
      <c r="B1098">
        <f>YEAR(Country_Masterlist__6[[#This Row],[Year1]])</f>
        <v>2019</v>
      </c>
      <c r="C1098" t="s">
        <v>36</v>
      </c>
      <c r="D1098" t="s">
        <v>191</v>
      </c>
      <c r="E1098">
        <v>53</v>
      </c>
    </row>
    <row r="1099" spans="1:5" x14ac:dyDescent="0.35">
      <c r="A1099" s="13">
        <v>43466</v>
      </c>
      <c r="B1099">
        <f>YEAR(Country_Masterlist__6[[#This Row],[Year1]])</f>
        <v>2019</v>
      </c>
      <c r="C1099" t="s">
        <v>33</v>
      </c>
      <c r="D1099" t="s">
        <v>192</v>
      </c>
      <c r="E1099">
        <v>41</v>
      </c>
    </row>
    <row r="1100" spans="1:5" x14ac:dyDescent="0.35">
      <c r="A1100" s="13">
        <v>43466</v>
      </c>
      <c r="B1100">
        <f>YEAR(Country_Masterlist__6[[#This Row],[Year1]])</f>
        <v>2019</v>
      </c>
      <c r="C1100" t="s">
        <v>34</v>
      </c>
      <c r="D1100" t="s">
        <v>193</v>
      </c>
      <c r="E1100">
        <v>172</v>
      </c>
    </row>
    <row r="1101" spans="1:5" x14ac:dyDescent="0.35">
      <c r="A1101" s="13">
        <v>43466</v>
      </c>
      <c r="B1101">
        <f>YEAR(Country_Masterlist__6[[#This Row],[Year1]])</f>
        <v>2019</v>
      </c>
      <c r="C1101" t="s">
        <v>34</v>
      </c>
      <c r="D1101" t="s">
        <v>194</v>
      </c>
      <c r="E1101">
        <v>12</v>
      </c>
    </row>
    <row r="1102" spans="1:5" x14ac:dyDescent="0.35">
      <c r="A1102" s="13">
        <v>43466</v>
      </c>
      <c r="B1102">
        <f>YEAR(Country_Masterlist__6[[#This Row],[Year1]])</f>
        <v>2019</v>
      </c>
      <c r="C1102" t="s">
        <v>33</v>
      </c>
      <c r="D1102" t="s">
        <v>195</v>
      </c>
      <c r="E1102">
        <v>29</v>
      </c>
    </row>
    <row r="1103" spans="1:5" x14ac:dyDescent="0.35">
      <c r="A1103" s="13">
        <v>43466</v>
      </c>
      <c r="B1103">
        <f>YEAR(Country_Masterlist__6[[#This Row],[Year1]])</f>
        <v>2019</v>
      </c>
      <c r="C1103" t="s">
        <v>35</v>
      </c>
      <c r="D1103" t="s">
        <v>196</v>
      </c>
      <c r="E1103">
        <v>99</v>
      </c>
    </row>
    <row r="1104" spans="1:5" x14ac:dyDescent="0.35">
      <c r="A1104" s="13">
        <v>43466</v>
      </c>
      <c r="B1104">
        <f>YEAR(Country_Masterlist__6[[#This Row],[Year1]])</f>
        <v>2019</v>
      </c>
      <c r="C1104" t="s">
        <v>34</v>
      </c>
      <c r="D1104" t="s">
        <v>197</v>
      </c>
      <c r="E1104">
        <v>26</v>
      </c>
    </row>
    <row r="1105" spans="1:5" x14ac:dyDescent="0.35">
      <c r="A1105" s="13">
        <v>43466</v>
      </c>
      <c r="B1105">
        <f>YEAR(Country_Masterlist__6[[#This Row],[Year1]])</f>
        <v>2019</v>
      </c>
      <c r="C1105" t="s">
        <v>35</v>
      </c>
      <c r="D1105" t="s">
        <v>198</v>
      </c>
      <c r="E1105">
        <v>1371</v>
      </c>
    </row>
    <row r="1106" spans="1:5" x14ac:dyDescent="0.35">
      <c r="A1106" s="13">
        <v>43466</v>
      </c>
      <c r="B1106">
        <f>YEAR(Country_Masterlist__6[[#This Row],[Year1]])</f>
        <v>2019</v>
      </c>
      <c r="C1106" t="s">
        <v>38</v>
      </c>
      <c r="D1106" t="s">
        <v>199</v>
      </c>
      <c r="E1106">
        <v>17</v>
      </c>
    </row>
    <row r="1107" spans="1:5" x14ac:dyDescent="0.35">
      <c r="A1107" s="13">
        <v>43466</v>
      </c>
      <c r="B1107">
        <f>YEAR(Country_Masterlist__6[[#This Row],[Year1]])</f>
        <v>2019</v>
      </c>
      <c r="C1107" t="s">
        <v>34</v>
      </c>
      <c r="D1107" t="s">
        <v>200</v>
      </c>
      <c r="E1107">
        <v>8</v>
      </c>
    </row>
    <row r="1108" spans="1:5" x14ac:dyDescent="0.35">
      <c r="A1108" s="13">
        <v>43466</v>
      </c>
      <c r="B1108">
        <f>YEAR(Country_Masterlist__6[[#This Row],[Year1]])</f>
        <v>2019</v>
      </c>
      <c r="C1108" t="s">
        <v>38</v>
      </c>
      <c r="D1108" t="s">
        <v>19</v>
      </c>
      <c r="E1108">
        <v>593</v>
      </c>
    </row>
    <row r="1109" spans="1:5" x14ac:dyDescent="0.35">
      <c r="A1109" s="13">
        <v>43466</v>
      </c>
      <c r="B1109">
        <f>YEAR(Country_Masterlist__6[[#This Row],[Year1]])</f>
        <v>2019</v>
      </c>
      <c r="C1109" t="s">
        <v>34</v>
      </c>
      <c r="D1109" t="s">
        <v>201</v>
      </c>
      <c r="E1109">
        <v>62</v>
      </c>
    </row>
    <row r="1110" spans="1:5" x14ac:dyDescent="0.35">
      <c r="A1110" s="13">
        <v>43466</v>
      </c>
      <c r="B1110">
        <f>YEAR(Country_Masterlist__6[[#This Row],[Year1]])</f>
        <v>2019</v>
      </c>
      <c r="C1110" t="s">
        <v>34</v>
      </c>
      <c r="D1110" t="s">
        <v>202</v>
      </c>
      <c r="E1110">
        <v>8</v>
      </c>
    </row>
    <row r="1111" spans="1:5" x14ac:dyDescent="0.35">
      <c r="A1111" s="13">
        <v>43466</v>
      </c>
      <c r="B1111">
        <f>YEAR(Country_Masterlist__6[[#This Row],[Year1]])</f>
        <v>2019</v>
      </c>
      <c r="C1111" t="s">
        <v>33</v>
      </c>
      <c r="D1111" t="s">
        <v>203</v>
      </c>
      <c r="E1111">
        <v>16</v>
      </c>
    </row>
    <row r="1112" spans="1:5" x14ac:dyDescent="0.35">
      <c r="A1112" s="13">
        <v>43466</v>
      </c>
      <c r="B1112">
        <f>YEAR(Country_Masterlist__6[[#This Row],[Year1]])</f>
        <v>2019</v>
      </c>
      <c r="C1112" t="s">
        <v>33</v>
      </c>
      <c r="D1112" t="s">
        <v>204</v>
      </c>
      <c r="E1112">
        <v>13</v>
      </c>
    </row>
    <row r="1113" spans="1:5" x14ac:dyDescent="0.35">
      <c r="A1113" s="13">
        <v>43466</v>
      </c>
      <c r="B1113">
        <f>YEAR(Country_Masterlist__6[[#This Row],[Year1]])</f>
        <v>2019</v>
      </c>
      <c r="D1113" t="s">
        <v>373</v>
      </c>
      <c r="E1113">
        <v>70</v>
      </c>
    </row>
    <row r="1114" spans="1:5" x14ac:dyDescent="0.35">
      <c r="A1114" s="13">
        <v>43466</v>
      </c>
      <c r="B1114">
        <f>YEAR(Country_Masterlist__6[[#This Row],[Year1]])</f>
        <v>2019</v>
      </c>
      <c r="C1114" t="s">
        <v>39</v>
      </c>
      <c r="D1114" t="s">
        <v>39</v>
      </c>
      <c r="E1114">
        <v>97</v>
      </c>
    </row>
    <row r="1115" spans="1:5" x14ac:dyDescent="0.35">
      <c r="A1115" s="13">
        <v>43831</v>
      </c>
      <c r="B1115">
        <f>YEAR(Country_Masterlist__6[[#This Row],[Year1]])</f>
        <v>2020</v>
      </c>
      <c r="C1115" t="s">
        <v>34</v>
      </c>
      <c r="D1115" t="s">
        <v>40</v>
      </c>
      <c r="E1115">
        <v>23</v>
      </c>
    </row>
    <row r="1116" spans="1:5" x14ac:dyDescent="0.35">
      <c r="A1116" s="13">
        <v>43831</v>
      </c>
      <c r="B1116">
        <f>YEAR(Country_Masterlist__6[[#This Row],[Year1]])</f>
        <v>2020</v>
      </c>
      <c r="C1116" t="s">
        <v>35</v>
      </c>
      <c r="D1116" t="s">
        <v>41</v>
      </c>
      <c r="E1116">
        <v>24</v>
      </c>
    </row>
    <row r="1117" spans="1:5" x14ac:dyDescent="0.35">
      <c r="A1117" s="13">
        <v>43831</v>
      </c>
      <c r="B1117">
        <f>YEAR(Country_Masterlist__6[[#This Row],[Year1]])</f>
        <v>2020</v>
      </c>
      <c r="C1117" t="s">
        <v>33</v>
      </c>
      <c r="D1117" t="s">
        <v>42</v>
      </c>
      <c r="E1117">
        <v>27</v>
      </c>
    </row>
    <row r="1118" spans="1:5" x14ac:dyDescent="0.35">
      <c r="A1118" s="13">
        <v>43831</v>
      </c>
      <c r="B1118">
        <f>YEAR(Country_Masterlist__6[[#This Row],[Year1]])</f>
        <v>2020</v>
      </c>
      <c r="C1118" t="s">
        <v>33</v>
      </c>
      <c r="D1118" t="s">
        <v>43</v>
      </c>
      <c r="E1118">
        <v>8</v>
      </c>
    </row>
    <row r="1119" spans="1:5" x14ac:dyDescent="0.35">
      <c r="A1119" s="13">
        <v>43831</v>
      </c>
      <c r="B1119">
        <f>YEAR(Country_Masterlist__6[[#This Row],[Year1]])</f>
        <v>2020</v>
      </c>
      <c r="C1119" t="s">
        <v>36</v>
      </c>
      <c r="D1119" t="s">
        <v>44</v>
      </c>
      <c r="E1119">
        <v>3</v>
      </c>
    </row>
    <row r="1120" spans="1:5" x14ac:dyDescent="0.35">
      <c r="A1120" s="13">
        <v>43831</v>
      </c>
      <c r="B1120">
        <f>YEAR(Country_Masterlist__6[[#This Row],[Year1]])</f>
        <v>2020</v>
      </c>
      <c r="C1120" t="s">
        <v>38</v>
      </c>
      <c r="D1120" t="s">
        <v>45</v>
      </c>
      <c r="E1120">
        <v>95</v>
      </c>
    </row>
    <row r="1121" spans="1:5" x14ac:dyDescent="0.35">
      <c r="A1121" s="13">
        <v>43831</v>
      </c>
      <c r="B1121">
        <f>YEAR(Country_Masterlist__6[[#This Row],[Year1]])</f>
        <v>2020</v>
      </c>
      <c r="C1121" t="s">
        <v>34</v>
      </c>
      <c r="D1121" t="s">
        <v>46</v>
      </c>
      <c r="E1121">
        <v>34</v>
      </c>
    </row>
    <row r="1122" spans="1:5" x14ac:dyDescent="0.35">
      <c r="A1122" s="13">
        <v>43831</v>
      </c>
      <c r="B1122">
        <f>YEAR(Country_Masterlist__6[[#This Row],[Year1]])</f>
        <v>2020</v>
      </c>
      <c r="C1122" t="s">
        <v>37</v>
      </c>
      <c r="D1122" t="s">
        <v>47</v>
      </c>
      <c r="E1122">
        <v>340</v>
      </c>
    </row>
    <row r="1123" spans="1:5" x14ac:dyDescent="0.35">
      <c r="A1123" s="13">
        <v>43831</v>
      </c>
      <c r="B1123">
        <f>YEAR(Country_Masterlist__6[[#This Row],[Year1]])</f>
        <v>2020</v>
      </c>
      <c r="C1123" t="s">
        <v>35</v>
      </c>
      <c r="D1123" t="s">
        <v>48</v>
      </c>
      <c r="E1123">
        <v>29</v>
      </c>
    </row>
    <row r="1124" spans="1:5" x14ac:dyDescent="0.35">
      <c r="A1124" s="13">
        <v>43831</v>
      </c>
      <c r="B1124">
        <f>YEAR(Country_Masterlist__6[[#This Row],[Year1]])</f>
        <v>2020</v>
      </c>
      <c r="C1124" t="s">
        <v>34</v>
      </c>
      <c r="D1124" t="s">
        <v>49</v>
      </c>
      <c r="E1124">
        <v>4</v>
      </c>
    </row>
    <row r="1125" spans="1:5" x14ac:dyDescent="0.35">
      <c r="A1125" s="13">
        <v>43831</v>
      </c>
      <c r="B1125">
        <f>YEAR(Country_Masterlist__6[[#This Row],[Year1]])</f>
        <v>2020</v>
      </c>
      <c r="C1125" t="s">
        <v>36</v>
      </c>
      <c r="D1125" t="s">
        <v>50</v>
      </c>
      <c r="E1125">
        <v>124</v>
      </c>
    </row>
    <row r="1126" spans="1:5" x14ac:dyDescent="0.35">
      <c r="A1126" s="13">
        <v>43831</v>
      </c>
      <c r="B1126">
        <f>YEAR(Country_Masterlist__6[[#This Row],[Year1]])</f>
        <v>2020</v>
      </c>
      <c r="C1126" t="s">
        <v>34</v>
      </c>
      <c r="D1126" t="s">
        <v>51</v>
      </c>
      <c r="E1126" t="s">
        <v>205</v>
      </c>
    </row>
    <row r="1127" spans="1:5" x14ac:dyDescent="0.35">
      <c r="A1127" s="13">
        <v>43831</v>
      </c>
      <c r="B1127">
        <f>YEAR(Country_Masterlist__6[[#This Row],[Year1]])</f>
        <v>2020</v>
      </c>
      <c r="C1127" t="s">
        <v>34</v>
      </c>
      <c r="D1127" t="s">
        <v>52</v>
      </c>
      <c r="E1127">
        <v>52</v>
      </c>
    </row>
    <row r="1128" spans="1:5" x14ac:dyDescent="0.35">
      <c r="A1128" s="13">
        <v>43831</v>
      </c>
      <c r="B1128">
        <f>YEAR(Country_Masterlist__6[[#This Row],[Year1]])</f>
        <v>2020</v>
      </c>
      <c r="C1128" t="s">
        <v>36</v>
      </c>
      <c r="D1128" t="s">
        <v>53</v>
      </c>
      <c r="E1128">
        <v>7</v>
      </c>
    </row>
    <row r="1129" spans="1:5" x14ac:dyDescent="0.35">
      <c r="A1129" s="13">
        <v>43831</v>
      </c>
      <c r="B1129">
        <f>YEAR(Country_Masterlist__6[[#This Row],[Year1]])</f>
        <v>2020</v>
      </c>
      <c r="C1129" t="s">
        <v>35</v>
      </c>
      <c r="D1129" t="s">
        <v>54</v>
      </c>
      <c r="E1129">
        <v>6</v>
      </c>
    </row>
    <row r="1130" spans="1:5" x14ac:dyDescent="0.35">
      <c r="A1130" s="13">
        <v>43831</v>
      </c>
      <c r="B1130">
        <f>YEAR(Country_Masterlist__6[[#This Row],[Year1]])</f>
        <v>2020</v>
      </c>
      <c r="C1130" t="s">
        <v>35</v>
      </c>
      <c r="D1130" t="s">
        <v>55</v>
      </c>
      <c r="E1130">
        <v>47</v>
      </c>
    </row>
    <row r="1131" spans="1:5" x14ac:dyDescent="0.35">
      <c r="A1131" s="13">
        <v>43831</v>
      </c>
      <c r="B1131">
        <f>YEAR(Country_Masterlist__6[[#This Row],[Year1]])</f>
        <v>2020</v>
      </c>
      <c r="C1131" t="s">
        <v>36</v>
      </c>
      <c r="D1131" t="s">
        <v>56</v>
      </c>
      <c r="E1131">
        <v>13</v>
      </c>
    </row>
    <row r="1132" spans="1:5" x14ac:dyDescent="0.35">
      <c r="A1132" s="13">
        <v>43831</v>
      </c>
      <c r="B1132">
        <f>YEAR(Country_Masterlist__6[[#This Row],[Year1]])</f>
        <v>2020</v>
      </c>
      <c r="C1132" t="s">
        <v>33</v>
      </c>
      <c r="D1132" t="s">
        <v>57</v>
      </c>
      <c r="E1132">
        <v>5</v>
      </c>
    </row>
    <row r="1133" spans="1:5" x14ac:dyDescent="0.35">
      <c r="A1133" s="13">
        <v>43831</v>
      </c>
      <c r="B1133">
        <f>YEAR(Country_Masterlist__6[[#This Row],[Year1]])</f>
        <v>2020</v>
      </c>
      <c r="C1133" t="s">
        <v>38</v>
      </c>
      <c r="D1133" t="s">
        <v>59</v>
      </c>
      <c r="E1133">
        <v>19</v>
      </c>
    </row>
    <row r="1134" spans="1:5" x14ac:dyDescent="0.35">
      <c r="A1134" s="13">
        <v>43831</v>
      </c>
      <c r="B1134">
        <f>YEAR(Country_Masterlist__6[[#This Row],[Year1]])</f>
        <v>2020</v>
      </c>
      <c r="C1134" t="s">
        <v>35</v>
      </c>
      <c r="D1134" t="s">
        <v>60</v>
      </c>
      <c r="E1134">
        <v>9</v>
      </c>
    </row>
    <row r="1135" spans="1:5" x14ac:dyDescent="0.35">
      <c r="A1135" s="13">
        <v>43831</v>
      </c>
      <c r="B1135">
        <f>YEAR(Country_Masterlist__6[[#This Row],[Year1]])</f>
        <v>2020</v>
      </c>
      <c r="C1135" t="s">
        <v>38</v>
      </c>
      <c r="D1135" t="s">
        <v>21</v>
      </c>
      <c r="E1135">
        <v>610</v>
      </c>
    </row>
    <row r="1136" spans="1:5" x14ac:dyDescent="0.35">
      <c r="A1136" s="13">
        <v>43831</v>
      </c>
      <c r="B1136">
        <f>YEAR(Country_Masterlist__6[[#This Row],[Year1]])</f>
        <v>2020</v>
      </c>
      <c r="C1136" t="s">
        <v>35</v>
      </c>
      <c r="D1136" t="s">
        <v>62</v>
      </c>
      <c r="E1136">
        <v>16</v>
      </c>
    </row>
    <row r="1137" spans="1:5" x14ac:dyDescent="0.35">
      <c r="A1137" s="13">
        <v>43831</v>
      </c>
      <c r="B1137">
        <f>YEAR(Country_Masterlist__6[[#This Row],[Year1]])</f>
        <v>2020</v>
      </c>
      <c r="C1137" t="s">
        <v>33</v>
      </c>
      <c r="D1137" t="s">
        <v>63</v>
      </c>
      <c r="E1137">
        <v>5</v>
      </c>
    </row>
    <row r="1138" spans="1:5" x14ac:dyDescent="0.35">
      <c r="A1138" s="13">
        <v>43831</v>
      </c>
      <c r="B1138">
        <f>YEAR(Country_Masterlist__6[[#This Row],[Year1]])</f>
        <v>2020</v>
      </c>
      <c r="C1138" t="s">
        <v>34</v>
      </c>
      <c r="D1138" t="s">
        <v>64</v>
      </c>
      <c r="E1138">
        <v>6</v>
      </c>
    </row>
    <row r="1139" spans="1:5" x14ac:dyDescent="0.35">
      <c r="A1139" s="13">
        <v>43831</v>
      </c>
      <c r="B1139">
        <f>YEAR(Country_Masterlist__6[[#This Row],[Year1]])</f>
        <v>2020</v>
      </c>
      <c r="C1139" t="s">
        <v>33</v>
      </c>
      <c r="D1139" t="s">
        <v>65</v>
      </c>
      <c r="E1139">
        <v>3</v>
      </c>
    </row>
    <row r="1140" spans="1:5" x14ac:dyDescent="0.35">
      <c r="A1140" s="13">
        <v>43831</v>
      </c>
      <c r="B1140">
        <f>YEAR(Country_Masterlist__6[[#This Row],[Year1]])</f>
        <v>2020</v>
      </c>
      <c r="C1140" t="s">
        <v>33</v>
      </c>
      <c r="D1140" t="s">
        <v>66</v>
      </c>
      <c r="E1140">
        <v>6</v>
      </c>
    </row>
    <row r="1141" spans="1:5" x14ac:dyDescent="0.35">
      <c r="A1141" s="13">
        <v>43831</v>
      </c>
      <c r="B1141">
        <f>YEAR(Country_Masterlist__6[[#This Row],[Year1]])</f>
        <v>2020</v>
      </c>
      <c r="C1141" t="s">
        <v>34</v>
      </c>
      <c r="D1141" t="s">
        <v>67</v>
      </c>
      <c r="E1141">
        <v>6</v>
      </c>
    </row>
    <row r="1142" spans="1:5" x14ac:dyDescent="0.35">
      <c r="A1142" s="13">
        <v>43831</v>
      </c>
      <c r="B1142">
        <f>YEAR(Country_Masterlist__6[[#This Row],[Year1]])</f>
        <v>2020</v>
      </c>
      <c r="C1142" t="s">
        <v>33</v>
      </c>
      <c r="D1142" t="s">
        <v>68</v>
      </c>
      <c r="E1142">
        <v>12</v>
      </c>
    </row>
    <row r="1143" spans="1:5" x14ac:dyDescent="0.35">
      <c r="A1143" s="13">
        <v>43831</v>
      </c>
      <c r="B1143">
        <f>YEAR(Country_Masterlist__6[[#This Row],[Year1]])</f>
        <v>2020</v>
      </c>
      <c r="C1143" t="s">
        <v>36</v>
      </c>
      <c r="D1143" t="s">
        <v>69</v>
      </c>
      <c r="E1143">
        <v>7440</v>
      </c>
    </row>
    <row r="1144" spans="1:5" x14ac:dyDescent="0.35">
      <c r="A1144" s="13">
        <v>43831</v>
      </c>
      <c r="B1144">
        <f>YEAR(Country_Masterlist__6[[#This Row],[Year1]])</f>
        <v>2020</v>
      </c>
      <c r="C1144" t="s">
        <v>38</v>
      </c>
      <c r="D1144" t="s">
        <v>72</v>
      </c>
      <c r="E1144">
        <v>467</v>
      </c>
    </row>
    <row r="1145" spans="1:5" x14ac:dyDescent="0.35">
      <c r="A1145" s="13">
        <v>43831</v>
      </c>
      <c r="B1145">
        <f>YEAR(Country_Masterlist__6[[#This Row],[Year1]])</f>
        <v>2020</v>
      </c>
      <c r="C1145" t="s">
        <v>34</v>
      </c>
      <c r="D1145" t="s">
        <v>73</v>
      </c>
      <c r="E1145">
        <v>909</v>
      </c>
    </row>
    <row r="1146" spans="1:5" x14ac:dyDescent="0.35">
      <c r="A1146" s="13">
        <v>43831</v>
      </c>
      <c r="B1146">
        <f>YEAR(Country_Masterlist__6[[#This Row],[Year1]])</f>
        <v>2020</v>
      </c>
      <c r="C1146" t="s">
        <v>38</v>
      </c>
      <c r="D1146" t="s">
        <v>20</v>
      </c>
      <c r="E1146">
        <v>493</v>
      </c>
    </row>
    <row r="1147" spans="1:5" x14ac:dyDescent="0.35">
      <c r="A1147" s="13">
        <v>43831</v>
      </c>
      <c r="B1147">
        <f>YEAR(Country_Masterlist__6[[#This Row],[Year1]])</f>
        <v>2020</v>
      </c>
      <c r="C1147" t="s">
        <v>33</v>
      </c>
      <c r="D1147" t="s">
        <v>74</v>
      </c>
      <c r="E1147">
        <v>13</v>
      </c>
    </row>
    <row r="1148" spans="1:5" x14ac:dyDescent="0.35">
      <c r="A1148" s="13">
        <v>43831</v>
      </c>
      <c r="B1148">
        <f>YEAR(Country_Masterlist__6[[#This Row],[Year1]])</f>
        <v>2020</v>
      </c>
      <c r="C1148" t="s">
        <v>33</v>
      </c>
      <c r="D1148" t="s">
        <v>75</v>
      </c>
      <c r="E1148" t="s">
        <v>205</v>
      </c>
    </row>
    <row r="1149" spans="1:5" x14ac:dyDescent="0.35">
      <c r="A1149" s="13">
        <v>43831</v>
      </c>
      <c r="B1149">
        <f>YEAR(Country_Masterlist__6[[#This Row],[Year1]])</f>
        <v>2020</v>
      </c>
      <c r="C1149" t="s">
        <v>36</v>
      </c>
      <c r="D1149" t="s">
        <v>76</v>
      </c>
      <c r="E1149">
        <v>65</v>
      </c>
    </row>
    <row r="1150" spans="1:5" x14ac:dyDescent="0.35">
      <c r="A1150" s="13">
        <v>43831</v>
      </c>
      <c r="B1150">
        <f>YEAR(Country_Masterlist__6[[#This Row],[Year1]])</f>
        <v>2020</v>
      </c>
      <c r="C1150" t="s">
        <v>33</v>
      </c>
      <c r="D1150" t="s">
        <v>77</v>
      </c>
      <c r="E1150">
        <v>8</v>
      </c>
    </row>
    <row r="1151" spans="1:5" x14ac:dyDescent="0.35">
      <c r="A1151" s="13">
        <v>43831</v>
      </c>
      <c r="B1151">
        <f>YEAR(Country_Masterlist__6[[#This Row],[Year1]])</f>
        <v>2020</v>
      </c>
      <c r="C1151" t="s">
        <v>35</v>
      </c>
      <c r="D1151" t="s">
        <v>78</v>
      </c>
      <c r="E1151">
        <v>8</v>
      </c>
    </row>
    <row r="1152" spans="1:5" x14ac:dyDescent="0.35">
      <c r="A1152" s="13">
        <v>43831</v>
      </c>
      <c r="B1152">
        <f>YEAR(Country_Masterlist__6[[#This Row],[Year1]])</f>
        <v>2020</v>
      </c>
      <c r="C1152" t="s">
        <v>36</v>
      </c>
      <c r="D1152" t="s">
        <v>79</v>
      </c>
      <c r="E1152">
        <v>103</v>
      </c>
    </row>
    <row r="1153" spans="1:5" x14ac:dyDescent="0.35">
      <c r="A1153" s="13">
        <v>43831</v>
      </c>
      <c r="B1153">
        <f>YEAR(Country_Masterlist__6[[#This Row],[Year1]])</f>
        <v>2020</v>
      </c>
      <c r="C1153" t="s">
        <v>34</v>
      </c>
      <c r="D1153" t="s">
        <v>80</v>
      </c>
      <c r="E1153">
        <v>6</v>
      </c>
    </row>
    <row r="1154" spans="1:5" x14ac:dyDescent="0.35">
      <c r="A1154" s="13">
        <v>43831</v>
      </c>
      <c r="B1154">
        <f>YEAR(Country_Masterlist__6[[#This Row],[Year1]])</f>
        <v>2020</v>
      </c>
      <c r="C1154" t="s">
        <v>35</v>
      </c>
      <c r="D1154" t="s">
        <v>81</v>
      </c>
      <c r="E1154">
        <v>53</v>
      </c>
    </row>
    <row r="1155" spans="1:5" x14ac:dyDescent="0.35">
      <c r="A1155" s="13">
        <v>43831</v>
      </c>
      <c r="B1155">
        <f>YEAR(Country_Masterlist__6[[#This Row],[Year1]])</f>
        <v>2020</v>
      </c>
      <c r="C1155" t="s">
        <v>35</v>
      </c>
      <c r="D1155" t="s">
        <v>82</v>
      </c>
      <c r="E1155">
        <v>45</v>
      </c>
    </row>
    <row r="1156" spans="1:5" x14ac:dyDescent="0.35">
      <c r="A1156" s="13">
        <v>43831</v>
      </c>
      <c r="B1156">
        <f>YEAR(Country_Masterlist__6[[#This Row],[Year1]])</f>
        <v>2020</v>
      </c>
      <c r="C1156" t="s">
        <v>36</v>
      </c>
      <c r="D1156" t="s">
        <v>84</v>
      </c>
      <c r="E1156">
        <v>11</v>
      </c>
    </row>
    <row r="1157" spans="1:5" x14ac:dyDescent="0.35">
      <c r="A1157" s="13">
        <v>43831</v>
      </c>
      <c r="B1157">
        <f>YEAR(Country_Masterlist__6[[#This Row],[Year1]])</f>
        <v>2020</v>
      </c>
      <c r="C1157" t="s">
        <v>36</v>
      </c>
      <c r="D1157" t="s">
        <v>85</v>
      </c>
      <c r="E1157">
        <v>446</v>
      </c>
    </row>
    <row r="1158" spans="1:5" x14ac:dyDescent="0.35">
      <c r="A1158" s="13">
        <v>43831</v>
      </c>
      <c r="B1158">
        <f>YEAR(Country_Masterlist__6[[#This Row],[Year1]])</f>
        <v>2020</v>
      </c>
      <c r="C1158" t="s">
        <v>38</v>
      </c>
      <c r="D1158" t="s">
        <v>86</v>
      </c>
      <c r="E1158">
        <v>358</v>
      </c>
    </row>
    <row r="1159" spans="1:5" x14ac:dyDescent="0.35">
      <c r="A1159" s="13">
        <v>43831</v>
      </c>
      <c r="B1159">
        <f>YEAR(Country_Masterlist__6[[#This Row],[Year1]])</f>
        <v>2020</v>
      </c>
      <c r="C1159" t="s">
        <v>33</v>
      </c>
      <c r="D1159" t="s">
        <v>87</v>
      </c>
      <c r="E1159">
        <v>113</v>
      </c>
    </row>
    <row r="1160" spans="1:5" x14ac:dyDescent="0.35">
      <c r="A1160" s="13">
        <v>43831</v>
      </c>
      <c r="B1160">
        <f>YEAR(Country_Masterlist__6[[#This Row],[Year1]])</f>
        <v>2020</v>
      </c>
      <c r="C1160" t="s">
        <v>36</v>
      </c>
      <c r="D1160" t="s">
        <v>16</v>
      </c>
      <c r="E1160">
        <v>773</v>
      </c>
    </row>
    <row r="1161" spans="1:5" x14ac:dyDescent="0.35">
      <c r="A1161" s="13">
        <v>43831</v>
      </c>
      <c r="B1161">
        <f>YEAR(Country_Masterlist__6[[#This Row],[Year1]])</f>
        <v>2020</v>
      </c>
      <c r="C1161" t="s">
        <v>33</v>
      </c>
      <c r="D1161" t="s">
        <v>89</v>
      </c>
      <c r="E1161">
        <v>6</v>
      </c>
    </row>
    <row r="1162" spans="1:5" x14ac:dyDescent="0.35">
      <c r="A1162" s="13">
        <v>43831</v>
      </c>
      <c r="B1162">
        <f>YEAR(Country_Masterlist__6[[#This Row],[Year1]])</f>
        <v>2020</v>
      </c>
      <c r="C1162" t="s">
        <v>35</v>
      </c>
      <c r="D1162" t="s">
        <v>90</v>
      </c>
      <c r="E1162">
        <v>18</v>
      </c>
    </row>
    <row r="1163" spans="1:5" x14ac:dyDescent="0.35">
      <c r="A1163" s="13">
        <v>43831</v>
      </c>
      <c r="B1163">
        <f>YEAR(Country_Masterlist__6[[#This Row],[Year1]])</f>
        <v>2020</v>
      </c>
      <c r="C1163" t="s">
        <v>33</v>
      </c>
      <c r="D1163" t="s">
        <v>91</v>
      </c>
      <c r="E1163">
        <v>18</v>
      </c>
    </row>
    <row r="1164" spans="1:5" x14ac:dyDescent="0.35">
      <c r="A1164" s="13">
        <v>43831</v>
      </c>
      <c r="B1164">
        <f>YEAR(Country_Masterlist__6[[#This Row],[Year1]])</f>
        <v>2020</v>
      </c>
      <c r="C1164" t="s">
        <v>37</v>
      </c>
      <c r="D1164" t="s">
        <v>92</v>
      </c>
      <c r="E1164">
        <v>12</v>
      </c>
    </row>
    <row r="1165" spans="1:5" x14ac:dyDescent="0.35">
      <c r="A1165" s="13">
        <v>43831</v>
      </c>
      <c r="B1165">
        <f>YEAR(Country_Masterlist__6[[#This Row],[Year1]])</f>
        <v>2020</v>
      </c>
      <c r="C1165" t="s">
        <v>35</v>
      </c>
      <c r="D1165" t="s">
        <v>93</v>
      </c>
      <c r="E1165">
        <v>16</v>
      </c>
    </row>
    <row r="1166" spans="1:5" x14ac:dyDescent="0.35">
      <c r="A1166" s="13">
        <v>43831</v>
      </c>
      <c r="B1166">
        <f>YEAR(Country_Masterlist__6[[#This Row],[Year1]])</f>
        <v>2020</v>
      </c>
      <c r="C1166" t="s">
        <v>35</v>
      </c>
      <c r="D1166" t="s">
        <v>94</v>
      </c>
      <c r="E1166">
        <v>382</v>
      </c>
    </row>
    <row r="1167" spans="1:5" x14ac:dyDescent="0.35">
      <c r="A1167" s="13">
        <v>43831</v>
      </c>
      <c r="B1167">
        <f>YEAR(Country_Masterlist__6[[#This Row],[Year1]])</f>
        <v>2020</v>
      </c>
      <c r="C1167" t="s">
        <v>33</v>
      </c>
      <c r="D1167" t="s">
        <v>95</v>
      </c>
      <c r="E1167">
        <v>5</v>
      </c>
    </row>
    <row r="1168" spans="1:5" x14ac:dyDescent="0.35">
      <c r="A1168" s="13">
        <v>43831</v>
      </c>
      <c r="B1168">
        <f>YEAR(Country_Masterlist__6[[#This Row],[Year1]])</f>
        <v>2020</v>
      </c>
      <c r="C1168" t="s">
        <v>33</v>
      </c>
      <c r="D1168" t="s">
        <v>96</v>
      </c>
      <c r="E1168">
        <v>4</v>
      </c>
    </row>
    <row r="1169" spans="1:5" x14ac:dyDescent="0.35">
      <c r="A1169" s="13">
        <v>43831</v>
      </c>
      <c r="B1169">
        <f>YEAR(Country_Masterlist__6[[#This Row],[Year1]])</f>
        <v>2020</v>
      </c>
      <c r="C1169" t="s">
        <v>34</v>
      </c>
      <c r="D1169" t="s">
        <v>8</v>
      </c>
      <c r="E1169">
        <v>5</v>
      </c>
    </row>
    <row r="1170" spans="1:5" x14ac:dyDescent="0.35">
      <c r="A1170" s="13">
        <v>43831</v>
      </c>
      <c r="B1170">
        <f>YEAR(Country_Masterlist__6[[#This Row],[Year1]])</f>
        <v>2020</v>
      </c>
      <c r="C1170" t="s">
        <v>35</v>
      </c>
      <c r="D1170" t="s">
        <v>97</v>
      </c>
      <c r="E1170">
        <v>301</v>
      </c>
    </row>
    <row r="1171" spans="1:5" x14ac:dyDescent="0.35">
      <c r="A1171" s="13">
        <v>43831</v>
      </c>
      <c r="B1171">
        <f>YEAR(Country_Masterlist__6[[#This Row],[Year1]])</f>
        <v>2020</v>
      </c>
      <c r="C1171" t="s">
        <v>33</v>
      </c>
      <c r="D1171" t="s">
        <v>98</v>
      </c>
      <c r="E1171">
        <v>62</v>
      </c>
    </row>
    <row r="1172" spans="1:5" x14ac:dyDescent="0.35">
      <c r="A1172" s="13">
        <v>43831</v>
      </c>
      <c r="B1172">
        <f>YEAR(Country_Masterlist__6[[#This Row],[Year1]])</f>
        <v>2020</v>
      </c>
      <c r="C1172" t="s">
        <v>35</v>
      </c>
      <c r="D1172" t="s">
        <v>99</v>
      </c>
      <c r="E1172">
        <v>62</v>
      </c>
    </row>
    <row r="1173" spans="1:5" x14ac:dyDescent="0.35">
      <c r="A1173" s="13">
        <v>43831</v>
      </c>
      <c r="B1173">
        <f>YEAR(Country_Masterlist__6[[#This Row],[Year1]])</f>
        <v>2020</v>
      </c>
      <c r="C1173" t="s">
        <v>36</v>
      </c>
      <c r="D1173" t="s">
        <v>100</v>
      </c>
      <c r="E1173">
        <v>5</v>
      </c>
    </row>
    <row r="1174" spans="1:5" x14ac:dyDescent="0.35">
      <c r="A1174" s="13">
        <v>43831</v>
      </c>
      <c r="B1174">
        <f>YEAR(Country_Masterlist__6[[#This Row],[Year1]])</f>
        <v>2020</v>
      </c>
      <c r="C1174" t="s">
        <v>36</v>
      </c>
      <c r="D1174" t="s">
        <v>15</v>
      </c>
      <c r="E1174">
        <v>2157</v>
      </c>
    </row>
    <row r="1175" spans="1:5" x14ac:dyDescent="0.35">
      <c r="A1175" s="13">
        <v>43831</v>
      </c>
      <c r="B1175">
        <f>YEAR(Country_Masterlist__6[[#This Row],[Year1]])</f>
        <v>2020</v>
      </c>
      <c r="C1175" t="s">
        <v>33</v>
      </c>
      <c r="D1175" t="s">
        <v>101</v>
      </c>
      <c r="E1175">
        <v>9</v>
      </c>
    </row>
    <row r="1176" spans="1:5" x14ac:dyDescent="0.35">
      <c r="A1176" s="13">
        <v>43831</v>
      </c>
      <c r="B1176">
        <f>YEAR(Country_Masterlist__6[[#This Row],[Year1]])</f>
        <v>2020</v>
      </c>
      <c r="C1176" t="s">
        <v>38</v>
      </c>
      <c r="D1176" t="s">
        <v>103</v>
      </c>
      <c r="E1176">
        <v>59</v>
      </c>
    </row>
    <row r="1177" spans="1:5" x14ac:dyDescent="0.35">
      <c r="A1177" s="13">
        <v>43831</v>
      </c>
      <c r="B1177">
        <f>YEAR(Country_Masterlist__6[[#This Row],[Year1]])</f>
        <v>2020</v>
      </c>
      <c r="C1177" t="s">
        <v>36</v>
      </c>
      <c r="D1177" t="s">
        <v>104</v>
      </c>
      <c r="E1177">
        <v>85</v>
      </c>
    </row>
    <row r="1178" spans="1:5" x14ac:dyDescent="0.35">
      <c r="A1178" s="13">
        <v>43831</v>
      </c>
      <c r="B1178">
        <f>YEAR(Country_Masterlist__6[[#This Row],[Year1]])</f>
        <v>2020</v>
      </c>
      <c r="C1178" t="s">
        <v>36</v>
      </c>
      <c r="D1178" t="s">
        <v>17</v>
      </c>
      <c r="E1178">
        <v>1243</v>
      </c>
    </row>
    <row r="1179" spans="1:5" x14ac:dyDescent="0.35">
      <c r="A1179" s="13">
        <v>43831</v>
      </c>
      <c r="B1179">
        <f>YEAR(Country_Masterlist__6[[#This Row],[Year1]])</f>
        <v>2020</v>
      </c>
      <c r="C1179" t="s">
        <v>35</v>
      </c>
      <c r="D1179" t="s">
        <v>105</v>
      </c>
      <c r="E1179">
        <v>94</v>
      </c>
    </row>
    <row r="1180" spans="1:5" x14ac:dyDescent="0.35">
      <c r="A1180" s="13">
        <v>43831</v>
      </c>
      <c r="B1180">
        <f>YEAR(Country_Masterlist__6[[#This Row],[Year1]])</f>
        <v>2020</v>
      </c>
      <c r="C1180" t="s">
        <v>35</v>
      </c>
      <c r="D1180" t="s">
        <v>106</v>
      </c>
      <c r="E1180" t="s">
        <v>205</v>
      </c>
    </row>
    <row r="1181" spans="1:5" x14ac:dyDescent="0.35">
      <c r="A1181" s="13">
        <v>43831</v>
      </c>
      <c r="B1181">
        <f>YEAR(Country_Masterlist__6[[#This Row],[Year1]])</f>
        <v>2020</v>
      </c>
      <c r="C1181" t="s">
        <v>34</v>
      </c>
      <c r="D1181" t="s">
        <v>22</v>
      </c>
      <c r="E1181">
        <v>944</v>
      </c>
    </row>
    <row r="1182" spans="1:5" x14ac:dyDescent="0.35">
      <c r="A1182" s="13">
        <v>43831</v>
      </c>
      <c r="B1182">
        <f>YEAR(Country_Masterlist__6[[#This Row],[Year1]])</f>
        <v>2020</v>
      </c>
      <c r="C1182" t="s">
        <v>34</v>
      </c>
      <c r="D1182" t="s">
        <v>107</v>
      </c>
      <c r="E1182">
        <v>55</v>
      </c>
    </row>
    <row r="1183" spans="1:5" x14ac:dyDescent="0.35">
      <c r="A1183" s="13">
        <v>43831</v>
      </c>
      <c r="B1183">
        <f>YEAR(Country_Masterlist__6[[#This Row],[Year1]])</f>
        <v>2020</v>
      </c>
      <c r="C1183" t="s">
        <v>34</v>
      </c>
      <c r="D1183" t="s">
        <v>108</v>
      </c>
      <c r="E1183">
        <v>283</v>
      </c>
    </row>
    <row r="1184" spans="1:5" x14ac:dyDescent="0.35">
      <c r="A1184" s="13">
        <v>43831</v>
      </c>
      <c r="B1184">
        <f>YEAR(Country_Masterlist__6[[#This Row],[Year1]])</f>
        <v>2020</v>
      </c>
      <c r="C1184" t="s">
        <v>34</v>
      </c>
      <c r="D1184" t="s">
        <v>109</v>
      </c>
      <c r="E1184">
        <v>30</v>
      </c>
    </row>
    <row r="1185" spans="1:5" x14ac:dyDescent="0.35">
      <c r="A1185" s="13">
        <v>43831</v>
      </c>
      <c r="B1185">
        <f>YEAR(Country_Masterlist__6[[#This Row],[Year1]])</f>
        <v>2020</v>
      </c>
      <c r="C1185" t="s">
        <v>35</v>
      </c>
      <c r="D1185" t="s">
        <v>110</v>
      </c>
      <c r="E1185">
        <v>313</v>
      </c>
    </row>
    <row r="1186" spans="1:5" x14ac:dyDescent="0.35">
      <c r="A1186" s="13">
        <v>43831</v>
      </c>
      <c r="B1186">
        <f>YEAR(Country_Masterlist__6[[#This Row],[Year1]])</f>
        <v>2020</v>
      </c>
      <c r="C1186" t="s">
        <v>34</v>
      </c>
      <c r="D1186" t="s">
        <v>111</v>
      </c>
      <c r="E1186">
        <v>101</v>
      </c>
    </row>
    <row r="1187" spans="1:5" x14ac:dyDescent="0.35">
      <c r="A1187" s="13">
        <v>43831</v>
      </c>
      <c r="B1187">
        <f>YEAR(Country_Masterlist__6[[#This Row],[Year1]])</f>
        <v>2020</v>
      </c>
      <c r="C1187" t="s">
        <v>35</v>
      </c>
      <c r="D1187" t="s">
        <v>112</v>
      </c>
      <c r="E1187">
        <v>507</v>
      </c>
    </row>
    <row r="1188" spans="1:5" x14ac:dyDescent="0.35">
      <c r="A1188" s="13">
        <v>43831</v>
      </c>
      <c r="B1188">
        <f>YEAR(Country_Masterlist__6[[#This Row],[Year1]])</f>
        <v>2020</v>
      </c>
      <c r="C1188" t="s">
        <v>36</v>
      </c>
      <c r="D1188" t="s">
        <v>113</v>
      </c>
      <c r="E1188">
        <v>242</v>
      </c>
    </row>
    <row r="1189" spans="1:5" x14ac:dyDescent="0.35">
      <c r="A1189" s="13">
        <v>43831</v>
      </c>
      <c r="B1189">
        <f>YEAR(Country_Masterlist__6[[#This Row],[Year1]])</f>
        <v>2020</v>
      </c>
      <c r="C1189" t="s">
        <v>34</v>
      </c>
      <c r="D1189" t="s">
        <v>114</v>
      </c>
      <c r="E1189">
        <v>309</v>
      </c>
    </row>
    <row r="1190" spans="1:5" x14ac:dyDescent="0.35">
      <c r="A1190" s="13">
        <v>43831</v>
      </c>
      <c r="B1190">
        <f>YEAR(Country_Masterlist__6[[#This Row],[Year1]])</f>
        <v>2020</v>
      </c>
      <c r="C1190" t="s">
        <v>34</v>
      </c>
      <c r="D1190" t="s">
        <v>115</v>
      </c>
      <c r="E1190">
        <v>103</v>
      </c>
    </row>
    <row r="1191" spans="1:5" x14ac:dyDescent="0.35">
      <c r="A1191" s="13">
        <v>43831</v>
      </c>
      <c r="B1191">
        <f>YEAR(Country_Masterlist__6[[#This Row],[Year1]])</f>
        <v>2020</v>
      </c>
      <c r="C1191" t="s">
        <v>34</v>
      </c>
      <c r="D1191" t="s">
        <v>116</v>
      </c>
      <c r="E1191">
        <v>28</v>
      </c>
    </row>
    <row r="1192" spans="1:5" x14ac:dyDescent="0.35">
      <c r="A1192" s="13">
        <v>43831</v>
      </c>
      <c r="B1192">
        <f>YEAR(Country_Masterlist__6[[#This Row],[Year1]])</f>
        <v>2020</v>
      </c>
      <c r="C1192" t="s">
        <v>33</v>
      </c>
      <c r="D1192" t="s">
        <v>117</v>
      </c>
      <c r="E1192">
        <v>49</v>
      </c>
    </row>
    <row r="1193" spans="1:5" x14ac:dyDescent="0.35">
      <c r="A1193" s="13">
        <v>43831</v>
      </c>
      <c r="B1193">
        <f>YEAR(Country_Masterlist__6[[#This Row],[Year1]])</f>
        <v>2020</v>
      </c>
      <c r="C1193" t="s">
        <v>34</v>
      </c>
      <c r="D1193" t="s">
        <v>118</v>
      </c>
      <c r="E1193">
        <v>761</v>
      </c>
    </row>
    <row r="1194" spans="1:5" x14ac:dyDescent="0.35">
      <c r="A1194" s="13">
        <v>43831</v>
      </c>
      <c r="B1194">
        <f>YEAR(Country_Masterlist__6[[#This Row],[Year1]])</f>
        <v>2020</v>
      </c>
      <c r="C1194" t="s">
        <v>35</v>
      </c>
      <c r="D1194" t="s">
        <v>119</v>
      </c>
      <c r="E1194">
        <v>6</v>
      </c>
    </row>
    <row r="1195" spans="1:5" x14ac:dyDescent="0.35">
      <c r="A1195" s="13">
        <v>43831</v>
      </c>
      <c r="B1195">
        <f>YEAR(Country_Masterlist__6[[#This Row],[Year1]])</f>
        <v>2020</v>
      </c>
      <c r="C1195" t="s">
        <v>34</v>
      </c>
      <c r="D1195" t="s">
        <v>120</v>
      </c>
      <c r="E1195">
        <v>32</v>
      </c>
    </row>
    <row r="1196" spans="1:5" x14ac:dyDescent="0.35">
      <c r="A1196" s="13">
        <v>43831</v>
      </c>
      <c r="B1196">
        <f>YEAR(Country_Masterlist__6[[#This Row],[Year1]])</f>
        <v>2020</v>
      </c>
      <c r="C1196" t="s">
        <v>34</v>
      </c>
      <c r="D1196" t="s">
        <v>121</v>
      </c>
      <c r="E1196">
        <v>3</v>
      </c>
    </row>
    <row r="1197" spans="1:5" x14ac:dyDescent="0.35">
      <c r="A1197" s="13">
        <v>43831</v>
      </c>
      <c r="B1197">
        <f>YEAR(Country_Masterlist__6[[#This Row],[Year1]])</f>
        <v>2020</v>
      </c>
      <c r="C1197" t="s">
        <v>34</v>
      </c>
      <c r="D1197" t="s">
        <v>122</v>
      </c>
      <c r="E1197" t="s">
        <v>205</v>
      </c>
    </row>
    <row r="1198" spans="1:5" x14ac:dyDescent="0.35">
      <c r="A1198" s="13">
        <v>43831</v>
      </c>
      <c r="B1198">
        <f>YEAR(Country_Masterlist__6[[#This Row],[Year1]])</f>
        <v>2020</v>
      </c>
      <c r="C1198" t="s">
        <v>35</v>
      </c>
      <c r="D1198" t="s">
        <v>123</v>
      </c>
      <c r="E1198">
        <v>35</v>
      </c>
    </row>
    <row r="1199" spans="1:5" x14ac:dyDescent="0.35">
      <c r="A1199" s="13">
        <v>43831</v>
      </c>
      <c r="B1199">
        <f>YEAR(Country_Masterlist__6[[#This Row],[Year1]])</f>
        <v>2020</v>
      </c>
      <c r="C1199" t="s">
        <v>34</v>
      </c>
      <c r="D1199" t="s">
        <v>124</v>
      </c>
      <c r="E1199">
        <v>90</v>
      </c>
    </row>
    <row r="1200" spans="1:5" x14ac:dyDescent="0.35">
      <c r="A1200" s="13">
        <v>43831</v>
      </c>
      <c r="B1200">
        <f>YEAR(Country_Masterlist__6[[#This Row],[Year1]])</f>
        <v>2020</v>
      </c>
      <c r="C1200" t="s">
        <v>33</v>
      </c>
      <c r="D1200" t="s">
        <v>125</v>
      </c>
      <c r="E1200">
        <v>8</v>
      </c>
    </row>
    <row r="1201" spans="1:5" x14ac:dyDescent="0.35">
      <c r="A1201" s="13">
        <v>43831</v>
      </c>
      <c r="B1201">
        <f>YEAR(Country_Masterlist__6[[#This Row],[Year1]])</f>
        <v>2020</v>
      </c>
      <c r="C1201" t="s">
        <v>33</v>
      </c>
      <c r="D1201" t="s">
        <v>126</v>
      </c>
      <c r="E1201">
        <v>13</v>
      </c>
    </row>
    <row r="1202" spans="1:5" x14ac:dyDescent="0.35">
      <c r="A1202" s="13">
        <v>43831</v>
      </c>
      <c r="B1202">
        <f>YEAR(Country_Masterlist__6[[#This Row],[Year1]])</f>
        <v>2020</v>
      </c>
      <c r="C1202" t="s">
        <v>35</v>
      </c>
      <c r="D1202" t="s">
        <v>127</v>
      </c>
      <c r="E1202">
        <v>54</v>
      </c>
    </row>
    <row r="1203" spans="1:5" x14ac:dyDescent="0.35">
      <c r="A1203" s="13">
        <v>43831</v>
      </c>
      <c r="B1203">
        <f>YEAR(Country_Masterlist__6[[#This Row],[Year1]])</f>
        <v>2020</v>
      </c>
      <c r="C1203" t="s">
        <v>33</v>
      </c>
      <c r="D1203" t="s">
        <v>129</v>
      </c>
      <c r="E1203" t="s">
        <v>205</v>
      </c>
    </row>
    <row r="1204" spans="1:5" x14ac:dyDescent="0.35">
      <c r="A1204" s="13">
        <v>43831</v>
      </c>
      <c r="B1204">
        <f>YEAR(Country_Masterlist__6[[#This Row],[Year1]])</f>
        <v>2020</v>
      </c>
      <c r="C1204" t="s">
        <v>34</v>
      </c>
      <c r="D1204" t="s">
        <v>131</v>
      </c>
      <c r="E1204">
        <v>11</v>
      </c>
    </row>
    <row r="1205" spans="1:5" x14ac:dyDescent="0.35">
      <c r="A1205" s="13">
        <v>43831</v>
      </c>
      <c r="B1205">
        <f>YEAR(Country_Masterlist__6[[#This Row],[Year1]])</f>
        <v>2020</v>
      </c>
      <c r="C1205" t="s">
        <v>33</v>
      </c>
      <c r="D1205" t="s">
        <v>132</v>
      </c>
      <c r="E1205">
        <v>18</v>
      </c>
    </row>
    <row r="1206" spans="1:5" x14ac:dyDescent="0.35">
      <c r="A1206" s="13">
        <v>43831</v>
      </c>
      <c r="B1206">
        <f>YEAR(Country_Masterlist__6[[#This Row],[Year1]])</f>
        <v>2020</v>
      </c>
      <c r="C1206" t="s">
        <v>33</v>
      </c>
      <c r="D1206" t="s">
        <v>136</v>
      </c>
      <c r="E1206">
        <v>5</v>
      </c>
    </row>
    <row r="1207" spans="1:5" x14ac:dyDescent="0.35">
      <c r="A1207" s="13">
        <v>43831</v>
      </c>
      <c r="B1207">
        <f>YEAR(Country_Masterlist__6[[#This Row],[Year1]])</f>
        <v>2020</v>
      </c>
      <c r="C1207" t="s">
        <v>36</v>
      </c>
      <c r="D1207" t="s">
        <v>14</v>
      </c>
      <c r="E1207">
        <v>27252</v>
      </c>
    </row>
    <row r="1208" spans="1:5" x14ac:dyDescent="0.35">
      <c r="A1208" s="13">
        <v>43831</v>
      </c>
      <c r="B1208">
        <f>YEAR(Country_Masterlist__6[[#This Row],[Year1]])</f>
        <v>2020</v>
      </c>
      <c r="C1208" t="s">
        <v>37</v>
      </c>
      <c r="D1208" t="s">
        <v>137</v>
      </c>
      <c r="E1208">
        <v>5</v>
      </c>
    </row>
    <row r="1209" spans="1:5" x14ac:dyDescent="0.35">
      <c r="A1209" s="13">
        <v>43831</v>
      </c>
      <c r="B1209">
        <f>YEAR(Country_Masterlist__6[[#This Row],[Year1]])</f>
        <v>2020</v>
      </c>
      <c r="C1209" t="s">
        <v>35</v>
      </c>
      <c r="D1209" t="s">
        <v>138</v>
      </c>
      <c r="E1209">
        <v>23</v>
      </c>
    </row>
    <row r="1210" spans="1:5" x14ac:dyDescent="0.35">
      <c r="A1210" s="13">
        <v>43831</v>
      </c>
      <c r="B1210">
        <f>YEAR(Country_Masterlist__6[[#This Row],[Year1]])</f>
        <v>2020</v>
      </c>
      <c r="C1210" t="s">
        <v>34</v>
      </c>
      <c r="D1210" t="s">
        <v>139</v>
      </c>
      <c r="E1210">
        <v>26</v>
      </c>
    </row>
    <row r="1211" spans="1:5" x14ac:dyDescent="0.35">
      <c r="A1211" s="13">
        <v>43831</v>
      </c>
      <c r="B1211">
        <f>YEAR(Country_Masterlist__6[[#This Row],[Year1]])</f>
        <v>2020</v>
      </c>
      <c r="C1211" t="s">
        <v>35</v>
      </c>
      <c r="D1211" t="s">
        <v>140</v>
      </c>
      <c r="E1211">
        <v>6</v>
      </c>
    </row>
    <row r="1212" spans="1:5" x14ac:dyDescent="0.35">
      <c r="A1212" s="13">
        <v>43831</v>
      </c>
      <c r="B1212">
        <f>YEAR(Country_Masterlist__6[[#This Row],[Year1]])</f>
        <v>2020</v>
      </c>
      <c r="C1212" t="s">
        <v>33</v>
      </c>
      <c r="D1212" t="s">
        <v>141</v>
      </c>
      <c r="E1212">
        <v>45</v>
      </c>
    </row>
    <row r="1213" spans="1:5" x14ac:dyDescent="0.35">
      <c r="A1213" s="13">
        <v>43831</v>
      </c>
      <c r="B1213">
        <f>YEAR(Country_Masterlist__6[[#This Row],[Year1]])</f>
        <v>2020</v>
      </c>
      <c r="C1213" t="s">
        <v>34</v>
      </c>
      <c r="D1213" t="s">
        <v>144</v>
      </c>
      <c r="E1213">
        <v>26</v>
      </c>
    </row>
    <row r="1214" spans="1:5" x14ac:dyDescent="0.35">
      <c r="A1214" s="13">
        <v>43831</v>
      </c>
      <c r="B1214">
        <f>YEAR(Country_Masterlist__6[[#This Row],[Year1]])</f>
        <v>2020</v>
      </c>
      <c r="C1214" t="s">
        <v>35</v>
      </c>
      <c r="D1214" t="s">
        <v>145</v>
      </c>
      <c r="E1214">
        <v>144</v>
      </c>
    </row>
    <row r="1215" spans="1:5" x14ac:dyDescent="0.35">
      <c r="A1215" s="13">
        <v>43831</v>
      </c>
      <c r="B1215">
        <f>YEAR(Country_Masterlist__6[[#This Row],[Year1]])</f>
        <v>2020</v>
      </c>
      <c r="C1215" t="s">
        <v>37</v>
      </c>
      <c r="D1215" t="s">
        <v>146</v>
      </c>
      <c r="E1215">
        <v>113</v>
      </c>
    </row>
    <row r="1216" spans="1:5" x14ac:dyDescent="0.35">
      <c r="A1216" s="13">
        <v>43831</v>
      </c>
      <c r="B1216">
        <f>YEAR(Country_Masterlist__6[[#This Row],[Year1]])</f>
        <v>2020</v>
      </c>
      <c r="C1216" t="s">
        <v>36</v>
      </c>
      <c r="D1216" t="s">
        <v>147</v>
      </c>
      <c r="E1216">
        <v>112</v>
      </c>
    </row>
    <row r="1217" spans="1:5" x14ac:dyDescent="0.35">
      <c r="A1217" s="13">
        <v>43831</v>
      </c>
      <c r="B1217">
        <f>YEAR(Country_Masterlist__6[[#This Row],[Year1]])</f>
        <v>2020</v>
      </c>
      <c r="C1217" t="s">
        <v>33</v>
      </c>
      <c r="D1217" t="s">
        <v>148</v>
      </c>
      <c r="E1217">
        <v>3</v>
      </c>
    </row>
    <row r="1218" spans="1:5" x14ac:dyDescent="0.35">
      <c r="A1218" s="13">
        <v>43831</v>
      </c>
      <c r="B1218">
        <f>YEAR(Country_Masterlist__6[[#This Row],[Year1]])</f>
        <v>2020</v>
      </c>
      <c r="C1218" t="s">
        <v>33</v>
      </c>
      <c r="D1218" t="s">
        <v>149</v>
      </c>
      <c r="E1218">
        <v>156</v>
      </c>
    </row>
    <row r="1219" spans="1:5" x14ac:dyDescent="0.35">
      <c r="A1219" s="13">
        <v>43831</v>
      </c>
      <c r="B1219">
        <f>YEAR(Country_Masterlist__6[[#This Row],[Year1]])</f>
        <v>2020</v>
      </c>
      <c r="C1219" t="s">
        <v>35</v>
      </c>
      <c r="D1219" t="s">
        <v>322</v>
      </c>
      <c r="E1219">
        <v>7</v>
      </c>
    </row>
    <row r="1220" spans="1:5" x14ac:dyDescent="0.35">
      <c r="A1220" s="13">
        <v>43831</v>
      </c>
      <c r="B1220">
        <f>YEAR(Country_Masterlist__6[[#This Row],[Year1]])</f>
        <v>2020</v>
      </c>
      <c r="C1220" t="s">
        <v>35</v>
      </c>
      <c r="D1220" t="s">
        <v>150</v>
      </c>
      <c r="E1220">
        <v>30</v>
      </c>
    </row>
    <row r="1221" spans="1:5" x14ac:dyDescent="0.35">
      <c r="A1221" s="13">
        <v>43831</v>
      </c>
      <c r="B1221">
        <f>YEAR(Country_Masterlist__6[[#This Row],[Year1]])</f>
        <v>2020</v>
      </c>
      <c r="C1221" t="s">
        <v>34</v>
      </c>
      <c r="D1221" t="s">
        <v>151</v>
      </c>
      <c r="E1221">
        <v>4</v>
      </c>
    </row>
    <row r="1222" spans="1:5" x14ac:dyDescent="0.35">
      <c r="A1222" s="13">
        <v>43831</v>
      </c>
      <c r="B1222">
        <f>YEAR(Country_Masterlist__6[[#This Row],[Year1]])</f>
        <v>2020</v>
      </c>
      <c r="C1222" t="s">
        <v>34</v>
      </c>
      <c r="D1222" t="s">
        <v>152</v>
      </c>
      <c r="E1222">
        <v>195</v>
      </c>
    </row>
    <row r="1223" spans="1:5" x14ac:dyDescent="0.35">
      <c r="A1223" s="13">
        <v>43831</v>
      </c>
      <c r="B1223">
        <f>YEAR(Country_Masterlist__6[[#This Row],[Year1]])</f>
        <v>2020</v>
      </c>
      <c r="C1223" t="s">
        <v>36</v>
      </c>
      <c r="D1223" t="s">
        <v>154</v>
      </c>
      <c r="E1223">
        <v>15</v>
      </c>
    </row>
    <row r="1224" spans="1:5" x14ac:dyDescent="0.35">
      <c r="A1224" s="13">
        <v>43831</v>
      </c>
      <c r="B1224">
        <f>YEAR(Country_Masterlist__6[[#This Row],[Year1]])</f>
        <v>2020</v>
      </c>
      <c r="C1224" t="s">
        <v>38</v>
      </c>
      <c r="D1224" t="s">
        <v>155</v>
      </c>
      <c r="E1224">
        <v>18</v>
      </c>
    </row>
    <row r="1225" spans="1:5" x14ac:dyDescent="0.35">
      <c r="A1225" s="13">
        <v>43831</v>
      </c>
      <c r="B1225">
        <f>YEAR(Country_Masterlist__6[[#This Row],[Year1]])</f>
        <v>2020</v>
      </c>
      <c r="C1225" t="s">
        <v>38</v>
      </c>
      <c r="D1225" t="s">
        <v>156</v>
      </c>
      <c r="E1225">
        <v>116</v>
      </c>
    </row>
    <row r="1226" spans="1:5" x14ac:dyDescent="0.35">
      <c r="A1226" s="13">
        <v>43831</v>
      </c>
      <c r="B1226">
        <f>YEAR(Country_Masterlist__6[[#This Row],[Year1]])</f>
        <v>2020</v>
      </c>
      <c r="C1226" t="s">
        <v>34</v>
      </c>
      <c r="D1226" t="s">
        <v>18</v>
      </c>
      <c r="E1226">
        <v>254</v>
      </c>
    </row>
    <row r="1227" spans="1:5" x14ac:dyDescent="0.35">
      <c r="A1227" s="13">
        <v>43831</v>
      </c>
      <c r="B1227">
        <f>YEAR(Country_Masterlist__6[[#This Row],[Year1]])</f>
        <v>2020</v>
      </c>
      <c r="C1227" t="s">
        <v>35</v>
      </c>
      <c r="D1227" t="s">
        <v>157</v>
      </c>
      <c r="E1227">
        <v>181</v>
      </c>
    </row>
    <row r="1228" spans="1:5" x14ac:dyDescent="0.35">
      <c r="A1228" s="13">
        <v>43831</v>
      </c>
      <c r="B1228">
        <f>YEAR(Country_Masterlist__6[[#This Row],[Year1]])</f>
        <v>2020</v>
      </c>
      <c r="C1228" t="s">
        <v>35</v>
      </c>
      <c r="D1228" t="s">
        <v>158</v>
      </c>
      <c r="E1228">
        <v>135</v>
      </c>
    </row>
    <row r="1229" spans="1:5" x14ac:dyDescent="0.35">
      <c r="A1229" s="13">
        <v>43831</v>
      </c>
      <c r="B1229">
        <f>YEAR(Country_Masterlist__6[[#This Row],[Year1]])</f>
        <v>2020</v>
      </c>
      <c r="C1229" t="s">
        <v>34</v>
      </c>
      <c r="D1229" t="s">
        <v>159</v>
      </c>
      <c r="E1229" t="s">
        <v>205</v>
      </c>
    </row>
    <row r="1230" spans="1:5" x14ac:dyDescent="0.35">
      <c r="A1230" s="13">
        <v>43831</v>
      </c>
      <c r="B1230">
        <f>YEAR(Country_Masterlist__6[[#This Row],[Year1]])</f>
        <v>2020</v>
      </c>
      <c r="C1230" t="s">
        <v>35</v>
      </c>
      <c r="D1230" t="s">
        <v>160</v>
      </c>
      <c r="E1230">
        <v>85</v>
      </c>
    </row>
    <row r="1231" spans="1:5" x14ac:dyDescent="0.35">
      <c r="A1231" s="13">
        <v>43831</v>
      </c>
      <c r="B1231">
        <f>YEAR(Country_Masterlist__6[[#This Row],[Year1]])</f>
        <v>2020</v>
      </c>
      <c r="C1231" t="s">
        <v>35</v>
      </c>
      <c r="D1231" t="s">
        <v>161</v>
      </c>
      <c r="E1231">
        <v>149</v>
      </c>
    </row>
    <row r="1232" spans="1:5" x14ac:dyDescent="0.35">
      <c r="A1232" s="13">
        <v>43831</v>
      </c>
      <c r="B1232">
        <f>YEAR(Country_Masterlist__6[[#This Row],[Year1]])</f>
        <v>2020</v>
      </c>
      <c r="C1232" t="s">
        <v>33</v>
      </c>
      <c r="D1232" t="s">
        <v>162</v>
      </c>
      <c r="E1232">
        <v>5</v>
      </c>
    </row>
    <row r="1233" spans="1:5" x14ac:dyDescent="0.35">
      <c r="A1233" s="13">
        <v>43831</v>
      </c>
      <c r="B1233">
        <f>YEAR(Country_Masterlist__6[[#This Row],[Year1]])</f>
        <v>2020</v>
      </c>
      <c r="C1233" t="s">
        <v>36</v>
      </c>
      <c r="D1233" t="s">
        <v>163</v>
      </c>
      <c r="E1233">
        <v>5</v>
      </c>
    </row>
    <row r="1234" spans="1:5" x14ac:dyDescent="0.35">
      <c r="A1234" s="13">
        <v>43831</v>
      </c>
      <c r="B1234">
        <f>YEAR(Country_Masterlist__6[[#This Row],[Year1]])</f>
        <v>2020</v>
      </c>
      <c r="C1234" t="s">
        <v>36</v>
      </c>
      <c r="D1234" t="s">
        <v>164</v>
      </c>
      <c r="E1234">
        <v>8</v>
      </c>
    </row>
    <row r="1235" spans="1:5" x14ac:dyDescent="0.35">
      <c r="A1235" s="13">
        <v>43831</v>
      </c>
      <c r="B1235">
        <f>YEAR(Country_Masterlist__6[[#This Row],[Year1]])</f>
        <v>2020</v>
      </c>
      <c r="C1235" t="s">
        <v>36</v>
      </c>
      <c r="D1235" t="s">
        <v>165</v>
      </c>
      <c r="E1235">
        <v>6</v>
      </c>
    </row>
    <row r="1236" spans="1:5" x14ac:dyDescent="0.35">
      <c r="A1236" s="13">
        <v>43831</v>
      </c>
      <c r="B1236">
        <f>YEAR(Country_Masterlist__6[[#This Row],[Year1]])</f>
        <v>2020</v>
      </c>
      <c r="C1236" t="s">
        <v>37</v>
      </c>
      <c r="D1236" t="s">
        <v>166</v>
      </c>
      <c r="E1236">
        <v>11</v>
      </c>
    </row>
    <row r="1237" spans="1:5" x14ac:dyDescent="0.35">
      <c r="A1237" s="13">
        <v>43831</v>
      </c>
      <c r="B1237">
        <f>YEAR(Country_Masterlist__6[[#This Row],[Year1]])</f>
        <v>2020</v>
      </c>
      <c r="C1237" t="s">
        <v>34</v>
      </c>
      <c r="D1237" t="s">
        <v>167</v>
      </c>
      <c r="E1237">
        <v>69</v>
      </c>
    </row>
    <row r="1238" spans="1:5" x14ac:dyDescent="0.35">
      <c r="A1238" s="13">
        <v>43831</v>
      </c>
      <c r="B1238">
        <f>YEAR(Country_Masterlist__6[[#This Row],[Year1]])</f>
        <v>2020</v>
      </c>
      <c r="C1238" t="s">
        <v>33</v>
      </c>
      <c r="D1238" t="s">
        <v>168</v>
      </c>
      <c r="E1238">
        <v>16</v>
      </c>
    </row>
    <row r="1239" spans="1:5" x14ac:dyDescent="0.35">
      <c r="A1239" s="13">
        <v>43831</v>
      </c>
      <c r="B1239">
        <f>YEAR(Country_Masterlist__6[[#This Row],[Year1]])</f>
        <v>2020</v>
      </c>
      <c r="C1239" t="s">
        <v>35</v>
      </c>
      <c r="D1239" t="s">
        <v>169</v>
      </c>
      <c r="E1239">
        <v>19</v>
      </c>
    </row>
    <row r="1240" spans="1:5" x14ac:dyDescent="0.35">
      <c r="A1240" s="13">
        <v>43831</v>
      </c>
      <c r="B1240">
        <f>YEAR(Country_Masterlist__6[[#This Row],[Year1]])</f>
        <v>2020</v>
      </c>
      <c r="C1240" t="s">
        <v>33</v>
      </c>
      <c r="D1240" t="s">
        <v>170</v>
      </c>
      <c r="E1240">
        <v>5</v>
      </c>
    </row>
    <row r="1241" spans="1:5" x14ac:dyDescent="0.35">
      <c r="A1241" s="13">
        <v>43831</v>
      </c>
      <c r="B1241">
        <f>YEAR(Country_Masterlist__6[[#This Row],[Year1]])</f>
        <v>2020</v>
      </c>
      <c r="C1241" t="s">
        <v>34</v>
      </c>
      <c r="D1241" t="s">
        <v>171</v>
      </c>
      <c r="E1241">
        <v>26</v>
      </c>
    </row>
    <row r="1242" spans="1:5" x14ac:dyDescent="0.35">
      <c r="A1242" s="13">
        <v>43831</v>
      </c>
      <c r="B1242">
        <f>YEAR(Country_Masterlist__6[[#This Row],[Year1]])</f>
        <v>2020</v>
      </c>
      <c r="C1242" t="s">
        <v>35</v>
      </c>
      <c r="D1242" t="s">
        <v>172</v>
      </c>
      <c r="E1242">
        <v>29</v>
      </c>
    </row>
    <row r="1243" spans="1:5" x14ac:dyDescent="0.35">
      <c r="A1243" s="13">
        <v>43831</v>
      </c>
      <c r="B1243">
        <f>YEAR(Country_Masterlist__6[[#This Row],[Year1]])</f>
        <v>2020</v>
      </c>
      <c r="C1243" t="s">
        <v>35</v>
      </c>
      <c r="D1243" t="s">
        <v>173</v>
      </c>
      <c r="E1243">
        <v>3</v>
      </c>
    </row>
    <row r="1244" spans="1:5" x14ac:dyDescent="0.35">
      <c r="A1244" s="13">
        <v>43831</v>
      </c>
      <c r="B1244">
        <f>YEAR(Country_Masterlist__6[[#This Row],[Year1]])</f>
        <v>2020</v>
      </c>
      <c r="C1244" t="s">
        <v>33</v>
      </c>
      <c r="D1244" t="s">
        <v>174</v>
      </c>
      <c r="E1244">
        <v>9</v>
      </c>
    </row>
    <row r="1245" spans="1:5" x14ac:dyDescent="0.35">
      <c r="A1245" s="13">
        <v>43831</v>
      </c>
      <c r="B1245">
        <f>YEAR(Country_Masterlist__6[[#This Row],[Year1]])</f>
        <v>2020</v>
      </c>
      <c r="C1245" t="s">
        <v>33</v>
      </c>
      <c r="D1245" t="s">
        <v>175</v>
      </c>
      <c r="E1245">
        <v>47</v>
      </c>
    </row>
    <row r="1246" spans="1:5" x14ac:dyDescent="0.35">
      <c r="A1246" s="13">
        <v>43831</v>
      </c>
      <c r="B1246">
        <f>YEAR(Country_Masterlist__6[[#This Row],[Year1]])</f>
        <v>2020</v>
      </c>
      <c r="C1246" t="s">
        <v>35</v>
      </c>
      <c r="D1246" t="s">
        <v>177</v>
      </c>
      <c r="E1246">
        <v>886</v>
      </c>
    </row>
    <row r="1247" spans="1:5" x14ac:dyDescent="0.35">
      <c r="A1247" s="13">
        <v>43831</v>
      </c>
      <c r="B1247">
        <f>YEAR(Country_Masterlist__6[[#This Row],[Year1]])</f>
        <v>2020</v>
      </c>
      <c r="C1247" t="s">
        <v>34</v>
      </c>
      <c r="D1247" t="s">
        <v>178</v>
      </c>
      <c r="E1247">
        <v>29</v>
      </c>
    </row>
    <row r="1248" spans="1:5" x14ac:dyDescent="0.35">
      <c r="A1248" s="13">
        <v>43831</v>
      </c>
      <c r="B1248">
        <f>YEAR(Country_Masterlist__6[[#This Row],[Year1]])</f>
        <v>2020</v>
      </c>
      <c r="C1248" t="s">
        <v>33</v>
      </c>
      <c r="D1248" t="s">
        <v>179</v>
      </c>
      <c r="E1248">
        <v>45</v>
      </c>
    </row>
    <row r="1249" spans="1:5" x14ac:dyDescent="0.35">
      <c r="A1249" s="13">
        <v>43831</v>
      </c>
      <c r="B1249">
        <f>YEAR(Country_Masterlist__6[[#This Row],[Year1]])</f>
        <v>2020</v>
      </c>
      <c r="C1249" t="s">
        <v>35</v>
      </c>
      <c r="D1249" t="s">
        <v>182</v>
      </c>
      <c r="E1249">
        <v>84</v>
      </c>
    </row>
    <row r="1250" spans="1:5" x14ac:dyDescent="0.35">
      <c r="A1250" s="13">
        <v>43831</v>
      </c>
      <c r="B1250">
        <f>YEAR(Country_Masterlist__6[[#This Row],[Year1]])</f>
        <v>2020</v>
      </c>
      <c r="C1250" t="s">
        <v>35</v>
      </c>
      <c r="D1250" t="s">
        <v>183</v>
      </c>
      <c r="E1250">
        <v>49</v>
      </c>
    </row>
    <row r="1251" spans="1:5" x14ac:dyDescent="0.35">
      <c r="A1251" s="13">
        <v>43831</v>
      </c>
      <c r="B1251">
        <f>YEAR(Country_Masterlist__6[[#This Row],[Year1]])</f>
        <v>2020</v>
      </c>
      <c r="C1251" t="s">
        <v>34</v>
      </c>
      <c r="D1251" t="s">
        <v>184</v>
      </c>
      <c r="E1251">
        <v>57</v>
      </c>
    </row>
    <row r="1252" spans="1:5" x14ac:dyDescent="0.35">
      <c r="A1252" s="13">
        <v>43831</v>
      </c>
      <c r="B1252">
        <f>YEAR(Country_Masterlist__6[[#This Row],[Year1]])</f>
        <v>2020</v>
      </c>
      <c r="C1252" t="s">
        <v>34</v>
      </c>
      <c r="D1252" t="s">
        <v>185</v>
      </c>
      <c r="E1252">
        <v>335</v>
      </c>
    </row>
    <row r="1253" spans="1:5" x14ac:dyDescent="0.35">
      <c r="A1253" s="13">
        <v>43831</v>
      </c>
      <c r="B1253">
        <f>YEAR(Country_Masterlist__6[[#This Row],[Year1]])</f>
        <v>2020</v>
      </c>
      <c r="C1253" t="s">
        <v>33</v>
      </c>
      <c r="D1253" t="s">
        <v>187</v>
      </c>
      <c r="E1253" t="s">
        <v>205</v>
      </c>
    </row>
    <row r="1254" spans="1:5" x14ac:dyDescent="0.35">
      <c r="A1254" s="13">
        <v>43831</v>
      </c>
      <c r="B1254">
        <f>YEAR(Country_Masterlist__6[[#This Row],[Year1]])</f>
        <v>2020</v>
      </c>
      <c r="C1254" t="s">
        <v>34</v>
      </c>
      <c r="D1254" t="s">
        <v>188</v>
      </c>
      <c r="E1254">
        <v>55</v>
      </c>
    </row>
    <row r="1255" spans="1:5" x14ac:dyDescent="0.35">
      <c r="A1255" s="13">
        <v>43831</v>
      </c>
      <c r="B1255">
        <f>YEAR(Country_Masterlist__6[[#This Row],[Year1]])</f>
        <v>2020</v>
      </c>
      <c r="C1255" t="s">
        <v>33</v>
      </c>
      <c r="D1255" t="s">
        <v>189</v>
      </c>
      <c r="E1255">
        <v>6</v>
      </c>
    </row>
    <row r="1256" spans="1:5" x14ac:dyDescent="0.35">
      <c r="A1256" s="13">
        <v>43831</v>
      </c>
      <c r="B1256">
        <f>YEAR(Country_Masterlist__6[[#This Row],[Year1]])</f>
        <v>2020</v>
      </c>
      <c r="C1256" t="s">
        <v>37</v>
      </c>
      <c r="D1256" t="s">
        <v>190</v>
      </c>
      <c r="E1256">
        <v>4</v>
      </c>
    </row>
    <row r="1257" spans="1:5" x14ac:dyDescent="0.35">
      <c r="A1257" s="13">
        <v>43831</v>
      </c>
      <c r="B1257">
        <f>YEAR(Country_Masterlist__6[[#This Row],[Year1]])</f>
        <v>2020</v>
      </c>
      <c r="C1257" t="s">
        <v>36</v>
      </c>
      <c r="D1257" t="s">
        <v>191</v>
      </c>
      <c r="E1257">
        <v>37</v>
      </c>
    </row>
    <row r="1258" spans="1:5" x14ac:dyDescent="0.35">
      <c r="A1258" s="13">
        <v>43831</v>
      </c>
      <c r="B1258">
        <f>YEAR(Country_Masterlist__6[[#This Row],[Year1]])</f>
        <v>2020</v>
      </c>
      <c r="C1258" t="s">
        <v>33</v>
      </c>
      <c r="D1258" t="s">
        <v>192</v>
      </c>
      <c r="E1258">
        <v>25</v>
      </c>
    </row>
    <row r="1259" spans="1:5" x14ac:dyDescent="0.35">
      <c r="A1259" s="13">
        <v>43831</v>
      </c>
      <c r="B1259">
        <f>YEAR(Country_Masterlist__6[[#This Row],[Year1]])</f>
        <v>2020</v>
      </c>
      <c r="C1259" t="s">
        <v>34</v>
      </c>
      <c r="D1259" t="s">
        <v>193</v>
      </c>
      <c r="E1259">
        <v>82</v>
      </c>
    </row>
    <row r="1260" spans="1:5" x14ac:dyDescent="0.35">
      <c r="A1260" s="13">
        <v>43831</v>
      </c>
      <c r="B1260">
        <f>YEAR(Country_Masterlist__6[[#This Row],[Year1]])</f>
        <v>2020</v>
      </c>
      <c r="C1260" t="s">
        <v>34</v>
      </c>
      <c r="D1260" t="s">
        <v>194</v>
      </c>
    </row>
    <row r="1261" spans="1:5" x14ac:dyDescent="0.35">
      <c r="A1261" s="13">
        <v>43831</v>
      </c>
      <c r="B1261">
        <f>YEAR(Country_Masterlist__6[[#This Row],[Year1]])</f>
        <v>2020</v>
      </c>
      <c r="C1261" t="s">
        <v>33</v>
      </c>
      <c r="D1261" t="s">
        <v>195</v>
      </c>
      <c r="E1261">
        <v>10</v>
      </c>
    </row>
    <row r="1262" spans="1:5" x14ac:dyDescent="0.35">
      <c r="A1262" s="13">
        <v>43831</v>
      </c>
      <c r="B1262">
        <f>YEAR(Country_Masterlist__6[[#This Row],[Year1]])</f>
        <v>2020</v>
      </c>
      <c r="C1262" t="s">
        <v>35</v>
      </c>
      <c r="D1262" t="s">
        <v>196</v>
      </c>
      <c r="E1262">
        <v>80</v>
      </c>
    </row>
    <row r="1263" spans="1:5" x14ac:dyDescent="0.35">
      <c r="A1263" s="13">
        <v>43831</v>
      </c>
      <c r="B1263">
        <f>YEAR(Country_Masterlist__6[[#This Row],[Year1]])</f>
        <v>2020</v>
      </c>
      <c r="C1263" t="s">
        <v>34</v>
      </c>
      <c r="D1263" t="s">
        <v>197</v>
      </c>
      <c r="E1263">
        <v>18</v>
      </c>
    </row>
    <row r="1264" spans="1:5" x14ac:dyDescent="0.35">
      <c r="A1264" s="13">
        <v>43831</v>
      </c>
      <c r="B1264">
        <f>YEAR(Country_Masterlist__6[[#This Row],[Year1]])</f>
        <v>2020</v>
      </c>
      <c r="C1264" t="s">
        <v>35</v>
      </c>
      <c r="D1264" t="s">
        <v>198</v>
      </c>
      <c r="E1264">
        <v>694</v>
      </c>
    </row>
    <row r="1265" spans="1:5" x14ac:dyDescent="0.35">
      <c r="A1265" s="13">
        <v>43831</v>
      </c>
      <c r="B1265">
        <f>YEAR(Country_Masterlist__6[[#This Row],[Year1]])</f>
        <v>2020</v>
      </c>
      <c r="C1265" t="s">
        <v>38</v>
      </c>
      <c r="D1265" t="s">
        <v>199</v>
      </c>
      <c r="E1265">
        <v>10</v>
      </c>
    </row>
    <row r="1266" spans="1:5" x14ac:dyDescent="0.35">
      <c r="A1266" s="13">
        <v>43831</v>
      </c>
      <c r="B1266">
        <f>YEAR(Country_Masterlist__6[[#This Row],[Year1]])</f>
        <v>2020</v>
      </c>
      <c r="C1266" t="s">
        <v>34</v>
      </c>
      <c r="D1266" t="s">
        <v>200</v>
      </c>
      <c r="E1266">
        <v>14</v>
      </c>
    </row>
    <row r="1267" spans="1:5" x14ac:dyDescent="0.35">
      <c r="A1267" s="13">
        <v>43831</v>
      </c>
      <c r="B1267">
        <f>YEAR(Country_Masterlist__6[[#This Row],[Year1]])</f>
        <v>2020</v>
      </c>
      <c r="C1267" t="s">
        <v>38</v>
      </c>
      <c r="D1267" t="s">
        <v>19</v>
      </c>
      <c r="E1267">
        <v>235</v>
      </c>
    </row>
    <row r="1268" spans="1:5" x14ac:dyDescent="0.35">
      <c r="A1268" s="13">
        <v>43831</v>
      </c>
      <c r="B1268">
        <f>YEAR(Country_Masterlist__6[[#This Row],[Year1]])</f>
        <v>2020</v>
      </c>
      <c r="C1268" t="s">
        <v>34</v>
      </c>
      <c r="D1268" t="s">
        <v>201</v>
      </c>
      <c r="E1268">
        <v>24</v>
      </c>
    </row>
    <row r="1269" spans="1:5" x14ac:dyDescent="0.35">
      <c r="A1269" s="13">
        <v>43831</v>
      </c>
      <c r="B1269">
        <f>YEAR(Country_Masterlist__6[[#This Row],[Year1]])</f>
        <v>2020</v>
      </c>
      <c r="C1269" t="s">
        <v>34</v>
      </c>
      <c r="D1269" t="s">
        <v>202</v>
      </c>
      <c r="E1269" t="s">
        <v>205</v>
      </c>
    </row>
    <row r="1270" spans="1:5" x14ac:dyDescent="0.35">
      <c r="A1270" s="13">
        <v>43831</v>
      </c>
      <c r="B1270">
        <f>YEAR(Country_Masterlist__6[[#This Row],[Year1]])</f>
        <v>2020</v>
      </c>
      <c r="C1270" t="s">
        <v>33</v>
      </c>
      <c r="D1270" t="s">
        <v>203</v>
      </c>
      <c r="E1270">
        <v>4</v>
      </c>
    </row>
    <row r="1271" spans="1:5" x14ac:dyDescent="0.35">
      <c r="A1271" s="13">
        <v>43831</v>
      </c>
      <c r="B1271">
        <f>YEAR(Country_Masterlist__6[[#This Row],[Year1]])</f>
        <v>2020</v>
      </c>
      <c r="C1271" t="s">
        <v>33</v>
      </c>
      <c r="D1271" t="s">
        <v>204</v>
      </c>
      <c r="E1271">
        <v>5</v>
      </c>
    </row>
    <row r="1272" spans="1:5" x14ac:dyDescent="0.35">
      <c r="A1272" s="13">
        <v>43831</v>
      </c>
      <c r="B1272">
        <f>YEAR(Country_Masterlist__6[[#This Row],[Year1]])</f>
        <v>2020</v>
      </c>
      <c r="D1272" t="s">
        <v>373</v>
      </c>
      <c r="E1272">
        <v>35</v>
      </c>
    </row>
    <row r="1273" spans="1:5" x14ac:dyDescent="0.35">
      <c r="A1273" s="13">
        <v>43831</v>
      </c>
      <c r="B1273">
        <f>YEAR(Country_Masterlist__6[[#This Row],[Year1]])</f>
        <v>2020</v>
      </c>
      <c r="C1273" t="s">
        <v>39</v>
      </c>
      <c r="D1273" t="s">
        <v>39</v>
      </c>
      <c r="E1273">
        <v>15</v>
      </c>
    </row>
    <row r="1274" spans="1:5" x14ac:dyDescent="0.35">
      <c r="A1274" s="13">
        <v>44197</v>
      </c>
      <c r="B1274">
        <f>YEAR(Country_Masterlist__6[[#This Row],[Year1]])</f>
        <v>2021</v>
      </c>
      <c r="C1274" t="s">
        <v>34</v>
      </c>
      <c r="D1274" t="s">
        <v>40</v>
      </c>
      <c r="E1274">
        <v>9</v>
      </c>
    </row>
    <row r="1275" spans="1:5" x14ac:dyDescent="0.35">
      <c r="A1275" s="13">
        <v>44197</v>
      </c>
      <c r="B1275">
        <f>YEAR(Country_Masterlist__6[[#This Row],[Year1]])</f>
        <v>2021</v>
      </c>
      <c r="C1275" t="s">
        <v>35</v>
      </c>
      <c r="D1275" t="s">
        <v>41</v>
      </c>
      <c r="E1275">
        <v>22</v>
      </c>
    </row>
    <row r="1276" spans="1:5" x14ac:dyDescent="0.35">
      <c r="A1276" s="13">
        <v>44197</v>
      </c>
      <c r="B1276">
        <f>YEAR(Country_Masterlist__6[[#This Row],[Year1]])</f>
        <v>2021</v>
      </c>
      <c r="C1276" t="s">
        <v>33</v>
      </c>
      <c r="D1276" t="s">
        <v>42</v>
      </c>
      <c r="E1276" t="s">
        <v>205</v>
      </c>
    </row>
    <row r="1277" spans="1:5" x14ac:dyDescent="0.35">
      <c r="A1277" s="13">
        <v>44197</v>
      </c>
      <c r="B1277">
        <f>YEAR(Country_Masterlist__6[[#This Row],[Year1]])</f>
        <v>2021</v>
      </c>
      <c r="C1277" t="s">
        <v>33</v>
      </c>
      <c r="D1277" t="s">
        <v>43</v>
      </c>
      <c r="E1277">
        <v>6</v>
      </c>
    </row>
    <row r="1278" spans="1:5" x14ac:dyDescent="0.35">
      <c r="A1278" s="13">
        <v>44197</v>
      </c>
      <c r="B1278">
        <f>YEAR(Country_Masterlist__6[[#This Row],[Year1]])</f>
        <v>2021</v>
      </c>
      <c r="C1278" t="s">
        <v>36</v>
      </c>
      <c r="D1278" t="s">
        <v>44</v>
      </c>
      <c r="E1278">
        <v>4</v>
      </c>
    </row>
    <row r="1279" spans="1:5" x14ac:dyDescent="0.35">
      <c r="A1279" s="13">
        <v>44197</v>
      </c>
      <c r="B1279">
        <f>YEAR(Country_Masterlist__6[[#This Row],[Year1]])</f>
        <v>2021</v>
      </c>
      <c r="C1279" t="s">
        <v>38</v>
      </c>
      <c r="D1279" t="s">
        <v>45</v>
      </c>
      <c r="E1279">
        <v>72</v>
      </c>
    </row>
    <row r="1280" spans="1:5" x14ac:dyDescent="0.35">
      <c r="A1280" s="13">
        <v>44197</v>
      </c>
      <c r="B1280">
        <f>YEAR(Country_Masterlist__6[[#This Row],[Year1]])</f>
        <v>2021</v>
      </c>
      <c r="C1280" t="s">
        <v>34</v>
      </c>
      <c r="D1280" t="s">
        <v>46</v>
      </c>
      <c r="E1280">
        <v>33</v>
      </c>
    </row>
    <row r="1281" spans="1:5" x14ac:dyDescent="0.35">
      <c r="A1281" s="13">
        <v>44197</v>
      </c>
      <c r="B1281">
        <f>YEAR(Country_Masterlist__6[[#This Row],[Year1]])</f>
        <v>2021</v>
      </c>
      <c r="C1281" t="s">
        <v>37</v>
      </c>
      <c r="D1281" t="s">
        <v>47</v>
      </c>
      <c r="E1281">
        <v>98</v>
      </c>
    </row>
    <row r="1282" spans="1:5" x14ac:dyDescent="0.35">
      <c r="A1282" s="13">
        <v>44197</v>
      </c>
      <c r="B1282">
        <f>YEAR(Country_Masterlist__6[[#This Row],[Year1]])</f>
        <v>2021</v>
      </c>
      <c r="C1282" t="s">
        <v>35</v>
      </c>
      <c r="D1282" t="s">
        <v>48</v>
      </c>
      <c r="E1282">
        <v>24</v>
      </c>
    </row>
    <row r="1283" spans="1:5" x14ac:dyDescent="0.35">
      <c r="A1283" s="13">
        <v>44197</v>
      </c>
      <c r="B1283">
        <f>YEAR(Country_Masterlist__6[[#This Row],[Year1]])</f>
        <v>2021</v>
      </c>
      <c r="C1283" t="s">
        <v>34</v>
      </c>
      <c r="D1283" t="s">
        <v>49</v>
      </c>
      <c r="E1283" t="s">
        <v>205</v>
      </c>
    </row>
    <row r="1284" spans="1:5" x14ac:dyDescent="0.35">
      <c r="A1284" s="13">
        <v>44197</v>
      </c>
      <c r="B1284">
        <f>YEAR(Country_Masterlist__6[[#This Row],[Year1]])</f>
        <v>2021</v>
      </c>
      <c r="C1284" t="s">
        <v>36</v>
      </c>
      <c r="D1284" t="s">
        <v>50</v>
      </c>
      <c r="E1284">
        <v>469</v>
      </c>
    </row>
    <row r="1285" spans="1:5" x14ac:dyDescent="0.35">
      <c r="A1285" s="13">
        <v>44197</v>
      </c>
      <c r="B1285">
        <f>YEAR(Country_Masterlist__6[[#This Row],[Year1]])</f>
        <v>2021</v>
      </c>
      <c r="C1285" t="s">
        <v>34</v>
      </c>
      <c r="D1285" t="s">
        <v>51</v>
      </c>
      <c r="E1285">
        <v>4</v>
      </c>
    </row>
    <row r="1286" spans="1:5" x14ac:dyDescent="0.35">
      <c r="A1286" s="13">
        <v>44197</v>
      </c>
      <c r="B1286">
        <f>YEAR(Country_Masterlist__6[[#This Row],[Year1]])</f>
        <v>2021</v>
      </c>
      <c r="C1286" t="s">
        <v>34</v>
      </c>
      <c r="D1286" t="s">
        <v>52</v>
      </c>
      <c r="E1286">
        <v>29</v>
      </c>
    </row>
    <row r="1287" spans="1:5" x14ac:dyDescent="0.35">
      <c r="A1287" s="13">
        <v>44197</v>
      </c>
      <c r="B1287">
        <f>YEAR(Country_Masterlist__6[[#This Row],[Year1]])</f>
        <v>2021</v>
      </c>
      <c r="C1287" t="s">
        <v>36</v>
      </c>
      <c r="D1287" t="s">
        <v>53</v>
      </c>
    </row>
    <row r="1288" spans="1:5" x14ac:dyDescent="0.35">
      <c r="A1288" s="13">
        <v>44197</v>
      </c>
      <c r="B1288">
        <f>YEAR(Country_Masterlist__6[[#This Row],[Year1]])</f>
        <v>2021</v>
      </c>
      <c r="C1288" t="s">
        <v>35</v>
      </c>
      <c r="D1288" t="s">
        <v>54</v>
      </c>
      <c r="E1288">
        <v>3</v>
      </c>
    </row>
    <row r="1289" spans="1:5" x14ac:dyDescent="0.35">
      <c r="A1289" s="13">
        <v>44197</v>
      </c>
      <c r="B1289">
        <f>YEAR(Country_Masterlist__6[[#This Row],[Year1]])</f>
        <v>2021</v>
      </c>
      <c r="C1289" t="s">
        <v>35</v>
      </c>
      <c r="D1289" t="s">
        <v>55</v>
      </c>
      <c r="E1289">
        <v>27</v>
      </c>
    </row>
    <row r="1290" spans="1:5" x14ac:dyDescent="0.35">
      <c r="A1290" s="13">
        <v>44197</v>
      </c>
      <c r="B1290">
        <f>YEAR(Country_Masterlist__6[[#This Row],[Year1]])</f>
        <v>2021</v>
      </c>
      <c r="C1290" t="s">
        <v>36</v>
      </c>
      <c r="D1290" t="s">
        <v>56</v>
      </c>
      <c r="E1290">
        <v>8</v>
      </c>
    </row>
    <row r="1291" spans="1:5" x14ac:dyDescent="0.35">
      <c r="A1291" s="13">
        <v>44197</v>
      </c>
      <c r="B1291">
        <f>YEAR(Country_Masterlist__6[[#This Row],[Year1]])</f>
        <v>2021</v>
      </c>
      <c r="C1291" t="s">
        <v>33</v>
      </c>
      <c r="D1291" t="s">
        <v>57</v>
      </c>
      <c r="E1291" t="s">
        <v>205</v>
      </c>
    </row>
    <row r="1292" spans="1:5" x14ac:dyDescent="0.35">
      <c r="A1292" s="13">
        <v>44197</v>
      </c>
      <c r="B1292">
        <f>YEAR(Country_Masterlist__6[[#This Row],[Year1]])</f>
        <v>2021</v>
      </c>
      <c r="C1292" t="s">
        <v>38</v>
      </c>
      <c r="D1292" t="s">
        <v>59</v>
      </c>
      <c r="E1292">
        <v>20</v>
      </c>
    </row>
    <row r="1293" spans="1:5" x14ac:dyDescent="0.35">
      <c r="A1293" s="13">
        <v>44197</v>
      </c>
      <c r="B1293">
        <f>YEAR(Country_Masterlist__6[[#This Row],[Year1]])</f>
        <v>2021</v>
      </c>
      <c r="C1293" t="s">
        <v>35</v>
      </c>
      <c r="D1293" t="s">
        <v>60</v>
      </c>
      <c r="E1293">
        <v>7</v>
      </c>
    </row>
    <row r="1294" spans="1:5" x14ac:dyDescent="0.35">
      <c r="A1294" s="13">
        <v>44197</v>
      </c>
      <c r="B1294">
        <f>YEAR(Country_Masterlist__6[[#This Row],[Year1]])</f>
        <v>2021</v>
      </c>
      <c r="C1294" t="s">
        <v>38</v>
      </c>
      <c r="D1294" t="s">
        <v>21</v>
      </c>
      <c r="E1294">
        <v>410</v>
      </c>
    </row>
    <row r="1295" spans="1:5" x14ac:dyDescent="0.35">
      <c r="A1295" s="13">
        <v>44197</v>
      </c>
      <c r="B1295">
        <f>YEAR(Country_Masterlist__6[[#This Row],[Year1]])</f>
        <v>2021</v>
      </c>
      <c r="C1295" t="s">
        <v>35</v>
      </c>
      <c r="D1295" t="s">
        <v>62</v>
      </c>
      <c r="E1295">
        <v>7</v>
      </c>
    </row>
    <row r="1296" spans="1:5" x14ac:dyDescent="0.35">
      <c r="A1296" s="13">
        <v>44197</v>
      </c>
      <c r="B1296">
        <f>YEAR(Country_Masterlist__6[[#This Row],[Year1]])</f>
        <v>2021</v>
      </c>
      <c r="C1296" t="s">
        <v>33</v>
      </c>
      <c r="D1296" t="s">
        <v>63</v>
      </c>
      <c r="E1296">
        <v>5</v>
      </c>
    </row>
    <row r="1297" spans="1:5" x14ac:dyDescent="0.35">
      <c r="A1297" s="13">
        <v>44197</v>
      </c>
      <c r="B1297">
        <f>YEAR(Country_Masterlist__6[[#This Row],[Year1]])</f>
        <v>2021</v>
      </c>
      <c r="C1297" t="s">
        <v>34</v>
      </c>
      <c r="D1297" t="s">
        <v>64</v>
      </c>
      <c r="E1297" t="s">
        <v>205</v>
      </c>
    </row>
    <row r="1298" spans="1:5" x14ac:dyDescent="0.35">
      <c r="A1298" s="13">
        <v>44197</v>
      </c>
      <c r="B1298">
        <f>YEAR(Country_Masterlist__6[[#This Row],[Year1]])</f>
        <v>2021</v>
      </c>
      <c r="C1298" t="s">
        <v>33</v>
      </c>
      <c r="D1298" t="s">
        <v>65</v>
      </c>
    </row>
    <row r="1299" spans="1:5" x14ac:dyDescent="0.35">
      <c r="A1299" s="13">
        <v>44197</v>
      </c>
      <c r="B1299">
        <f>YEAR(Country_Masterlist__6[[#This Row],[Year1]])</f>
        <v>2021</v>
      </c>
      <c r="C1299" t="s">
        <v>33</v>
      </c>
      <c r="D1299" t="s">
        <v>66</v>
      </c>
      <c r="E1299">
        <v>4</v>
      </c>
    </row>
    <row r="1300" spans="1:5" x14ac:dyDescent="0.35">
      <c r="A1300" s="13">
        <v>44197</v>
      </c>
      <c r="B1300">
        <f>YEAR(Country_Masterlist__6[[#This Row],[Year1]])</f>
        <v>2021</v>
      </c>
      <c r="C1300" t="s">
        <v>34</v>
      </c>
      <c r="D1300" t="s">
        <v>67</v>
      </c>
      <c r="E1300">
        <v>4</v>
      </c>
    </row>
    <row r="1301" spans="1:5" x14ac:dyDescent="0.35">
      <c r="A1301" s="13">
        <v>44197</v>
      </c>
      <c r="B1301">
        <f>YEAR(Country_Masterlist__6[[#This Row],[Year1]])</f>
        <v>2021</v>
      </c>
      <c r="C1301" t="s">
        <v>33</v>
      </c>
      <c r="D1301" t="s">
        <v>68</v>
      </c>
      <c r="E1301" t="s">
        <v>205</v>
      </c>
    </row>
    <row r="1302" spans="1:5" x14ac:dyDescent="0.35">
      <c r="A1302" s="13">
        <v>44197</v>
      </c>
      <c r="B1302">
        <f>YEAR(Country_Masterlist__6[[#This Row],[Year1]])</f>
        <v>2021</v>
      </c>
      <c r="C1302" t="s">
        <v>36</v>
      </c>
      <c r="D1302" t="s">
        <v>69</v>
      </c>
      <c r="E1302">
        <v>7088</v>
      </c>
    </row>
    <row r="1303" spans="1:5" x14ac:dyDescent="0.35">
      <c r="A1303" s="13">
        <v>44197</v>
      </c>
      <c r="B1303">
        <f>YEAR(Country_Masterlist__6[[#This Row],[Year1]])</f>
        <v>2021</v>
      </c>
      <c r="C1303" t="s">
        <v>38</v>
      </c>
      <c r="D1303" t="s">
        <v>72</v>
      </c>
      <c r="E1303">
        <v>787</v>
      </c>
    </row>
    <row r="1304" spans="1:5" x14ac:dyDescent="0.35">
      <c r="A1304" s="13">
        <v>44197</v>
      </c>
      <c r="B1304">
        <f>YEAR(Country_Masterlist__6[[#This Row],[Year1]])</f>
        <v>2021</v>
      </c>
      <c r="C1304" t="s">
        <v>34</v>
      </c>
      <c r="D1304" t="s">
        <v>73</v>
      </c>
      <c r="E1304">
        <v>297</v>
      </c>
    </row>
    <row r="1305" spans="1:5" x14ac:dyDescent="0.35">
      <c r="A1305" s="13">
        <v>44197</v>
      </c>
      <c r="B1305">
        <f>YEAR(Country_Masterlist__6[[#This Row],[Year1]])</f>
        <v>2021</v>
      </c>
      <c r="C1305" t="s">
        <v>38</v>
      </c>
      <c r="D1305" t="s">
        <v>20</v>
      </c>
      <c r="E1305">
        <v>597</v>
      </c>
    </row>
    <row r="1306" spans="1:5" x14ac:dyDescent="0.35">
      <c r="A1306" s="13">
        <v>44197</v>
      </c>
      <c r="B1306">
        <f>YEAR(Country_Masterlist__6[[#This Row],[Year1]])</f>
        <v>2021</v>
      </c>
      <c r="C1306" t="s">
        <v>33</v>
      </c>
      <c r="D1306" t="s">
        <v>74</v>
      </c>
      <c r="E1306">
        <v>6</v>
      </c>
    </row>
    <row r="1307" spans="1:5" x14ac:dyDescent="0.35">
      <c r="A1307" s="13">
        <v>44197</v>
      </c>
      <c r="B1307">
        <f>YEAR(Country_Masterlist__6[[#This Row],[Year1]])</f>
        <v>2021</v>
      </c>
      <c r="C1307" t="s">
        <v>33</v>
      </c>
      <c r="D1307" t="s">
        <v>75</v>
      </c>
      <c r="E1307" t="s">
        <v>205</v>
      </c>
    </row>
    <row r="1308" spans="1:5" x14ac:dyDescent="0.35">
      <c r="A1308" s="13">
        <v>44197</v>
      </c>
      <c r="B1308">
        <f>YEAR(Country_Masterlist__6[[#This Row],[Year1]])</f>
        <v>2021</v>
      </c>
      <c r="C1308" t="s">
        <v>36</v>
      </c>
      <c r="D1308" t="s">
        <v>76</v>
      </c>
      <c r="E1308">
        <v>65</v>
      </c>
    </row>
    <row r="1309" spans="1:5" x14ac:dyDescent="0.35">
      <c r="A1309" s="13">
        <v>44197</v>
      </c>
      <c r="B1309">
        <f>YEAR(Country_Masterlist__6[[#This Row],[Year1]])</f>
        <v>2021</v>
      </c>
      <c r="C1309" t="s">
        <v>33</v>
      </c>
      <c r="D1309" t="s">
        <v>77</v>
      </c>
      <c r="E1309">
        <v>7</v>
      </c>
    </row>
    <row r="1310" spans="1:5" x14ac:dyDescent="0.35">
      <c r="A1310" s="13">
        <v>44197</v>
      </c>
      <c r="B1310">
        <f>YEAR(Country_Masterlist__6[[#This Row],[Year1]])</f>
        <v>2021</v>
      </c>
      <c r="C1310" t="s">
        <v>35</v>
      </c>
      <c r="D1310" t="s">
        <v>78</v>
      </c>
      <c r="E1310">
        <v>10</v>
      </c>
    </row>
    <row r="1311" spans="1:5" x14ac:dyDescent="0.35">
      <c r="A1311" s="13">
        <v>44197</v>
      </c>
      <c r="B1311">
        <f>YEAR(Country_Masterlist__6[[#This Row],[Year1]])</f>
        <v>2021</v>
      </c>
      <c r="C1311" t="s">
        <v>36</v>
      </c>
      <c r="D1311" t="s">
        <v>79</v>
      </c>
      <c r="E1311">
        <v>16</v>
      </c>
    </row>
    <row r="1312" spans="1:5" x14ac:dyDescent="0.35">
      <c r="A1312" s="13">
        <v>44197</v>
      </c>
      <c r="B1312">
        <f>YEAR(Country_Masterlist__6[[#This Row],[Year1]])</f>
        <v>2021</v>
      </c>
      <c r="C1312" t="s">
        <v>34</v>
      </c>
      <c r="D1312" t="s">
        <v>80</v>
      </c>
    </row>
    <row r="1313" spans="1:5" x14ac:dyDescent="0.35">
      <c r="A1313" s="13">
        <v>44197</v>
      </c>
      <c r="B1313">
        <f>YEAR(Country_Masterlist__6[[#This Row],[Year1]])</f>
        <v>2021</v>
      </c>
      <c r="C1313" t="s">
        <v>35</v>
      </c>
      <c r="D1313" t="s">
        <v>81</v>
      </c>
      <c r="E1313">
        <v>24</v>
      </c>
    </row>
    <row r="1314" spans="1:5" x14ac:dyDescent="0.35">
      <c r="A1314" s="13">
        <v>44197</v>
      </c>
      <c r="B1314">
        <f>YEAR(Country_Masterlist__6[[#This Row],[Year1]])</f>
        <v>2021</v>
      </c>
      <c r="C1314" t="s">
        <v>35</v>
      </c>
      <c r="D1314" t="s">
        <v>82</v>
      </c>
      <c r="E1314">
        <v>10</v>
      </c>
    </row>
    <row r="1315" spans="1:5" x14ac:dyDescent="0.35">
      <c r="A1315" s="13">
        <v>44197</v>
      </c>
      <c r="B1315">
        <f>YEAR(Country_Masterlist__6[[#This Row],[Year1]])</f>
        <v>2021</v>
      </c>
      <c r="C1315" t="s">
        <v>36</v>
      </c>
      <c r="D1315" t="s">
        <v>84</v>
      </c>
      <c r="E1315">
        <v>8</v>
      </c>
    </row>
    <row r="1316" spans="1:5" x14ac:dyDescent="0.35">
      <c r="A1316" s="13">
        <v>44197</v>
      </c>
      <c r="B1316">
        <f>YEAR(Country_Masterlist__6[[#This Row],[Year1]])</f>
        <v>2021</v>
      </c>
      <c r="C1316" t="s">
        <v>36</v>
      </c>
      <c r="D1316" t="s">
        <v>85</v>
      </c>
      <c r="E1316">
        <v>399</v>
      </c>
    </row>
    <row r="1317" spans="1:5" x14ac:dyDescent="0.35">
      <c r="A1317" s="13">
        <v>44197</v>
      </c>
      <c r="B1317">
        <f>YEAR(Country_Masterlist__6[[#This Row],[Year1]])</f>
        <v>2021</v>
      </c>
      <c r="C1317" t="s">
        <v>38</v>
      </c>
      <c r="D1317" t="s">
        <v>86</v>
      </c>
      <c r="E1317">
        <v>228</v>
      </c>
    </row>
    <row r="1318" spans="1:5" x14ac:dyDescent="0.35">
      <c r="A1318" s="13">
        <v>44197</v>
      </c>
      <c r="B1318">
        <f>YEAR(Country_Masterlist__6[[#This Row],[Year1]])</f>
        <v>2021</v>
      </c>
      <c r="C1318" t="s">
        <v>33</v>
      </c>
      <c r="D1318" t="s">
        <v>87</v>
      </c>
      <c r="E1318">
        <v>43</v>
      </c>
    </row>
    <row r="1319" spans="1:5" x14ac:dyDescent="0.35">
      <c r="A1319" s="13">
        <v>44197</v>
      </c>
      <c r="B1319">
        <f>YEAR(Country_Masterlist__6[[#This Row],[Year1]])</f>
        <v>2021</v>
      </c>
      <c r="C1319" t="s">
        <v>36</v>
      </c>
      <c r="D1319" t="s">
        <v>16</v>
      </c>
      <c r="E1319">
        <v>313</v>
      </c>
    </row>
    <row r="1320" spans="1:5" x14ac:dyDescent="0.35">
      <c r="A1320" s="13">
        <v>44197</v>
      </c>
      <c r="B1320">
        <f>YEAR(Country_Masterlist__6[[#This Row],[Year1]])</f>
        <v>2021</v>
      </c>
      <c r="C1320" t="s">
        <v>33</v>
      </c>
      <c r="D1320" t="s">
        <v>89</v>
      </c>
      <c r="E1320">
        <v>8</v>
      </c>
    </row>
    <row r="1321" spans="1:5" x14ac:dyDescent="0.35">
      <c r="A1321" s="13">
        <v>44197</v>
      </c>
      <c r="B1321">
        <f>YEAR(Country_Masterlist__6[[#This Row],[Year1]])</f>
        <v>2021</v>
      </c>
      <c r="C1321" t="s">
        <v>35</v>
      </c>
      <c r="D1321" t="s">
        <v>90</v>
      </c>
      <c r="E1321">
        <v>11</v>
      </c>
    </row>
    <row r="1322" spans="1:5" x14ac:dyDescent="0.35">
      <c r="A1322" s="13">
        <v>44197</v>
      </c>
      <c r="B1322">
        <f>YEAR(Country_Masterlist__6[[#This Row],[Year1]])</f>
        <v>2021</v>
      </c>
      <c r="C1322" t="s">
        <v>33</v>
      </c>
      <c r="D1322" t="s">
        <v>91</v>
      </c>
      <c r="E1322">
        <v>17</v>
      </c>
    </row>
    <row r="1323" spans="1:5" x14ac:dyDescent="0.35">
      <c r="A1323" s="13">
        <v>44197</v>
      </c>
      <c r="B1323">
        <f>YEAR(Country_Masterlist__6[[#This Row],[Year1]])</f>
        <v>2021</v>
      </c>
      <c r="C1323" t="s">
        <v>37</v>
      </c>
      <c r="D1323" t="s">
        <v>92</v>
      </c>
      <c r="E1323" t="s">
        <v>205</v>
      </c>
    </row>
    <row r="1324" spans="1:5" x14ac:dyDescent="0.35">
      <c r="A1324" s="13">
        <v>44197</v>
      </c>
      <c r="B1324">
        <f>YEAR(Country_Masterlist__6[[#This Row],[Year1]])</f>
        <v>2021</v>
      </c>
      <c r="C1324" t="s">
        <v>35</v>
      </c>
      <c r="D1324" t="s">
        <v>93</v>
      </c>
      <c r="E1324">
        <v>7</v>
      </c>
    </row>
    <row r="1325" spans="1:5" x14ac:dyDescent="0.35">
      <c r="A1325" s="13">
        <v>44197</v>
      </c>
      <c r="B1325">
        <f>YEAR(Country_Masterlist__6[[#This Row],[Year1]])</f>
        <v>2021</v>
      </c>
      <c r="C1325" t="s">
        <v>35</v>
      </c>
      <c r="D1325" t="s">
        <v>94</v>
      </c>
      <c r="E1325">
        <v>197</v>
      </c>
    </row>
    <row r="1326" spans="1:5" x14ac:dyDescent="0.35">
      <c r="A1326" s="13">
        <v>44197</v>
      </c>
      <c r="B1326">
        <f>YEAR(Country_Masterlist__6[[#This Row],[Year1]])</f>
        <v>2021</v>
      </c>
      <c r="C1326" t="s">
        <v>33</v>
      </c>
      <c r="D1326" t="s">
        <v>95</v>
      </c>
      <c r="E1326" t="s">
        <v>205</v>
      </c>
    </row>
    <row r="1327" spans="1:5" x14ac:dyDescent="0.35">
      <c r="A1327" s="13">
        <v>44197</v>
      </c>
      <c r="B1327">
        <f>YEAR(Country_Masterlist__6[[#This Row],[Year1]])</f>
        <v>2021</v>
      </c>
      <c r="C1327" t="s">
        <v>33</v>
      </c>
      <c r="D1327" t="s">
        <v>96</v>
      </c>
      <c r="E1327">
        <v>3</v>
      </c>
    </row>
    <row r="1328" spans="1:5" x14ac:dyDescent="0.35">
      <c r="A1328" s="13">
        <v>44197</v>
      </c>
      <c r="B1328">
        <f>YEAR(Country_Masterlist__6[[#This Row],[Year1]])</f>
        <v>2021</v>
      </c>
      <c r="C1328" t="s">
        <v>34</v>
      </c>
      <c r="D1328" t="s">
        <v>8</v>
      </c>
      <c r="E1328">
        <v>12</v>
      </c>
    </row>
    <row r="1329" spans="1:5" x14ac:dyDescent="0.35">
      <c r="A1329" s="13">
        <v>44197</v>
      </c>
      <c r="B1329">
        <f>YEAR(Country_Masterlist__6[[#This Row],[Year1]])</f>
        <v>2021</v>
      </c>
      <c r="C1329" t="s">
        <v>35</v>
      </c>
      <c r="D1329" t="s">
        <v>97</v>
      </c>
      <c r="E1329">
        <v>169</v>
      </c>
    </row>
    <row r="1330" spans="1:5" x14ac:dyDescent="0.35">
      <c r="A1330" s="13">
        <v>44197</v>
      </c>
      <c r="B1330">
        <f>YEAR(Country_Masterlist__6[[#This Row],[Year1]])</f>
        <v>2021</v>
      </c>
      <c r="C1330" t="s">
        <v>33</v>
      </c>
      <c r="D1330" t="s">
        <v>98</v>
      </c>
      <c r="E1330">
        <v>20</v>
      </c>
    </row>
    <row r="1331" spans="1:5" x14ac:dyDescent="0.35">
      <c r="A1331" s="13">
        <v>44197</v>
      </c>
      <c r="B1331">
        <f>YEAR(Country_Masterlist__6[[#This Row],[Year1]])</f>
        <v>2021</v>
      </c>
      <c r="C1331" t="s">
        <v>35</v>
      </c>
      <c r="D1331" t="s">
        <v>99</v>
      </c>
      <c r="E1331">
        <v>21</v>
      </c>
    </row>
    <row r="1332" spans="1:5" x14ac:dyDescent="0.35">
      <c r="A1332" s="13">
        <v>44197</v>
      </c>
      <c r="B1332">
        <f>YEAR(Country_Masterlist__6[[#This Row],[Year1]])</f>
        <v>2021</v>
      </c>
      <c r="C1332" t="s">
        <v>36</v>
      </c>
      <c r="D1332" t="s">
        <v>100</v>
      </c>
      <c r="E1332">
        <v>5</v>
      </c>
    </row>
    <row r="1333" spans="1:5" x14ac:dyDescent="0.35">
      <c r="A1333" s="13">
        <v>44197</v>
      </c>
      <c r="B1333">
        <f>YEAR(Country_Masterlist__6[[#This Row],[Year1]])</f>
        <v>2021</v>
      </c>
      <c r="C1333" t="s">
        <v>36</v>
      </c>
      <c r="D1333" t="s">
        <v>15</v>
      </c>
      <c r="E1333">
        <v>752</v>
      </c>
    </row>
    <row r="1334" spans="1:5" x14ac:dyDescent="0.35">
      <c r="A1334" s="13">
        <v>44197</v>
      </c>
      <c r="B1334">
        <f>YEAR(Country_Masterlist__6[[#This Row],[Year1]])</f>
        <v>2021</v>
      </c>
      <c r="C1334" t="s">
        <v>33</v>
      </c>
      <c r="D1334" t="s">
        <v>101</v>
      </c>
    </row>
    <row r="1335" spans="1:5" x14ac:dyDescent="0.35">
      <c r="A1335" s="13">
        <v>44197</v>
      </c>
      <c r="B1335">
        <f>YEAR(Country_Masterlist__6[[#This Row],[Year1]])</f>
        <v>2021</v>
      </c>
      <c r="C1335" t="s">
        <v>38</v>
      </c>
      <c r="D1335" t="s">
        <v>103</v>
      </c>
      <c r="E1335">
        <v>53</v>
      </c>
    </row>
    <row r="1336" spans="1:5" x14ac:dyDescent="0.35">
      <c r="A1336" s="13">
        <v>44197</v>
      </c>
      <c r="B1336">
        <f>YEAR(Country_Masterlist__6[[#This Row],[Year1]])</f>
        <v>2021</v>
      </c>
      <c r="C1336" t="s">
        <v>36</v>
      </c>
      <c r="D1336" t="s">
        <v>104</v>
      </c>
      <c r="E1336">
        <v>69</v>
      </c>
    </row>
    <row r="1337" spans="1:5" x14ac:dyDescent="0.35">
      <c r="A1337" s="13">
        <v>44197</v>
      </c>
      <c r="B1337">
        <f>YEAR(Country_Masterlist__6[[#This Row],[Year1]])</f>
        <v>2021</v>
      </c>
      <c r="C1337" t="s">
        <v>36</v>
      </c>
      <c r="D1337" t="s">
        <v>17</v>
      </c>
      <c r="E1337">
        <v>340</v>
      </c>
    </row>
    <row r="1338" spans="1:5" x14ac:dyDescent="0.35">
      <c r="A1338" s="13">
        <v>44197</v>
      </c>
      <c r="B1338">
        <f>YEAR(Country_Masterlist__6[[#This Row],[Year1]])</f>
        <v>2021</v>
      </c>
      <c r="C1338" t="s">
        <v>35</v>
      </c>
      <c r="D1338" t="s">
        <v>105</v>
      </c>
      <c r="E1338">
        <v>43</v>
      </c>
    </row>
    <row r="1339" spans="1:5" x14ac:dyDescent="0.35">
      <c r="A1339" s="13">
        <v>44197</v>
      </c>
      <c r="B1339">
        <f>YEAR(Country_Masterlist__6[[#This Row],[Year1]])</f>
        <v>2021</v>
      </c>
      <c r="C1339" t="s">
        <v>35</v>
      </c>
      <c r="D1339" t="s">
        <v>106</v>
      </c>
      <c r="E1339" t="s">
        <v>205</v>
      </c>
    </row>
    <row r="1340" spans="1:5" x14ac:dyDescent="0.35">
      <c r="A1340" s="13">
        <v>44197</v>
      </c>
      <c r="B1340">
        <f>YEAR(Country_Masterlist__6[[#This Row],[Year1]])</f>
        <v>2021</v>
      </c>
      <c r="C1340" t="s">
        <v>34</v>
      </c>
      <c r="D1340" t="s">
        <v>22</v>
      </c>
      <c r="E1340">
        <v>460</v>
      </c>
    </row>
    <row r="1341" spans="1:5" x14ac:dyDescent="0.35">
      <c r="A1341" s="13">
        <v>44197</v>
      </c>
      <c r="B1341">
        <f>YEAR(Country_Masterlist__6[[#This Row],[Year1]])</f>
        <v>2021</v>
      </c>
      <c r="C1341" t="s">
        <v>34</v>
      </c>
      <c r="D1341" t="s">
        <v>107</v>
      </c>
      <c r="E1341">
        <v>39</v>
      </c>
    </row>
    <row r="1342" spans="1:5" x14ac:dyDescent="0.35">
      <c r="A1342" s="13">
        <v>44197</v>
      </c>
      <c r="B1342">
        <f>YEAR(Country_Masterlist__6[[#This Row],[Year1]])</f>
        <v>2021</v>
      </c>
      <c r="C1342" t="s">
        <v>34</v>
      </c>
      <c r="D1342" t="s">
        <v>108</v>
      </c>
      <c r="E1342">
        <v>38</v>
      </c>
    </row>
    <row r="1343" spans="1:5" x14ac:dyDescent="0.35">
      <c r="A1343" s="13">
        <v>44197</v>
      </c>
      <c r="B1343">
        <f>YEAR(Country_Masterlist__6[[#This Row],[Year1]])</f>
        <v>2021</v>
      </c>
      <c r="C1343" t="s">
        <v>34</v>
      </c>
      <c r="D1343" t="s">
        <v>109</v>
      </c>
      <c r="E1343">
        <v>20</v>
      </c>
    </row>
    <row r="1344" spans="1:5" x14ac:dyDescent="0.35">
      <c r="A1344" s="13">
        <v>44197</v>
      </c>
      <c r="B1344">
        <f>YEAR(Country_Masterlist__6[[#This Row],[Year1]])</f>
        <v>2021</v>
      </c>
      <c r="C1344" t="s">
        <v>35</v>
      </c>
      <c r="D1344" t="s">
        <v>110</v>
      </c>
      <c r="E1344">
        <v>87</v>
      </c>
    </row>
    <row r="1345" spans="1:5" x14ac:dyDescent="0.35">
      <c r="A1345" s="13">
        <v>44197</v>
      </c>
      <c r="B1345">
        <f>YEAR(Country_Masterlist__6[[#This Row],[Year1]])</f>
        <v>2021</v>
      </c>
      <c r="C1345" t="s">
        <v>34</v>
      </c>
      <c r="D1345" t="s">
        <v>111</v>
      </c>
      <c r="E1345">
        <v>65</v>
      </c>
    </row>
    <row r="1346" spans="1:5" x14ac:dyDescent="0.35">
      <c r="A1346" s="13">
        <v>44197</v>
      </c>
      <c r="B1346">
        <f>YEAR(Country_Masterlist__6[[#This Row],[Year1]])</f>
        <v>2021</v>
      </c>
      <c r="C1346" t="s">
        <v>35</v>
      </c>
      <c r="D1346" t="s">
        <v>112</v>
      </c>
      <c r="E1346">
        <v>335</v>
      </c>
    </row>
    <row r="1347" spans="1:5" x14ac:dyDescent="0.35">
      <c r="A1347" s="13">
        <v>44197</v>
      </c>
      <c r="B1347">
        <f>YEAR(Country_Masterlist__6[[#This Row],[Year1]])</f>
        <v>2021</v>
      </c>
      <c r="C1347" t="s">
        <v>36</v>
      </c>
      <c r="D1347" t="s">
        <v>113</v>
      </c>
      <c r="E1347">
        <v>190</v>
      </c>
    </row>
    <row r="1348" spans="1:5" x14ac:dyDescent="0.35">
      <c r="A1348" s="13">
        <v>44197</v>
      </c>
      <c r="B1348">
        <f>YEAR(Country_Masterlist__6[[#This Row],[Year1]])</f>
        <v>2021</v>
      </c>
      <c r="C1348" t="s">
        <v>34</v>
      </c>
      <c r="D1348" t="s">
        <v>114</v>
      </c>
      <c r="E1348">
        <v>244</v>
      </c>
    </row>
    <row r="1349" spans="1:5" x14ac:dyDescent="0.35">
      <c r="A1349" s="13">
        <v>44197</v>
      </c>
      <c r="B1349">
        <f>YEAR(Country_Masterlist__6[[#This Row],[Year1]])</f>
        <v>2021</v>
      </c>
      <c r="C1349" t="s">
        <v>34</v>
      </c>
      <c r="D1349" t="s">
        <v>115</v>
      </c>
      <c r="E1349">
        <v>79</v>
      </c>
    </row>
    <row r="1350" spans="1:5" x14ac:dyDescent="0.35">
      <c r="A1350" s="13">
        <v>44197</v>
      </c>
      <c r="B1350">
        <f>YEAR(Country_Masterlist__6[[#This Row],[Year1]])</f>
        <v>2021</v>
      </c>
      <c r="C1350" t="s">
        <v>34</v>
      </c>
      <c r="D1350" t="s">
        <v>116</v>
      </c>
      <c r="E1350">
        <v>22</v>
      </c>
    </row>
    <row r="1351" spans="1:5" x14ac:dyDescent="0.35">
      <c r="A1351" s="13">
        <v>44197</v>
      </c>
      <c r="B1351">
        <f>YEAR(Country_Masterlist__6[[#This Row],[Year1]])</f>
        <v>2021</v>
      </c>
      <c r="C1351" t="s">
        <v>33</v>
      </c>
      <c r="D1351" t="s">
        <v>117</v>
      </c>
      <c r="E1351">
        <v>44</v>
      </c>
    </row>
    <row r="1352" spans="1:5" x14ac:dyDescent="0.35">
      <c r="A1352" s="13">
        <v>44197</v>
      </c>
      <c r="B1352">
        <f>YEAR(Country_Masterlist__6[[#This Row],[Year1]])</f>
        <v>2021</v>
      </c>
      <c r="C1352" t="s">
        <v>34</v>
      </c>
      <c r="D1352" t="s">
        <v>118</v>
      </c>
      <c r="E1352">
        <v>580</v>
      </c>
    </row>
    <row r="1353" spans="1:5" x14ac:dyDescent="0.35">
      <c r="A1353" s="13">
        <v>44197</v>
      </c>
      <c r="B1353">
        <f>YEAR(Country_Masterlist__6[[#This Row],[Year1]])</f>
        <v>2021</v>
      </c>
      <c r="C1353" t="s">
        <v>35</v>
      </c>
      <c r="D1353" t="s">
        <v>119</v>
      </c>
      <c r="E1353" t="s">
        <v>205</v>
      </c>
    </row>
    <row r="1354" spans="1:5" x14ac:dyDescent="0.35">
      <c r="A1354" s="13">
        <v>44197</v>
      </c>
      <c r="B1354">
        <f>YEAR(Country_Masterlist__6[[#This Row],[Year1]])</f>
        <v>2021</v>
      </c>
      <c r="C1354" t="s">
        <v>34</v>
      </c>
      <c r="D1354" t="s">
        <v>120</v>
      </c>
      <c r="E1354">
        <v>8</v>
      </c>
    </row>
    <row r="1355" spans="1:5" x14ac:dyDescent="0.35">
      <c r="A1355" s="13">
        <v>44197</v>
      </c>
      <c r="B1355">
        <f>YEAR(Country_Masterlist__6[[#This Row],[Year1]])</f>
        <v>2021</v>
      </c>
      <c r="C1355" t="s">
        <v>34</v>
      </c>
      <c r="D1355" t="s">
        <v>121</v>
      </c>
      <c r="E1355">
        <v>10</v>
      </c>
    </row>
    <row r="1356" spans="1:5" x14ac:dyDescent="0.35">
      <c r="A1356" s="13">
        <v>44197</v>
      </c>
      <c r="B1356">
        <f>YEAR(Country_Masterlist__6[[#This Row],[Year1]])</f>
        <v>2021</v>
      </c>
      <c r="C1356" t="s">
        <v>34</v>
      </c>
      <c r="D1356" t="s">
        <v>122</v>
      </c>
    </row>
    <row r="1357" spans="1:5" x14ac:dyDescent="0.35">
      <c r="A1357" s="13">
        <v>44197</v>
      </c>
      <c r="B1357">
        <f>YEAR(Country_Masterlist__6[[#This Row],[Year1]])</f>
        <v>2021</v>
      </c>
      <c r="C1357" t="s">
        <v>35</v>
      </c>
      <c r="D1357" t="s">
        <v>123</v>
      </c>
      <c r="E1357">
        <v>7</v>
      </c>
    </row>
    <row r="1358" spans="1:5" x14ac:dyDescent="0.35">
      <c r="A1358" s="13">
        <v>44197</v>
      </c>
      <c r="B1358">
        <f>YEAR(Country_Masterlist__6[[#This Row],[Year1]])</f>
        <v>2021</v>
      </c>
      <c r="C1358" t="s">
        <v>34</v>
      </c>
      <c r="D1358" t="s">
        <v>124</v>
      </c>
      <c r="E1358">
        <v>48</v>
      </c>
    </row>
    <row r="1359" spans="1:5" x14ac:dyDescent="0.35">
      <c r="A1359" s="13">
        <v>44197</v>
      </c>
      <c r="B1359">
        <f>YEAR(Country_Masterlist__6[[#This Row],[Year1]])</f>
        <v>2021</v>
      </c>
      <c r="C1359" t="s">
        <v>33</v>
      </c>
      <c r="D1359" t="s">
        <v>125</v>
      </c>
      <c r="E1359" t="s">
        <v>205</v>
      </c>
    </row>
    <row r="1360" spans="1:5" x14ac:dyDescent="0.35">
      <c r="A1360" s="13">
        <v>44197</v>
      </c>
      <c r="B1360">
        <f>YEAR(Country_Masterlist__6[[#This Row],[Year1]])</f>
        <v>2021</v>
      </c>
      <c r="C1360" t="s">
        <v>33</v>
      </c>
      <c r="D1360" t="s">
        <v>126</v>
      </c>
      <c r="E1360" t="s">
        <v>205</v>
      </c>
    </row>
    <row r="1361" spans="1:5" x14ac:dyDescent="0.35">
      <c r="A1361" s="13">
        <v>44197</v>
      </c>
      <c r="B1361">
        <f>YEAR(Country_Masterlist__6[[#This Row],[Year1]])</f>
        <v>2021</v>
      </c>
      <c r="C1361" t="s">
        <v>35</v>
      </c>
      <c r="D1361" t="s">
        <v>127</v>
      </c>
      <c r="E1361">
        <v>32</v>
      </c>
    </row>
    <row r="1362" spans="1:5" x14ac:dyDescent="0.35">
      <c r="A1362" s="13">
        <v>44197</v>
      </c>
      <c r="B1362">
        <f>YEAR(Country_Masterlist__6[[#This Row],[Year1]])</f>
        <v>2021</v>
      </c>
      <c r="C1362" t="s">
        <v>33</v>
      </c>
      <c r="D1362" t="s">
        <v>129</v>
      </c>
    </row>
    <row r="1363" spans="1:5" x14ac:dyDescent="0.35">
      <c r="A1363" s="13">
        <v>44197</v>
      </c>
      <c r="B1363">
        <f>YEAR(Country_Masterlist__6[[#This Row],[Year1]])</f>
        <v>2021</v>
      </c>
      <c r="C1363" t="s">
        <v>34</v>
      </c>
      <c r="D1363" t="s">
        <v>131</v>
      </c>
      <c r="E1363">
        <v>8</v>
      </c>
    </row>
    <row r="1364" spans="1:5" x14ac:dyDescent="0.35">
      <c r="A1364" s="13">
        <v>44197</v>
      </c>
      <c r="B1364">
        <f>YEAR(Country_Masterlist__6[[#This Row],[Year1]])</f>
        <v>2021</v>
      </c>
      <c r="C1364" t="s">
        <v>33</v>
      </c>
      <c r="D1364" t="s">
        <v>132</v>
      </c>
      <c r="E1364">
        <v>3</v>
      </c>
    </row>
    <row r="1365" spans="1:5" x14ac:dyDescent="0.35">
      <c r="A1365" s="13">
        <v>44197</v>
      </c>
      <c r="B1365">
        <f>YEAR(Country_Masterlist__6[[#This Row],[Year1]])</f>
        <v>2021</v>
      </c>
      <c r="C1365" t="s">
        <v>33</v>
      </c>
      <c r="D1365" t="s">
        <v>136</v>
      </c>
      <c r="E1365" t="s">
        <v>205</v>
      </c>
    </row>
    <row r="1366" spans="1:5" x14ac:dyDescent="0.35">
      <c r="A1366" s="13">
        <v>44197</v>
      </c>
      <c r="B1366">
        <f>YEAR(Country_Masterlist__6[[#This Row],[Year1]])</f>
        <v>2021</v>
      </c>
      <c r="C1366" t="s">
        <v>36</v>
      </c>
      <c r="D1366" t="s">
        <v>14</v>
      </c>
      <c r="E1366">
        <v>30993</v>
      </c>
    </row>
    <row r="1367" spans="1:5" x14ac:dyDescent="0.35">
      <c r="A1367" s="13">
        <v>44197</v>
      </c>
      <c r="B1367">
        <f>YEAR(Country_Masterlist__6[[#This Row],[Year1]])</f>
        <v>2021</v>
      </c>
      <c r="C1367" t="s">
        <v>37</v>
      </c>
      <c r="D1367" t="s">
        <v>137</v>
      </c>
      <c r="E1367">
        <v>4</v>
      </c>
    </row>
    <row r="1368" spans="1:5" x14ac:dyDescent="0.35">
      <c r="A1368" s="13">
        <v>44197</v>
      </c>
      <c r="B1368">
        <f>YEAR(Country_Masterlist__6[[#This Row],[Year1]])</f>
        <v>2021</v>
      </c>
      <c r="C1368" t="s">
        <v>35</v>
      </c>
      <c r="D1368" t="s">
        <v>138</v>
      </c>
      <c r="E1368">
        <v>12</v>
      </c>
    </row>
    <row r="1369" spans="1:5" x14ac:dyDescent="0.35">
      <c r="A1369" s="13">
        <v>44197</v>
      </c>
      <c r="B1369">
        <f>YEAR(Country_Masterlist__6[[#This Row],[Year1]])</f>
        <v>2021</v>
      </c>
      <c r="C1369" t="s">
        <v>34</v>
      </c>
      <c r="D1369" t="s">
        <v>139</v>
      </c>
      <c r="E1369">
        <v>14</v>
      </c>
    </row>
    <row r="1370" spans="1:5" x14ac:dyDescent="0.35">
      <c r="A1370" s="13">
        <v>44197</v>
      </c>
      <c r="B1370">
        <f>YEAR(Country_Masterlist__6[[#This Row],[Year1]])</f>
        <v>2021</v>
      </c>
      <c r="C1370" t="s">
        <v>35</v>
      </c>
      <c r="D1370" t="s">
        <v>140</v>
      </c>
      <c r="E1370" t="s">
        <v>205</v>
      </c>
    </row>
    <row r="1371" spans="1:5" x14ac:dyDescent="0.35">
      <c r="A1371" s="13">
        <v>44197</v>
      </c>
      <c r="B1371">
        <f>YEAR(Country_Masterlist__6[[#This Row],[Year1]])</f>
        <v>2021</v>
      </c>
      <c r="C1371" t="s">
        <v>33</v>
      </c>
      <c r="D1371" t="s">
        <v>141</v>
      </c>
      <c r="E1371">
        <v>10</v>
      </c>
    </row>
    <row r="1372" spans="1:5" x14ac:dyDescent="0.35">
      <c r="A1372" s="13">
        <v>44197</v>
      </c>
      <c r="B1372">
        <f>YEAR(Country_Masterlist__6[[#This Row],[Year1]])</f>
        <v>2021</v>
      </c>
      <c r="C1372" t="s">
        <v>34</v>
      </c>
      <c r="D1372" t="s">
        <v>144</v>
      </c>
      <c r="E1372">
        <v>22</v>
      </c>
    </row>
    <row r="1373" spans="1:5" x14ac:dyDescent="0.35">
      <c r="A1373" s="13">
        <v>44197</v>
      </c>
      <c r="B1373">
        <f>YEAR(Country_Masterlist__6[[#This Row],[Year1]])</f>
        <v>2021</v>
      </c>
      <c r="C1373" t="s">
        <v>35</v>
      </c>
      <c r="D1373" t="s">
        <v>145</v>
      </c>
      <c r="E1373">
        <v>195</v>
      </c>
    </row>
    <row r="1374" spans="1:5" x14ac:dyDescent="0.35">
      <c r="A1374" s="13">
        <v>44197</v>
      </c>
      <c r="B1374">
        <f>YEAR(Country_Masterlist__6[[#This Row],[Year1]])</f>
        <v>2021</v>
      </c>
      <c r="C1374" t="s">
        <v>37</v>
      </c>
      <c r="D1374" t="s">
        <v>146</v>
      </c>
      <c r="E1374">
        <v>30</v>
      </c>
    </row>
    <row r="1375" spans="1:5" x14ac:dyDescent="0.35">
      <c r="A1375" s="13">
        <v>44197</v>
      </c>
      <c r="B1375">
        <f>YEAR(Country_Masterlist__6[[#This Row],[Year1]])</f>
        <v>2021</v>
      </c>
      <c r="C1375" t="s">
        <v>36</v>
      </c>
      <c r="D1375" t="s">
        <v>147</v>
      </c>
      <c r="E1375">
        <v>54</v>
      </c>
    </row>
    <row r="1376" spans="1:5" x14ac:dyDescent="0.35">
      <c r="A1376" s="13">
        <v>44197</v>
      </c>
      <c r="B1376">
        <f>YEAR(Country_Masterlist__6[[#This Row],[Year1]])</f>
        <v>2021</v>
      </c>
      <c r="C1376" t="s">
        <v>33</v>
      </c>
      <c r="D1376" t="s">
        <v>148</v>
      </c>
      <c r="E1376" t="s">
        <v>205</v>
      </c>
    </row>
    <row r="1377" spans="1:5" x14ac:dyDescent="0.35">
      <c r="A1377" s="13">
        <v>44197</v>
      </c>
      <c r="B1377">
        <f>YEAR(Country_Masterlist__6[[#This Row],[Year1]])</f>
        <v>2021</v>
      </c>
      <c r="C1377" t="s">
        <v>33</v>
      </c>
      <c r="D1377" t="s">
        <v>149</v>
      </c>
      <c r="E1377">
        <v>60</v>
      </c>
    </row>
    <row r="1378" spans="1:5" x14ac:dyDescent="0.35">
      <c r="A1378" s="13">
        <v>44197</v>
      </c>
      <c r="B1378">
        <f>YEAR(Country_Masterlist__6[[#This Row],[Year1]])</f>
        <v>2021</v>
      </c>
      <c r="C1378" t="s">
        <v>35</v>
      </c>
      <c r="D1378" t="s">
        <v>322</v>
      </c>
      <c r="E1378">
        <v>3</v>
      </c>
    </row>
    <row r="1379" spans="1:5" x14ac:dyDescent="0.35">
      <c r="A1379" s="13">
        <v>44197</v>
      </c>
      <c r="B1379">
        <f>YEAR(Country_Masterlist__6[[#This Row],[Year1]])</f>
        <v>2021</v>
      </c>
      <c r="C1379" t="s">
        <v>35</v>
      </c>
      <c r="D1379" t="s">
        <v>150</v>
      </c>
      <c r="E1379">
        <v>17</v>
      </c>
    </row>
    <row r="1380" spans="1:5" x14ac:dyDescent="0.35">
      <c r="A1380" s="13">
        <v>44197</v>
      </c>
      <c r="B1380">
        <f>YEAR(Country_Masterlist__6[[#This Row],[Year1]])</f>
        <v>2021</v>
      </c>
      <c r="C1380" t="s">
        <v>34</v>
      </c>
      <c r="D1380" t="s">
        <v>151</v>
      </c>
      <c r="E1380" t="s">
        <v>205</v>
      </c>
    </row>
    <row r="1381" spans="1:5" x14ac:dyDescent="0.35">
      <c r="A1381" s="13">
        <v>44197</v>
      </c>
      <c r="B1381">
        <f>YEAR(Country_Masterlist__6[[#This Row],[Year1]])</f>
        <v>2021</v>
      </c>
      <c r="C1381" t="s">
        <v>34</v>
      </c>
      <c r="D1381" t="s">
        <v>152</v>
      </c>
      <c r="E1381">
        <v>140</v>
      </c>
    </row>
    <row r="1382" spans="1:5" x14ac:dyDescent="0.35">
      <c r="A1382" s="13">
        <v>44197</v>
      </c>
      <c r="B1382">
        <f>YEAR(Country_Masterlist__6[[#This Row],[Year1]])</f>
        <v>2021</v>
      </c>
      <c r="C1382" t="s">
        <v>36</v>
      </c>
      <c r="D1382" t="s">
        <v>154</v>
      </c>
      <c r="E1382">
        <v>22</v>
      </c>
    </row>
    <row r="1383" spans="1:5" x14ac:dyDescent="0.35">
      <c r="A1383" s="13">
        <v>44197</v>
      </c>
      <c r="B1383">
        <f>YEAR(Country_Masterlist__6[[#This Row],[Year1]])</f>
        <v>2021</v>
      </c>
      <c r="C1383" t="s">
        <v>38</v>
      </c>
      <c r="D1383" t="s">
        <v>155</v>
      </c>
      <c r="E1383">
        <v>11</v>
      </c>
    </row>
    <row r="1384" spans="1:5" x14ac:dyDescent="0.35">
      <c r="A1384" s="13">
        <v>44197</v>
      </c>
      <c r="B1384">
        <f>YEAR(Country_Masterlist__6[[#This Row],[Year1]])</f>
        <v>2021</v>
      </c>
      <c r="C1384" t="s">
        <v>38</v>
      </c>
      <c r="D1384" t="s">
        <v>156</v>
      </c>
      <c r="E1384">
        <v>142</v>
      </c>
    </row>
    <row r="1385" spans="1:5" x14ac:dyDescent="0.35">
      <c r="A1385" s="13">
        <v>44197</v>
      </c>
      <c r="B1385">
        <f>YEAR(Country_Masterlist__6[[#This Row],[Year1]])</f>
        <v>2021</v>
      </c>
      <c r="C1385" t="s">
        <v>34</v>
      </c>
      <c r="D1385" t="s">
        <v>18</v>
      </c>
      <c r="E1385">
        <v>243</v>
      </c>
    </row>
    <row r="1386" spans="1:5" x14ac:dyDescent="0.35">
      <c r="A1386" s="13">
        <v>44197</v>
      </c>
      <c r="B1386">
        <f>YEAR(Country_Masterlist__6[[#This Row],[Year1]])</f>
        <v>2021</v>
      </c>
      <c r="C1386" t="s">
        <v>35</v>
      </c>
      <c r="D1386" t="s">
        <v>157</v>
      </c>
      <c r="E1386">
        <v>81</v>
      </c>
    </row>
    <row r="1387" spans="1:5" x14ac:dyDescent="0.35">
      <c r="A1387" s="13">
        <v>44197</v>
      </c>
      <c r="B1387">
        <f>YEAR(Country_Masterlist__6[[#This Row],[Year1]])</f>
        <v>2021</v>
      </c>
      <c r="C1387" t="s">
        <v>35</v>
      </c>
      <c r="D1387" t="s">
        <v>158</v>
      </c>
      <c r="E1387">
        <v>72</v>
      </c>
    </row>
    <row r="1388" spans="1:5" x14ac:dyDescent="0.35">
      <c r="A1388" s="13">
        <v>44197</v>
      </c>
      <c r="B1388">
        <f>YEAR(Country_Masterlist__6[[#This Row],[Year1]])</f>
        <v>2021</v>
      </c>
      <c r="C1388" t="s">
        <v>34</v>
      </c>
      <c r="D1388" t="s">
        <v>159</v>
      </c>
      <c r="E1388">
        <v>3</v>
      </c>
    </row>
    <row r="1389" spans="1:5" x14ac:dyDescent="0.35">
      <c r="A1389" s="13">
        <v>44197</v>
      </c>
      <c r="B1389">
        <f>YEAR(Country_Masterlist__6[[#This Row],[Year1]])</f>
        <v>2021</v>
      </c>
      <c r="C1389" t="s">
        <v>35</v>
      </c>
      <c r="D1389" t="s">
        <v>160</v>
      </c>
      <c r="E1389">
        <v>64</v>
      </c>
    </row>
    <row r="1390" spans="1:5" x14ac:dyDescent="0.35">
      <c r="A1390" s="13">
        <v>44197</v>
      </c>
      <c r="B1390">
        <f>YEAR(Country_Masterlist__6[[#This Row],[Year1]])</f>
        <v>2021</v>
      </c>
      <c r="C1390" t="s">
        <v>35</v>
      </c>
      <c r="D1390" t="s">
        <v>161</v>
      </c>
      <c r="E1390">
        <v>60</v>
      </c>
    </row>
    <row r="1391" spans="1:5" x14ac:dyDescent="0.35">
      <c r="A1391" s="13">
        <v>44197</v>
      </c>
      <c r="B1391">
        <f>YEAR(Country_Masterlist__6[[#This Row],[Year1]])</f>
        <v>2021</v>
      </c>
      <c r="C1391" t="s">
        <v>33</v>
      </c>
      <c r="D1391" t="s">
        <v>162</v>
      </c>
      <c r="E1391" t="s">
        <v>205</v>
      </c>
    </row>
    <row r="1392" spans="1:5" x14ac:dyDescent="0.35">
      <c r="A1392" s="13">
        <v>44197</v>
      </c>
      <c r="B1392">
        <f>YEAR(Country_Masterlist__6[[#This Row],[Year1]])</f>
        <v>2021</v>
      </c>
      <c r="C1392" t="s">
        <v>36</v>
      </c>
      <c r="D1392" t="s">
        <v>163</v>
      </c>
      <c r="E1392" t="s">
        <v>205</v>
      </c>
    </row>
    <row r="1393" spans="1:5" x14ac:dyDescent="0.35">
      <c r="A1393" s="13">
        <v>44197</v>
      </c>
      <c r="B1393">
        <f>YEAR(Country_Masterlist__6[[#This Row],[Year1]])</f>
        <v>2021</v>
      </c>
      <c r="C1393" t="s">
        <v>36</v>
      </c>
      <c r="D1393" t="s">
        <v>164</v>
      </c>
      <c r="E1393">
        <v>6</v>
      </c>
    </row>
    <row r="1394" spans="1:5" x14ac:dyDescent="0.35">
      <c r="A1394" s="13">
        <v>44197</v>
      </c>
      <c r="B1394">
        <f>YEAR(Country_Masterlist__6[[#This Row],[Year1]])</f>
        <v>2021</v>
      </c>
      <c r="C1394" t="s">
        <v>36</v>
      </c>
      <c r="D1394" t="s">
        <v>165</v>
      </c>
      <c r="E1394">
        <v>4</v>
      </c>
    </row>
    <row r="1395" spans="1:5" x14ac:dyDescent="0.35">
      <c r="A1395" s="13">
        <v>44197</v>
      </c>
      <c r="B1395">
        <f>YEAR(Country_Masterlist__6[[#This Row],[Year1]])</f>
        <v>2021</v>
      </c>
      <c r="C1395" t="s">
        <v>37</v>
      </c>
      <c r="D1395" t="s">
        <v>166</v>
      </c>
      <c r="E1395">
        <v>3</v>
      </c>
    </row>
    <row r="1396" spans="1:5" x14ac:dyDescent="0.35">
      <c r="A1396" s="13">
        <v>44197</v>
      </c>
      <c r="B1396">
        <f>YEAR(Country_Masterlist__6[[#This Row],[Year1]])</f>
        <v>2021</v>
      </c>
      <c r="C1396" t="s">
        <v>34</v>
      </c>
      <c r="D1396" t="s">
        <v>167</v>
      </c>
      <c r="E1396">
        <v>35</v>
      </c>
    </row>
    <row r="1397" spans="1:5" x14ac:dyDescent="0.35">
      <c r="A1397" s="13">
        <v>44197</v>
      </c>
      <c r="B1397">
        <f>YEAR(Country_Masterlist__6[[#This Row],[Year1]])</f>
        <v>2021</v>
      </c>
      <c r="C1397" t="s">
        <v>33</v>
      </c>
      <c r="D1397" t="s">
        <v>168</v>
      </c>
      <c r="E1397">
        <v>11</v>
      </c>
    </row>
    <row r="1398" spans="1:5" x14ac:dyDescent="0.35">
      <c r="A1398" s="13">
        <v>44197</v>
      </c>
      <c r="B1398">
        <f>YEAR(Country_Masterlist__6[[#This Row],[Year1]])</f>
        <v>2021</v>
      </c>
      <c r="C1398" t="s">
        <v>35</v>
      </c>
      <c r="D1398" t="s">
        <v>169</v>
      </c>
      <c r="E1398">
        <v>9</v>
      </c>
    </row>
    <row r="1399" spans="1:5" x14ac:dyDescent="0.35">
      <c r="A1399" s="13">
        <v>44197</v>
      </c>
      <c r="B1399">
        <f>YEAR(Country_Masterlist__6[[#This Row],[Year1]])</f>
        <v>2021</v>
      </c>
      <c r="C1399" t="s">
        <v>33</v>
      </c>
      <c r="D1399" t="s">
        <v>170</v>
      </c>
      <c r="E1399" t="s">
        <v>205</v>
      </c>
    </row>
    <row r="1400" spans="1:5" x14ac:dyDescent="0.35">
      <c r="A1400" s="13">
        <v>44197</v>
      </c>
      <c r="B1400">
        <f>YEAR(Country_Masterlist__6[[#This Row],[Year1]])</f>
        <v>2021</v>
      </c>
      <c r="C1400" t="s">
        <v>34</v>
      </c>
      <c r="D1400" t="s">
        <v>171</v>
      </c>
      <c r="E1400">
        <v>8</v>
      </c>
    </row>
    <row r="1401" spans="1:5" x14ac:dyDescent="0.35">
      <c r="A1401" s="13">
        <v>44197</v>
      </c>
      <c r="B1401">
        <f>YEAR(Country_Masterlist__6[[#This Row],[Year1]])</f>
        <v>2021</v>
      </c>
      <c r="C1401" t="s">
        <v>35</v>
      </c>
      <c r="D1401" t="s">
        <v>172</v>
      </c>
      <c r="E1401">
        <v>23</v>
      </c>
    </row>
    <row r="1402" spans="1:5" x14ac:dyDescent="0.35">
      <c r="A1402" s="13">
        <v>44197</v>
      </c>
      <c r="B1402">
        <f>YEAR(Country_Masterlist__6[[#This Row],[Year1]])</f>
        <v>2021</v>
      </c>
      <c r="C1402" t="s">
        <v>35</v>
      </c>
      <c r="D1402" t="s">
        <v>173</v>
      </c>
      <c r="E1402">
        <v>9</v>
      </c>
    </row>
    <row r="1403" spans="1:5" x14ac:dyDescent="0.35">
      <c r="A1403" s="13">
        <v>44197</v>
      </c>
      <c r="B1403">
        <f>YEAR(Country_Masterlist__6[[#This Row],[Year1]])</f>
        <v>2021</v>
      </c>
      <c r="C1403" t="s">
        <v>33</v>
      </c>
      <c r="D1403" t="s">
        <v>174</v>
      </c>
      <c r="E1403">
        <v>9</v>
      </c>
    </row>
    <row r="1404" spans="1:5" x14ac:dyDescent="0.35">
      <c r="A1404" s="13">
        <v>44197</v>
      </c>
      <c r="B1404">
        <f>YEAR(Country_Masterlist__6[[#This Row],[Year1]])</f>
        <v>2021</v>
      </c>
      <c r="C1404" t="s">
        <v>33</v>
      </c>
      <c r="D1404" t="s">
        <v>175</v>
      </c>
      <c r="E1404">
        <v>37</v>
      </c>
    </row>
    <row r="1405" spans="1:5" x14ac:dyDescent="0.35">
      <c r="A1405" s="13">
        <v>44197</v>
      </c>
      <c r="B1405">
        <f>YEAR(Country_Masterlist__6[[#This Row],[Year1]])</f>
        <v>2021</v>
      </c>
      <c r="C1405" t="s">
        <v>35</v>
      </c>
      <c r="D1405" t="s">
        <v>177</v>
      </c>
      <c r="E1405">
        <v>713</v>
      </c>
    </row>
    <row r="1406" spans="1:5" x14ac:dyDescent="0.35">
      <c r="A1406" s="13">
        <v>44197</v>
      </c>
      <c r="B1406">
        <f>YEAR(Country_Masterlist__6[[#This Row],[Year1]])</f>
        <v>2021</v>
      </c>
      <c r="C1406" t="s">
        <v>34</v>
      </c>
      <c r="D1406" t="s">
        <v>178</v>
      </c>
      <c r="E1406">
        <v>16</v>
      </c>
    </row>
    <row r="1407" spans="1:5" x14ac:dyDescent="0.35">
      <c r="A1407" s="13">
        <v>44197</v>
      </c>
      <c r="B1407">
        <f>YEAR(Country_Masterlist__6[[#This Row],[Year1]])</f>
        <v>2021</v>
      </c>
      <c r="C1407" t="s">
        <v>33</v>
      </c>
      <c r="D1407" t="s">
        <v>179</v>
      </c>
      <c r="E1407">
        <v>6</v>
      </c>
    </row>
    <row r="1408" spans="1:5" x14ac:dyDescent="0.35">
      <c r="A1408" s="13">
        <v>44197</v>
      </c>
      <c r="B1408">
        <f>YEAR(Country_Masterlist__6[[#This Row],[Year1]])</f>
        <v>2021</v>
      </c>
      <c r="C1408" t="s">
        <v>35</v>
      </c>
      <c r="D1408" t="s">
        <v>182</v>
      </c>
      <c r="E1408">
        <v>36</v>
      </c>
    </row>
    <row r="1409" spans="1:5" x14ac:dyDescent="0.35">
      <c r="A1409" s="13">
        <v>44197</v>
      </c>
      <c r="B1409">
        <f>YEAR(Country_Masterlist__6[[#This Row],[Year1]])</f>
        <v>2021</v>
      </c>
      <c r="C1409" t="s">
        <v>35</v>
      </c>
      <c r="D1409" t="s">
        <v>183</v>
      </c>
      <c r="E1409">
        <v>25</v>
      </c>
    </row>
    <row r="1410" spans="1:5" x14ac:dyDescent="0.35">
      <c r="A1410" s="13">
        <v>44197</v>
      </c>
      <c r="B1410">
        <f>YEAR(Country_Masterlist__6[[#This Row],[Year1]])</f>
        <v>2021</v>
      </c>
      <c r="C1410" t="s">
        <v>34</v>
      </c>
      <c r="D1410" t="s">
        <v>184</v>
      </c>
      <c r="E1410">
        <v>13</v>
      </c>
    </row>
    <row r="1411" spans="1:5" x14ac:dyDescent="0.35">
      <c r="A1411" s="13">
        <v>44197</v>
      </c>
      <c r="B1411">
        <f>YEAR(Country_Masterlist__6[[#This Row],[Year1]])</f>
        <v>2021</v>
      </c>
      <c r="C1411" t="s">
        <v>34</v>
      </c>
      <c r="D1411" t="s">
        <v>185</v>
      </c>
      <c r="E1411">
        <v>351</v>
      </c>
    </row>
    <row r="1412" spans="1:5" x14ac:dyDescent="0.35">
      <c r="A1412" s="13">
        <v>44197</v>
      </c>
      <c r="B1412">
        <f>YEAR(Country_Masterlist__6[[#This Row],[Year1]])</f>
        <v>2021</v>
      </c>
      <c r="C1412" t="s">
        <v>33</v>
      </c>
      <c r="D1412" t="s">
        <v>187</v>
      </c>
      <c r="E1412">
        <v>5</v>
      </c>
    </row>
    <row r="1413" spans="1:5" x14ac:dyDescent="0.35">
      <c r="A1413" s="13">
        <v>44197</v>
      </c>
      <c r="B1413">
        <f>YEAR(Country_Masterlist__6[[#This Row],[Year1]])</f>
        <v>2021</v>
      </c>
      <c r="C1413" t="s">
        <v>34</v>
      </c>
      <c r="D1413" t="s">
        <v>188</v>
      </c>
      <c r="E1413">
        <v>89</v>
      </c>
    </row>
    <row r="1414" spans="1:5" x14ac:dyDescent="0.35">
      <c r="A1414" s="13">
        <v>44197</v>
      </c>
      <c r="B1414">
        <f>YEAR(Country_Masterlist__6[[#This Row],[Year1]])</f>
        <v>2021</v>
      </c>
      <c r="C1414" t="s">
        <v>33</v>
      </c>
      <c r="D1414" t="s">
        <v>189</v>
      </c>
      <c r="E1414" t="s">
        <v>205</v>
      </c>
    </row>
    <row r="1415" spans="1:5" x14ac:dyDescent="0.35">
      <c r="A1415" s="13">
        <v>44197</v>
      </c>
      <c r="B1415">
        <f>YEAR(Country_Masterlist__6[[#This Row],[Year1]])</f>
        <v>2021</v>
      </c>
      <c r="C1415" t="s">
        <v>37</v>
      </c>
      <c r="D1415" t="s">
        <v>190</v>
      </c>
    </row>
    <row r="1416" spans="1:5" x14ac:dyDescent="0.35">
      <c r="A1416" s="13">
        <v>44197</v>
      </c>
      <c r="B1416">
        <f>YEAR(Country_Masterlist__6[[#This Row],[Year1]])</f>
        <v>2021</v>
      </c>
      <c r="C1416" t="s">
        <v>36</v>
      </c>
      <c r="D1416" t="s">
        <v>191</v>
      </c>
      <c r="E1416">
        <v>13</v>
      </c>
    </row>
    <row r="1417" spans="1:5" x14ac:dyDescent="0.35">
      <c r="A1417" s="13">
        <v>44197</v>
      </c>
      <c r="B1417">
        <f>YEAR(Country_Masterlist__6[[#This Row],[Year1]])</f>
        <v>2021</v>
      </c>
      <c r="C1417" t="s">
        <v>33</v>
      </c>
      <c r="D1417" t="s">
        <v>192</v>
      </c>
      <c r="E1417">
        <v>13</v>
      </c>
    </row>
    <row r="1418" spans="1:5" x14ac:dyDescent="0.35">
      <c r="A1418" s="13">
        <v>44197</v>
      </c>
      <c r="B1418">
        <f>YEAR(Country_Masterlist__6[[#This Row],[Year1]])</f>
        <v>2021</v>
      </c>
      <c r="C1418" t="s">
        <v>34</v>
      </c>
      <c r="D1418" t="s">
        <v>193</v>
      </c>
      <c r="E1418">
        <v>70</v>
      </c>
    </row>
    <row r="1419" spans="1:5" x14ac:dyDescent="0.35">
      <c r="A1419" s="13">
        <v>44197</v>
      </c>
      <c r="B1419">
        <f>YEAR(Country_Masterlist__6[[#This Row],[Year1]])</f>
        <v>2021</v>
      </c>
      <c r="C1419" t="s">
        <v>34</v>
      </c>
      <c r="D1419" t="s">
        <v>194</v>
      </c>
      <c r="E1419" t="s">
        <v>205</v>
      </c>
    </row>
    <row r="1420" spans="1:5" x14ac:dyDescent="0.35">
      <c r="A1420" s="13">
        <v>44197</v>
      </c>
      <c r="B1420">
        <f>YEAR(Country_Masterlist__6[[#This Row],[Year1]])</f>
        <v>2021</v>
      </c>
      <c r="C1420" t="s">
        <v>33</v>
      </c>
      <c r="D1420" t="s">
        <v>195</v>
      </c>
      <c r="E1420">
        <v>5</v>
      </c>
    </row>
    <row r="1421" spans="1:5" x14ac:dyDescent="0.35">
      <c r="A1421" s="13">
        <v>44197</v>
      </c>
      <c r="B1421">
        <f>YEAR(Country_Masterlist__6[[#This Row],[Year1]])</f>
        <v>2021</v>
      </c>
      <c r="C1421" t="s">
        <v>35</v>
      </c>
      <c r="D1421" t="s">
        <v>196</v>
      </c>
      <c r="E1421">
        <v>49</v>
      </c>
    </row>
    <row r="1422" spans="1:5" x14ac:dyDescent="0.35">
      <c r="A1422" s="13">
        <v>44197</v>
      </c>
      <c r="B1422">
        <f>YEAR(Country_Masterlist__6[[#This Row],[Year1]])</f>
        <v>2021</v>
      </c>
      <c r="C1422" t="s">
        <v>34</v>
      </c>
      <c r="D1422" t="s">
        <v>197</v>
      </c>
      <c r="E1422">
        <v>10</v>
      </c>
    </row>
    <row r="1423" spans="1:5" x14ac:dyDescent="0.35">
      <c r="A1423" s="13">
        <v>44197</v>
      </c>
      <c r="B1423">
        <f>YEAR(Country_Masterlist__6[[#This Row],[Year1]])</f>
        <v>2021</v>
      </c>
      <c r="C1423" t="s">
        <v>35</v>
      </c>
      <c r="D1423" t="s">
        <v>198</v>
      </c>
      <c r="E1423">
        <v>335</v>
      </c>
    </row>
    <row r="1424" spans="1:5" x14ac:dyDescent="0.35">
      <c r="A1424" s="13">
        <v>44197</v>
      </c>
      <c r="B1424">
        <f>YEAR(Country_Masterlist__6[[#This Row],[Year1]])</f>
        <v>2021</v>
      </c>
      <c r="C1424" t="s">
        <v>38</v>
      </c>
      <c r="D1424" t="s">
        <v>199</v>
      </c>
      <c r="E1424">
        <v>5</v>
      </c>
    </row>
    <row r="1425" spans="1:5" x14ac:dyDescent="0.35">
      <c r="A1425" s="13">
        <v>44197</v>
      </c>
      <c r="B1425">
        <f>YEAR(Country_Masterlist__6[[#This Row],[Year1]])</f>
        <v>2021</v>
      </c>
      <c r="C1425" t="s">
        <v>34</v>
      </c>
      <c r="D1425" t="s">
        <v>200</v>
      </c>
      <c r="E1425">
        <v>3</v>
      </c>
    </row>
    <row r="1426" spans="1:5" x14ac:dyDescent="0.35">
      <c r="A1426" s="13">
        <v>44197</v>
      </c>
      <c r="B1426">
        <f>YEAR(Country_Masterlist__6[[#This Row],[Year1]])</f>
        <v>2021</v>
      </c>
      <c r="C1426" t="s">
        <v>38</v>
      </c>
      <c r="D1426" t="s">
        <v>19</v>
      </c>
      <c r="E1426">
        <v>184</v>
      </c>
    </row>
    <row r="1427" spans="1:5" x14ac:dyDescent="0.35">
      <c r="A1427" s="13">
        <v>44197</v>
      </c>
      <c r="B1427">
        <f>YEAR(Country_Masterlist__6[[#This Row],[Year1]])</f>
        <v>2021</v>
      </c>
      <c r="C1427" t="s">
        <v>34</v>
      </c>
      <c r="D1427" t="s">
        <v>201</v>
      </c>
      <c r="E1427">
        <v>14</v>
      </c>
    </row>
    <row r="1428" spans="1:5" x14ac:dyDescent="0.35">
      <c r="A1428" s="13">
        <v>44197</v>
      </c>
      <c r="B1428">
        <f>YEAR(Country_Masterlist__6[[#This Row],[Year1]])</f>
        <v>2021</v>
      </c>
      <c r="C1428" t="s">
        <v>34</v>
      </c>
      <c r="D1428" t="s">
        <v>202</v>
      </c>
      <c r="E1428" t="s">
        <v>205</v>
      </c>
    </row>
    <row r="1429" spans="1:5" x14ac:dyDescent="0.35">
      <c r="A1429" s="13">
        <v>44197</v>
      </c>
      <c r="B1429">
        <f>YEAR(Country_Masterlist__6[[#This Row],[Year1]])</f>
        <v>2021</v>
      </c>
      <c r="C1429" t="s">
        <v>33</v>
      </c>
      <c r="D1429" t="s">
        <v>203</v>
      </c>
      <c r="E1429">
        <v>6</v>
      </c>
    </row>
    <row r="1430" spans="1:5" x14ac:dyDescent="0.35">
      <c r="A1430" s="13">
        <v>44197</v>
      </c>
      <c r="B1430">
        <f>YEAR(Country_Masterlist__6[[#This Row],[Year1]])</f>
        <v>2021</v>
      </c>
      <c r="C1430" t="s">
        <v>33</v>
      </c>
      <c r="D1430" t="s">
        <v>204</v>
      </c>
      <c r="E1430">
        <v>7</v>
      </c>
    </row>
    <row r="1431" spans="1:5" x14ac:dyDescent="0.35">
      <c r="A1431" s="13">
        <v>44197</v>
      </c>
      <c r="B1431">
        <f>YEAR(Country_Masterlist__6[[#This Row],[Year1]])</f>
        <v>2021</v>
      </c>
      <c r="D1431" t="s">
        <v>373</v>
      </c>
      <c r="E1431">
        <v>18</v>
      </c>
    </row>
    <row r="1432" spans="1:5" x14ac:dyDescent="0.35">
      <c r="A1432" s="13">
        <v>44197</v>
      </c>
      <c r="B1432">
        <f>YEAR(Country_Masterlist__6[[#This Row],[Year1]])</f>
        <v>2021</v>
      </c>
      <c r="C1432" t="s">
        <v>39</v>
      </c>
      <c r="D1432" t="s">
        <v>39</v>
      </c>
      <c r="E1432">
        <v>31</v>
      </c>
    </row>
    <row r="1433" spans="1:5" x14ac:dyDescent="0.35">
      <c r="A1433" s="13">
        <v>44562</v>
      </c>
      <c r="B1433">
        <f>YEAR(Country_Masterlist__6[[#This Row],[Year1]])</f>
        <v>2022</v>
      </c>
      <c r="C1433" t="s">
        <v>34</v>
      </c>
      <c r="D1433" t="s">
        <v>40</v>
      </c>
      <c r="E1433">
        <v>84</v>
      </c>
    </row>
    <row r="1434" spans="1:5" x14ac:dyDescent="0.35">
      <c r="A1434" s="13">
        <v>44562</v>
      </c>
      <c r="B1434">
        <f>YEAR(Country_Masterlist__6[[#This Row],[Year1]])</f>
        <v>2022</v>
      </c>
      <c r="C1434" t="s">
        <v>35</v>
      </c>
      <c r="D1434" t="s">
        <v>41</v>
      </c>
      <c r="E1434">
        <v>26</v>
      </c>
    </row>
    <row r="1435" spans="1:5" x14ac:dyDescent="0.35">
      <c r="A1435" s="13">
        <v>44562</v>
      </c>
      <c r="B1435">
        <f>YEAR(Country_Masterlist__6[[#This Row],[Year1]])</f>
        <v>2022</v>
      </c>
      <c r="C1435" t="s">
        <v>33</v>
      </c>
      <c r="D1435" t="s">
        <v>42</v>
      </c>
      <c r="E1435">
        <v>150</v>
      </c>
    </row>
    <row r="1436" spans="1:5" x14ac:dyDescent="0.35">
      <c r="A1436" s="13">
        <v>44562</v>
      </c>
      <c r="B1436">
        <f>YEAR(Country_Masterlist__6[[#This Row],[Year1]])</f>
        <v>2022</v>
      </c>
      <c r="C1436" t="s">
        <v>33</v>
      </c>
      <c r="D1436" t="s">
        <v>43</v>
      </c>
      <c r="E1436">
        <v>8</v>
      </c>
    </row>
    <row r="1437" spans="1:5" x14ac:dyDescent="0.35">
      <c r="A1437" s="13">
        <v>44562</v>
      </c>
      <c r="B1437">
        <f>YEAR(Country_Masterlist__6[[#This Row],[Year1]])</f>
        <v>2022</v>
      </c>
      <c r="C1437" t="s">
        <v>36</v>
      </c>
      <c r="D1437" t="s">
        <v>44</v>
      </c>
      <c r="E1437">
        <v>3</v>
      </c>
    </row>
    <row r="1438" spans="1:5" x14ac:dyDescent="0.35">
      <c r="A1438" s="13">
        <v>44562</v>
      </c>
      <c r="B1438">
        <f>YEAR(Country_Masterlist__6[[#This Row],[Year1]])</f>
        <v>2022</v>
      </c>
      <c r="C1438" t="s">
        <v>38</v>
      </c>
      <c r="D1438" t="s">
        <v>45</v>
      </c>
      <c r="E1438">
        <v>112</v>
      </c>
    </row>
    <row r="1439" spans="1:5" x14ac:dyDescent="0.35">
      <c r="A1439" s="13">
        <v>44562</v>
      </c>
      <c r="B1439">
        <f>YEAR(Country_Masterlist__6[[#This Row],[Year1]])</f>
        <v>2022</v>
      </c>
      <c r="C1439" t="s">
        <v>34</v>
      </c>
      <c r="D1439" t="s">
        <v>46</v>
      </c>
      <c r="E1439">
        <v>23</v>
      </c>
    </row>
    <row r="1440" spans="1:5" x14ac:dyDescent="0.35">
      <c r="A1440" s="13">
        <v>44562</v>
      </c>
      <c r="B1440">
        <f>YEAR(Country_Masterlist__6[[#This Row],[Year1]])</f>
        <v>2022</v>
      </c>
      <c r="C1440" t="s">
        <v>37</v>
      </c>
      <c r="D1440" t="s">
        <v>47</v>
      </c>
      <c r="E1440">
        <v>357</v>
      </c>
    </row>
    <row r="1441" spans="1:5" x14ac:dyDescent="0.35">
      <c r="A1441" s="13">
        <v>44562</v>
      </c>
      <c r="B1441">
        <f>YEAR(Country_Masterlist__6[[#This Row],[Year1]])</f>
        <v>2022</v>
      </c>
      <c r="C1441" t="s">
        <v>35</v>
      </c>
      <c r="D1441" t="s">
        <v>48</v>
      </c>
      <c r="E1441">
        <v>39</v>
      </c>
    </row>
    <row r="1442" spans="1:5" x14ac:dyDescent="0.35">
      <c r="A1442" s="13">
        <v>44562</v>
      </c>
      <c r="B1442">
        <f>YEAR(Country_Masterlist__6[[#This Row],[Year1]])</f>
        <v>2022</v>
      </c>
      <c r="C1442" t="s">
        <v>34</v>
      </c>
      <c r="D1442" t="s">
        <v>49</v>
      </c>
      <c r="E1442">
        <v>3</v>
      </c>
    </row>
    <row r="1443" spans="1:5" x14ac:dyDescent="0.35">
      <c r="A1443" s="13">
        <v>44562</v>
      </c>
      <c r="B1443">
        <f>YEAR(Country_Masterlist__6[[#This Row],[Year1]])</f>
        <v>2022</v>
      </c>
      <c r="C1443" t="s">
        <v>36</v>
      </c>
      <c r="D1443" t="s">
        <v>50</v>
      </c>
      <c r="E1443">
        <v>727</v>
      </c>
    </row>
    <row r="1444" spans="1:5" x14ac:dyDescent="0.35">
      <c r="A1444" s="13">
        <v>44562</v>
      </c>
      <c r="B1444">
        <f>YEAR(Country_Masterlist__6[[#This Row],[Year1]])</f>
        <v>2022</v>
      </c>
      <c r="C1444" t="s">
        <v>34</v>
      </c>
      <c r="D1444" t="s">
        <v>51</v>
      </c>
    </row>
    <row r="1445" spans="1:5" x14ac:dyDescent="0.35">
      <c r="A1445" s="13">
        <v>44562</v>
      </c>
      <c r="B1445">
        <f>YEAR(Country_Masterlist__6[[#This Row],[Year1]])</f>
        <v>2022</v>
      </c>
      <c r="C1445" t="s">
        <v>34</v>
      </c>
      <c r="D1445" t="s">
        <v>52</v>
      </c>
      <c r="E1445">
        <v>80</v>
      </c>
    </row>
    <row r="1446" spans="1:5" x14ac:dyDescent="0.35">
      <c r="A1446" s="13">
        <v>44562</v>
      </c>
      <c r="B1446">
        <f>YEAR(Country_Masterlist__6[[#This Row],[Year1]])</f>
        <v>2022</v>
      </c>
      <c r="C1446" t="s">
        <v>36</v>
      </c>
      <c r="D1446" t="s">
        <v>53</v>
      </c>
      <c r="E1446">
        <v>8</v>
      </c>
    </row>
    <row r="1447" spans="1:5" x14ac:dyDescent="0.35">
      <c r="A1447" s="13">
        <v>44562</v>
      </c>
      <c r="B1447">
        <f>YEAR(Country_Masterlist__6[[#This Row],[Year1]])</f>
        <v>2022</v>
      </c>
      <c r="C1447" t="s">
        <v>35</v>
      </c>
      <c r="D1447" t="s">
        <v>54</v>
      </c>
      <c r="E1447">
        <v>3</v>
      </c>
    </row>
    <row r="1448" spans="1:5" x14ac:dyDescent="0.35">
      <c r="A1448" s="13">
        <v>44562</v>
      </c>
      <c r="B1448">
        <f>YEAR(Country_Masterlist__6[[#This Row],[Year1]])</f>
        <v>2022</v>
      </c>
      <c r="C1448" t="s">
        <v>35</v>
      </c>
      <c r="D1448" t="s">
        <v>55</v>
      </c>
      <c r="E1448">
        <v>86</v>
      </c>
    </row>
    <row r="1449" spans="1:5" x14ac:dyDescent="0.35">
      <c r="A1449" s="13">
        <v>44562</v>
      </c>
      <c r="B1449">
        <f>YEAR(Country_Masterlist__6[[#This Row],[Year1]])</f>
        <v>2022</v>
      </c>
      <c r="C1449" t="s">
        <v>36</v>
      </c>
      <c r="D1449" t="s">
        <v>56</v>
      </c>
      <c r="E1449">
        <v>31</v>
      </c>
    </row>
    <row r="1450" spans="1:5" x14ac:dyDescent="0.35">
      <c r="A1450" s="13">
        <v>44562</v>
      </c>
      <c r="B1450">
        <f>YEAR(Country_Masterlist__6[[#This Row],[Year1]])</f>
        <v>2022</v>
      </c>
      <c r="C1450" t="s">
        <v>33</v>
      </c>
      <c r="D1450" t="s">
        <v>57</v>
      </c>
      <c r="E1450" t="s">
        <v>205</v>
      </c>
    </row>
    <row r="1451" spans="1:5" x14ac:dyDescent="0.35">
      <c r="A1451" s="13">
        <v>44562</v>
      </c>
      <c r="B1451">
        <f>YEAR(Country_Masterlist__6[[#This Row],[Year1]])</f>
        <v>2022</v>
      </c>
      <c r="C1451" t="s">
        <v>38</v>
      </c>
      <c r="D1451" t="s">
        <v>59</v>
      </c>
      <c r="E1451">
        <v>24</v>
      </c>
    </row>
    <row r="1452" spans="1:5" x14ac:dyDescent="0.35">
      <c r="A1452" s="13">
        <v>44562</v>
      </c>
      <c r="B1452">
        <f>YEAR(Country_Masterlist__6[[#This Row],[Year1]])</f>
        <v>2022</v>
      </c>
      <c r="C1452" t="s">
        <v>35</v>
      </c>
      <c r="D1452" t="s">
        <v>60</v>
      </c>
      <c r="E1452">
        <v>10</v>
      </c>
    </row>
    <row r="1453" spans="1:5" x14ac:dyDescent="0.35">
      <c r="A1453" s="13">
        <v>44562</v>
      </c>
      <c r="B1453">
        <f>YEAR(Country_Masterlist__6[[#This Row],[Year1]])</f>
        <v>2022</v>
      </c>
      <c r="C1453" t="s">
        <v>38</v>
      </c>
      <c r="D1453" t="s">
        <v>21</v>
      </c>
      <c r="E1453">
        <v>692</v>
      </c>
    </row>
    <row r="1454" spans="1:5" x14ac:dyDescent="0.35">
      <c r="A1454" s="13">
        <v>44562</v>
      </c>
      <c r="B1454">
        <f>YEAR(Country_Masterlist__6[[#This Row],[Year1]])</f>
        <v>2022</v>
      </c>
      <c r="C1454" t="s">
        <v>35</v>
      </c>
      <c r="D1454" t="s">
        <v>62</v>
      </c>
      <c r="E1454">
        <v>14</v>
      </c>
    </row>
    <row r="1455" spans="1:5" x14ac:dyDescent="0.35">
      <c r="A1455" s="13">
        <v>44562</v>
      </c>
      <c r="B1455">
        <f>YEAR(Country_Masterlist__6[[#This Row],[Year1]])</f>
        <v>2022</v>
      </c>
      <c r="C1455" t="s">
        <v>33</v>
      </c>
      <c r="D1455" t="s">
        <v>63</v>
      </c>
      <c r="E1455" t="s">
        <v>205</v>
      </c>
    </row>
    <row r="1456" spans="1:5" x14ac:dyDescent="0.35">
      <c r="A1456" s="13">
        <v>44562</v>
      </c>
      <c r="B1456">
        <f>YEAR(Country_Masterlist__6[[#This Row],[Year1]])</f>
        <v>2022</v>
      </c>
      <c r="C1456" t="s">
        <v>34</v>
      </c>
      <c r="D1456" t="s">
        <v>64</v>
      </c>
      <c r="E1456">
        <v>5</v>
      </c>
    </row>
    <row r="1457" spans="1:5" x14ac:dyDescent="0.35">
      <c r="A1457" s="13">
        <v>44562</v>
      </c>
      <c r="B1457">
        <f>YEAR(Country_Masterlist__6[[#This Row],[Year1]])</f>
        <v>2022</v>
      </c>
      <c r="C1457" t="s">
        <v>33</v>
      </c>
      <c r="D1457" t="s">
        <v>65</v>
      </c>
      <c r="E1457">
        <v>7</v>
      </c>
    </row>
    <row r="1458" spans="1:5" x14ac:dyDescent="0.35">
      <c r="A1458" s="13">
        <v>44562</v>
      </c>
      <c r="B1458">
        <f>YEAR(Country_Masterlist__6[[#This Row],[Year1]])</f>
        <v>2022</v>
      </c>
      <c r="C1458" t="s">
        <v>33</v>
      </c>
      <c r="D1458" t="s">
        <v>66</v>
      </c>
      <c r="E1458">
        <v>9</v>
      </c>
    </row>
    <row r="1459" spans="1:5" x14ac:dyDescent="0.35">
      <c r="A1459" s="13">
        <v>44562</v>
      </c>
      <c r="B1459">
        <f>YEAR(Country_Masterlist__6[[#This Row],[Year1]])</f>
        <v>2022</v>
      </c>
      <c r="C1459" t="s">
        <v>34</v>
      </c>
      <c r="D1459" t="s">
        <v>67</v>
      </c>
      <c r="E1459">
        <v>5</v>
      </c>
    </row>
    <row r="1460" spans="1:5" x14ac:dyDescent="0.35">
      <c r="A1460" s="13">
        <v>44562</v>
      </c>
      <c r="B1460">
        <f>YEAR(Country_Masterlist__6[[#This Row],[Year1]])</f>
        <v>2022</v>
      </c>
      <c r="C1460" t="s">
        <v>33</v>
      </c>
      <c r="D1460" t="s">
        <v>68</v>
      </c>
      <c r="E1460">
        <v>26</v>
      </c>
    </row>
    <row r="1461" spans="1:5" x14ac:dyDescent="0.35">
      <c r="A1461" s="13">
        <v>44562</v>
      </c>
      <c r="B1461">
        <f>YEAR(Country_Masterlist__6[[#This Row],[Year1]])</f>
        <v>2022</v>
      </c>
      <c r="C1461" t="s">
        <v>36</v>
      </c>
      <c r="D1461" t="s">
        <v>69</v>
      </c>
      <c r="E1461">
        <v>15693</v>
      </c>
    </row>
    <row r="1462" spans="1:5" x14ac:dyDescent="0.35">
      <c r="A1462" s="13">
        <v>44562</v>
      </c>
      <c r="B1462">
        <f>YEAR(Country_Masterlist__6[[#This Row],[Year1]])</f>
        <v>2022</v>
      </c>
      <c r="C1462" t="s">
        <v>38</v>
      </c>
      <c r="D1462" t="s">
        <v>72</v>
      </c>
      <c r="E1462">
        <v>1436</v>
      </c>
    </row>
    <row r="1463" spans="1:5" x14ac:dyDescent="0.35">
      <c r="A1463" s="13">
        <v>44562</v>
      </c>
      <c r="B1463">
        <f>YEAR(Country_Masterlist__6[[#This Row],[Year1]])</f>
        <v>2022</v>
      </c>
      <c r="C1463" t="s">
        <v>34</v>
      </c>
      <c r="D1463" t="s">
        <v>73</v>
      </c>
      <c r="E1463">
        <v>1848</v>
      </c>
    </row>
    <row r="1464" spans="1:5" x14ac:dyDescent="0.35">
      <c r="A1464" s="13">
        <v>44562</v>
      </c>
      <c r="B1464">
        <f>YEAR(Country_Masterlist__6[[#This Row],[Year1]])</f>
        <v>2022</v>
      </c>
      <c r="C1464" t="s">
        <v>38</v>
      </c>
      <c r="D1464" t="s">
        <v>20</v>
      </c>
      <c r="E1464">
        <v>936</v>
      </c>
    </row>
    <row r="1465" spans="1:5" x14ac:dyDescent="0.35">
      <c r="A1465" s="13">
        <v>44562</v>
      </c>
      <c r="B1465">
        <f>YEAR(Country_Masterlist__6[[#This Row],[Year1]])</f>
        <v>2022</v>
      </c>
      <c r="C1465" t="s">
        <v>33</v>
      </c>
      <c r="D1465" t="s">
        <v>74</v>
      </c>
      <c r="E1465">
        <v>33</v>
      </c>
    </row>
    <row r="1466" spans="1:5" x14ac:dyDescent="0.35">
      <c r="A1466" s="13">
        <v>44562</v>
      </c>
      <c r="B1466">
        <f>YEAR(Country_Masterlist__6[[#This Row],[Year1]])</f>
        <v>2022</v>
      </c>
      <c r="C1466" t="s">
        <v>33</v>
      </c>
      <c r="D1466" t="s">
        <v>75</v>
      </c>
      <c r="E1466">
        <v>10</v>
      </c>
    </row>
    <row r="1467" spans="1:5" x14ac:dyDescent="0.35">
      <c r="A1467" s="13">
        <v>44562</v>
      </c>
      <c r="B1467">
        <f>YEAR(Country_Masterlist__6[[#This Row],[Year1]])</f>
        <v>2022</v>
      </c>
      <c r="C1467" t="s">
        <v>36</v>
      </c>
      <c r="D1467" t="s">
        <v>76</v>
      </c>
      <c r="E1467">
        <v>76</v>
      </c>
    </row>
    <row r="1468" spans="1:5" x14ac:dyDescent="0.35">
      <c r="A1468" s="13">
        <v>44562</v>
      </c>
      <c r="B1468">
        <f>YEAR(Country_Masterlist__6[[#This Row],[Year1]])</f>
        <v>2022</v>
      </c>
      <c r="C1468" t="s">
        <v>33</v>
      </c>
      <c r="D1468" t="s">
        <v>77</v>
      </c>
      <c r="E1468">
        <v>6</v>
      </c>
    </row>
    <row r="1469" spans="1:5" x14ac:dyDescent="0.35">
      <c r="A1469" s="13">
        <v>44562</v>
      </c>
      <c r="B1469">
        <f>YEAR(Country_Masterlist__6[[#This Row],[Year1]])</f>
        <v>2022</v>
      </c>
      <c r="C1469" t="s">
        <v>35</v>
      </c>
      <c r="D1469" t="s">
        <v>78</v>
      </c>
      <c r="E1469">
        <v>47</v>
      </c>
    </row>
    <row r="1470" spans="1:5" x14ac:dyDescent="0.35">
      <c r="A1470" s="13">
        <v>44562</v>
      </c>
      <c r="B1470">
        <f>YEAR(Country_Masterlist__6[[#This Row],[Year1]])</f>
        <v>2022</v>
      </c>
      <c r="C1470" t="s">
        <v>36</v>
      </c>
      <c r="D1470" t="s">
        <v>79</v>
      </c>
      <c r="E1470">
        <v>46</v>
      </c>
    </row>
    <row r="1471" spans="1:5" x14ac:dyDescent="0.35">
      <c r="A1471" s="13">
        <v>44562</v>
      </c>
      <c r="B1471">
        <f>YEAR(Country_Masterlist__6[[#This Row],[Year1]])</f>
        <v>2022</v>
      </c>
      <c r="C1471" t="s">
        <v>34</v>
      </c>
      <c r="D1471" t="s">
        <v>80</v>
      </c>
    </row>
    <row r="1472" spans="1:5" x14ac:dyDescent="0.35">
      <c r="A1472" s="13">
        <v>44562</v>
      </c>
      <c r="B1472">
        <f>YEAR(Country_Masterlist__6[[#This Row],[Year1]])</f>
        <v>2022</v>
      </c>
      <c r="C1472" t="s">
        <v>35</v>
      </c>
      <c r="D1472" t="s">
        <v>81</v>
      </c>
      <c r="E1472">
        <v>98</v>
      </c>
    </row>
    <row r="1473" spans="1:5" x14ac:dyDescent="0.35">
      <c r="A1473" s="13">
        <v>44562</v>
      </c>
      <c r="B1473">
        <f>YEAR(Country_Masterlist__6[[#This Row],[Year1]])</f>
        <v>2022</v>
      </c>
      <c r="C1473" t="s">
        <v>35</v>
      </c>
      <c r="D1473" t="s">
        <v>82</v>
      </c>
      <c r="E1473">
        <v>39</v>
      </c>
    </row>
    <row r="1474" spans="1:5" x14ac:dyDescent="0.35">
      <c r="A1474" s="13">
        <v>44562</v>
      </c>
      <c r="B1474">
        <f>YEAR(Country_Masterlist__6[[#This Row],[Year1]])</f>
        <v>2022</v>
      </c>
      <c r="C1474" t="s">
        <v>36</v>
      </c>
      <c r="D1474" t="s">
        <v>84</v>
      </c>
      <c r="E1474">
        <v>5</v>
      </c>
    </row>
    <row r="1475" spans="1:5" x14ac:dyDescent="0.35">
      <c r="A1475" s="13">
        <v>44562</v>
      </c>
      <c r="B1475">
        <f>YEAR(Country_Masterlist__6[[#This Row],[Year1]])</f>
        <v>2022</v>
      </c>
      <c r="C1475" t="s">
        <v>36</v>
      </c>
      <c r="D1475" t="s">
        <v>85</v>
      </c>
      <c r="E1475">
        <v>356</v>
      </c>
    </row>
    <row r="1476" spans="1:5" x14ac:dyDescent="0.35">
      <c r="A1476" s="13">
        <v>44562</v>
      </c>
      <c r="B1476">
        <f>YEAR(Country_Masterlist__6[[#This Row],[Year1]])</f>
        <v>2022</v>
      </c>
      <c r="C1476" t="s">
        <v>38</v>
      </c>
      <c r="D1476" t="s">
        <v>86</v>
      </c>
      <c r="E1476">
        <v>192</v>
      </c>
    </row>
    <row r="1477" spans="1:5" x14ac:dyDescent="0.35">
      <c r="A1477" s="13">
        <v>44562</v>
      </c>
      <c r="B1477">
        <f>YEAR(Country_Masterlist__6[[#This Row],[Year1]])</f>
        <v>2022</v>
      </c>
      <c r="C1477" t="s">
        <v>33</v>
      </c>
      <c r="D1477" t="s">
        <v>87</v>
      </c>
      <c r="E1477">
        <v>60</v>
      </c>
    </row>
    <row r="1478" spans="1:5" x14ac:dyDescent="0.35">
      <c r="A1478" s="13">
        <v>44562</v>
      </c>
      <c r="B1478">
        <f>YEAR(Country_Masterlist__6[[#This Row],[Year1]])</f>
        <v>2022</v>
      </c>
      <c r="C1478" t="s">
        <v>36</v>
      </c>
      <c r="D1478" t="s">
        <v>16</v>
      </c>
      <c r="E1478">
        <v>214</v>
      </c>
    </row>
    <row r="1479" spans="1:5" x14ac:dyDescent="0.35">
      <c r="A1479" s="13">
        <v>44562</v>
      </c>
      <c r="B1479">
        <f>YEAR(Country_Masterlist__6[[#This Row],[Year1]])</f>
        <v>2022</v>
      </c>
      <c r="C1479" t="s">
        <v>33</v>
      </c>
      <c r="D1479" t="s">
        <v>89</v>
      </c>
      <c r="E1479">
        <v>26</v>
      </c>
    </row>
    <row r="1480" spans="1:5" x14ac:dyDescent="0.35">
      <c r="A1480" s="13">
        <v>44562</v>
      </c>
      <c r="B1480">
        <f>YEAR(Country_Masterlist__6[[#This Row],[Year1]])</f>
        <v>2022</v>
      </c>
      <c r="C1480" t="s">
        <v>35</v>
      </c>
      <c r="D1480" t="s">
        <v>90</v>
      </c>
      <c r="E1480">
        <v>17</v>
      </c>
    </row>
    <row r="1481" spans="1:5" x14ac:dyDescent="0.35">
      <c r="A1481" s="13">
        <v>44562</v>
      </c>
      <c r="B1481">
        <f>YEAR(Country_Masterlist__6[[#This Row],[Year1]])</f>
        <v>2022</v>
      </c>
      <c r="C1481" t="s">
        <v>33</v>
      </c>
      <c r="D1481" t="s">
        <v>91</v>
      </c>
      <c r="E1481">
        <v>29</v>
      </c>
    </row>
    <row r="1482" spans="1:5" x14ac:dyDescent="0.35">
      <c r="A1482" s="13">
        <v>44562</v>
      </c>
      <c r="B1482">
        <f>YEAR(Country_Masterlist__6[[#This Row],[Year1]])</f>
        <v>2022</v>
      </c>
      <c r="C1482" t="s">
        <v>37</v>
      </c>
      <c r="D1482" t="s">
        <v>92</v>
      </c>
      <c r="E1482">
        <v>14</v>
      </c>
    </row>
    <row r="1483" spans="1:5" x14ac:dyDescent="0.35">
      <c r="A1483" s="13">
        <v>44562</v>
      </c>
      <c r="B1483">
        <f>YEAR(Country_Masterlist__6[[#This Row],[Year1]])</f>
        <v>2022</v>
      </c>
      <c r="C1483" t="s">
        <v>35</v>
      </c>
      <c r="D1483" t="s">
        <v>93</v>
      </c>
      <c r="E1483">
        <v>36</v>
      </c>
    </row>
    <row r="1484" spans="1:5" x14ac:dyDescent="0.35">
      <c r="A1484" s="13">
        <v>44562</v>
      </c>
      <c r="B1484">
        <f>YEAR(Country_Masterlist__6[[#This Row],[Year1]])</f>
        <v>2022</v>
      </c>
      <c r="C1484" t="s">
        <v>35</v>
      </c>
      <c r="D1484" t="s">
        <v>94</v>
      </c>
      <c r="E1484">
        <v>506</v>
      </c>
    </row>
    <row r="1485" spans="1:5" x14ac:dyDescent="0.35">
      <c r="A1485" s="13">
        <v>44562</v>
      </c>
      <c r="B1485">
        <f>YEAR(Country_Masterlist__6[[#This Row],[Year1]])</f>
        <v>2022</v>
      </c>
      <c r="C1485" t="s">
        <v>33</v>
      </c>
      <c r="D1485" t="s">
        <v>95</v>
      </c>
      <c r="E1485" t="s">
        <v>205</v>
      </c>
    </row>
    <row r="1486" spans="1:5" x14ac:dyDescent="0.35">
      <c r="A1486" s="13">
        <v>44562</v>
      </c>
      <c r="B1486">
        <f>YEAR(Country_Masterlist__6[[#This Row],[Year1]])</f>
        <v>2022</v>
      </c>
      <c r="C1486" t="s">
        <v>33</v>
      </c>
      <c r="D1486" t="s">
        <v>96</v>
      </c>
      <c r="E1486">
        <v>4</v>
      </c>
    </row>
    <row r="1487" spans="1:5" x14ac:dyDescent="0.35">
      <c r="A1487" s="13">
        <v>44562</v>
      </c>
      <c r="B1487">
        <f>YEAR(Country_Masterlist__6[[#This Row],[Year1]])</f>
        <v>2022</v>
      </c>
      <c r="C1487" t="s">
        <v>34</v>
      </c>
      <c r="D1487" t="s">
        <v>8</v>
      </c>
      <c r="E1487">
        <v>13</v>
      </c>
    </row>
    <row r="1488" spans="1:5" x14ac:dyDescent="0.35">
      <c r="A1488" s="13">
        <v>44562</v>
      </c>
      <c r="B1488">
        <f>YEAR(Country_Masterlist__6[[#This Row],[Year1]])</f>
        <v>2022</v>
      </c>
      <c r="C1488" t="s">
        <v>35</v>
      </c>
      <c r="D1488" t="s">
        <v>97</v>
      </c>
      <c r="E1488">
        <v>497</v>
      </c>
    </row>
    <row r="1489" spans="1:5" x14ac:dyDescent="0.35">
      <c r="A1489" s="13">
        <v>44562</v>
      </c>
      <c r="B1489">
        <f>YEAR(Country_Masterlist__6[[#This Row],[Year1]])</f>
        <v>2022</v>
      </c>
      <c r="C1489" t="s">
        <v>33</v>
      </c>
      <c r="D1489" t="s">
        <v>98</v>
      </c>
      <c r="E1489">
        <v>51</v>
      </c>
    </row>
    <row r="1490" spans="1:5" x14ac:dyDescent="0.35">
      <c r="A1490" s="13">
        <v>44562</v>
      </c>
      <c r="B1490">
        <f>YEAR(Country_Masterlist__6[[#This Row],[Year1]])</f>
        <v>2022</v>
      </c>
      <c r="C1490" t="s">
        <v>35</v>
      </c>
      <c r="D1490" t="s">
        <v>99</v>
      </c>
      <c r="E1490">
        <v>79</v>
      </c>
    </row>
    <row r="1491" spans="1:5" x14ac:dyDescent="0.35">
      <c r="A1491" s="13">
        <v>44562</v>
      </c>
      <c r="B1491">
        <f>YEAR(Country_Masterlist__6[[#This Row],[Year1]])</f>
        <v>2022</v>
      </c>
      <c r="C1491" t="s">
        <v>36</v>
      </c>
      <c r="D1491" t="s">
        <v>100</v>
      </c>
      <c r="E1491" t="s">
        <v>205</v>
      </c>
    </row>
    <row r="1492" spans="1:5" x14ac:dyDescent="0.35">
      <c r="A1492" s="13">
        <v>44562</v>
      </c>
      <c r="B1492">
        <f>YEAR(Country_Masterlist__6[[#This Row],[Year1]])</f>
        <v>2022</v>
      </c>
      <c r="C1492" t="s">
        <v>36</v>
      </c>
      <c r="D1492" t="s">
        <v>15</v>
      </c>
      <c r="E1492">
        <v>523</v>
      </c>
    </row>
    <row r="1493" spans="1:5" x14ac:dyDescent="0.35">
      <c r="A1493" s="13">
        <v>44562</v>
      </c>
      <c r="B1493">
        <f>YEAR(Country_Masterlist__6[[#This Row],[Year1]])</f>
        <v>2022</v>
      </c>
      <c r="C1493" t="s">
        <v>33</v>
      </c>
      <c r="D1493" t="s">
        <v>101</v>
      </c>
      <c r="E1493">
        <v>3</v>
      </c>
    </row>
    <row r="1494" spans="1:5" x14ac:dyDescent="0.35">
      <c r="A1494" s="13">
        <v>44562</v>
      </c>
      <c r="B1494">
        <f>YEAR(Country_Masterlist__6[[#This Row],[Year1]])</f>
        <v>2022</v>
      </c>
      <c r="C1494" t="s">
        <v>38</v>
      </c>
      <c r="D1494" t="s">
        <v>103</v>
      </c>
      <c r="E1494">
        <v>39</v>
      </c>
    </row>
    <row r="1495" spans="1:5" x14ac:dyDescent="0.35">
      <c r="A1495" s="13">
        <v>44562</v>
      </c>
      <c r="B1495">
        <f>YEAR(Country_Masterlist__6[[#This Row],[Year1]])</f>
        <v>2022</v>
      </c>
      <c r="C1495" t="s">
        <v>36</v>
      </c>
      <c r="D1495" t="s">
        <v>104</v>
      </c>
      <c r="E1495">
        <v>56</v>
      </c>
    </row>
    <row r="1496" spans="1:5" x14ac:dyDescent="0.35">
      <c r="A1496" s="13">
        <v>44562</v>
      </c>
      <c r="B1496">
        <f>YEAR(Country_Masterlist__6[[#This Row],[Year1]])</f>
        <v>2022</v>
      </c>
      <c r="C1496" t="s">
        <v>36</v>
      </c>
      <c r="D1496" t="s">
        <v>17</v>
      </c>
      <c r="E1496">
        <v>336</v>
      </c>
    </row>
    <row r="1497" spans="1:5" x14ac:dyDescent="0.35">
      <c r="A1497" s="13">
        <v>44562</v>
      </c>
      <c r="B1497">
        <f>YEAR(Country_Masterlist__6[[#This Row],[Year1]])</f>
        <v>2022</v>
      </c>
      <c r="C1497" t="s">
        <v>35</v>
      </c>
      <c r="D1497" t="s">
        <v>105</v>
      </c>
      <c r="E1497">
        <v>110</v>
      </c>
    </row>
    <row r="1498" spans="1:5" x14ac:dyDescent="0.35">
      <c r="A1498" s="13">
        <v>44562</v>
      </c>
      <c r="B1498">
        <f>YEAR(Country_Masterlist__6[[#This Row],[Year1]])</f>
        <v>2022</v>
      </c>
      <c r="C1498" t="s">
        <v>35</v>
      </c>
      <c r="D1498" t="s">
        <v>106</v>
      </c>
      <c r="E1498">
        <v>12</v>
      </c>
    </row>
    <row r="1499" spans="1:5" x14ac:dyDescent="0.35">
      <c r="A1499" s="13">
        <v>44562</v>
      </c>
      <c r="B1499">
        <f>YEAR(Country_Masterlist__6[[#This Row],[Year1]])</f>
        <v>2022</v>
      </c>
      <c r="C1499" t="s">
        <v>34</v>
      </c>
      <c r="D1499" t="s">
        <v>22</v>
      </c>
      <c r="E1499">
        <v>1778</v>
      </c>
    </row>
    <row r="1500" spans="1:5" x14ac:dyDescent="0.35">
      <c r="A1500" s="13">
        <v>44562</v>
      </c>
      <c r="B1500">
        <f>YEAR(Country_Masterlist__6[[#This Row],[Year1]])</f>
        <v>2022</v>
      </c>
      <c r="C1500" t="s">
        <v>34</v>
      </c>
      <c r="D1500" t="s">
        <v>107</v>
      </c>
      <c r="E1500">
        <v>62</v>
      </c>
    </row>
    <row r="1501" spans="1:5" x14ac:dyDescent="0.35">
      <c r="A1501" s="13">
        <v>44562</v>
      </c>
      <c r="B1501">
        <f>YEAR(Country_Masterlist__6[[#This Row],[Year1]])</f>
        <v>2022</v>
      </c>
      <c r="C1501" t="s">
        <v>34</v>
      </c>
      <c r="D1501" t="s">
        <v>108</v>
      </c>
      <c r="E1501">
        <v>703</v>
      </c>
    </row>
    <row r="1502" spans="1:5" x14ac:dyDescent="0.35">
      <c r="A1502" s="13">
        <v>44562</v>
      </c>
      <c r="B1502">
        <f>YEAR(Country_Masterlist__6[[#This Row],[Year1]])</f>
        <v>2022</v>
      </c>
      <c r="C1502" t="s">
        <v>34</v>
      </c>
      <c r="D1502" t="s">
        <v>109</v>
      </c>
      <c r="E1502">
        <v>34</v>
      </c>
    </row>
    <row r="1503" spans="1:5" x14ac:dyDescent="0.35">
      <c r="A1503" s="13">
        <v>44562</v>
      </c>
      <c r="B1503">
        <f>YEAR(Country_Masterlist__6[[#This Row],[Year1]])</f>
        <v>2022</v>
      </c>
      <c r="C1503" t="s">
        <v>35</v>
      </c>
      <c r="D1503" t="s">
        <v>110</v>
      </c>
      <c r="E1503">
        <v>456</v>
      </c>
    </row>
    <row r="1504" spans="1:5" x14ac:dyDescent="0.35">
      <c r="A1504" s="13">
        <v>44562</v>
      </c>
      <c r="B1504">
        <f>YEAR(Country_Masterlist__6[[#This Row],[Year1]])</f>
        <v>2022</v>
      </c>
      <c r="C1504" t="s">
        <v>34</v>
      </c>
      <c r="D1504" t="s">
        <v>111</v>
      </c>
      <c r="E1504">
        <v>72</v>
      </c>
    </row>
    <row r="1505" spans="1:5" x14ac:dyDescent="0.35">
      <c r="A1505" s="13">
        <v>44562</v>
      </c>
      <c r="B1505">
        <f>YEAR(Country_Masterlist__6[[#This Row],[Year1]])</f>
        <v>2022</v>
      </c>
      <c r="C1505" t="s">
        <v>35</v>
      </c>
      <c r="D1505" t="s">
        <v>112</v>
      </c>
      <c r="E1505">
        <v>826</v>
      </c>
    </row>
    <row r="1506" spans="1:5" x14ac:dyDescent="0.35">
      <c r="A1506" s="13">
        <v>44562</v>
      </c>
      <c r="B1506">
        <f>YEAR(Country_Masterlist__6[[#This Row],[Year1]])</f>
        <v>2022</v>
      </c>
      <c r="C1506" t="s">
        <v>36</v>
      </c>
      <c r="D1506" t="s">
        <v>113</v>
      </c>
      <c r="E1506">
        <v>197</v>
      </c>
    </row>
    <row r="1507" spans="1:5" x14ac:dyDescent="0.35">
      <c r="A1507" s="13">
        <v>44562</v>
      </c>
      <c r="B1507">
        <f>YEAR(Country_Masterlist__6[[#This Row],[Year1]])</f>
        <v>2022</v>
      </c>
      <c r="C1507" t="s">
        <v>34</v>
      </c>
      <c r="D1507" t="s">
        <v>114</v>
      </c>
      <c r="E1507">
        <v>384</v>
      </c>
    </row>
    <row r="1508" spans="1:5" x14ac:dyDescent="0.35">
      <c r="A1508" s="13">
        <v>44562</v>
      </c>
      <c r="B1508">
        <f>YEAR(Country_Masterlist__6[[#This Row],[Year1]])</f>
        <v>2022</v>
      </c>
      <c r="C1508" t="s">
        <v>34</v>
      </c>
      <c r="D1508" t="s">
        <v>115</v>
      </c>
      <c r="E1508">
        <v>59</v>
      </c>
    </row>
    <row r="1509" spans="1:5" x14ac:dyDescent="0.35">
      <c r="A1509" s="13">
        <v>44562</v>
      </c>
      <c r="B1509">
        <f>YEAR(Country_Masterlist__6[[#This Row],[Year1]])</f>
        <v>2022</v>
      </c>
      <c r="C1509" t="s">
        <v>34</v>
      </c>
      <c r="D1509" t="s">
        <v>116</v>
      </c>
      <c r="E1509">
        <v>26</v>
      </c>
    </row>
    <row r="1510" spans="1:5" x14ac:dyDescent="0.35">
      <c r="A1510" s="13">
        <v>44562</v>
      </c>
      <c r="B1510">
        <f>YEAR(Country_Masterlist__6[[#This Row],[Year1]])</f>
        <v>2022</v>
      </c>
      <c r="C1510" t="s">
        <v>33</v>
      </c>
      <c r="D1510" t="s">
        <v>117</v>
      </c>
      <c r="E1510">
        <v>46</v>
      </c>
    </row>
    <row r="1511" spans="1:5" x14ac:dyDescent="0.35">
      <c r="A1511" s="13">
        <v>44562</v>
      </c>
      <c r="B1511">
        <f>YEAR(Country_Masterlist__6[[#This Row],[Year1]])</f>
        <v>2022</v>
      </c>
      <c r="C1511" t="s">
        <v>34</v>
      </c>
      <c r="D1511" t="s">
        <v>118</v>
      </c>
      <c r="E1511">
        <v>713</v>
      </c>
    </row>
    <row r="1512" spans="1:5" x14ac:dyDescent="0.35">
      <c r="A1512" s="13">
        <v>44562</v>
      </c>
      <c r="B1512">
        <f>YEAR(Country_Masterlist__6[[#This Row],[Year1]])</f>
        <v>2022</v>
      </c>
      <c r="C1512" t="s">
        <v>35</v>
      </c>
      <c r="D1512" t="s">
        <v>119</v>
      </c>
      <c r="E1512">
        <v>10</v>
      </c>
    </row>
    <row r="1513" spans="1:5" x14ac:dyDescent="0.35">
      <c r="A1513" s="13">
        <v>44562</v>
      </c>
      <c r="B1513">
        <f>YEAR(Country_Masterlist__6[[#This Row],[Year1]])</f>
        <v>2022</v>
      </c>
      <c r="C1513" t="s">
        <v>34</v>
      </c>
      <c r="D1513" t="s">
        <v>120</v>
      </c>
      <c r="E1513">
        <v>13</v>
      </c>
    </row>
    <row r="1514" spans="1:5" x14ac:dyDescent="0.35">
      <c r="A1514" s="13">
        <v>44562</v>
      </c>
      <c r="B1514">
        <f>YEAR(Country_Masterlist__6[[#This Row],[Year1]])</f>
        <v>2022</v>
      </c>
      <c r="C1514" t="s">
        <v>34</v>
      </c>
      <c r="D1514" t="s">
        <v>121</v>
      </c>
      <c r="E1514">
        <v>6</v>
      </c>
    </row>
    <row r="1515" spans="1:5" x14ac:dyDescent="0.35">
      <c r="A1515" s="13">
        <v>44562</v>
      </c>
      <c r="B1515">
        <f>YEAR(Country_Masterlist__6[[#This Row],[Year1]])</f>
        <v>2022</v>
      </c>
      <c r="C1515" t="s">
        <v>34</v>
      </c>
      <c r="D1515" t="s">
        <v>122</v>
      </c>
    </row>
    <row r="1516" spans="1:5" x14ac:dyDescent="0.35">
      <c r="A1516" s="13">
        <v>44562</v>
      </c>
      <c r="B1516">
        <f>YEAR(Country_Masterlist__6[[#This Row],[Year1]])</f>
        <v>2022</v>
      </c>
      <c r="C1516" t="s">
        <v>35</v>
      </c>
      <c r="D1516" t="s">
        <v>123</v>
      </c>
      <c r="E1516">
        <v>31</v>
      </c>
    </row>
    <row r="1517" spans="1:5" x14ac:dyDescent="0.35">
      <c r="A1517" s="13">
        <v>44562</v>
      </c>
      <c r="B1517">
        <f>YEAR(Country_Masterlist__6[[#This Row],[Year1]])</f>
        <v>2022</v>
      </c>
      <c r="C1517" t="s">
        <v>34</v>
      </c>
      <c r="D1517" t="s">
        <v>124</v>
      </c>
      <c r="E1517">
        <v>69</v>
      </c>
    </row>
    <row r="1518" spans="1:5" x14ac:dyDescent="0.35">
      <c r="A1518" s="13">
        <v>44562</v>
      </c>
      <c r="B1518">
        <f>YEAR(Country_Masterlist__6[[#This Row],[Year1]])</f>
        <v>2022</v>
      </c>
      <c r="C1518" t="s">
        <v>33</v>
      </c>
      <c r="D1518" t="s">
        <v>125</v>
      </c>
      <c r="E1518">
        <v>4</v>
      </c>
    </row>
    <row r="1519" spans="1:5" x14ac:dyDescent="0.35">
      <c r="A1519" s="13">
        <v>44562</v>
      </c>
      <c r="B1519">
        <f>YEAR(Country_Masterlist__6[[#This Row],[Year1]])</f>
        <v>2022</v>
      </c>
      <c r="C1519" t="s">
        <v>33</v>
      </c>
      <c r="D1519" t="s">
        <v>126</v>
      </c>
      <c r="E1519">
        <v>5</v>
      </c>
    </row>
    <row r="1520" spans="1:5" x14ac:dyDescent="0.35">
      <c r="A1520" s="13">
        <v>44562</v>
      </c>
      <c r="B1520">
        <f>YEAR(Country_Masterlist__6[[#This Row],[Year1]])</f>
        <v>2022</v>
      </c>
      <c r="C1520" t="s">
        <v>35</v>
      </c>
      <c r="D1520" t="s">
        <v>127</v>
      </c>
      <c r="E1520">
        <v>80</v>
      </c>
    </row>
    <row r="1521" spans="1:5" x14ac:dyDescent="0.35">
      <c r="A1521" s="13">
        <v>44562</v>
      </c>
      <c r="B1521">
        <f>YEAR(Country_Masterlist__6[[#This Row],[Year1]])</f>
        <v>2022</v>
      </c>
      <c r="C1521" t="s">
        <v>33</v>
      </c>
      <c r="D1521" t="s">
        <v>129</v>
      </c>
      <c r="E1521" t="s">
        <v>205</v>
      </c>
    </row>
    <row r="1522" spans="1:5" x14ac:dyDescent="0.35">
      <c r="A1522" s="13">
        <v>44562</v>
      </c>
      <c r="B1522">
        <f>YEAR(Country_Masterlist__6[[#This Row],[Year1]])</f>
        <v>2022</v>
      </c>
      <c r="C1522" t="s">
        <v>34</v>
      </c>
      <c r="D1522" t="s">
        <v>131</v>
      </c>
      <c r="E1522">
        <v>11</v>
      </c>
    </row>
    <row r="1523" spans="1:5" x14ac:dyDescent="0.35">
      <c r="A1523" s="13">
        <v>44562</v>
      </c>
      <c r="B1523">
        <f>YEAR(Country_Masterlist__6[[#This Row],[Year1]])</f>
        <v>2022</v>
      </c>
      <c r="C1523" t="s">
        <v>33</v>
      </c>
      <c r="D1523" t="s">
        <v>132</v>
      </c>
      <c r="E1523">
        <v>13</v>
      </c>
    </row>
    <row r="1524" spans="1:5" x14ac:dyDescent="0.35">
      <c r="A1524" s="13">
        <v>44562</v>
      </c>
      <c r="B1524">
        <f>YEAR(Country_Masterlist__6[[#This Row],[Year1]])</f>
        <v>2022</v>
      </c>
      <c r="C1524" t="s">
        <v>33</v>
      </c>
      <c r="D1524" t="s">
        <v>136</v>
      </c>
      <c r="E1524">
        <v>4</v>
      </c>
    </row>
    <row r="1525" spans="1:5" x14ac:dyDescent="0.35">
      <c r="A1525" s="13">
        <v>44562</v>
      </c>
      <c r="B1525">
        <f>YEAR(Country_Masterlist__6[[#This Row],[Year1]])</f>
        <v>2022</v>
      </c>
      <c r="C1525" t="s">
        <v>36</v>
      </c>
      <c r="D1525" t="s">
        <v>14</v>
      </c>
      <c r="E1525">
        <v>42218</v>
      </c>
    </row>
    <row r="1526" spans="1:5" x14ac:dyDescent="0.35">
      <c r="A1526" s="13">
        <v>44562</v>
      </c>
      <c r="B1526">
        <f>YEAR(Country_Masterlist__6[[#This Row],[Year1]])</f>
        <v>2022</v>
      </c>
      <c r="C1526" t="s">
        <v>37</v>
      </c>
      <c r="D1526" t="s">
        <v>137</v>
      </c>
      <c r="E1526">
        <v>5</v>
      </c>
    </row>
    <row r="1527" spans="1:5" x14ac:dyDescent="0.35">
      <c r="A1527" s="13">
        <v>44562</v>
      </c>
      <c r="B1527">
        <f>YEAR(Country_Masterlist__6[[#This Row],[Year1]])</f>
        <v>2022</v>
      </c>
      <c r="C1527" t="s">
        <v>35</v>
      </c>
      <c r="D1527" t="s">
        <v>138</v>
      </c>
      <c r="E1527">
        <v>11</v>
      </c>
    </row>
    <row r="1528" spans="1:5" x14ac:dyDescent="0.35">
      <c r="A1528" s="13">
        <v>44562</v>
      </c>
      <c r="B1528">
        <f>YEAR(Country_Masterlist__6[[#This Row],[Year1]])</f>
        <v>2022</v>
      </c>
      <c r="C1528" t="s">
        <v>34</v>
      </c>
      <c r="D1528" t="s">
        <v>139</v>
      </c>
      <c r="E1528">
        <v>19</v>
      </c>
    </row>
    <row r="1529" spans="1:5" x14ac:dyDescent="0.35">
      <c r="A1529" s="13">
        <v>44562</v>
      </c>
      <c r="B1529">
        <f>YEAR(Country_Masterlist__6[[#This Row],[Year1]])</f>
        <v>2022</v>
      </c>
      <c r="C1529" t="s">
        <v>35</v>
      </c>
      <c r="D1529" t="s">
        <v>140</v>
      </c>
      <c r="E1529" t="s">
        <v>205</v>
      </c>
    </row>
    <row r="1530" spans="1:5" x14ac:dyDescent="0.35">
      <c r="A1530" s="13">
        <v>44562</v>
      </c>
      <c r="B1530">
        <f>YEAR(Country_Masterlist__6[[#This Row],[Year1]])</f>
        <v>2022</v>
      </c>
      <c r="C1530" t="s">
        <v>33</v>
      </c>
      <c r="D1530" t="s">
        <v>141</v>
      </c>
      <c r="E1530">
        <v>91</v>
      </c>
    </row>
    <row r="1531" spans="1:5" x14ac:dyDescent="0.35">
      <c r="A1531" s="13">
        <v>44562</v>
      </c>
      <c r="B1531">
        <f>YEAR(Country_Masterlist__6[[#This Row],[Year1]])</f>
        <v>2022</v>
      </c>
      <c r="C1531" t="s">
        <v>34</v>
      </c>
      <c r="D1531" t="s">
        <v>144</v>
      </c>
      <c r="E1531">
        <v>28</v>
      </c>
    </row>
    <row r="1532" spans="1:5" x14ac:dyDescent="0.35">
      <c r="A1532" s="13">
        <v>44562</v>
      </c>
      <c r="B1532">
        <f>YEAR(Country_Masterlist__6[[#This Row],[Year1]])</f>
        <v>2022</v>
      </c>
      <c r="C1532" t="s">
        <v>35</v>
      </c>
      <c r="D1532" t="s">
        <v>145</v>
      </c>
      <c r="E1532">
        <v>319</v>
      </c>
    </row>
    <row r="1533" spans="1:5" x14ac:dyDescent="0.35">
      <c r="A1533" s="13">
        <v>44562</v>
      </c>
      <c r="B1533">
        <f>YEAR(Country_Masterlist__6[[#This Row],[Year1]])</f>
        <v>2022</v>
      </c>
      <c r="C1533" t="s">
        <v>37</v>
      </c>
      <c r="D1533" t="s">
        <v>146</v>
      </c>
      <c r="E1533">
        <v>83</v>
      </c>
    </row>
    <row r="1534" spans="1:5" x14ac:dyDescent="0.35">
      <c r="A1534" s="13">
        <v>44562</v>
      </c>
      <c r="B1534">
        <f>YEAR(Country_Masterlist__6[[#This Row],[Year1]])</f>
        <v>2022</v>
      </c>
      <c r="C1534" t="s">
        <v>36</v>
      </c>
      <c r="D1534" t="s">
        <v>147</v>
      </c>
      <c r="E1534">
        <v>120</v>
      </c>
    </row>
    <row r="1535" spans="1:5" x14ac:dyDescent="0.35">
      <c r="A1535" s="13">
        <v>44562</v>
      </c>
      <c r="B1535">
        <f>YEAR(Country_Masterlist__6[[#This Row],[Year1]])</f>
        <v>2022</v>
      </c>
      <c r="C1535" t="s">
        <v>33</v>
      </c>
      <c r="D1535" t="s">
        <v>148</v>
      </c>
      <c r="E1535">
        <v>8</v>
      </c>
    </row>
    <row r="1536" spans="1:5" x14ac:dyDescent="0.35">
      <c r="A1536" s="13">
        <v>44562</v>
      </c>
      <c r="B1536">
        <f>YEAR(Country_Masterlist__6[[#This Row],[Year1]])</f>
        <v>2022</v>
      </c>
      <c r="C1536" t="s">
        <v>33</v>
      </c>
      <c r="D1536" t="s">
        <v>149</v>
      </c>
      <c r="E1536">
        <v>282</v>
      </c>
    </row>
    <row r="1537" spans="1:5" x14ac:dyDescent="0.35">
      <c r="A1537" s="13">
        <v>44562</v>
      </c>
      <c r="B1537">
        <f>YEAR(Country_Masterlist__6[[#This Row],[Year1]])</f>
        <v>2022</v>
      </c>
      <c r="C1537" t="s">
        <v>35</v>
      </c>
      <c r="D1537" t="s">
        <v>322</v>
      </c>
      <c r="E1537">
        <v>4</v>
      </c>
    </row>
    <row r="1538" spans="1:5" x14ac:dyDescent="0.35">
      <c r="A1538" s="13">
        <v>44562</v>
      </c>
      <c r="B1538">
        <f>YEAR(Country_Masterlist__6[[#This Row],[Year1]])</f>
        <v>2022</v>
      </c>
      <c r="C1538" t="s">
        <v>35</v>
      </c>
      <c r="D1538" t="s">
        <v>150</v>
      </c>
      <c r="E1538">
        <v>29</v>
      </c>
    </row>
    <row r="1539" spans="1:5" x14ac:dyDescent="0.35">
      <c r="A1539" s="13">
        <v>44562</v>
      </c>
      <c r="B1539">
        <f>YEAR(Country_Masterlist__6[[#This Row],[Year1]])</f>
        <v>2022</v>
      </c>
      <c r="C1539" t="s">
        <v>34</v>
      </c>
      <c r="D1539" t="s">
        <v>151</v>
      </c>
      <c r="E1539">
        <v>3</v>
      </c>
    </row>
    <row r="1540" spans="1:5" x14ac:dyDescent="0.35">
      <c r="A1540" s="13">
        <v>44562</v>
      </c>
      <c r="B1540">
        <f>YEAR(Country_Masterlist__6[[#This Row],[Year1]])</f>
        <v>2022</v>
      </c>
      <c r="C1540" t="s">
        <v>34</v>
      </c>
      <c r="D1540" t="s">
        <v>152</v>
      </c>
      <c r="E1540">
        <v>199</v>
      </c>
    </row>
    <row r="1541" spans="1:5" x14ac:dyDescent="0.35">
      <c r="A1541" s="13">
        <v>44562</v>
      </c>
      <c r="B1541">
        <f>YEAR(Country_Masterlist__6[[#This Row],[Year1]])</f>
        <v>2022</v>
      </c>
      <c r="C1541" t="s">
        <v>36</v>
      </c>
      <c r="D1541" t="s">
        <v>154</v>
      </c>
      <c r="E1541">
        <v>33</v>
      </c>
    </row>
    <row r="1542" spans="1:5" x14ac:dyDescent="0.35">
      <c r="A1542" s="13">
        <v>44562</v>
      </c>
      <c r="B1542">
        <f>YEAR(Country_Masterlist__6[[#This Row],[Year1]])</f>
        <v>2022</v>
      </c>
      <c r="C1542" t="s">
        <v>38</v>
      </c>
      <c r="D1542" t="s">
        <v>155</v>
      </c>
      <c r="E1542">
        <v>3</v>
      </c>
    </row>
    <row r="1543" spans="1:5" x14ac:dyDescent="0.35">
      <c r="A1543" s="13">
        <v>44562</v>
      </c>
      <c r="B1543">
        <f>YEAR(Country_Masterlist__6[[#This Row],[Year1]])</f>
        <v>2022</v>
      </c>
      <c r="C1543" t="s">
        <v>38</v>
      </c>
      <c r="D1543" t="s">
        <v>156</v>
      </c>
      <c r="E1543">
        <v>166</v>
      </c>
    </row>
    <row r="1544" spans="1:5" x14ac:dyDescent="0.35">
      <c r="A1544" s="13">
        <v>44562</v>
      </c>
      <c r="B1544">
        <f>YEAR(Country_Masterlist__6[[#This Row],[Year1]])</f>
        <v>2022</v>
      </c>
      <c r="C1544" t="s">
        <v>34</v>
      </c>
      <c r="D1544" t="s">
        <v>18</v>
      </c>
      <c r="E1544">
        <v>624</v>
      </c>
    </row>
    <row r="1545" spans="1:5" x14ac:dyDescent="0.35">
      <c r="A1545" s="13">
        <v>44562</v>
      </c>
      <c r="B1545">
        <f>YEAR(Country_Masterlist__6[[#This Row],[Year1]])</f>
        <v>2022</v>
      </c>
      <c r="C1545" t="s">
        <v>35</v>
      </c>
      <c r="D1545" t="s">
        <v>157</v>
      </c>
      <c r="E1545">
        <v>289</v>
      </c>
    </row>
    <row r="1546" spans="1:5" x14ac:dyDescent="0.35">
      <c r="A1546" s="13">
        <v>44562</v>
      </c>
      <c r="B1546">
        <f>YEAR(Country_Masterlist__6[[#This Row],[Year1]])</f>
        <v>2022</v>
      </c>
      <c r="C1546" t="s">
        <v>35</v>
      </c>
      <c r="D1546" t="s">
        <v>158</v>
      </c>
      <c r="E1546">
        <v>346</v>
      </c>
    </row>
    <row r="1547" spans="1:5" x14ac:dyDescent="0.35">
      <c r="A1547" s="13">
        <v>44562</v>
      </c>
      <c r="B1547">
        <f>YEAR(Country_Masterlist__6[[#This Row],[Year1]])</f>
        <v>2022</v>
      </c>
      <c r="C1547" t="s">
        <v>34</v>
      </c>
      <c r="D1547" t="s">
        <v>159</v>
      </c>
      <c r="E1547" t="s">
        <v>205</v>
      </c>
    </row>
    <row r="1548" spans="1:5" x14ac:dyDescent="0.35">
      <c r="A1548" s="13">
        <v>44562</v>
      </c>
      <c r="B1548">
        <f>YEAR(Country_Masterlist__6[[#This Row],[Year1]])</f>
        <v>2022</v>
      </c>
      <c r="C1548" t="s">
        <v>35</v>
      </c>
      <c r="D1548" t="s">
        <v>160</v>
      </c>
      <c r="E1548">
        <v>97</v>
      </c>
    </row>
    <row r="1549" spans="1:5" x14ac:dyDescent="0.35">
      <c r="A1549" s="13">
        <v>44562</v>
      </c>
      <c r="B1549">
        <f>YEAR(Country_Masterlist__6[[#This Row],[Year1]])</f>
        <v>2022</v>
      </c>
      <c r="C1549" t="s">
        <v>35</v>
      </c>
      <c r="D1549" t="s">
        <v>161</v>
      </c>
      <c r="E1549">
        <v>106</v>
      </c>
    </row>
    <row r="1550" spans="1:5" x14ac:dyDescent="0.35">
      <c r="A1550" s="13">
        <v>44562</v>
      </c>
      <c r="B1550">
        <f>YEAR(Country_Masterlist__6[[#This Row],[Year1]])</f>
        <v>2022</v>
      </c>
      <c r="C1550" t="s">
        <v>33</v>
      </c>
      <c r="D1550" t="s">
        <v>162</v>
      </c>
      <c r="E1550">
        <v>19</v>
      </c>
    </row>
    <row r="1551" spans="1:5" x14ac:dyDescent="0.35">
      <c r="A1551" s="13">
        <v>44562</v>
      </c>
      <c r="B1551">
        <f>YEAR(Country_Masterlist__6[[#This Row],[Year1]])</f>
        <v>2022</v>
      </c>
      <c r="C1551" t="s">
        <v>36</v>
      </c>
      <c r="D1551" t="s">
        <v>163</v>
      </c>
      <c r="E1551">
        <v>4</v>
      </c>
    </row>
    <row r="1552" spans="1:5" x14ac:dyDescent="0.35">
      <c r="A1552" s="13">
        <v>44562</v>
      </c>
      <c r="B1552">
        <f>YEAR(Country_Masterlist__6[[#This Row],[Year1]])</f>
        <v>2022</v>
      </c>
      <c r="C1552" t="s">
        <v>36</v>
      </c>
      <c r="D1552" t="s">
        <v>164</v>
      </c>
      <c r="E1552">
        <v>6</v>
      </c>
    </row>
    <row r="1553" spans="1:5" x14ac:dyDescent="0.35">
      <c r="A1553" s="13">
        <v>44562</v>
      </c>
      <c r="B1553">
        <f>YEAR(Country_Masterlist__6[[#This Row],[Year1]])</f>
        <v>2022</v>
      </c>
      <c r="C1553" t="s">
        <v>36</v>
      </c>
      <c r="D1553" t="s">
        <v>165</v>
      </c>
      <c r="E1553">
        <v>7</v>
      </c>
    </row>
    <row r="1554" spans="1:5" x14ac:dyDescent="0.35">
      <c r="A1554" s="13">
        <v>44562</v>
      </c>
      <c r="B1554">
        <f>YEAR(Country_Masterlist__6[[#This Row],[Year1]])</f>
        <v>2022</v>
      </c>
      <c r="C1554" t="s">
        <v>37</v>
      </c>
      <c r="D1554" t="s">
        <v>166</v>
      </c>
      <c r="E1554">
        <v>15</v>
      </c>
    </row>
    <row r="1555" spans="1:5" x14ac:dyDescent="0.35">
      <c r="A1555" s="13">
        <v>44562</v>
      </c>
      <c r="B1555">
        <f>YEAR(Country_Masterlist__6[[#This Row],[Year1]])</f>
        <v>2022</v>
      </c>
      <c r="C1555" t="s">
        <v>34</v>
      </c>
      <c r="D1555" t="s">
        <v>167</v>
      </c>
      <c r="E1555">
        <v>47</v>
      </c>
    </row>
    <row r="1556" spans="1:5" x14ac:dyDescent="0.35">
      <c r="A1556" s="13">
        <v>44562</v>
      </c>
      <c r="B1556">
        <f>YEAR(Country_Masterlist__6[[#This Row],[Year1]])</f>
        <v>2022</v>
      </c>
      <c r="C1556" t="s">
        <v>33</v>
      </c>
      <c r="D1556" t="s">
        <v>168</v>
      </c>
      <c r="E1556">
        <v>10</v>
      </c>
    </row>
    <row r="1557" spans="1:5" x14ac:dyDescent="0.35">
      <c r="A1557" s="13">
        <v>44562</v>
      </c>
      <c r="B1557">
        <f>YEAR(Country_Masterlist__6[[#This Row],[Year1]])</f>
        <v>2022</v>
      </c>
      <c r="C1557" t="s">
        <v>35</v>
      </c>
      <c r="D1557" t="s">
        <v>169</v>
      </c>
      <c r="E1557">
        <v>12</v>
      </c>
    </row>
    <row r="1558" spans="1:5" x14ac:dyDescent="0.35">
      <c r="A1558" s="13">
        <v>44562</v>
      </c>
      <c r="B1558">
        <f>YEAR(Country_Masterlist__6[[#This Row],[Year1]])</f>
        <v>2022</v>
      </c>
      <c r="C1558" t="s">
        <v>33</v>
      </c>
      <c r="D1558" t="s">
        <v>170</v>
      </c>
      <c r="E1558">
        <v>5</v>
      </c>
    </row>
    <row r="1559" spans="1:5" x14ac:dyDescent="0.35">
      <c r="A1559" s="13">
        <v>44562</v>
      </c>
      <c r="B1559">
        <f>YEAR(Country_Masterlist__6[[#This Row],[Year1]])</f>
        <v>2022</v>
      </c>
      <c r="C1559" t="s">
        <v>34</v>
      </c>
      <c r="D1559" t="s">
        <v>171</v>
      </c>
      <c r="E1559">
        <v>30</v>
      </c>
    </row>
    <row r="1560" spans="1:5" x14ac:dyDescent="0.35">
      <c r="A1560" s="13">
        <v>44562</v>
      </c>
      <c r="B1560">
        <f>YEAR(Country_Masterlist__6[[#This Row],[Year1]])</f>
        <v>2022</v>
      </c>
      <c r="C1560" t="s">
        <v>35</v>
      </c>
      <c r="D1560" t="s">
        <v>172</v>
      </c>
      <c r="E1560">
        <v>41</v>
      </c>
    </row>
    <row r="1561" spans="1:5" x14ac:dyDescent="0.35">
      <c r="A1561" s="13">
        <v>44562</v>
      </c>
      <c r="B1561">
        <f>YEAR(Country_Masterlist__6[[#This Row],[Year1]])</f>
        <v>2022</v>
      </c>
      <c r="C1561" t="s">
        <v>35</v>
      </c>
      <c r="D1561" t="s">
        <v>173</v>
      </c>
      <c r="E1561">
        <v>9</v>
      </c>
    </row>
    <row r="1562" spans="1:5" x14ac:dyDescent="0.35">
      <c r="A1562" s="13">
        <v>44562</v>
      </c>
      <c r="B1562">
        <f>YEAR(Country_Masterlist__6[[#This Row],[Year1]])</f>
        <v>2022</v>
      </c>
      <c r="C1562" t="s">
        <v>33</v>
      </c>
      <c r="D1562" t="s">
        <v>174</v>
      </c>
      <c r="E1562">
        <v>19</v>
      </c>
    </row>
    <row r="1563" spans="1:5" x14ac:dyDescent="0.35">
      <c r="A1563" s="13">
        <v>44562</v>
      </c>
      <c r="B1563">
        <f>YEAR(Country_Masterlist__6[[#This Row],[Year1]])</f>
        <v>2022</v>
      </c>
      <c r="C1563" t="s">
        <v>33</v>
      </c>
      <c r="D1563" t="s">
        <v>175</v>
      </c>
      <c r="E1563">
        <v>56</v>
      </c>
    </row>
    <row r="1564" spans="1:5" x14ac:dyDescent="0.35">
      <c r="A1564" s="13">
        <v>44562</v>
      </c>
      <c r="B1564">
        <f>YEAR(Country_Masterlist__6[[#This Row],[Year1]])</f>
        <v>2022</v>
      </c>
      <c r="C1564" t="s">
        <v>35</v>
      </c>
      <c r="D1564" t="s">
        <v>177</v>
      </c>
      <c r="E1564">
        <v>1376</v>
      </c>
    </row>
    <row r="1565" spans="1:5" x14ac:dyDescent="0.35">
      <c r="A1565" s="13">
        <v>44562</v>
      </c>
      <c r="B1565">
        <f>YEAR(Country_Masterlist__6[[#This Row],[Year1]])</f>
        <v>2022</v>
      </c>
      <c r="C1565" t="s">
        <v>34</v>
      </c>
      <c r="D1565" t="s">
        <v>178</v>
      </c>
      <c r="E1565">
        <v>52</v>
      </c>
    </row>
    <row r="1566" spans="1:5" x14ac:dyDescent="0.35">
      <c r="A1566" s="13">
        <v>44562</v>
      </c>
      <c r="B1566">
        <f>YEAR(Country_Masterlist__6[[#This Row],[Year1]])</f>
        <v>2022</v>
      </c>
      <c r="C1566" t="s">
        <v>33</v>
      </c>
      <c r="D1566" t="s">
        <v>179</v>
      </c>
      <c r="E1566">
        <v>9</v>
      </c>
    </row>
    <row r="1567" spans="1:5" x14ac:dyDescent="0.35">
      <c r="A1567" s="13">
        <v>44562</v>
      </c>
      <c r="B1567">
        <f>YEAR(Country_Masterlist__6[[#This Row],[Year1]])</f>
        <v>2022</v>
      </c>
      <c r="C1567" t="s">
        <v>35</v>
      </c>
      <c r="D1567" t="s">
        <v>182</v>
      </c>
      <c r="E1567">
        <v>129</v>
      </c>
    </row>
    <row r="1568" spans="1:5" x14ac:dyDescent="0.35">
      <c r="A1568" s="13">
        <v>44562</v>
      </c>
      <c r="B1568">
        <f>YEAR(Country_Masterlist__6[[#This Row],[Year1]])</f>
        <v>2022</v>
      </c>
      <c r="C1568" t="s">
        <v>35</v>
      </c>
      <c r="D1568" t="s">
        <v>183</v>
      </c>
      <c r="E1568">
        <v>54</v>
      </c>
    </row>
    <row r="1569" spans="1:5" x14ac:dyDescent="0.35">
      <c r="A1569" s="13">
        <v>44562</v>
      </c>
      <c r="B1569">
        <f>YEAR(Country_Masterlist__6[[#This Row],[Year1]])</f>
        <v>2022</v>
      </c>
      <c r="C1569" t="s">
        <v>34</v>
      </c>
      <c r="D1569" t="s">
        <v>184</v>
      </c>
      <c r="E1569">
        <v>50</v>
      </c>
    </row>
    <row r="1570" spans="1:5" x14ac:dyDescent="0.35">
      <c r="A1570" s="13">
        <v>44562</v>
      </c>
      <c r="B1570">
        <f>YEAR(Country_Masterlist__6[[#This Row],[Year1]])</f>
        <v>2022</v>
      </c>
      <c r="C1570" t="s">
        <v>34</v>
      </c>
      <c r="D1570" t="s">
        <v>185</v>
      </c>
      <c r="E1570">
        <v>499</v>
      </c>
    </row>
    <row r="1571" spans="1:5" x14ac:dyDescent="0.35">
      <c r="A1571" s="13">
        <v>44562</v>
      </c>
      <c r="B1571">
        <f>YEAR(Country_Masterlist__6[[#This Row],[Year1]])</f>
        <v>2022</v>
      </c>
      <c r="C1571" t="s">
        <v>33</v>
      </c>
      <c r="D1571" t="s">
        <v>187</v>
      </c>
      <c r="E1571">
        <v>18</v>
      </c>
    </row>
    <row r="1572" spans="1:5" x14ac:dyDescent="0.35">
      <c r="A1572" s="13">
        <v>44562</v>
      </c>
      <c r="B1572">
        <f>YEAR(Country_Masterlist__6[[#This Row],[Year1]])</f>
        <v>2022</v>
      </c>
      <c r="C1572" t="s">
        <v>34</v>
      </c>
      <c r="D1572" t="s">
        <v>188</v>
      </c>
      <c r="E1572">
        <v>91</v>
      </c>
    </row>
    <row r="1573" spans="1:5" x14ac:dyDescent="0.35">
      <c r="A1573" s="13">
        <v>44562</v>
      </c>
      <c r="B1573">
        <f>YEAR(Country_Masterlist__6[[#This Row],[Year1]])</f>
        <v>2022</v>
      </c>
      <c r="C1573" t="s">
        <v>33</v>
      </c>
      <c r="D1573" t="s">
        <v>189</v>
      </c>
      <c r="E1573">
        <v>8</v>
      </c>
    </row>
    <row r="1574" spans="1:5" x14ac:dyDescent="0.35">
      <c r="A1574" s="13">
        <v>44562</v>
      </c>
      <c r="B1574">
        <f>YEAR(Country_Masterlist__6[[#This Row],[Year1]])</f>
        <v>2022</v>
      </c>
      <c r="C1574" t="s">
        <v>37</v>
      </c>
      <c r="D1574" t="s">
        <v>190</v>
      </c>
      <c r="E1574">
        <v>4</v>
      </c>
    </row>
    <row r="1575" spans="1:5" x14ac:dyDescent="0.35">
      <c r="A1575" s="13">
        <v>44562</v>
      </c>
      <c r="B1575">
        <f>YEAR(Country_Masterlist__6[[#This Row],[Year1]])</f>
        <v>2022</v>
      </c>
      <c r="C1575" t="s">
        <v>36</v>
      </c>
      <c r="D1575" t="s">
        <v>191</v>
      </c>
      <c r="E1575">
        <v>25</v>
      </c>
    </row>
    <row r="1576" spans="1:5" x14ac:dyDescent="0.35">
      <c r="A1576" s="13">
        <v>44562</v>
      </c>
      <c r="B1576">
        <f>YEAR(Country_Masterlist__6[[#This Row],[Year1]])</f>
        <v>2022</v>
      </c>
      <c r="C1576" t="s">
        <v>33</v>
      </c>
      <c r="D1576" t="s">
        <v>192</v>
      </c>
      <c r="E1576">
        <v>108</v>
      </c>
    </row>
    <row r="1577" spans="1:5" x14ac:dyDescent="0.35">
      <c r="A1577" s="13">
        <v>44562</v>
      </c>
      <c r="B1577">
        <f>YEAR(Country_Masterlist__6[[#This Row],[Year1]])</f>
        <v>2022</v>
      </c>
      <c r="C1577" t="s">
        <v>34</v>
      </c>
      <c r="D1577" t="s">
        <v>193</v>
      </c>
      <c r="E1577">
        <v>123</v>
      </c>
    </row>
    <row r="1578" spans="1:5" x14ac:dyDescent="0.35">
      <c r="A1578" s="13">
        <v>44562</v>
      </c>
      <c r="B1578">
        <f>YEAR(Country_Masterlist__6[[#This Row],[Year1]])</f>
        <v>2022</v>
      </c>
      <c r="C1578" t="s">
        <v>34</v>
      </c>
      <c r="D1578" t="s">
        <v>194</v>
      </c>
      <c r="E1578" t="s">
        <v>205</v>
      </c>
    </row>
    <row r="1579" spans="1:5" x14ac:dyDescent="0.35">
      <c r="A1579" s="13">
        <v>44562</v>
      </c>
      <c r="B1579">
        <f>YEAR(Country_Masterlist__6[[#This Row],[Year1]])</f>
        <v>2022</v>
      </c>
      <c r="C1579" t="s">
        <v>33</v>
      </c>
      <c r="D1579" t="s">
        <v>195</v>
      </c>
      <c r="E1579">
        <v>13</v>
      </c>
    </row>
    <row r="1580" spans="1:5" x14ac:dyDescent="0.35">
      <c r="A1580" s="13">
        <v>44562</v>
      </c>
      <c r="B1580">
        <f>YEAR(Country_Masterlist__6[[#This Row],[Year1]])</f>
        <v>2022</v>
      </c>
      <c r="C1580" t="s">
        <v>35</v>
      </c>
      <c r="D1580" t="s">
        <v>196</v>
      </c>
      <c r="E1580">
        <v>113</v>
      </c>
    </row>
    <row r="1581" spans="1:5" x14ac:dyDescent="0.35">
      <c r="A1581" s="13">
        <v>44562</v>
      </c>
      <c r="B1581">
        <f>YEAR(Country_Masterlist__6[[#This Row],[Year1]])</f>
        <v>2022</v>
      </c>
      <c r="C1581" t="s">
        <v>34</v>
      </c>
      <c r="D1581" t="s">
        <v>197</v>
      </c>
      <c r="E1581">
        <v>16</v>
      </c>
    </row>
    <row r="1582" spans="1:5" x14ac:dyDescent="0.35">
      <c r="A1582" s="13">
        <v>44562</v>
      </c>
      <c r="B1582">
        <f>YEAR(Country_Masterlist__6[[#This Row],[Year1]])</f>
        <v>2022</v>
      </c>
      <c r="C1582" t="s">
        <v>35</v>
      </c>
      <c r="D1582" t="s">
        <v>198</v>
      </c>
      <c r="E1582">
        <v>1103</v>
      </c>
    </row>
    <row r="1583" spans="1:5" x14ac:dyDescent="0.35">
      <c r="A1583" s="13">
        <v>44562</v>
      </c>
      <c r="B1583">
        <f>YEAR(Country_Masterlist__6[[#This Row],[Year1]])</f>
        <v>2022</v>
      </c>
      <c r="C1583" t="s">
        <v>38</v>
      </c>
      <c r="D1583" t="s">
        <v>199</v>
      </c>
      <c r="E1583">
        <v>8</v>
      </c>
    </row>
    <row r="1584" spans="1:5" x14ac:dyDescent="0.35">
      <c r="A1584" s="13">
        <v>44562</v>
      </c>
      <c r="B1584">
        <f>YEAR(Country_Masterlist__6[[#This Row],[Year1]])</f>
        <v>2022</v>
      </c>
      <c r="C1584" t="s">
        <v>34</v>
      </c>
      <c r="D1584" t="s">
        <v>200</v>
      </c>
      <c r="E1584">
        <v>9</v>
      </c>
    </row>
    <row r="1585" spans="1:5" x14ac:dyDescent="0.35">
      <c r="A1585" s="13">
        <v>44562</v>
      </c>
      <c r="B1585">
        <f>YEAR(Country_Masterlist__6[[#This Row],[Year1]])</f>
        <v>2022</v>
      </c>
      <c r="C1585" t="s">
        <v>38</v>
      </c>
      <c r="D1585" t="s">
        <v>19</v>
      </c>
      <c r="E1585">
        <v>195</v>
      </c>
    </row>
    <row r="1586" spans="1:5" x14ac:dyDescent="0.35">
      <c r="A1586" s="13">
        <v>44562</v>
      </c>
      <c r="B1586">
        <f>YEAR(Country_Masterlist__6[[#This Row],[Year1]])</f>
        <v>2022</v>
      </c>
      <c r="C1586" t="s">
        <v>34</v>
      </c>
      <c r="D1586" t="s">
        <v>201</v>
      </c>
      <c r="E1586">
        <v>59</v>
      </c>
    </row>
    <row r="1587" spans="1:5" x14ac:dyDescent="0.35">
      <c r="A1587" s="13">
        <v>44562</v>
      </c>
      <c r="B1587">
        <f>YEAR(Country_Masterlist__6[[#This Row],[Year1]])</f>
        <v>2022</v>
      </c>
      <c r="C1587" t="s">
        <v>34</v>
      </c>
      <c r="D1587" t="s">
        <v>202</v>
      </c>
      <c r="E1587">
        <v>9</v>
      </c>
    </row>
    <row r="1588" spans="1:5" x14ac:dyDescent="0.35">
      <c r="A1588" s="13">
        <v>44562</v>
      </c>
      <c r="B1588">
        <f>YEAR(Country_Masterlist__6[[#This Row],[Year1]])</f>
        <v>2022</v>
      </c>
      <c r="C1588" t="s">
        <v>33</v>
      </c>
      <c r="D1588" t="s">
        <v>203</v>
      </c>
      <c r="E1588">
        <v>7</v>
      </c>
    </row>
    <row r="1589" spans="1:5" x14ac:dyDescent="0.35">
      <c r="A1589" s="13">
        <v>44562</v>
      </c>
      <c r="B1589">
        <f>YEAR(Country_Masterlist__6[[#This Row],[Year1]])</f>
        <v>2022</v>
      </c>
      <c r="C1589" t="s">
        <v>33</v>
      </c>
      <c r="D1589" t="s">
        <v>204</v>
      </c>
      <c r="E1589">
        <v>19</v>
      </c>
    </row>
    <row r="1590" spans="1:5" x14ac:dyDescent="0.35">
      <c r="A1590" s="13">
        <v>44562</v>
      </c>
      <c r="B1590">
        <f>YEAR(Country_Masterlist__6[[#This Row],[Year1]])</f>
        <v>2022</v>
      </c>
      <c r="D1590" t="s">
        <v>373</v>
      </c>
      <c r="E1590">
        <v>46</v>
      </c>
    </row>
    <row r="1591" spans="1:5" x14ac:dyDescent="0.35">
      <c r="A1591" s="13">
        <v>44562</v>
      </c>
      <c r="B1591">
        <f>YEAR(Country_Masterlist__6[[#This Row],[Year1]])</f>
        <v>2022</v>
      </c>
      <c r="C1591" t="s">
        <v>39</v>
      </c>
      <c r="D1591" t="s">
        <v>39</v>
      </c>
      <c r="E1591">
        <v>24</v>
      </c>
    </row>
    <row r="1592" spans="1:5" x14ac:dyDescent="0.35">
      <c r="A1592" s="58"/>
      <c r="C1592" t="s">
        <v>37</v>
      </c>
      <c r="D1592" t="s">
        <v>386</v>
      </c>
    </row>
    <row r="1593" spans="1:5" x14ac:dyDescent="0.35">
      <c r="A1593" s="58"/>
      <c r="C1593" t="s">
        <v>36</v>
      </c>
      <c r="D1593" t="s">
        <v>392</v>
      </c>
    </row>
    <row r="1594" spans="1:5" x14ac:dyDescent="0.35">
      <c r="A1594" s="58"/>
      <c r="C1594" t="s">
        <v>36</v>
      </c>
      <c r="D1594" t="s">
        <v>363</v>
      </c>
    </row>
    <row r="1595" spans="1:5" x14ac:dyDescent="0.35">
      <c r="A1595" s="58"/>
      <c r="C1595" t="s">
        <v>34</v>
      </c>
      <c r="D1595" t="s">
        <v>58</v>
      </c>
    </row>
    <row r="1596" spans="1:5" x14ac:dyDescent="0.35">
      <c r="A1596" s="58"/>
      <c r="C1596" t="s">
        <v>33</v>
      </c>
      <c r="D1596" t="s">
        <v>61</v>
      </c>
    </row>
    <row r="1597" spans="1:5" x14ac:dyDescent="0.35">
      <c r="A1597" s="58"/>
      <c r="C1597" t="s">
        <v>36</v>
      </c>
      <c r="D1597" t="s">
        <v>364</v>
      </c>
    </row>
    <row r="1598" spans="1:5" x14ac:dyDescent="0.35">
      <c r="A1598" s="58"/>
      <c r="C1598" t="s">
        <v>36</v>
      </c>
      <c r="D1598" t="s">
        <v>365</v>
      </c>
    </row>
    <row r="1599" spans="1:5" x14ac:dyDescent="0.35">
      <c r="A1599" s="58"/>
      <c r="C1599" t="s">
        <v>33</v>
      </c>
      <c r="D1599" t="s">
        <v>70</v>
      </c>
    </row>
    <row r="1600" spans="1:5" x14ac:dyDescent="0.35">
      <c r="A1600" s="58"/>
      <c r="C1600" t="s">
        <v>33</v>
      </c>
      <c r="D1600" t="s">
        <v>71</v>
      </c>
    </row>
    <row r="1601" spans="1:4" x14ac:dyDescent="0.35">
      <c r="A1601" s="58"/>
      <c r="C1601" t="s">
        <v>35</v>
      </c>
      <c r="D1601" t="s">
        <v>214</v>
      </c>
    </row>
    <row r="1602" spans="1:4" x14ac:dyDescent="0.35">
      <c r="A1602" s="58"/>
      <c r="C1602" t="s">
        <v>33</v>
      </c>
      <c r="D1602" t="s">
        <v>83</v>
      </c>
    </row>
    <row r="1603" spans="1:4" x14ac:dyDescent="0.35">
      <c r="A1603" s="58"/>
      <c r="C1603" t="s">
        <v>33</v>
      </c>
      <c r="D1603" t="s">
        <v>88</v>
      </c>
    </row>
    <row r="1604" spans="1:4" x14ac:dyDescent="0.35">
      <c r="A1604" s="58"/>
      <c r="C1604" t="s">
        <v>37</v>
      </c>
      <c r="D1604" t="s">
        <v>391</v>
      </c>
    </row>
    <row r="1605" spans="1:4" x14ac:dyDescent="0.35">
      <c r="A1605" s="58"/>
      <c r="C1605" t="s">
        <v>37</v>
      </c>
      <c r="D1605" t="s">
        <v>367</v>
      </c>
    </row>
    <row r="1606" spans="1:4" x14ac:dyDescent="0.35">
      <c r="A1606" s="58"/>
      <c r="C1606" t="s">
        <v>33</v>
      </c>
      <c r="D1606" t="s">
        <v>102</v>
      </c>
    </row>
    <row r="1607" spans="1:4" x14ac:dyDescent="0.35">
      <c r="A1607" s="58"/>
      <c r="C1607" t="s">
        <v>34</v>
      </c>
      <c r="D1607" t="s">
        <v>368</v>
      </c>
    </row>
    <row r="1608" spans="1:4" x14ac:dyDescent="0.35">
      <c r="A1608" s="58"/>
      <c r="C1608" t="s">
        <v>37</v>
      </c>
      <c r="D1608" t="s">
        <v>390</v>
      </c>
    </row>
    <row r="1609" spans="1:4" x14ac:dyDescent="0.35">
      <c r="A1609" s="58"/>
      <c r="C1609" t="s">
        <v>35</v>
      </c>
      <c r="D1609" t="s">
        <v>128</v>
      </c>
    </row>
    <row r="1610" spans="1:4" x14ac:dyDescent="0.35">
      <c r="A1610" s="58"/>
      <c r="C1610" t="s">
        <v>34</v>
      </c>
      <c r="D1610" t="s">
        <v>369</v>
      </c>
    </row>
    <row r="1611" spans="1:4" x14ac:dyDescent="0.35">
      <c r="A1611" s="58"/>
      <c r="C1611" t="s">
        <v>33</v>
      </c>
      <c r="D1611" t="s">
        <v>130</v>
      </c>
    </row>
    <row r="1612" spans="1:4" x14ac:dyDescent="0.35">
      <c r="A1612" s="58"/>
      <c r="C1612" t="s">
        <v>34</v>
      </c>
      <c r="D1612" t="s">
        <v>389</v>
      </c>
    </row>
    <row r="1613" spans="1:4" x14ac:dyDescent="0.35">
      <c r="A1613" s="58"/>
      <c r="C1613" t="s">
        <v>35</v>
      </c>
      <c r="D1613" t="s">
        <v>133</v>
      </c>
    </row>
    <row r="1614" spans="1:4" x14ac:dyDescent="0.35">
      <c r="A1614" s="58"/>
      <c r="C1614" t="s">
        <v>37</v>
      </c>
      <c r="D1614" t="s">
        <v>134</v>
      </c>
    </row>
    <row r="1615" spans="1:4" x14ac:dyDescent="0.35">
      <c r="A1615" s="58"/>
      <c r="C1615" t="s">
        <v>33</v>
      </c>
      <c r="D1615" t="s">
        <v>135</v>
      </c>
    </row>
    <row r="1616" spans="1:4" x14ac:dyDescent="0.35">
      <c r="A1616" s="58"/>
      <c r="C1616" t="s">
        <v>36</v>
      </c>
      <c r="D1616" t="s">
        <v>370</v>
      </c>
    </row>
    <row r="1617" spans="1:4" x14ac:dyDescent="0.35">
      <c r="A1617" s="58"/>
      <c r="C1617" t="s">
        <v>33</v>
      </c>
      <c r="D1617" t="s">
        <v>142</v>
      </c>
    </row>
    <row r="1618" spans="1:4" x14ac:dyDescent="0.35">
      <c r="A1618" s="58"/>
      <c r="C1618" t="s">
        <v>33</v>
      </c>
      <c r="D1618" t="s">
        <v>143</v>
      </c>
    </row>
    <row r="1619" spans="1:4" x14ac:dyDescent="0.35">
      <c r="A1619" s="58"/>
      <c r="C1619" t="s">
        <v>36</v>
      </c>
      <c r="D1619" t="s">
        <v>371</v>
      </c>
    </row>
    <row r="1620" spans="1:4" x14ac:dyDescent="0.35">
      <c r="A1620" s="58"/>
      <c r="C1620" t="s">
        <v>37</v>
      </c>
      <c r="D1620" t="s">
        <v>153</v>
      </c>
    </row>
    <row r="1621" spans="1:4" x14ac:dyDescent="0.35">
      <c r="A1621" s="58"/>
      <c r="C1621" t="s">
        <v>35</v>
      </c>
      <c r="D1621" t="s">
        <v>215</v>
      </c>
    </row>
    <row r="1622" spans="1:4" x14ac:dyDescent="0.35">
      <c r="A1622" s="58"/>
      <c r="C1622" t="s">
        <v>37</v>
      </c>
      <c r="D1622" t="s">
        <v>388</v>
      </c>
    </row>
    <row r="1623" spans="1:4" x14ac:dyDescent="0.35">
      <c r="A1623" s="58"/>
      <c r="C1623" t="s">
        <v>33</v>
      </c>
      <c r="D1623" t="s">
        <v>176</v>
      </c>
    </row>
    <row r="1624" spans="1:4" x14ac:dyDescent="0.35">
      <c r="A1624" s="58"/>
      <c r="C1624" t="s">
        <v>35</v>
      </c>
      <c r="D1624" t="s">
        <v>216</v>
      </c>
    </row>
    <row r="1625" spans="1:4" x14ac:dyDescent="0.35">
      <c r="A1625" s="58"/>
      <c r="C1625" t="s">
        <v>38</v>
      </c>
      <c r="D1625" t="s">
        <v>180</v>
      </c>
    </row>
    <row r="1626" spans="1:4" x14ac:dyDescent="0.35">
      <c r="A1626" s="58"/>
      <c r="C1626" t="s">
        <v>33</v>
      </c>
      <c r="D1626" t="s">
        <v>181</v>
      </c>
    </row>
    <row r="1627" spans="1:4" x14ac:dyDescent="0.35">
      <c r="A1627" s="58"/>
      <c r="C1627" t="s">
        <v>34</v>
      </c>
      <c r="D1627" t="s">
        <v>186</v>
      </c>
    </row>
    <row r="1628" spans="1:4" x14ac:dyDescent="0.35">
      <c r="A1628" s="58"/>
      <c r="C1628" t="s">
        <v>36</v>
      </c>
      <c r="D1628" t="s">
        <v>372</v>
      </c>
    </row>
    <row r="1629" spans="1:4" x14ac:dyDescent="0.35">
      <c r="A1629" s="58"/>
      <c r="C1629" t="s">
        <v>37</v>
      </c>
      <c r="D1629" t="s">
        <v>387</v>
      </c>
    </row>
    <row r="1630" spans="1:4" x14ac:dyDescent="0.35">
      <c r="A1630" s="58"/>
      <c r="C1630" t="s">
        <v>37</v>
      </c>
      <c r="D1630" t="s">
        <v>393</v>
      </c>
    </row>
    <row r="1633" spans="1:2" x14ac:dyDescent="0.35">
      <c r="A1633" s="2" t="s">
        <v>323</v>
      </c>
      <c r="B1633" s="2"/>
    </row>
    <row r="1634" spans="1:2" x14ac:dyDescent="0.35">
      <c r="A1634" s="46" t="s">
        <v>207</v>
      </c>
      <c r="B1634" s="2"/>
    </row>
    <row r="1635" spans="1:2" x14ac:dyDescent="0.35">
      <c r="A1635" s="46" t="s">
        <v>324</v>
      </c>
      <c r="B1635" s="2"/>
    </row>
    <row r="1636" spans="1:2" x14ac:dyDescent="0.35">
      <c r="A1636" s="46" t="s">
        <v>32</v>
      </c>
      <c r="B1636" s="2"/>
    </row>
    <row r="1637" spans="1:2" x14ac:dyDescent="0.35">
      <c r="A1637" s="47" t="s">
        <v>320</v>
      </c>
      <c r="B1637" s="21"/>
    </row>
    <row r="1638" spans="1:2" x14ac:dyDescent="0.35">
      <c r="A1638" s="47" t="s">
        <v>321</v>
      </c>
      <c r="B1638" s="21"/>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6768-0C10-4EE3-84EC-54A7F329DE23}">
  <dimension ref="A1:E1607"/>
  <sheetViews>
    <sheetView workbookViewId="0">
      <selection activeCell="F204" sqref="F204"/>
    </sheetView>
  </sheetViews>
  <sheetFormatPr defaultRowHeight="14.5" x14ac:dyDescent="0.35"/>
  <cols>
    <col min="1" max="1" width="16" bestFit="1" customWidth="1"/>
    <col min="2" max="2" width="23.6328125" customWidth="1"/>
    <col min="3" max="3" width="29.453125" bestFit="1" customWidth="1"/>
    <col min="4" max="4" width="17.90625" bestFit="1" customWidth="1"/>
    <col min="5" max="5" width="29.453125" bestFit="1" customWidth="1"/>
    <col min="6" max="6" width="19.26953125" bestFit="1" customWidth="1"/>
    <col min="7" max="7" width="23.453125" bestFit="1" customWidth="1"/>
  </cols>
  <sheetData>
    <row r="1" spans="1:5" x14ac:dyDescent="0.35">
      <c r="A1" t="s">
        <v>24</v>
      </c>
      <c r="B1" t="s">
        <v>217</v>
      </c>
      <c r="C1" t="s">
        <v>13</v>
      </c>
      <c r="D1" t="s">
        <v>355</v>
      </c>
      <c r="E1" t="s">
        <v>328</v>
      </c>
    </row>
    <row r="2" spans="1:5" hidden="1" x14ac:dyDescent="0.35">
      <c r="B2" t="s">
        <v>37</v>
      </c>
      <c r="C2" t="s">
        <v>393</v>
      </c>
    </row>
    <row r="3" spans="1:5" hidden="1" x14ac:dyDescent="0.35">
      <c r="B3" t="s">
        <v>35</v>
      </c>
      <c r="C3" t="s">
        <v>106</v>
      </c>
    </row>
    <row r="4" spans="1:5" hidden="1" x14ac:dyDescent="0.35">
      <c r="B4" t="s">
        <v>34</v>
      </c>
      <c r="C4" t="s">
        <v>368</v>
      </c>
    </row>
    <row r="5" spans="1:5" hidden="1" x14ac:dyDescent="0.35">
      <c r="B5" t="s">
        <v>33</v>
      </c>
      <c r="C5" t="s">
        <v>102</v>
      </c>
    </row>
    <row r="6" spans="1:5" hidden="1" x14ac:dyDescent="0.35">
      <c r="B6" t="s">
        <v>37</v>
      </c>
      <c r="C6" t="s">
        <v>367</v>
      </c>
    </row>
    <row r="7" spans="1:5" hidden="1" x14ac:dyDescent="0.35">
      <c r="B7" t="s">
        <v>37</v>
      </c>
      <c r="C7" t="s">
        <v>391</v>
      </c>
    </row>
    <row r="8" spans="1:5" hidden="1" x14ac:dyDescent="0.35">
      <c r="B8" t="s">
        <v>35</v>
      </c>
      <c r="C8" t="s">
        <v>93</v>
      </c>
    </row>
    <row r="9" spans="1:5" hidden="1" x14ac:dyDescent="0.35">
      <c r="B9" t="s">
        <v>33</v>
      </c>
      <c r="C9" t="s">
        <v>83</v>
      </c>
    </row>
    <row r="10" spans="1:5" hidden="1" x14ac:dyDescent="0.35">
      <c r="B10" t="s">
        <v>35</v>
      </c>
      <c r="C10" t="s">
        <v>82</v>
      </c>
    </row>
    <row r="11" spans="1:5" hidden="1" x14ac:dyDescent="0.35">
      <c r="B11" t="s">
        <v>34</v>
      </c>
      <c r="C11" t="s">
        <v>80</v>
      </c>
    </row>
    <row r="12" spans="1:5" hidden="1" x14ac:dyDescent="0.35">
      <c r="B12" t="s">
        <v>33</v>
      </c>
      <c r="C12" t="s">
        <v>70</v>
      </c>
    </row>
    <row r="13" spans="1:5" hidden="1" x14ac:dyDescent="0.35">
      <c r="B13" t="s">
        <v>36</v>
      </c>
      <c r="C13" t="s">
        <v>365</v>
      </c>
    </row>
    <row r="14" spans="1:5" hidden="1" x14ac:dyDescent="0.35">
      <c r="B14" t="s">
        <v>36</v>
      </c>
      <c r="C14" t="s">
        <v>364</v>
      </c>
    </row>
    <row r="15" spans="1:5" hidden="1" x14ac:dyDescent="0.35">
      <c r="B15" t="s">
        <v>33</v>
      </c>
      <c r="C15" t="s">
        <v>61</v>
      </c>
    </row>
    <row r="16" spans="1:5" hidden="1" x14ac:dyDescent="0.35">
      <c r="B16" t="s">
        <v>34</v>
      </c>
      <c r="C16" t="s">
        <v>58</v>
      </c>
    </row>
    <row r="17" spans="2:3" hidden="1" x14ac:dyDescent="0.35">
      <c r="B17" t="s">
        <v>36</v>
      </c>
      <c r="C17" t="s">
        <v>363</v>
      </c>
    </row>
    <row r="18" spans="2:3" hidden="1" x14ac:dyDescent="0.35">
      <c r="B18" t="s">
        <v>34</v>
      </c>
      <c r="C18" t="s">
        <v>51</v>
      </c>
    </row>
    <row r="19" spans="2:3" hidden="1" x14ac:dyDescent="0.35">
      <c r="B19" t="s">
        <v>36</v>
      </c>
      <c r="C19" t="s">
        <v>392</v>
      </c>
    </row>
    <row r="20" spans="2:3" hidden="1" x14ac:dyDescent="0.35">
      <c r="B20" t="s">
        <v>37</v>
      </c>
      <c r="C20" t="s">
        <v>390</v>
      </c>
    </row>
    <row r="21" spans="2:3" hidden="1" x14ac:dyDescent="0.35">
      <c r="B21" t="s">
        <v>33</v>
      </c>
      <c r="C21" t="s">
        <v>126</v>
      </c>
    </row>
    <row r="22" spans="2:3" hidden="1" x14ac:dyDescent="0.35">
      <c r="B22" t="s">
        <v>35</v>
      </c>
      <c r="C22" t="s">
        <v>128</v>
      </c>
    </row>
    <row r="23" spans="2:3" hidden="1" x14ac:dyDescent="0.35">
      <c r="B23" t="s">
        <v>34</v>
      </c>
      <c r="C23" t="s">
        <v>369</v>
      </c>
    </row>
    <row r="24" spans="2:3" hidden="1" x14ac:dyDescent="0.35">
      <c r="B24" t="s">
        <v>37</v>
      </c>
      <c r="C24" t="s">
        <v>387</v>
      </c>
    </row>
    <row r="25" spans="2:3" hidden="1" x14ac:dyDescent="0.35">
      <c r="B25" t="s">
        <v>36</v>
      </c>
      <c r="C25" t="s">
        <v>372</v>
      </c>
    </row>
    <row r="26" spans="2:3" hidden="1" x14ac:dyDescent="0.35">
      <c r="B26" t="s">
        <v>35</v>
      </c>
      <c r="C26" t="s">
        <v>183</v>
      </c>
    </row>
    <row r="27" spans="2:3" hidden="1" x14ac:dyDescent="0.35">
      <c r="B27" t="s">
        <v>33</v>
      </c>
      <c r="C27" t="s">
        <v>181</v>
      </c>
    </row>
    <row r="28" spans="2:3" hidden="1" x14ac:dyDescent="0.35">
      <c r="B28" t="s">
        <v>35</v>
      </c>
      <c r="C28" t="s">
        <v>216</v>
      </c>
    </row>
    <row r="29" spans="2:3" hidden="1" x14ac:dyDescent="0.35">
      <c r="B29" t="s">
        <v>37</v>
      </c>
      <c r="C29" t="s">
        <v>388</v>
      </c>
    </row>
    <row r="30" spans="2:3" hidden="1" x14ac:dyDescent="0.35">
      <c r="B30" t="s">
        <v>35</v>
      </c>
      <c r="C30" t="s">
        <v>173</v>
      </c>
    </row>
    <row r="31" spans="2:3" hidden="1" x14ac:dyDescent="0.35">
      <c r="B31" t="s">
        <v>34</v>
      </c>
      <c r="C31" t="s">
        <v>159</v>
      </c>
    </row>
    <row r="32" spans="2:3" hidden="1" x14ac:dyDescent="0.35">
      <c r="B32" t="s">
        <v>37</v>
      </c>
      <c r="C32" t="s">
        <v>386</v>
      </c>
    </row>
    <row r="33" spans="1:5" hidden="1" x14ac:dyDescent="0.35">
      <c r="B33" t="s">
        <v>34</v>
      </c>
      <c r="C33" t="s">
        <v>151</v>
      </c>
    </row>
    <row r="34" spans="1:5" hidden="1" x14ac:dyDescent="0.35">
      <c r="B34" t="s">
        <v>33</v>
      </c>
      <c r="C34" t="s">
        <v>143</v>
      </c>
    </row>
    <row r="35" spans="1:5" hidden="1" x14ac:dyDescent="0.35">
      <c r="B35" t="s">
        <v>33</v>
      </c>
      <c r="C35" t="s">
        <v>142</v>
      </c>
    </row>
    <row r="36" spans="1:5" hidden="1" x14ac:dyDescent="0.35">
      <c r="B36" t="s">
        <v>36</v>
      </c>
      <c r="C36" t="s">
        <v>370</v>
      </c>
    </row>
    <row r="37" spans="1:5" hidden="1" x14ac:dyDescent="0.35">
      <c r="B37" t="s">
        <v>33</v>
      </c>
      <c r="C37" t="s">
        <v>136</v>
      </c>
    </row>
    <row r="38" spans="1:5" hidden="1" x14ac:dyDescent="0.35">
      <c r="B38" t="s">
        <v>35</v>
      </c>
      <c r="C38" t="s">
        <v>133</v>
      </c>
    </row>
    <row r="39" spans="1:5" hidden="1" x14ac:dyDescent="0.35">
      <c r="B39" t="s">
        <v>34</v>
      </c>
      <c r="C39" t="s">
        <v>389</v>
      </c>
    </row>
    <row r="40" spans="1:5" hidden="1" x14ac:dyDescent="0.35">
      <c r="B40" t="s">
        <v>33</v>
      </c>
      <c r="C40" t="s">
        <v>130</v>
      </c>
    </row>
    <row r="41" spans="1:5" hidden="1" x14ac:dyDescent="0.35">
      <c r="B41" t="s">
        <v>33</v>
      </c>
      <c r="C41" t="s">
        <v>129</v>
      </c>
    </row>
    <row r="42" spans="1:5" hidden="1" x14ac:dyDescent="0.35">
      <c r="B42" t="s">
        <v>36</v>
      </c>
      <c r="C42" t="s">
        <v>371</v>
      </c>
    </row>
    <row r="43" spans="1:5" hidden="1" x14ac:dyDescent="0.35">
      <c r="B43" t="s">
        <v>34</v>
      </c>
      <c r="C43" t="s">
        <v>197</v>
      </c>
    </row>
    <row r="44" spans="1:5" hidden="1" x14ac:dyDescent="0.35">
      <c r="A44">
        <v>2013</v>
      </c>
      <c r="B44" t="s">
        <v>34</v>
      </c>
      <c r="C44" t="s">
        <v>40</v>
      </c>
      <c r="D44">
        <v>5</v>
      </c>
      <c r="E44">
        <v>6</v>
      </c>
    </row>
    <row r="45" spans="1:5" hidden="1" x14ac:dyDescent="0.35">
      <c r="A45">
        <v>2013</v>
      </c>
      <c r="B45" t="s">
        <v>35</v>
      </c>
      <c r="C45" t="s">
        <v>41</v>
      </c>
      <c r="D45">
        <v>31</v>
      </c>
      <c r="E45">
        <v>33</v>
      </c>
    </row>
    <row r="46" spans="1:5" hidden="1" x14ac:dyDescent="0.35">
      <c r="A46">
        <v>2013</v>
      </c>
      <c r="B46" t="s">
        <v>33</v>
      </c>
      <c r="C46" t="s">
        <v>42</v>
      </c>
      <c r="D46" t="s">
        <v>205</v>
      </c>
      <c r="E46" t="s">
        <v>205</v>
      </c>
    </row>
    <row r="47" spans="1:5" hidden="1" x14ac:dyDescent="0.35">
      <c r="A47">
        <v>2013</v>
      </c>
      <c r="C47" t="s">
        <v>373</v>
      </c>
      <c r="D47">
        <v>24</v>
      </c>
      <c r="E47">
        <v>38</v>
      </c>
    </row>
    <row r="48" spans="1:5" hidden="1" x14ac:dyDescent="0.35">
      <c r="A48">
        <v>2013</v>
      </c>
      <c r="B48" t="s">
        <v>33</v>
      </c>
      <c r="C48" t="s">
        <v>43</v>
      </c>
      <c r="D48" t="s">
        <v>205</v>
      </c>
      <c r="E48" t="s">
        <v>205</v>
      </c>
    </row>
    <row r="49" spans="1:5" hidden="1" x14ac:dyDescent="0.35">
      <c r="A49">
        <v>2013</v>
      </c>
      <c r="B49" t="s">
        <v>36</v>
      </c>
      <c r="C49" t="s">
        <v>44</v>
      </c>
      <c r="D49">
        <v>17</v>
      </c>
      <c r="E49">
        <v>8</v>
      </c>
    </row>
    <row r="50" spans="1:5" hidden="1" x14ac:dyDescent="0.35">
      <c r="A50">
        <v>2013</v>
      </c>
      <c r="B50" t="s">
        <v>38</v>
      </c>
      <c r="C50" t="s">
        <v>45</v>
      </c>
      <c r="D50">
        <v>88</v>
      </c>
      <c r="E50">
        <v>71</v>
      </c>
    </row>
    <row r="51" spans="1:5" hidden="1" x14ac:dyDescent="0.35">
      <c r="A51">
        <v>2013</v>
      </c>
      <c r="B51" t="s">
        <v>34</v>
      </c>
      <c r="C51" t="s">
        <v>46</v>
      </c>
      <c r="D51">
        <v>29</v>
      </c>
      <c r="E51">
        <v>7</v>
      </c>
    </row>
    <row r="52" spans="1:5" hidden="1" x14ac:dyDescent="0.35">
      <c r="A52">
        <v>2013</v>
      </c>
      <c r="B52" t="s">
        <v>37</v>
      </c>
      <c r="C52" t="s">
        <v>47</v>
      </c>
      <c r="D52">
        <v>23</v>
      </c>
      <c r="E52">
        <v>22</v>
      </c>
    </row>
    <row r="53" spans="1:5" hidden="1" x14ac:dyDescent="0.35">
      <c r="A53">
        <v>2013</v>
      </c>
      <c r="B53" t="s">
        <v>35</v>
      </c>
      <c r="C53" t="s">
        <v>48</v>
      </c>
      <c r="D53">
        <v>5</v>
      </c>
      <c r="E53">
        <v>9</v>
      </c>
    </row>
    <row r="54" spans="1:5" hidden="1" x14ac:dyDescent="0.35">
      <c r="A54">
        <v>2013</v>
      </c>
      <c r="B54" t="s">
        <v>34</v>
      </c>
      <c r="C54" t="s">
        <v>49</v>
      </c>
      <c r="D54" t="s">
        <v>205</v>
      </c>
      <c r="E54" t="s">
        <v>205</v>
      </c>
    </row>
    <row r="55" spans="1:5" hidden="1" x14ac:dyDescent="0.35">
      <c r="A55">
        <v>2013</v>
      </c>
      <c r="B55" t="s">
        <v>36</v>
      </c>
      <c r="C55" t="s">
        <v>50</v>
      </c>
      <c r="D55">
        <v>80</v>
      </c>
      <c r="E55">
        <v>18</v>
      </c>
    </row>
    <row r="56" spans="1:5" hidden="1" x14ac:dyDescent="0.35">
      <c r="A56">
        <v>2013</v>
      </c>
      <c r="B56" t="s">
        <v>34</v>
      </c>
      <c r="C56" t="s">
        <v>52</v>
      </c>
      <c r="D56">
        <v>13</v>
      </c>
      <c r="E56">
        <v>51</v>
      </c>
    </row>
    <row r="57" spans="1:5" hidden="1" x14ac:dyDescent="0.35">
      <c r="A57">
        <v>2013</v>
      </c>
      <c r="B57" t="s">
        <v>36</v>
      </c>
      <c r="C57" t="s">
        <v>53</v>
      </c>
      <c r="D57">
        <v>24</v>
      </c>
      <c r="E57">
        <v>3</v>
      </c>
    </row>
    <row r="58" spans="1:5" hidden="1" x14ac:dyDescent="0.35">
      <c r="A58">
        <v>2013</v>
      </c>
      <c r="B58" t="s">
        <v>35</v>
      </c>
      <c r="C58" t="s">
        <v>54</v>
      </c>
      <c r="D58">
        <v>10</v>
      </c>
      <c r="E58">
        <v>5</v>
      </c>
    </row>
    <row r="59" spans="1:5" hidden="1" x14ac:dyDescent="0.35">
      <c r="A59">
        <v>2013</v>
      </c>
      <c r="B59" t="s">
        <v>35</v>
      </c>
      <c r="C59" t="s">
        <v>55</v>
      </c>
      <c r="D59">
        <v>6</v>
      </c>
      <c r="E59">
        <v>7</v>
      </c>
    </row>
    <row r="60" spans="1:5" hidden="1" x14ac:dyDescent="0.35">
      <c r="A60">
        <v>2013</v>
      </c>
      <c r="B60" t="s">
        <v>36</v>
      </c>
      <c r="C60" t="s">
        <v>56</v>
      </c>
      <c r="D60">
        <v>121</v>
      </c>
      <c r="E60">
        <v>55</v>
      </c>
    </row>
    <row r="61" spans="1:5" hidden="1" x14ac:dyDescent="0.35">
      <c r="A61">
        <v>2013</v>
      </c>
      <c r="B61" t="s">
        <v>33</v>
      </c>
      <c r="C61" t="s">
        <v>57</v>
      </c>
      <c r="D61" t="s">
        <v>205</v>
      </c>
      <c r="E61" t="s">
        <v>205</v>
      </c>
    </row>
    <row r="62" spans="1:5" hidden="1" x14ac:dyDescent="0.35">
      <c r="A62">
        <v>2013</v>
      </c>
      <c r="B62" t="s">
        <v>38</v>
      </c>
      <c r="C62" t="s">
        <v>59</v>
      </c>
      <c r="D62">
        <v>65</v>
      </c>
      <c r="E62">
        <v>57</v>
      </c>
    </row>
    <row r="63" spans="1:5" hidden="1" x14ac:dyDescent="0.35">
      <c r="A63">
        <v>2013</v>
      </c>
      <c r="B63" t="s">
        <v>35</v>
      </c>
      <c r="C63" t="s">
        <v>60</v>
      </c>
      <c r="D63">
        <v>69</v>
      </c>
      <c r="E63">
        <v>6</v>
      </c>
    </row>
    <row r="64" spans="1:5" hidden="1" x14ac:dyDescent="0.35">
      <c r="A64">
        <v>2013</v>
      </c>
      <c r="B64" t="s">
        <v>38</v>
      </c>
      <c r="C64" t="s">
        <v>21</v>
      </c>
      <c r="D64">
        <v>375</v>
      </c>
      <c r="E64">
        <v>1204</v>
      </c>
    </row>
    <row r="65" spans="1:5" hidden="1" x14ac:dyDescent="0.35">
      <c r="A65">
        <v>2013</v>
      </c>
      <c r="B65" t="s">
        <v>35</v>
      </c>
      <c r="C65" t="s">
        <v>62</v>
      </c>
      <c r="D65">
        <v>24</v>
      </c>
      <c r="E65">
        <v>18</v>
      </c>
    </row>
    <row r="66" spans="1:5" hidden="1" x14ac:dyDescent="0.35">
      <c r="A66">
        <v>2013</v>
      </c>
      <c r="B66" t="s">
        <v>33</v>
      </c>
      <c r="C66" t="s">
        <v>63</v>
      </c>
      <c r="D66" t="s">
        <v>205</v>
      </c>
      <c r="E66" t="s">
        <v>205</v>
      </c>
    </row>
    <row r="67" spans="1:5" hidden="1" x14ac:dyDescent="0.35">
      <c r="A67">
        <v>2013</v>
      </c>
      <c r="B67" t="s">
        <v>34</v>
      </c>
      <c r="C67" t="s">
        <v>64</v>
      </c>
      <c r="D67">
        <v>3</v>
      </c>
      <c r="E67">
        <v>7</v>
      </c>
    </row>
    <row r="68" spans="1:5" hidden="1" x14ac:dyDescent="0.35">
      <c r="A68">
        <v>2013</v>
      </c>
      <c r="B68" t="s">
        <v>33</v>
      </c>
      <c r="C68" t="s">
        <v>65</v>
      </c>
      <c r="D68">
        <v>0</v>
      </c>
      <c r="E68" t="s">
        <v>205</v>
      </c>
    </row>
    <row r="69" spans="1:5" hidden="1" x14ac:dyDescent="0.35">
      <c r="A69">
        <v>2013</v>
      </c>
      <c r="B69" t="s">
        <v>33</v>
      </c>
      <c r="C69" t="s">
        <v>66</v>
      </c>
      <c r="D69" t="s">
        <v>205</v>
      </c>
      <c r="E69" t="s">
        <v>205</v>
      </c>
    </row>
    <row r="70" spans="1:5" hidden="1" x14ac:dyDescent="0.35">
      <c r="A70">
        <v>2013</v>
      </c>
      <c r="B70" t="s">
        <v>34</v>
      </c>
      <c r="C70" t="s">
        <v>67</v>
      </c>
      <c r="D70">
        <v>11</v>
      </c>
      <c r="E70">
        <v>5</v>
      </c>
    </row>
    <row r="71" spans="1:5" hidden="1" x14ac:dyDescent="0.35">
      <c r="A71">
        <v>2013</v>
      </c>
      <c r="B71" t="s">
        <v>33</v>
      </c>
      <c r="C71" t="s">
        <v>68</v>
      </c>
      <c r="D71">
        <v>16</v>
      </c>
      <c r="E71">
        <v>16</v>
      </c>
    </row>
    <row r="72" spans="1:5" hidden="1" x14ac:dyDescent="0.35">
      <c r="A72">
        <v>2013</v>
      </c>
      <c r="B72" t="s">
        <v>36</v>
      </c>
      <c r="C72" t="s">
        <v>69</v>
      </c>
      <c r="D72">
        <v>383</v>
      </c>
      <c r="E72">
        <v>447</v>
      </c>
    </row>
    <row r="73" spans="1:5" hidden="1" x14ac:dyDescent="0.35">
      <c r="A73">
        <v>2013</v>
      </c>
      <c r="B73" t="s">
        <v>33</v>
      </c>
      <c r="C73" t="s">
        <v>71</v>
      </c>
      <c r="D73">
        <v>0</v>
      </c>
      <c r="E73" t="s">
        <v>205</v>
      </c>
    </row>
    <row r="74" spans="1:5" hidden="1" x14ac:dyDescent="0.35">
      <c r="A74">
        <v>2013</v>
      </c>
      <c r="B74" t="s">
        <v>38</v>
      </c>
      <c r="C74" t="s">
        <v>72</v>
      </c>
      <c r="D74">
        <v>59</v>
      </c>
      <c r="E74">
        <v>47</v>
      </c>
    </row>
    <row r="75" spans="1:5" hidden="1" x14ac:dyDescent="0.35">
      <c r="A75">
        <v>2013</v>
      </c>
      <c r="B75" t="s">
        <v>34</v>
      </c>
      <c r="C75" t="s">
        <v>73</v>
      </c>
      <c r="D75">
        <v>188</v>
      </c>
      <c r="E75">
        <v>792</v>
      </c>
    </row>
    <row r="76" spans="1:5" hidden="1" x14ac:dyDescent="0.35">
      <c r="A76">
        <v>2013</v>
      </c>
      <c r="B76" t="s">
        <v>38</v>
      </c>
      <c r="C76" t="s">
        <v>20</v>
      </c>
      <c r="D76">
        <v>929</v>
      </c>
      <c r="E76">
        <v>550</v>
      </c>
    </row>
    <row r="77" spans="1:5" hidden="1" x14ac:dyDescent="0.35">
      <c r="A77">
        <v>2013</v>
      </c>
      <c r="B77" t="s">
        <v>33</v>
      </c>
      <c r="C77" t="s">
        <v>74</v>
      </c>
      <c r="D77">
        <v>0</v>
      </c>
      <c r="E77" t="s">
        <v>205</v>
      </c>
    </row>
    <row r="78" spans="1:5" hidden="1" x14ac:dyDescent="0.35">
      <c r="A78">
        <v>2013</v>
      </c>
      <c r="B78" t="s">
        <v>33</v>
      </c>
      <c r="C78" t="s">
        <v>75</v>
      </c>
      <c r="D78" t="s">
        <v>205</v>
      </c>
      <c r="E78" t="s">
        <v>205</v>
      </c>
    </row>
    <row r="79" spans="1:5" hidden="1" x14ac:dyDescent="0.35">
      <c r="A79">
        <v>2013</v>
      </c>
      <c r="B79" t="s">
        <v>36</v>
      </c>
      <c r="C79" t="s">
        <v>76</v>
      </c>
      <c r="D79">
        <v>128</v>
      </c>
      <c r="E79">
        <v>204</v>
      </c>
    </row>
    <row r="80" spans="1:5" hidden="1" x14ac:dyDescent="0.35">
      <c r="A80">
        <v>2013</v>
      </c>
      <c r="B80" t="s">
        <v>33</v>
      </c>
      <c r="C80" t="s">
        <v>77</v>
      </c>
      <c r="D80">
        <v>9</v>
      </c>
      <c r="E80">
        <v>16</v>
      </c>
    </row>
    <row r="81" spans="1:5" hidden="1" x14ac:dyDescent="0.35">
      <c r="A81">
        <v>2013</v>
      </c>
      <c r="B81" t="s">
        <v>35</v>
      </c>
      <c r="C81" t="s">
        <v>78</v>
      </c>
      <c r="D81">
        <v>6</v>
      </c>
      <c r="E81">
        <v>3</v>
      </c>
    </row>
    <row r="82" spans="1:5" hidden="1" x14ac:dyDescent="0.35">
      <c r="A82">
        <v>2013</v>
      </c>
      <c r="B82" t="s">
        <v>36</v>
      </c>
      <c r="C82" t="s">
        <v>79</v>
      </c>
      <c r="D82">
        <v>30</v>
      </c>
      <c r="E82">
        <v>14</v>
      </c>
    </row>
    <row r="83" spans="1:5" hidden="1" x14ac:dyDescent="0.35">
      <c r="A83">
        <v>2013</v>
      </c>
      <c r="B83" t="s">
        <v>35</v>
      </c>
      <c r="C83" t="s">
        <v>81</v>
      </c>
      <c r="D83">
        <v>0</v>
      </c>
      <c r="E83">
        <v>7</v>
      </c>
    </row>
    <row r="84" spans="1:5" hidden="1" x14ac:dyDescent="0.35">
      <c r="A84">
        <v>2013</v>
      </c>
      <c r="B84" t="s">
        <v>35</v>
      </c>
      <c r="C84" t="s">
        <v>214</v>
      </c>
      <c r="D84">
        <v>18</v>
      </c>
      <c r="E84">
        <v>22</v>
      </c>
    </row>
    <row r="85" spans="1:5" hidden="1" x14ac:dyDescent="0.35">
      <c r="A85">
        <v>2013</v>
      </c>
      <c r="B85" t="s">
        <v>36</v>
      </c>
      <c r="C85" t="s">
        <v>84</v>
      </c>
      <c r="D85">
        <v>9</v>
      </c>
      <c r="E85">
        <v>9</v>
      </c>
    </row>
    <row r="86" spans="1:5" hidden="1" x14ac:dyDescent="0.35">
      <c r="A86">
        <v>2013</v>
      </c>
      <c r="B86" t="s">
        <v>36</v>
      </c>
      <c r="C86" t="s">
        <v>85</v>
      </c>
      <c r="D86">
        <v>1821</v>
      </c>
      <c r="E86">
        <v>504</v>
      </c>
    </row>
    <row r="87" spans="1:5" hidden="1" x14ac:dyDescent="0.35">
      <c r="A87">
        <v>2013</v>
      </c>
      <c r="B87" t="s">
        <v>38</v>
      </c>
      <c r="C87" t="s">
        <v>86</v>
      </c>
      <c r="D87">
        <v>579</v>
      </c>
      <c r="E87">
        <v>933</v>
      </c>
    </row>
    <row r="88" spans="1:5" hidden="1" x14ac:dyDescent="0.35">
      <c r="A88">
        <v>2013</v>
      </c>
      <c r="B88" t="s">
        <v>33</v>
      </c>
      <c r="C88" t="s">
        <v>87</v>
      </c>
      <c r="D88">
        <v>22</v>
      </c>
      <c r="E88">
        <v>51</v>
      </c>
    </row>
    <row r="89" spans="1:5" hidden="1" x14ac:dyDescent="0.35">
      <c r="A89">
        <v>2013</v>
      </c>
      <c r="B89" t="s">
        <v>36</v>
      </c>
      <c r="C89" t="s">
        <v>16</v>
      </c>
      <c r="D89">
        <v>9472</v>
      </c>
      <c r="E89">
        <v>11660</v>
      </c>
    </row>
    <row r="90" spans="1:5" hidden="1" x14ac:dyDescent="0.35">
      <c r="A90">
        <v>2013</v>
      </c>
      <c r="B90" t="s">
        <v>33</v>
      </c>
      <c r="C90" t="s">
        <v>88</v>
      </c>
      <c r="D90">
        <v>0</v>
      </c>
      <c r="E90" t="s">
        <v>205</v>
      </c>
    </row>
    <row r="91" spans="1:5" hidden="1" x14ac:dyDescent="0.35">
      <c r="A91">
        <v>2013</v>
      </c>
      <c r="B91" t="s">
        <v>33</v>
      </c>
      <c r="C91" t="s">
        <v>89</v>
      </c>
      <c r="D91">
        <v>0</v>
      </c>
      <c r="E91">
        <v>4</v>
      </c>
    </row>
    <row r="92" spans="1:5" hidden="1" x14ac:dyDescent="0.35">
      <c r="A92">
        <v>2013</v>
      </c>
      <c r="B92" t="s">
        <v>35</v>
      </c>
      <c r="C92" t="s">
        <v>90</v>
      </c>
      <c r="D92">
        <v>9</v>
      </c>
      <c r="E92">
        <v>9</v>
      </c>
    </row>
    <row r="93" spans="1:5" hidden="1" x14ac:dyDescent="0.35">
      <c r="A93">
        <v>2013</v>
      </c>
      <c r="B93" t="s">
        <v>33</v>
      </c>
      <c r="C93" t="s">
        <v>91</v>
      </c>
      <c r="D93">
        <v>25</v>
      </c>
      <c r="E93">
        <v>24</v>
      </c>
    </row>
    <row r="94" spans="1:5" hidden="1" x14ac:dyDescent="0.35">
      <c r="A94">
        <v>2013</v>
      </c>
      <c r="B94" t="s">
        <v>37</v>
      </c>
      <c r="C94" t="s">
        <v>92</v>
      </c>
      <c r="D94">
        <v>16</v>
      </c>
      <c r="E94">
        <v>7</v>
      </c>
    </row>
    <row r="95" spans="1:5" hidden="1" x14ac:dyDescent="0.35">
      <c r="A95">
        <v>2013</v>
      </c>
      <c r="B95" t="s">
        <v>35</v>
      </c>
      <c r="C95" t="s">
        <v>94</v>
      </c>
      <c r="D95">
        <v>32</v>
      </c>
      <c r="E95">
        <v>44</v>
      </c>
    </row>
    <row r="96" spans="1:5" hidden="1" x14ac:dyDescent="0.35">
      <c r="A96">
        <v>2013</v>
      </c>
      <c r="B96" t="s">
        <v>33</v>
      </c>
      <c r="C96" t="s">
        <v>95</v>
      </c>
      <c r="D96" t="s">
        <v>205</v>
      </c>
    </row>
    <row r="97" spans="1:5" hidden="1" x14ac:dyDescent="0.35">
      <c r="A97">
        <v>2013</v>
      </c>
      <c r="B97" t="s">
        <v>33</v>
      </c>
      <c r="C97" t="s">
        <v>96</v>
      </c>
      <c r="D97">
        <v>5</v>
      </c>
      <c r="E97">
        <v>12</v>
      </c>
    </row>
    <row r="98" spans="1:5" hidden="1" x14ac:dyDescent="0.35">
      <c r="A98">
        <v>2013</v>
      </c>
      <c r="B98" t="s">
        <v>34</v>
      </c>
      <c r="C98" t="s">
        <v>8</v>
      </c>
      <c r="D98">
        <v>15</v>
      </c>
      <c r="E98">
        <v>22</v>
      </c>
    </row>
    <row r="99" spans="1:5" hidden="1" x14ac:dyDescent="0.35">
      <c r="A99">
        <v>2013</v>
      </c>
      <c r="B99" t="s">
        <v>35</v>
      </c>
      <c r="C99" t="s">
        <v>97</v>
      </c>
      <c r="D99">
        <v>52</v>
      </c>
      <c r="E99">
        <v>36</v>
      </c>
    </row>
    <row r="100" spans="1:5" hidden="1" x14ac:dyDescent="0.35">
      <c r="A100">
        <v>2013</v>
      </c>
      <c r="B100" t="s">
        <v>33</v>
      </c>
      <c r="C100" t="s">
        <v>98</v>
      </c>
      <c r="D100">
        <v>54</v>
      </c>
      <c r="E100">
        <v>57</v>
      </c>
    </row>
    <row r="101" spans="1:5" hidden="1" x14ac:dyDescent="0.35">
      <c r="A101">
        <v>2013</v>
      </c>
      <c r="B101" t="s">
        <v>35</v>
      </c>
      <c r="C101" t="s">
        <v>99</v>
      </c>
      <c r="D101">
        <v>13</v>
      </c>
      <c r="E101">
        <v>15</v>
      </c>
    </row>
    <row r="102" spans="1:5" hidden="1" x14ac:dyDescent="0.35">
      <c r="A102">
        <v>2013</v>
      </c>
      <c r="B102" t="s">
        <v>36</v>
      </c>
      <c r="C102" t="s">
        <v>100</v>
      </c>
      <c r="D102">
        <v>5</v>
      </c>
      <c r="E102">
        <v>6</v>
      </c>
    </row>
    <row r="103" spans="1:5" hidden="1" x14ac:dyDescent="0.35">
      <c r="A103">
        <v>2013</v>
      </c>
      <c r="B103" t="s">
        <v>36</v>
      </c>
      <c r="C103" t="s">
        <v>15</v>
      </c>
      <c r="D103">
        <v>15426</v>
      </c>
      <c r="E103">
        <v>31595</v>
      </c>
    </row>
    <row r="104" spans="1:5" hidden="1" x14ac:dyDescent="0.35">
      <c r="A104">
        <v>2013</v>
      </c>
      <c r="B104" t="s">
        <v>33</v>
      </c>
      <c r="C104" t="s">
        <v>101</v>
      </c>
      <c r="D104" t="s">
        <v>205</v>
      </c>
      <c r="E104" t="s">
        <v>205</v>
      </c>
    </row>
    <row r="105" spans="1:5" hidden="1" x14ac:dyDescent="0.35">
      <c r="A105">
        <v>2013</v>
      </c>
      <c r="B105" t="s">
        <v>38</v>
      </c>
      <c r="C105" t="s">
        <v>103</v>
      </c>
      <c r="D105">
        <v>135</v>
      </c>
      <c r="E105">
        <v>19</v>
      </c>
    </row>
    <row r="106" spans="1:5" hidden="1" x14ac:dyDescent="0.35">
      <c r="A106">
        <v>2013</v>
      </c>
      <c r="B106" t="s">
        <v>36</v>
      </c>
      <c r="C106" t="s">
        <v>104</v>
      </c>
      <c r="D106">
        <v>458</v>
      </c>
      <c r="E106">
        <v>76</v>
      </c>
    </row>
    <row r="107" spans="1:5" hidden="1" x14ac:dyDescent="0.35">
      <c r="A107">
        <v>2013</v>
      </c>
      <c r="B107" t="s">
        <v>36</v>
      </c>
      <c r="C107" t="s">
        <v>17</v>
      </c>
      <c r="D107">
        <v>16598</v>
      </c>
      <c r="E107">
        <v>20042</v>
      </c>
    </row>
    <row r="108" spans="1:5" hidden="1" x14ac:dyDescent="0.35">
      <c r="A108">
        <v>2013</v>
      </c>
      <c r="B108" t="s">
        <v>35</v>
      </c>
      <c r="C108" t="s">
        <v>105</v>
      </c>
      <c r="D108">
        <v>29</v>
      </c>
      <c r="E108">
        <v>37</v>
      </c>
    </row>
    <row r="109" spans="1:5" hidden="1" x14ac:dyDescent="0.35">
      <c r="A109">
        <v>2013</v>
      </c>
      <c r="B109" t="s">
        <v>34</v>
      </c>
      <c r="C109" t="s">
        <v>22</v>
      </c>
      <c r="D109">
        <v>135</v>
      </c>
      <c r="E109">
        <v>328</v>
      </c>
    </row>
    <row r="110" spans="1:5" hidden="1" x14ac:dyDescent="0.35">
      <c r="A110">
        <v>2013</v>
      </c>
      <c r="B110" t="s">
        <v>34</v>
      </c>
      <c r="C110" t="s">
        <v>107</v>
      </c>
      <c r="D110">
        <v>21</v>
      </c>
      <c r="E110">
        <v>100</v>
      </c>
    </row>
    <row r="111" spans="1:5" hidden="1" x14ac:dyDescent="0.35">
      <c r="A111">
        <v>2013</v>
      </c>
      <c r="B111" t="s">
        <v>34</v>
      </c>
      <c r="C111" t="s">
        <v>108</v>
      </c>
      <c r="D111">
        <v>10</v>
      </c>
      <c r="E111">
        <v>23</v>
      </c>
    </row>
    <row r="112" spans="1:5" hidden="1" x14ac:dyDescent="0.35">
      <c r="A112">
        <v>2013</v>
      </c>
      <c r="B112" t="s">
        <v>34</v>
      </c>
      <c r="C112" t="s">
        <v>109</v>
      </c>
      <c r="D112">
        <v>15</v>
      </c>
      <c r="E112">
        <v>14</v>
      </c>
    </row>
    <row r="113" spans="1:5" hidden="1" x14ac:dyDescent="0.35">
      <c r="A113">
        <v>2013</v>
      </c>
      <c r="B113" t="s">
        <v>35</v>
      </c>
      <c r="C113" t="s">
        <v>110</v>
      </c>
      <c r="D113">
        <v>22</v>
      </c>
      <c r="E113">
        <v>29</v>
      </c>
    </row>
    <row r="114" spans="1:5" hidden="1" x14ac:dyDescent="0.35">
      <c r="A114">
        <v>2013</v>
      </c>
      <c r="B114" t="s">
        <v>34</v>
      </c>
      <c r="C114" t="s">
        <v>111</v>
      </c>
      <c r="D114">
        <v>34</v>
      </c>
      <c r="E114">
        <v>95</v>
      </c>
    </row>
    <row r="115" spans="1:5" hidden="1" x14ac:dyDescent="0.35">
      <c r="A115">
        <v>2013</v>
      </c>
      <c r="B115" t="s">
        <v>35</v>
      </c>
      <c r="C115" t="s">
        <v>112</v>
      </c>
      <c r="D115">
        <v>51</v>
      </c>
      <c r="E115">
        <v>70</v>
      </c>
    </row>
    <row r="116" spans="1:5" hidden="1" x14ac:dyDescent="0.35">
      <c r="A116">
        <v>2013</v>
      </c>
      <c r="B116" t="s">
        <v>36</v>
      </c>
      <c r="C116" t="s">
        <v>113</v>
      </c>
      <c r="D116">
        <v>999</v>
      </c>
      <c r="E116">
        <v>113</v>
      </c>
    </row>
    <row r="117" spans="1:5" hidden="1" x14ac:dyDescent="0.35">
      <c r="A117">
        <v>2013</v>
      </c>
      <c r="B117" t="s">
        <v>34</v>
      </c>
      <c r="C117" t="s">
        <v>114</v>
      </c>
      <c r="D117">
        <v>18</v>
      </c>
      <c r="E117">
        <v>31</v>
      </c>
    </row>
    <row r="118" spans="1:5" hidden="1" x14ac:dyDescent="0.35">
      <c r="A118">
        <v>2013</v>
      </c>
      <c r="B118" t="s">
        <v>34</v>
      </c>
      <c r="C118" t="s">
        <v>115</v>
      </c>
      <c r="D118">
        <v>32</v>
      </c>
      <c r="E118">
        <v>34</v>
      </c>
    </row>
    <row r="119" spans="1:5" hidden="1" x14ac:dyDescent="0.35">
      <c r="A119">
        <v>2013</v>
      </c>
      <c r="B119" t="s">
        <v>34</v>
      </c>
      <c r="C119" t="s">
        <v>116</v>
      </c>
      <c r="D119">
        <v>8</v>
      </c>
      <c r="E119">
        <v>15</v>
      </c>
    </row>
    <row r="120" spans="1:5" hidden="1" x14ac:dyDescent="0.35">
      <c r="A120">
        <v>2013</v>
      </c>
      <c r="B120" t="s">
        <v>33</v>
      </c>
      <c r="C120" t="s">
        <v>117</v>
      </c>
      <c r="D120">
        <v>68</v>
      </c>
      <c r="E120">
        <v>42</v>
      </c>
    </row>
    <row r="121" spans="1:5" hidden="1" x14ac:dyDescent="0.35">
      <c r="A121">
        <v>2013</v>
      </c>
      <c r="B121" t="s">
        <v>34</v>
      </c>
      <c r="C121" t="s">
        <v>118</v>
      </c>
      <c r="D121">
        <v>134</v>
      </c>
      <c r="E121">
        <v>127</v>
      </c>
    </row>
    <row r="122" spans="1:5" hidden="1" x14ac:dyDescent="0.35">
      <c r="A122">
        <v>2013</v>
      </c>
      <c r="B122" t="s">
        <v>35</v>
      </c>
      <c r="C122" t="s">
        <v>119</v>
      </c>
      <c r="D122">
        <v>13</v>
      </c>
      <c r="E122">
        <v>9</v>
      </c>
    </row>
    <row r="123" spans="1:5" hidden="1" x14ac:dyDescent="0.35">
      <c r="A123">
        <v>2013</v>
      </c>
      <c r="B123" t="s">
        <v>34</v>
      </c>
      <c r="C123" t="s">
        <v>120</v>
      </c>
      <c r="D123" t="s">
        <v>205</v>
      </c>
      <c r="E123" t="s">
        <v>205</v>
      </c>
    </row>
    <row r="124" spans="1:5" hidden="1" x14ac:dyDescent="0.35">
      <c r="A124">
        <v>2013</v>
      </c>
      <c r="B124" t="s">
        <v>34</v>
      </c>
      <c r="C124" t="s">
        <v>121</v>
      </c>
      <c r="D124" t="s">
        <v>205</v>
      </c>
      <c r="E124" t="s">
        <v>205</v>
      </c>
    </row>
    <row r="125" spans="1:5" hidden="1" x14ac:dyDescent="0.35">
      <c r="A125">
        <v>2013</v>
      </c>
      <c r="B125" t="s">
        <v>34</v>
      </c>
      <c r="C125" t="s">
        <v>122</v>
      </c>
      <c r="D125">
        <v>5</v>
      </c>
      <c r="E125">
        <v>5</v>
      </c>
    </row>
    <row r="126" spans="1:5" hidden="1" x14ac:dyDescent="0.35">
      <c r="A126">
        <v>2013</v>
      </c>
      <c r="B126" t="s">
        <v>35</v>
      </c>
      <c r="C126" t="s">
        <v>123</v>
      </c>
      <c r="D126">
        <v>10</v>
      </c>
      <c r="E126">
        <v>31</v>
      </c>
    </row>
    <row r="127" spans="1:5" hidden="1" x14ac:dyDescent="0.35">
      <c r="A127">
        <v>2013</v>
      </c>
      <c r="B127" t="s">
        <v>34</v>
      </c>
      <c r="C127" t="s">
        <v>124</v>
      </c>
      <c r="D127">
        <v>19</v>
      </c>
      <c r="E127">
        <v>24</v>
      </c>
    </row>
    <row r="128" spans="1:5" hidden="1" x14ac:dyDescent="0.35">
      <c r="A128">
        <v>2013</v>
      </c>
      <c r="B128" t="s">
        <v>33</v>
      </c>
      <c r="C128" t="s">
        <v>125</v>
      </c>
      <c r="D128">
        <v>37</v>
      </c>
      <c r="E128">
        <v>5</v>
      </c>
    </row>
    <row r="129" spans="1:5" hidden="1" x14ac:dyDescent="0.35">
      <c r="A129">
        <v>2013</v>
      </c>
      <c r="B129" t="s">
        <v>35</v>
      </c>
      <c r="C129" t="s">
        <v>127</v>
      </c>
      <c r="D129">
        <v>27</v>
      </c>
      <c r="E129">
        <v>13</v>
      </c>
    </row>
    <row r="130" spans="1:5" hidden="1" x14ac:dyDescent="0.35">
      <c r="A130">
        <v>2013</v>
      </c>
      <c r="B130" t="s">
        <v>34</v>
      </c>
      <c r="C130" t="s">
        <v>131</v>
      </c>
      <c r="D130">
        <v>10</v>
      </c>
      <c r="E130">
        <v>10</v>
      </c>
    </row>
    <row r="131" spans="1:5" hidden="1" x14ac:dyDescent="0.35">
      <c r="A131">
        <v>2013</v>
      </c>
      <c r="B131" t="s">
        <v>33</v>
      </c>
      <c r="C131" t="s">
        <v>132</v>
      </c>
      <c r="D131" t="s">
        <v>205</v>
      </c>
      <c r="E131" t="s">
        <v>205</v>
      </c>
    </row>
    <row r="132" spans="1:5" hidden="1" x14ac:dyDescent="0.35">
      <c r="A132">
        <v>2013</v>
      </c>
      <c r="B132" t="s">
        <v>37</v>
      </c>
      <c r="C132" t="s">
        <v>134</v>
      </c>
      <c r="D132">
        <v>23</v>
      </c>
    </row>
    <row r="133" spans="1:5" hidden="1" x14ac:dyDescent="0.35">
      <c r="A133">
        <v>2013</v>
      </c>
      <c r="B133" t="s">
        <v>33</v>
      </c>
      <c r="C133" t="s">
        <v>135</v>
      </c>
      <c r="D133" t="s">
        <v>205</v>
      </c>
      <c r="E133" t="s">
        <v>205</v>
      </c>
    </row>
    <row r="134" spans="1:5" hidden="1" x14ac:dyDescent="0.35">
      <c r="A134">
        <v>2013</v>
      </c>
      <c r="B134" t="s">
        <v>36</v>
      </c>
      <c r="C134" t="s">
        <v>14</v>
      </c>
      <c r="D134">
        <v>146170</v>
      </c>
      <c r="E134">
        <v>160731</v>
      </c>
    </row>
    <row r="135" spans="1:5" hidden="1" x14ac:dyDescent="0.35">
      <c r="A135">
        <v>2013</v>
      </c>
      <c r="B135" t="s">
        <v>37</v>
      </c>
      <c r="C135" t="s">
        <v>137</v>
      </c>
      <c r="D135" t="s">
        <v>205</v>
      </c>
      <c r="E135" t="s">
        <v>205</v>
      </c>
    </row>
    <row r="136" spans="1:5" hidden="1" x14ac:dyDescent="0.35">
      <c r="A136">
        <v>2013</v>
      </c>
      <c r="B136" t="s">
        <v>35</v>
      </c>
      <c r="C136" t="s">
        <v>138</v>
      </c>
      <c r="D136">
        <v>20</v>
      </c>
      <c r="E136">
        <v>19</v>
      </c>
    </row>
    <row r="137" spans="1:5" hidden="1" x14ac:dyDescent="0.35">
      <c r="A137">
        <v>2013</v>
      </c>
      <c r="B137" t="s">
        <v>34</v>
      </c>
      <c r="C137" t="s">
        <v>139</v>
      </c>
      <c r="D137">
        <v>14</v>
      </c>
      <c r="E137">
        <v>15</v>
      </c>
    </row>
    <row r="138" spans="1:5" hidden="1" x14ac:dyDescent="0.35">
      <c r="A138">
        <v>2013</v>
      </c>
      <c r="B138" t="s">
        <v>35</v>
      </c>
      <c r="C138" t="s">
        <v>140</v>
      </c>
      <c r="D138">
        <v>9</v>
      </c>
      <c r="E138">
        <v>9</v>
      </c>
    </row>
    <row r="139" spans="1:5" hidden="1" x14ac:dyDescent="0.35">
      <c r="A139">
        <v>2013</v>
      </c>
      <c r="B139" t="s">
        <v>33</v>
      </c>
      <c r="C139" t="s">
        <v>141</v>
      </c>
      <c r="D139">
        <v>33</v>
      </c>
      <c r="E139">
        <v>13</v>
      </c>
    </row>
    <row r="140" spans="1:5" hidden="1" x14ac:dyDescent="0.35">
      <c r="A140">
        <v>2013</v>
      </c>
      <c r="B140" t="s">
        <v>34</v>
      </c>
      <c r="C140" t="s">
        <v>144</v>
      </c>
      <c r="D140">
        <v>12</v>
      </c>
      <c r="E140">
        <v>34</v>
      </c>
    </row>
    <row r="141" spans="1:5" hidden="1" x14ac:dyDescent="0.35">
      <c r="A141">
        <v>2013</v>
      </c>
      <c r="B141" t="s">
        <v>35</v>
      </c>
      <c r="C141" t="s">
        <v>145</v>
      </c>
      <c r="D141">
        <v>23</v>
      </c>
      <c r="E141">
        <v>21</v>
      </c>
    </row>
    <row r="142" spans="1:5" hidden="1" x14ac:dyDescent="0.35">
      <c r="A142">
        <v>2013</v>
      </c>
      <c r="B142" t="s">
        <v>37</v>
      </c>
      <c r="C142" t="s">
        <v>146</v>
      </c>
      <c r="D142">
        <v>8</v>
      </c>
      <c r="E142">
        <v>10</v>
      </c>
    </row>
    <row r="143" spans="1:5" hidden="1" x14ac:dyDescent="0.35">
      <c r="A143">
        <v>2013</v>
      </c>
      <c r="B143" t="s">
        <v>36</v>
      </c>
      <c r="C143" t="s">
        <v>147</v>
      </c>
      <c r="D143">
        <v>692</v>
      </c>
      <c r="E143">
        <v>648</v>
      </c>
    </row>
    <row r="144" spans="1:5" hidden="1" x14ac:dyDescent="0.35">
      <c r="A144">
        <v>2013</v>
      </c>
      <c r="B144" t="s">
        <v>33</v>
      </c>
      <c r="C144" t="s">
        <v>148</v>
      </c>
      <c r="D144" t="s">
        <v>205</v>
      </c>
      <c r="E144" t="s">
        <v>205</v>
      </c>
    </row>
    <row r="145" spans="1:5" hidden="1" x14ac:dyDescent="0.35">
      <c r="A145">
        <v>2013</v>
      </c>
      <c r="B145" t="s">
        <v>33</v>
      </c>
      <c r="C145" t="s">
        <v>149</v>
      </c>
      <c r="D145">
        <v>135</v>
      </c>
      <c r="E145">
        <v>212</v>
      </c>
    </row>
    <row r="146" spans="1:5" hidden="1" x14ac:dyDescent="0.35">
      <c r="A146">
        <v>2013</v>
      </c>
      <c r="B146" t="s">
        <v>35</v>
      </c>
      <c r="C146" t="s">
        <v>322</v>
      </c>
      <c r="D146">
        <v>7</v>
      </c>
      <c r="E146">
        <v>11</v>
      </c>
    </row>
    <row r="147" spans="1:5" hidden="1" x14ac:dyDescent="0.35">
      <c r="A147">
        <v>2013</v>
      </c>
      <c r="B147" t="s">
        <v>35</v>
      </c>
      <c r="C147" t="s">
        <v>150</v>
      </c>
      <c r="D147">
        <v>0</v>
      </c>
      <c r="E147" t="s">
        <v>205</v>
      </c>
    </row>
    <row r="148" spans="1:5" hidden="1" x14ac:dyDescent="0.35">
      <c r="A148">
        <v>2013</v>
      </c>
      <c r="B148" t="s">
        <v>34</v>
      </c>
      <c r="C148" t="s">
        <v>152</v>
      </c>
      <c r="D148">
        <v>40</v>
      </c>
      <c r="E148">
        <v>95</v>
      </c>
    </row>
    <row r="149" spans="1:5" hidden="1" x14ac:dyDescent="0.35">
      <c r="A149">
        <v>2013</v>
      </c>
      <c r="B149" t="s">
        <v>37</v>
      </c>
      <c r="C149" t="s">
        <v>153</v>
      </c>
      <c r="D149">
        <v>16</v>
      </c>
    </row>
    <row r="150" spans="1:5" hidden="1" x14ac:dyDescent="0.35">
      <c r="A150">
        <v>2013</v>
      </c>
      <c r="B150" t="s">
        <v>36</v>
      </c>
      <c r="C150" t="s">
        <v>154</v>
      </c>
      <c r="D150">
        <v>82</v>
      </c>
      <c r="E150">
        <v>41</v>
      </c>
    </row>
    <row r="151" spans="1:5" hidden="1" x14ac:dyDescent="0.35">
      <c r="A151">
        <v>2013</v>
      </c>
      <c r="B151" t="s">
        <v>38</v>
      </c>
      <c r="C151" t="s">
        <v>155</v>
      </c>
      <c r="D151">
        <v>6</v>
      </c>
      <c r="E151">
        <v>17</v>
      </c>
    </row>
    <row r="152" spans="1:5" hidden="1" x14ac:dyDescent="0.35">
      <c r="A152">
        <v>2013</v>
      </c>
      <c r="B152" t="s">
        <v>38</v>
      </c>
      <c r="C152" t="s">
        <v>156</v>
      </c>
      <c r="D152">
        <v>327</v>
      </c>
      <c r="E152">
        <v>352</v>
      </c>
    </row>
    <row r="153" spans="1:5" hidden="1" x14ac:dyDescent="0.35">
      <c r="A153">
        <v>2013</v>
      </c>
      <c r="B153" t="s">
        <v>34</v>
      </c>
      <c r="C153" t="s">
        <v>18</v>
      </c>
      <c r="D153">
        <v>218</v>
      </c>
      <c r="E153">
        <v>149</v>
      </c>
    </row>
    <row r="154" spans="1:5" hidden="1" x14ac:dyDescent="0.35">
      <c r="A154">
        <v>2013</v>
      </c>
      <c r="B154" t="s">
        <v>35</v>
      </c>
      <c r="C154" t="s">
        <v>157</v>
      </c>
      <c r="D154">
        <v>110</v>
      </c>
      <c r="E154">
        <v>136</v>
      </c>
    </row>
    <row r="155" spans="1:5" hidden="1" x14ac:dyDescent="0.35">
      <c r="A155">
        <v>2013</v>
      </c>
      <c r="B155" t="s">
        <v>35</v>
      </c>
      <c r="C155" t="s">
        <v>158</v>
      </c>
      <c r="D155">
        <v>57</v>
      </c>
      <c r="E155">
        <v>24</v>
      </c>
    </row>
    <row r="156" spans="1:5" hidden="1" x14ac:dyDescent="0.35">
      <c r="A156">
        <v>2013</v>
      </c>
      <c r="B156" t="s">
        <v>35</v>
      </c>
      <c r="C156" t="s">
        <v>160</v>
      </c>
      <c r="D156">
        <v>87</v>
      </c>
      <c r="E156">
        <v>112</v>
      </c>
    </row>
    <row r="157" spans="1:5" hidden="1" x14ac:dyDescent="0.35">
      <c r="A157">
        <v>2013</v>
      </c>
      <c r="B157" t="s">
        <v>35</v>
      </c>
      <c r="C157" t="s">
        <v>161</v>
      </c>
      <c r="D157">
        <v>70</v>
      </c>
      <c r="E157">
        <v>71</v>
      </c>
    </row>
    <row r="158" spans="1:5" hidden="1" x14ac:dyDescent="0.35">
      <c r="A158">
        <v>2013</v>
      </c>
      <c r="B158" t="s">
        <v>33</v>
      </c>
      <c r="C158" t="s">
        <v>162</v>
      </c>
      <c r="D158">
        <v>0</v>
      </c>
      <c r="E158">
        <v>5</v>
      </c>
    </row>
    <row r="159" spans="1:5" hidden="1" x14ac:dyDescent="0.35">
      <c r="A159">
        <v>2013</v>
      </c>
      <c r="B159" t="s">
        <v>36</v>
      </c>
      <c r="C159" t="s">
        <v>163</v>
      </c>
      <c r="D159">
        <v>11</v>
      </c>
      <c r="E159">
        <v>4</v>
      </c>
    </row>
    <row r="160" spans="1:5" hidden="1" x14ac:dyDescent="0.35">
      <c r="A160">
        <v>2013</v>
      </c>
      <c r="B160" t="s">
        <v>36</v>
      </c>
      <c r="C160" t="s">
        <v>164</v>
      </c>
      <c r="D160">
        <v>10</v>
      </c>
      <c r="E160">
        <v>16</v>
      </c>
    </row>
    <row r="161" spans="1:5" hidden="1" x14ac:dyDescent="0.35">
      <c r="A161">
        <v>2013</v>
      </c>
      <c r="B161" t="s">
        <v>36</v>
      </c>
      <c r="C161" t="s">
        <v>165</v>
      </c>
      <c r="D161">
        <v>17</v>
      </c>
      <c r="E161">
        <v>5</v>
      </c>
    </row>
    <row r="162" spans="1:5" hidden="1" x14ac:dyDescent="0.35">
      <c r="A162">
        <v>2013</v>
      </c>
      <c r="B162" t="s">
        <v>37</v>
      </c>
      <c r="C162" t="s">
        <v>166</v>
      </c>
      <c r="D162">
        <v>6</v>
      </c>
      <c r="E162">
        <v>4</v>
      </c>
    </row>
    <row r="163" spans="1:5" hidden="1" x14ac:dyDescent="0.35">
      <c r="A163">
        <v>2013</v>
      </c>
      <c r="B163" t="s">
        <v>34</v>
      </c>
      <c r="C163" t="s">
        <v>167</v>
      </c>
      <c r="D163">
        <v>17</v>
      </c>
      <c r="E163">
        <v>31</v>
      </c>
    </row>
    <row r="164" spans="1:5" hidden="1" x14ac:dyDescent="0.35">
      <c r="A164">
        <v>2013</v>
      </c>
      <c r="B164" t="s">
        <v>33</v>
      </c>
      <c r="C164" t="s">
        <v>168</v>
      </c>
      <c r="D164">
        <v>16</v>
      </c>
      <c r="E164">
        <v>24</v>
      </c>
    </row>
    <row r="165" spans="1:5" hidden="1" x14ac:dyDescent="0.35">
      <c r="A165">
        <v>2013</v>
      </c>
      <c r="B165" t="s">
        <v>35</v>
      </c>
      <c r="C165" t="s">
        <v>169</v>
      </c>
      <c r="D165">
        <v>0</v>
      </c>
      <c r="E165" t="s">
        <v>205</v>
      </c>
    </row>
    <row r="166" spans="1:5" hidden="1" x14ac:dyDescent="0.35">
      <c r="A166">
        <v>2013</v>
      </c>
      <c r="B166" t="s">
        <v>35</v>
      </c>
      <c r="C166" t="s">
        <v>215</v>
      </c>
      <c r="D166">
        <v>7</v>
      </c>
      <c r="E166">
        <v>19</v>
      </c>
    </row>
    <row r="167" spans="1:5" hidden="1" x14ac:dyDescent="0.35">
      <c r="A167">
        <v>2013</v>
      </c>
      <c r="B167" t="s">
        <v>33</v>
      </c>
      <c r="C167" t="s">
        <v>170</v>
      </c>
      <c r="D167">
        <v>10</v>
      </c>
      <c r="E167">
        <v>6</v>
      </c>
    </row>
    <row r="168" spans="1:5" hidden="1" x14ac:dyDescent="0.35">
      <c r="A168">
        <v>2013</v>
      </c>
      <c r="B168" t="s">
        <v>34</v>
      </c>
      <c r="C168" t="s">
        <v>171</v>
      </c>
      <c r="D168" t="s">
        <v>205</v>
      </c>
      <c r="E168" t="s">
        <v>205</v>
      </c>
    </row>
    <row r="169" spans="1:5" hidden="1" x14ac:dyDescent="0.35">
      <c r="A169">
        <v>2013</v>
      </c>
      <c r="B169" t="s">
        <v>35</v>
      </c>
      <c r="C169" t="s">
        <v>172</v>
      </c>
      <c r="D169">
        <v>8</v>
      </c>
      <c r="E169">
        <v>15</v>
      </c>
    </row>
    <row r="170" spans="1:5" hidden="1" x14ac:dyDescent="0.35">
      <c r="A170">
        <v>2013</v>
      </c>
      <c r="B170" t="s">
        <v>33</v>
      </c>
      <c r="C170" t="s">
        <v>174</v>
      </c>
      <c r="D170">
        <v>34</v>
      </c>
      <c r="E170">
        <v>32</v>
      </c>
    </row>
    <row r="171" spans="1:5" hidden="1" x14ac:dyDescent="0.35">
      <c r="A171">
        <v>2013</v>
      </c>
      <c r="B171" t="s">
        <v>33</v>
      </c>
      <c r="C171" t="s">
        <v>175</v>
      </c>
      <c r="D171">
        <v>17</v>
      </c>
      <c r="E171">
        <v>17</v>
      </c>
    </row>
    <row r="172" spans="1:5" hidden="1" x14ac:dyDescent="0.35">
      <c r="A172">
        <v>2013</v>
      </c>
      <c r="B172" t="s">
        <v>33</v>
      </c>
      <c r="C172" t="s">
        <v>176</v>
      </c>
      <c r="D172">
        <v>38</v>
      </c>
    </row>
    <row r="173" spans="1:5" hidden="1" x14ac:dyDescent="0.35">
      <c r="A173">
        <v>2013</v>
      </c>
      <c r="B173" t="s">
        <v>35</v>
      </c>
      <c r="C173" t="s">
        <v>177</v>
      </c>
      <c r="D173">
        <v>29</v>
      </c>
      <c r="E173">
        <v>67</v>
      </c>
    </row>
    <row r="174" spans="1:5" hidden="1" x14ac:dyDescent="0.35">
      <c r="A174">
        <v>2013</v>
      </c>
      <c r="B174" t="s">
        <v>34</v>
      </c>
      <c r="C174" t="s">
        <v>178</v>
      </c>
      <c r="D174">
        <v>6</v>
      </c>
      <c r="E174">
        <v>72</v>
      </c>
    </row>
    <row r="175" spans="1:5" hidden="1" x14ac:dyDescent="0.35">
      <c r="A175">
        <v>2013</v>
      </c>
      <c r="B175" t="s">
        <v>33</v>
      </c>
      <c r="C175" t="s">
        <v>179</v>
      </c>
      <c r="D175">
        <v>13</v>
      </c>
      <c r="E175">
        <v>12</v>
      </c>
    </row>
    <row r="176" spans="1:5" hidden="1" x14ac:dyDescent="0.35">
      <c r="A176">
        <v>2013</v>
      </c>
      <c r="B176" t="s">
        <v>38</v>
      </c>
      <c r="C176" t="s">
        <v>180</v>
      </c>
      <c r="D176">
        <v>10</v>
      </c>
      <c r="E176">
        <v>3</v>
      </c>
    </row>
    <row r="177" spans="1:5" hidden="1" x14ac:dyDescent="0.35">
      <c r="A177">
        <v>2013</v>
      </c>
      <c r="B177" t="s">
        <v>35</v>
      </c>
      <c r="C177" t="s">
        <v>182</v>
      </c>
      <c r="D177">
        <v>13</v>
      </c>
      <c r="E177">
        <v>10</v>
      </c>
    </row>
    <row r="178" spans="1:5" hidden="1" x14ac:dyDescent="0.35">
      <c r="A178">
        <v>2013</v>
      </c>
      <c r="B178" t="s">
        <v>34</v>
      </c>
      <c r="C178" t="s">
        <v>184</v>
      </c>
      <c r="D178">
        <v>3</v>
      </c>
      <c r="E178">
        <v>13</v>
      </c>
    </row>
    <row r="179" spans="1:5" hidden="1" x14ac:dyDescent="0.35">
      <c r="A179">
        <v>2013</v>
      </c>
      <c r="B179" t="s">
        <v>34</v>
      </c>
      <c r="C179" t="s">
        <v>185</v>
      </c>
      <c r="D179">
        <v>14</v>
      </c>
      <c r="E179">
        <v>29</v>
      </c>
    </row>
    <row r="180" spans="1:5" hidden="1" x14ac:dyDescent="0.35">
      <c r="A180">
        <v>2013</v>
      </c>
      <c r="B180" t="s">
        <v>34</v>
      </c>
      <c r="C180" t="s">
        <v>186</v>
      </c>
      <c r="D180">
        <v>4</v>
      </c>
      <c r="E180">
        <v>7</v>
      </c>
    </row>
    <row r="181" spans="1:5" hidden="1" x14ac:dyDescent="0.35">
      <c r="A181">
        <v>2013</v>
      </c>
      <c r="B181" t="s">
        <v>33</v>
      </c>
      <c r="C181" t="s">
        <v>187</v>
      </c>
      <c r="D181">
        <v>16</v>
      </c>
      <c r="E181">
        <v>10</v>
      </c>
    </row>
    <row r="182" spans="1:5" hidden="1" x14ac:dyDescent="0.35">
      <c r="A182">
        <v>2013</v>
      </c>
      <c r="B182" t="s">
        <v>34</v>
      </c>
      <c r="C182" t="s">
        <v>188</v>
      </c>
      <c r="D182">
        <v>19</v>
      </c>
      <c r="E182">
        <v>42</v>
      </c>
    </row>
    <row r="183" spans="1:5" hidden="1" x14ac:dyDescent="0.35">
      <c r="A183">
        <v>2013</v>
      </c>
      <c r="B183" t="s">
        <v>33</v>
      </c>
      <c r="C183" t="s">
        <v>189</v>
      </c>
      <c r="D183" t="s">
        <v>205</v>
      </c>
      <c r="E183" t="s">
        <v>205</v>
      </c>
    </row>
    <row r="184" spans="1:5" hidden="1" x14ac:dyDescent="0.35">
      <c r="A184">
        <v>2013</v>
      </c>
      <c r="B184" t="s">
        <v>37</v>
      </c>
      <c r="C184" t="s">
        <v>190</v>
      </c>
      <c r="D184">
        <v>19</v>
      </c>
      <c r="E184">
        <v>3</v>
      </c>
    </row>
    <row r="185" spans="1:5" hidden="1" x14ac:dyDescent="0.35">
      <c r="A185">
        <v>2013</v>
      </c>
      <c r="B185" t="s">
        <v>36</v>
      </c>
      <c r="C185" t="s">
        <v>191</v>
      </c>
      <c r="D185">
        <v>136</v>
      </c>
      <c r="E185">
        <v>43</v>
      </c>
    </row>
    <row r="186" spans="1:5" hidden="1" x14ac:dyDescent="0.35">
      <c r="A186">
        <v>2013</v>
      </c>
      <c r="B186" t="s">
        <v>33</v>
      </c>
      <c r="C186" t="s">
        <v>192</v>
      </c>
      <c r="D186">
        <v>7</v>
      </c>
      <c r="E186">
        <v>7</v>
      </c>
    </row>
    <row r="187" spans="1:5" hidden="1" x14ac:dyDescent="0.35">
      <c r="A187">
        <v>2013</v>
      </c>
      <c r="B187" t="s">
        <v>34</v>
      </c>
      <c r="C187" t="s">
        <v>193</v>
      </c>
      <c r="D187">
        <v>29</v>
      </c>
      <c r="E187">
        <v>64</v>
      </c>
    </row>
    <row r="188" spans="1:5" hidden="1" x14ac:dyDescent="0.35">
      <c r="A188">
        <v>2013</v>
      </c>
      <c r="B188" t="s">
        <v>34</v>
      </c>
      <c r="C188" t="s">
        <v>194</v>
      </c>
      <c r="D188" t="s">
        <v>205</v>
      </c>
      <c r="E188" t="s">
        <v>205</v>
      </c>
    </row>
    <row r="189" spans="1:5" hidden="1" x14ac:dyDescent="0.35">
      <c r="A189">
        <v>2013</v>
      </c>
      <c r="B189" t="s">
        <v>33</v>
      </c>
      <c r="C189" t="s">
        <v>195</v>
      </c>
      <c r="D189">
        <v>9</v>
      </c>
      <c r="E189">
        <v>10</v>
      </c>
    </row>
    <row r="190" spans="1:5" hidden="1" x14ac:dyDescent="0.35">
      <c r="A190">
        <v>2013</v>
      </c>
      <c r="B190" t="s">
        <v>35</v>
      </c>
      <c r="C190" t="s">
        <v>196</v>
      </c>
      <c r="D190">
        <v>75</v>
      </c>
      <c r="E190">
        <v>47</v>
      </c>
    </row>
    <row r="191" spans="1:5" hidden="1" x14ac:dyDescent="0.35">
      <c r="A191">
        <v>2013</v>
      </c>
      <c r="B191" t="s">
        <v>35</v>
      </c>
      <c r="C191" t="s">
        <v>198</v>
      </c>
      <c r="D191">
        <v>171</v>
      </c>
      <c r="E191">
        <v>100</v>
      </c>
    </row>
    <row r="192" spans="1:5" hidden="1" x14ac:dyDescent="0.35">
      <c r="A192">
        <v>2013</v>
      </c>
      <c r="B192" t="s">
        <v>39</v>
      </c>
      <c r="C192" t="s">
        <v>39</v>
      </c>
      <c r="D192">
        <v>17</v>
      </c>
      <c r="E192">
        <v>20</v>
      </c>
    </row>
    <row r="193" spans="1:5" hidden="1" x14ac:dyDescent="0.35">
      <c r="A193">
        <v>2013</v>
      </c>
      <c r="B193" t="s">
        <v>38</v>
      </c>
      <c r="C193" t="s">
        <v>199</v>
      </c>
      <c r="D193">
        <v>45</v>
      </c>
      <c r="E193">
        <v>36</v>
      </c>
    </row>
    <row r="194" spans="1:5" hidden="1" x14ac:dyDescent="0.35">
      <c r="A194">
        <v>2013</v>
      </c>
      <c r="B194" t="s">
        <v>34</v>
      </c>
      <c r="C194" t="s">
        <v>200</v>
      </c>
      <c r="D194">
        <v>9</v>
      </c>
      <c r="E194">
        <v>22</v>
      </c>
    </row>
    <row r="195" spans="1:5" hidden="1" x14ac:dyDescent="0.35">
      <c r="A195">
        <v>2013</v>
      </c>
      <c r="B195" t="s">
        <v>38</v>
      </c>
      <c r="C195" t="s">
        <v>19</v>
      </c>
      <c r="D195">
        <v>87</v>
      </c>
      <c r="E195">
        <v>130</v>
      </c>
    </row>
    <row r="196" spans="1:5" hidden="1" x14ac:dyDescent="0.35">
      <c r="A196">
        <v>2013</v>
      </c>
      <c r="B196" t="s">
        <v>34</v>
      </c>
      <c r="C196" t="s">
        <v>201</v>
      </c>
      <c r="D196">
        <v>40</v>
      </c>
      <c r="E196">
        <v>27</v>
      </c>
    </row>
    <row r="197" spans="1:5" hidden="1" x14ac:dyDescent="0.35">
      <c r="A197">
        <v>2013</v>
      </c>
      <c r="B197" t="s">
        <v>34</v>
      </c>
      <c r="C197" t="s">
        <v>202</v>
      </c>
      <c r="D197">
        <v>9</v>
      </c>
      <c r="E197">
        <v>10</v>
      </c>
    </row>
    <row r="198" spans="1:5" hidden="1" x14ac:dyDescent="0.35">
      <c r="A198">
        <v>2013</v>
      </c>
      <c r="B198" t="s">
        <v>33</v>
      </c>
      <c r="C198" t="s">
        <v>203</v>
      </c>
      <c r="D198" t="s">
        <v>205</v>
      </c>
      <c r="E198" t="s">
        <v>205</v>
      </c>
    </row>
    <row r="199" spans="1:5" hidden="1" x14ac:dyDescent="0.35">
      <c r="A199">
        <v>2013</v>
      </c>
      <c r="B199" t="s">
        <v>33</v>
      </c>
      <c r="C199" t="s">
        <v>204</v>
      </c>
      <c r="D199">
        <v>8</v>
      </c>
      <c r="E199">
        <v>6</v>
      </c>
    </row>
    <row r="200" spans="1:5" x14ac:dyDescent="0.35">
      <c r="A200">
        <v>2014</v>
      </c>
      <c r="B200" t="s">
        <v>34</v>
      </c>
      <c r="C200" t="s">
        <v>40</v>
      </c>
      <c r="D200">
        <v>10</v>
      </c>
      <c r="E200">
        <v>11</v>
      </c>
    </row>
    <row r="201" spans="1:5" x14ac:dyDescent="0.35">
      <c r="A201">
        <v>2014</v>
      </c>
      <c r="B201" t="s">
        <v>35</v>
      </c>
      <c r="C201" t="s">
        <v>41</v>
      </c>
      <c r="D201">
        <v>23</v>
      </c>
      <c r="E201">
        <v>26</v>
      </c>
    </row>
    <row r="202" spans="1:5" x14ac:dyDescent="0.35">
      <c r="A202">
        <v>2014</v>
      </c>
      <c r="B202" t="s">
        <v>33</v>
      </c>
      <c r="C202" t="s">
        <v>42</v>
      </c>
      <c r="D202">
        <v>3</v>
      </c>
      <c r="E202">
        <v>4</v>
      </c>
    </row>
    <row r="203" spans="1:5" x14ac:dyDescent="0.35">
      <c r="A203">
        <v>2014</v>
      </c>
      <c r="C203" t="s">
        <v>373</v>
      </c>
      <c r="D203">
        <v>30</v>
      </c>
      <c r="E203">
        <v>34</v>
      </c>
    </row>
    <row r="204" spans="1:5" x14ac:dyDescent="0.35">
      <c r="A204">
        <v>2014</v>
      </c>
      <c r="B204" t="s">
        <v>33</v>
      </c>
      <c r="C204" t="s">
        <v>43</v>
      </c>
      <c r="D204">
        <v>3</v>
      </c>
      <c r="E204">
        <v>12</v>
      </c>
    </row>
    <row r="205" spans="1:5" x14ac:dyDescent="0.35">
      <c r="A205">
        <v>2014</v>
      </c>
      <c r="B205" t="s">
        <v>36</v>
      </c>
      <c r="C205" t="s">
        <v>44</v>
      </c>
      <c r="D205">
        <v>13</v>
      </c>
    </row>
    <row r="206" spans="1:5" x14ac:dyDescent="0.35">
      <c r="A206">
        <v>2014</v>
      </c>
      <c r="B206" t="s">
        <v>38</v>
      </c>
      <c r="C206" t="s">
        <v>45</v>
      </c>
      <c r="D206">
        <v>64</v>
      </c>
      <c r="E206">
        <v>65</v>
      </c>
    </row>
    <row r="207" spans="1:5" x14ac:dyDescent="0.35">
      <c r="A207">
        <v>2014</v>
      </c>
      <c r="B207" t="s">
        <v>34</v>
      </c>
      <c r="C207" t="s">
        <v>46</v>
      </c>
      <c r="D207" t="s">
        <v>205</v>
      </c>
      <c r="E207" t="s">
        <v>205</v>
      </c>
    </row>
    <row r="208" spans="1:5" x14ac:dyDescent="0.35">
      <c r="A208">
        <v>2014</v>
      </c>
      <c r="B208" t="s">
        <v>37</v>
      </c>
      <c r="C208" t="s">
        <v>47</v>
      </c>
      <c r="D208">
        <v>19</v>
      </c>
      <c r="E208">
        <v>26</v>
      </c>
    </row>
    <row r="209" spans="1:5" x14ac:dyDescent="0.35">
      <c r="A209">
        <v>2014</v>
      </c>
      <c r="B209" t="s">
        <v>35</v>
      </c>
      <c r="C209" t="s">
        <v>48</v>
      </c>
      <c r="D209">
        <v>0</v>
      </c>
      <c r="E209">
        <v>4</v>
      </c>
    </row>
    <row r="210" spans="1:5" x14ac:dyDescent="0.35">
      <c r="A210">
        <v>2014</v>
      </c>
      <c r="B210" t="s">
        <v>34</v>
      </c>
      <c r="C210" t="s">
        <v>49</v>
      </c>
      <c r="D210" t="s">
        <v>205</v>
      </c>
      <c r="E210" t="s">
        <v>205</v>
      </c>
    </row>
    <row r="211" spans="1:5" x14ac:dyDescent="0.35">
      <c r="A211">
        <v>2014</v>
      </c>
      <c r="B211" t="s">
        <v>36</v>
      </c>
      <c r="C211" t="s">
        <v>50</v>
      </c>
      <c r="D211">
        <v>87</v>
      </c>
      <c r="E211">
        <v>17</v>
      </c>
    </row>
    <row r="212" spans="1:5" x14ac:dyDescent="0.35">
      <c r="A212">
        <v>2014</v>
      </c>
      <c r="B212" t="s">
        <v>34</v>
      </c>
      <c r="C212" t="s">
        <v>52</v>
      </c>
      <c r="D212">
        <v>28</v>
      </c>
      <c r="E212">
        <v>56</v>
      </c>
    </row>
    <row r="213" spans="1:5" x14ac:dyDescent="0.35">
      <c r="A213">
        <v>2014</v>
      </c>
      <c r="B213" t="s">
        <v>36</v>
      </c>
      <c r="C213" t="s">
        <v>53</v>
      </c>
      <c r="D213">
        <v>12</v>
      </c>
      <c r="E213">
        <v>4</v>
      </c>
    </row>
    <row r="214" spans="1:5" x14ac:dyDescent="0.35">
      <c r="A214">
        <v>2014</v>
      </c>
      <c r="B214" t="s">
        <v>35</v>
      </c>
      <c r="C214" t="s">
        <v>54</v>
      </c>
      <c r="D214">
        <v>12</v>
      </c>
      <c r="E214">
        <v>7</v>
      </c>
    </row>
    <row r="215" spans="1:5" x14ac:dyDescent="0.35">
      <c r="A215">
        <v>2014</v>
      </c>
      <c r="B215" t="s">
        <v>35</v>
      </c>
      <c r="C215" t="s">
        <v>55</v>
      </c>
      <c r="D215">
        <v>4</v>
      </c>
      <c r="E215">
        <v>6</v>
      </c>
    </row>
    <row r="216" spans="1:5" x14ac:dyDescent="0.35">
      <c r="A216">
        <v>2014</v>
      </c>
      <c r="B216" t="s">
        <v>36</v>
      </c>
      <c r="C216" t="s">
        <v>56</v>
      </c>
      <c r="D216">
        <v>79</v>
      </c>
      <c r="E216">
        <v>57</v>
      </c>
    </row>
    <row r="217" spans="1:5" x14ac:dyDescent="0.35">
      <c r="A217">
        <v>2014</v>
      </c>
      <c r="B217" t="s">
        <v>33</v>
      </c>
      <c r="C217" t="s">
        <v>57</v>
      </c>
      <c r="D217" t="s">
        <v>205</v>
      </c>
      <c r="E217" t="s">
        <v>205</v>
      </c>
    </row>
    <row r="218" spans="1:5" x14ac:dyDescent="0.35">
      <c r="A218">
        <v>2014</v>
      </c>
      <c r="B218" t="s">
        <v>38</v>
      </c>
      <c r="C218" t="s">
        <v>59</v>
      </c>
      <c r="D218">
        <v>47</v>
      </c>
      <c r="E218">
        <v>41</v>
      </c>
    </row>
    <row r="219" spans="1:5" x14ac:dyDescent="0.35">
      <c r="A219">
        <v>2014</v>
      </c>
      <c r="B219" t="s">
        <v>35</v>
      </c>
      <c r="C219" t="s">
        <v>60</v>
      </c>
      <c r="D219">
        <v>46</v>
      </c>
      <c r="E219">
        <v>5</v>
      </c>
    </row>
    <row r="220" spans="1:5" x14ac:dyDescent="0.35">
      <c r="A220">
        <v>2014</v>
      </c>
      <c r="B220" t="s">
        <v>38</v>
      </c>
      <c r="C220" t="s">
        <v>21</v>
      </c>
      <c r="D220">
        <v>281</v>
      </c>
      <c r="E220">
        <v>715</v>
      </c>
    </row>
    <row r="221" spans="1:5" x14ac:dyDescent="0.35">
      <c r="A221">
        <v>2014</v>
      </c>
      <c r="B221" t="s">
        <v>35</v>
      </c>
      <c r="C221" t="s">
        <v>62</v>
      </c>
      <c r="D221">
        <v>16</v>
      </c>
      <c r="E221">
        <v>19</v>
      </c>
    </row>
    <row r="222" spans="1:5" x14ac:dyDescent="0.35">
      <c r="A222">
        <v>2014</v>
      </c>
      <c r="B222" t="s">
        <v>33</v>
      </c>
      <c r="C222" t="s">
        <v>63</v>
      </c>
      <c r="D222" t="s">
        <v>205</v>
      </c>
      <c r="E222" t="s">
        <v>205</v>
      </c>
    </row>
    <row r="223" spans="1:5" x14ac:dyDescent="0.35">
      <c r="A223">
        <v>2014</v>
      </c>
      <c r="B223" t="s">
        <v>34</v>
      </c>
      <c r="C223" t="s">
        <v>64</v>
      </c>
      <c r="D223" t="s">
        <v>205</v>
      </c>
      <c r="E223" t="s">
        <v>205</v>
      </c>
    </row>
    <row r="224" spans="1:5" x14ac:dyDescent="0.35">
      <c r="A224">
        <v>2014</v>
      </c>
      <c r="B224" t="s">
        <v>33</v>
      </c>
      <c r="C224" t="s">
        <v>65</v>
      </c>
      <c r="D224" t="s">
        <v>205</v>
      </c>
      <c r="E224" t="s">
        <v>205</v>
      </c>
    </row>
    <row r="225" spans="1:5" x14ac:dyDescent="0.35">
      <c r="A225">
        <v>2014</v>
      </c>
      <c r="B225" t="s">
        <v>33</v>
      </c>
      <c r="C225" t="s">
        <v>66</v>
      </c>
      <c r="D225">
        <v>7</v>
      </c>
      <c r="E225">
        <v>6</v>
      </c>
    </row>
    <row r="226" spans="1:5" x14ac:dyDescent="0.35">
      <c r="A226">
        <v>2014</v>
      </c>
      <c r="B226" t="s">
        <v>34</v>
      </c>
      <c r="C226" t="s">
        <v>67</v>
      </c>
      <c r="D226">
        <v>65</v>
      </c>
      <c r="E226">
        <v>6</v>
      </c>
    </row>
    <row r="227" spans="1:5" x14ac:dyDescent="0.35">
      <c r="A227">
        <v>2014</v>
      </c>
      <c r="B227" t="s">
        <v>33</v>
      </c>
      <c r="C227" t="s">
        <v>68</v>
      </c>
      <c r="D227">
        <v>16</v>
      </c>
      <c r="E227">
        <v>18</v>
      </c>
    </row>
    <row r="228" spans="1:5" x14ac:dyDescent="0.35">
      <c r="A228">
        <v>2014</v>
      </c>
      <c r="B228" t="s">
        <v>36</v>
      </c>
      <c r="C228" t="s">
        <v>69</v>
      </c>
      <c r="D228">
        <v>305</v>
      </c>
      <c r="E228">
        <v>426</v>
      </c>
    </row>
    <row r="229" spans="1:5" x14ac:dyDescent="0.35">
      <c r="A229">
        <v>2014</v>
      </c>
      <c r="B229" t="s">
        <v>33</v>
      </c>
      <c r="C229" t="s">
        <v>71</v>
      </c>
      <c r="D229" t="s">
        <v>205</v>
      </c>
      <c r="E229" t="s">
        <v>205</v>
      </c>
    </row>
    <row r="230" spans="1:5" x14ac:dyDescent="0.35">
      <c r="A230">
        <v>2014</v>
      </c>
      <c r="B230" t="s">
        <v>38</v>
      </c>
      <c r="C230" t="s">
        <v>72</v>
      </c>
      <c r="D230">
        <v>46</v>
      </c>
      <c r="E230">
        <v>37</v>
      </c>
    </row>
    <row r="231" spans="1:5" x14ac:dyDescent="0.35">
      <c r="A231">
        <v>2014</v>
      </c>
      <c r="B231" t="s">
        <v>34</v>
      </c>
      <c r="C231" t="s">
        <v>73</v>
      </c>
      <c r="D231">
        <v>148</v>
      </c>
      <c r="E231">
        <v>601</v>
      </c>
    </row>
    <row r="232" spans="1:5" x14ac:dyDescent="0.35">
      <c r="A232">
        <v>2014</v>
      </c>
      <c r="B232" t="s">
        <v>38</v>
      </c>
      <c r="C232" t="s">
        <v>20</v>
      </c>
      <c r="D232">
        <v>876</v>
      </c>
      <c r="E232">
        <v>505</v>
      </c>
    </row>
    <row r="233" spans="1:5" x14ac:dyDescent="0.35">
      <c r="A233">
        <v>2014</v>
      </c>
      <c r="B233" t="s">
        <v>33</v>
      </c>
      <c r="C233" t="s">
        <v>74</v>
      </c>
      <c r="D233">
        <v>0</v>
      </c>
    </row>
    <row r="234" spans="1:5" x14ac:dyDescent="0.35">
      <c r="A234">
        <v>2014</v>
      </c>
      <c r="B234" t="s">
        <v>33</v>
      </c>
      <c r="C234" t="s">
        <v>75</v>
      </c>
      <c r="D234">
        <v>6</v>
      </c>
      <c r="E234">
        <v>5</v>
      </c>
    </row>
    <row r="235" spans="1:5" x14ac:dyDescent="0.35">
      <c r="A235">
        <v>2014</v>
      </c>
      <c r="B235" t="s">
        <v>36</v>
      </c>
      <c r="C235" t="s">
        <v>76</v>
      </c>
      <c r="D235">
        <v>125</v>
      </c>
      <c r="E235">
        <v>161</v>
      </c>
    </row>
    <row r="236" spans="1:5" x14ac:dyDescent="0.35">
      <c r="A236">
        <v>2014</v>
      </c>
      <c r="B236" t="s">
        <v>33</v>
      </c>
      <c r="C236" t="s">
        <v>77</v>
      </c>
      <c r="D236" t="s">
        <v>205</v>
      </c>
      <c r="E236" t="s">
        <v>205</v>
      </c>
    </row>
    <row r="237" spans="1:5" x14ac:dyDescent="0.35">
      <c r="A237">
        <v>2014</v>
      </c>
      <c r="B237" t="s">
        <v>35</v>
      </c>
      <c r="C237" t="s">
        <v>78</v>
      </c>
      <c r="D237" t="s">
        <v>205</v>
      </c>
      <c r="E237" t="s">
        <v>205</v>
      </c>
    </row>
    <row r="238" spans="1:5" x14ac:dyDescent="0.35">
      <c r="A238">
        <v>2014</v>
      </c>
      <c r="B238" t="s">
        <v>36</v>
      </c>
      <c r="C238" t="s">
        <v>79</v>
      </c>
      <c r="D238">
        <v>16</v>
      </c>
      <c r="E238">
        <v>19</v>
      </c>
    </row>
    <row r="239" spans="1:5" x14ac:dyDescent="0.35">
      <c r="A239">
        <v>2014</v>
      </c>
      <c r="B239" t="s">
        <v>35</v>
      </c>
      <c r="C239" t="s">
        <v>81</v>
      </c>
      <c r="D239">
        <v>5</v>
      </c>
      <c r="E239">
        <v>32</v>
      </c>
    </row>
    <row r="240" spans="1:5" x14ac:dyDescent="0.35">
      <c r="A240">
        <v>2014</v>
      </c>
      <c r="B240" t="s">
        <v>35</v>
      </c>
      <c r="C240" t="s">
        <v>214</v>
      </c>
      <c r="D240">
        <v>7</v>
      </c>
      <c r="E240">
        <v>3</v>
      </c>
    </row>
    <row r="241" spans="1:5" x14ac:dyDescent="0.35">
      <c r="A241">
        <v>2014</v>
      </c>
      <c r="B241" t="s">
        <v>36</v>
      </c>
      <c r="C241" t="s">
        <v>84</v>
      </c>
      <c r="D241">
        <v>11</v>
      </c>
      <c r="E241">
        <v>4</v>
      </c>
    </row>
    <row r="242" spans="1:5" x14ac:dyDescent="0.35">
      <c r="A242">
        <v>2014</v>
      </c>
      <c r="B242" t="s">
        <v>36</v>
      </c>
      <c r="C242" t="s">
        <v>85</v>
      </c>
      <c r="D242">
        <v>1642</v>
      </c>
      <c r="E242">
        <v>438</v>
      </c>
    </row>
    <row r="243" spans="1:5" x14ac:dyDescent="0.35">
      <c r="A243">
        <v>2014</v>
      </c>
      <c r="B243" t="s">
        <v>38</v>
      </c>
      <c r="C243" t="s">
        <v>86</v>
      </c>
      <c r="D243">
        <v>571</v>
      </c>
      <c r="E243">
        <v>1015</v>
      </c>
    </row>
    <row r="244" spans="1:5" x14ac:dyDescent="0.35">
      <c r="A244">
        <v>2014</v>
      </c>
      <c r="B244" t="s">
        <v>33</v>
      </c>
      <c r="C244" t="s">
        <v>87</v>
      </c>
      <c r="D244">
        <v>21</v>
      </c>
      <c r="E244">
        <v>48</v>
      </c>
    </row>
    <row r="245" spans="1:5" x14ac:dyDescent="0.35">
      <c r="A245">
        <v>2014</v>
      </c>
      <c r="B245" t="s">
        <v>36</v>
      </c>
      <c r="C245" t="s">
        <v>16</v>
      </c>
      <c r="D245">
        <v>8952</v>
      </c>
      <c r="E245">
        <v>17726</v>
      </c>
    </row>
    <row r="246" spans="1:5" x14ac:dyDescent="0.35">
      <c r="A246">
        <v>2014</v>
      </c>
      <c r="B246" t="s">
        <v>33</v>
      </c>
      <c r="C246" t="s">
        <v>88</v>
      </c>
      <c r="D246" t="s">
        <v>205</v>
      </c>
      <c r="E246" t="s">
        <v>205</v>
      </c>
    </row>
    <row r="247" spans="1:5" x14ac:dyDescent="0.35">
      <c r="A247">
        <v>2014</v>
      </c>
      <c r="B247" t="s">
        <v>33</v>
      </c>
      <c r="C247" t="s">
        <v>89</v>
      </c>
      <c r="D247">
        <v>0</v>
      </c>
      <c r="E247" t="s">
        <v>205</v>
      </c>
    </row>
    <row r="248" spans="1:5" x14ac:dyDescent="0.35">
      <c r="A248">
        <v>2014</v>
      </c>
      <c r="B248" t="s">
        <v>35</v>
      </c>
      <c r="C248" t="s">
        <v>90</v>
      </c>
      <c r="D248">
        <v>6</v>
      </c>
      <c r="E248">
        <v>5</v>
      </c>
    </row>
    <row r="249" spans="1:5" x14ac:dyDescent="0.35">
      <c r="A249">
        <v>2014</v>
      </c>
      <c r="B249" t="s">
        <v>33</v>
      </c>
      <c r="C249" t="s">
        <v>91</v>
      </c>
      <c r="D249">
        <v>20</v>
      </c>
      <c r="E249">
        <v>13</v>
      </c>
    </row>
    <row r="250" spans="1:5" x14ac:dyDescent="0.35">
      <c r="A250">
        <v>2014</v>
      </c>
      <c r="B250" t="s">
        <v>37</v>
      </c>
      <c r="C250" t="s">
        <v>92</v>
      </c>
      <c r="D250">
        <v>13</v>
      </c>
      <c r="E250">
        <v>6</v>
      </c>
    </row>
    <row r="251" spans="1:5" x14ac:dyDescent="0.35">
      <c r="A251">
        <v>2014</v>
      </c>
      <c r="B251" t="s">
        <v>35</v>
      </c>
      <c r="C251" t="s">
        <v>94</v>
      </c>
      <c r="D251">
        <v>25</v>
      </c>
      <c r="E251">
        <v>44</v>
      </c>
    </row>
    <row r="252" spans="1:5" x14ac:dyDescent="0.35">
      <c r="A252">
        <v>2014</v>
      </c>
      <c r="B252" t="s">
        <v>33</v>
      </c>
      <c r="C252" t="s">
        <v>95</v>
      </c>
      <c r="D252" t="s">
        <v>205</v>
      </c>
      <c r="E252" t="s">
        <v>205</v>
      </c>
    </row>
    <row r="253" spans="1:5" x14ac:dyDescent="0.35">
      <c r="A253">
        <v>2014</v>
      </c>
      <c r="B253" t="s">
        <v>33</v>
      </c>
      <c r="C253" t="s">
        <v>96</v>
      </c>
      <c r="D253">
        <v>3</v>
      </c>
      <c r="E253">
        <v>4</v>
      </c>
    </row>
    <row r="254" spans="1:5" x14ac:dyDescent="0.35">
      <c r="A254">
        <v>2014</v>
      </c>
      <c r="B254" t="s">
        <v>34</v>
      </c>
      <c r="C254" t="s">
        <v>8</v>
      </c>
      <c r="D254">
        <v>9</v>
      </c>
      <c r="E254">
        <v>10</v>
      </c>
    </row>
    <row r="255" spans="1:5" x14ac:dyDescent="0.35">
      <c r="A255">
        <v>2014</v>
      </c>
      <c r="B255" t="s">
        <v>35</v>
      </c>
      <c r="C255" t="s">
        <v>97</v>
      </c>
      <c r="D255">
        <v>49</v>
      </c>
      <c r="E255">
        <v>29</v>
      </c>
    </row>
    <row r="256" spans="1:5" x14ac:dyDescent="0.35">
      <c r="A256">
        <v>2014</v>
      </c>
      <c r="B256" t="s">
        <v>33</v>
      </c>
      <c r="C256" t="s">
        <v>98</v>
      </c>
      <c r="D256">
        <v>48</v>
      </c>
      <c r="E256">
        <v>66</v>
      </c>
    </row>
    <row r="257" spans="1:5" x14ac:dyDescent="0.35">
      <c r="A257">
        <v>2014</v>
      </c>
      <c r="B257" t="s">
        <v>35</v>
      </c>
      <c r="C257" t="s">
        <v>99</v>
      </c>
      <c r="D257">
        <v>13</v>
      </c>
      <c r="E257">
        <v>17</v>
      </c>
    </row>
    <row r="258" spans="1:5" x14ac:dyDescent="0.35">
      <c r="A258">
        <v>2014</v>
      </c>
      <c r="B258" t="s">
        <v>36</v>
      </c>
      <c r="C258" t="s">
        <v>100</v>
      </c>
      <c r="D258">
        <v>10</v>
      </c>
      <c r="E258">
        <v>4</v>
      </c>
    </row>
    <row r="259" spans="1:5" x14ac:dyDescent="0.35">
      <c r="A259">
        <v>2014</v>
      </c>
      <c r="B259" t="s">
        <v>36</v>
      </c>
      <c r="C259" t="s">
        <v>15</v>
      </c>
      <c r="D259">
        <v>13722</v>
      </c>
      <c r="E259">
        <v>40684</v>
      </c>
    </row>
    <row r="260" spans="1:5" x14ac:dyDescent="0.35">
      <c r="A260">
        <v>2014</v>
      </c>
      <c r="B260" t="s">
        <v>33</v>
      </c>
      <c r="C260" t="s">
        <v>101</v>
      </c>
      <c r="D260">
        <v>6</v>
      </c>
      <c r="E260">
        <v>9</v>
      </c>
    </row>
    <row r="261" spans="1:5" x14ac:dyDescent="0.35">
      <c r="A261">
        <v>2014</v>
      </c>
      <c r="B261" t="s">
        <v>38</v>
      </c>
      <c r="C261" t="s">
        <v>103</v>
      </c>
      <c r="D261">
        <v>119</v>
      </c>
      <c r="E261">
        <v>19</v>
      </c>
    </row>
    <row r="262" spans="1:5" x14ac:dyDescent="0.35">
      <c r="A262">
        <v>2014</v>
      </c>
      <c r="B262" t="s">
        <v>36</v>
      </c>
      <c r="C262" t="s">
        <v>104</v>
      </c>
      <c r="D262">
        <v>352</v>
      </c>
      <c r="E262">
        <v>47</v>
      </c>
    </row>
    <row r="263" spans="1:5" x14ac:dyDescent="0.35">
      <c r="A263">
        <v>2014</v>
      </c>
      <c r="B263" t="s">
        <v>36</v>
      </c>
      <c r="C263" t="s">
        <v>17</v>
      </c>
      <c r="D263">
        <v>14064</v>
      </c>
      <c r="E263">
        <v>26817</v>
      </c>
    </row>
    <row r="264" spans="1:5" x14ac:dyDescent="0.35">
      <c r="A264">
        <v>2014</v>
      </c>
      <c r="B264" t="s">
        <v>35</v>
      </c>
      <c r="C264" t="s">
        <v>105</v>
      </c>
      <c r="D264">
        <v>25</v>
      </c>
      <c r="E264">
        <v>35</v>
      </c>
    </row>
    <row r="265" spans="1:5" x14ac:dyDescent="0.35">
      <c r="A265">
        <v>2014</v>
      </c>
      <c r="B265" t="s">
        <v>34</v>
      </c>
      <c r="C265" t="s">
        <v>22</v>
      </c>
      <c r="D265">
        <v>107</v>
      </c>
      <c r="E265">
        <v>341</v>
      </c>
    </row>
    <row r="266" spans="1:5" x14ac:dyDescent="0.35">
      <c r="A266">
        <v>2014</v>
      </c>
      <c r="B266" t="s">
        <v>34</v>
      </c>
      <c r="C266" t="s">
        <v>107</v>
      </c>
      <c r="D266">
        <v>11</v>
      </c>
      <c r="E266">
        <v>56</v>
      </c>
    </row>
    <row r="267" spans="1:5" x14ac:dyDescent="0.35">
      <c r="A267">
        <v>2014</v>
      </c>
      <c r="B267" t="s">
        <v>34</v>
      </c>
      <c r="C267" t="s">
        <v>108</v>
      </c>
      <c r="D267">
        <v>7</v>
      </c>
      <c r="E267">
        <v>13</v>
      </c>
    </row>
    <row r="268" spans="1:5" x14ac:dyDescent="0.35">
      <c r="A268">
        <v>2014</v>
      </c>
      <c r="B268" t="s">
        <v>34</v>
      </c>
      <c r="C268" t="s">
        <v>109</v>
      </c>
      <c r="D268">
        <v>16</v>
      </c>
      <c r="E268">
        <v>12</v>
      </c>
    </row>
    <row r="269" spans="1:5" x14ac:dyDescent="0.35">
      <c r="A269">
        <v>2014</v>
      </c>
      <c r="B269" t="s">
        <v>35</v>
      </c>
      <c r="C269" t="s">
        <v>110</v>
      </c>
      <c r="D269">
        <v>14</v>
      </c>
      <c r="E269">
        <v>17</v>
      </c>
    </row>
    <row r="270" spans="1:5" x14ac:dyDescent="0.35">
      <c r="A270">
        <v>2014</v>
      </c>
      <c r="B270" t="s">
        <v>34</v>
      </c>
      <c r="C270" t="s">
        <v>111</v>
      </c>
      <c r="D270">
        <v>31</v>
      </c>
      <c r="E270">
        <v>78</v>
      </c>
    </row>
    <row r="271" spans="1:5" x14ac:dyDescent="0.35">
      <c r="A271">
        <v>2014</v>
      </c>
      <c r="B271" t="s">
        <v>35</v>
      </c>
      <c r="C271" t="s">
        <v>112</v>
      </c>
      <c r="D271">
        <v>43</v>
      </c>
      <c r="E271">
        <v>48</v>
      </c>
    </row>
    <row r="272" spans="1:5" x14ac:dyDescent="0.35">
      <c r="A272">
        <v>2014</v>
      </c>
      <c r="B272" t="s">
        <v>36</v>
      </c>
      <c r="C272" t="s">
        <v>113</v>
      </c>
      <c r="D272">
        <v>834</v>
      </c>
      <c r="E272">
        <v>210</v>
      </c>
    </row>
    <row r="273" spans="1:5" x14ac:dyDescent="0.35">
      <c r="A273">
        <v>2014</v>
      </c>
      <c r="B273" t="s">
        <v>34</v>
      </c>
      <c r="C273" t="s">
        <v>114</v>
      </c>
      <c r="D273">
        <v>11</v>
      </c>
      <c r="E273">
        <v>27</v>
      </c>
    </row>
    <row r="274" spans="1:5" x14ac:dyDescent="0.35">
      <c r="A274">
        <v>2014</v>
      </c>
      <c r="B274" t="s">
        <v>34</v>
      </c>
      <c r="C274" t="s">
        <v>115</v>
      </c>
      <c r="D274">
        <v>33</v>
      </c>
      <c r="E274">
        <v>41</v>
      </c>
    </row>
    <row r="275" spans="1:5" x14ac:dyDescent="0.35">
      <c r="A275">
        <v>2014</v>
      </c>
      <c r="B275" t="s">
        <v>34</v>
      </c>
      <c r="C275" t="s">
        <v>116</v>
      </c>
      <c r="D275">
        <v>5</v>
      </c>
      <c r="E275">
        <v>13</v>
      </c>
    </row>
    <row r="276" spans="1:5" x14ac:dyDescent="0.35">
      <c r="A276">
        <v>2014</v>
      </c>
      <c r="B276" t="s">
        <v>33</v>
      </c>
      <c r="C276" t="s">
        <v>117</v>
      </c>
      <c r="D276">
        <v>61</v>
      </c>
      <c r="E276">
        <v>28</v>
      </c>
    </row>
    <row r="277" spans="1:5" x14ac:dyDescent="0.35">
      <c r="A277">
        <v>2014</v>
      </c>
      <c r="B277" t="s">
        <v>34</v>
      </c>
      <c r="C277" t="s">
        <v>118</v>
      </c>
      <c r="D277">
        <v>129</v>
      </c>
      <c r="E277">
        <v>99</v>
      </c>
    </row>
    <row r="278" spans="1:5" x14ac:dyDescent="0.35">
      <c r="A278">
        <v>2014</v>
      </c>
      <c r="B278" t="s">
        <v>35</v>
      </c>
      <c r="C278" t="s">
        <v>119</v>
      </c>
      <c r="D278">
        <v>7</v>
      </c>
      <c r="E278">
        <v>3</v>
      </c>
    </row>
    <row r="279" spans="1:5" x14ac:dyDescent="0.35">
      <c r="A279">
        <v>2014</v>
      </c>
      <c r="B279" t="s">
        <v>34</v>
      </c>
      <c r="C279" t="s">
        <v>120</v>
      </c>
      <c r="D279">
        <v>0</v>
      </c>
      <c r="E279">
        <v>4</v>
      </c>
    </row>
    <row r="280" spans="1:5" x14ac:dyDescent="0.35">
      <c r="A280">
        <v>2014</v>
      </c>
      <c r="B280" t="s">
        <v>34</v>
      </c>
      <c r="C280" t="s">
        <v>121</v>
      </c>
      <c r="D280" t="s">
        <v>205</v>
      </c>
      <c r="E280" t="s">
        <v>205</v>
      </c>
    </row>
    <row r="281" spans="1:5" x14ac:dyDescent="0.35">
      <c r="A281">
        <v>2014</v>
      </c>
      <c r="B281" t="s">
        <v>34</v>
      </c>
      <c r="C281" t="s">
        <v>122</v>
      </c>
      <c r="D281">
        <v>0</v>
      </c>
      <c r="E281">
        <v>3</v>
      </c>
    </row>
    <row r="282" spans="1:5" x14ac:dyDescent="0.35">
      <c r="A282">
        <v>2014</v>
      </c>
      <c r="B282" t="s">
        <v>35</v>
      </c>
      <c r="C282" t="s">
        <v>123</v>
      </c>
      <c r="D282">
        <v>21</v>
      </c>
      <c r="E282">
        <v>9</v>
      </c>
    </row>
    <row r="283" spans="1:5" x14ac:dyDescent="0.35">
      <c r="A283">
        <v>2014</v>
      </c>
      <c r="B283" t="s">
        <v>34</v>
      </c>
      <c r="C283" t="s">
        <v>124</v>
      </c>
      <c r="D283">
        <v>30</v>
      </c>
      <c r="E283">
        <v>27</v>
      </c>
    </row>
    <row r="284" spans="1:5" x14ac:dyDescent="0.35">
      <c r="A284">
        <v>2014</v>
      </c>
      <c r="B284" t="s">
        <v>33</v>
      </c>
      <c r="C284" t="s">
        <v>125</v>
      </c>
      <c r="D284">
        <v>13</v>
      </c>
      <c r="E284">
        <v>6</v>
      </c>
    </row>
    <row r="285" spans="1:5" x14ac:dyDescent="0.35">
      <c r="A285">
        <v>2014</v>
      </c>
      <c r="B285" t="s">
        <v>35</v>
      </c>
      <c r="C285" t="s">
        <v>127</v>
      </c>
      <c r="D285">
        <v>17</v>
      </c>
      <c r="E285">
        <v>12</v>
      </c>
    </row>
    <row r="286" spans="1:5" x14ac:dyDescent="0.35">
      <c r="A286">
        <v>2014</v>
      </c>
      <c r="B286" t="s">
        <v>34</v>
      </c>
      <c r="C286" t="s">
        <v>131</v>
      </c>
      <c r="D286">
        <v>12</v>
      </c>
      <c r="E286">
        <v>11</v>
      </c>
    </row>
    <row r="287" spans="1:5" x14ac:dyDescent="0.35">
      <c r="A287">
        <v>2014</v>
      </c>
      <c r="B287" t="s">
        <v>33</v>
      </c>
      <c r="C287" t="s">
        <v>132</v>
      </c>
      <c r="D287">
        <v>9</v>
      </c>
      <c r="E287">
        <v>12</v>
      </c>
    </row>
    <row r="288" spans="1:5" x14ac:dyDescent="0.35">
      <c r="A288">
        <v>2014</v>
      </c>
      <c r="B288" t="s">
        <v>37</v>
      </c>
      <c r="C288" t="s">
        <v>134</v>
      </c>
      <c r="D288">
        <v>32</v>
      </c>
    </row>
    <row r="289" spans="1:5" x14ac:dyDescent="0.35">
      <c r="A289">
        <v>2014</v>
      </c>
      <c r="B289" t="s">
        <v>33</v>
      </c>
      <c r="C289" t="s">
        <v>135</v>
      </c>
      <c r="D289" t="s">
        <v>205</v>
      </c>
      <c r="E289" t="s">
        <v>205</v>
      </c>
    </row>
    <row r="290" spans="1:5" x14ac:dyDescent="0.35">
      <c r="A290">
        <v>2014</v>
      </c>
      <c r="B290" t="s">
        <v>36</v>
      </c>
      <c r="C290" t="s">
        <v>14</v>
      </c>
      <c r="D290">
        <v>126138</v>
      </c>
      <c r="E290">
        <v>138901</v>
      </c>
    </row>
    <row r="291" spans="1:5" x14ac:dyDescent="0.35">
      <c r="A291">
        <v>2014</v>
      </c>
      <c r="B291" t="s">
        <v>37</v>
      </c>
      <c r="C291" t="s">
        <v>137</v>
      </c>
      <c r="D291" t="s">
        <v>205</v>
      </c>
      <c r="E291" t="s">
        <v>205</v>
      </c>
    </row>
    <row r="292" spans="1:5" x14ac:dyDescent="0.35">
      <c r="A292">
        <v>2014</v>
      </c>
      <c r="B292" t="s">
        <v>35</v>
      </c>
      <c r="C292" t="s">
        <v>138</v>
      </c>
      <c r="D292">
        <v>12</v>
      </c>
      <c r="E292">
        <v>24</v>
      </c>
    </row>
    <row r="293" spans="1:5" x14ac:dyDescent="0.35">
      <c r="A293">
        <v>2014</v>
      </c>
      <c r="B293" t="s">
        <v>34</v>
      </c>
      <c r="C293" t="s">
        <v>139</v>
      </c>
      <c r="D293">
        <v>9</v>
      </c>
      <c r="E293">
        <v>14</v>
      </c>
    </row>
    <row r="294" spans="1:5" x14ac:dyDescent="0.35">
      <c r="A294">
        <v>2014</v>
      </c>
      <c r="B294" t="s">
        <v>35</v>
      </c>
      <c r="C294" t="s">
        <v>140</v>
      </c>
      <c r="D294">
        <v>4</v>
      </c>
      <c r="E294">
        <v>5</v>
      </c>
    </row>
    <row r="295" spans="1:5" x14ac:dyDescent="0.35">
      <c r="A295">
        <v>2014</v>
      </c>
      <c r="B295" t="s">
        <v>33</v>
      </c>
      <c r="C295" t="s">
        <v>141</v>
      </c>
      <c r="D295">
        <v>21</v>
      </c>
      <c r="E295">
        <v>22</v>
      </c>
    </row>
    <row r="296" spans="1:5" x14ac:dyDescent="0.35">
      <c r="A296">
        <v>2014</v>
      </c>
      <c r="B296" t="s">
        <v>34</v>
      </c>
      <c r="C296" t="s">
        <v>144</v>
      </c>
      <c r="D296">
        <v>17</v>
      </c>
      <c r="E296">
        <v>15</v>
      </c>
    </row>
    <row r="297" spans="1:5" x14ac:dyDescent="0.35">
      <c r="A297">
        <v>2014</v>
      </c>
      <c r="B297" t="s">
        <v>35</v>
      </c>
      <c r="C297" t="s">
        <v>145</v>
      </c>
      <c r="D297">
        <v>22</v>
      </c>
      <c r="E297">
        <v>16</v>
      </c>
    </row>
    <row r="298" spans="1:5" x14ac:dyDescent="0.35">
      <c r="A298">
        <v>2014</v>
      </c>
      <c r="B298" t="s">
        <v>37</v>
      </c>
      <c r="C298" t="s">
        <v>146</v>
      </c>
      <c r="D298">
        <v>11</v>
      </c>
      <c r="E298">
        <v>7</v>
      </c>
    </row>
    <row r="299" spans="1:5" x14ac:dyDescent="0.35">
      <c r="A299">
        <v>2014</v>
      </c>
      <c r="B299" t="s">
        <v>36</v>
      </c>
      <c r="C299" t="s">
        <v>147</v>
      </c>
      <c r="D299">
        <v>643</v>
      </c>
      <c r="E299">
        <v>675</v>
      </c>
    </row>
    <row r="300" spans="1:5" x14ac:dyDescent="0.35">
      <c r="A300">
        <v>2014</v>
      </c>
      <c r="B300" t="s">
        <v>33</v>
      </c>
      <c r="C300" t="s">
        <v>148</v>
      </c>
      <c r="D300" t="s">
        <v>205</v>
      </c>
      <c r="E300" t="s">
        <v>205</v>
      </c>
    </row>
    <row r="301" spans="1:5" x14ac:dyDescent="0.35">
      <c r="A301">
        <v>2014</v>
      </c>
      <c r="B301" t="s">
        <v>33</v>
      </c>
      <c r="C301" t="s">
        <v>149</v>
      </c>
      <c r="D301">
        <v>126</v>
      </c>
      <c r="E301">
        <v>339</v>
      </c>
    </row>
    <row r="302" spans="1:5" x14ac:dyDescent="0.35">
      <c r="A302">
        <v>2014</v>
      </c>
      <c r="B302" t="s">
        <v>35</v>
      </c>
      <c r="C302" t="s">
        <v>322</v>
      </c>
      <c r="D302" t="s">
        <v>205</v>
      </c>
      <c r="E302" t="s">
        <v>205</v>
      </c>
    </row>
    <row r="303" spans="1:5" x14ac:dyDescent="0.35">
      <c r="A303">
        <v>2014</v>
      </c>
      <c r="B303" t="s">
        <v>35</v>
      </c>
      <c r="C303" t="s">
        <v>150</v>
      </c>
      <c r="D303" t="s">
        <v>205</v>
      </c>
      <c r="E303" t="s">
        <v>205</v>
      </c>
    </row>
    <row r="304" spans="1:5" x14ac:dyDescent="0.35">
      <c r="A304">
        <v>2014</v>
      </c>
      <c r="B304" t="s">
        <v>34</v>
      </c>
      <c r="C304" t="s">
        <v>152</v>
      </c>
      <c r="D304">
        <v>48</v>
      </c>
      <c r="E304">
        <v>54</v>
      </c>
    </row>
    <row r="305" spans="1:5" x14ac:dyDescent="0.35">
      <c r="A305">
        <v>2014</v>
      </c>
      <c r="B305" t="s">
        <v>37</v>
      </c>
      <c r="C305" t="s">
        <v>153</v>
      </c>
      <c r="D305">
        <v>15</v>
      </c>
    </row>
    <row r="306" spans="1:5" x14ac:dyDescent="0.35">
      <c r="A306">
        <v>2014</v>
      </c>
      <c r="B306" t="s">
        <v>36</v>
      </c>
      <c r="C306" t="s">
        <v>154</v>
      </c>
      <c r="D306">
        <v>56</v>
      </c>
      <c r="E306">
        <v>36</v>
      </c>
    </row>
    <row r="307" spans="1:5" x14ac:dyDescent="0.35">
      <c r="A307">
        <v>2014</v>
      </c>
      <c r="B307" t="s">
        <v>38</v>
      </c>
      <c r="C307" t="s">
        <v>155</v>
      </c>
      <c r="D307">
        <v>7</v>
      </c>
      <c r="E307">
        <v>11</v>
      </c>
    </row>
    <row r="308" spans="1:5" x14ac:dyDescent="0.35">
      <c r="A308">
        <v>2014</v>
      </c>
      <c r="B308" t="s">
        <v>38</v>
      </c>
      <c r="C308" t="s">
        <v>156</v>
      </c>
      <c r="D308">
        <v>325</v>
      </c>
      <c r="E308">
        <v>367</v>
      </c>
    </row>
    <row r="309" spans="1:5" x14ac:dyDescent="0.35">
      <c r="A309">
        <v>2014</v>
      </c>
      <c r="B309" t="s">
        <v>34</v>
      </c>
      <c r="C309" t="s">
        <v>18</v>
      </c>
      <c r="D309">
        <v>203</v>
      </c>
      <c r="E309">
        <v>119</v>
      </c>
    </row>
    <row r="310" spans="1:5" x14ac:dyDescent="0.35">
      <c r="A310">
        <v>2014</v>
      </c>
      <c r="B310" t="s">
        <v>35</v>
      </c>
      <c r="C310" t="s">
        <v>157</v>
      </c>
      <c r="D310">
        <v>96</v>
      </c>
      <c r="E310">
        <v>103</v>
      </c>
    </row>
    <row r="311" spans="1:5" x14ac:dyDescent="0.35">
      <c r="A311">
        <v>2014</v>
      </c>
      <c r="B311" t="s">
        <v>35</v>
      </c>
      <c r="C311" t="s">
        <v>158</v>
      </c>
      <c r="D311">
        <v>47</v>
      </c>
      <c r="E311">
        <v>15</v>
      </c>
    </row>
    <row r="312" spans="1:5" x14ac:dyDescent="0.35">
      <c r="A312">
        <v>2014</v>
      </c>
      <c r="B312" t="s">
        <v>35</v>
      </c>
      <c r="C312" t="s">
        <v>160</v>
      </c>
      <c r="D312">
        <v>72</v>
      </c>
      <c r="E312">
        <v>81</v>
      </c>
    </row>
    <row r="313" spans="1:5" x14ac:dyDescent="0.35">
      <c r="A313">
        <v>2014</v>
      </c>
      <c r="B313" t="s">
        <v>35</v>
      </c>
      <c r="C313" t="s">
        <v>161</v>
      </c>
      <c r="D313">
        <v>42</v>
      </c>
      <c r="E313">
        <v>63</v>
      </c>
    </row>
    <row r="314" spans="1:5" x14ac:dyDescent="0.35">
      <c r="A314">
        <v>2014</v>
      </c>
      <c r="B314" t="s">
        <v>33</v>
      </c>
      <c r="C314" t="s">
        <v>162</v>
      </c>
      <c r="D314" t="s">
        <v>205</v>
      </c>
      <c r="E314" t="s">
        <v>205</v>
      </c>
    </row>
    <row r="315" spans="1:5" x14ac:dyDescent="0.35">
      <c r="A315">
        <v>2014</v>
      </c>
      <c r="B315" t="s">
        <v>36</v>
      </c>
      <c r="C315" t="s">
        <v>163</v>
      </c>
      <c r="D315" t="s">
        <v>205</v>
      </c>
      <c r="E315" t="s">
        <v>205</v>
      </c>
    </row>
    <row r="316" spans="1:5" x14ac:dyDescent="0.35">
      <c r="A316">
        <v>2014</v>
      </c>
      <c r="B316" t="s">
        <v>36</v>
      </c>
      <c r="C316" t="s">
        <v>164</v>
      </c>
      <c r="D316">
        <v>5</v>
      </c>
      <c r="E316">
        <v>10</v>
      </c>
    </row>
    <row r="317" spans="1:5" x14ac:dyDescent="0.35">
      <c r="A317">
        <v>2014</v>
      </c>
      <c r="B317" t="s">
        <v>36</v>
      </c>
      <c r="C317" t="s">
        <v>165</v>
      </c>
      <c r="D317">
        <v>17</v>
      </c>
      <c r="E317">
        <v>4</v>
      </c>
    </row>
    <row r="318" spans="1:5" x14ac:dyDescent="0.35">
      <c r="A318">
        <v>2014</v>
      </c>
      <c r="B318" t="s">
        <v>37</v>
      </c>
      <c r="C318" t="s">
        <v>166</v>
      </c>
      <c r="D318">
        <v>6</v>
      </c>
      <c r="E318">
        <v>3</v>
      </c>
    </row>
    <row r="319" spans="1:5" x14ac:dyDescent="0.35">
      <c r="A319">
        <v>2014</v>
      </c>
      <c r="B319" t="s">
        <v>34</v>
      </c>
      <c r="C319" t="s">
        <v>167</v>
      </c>
      <c r="D319">
        <v>21</v>
      </c>
      <c r="E319">
        <v>50</v>
      </c>
    </row>
    <row r="320" spans="1:5" x14ac:dyDescent="0.35">
      <c r="A320">
        <v>2014</v>
      </c>
      <c r="B320" t="s">
        <v>33</v>
      </c>
      <c r="C320" t="s">
        <v>168</v>
      </c>
      <c r="D320">
        <v>9</v>
      </c>
      <c r="E320">
        <v>16</v>
      </c>
    </row>
    <row r="321" spans="1:5" x14ac:dyDescent="0.35">
      <c r="A321">
        <v>2014</v>
      </c>
      <c r="B321" t="s">
        <v>35</v>
      </c>
      <c r="C321" t="s">
        <v>169</v>
      </c>
      <c r="D321" t="s">
        <v>205</v>
      </c>
      <c r="E321" t="s">
        <v>205</v>
      </c>
    </row>
    <row r="322" spans="1:5" x14ac:dyDescent="0.35">
      <c r="A322">
        <v>2014</v>
      </c>
      <c r="B322" t="s">
        <v>35</v>
      </c>
      <c r="C322" t="s">
        <v>215</v>
      </c>
      <c r="D322" t="s">
        <v>205</v>
      </c>
      <c r="E322" t="s">
        <v>205</v>
      </c>
    </row>
    <row r="323" spans="1:5" x14ac:dyDescent="0.35">
      <c r="A323">
        <v>2014</v>
      </c>
      <c r="B323" t="s">
        <v>33</v>
      </c>
      <c r="C323" t="s">
        <v>170</v>
      </c>
      <c r="D323">
        <v>10</v>
      </c>
      <c r="E323">
        <v>4</v>
      </c>
    </row>
    <row r="324" spans="1:5" x14ac:dyDescent="0.35">
      <c r="A324">
        <v>2014</v>
      </c>
      <c r="B324" t="s">
        <v>34</v>
      </c>
      <c r="C324" t="s">
        <v>171</v>
      </c>
      <c r="D324">
        <v>4</v>
      </c>
      <c r="E324">
        <v>7</v>
      </c>
    </row>
    <row r="325" spans="1:5" x14ac:dyDescent="0.35">
      <c r="A325">
        <v>2014</v>
      </c>
      <c r="B325" t="s">
        <v>35</v>
      </c>
      <c r="C325" t="s">
        <v>172</v>
      </c>
      <c r="D325">
        <v>5</v>
      </c>
      <c r="E325">
        <v>14</v>
      </c>
    </row>
    <row r="326" spans="1:5" x14ac:dyDescent="0.35">
      <c r="A326">
        <v>2014</v>
      </c>
      <c r="B326" t="s">
        <v>33</v>
      </c>
      <c r="C326" t="s">
        <v>174</v>
      </c>
      <c r="D326">
        <v>24</v>
      </c>
      <c r="E326">
        <v>33</v>
      </c>
    </row>
    <row r="327" spans="1:5" x14ac:dyDescent="0.35">
      <c r="A327">
        <v>2014</v>
      </c>
      <c r="B327" t="s">
        <v>33</v>
      </c>
      <c r="C327" t="s">
        <v>175</v>
      </c>
      <c r="D327">
        <v>25</v>
      </c>
      <c r="E327">
        <v>17</v>
      </c>
    </row>
    <row r="328" spans="1:5" x14ac:dyDescent="0.35">
      <c r="A328">
        <v>2014</v>
      </c>
      <c r="B328" t="s">
        <v>33</v>
      </c>
      <c r="C328" t="s">
        <v>176</v>
      </c>
      <c r="D328">
        <v>9</v>
      </c>
    </row>
    <row r="329" spans="1:5" x14ac:dyDescent="0.35">
      <c r="A329">
        <v>2014</v>
      </c>
      <c r="B329" t="s">
        <v>35</v>
      </c>
      <c r="C329" t="s">
        <v>177</v>
      </c>
      <c r="D329">
        <v>35</v>
      </c>
      <c r="E329">
        <v>74</v>
      </c>
    </row>
    <row r="330" spans="1:5" x14ac:dyDescent="0.35">
      <c r="A330">
        <v>2014</v>
      </c>
      <c r="B330" t="s">
        <v>34</v>
      </c>
      <c r="C330" t="s">
        <v>178</v>
      </c>
      <c r="D330">
        <v>7</v>
      </c>
      <c r="E330">
        <v>26</v>
      </c>
    </row>
    <row r="331" spans="1:5" x14ac:dyDescent="0.35">
      <c r="A331">
        <v>2014</v>
      </c>
      <c r="B331" t="s">
        <v>33</v>
      </c>
      <c r="C331" t="s">
        <v>179</v>
      </c>
      <c r="D331" t="s">
        <v>205</v>
      </c>
      <c r="E331" t="s">
        <v>205</v>
      </c>
    </row>
    <row r="332" spans="1:5" x14ac:dyDescent="0.35">
      <c r="A332">
        <v>2014</v>
      </c>
      <c r="B332" t="s">
        <v>38</v>
      </c>
      <c r="C332" t="s">
        <v>180</v>
      </c>
      <c r="D332" t="s">
        <v>205</v>
      </c>
      <c r="E332" t="s">
        <v>205</v>
      </c>
    </row>
    <row r="333" spans="1:5" x14ac:dyDescent="0.35">
      <c r="A333">
        <v>2014</v>
      </c>
      <c r="B333" t="s">
        <v>35</v>
      </c>
      <c r="C333" t="s">
        <v>182</v>
      </c>
      <c r="D333">
        <v>10</v>
      </c>
      <c r="E333">
        <v>7</v>
      </c>
    </row>
    <row r="334" spans="1:5" x14ac:dyDescent="0.35">
      <c r="A334">
        <v>2014</v>
      </c>
      <c r="B334" t="s">
        <v>34</v>
      </c>
      <c r="C334" t="s">
        <v>184</v>
      </c>
      <c r="D334">
        <v>0</v>
      </c>
      <c r="E334">
        <v>10</v>
      </c>
    </row>
    <row r="335" spans="1:5" x14ac:dyDescent="0.35">
      <c r="A335">
        <v>2014</v>
      </c>
      <c r="B335" t="s">
        <v>34</v>
      </c>
      <c r="C335" t="s">
        <v>185</v>
      </c>
      <c r="D335">
        <v>9</v>
      </c>
      <c r="E335">
        <v>37</v>
      </c>
    </row>
    <row r="336" spans="1:5" x14ac:dyDescent="0.35">
      <c r="A336">
        <v>2014</v>
      </c>
      <c r="B336" t="s">
        <v>34</v>
      </c>
      <c r="C336" t="s">
        <v>186</v>
      </c>
      <c r="D336" t="s">
        <v>205</v>
      </c>
      <c r="E336" t="s">
        <v>205</v>
      </c>
    </row>
    <row r="337" spans="1:5" x14ac:dyDescent="0.35">
      <c r="A337">
        <v>2014</v>
      </c>
      <c r="B337" t="s">
        <v>33</v>
      </c>
      <c r="C337" t="s">
        <v>187</v>
      </c>
      <c r="D337">
        <v>13</v>
      </c>
      <c r="E337">
        <v>14</v>
      </c>
    </row>
    <row r="338" spans="1:5" x14ac:dyDescent="0.35">
      <c r="A338">
        <v>2014</v>
      </c>
      <c r="B338" t="s">
        <v>34</v>
      </c>
      <c r="C338" t="s">
        <v>188</v>
      </c>
      <c r="D338">
        <v>18</v>
      </c>
      <c r="E338">
        <v>41</v>
      </c>
    </row>
    <row r="339" spans="1:5" x14ac:dyDescent="0.35">
      <c r="A339">
        <v>2014</v>
      </c>
      <c r="B339" t="s">
        <v>33</v>
      </c>
      <c r="C339" t="s">
        <v>189</v>
      </c>
      <c r="D339" t="s">
        <v>205</v>
      </c>
      <c r="E339" t="s">
        <v>205</v>
      </c>
    </row>
    <row r="340" spans="1:5" x14ac:dyDescent="0.35">
      <c r="A340">
        <v>2014</v>
      </c>
      <c r="B340" t="s">
        <v>37</v>
      </c>
      <c r="C340" t="s">
        <v>190</v>
      </c>
      <c r="D340" t="s">
        <v>205</v>
      </c>
      <c r="E340" t="s">
        <v>205</v>
      </c>
    </row>
    <row r="341" spans="1:5" x14ac:dyDescent="0.35">
      <c r="A341">
        <v>2014</v>
      </c>
      <c r="B341" t="s">
        <v>36</v>
      </c>
      <c r="C341" t="s">
        <v>191</v>
      </c>
      <c r="D341">
        <v>136</v>
      </c>
      <c r="E341">
        <v>27</v>
      </c>
    </row>
    <row r="342" spans="1:5" x14ac:dyDescent="0.35">
      <c r="A342">
        <v>2014</v>
      </c>
      <c r="B342" t="s">
        <v>33</v>
      </c>
      <c r="C342" t="s">
        <v>192</v>
      </c>
      <c r="D342">
        <v>6</v>
      </c>
      <c r="E342">
        <v>4</v>
      </c>
    </row>
    <row r="343" spans="1:5" x14ac:dyDescent="0.35">
      <c r="A343">
        <v>2014</v>
      </c>
      <c r="B343" t="s">
        <v>34</v>
      </c>
      <c r="C343" t="s">
        <v>193</v>
      </c>
      <c r="D343">
        <v>19</v>
      </c>
      <c r="E343">
        <v>38</v>
      </c>
    </row>
    <row r="344" spans="1:5" x14ac:dyDescent="0.35">
      <c r="A344">
        <v>2014</v>
      </c>
      <c r="B344" t="s">
        <v>34</v>
      </c>
      <c r="C344" t="s">
        <v>194</v>
      </c>
      <c r="D344">
        <v>0</v>
      </c>
      <c r="E344" t="s">
        <v>205</v>
      </c>
    </row>
    <row r="345" spans="1:5" x14ac:dyDescent="0.35">
      <c r="A345">
        <v>2014</v>
      </c>
      <c r="B345" t="s">
        <v>33</v>
      </c>
      <c r="C345" t="s">
        <v>195</v>
      </c>
      <c r="D345">
        <v>13</v>
      </c>
      <c r="E345">
        <v>12</v>
      </c>
    </row>
    <row r="346" spans="1:5" x14ac:dyDescent="0.35">
      <c r="A346">
        <v>2014</v>
      </c>
      <c r="B346" t="s">
        <v>35</v>
      </c>
      <c r="C346" t="s">
        <v>196</v>
      </c>
      <c r="D346">
        <v>49</v>
      </c>
      <c r="E346">
        <v>44</v>
      </c>
    </row>
    <row r="347" spans="1:5" x14ac:dyDescent="0.35">
      <c r="A347">
        <v>2014</v>
      </c>
      <c r="B347" t="s">
        <v>35</v>
      </c>
      <c r="C347" t="s">
        <v>198</v>
      </c>
      <c r="D347">
        <v>150</v>
      </c>
      <c r="E347">
        <v>80</v>
      </c>
    </row>
    <row r="348" spans="1:5" x14ac:dyDescent="0.35">
      <c r="A348">
        <v>2014</v>
      </c>
      <c r="B348" t="s">
        <v>39</v>
      </c>
      <c r="C348" t="s">
        <v>39</v>
      </c>
      <c r="D348">
        <v>9</v>
      </c>
      <c r="E348">
        <v>15</v>
      </c>
    </row>
    <row r="349" spans="1:5" x14ac:dyDescent="0.35">
      <c r="A349">
        <v>2014</v>
      </c>
      <c r="B349" t="s">
        <v>38</v>
      </c>
      <c r="C349" t="s">
        <v>199</v>
      </c>
      <c r="D349">
        <v>31</v>
      </c>
      <c r="E349">
        <v>22</v>
      </c>
    </row>
    <row r="350" spans="1:5" x14ac:dyDescent="0.35">
      <c r="A350">
        <v>2014</v>
      </c>
      <c r="B350" t="s">
        <v>34</v>
      </c>
      <c r="C350" t="s">
        <v>200</v>
      </c>
      <c r="D350">
        <v>9</v>
      </c>
      <c r="E350">
        <v>26</v>
      </c>
    </row>
    <row r="351" spans="1:5" x14ac:dyDescent="0.35">
      <c r="A351">
        <v>2014</v>
      </c>
      <c r="B351" t="s">
        <v>38</v>
      </c>
      <c r="C351" t="s">
        <v>19</v>
      </c>
      <c r="D351">
        <v>79</v>
      </c>
      <c r="E351">
        <v>98</v>
      </c>
    </row>
    <row r="352" spans="1:5" x14ac:dyDescent="0.35">
      <c r="A352">
        <v>2014</v>
      </c>
      <c r="B352" t="s">
        <v>34</v>
      </c>
      <c r="C352" t="s">
        <v>201</v>
      </c>
      <c r="D352">
        <v>32</v>
      </c>
      <c r="E352">
        <v>14</v>
      </c>
    </row>
    <row r="353" spans="1:5" x14ac:dyDescent="0.35">
      <c r="A353">
        <v>2014</v>
      </c>
      <c r="B353" t="s">
        <v>34</v>
      </c>
      <c r="C353" t="s">
        <v>202</v>
      </c>
      <c r="D353">
        <v>6</v>
      </c>
      <c r="E353">
        <v>9</v>
      </c>
    </row>
    <row r="354" spans="1:5" x14ac:dyDescent="0.35">
      <c r="A354">
        <v>2014</v>
      </c>
      <c r="B354" t="s">
        <v>33</v>
      </c>
      <c r="C354" t="s">
        <v>203</v>
      </c>
      <c r="D354">
        <v>7</v>
      </c>
      <c r="E354">
        <v>5</v>
      </c>
    </row>
    <row r="355" spans="1:5" x14ac:dyDescent="0.35">
      <c r="A355">
        <v>2014</v>
      </c>
      <c r="B355" t="s">
        <v>33</v>
      </c>
      <c r="C355" t="s">
        <v>204</v>
      </c>
      <c r="D355">
        <v>6</v>
      </c>
      <c r="E355">
        <v>3</v>
      </c>
    </row>
    <row r="356" spans="1:5" hidden="1" x14ac:dyDescent="0.35">
      <c r="A356">
        <v>2015</v>
      </c>
      <c r="B356" t="s">
        <v>34</v>
      </c>
      <c r="C356" t="s">
        <v>40</v>
      </c>
      <c r="D356" t="s">
        <v>205</v>
      </c>
      <c r="E356" t="s">
        <v>205</v>
      </c>
    </row>
    <row r="357" spans="1:5" hidden="1" x14ac:dyDescent="0.35">
      <c r="A357">
        <v>2015</v>
      </c>
      <c r="B357" t="s">
        <v>35</v>
      </c>
      <c r="C357" t="s">
        <v>41</v>
      </c>
      <c r="D357">
        <v>21</v>
      </c>
      <c r="E357">
        <v>22</v>
      </c>
    </row>
    <row r="358" spans="1:5" hidden="1" x14ac:dyDescent="0.35">
      <c r="A358">
        <v>2015</v>
      </c>
      <c r="B358" t="s">
        <v>33</v>
      </c>
      <c r="C358" t="s">
        <v>42</v>
      </c>
      <c r="D358" t="s">
        <v>205</v>
      </c>
      <c r="E358" t="s">
        <v>205</v>
      </c>
    </row>
    <row r="359" spans="1:5" hidden="1" x14ac:dyDescent="0.35">
      <c r="A359">
        <v>2015</v>
      </c>
      <c r="C359" t="s">
        <v>373</v>
      </c>
      <c r="D359">
        <v>10</v>
      </c>
      <c r="E359">
        <v>27</v>
      </c>
    </row>
    <row r="360" spans="1:5" hidden="1" x14ac:dyDescent="0.35">
      <c r="A360">
        <v>2015</v>
      </c>
      <c r="B360" t="s">
        <v>33</v>
      </c>
      <c r="C360" t="s">
        <v>43</v>
      </c>
      <c r="D360">
        <v>3</v>
      </c>
      <c r="E360">
        <v>7</v>
      </c>
    </row>
    <row r="361" spans="1:5" hidden="1" x14ac:dyDescent="0.35">
      <c r="A361">
        <v>2015</v>
      </c>
      <c r="B361" t="s">
        <v>36</v>
      </c>
      <c r="C361" t="s">
        <v>44</v>
      </c>
      <c r="D361">
        <v>11</v>
      </c>
      <c r="E361">
        <v>5</v>
      </c>
    </row>
    <row r="362" spans="1:5" hidden="1" x14ac:dyDescent="0.35">
      <c r="A362">
        <v>2015</v>
      </c>
      <c r="B362" t="s">
        <v>38</v>
      </c>
      <c r="C362" t="s">
        <v>45</v>
      </c>
      <c r="D362">
        <v>58</v>
      </c>
      <c r="E362">
        <v>77</v>
      </c>
    </row>
    <row r="363" spans="1:5" hidden="1" x14ac:dyDescent="0.35">
      <c r="A363">
        <v>2015</v>
      </c>
      <c r="B363" t="s">
        <v>34</v>
      </c>
      <c r="C363" t="s">
        <v>46</v>
      </c>
      <c r="D363">
        <v>15</v>
      </c>
      <c r="E363">
        <v>3</v>
      </c>
    </row>
    <row r="364" spans="1:5" hidden="1" x14ac:dyDescent="0.35">
      <c r="A364">
        <v>2015</v>
      </c>
      <c r="B364" t="s">
        <v>37</v>
      </c>
      <c r="C364" t="s">
        <v>47</v>
      </c>
      <c r="D364">
        <v>16</v>
      </c>
      <c r="E364">
        <v>17</v>
      </c>
    </row>
    <row r="365" spans="1:5" hidden="1" x14ac:dyDescent="0.35">
      <c r="A365">
        <v>2015</v>
      </c>
      <c r="B365" t="s">
        <v>35</v>
      </c>
      <c r="C365" t="s">
        <v>48</v>
      </c>
      <c r="D365">
        <v>3</v>
      </c>
      <c r="E365">
        <v>4</v>
      </c>
    </row>
    <row r="366" spans="1:5" hidden="1" x14ac:dyDescent="0.35">
      <c r="A366">
        <v>2015</v>
      </c>
      <c r="B366" t="s">
        <v>34</v>
      </c>
      <c r="C366" t="s">
        <v>49</v>
      </c>
      <c r="D366">
        <v>4</v>
      </c>
    </row>
    <row r="367" spans="1:5" hidden="1" x14ac:dyDescent="0.35">
      <c r="A367">
        <v>2015</v>
      </c>
      <c r="B367" t="s">
        <v>36</v>
      </c>
      <c r="C367" t="s">
        <v>50</v>
      </c>
      <c r="D367">
        <v>67</v>
      </c>
      <c r="E367">
        <v>7</v>
      </c>
    </row>
    <row r="368" spans="1:5" hidden="1" x14ac:dyDescent="0.35">
      <c r="A368">
        <v>2015</v>
      </c>
      <c r="B368" t="s">
        <v>34</v>
      </c>
      <c r="C368" t="s">
        <v>52</v>
      </c>
      <c r="D368">
        <v>13</v>
      </c>
      <c r="E368">
        <v>56</v>
      </c>
    </row>
    <row r="369" spans="1:5" hidden="1" x14ac:dyDescent="0.35">
      <c r="A369">
        <v>2015</v>
      </c>
      <c r="B369" t="s">
        <v>36</v>
      </c>
      <c r="C369" t="s">
        <v>53</v>
      </c>
      <c r="D369">
        <v>12</v>
      </c>
    </row>
    <row r="370" spans="1:5" hidden="1" x14ac:dyDescent="0.35">
      <c r="A370">
        <v>2015</v>
      </c>
      <c r="B370" t="s">
        <v>35</v>
      </c>
      <c r="C370" t="s">
        <v>54</v>
      </c>
      <c r="D370">
        <v>3</v>
      </c>
      <c r="E370">
        <v>7</v>
      </c>
    </row>
    <row r="371" spans="1:5" hidden="1" x14ac:dyDescent="0.35">
      <c r="A371">
        <v>2015</v>
      </c>
      <c r="B371" t="s">
        <v>35</v>
      </c>
      <c r="C371" t="s">
        <v>55</v>
      </c>
      <c r="D371">
        <v>4</v>
      </c>
      <c r="E371">
        <v>3</v>
      </c>
    </row>
    <row r="372" spans="1:5" hidden="1" x14ac:dyDescent="0.35">
      <c r="A372">
        <v>2015</v>
      </c>
      <c r="B372" t="s">
        <v>36</v>
      </c>
      <c r="C372" t="s">
        <v>56</v>
      </c>
      <c r="D372">
        <v>81</v>
      </c>
      <c r="E372">
        <v>51</v>
      </c>
    </row>
    <row r="373" spans="1:5" hidden="1" x14ac:dyDescent="0.35">
      <c r="A373">
        <v>2015</v>
      </c>
      <c r="B373" t="s">
        <v>33</v>
      </c>
      <c r="C373" t="s">
        <v>57</v>
      </c>
      <c r="D373">
        <v>3</v>
      </c>
      <c r="E373">
        <v>5</v>
      </c>
    </row>
    <row r="374" spans="1:5" hidden="1" x14ac:dyDescent="0.35">
      <c r="A374">
        <v>2015</v>
      </c>
      <c r="B374" t="s">
        <v>38</v>
      </c>
      <c r="C374" t="s">
        <v>59</v>
      </c>
      <c r="D374">
        <v>39</v>
      </c>
      <c r="E374">
        <v>32</v>
      </c>
    </row>
    <row r="375" spans="1:5" hidden="1" x14ac:dyDescent="0.35">
      <c r="A375">
        <v>2015</v>
      </c>
      <c r="B375" t="s">
        <v>35</v>
      </c>
      <c r="C375" t="s">
        <v>60</v>
      </c>
      <c r="D375">
        <v>43</v>
      </c>
      <c r="E375">
        <v>13</v>
      </c>
    </row>
    <row r="376" spans="1:5" hidden="1" x14ac:dyDescent="0.35">
      <c r="A376">
        <v>2015</v>
      </c>
      <c r="B376" t="s">
        <v>38</v>
      </c>
      <c r="C376" t="s">
        <v>21</v>
      </c>
      <c r="D376">
        <v>283</v>
      </c>
      <c r="E376">
        <v>736</v>
      </c>
    </row>
    <row r="377" spans="1:5" hidden="1" x14ac:dyDescent="0.35">
      <c r="A377">
        <v>2015</v>
      </c>
      <c r="B377" t="s">
        <v>35</v>
      </c>
      <c r="C377" t="s">
        <v>62</v>
      </c>
      <c r="D377">
        <v>17</v>
      </c>
      <c r="E377">
        <v>19</v>
      </c>
    </row>
    <row r="378" spans="1:5" hidden="1" x14ac:dyDescent="0.35">
      <c r="A378">
        <v>2015</v>
      </c>
      <c r="B378" t="s">
        <v>33</v>
      </c>
      <c r="C378" t="s">
        <v>63</v>
      </c>
      <c r="D378" t="s">
        <v>205</v>
      </c>
      <c r="E378" t="s">
        <v>205</v>
      </c>
    </row>
    <row r="379" spans="1:5" hidden="1" x14ac:dyDescent="0.35">
      <c r="A379">
        <v>2015</v>
      </c>
      <c r="B379" t="s">
        <v>34</v>
      </c>
      <c r="C379" t="s">
        <v>64</v>
      </c>
      <c r="D379" t="s">
        <v>205</v>
      </c>
      <c r="E379" t="s">
        <v>205</v>
      </c>
    </row>
    <row r="380" spans="1:5" hidden="1" x14ac:dyDescent="0.35">
      <c r="A380">
        <v>2015</v>
      </c>
      <c r="B380" t="s">
        <v>33</v>
      </c>
      <c r="C380" t="s">
        <v>65</v>
      </c>
      <c r="D380">
        <v>0</v>
      </c>
      <c r="E380" t="s">
        <v>205</v>
      </c>
    </row>
    <row r="381" spans="1:5" hidden="1" x14ac:dyDescent="0.35">
      <c r="A381">
        <v>2015</v>
      </c>
      <c r="B381" t="s">
        <v>33</v>
      </c>
      <c r="C381" t="s">
        <v>66</v>
      </c>
      <c r="D381">
        <v>4</v>
      </c>
      <c r="E381">
        <v>4</v>
      </c>
    </row>
    <row r="382" spans="1:5" hidden="1" x14ac:dyDescent="0.35">
      <c r="A382">
        <v>2015</v>
      </c>
      <c r="B382" t="s">
        <v>34</v>
      </c>
      <c r="C382" t="s">
        <v>67</v>
      </c>
      <c r="D382" t="s">
        <v>205</v>
      </c>
      <c r="E382" t="s">
        <v>205</v>
      </c>
    </row>
    <row r="383" spans="1:5" hidden="1" x14ac:dyDescent="0.35">
      <c r="A383">
        <v>2015</v>
      </c>
      <c r="B383" t="s">
        <v>33</v>
      </c>
      <c r="C383" t="s">
        <v>68</v>
      </c>
      <c r="D383">
        <v>11</v>
      </c>
      <c r="E383">
        <v>20</v>
      </c>
    </row>
    <row r="384" spans="1:5" hidden="1" x14ac:dyDescent="0.35">
      <c r="A384">
        <v>2015</v>
      </c>
      <c r="B384" t="s">
        <v>36</v>
      </c>
      <c r="C384" t="s">
        <v>69</v>
      </c>
      <c r="D384">
        <v>264</v>
      </c>
      <c r="E384">
        <v>380</v>
      </c>
    </row>
    <row r="385" spans="1:5" hidden="1" x14ac:dyDescent="0.35">
      <c r="A385">
        <v>2015</v>
      </c>
      <c r="B385" t="s">
        <v>33</v>
      </c>
      <c r="C385" t="s">
        <v>71</v>
      </c>
      <c r="D385">
        <v>0</v>
      </c>
      <c r="E385">
        <v>3</v>
      </c>
    </row>
    <row r="386" spans="1:5" hidden="1" x14ac:dyDescent="0.35">
      <c r="A386">
        <v>2015</v>
      </c>
      <c r="B386" t="s">
        <v>38</v>
      </c>
      <c r="C386" t="s">
        <v>72</v>
      </c>
      <c r="D386">
        <v>43</v>
      </c>
      <c r="E386">
        <v>50</v>
      </c>
    </row>
    <row r="387" spans="1:5" hidden="1" x14ac:dyDescent="0.35">
      <c r="A387">
        <v>2015</v>
      </c>
      <c r="B387" t="s">
        <v>34</v>
      </c>
      <c r="C387" t="s">
        <v>73</v>
      </c>
      <c r="D387">
        <v>128</v>
      </c>
      <c r="E387">
        <v>601</v>
      </c>
    </row>
    <row r="388" spans="1:5" hidden="1" x14ac:dyDescent="0.35">
      <c r="A388">
        <v>2015</v>
      </c>
      <c r="B388" t="s">
        <v>38</v>
      </c>
      <c r="C388" t="s">
        <v>20</v>
      </c>
      <c r="D388">
        <v>792</v>
      </c>
      <c r="E388">
        <v>797</v>
      </c>
    </row>
    <row r="389" spans="1:5" hidden="1" x14ac:dyDescent="0.35">
      <c r="A389">
        <v>2015</v>
      </c>
      <c r="B389" t="s">
        <v>33</v>
      </c>
      <c r="C389" t="s">
        <v>74</v>
      </c>
      <c r="D389" t="s">
        <v>205</v>
      </c>
      <c r="E389" t="s">
        <v>205</v>
      </c>
    </row>
    <row r="390" spans="1:5" hidden="1" x14ac:dyDescent="0.35">
      <c r="A390">
        <v>2015</v>
      </c>
      <c r="B390" t="s">
        <v>33</v>
      </c>
      <c r="C390" t="s">
        <v>75</v>
      </c>
      <c r="D390" t="s">
        <v>205</v>
      </c>
      <c r="E390" t="s">
        <v>205</v>
      </c>
    </row>
    <row r="391" spans="1:5" hidden="1" x14ac:dyDescent="0.35">
      <c r="A391">
        <v>2015</v>
      </c>
      <c r="B391" t="s">
        <v>36</v>
      </c>
      <c r="C391" t="s">
        <v>76</v>
      </c>
      <c r="D391">
        <v>87</v>
      </c>
      <c r="E391">
        <v>137</v>
      </c>
    </row>
    <row r="392" spans="1:5" hidden="1" x14ac:dyDescent="0.35">
      <c r="A392">
        <v>2015</v>
      </c>
      <c r="B392" t="s">
        <v>33</v>
      </c>
      <c r="C392" t="s">
        <v>77</v>
      </c>
      <c r="D392">
        <v>3</v>
      </c>
      <c r="E392">
        <v>7</v>
      </c>
    </row>
    <row r="393" spans="1:5" hidden="1" x14ac:dyDescent="0.35">
      <c r="A393">
        <v>2015</v>
      </c>
      <c r="B393" t="s">
        <v>35</v>
      </c>
      <c r="C393" t="s">
        <v>78</v>
      </c>
      <c r="D393" t="s">
        <v>205</v>
      </c>
      <c r="E393" t="s">
        <v>205</v>
      </c>
    </row>
    <row r="394" spans="1:5" hidden="1" x14ac:dyDescent="0.35">
      <c r="A394">
        <v>2015</v>
      </c>
      <c r="B394" t="s">
        <v>36</v>
      </c>
      <c r="C394" t="s">
        <v>79</v>
      </c>
      <c r="D394">
        <v>18</v>
      </c>
      <c r="E394">
        <v>31</v>
      </c>
    </row>
    <row r="395" spans="1:5" hidden="1" x14ac:dyDescent="0.35">
      <c r="A395">
        <v>2015</v>
      </c>
      <c r="B395" t="s">
        <v>35</v>
      </c>
      <c r="C395" t="s">
        <v>81</v>
      </c>
      <c r="D395">
        <v>16</v>
      </c>
      <c r="E395">
        <v>13</v>
      </c>
    </row>
    <row r="396" spans="1:5" hidden="1" x14ac:dyDescent="0.35">
      <c r="A396">
        <v>2015</v>
      </c>
      <c r="B396" t="s">
        <v>35</v>
      </c>
      <c r="C396" t="s">
        <v>214</v>
      </c>
      <c r="D396" t="s">
        <v>205</v>
      </c>
    </row>
    <row r="397" spans="1:5" hidden="1" x14ac:dyDescent="0.35">
      <c r="A397">
        <v>2015</v>
      </c>
      <c r="B397" t="s">
        <v>36</v>
      </c>
      <c r="C397" t="s">
        <v>84</v>
      </c>
      <c r="D397">
        <v>7</v>
      </c>
      <c r="E397">
        <v>4</v>
      </c>
    </row>
    <row r="398" spans="1:5" hidden="1" x14ac:dyDescent="0.35">
      <c r="A398">
        <v>2015</v>
      </c>
      <c r="B398" t="s">
        <v>36</v>
      </c>
      <c r="C398" t="s">
        <v>85</v>
      </c>
      <c r="D398">
        <v>1519</v>
      </c>
      <c r="E398">
        <v>366</v>
      </c>
    </row>
    <row r="399" spans="1:5" hidden="1" x14ac:dyDescent="0.35">
      <c r="A399">
        <v>2015</v>
      </c>
      <c r="B399" t="s">
        <v>38</v>
      </c>
      <c r="C399" t="s">
        <v>86</v>
      </c>
      <c r="D399">
        <v>487</v>
      </c>
      <c r="E399">
        <v>943</v>
      </c>
    </row>
    <row r="400" spans="1:5" hidden="1" x14ac:dyDescent="0.35">
      <c r="A400">
        <v>2015</v>
      </c>
      <c r="B400" t="s">
        <v>33</v>
      </c>
      <c r="C400" t="s">
        <v>87</v>
      </c>
      <c r="D400">
        <v>21</v>
      </c>
      <c r="E400">
        <v>42</v>
      </c>
    </row>
    <row r="401" spans="1:5" hidden="1" x14ac:dyDescent="0.35">
      <c r="A401">
        <v>2015</v>
      </c>
      <c r="B401" t="s">
        <v>36</v>
      </c>
      <c r="C401" t="s">
        <v>16</v>
      </c>
      <c r="D401">
        <v>7186</v>
      </c>
      <c r="E401">
        <v>14637</v>
      </c>
    </row>
    <row r="402" spans="1:5" hidden="1" x14ac:dyDescent="0.35">
      <c r="A402">
        <v>2015</v>
      </c>
      <c r="B402" t="s">
        <v>33</v>
      </c>
      <c r="C402" t="s">
        <v>88</v>
      </c>
      <c r="D402">
        <v>0</v>
      </c>
    </row>
    <row r="403" spans="1:5" hidden="1" x14ac:dyDescent="0.35">
      <c r="A403">
        <v>2015</v>
      </c>
      <c r="B403" t="s">
        <v>33</v>
      </c>
      <c r="C403" t="s">
        <v>89</v>
      </c>
      <c r="D403">
        <v>0</v>
      </c>
      <c r="E403">
        <v>6</v>
      </c>
    </row>
    <row r="404" spans="1:5" hidden="1" x14ac:dyDescent="0.35">
      <c r="A404">
        <v>2015</v>
      </c>
      <c r="B404" t="s">
        <v>35</v>
      </c>
      <c r="C404" t="s">
        <v>90</v>
      </c>
      <c r="D404">
        <v>4</v>
      </c>
      <c r="E404">
        <v>3</v>
      </c>
    </row>
    <row r="405" spans="1:5" hidden="1" x14ac:dyDescent="0.35">
      <c r="A405">
        <v>2015</v>
      </c>
      <c r="B405" t="s">
        <v>33</v>
      </c>
      <c r="C405" t="s">
        <v>91</v>
      </c>
      <c r="D405">
        <v>13</v>
      </c>
      <c r="E405">
        <v>22</v>
      </c>
    </row>
    <row r="406" spans="1:5" hidden="1" x14ac:dyDescent="0.35">
      <c r="A406">
        <v>2015</v>
      </c>
      <c r="B406" t="s">
        <v>37</v>
      </c>
      <c r="C406" t="s">
        <v>92</v>
      </c>
      <c r="D406">
        <v>8</v>
      </c>
      <c r="E406">
        <v>7</v>
      </c>
    </row>
    <row r="407" spans="1:5" hidden="1" x14ac:dyDescent="0.35">
      <c r="A407">
        <v>2015</v>
      </c>
      <c r="B407" t="s">
        <v>35</v>
      </c>
      <c r="C407" t="s">
        <v>94</v>
      </c>
      <c r="D407">
        <v>20</v>
      </c>
      <c r="E407">
        <v>22</v>
      </c>
    </row>
    <row r="408" spans="1:5" hidden="1" x14ac:dyDescent="0.35">
      <c r="A408">
        <v>2015</v>
      </c>
      <c r="B408" t="s">
        <v>33</v>
      </c>
      <c r="C408" t="s">
        <v>95</v>
      </c>
      <c r="D408" t="s">
        <v>205</v>
      </c>
      <c r="E408" t="s">
        <v>205</v>
      </c>
    </row>
    <row r="409" spans="1:5" hidden="1" x14ac:dyDescent="0.35">
      <c r="A409">
        <v>2015</v>
      </c>
      <c r="B409" t="s">
        <v>33</v>
      </c>
      <c r="C409" t="s">
        <v>96</v>
      </c>
      <c r="D409" t="s">
        <v>205</v>
      </c>
      <c r="E409" t="s">
        <v>205</v>
      </c>
    </row>
    <row r="410" spans="1:5" hidden="1" x14ac:dyDescent="0.35">
      <c r="A410">
        <v>2015</v>
      </c>
      <c r="B410" t="s">
        <v>34</v>
      </c>
      <c r="C410" t="s">
        <v>8</v>
      </c>
      <c r="D410">
        <v>6</v>
      </c>
      <c r="E410">
        <v>10</v>
      </c>
    </row>
    <row r="411" spans="1:5" hidden="1" x14ac:dyDescent="0.35">
      <c r="A411">
        <v>2015</v>
      </c>
      <c r="B411" t="s">
        <v>35</v>
      </c>
      <c r="C411" t="s">
        <v>97</v>
      </c>
      <c r="D411">
        <v>35</v>
      </c>
      <c r="E411">
        <v>17</v>
      </c>
    </row>
    <row r="412" spans="1:5" hidden="1" x14ac:dyDescent="0.35">
      <c r="A412">
        <v>2015</v>
      </c>
      <c r="B412" t="s">
        <v>33</v>
      </c>
      <c r="C412" t="s">
        <v>98</v>
      </c>
      <c r="D412">
        <v>33</v>
      </c>
      <c r="E412">
        <v>42</v>
      </c>
    </row>
    <row r="413" spans="1:5" hidden="1" x14ac:dyDescent="0.35">
      <c r="A413">
        <v>2015</v>
      </c>
      <c r="B413" t="s">
        <v>35</v>
      </c>
      <c r="C413" t="s">
        <v>99</v>
      </c>
      <c r="D413">
        <v>4</v>
      </c>
      <c r="E413">
        <v>10</v>
      </c>
    </row>
    <row r="414" spans="1:5" hidden="1" x14ac:dyDescent="0.35">
      <c r="A414">
        <v>2015</v>
      </c>
      <c r="B414" t="s">
        <v>36</v>
      </c>
      <c r="C414" t="s">
        <v>100</v>
      </c>
      <c r="D414">
        <v>8</v>
      </c>
      <c r="E414">
        <v>5</v>
      </c>
    </row>
    <row r="415" spans="1:5" hidden="1" x14ac:dyDescent="0.35">
      <c r="A415">
        <v>2015</v>
      </c>
      <c r="B415" t="s">
        <v>36</v>
      </c>
      <c r="C415" t="s">
        <v>15</v>
      </c>
      <c r="D415">
        <v>10483</v>
      </c>
      <c r="E415">
        <v>22867</v>
      </c>
    </row>
    <row r="416" spans="1:5" hidden="1" x14ac:dyDescent="0.35">
      <c r="A416">
        <v>2015</v>
      </c>
      <c r="B416" t="s">
        <v>33</v>
      </c>
      <c r="C416" t="s">
        <v>101</v>
      </c>
      <c r="D416">
        <v>3</v>
      </c>
      <c r="E416">
        <v>7</v>
      </c>
    </row>
    <row r="417" spans="1:5" hidden="1" x14ac:dyDescent="0.35">
      <c r="A417">
        <v>2015</v>
      </c>
      <c r="B417" t="s">
        <v>38</v>
      </c>
      <c r="C417" t="s">
        <v>103</v>
      </c>
      <c r="D417">
        <v>94</v>
      </c>
      <c r="E417">
        <v>19</v>
      </c>
    </row>
    <row r="418" spans="1:5" hidden="1" x14ac:dyDescent="0.35">
      <c r="A418">
        <v>2015</v>
      </c>
      <c r="B418" t="s">
        <v>36</v>
      </c>
      <c r="C418" t="s">
        <v>104</v>
      </c>
      <c r="D418">
        <v>268</v>
      </c>
      <c r="E418">
        <v>198</v>
      </c>
    </row>
    <row r="419" spans="1:5" hidden="1" x14ac:dyDescent="0.35">
      <c r="A419">
        <v>2015</v>
      </c>
      <c r="B419" t="s">
        <v>36</v>
      </c>
      <c r="C419" t="s">
        <v>17</v>
      </c>
      <c r="D419">
        <v>8519</v>
      </c>
      <c r="E419">
        <v>11724</v>
      </c>
    </row>
    <row r="420" spans="1:5" hidden="1" x14ac:dyDescent="0.35">
      <c r="A420">
        <v>2015</v>
      </c>
      <c r="B420" t="s">
        <v>35</v>
      </c>
      <c r="C420" t="s">
        <v>105</v>
      </c>
      <c r="D420">
        <v>11</v>
      </c>
      <c r="E420">
        <v>18</v>
      </c>
    </row>
    <row r="421" spans="1:5" hidden="1" x14ac:dyDescent="0.35">
      <c r="A421">
        <v>2015</v>
      </c>
      <c r="B421" t="s">
        <v>34</v>
      </c>
      <c r="C421" t="s">
        <v>22</v>
      </c>
      <c r="D421">
        <v>134</v>
      </c>
      <c r="E421">
        <v>393</v>
      </c>
    </row>
    <row r="422" spans="1:5" hidden="1" x14ac:dyDescent="0.35">
      <c r="A422">
        <v>2015</v>
      </c>
      <c r="B422" t="s">
        <v>34</v>
      </c>
      <c r="C422" t="s">
        <v>107</v>
      </c>
      <c r="D422">
        <v>9</v>
      </c>
      <c r="E422">
        <v>36</v>
      </c>
    </row>
    <row r="423" spans="1:5" hidden="1" x14ac:dyDescent="0.35">
      <c r="A423">
        <v>2015</v>
      </c>
      <c r="B423" t="s">
        <v>34</v>
      </c>
      <c r="C423" t="s">
        <v>108</v>
      </c>
      <c r="D423">
        <v>12</v>
      </c>
      <c r="E423">
        <v>11</v>
      </c>
    </row>
    <row r="424" spans="1:5" hidden="1" x14ac:dyDescent="0.35">
      <c r="A424">
        <v>2015</v>
      </c>
      <c r="B424" t="s">
        <v>34</v>
      </c>
      <c r="C424" t="s">
        <v>109</v>
      </c>
      <c r="D424">
        <v>13</v>
      </c>
      <c r="E424">
        <v>21</v>
      </c>
    </row>
    <row r="425" spans="1:5" hidden="1" x14ac:dyDescent="0.35">
      <c r="A425">
        <v>2015</v>
      </c>
      <c r="B425" t="s">
        <v>35</v>
      </c>
      <c r="C425" t="s">
        <v>110</v>
      </c>
      <c r="D425">
        <v>13</v>
      </c>
      <c r="E425">
        <v>9</v>
      </c>
    </row>
    <row r="426" spans="1:5" hidden="1" x14ac:dyDescent="0.35">
      <c r="A426">
        <v>2015</v>
      </c>
      <c r="B426" t="s">
        <v>34</v>
      </c>
      <c r="C426" t="s">
        <v>111</v>
      </c>
      <c r="D426">
        <v>23</v>
      </c>
      <c r="E426">
        <v>80</v>
      </c>
    </row>
    <row r="427" spans="1:5" hidden="1" x14ac:dyDescent="0.35">
      <c r="A427">
        <v>2015</v>
      </c>
      <c r="B427" t="s">
        <v>35</v>
      </c>
      <c r="C427" t="s">
        <v>112</v>
      </c>
      <c r="D427">
        <v>38</v>
      </c>
      <c r="E427">
        <v>33</v>
      </c>
    </row>
    <row r="428" spans="1:5" hidden="1" x14ac:dyDescent="0.35">
      <c r="A428">
        <v>2015</v>
      </c>
      <c r="B428" t="s">
        <v>36</v>
      </c>
      <c r="C428" t="s">
        <v>113</v>
      </c>
      <c r="D428">
        <v>638</v>
      </c>
      <c r="E428">
        <v>228</v>
      </c>
    </row>
    <row r="429" spans="1:5" hidden="1" x14ac:dyDescent="0.35">
      <c r="A429">
        <v>2015</v>
      </c>
      <c r="B429" t="s">
        <v>34</v>
      </c>
      <c r="C429" t="s">
        <v>114</v>
      </c>
      <c r="D429">
        <v>12</v>
      </c>
      <c r="E429">
        <v>22</v>
      </c>
    </row>
    <row r="430" spans="1:5" hidden="1" x14ac:dyDescent="0.35">
      <c r="A430">
        <v>2015</v>
      </c>
      <c r="B430" t="s">
        <v>34</v>
      </c>
      <c r="C430" t="s">
        <v>115</v>
      </c>
      <c r="D430">
        <v>25</v>
      </c>
      <c r="E430">
        <v>70</v>
      </c>
    </row>
    <row r="431" spans="1:5" hidden="1" x14ac:dyDescent="0.35">
      <c r="A431">
        <v>2015</v>
      </c>
      <c r="B431" t="s">
        <v>34</v>
      </c>
      <c r="C431" t="s">
        <v>116</v>
      </c>
      <c r="D431">
        <v>4</v>
      </c>
      <c r="E431">
        <v>11</v>
      </c>
    </row>
    <row r="432" spans="1:5" hidden="1" x14ac:dyDescent="0.35">
      <c r="A432">
        <v>2015</v>
      </c>
      <c r="B432" t="s">
        <v>33</v>
      </c>
      <c r="C432" t="s">
        <v>117</v>
      </c>
      <c r="D432">
        <v>55</v>
      </c>
      <c r="E432">
        <v>25</v>
      </c>
    </row>
    <row r="433" spans="1:5" hidden="1" x14ac:dyDescent="0.35">
      <c r="A433">
        <v>2015</v>
      </c>
      <c r="B433" t="s">
        <v>34</v>
      </c>
      <c r="C433" t="s">
        <v>118</v>
      </c>
      <c r="D433">
        <v>67</v>
      </c>
      <c r="E433">
        <v>80</v>
      </c>
    </row>
    <row r="434" spans="1:5" hidden="1" x14ac:dyDescent="0.35">
      <c r="A434">
        <v>2015</v>
      </c>
      <c r="B434" t="s">
        <v>35</v>
      </c>
      <c r="C434" t="s">
        <v>119</v>
      </c>
      <c r="D434">
        <v>9</v>
      </c>
      <c r="E434">
        <v>3</v>
      </c>
    </row>
    <row r="435" spans="1:5" hidden="1" x14ac:dyDescent="0.35">
      <c r="A435">
        <v>2015</v>
      </c>
      <c r="B435" t="s">
        <v>34</v>
      </c>
      <c r="C435" t="s">
        <v>120</v>
      </c>
      <c r="D435" t="s">
        <v>205</v>
      </c>
      <c r="E435" t="s">
        <v>205</v>
      </c>
    </row>
    <row r="436" spans="1:5" hidden="1" x14ac:dyDescent="0.35">
      <c r="A436">
        <v>2015</v>
      </c>
      <c r="B436" t="s">
        <v>34</v>
      </c>
      <c r="C436" t="s">
        <v>121</v>
      </c>
      <c r="D436" t="s">
        <v>205</v>
      </c>
      <c r="E436" t="s">
        <v>205</v>
      </c>
    </row>
    <row r="437" spans="1:5" hidden="1" x14ac:dyDescent="0.35">
      <c r="A437">
        <v>2015</v>
      </c>
      <c r="B437" t="s">
        <v>34</v>
      </c>
      <c r="C437" t="s">
        <v>122</v>
      </c>
      <c r="D437" t="s">
        <v>205</v>
      </c>
      <c r="E437" t="s">
        <v>205</v>
      </c>
    </row>
    <row r="438" spans="1:5" hidden="1" x14ac:dyDescent="0.35">
      <c r="A438">
        <v>2015</v>
      </c>
      <c r="B438" t="s">
        <v>35</v>
      </c>
      <c r="C438" t="s">
        <v>123</v>
      </c>
      <c r="D438">
        <v>22</v>
      </c>
      <c r="E438">
        <v>10</v>
      </c>
    </row>
    <row r="439" spans="1:5" hidden="1" x14ac:dyDescent="0.35">
      <c r="A439">
        <v>2015</v>
      </c>
      <c r="B439" t="s">
        <v>34</v>
      </c>
      <c r="C439" t="s">
        <v>124</v>
      </c>
      <c r="D439">
        <v>19</v>
      </c>
      <c r="E439">
        <v>25</v>
      </c>
    </row>
    <row r="440" spans="1:5" hidden="1" x14ac:dyDescent="0.35">
      <c r="A440">
        <v>2015</v>
      </c>
      <c r="B440" t="s">
        <v>33</v>
      </c>
      <c r="C440" t="s">
        <v>125</v>
      </c>
      <c r="D440">
        <v>4</v>
      </c>
      <c r="E440">
        <v>6</v>
      </c>
    </row>
    <row r="441" spans="1:5" hidden="1" x14ac:dyDescent="0.35">
      <c r="A441">
        <v>2015</v>
      </c>
      <c r="B441" t="s">
        <v>35</v>
      </c>
      <c r="C441" t="s">
        <v>127</v>
      </c>
      <c r="D441">
        <v>11</v>
      </c>
      <c r="E441">
        <v>8</v>
      </c>
    </row>
    <row r="442" spans="1:5" hidden="1" x14ac:dyDescent="0.35">
      <c r="A442">
        <v>2015</v>
      </c>
      <c r="B442" t="s">
        <v>34</v>
      </c>
      <c r="C442" t="s">
        <v>131</v>
      </c>
      <c r="D442">
        <v>9</v>
      </c>
      <c r="E442">
        <v>8</v>
      </c>
    </row>
    <row r="443" spans="1:5" hidden="1" x14ac:dyDescent="0.35">
      <c r="A443">
        <v>2015</v>
      </c>
      <c r="B443" t="s">
        <v>33</v>
      </c>
      <c r="C443" t="s">
        <v>132</v>
      </c>
      <c r="D443" t="s">
        <v>205</v>
      </c>
      <c r="E443" t="s">
        <v>205</v>
      </c>
    </row>
    <row r="444" spans="1:5" hidden="1" x14ac:dyDescent="0.35">
      <c r="A444">
        <v>2015</v>
      </c>
      <c r="B444" t="s">
        <v>37</v>
      </c>
      <c r="C444" t="s">
        <v>134</v>
      </c>
      <c r="D444">
        <v>21</v>
      </c>
    </row>
    <row r="445" spans="1:5" hidden="1" x14ac:dyDescent="0.35">
      <c r="A445">
        <v>2015</v>
      </c>
      <c r="B445" t="s">
        <v>33</v>
      </c>
      <c r="C445" t="s">
        <v>135</v>
      </c>
      <c r="D445" t="s">
        <v>205</v>
      </c>
      <c r="E445" t="s">
        <v>205</v>
      </c>
    </row>
    <row r="446" spans="1:5" hidden="1" x14ac:dyDescent="0.35">
      <c r="A446">
        <v>2015</v>
      </c>
      <c r="B446" t="s">
        <v>36</v>
      </c>
      <c r="C446" t="s">
        <v>14</v>
      </c>
      <c r="D446">
        <v>88863</v>
      </c>
      <c r="E446">
        <v>143572</v>
      </c>
    </row>
    <row r="447" spans="1:5" hidden="1" x14ac:dyDescent="0.35">
      <c r="A447">
        <v>2015</v>
      </c>
      <c r="B447" t="s">
        <v>37</v>
      </c>
      <c r="C447" t="s">
        <v>137</v>
      </c>
      <c r="D447" t="s">
        <v>205</v>
      </c>
      <c r="E447" t="s">
        <v>205</v>
      </c>
    </row>
    <row r="448" spans="1:5" hidden="1" x14ac:dyDescent="0.35">
      <c r="A448">
        <v>2015</v>
      </c>
      <c r="B448" t="s">
        <v>35</v>
      </c>
      <c r="C448" t="s">
        <v>138</v>
      </c>
      <c r="D448">
        <v>7</v>
      </c>
      <c r="E448">
        <v>10</v>
      </c>
    </row>
    <row r="449" spans="1:5" hidden="1" x14ac:dyDescent="0.35">
      <c r="A449">
        <v>2015</v>
      </c>
      <c r="B449" t="s">
        <v>34</v>
      </c>
      <c r="C449" t="s">
        <v>139</v>
      </c>
      <c r="D449">
        <v>8</v>
      </c>
      <c r="E449">
        <v>16</v>
      </c>
    </row>
    <row r="450" spans="1:5" hidden="1" x14ac:dyDescent="0.35">
      <c r="A450">
        <v>2015</v>
      </c>
      <c r="B450" t="s">
        <v>35</v>
      </c>
      <c r="C450" t="s">
        <v>140</v>
      </c>
      <c r="D450" t="s">
        <v>205</v>
      </c>
      <c r="E450" t="s">
        <v>205</v>
      </c>
    </row>
    <row r="451" spans="1:5" hidden="1" x14ac:dyDescent="0.35">
      <c r="A451">
        <v>2015</v>
      </c>
      <c r="B451" t="s">
        <v>33</v>
      </c>
      <c r="C451" t="s">
        <v>141</v>
      </c>
      <c r="D451">
        <v>15</v>
      </c>
      <c r="E451">
        <v>14</v>
      </c>
    </row>
    <row r="452" spans="1:5" hidden="1" x14ac:dyDescent="0.35">
      <c r="A452">
        <v>2015</v>
      </c>
      <c r="B452" t="s">
        <v>34</v>
      </c>
      <c r="C452" t="s">
        <v>144</v>
      </c>
      <c r="D452">
        <v>5</v>
      </c>
      <c r="E452">
        <v>18</v>
      </c>
    </row>
    <row r="453" spans="1:5" hidden="1" x14ac:dyDescent="0.35">
      <c r="A453">
        <v>2015</v>
      </c>
      <c r="B453" t="s">
        <v>35</v>
      </c>
      <c r="C453" t="s">
        <v>145</v>
      </c>
      <c r="D453">
        <v>27</v>
      </c>
      <c r="E453">
        <v>15</v>
      </c>
    </row>
    <row r="454" spans="1:5" hidden="1" x14ac:dyDescent="0.35">
      <c r="A454">
        <v>2015</v>
      </c>
      <c r="B454" t="s">
        <v>37</v>
      </c>
      <c r="C454" t="s">
        <v>146</v>
      </c>
      <c r="D454">
        <v>14</v>
      </c>
      <c r="E454">
        <v>4</v>
      </c>
    </row>
    <row r="455" spans="1:5" hidden="1" x14ac:dyDescent="0.35">
      <c r="A455">
        <v>2015</v>
      </c>
      <c r="B455" t="s">
        <v>36</v>
      </c>
      <c r="C455" t="s">
        <v>147</v>
      </c>
      <c r="D455">
        <v>440</v>
      </c>
      <c r="E455">
        <v>489</v>
      </c>
    </row>
    <row r="456" spans="1:5" hidden="1" x14ac:dyDescent="0.35">
      <c r="A456">
        <v>2015</v>
      </c>
      <c r="B456" t="s">
        <v>33</v>
      </c>
      <c r="C456" t="s">
        <v>148</v>
      </c>
      <c r="D456">
        <v>4</v>
      </c>
      <c r="E456">
        <v>3</v>
      </c>
    </row>
    <row r="457" spans="1:5" hidden="1" x14ac:dyDescent="0.35">
      <c r="A457">
        <v>2015</v>
      </c>
      <c r="B457" t="s">
        <v>33</v>
      </c>
      <c r="C457" t="s">
        <v>149</v>
      </c>
      <c r="D457">
        <v>107</v>
      </c>
      <c r="E457">
        <v>479</v>
      </c>
    </row>
    <row r="458" spans="1:5" hidden="1" x14ac:dyDescent="0.35">
      <c r="A458">
        <v>2015</v>
      </c>
      <c r="B458" t="s">
        <v>35</v>
      </c>
      <c r="C458" t="s">
        <v>322</v>
      </c>
      <c r="D458" t="s">
        <v>205</v>
      </c>
      <c r="E458" t="s">
        <v>205</v>
      </c>
    </row>
    <row r="459" spans="1:5" hidden="1" x14ac:dyDescent="0.35">
      <c r="A459">
        <v>2015</v>
      </c>
      <c r="B459" t="s">
        <v>35</v>
      </c>
      <c r="C459" t="s">
        <v>150</v>
      </c>
      <c r="D459">
        <v>0</v>
      </c>
      <c r="E459">
        <v>3</v>
      </c>
    </row>
    <row r="460" spans="1:5" hidden="1" x14ac:dyDescent="0.35">
      <c r="A460">
        <v>2015</v>
      </c>
      <c r="B460" t="s">
        <v>34</v>
      </c>
      <c r="C460" t="s">
        <v>152</v>
      </c>
      <c r="D460">
        <v>29</v>
      </c>
      <c r="E460">
        <v>56</v>
      </c>
    </row>
    <row r="461" spans="1:5" hidden="1" x14ac:dyDescent="0.35">
      <c r="A461">
        <v>2015</v>
      </c>
      <c r="B461" t="s">
        <v>37</v>
      </c>
      <c r="C461" t="s">
        <v>153</v>
      </c>
      <c r="D461">
        <v>10</v>
      </c>
    </row>
    <row r="462" spans="1:5" hidden="1" x14ac:dyDescent="0.35">
      <c r="A462">
        <v>2015</v>
      </c>
      <c r="B462" t="s">
        <v>36</v>
      </c>
      <c r="C462" t="s">
        <v>154</v>
      </c>
      <c r="D462">
        <v>57</v>
      </c>
      <c r="E462">
        <v>45</v>
      </c>
    </row>
    <row r="463" spans="1:5" hidden="1" x14ac:dyDescent="0.35">
      <c r="A463">
        <v>2015</v>
      </c>
      <c r="B463" t="s">
        <v>38</v>
      </c>
      <c r="C463" t="s">
        <v>155</v>
      </c>
      <c r="D463">
        <v>3</v>
      </c>
      <c r="E463">
        <v>18</v>
      </c>
    </row>
    <row r="464" spans="1:5" hidden="1" x14ac:dyDescent="0.35">
      <c r="A464">
        <v>2015</v>
      </c>
      <c r="B464" t="s">
        <v>38</v>
      </c>
      <c r="C464" t="s">
        <v>156</v>
      </c>
      <c r="D464">
        <v>210</v>
      </c>
      <c r="E464">
        <v>316</v>
      </c>
    </row>
    <row r="465" spans="1:5" hidden="1" x14ac:dyDescent="0.35">
      <c r="A465">
        <v>2015</v>
      </c>
      <c r="B465" t="s">
        <v>34</v>
      </c>
      <c r="C465" t="s">
        <v>18</v>
      </c>
      <c r="D465">
        <v>128</v>
      </c>
      <c r="E465">
        <v>88</v>
      </c>
    </row>
    <row r="466" spans="1:5" hidden="1" x14ac:dyDescent="0.35">
      <c r="A466">
        <v>2015</v>
      </c>
      <c r="B466" t="s">
        <v>35</v>
      </c>
      <c r="C466" t="s">
        <v>157</v>
      </c>
      <c r="D466">
        <v>73</v>
      </c>
      <c r="E466">
        <v>110</v>
      </c>
    </row>
    <row r="467" spans="1:5" hidden="1" x14ac:dyDescent="0.35">
      <c r="A467">
        <v>2015</v>
      </c>
      <c r="B467" t="s">
        <v>35</v>
      </c>
      <c r="C467" t="s">
        <v>158</v>
      </c>
      <c r="D467">
        <v>25</v>
      </c>
      <c r="E467">
        <v>18</v>
      </c>
    </row>
    <row r="468" spans="1:5" hidden="1" x14ac:dyDescent="0.35">
      <c r="A468">
        <v>2015</v>
      </c>
      <c r="B468" t="s">
        <v>35</v>
      </c>
      <c r="C468" t="s">
        <v>160</v>
      </c>
      <c r="D468">
        <v>70</v>
      </c>
      <c r="E468">
        <v>83</v>
      </c>
    </row>
    <row r="469" spans="1:5" hidden="1" x14ac:dyDescent="0.35">
      <c r="A469">
        <v>2015</v>
      </c>
      <c r="B469" t="s">
        <v>35</v>
      </c>
      <c r="C469" t="s">
        <v>161</v>
      </c>
      <c r="D469">
        <v>39</v>
      </c>
      <c r="E469">
        <v>60</v>
      </c>
    </row>
    <row r="470" spans="1:5" hidden="1" x14ac:dyDescent="0.35">
      <c r="A470">
        <v>2015</v>
      </c>
      <c r="B470" t="s">
        <v>33</v>
      </c>
      <c r="C470" t="s">
        <v>162</v>
      </c>
      <c r="D470" t="s">
        <v>205</v>
      </c>
      <c r="E470" t="s">
        <v>205</v>
      </c>
    </row>
    <row r="471" spans="1:5" hidden="1" x14ac:dyDescent="0.35">
      <c r="A471">
        <v>2015</v>
      </c>
      <c r="B471" t="s">
        <v>36</v>
      </c>
      <c r="C471" t="s">
        <v>163</v>
      </c>
      <c r="D471" t="s">
        <v>205</v>
      </c>
      <c r="E471" t="s">
        <v>205</v>
      </c>
    </row>
    <row r="472" spans="1:5" hidden="1" x14ac:dyDescent="0.35">
      <c r="A472">
        <v>2015</v>
      </c>
      <c r="B472" t="s">
        <v>36</v>
      </c>
      <c r="C472" t="s">
        <v>164</v>
      </c>
      <c r="D472">
        <v>4</v>
      </c>
      <c r="E472">
        <v>8</v>
      </c>
    </row>
    <row r="473" spans="1:5" hidden="1" x14ac:dyDescent="0.35">
      <c r="A473">
        <v>2015</v>
      </c>
      <c r="B473" t="s">
        <v>36</v>
      </c>
      <c r="C473" t="s">
        <v>165</v>
      </c>
      <c r="D473">
        <v>8</v>
      </c>
      <c r="E473">
        <v>3</v>
      </c>
    </row>
    <row r="474" spans="1:5" hidden="1" x14ac:dyDescent="0.35">
      <c r="A474">
        <v>2015</v>
      </c>
      <c r="B474" t="s">
        <v>37</v>
      </c>
      <c r="C474" t="s">
        <v>166</v>
      </c>
      <c r="D474" t="s">
        <v>205</v>
      </c>
    </row>
    <row r="475" spans="1:5" hidden="1" x14ac:dyDescent="0.35">
      <c r="A475">
        <v>2015</v>
      </c>
      <c r="B475" t="s">
        <v>34</v>
      </c>
      <c r="C475" t="s">
        <v>167</v>
      </c>
      <c r="D475">
        <v>20</v>
      </c>
      <c r="E475">
        <v>49</v>
      </c>
    </row>
    <row r="476" spans="1:5" hidden="1" x14ac:dyDescent="0.35">
      <c r="A476">
        <v>2015</v>
      </c>
      <c r="B476" t="s">
        <v>33</v>
      </c>
      <c r="C476" t="s">
        <v>168</v>
      </c>
      <c r="D476">
        <v>5</v>
      </c>
      <c r="E476">
        <v>18</v>
      </c>
    </row>
    <row r="477" spans="1:5" hidden="1" x14ac:dyDescent="0.35">
      <c r="A477">
        <v>2015</v>
      </c>
      <c r="B477" t="s">
        <v>35</v>
      </c>
      <c r="C477" t="s">
        <v>169</v>
      </c>
      <c r="D477" t="s">
        <v>205</v>
      </c>
      <c r="E477" t="s">
        <v>205</v>
      </c>
    </row>
    <row r="478" spans="1:5" hidden="1" x14ac:dyDescent="0.35">
      <c r="A478">
        <v>2015</v>
      </c>
      <c r="B478" t="s">
        <v>35</v>
      </c>
      <c r="C478" t="s">
        <v>215</v>
      </c>
      <c r="D478">
        <v>4</v>
      </c>
      <c r="E478">
        <v>6</v>
      </c>
    </row>
    <row r="479" spans="1:5" hidden="1" x14ac:dyDescent="0.35">
      <c r="A479">
        <v>2015</v>
      </c>
      <c r="B479" t="s">
        <v>33</v>
      </c>
      <c r="C479" t="s">
        <v>170</v>
      </c>
      <c r="D479" t="s">
        <v>205</v>
      </c>
      <c r="E479" t="s">
        <v>205</v>
      </c>
    </row>
    <row r="480" spans="1:5" hidden="1" x14ac:dyDescent="0.35">
      <c r="A480">
        <v>2015</v>
      </c>
      <c r="B480" t="s">
        <v>34</v>
      </c>
      <c r="C480" t="s">
        <v>171</v>
      </c>
      <c r="D480" t="s">
        <v>205</v>
      </c>
      <c r="E480" t="s">
        <v>205</v>
      </c>
    </row>
    <row r="481" spans="1:5" hidden="1" x14ac:dyDescent="0.35">
      <c r="A481">
        <v>2015</v>
      </c>
      <c r="B481" t="s">
        <v>35</v>
      </c>
      <c r="C481" t="s">
        <v>172</v>
      </c>
      <c r="D481">
        <v>3</v>
      </c>
      <c r="E481">
        <v>5</v>
      </c>
    </row>
    <row r="482" spans="1:5" hidden="1" x14ac:dyDescent="0.35">
      <c r="A482">
        <v>2015</v>
      </c>
      <c r="B482" t="s">
        <v>33</v>
      </c>
      <c r="C482" t="s">
        <v>174</v>
      </c>
      <c r="D482">
        <v>4</v>
      </c>
      <c r="E482">
        <v>118</v>
      </c>
    </row>
    <row r="483" spans="1:5" hidden="1" x14ac:dyDescent="0.35">
      <c r="A483">
        <v>2015</v>
      </c>
      <c r="B483" t="s">
        <v>33</v>
      </c>
      <c r="C483" t="s">
        <v>175</v>
      </c>
      <c r="D483">
        <v>16</v>
      </c>
      <c r="E483">
        <v>33</v>
      </c>
    </row>
    <row r="484" spans="1:5" hidden="1" x14ac:dyDescent="0.35">
      <c r="A484">
        <v>2015</v>
      </c>
      <c r="B484" t="s">
        <v>33</v>
      </c>
      <c r="C484" t="s">
        <v>176</v>
      </c>
      <c r="D484" t="s">
        <v>205</v>
      </c>
    </row>
    <row r="485" spans="1:5" hidden="1" x14ac:dyDescent="0.35">
      <c r="A485">
        <v>2015</v>
      </c>
      <c r="B485" t="s">
        <v>35</v>
      </c>
      <c r="C485" t="s">
        <v>177</v>
      </c>
      <c r="D485">
        <v>31</v>
      </c>
      <c r="E485">
        <v>74</v>
      </c>
    </row>
    <row r="486" spans="1:5" hidden="1" x14ac:dyDescent="0.35">
      <c r="A486">
        <v>2015</v>
      </c>
      <c r="B486" t="s">
        <v>34</v>
      </c>
      <c r="C486" t="s">
        <v>178</v>
      </c>
      <c r="D486">
        <v>3</v>
      </c>
      <c r="E486">
        <v>23</v>
      </c>
    </row>
    <row r="487" spans="1:5" hidden="1" x14ac:dyDescent="0.35">
      <c r="A487">
        <v>2015</v>
      </c>
      <c r="B487" t="s">
        <v>33</v>
      </c>
      <c r="C487" t="s">
        <v>179</v>
      </c>
      <c r="D487">
        <v>6</v>
      </c>
      <c r="E487">
        <v>5</v>
      </c>
    </row>
    <row r="488" spans="1:5" hidden="1" x14ac:dyDescent="0.35">
      <c r="A488">
        <v>2015</v>
      </c>
      <c r="B488" t="s">
        <v>38</v>
      </c>
      <c r="C488" t="s">
        <v>180</v>
      </c>
      <c r="D488" t="s">
        <v>205</v>
      </c>
      <c r="E488" t="s">
        <v>205</v>
      </c>
    </row>
    <row r="489" spans="1:5" hidden="1" x14ac:dyDescent="0.35">
      <c r="A489">
        <v>2015</v>
      </c>
      <c r="B489" t="s">
        <v>35</v>
      </c>
      <c r="C489" t="s">
        <v>182</v>
      </c>
      <c r="D489">
        <v>6</v>
      </c>
      <c r="E489">
        <v>11</v>
      </c>
    </row>
    <row r="490" spans="1:5" hidden="1" x14ac:dyDescent="0.35">
      <c r="A490">
        <v>2015</v>
      </c>
      <c r="B490" t="s">
        <v>34</v>
      </c>
      <c r="C490" t="s">
        <v>184</v>
      </c>
      <c r="D490">
        <v>0</v>
      </c>
      <c r="E490">
        <v>4</v>
      </c>
    </row>
    <row r="491" spans="1:5" hidden="1" x14ac:dyDescent="0.35">
      <c r="A491">
        <v>2015</v>
      </c>
      <c r="B491" t="s">
        <v>34</v>
      </c>
      <c r="C491" t="s">
        <v>185</v>
      </c>
      <c r="D491">
        <v>9</v>
      </c>
      <c r="E491">
        <v>24</v>
      </c>
    </row>
    <row r="492" spans="1:5" hidden="1" x14ac:dyDescent="0.35">
      <c r="A492">
        <v>2015</v>
      </c>
      <c r="B492" t="s">
        <v>34</v>
      </c>
      <c r="C492" t="s">
        <v>186</v>
      </c>
      <c r="D492" t="s">
        <v>205</v>
      </c>
      <c r="E492" t="s">
        <v>205</v>
      </c>
    </row>
    <row r="493" spans="1:5" hidden="1" x14ac:dyDescent="0.35">
      <c r="A493">
        <v>2015</v>
      </c>
      <c r="B493" t="s">
        <v>33</v>
      </c>
      <c r="C493" t="s">
        <v>187</v>
      </c>
      <c r="D493">
        <v>11</v>
      </c>
      <c r="E493">
        <v>10</v>
      </c>
    </row>
    <row r="494" spans="1:5" hidden="1" x14ac:dyDescent="0.35">
      <c r="A494">
        <v>2015</v>
      </c>
      <c r="B494" t="s">
        <v>34</v>
      </c>
      <c r="C494" t="s">
        <v>188</v>
      </c>
      <c r="D494">
        <v>15</v>
      </c>
      <c r="E494">
        <v>39</v>
      </c>
    </row>
    <row r="495" spans="1:5" hidden="1" x14ac:dyDescent="0.35">
      <c r="A495">
        <v>2015</v>
      </c>
      <c r="B495" t="s">
        <v>33</v>
      </c>
      <c r="C495" t="s">
        <v>189</v>
      </c>
      <c r="D495">
        <v>3</v>
      </c>
      <c r="E495">
        <v>8</v>
      </c>
    </row>
    <row r="496" spans="1:5" hidden="1" x14ac:dyDescent="0.35">
      <c r="A496">
        <v>2015</v>
      </c>
      <c r="B496" t="s">
        <v>37</v>
      </c>
      <c r="C496" t="s">
        <v>190</v>
      </c>
      <c r="D496">
        <v>13</v>
      </c>
      <c r="E496">
        <v>7</v>
      </c>
    </row>
    <row r="497" spans="1:5" hidden="1" x14ac:dyDescent="0.35">
      <c r="A497">
        <v>2015</v>
      </c>
      <c r="B497" t="s">
        <v>36</v>
      </c>
      <c r="C497" t="s">
        <v>191</v>
      </c>
      <c r="D497">
        <v>102</v>
      </c>
      <c r="E497">
        <v>27</v>
      </c>
    </row>
    <row r="498" spans="1:5" hidden="1" x14ac:dyDescent="0.35">
      <c r="A498">
        <v>2015</v>
      </c>
      <c r="B498" t="s">
        <v>33</v>
      </c>
      <c r="C498" t="s">
        <v>192</v>
      </c>
      <c r="D498">
        <v>7</v>
      </c>
      <c r="E498">
        <v>9</v>
      </c>
    </row>
    <row r="499" spans="1:5" hidden="1" x14ac:dyDescent="0.35">
      <c r="A499">
        <v>2015</v>
      </c>
      <c r="B499" t="s">
        <v>34</v>
      </c>
      <c r="C499" t="s">
        <v>193</v>
      </c>
      <c r="D499">
        <v>16</v>
      </c>
      <c r="E499">
        <v>43</v>
      </c>
    </row>
    <row r="500" spans="1:5" hidden="1" x14ac:dyDescent="0.35">
      <c r="A500">
        <v>2015</v>
      </c>
      <c r="B500" t="s">
        <v>34</v>
      </c>
      <c r="C500" t="s">
        <v>194</v>
      </c>
      <c r="D500" t="s">
        <v>205</v>
      </c>
      <c r="E500" t="s">
        <v>205</v>
      </c>
    </row>
    <row r="501" spans="1:5" hidden="1" x14ac:dyDescent="0.35">
      <c r="A501">
        <v>2015</v>
      </c>
      <c r="B501" t="s">
        <v>33</v>
      </c>
      <c r="C501" t="s">
        <v>195</v>
      </c>
      <c r="D501">
        <v>4</v>
      </c>
      <c r="E501">
        <v>6</v>
      </c>
    </row>
    <row r="502" spans="1:5" hidden="1" x14ac:dyDescent="0.35">
      <c r="A502">
        <v>2015</v>
      </c>
      <c r="B502" t="s">
        <v>35</v>
      </c>
      <c r="C502" t="s">
        <v>196</v>
      </c>
      <c r="D502">
        <v>39</v>
      </c>
      <c r="E502">
        <v>53</v>
      </c>
    </row>
    <row r="503" spans="1:5" hidden="1" x14ac:dyDescent="0.35">
      <c r="A503">
        <v>2015</v>
      </c>
      <c r="B503" t="s">
        <v>35</v>
      </c>
      <c r="C503" t="s">
        <v>198</v>
      </c>
      <c r="D503">
        <v>111</v>
      </c>
      <c r="E503">
        <v>66</v>
      </c>
    </row>
    <row r="504" spans="1:5" hidden="1" x14ac:dyDescent="0.35">
      <c r="A504">
        <v>2015</v>
      </c>
      <c r="B504" t="s">
        <v>39</v>
      </c>
      <c r="C504" t="s">
        <v>39</v>
      </c>
      <c r="D504">
        <v>12</v>
      </c>
      <c r="E504">
        <v>26</v>
      </c>
    </row>
    <row r="505" spans="1:5" hidden="1" x14ac:dyDescent="0.35">
      <c r="A505">
        <v>2015</v>
      </c>
      <c r="B505" t="s">
        <v>38</v>
      </c>
      <c r="C505" t="s">
        <v>199</v>
      </c>
      <c r="D505">
        <v>16</v>
      </c>
      <c r="E505">
        <v>19</v>
      </c>
    </row>
    <row r="506" spans="1:5" hidden="1" x14ac:dyDescent="0.35">
      <c r="A506">
        <v>2015</v>
      </c>
      <c r="B506" t="s">
        <v>34</v>
      </c>
      <c r="C506" t="s">
        <v>200</v>
      </c>
      <c r="D506">
        <v>10</v>
      </c>
      <c r="E506">
        <v>7</v>
      </c>
    </row>
    <row r="507" spans="1:5" hidden="1" x14ac:dyDescent="0.35">
      <c r="A507">
        <v>2015</v>
      </c>
      <c r="B507" t="s">
        <v>38</v>
      </c>
      <c r="C507" t="s">
        <v>19</v>
      </c>
      <c r="D507">
        <v>60</v>
      </c>
      <c r="E507">
        <v>146</v>
      </c>
    </row>
    <row r="508" spans="1:5" hidden="1" x14ac:dyDescent="0.35">
      <c r="A508">
        <v>2015</v>
      </c>
      <c r="B508" t="s">
        <v>34</v>
      </c>
      <c r="C508" t="s">
        <v>201</v>
      </c>
      <c r="D508">
        <v>19</v>
      </c>
      <c r="E508">
        <v>28</v>
      </c>
    </row>
    <row r="509" spans="1:5" hidden="1" x14ac:dyDescent="0.35">
      <c r="A509">
        <v>2015</v>
      </c>
      <c r="B509" t="s">
        <v>34</v>
      </c>
      <c r="C509" t="s">
        <v>202</v>
      </c>
      <c r="D509">
        <v>9</v>
      </c>
      <c r="E509">
        <v>9</v>
      </c>
    </row>
    <row r="510" spans="1:5" hidden="1" x14ac:dyDescent="0.35">
      <c r="A510">
        <v>2015</v>
      </c>
      <c r="B510" t="s">
        <v>33</v>
      </c>
      <c r="C510" t="s">
        <v>203</v>
      </c>
      <c r="D510" t="s">
        <v>205</v>
      </c>
      <c r="E510" t="s">
        <v>205</v>
      </c>
    </row>
    <row r="511" spans="1:5" hidden="1" x14ac:dyDescent="0.35">
      <c r="A511">
        <v>2015</v>
      </c>
      <c r="B511" t="s">
        <v>33</v>
      </c>
      <c r="C511" t="s">
        <v>204</v>
      </c>
      <c r="D511">
        <v>6</v>
      </c>
      <c r="E511">
        <v>5</v>
      </c>
    </row>
    <row r="512" spans="1:5" hidden="1" x14ac:dyDescent="0.35">
      <c r="A512">
        <v>2016</v>
      </c>
      <c r="B512" t="s">
        <v>34</v>
      </c>
      <c r="C512" t="s">
        <v>40</v>
      </c>
      <c r="D512" t="s">
        <v>205</v>
      </c>
      <c r="E512" t="s">
        <v>205</v>
      </c>
    </row>
    <row r="513" spans="1:5" hidden="1" x14ac:dyDescent="0.35">
      <c r="A513">
        <v>2016</v>
      </c>
      <c r="B513" t="s">
        <v>35</v>
      </c>
      <c r="C513" t="s">
        <v>41</v>
      </c>
      <c r="D513">
        <v>10</v>
      </c>
      <c r="E513">
        <v>25</v>
      </c>
    </row>
    <row r="514" spans="1:5" hidden="1" x14ac:dyDescent="0.35">
      <c r="A514">
        <v>2016</v>
      </c>
      <c r="B514" t="s">
        <v>33</v>
      </c>
      <c r="C514" t="s">
        <v>42</v>
      </c>
      <c r="D514">
        <v>3</v>
      </c>
      <c r="E514">
        <v>14</v>
      </c>
    </row>
    <row r="515" spans="1:5" hidden="1" x14ac:dyDescent="0.35">
      <c r="A515">
        <v>2016</v>
      </c>
      <c r="C515" t="s">
        <v>373</v>
      </c>
      <c r="D515">
        <v>20</v>
      </c>
      <c r="E515">
        <v>43</v>
      </c>
    </row>
    <row r="516" spans="1:5" hidden="1" x14ac:dyDescent="0.35">
      <c r="A516">
        <v>2016</v>
      </c>
      <c r="B516" t="s">
        <v>33</v>
      </c>
      <c r="C516" t="s">
        <v>43</v>
      </c>
      <c r="D516" t="s">
        <v>205</v>
      </c>
      <c r="E516" t="s">
        <v>205</v>
      </c>
    </row>
    <row r="517" spans="1:5" hidden="1" x14ac:dyDescent="0.35">
      <c r="A517">
        <v>2016</v>
      </c>
      <c r="B517" t="s">
        <v>36</v>
      </c>
      <c r="C517" t="s">
        <v>44</v>
      </c>
      <c r="D517" t="s">
        <v>205</v>
      </c>
      <c r="E517" t="s">
        <v>205</v>
      </c>
    </row>
    <row r="518" spans="1:5" hidden="1" x14ac:dyDescent="0.35">
      <c r="A518">
        <v>2016</v>
      </c>
      <c r="B518" t="s">
        <v>38</v>
      </c>
      <c r="C518" t="s">
        <v>45</v>
      </c>
      <c r="D518">
        <v>52</v>
      </c>
      <c r="E518">
        <v>104</v>
      </c>
    </row>
    <row r="519" spans="1:5" hidden="1" x14ac:dyDescent="0.35">
      <c r="A519">
        <v>2016</v>
      </c>
      <c r="B519" t="s">
        <v>34</v>
      </c>
      <c r="C519" t="s">
        <v>46</v>
      </c>
      <c r="D519">
        <v>13</v>
      </c>
      <c r="E519">
        <v>8</v>
      </c>
    </row>
    <row r="520" spans="1:5" hidden="1" x14ac:dyDescent="0.35">
      <c r="A520">
        <v>2016</v>
      </c>
      <c r="B520" t="s">
        <v>37</v>
      </c>
      <c r="C520" t="s">
        <v>47</v>
      </c>
      <c r="D520">
        <v>13</v>
      </c>
      <c r="E520">
        <v>28</v>
      </c>
    </row>
    <row r="521" spans="1:5" hidden="1" x14ac:dyDescent="0.35">
      <c r="A521">
        <v>2016</v>
      </c>
      <c r="B521" t="s">
        <v>35</v>
      </c>
      <c r="C521" t="s">
        <v>48</v>
      </c>
      <c r="D521">
        <v>3</v>
      </c>
      <c r="E521">
        <v>5</v>
      </c>
    </row>
    <row r="522" spans="1:5" hidden="1" x14ac:dyDescent="0.35">
      <c r="A522">
        <v>2016</v>
      </c>
      <c r="B522" t="s">
        <v>34</v>
      </c>
      <c r="C522" t="s">
        <v>49</v>
      </c>
      <c r="D522" t="s">
        <v>205</v>
      </c>
      <c r="E522" t="s">
        <v>205</v>
      </c>
    </row>
    <row r="523" spans="1:5" hidden="1" x14ac:dyDescent="0.35">
      <c r="A523">
        <v>2016</v>
      </c>
      <c r="B523" t="s">
        <v>36</v>
      </c>
      <c r="C523" t="s">
        <v>50</v>
      </c>
      <c r="D523">
        <v>85</v>
      </c>
      <c r="E523">
        <v>12</v>
      </c>
    </row>
    <row r="524" spans="1:5" hidden="1" x14ac:dyDescent="0.35">
      <c r="A524">
        <v>2016</v>
      </c>
      <c r="B524" t="s">
        <v>34</v>
      </c>
      <c r="C524" t="s">
        <v>52</v>
      </c>
      <c r="D524">
        <v>14</v>
      </c>
      <c r="E524">
        <v>125</v>
      </c>
    </row>
    <row r="525" spans="1:5" hidden="1" x14ac:dyDescent="0.35">
      <c r="A525">
        <v>2016</v>
      </c>
      <c r="B525" t="s">
        <v>36</v>
      </c>
      <c r="C525" t="s">
        <v>53</v>
      </c>
      <c r="D525" t="s">
        <v>205</v>
      </c>
      <c r="E525" t="s">
        <v>205</v>
      </c>
    </row>
    <row r="526" spans="1:5" hidden="1" x14ac:dyDescent="0.35">
      <c r="A526">
        <v>2016</v>
      </c>
      <c r="B526" t="s">
        <v>35</v>
      </c>
      <c r="C526" t="s">
        <v>54</v>
      </c>
      <c r="D526">
        <v>4</v>
      </c>
      <c r="E526">
        <v>7</v>
      </c>
    </row>
    <row r="527" spans="1:5" hidden="1" x14ac:dyDescent="0.35">
      <c r="A527">
        <v>2016</v>
      </c>
      <c r="B527" t="s">
        <v>35</v>
      </c>
      <c r="C527" t="s">
        <v>55</v>
      </c>
      <c r="D527" t="s">
        <v>205</v>
      </c>
      <c r="E527" t="s">
        <v>205</v>
      </c>
    </row>
    <row r="528" spans="1:5" hidden="1" x14ac:dyDescent="0.35">
      <c r="A528">
        <v>2016</v>
      </c>
      <c r="B528" t="s">
        <v>36</v>
      </c>
      <c r="C528" t="s">
        <v>56</v>
      </c>
      <c r="D528">
        <v>88</v>
      </c>
      <c r="E528">
        <v>60</v>
      </c>
    </row>
    <row r="529" spans="1:5" hidden="1" x14ac:dyDescent="0.35">
      <c r="A529">
        <v>2016</v>
      </c>
      <c r="B529" t="s">
        <v>33</v>
      </c>
      <c r="C529" t="s">
        <v>57</v>
      </c>
      <c r="D529">
        <v>0</v>
      </c>
      <c r="E529" t="s">
        <v>205</v>
      </c>
    </row>
    <row r="530" spans="1:5" hidden="1" x14ac:dyDescent="0.35">
      <c r="A530">
        <v>2016</v>
      </c>
      <c r="B530" t="s">
        <v>38</v>
      </c>
      <c r="C530" t="s">
        <v>59</v>
      </c>
      <c r="D530">
        <v>28</v>
      </c>
      <c r="E530">
        <v>63</v>
      </c>
    </row>
    <row r="531" spans="1:5" hidden="1" x14ac:dyDescent="0.35">
      <c r="A531">
        <v>2016</v>
      </c>
      <c r="B531" t="s">
        <v>35</v>
      </c>
      <c r="C531" t="s">
        <v>60</v>
      </c>
      <c r="D531">
        <v>42</v>
      </c>
      <c r="E531">
        <v>10</v>
      </c>
    </row>
    <row r="532" spans="1:5" hidden="1" x14ac:dyDescent="0.35">
      <c r="A532">
        <v>2016</v>
      </c>
      <c r="B532" t="s">
        <v>38</v>
      </c>
      <c r="C532" t="s">
        <v>21</v>
      </c>
      <c r="D532">
        <v>335</v>
      </c>
      <c r="E532">
        <v>1174</v>
      </c>
    </row>
    <row r="533" spans="1:5" hidden="1" x14ac:dyDescent="0.35">
      <c r="A533">
        <v>2016</v>
      </c>
      <c r="B533" t="s">
        <v>35</v>
      </c>
      <c r="C533" t="s">
        <v>62</v>
      </c>
      <c r="D533">
        <v>8</v>
      </c>
      <c r="E533">
        <v>19</v>
      </c>
    </row>
    <row r="534" spans="1:5" hidden="1" x14ac:dyDescent="0.35">
      <c r="A534">
        <v>2016</v>
      </c>
      <c r="B534" t="s">
        <v>33</v>
      </c>
      <c r="C534" t="s">
        <v>63</v>
      </c>
      <c r="D534">
        <v>0</v>
      </c>
      <c r="E534">
        <v>18</v>
      </c>
    </row>
    <row r="535" spans="1:5" hidden="1" x14ac:dyDescent="0.35">
      <c r="A535">
        <v>2016</v>
      </c>
      <c r="B535" t="s">
        <v>34</v>
      </c>
      <c r="C535" t="s">
        <v>64</v>
      </c>
      <c r="D535" t="s">
        <v>205</v>
      </c>
      <c r="E535" t="s">
        <v>205</v>
      </c>
    </row>
    <row r="536" spans="1:5" hidden="1" x14ac:dyDescent="0.35">
      <c r="A536">
        <v>2016</v>
      </c>
      <c r="B536" t="s">
        <v>33</v>
      </c>
      <c r="C536" t="s">
        <v>65</v>
      </c>
      <c r="D536">
        <v>0</v>
      </c>
      <c r="E536">
        <v>3</v>
      </c>
    </row>
    <row r="537" spans="1:5" hidden="1" x14ac:dyDescent="0.35">
      <c r="A537">
        <v>2016</v>
      </c>
      <c r="B537" t="s">
        <v>33</v>
      </c>
      <c r="C537" t="s">
        <v>66</v>
      </c>
      <c r="D537">
        <v>11</v>
      </c>
      <c r="E537">
        <v>5</v>
      </c>
    </row>
    <row r="538" spans="1:5" hidden="1" x14ac:dyDescent="0.35">
      <c r="A538">
        <v>2016</v>
      </c>
      <c r="B538" t="s">
        <v>34</v>
      </c>
      <c r="C538" t="s">
        <v>67</v>
      </c>
      <c r="D538" t="s">
        <v>205</v>
      </c>
      <c r="E538" t="s">
        <v>205</v>
      </c>
    </row>
    <row r="539" spans="1:5" hidden="1" x14ac:dyDescent="0.35">
      <c r="A539">
        <v>2016</v>
      </c>
      <c r="B539" t="s">
        <v>33</v>
      </c>
      <c r="C539" t="s">
        <v>68</v>
      </c>
      <c r="D539">
        <v>14</v>
      </c>
      <c r="E539">
        <v>23</v>
      </c>
    </row>
    <row r="540" spans="1:5" hidden="1" x14ac:dyDescent="0.35">
      <c r="A540">
        <v>2016</v>
      </c>
      <c r="B540" t="s">
        <v>36</v>
      </c>
      <c r="C540" t="s">
        <v>69</v>
      </c>
      <c r="D540">
        <v>257</v>
      </c>
      <c r="E540">
        <v>451</v>
      </c>
    </row>
    <row r="541" spans="1:5" hidden="1" x14ac:dyDescent="0.35">
      <c r="A541">
        <v>2016</v>
      </c>
      <c r="B541" t="s">
        <v>33</v>
      </c>
      <c r="C541" t="s">
        <v>71</v>
      </c>
      <c r="D541" t="s">
        <v>205</v>
      </c>
      <c r="E541" t="s">
        <v>205</v>
      </c>
    </row>
    <row r="542" spans="1:5" hidden="1" x14ac:dyDescent="0.35">
      <c r="A542">
        <v>2016</v>
      </c>
      <c r="B542" t="s">
        <v>38</v>
      </c>
      <c r="C542" t="s">
        <v>72</v>
      </c>
      <c r="D542">
        <v>50</v>
      </c>
      <c r="E542">
        <v>65</v>
      </c>
    </row>
    <row r="543" spans="1:5" hidden="1" x14ac:dyDescent="0.35">
      <c r="A543">
        <v>2016</v>
      </c>
      <c r="B543" t="s">
        <v>34</v>
      </c>
      <c r="C543" t="s">
        <v>73</v>
      </c>
      <c r="D543">
        <v>110</v>
      </c>
      <c r="E543">
        <v>703</v>
      </c>
    </row>
    <row r="544" spans="1:5" hidden="1" x14ac:dyDescent="0.35">
      <c r="A544">
        <v>2016</v>
      </c>
      <c r="B544" t="s">
        <v>38</v>
      </c>
      <c r="C544" t="s">
        <v>20</v>
      </c>
      <c r="D544">
        <v>766</v>
      </c>
      <c r="E544">
        <v>1331</v>
      </c>
    </row>
    <row r="545" spans="1:5" hidden="1" x14ac:dyDescent="0.35">
      <c r="A545">
        <v>2016</v>
      </c>
      <c r="B545" t="s">
        <v>33</v>
      </c>
      <c r="C545" t="s">
        <v>74</v>
      </c>
      <c r="D545">
        <v>5</v>
      </c>
      <c r="E545">
        <v>16</v>
      </c>
    </row>
    <row r="546" spans="1:5" hidden="1" x14ac:dyDescent="0.35">
      <c r="A546">
        <v>2016</v>
      </c>
      <c r="B546" t="s">
        <v>33</v>
      </c>
      <c r="C546" t="s">
        <v>75</v>
      </c>
      <c r="D546">
        <v>0</v>
      </c>
      <c r="E546" t="s">
        <v>205</v>
      </c>
    </row>
    <row r="547" spans="1:5" hidden="1" x14ac:dyDescent="0.35">
      <c r="A547">
        <v>2016</v>
      </c>
      <c r="B547" t="s">
        <v>36</v>
      </c>
      <c r="C547" t="s">
        <v>76</v>
      </c>
      <c r="D547">
        <v>70</v>
      </c>
      <c r="E547">
        <v>184</v>
      </c>
    </row>
    <row r="548" spans="1:5" hidden="1" x14ac:dyDescent="0.35">
      <c r="A548">
        <v>2016</v>
      </c>
      <c r="B548" t="s">
        <v>33</v>
      </c>
      <c r="C548" t="s">
        <v>77</v>
      </c>
      <c r="D548">
        <v>11</v>
      </c>
      <c r="E548">
        <v>12</v>
      </c>
    </row>
    <row r="549" spans="1:5" hidden="1" x14ac:dyDescent="0.35">
      <c r="A549">
        <v>2016</v>
      </c>
      <c r="B549" t="s">
        <v>35</v>
      </c>
      <c r="C549" t="s">
        <v>78</v>
      </c>
      <c r="D549">
        <v>5</v>
      </c>
      <c r="E549">
        <v>3</v>
      </c>
    </row>
    <row r="550" spans="1:5" hidden="1" x14ac:dyDescent="0.35">
      <c r="A550">
        <v>2016</v>
      </c>
      <c r="B550" t="s">
        <v>36</v>
      </c>
      <c r="C550" t="s">
        <v>79</v>
      </c>
      <c r="D550">
        <v>32</v>
      </c>
      <c r="E550">
        <v>19</v>
      </c>
    </row>
    <row r="551" spans="1:5" hidden="1" x14ac:dyDescent="0.35">
      <c r="A551">
        <v>2016</v>
      </c>
      <c r="B551" t="s">
        <v>35</v>
      </c>
      <c r="C551" t="s">
        <v>81</v>
      </c>
      <c r="D551">
        <v>8</v>
      </c>
      <c r="E551">
        <v>13</v>
      </c>
    </row>
    <row r="552" spans="1:5" hidden="1" x14ac:dyDescent="0.35">
      <c r="A552">
        <v>2016</v>
      </c>
      <c r="B552" t="s">
        <v>35</v>
      </c>
      <c r="C552" t="s">
        <v>214</v>
      </c>
      <c r="D552">
        <v>3</v>
      </c>
    </row>
    <row r="553" spans="1:5" hidden="1" x14ac:dyDescent="0.35">
      <c r="A553">
        <v>2016</v>
      </c>
      <c r="B553" t="s">
        <v>36</v>
      </c>
      <c r="C553" t="s">
        <v>84</v>
      </c>
      <c r="D553" t="s">
        <v>205</v>
      </c>
      <c r="E553" t="s">
        <v>205</v>
      </c>
    </row>
    <row r="554" spans="1:5" hidden="1" x14ac:dyDescent="0.35">
      <c r="A554">
        <v>2016</v>
      </c>
      <c r="B554" t="s">
        <v>36</v>
      </c>
      <c r="C554" t="s">
        <v>85</v>
      </c>
      <c r="D554">
        <v>1487</v>
      </c>
      <c r="E554">
        <v>500</v>
      </c>
    </row>
    <row r="555" spans="1:5" hidden="1" x14ac:dyDescent="0.35">
      <c r="A555">
        <v>2016</v>
      </c>
      <c r="B555" t="s">
        <v>38</v>
      </c>
      <c r="C555" t="s">
        <v>86</v>
      </c>
      <c r="D555">
        <v>466</v>
      </c>
      <c r="E555">
        <v>966</v>
      </c>
    </row>
    <row r="556" spans="1:5" hidden="1" x14ac:dyDescent="0.35">
      <c r="A556">
        <v>2016</v>
      </c>
      <c r="B556" t="s">
        <v>33</v>
      </c>
      <c r="C556" t="s">
        <v>87</v>
      </c>
      <c r="D556">
        <v>15</v>
      </c>
      <c r="E556">
        <v>38</v>
      </c>
    </row>
    <row r="557" spans="1:5" hidden="1" x14ac:dyDescent="0.35">
      <c r="A557">
        <v>2016</v>
      </c>
      <c r="B557" t="s">
        <v>36</v>
      </c>
      <c r="C557" t="s">
        <v>16</v>
      </c>
      <c r="D557">
        <v>6754</v>
      </c>
      <c r="E557">
        <v>13592</v>
      </c>
    </row>
    <row r="558" spans="1:5" hidden="1" x14ac:dyDescent="0.35">
      <c r="A558">
        <v>2016</v>
      </c>
      <c r="B558" t="s">
        <v>33</v>
      </c>
      <c r="C558" t="s">
        <v>88</v>
      </c>
      <c r="D558">
        <v>3</v>
      </c>
      <c r="E558">
        <v>3</v>
      </c>
    </row>
    <row r="559" spans="1:5" hidden="1" x14ac:dyDescent="0.35">
      <c r="A559">
        <v>2016</v>
      </c>
      <c r="B559" t="s">
        <v>33</v>
      </c>
      <c r="C559" t="s">
        <v>89</v>
      </c>
      <c r="D559">
        <v>0</v>
      </c>
      <c r="E559">
        <v>12</v>
      </c>
    </row>
    <row r="560" spans="1:5" hidden="1" x14ac:dyDescent="0.35">
      <c r="A560">
        <v>2016</v>
      </c>
      <c r="B560" t="s">
        <v>35</v>
      </c>
      <c r="C560" t="s">
        <v>90</v>
      </c>
      <c r="D560" t="s">
        <v>205</v>
      </c>
      <c r="E560" t="s">
        <v>205</v>
      </c>
    </row>
    <row r="561" spans="1:5" hidden="1" x14ac:dyDescent="0.35">
      <c r="A561">
        <v>2016</v>
      </c>
      <c r="B561" t="s">
        <v>33</v>
      </c>
      <c r="C561" t="s">
        <v>91</v>
      </c>
      <c r="D561">
        <v>16</v>
      </c>
      <c r="E561">
        <v>27</v>
      </c>
    </row>
    <row r="562" spans="1:5" hidden="1" x14ac:dyDescent="0.35">
      <c r="A562">
        <v>2016</v>
      </c>
      <c r="B562" t="s">
        <v>37</v>
      </c>
      <c r="C562" t="s">
        <v>92</v>
      </c>
      <c r="D562">
        <v>10</v>
      </c>
      <c r="E562">
        <v>28</v>
      </c>
    </row>
    <row r="563" spans="1:5" hidden="1" x14ac:dyDescent="0.35">
      <c r="A563">
        <v>2016</v>
      </c>
      <c r="B563" t="s">
        <v>35</v>
      </c>
      <c r="C563" t="s">
        <v>94</v>
      </c>
      <c r="D563">
        <v>20</v>
      </c>
      <c r="E563">
        <v>29</v>
      </c>
    </row>
    <row r="564" spans="1:5" hidden="1" x14ac:dyDescent="0.35">
      <c r="A564">
        <v>2016</v>
      </c>
      <c r="B564" t="s">
        <v>33</v>
      </c>
      <c r="C564" t="s">
        <v>95</v>
      </c>
      <c r="D564">
        <v>0</v>
      </c>
      <c r="E564">
        <v>3</v>
      </c>
    </row>
    <row r="565" spans="1:5" hidden="1" x14ac:dyDescent="0.35">
      <c r="A565">
        <v>2016</v>
      </c>
      <c r="B565" t="s">
        <v>33</v>
      </c>
      <c r="C565" t="s">
        <v>96</v>
      </c>
      <c r="D565" t="s">
        <v>205</v>
      </c>
      <c r="E565" t="s">
        <v>205</v>
      </c>
    </row>
    <row r="566" spans="1:5" hidden="1" x14ac:dyDescent="0.35">
      <c r="A566">
        <v>2016</v>
      </c>
      <c r="B566" t="s">
        <v>34</v>
      </c>
      <c r="C566" t="s">
        <v>8</v>
      </c>
      <c r="D566">
        <v>9</v>
      </c>
      <c r="E566">
        <v>15</v>
      </c>
    </row>
    <row r="567" spans="1:5" hidden="1" x14ac:dyDescent="0.35">
      <c r="A567">
        <v>2016</v>
      </c>
      <c r="B567" t="s">
        <v>35</v>
      </c>
      <c r="C567" t="s">
        <v>97</v>
      </c>
      <c r="D567">
        <v>49</v>
      </c>
      <c r="E567">
        <v>19</v>
      </c>
    </row>
    <row r="568" spans="1:5" hidden="1" x14ac:dyDescent="0.35">
      <c r="A568">
        <v>2016</v>
      </c>
      <c r="B568" t="s">
        <v>33</v>
      </c>
      <c r="C568" t="s">
        <v>98</v>
      </c>
      <c r="D568">
        <v>32</v>
      </c>
      <c r="E568">
        <v>73</v>
      </c>
    </row>
    <row r="569" spans="1:5" hidden="1" x14ac:dyDescent="0.35">
      <c r="A569">
        <v>2016</v>
      </c>
      <c r="B569" t="s">
        <v>35</v>
      </c>
      <c r="C569" t="s">
        <v>99</v>
      </c>
      <c r="D569">
        <v>6</v>
      </c>
      <c r="E569">
        <v>9</v>
      </c>
    </row>
    <row r="570" spans="1:5" hidden="1" x14ac:dyDescent="0.35">
      <c r="A570">
        <v>2016</v>
      </c>
      <c r="B570" t="s">
        <v>36</v>
      </c>
      <c r="C570" t="s">
        <v>100</v>
      </c>
      <c r="D570">
        <v>8</v>
      </c>
      <c r="E570">
        <v>7</v>
      </c>
    </row>
    <row r="571" spans="1:5" hidden="1" x14ac:dyDescent="0.35">
      <c r="A571">
        <v>2016</v>
      </c>
      <c r="B571" t="s">
        <v>36</v>
      </c>
      <c r="C571" t="s">
        <v>15</v>
      </c>
      <c r="D571">
        <v>10599</v>
      </c>
      <c r="E571">
        <v>23270</v>
      </c>
    </row>
    <row r="572" spans="1:5" hidden="1" x14ac:dyDescent="0.35">
      <c r="A572">
        <v>2016</v>
      </c>
      <c r="B572" t="s">
        <v>33</v>
      </c>
      <c r="C572" t="s">
        <v>101</v>
      </c>
      <c r="D572">
        <v>10</v>
      </c>
      <c r="E572">
        <v>8</v>
      </c>
    </row>
    <row r="573" spans="1:5" hidden="1" x14ac:dyDescent="0.35">
      <c r="A573">
        <v>2016</v>
      </c>
      <c r="B573" t="s">
        <v>38</v>
      </c>
      <c r="C573" t="s">
        <v>103</v>
      </c>
      <c r="D573">
        <v>87</v>
      </c>
      <c r="E573">
        <v>31</v>
      </c>
    </row>
    <row r="574" spans="1:5" hidden="1" x14ac:dyDescent="0.35">
      <c r="A574">
        <v>2016</v>
      </c>
      <c r="B574" t="s">
        <v>36</v>
      </c>
      <c r="C574" t="s">
        <v>104</v>
      </c>
      <c r="D574">
        <v>264</v>
      </c>
      <c r="E574">
        <v>118</v>
      </c>
    </row>
    <row r="575" spans="1:5" hidden="1" x14ac:dyDescent="0.35">
      <c r="A575">
        <v>2016</v>
      </c>
      <c r="B575" t="s">
        <v>36</v>
      </c>
      <c r="C575" t="s">
        <v>17</v>
      </c>
      <c r="D575">
        <v>8629</v>
      </c>
      <c r="E575">
        <v>13444</v>
      </c>
    </row>
    <row r="576" spans="1:5" hidden="1" x14ac:dyDescent="0.35">
      <c r="A576">
        <v>2016</v>
      </c>
      <c r="B576" t="s">
        <v>35</v>
      </c>
      <c r="C576" t="s">
        <v>105</v>
      </c>
      <c r="D576">
        <v>17</v>
      </c>
      <c r="E576">
        <v>13</v>
      </c>
    </row>
    <row r="577" spans="1:5" hidden="1" x14ac:dyDescent="0.35">
      <c r="A577">
        <v>2016</v>
      </c>
      <c r="B577" t="s">
        <v>34</v>
      </c>
      <c r="C577" t="s">
        <v>22</v>
      </c>
      <c r="D577">
        <v>103</v>
      </c>
      <c r="E577">
        <v>611</v>
      </c>
    </row>
    <row r="578" spans="1:5" hidden="1" x14ac:dyDescent="0.35">
      <c r="A578">
        <v>2016</v>
      </c>
      <c r="B578" t="s">
        <v>34</v>
      </c>
      <c r="C578" t="s">
        <v>107</v>
      </c>
      <c r="D578">
        <v>9</v>
      </c>
      <c r="E578">
        <v>26</v>
      </c>
    </row>
    <row r="579" spans="1:5" hidden="1" x14ac:dyDescent="0.35">
      <c r="A579">
        <v>2016</v>
      </c>
      <c r="B579" t="s">
        <v>34</v>
      </c>
      <c r="C579" t="s">
        <v>108</v>
      </c>
      <c r="D579">
        <v>12</v>
      </c>
      <c r="E579">
        <v>9</v>
      </c>
    </row>
    <row r="580" spans="1:5" hidden="1" x14ac:dyDescent="0.35">
      <c r="A580">
        <v>2016</v>
      </c>
      <c r="B580" t="s">
        <v>34</v>
      </c>
      <c r="C580" t="s">
        <v>109</v>
      </c>
      <c r="D580">
        <v>9</v>
      </c>
      <c r="E580">
        <v>39</v>
      </c>
    </row>
    <row r="581" spans="1:5" hidden="1" x14ac:dyDescent="0.35">
      <c r="A581">
        <v>2016</v>
      </c>
      <c r="B581" t="s">
        <v>35</v>
      </c>
      <c r="C581" t="s">
        <v>110</v>
      </c>
      <c r="D581">
        <v>15</v>
      </c>
      <c r="E581">
        <v>10</v>
      </c>
    </row>
    <row r="582" spans="1:5" hidden="1" x14ac:dyDescent="0.35">
      <c r="A582">
        <v>2016</v>
      </c>
      <c r="B582" t="s">
        <v>34</v>
      </c>
      <c r="C582" t="s">
        <v>111</v>
      </c>
      <c r="D582">
        <v>16</v>
      </c>
      <c r="E582">
        <v>65</v>
      </c>
    </row>
    <row r="583" spans="1:5" hidden="1" x14ac:dyDescent="0.35">
      <c r="A583">
        <v>2016</v>
      </c>
      <c r="B583" t="s">
        <v>35</v>
      </c>
      <c r="C583" t="s">
        <v>112</v>
      </c>
      <c r="D583">
        <v>20</v>
      </c>
      <c r="E583">
        <v>29</v>
      </c>
    </row>
    <row r="584" spans="1:5" hidden="1" x14ac:dyDescent="0.35">
      <c r="A584">
        <v>2016</v>
      </c>
      <c r="B584" t="s">
        <v>36</v>
      </c>
      <c r="C584" t="s">
        <v>113</v>
      </c>
      <c r="D584">
        <v>623</v>
      </c>
      <c r="E584">
        <v>461</v>
      </c>
    </row>
    <row r="585" spans="1:5" hidden="1" x14ac:dyDescent="0.35">
      <c r="A585">
        <v>2016</v>
      </c>
      <c r="B585" t="s">
        <v>34</v>
      </c>
      <c r="C585" t="s">
        <v>114</v>
      </c>
      <c r="D585">
        <v>6</v>
      </c>
      <c r="E585">
        <v>23</v>
      </c>
    </row>
    <row r="586" spans="1:5" hidden="1" x14ac:dyDescent="0.35">
      <c r="A586">
        <v>2016</v>
      </c>
      <c r="B586" t="s">
        <v>34</v>
      </c>
      <c r="C586" t="s">
        <v>115</v>
      </c>
      <c r="D586">
        <v>39</v>
      </c>
      <c r="E586">
        <v>87</v>
      </c>
    </row>
    <row r="587" spans="1:5" hidden="1" x14ac:dyDescent="0.35">
      <c r="A587">
        <v>2016</v>
      </c>
      <c r="B587" t="s">
        <v>34</v>
      </c>
      <c r="C587" t="s">
        <v>116</v>
      </c>
      <c r="D587">
        <v>5</v>
      </c>
      <c r="E587">
        <v>17</v>
      </c>
    </row>
    <row r="588" spans="1:5" hidden="1" x14ac:dyDescent="0.35">
      <c r="A588">
        <v>2016</v>
      </c>
      <c r="B588" t="s">
        <v>33</v>
      </c>
      <c r="C588" t="s">
        <v>117</v>
      </c>
      <c r="D588">
        <v>33</v>
      </c>
      <c r="E588">
        <v>41</v>
      </c>
    </row>
    <row r="589" spans="1:5" hidden="1" x14ac:dyDescent="0.35">
      <c r="A589">
        <v>2016</v>
      </c>
      <c r="B589" t="s">
        <v>34</v>
      </c>
      <c r="C589" t="s">
        <v>118</v>
      </c>
      <c r="D589">
        <v>89</v>
      </c>
      <c r="E589">
        <v>62</v>
      </c>
    </row>
    <row r="590" spans="1:5" hidden="1" x14ac:dyDescent="0.35">
      <c r="A590">
        <v>2016</v>
      </c>
      <c r="B590" t="s">
        <v>35</v>
      </c>
      <c r="C590" t="s">
        <v>119</v>
      </c>
      <c r="D590">
        <v>6</v>
      </c>
      <c r="E590">
        <v>5</v>
      </c>
    </row>
    <row r="591" spans="1:5" hidden="1" x14ac:dyDescent="0.35">
      <c r="A591">
        <v>2016</v>
      </c>
      <c r="B591" t="s">
        <v>34</v>
      </c>
      <c r="C591" t="s">
        <v>120</v>
      </c>
      <c r="D591" t="s">
        <v>205</v>
      </c>
      <c r="E591" t="s">
        <v>205</v>
      </c>
    </row>
    <row r="592" spans="1:5" hidden="1" x14ac:dyDescent="0.35">
      <c r="A592">
        <v>2016</v>
      </c>
      <c r="B592" t="s">
        <v>34</v>
      </c>
      <c r="C592" t="s">
        <v>121</v>
      </c>
      <c r="D592" t="s">
        <v>205</v>
      </c>
      <c r="E592" t="s">
        <v>205</v>
      </c>
    </row>
    <row r="593" spans="1:5" hidden="1" x14ac:dyDescent="0.35">
      <c r="A593">
        <v>2016</v>
      </c>
      <c r="B593" t="s">
        <v>34</v>
      </c>
      <c r="C593" t="s">
        <v>122</v>
      </c>
      <c r="D593">
        <v>0</v>
      </c>
    </row>
    <row r="594" spans="1:5" hidden="1" x14ac:dyDescent="0.35">
      <c r="A594">
        <v>2016</v>
      </c>
      <c r="B594" t="s">
        <v>35</v>
      </c>
      <c r="C594" t="s">
        <v>123</v>
      </c>
      <c r="D594" t="s">
        <v>205</v>
      </c>
      <c r="E594" t="s">
        <v>205</v>
      </c>
    </row>
    <row r="595" spans="1:5" hidden="1" x14ac:dyDescent="0.35">
      <c r="A595">
        <v>2016</v>
      </c>
      <c r="B595" t="s">
        <v>34</v>
      </c>
      <c r="C595" t="s">
        <v>124</v>
      </c>
      <c r="D595">
        <v>19</v>
      </c>
      <c r="E595">
        <v>23</v>
      </c>
    </row>
    <row r="596" spans="1:5" hidden="1" x14ac:dyDescent="0.35">
      <c r="A596">
        <v>2016</v>
      </c>
      <c r="B596" t="s">
        <v>33</v>
      </c>
      <c r="C596" t="s">
        <v>125</v>
      </c>
      <c r="D596">
        <v>22</v>
      </c>
      <c r="E596">
        <v>6</v>
      </c>
    </row>
    <row r="597" spans="1:5" hidden="1" x14ac:dyDescent="0.35">
      <c r="A597">
        <v>2016</v>
      </c>
      <c r="B597" t="s">
        <v>35</v>
      </c>
      <c r="C597" t="s">
        <v>127</v>
      </c>
      <c r="D597">
        <v>9</v>
      </c>
      <c r="E597">
        <v>8</v>
      </c>
    </row>
    <row r="598" spans="1:5" hidden="1" x14ac:dyDescent="0.35">
      <c r="A598">
        <v>2016</v>
      </c>
      <c r="B598" t="s">
        <v>34</v>
      </c>
      <c r="C598" t="s">
        <v>131</v>
      </c>
      <c r="D598">
        <v>9</v>
      </c>
      <c r="E598">
        <v>10</v>
      </c>
    </row>
    <row r="599" spans="1:5" hidden="1" x14ac:dyDescent="0.35">
      <c r="A599">
        <v>2016</v>
      </c>
      <c r="B599" t="s">
        <v>33</v>
      </c>
      <c r="C599" t="s">
        <v>132</v>
      </c>
      <c r="D599" t="s">
        <v>205</v>
      </c>
      <c r="E599" t="s">
        <v>205</v>
      </c>
    </row>
    <row r="600" spans="1:5" hidden="1" x14ac:dyDescent="0.35">
      <c r="A600">
        <v>2016</v>
      </c>
      <c r="B600" t="s">
        <v>37</v>
      </c>
      <c r="C600" t="s">
        <v>134</v>
      </c>
      <c r="D600" t="s">
        <v>205</v>
      </c>
      <c r="E600" t="s">
        <v>205</v>
      </c>
    </row>
    <row r="601" spans="1:5" hidden="1" x14ac:dyDescent="0.35">
      <c r="A601">
        <v>2016</v>
      </c>
      <c r="B601" t="s">
        <v>33</v>
      </c>
      <c r="C601" t="s">
        <v>135</v>
      </c>
      <c r="D601">
        <v>3</v>
      </c>
      <c r="E601">
        <v>6</v>
      </c>
    </row>
    <row r="602" spans="1:5" hidden="1" x14ac:dyDescent="0.35">
      <c r="A602">
        <v>2016</v>
      </c>
      <c r="B602" t="s">
        <v>36</v>
      </c>
      <c r="C602" t="s">
        <v>14</v>
      </c>
      <c r="D602">
        <v>83087</v>
      </c>
      <c r="E602">
        <v>153522</v>
      </c>
    </row>
    <row r="603" spans="1:5" hidden="1" x14ac:dyDescent="0.35">
      <c r="A603">
        <v>2016</v>
      </c>
      <c r="B603" t="s">
        <v>37</v>
      </c>
      <c r="C603" t="s">
        <v>137</v>
      </c>
      <c r="D603">
        <v>62</v>
      </c>
    </row>
    <row r="604" spans="1:5" hidden="1" x14ac:dyDescent="0.35">
      <c r="A604">
        <v>2016</v>
      </c>
      <c r="B604" t="s">
        <v>35</v>
      </c>
      <c r="C604" t="s">
        <v>138</v>
      </c>
      <c r="D604">
        <v>12</v>
      </c>
      <c r="E604">
        <v>9</v>
      </c>
    </row>
    <row r="605" spans="1:5" hidden="1" x14ac:dyDescent="0.35">
      <c r="A605">
        <v>2016</v>
      </c>
      <c r="B605" t="s">
        <v>34</v>
      </c>
      <c r="C605" t="s">
        <v>139</v>
      </c>
      <c r="D605">
        <v>3</v>
      </c>
      <c r="E605">
        <v>22</v>
      </c>
    </row>
    <row r="606" spans="1:5" hidden="1" x14ac:dyDescent="0.35">
      <c r="A606">
        <v>2016</v>
      </c>
      <c r="B606" t="s">
        <v>35</v>
      </c>
      <c r="C606" t="s">
        <v>140</v>
      </c>
      <c r="D606" t="s">
        <v>205</v>
      </c>
      <c r="E606" t="s">
        <v>205</v>
      </c>
    </row>
    <row r="607" spans="1:5" hidden="1" x14ac:dyDescent="0.35">
      <c r="A607">
        <v>2016</v>
      </c>
      <c r="B607" t="s">
        <v>33</v>
      </c>
      <c r="C607" t="s">
        <v>141</v>
      </c>
      <c r="D607">
        <v>13</v>
      </c>
      <c r="E607">
        <v>17</v>
      </c>
    </row>
    <row r="608" spans="1:5" hidden="1" x14ac:dyDescent="0.35">
      <c r="A608">
        <v>2016</v>
      </c>
      <c r="B608" t="s">
        <v>34</v>
      </c>
      <c r="C608" t="s">
        <v>144</v>
      </c>
      <c r="D608">
        <v>5</v>
      </c>
      <c r="E608">
        <v>26</v>
      </c>
    </row>
    <row r="609" spans="1:5" hidden="1" x14ac:dyDescent="0.35">
      <c r="A609">
        <v>2016</v>
      </c>
      <c r="B609" t="s">
        <v>35</v>
      </c>
      <c r="C609" t="s">
        <v>145</v>
      </c>
      <c r="D609">
        <v>16</v>
      </c>
      <c r="E609">
        <v>7</v>
      </c>
    </row>
    <row r="610" spans="1:5" hidden="1" x14ac:dyDescent="0.35">
      <c r="A610">
        <v>2016</v>
      </c>
      <c r="B610" t="s">
        <v>37</v>
      </c>
      <c r="C610" t="s">
        <v>146</v>
      </c>
      <c r="D610">
        <v>11</v>
      </c>
      <c r="E610">
        <v>7</v>
      </c>
    </row>
    <row r="611" spans="1:5" hidden="1" x14ac:dyDescent="0.35">
      <c r="A611">
        <v>2016</v>
      </c>
      <c r="B611" t="s">
        <v>36</v>
      </c>
      <c r="C611" t="s">
        <v>147</v>
      </c>
      <c r="D611">
        <v>392</v>
      </c>
      <c r="E611">
        <v>493</v>
      </c>
    </row>
    <row r="612" spans="1:5" hidden="1" x14ac:dyDescent="0.35">
      <c r="A612">
        <v>2016</v>
      </c>
      <c r="B612" t="s">
        <v>33</v>
      </c>
      <c r="C612" t="s">
        <v>148</v>
      </c>
      <c r="D612" t="s">
        <v>205</v>
      </c>
      <c r="E612" t="s">
        <v>205</v>
      </c>
    </row>
    <row r="613" spans="1:5" hidden="1" x14ac:dyDescent="0.35">
      <c r="A613">
        <v>2016</v>
      </c>
      <c r="B613" t="s">
        <v>33</v>
      </c>
      <c r="C613" t="s">
        <v>149</v>
      </c>
      <c r="D613">
        <v>112</v>
      </c>
      <c r="E613">
        <v>491</v>
      </c>
    </row>
    <row r="614" spans="1:5" hidden="1" x14ac:dyDescent="0.35">
      <c r="A614">
        <v>2016</v>
      </c>
      <c r="B614" t="s">
        <v>35</v>
      </c>
      <c r="C614" t="s">
        <v>322</v>
      </c>
      <c r="D614" t="s">
        <v>205</v>
      </c>
      <c r="E614" t="s">
        <v>205</v>
      </c>
    </row>
    <row r="615" spans="1:5" hidden="1" x14ac:dyDescent="0.35">
      <c r="A615">
        <v>2016</v>
      </c>
      <c r="B615" t="s">
        <v>35</v>
      </c>
      <c r="C615" t="s">
        <v>150</v>
      </c>
      <c r="D615" t="s">
        <v>205</v>
      </c>
      <c r="E615" t="s">
        <v>205</v>
      </c>
    </row>
    <row r="616" spans="1:5" hidden="1" x14ac:dyDescent="0.35">
      <c r="A616">
        <v>2016</v>
      </c>
      <c r="B616" t="s">
        <v>34</v>
      </c>
      <c r="C616" t="s">
        <v>152</v>
      </c>
      <c r="D616">
        <v>22</v>
      </c>
      <c r="E616">
        <v>99</v>
      </c>
    </row>
    <row r="617" spans="1:5" hidden="1" x14ac:dyDescent="0.35">
      <c r="A617">
        <v>2016</v>
      </c>
      <c r="B617" t="s">
        <v>37</v>
      </c>
      <c r="C617" t="s">
        <v>153</v>
      </c>
      <c r="D617">
        <v>10</v>
      </c>
    </row>
    <row r="618" spans="1:5" hidden="1" x14ac:dyDescent="0.35">
      <c r="A618">
        <v>2016</v>
      </c>
      <c r="B618" t="s">
        <v>36</v>
      </c>
      <c r="C618" t="s">
        <v>154</v>
      </c>
      <c r="D618">
        <v>54</v>
      </c>
      <c r="E618">
        <v>29</v>
      </c>
    </row>
    <row r="619" spans="1:5" hidden="1" x14ac:dyDescent="0.35">
      <c r="A619">
        <v>2016</v>
      </c>
      <c r="B619" t="s">
        <v>38</v>
      </c>
      <c r="C619" t="s">
        <v>155</v>
      </c>
      <c r="D619" t="s">
        <v>205</v>
      </c>
      <c r="E619" t="s">
        <v>205</v>
      </c>
    </row>
    <row r="620" spans="1:5" hidden="1" x14ac:dyDescent="0.35">
      <c r="A620">
        <v>2016</v>
      </c>
      <c r="B620" t="s">
        <v>38</v>
      </c>
      <c r="C620" t="s">
        <v>156</v>
      </c>
      <c r="D620">
        <v>207</v>
      </c>
      <c r="E620">
        <v>385</v>
      </c>
    </row>
    <row r="621" spans="1:5" hidden="1" x14ac:dyDescent="0.35">
      <c r="A621">
        <v>2016</v>
      </c>
      <c r="B621" t="s">
        <v>34</v>
      </c>
      <c r="C621" t="s">
        <v>18</v>
      </c>
      <c r="D621">
        <v>123</v>
      </c>
      <c r="E621">
        <v>152</v>
      </c>
    </row>
    <row r="622" spans="1:5" hidden="1" x14ac:dyDescent="0.35">
      <c r="A622">
        <v>2016</v>
      </c>
      <c r="B622" t="s">
        <v>35</v>
      </c>
      <c r="C622" t="s">
        <v>157</v>
      </c>
      <c r="D622">
        <v>74</v>
      </c>
      <c r="E622">
        <v>116</v>
      </c>
    </row>
    <row r="623" spans="1:5" hidden="1" x14ac:dyDescent="0.35">
      <c r="A623">
        <v>2016</v>
      </c>
      <c r="B623" t="s">
        <v>35</v>
      </c>
      <c r="C623" t="s">
        <v>158</v>
      </c>
      <c r="D623">
        <v>27</v>
      </c>
      <c r="E623">
        <v>17</v>
      </c>
    </row>
    <row r="624" spans="1:5" hidden="1" x14ac:dyDescent="0.35">
      <c r="A624">
        <v>2016</v>
      </c>
      <c r="B624" t="s">
        <v>35</v>
      </c>
      <c r="C624" t="s">
        <v>160</v>
      </c>
      <c r="D624">
        <v>69</v>
      </c>
      <c r="E624">
        <v>111</v>
      </c>
    </row>
    <row r="625" spans="1:5" hidden="1" x14ac:dyDescent="0.35">
      <c r="A625">
        <v>2016</v>
      </c>
      <c r="B625" t="s">
        <v>35</v>
      </c>
      <c r="C625" t="s">
        <v>161</v>
      </c>
      <c r="D625">
        <v>42</v>
      </c>
      <c r="E625">
        <v>91</v>
      </c>
    </row>
    <row r="626" spans="1:5" hidden="1" x14ac:dyDescent="0.35">
      <c r="A626">
        <v>2016</v>
      </c>
      <c r="B626" t="s">
        <v>33</v>
      </c>
      <c r="C626" t="s">
        <v>162</v>
      </c>
      <c r="D626" t="s">
        <v>205</v>
      </c>
      <c r="E626" t="s">
        <v>205</v>
      </c>
    </row>
    <row r="627" spans="1:5" hidden="1" x14ac:dyDescent="0.35">
      <c r="A627">
        <v>2016</v>
      </c>
      <c r="B627" t="s">
        <v>36</v>
      </c>
      <c r="C627" t="s">
        <v>163</v>
      </c>
      <c r="D627">
        <v>8</v>
      </c>
      <c r="E627">
        <v>3</v>
      </c>
    </row>
    <row r="628" spans="1:5" hidden="1" x14ac:dyDescent="0.35">
      <c r="A628">
        <v>2016</v>
      </c>
      <c r="B628" t="s">
        <v>36</v>
      </c>
      <c r="C628" t="s">
        <v>164</v>
      </c>
      <c r="D628">
        <v>10</v>
      </c>
      <c r="E628">
        <v>6</v>
      </c>
    </row>
    <row r="629" spans="1:5" hidden="1" x14ac:dyDescent="0.35">
      <c r="A629">
        <v>2016</v>
      </c>
      <c r="B629" t="s">
        <v>36</v>
      </c>
      <c r="C629" t="s">
        <v>165</v>
      </c>
      <c r="D629">
        <v>10</v>
      </c>
      <c r="E629">
        <v>4</v>
      </c>
    </row>
    <row r="630" spans="1:5" hidden="1" x14ac:dyDescent="0.35">
      <c r="A630">
        <v>2016</v>
      </c>
      <c r="B630" t="s">
        <v>37</v>
      </c>
      <c r="C630" t="s">
        <v>166</v>
      </c>
      <c r="D630" t="s">
        <v>205</v>
      </c>
    </row>
    <row r="631" spans="1:5" hidden="1" x14ac:dyDescent="0.35">
      <c r="A631">
        <v>2016</v>
      </c>
      <c r="B631" t="s">
        <v>34</v>
      </c>
      <c r="C631" t="s">
        <v>167</v>
      </c>
      <c r="D631">
        <v>24</v>
      </c>
      <c r="E631">
        <v>119</v>
      </c>
    </row>
    <row r="632" spans="1:5" hidden="1" x14ac:dyDescent="0.35">
      <c r="A632">
        <v>2016</v>
      </c>
      <c r="B632" t="s">
        <v>33</v>
      </c>
      <c r="C632" t="s">
        <v>168</v>
      </c>
      <c r="D632">
        <v>7</v>
      </c>
      <c r="E632">
        <v>11</v>
      </c>
    </row>
    <row r="633" spans="1:5" hidden="1" x14ac:dyDescent="0.35">
      <c r="A633">
        <v>2016</v>
      </c>
      <c r="B633" t="s">
        <v>35</v>
      </c>
      <c r="C633" t="s">
        <v>169</v>
      </c>
      <c r="D633">
        <v>12</v>
      </c>
      <c r="E633">
        <v>19</v>
      </c>
    </row>
    <row r="634" spans="1:5" hidden="1" x14ac:dyDescent="0.35">
      <c r="A634">
        <v>2016</v>
      </c>
      <c r="B634" t="s">
        <v>35</v>
      </c>
      <c r="C634" t="s">
        <v>215</v>
      </c>
      <c r="D634" t="s">
        <v>205</v>
      </c>
      <c r="E634" t="s">
        <v>205</v>
      </c>
    </row>
    <row r="635" spans="1:5" hidden="1" x14ac:dyDescent="0.35">
      <c r="A635">
        <v>2016</v>
      </c>
      <c r="B635" t="s">
        <v>33</v>
      </c>
      <c r="C635" t="s">
        <v>170</v>
      </c>
      <c r="D635">
        <v>18</v>
      </c>
      <c r="E635">
        <v>4</v>
      </c>
    </row>
    <row r="636" spans="1:5" hidden="1" x14ac:dyDescent="0.35">
      <c r="A636">
        <v>2016</v>
      </c>
      <c r="B636" t="s">
        <v>34</v>
      </c>
      <c r="C636" t="s">
        <v>171</v>
      </c>
      <c r="D636" t="s">
        <v>205</v>
      </c>
      <c r="E636" t="s">
        <v>205</v>
      </c>
    </row>
    <row r="637" spans="1:5" hidden="1" x14ac:dyDescent="0.35">
      <c r="A637">
        <v>2016</v>
      </c>
      <c r="B637" t="s">
        <v>35</v>
      </c>
      <c r="C637" t="s">
        <v>172</v>
      </c>
      <c r="D637">
        <v>4</v>
      </c>
      <c r="E637">
        <v>8</v>
      </c>
    </row>
    <row r="638" spans="1:5" hidden="1" x14ac:dyDescent="0.35">
      <c r="A638">
        <v>2016</v>
      </c>
      <c r="B638" t="s">
        <v>33</v>
      </c>
      <c r="C638" t="s">
        <v>174</v>
      </c>
      <c r="D638">
        <v>25</v>
      </c>
      <c r="E638">
        <v>175</v>
      </c>
    </row>
    <row r="639" spans="1:5" hidden="1" x14ac:dyDescent="0.35">
      <c r="A639">
        <v>2016</v>
      </c>
      <c r="B639" t="s">
        <v>33</v>
      </c>
      <c r="C639" t="s">
        <v>175</v>
      </c>
      <c r="D639">
        <v>9</v>
      </c>
      <c r="E639">
        <v>28</v>
      </c>
    </row>
    <row r="640" spans="1:5" hidden="1" x14ac:dyDescent="0.35">
      <c r="A640">
        <v>2016</v>
      </c>
      <c r="B640" t="s">
        <v>33</v>
      </c>
      <c r="C640" t="s">
        <v>176</v>
      </c>
      <c r="D640">
        <v>0</v>
      </c>
      <c r="E640" t="s">
        <v>205</v>
      </c>
    </row>
    <row r="641" spans="1:5" hidden="1" x14ac:dyDescent="0.35">
      <c r="A641">
        <v>2016</v>
      </c>
      <c r="B641" t="s">
        <v>35</v>
      </c>
      <c r="C641" t="s">
        <v>177</v>
      </c>
      <c r="D641">
        <v>32</v>
      </c>
      <c r="E641">
        <v>45</v>
      </c>
    </row>
    <row r="642" spans="1:5" hidden="1" x14ac:dyDescent="0.35">
      <c r="A642">
        <v>2016</v>
      </c>
      <c r="B642" t="s">
        <v>34</v>
      </c>
      <c r="C642" t="s">
        <v>178</v>
      </c>
      <c r="D642">
        <v>3</v>
      </c>
      <c r="E642">
        <v>29</v>
      </c>
    </row>
    <row r="643" spans="1:5" hidden="1" x14ac:dyDescent="0.35">
      <c r="A643">
        <v>2016</v>
      </c>
      <c r="B643" t="s">
        <v>33</v>
      </c>
      <c r="C643" t="s">
        <v>179</v>
      </c>
      <c r="D643" t="s">
        <v>205</v>
      </c>
      <c r="E643" t="s">
        <v>205</v>
      </c>
    </row>
    <row r="644" spans="1:5" hidden="1" x14ac:dyDescent="0.35">
      <c r="A644">
        <v>2016</v>
      </c>
      <c r="B644" t="s">
        <v>38</v>
      </c>
      <c r="C644" t="s">
        <v>180</v>
      </c>
      <c r="D644" t="s">
        <v>205</v>
      </c>
    </row>
    <row r="645" spans="1:5" hidden="1" x14ac:dyDescent="0.35">
      <c r="A645">
        <v>2016</v>
      </c>
      <c r="B645" t="s">
        <v>35</v>
      </c>
      <c r="C645" t="s">
        <v>182</v>
      </c>
      <c r="D645">
        <v>6</v>
      </c>
      <c r="E645">
        <v>8</v>
      </c>
    </row>
    <row r="646" spans="1:5" hidden="1" x14ac:dyDescent="0.35">
      <c r="A646">
        <v>2016</v>
      </c>
      <c r="B646" t="s">
        <v>34</v>
      </c>
      <c r="C646" t="s">
        <v>184</v>
      </c>
      <c r="D646" t="s">
        <v>205</v>
      </c>
      <c r="E646" t="s">
        <v>205</v>
      </c>
    </row>
    <row r="647" spans="1:5" hidden="1" x14ac:dyDescent="0.35">
      <c r="A647">
        <v>2016</v>
      </c>
      <c r="B647" t="s">
        <v>34</v>
      </c>
      <c r="C647" t="s">
        <v>185</v>
      </c>
      <c r="D647">
        <v>13</v>
      </c>
      <c r="E647">
        <v>27</v>
      </c>
    </row>
    <row r="648" spans="1:5" hidden="1" x14ac:dyDescent="0.35">
      <c r="A648">
        <v>2016</v>
      </c>
      <c r="B648" t="s">
        <v>34</v>
      </c>
      <c r="C648" t="s">
        <v>186</v>
      </c>
      <c r="D648" t="s">
        <v>205</v>
      </c>
      <c r="E648" t="s">
        <v>205</v>
      </c>
    </row>
    <row r="649" spans="1:5" hidden="1" x14ac:dyDescent="0.35">
      <c r="A649">
        <v>2016</v>
      </c>
      <c r="B649" t="s">
        <v>33</v>
      </c>
      <c r="C649" t="s">
        <v>187</v>
      </c>
      <c r="D649">
        <v>10</v>
      </c>
      <c r="E649">
        <v>5</v>
      </c>
    </row>
    <row r="650" spans="1:5" hidden="1" x14ac:dyDescent="0.35">
      <c r="A650">
        <v>2016</v>
      </c>
      <c r="B650" t="s">
        <v>34</v>
      </c>
      <c r="C650" t="s">
        <v>188</v>
      </c>
      <c r="D650">
        <v>11</v>
      </c>
      <c r="E650">
        <v>55</v>
      </c>
    </row>
    <row r="651" spans="1:5" hidden="1" x14ac:dyDescent="0.35">
      <c r="A651">
        <v>2016</v>
      </c>
      <c r="B651" t="s">
        <v>33</v>
      </c>
      <c r="C651" t="s">
        <v>189</v>
      </c>
      <c r="D651" t="s">
        <v>205</v>
      </c>
      <c r="E651" t="s">
        <v>205</v>
      </c>
    </row>
    <row r="652" spans="1:5" hidden="1" x14ac:dyDescent="0.35">
      <c r="A652">
        <v>2016</v>
      </c>
      <c r="B652" t="s">
        <v>37</v>
      </c>
      <c r="C652" t="s">
        <v>190</v>
      </c>
      <c r="D652">
        <v>21</v>
      </c>
      <c r="E652">
        <v>9</v>
      </c>
    </row>
    <row r="653" spans="1:5" hidden="1" x14ac:dyDescent="0.35">
      <c r="A653">
        <v>2016</v>
      </c>
      <c r="B653" t="s">
        <v>36</v>
      </c>
      <c r="C653" t="s">
        <v>191</v>
      </c>
      <c r="D653">
        <v>109</v>
      </c>
      <c r="E653">
        <v>18</v>
      </c>
    </row>
    <row r="654" spans="1:5" hidden="1" x14ac:dyDescent="0.35">
      <c r="A654">
        <v>2016</v>
      </c>
      <c r="B654" t="s">
        <v>33</v>
      </c>
      <c r="C654" t="s">
        <v>192</v>
      </c>
      <c r="D654" t="s">
        <v>205</v>
      </c>
      <c r="E654" t="s">
        <v>205</v>
      </c>
    </row>
    <row r="655" spans="1:5" hidden="1" x14ac:dyDescent="0.35">
      <c r="A655">
        <v>2016</v>
      </c>
      <c r="B655" t="s">
        <v>34</v>
      </c>
      <c r="C655" t="s">
        <v>193</v>
      </c>
      <c r="D655">
        <v>17</v>
      </c>
      <c r="E655">
        <v>51</v>
      </c>
    </row>
    <row r="656" spans="1:5" hidden="1" x14ac:dyDescent="0.35">
      <c r="A656">
        <v>2016</v>
      </c>
      <c r="B656" t="s">
        <v>34</v>
      </c>
      <c r="C656" t="s">
        <v>194</v>
      </c>
      <c r="D656">
        <v>0</v>
      </c>
      <c r="E656">
        <v>12</v>
      </c>
    </row>
    <row r="657" spans="1:5" hidden="1" x14ac:dyDescent="0.35">
      <c r="A657">
        <v>2016</v>
      </c>
      <c r="B657" t="s">
        <v>33</v>
      </c>
      <c r="C657" t="s">
        <v>195</v>
      </c>
      <c r="D657" t="s">
        <v>205</v>
      </c>
      <c r="E657" t="s">
        <v>205</v>
      </c>
    </row>
    <row r="658" spans="1:5" hidden="1" x14ac:dyDescent="0.35">
      <c r="A658">
        <v>2016</v>
      </c>
      <c r="B658" t="s">
        <v>35</v>
      </c>
      <c r="C658" t="s">
        <v>196</v>
      </c>
      <c r="D658">
        <v>26</v>
      </c>
      <c r="E658">
        <v>94</v>
      </c>
    </row>
    <row r="659" spans="1:5" hidden="1" x14ac:dyDescent="0.35">
      <c r="A659">
        <v>2016</v>
      </c>
      <c r="B659" t="s">
        <v>35</v>
      </c>
      <c r="C659" t="s">
        <v>198</v>
      </c>
      <c r="D659">
        <v>107</v>
      </c>
      <c r="E659">
        <v>73</v>
      </c>
    </row>
    <row r="660" spans="1:5" hidden="1" x14ac:dyDescent="0.35">
      <c r="A660">
        <v>2016</v>
      </c>
      <c r="B660" t="s">
        <v>39</v>
      </c>
      <c r="C660" t="s">
        <v>39</v>
      </c>
      <c r="D660">
        <v>7</v>
      </c>
      <c r="E660">
        <v>28</v>
      </c>
    </row>
    <row r="661" spans="1:5" hidden="1" x14ac:dyDescent="0.35">
      <c r="A661">
        <v>2016</v>
      </c>
      <c r="B661" t="s">
        <v>38</v>
      </c>
      <c r="C661" t="s">
        <v>199</v>
      </c>
      <c r="D661">
        <v>17</v>
      </c>
      <c r="E661">
        <v>30</v>
      </c>
    </row>
    <row r="662" spans="1:5" hidden="1" x14ac:dyDescent="0.35">
      <c r="A662">
        <v>2016</v>
      </c>
      <c r="B662" t="s">
        <v>34</v>
      </c>
      <c r="C662" t="s">
        <v>200</v>
      </c>
      <c r="D662">
        <v>5</v>
      </c>
      <c r="E662">
        <v>12</v>
      </c>
    </row>
    <row r="663" spans="1:5" hidden="1" x14ac:dyDescent="0.35">
      <c r="A663">
        <v>2016</v>
      </c>
      <c r="B663" t="s">
        <v>38</v>
      </c>
      <c r="C663" t="s">
        <v>19</v>
      </c>
      <c r="D663">
        <v>56</v>
      </c>
      <c r="E663">
        <v>646</v>
      </c>
    </row>
    <row r="664" spans="1:5" hidden="1" x14ac:dyDescent="0.35">
      <c r="A664">
        <v>2016</v>
      </c>
      <c r="B664" t="s">
        <v>34</v>
      </c>
      <c r="C664" t="s">
        <v>201</v>
      </c>
      <c r="D664">
        <v>20</v>
      </c>
      <c r="E664">
        <v>25</v>
      </c>
    </row>
    <row r="665" spans="1:5" hidden="1" x14ac:dyDescent="0.35">
      <c r="A665">
        <v>2016</v>
      </c>
      <c r="B665" t="s">
        <v>34</v>
      </c>
      <c r="C665" t="s">
        <v>202</v>
      </c>
      <c r="D665" t="s">
        <v>205</v>
      </c>
      <c r="E665" t="s">
        <v>205</v>
      </c>
    </row>
    <row r="666" spans="1:5" hidden="1" x14ac:dyDescent="0.35">
      <c r="A666">
        <v>2016</v>
      </c>
      <c r="B666" t="s">
        <v>33</v>
      </c>
      <c r="C666" t="s">
        <v>203</v>
      </c>
      <c r="D666">
        <v>5</v>
      </c>
      <c r="E666">
        <v>7</v>
      </c>
    </row>
    <row r="667" spans="1:5" hidden="1" x14ac:dyDescent="0.35">
      <c r="A667">
        <v>2016</v>
      </c>
      <c r="B667" t="s">
        <v>33</v>
      </c>
      <c r="C667" t="s">
        <v>204</v>
      </c>
      <c r="D667" t="s">
        <v>205</v>
      </c>
      <c r="E667" t="s">
        <v>205</v>
      </c>
    </row>
    <row r="668" spans="1:5" hidden="1" x14ac:dyDescent="0.35">
      <c r="A668">
        <v>2017</v>
      </c>
      <c r="B668" t="s">
        <v>34</v>
      </c>
      <c r="C668" t="s">
        <v>40</v>
      </c>
      <c r="D668">
        <v>20</v>
      </c>
      <c r="E668">
        <v>26</v>
      </c>
    </row>
    <row r="669" spans="1:5" hidden="1" x14ac:dyDescent="0.35">
      <c r="A669">
        <v>2017</v>
      </c>
      <c r="B669" t="s">
        <v>35</v>
      </c>
      <c r="C669" t="s">
        <v>41</v>
      </c>
      <c r="D669">
        <v>25</v>
      </c>
      <c r="E669">
        <v>29</v>
      </c>
    </row>
    <row r="670" spans="1:5" hidden="1" x14ac:dyDescent="0.35">
      <c r="A670">
        <v>2017</v>
      </c>
      <c r="B670" t="s">
        <v>33</v>
      </c>
      <c r="C670" t="s">
        <v>42</v>
      </c>
      <c r="D670">
        <v>23</v>
      </c>
      <c r="E670">
        <v>18</v>
      </c>
    </row>
    <row r="671" spans="1:5" hidden="1" x14ac:dyDescent="0.35">
      <c r="A671">
        <v>2017</v>
      </c>
      <c r="C671" t="s">
        <v>373</v>
      </c>
      <c r="D671">
        <v>22</v>
      </c>
      <c r="E671">
        <v>56</v>
      </c>
    </row>
    <row r="672" spans="1:5" hidden="1" x14ac:dyDescent="0.35">
      <c r="A672">
        <v>2017</v>
      </c>
      <c r="B672" t="s">
        <v>33</v>
      </c>
      <c r="C672" t="s">
        <v>43</v>
      </c>
      <c r="D672">
        <v>0</v>
      </c>
      <c r="E672">
        <v>11</v>
      </c>
    </row>
    <row r="673" spans="1:5" hidden="1" x14ac:dyDescent="0.35">
      <c r="A673">
        <v>2017</v>
      </c>
      <c r="B673" t="s">
        <v>36</v>
      </c>
      <c r="C673" t="s">
        <v>44</v>
      </c>
      <c r="D673" t="s">
        <v>205</v>
      </c>
      <c r="E673" t="s">
        <v>205</v>
      </c>
    </row>
    <row r="674" spans="1:5" hidden="1" x14ac:dyDescent="0.35">
      <c r="A674">
        <v>2017</v>
      </c>
      <c r="B674" t="s">
        <v>38</v>
      </c>
      <c r="C674" t="s">
        <v>45</v>
      </c>
      <c r="D674">
        <v>48</v>
      </c>
      <c r="E674">
        <v>133</v>
      </c>
    </row>
    <row r="675" spans="1:5" hidden="1" x14ac:dyDescent="0.35">
      <c r="A675">
        <v>2017</v>
      </c>
      <c r="B675" t="s">
        <v>34</v>
      </c>
      <c r="C675" t="s">
        <v>46</v>
      </c>
      <c r="D675">
        <v>12</v>
      </c>
      <c r="E675">
        <v>17</v>
      </c>
    </row>
    <row r="676" spans="1:5" hidden="1" x14ac:dyDescent="0.35">
      <c r="A676">
        <v>2017</v>
      </c>
      <c r="B676" t="s">
        <v>37</v>
      </c>
      <c r="C676" t="s">
        <v>47</v>
      </c>
      <c r="D676">
        <v>6</v>
      </c>
      <c r="E676">
        <v>24</v>
      </c>
    </row>
    <row r="677" spans="1:5" hidden="1" x14ac:dyDescent="0.35">
      <c r="A677">
        <v>2017</v>
      </c>
      <c r="B677" t="s">
        <v>35</v>
      </c>
      <c r="C677" t="s">
        <v>48</v>
      </c>
      <c r="D677">
        <v>3</v>
      </c>
      <c r="E677">
        <v>3</v>
      </c>
    </row>
    <row r="678" spans="1:5" hidden="1" x14ac:dyDescent="0.35">
      <c r="A678">
        <v>2017</v>
      </c>
      <c r="B678" t="s">
        <v>34</v>
      </c>
      <c r="C678" t="s">
        <v>49</v>
      </c>
      <c r="D678" t="s">
        <v>205</v>
      </c>
      <c r="E678" t="s">
        <v>205</v>
      </c>
    </row>
    <row r="679" spans="1:5" hidden="1" x14ac:dyDescent="0.35">
      <c r="A679">
        <v>2017</v>
      </c>
      <c r="B679" t="s">
        <v>36</v>
      </c>
      <c r="C679" t="s">
        <v>50</v>
      </c>
      <c r="D679">
        <v>72</v>
      </c>
      <c r="E679">
        <v>14</v>
      </c>
    </row>
    <row r="680" spans="1:5" hidden="1" x14ac:dyDescent="0.35">
      <c r="A680">
        <v>2017</v>
      </c>
      <c r="B680" t="s">
        <v>34</v>
      </c>
      <c r="C680" t="s">
        <v>52</v>
      </c>
      <c r="D680">
        <v>25</v>
      </c>
      <c r="E680">
        <v>189</v>
      </c>
    </row>
    <row r="681" spans="1:5" hidden="1" x14ac:dyDescent="0.35">
      <c r="A681">
        <v>2017</v>
      </c>
      <c r="B681" t="s">
        <v>36</v>
      </c>
      <c r="C681" t="s">
        <v>53</v>
      </c>
      <c r="D681">
        <v>19</v>
      </c>
      <c r="E681">
        <v>4</v>
      </c>
    </row>
    <row r="682" spans="1:5" hidden="1" x14ac:dyDescent="0.35">
      <c r="A682">
        <v>2017</v>
      </c>
      <c r="B682" t="s">
        <v>35</v>
      </c>
      <c r="C682" t="s">
        <v>54</v>
      </c>
      <c r="D682">
        <v>6</v>
      </c>
      <c r="E682">
        <v>14</v>
      </c>
    </row>
    <row r="683" spans="1:5" hidden="1" x14ac:dyDescent="0.35">
      <c r="A683">
        <v>2017</v>
      </c>
      <c r="B683" t="s">
        <v>35</v>
      </c>
      <c r="C683" t="s">
        <v>55</v>
      </c>
      <c r="D683">
        <v>3</v>
      </c>
      <c r="E683">
        <v>7</v>
      </c>
    </row>
    <row r="684" spans="1:5" hidden="1" x14ac:dyDescent="0.35">
      <c r="A684">
        <v>2017</v>
      </c>
      <c r="B684" t="s">
        <v>36</v>
      </c>
      <c r="C684" t="s">
        <v>56</v>
      </c>
      <c r="D684">
        <v>57</v>
      </c>
      <c r="E684">
        <v>66</v>
      </c>
    </row>
    <row r="685" spans="1:5" hidden="1" x14ac:dyDescent="0.35">
      <c r="A685">
        <v>2017</v>
      </c>
      <c r="B685" t="s">
        <v>33</v>
      </c>
      <c r="C685" t="s">
        <v>57</v>
      </c>
      <c r="D685">
        <v>5</v>
      </c>
      <c r="E685">
        <v>4</v>
      </c>
    </row>
    <row r="686" spans="1:5" hidden="1" x14ac:dyDescent="0.35">
      <c r="A686">
        <v>2017</v>
      </c>
      <c r="B686" t="s">
        <v>38</v>
      </c>
      <c r="C686" t="s">
        <v>59</v>
      </c>
      <c r="D686">
        <v>43</v>
      </c>
      <c r="E686">
        <v>83</v>
      </c>
    </row>
    <row r="687" spans="1:5" hidden="1" x14ac:dyDescent="0.35">
      <c r="A687">
        <v>2017</v>
      </c>
      <c r="B687" t="s">
        <v>35</v>
      </c>
      <c r="C687" t="s">
        <v>60</v>
      </c>
      <c r="D687">
        <v>39</v>
      </c>
      <c r="E687">
        <v>4</v>
      </c>
    </row>
    <row r="688" spans="1:5" hidden="1" x14ac:dyDescent="0.35">
      <c r="A688">
        <v>2017</v>
      </c>
      <c r="B688" t="s">
        <v>38</v>
      </c>
      <c r="C688" t="s">
        <v>21</v>
      </c>
      <c r="D688">
        <v>405</v>
      </c>
      <c r="E688">
        <v>1313</v>
      </c>
    </row>
    <row r="689" spans="1:5" hidden="1" x14ac:dyDescent="0.35">
      <c r="A689">
        <v>2017</v>
      </c>
      <c r="B689" t="s">
        <v>35</v>
      </c>
      <c r="C689" t="s">
        <v>62</v>
      </c>
      <c r="D689">
        <v>14</v>
      </c>
      <c r="E689">
        <v>12</v>
      </c>
    </row>
    <row r="690" spans="1:5" hidden="1" x14ac:dyDescent="0.35">
      <c r="A690">
        <v>2017</v>
      </c>
      <c r="B690" t="s">
        <v>33</v>
      </c>
      <c r="C690" t="s">
        <v>63</v>
      </c>
      <c r="D690">
        <v>3</v>
      </c>
      <c r="E690">
        <v>36</v>
      </c>
    </row>
    <row r="691" spans="1:5" hidden="1" x14ac:dyDescent="0.35">
      <c r="A691">
        <v>2017</v>
      </c>
      <c r="B691" t="s">
        <v>34</v>
      </c>
      <c r="C691" t="s">
        <v>64</v>
      </c>
      <c r="D691">
        <v>5</v>
      </c>
      <c r="E691">
        <v>7</v>
      </c>
    </row>
    <row r="692" spans="1:5" hidden="1" x14ac:dyDescent="0.35">
      <c r="A692">
        <v>2017</v>
      </c>
      <c r="B692" t="s">
        <v>33</v>
      </c>
      <c r="C692" t="s">
        <v>65</v>
      </c>
      <c r="D692">
        <v>3</v>
      </c>
      <c r="E692">
        <v>4</v>
      </c>
    </row>
    <row r="693" spans="1:5" hidden="1" x14ac:dyDescent="0.35">
      <c r="A693">
        <v>2017</v>
      </c>
      <c r="B693" t="s">
        <v>33</v>
      </c>
      <c r="C693" t="s">
        <v>66</v>
      </c>
      <c r="D693">
        <v>25</v>
      </c>
      <c r="E693">
        <v>9</v>
      </c>
    </row>
    <row r="694" spans="1:5" hidden="1" x14ac:dyDescent="0.35">
      <c r="A694">
        <v>2017</v>
      </c>
      <c r="B694" t="s">
        <v>34</v>
      </c>
      <c r="C694" t="s">
        <v>67</v>
      </c>
      <c r="D694" t="s">
        <v>205</v>
      </c>
      <c r="E694" t="s">
        <v>205</v>
      </c>
    </row>
    <row r="695" spans="1:5" hidden="1" x14ac:dyDescent="0.35">
      <c r="A695">
        <v>2017</v>
      </c>
      <c r="B695" t="s">
        <v>33</v>
      </c>
      <c r="C695" t="s">
        <v>68</v>
      </c>
      <c r="D695">
        <v>10</v>
      </c>
      <c r="E695">
        <v>58</v>
      </c>
    </row>
    <row r="696" spans="1:5" hidden="1" x14ac:dyDescent="0.35">
      <c r="A696">
        <v>2017</v>
      </c>
      <c r="B696" t="s">
        <v>36</v>
      </c>
      <c r="C696" t="s">
        <v>69</v>
      </c>
      <c r="D696">
        <v>205</v>
      </c>
      <c r="E696">
        <v>480</v>
      </c>
    </row>
    <row r="697" spans="1:5" hidden="1" x14ac:dyDescent="0.35">
      <c r="A697">
        <v>2017</v>
      </c>
      <c r="B697" t="s">
        <v>33</v>
      </c>
      <c r="C697" t="s">
        <v>71</v>
      </c>
      <c r="D697">
        <v>3</v>
      </c>
      <c r="E697">
        <v>7</v>
      </c>
    </row>
    <row r="698" spans="1:5" hidden="1" x14ac:dyDescent="0.35">
      <c r="A698">
        <v>2017</v>
      </c>
      <c r="B698" t="s">
        <v>38</v>
      </c>
      <c r="C698" t="s">
        <v>72</v>
      </c>
      <c r="D698">
        <v>67</v>
      </c>
      <c r="E698">
        <v>83</v>
      </c>
    </row>
    <row r="699" spans="1:5" hidden="1" x14ac:dyDescent="0.35">
      <c r="A699">
        <v>2017</v>
      </c>
      <c r="B699" t="s">
        <v>34</v>
      </c>
      <c r="C699" t="s">
        <v>73</v>
      </c>
      <c r="D699">
        <v>122</v>
      </c>
      <c r="E699">
        <v>1748</v>
      </c>
    </row>
    <row r="700" spans="1:5" hidden="1" x14ac:dyDescent="0.35">
      <c r="A700">
        <v>2017</v>
      </c>
      <c r="B700" t="s">
        <v>38</v>
      </c>
      <c r="C700" t="s">
        <v>20</v>
      </c>
      <c r="D700">
        <v>616</v>
      </c>
      <c r="E700">
        <v>1413</v>
      </c>
    </row>
    <row r="701" spans="1:5" hidden="1" x14ac:dyDescent="0.35">
      <c r="A701">
        <v>2017</v>
      </c>
      <c r="B701" t="s">
        <v>33</v>
      </c>
      <c r="C701" t="s">
        <v>74</v>
      </c>
      <c r="D701">
        <v>12</v>
      </c>
      <c r="E701">
        <v>28</v>
      </c>
    </row>
    <row r="702" spans="1:5" hidden="1" x14ac:dyDescent="0.35">
      <c r="A702">
        <v>2017</v>
      </c>
      <c r="B702" t="s">
        <v>33</v>
      </c>
      <c r="C702" t="s">
        <v>75</v>
      </c>
      <c r="D702" t="s">
        <v>205</v>
      </c>
      <c r="E702" t="s">
        <v>205</v>
      </c>
    </row>
    <row r="703" spans="1:5" hidden="1" x14ac:dyDescent="0.35">
      <c r="A703">
        <v>2017</v>
      </c>
      <c r="B703" t="s">
        <v>36</v>
      </c>
      <c r="C703" t="s">
        <v>76</v>
      </c>
      <c r="D703">
        <v>72</v>
      </c>
      <c r="E703">
        <v>182</v>
      </c>
    </row>
    <row r="704" spans="1:5" hidden="1" x14ac:dyDescent="0.35">
      <c r="A704">
        <v>2017</v>
      </c>
      <c r="B704" t="s">
        <v>33</v>
      </c>
      <c r="C704" t="s">
        <v>77</v>
      </c>
      <c r="D704">
        <v>7</v>
      </c>
      <c r="E704">
        <v>8</v>
      </c>
    </row>
    <row r="705" spans="1:5" hidden="1" x14ac:dyDescent="0.35">
      <c r="A705">
        <v>2017</v>
      </c>
      <c r="B705" t="s">
        <v>35</v>
      </c>
      <c r="C705" t="s">
        <v>78</v>
      </c>
      <c r="D705" t="s">
        <v>205</v>
      </c>
      <c r="E705" t="s">
        <v>205</v>
      </c>
    </row>
    <row r="706" spans="1:5" hidden="1" x14ac:dyDescent="0.35">
      <c r="A706">
        <v>2017</v>
      </c>
      <c r="B706" t="s">
        <v>36</v>
      </c>
      <c r="C706" t="s">
        <v>79</v>
      </c>
      <c r="D706">
        <v>73</v>
      </c>
      <c r="E706">
        <v>121</v>
      </c>
    </row>
    <row r="707" spans="1:5" hidden="1" x14ac:dyDescent="0.35">
      <c r="A707">
        <v>2017</v>
      </c>
      <c r="B707" t="s">
        <v>35</v>
      </c>
      <c r="C707" t="s">
        <v>81</v>
      </c>
      <c r="D707">
        <v>9</v>
      </c>
      <c r="E707">
        <v>17</v>
      </c>
    </row>
    <row r="708" spans="1:5" hidden="1" x14ac:dyDescent="0.35">
      <c r="A708">
        <v>2017</v>
      </c>
      <c r="B708" t="s">
        <v>35</v>
      </c>
      <c r="C708" t="s">
        <v>214</v>
      </c>
      <c r="D708" t="s">
        <v>205</v>
      </c>
      <c r="E708" t="s">
        <v>205</v>
      </c>
    </row>
    <row r="709" spans="1:5" hidden="1" x14ac:dyDescent="0.35">
      <c r="A709">
        <v>2017</v>
      </c>
      <c r="B709" t="s">
        <v>36</v>
      </c>
      <c r="C709" t="s">
        <v>84</v>
      </c>
      <c r="D709">
        <v>9</v>
      </c>
      <c r="E709">
        <v>4</v>
      </c>
    </row>
    <row r="710" spans="1:5" hidden="1" x14ac:dyDescent="0.35">
      <c r="A710">
        <v>2017</v>
      </c>
      <c r="B710" t="s">
        <v>36</v>
      </c>
      <c r="C710" t="s">
        <v>85</v>
      </c>
      <c r="D710">
        <v>1509</v>
      </c>
      <c r="E710">
        <v>512</v>
      </c>
    </row>
    <row r="711" spans="1:5" hidden="1" x14ac:dyDescent="0.35">
      <c r="A711">
        <v>2017</v>
      </c>
      <c r="B711" t="s">
        <v>38</v>
      </c>
      <c r="C711" t="s">
        <v>86</v>
      </c>
      <c r="D711">
        <v>499</v>
      </c>
      <c r="E711">
        <v>877</v>
      </c>
    </row>
    <row r="712" spans="1:5" hidden="1" x14ac:dyDescent="0.35">
      <c r="A712">
        <v>2017</v>
      </c>
      <c r="B712" t="s">
        <v>33</v>
      </c>
      <c r="C712" t="s">
        <v>87</v>
      </c>
      <c r="D712">
        <v>21</v>
      </c>
      <c r="E712">
        <v>44</v>
      </c>
    </row>
    <row r="713" spans="1:5" hidden="1" x14ac:dyDescent="0.35">
      <c r="A713">
        <v>2017</v>
      </c>
      <c r="B713" t="s">
        <v>36</v>
      </c>
      <c r="C713" t="s">
        <v>16</v>
      </c>
      <c r="D713">
        <v>6418</v>
      </c>
      <c r="E713">
        <v>11921</v>
      </c>
    </row>
    <row r="714" spans="1:5" hidden="1" x14ac:dyDescent="0.35">
      <c r="A714">
        <v>2017</v>
      </c>
      <c r="B714" t="s">
        <v>33</v>
      </c>
      <c r="C714" t="s">
        <v>88</v>
      </c>
      <c r="D714">
        <v>0</v>
      </c>
      <c r="E714">
        <v>3</v>
      </c>
    </row>
    <row r="715" spans="1:5" hidden="1" x14ac:dyDescent="0.35">
      <c r="A715">
        <v>2017</v>
      </c>
      <c r="B715" t="s">
        <v>33</v>
      </c>
      <c r="C715" t="s">
        <v>89</v>
      </c>
      <c r="D715" t="s">
        <v>205</v>
      </c>
      <c r="E715" t="s">
        <v>205</v>
      </c>
    </row>
    <row r="716" spans="1:5" hidden="1" x14ac:dyDescent="0.35">
      <c r="A716">
        <v>2017</v>
      </c>
      <c r="B716" t="s">
        <v>35</v>
      </c>
      <c r="C716" t="s">
        <v>90</v>
      </c>
      <c r="D716">
        <v>3</v>
      </c>
      <c r="E716">
        <v>8</v>
      </c>
    </row>
    <row r="717" spans="1:5" hidden="1" x14ac:dyDescent="0.35">
      <c r="A717">
        <v>2017</v>
      </c>
      <c r="B717" t="s">
        <v>33</v>
      </c>
      <c r="C717" t="s">
        <v>91</v>
      </c>
      <c r="D717">
        <v>10</v>
      </c>
      <c r="E717">
        <v>36</v>
      </c>
    </row>
    <row r="718" spans="1:5" hidden="1" x14ac:dyDescent="0.35">
      <c r="A718">
        <v>2017</v>
      </c>
      <c r="B718" t="s">
        <v>37</v>
      </c>
      <c r="C718" t="s">
        <v>92</v>
      </c>
      <c r="D718">
        <v>8</v>
      </c>
      <c r="E718">
        <v>29</v>
      </c>
    </row>
    <row r="719" spans="1:5" hidden="1" x14ac:dyDescent="0.35">
      <c r="A719">
        <v>2017</v>
      </c>
      <c r="B719" t="s">
        <v>35</v>
      </c>
      <c r="C719" t="s">
        <v>94</v>
      </c>
      <c r="D719">
        <v>21</v>
      </c>
      <c r="E719">
        <v>50</v>
      </c>
    </row>
    <row r="720" spans="1:5" hidden="1" x14ac:dyDescent="0.35">
      <c r="A720">
        <v>2017</v>
      </c>
      <c r="B720" t="s">
        <v>33</v>
      </c>
      <c r="C720" t="s">
        <v>95</v>
      </c>
      <c r="D720" t="s">
        <v>205</v>
      </c>
      <c r="E720" t="s">
        <v>205</v>
      </c>
    </row>
    <row r="721" spans="1:5" hidden="1" x14ac:dyDescent="0.35">
      <c r="A721">
        <v>2017</v>
      </c>
      <c r="B721" t="s">
        <v>33</v>
      </c>
      <c r="C721" t="s">
        <v>96</v>
      </c>
      <c r="D721">
        <v>23</v>
      </c>
      <c r="E721">
        <v>32</v>
      </c>
    </row>
    <row r="722" spans="1:5" hidden="1" x14ac:dyDescent="0.35">
      <c r="A722">
        <v>2017</v>
      </c>
      <c r="B722" t="s">
        <v>34</v>
      </c>
      <c r="C722" t="s">
        <v>8</v>
      </c>
      <c r="D722">
        <v>8</v>
      </c>
      <c r="E722">
        <v>16</v>
      </c>
    </row>
    <row r="723" spans="1:5" hidden="1" x14ac:dyDescent="0.35">
      <c r="A723">
        <v>2017</v>
      </c>
      <c r="B723" t="s">
        <v>35</v>
      </c>
      <c r="C723" t="s">
        <v>97</v>
      </c>
      <c r="D723">
        <v>43</v>
      </c>
      <c r="E723">
        <v>25</v>
      </c>
    </row>
    <row r="724" spans="1:5" hidden="1" x14ac:dyDescent="0.35">
      <c r="A724">
        <v>2017</v>
      </c>
      <c r="B724" t="s">
        <v>33</v>
      </c>
      <c r="C724" t="s">
        <v>98</v>
      </c>
      <c r="D724">
        <v>62</v>
      </c>
      <c r="E724">
        <v>253</v>
      </c>
    </row>
    <row r="725" spans="1:5" hidden="1" x14ac:dyDescent="0.35">
      <c r="A725">
        <v>2017</v>
      </c>
      <c r="B725" t="s">
        <v>35</v>
      </c>
      <c r="C725" t="s">
        <v>99</v>
      </c>
      <c r="D725">
        <v>6</v>
      </c>
      <c r="E725">
        <v>14</v>
      </c>
    </row>
    <row r="726" spans="1:5" hidden="1" x14ac:dyDescent="0.35">
      <c r="A726">
        <v>2017</v>
      </c>
      <c r="B726" t="s">
        <v>36</v>
      </c>
      <c r="C726" t="s">
        <v>100</v>
      </c>
      <c r="D726" t="s">
        <v>205</v>
      </c>
      <c r="E726" t="s">
        <v>205</v>
      </c>
    </row>
    <row r="727" spans="1:5" hidden="1" x14ac:dyDescent="0.35">
      <c r="A727">
        <v>2017</v>
      </c>
      <c r="B727" t="s">
        <v>36</v>
      </c>
      <c r="C727" t="s">
        <v>15</v>
      </c>
      <c r="D727">
        <v>11034</v>
      </c>
      <c r="E727">
        <v>21816</v>
      </c>
    </row>
    <row r="728" spans="1:5" hidden="1" x14ac:dyDescent="0.35">
      <c r="A728">
        <v>2017</v>
      </c>
      <c r="B728" t="s">
        <v>33</v>
      </c>
      <c r="C728" t="s">
        <v>101</v>
      </c>
      <c r="D728">
        <v>29</v>
      </c>
      <c r="E728">
        <v>61</v>
      </c>
    </row>
    <row r="729" spans="1:5" hidden="1" x14ac:dyDescent="0.35">
      <c r="A729">
        <v>2017</v>
      </c>
      <c r="B729" t="s">
        <v>38</v>
      </c>
      <c r="C729" t="s">
        <v>103</v>
      </c>
      <c r="D729">
        <v>98</v>
      </c>
      <c r="E729">
        <v>83</v>
      </c>
    </row>
    <row r="730" spans="1:5" hidden="1" x14ac:dyDescent="0.35">
      <c r="A730">
        <v>2017</v>
      </c>
      <c r="B730" t="s">
        <v>36</v>
      </c>
      <c r="C730" t="s">
        <v>104</v>
      </c>
      <c r="D730">
        <v>338</v>
      </c>
      <c r="E730">
        <v>5385</v>
      </c>
    </row>
    <row r="731" spans="1:5" hidden="1" x14ac:dyDescent="0.35">
      <c r="A731">
        <v>2017</v>
      </c>
      <c r="B731" t="s">
        <v>36</v>
      </c>
      <c r="C731" t="s">
        <v>17</v>
      </c>
      <c r="D731">
        <v>9229</v>
      </c>
      <c r="E731">
        <v>12841</v>
      </c>
    </row>
    <row r="732" spans="1:5" hidden="1" x14ac:dyDescent="0.35">
      <c r="A732">
        <v>2017</v>
      </c>
      <c r="B732" t="s">
        <v>35</v>
      </c>
      <c r="C732" t="s">
        <v>105</v>
      </c>
      <c r="D732">
        <v>12</v>
      </c>
      <c r="E732">
        <v>101</v>
      </c>
    </row>
    <row r="733" spans="1:5" hidden="1" x14ac:dyDescent="0.35">
      <c r="A733">
        <v>2017</v>
      </c>
      <c r="B733" t="s">
        <v>34</v>
      </c>
      <c r="C733" t="s">
        <v>22</v>
      </c>
      <c r="D733">
        <v>158</v>
      </c>
      <c r="E733">
        <v>538</v>
      </c>
    </row>
    <row r="734" spans="1:5" hidden="1" x14ac:dyDescent="0.35">
      <c r="A734">
        <v>2017</v>
      </c>
      <c r="B734" t="s">
        <v>34</v>
      </c>
      <c r="C734" t="s">
        <v>107</v>
      </c>
      <c r="D734">
        <v>16</v>
      </c>
      <c r="E734">
        <v>63</v>
      </c>
    </row>
    <row r="735" spans="1:5" hidden="1" x14ac:dyDescent="0.35">
      <c r="A735">
        <v>2017</v>
      </c>
      <c r="B735" t="s">
        <v>34</v>
      </c>
      <c r="C735" t="s">
        <v>108</v>
      </c>
      <c r="D735">
        <v>8</v>
      </c>
      <c r="E735">
        <v>11</v>
      </c>
    </row>
    <row r="736" spans="1:5" hidden="1" x14ac:dyDescent="0.35">
      <c r="A736">
        <v>2017</v>
      </c>
      <c r="B736" t="s">
        <v>34</v>
      </c>
      <c r="C736" t="s">
        <v>109</v>
      </c>
      <c r="D736">
        <v>22</v>
      </c>
      <c r="E736">
        <v>36</v>
      </c>
    </row>
    <row r="737" spans="1:5" hidden="1" x14ac:dyDescent="0.35">
      <c r="A737">
        <v>2017</v>
      </c>
      <c r="B737" t="s">
        <v>35</v>
      </c>
      <c r="C737" t="s">
        <v>110</v>
      </c>
      <c r="D737">
        <v>15</v>
      </c>
      <c r="E737">
        <v>17</v>
      </c>
    </row>
    <row r="738" spans="1:5" hidden="1" x14ac:dyDescent="0.35">
      <c r="A738">
        <v>2017</v>
      </c>
      <c r="B738" t="s">
        <v>34</v>
      </c>
      <c r="C738" t="s">
        <v>111</v>
      </c>
      <c r="D738">
        <v>35</v>
      </c>
      <c r="E738">
        <v>81</v>
      </c>
    </row>
    <row r="739" spans="1:5" hidden="1" x14ac:dyDescent="0.35">
      <c r="A739">
        <v>2017</v>
      </c>
      <c r="B739" t="s">
        <v>35</v>
      </c>
      <c r="C739" t="s">
        <v>112</v>
      </c>
      <c r="D739">
        <v>35</v>
      </c>
      <c r="E739">
        <v>72</v>
      </c>
    </row>
    <row r="740" spans="1:5" hidden="1" x14ac:dyDescent="0.35">
      <c r="A740">
        <v>2017</v>
      </c>
      <c r="B740" t="s">
        <v>36</v>
      </c>
      <c r="C740" t="s">
        <v>113</v>
      </c>
      <c r="D740">
        <v>666</v>
      </c>
      <c r="E740">
        <v>430</v>
      </c>
    </row>
    <row r="741" spans="1:5" hidden="1" x14ac:dyDescent="0.35">
      <c r="A741">
        <v>2017</v>
      </c>
      <c r="B741" t="s">
        <v>34</v>
      </c>
      <c r="C741" t="s">
        <v>114</v>
      </c>
      <c r="D741">
        <v>10</v>
      </c>
      <c r="E741">
        <v>20</v>
      </c>
    </row>
    <row r="742" spans="1:5" hidden="1" x14ac:dyDescent="0.35">
      <c r="A742">
        <v>2017</v>
      </c>
      <c r="B742" t="s">
        <v>34</v>
      </c>
      <c r="C742" t="s">
        <v>115</v>
      </c>
      <c r="D742">
        <v>39</v>
      </c>
      <c r="E742">
        <v>102</v>
      </c>
    </row>
    <row r="743" spans="1:5" hidden="1" x14ac:dyDescent="0.35">
      <c r="A743">
        <v>2017</v>
      </c>
      <c r="B743" t="s">
        <v>34</v>
      </c>
      <c r="C743" t="s">
        <v>116</v>
      </c>
      <c r="D743">
        <v>6</v>
      </c>
      <c r="E743">
        <v>20</v>
      </c>
    </row>
    <row r="744" spans="1:5" hidden="1" x14ac:dyDescent="0.35">
      <c r="A744">
        <v>2017</v>
      </c>
      <c r="B744" t="s">
        <v>33</v>
      </c>
      <c r="C744" t="s">
        <v>117</v>
      </c>
      <c r="D744">
        <v>51</v>
      </c>
      <c r="E744">
        <v>57</v>
      </c>
    </row>
    <row r="745" spans="1:5" hidden="1" x14ac:dyDescent="0.35">
      <c r="A745">
        <v>2017</v>
      </c>
      <c r="B745" t="s">
        <v>34</v>
      </c>
      <c r="C745" t="s">
        <v>118</v>
      </c>
      <c r="D745">
        <v>79</v>
      </c>
      <c r="E745">
        <v>88</v>
      </c>
    </row>
    <row r="746" spans="1:5" hidden="1" x14ac:dyDescent="0.35">
      <c r="A746">
        <v>2017</v>
      </c>
      <c r="B746" t="s">
        <v>35</v>
      </c>
      <c r="C746" t="s">
        <v>119</v>
      </c>
      <c r="D746">
        <v>4</v>
      </c>
      <c r="E746">
        <v>7</v>
      </c>
    </row>
    <row r="747" spans="1:5" hidden="1" x14ac:dyDescent="0.35">
      <c r="A747">
        <v>2017</v>
      </c>
      <c r="B747" t="s">
        <v>34</v>
      </c>
      <c r="C747" t="s">
        <v>120</v>
      </c>
      <c r="D747">
        <v>3</v>
      </c>
      <c r="E747">
        <v>18</v>
      </c>
    </row>
    <row r="748" spans="1:5" hidden="1" x14ac:dyDescent="0.35">
      <c r="A748">
        <v>2017</v>
      </c>
      <c r="B748" t="s">
        <v>34</v>
      </c>
      <c r="C748" t="s">
        <v>121</v>
      </c>
      <c r="D748">
        <v>3</v>
      </c>
      <c r="E748">
        <v>9</v>
      </c>
    </row>
    <row r="749" spans="1:5" hidden="1" x14ac:dyDescent="0.35">
      <c r="A749">
        <v>2017</v>
      </c>
      <c r="B749" t="s">
        <v>34</v>
      </c>
      <c r="C749" t="s">
        <v>122</v>
      </c>
      <c r="D749" t="s">
        <v>205</v>
      </c>
      <c r="E749" t="s">
        <v>205</v>
      </c>
    </row>
    <row r="750" spans="1:5" hidden="1" x14ac:dyDescent="0.35">
      <c r="A750">
        <v>2017</v>
      </c>
      <c r="B750" t="s">
        <v>35</v>
      </c>
      <c r="C750" t="s">
        <v>123</v>
      </c>
      <c r="D750">
        <v>7</v>
      </c>
      <c r="E750">
        <v>13</v>
      </c>
    </row>
    <row r="751" spans="1:5" hidden="1" x14ac:dyDescent="0.35">
      <c r="A751">
        <v>2017</v>
      </c>
      <c r="B751" t="s">
        <v>34</v>
      </c>
      <c r="C751" t="s">
        <v>124</v>
      </c>
      <c r="D751">
        <v>12</v>
      </c>
      <c r="E751">
        <v>27</v>
      </c>
    </row>
    <row r="752" spans="1:5" hidden="1" x14ac:dyDescent="0.35">
      <c r="A752">
        <v>2017</v>
      </c>
      <c r="B752" t="s">
        <v>33</v>
      </c>
      <c r="C752" t="s">
        <v>125</v>
      </c>
      <c r="D752">
        <v>101</v>
      </c>
      <c r="E752">
        <v>7</v>
      </c>
    </row>
    <row r="753" spans="1:5" hidden="1" x14ac:dyDescent="0.35">
      <c r="A753">
        <v>2017</v>
      </c>
      <c r="B753" t="s">
        <v>35</v>
      </c>
      <c r="C753" t="s">
        <v>127</v>
      </c>
      <c r="D753">
        <v>16</v>
      </c>
      <c r="E753">
        <v>9</v>
      </c>
    </row>
    <row r="754" spans="1:5" hidden="1" x14ac:dyDescent="0.35">
      <c r="A754">
        <v>2017</v>
      </c>
      <c r="B754" t="s">
        <v>34</v>
      </c>
      <c r="C754" t="s">
        <v>131</v>
      </c>
      <c r="D754">
        <v>5</v>
      </c>
      <c r="E754">
        <v>10</v>
      </c>
    </row>
    <row r="755" spans="1:5" hidden="1" x14ac:dyDescent="0.35">
      <c r="A755">
        <v>2017</v>
      </c>
      <c r="B755" t="s">
        <v>33</v>
      </c>
      <c r="C755" t="s">
        <v>132</v>
      </c>
      <c r="D755">
        <v>9</v>
      </c>
      <c r="E755">
        <v>27</v>
      </c>
    </row>
    <row r="756" spans="1:5" hidden="1" x14ac:dyDescent="0.35">
      <c r="A756">
        <v>2017</v>
      </c>
      <c r="B756" t="s">
        <v>37</v>
      </c>
      <c r="C756" t="s">
        <v>134</v>
      </c>
      <c r="D756">
        <v>19</v>
      </c>
    </row>
    <row r="757" spans="1:5" hidden="1" x14ac:dyDescent="0.35">
      <c r="A757">
        <v>2017</v>
      </c>
      <c r="B757" t="s">
        <v>33</v>
      </c>
      <c r="C757" t="s">
        <v>135</v>
      </c>
      <c r="D757">
        <v>3</v>
      </c>
      <c r="E757">
        <v>3</v>
      </c>
    </row>
    <row r="758" spans="1:5" hidden="1" x14ac:dyDescent="0.35">
      <c r="A758">
        <v>2017</v>
      </c>
      <c r="B758" t="s">
        <v>36</v>
      </c>
      <c r="C758" t="s">
        <v>14</v>
      </c>
      <c r="D758">
        <v>73328</v>
      </c>
      <c r="E758">
        <v>108634</v>
      </c>
    </row>
    <row r="759" spans="1:5" hidden="1" x14ac:dyDescent="0.35">
      <c r="A759">
        <v>2017</v>
      </c>
      <c r="B759" t="s">
        <v>37</v>
      </c>
      <c r="C759" t="s">
        <v>137</v>
      </c>
      <c r="D759">
        <v>108</v>
      </c>
    </row>
    <row r="760" spans="1:5" hidden="1" x14ac:dyDescent="0.35">
      <c r="A760">
        <v>2017</v>
      </c>
      <c r="B760" t="s">
        <v>35</v>
      </c>
      <c r="C760" t="s">
        <v>138</v>
      </c>
      <c r="D760">
        <v>20</v>
      </c>
      <c r="E760">
        <v>17</v>
      </c>
    </row>
    <row r="761" spans="1:5" hidden="1" x14ac:dyDescent="0.35">
      <c r="A761">
        <v>2017</v>
      </c>
      <c r="B761" t="s">
        <v>34</v>
      </c>
      <c r="C761" t="s">
        <v>139</v>
      </c>
      <c r="D761">
        <v>13</v>
      </c>
      <c r="E761">
        <v>33</v>
      </c>
    </row>
    <row r="762" spans="1:5" hidden="1" x14ac:dyDescent="0.35">
      <c r="A762">
        <v>2017</v>
      </c>
      <c r="B762" t="s">
        <v>35</v>
      </c>
      <c r="C762" t="s">
        <v>140</v>
      </c>
      <c r="D762">
        <v>6</v>
      </c>
      <c r="E762">
        <v>11</v>
      </c>
    </row>
    <row r="763" spans="1:5" hidden="1" x14ac:dyDescent="0.35">
      <c r="A763">
        <v>2017</v>
      </c>
      <c r="B763" t="s">
        <v>33</v>
      </c>
      <c r="C763" t="s">
        <v>141</v>
      </c>
      <c r="D763">
        <v>36</v>
      </c>
      <c r="E763">
        <v>32</v>
      </c>
    </row>
    <row r="764" spans="1:5" hidden="1" x14ac:dyDescent="0.35">
      <c r="A764">
        <v>2017</v>
      </c>
      <c r="B764" t="s">
        <v>34</v>
      </c>
      <c r="C764" t="s">
        <v>144</v>
      </c>
      <c r="D764">
        <v>5</v>
      </c>
      <c r="E764">
        <v>46</v>
      </c>
    </row>
    <row r="765" spans="1:5" hidden="1" x14ac:dyDescent="0.35">
      <c r="A765">
        <v>2017</v>
      </c>
      <c r="B765" t="s">
        <v>35</v>
      </c>
      <c r="C765" t="s">
        <v>145</v>
      </c>
      <c r="D765">
        <v>19</v>
      </c>
      <c r="E765">
        <v>21</v>
      </c>
    </row>
    <row r="766" spans="1:5" hidden="1" x14ac:dyDescent="0.35">
      <c r="A766">
        <v>2017</v>
      </c>
      <c r="B766" t="s">
        <v>37</v>
      </c>
      <c r="C766" t="s">
        <v>146</v>
      </c>
      <c r="D766">
        <v>8</v>
      </c>
      <c r="E766">
        <v>16</v>
      </c>
    </row>
    <row r="767" spans="1:5" hidden="1" x14ac:dyDescent="0.35">
      <c r="A767">
        <v>2017</v>
      </c>
      <c r="B767" t="s">
        <v>36</v>
      </c>
      <c r="C767" t="s">
        <v>147</v>
      </c>
      <c r="D767">
        <v>377</v>
      </c>
      <c r="E767">
        <v>526</v>
      </c>
    </row>
    <row r="768" spans="1:5" hidden="1" x14ac:dyDescent="0.35">
      <c r="A768">
        <v>2017</v>
      </c>
      <c r="B768" t="s">
        <v>33</v>
      </c>
      <c r="C768" t="s">
        <v>148</v>
      </c>
      <c r="D768">
        <v>13</v>
      </c>
      <c r="E768">
        <v>7</v>
      </c>
    </row>
    <row r="769" spans="1:5" hidden="1" x14ac:dyDescent="0.35">
      <c r="A769">
        <v>2017</v>
      </c>
      <c r="B769" t="s">
        <v>33</v>
      </c>
      <c r="C769" t="s">
        <v>149</v>
      </c>
      <c r="D769">
        <v>111</v>
      </c>
      <c r="E769">
        <v>591</v>
      </c>
    </row>
    <row r="770" spans="1:5" hidden="1" x14ac:dyDescent="0.35">
      <c r="A770">
        <v>2017</v>
      </c>
      <c r="B770" t="s">
        <v>35</v>
      </c>
      <c r="C770" t="s">
        <v>322</v>
      </c>
      <c r="D770">
        <v>5</v>
      </c>
      <c r="E770">
        <v>7</v>
      </c>
    </row>
    <row r="771" spans="1:5" hidden="1" x14ac:dyDescent="0.35">
      <c r="A771">
        <v>2017</v>
      </c>
      <c r="B771" t="s">
        <v>35</v>
      </c>
      <c r="C771" t="s">
        <v>150</v>
      </c>
      <c r="D771" t="s">
        <v>205</v>
      </c>
      <c r="E771" t="s">
        <v>205</v>
      </c>
    </row>
    <row r="772" spans="1:5" hidden="1" x14ac:dyDescent="0.35">
      <c r="A772">
        <v>2017</v>
      </c>
      <c r="B772" t="s">
        <v>34</v>
      </c>
      <c r="C772" t="s">
        <v>152</v>
      </c>
      <c r="D772">
        <v>47</v>
      </c>
      <c r="E772">
        <v>164</v>
      </c>
    </row>
    <row r="773" spans="1:5" hidden="1" x14ac:dyDescent="0.35">
      <c r="A773">
        <v>2017</v>
      </c>
      <c r="B773" t="s">
        <v>37</v>
      </c>
      <c r="C773" t="s">
        <v>153</v>
      </c>
      <c r="D773">
        <v>14</v>
      </c>
    </row>
    <row r="774" spans="1:5" hidden="1" x14ac:dyDescent="0.35">
      <c r="A774">
        <v>2017</v>
      </c>
      <c r="B774" t="s">
        <v>36</v>
      </c>
      <c r="C774" t="s">
        <v>154</v>
      </c>
      <c r="D774">
        <v>52</v>
      </c>
      <c r="E774">
        <v>42</v>
      </c>
    </row>
    <row r="775" spans="1:5" hidden="1" x14ac:dyDescent="0.35">
      <c r="A775">
        <v>2017</v>
      </c>
      <c r="B775" t="s">
        <v>38</v>
      </c>
      <c r="C775" t="s">
        <v>155</v>
      </c>
      <c r="D775" t="s">
        <v>205</v>
      </c>
      <c r="E775" t="s">
        <v>205</v>
      </c>
    </row>
    <row r="776" spans="1:5" hidden="1" x14ac:dyDescent="0.35">
      <c r="A776">
        <v>2017</v>
      </c>
      <c r="B776" t="s">
        <v>38</v>
      </c>
      <c r="C776" t="s">
        <v>156</v>
      </c>
      <c r="D776">
        <v>177</v>
      </c>
      <c r="E776">
        <v>430</v>
      </c>
    </row>
    <row r="777" spans="1:5" hidden="1" x14ac:dyDescent="0.35">
      <c r="A777">
        <v>2017</v>
      </c>
      <c r="B777" t="s">
        <v>34</v>
      </c>
      <c r="C777" t="s">
        <v>18</v>
      </c>
      <c r="D777">
        <v>119</v>
      </c>
      <c r="E777">
        <v>212</v>
      </c>
    </row>
    <row r="778" spans="1:5" hidden="1" x14ac:dyDescent="0.35">
      <c r="A778">
        <v>2017</v>
      </c>
      <c r="B778" t="s">
        <v>35</v>
      </c>
      <c r="C778" t="s">
        <v>157</v>
      </c>
      <c r="D778">
        <v>75</v>
      </c>
      <c r="E778">
        <v>78</v>
      </c>
    </row>
    <row r="779" spans="1:5" hidden="1" x14ac:dyDescent="0.35">
      <c r="A779">
        <v>2017</v>
      </c>
      <c r="B779" t="s">
        <v>35</v>
      </c>
      <c r="C779" t="s">
        <v>158</v>
      </c>
      <c r="D779">
        <v>34</v>
      </c>
      <c r="E779">
        <v>30</v>
      </c>
    </row>
    <row r="780" spans="1:5" hidden="1" x14ac:dyDescent="0.35">
      <c r="A780">
        <v>2017</v>
      </c>
      <c r="B780" t="s">
        <v>35</v>
      </c>
      <c r="C780" t="s">
        <v>160</v>
      </c>
      <c r="D780">
        <v>88</v>
      </c>
      <c r="E780">
        <v>178</v>
      </c>
    </row>
    <row r="781" spans="1:5" hidden="1" x14ac:dyDescent="0.35">
      <c r="A781">
        <v>2017</v>
      </c>
      <c r="B781" t="s">
        <v>35</v>
      </c>
      <c r="C781" t="s">
        <v>161</v>
      </c>
      <c r="D781">
        <v>59</v>
      </c>
      <c r="E781">
        <v>124</v>
      </c>
    </row>
    <row r="782" spans="1:5" hidden="1" x14ac:dyDescent="0.35">
      <c r="A782">
        <v>2017</v>
      </c>
      <c r="B782" t="s">
        <v>33</v>
      </c>
      <c r="C782" t="s">
        <v>162</v>
      </c>
      <c r="D782">
        <v>3</v>
      </c>
      <c r="E782">
        <v>6</v>
      </c>
    </row>
    <row r="783" spans="1:5" hidden="1" x14ac:dyDescent="0.35">
      <c r="A783">
        <v>2017</v>
      </c>
      <c r="B783" t="s">
        <v>36</v>
      </c>
      <c r="C783" t="s">
        <v>163</v>
      </c>
      <c r="D783">
        <v>13</v>
      </c>
      <c r="E783">
        <v>4</v>
      </c>
    </row>
    <row r="784" spans="1:5" hidden="1" x14ac:dyDescent="0.35">
      <c r="A784">
        <v>2017</v>
      </c>
      <c r="B784" t="s">
        <v>36</v>
      </c>
      <c r="C784" t="s">
        <v>164</v>
      </c>
      <c r="D784">
        <v>22</v>
      </c>
      <c r="E784">
        <v>4</v>
      </c>
    </row>
    <row r="785" spans="1:5" hidden="1" x14ac:dyDescent="0.35">
      <c r="A785">
        <v>2017</v>
      </c>
      <c r="B785" t="s">
        <v>36</v>
      </c>
      <c r="C785" t="s">
        <v>165</v>
      </c>
      <c r="D785">
        <v>9</v>
      </c>
      <c r="E785">
        <v>3</v>
      </c>
    </row>
    <row r="786" spans="1:5" hidden="1" x14ac:dyDescent="0.35">
      <c r="A786">
        <v>2017</v>
      </c>
      <c r="B786" t="s">
        <v>37</v>
      </c>
      <c r="C786" t="s">
        <v>166</v>
      </c>
      <c r="D786">
        <v>9</v>
      </c>
      <c r="E786">
        <v>4</v>
      </c>
    </row>
    <row r="787" spans="1:5" hidden="1" x14ac:dyDescent="0.35">
      <c r="A787">
        <v>2017</v>
      </c>
      <c r="B787" t="s">
        <v>34</v>
      </c>
      <c r="C787" t="s">
        <v>167</v>
      </c>
      <c r="D787">
        <v>28</v>
      </c>
      <c r="E787">
        <v>94</v>
      </c>
    </row>
    <row r="788" spans="1:5" hidden="1" x14ac:dyDescent="0.35">
      <c r="A788">
        <v>2017</v>
      </c>
      <c r="B788" t="s">
        <v>33</v>
      </c>
      <c r="C788" t="s">
        <v>168</v>
      </c>
      <c r="D788">
        <v>34</v>
      </c>
      <c r="E788">
        <v>171</v>
      </c>
    </row>
    <row r="789" spans="1:5" hidden="1" x14ac:dyDescent="0.35">
      <c r="A789">
        <v>2017</v>
      </c>
      <c r="B789" t="s">
        <v>35</v>
      </c>
      <c r="C789" t="s">
        <v>169</v>
      </c>
      <c r="D789">
        <v>12</v>
      </c>
      <c r="E789">
        <v>16</v>
      </c>
    </row>
    <row r="790" spans="1:5" hidden="1" x14ac:dyDescent="0.35">
      <c r="A790">
        <v>2017</v>
      </c>
      <c r="B790" t="s">
        <v>35</v>
      </c>
      <c r="C790" t="s">
        <v>215</v>
      </c>
      <c r="D790" t="s">
        <v>205</v>
      </c>
      <c r="E790" t="s">
        <v>205</v>
      </c>
    </row>
    <row r="791" spans="1:5" hidden="1" x14ac:dyDescent="0.35">
      <c r="A791">
        <v>2017</v>
      </c>
      <c r="B791" t="s">
        <v>33</v>
      </c>
      <c r="C791" t="s">
        <v>170</v>
      </c>
      <c r="D791">
        <v>27</v>
      </c>
      <c r="E791">
        <v>13</v>
      </c>
    </row>
    <row r="792" spans="1:5" hidden="1" x14ac:dyDescent="0.35">
      <c r="A792">
        <v>2017</v>
      </c>
      <c r="B792" t="s">
        <v>34</v>
      </c>
      <c r="C792" t="s">
        <v>171</v>
      </c>
      <c r="D792" t="s">
        <v>205</v>
      </c>
      <c r="E792" t="s">
        <v>205</v>
      </c>
    </row>
    <row r="793" spans="1:5" hidden="1" x14ac:dyDescent="0.35">
      <c r="A793">
        <v>2017</v>
      </c>
      <c r="B793" t="s">
        <v>35</v>
      </c>
      <c r="C793" t="s">
        <v>172</v>
      </c>
      <c r="D793">
        <v>6</v>
      </c>
      <c r="E793">
        <v>16</v>
      </c>
    </row>
    <row r="794" spans="1:5" hidden="1" x14ac:dyDescent="0.35">
      <c r="A794">
        <v>2017</v>
      </c>
      <c r="B794" t="s">
        <v>33</v>
      </c>
      <c r="C794" t="s">
        <v>174</v>
      </c>
      <c r="D794">
        <v>178</v>
      </c>
      <c r="E794">
        <v>339</v>
      </c>
    </row>
    <row r="795" spans="1:5" hidden="1" x14ac:dyDescent="0.35">
      <c r="A795">
        <v>2017</v>
      </c>
      <c r="B795" t="s">
        <v>33</v>
      </c>
      <c r="C795" t="s">
        <v>175</v>
      </c>
      <c r="D795">
        <v>14</v>
      </c>
      <c r="E795">
        <v>42</v>
      </c>
    </row>
    <row r="796" spans="1:5" hidden="1" x14ac:dyDescent="0.35">
      <c r="A796">
        <v>2017</v>
      </c>
      <c r="B796" t="s">
        <v>33</v>
      </c>
      <c r="C796" t="s">
        <v>176</v>
      </c>
      <c r="D796" t="s">
        <v>205</v>
      </c>
      <c r="E796" t="s">
        <v>205</v>
      </c>
    </row>
    <row r="797" spans="1:5" hidden="1" x14ac:dyDescent="0.35">
      <c r="A797">
        <v>2017</v>
      </c>
      <c r="B797" t="s">
        <v>35</v>
      </c>
      <c r="C797" t="s">
        <v>177</v>
      </c>
      <c r="D797">
        <v>51</v>
      </c>
      <c r="E797">
        <v>102</v>
      </c>
    </row>
    <row r="798" spans="1:5" hidden="1" x14ac:dyDescent="0.35">
      <c r="A798">
        <v>2017</v>
      </c>
      <c r="B798" t="s">
        <v>34</v>
      </c>
      <c r="C798" t="s">
        <v>178</v>
      </c>
      <c r="D798">
        <v>7</v>
      </c>
      <c r="E798">
        <v>47</v>
      </c>
    </row>
    <row r="799" spans="1:5" hidden="1" x14ac:dyDescent="0.35">
      <c r="A799">
        <v>2017</v>
      </c>
      <c r="B799" t="s">
        <v>33</v>
      </c>
      <c r="C799" t="s">
        <v>179</v>
      </c>
      <c r="D799">
        <v>11</v>
      </c>
      <c r="E799">
        <v>11</v>
      </c>
    </row>
    <row r="800" spans="1:5" hidden="1" x14ac:dyDescent="0.35">
      <c r="A800">
        <v>2017</v>
      </c>
      <c r="B800" t="s">
        <v>38</v>
      </c>
      <c r="C800" t="s">
        <v>180</v>
      </c>
      <c r="D800">
        <v>6</v>
      </c>
      <c r="E800">
        <v>3</v>
      </c>
    </row>
    <row r="801" spans="1:5" hidden="1" x14ac:dyDescent="0.35">
      <c r="A801">
        <v>2017</v>
      </c>
      <c r="B801" t="s">
        <v>35</v>
      </c>
      <c r="C801" t="s">
        <v>182</v>
      </c>
      <c r="D801">
        <v>7</v>
      </c>
      <c r="E801">
        <v>13</v>
      </c>
    </row>
    <row r="802" spans="1:5" hidden="1" x14ac:dyDescent="0.35">
      <c r="A802">
        <v>2017</v>
      </c>
      <c r="B802" t="s">
        <v>34</v>
      </c>
      <c r="C802" t="s">
        <v>184</v>
      </c>
      <c r="D802">
        <v>0</v>
      </c>
      <c r="E802">
        <v>7</v>
      </c>
    </row>
    <row r="803" spans="1:5" hidden="1" x14ac:dyDescent="0.35">
      <c r="A803">
        <v>2017</v>
      </c>
      <c r="B803" t="s">
        <v>34</v>
      </c>
      <c r="C803" t="s">
        <v>185</v>
      </c>
      <c r="D803">
        <v>9</v>
      </c>
      <c r="E803">
        <v>30</v>
      </c>
    </row>
    <row r="804" spans="1:5" hidden="1" x14ac:dyDescent="0.35">
      <c r="A804">
        <v>2017</v>
      </c>
      <c r="B804" t="s">
        <v>34</v>
      </c>
      <c r="C804" t="s">
        <v>186</v>
      </c>
      <c r="D804" t="s">
        <v>205</v>
      </c>
      <c r="E804" t="s">
        <v>205</v>
      </c>
    </row>
    <row r="805" spans="1:5" hidden="1" x14ac:dyDescent="0.35">
      <c r="A805">
        <v>2017</v>
      </c>
      <c r="B805" t="s">
        <v>33</v>
      </c>
      <c r="C805" t="s">
        <v>187</v>
      </c>
      <c r="D805">
        <v>5</v>
      </c>
      <c r="E805">
        <v>7</v>
      </c>
    </row>
    <row r="806" spans="1:5" hidden="1" x14ac:dyDescent="0.35">
      <c r="A806">
        <v>2017</v>
      </c>
      <c r="B806" t="s">
        <v>34</v>
      </c>
      <c r="C806" t="s">
        <v>188</v>
      </c>
      <c r="D806">
        <v>13</v>
      </c>
      <c r="E806">
        <v>73</v>
      </c>
    </row>
    <row r="807" spans="1:5" hidden="1" x14ac:dyDescent="0.35">
      <c r="A807">
        <v>2017</v>
      </c>
      <c r="B807" t="s">
        <v>33</v>
      </c>
      <c r="C807" t="s">
        <v>189</v>
      </c>
      <c r="D807">
        <v>3</v>
      </c>
      <c r="E807">
        <v>16</v>
      </c>
    </row>
    <row r="808" spans="1:5" hidden="1" x14ac:dyDescent="0.35">
      <c r="A808">
        <v>2017</v>
      </c>
      <c r="B808" t="s">
        <v>37</v>
      </c>
      <c r="C808" t="s">
        <v>190</v>
      </c>
      <c r="D808">
        <v>11</v>
      </c>
      <c r="E808">
        <v>16</v>
      </c>
    </row>
    <row r="809" spans="1:5" hidden="1" x14ac:dyDescent="0.35">
      <c r="A809">
        <v>2017</v>
      </c>
      <c r="B809" t="s">
        <v>36</v>
      </c>
      <c r="C809" t="s">
        <v>191</v>
      </c>
      <c r="D809">
        <v>110</v>
      </c>
      <c r="E809">
        <v>31</v>
      </c>
    </row>
    <row r="810" spans="1:5" hidden="1" x14ac:dyDescent="0.35">
      <c r="A810">
        <v>2017</v>
      </c>
      <c r="B810" t="s">
        <v>33</v>
      </c>
      <c r="C810" t="s">
        <v>192</v>
      </c>
      <c r="D810" t="s">
        <v>205</v>
      </c>
      <c r="E810" t="s">
        <v>205</v>
      </c>
    </row>
    <row r="811" spans="1:5" hidden="1" x14ac:dyDescent="0.35">
      <c r="A811">
        <v>2017</v>
      </c>
      <c r="B811" t="s">
        <v>34</v>
      </c>
      <c r="C811" t="s">
        <v>193</v>
      </c>
      <c r="D811">
        <v>15</v>
      </c>
      <c r="E811">
        <v>100</v>
      </c>
    </row>
    <row r="812" spans="1:5" hidden="1" x14ac:dyDescent="0.35">
      <c r="A812">
        <v>2017</v>
      </c>
      <c r="B812" t="s">
        <v>34</v>
      </c>
      <c r="C812" t="s">
        <v>194</v>
      </c>
      <c r="D812">
        <v>0</v>
      </c>
      <c r="E812">
        <v>17</v>
      </c>
    </row>
    <row r="813" spans="1:5" hidden="1" x14ac:dyDescent="0.35">
      <c r="A813">
        <v>2017</v>
      </c>
      <c r="B813" t="s">
        <v>33</v>
      </c>
      <c r="C813" t="s">
        <v>195</v>
      </c>
      <c r="D813">
        <v>3</v>
      </c>
      <c r="E813">
        <v>13</v>
      </c>
    </row>
    <row r="814" spans="1:5" hidden="1" x14ac:dyDescent="0.35">
      <c r="A814">
        <v>2017</v>
      </c>
      <c r="B814" t="s">
        <v>35</v>
      </c>
      <c r="C814" t="s">
        <v>196</v>
      </c>
      <c r="D814">
        <v>39</v>
      </c>
      <c r="E814">
        <v>99</v>
      </c>
    </row>
    <row r="815" spans="1:5" hidden="1" x14ac:dyDescent="0.35">
      <c r="A815">
        <v>2017</v>
      </c>
      <c r="B815" t="s">
        <v>35</v>
      </c>
      <c r="C815" t="s">
        <v>198</v>
      </c>
      <c r="D815">
        <v>99</v>
      </c>
      <c r="E815">
        <v>76</v>
      </c>
    </row>
    <row r="816" spans="1:5" hidden="1" x14ac:dyDescent="0.35">
      <c r="A816">
        <v>2017</v>
      </c>
      <c r="B816" t="s">
        <v>39</v>
      </c>
      <c r="C816" t="s">
        <v>39</v>
      </c>
      <c r="D816">
        <v>4</v>
      </c>
      <c r="E816">
        <v>32</v>
      </c>
    </row>
    <row r="817" spans="1:5" hidden="1" x14ac:dyDescent="0.35">
      <c r="A817">
        <v>2017</v>
      </c>
      <c r="B817" t="s">
        <v>38</v>
      </c>
      <c r="C817" t="s">
        <v>199</v>
      </c>
      <c r="D817">
        <v>22</v>
      </c>
      <c r="E817">
        <v>41</v>
      </c>
    </row>
    <row r="818" spans="1:5" hidden="1" x14ac:dyDescent="0.35">
      <c r="A818">
        <v>2017</v>
      </c>
      <c r="B818" t="s">
        <v>34</v>
      </c>
      <c r="C818" t="s">
        <v>200</v>
      </c>
      <c r="D818">
        <v>6</v>
      </c>
      <c r="E818">
        <v>21</v>
      </c>
    </row>
    <row r="819" spans="1:5" hidden="1" x14ac:dyDescent="0.35">
      <c r="A819">
        <v>2017</v>
      </c>
      <c r="B819" t="s">
        <v>38</v>
      </c>
      <c r="C819" t="s">
        <v>19</v>
      </c>
      <c r="D819">
        <v>81</v>
      </c>
      <c r="E819">
        <v>1005</v>
      </c>
    </row>
    <row r="820" spans="1:5" hidden="1" x14ac:dyDescent="0.35">
      <c r="A820">
        <v>2017</v>
      </c>
      <c r="B820" t="s">
        <v>34</v>
      </c>
      <c r="C820" t="s">
        <v>201</v>
      </c>
      <c r="D820">
        <v>60</v>
      </c>
      <c r="E820">
        <v>25</v>
      </c>
    </row>
    <row r="821" spans="1:5" hidden="1" x14ac:dyDescent="0.35">
      <c r="A821">
        <v>2017</v>
      </c>
      <c r="B821" t="s">
        <v>34</v>
      </c>
      <c r="C821" t="s">
        <v>202</v>
      </c>
      <c r="D821" t="s">
        <v>205</v>
      </c>
      <c r="E821" t="s">
        <v>205</v>
      </c>
    </row>
    <row r="822" spans="1:5" hidden="1" x14ac:dyDescent="0.35">
      <c r="A822">
        <v>2017</v>
      </c>
      <c r="B822" t="s">
        <v>33</v>
      </c>
      <c r="C822" t="s">
        <v>203</v>
      </c>
      <c r="D822">
        <v>8</v>
      </c>
      <c r="E822">
        <v>7</v>
      </c>
    </row>
    <row r="823" spans="1:5" hidden="1" x14ac:dyDescent="0.35">
      <c r="A823">
        <v>2017</v>
      </c>
      <c r="B823" t="s">
        <v>33</v>
      </c>
      <c r="C823" t="s">
        <v>204</v>
      </c>
      <c r="D823">
        <v>8</v>
      </c>
      <c r="E823">
        <v>6</v>
      </c>
    </row>
    <row r="824" spans="1:5" hidden="1" x14ac:dyDescent="0.35">
      <c r="A824">
        <v>2018</v>
      </c>
      <c r="B824" t="s">
        <v>34</v>
      </c>
      <c r="C824" t="s">
        <v>40</v>
      </c>
      <c r="D824">
        <v>14</v>
      </c>
      <c r="E824">
        <v>14</v>
      </c>
    </row>
    <row r="825" spans="1:5" hidden="1" x14ac:dyDescent="0.35">
      <c r="A825">
        <v>2018</v>
      </c>
      <c r="B825" t="s">
        <v>35</v>
      </c>
      <c r="C825" t="s">
        <v>41</v>
      </c>
      <c r="D825">
        <v>38</v>
      </c>
      <c r="E825">
        <v>59</v>
      </c>
    </row>
    <row r="826" spans="1:5" hidden="1" x14ac:dyDescent="0.35">
      <c r="A826">
        <v>2018</v>
      </c>
      <c r="B826" t="s">
        <v>33</v>
      </c>
      <c r="C826" t="s">
        <v>42</v>
      </c>
      <c r="D826">
        <v>21</v>
      </c>
      <c r="E826">
        <v>5</v>
      </c>
    </row>
    <row r="827" spans="1:5" hidden="1" x14ac:dyDescent="0.35">
      <c r="A827">
        <v>2018</v>
      </c>
      <c r="C827" t="s">
        <v>373</v>
      </c>
      <c r="D827">
        <v>38</v>
      </c>
      <c r="E827">
        <v>22</v>
      </c>
    </row>
    <row r="828" spans="1:5" hidden="1" x14ac:dyDescent="0.35">
      <c r="A828">
        <v>2018</v>
      </c>
      <c r="B828" t="s">
        <v>33</v>
      </c>
      <c r="C828" t="s">
        <v>43</v>
      </c>
      <c r="D828">
        <v>13</v>
      </c>
      <c r="E828">
        <v>24</v>
      </c>
    </row>
    <row r="829" spans="1:5" hidden="1" x14ac:dyDescent="0.35">
      <c r="A829">
        <v>2018</v>
      </c>
      <c r="B829" t="s">
        <v>36</v>
      </c>
      <c r="C829" t="s">
        <v>44</v>
      </c>
      <c r="D829" t="s">
        <v>205</v>
      </c>
      <c r="E829" t="s">
        <v>205</v>
      </c>
    </row>
    <row r="830" spans="1:5" hidden="1" x14ac:dyDescent="0.35">
      <c r="A830">
        <v>2018</v>
      </c>
      <c r="B830" t="s">
        <v>38</v>
      </c>
      <c r="C830" t="s">
        <v>45</v>
      </c>
      <c r="D830">
        <v>201</v>
      </c>
      <c r="E830">
        <v>32</v>
      </c>
    </row>
    <row r="831" spans="1:5" hidden="1" x14ac:dyDescent="0.35">
      <c r="A831">
        <v>2018</v>
      </c>
      <c r="B831" t="s">
        <v>34</v>
      </c>
      <c r="C831" t="s">
        <v>46</v>
      </c>
      <c r="D831">
        <v>26</v>
      </c>
      <c r="E831">
        <v>5</v>
      </c>
    </row>
    <row r="832" spans="1:5" hidden="1" x14ac:dyDescent="0.35">
      <c r="A832">
        <v>2018</v>
      </c>
      <c r="B832" t="s">
        <v>37</v>
      </c>
      <c r="C832" t="s">
        <v>47</v>
      </c>
      <c r="D832">
        <v>34</v>
      </c>
      <c r="E832">
        <v>16</v>
      </c>
    </row>
    <row r="833" spans="1:5" hidden="1" x14ac:dyDescent="0.35">
      <c r="A833">
        <v>2018</v>
      </c>
      <c r="B833" t="s">
        <v>35</v>
      </c>
      <c r="C833" t="s">
        <v>48</v>
      </c>
      <c r="D833">
        <v>4</v>
      </c>
      <c r="E833">
        <v>5</v>
      </c>
    </row>
    <row r="834" spans="1:5" hidden="1" x14ac:dyDescent="0.35">
      <c r="A834">
        <v>2018</v>
      </c>
      <c r="B834" t="s">
        <v>34</v>
      </c>
      <c r="C834" t="s">
        <v>49</v>
      </c>
      <c r="D834">
        <v>14</v>
      </c>
      <c r="E834">
        <v>4</v>
      </c>
    </row>
    <row r="835" spans="1:5" hidden="1" x14ac:dyDescent="0.35">
      <c r="A835">
        <v>2018</v>
      </c>
      <c r="B835" t="s">
        <v>36</v>
      </c>
      <c r="C835" t="s">
        <v>50</v>
      </c>
      <c r="D835">
        <v>75</v>
      </c>
      <c r="E835">
        <v>14</v>
      </c>
    </row>
    <row r="836" spans="1:5" hidden="1" x14ac:dyDescent="0.35">
      <c r="A836">
        <v>2018</v>
      </c>
      <c r="B836" t="s">
        <v>34</v>
      </c>
      <c r="C836" t="s">
        <v>52</v>
      </c>
      <c r="D836">
        <v>57</v>
      </c>
      <c r="E836">
        <v>88</v>
      </c>
    </row>
    <row r="837" spans="1:5" hidden="1" x14ac:dyDescent="0.35">
      <c r="A837">
        <v>2018</v>
      </c>
      <c r="B837" t="s">
        <v>36</v>
      </c>
      <c r="C837" t="s">
        <v>53</v>
      </c>
      <c r="D837">
        <v>15</v>
      </c>
      <c r="E837">
        <v>3</v>
      </c>
    </row>
    <row r="838" spans="1:5" hidden="1" x14ac:dyDescent="0.35">
      <c r="A838">
        <v>2018</v>
      </c>
      <c r="B838" t="s">
        <v>35</v>
      </c>
      <c r="C838" t="s">
        <v>54</v>
      </c>
      <c r="D838">
        <v>11</v>
      </c>
      <c r="E838">
        <v>4</v>
      </c>
    </row>
    <row r="839" spans="1:5" hidden="1" x14ac:dyDescent="0.35">
      <c r="A839">
        <v>2018</v>
      </c>
      <c r="B839" t="s">
        <v>35</v>
      </c>
      <c r="C839" t="s">
        <v>55</v>
      </c>
      <c r="D839">
        <v>12</v>
      </c>
      <c r="E839">
        <v>9</v>
      </c>
    </row>
    <row r="840" spans="1:5" hidden="1" x14ac:dyDescent="0.35">
      <c r="A840">
        <v>2018</v>
      </c>
      <c r="B840" t="s">
        <v>36</v>
      </c>
      <c r="C840" t="s">
        <v>56</v>
      </c>
      <c r="D840">
        <v>111</v>
      </c>
      <c r="E840">
        <v>22</v>
      </c>
    </row>
    <row r="841" spans="1:5" hidden="1" x14ac:dyDescent="0.35">
      <c r="A841">
        <v>2018</v>
      </c>
      <c r="B841" t="s">
        <v>33</v>
      </c>
      <c r="C841" t="s">
        <v>57</v>
      </c>
      <c r="D841">
        <v>6</v>
      </c>
      <c r="E841">
        <v>8</v>
      </c>
    </row>
    <row r="842" spans="1:5" hidden="1" x14ac:dyDescent="0.35">
      <c r="A842">
        <v>2018</v>
      </c>
      <c r="B842" t="s">
        <v>38</v>
      </c>
      <c r="C842" t="s">
        <v>59</v>
      </c>
      <c r="D842">
        <v>90</v>
      </c>
      <c r="E842">
        <v>30</v>
      </c>
    </row>
    <row r="843" spans="1:5" hidden="1" x14ac:dyDescent="0.35">
      <c r="A843">
        <v>2018</v>
      </c>
      <c r="B843" t="s">
        <v>35</v>
      </c>
      <c r="C843" t="s">
        <v>60</v>
      </c>
      <c r="D843">
        <v>36</v>
      </c>
      <c r="E843">
        <v>7</v>
      </c>
    </row>
    <row r="844" spans="1:5" hidden="1" x14ac:dyDescent="0.35">
      <c r="A844">
        <v>2018</v>
      </c>
      <c r="B844" t="s">
        <v>38</v>
      </c>
      <c r="C844" t="s">
        <v>21</v>
      </c>
      <c r="D844">
        <v>1184</v>
      </c>
      <c r="E844">
        <v>949</v>
      </c>
    </row>
    <row r="845" spans="1:5" hidden="1" x14ac:dyDescent="0.35">
      <c r="A845">
        <v>2018</v>
      </c>
      <c r="B845" t="s">
        <v>35</v>
      </c>
      <c r="C845" t="s">
        <v>62</v>
      </c>
      <c r="D845">
        <v>20</v>
      </c>
      <c r="E845">
        <v>17</v>
      </c>
    </row>
    <row r="846" spans="1:5" hidden="1" x14ac:dyDescent="0.35">
      <c r="A846">
        <v>2018</v>
      </c>
      <c r="B846" t="s">
        <v>33</v>
      </c>
      <c r="C846" t="s">
        <v>63</v>
      </c>
      <c r="D846">
        <v>14</v>
      </c>
      <c r="E846">
        <v>25</v>
      </c>
    </row>
    <row r="847" spans="1:5" hidden="1" x14ac:dyDescent="0.35">
      <c r="A847">
        <v>2018</v>
      </c>
      <c r="B847" t="s">
        <v>34</v>
      </c>
      <c r="C847" t="s">
        <v>64</v>
      </c>
      <c r="D847">
        <v>42</v>
      </c>
    </row>
    <row r="848" spans="1:5" hidden="1" x14ac:dyDescent="0.35">
      <c r="A848">
        <v>2018</v>
      </c>
      <c r="B848" t="s">
        <v>33</v>
      </c>
      <c r="C848" t="s">
        <v>65</v>
      </c>
      <c r="D848">
        <v>8</v>
      </c>
      <c r="E848">
        <v>6</v>
      </c>
    </row>
    <row r="849" spans="1:5" hidden="1" x14ac:dyDescent="0.35">
      <c r="A849">
        <v>2018</v>
      </c>
      <c r="B849" t="s">
        <v>33</v>
      </c>
      <c r="C849" t="s">
        <v>66</v>
      </c>
      <c r="D849">
        <v>60</v>
      </c>
      <c r="E849">
        <v>9</v>
      </c>
    </row>
    <row r="850" spans="1:5" hidden="1" x14ac:dyDescent="0.35">
      <c r="A850">
        <v>2018</v>
      </c>
      <c r="B850" t="s">
        <v>34</v>
      </c>
      <c r="C850" t="s">
        <v>67</v>
      </c>
      <c r="D850">
        <v>105</v>
      </c>
      <c r="E850">
        <v>6</v>
      </c>
    </row>
    <row r="851" spans="1:5" hidden="1" x14ac:dyDescent="0.35">
      <c r="A851">
        <v>2018</v>
      </c>
      <c r="B851" t="s">
        <v>33</v>
      </c>
      <c r="C851" t="s">
        <v>68</v>
      </c>
      <c r="D851">
        <v>23</v>
      </c>
      <c r="E851">
        <v>51</v>
      </c>
    </row>
    <row r="852" spans="1:5" hidden="1" x14ac:dyDescent="0.35">
      <c r="A852">
        <v>2018</v>
      </c>
      <c r="B852" t="s">
        <v>36</v>
      </c>
      <c r="C852" t="s">
        <v>69</v>
      </c>
      <c r="D852">
        <v>561</v>
      </c>
      <c r="E852">
        <v>78</v>
      </c>
    </row>
    <row r="853" spans="1:5" hidden="1" x14ac:dyDescent="0.35">
      <c r="A853">
        <v>2018</v>
      </c>
      <c r="B853" t="s">
        <v>33</v>
      </c>
      <c r="C853" t="s">
        <v>71</v>
      </c>
      <c r="D853">
        <v>6</v>
      </c>
      <c r="E853">
        <v>7</v>
      </c>
    </row>
    <row r="854" spans="1:5" hidden="1" x14ac:dyDescent="0.35">
      <c r="A854">
        <v>2018</v>
      </c>
      <c r="B854" t="s">
        <v>38</v>
      </c>
      <c r="C854" t="s">
        <v>72</v>
      </c>
      <c r="D854">
        <v>93</v>
      </c>
      <c r="E854">
        <v>74</v>
      </c>
    </row>
    <row r="855" spans="1:5" hidden="1" x14ac:dyDescent="0.35">
      <c r="A855">
        <v>2018</v>
      </c>
      <c r="B855" t="s">
        <v>34</v>
      </c>
      <c r="C855" t="s">
        <v>73</v>
      </c>
      <c r="D855">
        <v>593</v>
      </c>
      <c r="E855">
        <v>443</v>
      </c>
    </row>
    <row r="856" spans="1:5" hidden="1" x14ac:dyDescent="0.35">
      <c r="A856">
        <v>2018</v>
      </c>
      <c r="B856" t="s">
        <v>38</v>
      </c>
      <c r="C856" t="s">
        <v>20</v>
      </c>
      <c r="D856">
        <v>2306</v>
      </c>
      <c r="E856">
        <v>360</v>
      </c>
    </row>
    <row r="857" spans="1:5" hidden="1" x14ac:dyDescent="0.35">
      <c r="A857">
        <v>2018</v>
      </c>
      <c r="B857" t="s">
        <v>33</v>
      </c>
      <c r="C857" t="s">
        <v>74</v>
      </c>
      <c r="D857">
        <v>20</v>
      </c>
      <c r="E857">
        <v>60</v>
      </c>
    </row>
    <row r="858" spans="1:5" hidden="1" x14ac:dyDescent="0.35">
      <c r="A858">
        <v>2018</v>
      </c>
      <c r="B858" t="s">
        <v>33</v>
      </c>
      <c r="C858" t="s">
        <v>75</v>
      </c>
      <c r="D858">
        <v>8</v>
      </c>
      <c r="E858">
        <v>11</v>
      </c>
    </row>
    <row r="859" spans="1:5" hidden="1" x14ac:dyDescent="0.35">
      <c r="A859">
        <v>2018</v>
      </c>
      <c r="B859" t="s">
        <v>36</v>
      </c>
      <c r="C859" t="s">
        <v>76</v>
      </c>
      <c r="D859">
        <v>255</v>
      </c>
      <c r="E859">
        <v>66</v>
      </c>
    </row>
    <row r="860" spans="1:5" hidden="1" x14ac:dyDescent="0.35">
      <c r="A860">
        <v>2018</v>
      </c>
      <c r="B860" t="s">
        <v>33</v>
      </c>
      <c r="C860" t="s">
        <v>77</v>
      </c>
      <c r="D860">
        <v>55</v>
      </c>
      <c r="E860">
        <v>28</v>
      </c>
    </row>
    <row r="861" spans="1:5" hidden="1" x14ac:dyDescent="0.35">
      <c r="A861">
        <v>2018</v>
      </c>
      <c r="B861" t="s">
        <v>35</v>
      </c>
      <c r="C861" t="s">
        <v>78</v>
      </c>
      <c r="D861" t="s">
        <v>205</v>
      </c>
      <c r="E861" t="s">
        <v>205</v>
      </c>
    </row>
    <row r="862" spans="1:5" hidden="1" x14ac:dyDescent="0.35">
      <c r="A862">
        <v>2018</v>
      </c>
      <c r="B862" t="s">
        <v>36</v>
      </c>
      <c r="C862" t="s">
        <v>79</v>
      </c>
      <c r="D862">
        <v>200</v>
      </c>
      <c r="E862">
        <v>281</v>
      </c>
    </row>
    <row r="863" spans="1:5" hidden="1" x14ac:dyDescent="0.35">
      <c r="A863">
        <v>2018</v>
      </c>
      <c r="B863" t="s">
        <v>35</v>
      </c>
      <c r="C863" t="s">
        <v>81</v>
      </c>
      <c r="D863">
        <v>20</v>
      </c>
      <c r="E863">
        <v>29</v>
      </c>
    </row>
    <row r="864" spans="1:5" hidden="1" x14ac:dyDescent="0.35">
      <c r="A864">
        <v>2018</v>
      </c>
      <c r="B864" t="s">
        <v>35</v>
      </c>
      <c r="C864" t="s">
        <v>214</v>
      </c>
      <c r="D864" t="s">
        <v>205</v>
      </c>
      <c r="E864" t="s">
        <v>205</v>
      </c>
    </row>
    <row r="865" spans="1:5" hidden="1" x14ac:dyDescent="0.35">
      <c r="A865">
        <v>2018</v>
      </c>
      <c r="B865" t="s">
        <v>36</v>
      </c>
      <c r="C865" t="s">
        <v>84</v>
      </c>
      <c r="D865">
        <v>17</v>
      </c>
      <c r="E865">
        <v>3</v>
      </c>
    </row>
    <row r="866" spans="1:5" hidden="1" x14ac:dyDescent="0.35">
      <c r="A866">
        <v>2018</v>
      </c>
      <c r="B866" t="s">
        <v>36</v>
      </c>
      <c r="C866" t="s">
        <v>85</v>
      </c>
      <c r="D866">
        <v>1504</v>
      </c>
      <c r="E866">
        <v>376</v>
      </c>
    </row>
    <row r="867" spans="1:5" hidden="1" x14ac:dyDescent="0.35">
      <c r="A867">
        <v>2018</v>
      </c>
      <c r="B867" t="s">
        <v>38</v>
      </c>
      <c r="C867" t="s">
        <v>86</v>
      </c>
      <c r="D867">
        <v>898</v>
      </c>
      <c r="E867">
        <v>539</v>
      </c>
    </row>
    <row r="868" spans="1:5" hidden="1" x14ac:dyDescent="0.35">
      <c r="A868">
        <v>2018</v>
      </c>
      <c r="B868" t="s">
        <v>33</v>
      </c>
      <c r="C868" t="s">
        <v>87</v>
      </c>
      <c r="D868">
        <v>56</v>
      </c>
      <c r="E868">
        <v>37</v>
      </c>
    </row>
    <row r="869" spans="1:5" hidden="1" x14ac:dyDescent="0.35">
      <c r="A869">
        <v>2018</v>
      </c>
      <c r="B869" t="s">
        <v>36</v>
      </c>
      <c r="C869" t="s">
        <v>16</v>
      </c>
      <c r="D869">
        <v>7054</v>
      </c>
      <c r="E869">
        <v>7877</v>
      </c>
    </row>
    <row r="870" spans="1:5" hidden="1" x14ac:dyDescent="0.35">
      <c r="A870">
        <v>2018</v>
      </c>
      <c r="B870" t="s">
        <v>33</v>
      </c>
      <c r="C870" t="s">
        <v>88</v>
      </c>
      <c r="D870" t="s">
        <v>205</v>
      </c>
      <c r="E870" t="s">
        <v>205</v>
      </c>
    </row>
    <row r="871" spans="1:5" hidden="1" x14ac:dyDescent="0.35">
      <c r="A871">
        <v>2018</v>
      </c>
      <c r="B871" t="s">
        <v>33</v>
      </c>
      <c r="C871" t="s">
        <v>89</v>
      </c>
      <c r="D871" t="s">
        <v>205</v>
      </c>
      <c r="E871" t="s">
        <v>205</v>
      </c>
    </row>
    <row r="872" spans="1:5" hidden="1" x14ac:dyDescent="0.35">
      <c r="A872">
        <v>2018</v>
      </c>
      <c r="B872" t="s">
        <v>35</v>
      </c>
      <c r="C872" t="s">
        <v>90</v>
      </c>
      <c r="D872">
        <v>5</v>
      </c>
      <c r="E872">
        <v>7</v>
      </c>
    </row>
    <row r="873" spans="1:5" hidden="1" x14ac:dyDescent="0.35">
      <c r="A873">
        <v>2018</v>
      </c>
      <c r="B873" t="s">
        <v>33</v>
      </c>
      <c r="C873" t="s">
        <v>91</v>
      </c>
      <c r="D873">
        <v>17</v>
      </c>
      <c r="E873">
        <v>21</v>
      </c>
    </row>
    <row r="874" spans="1:5" hidden="1" x14ac:dyDescent="0.35">
      <c r="A874">
        <v>2018</v>
      </c>
      <c r="B874" t="s">
        <v>37</v>
      </c>
      <c r="C874" t="s">
        <v>92</v>
      </c>
      <c r="D874">
        <v>37</v>
      </c>
      <c r="E874">
        <v>6</v>
      </c>
    </row>
    <row r="875" spans="1:5" hidden="1" x14ac:dyDescent="0.35">
      <c r="A875">
        <v>2018</v>
      </c>
      <c r="B875" t="s">
        <v>35</v>
      </c>
      <c r="C875" t="s">
        <v>94</v>
      </c>
      <c r="D875">
        <v>54</v>
      </c>
      <c r="E875">
        <v>34</v>
      </c>
    </row>
    <row r="876" spans="1:5" hidden="1" x14ac:dyDescent="0.35">
      <c r="A876">
        <v>2018</v>
      </c>
      <c r="B876" t="s">
        <v>33</v>
      </c>
      <c r="C876" t="s">
        <v>95</v>
      </c>
      <c r="D876" t="s">
        <v>205</v>
      </c>
      <c r="E876" t="s">
        <v>205</v>
      </c>
    </row>
    <row r="877" spans="1:5" hidden="1" x14ac:dyDescent="0.35">
      <c r="A877">
        <v>2018</v>
      </c>
      <c r="B877" t="s">
        <v>33</v>
      </c>
      <c r="C877" t="s">
        <v>96</v>
      </c>
      <c r="D877">
        <v>65</v>
      </c>
      <c r="E877">
        <v>43</v>
      </c>
    </row>
    <row r="878" spans="1:5" hidden="1" x14ac:dyDescent="0.35">
      <c r="A878">
        <v>2018</v>
      </c>
      <c r="B878" t="s">
        <v>34</v>
      </c>
      <c r="C878" t="s">
        <v>8</v>
      </c>
      <c r="D878">
        <v>19</v>
      </c>
      <c r="E878">
        <v>7</v>
      </c>
    </row>
    <row r="879" spans="1:5" hidden="1" x14ac:dyDescent="0.35">
      <c r="A879">
        <v>2018</v>
      </c>
      <c r="B879" t="s">
        <v>35</v>
      </c>
      <c r="C879" t="s">
        <v>97</v>
      </c>
      <c r="D879">
        <v>52</v>
      </c>
      <c r="E879">
        <v>31</v>
      </c>
    </row>
    <row r="880" spans="1:5" hidden="1" x14ac:dyDescent="0.35">
      <c r="A880">
        <v>2018</v>
      </c>
      <c r="B880" t="s">
        <v>33</v>
      </c>
      <c r="C880" t="s">
        <v>98</v>
      </c>
      <c r="D880">
        <v>122</v>
      </c>
      <c r="E880">
        <v>160</v>
      </c>
    </row>
    <row r="881" spans="1:5" hidden="1" x14ac:dyDescent="0.35">
      <c r="A881">
        <v>2018</v>
      </c>
      <c r="B881" t="s">
        <v>35</v>
      </c>
      <c r="C881" t="s">
        <v>99</v>
      </c>
      <c r="D881">
        <v>10</v>
      </c>
      <c r="E881">
        <v>9</v>
      </c>
    </row>
    <row r="882" spans="1:5" hidden="1" x14ac:dyDescent="0.35">
      <c r="A882">
        <v>2018</v>
      </c>
      <c r="B882" t="s">
        <v>36</v>
      </c>
      <c r="C882" t="s">
        <v>100</v>
      </c>
      <c r="D882" t="s">
        <v>205</v>
      </c>
      <c r="E882" t="s">
        <v>205</v>
      </c>
    </row>
    <row r="883" spans="1:5" hidden="1" x14ac:dyDescent="0.35">
      <c r="A883">
        <v>2018</v>
      </c>
      <c r="B883" t="s">
        <v>36</v>
      </c>
      <c r="C883" t="s">
        <v>15</v>
      </c>
      <c r="D883">
        <v>19812</v>
      </c>
      <c r="E883">
        <v>29344</v>
      </c>
    </row>
    <row r="884" spans="1:5" hidden="1" x14ac:dyDescent="0.35">
      <c r="A884">
        <v>2018</v>
      </c>
      <c r="B884" t="s">
        <v>33</v>
      </c>
      <c r="C884" t="s">
        <v>101</v>
      </c>
      <c r="D884">
        <v>85</v>
      </c>
      <c r="E884">
        <v>135</v>
      </c>
    </row>
    <row r="885" spans="1:5" hidden="1" x14ac:dyDescent="0.35">
      <c r="A885">
        <v>2018</v>
      </c>
      <c r="B885" t="s">
        <v>38</v>
      </c>
      <c r="C885" t="s">
        <v>103</v>
      </c>
      <c r="D885">
        <v>194</v>
      </c>
      <c r="E885">
        <v>51</v>
      </c>
    </row>
    <row r="886" spans="1:5" hidden="1" x14ac:dyDescent="0.35">
      <c r="A886">
        <v>2018</v>
      </c>
      <c r="B886" t="s">
        <v>36</v>
      </c>
      <c r="C886" t="s">
        <v>104</v>
      </c>
      <c r="D886">
        <v>462</v>
      </c>
      <c r="E886">
        <v>564</v>
      </c>
    </row>
    <row r="887" spans="1:5" hidden="1" x14ac:dyDescent="0.35">
      <c r="A887">
        <v>2018</v>
      </c>
      <c r="B887" t="s">
        <v>36</v>
      </c>
      <c r="C887" t="s">
        <v>17</v>
      </c>
      <c r="D887">
        <v>12693</v>
      </c>
      <c r="E887">
        <v>15704</v>
      </c>
    </row>
    <row r="888" spans="1:5" hidden="1" x14ac:dyDescent="0.35">
      <c r="A888">
        <v>2018</v>
      </c>
      <c r="B888" t="s">
        <v>35</v>
      </c>
      <c r="C888" t="s">
        <v>105</v>
      </c>
      <c r="D888">
        <v>25</v>
      </c>
      <c r="E888">
        <v>59</v>
      </c>
    </row>
    <row r="889" spans="1:5" hidden="1" x14ac:dyDescent="0.35">
      <c r="A889">
        <v>2018</v>
      </c>
      <c r="B889" t="s">
        <v>34</v>
      </c>
      <c r="C889" t="s">
        <v>22</v>
      </c>
      <c r="D889">
        <v>463</v>
      </c>
      <c r="E889">
        <v>380</v>
      </c>
    </row>
    <row r="890" spans="1:5" hidden="1" x14ac:dyDescent="0.35">
      <c r="A890">
        <v>2018</v>
      </c>
      <c r="B890" t="s">
        <v>34</v>
      </c>
      <c r="C890" t="s">
        <v>107</v>
      </c>
      <c r="D890">
        <v>29</v>
      </c>
      <c r="E890">
        <v>87</v>
      </c>
    </row>
    <row r="891" spans="1:5" hidden="1" x14ac:dyDescent="0.35">
      <c r="A891">
        <v>2018</v>
      </c>
      <c r="B891" t="s">
        <v>34</v>
      </c>
      <c r="C891" t="s">
        <v>108</v>
      </c>
      <c r="D891">
        <v>13</v>
      </c>
      <c r="E891">
        <v>8</v>
      </c>
    </row>
    <row r="892" spans="1:5" hidden="1" x14ac:dyDescent="0.35">
      <c r="A892">
        <v>2018</v>
      </c>
      <c r="B892" t="s">
        <v>34</v>
      </c>
      <c r="C892" t="s">
        <v>109</v>
      </c>
      <c r="D892">
        <v>38</v>
      </c>
      <c r="E892">
        <v>10</v>
      </c>
    </row>
    <row r="893" spans="1:5" hidden="1" x14ac:dyDescent="0.35">
      <c r="A893">
        <v>2018</v>
      </c>
      <c r="B893" t="s">
        <v>35</v>
      </c>
      <c r="C893" t="s">
        <v>110</v>
      </c>
      <c r="D893">
        <v>23</v>
      </c>
      <c r="E893">
        <v>18</v>
      </c>
    </row>
    <row r="894" spans="1:5" hidden="1" x14ac:dyDescent="0.35">
      <c r="A894">
        <v>2018</v>
      </c>
      <c r="B894" t="s">
        <v>34</v>
      </c>
      <c r="C894" t="s">
        <v>111</v>
      </c>
      <c r="D894">
        <v>105</v>
      </c>
      <c r="E894">
        <v>32</v>
      </c>
    </row>
    <row r="895" spans="1:5" hidden="1" x14ac:dyDescent="0.35">
      <c r="A895">
        <v>2018</v>
      </c>
      <c r="B895" t="s">
        <v>35</v>
      </c>
      <c r="C895" t="s">
        <v>112</v>
      </c>
      <c r="D895">
        <v>52</v>
      </c>
      <c r="E895">
        <v>78</v>
      </c>
    </row>
    <row r="896" spans="1:5" hidden="1" x14ac:dyDescent="0.35">
      <c r="A896">
        <v>2018</v>
      </c>
      <c r="B896" t="s">
        <v>36</v>
      </c>
      <c r="C896" t="s">
        <v>113</v>
      </c>
      <c r="D896">
        <v>992</v>
      </c>
      <c r="E896">
        <v>93</v>
      </c>
    </row>
    <row r="897" spans="1:5" hidden="1" x14ac:dyDescent="0.35">
      <c r="A897">
        <v>2018</v>
      </c>
      <c r="B897" t="s">
        <v>34</v>
      </c>
      <c r="C897" t="s">
        <v>114</v>
      </c>
      <c r="D897">
        <v>24</v>
      </c>
      <c r="E897">
        <v>16</v>
      </c>
    </row>
    <row r="898" spans="1:5" hidden="1" x14ac:dyDescent="0.35">
      <c r="A898">
        <v>2018</v>
      </c>
      <c r="B898" t="s">
        <v>34</v>
      </c>
      <c r="C898" t="s">
        <v>115</v>
      </c>
      <c r="D898">
        <v>96</v>
      </c>
      <c r="E898">
        <v>28</v>
      </c>
    </row>
    <row r="899" spans="1:5" hidden="1" x14ac:dyDescent="0.35">
      <c r="A899">
        <v>2018</v>
      </c>
      <c r="B899" t="s">
        <v>34</v>
      </c>
      <c r="C899" t="s">
        <v>116</v>
      </c>
      <c r="D899">
        <v>26</v>
      </c>
      <c r="E899">
        <v>9</v>
      </c>
    </row>
    <row r="900" spans="1:5" hidden="1" x14ac:dyDescent="0.35">
      <c r="A900">
        <v>2018</v>
      </c>
      <c r="B900" t="s">
        <v>33</v>
      </c>
      <c r="C900" t="s">
        <v>117</v>
      </c>
      <c r="D900">
        <v>110</v>
      </c>
      <c r="E900">
        <v>45</v>
      </c>
    </row>
    <row r="901" spans="1:5" hidden="1" x14ac:dyDescent="0.35">
      <c r="A901">
        <v>2018</v>
      </c>
      <c r="B901" t="s">
        <v>34</v>
      </c>
      <c r="C901" t="s">
        <v>118</v>
      </c>
      <c r="D901">
        <v>93</v>
      </c>
      <c r="E901">
        <v>66</v>
      </c>
    </row>
    <row r="902" spans="1:5" hidden="1" x14ac:dyDescent="0.35">
      <c r="A902">
        <v>2018</v>
      </c>
      <c r="B902" t="s">
        <v>35</v>
      </c>
      <c r="C902" t="s">
        <v>119</v>
      </c>
      <c r="D902">
        <v>5</v>
      </c>
      <c r="E902">
        <v>8</v>
      </c>
    </row>
    <row r="903" spans="1:5" hidden="1" x14ac:dyDescent="0.35">
      <c r="A903">
        <v>2018</v>
      </c>
      <c r="B903" t="s">
        <v>34</v>
      </c>
      <c r="C903" t="s">
        <v>120</v>
      </c>
      <c r="D903">
        <v>14</v>
      </c>
      <c r="E903">
        <v>6</v>
      </c>
    </row>
    <row r="904" spans="1:5" hidden="1" x14ac:dyDescent="0.35">
      <c r="A904">
        <v>2018</v>
      </c>
      <c r="B904" t="s">
        <v>34</v>
      </c>
      <c r="C904" t="s">
        <v>121</v>
      </c>
      <c r="D904">
        <v>4</v>
      </c>
      <c r="E904">
        <v>6</v>
      </c>
    </row>
    <row r="905" spans="1:5" hidden="1" x14ac:dyDescent="0.35">
      <c r="A905">
        <v>2018</v>
      </c>
      <c r="B905" t="s">
        <v>34</v>
      </c>
      <c r="C905" t="s">
        <v>122</v>
      </c>
      <c r="D905">
        <v>4</v>
      </c>
      <c r="E905">
        <v>5</v>
      </c>
    </row>
    <row r="906" spans="1:5" hidden="1" x14ac:dyDescent="0.35">
      <c r="A906">
        <v>2018</v>
      </c>
      <c r="B906" t="s">
        <v>35</v>
      </c>
      <c r="C906" t="s">
        <v>123</v>
      </c>
      <c r="D906">
        <v>8</v>
      </c>
      <c r="E906">
        <v>9</v>
      </c>
    </row>
    <row r="907" spans="1:5" hidden="1" x14ac:dyDescent="0.35">
      <c r="A907">
        <v>2018</v>
      </c>
      <c r="B907" t="s">
        <v>34</v>
      </c>
      <c r="C907" t="s">
        <v>124</v>
      </c>
      <c r="D907">
        <v>38</v>
      </c>
      <c r="E907">
        <v>23</v>
      </c>
    </row>
    <row r="908" spans="1:5" hidden="1" x14ac:dyDescent="0.35">
      <c r="A908">
        <v>2018</v>
      </c>
      <c r="B908" t="s">
        <v>33</v>
      </c>
      <c r="C908" t="s">
        <v>125</v>
      </c>
      <c r="D908">
        <v>109</v>
      </c>
      <c r="E908">
        <v>9</v>
      </c>
    </row>
    <row r="909" spans="1:5" hidden="1" x14ac:dyDescent="0.35">
      <c r="A909">
        <v>2018</v>
      </c>
      <c r="B909" t="s">
        <v>35</v>
      </c>
      <c r="C909" t="s">
        <v>127</v>
      </c>
      <c r="D909">
        <v>22</v>
      </c>
      <c r="E909">
        <v>24</v>
      </c>
    </row>
    <row r="910" spans="1:5" hidden="1" x14ac:dyDescent="0.35">
      <c r="A910">
        <v>2018</v>
      </c>
      <c r="B910" t="s">
        <v>34</v>
      </c>
      <c r="C910" t="s">
        <v>131</v>
      </c>
      <c r="D910" t="s">
        <v>205</v>
      </c>
      <c r="E910" t="s">
        <v>205</v>
      </c>
    </row>
    <row r="911" spans="1:5" hidden="1" x14ac:dyDescent="0.35">
      <c r="A911">
        <v>2018</v>
      </c>
      <c r="B911" t="s">
        <v>33</v>
      </c>
      <c r="C911" t="s">
        <v>132</v>
      </c>
      <c r="D911">
        <v>29</v>
      </c>
      <c r="E911">
        <v>33</v>
      </c>
    </row>
    <row r="912" spans="1:5" hidden="1" x14ac:dyDescent="0.35">
      <c r="A912">
        <v>2018</v>
      </c>
      <c r="B912" t="s">
        <v>37</v>
      </c>
      <c r="C912" t="s">
        <v>134</v>
      </c>
      <c r="D912">
        <v>38</v>
      </c>
    </row>
    <row r="913" spans="1:5" hidden="1" x14ac:dyDescent="0.35">
      <c r="A913">
        <v>2018</v>
      </c>
      <c r="B913" t="s">
        <v>33</v>
      </c>
      <c r="C913" t="s">
        <v>135</v>
      </c>
      <c r="D913">
        <v>38</v>
      </c>
      <c r="E913">
        <v>61</v>
      </c>
    </row>
    <row r="914" spans="1:5" hidden="1" x14ac:dyDescent="0.35">
      <c r="A914">
        <v>2018</v>
      </c>
      <c r="B914" t="s">
        <v>36</v>
      </c>
      <c r="C914" t="s">
        <v>14</v>
      </c>
      <c r="D914">
        <v>90180</v>
      </c>
      <c r="E914">
        <v>117883</v>
      </c>
    </row>
    <row r="915" spans="1:5" hidden="1" x14ac:dyDescent="0.35">
      <c r="A915">
        <v>2018</v>
      </c>
      <c r="B915" t="s">
        <v>37</v>
      </c>
      <c r="C915" t="s">
        <v>137</v>
      </c>
      <c r="D915">
        <v>97</v>
      </c>
    </row>
    <row r="916" spans="1:5" hidden="1" x14ac:dyDescent="0.35">
      <c r="A916">
        <v>2018</v>
      </c>
      <c r="B916" t="s">
        <v>35</v>
      </c>
      <c r="C916" t="s">
        <v>138</v>
      </c>
      <c r="D916">
        <v>29</v>
      </c>
      <c r="E916">
        <v>14</v>
      </c>
    </row>
    <row r="917" spans="1:5" hidden="1" x14ac:dyDescent="0.35">
      <c r="A917">
        <v>2018</v>
      </c>
      <c r="B917" t="s">
        <v>34</v>
      </c>
      <c r="C917" t="s">
        <v>139</v>
      </c>
      <c r="D917">
        <v>35</v>
      </c>
      <c r="E917">
        <v>10</v>
      </c>
    </row>
    <row r="918" spans="1:5" hidden="1" x14ac:dyDescent="0.35">
      <c r="A918">
        <v>2018</v>
      </c>
      <c r="B918" t="s">
        <v>35</v>
      </c>
      <c r="C918" t="s">
        <v>140</v>
      </c>
      <c r="D918">
        <v>14</v>
      </c>
      <c r="E918">
        <v>13</v>
      </c>
    </row>
    <row r="919" spans="1:5" hidden="1" x14ac:dyDescent="0.35">
      <c r="A919">
        <v>2018</v>
      </c>
      <c r="B919" t="s">
        <v>33</v>
      </c>
      <c r="C919" t="s">
        <v>141</v>
      </c>
      <c r="D919">
        <v>44</v>
      </c>
      <c r="E919">
        <v>11</v>
      </c>
    </row>
    <row r="920" spans="1:5" hidden="1" x14ac:dyDescent="0.35">
      <c r="A920">
        <v>2018</v>
      </c>
      <c r="B920" t="s">
        <v>34</v>
      </c>
      <c r="C920" t="s">
        <v>144</v>
      </c>
      <c r="D920">
        <v>17</v>
      </c>
      <c r="E920">
        <v>37</v>
      </c>
    </row>
    <row r="921" spans="1:5" hidden="1" x14ac:dyDescent="0.35">
      <c r="A921">
        <v>2018</v>
      </c>
      <c r="B921" t="s">
        <v>35</v>
      </c>
      <c r="C921" t="s">
        <v>145</v>
      </c>
      <c r="D921">
        <v>24</v>
      </c>
      <c r="E921">
        <v>17</v>
      </c>
    </row>
    <row r="922" spans="1:5" hidden="1" x14ac:dyDescent="0.35">
      <c r="A922">
        <v>2018</v>
      </c>
      <c r="B922" t="s">
        <v>37</v>
      </c>
      <c r="C922" t="s">
        <v>146</v>
      </c>
      <c r="D922">
        <v>19</v>
      </c>
      <c r="E922">
        <v>8</v>
      </c>
    </row>
    <row r="923" spans="1:5" hidden="1" x14ac:dyDescent="0.35">
      <c r="A923">
        <v>2018</v>
      </c>
      <c r="B923" t="s">
        <v>36</v>
      </c>
      <c r="C923" t="s">
        <v>147</v>
      </c>
      <c r="D923">
        <v>567</v>
      </c>
      <c r="E923">
        <v>395</v>
      </c>
    </row>
    <row r="924" spans="1:5" hidden="1" x14ac:dyDescent="0.35">
      <c r="A924">
        <v>2018</v>
      </c>
      <c r="B924" t="s">
        <v>33</v>
      </c>
      <c r="C924" t="s">
        <v>148</v>
      </c>
      <c r="D924" t="s">
        <v>205</v>
      </c>
      <c r="E924" t="s">
        <v>205</v>
      </c>
    </row>
    <row r="925" spans="1:5" hidden="1" x14ac:dyDescent="0.35">
      <c r="A925">
        <v>2018</v>
      </c>
      <c r="B925" t="s">
        <v>33</v>
      </c>
      <c r="C925" t="s">
        <v>149</v>
      </c>
      <c r="D925">
        <v>607</v>
      </c>
      <c r="E925">
        <v>188</v>
      </c>
    </row>
    <row r="926" spans="1:5" hidden="1" x14ac:dyDescent="0.35">
      <c r="A926">
        <v>2018</v>
      </c>
      <c r="B926" t="s">
        <v>35</v>
      </c>
      <c r="C926" t="s">
        <v>322</v>
      </c>
      <c r="D926">
        <v>10</v>
      </c>
      <c r="E926">
        <v>4</v>
      </c>
    </row>
    <row r="927" spans="1:5" hidden="1" x14ac:dyDescent="0.35">
      <c r="A927">
        <v>2018</v>
      </c>
      <c r="B927" t="s">
        <v>35</v>
      </c>
      <c r="C927" t="s">
        <v>150</v>
      </c>
      <c r="D927">
        <v>5</v>
      </c>
      <c r="E927">
        <v>3</v>
      </c>
    </row>
    <row r="928" spans="1:5" hidden="1" x14ac:dyDescent="0.35">
      <c r="A928">
        <v>2018</v>
      </c>
      <c r="B928" t="s">
        <v>34</v>
      </c>
      <c r="C928" t="s">
        <v>152</v>
      </c>
      <c r="D928">
        <v>139</v>
      </c>
      <c r="E928">
        <v>140</v>
      </c>
    </row>
    <row r="929" spans="1:5" hidden="1" x14ac:dyDescent="0.35">
      <c r="A929">
        <v>2018</v>
      </c>
      <c r="B929" t="s">
        <v>37</v>
      </c>
      <c r="C929" t="s">
        <v>153</v>
      </c>
      <c r="D929">
        <v>9</v>
      </c>
    </row>
    <row r="930" spans="1:5" hidden="1" x14ac:dyDescent="0.35">
      <c r="A930">
        <v>2018</v>
      </c>
      <c r="B930" t="s">
        <v>36</v>
      </c>
      <c r="C930" t="s">
        <v>154</v>
      </c>
      <c r="D930">
        <v>86</v>
      </c>
      <c r="E930">
        <v>5</v>
      </c>
    </row>
    <row r="931" spans="1:5" hidden="1" x14ac:dyDescent="0.35">
      <c r="A931">
        <v>2018</v>
      </c>
      <c r="B931" t="s">
        <v>38</v>
      </c>
      <c r="C931" t="s">
        <v>155</v>
      </c>
      <c r="D931" t="s">
        <v>205</v>
      </c>
      <c r="E931" t="s">
        <v>205</v>
      </c>
    </row>
    <row r="932" spans="1:5" hidden="1" x14ac:dyDescent="0.35">
      <c r="A932">
        <v>2018</v>
      </c>
      <c r="B932" t="s">
        <v>38</v>
      </c>
      <c r="C932" t="s">
        <v>156</v>
      </c>
      <c r="D932">
        <v>499</v>
      </c>
      <c r="E932">
        <v>227</v>
      </c>
    </row>
    <row r="933" spans="1:5" hidden="1" x14ac:dyDescent="0.35">
      <c r="A933">
        <v>2018</v>
      </c>
      <c r="B933" t="s">
        <v>34</v>
      </c>
      <c r="C933" t="s">
        <v>18</v>
      </c>
      <c r="D933">
        <v>380</v>
      </c>
      <c r="E933">
        <v>60</v>
      </c>
    </row>
    <row r="934" spans="1:5" hidden="1" x14ac:dyDescent="0.35">
      <c r="A934">
        <v>2018</v>
      </c>
      <c r="B934" t="s">
        <v>35</v>
      </c>
      <c r="C934" t="s">
        <v>157</v>
      </c>
      <c r="D934">
        <v>129</v>
      </c>
      <c r="E934">
        <v>43</v>
      </c>
    </row>
    <row r="935" spans="1:5" hidden="1" x14ac:dyDescent="0.35">
      <c r="A935">
        <v>2018</v>
      </c>
      <c r="B935" t="s">
        <v>35</v>
      </c>
      <c r="C935" t="s">
        <v>158</v>
      </c>
      <c r="D935">
        <v>35</v>
      </c>
      <c r="E935">
        <v>59</v>
      </c>
    </row>
    <row r="936" spans="1:5" hidden="1" x14ac:dyDescent="0.35">
      <c r="A936">
        <v>2018</v>
      </c>
      <c r="B936" t="s">
        <v>35</v>
      </c>
      <c r="C936" t="s">
        <v>160</v>
      </c>
      <c r="D936">
        <v>203</v>
      </c>
      <c r="E936">
        <v>214</v>
      </c>
    </row>
    <row r="937" spans="1:5" hidden="1" x14ac:dyDescent="0.35">
      <c r="A937">
        <v>2018</v>
      </c>
      <c r="B937" t="s">
        <v>35</v>
      </c>
      <c r="C937" t="s">
        <v>161</v>
      </c>
      <c r="D937">
        <v>131</v>
      </c>
      <c r="E937">
        <v>64</v>
      </c>
    </row>
    <row r="938" spans="1:5" hidden="1" x14ac:dyDescent="0.35">
      <c r="A938">
        <v>2018</v>
      </c>
      <c r="B938" t="s">
        <v>33</v>
      </c>
      <c r="C938" t="s">
        <v>162</v>
      </c>
      <c r="D938" t="s">
        <v>205</v>
      </c>
      <c r="E938" t="s">
        <v>205</v>
      </c>
    </row>
    <row r="939" spans="1:5" hidden="1" x14ac:dyDescent="0.35">
      <c r="A939">
        <v>2018</v>
      </c>
      <c r="B939" t="s">
        <v>36</v>
      </c>
      <c r="C939" t="s">
        <v>163</v>
      </c>
      <c r="D939">
        <v>17</v>
      </c>
    </row>
    <row r="940" spans="1:5" hidden="1" x14ac:dyDescent="0.35">
      <c r="A940">
        <v>2018</v>
      </c>
      <c r="B940" t="s">
        <v>36</v>
      </c>
      <c r="C940" t="s">
        <v>164</v>
      </c>
      <c r="D940">
        <v>31</v>
      </c>
      <c r="E940">
        <v>4</v>
      </c>
    </row>
    <row r="941" spans="1:5" hidden="1" x14ac:dyDescent="0.35">
      <c r="A941">
        <v>2018</v>
      </c>
      <c r="B941" t="s">
        <v>36</v>
      </c>
      <c r="C941" t="s">
        <v>165</v>
      </c>
      <c r="D941" t="s">
        <v>205</v>
      </c>
      <c r="E941" t="s">
        <v>205</v>
      </c>
    </row>
    <row r="942" spans="1:5" hidden="1" x14ac:dyDescent="0.35">
      <c r="A942">
        <v>2018</v>
      </c>
      <c r="B942" t="s">
        <v>37</v>
      </c>
      <c r="C942" t="s">
        <v>166</v>
      </c>
      <c r="D942">
        <v>29</v>
      </c>
    </row>
    <row r="943" spans="1:5" hidden="1" x14ac:dyDescent="0.35">
      <c r="A943">
        <v>2018</v>
      </c>
      <c r="B943" t="s">
        <v>34</v>
      </c>
      <c r="C943" t="s">
        <v>167</v>
      </c>
      <c r="D943">
        <v>86</v>
      </c>
      <c r="E943">
        <v>30</v>
      </c>
    </row>
    <row r="944" spans="1:5" hidden="1" x14ac:dyDescent="0.35">
      <c r="A944">
        <v>2018</v>
      </c>
      <c r="B944" t="s">
        <v>33</v>
      </c>
      <c r="C944" t="s">
        <v>168</v>
      </c>
      <c r="D944">
        <v>44</v>
      </c>
      <c r="E944">
        <v>88</v>
      </c>
    </row>
    <row r="945" spans="1:5" hidden="1" x14ac:dyDescent="0.35">
      <c r="A945">
        <v>2018</v>
      </c>
      <c r="B945" t="s">
        <v>35</v>
      </c>
      <c r="C945" t="s">
        <v>169</v>
      </c>
      <c r="D945">
        <v>13</v>
      </c>
      <c r="E945">
        <v>20</v>
      </c>
    </row>
    <row r="946" spans="1:5" hidden="1" x14ac:dyDescent="0.35">
      <c r="A946">
        <v>2018</v>
      </c>
      <c r="B946" t="s">
        <v>35</v>
      </c>
      <c r="C946" t="s">
        <v>215</v>
      </c>
      <c r="D946" t="s">
        <v>205</v>
      </c>
      <c r="E946" t="s">
        <v>205</v>
      </c>
    </row>
    <row r="947" spans="1:5" hidden="1" x14ac:dyDescent="0.35">
      <c r="A947">
        <v>2018</v>
      </c>
      <c r="B947" t="s">
        <v>33</v>
      </c>
      <c r="C947" t="s">
        <v>170</v>
      </c>
      <c r="D947">
        <v>54</v>
      </c>
      <c r="E947">
        <v>27</v>
      </c>
    </row>
    <row r="948" spans="1:5" hidden="1" x14ac:dyDescent="0.35">
      <c r="A948">
        <v>2018</v>
      </c>
      <c r="B948" t="s">
        <v>34</v>
      </c>
      <c r="C948" t="s">
        <v>171</v>
      </c>
      <c r="D948" t="s">
        <v>205</v>
      </c>
      <c r="E948" t="s">
        <v>205</v>
      </c>
    </row>
    <row r="949" spans="1:5" hidden="1" x14ac:dyDescent="0.35">
      <c r="A949">
        <v>2018</v>
      </c>
      <c r="B949" t="s">
        <v>35</v>
      </c>
      <c r="C949" t="s">
        <v>172</v>
      </c>
      <c r="D949">
        <v>11</v>
      </c>
      <c r="E949">
        <v>22</v>
      </c>
    </row>
    <row r="950" spans="1:5" hidden="1" x14ac:dyDescent="0.35">
      <c r="A950">
        <v>2018</v>
      </c>
      <c r="B950" t="s">
        <v>33</v>
      </c>
      <c r="C950" t="s">
        <v>174</v>
      </c>
      <c r="D950">
        <v>126</v>
      </c>
      <c r="E950">
        <v>102</v>
      </c>
    </row>
    <row r="951" spans="1:5" hidden="1" x14ac:dyDescent="0.35">
      <c r="A951">
        <v>2018</v>
      </c>
      <c r="B951" t="s">
        <v>33</v>
      </c>
      <c r="C951" t="s">
        <v>175</v>
      </c>
      <c r="D951">
        <v>49</v>
      </c>
      <c r="E951">
        <v>13</v>
      </c>
    </row>
    <row r="952" spans="1:5" hidden="1" x14ac:dyDescent="0.35">
      <c r="A952">
        <v>2018</v>
      </c>
      <c r="B952" t="s">
        <v>33</v>
      </c>
      <c r="C952" t="s">
        <v>176</v>
      </c>
      <c r="D952">
        <v>61</v>
      </c>
    </row>
    <row r="953" spans="1:5" hidden="1" x14ac:dyDescent="0.35">
      <c r="A953">
        <v>2018</v>
      </c>
      <c r="B953" t="s">
        <v>35</v>
      </c>
      <c r="C953" t="s">
        <v>177</v>
      </c>
      <c r="D953">
        <v>78</v>
      </c>
      <c r="E953">
        <v>131</v>
      </c>
    </row>
    <row r="954" spans="1:5" hidden="1" x14ac:dyDescent="0.35">
      <c r="A954">
        <v>2018</v>
      </c>
      <c r="B954" t="s">
        <v>34</v>
      </c>
      <c r="C954" t="s">
        <v>178</v>
      </c>
      <c r="D954">
        <v>20</v>
      </c>
      <c r="E954">
        <v>25</v>
      </c>
    </row>
    <row r="955" spans="1:5" hidden="1" x14ac:dyDescent="0.35">
      <c r="A955">
        <v>2018</v>
      </c>
      <c r="B955" t="s">
        <v>33</v>
      </c>
      <c r="C955" t="s">
        <v>179</v>
      </c>
      <c r="D955">
        <v>38</v>
      </c>
      <c r="E955">
        <v>11</v>
      </c>
    </row>
    <row r="956" spans="1:5" hidden="1" x14ac:dyDescent="0.35">
      <c r="A956">
        <v>2018</v>
      </c>
      <c r="B956" t="s">
        <v>38</v>
      </c>
      <c r="C956" t="s">
        <v>180</v>
      </c>
      <c r="D956">
        <v>17</v>
      </c>
      <c r="E956">
        <v>3</v>
      </c>
    </row>
    <row r="957" spans="1:5" hidden="1" x14ac:dyDescent="0.35">
      <c r="A957">
        <v>2018</v>
      </c>
      <c r="B957" t="s">
        <v>35</v>
      </c>
      <c r="C957" t="s">
        <v>182</v>
      </c>
      <c r="D957">
        <v>10</v>
      </c>
      <c r="E957">
        <v>11</v>
      </c>
    </row>
    <row r="958" spans="1:5" hidden="1" x14ac:dyDescent="0.35">
      <c r="A958">
        <v>2018</v>
      </c>
      <c r="B958" t="s">
        <v>34</v>
      </c>
      <c r="C958" t="s">
        <v>184</v>
      </c>
      <c r="D958">
        <v>4</v>
      </c>
      <c r="E958">
        <v>4</v>
      </c>
    </row>
    <row r="959" spans="1:5" hidden="1" x14ac:dyDescent="0.35">
      <c r="A959">
        <v>2018</v>
      </c>
      <c r="B959" t="s">
        <v>34</v>
      </c>
      <c r="C959" t="s">
        <v>185</v>
      </c>
      <c r="D959">
        <v>23</v>
      </c>
      <c r="E959">
        <v>10</v>
      </c>
    </row>
    <row r="960" spans="1:5" hidden="1" x14ac:dyDescent="0.35">
      <c r="A960">
        <v>2018</v>
      </c>
      <c r="B960" t="s">
        <v>34</v>
      </c>
      <c r="C960" t="s">
        <v>186</v>
      </c>
      <c r="D960">
        <v>3</v>
      </c>
      <c r="E960">
        <v>4</v>
      </c>
    </row>
    <row r="961" spans="1:5" hidden="1" x14ac:dyDescent="0.35">
      <c r="A961">
        <v>2018</v>
      </c>
      <c r="B961" t="s">
        <v>33</v>
      </c>
      <c r="C961" t="s">
        <v>187</v>
      </c>
      <c r="D961">
        <v>18</v>
      </c>
      <c r="E961">
        <v>3</v>
      </c>
    </row>
    <row r="962" spans="1:5" hidden="1" x14ac:dyDescent="0.35">
      <c r="A962">
        <v>2018</v>
      </c>
      <c r="B962" t="s">
        <v>34</v>
      </c>
      <c r="C962" t="s">
        <v>188</v>
      </c>
      <c r="D962">
        <v>100</v>
      </c>
      <c r="E962">
        <v>25</v>
      </c>
    </row>
    <row r="963" spans="1:5" hidden="1" x14ac:dyDescent="0.35">
      <c r="A963">
        <v>2018</v>
      </c>
      <c r="B963" t="s">
        <v>33</v>
      </c>
      <c r="C963" t="s">
        <v>189</v>
      </c>
      <c r="D963">
        <v>8</v>
      </c>
      <c r="E963">
        <v>14</v>
      </c>
    </row>
    <row r="964" spans="1:5" hidden="1" x14ac:dyDescent="0.35">
      <c r="A964">
        <v>2018</v>
      </c>
      <c r="B964" t="s">
        <v>37</v>
      </c>
      <c r="C964" t="s">
        <v>190</v>
      </c>
      <c r="D964">
        <v>26</v>
      </c>
      <c r="E964">
        <v>4</v>
      </c>
    </row>
    <row r="965" spans="1:5" hidden="1" x14ac:dyDescent="0.35">
      <c r="A965">
        <v>2018</v>
      </c>
      <c r="B965" t="s">
        <v>36</v>
      </c>
      <c r="C965" t="s">
        <v>191</v>
      </c>
      <c r="D965">
        <v>105</v>
      </c>
      <c r="E965">
        <v>14</v>
      </c>
    </row>
    <row r="966" spans="1:5" hidden="1" x14ac:dyDescent="0.35">
      <c r="A966">
        <v>2018</v>
      </c>
      <c r="B966" t="s">
        <v>33</v>
      </c>
      <c r="C966" t="s">
        <v>192</v>
      </c>
      <c r="D966">
        <v>11</v>
      </c>
      <c r="E966">
        <v>4</v>
      </c>
    </row>
    <row r="967" spans="1:5" hidden="1" x14ac:dyDescent="0.35">
      <c r="A967">
        <v>2018</v>
      </c>
      <c r="B967" t="s">
        <v>34</v>
      </c>
      <c r="C967" t="s">
        <v>193</v>
      </c>
      <c r="D967">
        <v>68</v>
      </c>
      <c r="E967">
        <v>48</v>
      </c>
    </row>
    <row r="968" spans="1:5" hidden="1" x14ac:dyDescent="0.35">
      <c r="A968">
        <v>2018</v>
      </c>
      <c r="B968" t="s">
        <v>34</v>
      </c>
      <c r="C968" t="s">
        <v>194</v>
      </c>
      <c r="D968" t="s">
        <v>205</v>
      </c>
      <c r="E968" t="s">
        <v>205</v>
      </c>
    </row>
    <row r="969" spans="1:5" hidden="1" x14ac:dyDescent="0.35">
      <c r="A969">
        <v>2018</v>
      </c>
      <c r="B969" t="s">
        <v>33</v>
      </c>
      <c r="C969" t="s">
        <v>195</v>
      </c>
      <c r="D969">
        <v>20</v>
      </c>
      <c r="E969">
        <v>6</v>
      </c>
    </row>
    <row r="970" spans="1:5" hidden="1" x14ac:dyDescent="0.35">
      <c r="A970">
        <v>2018</v>
      </c>
      <c r="B970" t="s">
        <v>35</v>
      </c>
      <c r="C970" t="s">
        <v>196</v>
      </c>
      <c r="D970">
        <v>95</v>
      </c>
      <c r="E970">
        <v>44</v>
      </c>
    </row>
    <row r="971" spans="1:5" hidden="1" x14ac:dyDescent="0.35">
      <c r="A971">
        <v>2018</v>
      </c>
      <c r="B971" t="s">
        <v>35</v>
      </c>
      <c r="C971" t="s">
        <v>198</v>
      </c>
      <c r="D971">
        <v>158</v>
      </c>
      <c r="E971">
        <v>66</v>
      </c>
    </row>
    <row r="972" spans="1:5" hidden="1" x14ac:dyDescent="0.35">
      <c r="A972">
        <v>2018</v>
      </c>
      <c r="B972" t="s">
        <v>39</v>
      </c>
      <c r="C972" t="s">
        <v>39</v>
      </c>
      <c r="D972">
        <v>35</v>
      </c>
      <c r="E972">
        <v>22</v>
      </c>
    </row>
    <row r="973" spans="1:5" hidden="1" x14ac:dyDescent="0.35">
      <c r="A973">
        <v>2018</v>
      </c>
      <c r="B973" t="s">
        <v>38</v>
      </c>
      <c r="C973" t="s">
        <v>199</v>
      </c>
      <c r="D973">
        <v>47</v>
      </c>
      <c r="E973">
        <v>12</v>
      </c>
    </row>
    <row r="974" spans="1:5" hidden="1" x14ac:dyDescent="0.35">
      <c r="A974">
        <v>2018</v>
      </c>
      <c r="B974" t="s">
        <v>34</v>
      </c>
      <c r="C974" t="s">
        <v>200</v>
      </c>
      <c r="D974">
        <v>13</v>
      </c>
      <c r="E974">
        <v>23</v>
      </c>
    </row>
    <row r="975" spans="1:5" hidden="1" x14ac:dyDescent="0.35">
      <c r="A975">
        <v>2018</v>
      </c>
      <c r="B975" t="s">
        <v>38</v>
      </c>
      <c r="C975" t="s">
        <v>19</v>
      </c>
      <c r="D975">
        <v>1300</v>
      </c>
      <c r="E975">
        <v>171</v>
      </c>
    </row>
    <row r="976" spans="1:5" hidden="1" x14ac:dyDescent="0.35">
      <c r="A976">
        <v>2018</v>
      </c>
      <c r="B976" t="s">
        <v>34</v>
      </c>
      <c r="C976" t="s">
        <v>201</v>
      </c>
      <c r="D976">
        <v>102</v>
      </c>
      <c r="E976">
        <v>14</v>
      </c>
    </row>
    <row r="977" spans="1:5" hidden="1" x14ac:dyDescent="0.35">
      <c r="A977">
        <v>2018</v>
      </c>
      <c r="B977" t="s">
        <v>34</v>
      </c>
      <c r="C977" t="s">
        <v>202</v>
      </c>
      <c r="D977">
        <v>19</v>
      </c>
      <c r="E977">
        <v>4</v>
      </c>
    </row>
    <row r="978" spans="1:5" hidden="1" x14ac:dyDescent="0.35">
      <c r="A978">
        <v>2018</v>
      </c>
      <c r="B978" t="s">
        <v>33</v>
      </c>
      <c r="C978" t="s">
        <v>203</v>
      </c>
      <c r="D978">
        <v>9</v>
      </c>
      <c r="E978">
        <v>5</v>
      </c>
    </row>
    <row r="979" spans="1:5" hidden="1" x14ac:dyDescent="0.35">
      <c r="A979">
        <v>2018</v>
      </c>
      <c r="B979" t="s">
        <v>33</v>
      </c>
      <c r="C979" t="s">
        <v>204</v>
      </c>
      <c r="D979">
        <v>11</v>
      </c>
      <c r="E979">
        <v>9</v>
      </c>
    </row>
    <row r="980" spans="1:5" hidden="1" x14ac:dyDescent="0.35">
      <c r="A980">
        <v>2019</v>
      </c>
      <c r="B980" t="s">
        <v>34</v>
      </c>
      <c r="C980" t="s">
        <v>40</v>
      </c>
      <c r="D980">
        <v>19</v>
      </c>
      <c r="E980">
        <v>11</v>
      </c>
    </row>
    <row r="981" spans="1:5" hidden="1" x14ac:dyDescent="0.35">
      <c r="A981">
        <v>2019</v>
      </c>
      <c r="B981" t="s">
        <v>35</v>
      </c>
      <c r="C981" t="s">
        <v>41</v>
      </c>
      <c r="D981">
        <v>34</v>
      </c>
      <c r="E981">
        <v>50</v>
      </c>
    </row>
    <row r="982" spans="1:5" hidden="1" x14ac:dyDescent="0.35">
      <c r="A982">
        <v>2019</v>
      </c>
      <c r="B982" t="s">
        <v>33</v>
      </c>
      <c r="C982" t="s">
        <v>42</v>
      </c>
      <c r="D982">
        <v>14</v>
      </c>
      <c r="E982">
        <v>13</v>
      </c>
    </row>
    <row r="983" spans="1:5" hidden="1" x14ac:dyDescent="0.35">
      <c r="A983">
        <v>2019</v>
      </c>
      <c r="C983" t="s">
        <v>373</v>
      </c>
      <c r="D983">
        <v>57</v>
      </c>
      <c r="E983">
        <v>25</v>
      </c>
    </row>
    <row r="984" spans="1:5" hidden="1" x14ac:dyDescent="0.35">
      <c r="A984">
        <v>2019</v>
      </c>
      <c r="B984" t="s">
        <v>33</v>
      </c>
      <c r="C984" t="s">
        <v>43</v>
      </c>
      <c r="D984">
        <v>14</v>
      </c>
      <c r="E984">
        <v>30</v>
      </c>
    </row>
    <row r="985" spans="1:5" hidden="1" x14ac:dyDescent="0.35">
      <c r="A985">
        <v>2019</v>
      </c>
      <c r="B985" t="s">
        <v>36</v>
      </c>
      <c r="C985" t="s">
        <v>44</v>
      </c>
      <c r="D985">
        <v>12</v>
      </c>
    </row>
    <row r="986" spans="1:5" hidden="1" x14ac:dyDescent="0.35">
      <c r="A986">
        <v>2019</v>
      </c>
      <c r="B986" t="s">
        <v>38</v>
      </c>
      <c r="C986" t="s">
        <v>45</v>
      </c>
      <c r="D986">
        <v>287</v>
      </c>
      <c r="E986">
        <v>37</v>
      </c>
    </row>
    <row r="987" spans="1:5" hidden="1" x14ac:dyDescent="0.35">
      <c r="A987">
        <v>2019</v>
      </c>
      <c r="B987" t="s">
        <v>34</v>
      </c>
      <c r="C987" t="s">
        <v>46</v>
      </c>
      <c r="D987">
        <v>41</v>
      </c>
      <c r="E987">
        <v>17</v>
      </c>
    </row>
    <row r="988" spans="1:5" hidden="1" x14ac:dyDescent="0.35">
      <c r="A988">
        <v>2019</v>
      </c>
      <c r="B988" t="s">
        <v>37</v>
      </c>
      <c r="C988" t="s">
        <v>47</v>
      </c>
      <c r="D988">
        <v>28</v>
      </c>
      <c r="E988">
        <v>13</v>
      </c>
    </row>
    <row r="989" spans="1:5" hidden="1" x14ac:dyDescent="0.35">
      <c r="A989">
        <v>2019</v>
      </c>
      <c r="B989" t="s">
        <v>35</v>
      </c>
      <c r="C989" t="s">
        <v>48</v>
      </c>
      <c r="D989" t="s">
        <v>205</v>
      </c>
      <c r="E989" t="s">
        <v>205</v>
      </c>
    </row>
    <row r="990" spans="1:5" hidden="1" x14ac:dyDescent="0.35">
      <c r="A990">
        <v>2019</v>
      </c>
      <c r="B990" t="s">
        <v>34</v>
      </c>
      <c r="C990" t="s">
        <v>49</v>
      </c>
      <c r="D990" t="s">
        <v>205</v>
      </c>
      <c r="E990" t="s">
        <v>205</v>
      </c>
    </row>
    <row r="991" spans="1:5" hidden="1" x14ac:dyDescent="0.35">
      <c r="A991">
        <v>2019</v>
      </c>
      <c r="B991" t="s">
        <v>36</v>
      </c>
      <c r="C991" t="s">
        <v>50</v>
      </c>
      <c r="D991">
        <v>89</v>
      </c>
      <c r="E991">
        <v>15</v>
      </c>
    </row>
    <row r="992" spans="1:5" hidden="1" x14ac:dyDescent="0.35">
      <c r="A992">
        <v>2019</v>
      </c>
      <c r="B992" t="s">
        <v>34</v>
      </c>
      <c r="C992" t="s">
        <v>52</v>
      </c>
      <c r="D992">
        <v>48</v>
      </c>
      <c r="E992">
        <v>109</v>
      </c>
    </row>
    <row r="993" spans="1:5" hidden="1" x14ac:dyDescent="0.35">
      <c r="A993">
        <v>2019</v>
      </c>
      <c r="B993" t="s">
        <v>36</v>
      </c>
      <c r="C993" t="s">
        <v>53</v>
      </c>
      <c r="D993">
        <v>34</v>
      </c>
    </row>
    <row r="994" spans="1:5" hidden="1" x14ac:dyDescent="0.35">
      <c r="A994">
        <v>2019</v>
      </c>
      <c r="B994" t="s">
        <v>35</v>
      </c>
      <c r="C994" t="s">
        <v>54</v>
      </c>
      <c r="D994">
        <v>19</v>
      </c>
      <c r="E994">
        <v>11</v>
      </c>
    </row>
    <row r="995" spans="1:5" hidden="1" x14ac:dyDescent="0.35">
      <c r="A995">
        <v>2019</v>
      </c>
      <c r="B995" t="s">
        <v>35</v>
      </c>
      <c r="C995" t="s">
        <v>55</v>
      </c>
      <c r="D995">
        <v>6</v>
      </c>
      <c r="E995">
        <v>3</v>
      </c>
    </row>
    <row r="996" spans="1:5" hidden="1" x14ac:dyDescent="0.35">
      <c r="A996">
        <v>2019</v>
      </c>
      <c r="B996" t="s">
        <v>36</v>
      </c>
      <c r="C996" t="s">
        <v>56</v>
      </c>
      <c r="D996">
        <v>80</v>
      </c>
      <c r="E996">
        <v>29</v>
      </c>
    </row>
    <row r="997" spans="1:5" hidden="1" x14ac:dyDescent="0.35">
      <c r="A997">
        <v>2019</v>
      </c>
      <c r="B997" t="s">
        <v>33</v>
      </c>
      <c r="C997" t="s">
        <v>57</v>
      </c>
      <c r="D997">
        <v>7</v>
      </c>
      <c r="E997">
        <v>5</v>
      </c>
    </row>
    <row r="998" spans="1:5" hidden="1" x14ac:dyDescent="0.35">
      <c r="A998">
        <v>2019</v>
      </c>
      <c r="B998" t="s">
        <v>38</v>
      </c>
      <c r="C998" t="s">
        <v>59</v>
      </c>
      <c r="D998">
        <v>89</v>
      </c>
      <c r="E998">
        <v>20</v>
      </c>
    </row>
    <row r="999" spans="1:5" hidden="1" x14ac:dyDescent="0.35">
      <c r="A999">
        <v>2019</v>
      </c>
      <c r="B999" t="s">
        <v>35</v>
      </c>
      <c r="C999" t="s">
        <v>60</v>
      </c>
      <c r="D999">
        <v>28</v>
      </c>
      <c r="E999">
        <v>7</v>
      </c>
    </row>
    <row r="1000" spans="1:5" hidden="1" x14ac:dyDescent="0.35">
      <c r="A1000">
        <v>2019</v>
      </c>
      <c r="B1000" t="s">
        <v>38</v>
      </c>
      <c r="C1000" t="s">
        <v>21</v>
      </c>
      <c r="D1000">
        <v>1484</v>
      </c>
      <c r="E1000">
        <v>919</v>
      </c>
    </row>
    <row r="1001" spans="1:5" hidden="1" x14ac:dyDescent="0.35">
      <c r="A1001">
        <v>2019</v>
      </c>
      <c r="B1001" t="s">
        <v>35</v>
      </c>
      <c r="C1001" t="s">
        <v>62</v>
      </c>
      <c r="D1001">
        <v>18</v>
      </c>
      <c r="E1001">
        <v>9</v>
      </c>
    </row>
    <row r="1002" spans="1:5" hidden="1" x14ac:dyDescent="0.35">
      <c r="A1002">
        <v>2019</v>
      </c>
      <c r="B1002" t="s">
        <v>33</v>
      </c>
      <c r="C1002" t="s">
        <v>63</v>
      </c>
      <c r="D1002">
        <v>12</v>
      </c>
      <c r="E1002">
        <v>11</v>
      </c>
    </row>
    <row r="1003" spans="1:5" hidden="1" x14ac:dyDescent="0.35">
      <c r="A1003">
        <v>2019</v>
      </c>
      <c r="B1003" t="s">
        <v>34</v>
      </c>
      <c r="C1003" t="s">
        <v>64</v>
      </c>
      <c r="D1003" t="s">
        <v>205</v>
      </c>
      <c r="E1003" t="s">
        <v>205</v>
      </c>
    </row>
    <row r="1004" spans="1:5" hidden="1" x14ac:dyDescent="0.35">
      <c r="A1004">
        <v>2019</v>
      </c>
      <c r="B1004" t="s">
        <v>33</v>
      </c>
      <c r="C1004" t="s">
        <v>65</v>
      </c>
      <c r="D1004" t="s">
        <v>205</v>
      </c>
      <c r="E1004" t="s">
        <v>205</v>
      </c>
    </row>
    <row r="1005" spans="1:5" hidden="1" x14ac:dyDescent="0.35">
      <c r="A1005">
        <v>2019</v>
      </c>
      <c r="B1005" t="s">
        <v>33</v>
      </c>
      <c r="C1005" t="s">
        <v>66</v>
      </c>
      <c r="D1005">
        <v>49</v>
      </c>
      <c r="E1005">
        <v>5</v>
      </c>
    </row>
    <row r="1006" spans="1:5" hidden="1" x14ac:dyDescent="0.35">
      <c r="A1006">
        <v>2019</v>
      </c>
      <c r="B1006" t="s">
        <v>34</v>
      </c>
      <c r="C1006" t="s">
        <v>67</v>
      </c>
      <c r="D1006">
        <v>71</v>
      </c>
      <c r="E1006">
        <v>10</v>
      </c>
    </row>
    <row r="1007" spans="1:5" hidden="1" x14ac:dyDescent="0.35">
      <c r="A1007">
        <v>2019</v>
      </c>
      <c r="B1007" t="s">
        <v>33</v>
      </c>
      <c r="C1007" t="s">
        <v>68</v>
      </c>
      <c r="D1007">
        <v>20</v>
      </c>
      <c r="E1007">
        <v>57</v>
      </c>
    </row>
    <row r="1008" spans="1:5" hidden="1" x14ac:dyDescent="0.35">
      <c r="A1008">
        <v>2019</v>
      </c>
      <c r="B1008" t="s">
        <v>36</v>
      </c>
      <c r="C1008" t="s">
        <v>69</v>
      </c>
      <c r="D1008">
        <v>756</v>
      </c>
      <c r="E1008">
        <v>111</v>
      </c>
    </row>
    <row r="1009" spans="1:5" hidden="1" x14ac:dyDescent="0.35">
      <c r="A1009">
        <v>2019</v>
      </c>
      <c r="B1009" t="s">
        <v>33</v>
      </c>
      <c r="C1009" t="s">
        <v>71</v>
      </c>
      <c r="D1009" t="s">
        <v>205</v>
      </c>
      <c r="E1009" t="s">
        <v>205</v>
      </c>
    </row>
    <row r="1010" spans="1:5" hidden="1" x14ac:dyDescent="0.35">
      <c r="A1010">
        <v>2019</v>
      </c>
      <c r="B1010" t="s">
        <v>38</v>
      </c>
      <c r="C1010" t="s">
        <v>72</v>
      </c>
      <c r="D1010">
        <v>144</v>
      </c>
      <c r="E1010">
        <v>70</v>
      </c>
    </row>
    <row r="1011" spans="1:5" hidden="1" x14ac:dyDescent="0.35">
      <c r="A1011">
        <v>2019</v>
      </c>
      <c r="B1011" t="s">
        <v>34</v>
      </c>
      <c r="C1011" t="s">
        <v>73</v>
      </c>
      <c r="D1011">
        <v>956</v>
      </c>
      <c r="E1011">
        <v>409</v>
      </c>
    </row>
    <row r="1012" spans="1:5" hidden="1" x14ac:dyDescent="0.35">
      <c r="A1012">
        <v>2019</v>
      </c>
      <c r="B1012" t="s">
        <v>38</v>
      </c>
      <c r="C1012" t="s">
        <v>20</v>
      </c>
      <c r="D1012">
        <v>2564</v>
      </c>
      <c r="E1012">
        <v>315</v>
      </c>
    </row>
    <row r="1013" spans="1:5" hidden="1" x14ac:dyDescent="0.35">
      <c r="A1013">
        <v>2019</v>
      </c>
      <c r="B1013" t="s">
        <v>33</v>
      </c>
      <c r="C1013" t="s">
        <v>74</v>
      </c>
      <c r="D1013">
        <v>39</v>
      </c>
      <c r="E1013">
        <v>44</v>
      </c>
    </row>
    <row r="1014" spans="1:5" hidden="1" x14ac:dyDescent="0.35">
      <c r="A1014">
        <v>2019</v>
      </c>
      <c r="B1014" t="s">
        <v>33</v>
      </c>
      <c r="C1014" t="s">
        <v>75</v>
      </c>
      <c r="D1014">
        <v>3</v>
      </c>
      <c r="E1014">
        <v>12</v>
      </c>
    </row>
    <row r="1015" spans="1:5" hidden="1" x14ac:dyDescent="0.35">
      <c r="A1015">
        <v>2019</v>
      </c>
      <c r="B1015" t="s">
        <v>36</v>
      </c>
      <c r="C1015" t="s">
        <v>76</v>
      </c>
      <c r="D1015">
        <v>310</v>
      </c>
      <c r="E1015">
        <v>43</v>
      </c>
    </row>
    <row r="1016" spans="1:5" hidden="1" x14ac:dyDescent="0.35">
      <c r="A1016">
        <v>2019</v>
      </c>
      <c r="B1016" t="s">
        <v>33</v>
      </c>
      <c r="C1016" t="s">
        <v>77</v>
      </c>
      <c r="D1016">
        <v>28</v>
      </c>
      <c r="E1016">
        <v>8</v>
      </c>
    </row>
    <row r="1017" spans="1:5" hidden="1" x14ac:dyDescent="0.35">
      <c r="A1017">
        <v>2019</v>
      </c>
      <c r="B1017" t="s">
        <v>35</v>
      </c>
      <c r="C1017" t="s">
        <v>78</v>
      </c>
      <c r="D1017" t="s">
        <v>205</v>
      </c>
      <c r="E1017" t="s">
        <v>205</v>
      </c>
    </row>
    <row r="1018" spans="1:5" hidden="1" x14ac:dyDescent="0.35">
      <c r="A1018">
        <v>2019</v>
      </c>
      <c r="B1018" t="s">
        <v>36</v>
      </c>
      <c r="C1018" t="s">
        <v>79</v>
      </c>
      <c r="D1018">
        <v>163</v>
      </c>
      <c r="E1018">
        <v>958</v>
      </c>
    </row>
    <row r="1019" spans="1:5" hidden="1" x14ac:dyDescent="0.35">
      <c r="A1019">
        <v>2019</v>
      </c>
      <c r="B1019" t="s">
        <v>35</v>
      </c>
      <c r="C1019" t="s">
        <v>81</v>
      </c>
      <c r="D1019">
        <v>11</v>
      </c>
      <c r="E1019">
        <v>42</v>
      </c>
    </row>
    <row r="1020" spans="1:5" hidden="1" x14ac:dyDescent="0.35">
      <c r="A1020">
        <v>2019</v>
      </c>
      <c r="B1020" t="s">
        <v>35</v>
      </c>
      <c r="C1020" t="s">
        <v>214</v>
      </c>
      <c r="D1020" t="s">
        <v>205</v>
      </c>
      <c r="E1020" t="s">
        <v>205</v>
      </c>
    </row>
    <row r="1021" spans="1:5" hidden="1" x14ac:dyDescent="0.35">
      <c r="A1021">
        <v>2019</v>
      </c>
      <c r="B1021" t="s">
        <v>36</v>
      </c>
      <c r="C1021" t="s">
        <v>84</v>
      </c>
      <c r="D1021" t="s">
        <v>205</v>
      </c>
      <c r="E1021" t="s">
        <v>205</v>
      </c>
    </row>
    <row r="1022" spans="1:5" hidden="1" x14ac:dyDescent="0.35">
      <c r="A1022">
        <v>2019</v>
      </c>
      <c r="B1022" t="s">
        <v>36</v>
      </c>
      <c r="C1022" t="s">
        <v>85</v>
      </c>
      <c r="D1022">
        <v>1619</v>
      </c>
      <c r="E1022">
        <v>584</v>
      </c>
    </row>
    <row r="1023" spans="1:5" hidden="1" x14ac:dyDescent="0.35">
      <c r="A1023">
        <v>2019</v>
      </c>
      <c r="B1023" t="s">
        <v>38</v>
      </c>
      <c r="C1023" t="s">
        <v>86</v>
      </c>
      <c r="D1023">
        <v>1479</v>
      </c>
      <c r="E1023">
        <v>1006</v>
      </c>
    </row>
    <row r="1024" spans="1:5" hidden="1" x14ac:dyDescent="0.35">
      <c r="A1024">
        <v>2019</v>
      </c>
      <c r="B1024" t="s">
        <v>33</v>
      </c>
      <c r="C1024" t="s">
        <v>87</v>
      </c>
      <c r="D1024">
        <v>60</v>
      </c>
      <c r="E1024">
        <v>22</v>
      </c>
    </row>
    <row r="1025" spans="1:5" hidden="1" x14ac:dyDescent="0.35">
      <c r="A1025">
        <v>2019</v>
      </c>
      <c r="B1025" t="s">
        <v>36</v>
      </c>
      <c r="C1025" t="s">
        <v>16</v>
      </c>
      <c r="D1025">
        <v>8798</v>
      </c>
      <c r="E1025">
        <v>9240</v>
      </c>
    </row>
    <row r="1026" spans="1:5" hidden="1" x14ac:dyDescent="0.35">
      <c r="A1026">
        <v>2019</v>
      </c>
      <c r="B1026" t="s">
        <v>33</v>
      </c>
      <c r="C1026" t="s">
        <v>88</v>
      </c>
      <c r="D1026" t="s">
        <v>205</v>
      </c>
      <c r="E1026" t="s">
        <v>205</v>
      </c>
    </row>
    <row r="1027" spans="1:5" hidden="1" x14ac:dyDescent="0.35">
      <c r="A1027">
        <v>2019</v>
      </c>
      <c r="B1027" t="s">
        <v>33</v>
      </c>
      <c r="C1027" t="s">
        <v>89</v>
      </c>
      <c r="D1027">
        <v>5</v>
      </c>
      <c r="E1027">
        <v>43</v>
      </c>
    </row>
    <row r="1028" spans="1:5" hidden="1" x14ac:dyDescent="0.35">
      <c r="A1028">
        <v>2019</v>
      </c>
      <c r="B1028" t="s">
        <v>35</v>
      </c>
      <c r="C1028" t="s">
        <v>90</v>
      </c>
      <c r="D1028">
        <v>5</v>
      </c>
      <c r="E1028">
        <v>5</v>
      </c>
    </row>
    <row r="1029" spans="1:5" hidden="1" x14ac:dyDescent="0.35">
      <c r="A1029">
        <v>2019</v>
      </c>
      <c r="B1029" t="s">
        <v>33</v>
      </c>
      <c r="C1029" t="s">
        <v>91</v>
      </c>
      <c r="D1029">
        <v>27</v>
      </c>
      <c r="E1029">
        <v>18</v>
      </c>
    </row>
    <row r="1030" spans="1:5" hidden="1" x14ac:dyDescent="0.35">
      <c r="A1030">
        <v>2019</v>
      </c>
      <c r="B1030" t="s">
        <v>37</v>
      </c>
      <c r="C1030" t="s">
        <v>92</v>
      </c>
      <c r="D1030" t="s">
        <v>205</v>
      </c>
      <c r="E1030" t="s">
        <v>205</v>
      </c>
    </row>
    <row r="1031" spans="1:5" hidden="1" x14ac:dyDescent="0.35">
      <c r="A1031">
        <v>2019</v>
      </c>
      <c r="B1031" t="s">
        <v>35</v>
      </c>
      <c r="C1031" t="s">
        <v>94</v>
      </c>
      <c r="D1031">
        <v>44</v>
      </c>
      <c r="E1031">
        <v>39</v>
      </c>
    </row>
    <row r="1032" spans="1:5" hidden="1" x14ac:dyDescent="0.35">
      <c r="A1032">
        <v>2019</v>
      </c>
      <c r="B1032" t="s">
        <v>33</v>
      </c>
      <c r="C1032" t="s">
        <v>95</v>
      </c>
      <c r="D1032">
        <v>5</v>
      </c>
      <c r="E1032">
        <v>3</v>
      </c>
    </row>
    <row r="1033" spans="1:5" hidden="1" x14ac:dyDescent="0.35">
      <c r="A1033">
        <v>2019</v>
      </c>
      <c r="B1033" t="s">
        <v>33</v>
      </c>
      <c r="C1033" t="s">
        <v>96</v>
      </c>
      <c r="D1033">
        <v>70</v>
      </c>
      <c r="E1033">
        <v>58</v>
      </c>
    </row>
    <row r="1034" spans="1:5" hidden="1" x14ac:dyDescent="0.35">
      <c r="A1034">
        <v>2019</v>
      </c>
      <c r="B1034" t="s">
        <v>34</v>
      </c>
      <c r="C1034" t="s">
        <v>8</v>
      </c>
      <c r="D1034">
        <v>25</v>
      </c>
      <c r="E1034">
        <v>19</v>
      </c>
    </row>
    <row r="1035" spans="1:5" hidden="1" x14ac:dyDescent="0.35">
      <c r="A1035">
        <v>2019</v>
      </c>
      <c r="B1035" t="s">
        <v>35</v>
      </c>
      <c r="C1035" t="s">
        <v>97</v>
      </c>
      <c r="D1035">
        <v>44</v>
      </c>
      <c r="E1035">
        <v>28</v>
      </c>
    </row>
    <row r="1036" spans="1:5" hidden="1" x14ac:dyDescent="0.35">
      <c r="A1036">
        <v>2019</v>
      </c>
      <c r="B1036" t="s">
        <v>33</v>
      </c>
      <c r="C1036" t="s">
        <v>98</v>
      </c>
      <c r="D1036">
        <v>188</v>
      </c>
      <c r="E1036">
        <v>100</v>
      </c>
    </row>
    <row r="1037" spans="1:5" hidden="1" x14ac:dyDescent="0.35">
      <c r="A1037">
        <v>2019</v>
      </c>
      <c r="B1037" t="s">
        <v>35</v>
      </c>
      <c r="C1037" t="s">
        <v>99</v>
      </c>
      <c r="D1037">
        <v>14</v>
      </c>
      <c r="E1037">
        <v>20</v>
      </c>
    </row>
    <row r="1038" spans="1:5" hidden="1" x14ac:dyDescent="0.35">
      <c r="A1038">
        <v>2019</v>
      </c>
      <c r="B1038" t="s">
        <v>36</v>
      </c>
      <c r="C1038" t="s">
        <v>100</v>
      </c>
      <c r="D1038">
        <v>16</v>
      </c>
    </row>
    <row r="1039" spans="1:5" hidden="1" x14ac:dyDescent="0.35">
      <c r="A1039">
        <v>2019</v>
      </c>
      <c r="B1039" t="s">
        <v>36</v>
      </c>
      <c r="C1039" t="s">
        <v>15</v>
      </c>
      <c r="D1039">
        <v>23125</v>
      </c>
      <c r="E1039">
        <v>30221</v>
      </c>
    </row>
    <row r="1040" spans="1:5" hidden="1" x14ac:dyDescent="0.35">
      <c r="A1040">
        <v>2019</v>
      </c>
      <c r="B1040" t="s">
        <v>33</v>
      </c>
      <c r="C1040" t="s">
        <v>101</v>
      </c>
      <c r="D1040">
        <v>57</v>
      </c>
      <c r="E1040">
        <v>45</v>
      </c>
    </row>
    <row r="1041" spans="1:5" hidden="1" x14ac:dyDescent="0.35">
      <c r="A1041">
        <v>2019</v>
      </c>
      <c r="B1041" t="s">
        <v>38</v>
      </c>
      <c r="C1041" t="s">
        <v>103</v>
      </c>
      <c r="D1041">
        <v>309</v>
      </c>
      <c r="E1041">
        <v>40</v>
      </c>
    </row>
    <row r="1042" spans="1:5" hidden="1" x14ac:dyDescent="0.35">
      <c r="A1042">
        <v>2019</v>
      </c>
      <c r="B1042" t="s">
        <v>36</v>
      </c>
      <c r="C1042" t="s">
        <v>104</v>
      </c>
      <c r="D1042">
        <v>429</v>
      </c>
      <c r="E1042">
        <v>299</v>
      </c>
    </row>
    <row r="1043" spans="1:5" hidden="1" x14ac:dyDescent="0.35">
      <c r="A1043">
        <v>2019</v>
      </c>
      <c r="B1043" t="s">
        <v>36</v>
      </c>
      <c r="C1043" t="s">
        <v>17</v>
      </c>
      <c r="D1043">
        <v>17995</v>
      </c>
      <c r="E1043">
        <v>22656</v>
      </c>
    </row>
    <row r="1044" spans="1:5" hidden="1" x14ac:dyDescent="0.35">
      <c r="A1044">
        <v>2019</v>
      </c>
      <c r="B1044" t="s">
        <v>35</v>
      </c>
      <c r="C1044" t="s">
        <v>105</v>
      </c>
      <c r="D1044">
        <v>23</v>
      </c>
      <c r="E1044">
        <v>42</v>
      </c>
    </row>
    <row r="1045" spans="1:5" hidden="1" x14ac:dyDescent="0.35">
      <c r="A1045">
        <v>2019</v>
      </c>
      <c r="B1045" t="s">
        <v>34</v>
      </c>
      <c r="C1045" t="s">
        <v>22</v>
      </c>
      <c r="D1045">
        <v>629</v>
      </c>
      <c r="E1045">
        <v>1182</v>
      </c>
    </row>
    <row r="1046" spans="1:5" hidden="1" x14ac:dyDescent="0.35">
      <c r="A1046">
        <v>2019</v>
      </c>
      <c r="B1046" t="s">
        <v>34</v>
      </c>
      <c r="C1046" t="s">
        <v>107</v>
      </c>
      <c r="D1046">
        <v>41</v>
      </c>
      <c r="E1046">
        <v>49</v>
      </c>
    </row>
    <row r="1047" spans="1:5" hidden="1" x14ac:dyDescent="0.35">
      <c r="A1047">
        <v>2019</v>
      </c>
      <c r="B1047" t="s">
        <v>34</v>
      </c>
      <c r="C1047" t="s">
        <v>108</v>
      </c>
      <c r="D1047">
        <v>16</v>
      </c>
      <c r="E1047">
        <v>10</v>
      </c>
    </row>
    <row r="1048" spans="1:5" hidden="1" x14ac:dyDescent="0.35">
      <c r="A1048">
        <v>2019</v>
      </c>
      <c r="B1048" t="s">
        <v>34</v>
      </c>
      <c r="C1048" t="s">
        <v>109</v>
      </c>
      <c r="D1048">
        <v>66</v>
      </c>
      <c r="E1048">
        <v>15</v>
      </c>
    </row>
    <row r="1049" spans="1:5" hidden="1" x14ac:dyDescent="0.35">
      <c r="A1049">
        <v>2019</v>
      </c>
      <c r="B1049" t="s">
        <v>35</v>
      </c>
      <c r="C1049" t="s">
        <v>110</v>
      </c>
      <c r="D1049">
        <v>14</v>
      </c>
      <c r="E1049">
        <v>19</v>
      </c>
    </row>
    <row r="1050" spans="1:5" hidden="1" x14ac:dyDescent="0.35">
      <c r="A1050">
        <v>2019</v>
      </c>
      <c r="B1050" t="s">
        <v>34</v>
      </c>
      <c r="C1050" t="s">
        <v>111</v>
      </c>
      <c r="D1050">
        <v>132</v>
      </c>
      <c r="E1050">
        <v>22</v>
      </c>
    </row>
    <row r="1051" spans="1:5" hidden="1" x14ac:dyDescent="0.35">
      <c r="A1051">
        <v>2019</v>
      </c>
      <c r="B1051" t="s">
        <v>35</v>
      </c>
      <c r="C1051" t="s">
        <v>112</v>
      </c>
      <c r="D1051">
        <v>55</v>
      </c>
      <c r="E1051">
        <v>69</v>
      </c>
    </row>
    <row r="1052" spans="1:5" hidden="1" x14ac:dyDescent="0.35">
      <c r="A1052">
        <v>2019</v>
      </c>
      <c r="B1052" t="s">
        <v>36</v>
      </c>
      <c r="C1052" t="s">
        <v>113</v>
      </c>
      <c r="D1052">
        <v>1241</v>
      </c>
      <c r="E1052">
        <v>99</v>
      </c>
    </row>
    <row r="1053" spans="1:5" hidden="1" x14ac:dyDescent="0.35">
      <c r="A1053">
        <v>2019</v>
      </c>
      <c r="B1053" t="s">
        <v>34</v>
      </c>
      <c r="C1053" t="s">
        <v>114</v>
      </c>
      <c r="D1053">
        <v>23</v>
      </c>
      <c r="E1053">
        <v>6</v>
      </c>
    </row>
    <row r="1054" spans="1:5" hidden="1" x14ac:dyDescent="0.35">
      <c r="A1054">
        <v>2019</v>
      </c>
      <c r="B1054" t="s">
        <v>34</v>
      </c>
      <c r="C1054" t="s">
        <v>115</v>
      </c>
      <c r="D1054">
        <v>98</v>
      </c>
      <c r="E1054">
        <v>40</v>
      </c>
    </row>
    <row r="1055" spans="1:5" hidden="1" x14ac:dyDescent="0.35">
      <c r="A1055">
        <v>2019</v>
      </c>
      <c r="B1055" t="s">
        <v>34</v>
      </c>
      <c r="C1055" t="s">
        <v>116</v>
      </c>
      <c r="D1055">
        <v>50</v>
      </c>
      <c r="E1055">
        <v>13</v>
      </c>
    </row>
    <row r="1056" spans="1:5" hidden="1" x14ac:dyDescent="0.35">
      <c r="A1056">
        <v>2019</v>
      </c>
      <c r="B1056" t="s">
        <v>33</v>
      </c>
      <c r="C1056" t="s">
        <v>117</v>
      </c>
      <c r="D1056">
        <v>129</v>
      </c>
      <c r="E1056">
        <v>30</v>
      </c>
    </row>
    <row r="1057" spans="1:5" hidden="1" x14ac:dyDescent="0.35">
      <c r="A1057">
        <v>2019</v>
      </c>
      <c r="B1057" t="s">
        <v>34</v>
      </c>
      <c r="C1057" t="s">
        <v>118</v>
      </c>
      <c r="D1057">
        <v>109</v>
      </c>
      <c r="E1057">
        <v>75</v>
      </c>
    </row>
    <row r="1058" spans="1:5" hidden="1" x14ac:dyDescent="0.35">
      <c r="A1058">
        <v>2019</v>
      </c>
      <c r="B1058" t="s">
        <v>35</v>
      </c>
      <c r="C1058" t="s">
        <v>119</v>
      </c>
      <c r="D1058">
        <v>10</v>
      </c>
      <c r="E1058">
        <v>8</v>
      </c>
    </row>
    <row r="1059" spans="1:5" hidden="1" x14ac:dyDescent="0.35">
      <c r="A1059">
        <v>2019</v>
      </c>
      <c r="B1059" t="s">
        <v>34</v>
      </c>
      <c r="C1059" t="s">
        <v>120</v>
      </c>
      <c r="D1059">
        <v>17</v>
      </c>
      <c r="E1059">
        <v>5</v>
      </c>
    </row>
    <row r="1060" spans="1:5" hidden="1" x14ac:dyDescent="0.35">
      <c r="A1060">
        <v>2019</v>
      </c>
      <c r="B1060" t="s">
        <v>34</v>
      </c>
      <c r="C1060" t="s">
        <v>121</v>
      </c>
      <c r="D1060">
        <v>4</v>
      </c>
      <c r="E1060">
        <v>15</v>
      </c>
    </row>
    <row r="1061" spans="1:5" hidden="1" x14ac:dyDescent="0.35">
      <c r="A1061">
        <v>2019</v>
      </c>
      <c r="B1061" t="s">
        <v>34</v>
      </c>
      <c r="C1061" t="s">
        <v>122</v>
      </c>
      <c r="D1061" t="s">
        <v>205</v>
      </c>
      <c r="E1061" t="s">
        <v>205</v>
      </c>
    </row>
    <row r="1062" spans="1:5" hidden="1" x14ac:dyDescent="0.35">
      <c r="A1062">
        <v>2019</v>
      </c>
      <c r="B1062" t="s">
        <v>35</v>
      </c>
      <c r="C1062" t="s">
        <v>123</v>
      </c>
      <c r="D1062">
        <v>9</v>
      </c>
      <c r="E1062">
        <v>7</v>
      </c>
    </row>
    <row r="1063" spans="1:5" hidden="1" x14ac:dyDescent="0.35">
      <c r="A1063">
        <v>2019</v>
      </c>
      <c r="B1063" t="s">
        <v>34</v>
      </c>
      <c r="C1063" t="s">
        <v>124</v>
      </c>
      <c r="D1063">
        <v>35</v>
      </c>
      <c r="E1063">
        <v>17</v>
      </c>
    </row>
    <row r="1064" spans="1:5" hidden="1" x14ac:dyDescent="0.35">
      <c r="A1064">
        <v>2019</v>
      </c>
      <c r="B1064" t="s">
        <v>33</v>
      </c>
      <c r="C1064" t="s">
        <v>125</v>
      </c>
      <c r="D1064">
        <v>109</v>
      </c>
      <c r="E1064">
        <v>7</v>
      </c>
    </row>
    <row r="1065" spans="1:5" hidden="1" x14ac:dyDescent="0.35">
      <c r="A1065">
        <v>2019</v>
      </c>
      <c r="B1065" t="s">
        <v>35</v>
      </c>
      <c r="C1065" t="s">
        <v>127</v>
      </c>
      <c r="D1065">
        <v>19</v>
      </c>
      <c r="E1065">
        <v>17</v>
      </c>
    </row>
    <row r="1066" spans="1:5" hidden="1" x14ac:dyDescent="0.35">
      <c r="A1066">
        <v>2019</v>
      </c>
      <c r="B1066" t="s">
        <v>34</v>
      </c>
      <c r="C1066" t="s">
        <v>131</v>
      </c>
      <c r="D1066" t="s">
        <v>205</v>
      </c>
      <c r="E1066" t="s">
        <v>205</v>
      </c>
    </row>
    <row r="1067" spans="1:5" hidden="1" x14ac:dyDescent="0.35">
      <c r="A1067">
        <v>2019</v>
      </c>
      <c r="B1067" t="s">
        <v>33</v>
      </c>
      <c r="C1067" t="s">
        <v>132</v>
      </c>
      <c r="D1067">
        <v>36</v>
      </c>
      <c r="E1067">
        <v>21</v>
      </c>
    </row>
    <row r="1068" spans="1:5" hidden="1" x14ac:dyDescent="0.35">
      <c r="A1068">
        <v>2019</v>
      </c>
      <c r="B1068" t="s">
        <v>37</v>
      </c>
      <c r="C1068" t="s">
        <v>134</v>
      </c>
      <c r="D1068">
        <v>31</v>
      </c>
    </row>
    <row r="1069" spans="1:5" hidden="1" x14ac:dyDescent="0.35">
      <c r="A1069">
        <v>2019</v>
      </c>
      <c r="B1069" t="s">
        <v>33</v>
      </c>
      <c r="C1069" t="s">
        <v>135</v>
      </c>
      <c r="D1069">
        <v>11</v>
      </c>
      <c r="E1069">
        <v>30</v>
      </c>
    </row>
    <row r="1070" spans="1:5" hidden="1" x14ac:dyDescent="0.35">
      <c r="A1070">
        <v>2019</v>
      </c>
      <c r="B1070" t="s">
        <v>36</v>
      </c>
      <c r="C1070" t="s">
        <v>14</v>
      </c>
      <c r="D1070">
        <v>98329</v>
      </c>
      <c r="E1070">
        <v>104258</v>
      </c>
    </row>
    <row r="1071" spans="1:5" hidden="1" x14ac:dyDescent="0.35">
      <c r="A1071">
        <v>2019</v>
      </c>
      <c r="B1071" t="s">
        <v>37</v>
      </c>
      <c r="C1071" t="s">
        <v>137</v>
      </c>
      <c r="D1071" t="s">
        <v>205</v>
      </c>
      <c r="E1071" t="s">
        <v>205</v>
      </c>
    </row>
    <row r="1072" spans="1:5" hidden="1" x14ac:dyDescent="0.35">
      <c r="A1072">
        <v>2019</v>
      </c>
      <c r="B1072" t="s">
        <v>35</v>
      </c>
      <c r="C1072" t="s">
        <v>138</v>
      </c>
      <c r="D1072">
        <v>21</v>
      </c>
      <c r="E1072">
        <v>15</v>
      </c>
    </row>
    <row r="1073" spans="1:5" hidden="1" x14ac:dyDescent="0.35">
      <c r="A1073">
        <v>2019</v>
      </c>
      <c r="B1073" t="s">
        <v>34</v>
      </c>
      <c r="C1073" t="s">
        <v>139</v>
      </c>
      <c r="D1073">
        <v>45</v>
      </c>
      <c r="E1073">
        <v>10</v>
      </c>
    </row>
    <row r="1074" spans="1:5" hidden="1" x14ac:dyDescent="0.35">
      <c r="A1074">
        <v>2019</v>
      </c>
      <c r="B1074" t="s">
        <v>35</v>
      </c>
      <c r="C1074" t="s">
        <v>140</v>
      </c>
      <c r="D1074">
        <v>25</v>
      </c>
      <c r="E1074">
        <v>14</v>
      </c>
    </row>
    <row r="1075" spans="1:5" hidden="1" x14ac:dyDescent="0.35">
      <c r="A1075">
        <v>2019</v>
      </c>
      <c r="B1075" t="s">
        <v>33</v>
      </c>
      <c r="C1075" t="s">
        <v>141</v>
      </c>
      <c r="D1075">
        <v>20</v>
      </c>
      <c r="E1075">
        <v>13</v>
      </c>
    </row>
    <row r="1076" spans="1:5" hidden="1" x14ac:dyDescent="0.35">
      <c r="A1076">
        <v>2019</v>
      </c>
      <c r="B1076" t="s">
        <v>34</v>
      </c>
      <c r="C1076" t="s">
        <v>144</v>
      </c>
      <c r="D1076">
        <v>29</v>
      </c>
      <c r="E1076">
        <v>143</v>
      </c>
    </row>
    <row r="1077" spans="1:5" hidden="1" x14ac:dyDescent="0.35">
      <c r="A1077">
        <v>2019</v>
      </c>
      <c r="B1077" t="s">
        <v>35</v>
      </c>
      <c r="C1077" t="s">
        <v>145</v>
      </c>
      <c r="D1077">
        <v>32</v>
      </c>
      <c r="E1077">
        <v>16</v>
      </c>
    </row>
    <row r="1078" spans="1:5" hidden="1" x14ac:dyDescent="0.35">
      <c r="A1078">
        <v>2019</v>
      </c>
      <c r="B1078" t="s">
        <v>37</v>
      </c>
      <c r="C1078" t="s">
        <v>146</v>
      </c>
      <c r="D1078">
        <v>17</v>
      </c>
      <c r="E1078">
        <v>9</v>
      </c>
    </row>
    <row r="1079" spans="1:5" hidden="1" x14ac:dyDescent="0.35">
      <c r="A1079">
        <v>2019</v>
      </c>
      <c r="B1079" t="s">
        <v>36</v>
      </c>
      <c r="C1079" t="s">
        <v>147</v>
      </c>
      <c r="D1079">
        <v>1056</v>
      </c>
      <c r="E1079">
        <v>1206</v>
      </c>
    </row>
    <row r="1080" spans="1:5" hidden="1" x14ac:dyDescent="0.35">
      <c r="A1080">
        <v>2019</v>
      </c>
      <c r="B1080" t="s">
        <v>33</v>
      </c>
      <c r="C1080" t="s">
        <v>148</v>
      </c>
      <c r="D1080">
        <v>6</v>
      </c>
      <c r="E1080">
        <v>4</v>
      </c>
    </row>
    <row r="1081" spans="1:5" hidden="1" x14ac:dyDescent="0.35">
      <c r="A1081">
        <v>2019</v>
      </c>
      <c r="B1081" t="s">
        <v>33</v>
      </c>
      <c r="C1081" t="s">
        <v>149</v>
      </c>
      <c r="D1081">
        <v>349</v>
      </c>
      <c r="E1081">
        <v>104</v>
      </c>
    </row>
    <row r="1082" spans="1:5" hidden="1" x14ac:dyDescent="0.35">
      <c r="A1082">
        <v>2019</v>
      </c>
      <c r="B1082" t="s">
        <v>35</v>
      </c>
      <c r="C1082" t="s">
        <v>322</v>
      </c>
      <c r="D1082">
        <v>12</v>
      </c>
      <c r="E1082">
        <v>4</v>
      </c>
    </row>
    <row r="1083" spans="1:5" hidden="1" x14ac:dyDescent="0.35">
      <c r="A1083">
        <v>2019</v>
      </c>
      <c r="B1083" t="s">
        <v>35</v>
      </c>
      <c r="C1083" t="s">
        <v>150</v>
      </c>
      <c r="D1083">
        <v>3</v>
      </c>
      <c r="E1083">
        <v>7</v>
      </c>
    </row>
    <row r="1084" spans="1:5" hidden="1" x14ac:dyDescent="0.35">
      <c r="A1084">
        <v>2019</v>
      </c>
      <c r="B1084" t="s">
        <v>34</v>
      </c>
      <c r="C1084" t="s">
        <v>152</v>
      </c>
      <c r="D1084">
        <v>152</v>
      </c>
      <c r="E1084">
        <v>90</v>
      </c>
    </row>
    <row r="1085" spans="1:5" hidden="1" x14ac:dyDescent="0.35">
      <c r="A1085">
        <v>2019</v>
      </c>
      <c r="B1085" t="s">
        <v>37</v>
      </c>
      <c r="C1085" t="s">
        <v>153</v>
      </c>
      <c r="D1085">
        <v>10</v>
      </c>
    </row>
    <row r="1086" spans="1:5" hidden="1" x14ac:dyDescent="0.35">
      <c r="A1086">
        <v>2019</v>
      </c>
      <c r="B1086" t="s">
        <v>36</v>
      </c>
      <c r="C1086" t="s">
        <v>154</v>
      </c>
      <c r="D1086">
        <v>95</v>
      </c>
      <c r="E1086">
        <v>7</v>
      </c>
    </row>
    <row r="1087" spans="1:5" hidden="1" x14ac:dyDescent="0.35">
      <c r="A1087">
        <v>2019</v>
      </c>
      <c r="B1087" t="s">
        <v>38</v>
      </c>
      <c r="C1087" t="s">
        <v>155</v>
      </c>
      <c r="D1087">
        <v>28</v>
      </c>
      <c r="E1087">
        <v>3</v>
      </c>
    </row>
    <row r="1088" spans="1:5" hidden="1" x14ac:dyDescent="0.35">
      <c r="A1088">
        <v>2019</v>
      </c>
      <c r="B1088" t="s">
        <v>38</v>
      </c>
      <c r="C1088" t="s">
        <v>156</v>
      </c>
      <c r="D1088">
        <v>523</v>
      </c>
      <c r="E1088">
        <v>236</v>
      </c>
    </row>
    <row r="1089" spans="1:5" hidden="1" x14ac:dyDescent="0.35">
      <c r="A1089">
        <v>2019</v>
      </c>
      <c r="B1089" t="s">
        <v>34</v>
      </c>
      <c r="C1089" t="s">
        <v>18</v>
      </c>
      <c r="D1089">
        <v>457</v>
      </c>
      <c r="E1089">
        <v>46</v>
      </c>
    </row>
    <row r="1090" spans="1:5" hidden="1" x14ac:dyDescent="0.35">
      <c r="A1090">
        <v>2019</v>
      </c>
      <c r="B1090" t="s">
        <v>35</v>
      </c>
      <c r="C1090" t="s">
        <v>157</v>
      </c>
      <c r="D1090">
        <v>140</v>
      </c>
      <c r="E1090">
        <v>32</v>
      </c>
    </row>
    <row r="1091" spans="1:5" hidden="1" x14ac:dyDescent="0.35">
      <c r="A1091">
        <v>2019</v>
      </c>
      <c r="B1091" t="s">
        <v>35</v>
      </c>
      <c r="C1091" t="s">
        <v>158</v>
      </c>
      <c r="D1091">
        <v>43</v>
      </c>
      <c r="E1091">
        <v>54</v>
      </c>
    </row>
    <row r="1092" spans="1:5" hidden="1" x14ac:dyDescent="0.35">
      <c r="A1092">
        <v>2019</v>
      </c>
      <c r="B1092" t="s">
        <v>35</v>
      </c>
      <c r="C1092" t="s">
        <v>160</v>
      </c>
      <c r="D1092">
        <v>211</v>
      </c>
      <c r="E1092">
        <v>181</v>
      </c>
    </row>
    <row r="1093" spans="1:5" hidden="1" x14ac:dyDescent="0.35">
      <c r="A1093">
        <v>2019</v>
      </c>
      <c r="B1093" t="s">
        <v>35</v>
      </c>
      <c r="C1093" t="s">
        <v>161</v>
      </c>
      <c r="D1093">
        <v>177</v>
      </c>
      <c r="E1093">
        <v>86</v>
      </c>
    </row>
    <row r="1094" spans="1:5" hidden="1" x14ac:dyDescent="0.35">
      <c r="A1094">
        <v>2019</v>
      </c>
      <c r="B1094" t="s">
        <v>33</v>
      </c>
      <c r="C1094" t="s">
        <v>162</v>
      </c>
      <c r="D1094">
        <v>8</v>
      </c>
      <c r="E1094">
        <v>7</v>
      </c>
    </row>
    <row r="1095" spans="1:5" hidden="1" x14ac:dyDescent="0.35">
      <c r="A1095">
        <v>2019</v>
      </c>
      <c r="B1095" t="s">
        <v>36</v>
      </c>
      <c r="C1095" t="s">
        <v>163</v>
      </c>
      <c r="D1095" t="s">
        <v>205</v>
      </c>
      <c r="E1095" t="s">
        <v>205</v>
      </c>
    </row>
    <row r="1096" spans="1:5" hidden="1" x14ac:dyDescent="0.35">
      <c r="A1096">
        <v>2019</v>
      </c>
      <c r="B1096" t="s">
        <v>36</v>
      </c>
      <c r="C1096" t="s">
        <v>164</v>
      </c>
      <c r="D1096">
        <v>16</v>
      </c>
      <c r="E1096">
        <v>5</v>
      </c>
    </row>
    <row r="1097" spans="1:5" hidden="1" x14ac:dyDescent="0.35">
      <c r="A1097">
        <v>2019</v>
      </c>
      <c r="B1097" t="s">
        <v>36</v>
      </c>
      <c r="C1097" t="s">
        <v>165</v>
      </c>
      <c r="D1097">
        <v>14</v>
      </c>
      <c r="E1097">
        <v>4</v>
      </c>
    </row>
    <row r="1098" spans="1:5" hidden="1" x14ac:dyDescent="0.35">
      <c r="A1098">
        <v>2019</v>
      </c>
      <c r="B1098" t="s">
        <v>37</v>
      </c>
      <c r="C1098" t="s">
        <v>166</v>
      </c>
      <c r="D1098" t="s">
        <v>205</v>
      </c>
      <c r="E1098" t="s">
        <v>205</v>
      </c>
    </row>
    <row r="1099" spans="1:5" hidden="1" x14ac:dyDescent="0.35">
      <c r="A1099">
        <v>2019</v>
      </c>
      <c r="B1099" t="s">
        <v>34</v>
      </c>
      <c r="C1099" t="s">
        <v>167</v>
      </c>
      <c r="D1099">
        <v>66</v>
      </c>
      <c r="E1099">
        <v>18</v>
      </c>
    </row>
    <row r="1100" spans="1:5" hidden="1" x14ac:dyDescent="0.35">
      <c r="A1100">
        <v>2019</v>
      </c>
      <c r="B1100" t="s">
        <v>33</v>
      </c>
      <c r="C1100" t="s">
        <v>168</v>
      </c>
      <c r="D1100">
        <v>37</v>
      </c>
      <c r="E1100">
        <v>25</v>
      </c>
    </row>
    <row r="1101" spans="1:5" hidden="1" x14ac:dyDescent="0.35">
      <c r="A1101">
        <v>2019</v>
      </c>
      <c r="B1101" t="s">
        <v>35</v>
      </c>
      <c r="C1101" t="s">
        <v>169</v>
      </c>
      <c r="D1101">
        <v>17</v>
      </c>
      <c r="E1101">
        <v>17</v>
      </c>
    </row>
    <row r="1102" spans="1:5" hidden="1" x14ac:dyDescent="0.35">
      <c r="A1102">
        <v>2019</v>
      </c>
      <c r="B1102" t="s">
        <v>35</v>
      </c>
      <c r="C1102" t="s">
        <v>215</v>
      </c>
      <c r="D1102" t="s">
        <v>205</v>
      </c>
      <c r="E1102" t="s">
        <v>205</v>
      </c>
    </row>
    <row r="1103" spans="1:5" hidden="1" x14ac:dyDescent="0.35">
      <c r="A1103">
        <v>2019</v>
      </c>
      <c r="B1103" t="s">
        <v>33</v>
      </c>
      <c r="C1103" t="s">
        <v>170</v>
      </c>
      <c r="D1103">
        <v>69</v>
      </c>
      <c r="E1103">
        <v>18</v>
      </c>
    </row>
    <row r="1104" spans="1:5" hidden="1" x14ac:dyDescent="0.35">
      <c r="A1104">
        <v>2019</v>
      </c>
      <c r="B1104" t="s">
        <v>34</v>
      </c>
      <c r="C1104" t="s">
        <v>171</v>
      </c>
      <c r="D1104">
        <v>3</v>
      </c>
    </row>
    <row r="1105" spans="1:5" hidden="1" x14ac:dyDescent="0.35">
      <c r="A1105">
        <v>2019</v>
      </c>
      <c r="B1105" t="s">
        <v>35</v>
      </c>
      <c r="C1105" t="s">
        <v>172</v>
      </c>
      <c r="D1105">
        <v>7</v>
      </c>
      <c r="E1105">
        <v>11</v>
      </c>
    </row>
    <row r="1106" spans="1:5" hidden="1" x14ac:dyDescent="0.35">
      <c r="A1106">
        <v>2019</v>
      </c>
      <c r="B1106" t="s">
        <v>33</v>
      </c>
      <c r="C1106" t="s">
        <v>174</v>
      </c>
      <c r="D1106">
        <v>96</v>
      </c>
      <c r="E1106">
        <v>56</v>
      </c>
    </row>
    <row r="1107" spans="1:5" hidden="1" x14ac:dyDescent="0.35">
      <c r="A1107">
        <v>2019</v>
      </c>
      <c r="B1107" t="s">
        <v>33</v>
      </c>
      <c r="C1107" t="s">
        <v>175</v>
      </c>
      <c r="D1107">
        <v>63</v>
      </c>
      <c r="E1107">
        <v>15</v>
      </c>
    </row>
    <row r="1108" spans="1:5" hidden="1" x14ac:dyDescent="0.35">
      <c r="A1108">
        <v>2019</v>
      </c>
      <c r="B1108" t="s">
        <v>33</v>
      </c>
      <c r="C1108" t="s">
        <v>176</v>
      </c>
      <c r="D1108" t="s">
        <v>205</v>
      </c>
      <c r="E1108" t="s">
        <v>205</v>
      </c>
    </row>
    <row r="1109" spans="1:5" hidden="1" x14ac:dyDescent="0.35">
      <c r="A1109">
        <v>2019</v>
      </c>
      <c r="B1109" t="s">
        <v>35</v>
      </c>
      <c r="C1109" t="s">
        <v>177</v>
      </c>
      <c r="D1109">
        <v>66</v>
      </c>
      <c r="E1109">
        <v>151</v>
      </c>
    </row>
    <row r="1110" spans="1:5" hidden="1" x14ac:dyDescent="0.35">
      <c r="A1110">
        <v>2019</v>
      </c>
      <c r="B1110" t="s">
        <v>34</v>
      </c>
      <c r="C1110" t="s">
        <v>178</v>
      </c>
      <c r="D1110">
        <v>11</v>
      </c>
      <c r="E1110">
        <v>97</v>
      </c>
    </row>
    <row r="1111" spans="1:5" hidden="1" x14ac:dyDescent="0.35">
      <c r="A1111">
        <v>2019</v>
      </c>
      <c r="B1111" t="s">
        <v>33</v>
      </c>
      <c r="C1111" t="s">
        <v>179</v>
      </c>
      <c r="D1111" t="s">
        <v>205</v>
      </c>
      <c r="E1111" t="s">
        <v>205</v>
      </c>
    </row>
    <row r="1112" spans="1:5" hidden="1" x14ac:dyDescent="0.35">
      <c r="A1112">
        <v>2019</v>
      </c>
      <c r="B1112" t="s">
        <v>38</v>
      </c>
      <c r="C1112" t="s">
        <v>180</v>
      </c>
      <c r="D1112" t="s">
        <v>205</v>
      </c>
      <c r="E1112" t="s">
        <v>205</v>
      </c>
    </row>
    <row r="1113" spans="1:5" hidden="1" x14ac:dyDescent="0.35">
      <c r="A1113">
        <v>2019</v>
      </c>
      <c r="B1113" t="s">
        <v>35</v>
      </c>
      <c r="C1113" t="s">
        <v>182</v>
      </c>
      <c r="D1113">
        <v>9</v>
      </c>
      <c r="E1113">
        <v>11</v>
      </c>
    </row>
    <row r="1114" spans="1:5" hidden="1" x14ac:dyDescent="0.35">
      <c r="A1114">
        <v>2019</v>
      </c>
      <c r="B1114" t="s">
        <v>34</v>
      </c>
      <c r="C1114" t="s">
        <v>184</v>
      </c>
      <c r="D1114">
        <v>0</v>
      </c>
      <c r="E1114">
        <v>7</v>
      </c>
    </row>
    <row r="1115" spans="1:5" hidden="1" x14ac:dyDescent="0.35">
      <c r="A1115">
        <v>2019</v>
      </c>
      <c r="B1115" t="s">
        <v>34</v>
      </c>
      <c r="C1115" t="s">
        <v>185</v>
      </c>
      <c r="D1115">
        <v>36</v>
      </c>
      <c r="E1115">
        <v>20</v>
      </c>
    </row>
    <row r="1116" spans="1:5" hidden="1" x14ac:dyDescent="0.35">
      <c r="A1116">
        <v>2019</v>
      </c>
      <c r="B1116" t="s">
        <v>34</v>
      </c>
      <c r="C1116" t="s">
        <v>186</v>
      </c>
      <c r="D1116">
        <v>3</v>
      </c>
      <c r="E1116">
        <v>3</v>
      </c>
    </row>
    <row r="1117" spans="1:5" hidden="1" x14ac:dyDescent="0.35">
      <c r="A1117">
        <v>2019</v>
      </c>
      <c r="B1117" t="s">
        <v>33</v>
      </c>
      <c r="C1117" t="s">
        <v>187</v>
      </c>
      <c r="D1117">
        <v>16</v>
      </c>
      <c r="E1117">
        <v>6</v>
      </c>
    </row>
    <row r="1118" spans="1:5" hidden="1" x14ac:dyDescent="0.35">
      <c r="A1118">
        <v>2019</v>
      </c>
      <c r="B1118" t="s">
        <v>34</v>
      </c>
      <c r="C1118" t="s">
        <v>188</v>
      </c>
      <c r="D1118">
        <v>188</v>
      </c>
      <c r="E1118">
        <v>11</v>
      </c>
    </row>
    <row r="1119" spans="1:5" hidden="1" x14ac:dyDescent="0.35">
      <c r="A1119">
        <v>2019</v>
      </c>
      <c r="B1119" t="s">
        <v>33</v>
      </c>
      <c r="C1119" t="s">
        <v>189</v>
      </c>
      <c r="D1119">
        <v>11</v>
      </c>
      <c r="E1119">
        <v>8</v>
      </c>
    </row>
    <row r="1120" spans="1:5" hidden="1" x14ac:dyDescent="0.35">
      <c r="A1120">
        <v>2019</v>
      </c>
      <c r="B1120" t="s">
        <v>37</v>
      </c>
      <c r="C1120" t="s">
        <v>190</v>
      </c>
      <c r="D1120" t="s">
        <v>205</v>
      </c>
      <c r="E1120" t="s">
        <v>205</v>
      </c>
    </row>
    <row r="1121" spans="1:5" hidden="1" x14ac:dyDescent="0.35">
      <c r="A1121">
        <v>2019</v>
      </c>
      <c r="B1121" t="s">
        <v>36</v>
      </c>
      <c r="C1121" t="s">
        <v>191</v>
      </c>
      <c r="D1121">
        <v>117</v>
      </c>
      <c r="E1121">
        <v>13</v>
      </c>
    </row>
    <row r="1122" spans="1:5" hidden="1" x14ac:dyDescent="0.35">
      <c r="A1122">
        <v>2019</v>
      </c>
      <c r="B1122" t="s">
        <v>33</v>
      </c>
      <c r="C1122" t="s">
        <v>192</v>
      </c>
      <c r="D1122">
        <v>22</v>
      </c>
      <c r="E1122">
        <v>4</v>
      </c>
    </row>
    <row r="1123" spans="1:5" hidden="1" x14ac:dyDescent="0.35">
      <c r="A1123">
        <v>2019</v>
      </c>
      <c r="B1123" t="s">
        <v>34</v>
      </c>
      <c r="C1123" t="s">
        <v>193</v>
      </c>
      <c r="D1123">
        <v>116</v>
      </c>
      <c r="E1123">
        <v>53</v>
      </c>
    </row>
    <row r="1124" spans="1:5" hidden="1" x14ac:dyDescent="0.35">
      <c r="A1124">
        <v>2019</v>
      </c>
      <c r="B1124" t="s">
        <v>34</v>
      </c>
      <c r="C1124" t="s">
        <v>194</v>
      </c>
      <c r="D1124">
        <v>12</v>
      </c>
      <c r="E1124">
        <v>3</v>
      </c>
    </row>
    <row r="1125" spans="1:5" hidden="1" x14ac:dyDescent="0.35">
      <c r="A1125">
        <v>2019</v>
      </c>
      <c r="B1125" t="s">
        <v>33</v>
      </c>
      <c r="C1125" t="s">
        <v>195</v>
      </c>
      <c r="D1125">
        <v>27</v>
      </c>
      <c r="E1125">
        <v>11</v>
      </c>
    </row>
    <row r="1126" spans="1:5" hidden="1" x14ac:dyDescent="0.35">
      <c r="A1126">
        <v>2019</v>
      </c>
      <c r="B1126" t="s">
        <v>35</v>
      </c>
      <c r="C1126" t="s">
        <v>196</v>
      </c>
      <c r="D1126">
        <v>123</v>
      </c>
      <c r="E1126">
        <v>50</v>
      </c>
    </row>
    <row r="1127" spans="1:5" hidden="1" x14ac:dyDescent="0.35">
      <c r="A1127">
        <v>2019</v>
      </c>
      <c r="B1127" t="s">
        <v>35</v>
      </c>
      <c r="C1127" t="s">
        <v>198</v>
      </c>
      <c r="D1127">
        <v>147</v>
      </c>
      <c r="E1127">
        <v>66</v>
      </c>
    </row>
    <row r="1128" spans="1:5" hidden="1" x14ac:dyDescent="0.35">
      <c r="A1128">
        <v>2019</v>
      </c>
      <c r="B1128" t="s">
        <v>39</v>
      </c>
      <c r="C1128" t="s">
        <v>39</v>
      </c>
      <c r="D1128">
        <v>31</v>
      </c>
      <c r="E1128">
        <v>12</v>
      </c>
    </row>
    <row r="1129" spans="1:5" hidden="1" x14ac:dyDescent="0.35">
      <c r="A1129">
        <v>2019</v>
      </c>
      <c r="B1129" t="s">
        <v>38</v>
      </c>
      <c r="C1129" t="s">
        <v>199</v>
      </c>
      <c r="D1129">
        <v>55</v>
      </c>
      <c r="E1129">
        <v>16</v>
      </c>
    </row>
    <row r="1130" spans="1:5" hidden="1" x14ac:dyDescent="0.35">
      <c r="A1130">
        <v>2019</v>
      </c>
      <c r="B1130" t="s">
        <v>34</v>
      </c>
      <c r="C1130" t="s">
        <v>200</v>
      </c>
      <c r="D1130">
        <v>19</v>
      </c>
      <c r="E1130">
        <v>27</v>
      </c>
    </row>
    <row r="1131" spans="1:5" hidden="1" x14ac:dyDescent="0.35">
      <c r="A1131">
        <v>2019</v>
      </c>
      <c r="B1131" t="s">
        <v>38</v>
      </c>
      <c r="C1131" t="s">
        <v>19</v>
      </c>
      <c r="D1131">
        <v>1455</v>
      </c>
      <c r="E1131">
        <v>167</v>
      </c>
    </row>
    <row r="1132" spans="1:5" hidden="1" x14ac:dyDescent="0.35">
      <c r="A1132">
        <v>2019</v>
      </c>
      <c r="B1132" t="s">
        <v>34</v>
      </c>
      <c r="C1132" t="s">
        <v>201</v>
      </c>
      <c r="D1132">
        <v>73</v>
      </c>
      <c r="E1132">
        <v>17</v>
      </c>
    </row>
    <row r="1133" spans="1:5" hidden="1" x14ac:dyDescent="0.35">
      <c r="A1133">
        <v>2019</v>
      </c>
      <c r="B1133" t="s">
        <v>34</v>
      </c>
      <c r="C1133" t="s">
        <v>202</v>
      </c>
      <c r="D1133">
        <v>25</v>
      </c>
      <c r="E1133">
        <v>20</v>
      </c>
    </row>
    <row r="1134" spans="1:5" hidden="1" x14ac:dyDescent="0.35">
      <c r="A1134">
        <v>2019</v>
      </c>
      <c r="B1134" t="s">
        <v>33</v>
      </c>
      <c r="C1134" t="s">
        <v>203</v>
      </c>
      <c r="D1134">
        <v>15</v>
      </c>
      <c r="E1134">
        <v>3</v>
      </c>
    </row>
    <row r="1135" spans="1:5" hidden="1" x14ac:dyDescent="0.35">
      <c r="A1135">
        <v>2019</v>
      </c>
      <c r="B1135" t="s">
        <v>33</v>
      </c>
      <c r="C1135" t="s">
        <v>204</v>
      </c>
      <c r="D1135">
        <v>13</v>
      </c>
      <c r="E1135">
        <v>6</v>
      </c>
    </row>
    <row r="1136" spans="1:5" hidden="1" x14ac:dyDescent="0.35">
      <c r="A1136">
        <v>2020</v>
      </c>
      <c r="B1136" t="s">
        <v>34</v>
      </c>
      <c r="C1136" t="s">
        <v>40</v>
      </c>
      <c r="D1136">
        <v>12</v>
      </c>
      <c r="E1136">
        <v>14</v>
      </c>
    </row>
    <row r="1137" spans="1:5" hidden="1" x14ac:dyDescent="0.35">
      <c r="A1137">
        <v>2020</v>
      </c>
      <c r="B1137" t="s">
        <v>35</v>
      </c>
      <c r="C1137" t="s">
        <v>41</v>
      </c>
      <c r="D1137">
        <v>20</v>
      </c>
      <c r="E1137">
        <v>37</v>
      </c>
    </row>
    <row r="1138" spans="1:5" hidden="1" x14ac:dyDescent="0.35">
      <c r="A1138">
        <v>2020</v>
      </c>
      <c r="B1138" t="s">
        <v>33</v>
      </c>
      <c r="C1138" t="s">
        <v>42</v>
      </c>
      <c r="D1138" t="s">
        <v>205</v>
      </c>
      <c r="E1138" t="s">
        <v>205</v>
      </c>
    </row>
    <row r="1139" spans="1:5" hidden="1" x14ac:dyDescent="0.35">
      <c r="A1139">
        <v>2020</v>
      </c>
      <c r="C1139" t="s">
        <v>373</v>
      </c>
      <c r="D1139">
        <v>25</v>
      </c>
      <c r="E1139">
        <v>18</v>
      </c>
    </row>
    <row r="1140" spans="1:5" hidden="1" x14ac:dyDescent="0.35">
      <c r="A1140">
        <v>2020</v>
      </c>
      <c r="B1140" t="s">
        <v>33</v>
      </c>
      <c r="C1140" t="s">
        <v>43</v>
      </c>
      <c r="D1140" t="s">
        <v>205</v>
      </c>
      <c r="E1140" t="s">
        <v>205</v>
      </c>
    </row>
    <row r="1141" spans="1:5" hidden="1" x14ac:dyDescent="0.35">
      <c r="A1141">
        <v>2020</v>
      </c>
      <c r="B1141" t="s">
        <v>36</v>
      </c>
      <c r="C1141" t="s">
        <v>44</v>
      </c>
      <c r="D1141" t="s">
        <v>205</v>
      </c>
      <c r="E1141" t="s">
        <v>205</v>
      </c>
    </row>
    <row r="1142" spans="1:5" hidden="1" x14ac:dyDescent="0.35">
      <c r="A1142">
        <v>2020</v>
      </c>
      <c r="B1142" t="s">
        <v>38</v>
      </c>
      <c r="C1142" t="s">
        <v>45</v>
      </c>
      <c r="D1142">
        <v>265</v>
      </c>
      <c r="E1142">
        <v>33</v>
      </c>
    </row>
    <row r="1143" spans="1:5" hidden="1" x14ac:dyDescent="0.35">
      <c r="A1143">
        <v>2020</v>
      </c>
      <c r="B1143" t="s">
        <v>34</v>
      </c>
      <c r="C1143" t="s">
        <v>46</v>
      </c>
      <c r="D1143">
        <v>29</v>
      </c>
      <c r="E1143">
        <v>15</v>
      </c>
    </row>
    <row r="1144" spans="1:5" hidden="1" x14ac:dyDescent="0.35">
      <c r="A1144">
        <v>2020</v>
      </c>
      <c r="B1144" t="s">
        <v>37</v>
      </c>
      <c r="C1144" t="s">
        <v>47</v>
      </c>
      <c r="D1144">
        <v>27</v>
      </c>
      <c r="E1144">
        <v>18</v>
      </c>
    </row>
    <row r="1145" spans="1:5" hidden="1" x14ac:dyDescent="0.35">
      <c r="A1145">
        <v>2020</v>
      </c>
      <c r="B1145" t="s">
        <v>35</v>
      </c>
      <c r="C1145" t="s">
        <v>48</v>
      </c>
      <c r="D1145" t="s">
        <v>205</v>
      </c>
      <c r="E1145" t="s">
        <v>205</v>
      </c>
    </row>
    <row r="1146" spans="1:5" hidden="1" x14ac:dyDescent="0.35">
      <c r="A1146">
        <v>2020</v>
      </c>
      <c r="B1146" t="s">
        <v>34</v>
      </c>
      <c r="C1146" t="s">
        <v>49</v>
      </c>
      <c r="D1146" t="s">
        <v>205</v>
      </c>
      <c r="E1146" t="s">
        <v>205</v>
      </c>
    </row>
    <row r="1147" spans="1:5" hidden="1" x14ac:dyDescent="0.35">
      <c r="A1147">
        <v>2020</v>
      </c>
      <c r="B1147" t="s">
        <v>36</v>
      </c>
      <c r="C1147" t="s">
        <v>50</v>
      </c>
      <c r="D1147">
        <v>58</v>
      </c>
      <c r="E1147">
        <v>16</v>
      </c>
    </row>
    <row r="1148" spans="1:5" hidden="1" x14ac:dyDescent="0.35">
      <c r="A1148">
        <v>2020</v>
      </c>
      <c r="B1148" t="s">
        <v>34</v>
      </c>
      <c r="C1148" t="s">
        <v>52</v>
      </c>
      <c r="D1148">
        <v>45</v>
      </c>
      <c r="E1148">
        <v>261</v>
      </c>
    </row>
    <row r="1149" spans="1:5" hidden="1" x14ac:dyDescent="0.35">
      <c r="A1149">
        <v>2020</v>
      </c>
      <c r="B1149" t="s">
        <v>36</v>
      </c>
      <c r="C1149" t="s">
        <v>53</v>
      </c>
      <c r="D1149">
        <v>9</v>
      </c>
    </row>
    <row r="1150" spans="1:5" hidden="1" x14ac:dyDescent="0.35">
      <c r="A1150">
        <v>2020</v>
      </c>
      <c r="B1150" t="s">
        <v>35</v>
      </c>
      <c r="C1150" t="s">
        <v>54</v>
      </c>
      <c r="D1150">
        <v>7</v>
      </c>
      <c r="E1150">
        <v>5</v>
      </c>
    </row>
    <row r="1151" spans="1:5" hidden="1" x14ac:dyDescent="0.35">
      <c r="A1151">
        <v>2020</v>
      </c>
      <c r="B1151" t="s">
        <v>35</v>
      </c>
      <c r="C1151" t="s">
        <v>55</v>
      </c>
      <c r="D1151">
        <v>10</v>
      </c>
      <c r="E1151">
        <v>4</v>
      </c>
    </row>
    <row r="1152" spans="1:5" hidden="1" x14ac:dyDescent="0.35">
      <c r="A1152">
        <v>2020</v>
      </c>
      <c r="B1152" t="s">
        <v>36</v>
      </c>
      <c r="C1152" t="s">
        <v>56</v>
      </c>
      <c r="D1152">
        <v>67</v>
      </c>
      <c r="E1152">
        <v>33</v>
      </c>
    </row>
    <row r="1153" spans="1:5" hidden="1" x14ac:dyDescent="0.35">
      <c r="A1153">
        <v>2020</v>
      </c>
      <c r="B1153" t="s">
        <v>33</v>
      </c>
      <c r="C1153" t="s">
        <v>57</v>
      </c>
      <c r="D1153" t="s">
        <v>205</v>
      </c>
      <c r="E1153" t="s">
        <v>205</v>
      </c>
    </row>
    <row r="1154" spans="1:5" hidden="1" x14ac:dyDescent="0.35">
      <c r="A1154">
        <v>2020</v>
      </c>
      <c r="B1154" t="s">
        <v>38</v>
      </c>
      <c r="C1154" t="s">
        <v>59</v>
      </c>
      <c r="D1154">
        <v>61</v>
      </c>
      <c r="E1154">
        <v>15</v>
      </c>
    </row>
    <row r="1155" spans="1:5" hidden="1" x14ac:dyDescent="0.35">
      <c r="A1155">
        <v>2020</v>
      </c>
      <c r="B1155" t="s">
        <v>35</v>
      </c>
      <c r="C1155" t="s">
        <v>60</v>
      </c>
      <c r="D1155">
        <v>21</v>
      </c>
      <c r="E1155">
        <v>6</v>
      </c>
    </row>
    <row r="1156" spans="1:5" hidden="1" x14ac:dyDescent="0.35">
      <c r="A1156">
        <v>2020</v>
      </c>
      <c r="B1156" t="s">
        <v>38</v>
      </c>
      <c r="C1156" t="s">
        <v>21</v>
      </c>
      <c r="D1156">
        <v>1330</v>
      </c>
      <c r="E1156">
        <v>965</v>
      </c>
    </row>
    <row r="1157" spans="1:5" hidden="1" x14ac:dyDescent="0.35">
      <c r="A1157">
        <v>2020</v>
      </c>
      <c r="B1157" t="s">
        <v>35</v>
      </c>
      <c r="C1157" t="s">
        <v>62</v>
      </c>
      <c r="D1157">
        <v>18</v>
      </c>
      <c r="E1157">
        <v>8</v>
      </c>
    </row>
    <row r="1158" spans="1:5" hidden="1" x14ac:dyDescent="0.35">
      <c r="A1158">
        <v>2020</v>
      </c>
      <c r="B1158" t="s">
        <v>33</v>
      </c>
      <c r="C1158" t="s">
        <v>63</v>
      </c>
      <c r="D1158" t="s">
        <v>205</v>
      </c>
      <c r="E1158" t="s">
        <v>205</v>
      </c>
    </row>
    <row r="1159" spans="1:5" hidden="1" x14ac:dyDescent="0.35">
      <c r="A1159">
        <v>2020</v>
      </c>
      <c r="B1159" t="s">
        <v>34</v>
      </c>
      <c r="C1159" t="s">
        <v>64</v>
      </c>
      <c r="D1159">
        <v>34</v>
      </c>
      <c r="E1159">
        <v>4</v>
      </c>
    </row>
    <row r="1160" spans="1:5" hidden="1" x14ac:dyDescent="0.35">
      <c r="A1160">
        <v>2020</v>
      </c>
      <c r="B1160" t="s">
        <v>33</v>
      </c>
      <c r="C1160" t="s">
        <v>65</v>
      </c>
      <c r="D1160" t="s">
        <v>205</v>
      </c>
      <c r="E1160" t="s">
        <v>205</v>
      </c>
    </row>
    <row r="1161" spans="1:5" hidden="1" x14ac:dyDescent="0.35">
      <c r="A1161">
        <v>2020</v>
      </c>
      <c r="B1161" t="s">
        <v>33</v>
      </c>
      <c r="C1161" t="s">
        <v>66</v>
      </c>
      <c r="D1161">
        <v>14</v>
      </c>
    </row>
    <row r="1162" spans="1:5" hidden="1" x14ac:dyDescent="0.35">
      <c r="A1162">
        <v>2020</v>
      </c>
      <c r="B1162" t="s">
        <v>34</v>
      </c>
      <c r="C1162" t="s">
        <v>67</v>
      </c>
      <c r="D1162" t="s">
        <v>205</v>
      </c>
      <c r="E1162" t="s">
        <v>205</v>
      </c>
    </row>
    <row r="1163" spans="1:5" hidden="1" x14ac:dyDescent="0.35">
      <c r="A1163">
        <v>2020</v>
      </c>
      <c r="B1163" t="s">
        <v>33</v>
      </c>
      <c r="C1163" t="s">
        <v>68</v>
      </c>
      <c r="D1163">
        <v>15</v>
      </c>
      <c r="E1163">
        <v>44</v>
      </c>
    </row>
    <row r="1164" spans="1:5" hidden="1" x14ac:dyDescent="0.35">
      <c r="A1164">
        <v>2020</v>
      </c>
      <c r="B1164" t="s">
        <v>36</v>
      </c>
      <c r="C1164" t="s">
        <v>69</v>
      </c>
      <c r="D1164">
        <v>572</v>
      </c>
      <c r="E1164">
        <v>88</v>
      </c>
    </row>
    <row r="1165" spans="1:5" hidden="1" x14ac:dyDescent="0.35">
      <c r="A1165">
        <v>2020</v>
      </c>
      <c r="B1165" t="s">
        <v>33</v>
      </c>
      <c r="C1165" t="s">
        <v>71</v>
      </c>
      <c r="D1165" t="s">
        <v>205</v>
      </c>
      <c r="E1165" t="s">
        <v>205</v>
      </c>
    </row>
    <row r="1166" spans="1:5" hidden="1" x14ac:dyDescent="0.35">
      <c r="A1166">
        <v>2020</v>
      </c>
      <c r="B1166" t="s">
        <v>38</v>
      </c>
      <c r="C1166" t="s">
        <v>72</v>
      </c>
      <c r="D1166">
        <v>112</v>
      </c>
      <c r="E1166">
        <v>162</v>
      </c>
    </row>
    <row r="1167" spans="1:5" hidden="1" x14ac:dyDescent="0.35">
      <c r="A1167">
        <v>2020</v>
      </c>
      <c r="B1167" t="s">
        <v>34</v>
      </c>
      <c r="C1167" t="s">
        <v>73</v>
      </c>
      <c r="D1167">
        <v>405</v>
      </c>
      <c r="E1167">
        <v>231</v>
      </c>
    </row>
    <row r="1168" spans="1:5" hidden="1" x14ac:dyDescent="0.35">
      <c r="A1168">
        <v>2020</v>
      </c>
      <c r="B1168" t="s">
        <v>38</v>
      </c>
      <c r="C1168" t="s">
        <v>20</v>
      </c>
      <c r="D1168">
        <v>1601</v>
      </c>
      <c r="E1168">
        <v>349</v>
      </c>
    </row>
    <row r="1169" spans="1:5" hidden="1" x14ac:dyDescent="0.35">
      <c r="A1169">
        <v>2020</v>
      </c>
      <c r="B1169" t="s">
        <v>33</v>
      </c>
      <c r="C1169" t="s">
        <v>74</v>
      </c>
      <c r="D1169">
        <v>15</v>
      </c>
      <c r="E1169">
        <v>84</v>
      </c>
    </row>
    <row r="1170" spans="1:5" hidden="1" x14ac:dyDescent="0.35">
      <c r="A1170">
        <v>2020</v>
      </c>
      <c r="B1170" t="s">
        <v>33</v>
      </c>
      <c r="C1170" t="s">
        <v>75</v>
      </c>
      <c r="D1170">
        <v>6</v>
      </c>
      <c r="E1170">
        <v>7</v>
      </c>
    </row>
    <row r="1171" spans="1:5" hidden="1" x14ac:dyDescent="0.35">
      <c r="A1171">
        <v>2020</v>
      </c>
      <c r="B1171" t="s">
        <v>36</v>
      </c>
      <c r="C1171" t="s">
        <v>76</v>
      </c>
      <c r="D1171">
        <v>190</v>
      </c>
      <c r="E1171">
        <v>61</v>
      </c>
    </row>
    <row r="1172" spans="1:5" hidden="1" x14ac:dyDescent="0.35">
      <c r="A1172">
        <v>2020</v>
      </c>
      <c r="B1172" t="s">
        <v>33</v>
      </c>
      <c r="C1172" t="s">
        <v>77</v>
      </c>
      <c r="D1172">
        <v>26</v>
      </c>
      <c r="E1172">
        <v>15</v>
      </c>
    </row>
    <row r="1173" spans="1:5" hidden="1" x14ac:dyDescent="0.35">
      <c r="A1173">
        <v>2020</v>
      </c>
      <c r="B1173" t="s">
        <v>35</v>
      </c>
      <c r="C1173" t="s">
        <v>78</v>
      </c>
      <c r="D1173" t="s">
        <v>205</v>
      </c>
      <c r="E1173" t="s">
        <v>205</v>
      </c>
    </row>
    <row r="1174" spans="1:5" hidden="1" x14ac:dyDescent="0.35">
      <c r="A1174">
        <v>2020</v>
      </c>
      <c r="B1174" t="s">
        <v>36</v>
      </c>
      <c r="C1174" t="s">
        <v>79</v>
      </c>
      <c r="D1174">
        <v>246</v>
      </c>
      <c r="E1174">
        <v>1352</v>
      </c>
    </row>
    <row r="1175" spans="1:5" hidden="1" x14ac:dyDescent="0.35">
      <c r="A1175">
        <v>2020</v>
      </c>
      <c r="B1175" t="s">
        <v>35</v>
      </c>
      <c r="C1175" t="s">
        <v>81</v>
      </c>
      <c r="D1175">
        <v>11</v>
      </c>
      <c r="E1175">
        <v>13</v>
      </c>
    </row>
    <row r="1176" spans="1:5" hidden="1" x14ac:dyDescent="0.35">
      <c r="A1176">
        <v>2020</v>
      </c>
      <c r="B1176" t="s">
        <v>35</v>
      </c>
      <c r="C1176" t="s">
        <v>214</v>
      </c>
      <c r="D1176" t="s">
        <v>205</v>
      </c>
    </row>
    <row r="1177" spans="1:5" hidden="1" x14ac:dyDescent="0.35">
      <c r="A1177">
        <v>2020</v>
      </c>
      <c r="B1177" t="s">
        <v>36</v>
      </c>
      <c r="C1177" t="s">
        <v>84</v>
      </c>
      <c r="D1177" t="s">
        <v>205</v>
      </c>
      <c r="E1177" t="s">
        <v>205</v>
      </c>
    </row>
    <row r="1178" spans="1:5" hidden="1" x14ac:dyDescent="0.35">
      <c r="A1178">
        <v>2020</v>
      </c>
      <c r="B1178" t="s">
        <v>36</v>
      </c>
      <c r="C1178" t="s">
        <v>85</v>
      </c>
      <c r="D1178">
        <v>1490</v>
      </c>
      <c r="E1178">
        <v>433</v>
      </c>
    </row>
    <row r="1179" spans="1:5" hidden="1" x14ac:dyDescent="0.35">
      <c r="A1179">
        <v>2020</v>
      </c>
      <c r="B1179" t="s">
        <v>38</v>
      </c>
      <c r="C1179" t="s">
        <v>86</v>
      </c>
      <c r="D1179">
        <v>1507</v>
      </c>
      <c r="E1179">
        <v>1612</v>
      </c>
    </row>
    <row r="1180" spans="1:5" hidden="1" x14ac:dyDescent="0.35">
      <c r="A1180">
        <v>2020</v>
      </c>
      <c r="B1180" t="s">
        <v>33</v>
      </c>
      <c r="C1180" t="s">
        <v>87</v>
      </c>
      <c r="D1180">
        <v>53</v>
      </c>
      <c r="E1180">
        <v>48</v>
      </c>
    </row>
    <row r="1181" spans="1:5" hidden="1" x14ac:dyDescent="0.35">
      <c r="A1181">
        <v>2020</v>
      </c>
      <c r="B1181" t="s">
        <v>36</v>
      </c>
      <c r="C1181" t="s">
        <v>16</v>
      </c>
      <c r="D1181">
        <v>5041</v>
      </c>
      <c r="E1181">
        <v>7126</v>
      </c>
    </row>
    <row r="1182" spans="1:5" hidden="1" x14ac:dyDescent="0.35">
      <c r="A1182">
        <v>2020</v>
      </c>
      <c r="B1182" t="s">
        <v>33</v>
      </c>
      <c r="C1182" t="s">
        <v>88</v>
      </c>
      <c r="D1182">
        <v>7</v>
      </c>
      <c r="E1182">
        <v>4</v>
      </c>
    </row>
    <row r="1183" spans="1:5" hidden="1" x14ac:dyDescent="0.35">
      <c r="A1183">
        <v>2020</v>
      </c>
      <c r="B1183" t="s">
        <v>33</v>
      </c>
      <c r="C1183" t="s">
        <v>89</v>
      </c>
      <c r="D1183">
        <v>6</v>
      </c>
      <c r="E1183">
        <v>31</v>
      </c>
    </row>
    <row r="1184" spans="1:5" hidden="1" x14ac:dyDescent="0.35">
      <c r="A1184">
        <v>2020</v>
      </c>
      <c r="B1184" t="s">
        <v>35</v>
      </c>
      <c r="C1184" t="s">
        <v>90</v>
      </c>
      <c r="D1184" t="s">
        <v>205</v>
      </c>
      <c r="E1184" t="s">
        <v>205</v>
      </c>
    </row>
    <row r="1185" spans="1:5" hidden="1" x14ac:dyDescent="0.35">
      <c r="A1185">
        <v>2020</v>
      </c>
      <c r="B1185" t="s">
        <v>33</v>
      </c>
      <c r="C1185" t="s">
        <v>91</v>
      </c>
      <c r="D1185">
        <v>29</v>
      </c>
      <c r="E1185">
        <v>18</v>
      </c>
    </row>
    <row r="1186" spans="1:5" hidden="1" x14ac:dyDescent="0.35">
      <c r="A1186">
        <v>2020</v>
      </c>
      <c r="B1186" t="s">
        <v>37</v>
      </c>
      <c r="C1186" t="s">
        <v>92</v>
      </c>
      <c r="D1186" t="s">
        <v>205</v>
      </c>
      <c r="E1186" t="s">
        <v>205</v>
      </c>
    </row>
    <row r="1187" spans="1:5" hidden="1" x14ac:dyDescent="0.35">
      <c r="A1187">
        <v>2020</v>
      </c>
      <c r="B1187" t="s">
        <v>35</v>
      </c>
      <c r="C1187" t="s">
        <v>94</v>
      </c>
      <c r="D1187">
        <v>35</v>
      </c>
      <c r="E1187">
        <v>47</v>
      </c>
    </row>
    <row r="1188" spans="1:5" hidden="1" x14ac:dyDescent="0.35">
      <c r="A1188">
        <v>2020</v>
      </c>
      <c r="B1188" t="s">
        <v>33</v>
      </c>
      <c r="C1188" t="s">
        <v>95</v>
      </c>
      <c r="D1188">
        <v>5</v>
      </c>
      <c r="E1188">
        <v>3</v>
      </c>
    </row>
    <row r="1189" spans="1:5" hidden="1" x14ac:dyDescent="0.35">
      <c r="A1189">
        <v>2020</v>
      </c>
      <c r="B1189" t="s">
        <v>33</v>
      </c>
      <c r="C1189" t="s">
        <v>96</v>
      </c>
      <c r="D1189">
        <v>27</v>
      </c>
      <c r="E1189">
        <v>17</v>
      </c>
    </row>
    <row r="1190" spans="1:5" hidden="1" x14ac:dyDescent="0.35">
      <c r="A1190">
        <v>2020</v>
      </c>
      <c r="B1190" t="s">
        <v>34</v>
      </c>
      <c r="C1190" t="s">
        <v>8</v>
      </c>
      <c r="D1190">
        <v>20</v>
      </c>
      <c r="E1190">
        <v>32</v>
      </c>
    </row>
    <row r="1191" spans="1:5" hidden="1" x14ac:dyDescent="0.35">
      <c r="A1191">
        <v>2020</v>
      </c>
      <c r="B1191" t="s">
        <v>35</v>
      </c>
      <c r="C1191" t="s">
        <v>97</v>
      </c>
      <c r="D1191">
        <v>33</v>
      </c>
      <c r="E1191">
        <v>23</v>
      </c>
    </row>
    <row r="1192" spans="1:5" hidden="1" x14ac:dyDescent="0.35">
      <c r="A1192">
        <v>2020</v>
      </c>
      <c r="B1192" t="s">
        <v>33</v>
      </c>
      <c r="C1192" t="s">
        <v>98</v>
      </c>
      <c r="D1192">
        <v>104</v>
      </c>
      <c r="E1192">
        <v>53</v>
      </c>
    </row>
    <row r="1193" spans="1:5" hidden="1" x14ac:dyDescent="0.35">
      <c r="A1193">
        <v>2020</v>
      </c>
      <c r="B1193" t="s">
        <v>35</v>
      </c>
      <c r="C1193" t="s">
        <v>99</v>
      </c>
      <c r="D1193">
        <v>7</v>
      </c>
      <c r="E1193">
        <v>7</v>
      </c>
    </row>
    <row r="1194" spans="1:5" hidden="1" x14ac:dyDescent="0.35">
      <c r="A1194">
        <v>2020</v>
      </c>
      <c r="B1194" t="s">
        <v>36</v>
      </c>
      <c r="C1194" t="s">
        <v>100</v>
      </c>
      <c r="D1194">
        <v>7</v>
      </c>
    </row>
    <row r="1195" spans="1:5" hidden="1" x14ac:dyDescent="0.35">
      <c r="A1195">
        <v>2020</v>
      </c>
      <c r="B1195" t="s">
        <v>36</v>
      </c>
      <c r="C1195" t="s">
        <v>15</v>
      </c>
      <c r="D1195">
        <v>10290</v>
      </c>
      <c r="E1195">
        <v>18077</v>
      </c>
    </row>
    <row r="1196" spans="1:5" hidden="1" x14ac:dyDescent="0.35">
      <c r="A1196">
        <v>2020</v>
      </c>
      <c r="B1196" t="s">
        <v>33</v>
      </c>
      <c r="C1196" t="s">
        <v>101</v>
      </c>
      <c r="D1196">
        <v>23</v>
      </c>
      <c r="E1196">
        <v>18</v>
      </c>
    </row>
    <row r="1197" spans="1:5" hidden="1" x14ac:dyDescent="0.35">
      <c r="A1197">
        <v>2020</v>
      </c>
      <c r="B1197" t="s">
        <v>38</v>
      </c>
      <c r="C1197" t="s">
        <v>103</v>
      </c>
      <c r="D1197">
        <v>155</v>
      </c>
      <c r="E1197">
        <v>26</v>
      </c>
    </row>
    <row r="1198" spans="1:5" hidden="1" x14ac:dyDescent="0.35">
      <c r="A1198">
        <v>2020</v>
      </c>
      <c r="B1198" t="s">
        <v>36</v>
      </c>
      <c r="C1198" t="s">
        <v>104</v>
      </c>
      <c r="D1198">
        <v>391</v>
      </c>
      <c r="E1198">
        <v>524</v>
      </c>
    </row>
    <row r="1199" spans="1:5" hidden="1" x14ac:dyDescent="0.35">
      <c r="A1199">
        <v>2020</v>
      </c>
      <c r="B1199" t="s">
        <v>36</v>
      </c>
      <c r="C1199" t="s">
        <v>17</v>
      </c>
      <c r="D1199">
        <v>9605</v>
      </c>
      <c r="E1199">
        <v>10968</v>
      </c>
    </row>
    <row r="1200" spans="1:5" hidden="1" x14ac:dyDescent="0.35">
      <c r="A1200">
        <v>2020</v>
      </c>
      <c r="B1200" t="s">
        <v>35</v>
      </c>
      <c r="C1200" t="s">
        <v>105</v>
      </c>
      <c r="D1200">
        <v>15</v>
      </c>
      <c r="E1200">
        <v>30</v>
      </c>
    </row>
    <row r="1201" spans="1:5" hidden="1" x14ac:dyDescent="0.35">
      <c r="A1201">
        <v>2020</v>
      </c>
      <c r="B1201" t="s">
        <v>34</v>
      </c>
      <c r="C1201" t="s">
        <v>22</v>
      </c>
      <c r="D1201">
        <v>549</v>
      </c>
      <c r="E1201">
        <v>1997</v>
      </c>
    </row>
    <row r="1202" spans="1:5" hidden="1" x14ac:dyDescent="0.35">
      <c r="A1202">
        <v>2020</v>
      </c>
      <c r="B1202" t="s">
        <v>34</v>
      </c>
      <c r="C1202" t="s">
        <v>107</v>
      </c>
      <c r="D1202">
        <v>33</v>
      </c>
      <c r="E1202">
        <v>46</v>
      </c>
    </row>
    <row r="1203" spans="1:5" hidden="1" x14ac:dyDescent="0.35">
      <c r="A1203">
        <v>2020</v>
      </c>
      <c r="B1203" t="s">
        <v>34</v>
      </c>
      <c r="C1203" t="s">
        <v>108</v>
      </c>
      <c r="D1203">
        <v>15</v>
      </c>
      <c r="E1203">
        <v>5</v>
      </c>
    </row>
    <row r="1204" spans="1:5" hidden="1" x14ac:dyDescent="0.35">
      <c r="A1204">
        <v>2020</v>
      </c>
      <c r="B1204" t="s">
        <v>34</v>
      </c>
      <c r="C1204" t="s">
        <v>109</v>
      </c>
      <c r="D1204">
        <v>22</v>
      </c>
      <c r="E1204">
        <v>14</v>
      </c>
    </row>
    <row r="1205" spans="1:5" hidden="1" x14ac:dyDescent="0.35">
      <c r="A1205">
        <v>2020</v>
      </c>
      <c r="B1205" t="s">
        <v>35</v>
      </c>
      <c r="C1205" t="s">
        <v>110</v>
      </c>
      <c r="D1205">
        <v>10</v>
      </c>
      <c r="E1205">
        <v>7</v>
      </c>
    </row>
    <row r="1206" spans="1:5" hidden="1" x14ac:dyDescent="0.35">
      <c r="A1206">
        <v>2020</v>
      </c>
      <c r="B1206" t="s">
        <v>34</v>
      </c>
      <c r="C1206" t="s">
        <v>111</v>
      </c>
      <c r="D1206">
        <v>113</v>
      </c>
      <c r="E1206">
        <v>15</v>
      </c>
    </row>
    <row r="1207" spans="1:5" hidden="1" x14ac:dyDescent="0.35">
      <c r="A1207">
        <v>2020</v>
      </c>
      <c r="B1207" t="s">
        <v>35</v>
      </c>
      <c r="C1207" t="s">
        <v>112</v>
      </c>
      <c r="D1207">
        <v>26</v>
      </c>
      <c r="E1207">
        <v>90</v>
      </c>
    </row>
    <row r="1208" spans="1:5" hidden="1" x14ac:dyDescent="0.35">
      <c r="A1208">
        <v>2020</v>
      </c>
      <c r="B1208" t="s">
        <v>36</v>
      </c>
      <c r="C1208" t="s">
        <v>113</v>
      </c>
      <c r="D1208">
        <v>1171</v>
      </c>
      <c r="E1208">
        <v>72</v>
      </c>
    </row>
    <row r="1209" spans="1:5" hidden="1" x14ac:dyDescent="0.35">
      <c r="A1209">
        <v>2020</v>
      </c>
      <c r="B1209" t="s">
        <v>34</v>
      </c>
      <c r="C1209" t="s">
        <v>114</v>
      </c>
      <c r="D1209">
        <v>11</v>
      </c>
      <c r="E1209">
        <v>15</v>
      </c>
    </row>
    <row r="1210" spans="1:5" hidden="1" x14ac:dyDescent="0.35">
      <c r="A1210">
        <v>2020</v>
      </c>
      <c r="B1210" t="s">
        <v>34</v>
      </c>
      <c r="C1210" t="s">
        <v>115</v>
      </c>
      <c r="D1210">
        <v>68</v>
      </c>
      <c r="E1210">
        <v>24</v>
      </c>
    </row>
    <row r="1211" spans="1:5" hidden="1" x14ac:dyDescent="0.35">
      <c r="A1211">
        <v>2020</v>
      </c>
      <c r="B1211" t="s">
        <v>34</v>
      </c>
      <c r="C1211" t="s">
        <v>116</v>
      </c>
      <c r="D1211">
        <v>34</v>
      </c>
      <c r="E1211">
        <v>19</v>
      </c>
    </row>
    <row r="1212" spans="1:5" hidden="1" x14ac:dyDescent="0.35">
      <c r="A1212">
        <v>2020</v>
      </c>
      <c r="B1212" t="s">
        <v>33</v>
      </c>
      <c r="C1212" t="s">
        <v>117</v>
      </c>
      <c r="D1212">
        <v>94</v>
      </c>
      <c r="E1212">
        <v>31</v>
      </c>
    </row>
    <row r="1213" spans="1:5" hidden="1" x14ac:dyDescent="0.35">
      <c r="A1213">
        <v>2020</v>
      </c>
      <c r="B1213" t="s">
        <v>34</v>
      </c>
      <c r="C1213" t="s">
        <v>118</v>
      </c>
      <c r="D1213">
        <v>70</v>
      </c>
      <c r="E1213">
        <v>87</v>
      </c>
    </row>
    <row r="1214" spans="1:5" hidden="1" x14ac:dyDescent="0.35">
      <c r="A1214">
        <v>2020</v>
      </c>
      <c r="B1214" t="s">
        <v>35</v>
      </c>
      <c r="C1214" t="s">
        <v>119</v>
      </c>
      <c r="D1214">
        <v>13</v>
      </c>
      <c r="E1214">
        <v>6</v>
      </c>
    </row>
    <row r="1215" spans="1:5" hidden="1" x14ac:dyDescent="0.35">
      <c r="A1215">
        <v>2020</v>
      </c>
      <c r="B1215" t="s">
        <v>34</v>
      </c>
      <c r="C1215" t="s">
        <v>120</v>
      </c>
      <c r="D1215">
        <v>11</v>
      </c>
      <c r="E1215">
        <v>4</v>
      </c>
    </row>
    <row r="1216" spans="1:5" hidden="1" x14ac:dyDescent="0.35">
      <c r="A1216">
        <v>2020</v>
      </c>
      <c r="B1216" t="s">
        <v>34</v>
      </c>
      <c r="C1216" t="s">
        <v>121</v>
      </c>
      <c r="D1216" t="s">
        <v>205</v>
      </c>
      <c r="E1216" t="s">
        <v>205</v>
      </c>
    </row>
    <row r="1217" spans="1:5" hidden="1" x14ac:dyDescent="0.35">
      <c r="A1217">
        <v>2020</v>
      </c>
      <c r="B1217" t="s">
        <v>34</v>
      </c>
      <c r="C1217" t="s">
        <v>122</v>
      </c>
      <c r="D1217" t="s">
        <v>205</v>
      </c>
      <c r="E1217" t="s">
        <v>205</v>
      </c>
    </row>
    <row r="1218" spans="1:5" hidden="1" x14ac:dyDescent="0.35">
      <c r="A1218">
        <v>2020</v>
      </c>
      <c r="B1218" t="s">
        <v>35</v>
      </c>
      <c r="C1218" t="s">
        <v>123</v>
      </c>
      <c r="D1218">
        <v>11</v>
      </c>
      <c r="E1218">
        <v>7</v>
      </c>
    </row>
    <row r="1219" spans="1:5" hidden="1" x14ac:dyDescent="0.35">
      <c r="A1219">
        <v>2020</v>
      </c>
      <c r="B1219" t="s">
        <v>34</v>
      </c>
      <c r="C1219" t="s">
        <v>124</v>
      </c>
      <c r="D1219">
        <v>33</v>
      </c>
      <c r="E1219">
        <v>18</v>
      </c>
    </row>
    <row r="1220" spans="1:5" hidden="1" x14ac:dyDescent="0.35">
      <c r="A1220">
        <v>2020</v>
      </c>
      <c r="B1220" t="s">
        <v>33</v>
      </c>
      <c r="C1220" t="s">
        <v>125</v>
      </c>
      <c r="D1220">
        <v>111</v>
      </c>
      <c r="E1220">
        <v>6</v>
      </c>
    </row>
    <row r="1221" spans="1:5" hidden="1" x14ac:dyDescent="0.35">
      <c r="A1221">
        <v>2020</v>
      </c>
      <c r="B1221" t="s">
        <v>35</v>
      </c>
      <c r="C1221" t="s">
        <v>127</v>
      </c>
      <c r="D1221">
        <v>13</v>
      </c>
      <c r="E1221">
        <v>10</v>
      </c>
    </row>
    <row r="1222" spans="1:5" hidden="1" x14ac:dyDescent="0.35">
      <c r="A1222">
        <v>2020</v>
      </c>
      <c r="B1222" t="s">
        <v>34</v>
      </c>
      <c r="C1222" t="s">
        <v>131</v>
      </c>
      <c r="D1222">
        <v>19</v>
      </c>
      <c r="E1222">
        <v>4</v>
      </c>
    </row>
    <row r="1223" spans="1:5" hidden="1" x14ac:dyDescent="0.35">
      <c r="A1223">
        <v>2020</v>
      </c>
      <c r="B1223" t="s">
        <v>33</v>
      </c>
      <c r="C1223" t="s">
        <v>132</v>
      </c>
      <c r="D1223">
        <v>7</v>
      </c>
      <c r="E1223">
        <v>8</v>
      </c>
    </row>
    <row r="1224" spans="1:5" hidden="1" x14ac:dyDescent="0.35">
      <c r="A1224">
        <v>2020</v>
      </c>
      <c r="B1224" t="s">
        <v>37</v>
      </c>
      <c r="C1224" t="s">
        <v>134</v>
      </c>
      <c r="D1224">
        <v>17</v>
      </c>
    </row>
    <row r="1225" spans="1:5" hidden="1" x14ac:dyDescent="0.35">
      <c r="A1225">
        <v>2020</v>
      </c>
      <c r="B1225" t="s">
        <v>33</v>
      </c>
      <c r="C1225" t="s">
        <v>135</v>
      </c>
      <c r="D1225">
        <v>6</v>
      </c>
      <c r="E1225">
        <v>19</v>
      </c>
    </row>
    <row r="1226" spans="1:5" hidden="1" x14ac:dyDescent="0.35">
      <c r="A1226">
        <v>2020</v>
      </c>
      <c r="B1226" t="s">
        <v>36</v>
      </c>
      <c r="C1226" t="s">
        <v>14</v>
      </c>
      <c r="D1226">
        <v>78438</v>
      </c>
      <c r="E1226">
        <v>70268</v>
      </c>
    </row>
    <row r="1227" spans="1:5" hidden="1" x14ac:dyDescent="0.35">
      <c r="A1227">
        <v>2020</v>
      </c>
      <c r="B1227" t="s">
        <v>37</v>
      </c>
      <c r="C1227" t="s">
        <v>137</v>
      </c>
      <c r="D1227">
        <v>24</v>
      </c>
    </row>
    <row r="1228" spans="1:5" hidden="1" x14ac:dyDescent="0.35">
      <c r="A1228">
        <v>2020</v>
      </c>
      <c r="B1228" t="s">
        <v>35</v>
      </c>
      <c r="C1228" t="s">
        <v>138</v>
      </c>
      <c r="D1228">
        <v>21</v>
      </c>
      <c r="E1228">
        <v>6</v>
      </c>
    </row>
    <row r="1229" spans="1:5" hidden="1" x14ac:dyDescent="0.35">
      <c r="A1229">
        <v>2020</v>
      </c>
      <c r="B1229" t="s">
        <v>34</v>
      </c>
      <c r="C1229" t="s">
        <v>139</v>
      </c>
      <c r="D1229">
        <v>31</v>
      </c>
      <c r="E1229">
        <v>9</v>
      </c>
    </row>
    <row r="1230" spans="1:5" hidden="1" x14ac:dyDescent="0.35">
      <c r="A1230">
        <v>2020</v>
      </c>
      <c r="B1230" t="s">
        <v>35</v>
      </c>
      <c r="C1230" t="s">
        <v>140</v>
      </c>
      <c r="D1230">
        <v>15</v>
      </c>
      <c r="E1230">
        <v>5</v>
      </c>
    </row>
    <row r="1231" spans="1:5" hidden="1" x14ac:dyDescent="0.35">
      <c r="A1231">
        <v>2020</v>
      </c>
      <c r="B1231" t="s">
        <v>33</v>
      </c>
      <c r="C1231" t="s">
        <v>141</v>
      </c>
      <c r="D1231">
        <v>19</v>
      </c>
      <c r="E1231">
        <v>8</v>
      </c>
    </row>
    <row r="1232" spans="1:5" hidden="1" x14ac:dyDescent="0.35">
      <c r="A1232">
        <v>2020</v>
      </c>
      <c r="B1232" t="s">
        <v>34</v>
      </c>
      <c r="C1232" t="s">
        <v>144</v>
      </c>
      <c r="D1232">
        <v>22</v>
      </c>
      <c r="E1232">
        <v>82</v>
      </c>
    </row>
    <row r="1233" spans="1:5" hidden="1" x14ac:dyDescent="0.35">
      <c r="A1233">
        <v>2020</v>
      </c>
      <c r="B1233" t="s">
        <v>35</v>
      </c>
      <c r="C1233" t="s">
        <v>145</v>
      </c>
      <c r="D1233">
        <v>17</v>
      </c>
      <c r="E1233">
        <v>17</v>
      </c>
    </row>
    <row r="1234" spans="1:5" hidden="1" x14ac:dyDescent="0.35">
      <c r="A1234">
        <v>2020</v>
      </c>
      <c r="B1234" t="s">
        <v>37</v>
      </c>
      <c r="C1234" t="s">
        <v>146</v>
      </c>
      <c r="D1234" t="s">
        <v>205</v>
      </c>
      <c r="E1234" t="s">
        <v>205</v>
      </c>
    </row>
    <row r="1235" spans="1:5" hidden="1" x14ac:dyDescent="0.35">
      <c r="A1235">
        <v>2020</v>
      </c>
      <c r="B1235" t="s">
        <v>36</v>
      </c>
      <c r="C1235" t="s">
        <v>147</v>
      </c>
      <c r="D1235">
        <v>625</v>
      </c>
      <c r="E1235">
        <v>832</v>
      </c>
    </row>
    <row r="1236" spans="1:5" hidden="1" x14ac:dyDescent="0.35">
      <c r="A1236">
        <v>2020</v>
      </c>
      <c r="B1236" t="s">
        <v>33</v>
      </c>
      <c r="C1236" t="s">
        <v>148</v>
      </c>
      <c r="D1236" t="s">
        <v>205</v>
      </c>
      <c r="E1236" t="s">
        <v>205</v>
      </c>
    </row>
    <row r="1237" spans="1:5" hidden="1" x14ac:dyDescent="0.35">
      <c r="A1237">
        <v>2020</v>
      </c>
      <c r="B1237" t="s">
        <v>33</v>
      </c>
      <c r="C1237" t="s">
        <v>149</v>
      </c>
      <c r="D1237">
        <v>175</v>
      </c>
      <c r="E1237">
        <v>63</v>
      </c>
    </row>
    <row r="1238" spans="1:5" hidden="1" x14ac:dyDescent="0.35">
      <c r="A1238">
        <v>2020</v>
      </c>
      <c r="B1238" t="s">
        <v>35</v>
      </c>
      <c r="C1238" t="s">
        <v>322</v>
      </c>
      <c r="D1238">
        <v>7</v>
      </c>
      <c r="E1238">
        <v>5</v>
      </c>
    </row>
    <row r="1239" spans="1:5" hidden="1" x14ac:dyDescent="0.35">
      <c r="A1239">
        <v>2020</v>
      </c>
      <c r="B1239" t="s">
        <v>35</v>
      </c>
      <c r="C1239" t="s">
        <v>150</v>
      </c>
      <c r="D1239" t="s">
        <v>205</v>
      </c>
      <c r="E1239" t="s">
        <v>205</v>
      </c>
    </row>
    <row r="1240" spans="1:5" hidden="1" x14ac:dyDescent="0.35">
      <c r="A1240">
        <v>2020</v>
      </c>
      <c r="B1240" t="s">
        <v>34</v>
      </c>
      <c r="C1240" t="s">
        <v>152</v>
      </c>
      <c r="D1240">
        <v>145</v>
      </c>
      <c r="E1240">
        <v>99</v>
      </c>
    </row>
    <row r="1241" spans="1:5" hidden="1" x14ac:dyDescent="0.35">
      <c r="A1241">
        <v>2020</v>
      </c>
      <c r="B1241" t="s">
        <v>37</v>
      </c>
      <c r="C1241" t="s">
        <v>153</v>
      </c>
      <c r="D1241">
        <v>4</v>
      </c>
    </row>
    <row r="1242" spans="1:5" hidden="1" x14ac:dyDescent="0.35">
      <c r="A1242">
        <v>2020</v>
      </c>
      <c r="B1242" t="s">
        <v>36</v>
      </c>
      <c r="C1242" t="s">
        <v>154</v>
      </c>
      <c r="D1242">
        <v>57</v>
      </c>
      <c r="E1242">
        <v>7</v>
      </c>
    </row>
    <row r="1243" spans="1:5" hidden="1" x14ac:dyDescent="0.35">
      <c r="A1243">
        <v>2020</v>
      </c>
      <c r="B1243" t="s">
        <v>38</v>
      </c>
      <c r="C1243" t="s">
        <v>155</v>
      </c>
      <c r="D1243" t="s">
        <v>205</v>
      </c>
      <c r="E1243" t="s">
        <v>205</v>
      </c>
    </row>
    <row r="1244" spans="1:5" hidden="1" x14ac:dyDescent="0.35">
      <c r="A1244">
        <v>2020</v>
      </c>
      <c r="B1244" t="s">
        <v>38</v>
      </c>
      <c r="C1244" t="s">
        <v>156</v>
      </c>
      <c r="D1244">
        <v>328</v>
      </c>
      <c r="E1244">
        <v>162</v>
      </c>
    </row>
    <row r="1245" spans="1:5" hidden="1" x14ac:dyDescent="0.35">
      <c r="A1245">
        <v>2020</v>
      </c>
      <c r="B1245" t="s">
        <v>34</v>
      </c>
      <c r="C1245" t="s">
        <v>18</v>
      </c>
      <c r="D1245">
        <v>285</v>
      </c>
      <c r="E1245">
        <v>38</v>
      </c>
    </row>
    <row r="1246" spans="1:5" hidden="1" x14ac:dyDescent="0.35">
      <c r="A1246">
        <v>2020</v>
      </c>
      <c r="B1246" t="s">
        <v>35</v>
      </c>
      <c r="C1246" t="s">
        <v>157</v>
      </c>
      <c r="D1246">
        <v>91</v>
      </c>
      <c r="E1246">
        <v>51</v>
      </c>
    </row>
    <row r="1247" spans="1:5" hidden="1" x14ac:dyDescent="0.35">
      <c r="A1247">
        <v>2020</v>
      </c>
      <c r="B1247" t="s">
        <v>35</v>
      </c>
      <c r="C1247" t="s">
        <v>158</v>
      </c>
      <c r="D1247">
        <v>12</v>
      </c>
      <c r="E1247">
        <v>30</v>
      </c>
    </row>
    <row r="1248" spans="1:5" hidden="1" x14ac:dyDescent="0.35">
      <c r="A1248">
        <v>2020</v>
      </c>
      <c r="B1248" t="s">
        <v>35</v>
      </c>
      <c r="C1248" t="s">
        <v>160</v>
      </c>
      <c r="D1248">
        <v>156</v>
      </c>
      <c r="E1248">
        <v>122</v>
      </c>
    </row>
    <row r="1249" spans="1:5" hidden="1" x14ac:dyDescent="0.35">
      <c r="A1249">
        <v>2020</v>
      </c>
      <c r="B1249" t="s">
        <v>35</v>
      </c>
      <c r="C1249" t="s">
        <v>161</v>
      </c>
      <c r="D1249">
        <v>122</v>
      </c>
      <c r="E1249">
        <v>72</v>
      </c>
    </row>
    <row r="1250" spans="1:5" hidden="1" x14ac:dyDescent="0.35">
      <c r="A1250">
        <v>2020</v>
      </c>
      <c r="B1250" t="s">
        <v>33</v>
      </c>
      <c r="C1250" t="s">
        <v>162</v>
      </c>
      <c r="D1250">
        <v>6</v>
      </c>
      <c r="E1250">
        <v>3</v>
      </c>
    </row>
    <row r="1251" spans="1:5" hidden="1" x14ac:dyDescent="0.35">
      <c r="A1251">
        <v>2020</v>
      </c>
      <c r="B1251" t="s">
        <v>36</v>
      </c>
      <c r="C1251" t="s">
        <v>163</v>
      </c>
      <c r="D1251" t="s">
        <v>205</v>
      </c>
      <c r="E1251" t="s">
        <v>205</v>
      </c>
    </row>
    <row r="1252" spans="1:5" hidden="1" x14ac:dyDescent="0.35">
      <c r="A1252">
        <v>2020</v>
      </c>
      <c r="B1252" t="s">
        <v>36</v>
      </c>
      <c r="C1252" t="s">
        <v>164</v>
      </c>
      <c r="D1252" t="s">
        <v>205</v>
      </c>
      <c r="E1252" t="s">
        <v>205</v>
      </c>
    </row>
    <row r="1253" spans="1:5" hidden="1" x14ac:dyDescent="0.35">
      <c r="A1253">
        <v>2020</v>
      </c>
      <c r="B1253" t="s">
        <v>36</v>
      </c>
      <c r="C1253" t="s">
        <v>165</v>
      </c>
      <c r="D1253" t="s">
        <v>205</v>
      </c>
      <c r="E1253" t="s">
        <v>205</v>
      </c>
    </row>
    <row r="1254" spans="1:5" hidden="1" x14ac:dyDescent="0.35">
      <c r="A1254">
        <v>2020</v>
      </c>
      <c r="B1254" t="s">
        <v>37</v>
      </c>
      <c r="C1254" t="s">
        <v>166</v>
      </c>
      <c r="D1254">
        <v>6</v>
      </c>
    </row>
    <row r="1255" spans="1:5" hidden="1" x14ac:dyDescent="0.35">
      <c r="A1255">
        <v>2020</v>
      </c>
      <c r="B1255" t="s">
        <v>34</v>
      </c>
      <c r="C1255" t="s">
        <v>167</v>
      </c>
      <c r="D1255">
        <v>29</v>
      </c>
      <c r="E1255">
        <v>14</v>
      </c>
    </row>
    <row r="1256" spans="1:5" hidden="1" x14ac:dyDescent="0.35">
      <c r="A1256">
        <v>2020</v>
      </c>
      <c r="B1256" t="s">
        <v>33</v>
      </c>
      <c r="C1256" t="s">
        <v>168</v>
      </c>
      <c r="D1256">
        <v>40</v>
      </c>
      <c r="E1256">
        <v>26</v>
      </c>
    </row>
    <row r="1257" spans="1:5" hidden="1" x14ac:dyDescent="0.35">
      <c r="A1257">
        <v>2020</v>
      </c>
      <c r="B1257" t="s">
        <v>35</v>
      </c>
      <c r="C1257" t="s">
        <v>169</v>
      </c>
      <c r="D1257">
        <v>17</v>
      </c>
      <c r="E1257">
        <v>9</v>
      </c>
    </row>
    <row r="1258" spans="1:5" hidden="1" x14ac:dyDescent="0.35">
      <c r="A1258">
        <v>2020</v>
      </c>
      <c r="B1258" t="s">
        <v>35</v>
      </c>
      <c r="C1258" t="s">
        <v>215</v>
      </c>
      <c r="D1258" t="s">
        <v>205</v>
      </c>
      <c r="E1258" t="s">
        <v>205</v>
      </c>
    </row>
    <row r="1259" spans="1:5" hidden="1" x14ac:dyDescent="0.35">
      <c r="A1259">
        <v>2020</v>
      </c>
      <c r="B1259" t="s">
        <v>33</v>
      </c>
      <c r="C1259" t="s">
        <v>170</v>
      </c>
      <c r="D1259">
        <v>12</v>
      </c>
      <c r="E1259">
        <v>12</v>
      </c>
    </row>
    <row r="1260" spans="1:5" hidden="1" x14ac:dyDescent="0.35">
      <c r="A1260">
        <v>2020</v>
      </c>
      <c r="B1260" t="s">
        <v>34</v>
      </c>
      <c r="C1260" t="s">
        <v>171</v>
      </c>
      <c r="D1260">
        <v>4</v>
      </c>
      <c r="E1260">
        <v>3</v>
      </c>
    </row>
    <row r="1261" spans="1:5" hidden="1" x14ac:dyDescent="0.35">
      <c r="A1261">
        <v>2020</v>
      </c>
      <c r="B1261" t="s">
        <v>35</v>
      </c>
      <c r="C1261" t="s">
        <v>172</v>
      </c>
      <c r="D1261" t="s">
        <v>205</v>
      </c>
      <c r="E1261" t="s">
        <v>205</v>
      </c>
    </row>
    <row r="1262" spans="1:5" hidden="1" x14ac:dyDescent="0.35">
      <c r="A1262">
        <v>2020</v>
      </c>
      <c r="B1262" t="s">
        <v>33</v>
      </c>
      <c r="C1262" t="s">
        <v>174</v>
      </c>
      <c r="D1262">
        <v>86</v>
      </c>
      <c r="E1262">
        <v>26</v>
      </c>
    </row>
    <row r="1263" spans="1:5" hidden="1" x14ac:dyDescent="0.35">
      <c r="A1263">
        <v>2020</v>
      </c>
      <c r="B1263" t="s">
        <v>33</v>
      </c>
      <c r="C1263" t="s">
        <v>175</v>
      </c>
      <c r="D1263">
        <v>31</v>
      </c>
      <c r="E1263">
        <v>8</v>
      </c>
    </row>
    <row r="1264" spans="1:5" hidden="1" x14ac:dyDescent="0.35">
      <c r="A1264">
        <v>2020</v>
      </c>
      <c r="B1264" t="s">
        <v>33</v>
      </c>
      <c r="C1264" t="s">
        <v>176</v>
      </c>
      <c r="D1264">
        <v>41</v>
      </c>
    </row>
    <row r="1265" spans="1:5" hidden="1" x14ac:dyDescent="0.35">
      <c r="A1265">
        <v>2020</v>
      </c>
      <c r="B1265" t="s">
        <v>35</v>
      </c>
      <c r="C1265" t="s">
        <v>177</v>
      </c>
      <c r="D1265">
        <v>62</v>
      </c>
      <c r="E1265">
        <v>130</v>
      </c>
    </row>
    <row r="1266" spans="1:5" hidden="1" x14ac:dyDescent="0.35">
      <c r="A1266">
        <v>2020</v>
      </c>
      <c r="B1266" t="s">
        <v>34</v>
      </c>
      <c r="C1266" t="s">
        <v>178</v>
      </c>
      <c r="D1266">
        <v>12</v>
      </c>
      <c r="E1266">
        <v>110</v>
      </c>
    </row>
    <row r="1267" spans="1:5" hidden="1" x14ac:dyDescent="0.35">
      <c r="A1267">
        <v>2020</v>
      </c>
      <c r="B1267" t="s">
        <v>33</v>
      </c>
      <c r="C1267" t="s">
        <v>179</v>
      </c>
      <c r="D1267" t="s">
        <v>205</v>
      </c>
      <c r="E1267" t="s">
        <v>205</v>
      </c>
    </row>
    <row r="1268" spans="1:5" hidden="1" x14ac:dyDescent="0.35">
      <c r="A1268">
        <v>2020</v>
      </c>
      <c r="B1268" t="s">
        <v>38</v>
      </c>
      <c r="C1268" t="s">
        <v>180</v>
      </c>
      <c r="D1268">
        <v>0</v>
      </c>
      <c r="E1268" t="s">
        <v>205</v>
      </c>
    </row>
    <row r="1269" spans="1:5" hidden="1" x14ac:dyDescent="0.35">
      <c r="A1269">
        <v>2020</v>
      </c>
      <c r="B1269" t="s">
        <v>35</v>
      </c>
      <c r="C1269" t="s">
        <v>182</v>
      </c>
      <c r="D1269">
        <v>5</v>
      </c>
      <c r="E1269">
        <v>5</v>
      </c>
    </row>
    <row r="1270" spans="1:5" hidden="1" x14ac:dyDescent="0.35">
      <c r="A1270">
        <v>2020</v>
      </c>
      <c r="B1270" t="s">
        <v>34</v>
      </c>
      <c r="C1270" t="s">
        <v>184</v>
      </c>
      <c r="D1270" t="s">
        <v>205</v>
      </c>
      <c r="E1270" t="s">
        <v>205</v>
      </c>
    </row>
    <row r="1271" spans="1:5" hidden="1" x14ac:dyDescent="0.35">
      <c r="A1271">
        <v>2020</v>
      </c>
      <c r="B1271" t="s">
        <v>34</v>
      </c>
      <c r="C1271" t="s">
        <v>185</v>
      </c>
      <c r="D1271">
        <v>29</v>
      </c>
      <c r="E1271">
        <v>20</v>
      </c>
    </row>
    <row r="1272" spans="1:5" hidden="1" x14ac:dyDescent="0.35">
      <c r="A1272">
        <v>2020</v>
      </c>
      <c r="B1272" t="s">
        <v>34</v>
      </c>
      <c r="C1272" t="s">
        <v>186</v>
      </c>
      <c r="D1272" t="s">
        <v>205</v>
      </c>
      <c r="E1272" t="s">
        <v>205</v>
      </c>
    </row>
    <row r="1273" spans="1:5" hidden="1" x14ac:dyDescent="0.35">
      <c r="A1273">
        <v>2020</v>
      </c>
      <c r="B1273" t="s">
        <v>33</v>
      </c>
      <c r="C1273" t="s">
        <v>187</v>
      </c>
      <c r="D1273" t="s">
        <v>205</v>
      </c>
      <c r="E1273" t="s">
        <v>205</v>
      </c>
    </row>
    <row r="1274" spans="1:5" hidden="1" x14ac:dyDescent="0.35">
      <c r="A1274">
        <v>2020</v>
      </c>
      <c r="B1274" t="s">
        <v>34</v>
      </c>
      <c r="C1274" t="s">
        <v>188</v>
      </c>
      <c r="D1274">
        <v>96</v>
      </c>
      <c r="E1274">
        <v>8</v>
      </c>
    </row>
    <row r="1275" spans="1:5" hidden="1" x14ac:dyDescent="0.35">
      <c r="A1275">
        <v>2020</v>
      </c>
      <c r="B1275" t="s">
        <v>33</v>
      </c>
      <c r="C1275" t="s">
        <v>189</v>
      </c>
      <c r="D1275">
        <v>7</v>
      </c>
      <c r="E1275">
        <v>7</v>
      </c>
    </row>
    <row r="1276" spans="1:5" hidden="1" x14ac:dyDescent="0.35">
      <c r="A1276">
        <v>2020</v>
      </c>
      <c r="B1276" t="s">
        <v>37</v>
      </c>
      <c r="C1276" t="s">
        <v>190</v>
      </c>
      <c r="D1276">
        <v>32</v>
      </c>
      <c r="E1276">
        <v>3</v>
      </c>
    </row>
    <row r="1277" spans="1:5" hidden="1" x14ac:dyDescent="0.35">
      <c r="A1277">
        <v>2020</v>
      </c>
      <c r="B1277" t="s">
        <v>36</v>
      </c>
      <c r="C1277" t="s">
        <v>191</v>
      </c>
      <c r="D1277">
        <v>77</v>
      </c>
      <c r="E1277">
        <v>8</v>
      </c>
    </row>
    <row r="1278" spans="1:5" hidden="1" x14ac:dyDescent="0.35">
      <c r="A1278">
        <v>2020</v>
      </c>
      <c r="B1278" t="s">
        <v>33</v>
      </c>
      <c r="C1278" t="s">
        <v>192</v>
      </c>
      <c r="D1278">
        <v>11</v>
      </c>
      <c r="E1278">
        <v>3</v>
      </c>
    </row>
    <row r="1279" spans="1:5" hidden="1" x14ac:dyDescent="0.35">
      <c r="A1279">
        <v>2020</v>
      </c>
      <c r="B1279" t="s">
        <v>34</v>
      </c>
      <c r="C1279" t="s">
        <v>193</v>
      </c>
      <c r="D1279">
        <v>86</v>
      </c>
      <c r="E1279">
        <v>30</v>
      </c>
    </row>
    <row r="1280" spans="1:5" hidden="1" x14ac:dyDescent="0.35">
      <c r="A1280">
        <v>2020</v>
      </c>
      <c r="B1280" t="s">
        <v>34</v>
      </c>
      <c r="C1280" t="s">
        <v>194</v>
      </c>
      <c r="D1280">
        <v>0</v>
      </c>
    </row>
    <row r="1281" spans="1:5" hidden="1" x14ac:dyDescent="0.35">
      <c r="A1281">
        <v>2020</v>
      </c>
      <c r="B1281" t="s">
        <v>33</v>
      </c>
      <c r="C1281" t="s">
        <v>195</v>
      </c>
      <c r="D1281">
        <v>11</v>
      </c>
      <c r="E1281">
        <v>17</v>
      </c>
    </row>
    <row r="1282" spans="1:5" hidden="1" x14ac:dyDescent="0.35">
      <c r="A1282">
        <v>2020</v>
      </c>
      <c r="B1282" t="s">
        <v>35</v>
      </c>
      <c r="C1282" t="s">
        <v>196</v>
      </c>
      <c r="D1282">
        <v>86</v>
      </c>
      <c r="E1282">
        <v>50</v>
      </c>
    </row>
    <row r="1283" spans="1:5" hidden="1" x14ac:dyDescent="0.35">
      <c r="A1283">
        <v>2020</v>
      </c>
      <c r="B1283" t="s">
        <v>35</v>
      </c>
      <c r="C1283" t="s">
        <v>198</v>
      </c>
      <c r="D1283">
        <v>96</v>
      </c>
      <c r="E1283">
        <v>77</v>
      </c>
    </row>
    <row r="1284" spans="1:5" hidden="1" x14ac:dyDescent="0.35">
      <c r="A1284">
        <v>2020</v>
      </c>
      <c r="B1284" t="s">
        <v>39</v>
      </c>
      <c r="C1284" t="s">
        <v>39</v>
      </c>
      <c r="D1284">
        <v>14</v>
      </c>
      <c r="E1284">
        <v>20</v>
      </c>
    </row>
    <row r="1285" spans="1:5" hidden="1" x14ac:dyDescent="0.35">
      <c r="A1285">
        <v>2020</v>
      </c>
      <c r="B1285" t="s">
        <v>38</v>
      </c>
      <c r="C1285" t="s">
        <v>199</v>
      </c>
      <c r="D1285">
        <v>23</v>
      </c>
      <c r="E1285">
        <v>6</v>
      </c>
    </row>
    <row r="1286" spans="1:5" hidden="1" x14ac:dyDescent="0.35">
      <c r="A1286">
        <v>2020</v>
      </c>
      <c r="B1286" t="s">
        <v>34</v>
      </c>
      <c r="C1286" t="s">
        <v>200</v>
      </c>
      <c r="D1286">
        <v>5</v>
      </c>
      <c r="E1286">
        <v>40</v>
      </c>
    </row>
    <row r="1287" spans="1:5" hidden="1" x14ac:dyDescent="0.35">
      <c r="A1287">
        <v>2020</v>
      </c>
      <c r="B1287" t="s">
        <v>38</v>
      </c>
      <c r="C1287" t="s">
        <v>19</v>
      </c>
      <c r="D1287">
        <v>707</v>
      </c>
      <c r="E1287">
        <v>101</v>
      </c>
    </row>
    <row r="1288" spans="1:5" hidden="1" x14ac:dyDescent="0.35">
      <c r="A1288">
        <v>2020</v>
      </c>
      <c r="B1288" t="s">
        <v>34</v>
      </c>
      <c r="C1288" t="s">
        <v>201</v>
      </c>
      <c r="D1288">
        <v>80</v>
      </c>
      <c r="E1288">
        <v>29</v>
      </c>
    </row>
    <row r="1289" spans="1:5" hidden="1" x14ac:dyDescent="0.35">
      <c r="A1289">
        <v>2020</v>
      </c>
      <c r="B1289" t="s">
        <v>34</v>
      </c>
      <c r="C1289" t="s">
        <v>202</v>
      </c>
      <c r="D1289">
        <v>7</v>
      </c>
      <c r="E1289">
        <v>9</v>
      </c>
    </row>
    <row r="1290" spans="1:5" hidden="1" x14ac:dyDescent="0.35">
      <c r="A1290">
        <v>2020</v>
      </c>
      <c r="B1290" t="s">
        <v>33</v>
      </c>
      <c r="C1290" t="s">
        <v>203</v>
      </c>
      <c r="D1290">
        <v>11</v>
      </c>
      <c r="E1290">
        <v>5</v>
      </c>
    </row>
    <row r="1291" spans="1:5" hidden="1" x14ac:dyDescent="0.35">
      <c r="A1291">
        <v>2020</v>
      </c>
      <c r="B1291" t="s">
        <v>33</v>
      </c>
      <c r="C1291" t="s">
        <v>204</v>
      </c>
      <c r="D1291">
        <v>14</v>
      </c>
      <c r="E1291">
        <v>4</v>
      </c>
    </row>
    <row r="1292" spans="1:5" hidden="1" x14ac:dyDescent="0.35">
      <c r="A1292">
        <v>2021</v>
      </c>
      <c r="B1292" t="s">
        <v>34</v>
      </c>
      <c r="C1292" t="s">
        <v>40</v>
      </c>
      <c r="D1292" t="s">
        <v>205</v>
      </c>
      <c r="E1292" t="s">
        <v>205</v>
      </c>
    </row>
    <row r="1293" spans="1:5" hidden="1" x14ac:dyDescent="0.35">
      <c r="A1293">
        <v>2021</v>
      </c>
      <c r="B1293" t="s">
        <v>35</v>
      </c>
      <c r="C1293" t="s">
        <v>41</v>
      </c>
      <c r="D1293">
        <v>11</v>
      </c>
      <c r="E1293">
        <v>6</v>
      </c>
    </row>
    <row r="1294" spans="1:5" hidden="1" x14ac:dyDescent="0.35">
      <c r="A1294">
        <v>2021</v>
      </c>
      <c r="B1294" t="s">
        <v>33</v>
      </c>
      <c r="C1294" t="s">
        <v>42</v>
      </c>
      <c r="D1294">
        <v>5</v>
      </c>
    </row>
    <row r="1295" spans="1:5" hidden="1" x14ac:dyDescent="0.35">
      <c r="A1295">
        <v>2021</v>
      </c>
      <c r="C1295" t="s">
        <v>373</v>
      </c>
      <c r="D1295">
        <v>23</v>
      </c>
      <c r="E1295">
        <v>10</v>
      </c>
    </row>
    <row r="1296" spans="1:5" hidden="1" x14ac:dyDescent="0.35">
      <c r="A1296">
        <v>2021</v>
      </c>
      <c r="B1296" t="s">
        <v>33</v>
      </c>
      <c r="C1296" t="s">
        <v>43</v>
      </c>
      <c r="D1296">
        <v>0</v>
      </c>
      <c r="E1296">
        <v>8</v>
      </c>
    </row>
    <row r="1297" spans="1:5" hidden="1" x14ac:dyDescent="0.35">
      <c r="A1297">
        <v>2021</v>
      </c>
      <c r="B1297" t="s">
        <v>36</v>
      </c>
      <c r="C1297" t="s">
        <v>44</v>
      </c>
      <c r="D1297">
        <v>8</v>
      </c>
    </row>
    <row r="1298" spans="1:5" hidden="1" x14ac:dyDescent="0.35">
      <c r="A1298">
        <v>2021</v>
      </c>
      <c r="B1298" t="s">
        <v>38</v>
      </c>
      <c r="C1298" t="s">
        <v>45</v>
      </c>
      <c r="D1298">
        <v>431</v>
      </c>
      <c r="E1298">
        <v>49</v>
      </c>
    </row>
    <row r="1299" spans="1:5" hidden="1" x14ac:dyDescent="0.35">
      <c r="A1299">
        <v>2021</v>
      </c>
      <c r="B1299" t="s">
        <v>34</v>
      </c>
      <c r="C1299" t="s">
        <v>46</v>
      </c>
      <c r="D1299">
        <v>57</v>
      </c>
      <c r="E1299">
        <v>10</v>
      </c>
    </row>
    <row r="1300" spans="1:5" hidden="1" x14ac:dyDescent="0.35">
      <c r="A1300">
        <v>2021</v>
      </c>
      <c r="B1300" t="s">
        <v>37</v>
      </c>
      <c r="C1300" t="s">
        <v>47</v>
      </c>
      <c r="D1300">
        <v>12</v>
      </c>
      <c r="E1300">
        <v>3</v>
      </c>
    </row>
    <row r="1301" spans="1:5" hidden="1" x14ac:dyDescent="0.35">
      <c r="A1301">
        <v>2021</v>
      </c>
      <c r="B1301" t="s">
        <v>35</v>
      </c>
      <c r="C1301" t="s">
        <v>48</v>
      </c>
      <c r="D1301" t="s">
        <v>205</v>
      </c>
      <c r="E1301" t="s">
        <v>205</v>
      </c>
    </row>
    <row r="1302" spans="1:5" hidden="1" x14ac:dyDescent="0.35">
      <c r="A1302">
        <v>2021</v>
      </c>
      <c r="B1302" t="s">
        <v>34</v>
      </c>
      <c r="C1302" t="s">
        <v>49</v>
      </c>
      <c r="D1302" t="s">
        <v>205</v>
      </c>
      <c r="E1302" t="s">
        <v>205</v>
      </c>
    </row>
    <row r="1303" spans="1:5" hidden="1" x14ac:dyDescent="0.35">
      <c r="A1303">
        <v>2021</v>
      </c>
      <c r="B1303" t="s">
        <v>36</v>
      </c>
      <c r="C1303" t="s">
        <v>50</v>
      </c>
      <c r="D1303">
        <v>77</v>
      </c>
      <c r="E1303">
        <v>21</v>
      </c>
    </row>
    <row r="1304" spans="1:5" hidden="1" x14ac:dyDescent="0.35">
      <c r="A1304">
        <v>2021</v>
      </c>
      <c r="B1304" t="s">
        <v>34</v>
      </c>
      <c r="C1304" t="s">
        <v>52</v>
      </c>
      <c r="D1304">
        <v>13</v>
      </c>
      <c r="E1304">
        <v>15</v>
      </c>
    </row>
    <row r="1305" spans="1:5" hidden="1" x14ac:dyDescent="0.35">
      <c r="A1305">
        <v>2021</v>
      </c>
      <c r="B1305" t="s">
        <v>36</v>
      </c>
      <c r="C1305" t="s">
        <v>53</v>
      </c>
      <c r="D1305" t="s">
        <v>205</v>
      </c>
      <c r="E1305" t="s">
        <v>205</v>
      </c>
    </row>
    <row r="1306" spans="1:5" hidden="1" x14ac:dyDescent="0.35">
      <c r="A1306">
        <v>2021</v>
      </c>
      <c r="B1306" t="s">
        <v>35</v>
      </c>
      <c r="C1306" t="s">
        <v>54</v>
      </c>
      <c r="D1306" t="s">
        <v>205</v>
      </c>
      <c r="E1306" t="s">
        <v>205</v>
      </c>
    </row>
    <row r="1307" spans="1:5" hidden="1" x14ac:dyDescent="0.35">
      <c r="A1307">
        <v>2021</v>
      </c>
      <c r="B1307" t="s">
        <v>35</v>
      </c>
      <c r="C1307" t="s">
        <v>55</v>
      </c>
      <c r="D1307" t="s">
        <v>205</v>
      </c>
      <c r="E1307" t="s">
        <v>205</v>
      </c>
    </row>
    <row r="1308" spans="1:5" hidden="1" x14ac:dyDescent="0.35">
      <c r="A1308">
        <v>2021</v>
      </c>
      <c r="B1308" t="s">
        <v>36</v>
      </c>
      <c r="C1308" t="s">
        <v>56</v>
      </c>
      <c r="D1308">
        <v>66</v>
      </c>
      <c r="E1308">
        <v>10</v>
      </c>
    </row>
    <row r="1309" spans="1:5" hidden="1" x14ac:dyDescent="0.35">
      <c r="A1309">
        <v>2021</v>
      </c>
      <c r="B1309" t="s">
        <v>33</v>
      </c>
      <c r="C1309" t="s">
        <v>57</v>
      </c>
      <c r="D1309" t="s">
        <v>205</v>
      </c>
      <c r="E1309" t="s">
        <v>205</v>
      </c>
    </row>
    <row r="1310" spans="1:5" hidden="1" x14ac:dyDescent="0.35">
      <c r="A1310">
        <v>2021</v>
      </c>
      <c r="B1310" t="s">
        <v>38</v>
      </c>
      <c r="C1310" t="s">
        <v>59</v>
      </c>
      <c r="D1310">
        <v>93</v>
      </c>
      <c r="E1310">
        <v>12</v>
      </c>
    </row>
    <row r="1311" spans="1:5" hidden="1" x14ac:dyDescent="0.35">
      <c r="A1311">
        <v>2021</v>
      </c>
      <c r="B1311" t="s">
        <v>35</v>
      </c>
      <c r="C1311" t="s">
        <v>60</v>
      </c>
      <c r="D1311" t="s">
        <v>205</v>
      </c>
      <c r="E1311" t="s">
        <v>205</v>
      </c>
    </row>
    <row r="1312" spans="1:5" hidden="1" x14ac:dyDescent="0.35">
      <c r="A1312">
        <v>2021</v>
      </c>
      <c r="B1312" t="s">
        <v>38</v>
      </c>
      <c r="C1312" t="s">
        <v>21</v>
      </c>
      <c r="D1312">
        <v>448</v>
      </c>
      <c r="E1312">
        <v>1517</v>
      </c>
    </row>
    <row r="1313" spans="1:5" hidden="1" x14ac:dyDescent="0.35">
      <c r="A1313">
        <v>2021</v>
      </c>
      <c r="B1313" t="s">
        <v>35</v>
      </c>
      <c r="C1313" t="s">
        <v>62</v>
      </c>
      <c r="D1313" t="s">
        <v>205</v>
      </c>
      <c r="E1313" t="s">
        <v>205</v>
      </c>
    </row>
    <row r="1314" spans="1:5" hidden="1" x14ac:dyDescent="0.35">
      <c r="A1314">
        <v>2021</v>
      </c>
      <c r="B1314" t="s">
        <v>33</v>
      </c>
      <c r="C1314" t="s">
        <v>63</v>
      </c>
      <c r="D1314">
        <v>3</v>
      </c>
      <c r="E1314">
        <v>4</v>
      </c>
    </row>
    <row r="1315" spans="1:5" hidden="1" x14ac:dyDescent="0.35">
      <c r="A1315">
        <v>2021</v>
      </c>
      <c r="B1315" t="s">
        <v>34</v>
      </c>
      <c r="C1315" t="s">
        <v>64</v>
      </c>
      <c r="D1315">
        <v>8</v>
      </c>
    </row>
    <row r="1316" spans="1:5" hidden="1" x14ac:dyDescent="0.35">
      <c r="A1316">
        <v>2021</v>
      </c>
      <c r="B1316" t="s">
        <v>33</v>
      </c>
      <c r="C1316" t="s">
        <v>65</v>
      </c>
      <c r="D1316" t="s">
        <v>205</v>
      </c>
      <c r="E1316" t="s">
        <v>205</v>
      </c>
    </row>
    <row r="1317" spans="1:5" hidden="1" x14ac:dyDescent="0.35">
      <c r="A1317">
        <v>2021</v>
      </c>
      <c r="B1317" t="s">
        <v>33</v>
      </c>
      <c r="C1317" t="s">
        <v>66</v>
      </c>
      <c r="D1317" t="s">
        <v>205</v>
      </c>
      <c r="E1317" t="s">
        <v>205</v>
      </c>
    </row>
    <row r="1318" spans="1:5" hidden="1" x14ac:dyDescent="0.35">
      <c r="A1318">
        <v>2021</v>
      </c>
      <c r="B1318" t="s">
        <v>34</v>
      </c>
      <c r="C1318" t="s">
        <v>67</v>
      </c>
      <c r="D1318" t="s">
        <v>205</v>
      </c>
    </row>
    <row r="1319" spans="1:5" hidden="1" x14ac:dyDescent="0.35">
      <c r="A1319">
        <v>2021</v>
      </c>
      <c r="B1319" t="s">
        <v>33</v>
      </c>
      <c r="C1319" t="s">
        <v>68</v>
      </c>
      <c r="D1319">
        <v>8</v>
      </c>
      <c r="E1319">
        <v>76</v>
      </c>
    </row>
    <row r="1320" spans="1:5" hidden="1" x14ac:dyDescent="0.35">
      <c r="A1320">
        <v>2021</v>
      </c>
      <c r="B1320" t="s">
        <v>36</v>
      </c>
      <c r="C1320" t="s">
        <v>69</v>
      </c>
      <c r="D1320">
        <v>416</v>
      </c>
      <c r="E1320">
        <v>33</v>
      </c>
    </row>
    <row r="1321" spans="1:5" hidden="1" x14ac:dyDescent="0.35">
      <c r="A1321">
        <v>2021</v>
      </c>
      <c r="B1321" t="s">
        <v>33</v>
      </c>
      <c r="C1321" t="s">
        <v>71</v>
      </c>
      <c r="D1321">
        <v>0</v>
      </c>
    </row>
    <row r="1322" spans="1:5" hidden="1" x14ac:dyDescent="0.35">
      <c r="A1322">
        <v>2021</v>
      </c>
      <c r="B1322" t="s">
        <v>38</v>
      </c>
      <c r="C1322" t="s">
        <v>72</v>
      </c>
      <c r="D1322">
        <v>75</v>
      </c>
      <c r="E1322">
        <v>92</v>
      </c>
    </row>
    <row r="1323" spans="1:5" hidden="1" x14ac:dyDescent="0.35">
      <c r="A1323">
        <v>2021</v>
      </c>
      <c r="B1323" t="s">
        <v>34</v>
      </c>
      <c r="C1323" t="s">
        <v>73</v>
      </c>
      <c r="D1323">
        <v>123</v>
      </c>
      <c r="E1323">
        <v>69</v>
      </c>
    </row>
    <row r="1324" spans="1:5" hidden="1" x14ac:dyDescent="0.35">
      <c r="A1324">
        <v>2021</v>
      </c>
      <c r="B1324" t="s">
        <v>38</v>
      </c>
      <c r="C1324" t="s">
        <v>20</v>
      </c>
      <c r="D1324">
        <v>2721</v>
      </c>
      <c r="E1324">
        <v>300</v>
      </c>
    </row>
    <row r="1325" spans="1:5" hidden="1" x14ac:dyDescent="0.35">
      <c r="A1325">
        <v>2021</v>
      </c>
      <c r="B1325" t="s">
        <v>33</v>
      </c>
      <c r="C1325" t="s">
        <v>74</v>
      </c>
      <c r="D1325">
        <v>17</v>
      </c>
      <c r="E1325">
        <v>38</v>
      </c>
    </row>
    <row r="1326" spans="1:5" hidden="1" x14ac:dyDescent="0.35">
      <c r="A1326">
        <v>2021</v>
      </c>
      <c r="B1326" t="s">
        <v>33</v>
      </c>
      <c r="C1326" t="s">
        <v>75</v>
      </c>
      <c r="D1326" t="s">
        <v>205</v>
      </c>
      <c r="E1326" t="s">
        <v>205</v>
      </c>
    </row>
    <row r="1327" spans="1:5" hidden="1" x14ac:dyDescent="0.35">
      <c r="A1327">
        <v>2021</v>
      </c>
      <c r="B1327" t="s">
        <v>36</v>
      </c>
      <c r="C1327" t="s">
        <v>76</v>
      </c>
      <c r="D1327">
        <v>260</v>
      </c>
      <c r="E1327">
        <v>42</v>
      </c>
    </row>
    <row r="1328" spans="1:5" hidden="1" x14ac:dyDescent="0.35">
      <c r="A1328">
        <v>2021</v>
      </c>
      <c r="B1328" t="s">
        <v>33</v>
      </c>
      <c r="C1328" t="s">
        <v>77</v>
      </c>
      <c r="D1328">
        <v>6</v>
      </c>
      <c r="E1328">
        <v>5</v>
      </c>
    </row>
    <row r="1329" spans="1:5" hidden="1" x14ac:dyDescent="0.35">
      <c r="A1329">
        <v>2021</v>
      </c>
      <c r="B1329" t="s">
        <v>35</v>
      </c>
      <c r="C1329" t="s">
        <v>78</v>
      </c>
      <c r="D1329">
        <v>6</v>
      </c>
      <c r="E1329">
        <v>3</v>
      </c>
    </row>
    <row r="1330" spans="1:5" hidden="1" x14ac:dyDescent="0.35">
      <c r="A1330">
        <v>2021</v>
      </c>
      <c r="B1330" t="s">
        <v>36</v>
      </c>
      <c r="C1330" t="s">
        <v>79</v>
      </c>
      <c r="D1330">
        <v>27</v>
      </c>
      <c r="E1330">
        <v>71</v>
      </c>
    </row>
    <row r="1331" spans="1:5" hidden="1" x14ac:dyDescent="0.35">
      <c r="A1331">
        <v>2021</v>
      </c>
      <c r="B1331" t="s">
        <v>35</v>
      </c>
      <c r="C1331" t="s">
        <v>81</v>
      </c>
      <c r="D1331">
        <v>7</v>
      </c>
      <c r="E1331">
        <v>7</v>
      </c>
    </row>
    <row r="1332" spans="1:5" hidden="1" x14ac:dyDescent="0.35">
      <c r="A1332">
        <v>2021</v>
      </c>
      <c r="B1332" t="s">
        <v>36</v>
      </c>
      <c r="C1332" t="s">
        <v>84</v>
      </c>
      <c r="D1332" t="s">
        <v>205</v>
      </c>
      <c r="E1332" t="s">
        <v>205</v>
      </c>
    </row>
    <row r="1333" spans="1:5" hidden="1" x14ac:dyDescent="0.35">
      <c r="A1333">
        <v>2021</v>
      </c>
      <c r="B1333" t="s">
        <v>36</v>
      </c>
      <c r="C1333" t="s">
        <v>85</v>
      </c>
      <c r="D1333">
        <v>1368</v>
      </c>
      <c r="E1333">
        <v>360</v>
      </c>
    </row>
    <row r="1334" spans="1:5" hidden="1" x14ac:dyDescent="0.35">
      <c r="A1334">
        <v>2021</v>
      </c>
      <c r="B1334" t="s">
        <v>38</v>
      </c>
      <c r="C1334" t="s">
        <v>86</v>
      </c>
      <c r="D1334">
        <v>784</v>
      </c>
      <c r="E1334">
        <v>1070</v>
      </c>
    </row>
    <row r="1335" spans="1:5" hidden="1" x14ac:dyDescent="0.35">
      <c r="A1335">
        <v>2021</v>
      </c>
      <c r="B1335" t="s">
        <v>33</v>
      </c>
      <c r="C1335" t="s">
        <v>87</v>
      </c>
      <c r="D1335">
        <v>35</v>
      </c>
      <c r="E1335">
        <v>28</v>
      </c>
    </row>
    <row r="1336" spans="1:5" hidden="1" x14ac:dyDescent="0.35">
      <c r="A1336">
        <v>2021</v>
      </c>
      <c r="B1336" t="s">
        <v>36</v>
      </c>
      <c r="C1336" t="s">
        <v>16</v>
      </c>
      <c r="D1336">
        <v>2035</v>
      </c>
      <c r="E1336">
        <v>755</v>
      </c>
    </row>
    <row r="1337" spans="1:5" hidden="1" x14ac:dyDescent="0.35">
      <c r="A1337">
        <v>2021</v>
      </c>
      <c r="B1337" t="s">
        <v>33</v>
      </c>
      <c r="C1337" t="s">
        <v>88</v>
      </c>
      <c r="D1337" t="s">
        <v>205</v>
      </c>
      <c r="E1337" t="s">
        <v>205</v>
      </c>
    </row>
    <row r="1338" spans="1:5" hidden="1" x14ac:dyDescent="0.35">
      <c r="A1338">
        <v>2021</v>
      </c>
      <c r="B1338" t="s">
        <v>33</v>
      </c>
      <c r="C1338" t="s">
        <v>89</v>
      </c>
      <c r="D1338" t="s">
        <v>205</v>
      </c>
      <c r="E1338" t="s">
        <v>205</v>
      </c>
    </row>
    <row r="1339" spans="1:5" hidden="1" x14ac:dyDescent="0.35">
      <c r="A1339">
        <v>2021</v>
      </c>
      <c r="B1339" t="s">
        <v>35</v>
      </c>
      <c r="C1339" t="s">
        <v>90</v>
      </c>
      <c r="D1339">
        <v>5</v>
      </c>
    </row>
    <row r="1340" spans="1:5" hidden="1" x14ac:dyDescent="0.35">
      <c r="A1340">
        <v>2021</v>
      </c>
      <c r="B1340" t="s">
        <v>33</v>
      </c>
      <c r="C1340" t="s">
        <v>91</v>
      </c>
      <c r="D1340">
        <v>32</v>
      </c>
      <c r="E1340">
        <v>7</v>
      </c>
    </row>
    <row r="1341" spans="1:5" hidden="1" x14ac:dyDescent="0.35">
      <c r="A1341">
        <v>2021</v>
      </c>
      <c r="B1341" t="s">
        <v>37</v>
      </c>
      <c r="C1341" t="s">
        <v>92</v>
      </c>
      <c r="D1341">
        <v>4</v>
      </c>
    </row>
    <row r="1342" spans="1:5" hidden="1" x14ac:dyDescent="0.35">
      <c r="A1342">
        <v>2021</v>
      </c>
      <c r="B1342" t="s">
        <v>35</v>
      </c>
      <c r="C1342" t="s">
        <v>94</v>
      </c>
      <c r="D1342">
        <v>7</v>
      </c>
      <c r="E1342">
        <v>14</v>
      </c>
    </row>
    <row r="1343" spans="1:5" hidden="1" x14ac:dyDescent="0.35">
      <c r="A1343">
        <v>2021</v>
      </c>
      <c r="B1343" t="s">
        <v>33</v>
      </c>
      <c r="C1343" t="s">
        <v>95</v>
      </c>
      <c r="D1343" t="s">
        <v>205</v>
      </c>
      <c r="E1343" t="s">
        <v>205</v>
      </c>
    </row>
    <row r="1344" spans="1:5" hidden="1" x14ac:dyDescent="0.35">
      <c r="A1344">
        <v>2021</v>
      </c>
      <c r="B1344" t="s">
        <v>33</v>
      </c>
      <c r="C1344" t="s">
        <v>96</v>
      </c>
      <c r="D1344">
        <v>12</v>
      </c>
      <c r="E1344">
        <v>4</v>
      </c>
    </row>
    <row r="1345" spans="1:5" hidden="1" x14ac:dyDescent="0.35">
      <c r="A1345">
        <v>2021</v>
      </c>
      <c r="B1345" t="s">
        <v>34</v>
      </c>
      <c r="C1345" t="s">
        <v>8</v>
      </c>
      <c r="D1345">
        <v>15</v>
      </c>
      <c r="E1345">
        <v>3</v>
      </c>
    </row>
    <row r="1346" spans="1:5" hidden="1" x14ac:dyDescent="0.35">
      <c r="A1346">
        <v>2021</v>
      </c>
      <c r="B1346" t="s">
        <v>35</v>
      </c>
      <c r="C1346" t="s">
        <v>97</v>
      </c>
      <c r="D1346">
        <v>19</v>
      </c>
      <c r="E1346">
        <v>9</v>
      </c>
    </row>
    <row r="1347" spans="1:5" hidden="1" x14ac:dyDescent="0.35">
      <c r="A1347">
        <v>2021</v>
      </c>
      <c r="B1347" t="s">
        <v>33</v>
      </c>
      <c r="C1347" t="s">
        <v>98</v>
      </c>
      <c r="D1347">
        <v>58</v>
      </c>
      <c r="E1347">
        <v>27</v>
      </c>
    </row>
    <row r="1348" spans="1:5" hidden="1" x14ac:dyDescent="0.35">
      <c r="A1348">
        <v>2021</v>
      </c>
      <c r="B1348" t="s">
        <v>35</v>
      </c>
      <c r="C1348" t="s">
        <v>99</v>
      </c>
      <c r="D1348">
        <v>4</v>
      </c>
      <c r="E1348">
        <v>4</v>
      </c>
    </row>
    <row r="1349" spans="1:5" hidden="1" x14ac:dyDescent="0.35">
      <c r="A1349">
        <v>2021</v>
      </c>
      <c r="B1349" t="s">
        <v>36</v>
      </c>
      <c r="C1349" t="s">
        <v>100</v>
      </c>
      <c r="D1349">
        <v>3</v>
      </c>
    </row>
    <row r="1350" spans="1:5" hidden="1" x14ac:dyDescent="0.35">
      <c r="A1350">
        <v>2021</v>
      </c>
      <c r="B1350" t="s">
        <v>36</v>
      </c>
      <c r="C1350" t="s">
        <v>15</v>
      </c>
      <c r="D1350">
        <v>4406</v>
      </c>
      <c r="E1350">
        <v>3317</v>
      </c>
    </row>
    <row r="1351" spans="1:5" hidden="1" x14ac:dyDescent="0.35">
      <c r="A1351">
        <v>2021</v>
      </c>
      <c r="B1351" t="s">
        <v>33</v>
      </c>
      <c r="C1351" t="s">
        <v>101</v>
      </c>
      <c r="D1351">
        <v>16</v>
      </c>
      <c r="E1351">
        <v>10</v>
      </c>
    </row>
    <row r="1352" spans="1:5" hidden="1" x14ac:dyDescent="0.35">
      <c r="A1352">
        <v>2021</v>
      </c>
      <c r="B1352" t="s">
        <v>38</v>
      </c>
      <c r="C1352" t="s">
        <v>103</v>
      </c>
      <c r="D1352">
        <v>137</v>
      </c>
      <c r="E1352">
        <v>30</v>
      </c>
    </row>
    <row r="1353" spans="1:5" hidden="1" x14ac:dyDescent="0.35">
      <c r="A1353">
        <v>2021</v>
      </c>
      <c r="B1353" t="s">
        <v>36</v>
      </c>
      <c r="C1353" t="s">
        <v>104</v>
      </c>
      <c r="D1353">
        <v>203</v>
      </c>
      <c r="E1353">
        <v>195</v>
      </c>
    </row>
    <row r="1354" spans="1:5" hidden="1" x14ac:dyDescent="0.35">
      <c r="A1354">
        <v>2021</v>
      </c>
      <c r="B1354" t="s">
        <v>36</v>
      </c>
      <c r="C1354" t="s">
        <v>17</v>
      </c>
      <c r="D1354">
        <v>3197</v>
      </c>
      <c r="E1354">
        <v>1856</v>
      </c>
    </row>
    <row r="1355" spans="1:5" hidden="1" x14ac:dyDescent="0.35">
      <c r="A1355">
        <v>2021</v>
      </c>
      <c r="B1355" t="s">
        <v>35</v>
      </c>
      <c r="C1355" t="s">
        <v>105</v>
      </c>
      <c r="D1355">
        <v>13</v>
      </c>
      <c r="E1355">
        <v>7</v>
      </c>
    </row>
    <row r="1356" spans="1:5" hidden="1" x14ac:dyDescent="0.35">
      <c r="A1356">
        <v>2021</v>
      </c>
      <c r="B1356" t="s">
        <v>34</v>
      </c>
      <c r="C1356" t="s">
        <v>22</v>
      </c>
      <c r="D1356">
        <v>534</v>
      </c>
      <c r="E1356">
        <v>178</v>
      </c>
    </row>
    <row r="1357" spans="1:5" hidden="1" x14ac:dyDescent="0.35">
      <c r="A1357">
        <v>2021</v>
      </c>
      <c r="B1357" t="s">
        <v>34</v>
      </c>
      <c r="C1357" t="s">
        <v>107</v>
      </c>
      <c r="D1357">
        <v>32</v>
      </c>
      <c r="E1357">
        <v>17</v>
      </c>
    </row>
    <row r="1358" spans="1:5" hidden="1" x14ac:dyDescent="0.35">
      <c r="A1358">
        <v>2021</v>
      </c>
      <c r="B1358" t="s">
        <v>34</v>
      </c>
      <c r="C1358" t="s">
        <v>108</v>
      </c>
      <c r="D1358" t="s">
        <v>205</v>
      </c>
      <c r="E1358" t="s">
        <v>205</v>
      </c>
    </row>
    <row r="1359" spans="1:5" hidden="1" x14ac:dyDescent="0.35">
      <c r="A1359">
        <v>2021</v>
      </c>
      <c r="B1359" t="s">
        <v>34</v>
      </c>
      <c r="C1359" t="s">
        <v>109</v>
      </c>
      <c r="D1359">
        <v>22</v>
      </c>
      <c r="E1359">
        <v>10</v>
      </c>
    </row>
    <row r="1360" spans="1:5" hidden="1" x14ac:dyDescent="0.35">
      <c r="A1360">
        <v>2021</v>
      </c>
      <c r="B1360" t="s">
        <v>35</v>
      </c>
      <c r="C1360" t="s">
        <v>110</v>
      </c>
      <c r="D1360">
        <v>5</v>
      </c>
      <c r="E1360">
        <v>5</v>
      </c>
    </row>
    <row r="1361" spans="1:5" hidden="1" x14ac:dyDescent="0.35">
      <c r="A1361">
        <v>2021</v>
      </c>
      <c r="B1361" t="s">
        <v>34</v>
      </c>
      <c r="C1361" t="s">
        <v>111</v>
      </c>
      <c r="D1361">
        <v>113</v>
      </c>
      <c r="E1361">
        <v>10</v>
      </c>
    </row>
    <row r="1362" spans="1:5" hidden="1" x14ac:dyDescent="0.35">
      <c r="A1362">
        <v>2021</v>
      </c>
      <c r="B1362" t="s">
        <v>35</v>
      </c>
      <c r="C1362" t="s">
        <v>112</v>
      </c>
      <c r="D1362">
        <v>21</v>
      </c>
      <c r="E1362">
        <v>26</v>
      </c>
    </row>
    <row r="1363" spans="1:5" hidden="1" x14ac:dyDescent="0.35">
      <c r="A1363">
        <v>2021</v>
      </c>
      <c r="B1363" t="s">
        <v>36</v>
      </c>
      <c r="C1363" t="s">
        <v>113</v>
      </c>
      <c r="D1363">
        <v>1221</v>
      </c>
      <c r="E1363">
        <v>73</v>
      </c>
    </row>
    <row r="1364" spans="1:5" hidden="1" x14ac:dyDescent="0.35">
      <c r="A1364">
        <v>2021</v>
      </c>
      <c r="B1364" t="s">
        <v>34</v>
      </c>
      <c r="C1364" t="s">
        <v>114</v>
      </c>
      <c r="D1364">
        <v>9</v>
      </c>
      <c r="E1364">
        <v>4</v>
      </c>
    </row>
    <row r="1365" spans="1:5" hidden="1" x14ac:dyDescent="0.35">
      <c r="A1365">
        <v>2021</v>
      </c>
      <c r="B1365" t="s">
        <v>34</v>
      </c>
      <c r="C1365" t="s">
        <v>115</v>
      </c>
      <c r="D1365">
        <v>65</v>
      </c>
      <c r="E1365">
        <v>20</v>
      </c>
    </row>
    <row r="1366" spans="1:5" hidden="1" x14ac:dyDescent="0.35">
      <c r="A1366">
        <v>2021</v>
      </c>
      <c r="B1366" t="s">
        <v>34</v>
      </c>
      <c r="C1366" t="s">
        <v>116</v>
      </c>
      <c r="D1366">
        <v>21</v>
      </c>
      <c r="E1366">
        <v>9</v>
      </c>
    </row>
    <row r="1367" spans="1:5" hidden="1" x14ac:dyDescent="0.35">
      <c r="A1367">
        <v>2021</v>
      </c>
      <c r="B1367" t="s">
        <v>33</v>
      </c>
      <c r="C1367" t="s">
        <v>117</v>
      </c>
      <c r="D1367">
        <v>94</v>
      </c>
      <c r="E1367">
        <v>11</v>
      </c>
    </row>
    <row r="1368" spans="1:5" hidden="1" x14ac:dyDescent="0.35">
      <c r="A1368">
        <v>2021</v>
      </c>
      <c r="B1368" t="s">
        <v>34</v>
      </c>
      <c r="C1368" t="s">
        <v>118</v>
      </c>
      <c r="D1368">
        <v>46</v>
      </c>
      <c r="E1368">
        <v>36</v>
      </c>
    </row>
    <row r="1369" spans="1:5" hidden="1" x14ac:dyDescent="0.35">
      <c r="A1369">
        <v>2021</v>
      </c>
      <c r="B1369" t="s">
        <v>35</v>
      </c>
      <c r="C1369" t="s">
        <v>119</v>
      </c>
      <c r="D1369">
        <v>9</v>
      </c>
      <c r="E1369">
        <v>5</v>
      </c>
    </row>
    <row r="1370" spans="1:5" hidden="1" x14ac:dyDescent="0.35">
      <c r="A1370">
        <v>2021</v>
      </c>
      <c r="B1370" t="s">
        <v>34</v>
      </c>
      <c r="C1370" t="s">
        <v>120</v>
      </c>
      <c r="D1370">
        <v>6</v>
      </c>
    </row>
    <row r="1371" spans="1:5" hidden="1" x14ac:dyDescent="0.35">
      <c r="A1371">
        <v>2021</v>
      </c>
      <c r="B1371" t="s">
        <v>34</v>
      </c>
      <c r="C1371" t="s">
        <v>121</v>
      </c>
      <c r="D1371">
        <v>10</v>
      </c>
      <c r="E1371">
        <v>5</v>
      </c>
    </row>
    <row r="1372" spans="1:5" hidden="1" x14ac:dyDescent="0.35">
      <c r="A1372">
        <v>2021</v>
      </c>
      <c r="B1372" t="s">
        <v>34</v>
      </c>
      <c r="C1372" t="s">
        <v>122</v>
      </c>
      <c r="D1372">
        <v>0</v>
      </c>
    </row>
    <row r="1373" spans="1:5" hidden="1" x14ac:dyDescent="0.35">
      <c r="A1373">
        <v>2021</v>
      </c>
      <c r="B1373" t="s">
        <v>35</v>
      </c>
      <c r="C1373" t="s">
        <v>123</v>
      </c>
      <c r="D1373">
        <v>9</v>
      </c>
      <c r="E1373">
        <v>3</v>
      </c>
    </row>
    <row r="1374" spans="1:5" hidden="1" x14ac:dyDescent="0.35">
      <c r="A1374">
        <v>2021</v>
      </c>
      <c r="B1374" t="s">
        <v>34</v>
      </c>
      <c r="C1374" t="s">
        <v>124</v>
      </c>
      <c r="D1374" t="s">
        <v>205</v>
      </c>
      <c r="E1374" t="s">
        <v>205</v>
      </c>
    </row>
    <row r="1375" spans="1:5" hidden="1" x14ac:dyDescent="0.35">
      <c r="A1375">
        <v>2021</v>
      </c>
      <c r="B1375" t="s">
        <v>33</v>
      </c>
      <c r="C1375" t="s">
        <v>125</v>
      </c>
      <c r="D1375">
        <v>39</v>
      </c>
      <c r="E1375">
        <v>4</v>
      </c>
    </row>
    <row r="1376" spans="1:5" hidden="1" x14ac:dyDescent="0.35">
      <c r="A1376">
        <v>2021</v>
      </c>
      <c r="B1376" t="s">
        <v>35</v>
      </c>
      <c r="C1376" t="s">
        <v>127</v>
      </c>
      <c r="D1376">
        <v>4</v>
      </c>
      <c r="E1376">
        <v>4</v>
      </c>
    </row>
    <row r="1377" spans="1:5" hidden="1" x14ac:dyDescent="0.35">
      <c r="A1377">
        <v>2021</v>
      </c>
      <c r="B1377" t="s">
        <v>34</v>
      </c>
      <c r="C1377" t="s">
        <v>131</v>
      </c>
      <c r="D1377" t="s">
        <v>205</v>
      </c>
      <c r="E1377" t="s">
        <v>205</v>
      </c>
    </row>
    <row r="1378" spans="1:5" hidden="1" x14ac:dyDescent="0.35">
      <c r="A1378">
        <v>2021</v>
      </c>
      <c r="B1378" t="s">
        <v>33</v>
      </c>
      <c r="C1378" t="s">
        <v>132</v>
      </c>
      <c r="D1378">
        <v>5</v>
      </c>
      <c r="E1378">
        <v>6</v>
      </c>
    </row>
    <row r="1379" spans="1:5" hidden="1" x14ac:dyDescent="0.35">
      <c r="A1379">
        <v>2021</v>
      </c>
      <c r="B1379" t="s">
        <v>37</v>
      </c>
      <c r="C1379" t="s">
        <v>134</v>
      </c>
      <c r="D1379">
        <v>0</v>
      </c>
    </row>
    <row r="1380" spans="1:5" hidden="1" x14ac:dyDescent="0.35">
      <c r="A1380">
        <v>2021</v>
      </c>
      <c r="B1380" t="s">
        <v>33</v>
      </c>
      <c r="C1380" t="s">
        <v>135</v>
      </c>
      <c r="D1380" t="s">
        <v>205</v>
      </c>
      <c r="E1380" t="s">
        <v>205</v>
      </c>
    </row>
    <row r="1381" spans="1:5" hidden="1" x14ac:dyDescent="0.35">
      <c r="A1381">
        <v>2021</v>
      </c>
      <c r="B1381" t="s">
        <v>36</v>
      </c>
      <c r="C1381" t="s">
        <v>14</v>
      </c>
      <c r="D1381">
        <v>37978</v>
      </c>
      <c r="E1381">
        <v>12672</v>
      </c>
    </row>
    <row r="1382" spans="1:5" hidden="1" x14ac:dyDescent="0.35">
      <c r="A1382">
        <v>2021</v>
      </c>
      <c r="B1382" t="s">
        <v>37</v>
      </c>
      <c r="C1382" t="s">
        <v>137</v>
      </c>
      <c r="D1382">
        <v>0</v>
      </c>
    </row>
    <row r="1383" spans="1:5" hidden="1" x14ac:dyDescent="0.35">
      <c r="A1383">
        <v>2021</v>
      </c>
      <c r="B1383" t="s">
        <v>35</v>
      </c>
      <c r="C1383" t="s">
        <v>138</v>
      </c>
      <c r="D1383" t="s">
        <v>205</v>
      </c>
      <c r="E1383" t="s">
        <v>205</v>
      </c>
    </row>
    <row r="1384" spans="1:5" hidden="1" x14ac:dyDescent="0.35">
      <c r="A1384">
        <v>2021</v>
      </c>
      <c r="B1384" t="s">
        <v>34</v>
      </c>
      <c r="C1384" t="s">
        <v>139</v>
      </c>
      <c r="D1384">
        <v>22</v>
      </c>
    </row>
    <row r="1385" spans="1:5" hidden="1" x14ac:dyDescent="0.35">
      <c r="A1385">
        <v>2021</v>
      </c>
      <c r="B1385" t="s">
        <v>35</v>
      </c>
      <c r="C1385" t="s">
        <v>140</v>
      </c>
      <c r="D1385">
        <v>4</v>
      </c>
      <c r="E1385">
        <v>4</v>
      </c>
    </row>
    <row r="1386" spans="1:5" hidden="1" x14ac:dyDescent="0.35">
      <c r="A1386">
        <v>2021</v>
      </c>
      <c r="B1386" t="s">
        <v>33</v>
      </c>
      <c r="C1386" t="s">
        <v>141</v>
      </c>
      <c r="D1386">
        <v>15</v>
      </c>
      <c r="E1386">
        <v>7</v>
      </c>
    </row>
    <row r="1387" spans="1:5" hidden="1" x14ac:dyDescent="0.35">
      <c r="A1387">
        <v>2021</v>
      </c>
      <c r="B1387" t="s">
        <v>34</v>
      </c>
      <c r="C1387" t="s">
        <v>144</v>
      </c>
      <c r="D1387">
        <v>13</v>
      </c>
      <c r="E1387">
        <v>17</v>
      </c>
    </row>
    <row r="1388" spans="1:5" hidden="1" x14ac:dyDescent="0.35">
      <c r="A1388">
        <v>2021</v>
      </c>
      <c r="B1388" t="s">
        <v>35</v>
      </c>
      <c r="C1388" t="s">
        <v>145</v>
      </c>
      <c r="D1388">
        <v>10</v>
      </c>
      <c r="E1388">
        <v>3</v>
      </c>
    </row>
    <row r="1389" spans="1:5" hidden="1" x14ac:dyDescent="0.35">
      <c r="A1389">
        <v>2021</v>
      </c>
      <c r="B1389" t="s">
        <v>37</v>
      </c>
      <c r="C1389" t="s">
        <v>146</v>
      </c>
      <c r="D1389">
        <v>9</v>
      </c>
    </row>
    <row r="1390" spans="1:5" hidden="1" x14ac:dyDescent="0.35">
      <c r="A1390">
        <v>2021</v>
      </c>
      <c r="B1390" t="s">
        <v>36</v>
      </c>
      <c r="C1390" t="s">
        <v>147</v>
      </c>
      <c r="D1390">
        <v>405</v>
      </c>
      <c r="E1390">
        <v>629</v>
      </c>
    </row>
    <row r="1391" spans="1:5" hidden="1" x14ac:dyDescent="0.35">
      <c r="A1391">
        <v>2021</v>
      </c>
      <c r="B1391" t="s">
        <v>33</v>
      </c>
      <c r="C1391" t="s">
        <v>148</v>
      </c>
      <c r="D1391" t="s">
        <v>205</v>
      </c>
      <c r="E1391" t="s">
        <v>205</v>
      </c>
    </row>
    <row r="1392" spans="1:5" hidden="1" x14ac:dyDescent="0.35">
      <c r="A1392">
        <v>2021</v>
      </c>
      <c r="B1392" t="s">
        <v>33</v>
      </c>
      <c r="C1392" t="s">
        <v>149</v>
      </c>
      <c r="D1392">
        <v>88</v>
      </c>
      <c r="E1392">
        <v>28</v>
      </c>
    </row>
    <row r="1393" spans="1:5" hidden="1" x14ac:dyDescent="0.35">
      <c r="A1393">
        <v>2021</v>
      </c>
      <c r="B1393" t="s">
        <v>35</v>
      </c>
      <c r="C1393" t="s">
        <v>322</v>
      </c>
      <c r="D1393">
        <v>6</v>
      </c>
    </row>
    <row r="1394" spans="1:5" hidden="1" x14ac:dyDescent="0.35">
      <c r="A1394">
        <v>2021</v>
      </c>
      <c r="B1394" t="s">
        <v>35</v>
      </c>
      <c r="C1394" t="s">
        <v>150</v>
      </c>
      <c r="D1394" t="s">
        <v>205</v>
      </c>
      <c r="E1394" t="s">
        <v>205</v>
      </c>
    </row>
    <row r="1395" spans="1:5" hidden="1" x14ac:dyDescent="0.35">
      <c r="A1395">
        <v>2021</v>
      </c>
      <c r="B1395" t="s">
        <v>34</v>
      </c>
      <c r="C1395" t="s">
        <v>152</v>
      </c>
      <c r="D1395">
        <v>91</v>
      </c>
      <c r="E1395">
        <v>31</v>
      </c>
    </row>
    <row r="1396" spans="1:5" hidden="1" x14ac:dyDescent="0.35">
      <c r="A1396">
        <v>2021</v>
      </c>
      <c r="B1396" t="s">
        <v>37</v>
      </c>
      <c r="C1396" t="s">
        <v>153</v>
      </c>
      <c r="D1396">
        <v>5</v>
      </c>
    </row>
    <row r="1397" spans="1:5" hidden="1" x14ac:dyDescent="0.35">
      <c r="A1397">
        <v>2021</v>
      </c>
      <c r="B1397" t="s">
        <v>36</v>
      </c>
      <c r="C1397" t="s">
        <v>154</v>
      </c>
      <c r="D1397">
        <v>102</v>
      </c>
      <c r="E1397">
        <v>8</v>
      </c>
    </row>
    <row r="1398" spans="1:5" hidden="1" x14ac:dyDescent="0.35">
      <c r="A1398">
        <v>2021</v>
      </c>
      <c r="B1398" t="s">
        <v>38</v>
      </c>
      <c r="C1398" t="s">
        <v>155</v>
      </c>
      <c r="D1398">
        <v>62</v>
      </c>
      <c r="E1398">
        <v>3</v>
      </c>
    </row>
    <row r="1399" spans="1:5" hidden="1" x14ac:dyDescent="0.35">
      <c r="A1399">
        <v>2021</v>
      </c>
      <c r="B1399" t="s">
        <v>38</v>
      </c>
      <c r="C1399" t="s">
        <v>156</v>
      </c>
      <c r="D1399">
        <v>497</v>
      </c>
      <c r="E1399">
        <v>130</v>
      </c>
    </row>
    <row r="1400" spans="1:5" hidden="1" x14ac:dyDescent="0.35">
      <c r="A1400">
        <v>2021</v>
      </c>
      <c r="B1400" t="s">
        <v>34</v>
      </c>
      <c r="C1400" t="s">
        <v>18</v>
      </c>
      <c r="D1400">
        <v>301</v>
      </c>
      <c r="E1400">
        <v>21</v>
      </c>
    </row>
    <row r="1401" spans="1:5" hidden="1" x14ac:dyDescent="0.35">
      <c r="A1401">
        <v>2021</v>
      </c>
      <c r="B1401" t="s">
        <v>35</v>
      </c>
      <c r="C1401" t="s">
        <v>157</v>
      </c>
      <c r="D1401">
        <v>46</v>
      </c>
      <c r="E1401">
        <v>4</v>
      </c>
    </row>
    <row r="1402" spans="1:5" hidden="1" x14ac:dyDescent="0.35">
      <c r="A1402">
        <v>2021</v>
      </c>
      <c r="B1402" t="s">
        <v>35</v>
      </c>
      <c r="C1402" t="s">
        <v>158</v>
      </c>
      <c r="D1402">
        <v>14</v>
      </c>
      <c r="E1402">
        <v>10</v>
      </c>
    </row>
    <row r="1403" spans="1:5" hidden="1" x14ac:dyDescent="0.35">
      <c r="A1403">
        <v>2021</v>
      </c>
      <c r="B1403" t="s">
        <v>35</v>
      </c>
      <c r="C1403" t="s">
        <v>160</v>
      </c>
      <c r="D1403">
        <v>155</v>
      </c>
      <c r="E1403">
        <v>92</v>
      </c>
    </row>
    <row r="1404" spans="1:5" hidden="1" x14ac:dyDescent="0.35">
      <c r="A1404">
        <v>2021</v>
      </c>
      <c r="B1404" t="s">
        <v>35</v>
      </c>
      <c r="C1404" t="s">
        <v>161</v>
      </c>
      <c r="D1404">
        <v>94</v>
      </c>
      <c r="E1404">
        <v>39</v>
      </c>
    </row>
    <row r="1405" spans="1:5" hidden="1" x14ac:dyDescent="0.35">
      <c r="A1405">
        <v>2021</v>
      </c>
      <c r="B1405" t="s">
        <v>33</v>
      </c>
      <c r="C1405" t="s">
        <v>162</v>
      </c>
      <c r="D1405">
        <v>4</v>
      </c>
      <c r="E1405">
        <v>3</v>
      </c>
    </row>
    <row r="1406" spans="1:5" hidden="1" x14ac:dyDescent="0.35">
      <c r="A1406">
        <v>2021</v>
      </c>
      <c r="B1406" t="s">
        <v>36</v>
      </c>
      <c r="C1406" t="s">
        <v>163</v>
      </c>
      <c r="D1406">
        <v>4</v>
      </c>
    </row>
    <row r="1407" spans="1:5" hidden="1" x14ac:dyDescent="0.35">
      <c r="A1407">
        <v>2021</v>
      </c>
      <c r="B1407" t="s">
        <v>36</v>
      </c>
      <c r="C1407" t="s">
        <v>164</v>
      </c>
      <c r="D1407" t="s">
        <v>205</v>
      </c>
      <c r="E1407" t="s">
        <v>205</v>
      </c>
    </row>
    <row r="1408" spans="1:5" hidden="1" x14ac:dyDescent="0.35">
      <c r="A1408">
        <v>2021</v>
      </c>
      <c r="B1408" t="s">
        <v>36</v>
      </c>
      <c r="C1408" t="s">
        <v>165</v>
      </c>
      <c r="D1408">
        <v>9</v>
      </c>
      <c r="E1408">
        <v>6</v>
      </c>
    </row>
    <row r="1409" spans="1:5" hidden="1" x14ac:dyDescent="0.35">
      <c r="A1409">
        <v>2021</v>
      </c>
      <c r="B1409" t="s">
        <v>37</v>
      </c>
      <c r="C1409" t="s">
        <v>166</v>
      </c>
      <c r="D1409" t="s">
        <v>205</v>
      </c>
      <c r="E1409" t="s">
        <v>205</v>
      </c>
    </row>
    <row r="1410" spans="1:5" hidden="1" x14ac:dyDescent="0.35">
      <c r="A1410">
        <v>2021</v>
      </c>
      <c r="B1410" t="s">
        <v>34</v>
      </c>
      <c r="C1410" t="s">
        <v>167</v>
      </c>
      <c r="D1410">
        <v>13</v>
      </c>
      <c r="E1410">
        <v>6</v>
      </c>
    </row>
    <row r="1411" spans="1:5" hidden="1" x14ac:dyDescent="0.35">
      <c r="A1411">
        <v>2021</v>
      </c>
      <c r="B1411" t="s">
        <v>33</v>
      </c>
      <c r="C1411" t="s">
        <v>168</v>
      </c>
      <c r="D1411">
        <v>12</v>
      </c>
      <c r="E1411">
        <v>12</v>
      </c>
    </row>
    <row r="1412" spans="1:5" hidden="1" x14ac:dyDescent="0.35">
      <c r="A1412">
        <v>2021</v>
      </c>
      <c r="B1412" t="s">
        <v>35</v>
      </c>
      <c r="C1412" t="s">
        <v>169</v>
      </c>
      <c r="D1412">
        <v>13</v>
      </c>
      <c r="E1412">
        <v>8</v>
      </c>
    </row>
    <row r="1413" spans="1:5" hidden="1" x14ac:dyDescent="0.35">
      <c r="A1413">
        <v>2021</v>
      </c>
      <c r="B1413" t="s">
        <v>33</v>
      </c>
      <c r="C1413" t="s">
        <v>170</v>
      </c>
      <c r="D1413">
        <v>23</v>
      </c>
      <c r="E1413">
        <v>5</v>
      </c>
    </row>
    <row r="1414" spans="1:5" hidden="1" x14ac:dyDescent="0.35">
      <c r="A1414">
        <v>2021</v>
      </c>
      <c r="B1414" t="s">
        <v>34</v>
      </c>
      <c r="C1414" t="s">
        <v>171</v>
      </c>
      <c r="D1414">
        <v>3</v>
      </c>
    </row>
    <row r="1415" spans="1:5" hidden="1" x14ac:dyDescent="0.35">
      <c r="A1415">
        <v>2021</v>
      </c>
      <c r="B1415" t="s">
        <v>35</v>
      </c>
      <c r="C1415" t="s">
        <v>172</v>
      </c>
      <c r="D1415" t="s">
        <v>205</v>
      </c>
      <c r="E1415" t="s">
        <v>205</v>
      </c>
    </row>
    <row r="1416" spans="1:5" hidden="1" x14ac:dyDescent="0.35">
      <c r="A1416">
        <v>2021</v>
      </c>
      <c r="B1416" t="s">
        <v>33</v>
      </c>
      <c r="C1416" t="s">
        <v>174</v>
      </c>
      <c r="D1416" t="s">
        <v>205</v>
      </c>
      <c r="E1416" t="s">
        <v>205</v>
      </c>
    </row>
    <row r="1417" spans="1:5" hidden="1" x14ac:dyDescent="0.35">
      <c r="A1417">
        <v>2021</v>
      </c>
      <c r="B1417" t="s">
        <v>33</v>
      </c>
      <c r="C1417" t="s">
        <v>175</v>
      </c>
      <c r="D1417">
        <v>31</v>
      </c>
      <c r="E1417">
        <v>8</v>
      </c>
    </row>
    <row r="1418" spans="1:5" hidden="1" x14ac:dyDescent="0.35">
      <c r="A1418">
        <v>2021</v>
      </c>
      <c r="B1418" t="s">
        <v>33</v>
      </c>
      <c r="C1418" t="s">
        <v>176</v>
      </c>
      <c r="D1418">
        <v>22</v>
      </c>
    </row>
    <row r="1419" spans="1:5" hidden="1" x14ac:dyDescent="0.35">
      <c r="A1419">
        <v>2021</v>
      </c>
      <c r="B1419" t="s">
        <v>35</v>
      </c>
      <c r="C1419" t="s">
        <v>177</v>
      </c>
      <c r="D1419">
        <v>20</v>
      </c>
      <c r="E1419">
        <v>67</v>
      </c>
    </row>
    <row r="1420" spans="1:5" hidden="1" x14ac:dyDescent="0.35">
      <c r="A1420">
        <v>2021</v>
      </c>
      <c r="B1420" t="s">
        <v>34</v>
      </c>
      <c r="C1420" t="s">
        <v>178</v>
      </c>
      <c r="D1420">
        <v>7</v>
      </c>
      <c r="E1420">
        <v>64</v>
      </c>
    </row>
    <row r="1421" spans="1:5" hidden="1" x14ac:dyDescent="0.35">
      <c r="A1421">
        <v>2021</v>
      </c>
      <c r="B1421" t="s">
        <v>33</v>
      </c>
      <c r="C1421" t="s">
        <v>179</v>
      </c>
      <c r="D1421" t="s">
        <v>205</v>
      </c>
      <c r="E1421" t="s">
        <v>205</v>
      </c>
    </row>
    <row r="1422" spans="1:5" hidden="1" x14ac:dyDescent="0.35">
      <c r="A1422">
        <v>2021</v>
      </c>
      <c r="B1422" t="s">
        <v>38</v>
      </c>
      <c r="C1422" t="s">
        <v>180</v>
      </c>
      <c r="D1422" t="s">
        <v>205</v>
      </c>
      <c r="E1422" t="s">
        <v>205</v>
      </c>
    </row>
    <row r="1423" spans="1:5" hidden="1" x14ac:dyDescent="0.35">
      <c r="A1423">
        <v>2021</v>
      </c>
      <c r="B1423" t="s">
        <v>35</v>
      </c>
      <c r="C1423" t="s">
        <v>182</v>
      </c>
      <c r="D1423" t="s">
        <v>205</v>
      </c>
      <c r="E1423" t="s">
        <v>205</v>
      </c>
    </row>
    <row r="1424" spans="1:5" hidden="1" x14ac:dyDescent="0.35">
      <c r="A1424">
        <v>2021</v>
      </c>
      <c r="B1424" t="s">
        <v>34</v>
      </c>
      <c r="C1424" t="s">
        <v>184</v>
      </c>
      <c r="D1424" t="s">
        <v>205</v>
      </c>
    </row>
    <row r="1425" spans="1:5" hidden="1" x14ac:dyDescent="0.35">
      <c r="A1425">
        <v>2021</v>
      </c>
      <c r="B1425" t="s">
        <v>34</v>
      </c>
      <c r="C1425" t="s">
        <v>185</v>
      </c>
      <c r="D1425">
        <v>18</v>
      </c>
      <c r="E1425">
        <v>4</v>
      </c>
    </row>
    <row r="1426" spans="1:5" hidden="1" x14ac:dyDescent="0.35">
      <c r="A1426">
        <v>2021</v>
      </c>
      <c r="B1426" t="s">
        <v>34</v>
      </c>
      <c r="C1426" t="s">
        <v>186</v>
      </c>
      <c r="D1426">
        <v>3</v>
      </c>
    </row>
    <row r="1427" spans="1:5" hidden="1" x14ac:dyDescent="0.35">
      <c r="A1427">
        <v>2021</v>
      </c>
      <c r="B1427" t="s">
        <v>33</v>
      </c>
      <c r="C1427" t="s">
        <v>187</v>
      </c>
      <c r="D1427">
        <v>7</v>
      </c>
      <c r="E1427">
        <v>3</v>
      </c>
    </row>
    <row r="1428" spans="1:5" hidden="1" x14ac:dyDescent="0.35">
      <c r="A1428">
        <v>2021</v>
      </c>
      <c r="B1428" t="s">
        <v>34</v>
      </c>
      <c r="C1428" t="s">
        <v>188</v>
      </c>
      <c r="D1428">
        <v>125</v>
      </c>
      <c r="E1428">
        <v>8</v>
      </c>
    </row>
    <row r="1429" spans="1:5" hidden="1" x14ac:dyDescent="0.35">
      <c r="A1429">
        <v>2021</v>
      </c>
      <c r="B1429" t="s">
        <v>33</v>
      </c>
      <c r="C1429" t="s">
        <v>189</v>
      </c>
      <c r="D1429">
        <v>6</v>
      </c>
      <c r="E1429">
        <v>5</v>
      </c>
    </row>
    <row r="1430" spans="1:5" hidden="1" x14ac:dyDescent="0.35">
      <c r="A1430">
        <v>2021</v>
      </c>
      <c r="B1430" t="s">
        <v>37</v>
      </c>
      <c r="C1430" t="s">
        <v>190</v>
      </c>
      <c r="D1430">
        <v>0</v>
      </c>
    </row>
    <row r="1431" spans="1:5" hidden="1" x14ac:dyDescent="0.35">
      <c r="A1431">
        <v>2021</v>
      </c>
      <c r="B1431" t="s">
        <v>36</v>
      </c>
      <c r="C1431" t="s">
        <v>191</v>
      </c>
      <c r="D1431">
        <v>52</v>
      </c>
      <c r="E1431">
        <v>4</v>
      </c>
    </row>
    <row r="1432" spans="1:5" hidden="1" x14ac:dyDescent="0.35">
      <c r="A1432">
        <v>2021</v>
      </c>
      <c r="B1432" t="s">
        <v>33</v>
      </c>
      <c r="C1432" t="s">
        <v>192</v>
      </c>
      <c r="D1432" t="s">
        <v>205</v>
      </c>
      <c r="E1432" t="s">
        <v>205</v>
      </c>
    </row>
    <row r="1433" spans="1:5" hidden="1" x14ac:dyDescent="0.35">
      <c r="A1433">
        <v>2021</v>
      </c>
      <c r="B1433" t="s">
        <v>34</v>
      </c>
      <c r="C1433" t="s">
        <v>193</v>
      </c>
      <c r="D1433">
        <v>82</v>
      </c>
      <c r="E1433">
        <v>16</v>
      </c>
    </row>
    <row r="1434" spans="1:5" hidden="1" x14ac:dyDescent="0.35">
      <c r="A1434">
        <v>2021</v>
      </c>
      <c r="B1434" t="s">
        <v>34</v>
      </c>
      <c r="C1434" t="s">
        <v>194</v>
      </c>
      <c r="D1434">
        <v>0</v>
      </c>
    </row>
    <row r="1435" spans="1:5" hidden="1" x14ac:dyDescent="0.35">
      <c r="A1435">
        <v>2021</v>
      </c>
      <c r="B1435" t="s">
        <v>33</v>
      </c>
      <c r="C1435" t="s">
        <v>195</v>
      </c>
      <c r="D1435">
        <v>8</v>
      </c>
      <c r="E1435">
        <v>3</v>
      </c>
    </row>
    <row r="1436" spans="1:5" hidden="1" x14ac:dyDescent="0.35">
      <c r="A1436">
        <v>2021</v>
      </c>
      <c r="B1436" t="s">
        <v>35</v>
      </c>
      <c r="C1436" t="s">
        <v>196</v>
      </c>
      <c r="D1436">
        <v>69</v>
      </c>
      <c r="E1436">
        <v>14</v>
      </c>
    </row>
    <row r="1437" spans="1:5" hidden="1" x14ac:dyDescent="0.35">
      <c r="A1437">
        <v>2021</v>
      </c>
      <c r="B1437" t="s">
        <v>35</v>
      </c>
      <c r="C1437" t="s">
        <v>198</v>
      </c>
      <c r="D1437">
        <v>74</v>
      </c>
      <c r="E1437">
        <v>15</v>
      </c>
    </row>
    <row r="1438" spans="1:5" hidden="1" x14ac:dyDescent="0.35">
      <c r="A1438">
        <v>2021</v>
      </c>
      <c r="B1438" t="s">
        <v>39</v>
      </c>
      <c r="C1438" t="s">
        <v>39</v>
      </c>
      <c r="D1438">
        <v>9</v>
      </c>
      <c r="E1438">
        <v>6</v>
      </c>
    </row>
    <row r="1439" spans="1:5" hidden="1" x14ac:dyDescent="0.35">
      <c r="A1439">
        <v>2021</v>
      </c>
      <c r="B1439" t="s">
        <v>38</v>
      </c>
      <c r="C1439" t="s">
        <v>199</v>
      </c>
      <c r="D1439">
        <v>37</v>
      </c>
      <c r="E1439">
        <v>7</v>
      </c>
    </row>
    <row r="1440" spans="1:5" hidden="1" x14ac:dyDescent="0.35">
      <c r="A1440">
        <v>2021</v>
      </c>
      <c r="B1440" t="s">
        <v>34</v>
      </c>
      <c r="C1440" t="s">
        <v>200</v>
      </c>
      <c r="D1440">
        <v>6</v>
      </c>
      <c r="E1440">
        <v>13</v>
      </c>
    </row>
    <row r="1441" spans="1:5" hidden="1" x14ac:dyDescent="0.35">
      <c r="A1441">
        <v>2021</v>
      </c>
      <c r="B1441" t="s">
        <v>38</v>
      </c>
      <c r="C1441" t="s">
        <v>19</v>
      </c>
      <c r="D1441">
        <v>684</v>
      </c>
      <c r="E1441">
        <v>85</v>
      </c>
    </row>
    <row r="1442" spans="1:5" hidden="1" x14ac:dyDescent="0.35">
      <c r="A1442">
        <v>2021</v>
      </c>
      <c r="B1442" t="s">
        <v>34</v>
      </c>
      <c r="C1442" t="s">
        <v>201</v>
      </c>
      <c r="D1442">
        <v>30</v>
      </c>
      <c r="E1442">
        <v>12</v>
      </c>
    </row>
    <row r="1443" spans="1:5" hidden="1" x14ac:dyDescent="0.35">
      <c r="A1443">
        <v>2021</v>
      </c>
      <c r="B1443" t="s">
        <v>34</v>
      </c>
      <c r="C1443" t="s">
        <v>202</v>
      </c>
      <c r="D1443" t="s">
        <v>205</v>
      </c>
      <c r="E1443" t="s">
        <v>205</v>
      </c>
    </row>
    <row r="1444" spans="1:5" hidden="1" x14ac:dyDescent="0.35">
      <c r="A1444">
        <v>2021</v>
      </c>
      <c r="B1444" t="s">
        <v>33</v>
      </c>
      <c r="C1444" t="s">
        <v>203</v>
      </c>
      <c r="D1444" t="s">
        <v>205</v>
      </c>
      <c r="E1444" t="s">
        <v>205</v>
      </c>
    </row>
    <row r="1445" spans="1:5" hidden="1" x14ac:dyDescent="0.35">
      <c r="A1445">
        <v>2021</v>
      </c>
      <c r="B1445" t="s">
        <v>33</v>
      </c>
      <c r="C1445" t="s">
        <v>204</v>
      </c>
      <c r="D1445">
        <v>3</v>
      </c>
    </row>
    <row r="1446" spans="1:5" hidden="1" x14ac:dyDescent="0.35">
      <c r="A1446">
        <v>2022</v>
      </c>
      <c r="B1446" t="s">
        <v>34</v>
      </c>
      <c r="C1446" t="s">
        <v>40</v>
      </c>
      <c r="D1446">
        <v>6</v>
      </c>
      <c r="E1446">
        <v>3</v>
      </c>
    </row>
    <row r="1447" spans="1:5" hidden="1" x14ac:dyDescent="0.35">
      <c r="A1447">
        <v>2022</v>
      </c>
      <c r="B1447" t="s">
        <v>35</v>
      </c>
      <c r="C1447" t="s">
        <v>41</v>
      </c>
      <c r="D1447">
        <v>11</v>
      </c>
      <c r="E1447">
        <v>8</v>
      </c>
    </row>
    <row r="1448" spans="1:5" hidden="1" x14ac:dyDescent="0.35">
      <c r="A1448">
        <v>2022</v>
      </c>
      <c r="B1448" t="s">
        <v>33</v>
      </c>
      <c r="C1448" t="s">
        <v>42</v>
      </c>
      <c r="D1448" t="s">
        <v>205</v>
      </c>
      <c r="E1448" t="s">
        <v>205</v>
      </c>
    </row>
    <row r="1449" spans="1:5" hidden="1" x14ac:dyDescent="0.35">
      <c r="A1449">
        <v>2022</v>
      </c>
      <c r="C1449" t="s">
        <v>373</v>
      </c>
      <c r="D1449">
        <v>36</v>
      </c>
      <c r="E1449">
        <v>13</v>
      </c>
    </row>
    <row r="1450" spans="1:5" hidden="1" x14ac:dyDescent="0.35">
      <c r="A1450">
        <v>2022</v>
      </c>
      <c r="B1450" t="s">
        <v>33</v>
      </c>
      <c r="C1450" t="s">
        <v>43</v>
      </c>
      <c r="D1450">
        <v>6</v>
      </c>
      <c r="E1450">
        <v>11</v>
      </c>
    </row>
    <row r="1451" spans="1:5" hidden="1" x14ac:dyDescent="0.35">
      <c r="A1451">
        <v>2022</v>
      </c>
      <c r="B1451" t="s">
        <v>36</v>
      </c>
      <c r="C1451" t="s">
        <v>44</v>
      </c>
      <c r="D1451">
        <v>12</v>
      </c>
    </row>
    <row r="1452" spans="1:5" hidden="1" x14ac:dyDescent="0.35">
      <c r="A1452">
        <v>2022</v>
      </c>
      <c r="B1452" t="s">
        <v>38</v>
      </c>
      <c r="C1452" t="s">
        <v>45</v>
      </c>
      <c r="D1452">
        <v>435</v>
      </c>
      <c r="E1452">
        <v>26</v>
      </c>
    </row>
    <row r="1453" spans="1:5" hidden="1" x14ac:dyDescent="0.35">
      <c r="A1453">
        <v>2022</v>
      </c>
      <c r="B1453" t="s">
        <v>34</v>
      </c>
      <c r="C1453" t="s">
        <v>46</v>
      </c>
      <c r="D1453">
        <v>37</v>
      </c>
      <c r="E1453">
        <v>5</v>
      </c>
    </row>
    <row r="1454" spans="1:5" hidden="1" x14ac:dyDescent="0.35">
      <c r="A1454">
        <v>2022</v>
      </c>
      <c r="B1454" t="s">
        <v>37</v>
      </c>
      <c r="C1454" t="s">
        <v>47</v>
      </c>
      <c r="D1454" t="s">
        <v>205</v>
      </c>
      <c r="E1454" t="s">
        <v>205</v>
      </c>
    </row>
    <row r="1455" spans="1:5" hidden="1" x14ac:dyDescent="0.35">
      <c r="A1455">
        <v>2022</v>
      </c>
      <c r="B1455" t="s">
        <v>35</v>
      </c>
      <c r="C1455" t="s">
        <v>48</v>
      </c>
      <c r="D1455">
        <v>4</v>
      </c>
    </row>
    <row r="1456" spans="1:5" hidden="1" x14ac:dyDescent="0.35">
      <c r="A1456">
        <v>2022</v>
      </c>
      <c r="B1456" t="s">
        <v>34</v>
      </c>
      <c r="C1456" t="s">
        <v>49</v>
      </c>
      <c r="D1456">
        <v>3</v>
      </c>
      <c r="E1456">
        <v>3</v>
      </c>
    </row>
    <row r="1457" spans="1:5" hidden="1" x14ac:dyDescent="0.35">
      <c r="A1457">
        <v>2022</v>
      </c>
      <c r="B1457" t="s">
        <v>36</v>
      </c>
      <c r="C1457" t="s">
        <v>50</v>
      </c>
      <c r="D1457">
        <v>42</v>
      </c>
      <c r="E1457">
        <v>15</v>
      </c>
    </row>
    <row r="1458" spans="1:5" hidden="1" x14ac:dyDescent="0.35">
      <c r="A1458">
        <v>2022</v>
      </c>
      <c r="B1458" t="s">
        <v>34</v>
      </c>
      <c r="C1458" t="s">
        <v>52</v>
      </c>
      <c r="D1458">
        <v>23</v>
      </c>
      <c r="E1458">
        <v>56</v>
      </c>
    </row>
    <row r="1459" spans="1:5" hidden="1" x14ac:dyDescent="0.35">
      <c r="A1459">
        <v>2022</v>
      </c>
      <c r="B1459" t="s">
        <v>36</v>
      </c>
      <c r="C1459" t="s">
        <v>53</v>
      </c>
      <c r="D1459" t="s">
        <v>205</v>
      </c>
      <c r="E1459" t="s">
        <v>205</v>
      </c>
    </row>
    <row r="1460" spans="1:5" hidden="1" x14ac:dyDescent="0.35">
      <c r="A1460">
        <v>2022</v>
      </c>
      <c r="B1460" t="s">
        <v>35</v>
      </c>
      <c r="C1460" t="s">
        <v>54</v>
      </c>
      <c r="D1460">
        <v>4</v>
      </c>
    </row>
    <row r="1461" spans="1:5" hidden="1" x14ac:dyDescent="0.35">
      <c r="A1461">
        <v>2022</v>
      </c>
      <c r="B1461" t="s">
        <v>35</v>
      </c>
      <c r="C1461" t="s">
        <v>55</v>
      </c>
      <c r="D1461">
        <v>3</v>
      </c>
      <c r="E1461">
        <v>3</v>
      </c>
    </row>
    <row r="1462" spans="1:5" hidden="1" x14ac:dyDescent="0.35">
      <c r="A1462">
        <v>2022</v>
      </c>
      <c r="B1462" t="s">
        <v>36</v>
      </c>
      <c r="C1462" t="s">
        <v>56</v>
      </c>
      <c r="D1462">
        <v>117</v>
      </c>
      <c r="E1462">
        <v>31</v>
      </c>
    </row>
    <row r="1463" spans="1:5" hidden="1" x14ac:dyDescent="0.35">
      <c r="A1463">
        <v>2022</v>
      </c>
      <c r="B1463" t="s">
        <v>33</v>
      </c>
      <c r="C1463" t="s">
        <v>57</v>
      </c>
      <c r="D1463">
        <v>0</v>
      </c>
      <c r="E1463" t="s">
        <v>205</v>
      </c>
    </row>
    <row r="1464" spans="1:5" hidden="1" x14ac:dyDescent="0.35">
      <c r="A1464">
        <v>2022</v>
      </c>
      <c r="B1464" t="s">
        <v>38</v>
      </c>
      <c r="C1464" t="s">
        <v>59</v>
      </c>
      <c r="D1464">
        <v>80</v>
      </c>
      <c r="E1464">
        <v>30</v>
      </c>
    </row>
    <row r="1465" spans="1:5" hidden="1" x14ac:dyDescent="0.35">
      <c r="A1465">
        <v>2022</v>
      </c>
      <c r="B1465" t="s">
        <v>35</v>
      </c>
      <c r="C1465" t="s">
        <v>60</v>
      </c>
      <c r="D1465" t="s">
        <v>205</v>
      </c>
      <c r="E1465" t="s">
        <v>205</v>
      </c>
    </row>
    <row r="1466" spans="1:5" hidden="1" x14ac:dyDescent="0.35">
      <c r="A1466">
        <v>2022</v>
      </c>
      <c r="B1466" t="s">
        <v>38</v>
      </c>
      <c r="C1466" t="s">
        <v>21</v>
      </c>
      <c r="D1466">
        <v>972</v>
      </c>
      <c r="E1466">
        <v>1535</v>
      </c>
    </row>
    <row r="1467" spans="1:5" hidden="1" x14ac:dyDescent="0.35">
      <c r="A1467">
        <v>2022</v>
      </c>
      <c r="B1467" t="s">
        <v>35</v>
      </c>
      <c r="C1467" t="s">
        <v>62</v>
      </c>
      <c r="D1467" t="s">
        <v>205</v>
      </c>
      <c r="E1467" t="s">
        <v>205</v>
      </c>
    </row>
    <row r="1468" spans="1:5" hidden="1" x14ac:dyDescent="0.35">
      <c r="A1468">
        <v>2022</v>
      </c>
      <c r="B1468" t="s">
        <v>33</v>
      </c>
      <c r="C1468" t="s">
        <v>63</v>
      </c>
      <c r="D1468">
        <v>5</v>
      </c>
      <c r="E1468">
        <v>10</v>
      </c>
    </row>
    <row r="1469" spans="1:5" hidden="1" x14ac:dyDescent="0.35">
      <c r="A1469">
        <v>2022</v>
      </c>
      <c r="B1469" t="s">
        <v>34</v>
      </c>
      <c r="C1469" t="s">
        <v>64</v>
      </c>
      <c r="D1469">
        <v>0</v>
      </c>
    </row>
    <row r="1470" spans="1:5" hidden="1" x14ac:dyDescent="0.35">
      <c r="A1470">
        <v>2022</v>
      </c>
      <c r="B1470" t="s">
        <v>33</v>
      </c>
      <c r="C1470" t="s">
        <v>65</v>
      </c>
      <c r="D1470">
        <v>0</v>
      </c>
    </row>
    <row r="1471" spans="1:5" hidden="1" x14ac:dyDescent="0.35">
      <c r="A1471">
        <v>2022</v>
      </c>
      <c r="B1471" t="s">
        <v>33</v>
      </c>
      <c r="C1471" t="s">
        <v>66</v>
      </c>
      <c r="D1471">
        <v>7</v>
      </c>
    </row>
    <row r="1472" spans="1:5" hidden="1" x14ac:dyDescent="0.35">
      <c r="A1472">
        <v>2022</v>
      </c>
      <c r="B1472" t="s">
        <v>34</v>
      </c>
      <c r="C1472" t="s">
        <v>67</v>
      </c>
      <c r="D1472" t="s">
        <v>205</v>
      </c>
      <c r="E1472" t="s">
        <v>205</v>
      </c>
    </row>
    <row r="1473" spans="1:5" hidden="1" x14ac:dyDescent="0.35">
      <c r="A1473">
        <v>2022</v>
      </c>
      <c r="B1473" t="s">
        <v>33</v>
      </c>
      <c r="C1473" t="s">
        <v>68</v>
      </c>
      <c r="D1473">
        <v>12</v>
      </c>
      <c r="E1473">
        <v>20</v>
      </c>
    </row>
    <row r="1474" spans="1:5" hidden="1" x14ac:dyDescent="0.35">
      <c r="A1474">
        <v>2022</v>
      </c>
      <c r="B1474" t="s">
        <v>36</v>
      </c>
      <c r="C1474" t="s">
        <v>69</v>
      </c>
      <c r="D1474">
        <v>524</v>
      </c>
      <c r="E1474">
        <v>36</v>
      </c>
    </row>
    <row r="1475" spans="1:5" hidden="1" x14ac:dyDescent="0.35">
      <c r="A1475">
        <v>2022</v>
      </c>
      <c r="B1475" t="s">
        <v>33</v>
      </c>
      <c r="C1475" t="s">
        <v>71</v>
      </c>
      <c r="D1475" t="s">
        <v>205</v>
      </c>
    </row>
    <row r="1476" spans="1:5" hidden="1" x14ac:dyDescent="0.35">
      <c r="A1476">
        <v>2022</v>
      </c>
      <c r="B1476" t="s">
        <v>38</v>
      </c>
      <c r="C1476" t="s">
        <v>72</v>
      </c>
      <c r="D1476">
        <v>76</v>
      </c>
      <c r="E1476">
        <v>72</v>
      </c>
    </row>
    <row r="1477" spans="1:5" hidden="1" x14ac:dyDescent="0.35">
      <c r="A1477">
        <v>2022</v>
      </c>
      <c r="B1477" t="s">
        <v>34</v>
      </c>
      <c r="C1477" t="s">
        <v>73</v>
      </c>
      <c r="D1477">
        <v>197</v>
      </c>
      <c r="E1477">
        <v>67</v>
      </c>
    </row>
    <row r="1478" spans="1:5" hidden="1" x14ac:dyDescent="0.35">
      <c r="A1478">
        <v>2022</v>
      </c>
      <c r="B1478" t="s">
        <v>38</v>
      </c>
      <c r="C1478" t="s">
        <v>20</v>
      </c>
      <c r="D1478">
        <v>2702</v>
      </c>
      <c r="E1478">
        <v>3121</v>
      </c>
    </row>
    <row r="1479" spans="1:5" hidden="1" x14ac:dyDescent="0.35">
      <c r="A1479">
        <v>2022</v>
      </c>
      <c r="B1479" t="s">
        <v>33</v>
      </c>
      <c r="C1479" t="s">
        <v>74</v>
      </c>
      <c r="D1479">
        <v>11</v>
      </c>
      <c r="E1479">
        <v>24</v>
      </c>
    </row>
    <row r="1480" spans="1:5" hidden="1" x14ac:dyDescent="0.35">
      <c r="A1480">
        <v>2022</v>
      </c>
      <c r="B1480" t="s">
        <v>33</v>
      </c>
      <c r="C1480" t="s">
        <v>75</v>
      </c>
      <c r="D1480" t="s">
        <v>205</v>
      </c>
      <c r="E1480" t="s">
        <v>205</v>
      </c>
    </row>
    <row r="1481" spans="1:5" hidden="1" x14ac:dyDescent="0.35">
      <c r="A1481">
        <v>2022</v>
      </c>
      <c r="B1481" t="s">
        <v>36</v>
      </c>
      <c r="C1481" t="s">
        <v>76</v>
      </c>
      <c r="D1481">
        <v>358</v>
      </c>
      <c r="E1481">
        <v>62</v>
      </c>
    </row>
    <row r="1482" spans="1:5" hidden="1" x14ac:dyDescent="0.35">
      <c r="A1482">
        <v>2022</v>
      </c>
      <c r="B1482" t="s">
        <v>33</v>
      </c>
      <c r="C1482" t="s">
        <v>77</v>
      </c>
      <c r="D1482">
        <v>8</v>
      </c>
      <c r="E1482">
        <v>3</v>
      </c>
    </row>
    <row r="1483" spans="1:5" hidden="1" x14ac:dyDescent="0.35">
      <c r="A1483">
        <v>2022</v>
      </c>
      <c r="B1483" t="s">
        <v>35</v>
      </c>
      <c r="C1483" t="s">
        <v>78</v>
      </c>
      <c r="D1483" t="s">
        <v>205</v>
      </c>
      <c r="E1483" t="s">
        <v>205</v>
      </c>
    </row>
    <row r="1484" spans="1:5" hidden="1" x14ac:dyDescent="0.35">
      <c r="A1484">
        <v>2022</v>
      </c>
      <c r="B1484" t="s">
        <v>36</v>
      </c>
      <c r="C1484" t="s">
        <v>79</v>
      </c>
      <c r="D1484">
        <v>27</v>
      </c>
      <c r="E1484">
        <v>29</v>
      </c>
    </row>
    <row r="1485" spans="1:5" hidden="1" x14ac:dyDescent="0.35">
      <c r="A1485">
        <v>2022</v>
      </c>
      <c r="B1485" t="s">
        <v>35</v>
      </c>
      <c r="C1485" t="s">
        <v>81</v>
      </c>
      <c r="D1485">
        <v>3</v>
      </c>
      <c r="E1485">
        <v>3</v>
      </c>
    </row>
    <row r="1486" spans="1:5" hidden="1" x14ac:dyDescent="0.35">
      <c r="A1486">
        <v>2022</v>
      </c>
      <c r="B1486" t="s">
        <v>36</v>
      </c>
      <c r="C1486" t="s">
        <v>84</v>
      </c>
      <c r="D1486">
        <v>6</v>
      </c>
      <c r="E1486">
        <v>3</v>
      </c>
    </row>
    <row r="1487" spans="1:5" hidden="1" x14ac:dyDescent="0.35">
      <c r="A1487">
        <v>2022</v>
      </c>
      <c r="B1487" t="s">
        <v>36</v>
      </c>
      <c r="C1487" t="s">
        <v>85</v>
      </c>
      <c r="D1487">
        <v>1100</v>
      </c>
      <c r="E1487">
        <v>622</v>
      </c>
    </row>
    <row r="1488" spans="1:5" hidden="1" x14ac:dyDescent="0.35">
      <c r="A1488">
        <v>2022</v>
      </c>
      <c r="B1488" t="s">
        <v>38</v>
      </c>
      <c r="C1488" t="s">
        <v>86</v>
      </c>
      <c r="D1488">
        <v>674</v>
      </c>
      <c r="E1488">
        <v>1147</v>
      </c>
    </row>
    <row r="1489" spans="1:5" hidden="1" x14ac:dyDescent="0.35">
      <c r="A1489">
        <v>2022</v>
      </c>
      <c r="B1489" t="s">
        <v>33</v>
      </c>
      <c r="C1489" t="s">
        <v>87</v>
      </c>
      <c r="D1489">
        <v>27</v>
      </c>
      <c r="E1489">
        <v>13</v>
      </c>
    </row>
    <row r="1490" spans="1:5" hidden="1" x14ac:dyDescent="0.35">
      <c r="A1490">
        <v>2022</v>
      </c>
      <c r="B1490" t="s">
        <v>36</v>
      </c>
      <c r="C1490" t="s">
        <v>16</v>
      </c>
      <c r="D1490">
        <v>2012</v>
      </c>
      <c r="E1490">
        <v>5313</v>
      </c>
    </row>
    <row r="1491" spans="1:5" hidden="1" x14ac:dyDescent="0.35">
      <c r="A1491">
        <v>2022</v>
      </c>
      <c r="B1491" t="s">
        <v>33</v>
      </c>
      <c r="C1491" t="s">
        <v>88</v>
      </c>
      <c r="D1491" t="s">
        <v>205</v>
      </c>
      <c r="E1491" t="s">
        <v>205</v>
      </c>
    </row>
    <row r="1492" spans="1:5" hidden="1" x14ac:dyDescent="0.35">
      <c r="A1492">
        <v>2022</v>
      </c>
      <c r="B1492" t="s">
        <v>33</v>
      </c>
      <c r="C1492" t="s">
        <v>89</v>
      </c>
      <c r="D1492">
        <v>5</v>
      </c>
      <c r="E1492">
        <v>15</v>
      </c>
    </row>
    <row r="1493" spans="1:5" hidden="1" x14ac:dyDescent="0.35">
      <c r="A1493">
        <v>2022</v>
      </c>
      <c r="B1493" t="s">
        <v>35</v>
      </c>
      <c r="C1493" t="s">
        <v>90</v>
      </c>
      <c r="D1493" t="s">
        <v>205</v>
      </c>
      <c r="E1493" t="s">
        <v>205</v>
      </c>
    </row>
    <row r="1494" spans="1:5" hidden="1" x14ac:dyDescent="0.35">
      <c r="A1494">
        <v>2022</v>
      </c>
      <c r="B1494" t="s">
        <v>33</v>
      </c>
      <c r="C1494" t="s">
        <v>91</v>
      </c>
      <c r="D1494">
        <v>8</v>
      </c>
      <c r="E1494">
        <v>3</v>
      </c>
    </row>
    <row r="1495" spans="1:5" hidden="1" x14ac:dyDescent="0.35">
      <c r="A1495">
        <v>2022</v>
      </c>
      <c r="B1495" t="s">
        <v>37</v>
      </c>
      <c r="C1495" t="s">
        <v>92</v>
      </c>
      <c r="D1495" t="s">
        <v>205</v>
      </c>
      <c r="E1495" t="s">
        <v>205</v>
      </c>
    </row>
    <row r="1496" spans="1:5" hidden="1" x14ac:dyDescent="0.35">
      <c r="A1496">
        <v>2022</v>
      </c>
      <c r="B1496" t="s">
        <v>35</v>
      </c>
      <c r="C1496" t="s">
        <v>94</v>
      </c>
      <c r="D1496">
        <v>16</v>
      </c>
      <c r="E1496">
        <v>21</v>
      </c>
    </row>
    <row r="1497" spans="1:5" hidden="1" x14ac:dyDescent="0.35">
      <c r="A1497">
        <v>2022</v>
      </c>
      <c r="B1497" t="s">
        <v>33</v>
      </c>
      <c r="C1497" t="s">
        <v>95</v>
      </c>
      <c r="D1497" t="s">
        <v>205</v>
      </c>
      <c r="E1497" t="s">
        <v>205</v>
      </c>
    </row>
    <row r="1498" spans="1:5" hidden="1" x14ac:dyDescent="0.35">
      <c r="A1498">
        <v>2022</v>
      </c>
      <c r="B1498" t="s">
        <v>33</v>
      </c>
      <c r="C1498" t="s">
        <v>96</v>
      </c>
      <c r="D1498" t="s">
        <v>205</v>
      </c>
      <c r="E1498" t="s">
        <v>205</v>
      </c>
    </row>
    <row r="1499" spans="1:5" hidden="1" x14ac:dyDescent="0.35">
      <c r="A1499">
        <v>2022</v>
      </c>
      <c r="B1499" t="s">
        <v>34</v>
      </c>
      <c r="C1499" t="s">
        <v>8</v>
      </c>
      <c r="D1499">
        <v>12</v>
      </c>
      <c r="E1499">
        <v>7</v>
      </c>
    </row>
    <row r="1500" spans="1:5" hidden="1" x14ac:dyDescent="0.35">
      <c r="A1500">
        <v>2022</v>
      </c>
      <c r="B1500" t="s">
        <v>35</v>
      </c>
      <c r="C1500" t="s">
        <v>97</v>
      </c>
      <c r="D1500">
        <v>28</v>
      </c>
      <c r="E1500">
        <v>18</v>
      </c>
    </row>
    <row r="1501" spans="1:5" hidden="1" x14ac:dyDescent="0.35">
      <c r="A1501">
        <v>2022</v>
      </c>
      <c r="B1501" t="s">
        <v>33</v>
      </c>
      <c r="C1501" t="s">
        <v>98</v>
      </c>
      <c r="D1501">
        <v>57</v>
      </c>
      <c r="E1501">
        <v>34</v>
      </c>
    </row>
    <row r="1502" spans="1:5" hidden="1" x14ac:dyDescent="0.35">
      <c r="A1502">
        <v>2022</v>
      </c>
      <c r="B1502" t="s">
        <v>35</v>
      </c>
      <c r="C1502" t="s">
        <v>99</v>
      </c>
      <c r="D1502">
        <v>6</v>
      </c>
      <c r="E1502">
        <v>9</v>
      </c>
    </row>
    <row r="1503" spans="1:5" hidden="1" x14ac:dyDescent="0.35">
      <c r="A1503">
        <v>2022</v>
      </c>
      <c r="B1503" t="s">
        <v>36</v>
      </c>
      <c r="C1503" t="s">
        <v>100</v>
      </c>
      <c r="D1503" t="s">
        <v>205</v>
      </c>
      <c r="E1503" t="s">
        <v>205</v>
      </c>
    </row>
    <row r="1504" spans="1:5" hidden="1" x14ac:dyDescent="0.35">
      <c r="A1504">
        <v>2022</v>
      </c>
      <c r="B1504" t="s">
        <v>36</v>
      </c>
      <c r="C1504" t="s">
        <v>15</v>
      </c>
      <c r="D1504">
        <v>3511</v>
      </c>
      <c r="E1504">
        <v>3291</v>
      </c>
    </row>
    <row r="1505" spans="1:5" hidden="1" x14ac:dyDescent="0.35">
      <c r="A1505">
        <v>2022</v>
      </c>
      <c r="B1505" t="s">
        <v>33</v>
      </c>
      <c r="C1505" t="s">
        <v>101</v>
      </c>
      <c r="D1505">
        <v>10</v>
      </c>
      <c r="E1505">
        <v>5</v>
      </c>
    </row>
    <row r="1506" spans="1:5" hidden="1" x14ac:dyDescent="0.35">
      <c r="A1506">
        <v>2022</v>
      </c>
      <c r="B1506" t="s">
        <v>38</v>
      </c>
      <c r="C1506" t="s">
        <v>103</v>
      </c>
      <c r="D1506">
        <v>99</v>
      </c>
      <c r="E1506">
        <v>24</v>
      </c>
    </row>
    <row r="1507" spans="1:5" hidden="1" x14ac:dyDescent="0.35">
      <c r="A1507">
        <v>2022</v>
      </c>
      <c r="B1507" t="s">
        <v>36</v>
      </c>
      <c r="C1507" t="s">
        <v>104</v>
      </c>
      <c r="D1507">
        <v>123</v>
      </c>
      <c r="E1507">
        <v>1420</v>
      </c>
    </row>
    <row r="1508" spans="1:5" hidden="1" x14ac:dyDescent="0.35">
      <c r="A1508">
        <v>2022</v>
      </c>
      <c r="B1508" t="s">
        <v>36</v>
      </c>
      <c r="C1508" t="s">
        <v>17</v>
      </c>
      <c r="D1508">
        <v>3714</v>
      </c>
      <c r="E1508">
        <v>2831</v>
      </c>
    </row>
    <row r="1509" spans="1:5" hidden="1" x14ac:dyDescent="0.35">
      <c r="A1509">
        <v>2022</v>
      </c>
      <c r="B1509" t="s">
        <v>35</v>
      </c>
      <c r="C1509" t="s">
        <v>105</v>
      </c>
      <c r="D1509">
        <v>3</v>
      </c>
      <c r="E1509">
        <v>12</v>
      </c>
    </row>
    <row r="1510" spans="1:5" hidden="1" x14ac:dyDescent="0.35">
      <c r="A1510">
        <v>2022</v>
      </c>
      <c r="B1510" t="s">
        <v>34</v>
      </c>
      <c r="C1510" t="s">
        <v>22</v>
      </c>
      <c r="D1510">
        <v>544</v>
      </c>
      <c r="E1510">
        <v>189</v>
      </c>
    </row>
    <row r="1511" spans="1:5" hidden="1" x14ac:dyDescent="0.35">
      <c r="A1511">
        <v>2022</v>
      </c>
      <c r="B1511" t="s">
        <v>34</v>
      </c>
      <c r="C1511" t="s">
        <v>107</v>
      </c>
      <c r="D1511">
        <v>62</v>
      </c>
      <c r="E1511">
        <v>5</v>
      </c>
    </row>
    <row r="1512" spans="1:5" hidden="1" x14ac:dyDescent="0.35">
      <c r="A1512">
        <v>2022</v>
      </c>
      <c r="B1512" t="s">
        <v>34</v>
      </c>
      <c r="C1512" t="s">
        <v>108</v>
      </c>
      <c r="D1512">
        <v>13</v>
      </c>
      <c r="E1512">
        <v>8</v>
      </c>
    </row>
    <row r="1513" spans="1:5" hidden="1" x14ac:dyDescent="0.35">
      <c r="A1513">
        <v>2022</v>
      </c>
      <c r="B1513" t="s">
        <v>34</v>
      </c>
      <c r="C1513" t="s">
        <v>109</v>
      </c>
      <c r="D1513">
        <v>12</v>
      </c>
      <c r="E1513">
        <v>3</v>
      </c>
    </row>
    <row r="1514" spans="1:5" hidden="1" x14ac:dyDescent="0.35">
      <c r="A1514">
        <v>2022</v>
      </c>
      <c r="B1514" t="s">
        <v>35</v>
      </c>
      <c r="C1514" t="s">
        <v>110</v>
      </c>
      <c r="D1514">
        <v>4</v>
      </c>
      <c r="E1514">
        <v>9</v>
      </c>
    </row>
    <row r="1515" spans="1:5" hidden="1" x14ac:dyDescent="0.35">
      <c r="A1515">
        <v>2022</v>
      </c>
      <c r="B1515" t="s">
        <v>34</v>
      </c>
      <c r="C1515" t="s">
        <v>111</v>
      </c>
      <c r="D1515">
        <v>78</v>
      </c>
      <c r="E1515">
        <v>4</v>
      </c>
    </row>
    <row r="1516" spans="1:5" hidden="1" x14ac:dyDescent="0.35">
      <c r="A1516">
        <v>2022</v>
      </c>
      <c r="B1516" t="s">
        <v>35</v>
      </c>
      <c r="C1516" t="s">
        <v>112</v>
      </c>
      <c r="D1516">
        <v>22</v>
      </c>
      <c r="E1516">
        <v>28</v>
      </c>
    </row>
    <row r="1517" spans="1:5" hidden="1" x14ac:dyDescent="0.35">
      <c r="A1517">
        <v>2022</v>
      </c>
      <c r="B1517" t="s">
        <v>36</v>
      </c>
      <c r="C1517" t="s">
        <v>113</v>
      </c>
      <c r="D1517">
        <v>914</v>
      </c>
      <c r="E1517">
        <v>65</v>
      </c>
    </row>
    <row r="1518" spans="1:5" hidden="1" x14ac:dyDescent="0.35">
      <c r="A1518">
        <v>2022</v>
      </c>
      <c r="B1518" t="s">
        <v>34</v>
      </c>
      <c r="C1518" t="s">
        <v>114</v>
      </c>
      <c r="D1518">
        <v>18</v>
      </c>
      <c r="E1518">
        <v>5</v>
      </c>
    </row>
    <row r="1519" spans="1:5" hidden="1" x14ac:dyDescent="0.35">
      <c r="A1519">
        <v>2022</v>
      </c>
      <c r="B1519" t="s">
        <v>34</v>
      </c>
      <c r="C1519" t="s">
        <v>115</v>
      </c>
      <c r="D1519">
        <v>55</v>
      </c>
      <c r="E1519">
        <v>7</v>
      </c>
    </row>
    <row r="1520" spans="1:5" hidden="1" x14ac:dyDescent="0.35">
      <c r="A1520">
        <v>2022</v>
      </c>
      <c r="B1520" t="s">
        <v>34</v>
      </c>
      <c r="C1520" t="s">
        <v>116</v>
      </c>
      <c r="D1520">
        <v>23</v>
      </c>
      <c r="E1520">
        <v>6</v>
      </c>
    </row>
    <row r="1521" spans="1:5" hidden="1" x14ac:dyDescent="0.35">
      <c r="A1521">
        <v>2022</v>
      </c>
      <c r="B1521" t="s">
        <v>33</v>
      </c>
      <c r="C1521" t="s">
        <v>117</v>
      </c>
      <c r="D1521">
        <v>90</v>
      </c>
      <c r="E1521">
        <v>10</v>
      </c>
    </row>
    <row r="1522" spans="1:5" hidden="1" x14ac:dyDescent="0.35">
      <c r="A1522">
        <v>2022</v>
      </c>
      <c r="B1522" t="s">
        <v>34</v>
      </c>
      <c r="C1522" t="s">
        <v>118</v>
      </c>
      <c r="D1522">
        <v>41</v>
      </c>
      <c r="E1522">
        <v>9</v>
      </c>
    </row>
    <row r="1523" spans="1:5" hidden="1" x14ac:dyDescent="0.35">
      <c r="A1523">
        <v>2022</v>
      </c>
      <c r="B1523" t="s">
        <v>35</v>
      </c>
      <c r="C1523" t="s">
        <v>119</v>
      </c>
      <c r="D1523">
        <v>5</v>
      </c>
    </row>
    <row r="1524" spans="1:5" hidden="1" x14ac:dyDescent="0.35">
      <c r="A1524">
        <v>2022</v>
      </c>
      <c r="B1524" t="s">
        <v>34</v>
      </c>
      <c r="C1524" t="s">
        <v>120</v>
      </c>
      <c r="D1524" t="s">
        <v>205</v>
      </c>
      <c r="E1524" t="s">
        <v>205</v>
      </c>
    </row>
    <row r="1525" spans="1:5" hidden="1" x14ac:dyDescent="0.35">
      <c r="A1525">
        <v>2022</v>
      </c>
      <c r="B1525" t="s">
        <v>34</v>
      </c>
      <c r="C1525" t="s">
        <v>121</v>
      </c>
      <c r="D1525" t="s">
        <v>205</v>
      </c>
      <c r="E1525" t="s">
        <v>205</v>
      </c>
    </row>
    <row r="1526" spans="1:5" hidden="1" x14ac:dyDescent="0.35">
      <c r="A1526">
        <v>2022</v>
      </c>
      <c r="B1526" t="s">
        <v>34</v>
      </c>
      <c r="C1526" t="s">
        <v>122</v>
      </c>
      <c r="D1526">
        <v>7</v>
      </c>
    </row>
    <row r="1527" spans="1:5" hidden="1" x14ac:dyDescent="0.35">
      <c r="A1527">
        <v>2022</v>
      </c>
      <c r="B1527" t="s">
        <v>35</v>
      </c>
      <c r="C1527" t="s">
        <v>123</v>
      </c>
      <c r="D1527">
        <v>5</v>
      </c>
      <c r="E1527">
        <v>3</v>
      </c>
    </row>
    <row r="1528" spans="1:5" hidden="1" x14ac:dyDescent="0.35">
      <c r="A1528">
        <v>2022</v>
      </c>
      <c r="B1528" t="s">
        <v>34</v>
      </c>
      <c r="C1528" t="s">
        <v>124</v>
      </c>
      <c r="D1528">
        <v>28</v>
      </c>
      <c r="E1528">
        <v>3</v>
      </c>
    </row>
    <row r="1529" spans="1:5" hidden="1" x14ac:dyDescent="0.35">
      <c r="A1529">
        <v>2022</v>
      </c>
      <c r="B1529" t="s">
        <v>33</v>
      </c>
      <c r="C1529" t="s">
        <v>125</v>
      </c>
      <c r="D1529" t="s">
        <v>205</v>
      </c>
      <c r="E1529" t="s">
        <v>205</v>
      </c>
    </row>
    <row r="1530" spans="1:5" hidden="1" x14ac:dyDescent="0.35">
      <c r="A1530">
        <v>2022</v>
      </c>
      <c r="B1530" t="s">
        <v>35</v>
      </c>
      <c r="C1530" t="s">
        <v>127</v>
      </c>
      <c r="D1530" t="s">
        <v>205</v>
      </c>
      <c r="E1530" t="s">
        <v>205</v>
      </c>
    </row>
    <row r="1531" spans="1:5" hidden="1" x14ac:dyDescent="0.35">
      <c r="A1531">
        <v>2022</v>
      </c>
      <c r="B1531" t="s">
        <v>34</v>
      </c>
      <c r="C1531" t="s">
        <v>131</v>
      </c>
      <c r="D1531" t="s">
        <v>205</v>
      </c>
      <c r="E1531" t="s">
        <v>205</v>
      </c>
    </row>
    <row r="1532" spans="1:5" hidden="1" x14ac:dyDescent="0.35">
      <c r="A1532">
        <v>2022</v>
      </c>
      <c r="B1532" t="s">
        <v>33</v>
      </c>
      <c r="C1532" t="s">
        <v>132</v>
      </c>
      <c r="D1532">
        <v>5</v>
      </c>
      <c r="E1532">
        <v>5</v>
      </c>
    </row>
    <row r="1533" spans="1:5" hidden="1" x14ac:dyDescent="0.35">
      <c r="A1533">
        <v>2022</v>
      </c>
      <c r="B1533" t="s">
        <v>37</v>
      </c>
      <c r="C1533" t="s">
        <v>134</v>
      </c>
      <c r="D1533">
        <v>0</v>
      </c>
    </row>
    <row r="1534" spans="1:5" hidden="1" x14ac:dyDescent="0.35">
      <c r="A1534">
        <v>2022</v>
      </c>
      <c r="B1534" t="s">
        <v>33</v>
      </c>
      <c r="C1534" t="s">
        <v>135</v>
      </c>
      <c r="D1534">
        <v>0</v>
      </c>
      <c r="E1534">
        <v>4</v>
      </c>
    </row>
    <row r="1535" spans="1:5" hidden="1" x14ac:dyDescent="0.35">
      <c r="A1535">
        <v>2022</v>
      </c>
      <c r="B1535" t="s">
        <v>36</v>
      </c>
      <c r="C1535" t="s">
        <v>14</v>
      </c>
      <c r="D1535">
        <v>40781</v>
      </c>
      <c r="E1535">
        <v>21266</v>
      </c>
    </row>
    <row r="1536" spans="1:5" hidden="1" x14ac:dyDescent="0.35">
      <c r="A1536">
        <v>2022</v>
      </c>
      <c r="B1536" t="s">
        <v>37</v>
      </c>
      <c r="C1536" t="s">
        <v>137</v>
      </c>
      <c r="D1536">
        <v>7</v>
      </c>
    </row>
    <row r="1537" spans="1:5" hidden="1" x14ac:dyDescent="0.35">
      <c r="A1537">
        <v>2022</v>
      </c>
      <c r="B1537" t="s">
        <v>35</v>
      </c>
      <c r="C1537" t="s">
        <v>138</v>
      </c>
      <c r="D1537">
        <v>5</v>
      </c>
      <c r="E1537">
        <v>3</v>
      </c>
    </row>
    <row r="1538" spans="1:5" hidden="1" x14ac:dyDescent="0.35">
      <c r="A1538">
        <v>2022</v>
      </c>
      <c r="B1538" t="s">
        <v>34</v>
      </c>
      <c r="C1538" t="s">
        <v>139</v>
      </c>
      <c r="D1538" t="s">
        <v>205</v>
      </c>
      <c r="E1538" t="s">
        <v>205</v>
      </c>
    </row>
    <row r="1539" spans="1:5" hidden="1" x14ac:dyDescent="0.35">
      <c r="A1539">
        <v>2022</v>
      </c>
      <c r="B1539" t="s">
        <v>35</v>
      </c>
      <c r="C1539" t="s">
        <v>140</v>
      </c>
      <c r="D1539" t="s">
        <v>205</v>
      </c>
    </row>
    <row r="1540" spans="1:5" hidden="1" x14ac:dyDescent="0.35">
      <c r="A1540">
        <v>2022</v>
      </c>
      <c r="B1540" t="s">
        <v>33</v>
      </c>
      <c r="C1540" t="s">
        <v>141</v>
      </c>
      <c r="D1540">
        <v>16</v>
      </c>
      <c r="E1540">
        <v>4</v>
      </c>
    </row>
    <row r="1541" spans="1:5" hidden="1" x14ac:dyDescent="0.35">
      <c r="A1541">
        <v>2022</v>
      </c>
      <c r="B1541" t="s">
        <v>34</v>
      </c>
      <c r="C1541" t="s">
        <v>144</v>
      </c>
      <c r="D1541">
        <v>21</v>
      </c>
      <c r="E1541">
        <v>20</v>
      </c>
    </row>
    <row r="1542" spans="1:5" hidden="1" x14ac:dyDescent="0.35">
      <c r="A1542">
        <v>2022</v>
      </c>
      <c r="B1542" t="s">
        <v>35</v>
      </c>
      <c r="C1542" t="s">
        <v>145</v>
      </c>
      <c r="D1542">
        <v>9</v>
      </c>
      <c r="E1542">
        <v>10</v>
      </c>
    </row>
    <row r="1543" spans="1:5" hidden="1" x14ac:dyDescent="0.35">
      <c r="A1543">
        <v>2022</v>
      </c>
      <c r="B1543" t="s">
        <v>37</v>
      </c>
      <c r="C1543" t="s">
        <v>146</v>
      </c>
      <c r="D1543" t="s">
        <v>205</v>
      </c>
      <c r="E1543" t="s">
        <v>205</v>
      </c>
    </row>
    <row r="1544" spans="1:5" hidden="1" x14ac:dyDescent="0.35">
      <c r="A1544">
        <v>2022</v>
      </c>
      <c r="B1544" t="s">
        <v>36</v>
      </c>
      <c r="C1544" t="s">
        <v>147</v>
      </c>
      <c r="D1544">
        <v>454</v>
      </c>
      <c r="E1544">
        <v>2226</v>
      </c>
    </row>
    <row r="1545" spans="1:5" hidden="1" x14ac:dyDescent="0.35">
      <c r="A1545">
        <v>2022</v>
      </c>
      <c r="B1545" t="s">
        <v>33</v>
      </c>
      <c r="C1545" t="s">
        <v>148</v>
      </c>
      <c r="D1545" t="s">
        <v>205</v>
      </c>
      <c r="E1545" t="s">
        <v>205</v>
      </c>
    </row>
    <row r="1546" spans="1:5" hidden="1" x14ac:dyDescent="0.35">
      <c r="A1546">
        <v>2022</v>
      </c>
      <c r="B1546" t="s">
        <v>33</v>
      </c>
      <c r="C1546" t="s">
        <v>149</v>
      </c>
      <c r="D1546">
        <v>63</v>
      </c>
      <c r="E1546">
        <v>16</v>
      </c>
    </row>
    <row r="1547" spans="1:5" hidden="1" x14ac:dyDescent="0.35">
      <c r="A1547">
        <v>2022</v>
      </c>
      <c r="B1547" t="s">
        <v>35</v>
      </c>
      <c r="C1547" t="s">
        <v>322</v>
      </c>
      <c r="D1547">
        <v>6</v>
      </c>
    </row>
    <row r="1548" spans="1:5" hidden="1" x14ac:dyDescent="0.35">
      <c r="A1548">
        <v>2022</v>
      </c>
      <c r="B1548" t="s">
        <v>35</v>
      </c>
      <c r="C1548" t="s">
        <v>150</v>
      </c>
      <c r="D1548" t="s">
        <v>205</v>
      </c>
      <c r="E1548" t="s">
        <v>205</v>
      </c>
    </row>
    <row r="1549" spans="1:5" hidden="1" x14ac:dyDescent="0.35">
      <c r="A1549">
        <v>2022</v>
      </c>
      <c r="B1549" t="s">
        <v>34</v>
      </c>
      <c r="C1549" t="s">
        <v>152</v>
      </c>
      <c r="D1549">
        <v>65</v>
      </c>
      <c r="E1549">
        <v>37</v>
      </c>
    </row>
    <row r="1550" spans="1:5" hidden="1" x14ac:dyDescent="0.35">
      <c r="A1550">
        <v>2022</v>
      </c>
      <c r="B1550" t="s">
        <v>37</v>
      </c>
      <c r="C1550" t="s">
        <v>153</v>
      </c>
      <c r="D1550">
        <v>3</v>
      </c>
    </row>
    <row r="1551" spans="1:5" hidden="1" x14ac:dyDescent="0.35">
      <c r="A1551">
        <v>2022</v>
      </c>
      <c r="B1551" t="s">
        <v>36</v>
      </c>
      <c r="C1551" t="s">
        <v>154</v>
      </c>
      <c r="D1551">
        <v>120</v>
      </c>
      <c r="E1551">
        <v>16</v>
      </c>
    </row>
    <row r="1552" spans="1:5" hidden="1" x14ac:dyDescent="0.35">
      <c r="A1552">
        <v>2022</v>
      </c>
      <c r="B1552" t="s">
        <v>38</v>
      </c>
      <c r="C1552" t="s">
        <v>155</v>
      </c>
      <c r="D1552" t="s">
        <v>205</v>
      </c>
      <c r="E1552" t="s">
        <v>205</v>
      </c>
    </row>
    <row r="1553" spans="1:5" hidden="1" x14ac:dyDescent="0.35">
      <c r="A1553">
        <v>2022</v>
      </c>
      <c r="B1553" t="s">
        <v>38</v>
      </c>
      <c r="C1553" t="s">
        <v>156</v>
      </c>
      <c r="D1553">
        <v>547</v>
      </c>
      <c r="E1553">
        <v>811</v>
      </c>
    </row>
    <row r="1554" spans="1:5" hidden="1" x14ac:dyDescent="0.35">
      <c r="A1554">
        <v>2022</v>
      </c>
      <c r="B1554" t="s">
        <v>34</v>
      </c>
      <c r="C1554" t="s">
        <v>18</v>
      </c>
      <c r="D1554">
        <v>435</v>
      </c>
      <c r="E1554">
        <v>16</v>
      </c>
    </row>
    <row r="1555" spans="1:5" hidden="1" x14ac:dyDescent="0.35">
      <c r="A1555">
        <v>2022</v>
      </c>
      <c r="B1555" t="s">
        <v>35</v>
      </c>
      <c r="C1555" t="s">
        <v>157</v>
      </c>
      <c r="D1555">
        <v>45</v>
      </c>
      <c r="E1555">
        <v>19</v>
      </c>
    </row>
    <row r="1556" spans="1:5" hidden="1" x14ac:dyDescent="0.35">
      <c r="A1556">
        <v>2022</v>
      </c>
      <c r="B1556" t="s">
        <v>35</v>
      </c>
      <c r="C1556" t="s">
        <v>158</v>
      </c>
      <c r="D1556">
        <v>12</v>
      </c>
      <c r="E1556">
        <v>15</v>
      </c>
    </row>
    <row r="1557" spans="1:5" hidden="1" x14ac:dyDescent="0.35">
      <c r="A1557">
        <v>2022</v>
      </c>
      <c r="B1557" t="s">
        <v>35</v>
      </c>
      <c r="C1557" t="s">
        <v>160</v>
      </c>
      <c r="D1557">
        <v>152</v>
      </c>
      <c r="E1557">
        <v>66</v>
      </c>
    </row>
    <row r="1558" spans="1:5" hidden="1" x14ac:dyDescent="0.35">
      <c r="A1558">
        <v>2022</v>
      </c>
      <c r="B1558" t="s">
        <v>35</v>
      </c>
      <c r="C1558" t="s">
        <v>161</v>
      </c>
      <c r="D1558">
        <v>73</v>
      </c>
      <c r="E1558">
        <v>50</v>
      </c>
    </row>
    <row r="1559" spans="1:5" hidden="1" x14ac:dyDescent="0.35">
      <c r="A1559">
        <v>2022</v>
      </c>
      <c r="B1559" t="s">
        <v>33</v>
      </c>
      <c r="C1559" t="s">
        <v>162</v>
      </c>
      <c r="D1559" t="s">
        <v>205</v>
      </c>
      <c r="E1559" t="s">
        <v>205</v>
      </c>
    </row>
    <row r="1560" spans="1:5" hidden="1" x14ac:dyDescent="0.35">
      <c r="A1560">
        <v>2022</v>
      </c>
      <c r="B1560" t="s">
        <v>36</v>
      </c>
      <c r="C1560" t="s">
        <v>163</v>
      </c>
      <c r="D1560">
        <v>6</v>
      </c>
    </row>
    <row r="1561" spans="1:5" hidden="1" x14ac:dyDescent="0.35">
      <c r="A1561">
        <v>2022</v>
      </c>
      <c r="B1561" t="s">
        <v>36</v>
      </c>
      <c r="C1561" t="s">
        <v>164</v>
      </c>
      <c r="D1561" t="s">
        <v>205</v>
      </c>
      <c r="E1561" t="s">
        <v>205</v>
      </c>
    </row>
    <row r="1562" spans="1:5" hidden="1" x14ac:dyDescent="0.35">
      <c r="A1562">
        <v>2022</v>
      </c>
      <c r="B1562" t="s">
        <v>36</v>
      </c>
      <c r="C1562" t="s">
        <v>165</v>
      </c>
      <c r="D1562">
        <v>10</v>
      </c>
      <c r="E1562">
        <v>3</v>
      </c>
    </row>
    <row r="1563" spans="1:5" hidden="1" x14ac:dyDescent="0.35">
      <c r="A1563">
        <v>2022</v>
      </c>
      <c r="B1563" t="s">
        <v>37</v>
      </c>
      <c r="C1563" t="s">
        <v>166</v>
      </c>
      <c r="D1563">
        <v>0</v>
      </c>
    </row>
    <row r="1564" spans="1:5" hidden="1" x14ac:dyDescent="0.35">
      <c r="A1564">
        <v>2022</v>
      </c>
      <c r="B1564" t="s">
        <v>34</v>
      </c>
      <c r="C1564" t="s">
        <v>167</v>
      </c>
      <c r="D1564">
        <v>12</v>
      </c>
      <c r="E1564">
        <v>6</v>
      </c>
    </row>
    <row r="1565" spans="1:5" hidden="1" x14ac:dyDescent="0.35">
      <c r="A1565">
        <v>2022</v>
      </c>
      <c r="B1565" t="s">
        <v>33</v>
      </c>
      <c r="C1565" t="s">
        <v>168</v>
      </c>
      <c r="D1565">
        <v>12</v>
      </c>
      <c r="E1565">
        <v>17</v>
      </c>
    </row>
    <row r="1566" spans="1:5" hidden="1" x14ac:dyDescent="0.35">
      <c r="A1566">
        <v>2022</v>
      </c>
      <c r="B1566" t="s">
        <v>35</v>
      </c>
      <c r="C1566" t="s">
        <v>169</v>
      </c>
      <c r="D1566" t="s">
        <v>205</v>
      </c>
      <c r="E1566" t="s">
        <v>205</v>
      </c>
    </row>
    <row r="1567" spans="1:5" hidden="1" x14ac:dyDescent="0.35">
      <c r="A1567">
        <v>2022</v>
      </c>
      <c r="B1567" t="s">
        <v>33</v>
      </c>
      <c r="C1567" t="s">
        <v>170</v>
      </c>
      <c r="D1567">
        <v>10</v>
      </c>
    </row>
    <row r="1568" spans="1:5" hidden="1" x14ac:dyDescent="0.35">
      <c r="A1568">
        <v>2022</v>
      </c>
      <c r="B1568" t="s">
        <v>34</v>
      </c>
      <c r="C1568" t="s">
        <v>171</v>
      </c>
      <c r="D1568" t="s">
        <v>205</v>
      </c>
      <c r="E1568" t="s">
        <v>205</v>
      </c>
    </row>
    <row r="1569" spans="1:5" hidden="1" x14ac:dyDescent="0.35">
      <c r="A1569">
        <v>2022</v>
      </c>
      <c r="B1569" t="s">
        <v>35</v>
      </c>
      <c r="C1569" t="s">
        <v>172</v>
      </c>
      <c r="D1569" t="s">
        <v>205</v>
      </c>
    </row>
    <row r="1570" spans="1:5" hidden="1" x14ac:dyDescent="0.35">
      <c r="A1570">
        <v>2022</v>
      </c>
      <c r="B1570" t="s">
        <v>33</v>
      </c>
      <c r="C1570" t="s">
        <v>174</v>
      </c>
      <c r="D1570">
        <v>5</v>
      </c>
      <c r="E1570">
        <v>5</v>
      </c>
    </row>
    <row r="1571" spans="1:5" hidden="1" x14ac:dyDescent="0.35">
      <c r="A1571">
        <v>2022</v>
      </c>
      <c r="B1571" t="s">
        <v>33</v>
      </c>
      <c r="C1571" t="s">
        <v>175</v>
      </c>
      <c r="D1571" t="s">
        <v>205</v>
      </c>
      <c r="E1571" t="s">
        <v>205</v>
      </c>
    </row>
    <row r="1572" spans="1:5" hidden="1" x14ac:dyDescent="0.35">
      <c r="A1572">
        <v>2022</v>
      </c>
      <c r="B1572" t="s">
        <v>33</v>
      </c>
      <c r="C1572" t="s">
        <v>176</v>
      </c>
      <c r="D1572">
        <v>3</v>
      </c>
    </row>
    <row r="1573" spans="1:5" hidden="1" x14ac:dyDescent="0.35">
      <c r="A1573">
        <v>2022</v>
      </c>
      <c r="B1573" t="s">
        <v>35</v>
      </c>
      <c r="C1573" t="s">
        <v>177</v>
      </c>
      <c r="D1573">
        <v>23</v>
      </c>
      <c r="E1573">
        <v>77</v>
      </c>
    </row>
    <row r="1574" spans="1:5" hidden="1" x14ac:dyDescent="0.35">
      <c r="A1574">
        <v>2022</v>
      </c>
      <c r="B1574" t="s">
        <v>34</v>
      </c>
      <c r="C1574" t="s">
        <v>178</v>
      </c>
      <c r="D1574">
        <v>17</v>
      </c>
      <c r="E1574">
        <v>42</v>
      </c>
    </row>
    <row r="1575" spans="1:5" hidden="1" x14ac:dyDescent="0.35">
      <c r="A1575">
        <v>2022</v>
      </c>
      <c r="B1575" t="s">
        <v>33</v>
      </c>
      <c r="C1575" t="s">
        <v>179</v>
      </c>
      <c r="D1575">
        <v>6</v>
      </c>
    </row>
    <row r="1576" spans="1:5" hidden="1" x14ac:dyDescent="0.35">
      <c r="A1576">
        <v>2022</v>
      </c>
      <c r="B1576" t="s">
        <v>38</v>
      </c>
      <c r="C1576" t="s">
        <v>180</v>
      </c>
      <c r="D1576">
        <v>8</v>
      </c>
    </row>
    <row r="1577" spans="1:5" hidden="1" x14ac:dyDescent="0.35">
      <c r="A1577">
        <v>2022</v>
      </c>
      <c r="B1577" t="s">
        <v>35</v>
      </c>
      <c r="C1577" t="s">
        <v>182</v>
      </c>
      <c r="D1577" t="s">
        <v>205</v>
      </c>
      <c r="E1577" t="s">
        <v>205</v>
      </c>
    </row>
    <row r="1578" spans="1:5" hidden="1" x14ac:dyDescent="0.35">
      <c r="A1578">
        <v>2022</v>
      </c>
      <c r="B1578" t="s">
        <v>34</v>
      </c>
      <c r="C1578" t="s">
        <v>184</v>
      </c>
      <c r="D1578" t="s">
        <v>205</v>
      </c>
      <c r="E1578" t="s">
        <v>205</v>
      </c>
    </row>
    <row r="1579" spans="1:5" hidden="1" x14ac:dyDescent="0.35">
      <c r="A1579">
        <v>2022</v>
      </c>
      <c r="B1579" t="s">
        <v>34</v>
      </c>
      <c r="C1579" t="s">
        <v>185</v>
      </c>
      <c r="D1579">
        <v>32</v>
      </c>
      <c r="E1579">
        <v>13</v>
      </c>
    </row>
    <row r="1580" spans="1:5" hidden="1" x14ac:dyDescent="0.35">
      <c r="A1580">
        <v>2022</v>
      </c>
      <c r="B1580" t="s">
        <v>34</v>
      </c>
      <c r="C1580" t="s">
        <v>186</v>
      </c>
      <c r="D1580" t="s">
        <v>205</v>
      </c>
      <c r="E1580" t="s">
        <v>205</v>
      </c>
    </row>
    <row r="1581" spans="1:5" hidden="1" x14ac:dyDescent="0.35">
      <c r="A1581">
        <v>2022</v>
      </c>
      <c r="B1581" t="s">
        <v>33</v>
      </c>
      <c r="C1581" t="s">
        <v>187</v>
      </c>
      <c r="D1581" t="s">
        <v>205</v>
      </c>
      <c r="E1581" t="s">
        <v>205</v>
      </c>
    </row>
    <row r="1582" spans="1:5" hidden="1" x14ac:dyDescent="0.35">
      <c r="A1582">
        <v>2022</v>
      </c>
      <c r="B1582" t="s">
        <v>34</v>
      </c>
      <c r="C1582" t="s">
        <v>188</v>
      </c>
      <c r="D1582">
        <v>106</v>
      </c>
      <c r="E1582">
        <v>4</v>
      </c>
    </row>
    <row r="1583" spans="1:5" hidden="1" x14ac:dyDescent="0.35">
      <c r="A1583">
        <v>2022</v>
      </c>
      <c r="B1583" t="s">
        <v>33</v>
      </c>
      <c r="C1583" t="s">
        <v>189</v>
      </c>
      <c r="D1583" t="s">
        <v>205</v>
      </c>
      <c r="E1583" t="s">
        <v>205</v>
      </c>
    </row>
    <row r="1584" spans="1:5" hidden="1" x14ac:dyDescent="0.35">
      <c r="A1584">
        <v>2022</v>
      </c>
      <c r="B1584" t="s">
        <v>37</v>
      </c>
      <c r="C1584" t="s">
        <v>190</v>
      </c>
      <c r="D1584">
        <v>4</v>
      </c>
    </row>
    <row r="1585" spans="1:5" hidden="1" x14ac:dyDescent="0.35">
      <c r="A1585">
        <v>2022</v>
      </c>
      <c r="B1585" t="s">
        <v>36</v>
      </c>
      <c r="C1585" t="s">
        <v>191</v>
      </c>
      <c r="D1585">
        <v>75</v>
      </c>
      <c r="E1585">
        <v>6</v>
      </c>
    </row>
    <row r="1586" spans="1:5" hidden="1" x14ac:dyDescent="0.35">
      <c r="A1586">
        <v>2022</v>
      </c>
      <c r="B1586" t="s">
        <v>33</v>
      </c>
      <c r="C1586" t="s">
        <v>192</v>
      </c>
      <c r="D1586">
        <v>5</v>
      </c>
    </row>
    <row r="1587" spans="1:5" hidden="1" x14ac:dyDescent="0.35">
      <c r="A1587">
        <v>2022</v>
      </c>
      <c r="B1587" t="s">
        <v>34</v>
      </c>
      <c r="C1587" t="s">
        <v>193</v>
      </c>
      <c r="D1587">
        <v>78</v>
      </c>
      <c r="E1587">
        <v>136</v>
      </c>
    </row>
    <row r="1588" spans="1:5" hidden="1" x14ac:dyDescent="0.35">
      <c r="A1588">
        <v>2022</v>
      </c>
      <c r="B1588" t="s">
        <v>34</v>
      </c>
      <c r="C1588" t="s">
        <v>194</v>
      </c>
      <c r="D1588">
        <v>0</v>
      </c>
      <c r="E1588" t="s">
        <v>205</v>
      </c>
    </row>
    <row r="1589" spans="1:5" hidden="1" x14ac:dyDescent="0.35">
      <c r="A1589">
        <v>2022</v>
      </c>
      <c r="B1589" t="s">
        <v>33</v>
      </c>
      <c r="C1589" t="s">
        <v>195</v>
      </c>
      <c r="D1589" t="s">
        <v>205</v>
      </c>
      <c r="E1589" t="s">
        <v>205</v>
      </c>
    </row>
    <row r="1590" spans="1:5" hidden="1" x14ac:dyDescent="0.35">
      <c r="A1590">
        <v>2022</v>
      </c>
      <c r="B1590" t="s">
        <v>35</v>
      </c>
      <c r="C1590" t="s">
        <v>196</v>
      </c>
      <c r="D1590">
        <v>27</v>
      </c>
      <c r="E1590">
        <v>15</v>
      </c>
    </row>
    <row r="1591" spans="1:5" hidden="1" x14ac:dyDescent="0.35">
      <c r="A1591">
        <v>2022</v>
      </c>
      <c r="B1591" t="s">
        <v>35</v>
      </c>
      <c r="C1591" t="s">
        <v>198</v>
      </c>
      <c r="D1591">
        <v>65</v>
      </c>
      <c r="E1591">
        <v>29</v>
      </c>
    </row>
    <row r="1592" spans="1:5" hidden="1" x14ac:dyDescent="0.35">
      <c r="A1592">
        <v>2022</v>
      </c>
      <c r="B1592" t="s">
        <v>39</v>
      </c>
      <c r="C1592" t="s">
        <v>39</v>
      </c>
      <c r="D1592">
        <v>12</v>
      </c>
      <c r="E1592">
        <v>4</v>
      </c>
    </row>
    <row r="1593" spans="1:5" hidden="1" x14ac:dyDescent="0.35">
      <c r="A1593">
        <v>2022</v>
      </c>
      <c r="B1593" t="s">
        <v>38</v>
      </c>
      <c r="C1593" t="s">
        <v>199</v>
      </c>
      <c r="D1593">
        <v>22</v>
      </c>
      <c r="E1593">
        <v>5</v>
      </c>
    </row>
    <row r="1594" spans="1:5" hidden="1" x14ac:dyDescent="0.35">
      <c r="A1594">
        <v>2022</v>
      </c>
      <c r="B1594" t="s">
        <v>34</v>
      </c>
      <c r="C1594" t="s">
        <v>200</v>
      </c>
      <c r="D1594">
        <v>5</v>
      </c>
      <c r="E1594">
        <v>47</v>
      </c>
    </row>
    <row r="1595" spans="1:5" hidden="1" x14ac:dyDescent="0.35">
      <c r="A1595">
        <v>2022</v>
      </c>
      <c r="B1595" t="s">
        <v>38</v>
      </c>
      <c r="C1595" t="s">
        <v>19</v>
      </c>
      <c r="D1595">
        <v>381</v>
      </c>
      <c r="E1595">
        <v>107</v>
      </c>
    </row>
    <row r="1596" spans="1:5" hidden="1" x14ac:dyDescent="0.35">
      <c r="A1596">
        <v>2022</v>
      </c>
      <c r="B1596" t="s">
        <v>34</v>
      </c>
      <c r="C1596" t="s">
        <v>201</v>
      </c>
      <c r="D1596">
        <v>26</v>
      </c>
      <c r="E1596">
        <v>5</v>
      </c>
    </row>
    <row r="1597" spans="1:5" hidden="1" x14ac:dyDescent="0.35">
      <c r="A1597">
        <v>2022</v>
      </c>
      <c r="B1597" t="s">
        <v>34</v>
      </c>
      <c r="C1597" t="s">
        <v>202</v>
      </c>
      <c r="D1597">
        <v>9</v>
      </c>
      <c r="E1597">
        <v>9</v>
      </c>
    </row>
    <row r="1598" spans="1:5" hidden="1" x14ac:dyDescent="0.35">
      <c r="A1598">
        <v>2022</v>
      </c>
      <c r="B1598" t="s">
        <v>33</v>
      </c>
      <c r="C1598" t="s">
        <v>203</v>
      </c>
      <c r="D1598">
        <v>11</v>
      </c>
    </row>
    <row r="1599" spans="1:5" hidden="1" x14ac:dyDescent="0.35">
      <c r="A1599">
        <v>2022</v>
      </c>
      <c r="B1599" t="s">
        <v>33</v>
      </c>
      <c r="C1599" t="s">
        <v>204</v>
      </c>
      <c r="D1599">
        <v>11</v>
      </c>
    </row>
    <row r="1601" spans="1:1" x14ac:dyDescent="0.35">
      <c r="A1601" s="16" t="s">
        <v>207</v>
      </c>
    </row>
    <row r="1602" spans="1:1" x14ac:dyDescent="0.35">
      <c r="A1602" s="16" t="s">
        <v>332</v>
      </c>
    </row>
    <row r="1603" spans="1:1" x14ac:dyDescent="0.35">
      <c r="A1603" s="16" t="s">
        <v>360</v>
      </c>
    </row>
    <row r="1604" spans="1:1" x14ac:dyDescent="0.35">
      <c r="A1604" s="16" t="s">
        <v>334</v>
      </c>
    </row>
    <row r="1605" spans="1:1" x14ac:dyDescent="0.35">
      <c r="A1605" s="17" t="s">
        <v>32</v>
      </c>
    </row>
    <row r="1606" spans="1:1" x14ac:dyDescent="0.35">
      <c r="A1606" s="21" t="s">
        <v>326</v>
      </c>
    </row>
    <row r="1607" spans="1:1" x14ac:dyDescent="0.35">
      <c r="A1607" s="21" t="s">
        <v>327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B96A-0BE8-4BD8-BFA7-3C232C013626}">
  <dimension ref="A1:I1803"/>
  <sheetViews>
    <sheetView workbookViewId="0">
      <selection activeCell="C1" sqref="C1"/>
    </sheetView>
  </sheetViews>
  <sheetFormatPr defaultRowHeight="14.5" x14ac:dyDescent="0.35"/>
  <cols>
    <col min="1" max="1" width="9.453125" customWidth="1"/>
    <col min="2" max="2" width="16.6328125" customWidth="1"/>
    <col min="3" max="3" width="19.81640625" customWidth="1"/>
    <col min="4" max="4" width="21.36328125" customWidth="1"/>
    <col min="6" max="6" width="25.6328125" bestFit="1" customWidth="1"/>
  </cols>
  <sheetData>
    <row r="1" spans="1:4" x14ac:dyDescent="0.35">
      <c r="A1" t="s">
        <v>24</v>
      </c>
      <c r="B1" t="s">
        <v>217</v>
      </c>
      <c r="C1" t="s">
        <v>13</v>
      </c>
      <c r="D1" t="s">
        <v>218</v>
      </c>
    </row>
    <row r="2" spans="1:4" x14ac:dyDescent="0.35">
      <c r="B2" t="s">
        <v>37</v>
      </c>
      <c r="C2" t="s">
        <v>393</v>
      </c>
    </row>
    <row r="3" spans="1:4" x14ac:dyDescent="0.35">
      <c r="B3" t="s">
        <v>36</v>
      </c>
      <c r="C3" t="s">
        <v>392</v>
      </c>
    </row>
    <row r="4" spans="1:4" x14ac:dyDescent="0.35">
      <c r="B4" t="s">
        <v>34</v>
      </c>
      <c r="C4" t="s">
        <v>58</v>
      </c>
    </row>
    <row r="5" spans="1:4" x14ac:dyDescent="0.35">
      <c r="B5" t="s">
        <v>33</v>
      </c>
      <c r="C5" t="s">
        <v>61</v>
      </c>
    </row>
    <row r="6" spans="1:4" x14ac:dyDescent="0.35">
      <c r="B6" t="s">
        <v>34</v>
      </c>
      <c r="C6" t="s">
        <v>80</v>
      </c>
    </row>
    <row r="7" spans="1:4" x14ac:dyDescent="0.35">
      <c r="B7" t="s">
        <v>33</v>
      </c>
      <c r="C7" t="s">
        <v>83</v>
      </c>
    </row>
    <row r="8" spans="1:4" x14ac:dyDescent="0.35">
      <c r="B8" t="s">
        <v>35</v>
      </c>
      <c r="C8" t="s">
        <v>93</v>
      </c>
    </row>
    <row r="9" spans="1:4" x14ac:dyDescent="0.35">
      <c r="B9" t="s">
        <v>37</v>
      </c>
      <c r="C9" t="s">
        <v>391</v>
      </c>
    </row>
    <row r="10" spans="1:4" x14ac:dyDescent="0.35">
      <c r="B10" t="s">
        <v>37</v>
      </c>
      <c r="C10" t="s">
        <v>390</v>
      </c>
    </row>
    <row r="11" spans="1:4" x14ac:dyDescent="0.35">
      <c r="B11" t="s">
        <v>37</v>
      </c>
      <c r="C11" t="s">
        <v>386</v>
      </c>
    </row>
    <row r="12" spans="1:4" x14ac:dyDescent="0.35">
      <c r="B12" t="s">
        <v>35</v>
      </c>
      <c r="C12" t="s">
        <v>128</v>
      </c>
    </row>
    <row r="13" spans="1:4" x14ac:dyDescent="0.35">
      <c r="B13" t="s">
        <v>34</v>
      </c>
      <c r="C13" t="s">
        <v>389</v>
      </c>
    </row>
    <row r="14" spans="1:4" x14ac:dyDescent="0.35">
      <c r="B14" t="s">
        <v>33</v>
      </c>
      <c r="C14" t="s">
        <v>136</v>
      </c>
    </row>
    <row r="15" spans="1:4" x14ac:dyDescent="0.35">
      <c r="B15" t="s">
        <v>33</v>
      </c>
      <c r="C15" t="s">
        <v>142</v>
      </c>
    </row>
    <row r="16" spans="1:4" x14ac:dyDescent="0.35">
      <c r="B16" t="s">
        <v>33</v>
      </c>
      <c r="C16" t="s">
        <v>143</v>
      </c>
    </row>
    <row r="17" spans="1:4" x14ac:dyDescent="0.35">
      <c r="B17" t="s">
        <v>34</v>
      </c>
      <c r="C17" t="s">
        <v>151</v>
      </c>
    </row>
    <row r="18" spans="1:4" x14ac:dyDescent="0.35">
      <c r="B18" t="s">
        <v>34</v>
      </c>
      <c r="C18" t="s">
        <v>159</v>
      </c>
    </row>
    <row r="19" spans="1:4" x14ac:dyDescent="0.35">
      <c r="B19" t="s">
        <v>37</v>
      </c>
      <c r="C19" t="s">
        <v>388</v>
      </c>
    </row>
    <row r="20" spans="1:4" x14ac:dyDescent="0.35">
      <c r="B20" t="s">
        <v>33</v>
      </c>
      <c r="C20" t="s">
        <v>181</v>
      </c>
    </row>
    <row r="21" spans="1:4" x14ac:dyDescent="0.35">
      <c r="B21" t="s">
        <v>33</v>
      </c>
      <c r="C21" t="s">
        <v>129</v>
      </c>
    </row>
    <row r="22" spans="1:4" x14ac:dyDescent="0.35">
      <c r="B22" t="s">
        <v>37</v>
      </c>
      <c r="C22" t="s">
        <v>387</v>
      </c>
    </row>
    <row r="23" spans="1:4" x14ac:dyDescent="0.35">
      <c r="A23">
        <v>2004</v>
      </c>
      <c r="B23" t="s">
        <v>34</v>
      </c>
      <c r="C23" t="s">
        <v>40</v>
      </c>
      <c r="D23">
        <v>57</v>
      </c>
    </row>
    <row r="24" spans="1:4" x14ac:dyDescent="0.35">
      <c r="A24">
        <v>2004</v>
      </c>
      <c r="B24" t="s">
        <v>35</v>
      </c>
      <c r="C24" t="s">
        <v>41</v>
      </c>
      <c r="D24">
        <v>163</v>
      </c>
    </row>
    <row r="25" spans="1:4" x14ac:dyDescent="0.35">
      <c r="A25">
        <v>2004</v>
      </c>
      <c r="B25" t="s">
        <v>33</v>
      </c>
      <c r="C25" t="s">
        <v>42</v>
      </c>
      <c r="D25">
        <v>49</v>
      </c>
    </row>
    <row r="26" spans="1:4" x14ac:dyDescent="0.35">
      <c r="A26">
        <v>2004</v>
      </c>
      <c r="C26" t="s">
        <v>373</v>
      </c>
      <c r="D26">
        <v>24</v>
      </c>
    </row>
    <row r="27" spans="1:4" x14ac:dyDescent="0.35">
      <c r="A27">
        <v>2004</v>
      </c>
      <c r="B27" t="s">
        <v>33</v>
      </c>
      <c r="C27" t="s">
        <v>43</v>
      </c>
      <c r="D27">
        <v>10</v>
      </c>
    </row>
    <row r="28" spans="1:4" x14ac:dyDescent="0.35">
      <c r="A28">
        <v>2004</v>
      </c>
      <c r="B28" t="s">
        <v>36</v>
      </c>
      <c r="C28" t="s">
        <v>44</v>
      </c>
      <c r="D28">
        <v>14</v>
      </c>
    </row>
    <row r="29" spans="1:4" x14ac:dyDescent="0.35">
      <c r="A29">
        <v>2004</v>
      </c>
      <c r="B29" t="s">
        <v>38</v>
      </c>
      <c r="C29" t="s">
        <v>45</v>
      </c>
      <c r="D29">
        <v>325</v>
      </c>
    </row>
    <row r="30" spans="1:4" x14ac:dyDescent="0.35">
      <c r="A30">
        <v>2004</v>
      </c>
      <c r="B30" t="s">
        <v>34</v>
      </c>
      <c r="C30" t="s">
        <v>46</v>
      </c>
      <c r="D30">
        <v>55</v>
      </c>
    </row>
    <row r="31" spans="1:4" x14ac:dyDescent="0.35">
      <c r="A31">
        <v>2004</v>
      </c>
      <c r="B31" t="s">
        <v>37</v>
      </c>
      <c r="C31" t="s">
        <v>47</v>
      </c>
      <c r="D31">
        <v>54</v>
      </c>
    </row>
    <row r="32" spans="1:4" x14ac:dyDescent="0.35">
      <c r="A32">
        <v>2004</v>
      </c>
      <c r="B32" t="s">
        <v>35</v>
      </c>
      <c r="C32" t="s">
        <v>48</v>
      </c>
      <c r="D32">
        <v>12</v>
      </c>
    </row>
    <row r="33" spans="1:4" x14ac:dyDescent="0.35">
      <c r="A33">
        <v>2004</v>
      </c>
      <c r="B33" t="s">
        <v>34</v>
      </c>
      <c r="C33" t="s">
        <v>49</v>
      </c>
      <c r="D33">
        <v>7</v>
      </c>
    </row>
    <row r="34" spans="1:4" x14ac:dyDescent="0.35">
      <c r="A34">
        <v>2004</v>
      </c>
      <c r="B34" t="s">
        <v>36</v>
      </c>
      <c r="C34" t="s">
        <v>50</v>
      </c>
      <c r="D34">
        <v>68</v>
      </c>
    </row>
    <row r="35" spans="1:4" x14ac:dyDescent="0.35">
      <c r="A35">
        <v>2004</v>
      </c>
      <c r="B35" t="s">
        <v>34</v>
      </c>
      <c r="C35" t="s">
        <v>51</v>
      </c>
      <c r="D35">
        <v>11</v>
      </c>
    </row>
    <row r="36" spans="1:4" x14ac:dyDescent="0.35">
      <c r="A36">
        <v>2004</v>
      </c>
      <c r="B36" t="s">
        <v>34</v>
      </c>
      <c r="C36" t="s">
        <v>52</v>
      </c>
      <c r="D36">
        <v>138</v>
      </c>
    </row>
    <row r="37" spans="1:4" x14ac:dyDescent="0.35">
      <c r="A37">
        <v>2004</v>
      </c>
      <c r="B37" t="s">
        <v>36</v>
      </c>
      <c r="C37" t="s">
        <v>53</v>
      </c>
      <c r="D37">
        <v>31</v>
      </c>
    </row>
    <row r="38" spans="1:4" x14ac:dyDescent="0.35">
      <c r="A38">
        <v>2004</v>
      </c>
      <c r="B38" t="s">
        <v>35</v>
      </c>
      <c r="C38" t="s">
        <v>54</v>
      </c>
      <c r="D38">
        <v>25</v>
      </c>
    </row>
    <row r="39" spans="1:4" x14ac:dyDescent="0.35">
      <c r="A39">
        <v>2004</v>
      </c>
      <c r="B39" t="s">
        <v>35</v>
      </c>
      <c r="C39" t="s">
        <v>55</v>
      </c>
      <c r="D39">
        <v>9</v>
      </c>
    </row>
    <row r="40" spans="1:4" x14ac:dyDescent="0.35">
      <c r="A40">
        <v>2004</v>
      </c>
      <c r="B40" t="s">
        <v>36</v>
      </c>
      <c r="C40" t="s">
        <v>56</v>
      </c>
      <c r="D40">
        <v>151</v>
      </c>
    </row>
    <row r="41" spans="1:4" x14ac:dyDescent="0.35">
      <c r="A41">
        <v>2004</v>
      </c>
      <c r="B41" t="s">
        <v>33</v>
      </c>
      <c r="C41" t="s">
        <v>57</v>
      </c>
      <c r="D41">
        <v>9</v>
      </c>
    </row>
    <row r="42" spans="1:4" x14ac:dyDescent="0.35">
      <c r="A42">
        <v>2004</v>
      </c>
      <c r="B42" t="s">
        <v>36</v>
      </c>
      <c r="C42" t="s">
        <v>363</v>
      </c>
      <c r="D42">
        <v>4</v>
      </c>
    </row>
    <row r="43" spans="1:4" x14ac:dyDescent="0.35">
      <c r="A43">
        <v>2004</v>
      </c>
      <c r="B43" t="s">
        <v>38</v>
      </c>
      <c r="C43" t="s">
        <v>59</v>
      </c>
      <c r="D43">
        <v>221</v>
      </c>
    </row>
    <row r="44" spans="1:4" x14ac:dyDescent="0.35">
      <c r="A44">
        <v>2004</v>
      </c>
      <c r="B44" t="s">
        <v>35</v>
      </c>
      <c r="C44" t="s">
        <v>60</v>
      </c>
      <c r="D44">
        <v>43</v>
      </c>
    </row>
    <row r="45" spans="1:4" x14ac:dyDescent="0.35">
      <c r="A45">
        <v>2004</v>
      </c>
      <c r="B45" t="s">
        <v>38</v>
      </c>
      <c r="C45" t="s">
        <v>21</v>
      </c>
      <c r="D45">
        <v>10082</v>
      </c>
    </row>
    <row r="46" spans="1:4" x14ac:dyDescent="0.35">
      <c r="A46">
        <v>2004</v>
      </c>
      <c r="B46" t="s">
        <v>36</v>
      </c>
      <c r="C46" t="s">
        <v>364</v>
      </c>
      <c r="D46" t="s">
        <v>205</v>
      </c>
    </row>
    <row r="47" spans="1:4" x14ac:dyDescent="0.35">
      <c r="A47">
        <v>2004</v>
      </c>
      <c r="B47" t="s">
        <v>35</v>
      </c>
      <c r="C47" t="s">
        <v>62</v>
      </c>
      <c r="D47">
        <v>82</v>
      </c>
    </row>
    <row r="48" spans="1:4" x14ac:dyDescent="0.35">
      <c r="A48">
        <v>2004</v>
      </c>
      <c r="B48" t="s">
        <v>33</v>
      </c>
      <c r="C48" t="s">
        <v>63</v>
      </c>
      <c r="D48">
        <v>8</v>
      </c>
    </row>
    <row r="49" spans="1:4" x14ac:dyDescent="0.35">
      <c r="A49">
        <v>2004</v>
      </c>
      <c r="B49" t="s">
        <v>34</v>
      </c>
      <c r="C49" t="s">
        <v>64</v>
      </c>
      <c r="D49">
        <v>9</v>
      </c>
    </row>
    <row r="50" spans="1:4" x14ac:dyDescent="0.35">
      <c r="A50">
        <v>2004</v>
      </c>
      <c r="B50" t="s">
        <v>33</v>
      </c>
      <c r="C50" t="s">
        <v>65</v>
      </c>
      <c r="D50" t="s">
        <v>205</v>
      </c>
    </row>
    <row r="51" spans="1:4" x14ac:dyDescent="0.35">
      <c r="A51">
        <v>2004</v>
      </c>
      <c r="B51" t="s">
        <v>33</v>
      </c>
      <c r="C51" t="s">
        <v>66</v>
      </c>
      <c r="D51">
        <v>102</v>
      </c>
    </row>
    <row r="52" spans="1:4" x14ac:dyDescent="0.35">
      <c r="A52">
        <v>2004</v>
      </c>
      <c r="B52" t="s">
        <v>34</v>
      </c>
      <c r="C52" t="s">
        <v>67</v>
      </c>
      <c r="D52">
        <v>34</v>
      </c>
    </row>
    <row r="53" spans="1:4" x14ac:dyDescent="0.35">
      <c r="A53">
        <v>2004</v>
      </c>
      <c r="B53" t="s">
        <v>33</v>
      </c>
      <c r="C53" t="s">
        <v>68</v>
      </c>
      <c r="D53">
        <v>1806</v>
      </c>
    </row>
    <row r="54" spans="1:4" x14ac:dyDescent="0.35">
      <c r="A54">
        <v>2004</v>
      </c>
      <c r="B54" t="s">
        <v>36</v>
      </c>
      <c r="C54" t="s">
        <v>69</v>
      </c>
      <c r="D54">
        <v>42</v>
      </c>
    </row>
    <row r="55" spans="1:4" x14ac:dyDescent="0.35">
      <c r="A55">
        <v>2004</v>
      </c>
      <c r="B55" t="s">
        <v>36</v>
      </c>
      <c r="C55" t="s">
        <v>365</v>
      </c>
      <c r="D55">
        <v>3</v>
      </c>
    </row>
    <row r="56" spans="1:4" x14ac:dyDescent="0.35">
      <c r="A56">
        <v>2004</v>
      </c>
      <c r="B56" t="s">
        <v>33</v>
      </c>
      <c r="C56" t="s">
        <v>70</v>
      </c>
      <c r="D56" t="s">
        <v>205</v>
      </c>
    </row>
    <row r="57" spans="1:4" x14ac:dyDescent="0.35">
      <c r="A57">
        <v>2004</v>
      </c>
      <c r="B57" t="s">
        <v>33</v>
      </c>
      <c r="C57" t="s">
        <v>71</v>
      </c>
      <c r="D57" t="s">
        <v>205</v>
      </c>
    </row>
    <row r="58" spans="1:4" x14ac:dyDescent="0.35">
      <c r="A58">
        <v>2004</v>
      </c>
      <c r="B58" t="s">
        <v>38</v>
      </c>
      <c r="C58" t="s">
        <v>72</v>
      </c>
      <c r="D58">
        <v>116</v>
      </c>
    </row>
    <row r="59" spans="1:4" x14ac:dyDescent="0.35">
      <c r="A59">
        <v>2004</v>
      </c>
      <c r="B59" t="s">
        <v>34</v>
      </c>
      <c r="C59" t="s">
        <v>73</v>
      </c>
      <c r="D59">
        <v>1560</v>
      </c>
    </row>
    <row r="60" spans="1:4" x14ac:dyDescent="0.35">
      <c r="A60">
        <v>2004</v>
      </c>
      <c r="B60" t="s">
        <v>38</v>
      </c>
      <c r="C60" t="s">
        <v>20</v>
      </c>
      <c r="D60">
        <v>919</v>
      </c>
    </row>
    <row r="61" spans="1:4" x14ac:dyDescent="0.35">
      <c r="A61">
        <v>2004</v>
      </c>
      <c r="B61" t="s">
        <v>33</v>
      </c>
      <c r="C61" t="s">
        <v>74</v>
      </c>
      <c r="D61">
        <v>3</v>
      </c>
    </row>
    <row r="62" spans="1:4" x14ac:dyDescent="0.35">
      <c r="A62">
        <v>2004</v>
      </c>
      <c r="B62" t="s">
        <v>33</v>
      </c>
      <c r="C62" t="s">
        <v>75</v>
      </c>
      <c r="D62">
        <v>21</v>
      </c>
    </row>
    <row r="63" spans="1:4" x14ac:dyDescent="0.35">
      <c r="A63">
        <v>2004</v>
      </c>
      <c r="B63" t="s">
        <v>36</v>
      </c>
      <c r="C63" t="s">
        <v>76</v>
      </c>
      <c r="D63">
        <v>571</v>
      </c>
    </row>
    <row r="64" spans="1:4" x14ac:dyDescent="0.35">
      <c r="A64">
        <v>2004</v>
      </c>
      <c r="B64" t="s">
        <v>33</v>
      </c>
      <c r="C64" t="s">
        <v>77</v>
      </c>
      <c r="D64">
        <v>27</v>
      </c>
    </row>
    <row r="65" spans="1:4" x14ac:dyDescent="0.35">
      <c r="A65">
        <v>2004</v>
      </c>
      <c r="B65" t="s">
        <v>35</v>
      </c>
      <c r="C65" t="s">
        <v>78</v>
      </c>
      <c r="D65">
        <v>12</v>
      </c>
    </row>
    <row r="66" spans="1:4" x14ac:dyDescent="0.35">
      <c r="A66">
        <v>2004</v>
      </c>
      <c r="B66" t="s">
        <v>36</v>
      </c>
      <c r="C66" t="s">
        <v>79</v>
      </c>
      <c r="D66">
        <v>1831</v>
      </c>
    </row>
    <row r="67" spans="1:4" x14ac:dyDescent="0.35">
      <c r="A67">
        <v>2004</v>
      </c>
      <c r="B67" t="s">
        <v>35</v>
      </c>
      <c r="C67" t="s">
        <v>81</v>
      </c>
      <c r="D67">
        <v>150</v>
      </c>
    </row>
    <row r="68" spans="1:4" x14ac:dyDescent="0.35">
      <c r="A68">
        <v>2004</v>
      </c>
      <c r="B68" t="s">
        <v>35</v>
      </c>
      <c r="C68" t="s">
        <v>214</v>
      </c>
      <c r="D68">
        <v>42</v>
      </c>
    </row>
    <row r="69" spans="1:4" x14ac:dyDescent="0.35">
      <c r="A69">
        <v>2004</v>
      </c>
      <c r="B69" t="s">
        <v>35</v>
      </c>
      <c r="C69" t="s">
        <v>82</v>
      </c>
      <c r="D69">
        <v>6</v>
      </c>
    </row>
    <row r="70" spans="1:4" x14ac:dyDescent="0.35">
      <c r="A70">
        <v>2004</v>
      </c>
      <c r="B70" t="s">
        <v>36</v>
      </c>
      <c r="C70" t="s">
        <v>84</v>
      </c>
      <c r="D70">
        <v>20</v>
      </c>
    </row>
    <row r="71" spans="1:4" x14ac:dyDescent="0.35">
      <c r="A71">
        <v>2004</v>
      </c>
      <c r="B71" t="s">
        <v>36</v>
      </c>
      <c r="C71" t="s">
        <v>85</v>
      </c>
      <c r="D71">
        <v>3635</v>
      </c>
    </row>
    <row r="72" spans="1:4" x14ac:dyDescent="0.35">
      <c r="A72">
        <v>2004</v>
      </c>
      <c r="B72" t="s">
        <v>38</v>
      </c>
      <c r="C72" t="s">
        <v>86</v>
      </c>
      <c r="D72">
        <v>1173</v>
      </c>
    </row>
    <row r="73" spans="1:4" x14ac:dyDescent="0.35">
      <c r="A73">
        <v>2004</v>
      </c>
      <c r="B73" t="s">
        <v>33</v>
      </c>
      <c r="C73" t="s">
        <v>87</v>
      </c>
      <c r="D73">
        <v>218</v>
      </c>
    </row>
    <row r="74" spans="1:4" x14ac:dyDescent="0.35">
      <c r="A74">
        <v>2004</v>
      </c>
      <c r="B74" t="s">
        <v>36</v>
      </c>
      <c r="C74" t="s">
        <v>16</v>
      </c>
      <c r="D74">
        <v>19180</v>
      </c>
    </row>
    <row r="75" spans="1:4" x14ac:dyDescent="0.35">
      <c r="A75">
        <v>2004</v>
      </c>
      <c r="B75" t="s">
        <v>33</v>
      </c>
      <c r="C75" t="s">
        <v>88</v>
      </c>
      <c r="D75" t="s">
        <v>205</v>
      </c>
    </row>
    <row r="76" spans="1:4" x14ac:dyDescent="0.35">
      <c r="A76">
        <v>2004</v>
      </c>
      <c r="B76" t="s">
        <v>33</v>
      </c>
      <c r="C76" t="s">
        <v>89</v>
      </c>
      <c r="D76">
        <v>26</v>
      </c>
    </row>
    <row r="77" spans="1:4" x14ac:dyDescent="0.35">
      <c r="A77">
        <v>2004</v>
      </c>
      <c r="B77" t="s">
        <v>35</v>
      </c>
      <c r="C77" t="s">
        <v>90</v>
      </c>
      <c r="D77">
        <v>18</v>
      </c>
    </row>
    <row r="78" spans="1:4" x14ac:dyDescent="0.35">
      <c r="A78">
        <v>2004</v>
      </c>
      <c r="B78" t="s">
        <v>33</v>
      </c>
      <c r="C78" t="s">
        <v>91</v>
      </c>
      <c r="D78">
        <v>79</v>
      </c>
    </row>
    <row r="79" spans="1:4" x14ac:dyDescent="0.35">
      <c r="A79">
        <v>2004</v>
      </c>
      <c r="B79" t="s">
        <v>37</v>
      </c>
      <c r="C79" t="s">
        <v>92</v>
      </c>
      <c r="D79">
        <v>23</v>
      </c>
    </row>
    <row r="80" spans="1:4" x14ac:dyDescent="0.35">
      <c r="A80">
        <v>2004</v>
      </c>
      <c r="B80" t="s">
        <v>35</v>
      </c>
      <c r="C80" t="s">
        <v>94</v>
      </c>
      <c r="D80">
        <v>109</v>
      </c>
    </row>
    <row r="81" spans="1:4" x14ac:dyDescent="0.35">
      <c r="A81">
        <v>2004</v>
      </c>
      <c r="B81" t="s">
        <v>33</v>
      </c>
      <c r="C81" t="s">
        <v>95</v>
      </c>
      <c r="D81" t="s">
        <v>205</v>
      </c>
    </row>
    <row r="82" spans="1:4" x14ac:dyDescent="0.35">
      <c r="A82">
        <v>2004</v>
      </c>
      <c r="B82" t="s">
        <v>33</v>
      </c>
      <c r="C82" t="s">
        <v>96</v>
      </c>
      <c r="D82">
        <v>64</v>
      </c>
    </row>
    <row r="83" spans="1:4" x14ac:dyDescent="0.35">
      <c r="A83">
        <v>2004</v>
      </c>
      <c r="B83" t="s">
        <v>34</v>
      </c>
      <c r="C83" t="s">
        <v>8</v>
      </c>
      <c r="D83">
        <v>42</v>
      </c>
    </row>
    <row r="84" spans="1:4" x14ac:dyDescent="0.35">
      <c r="A84">
        <v>2004</v>
      </c>
      <c r="B84" t="s">
        <v>35</v>
      </c>
      <c r="C84" t="s">
        <v>97</v>
      </c>
      <c r="D84">
        <v>104</v>
      </c>
    </row>
    <row r="85" spans="1:4" x14ac:dyDescent="0.35">
      <c r="A85">
        <v>2004</v>
      </c>
      <c r="B85" t="s">
        <v>33</v>
      </c>
      <c r="C85" t="s">
        <v>98</v>
      </c>
      <c r="D85">
        <v>135</v>
      </c>
    </row>
    <row r="86" spans="1:4" x14ac:dyDescent="0.35">
      <c r="A86">
        <v>2004</v>
      </c>
      <c r="B86" t="s">
        <v>35</v>
      </c>
      <c r="C86" t="s">
        <v>99</v>
      </c>
      <c r="D86">
        <v>28</v>
      </c>
    </row>
    <row r="87" spans="1:4" x14ac:dyDescent="0.35">
      <c r="A87">
        <v>2004</v>
      </c>
      <c r="B87" t="s">
        <v>36</v>
      </c>
      <c r="C87" t="s">
        <v>100</v>
      </c>
      <c r="D87">
        <v>21</v>
      </c>
    </row>
    <row r="88" spans="1:4" x14ac:dyDescent="0.35">
      <c r="A88">
        <v>2004</v>
      </c>
      <c r="B88" t="s">
        <v>37</v>
      </c>
      <c r="C88" t="s">
        <v>367</v>
      </c>
    </row>
    <row r="89" spans="1:4" x14ac:dyDescent="0.35">
      <c r="A89">
        <v>2004</v>
      </c>
      <c r="B89" t="s">
        <v>36</v>
      </c>
      <c r="C89" t="s">
        <v>15</v>
      </c>
      <c r="D89">
        <v>14288</v>
      </c>
    </row>
    <row r="90" spans="1:4" x14ac:dyDescent="0.35">
      <c r="A90">
        <v>2004</v>
      </c>
      <c r="B90" t="s">
        <v>33</v>
      </c>
      <c r="C90" t="s">
        <v>101</v>
      </c>
      <c r="D90">
        <v>36</v>
      </c>
    </row>
    <row r="91" spans="1:4" x14ac:dyDescent="0.35">
      <c r="A91">
        <v>2004</v>
      </c>
      <c r="B91" t="s">
        <v>33</v>
      </c>
      <c r="C91" t="s">
        <v>102</v>
      </c>
      <c r="D91" t="s">
        <v>205</v>
      </c>
    </row>
    <row r="92" spans="1:4" x14ac:dyDescent="0.35">
      <c r="A92">
        <v>2004</v>
      </c>
      <c r="B92" t="s">
        <v>38</v>
      </c>
      <c r="C92" t="s">
        <v>103</v>
      </c>
      <c r="D92">
        <v>135</v>
      </c>
    </row>
    <row r="93" spans="1:4" x14ac:dyDescent="0.35">
      <c r="A93">
        <v>2004</v>
      </c>
      <c r="B93" t="s">
        <v>36</v>
      </c>
      <c r="C93" t="s">
        <v>104</v>
      </c>
      <c r="D93">
        <v>367</v>
      </c>
    </row>
    <row r="94" spans="1:4" x14ac:dyDescent="0.35">
      <c r="A94">
        <v>2004</v>
      </c>
      <c r="B94" t="s">
        <v>36</v>
      </c>
      <c r="C94" t="s">
        <v>17</v>
      </c>
      <c r="D94">
        <v>26555</v>
      </c>
    </row>
    <row r="95" spans="1:4" x14ac:dyDescent="0.35">
      <c r="A95">
        <v>2004</v>
      </c>
      <c r="B95" t="s">
        <v>34</v>
      </c>
      <c r="C95" t="s">
        <v>368</v>
      </c>
      <c r="D95">
        <v>15</v>
      </c>
    </row>
    <row r="96" spans="1:4" x14ac:dyDescent="0.35">
      <c r="A96">
        <v>2004</v>
      </c>
      <c r="B96" t="s">
        <v>35</v>
      </c>
      <c r="C96" t="s">
        <v>105</v>
      </c>
      <c r="D96">
        <v>76</v>
      </c>
    </row>
    <row r="97" spans="1:4" x14ac:dyDescent="0.35">
      <c r="A97">
        <v>2004</v>
      </c>
      <c r="B97" t="s">
        <v>35</v>
      </c>
      <c r="C97" t="s">
        <v>106</v>
      </c>
      <c r="D97" t="s">
        <v>205</v>
      </c>
    </row>
    <row r="98" spans="1:4" x14ac:dyDescent="0.35">
      <c r="A98">
        <v>2004</v>
      </c>
      <c r="B98" t="s">
        <v>34</v>
      </c>
      <c r="C98" t="s">
        <v>22</v>
      </c>
      <c r="D98">
        <v>895</v>
      </c>
    </row>
    <row r="99" spans="1:4" x14ac:dyDescent="0.35">
      <c r="A99">
        <v>2004</v>
      </c>
      <c r="B99" t="s">
        <v>34</v>
      </c>
      <c r="C99" t="s">
        <v>107</v>
      </c>
      <c r="D99">
        <v>170</v>
      </c>
    </row>
    <row r="100" spans="1:4" x14ac:dyDescent="0.35">
      <c r="A100">
        <v>2004</v>
      </c>
      <c r="B100" t="s">
        <v>34</v>
      </c>
      <c r="C100" t="s">
        <v>108</v>
      </c>
      <c r="D100">
        <v>138</v>
      </c>
    </row>
    <row r="101" spans="1:4" x14ac:dyDescent="0.35">
      <c r="A101">
        <v>2004</v>
      </c>
      <c r="B101" t="s">
        <v>34</v>
      </c>
      <c r="C101" t="s">
        <v>109</v>
      </c>
      <c r="D101">
        <v>135</v>
      </c>
    </row>
    <row r="102" spans="1:4" x14ac:dyDescent="0.35">
      <c r="A102">
        <v>2004</v>
      </c>
      <c r="B102" t="s">
        <v>35</v>
      </c>
      <c r="C102" t="s">
        <v>110</v>
      </c>
      <c r="D102">
        <v>41</v>
      </c>
    </row>
    <row r="103" spans="1:4" x14ac:dyDescent="0.35">
      <c r="A103">
        <v>2004</v>
      </c>
      <c r="B103" t="s">
        <v>34</v>
      </c>
      <c r="C103" t="s">
        <v>111</v>
      </c>
      <c r="D103">
        <v>290</v>
      </c>
    </row>
    <row r="104" spans="1:4" x14ac:dyDescent="0.35">
      <c r="A104">
        <v>2004</v>
      </c>
      <c r="B104" t="s">
        <v>35</v>
      </c>
      <c r="C104" t="s">
        <v>112</v>
      </c>
      <c r="D104">
        <v>81</v>
      </c>
    </row>
    <row r="105" spans="1:4" x14ac:dyDescent="0.35">
      <c r="A105">
        <v>2004</v>
      </c>
      <c r="B105" t="s">
        <v>36</v>
      </c>
      <c r="C105" t="s">
        <v>113</v>
      </c>
      <c r="D105">
        <v>976</v>
      </c>
    </row>
    <row r="106" spans="1:4" x14ac:dyDescent="0.35">
      <c r="A106">
        <v>2004</v>
      </c>
      <c r="B106" t="s">
        <v>34</v>
      </c>
      <c r="C106" t="s">
        <v>114</v>
      </c>
      <c r="D106">
        <v>101</v>
      </c>
    </row>
    <row r="107" spans="1:4" x14ac:dyDescent="0.35">
      <c r="A107">
        <v>2004</v>
      </c>
      <c r="B107" t="s">
        <v>34</v>
      </c>
      <c r="C107" t="s">
        <v>115</v>
      </c>
      <c r="D107">
        <v>258</v>
      </c>
    </row>
    <row r="108" spans="1:4" x14ac:dyDescent="0.35">
      <c r="A108">
        <v>2004</v>
      </c>
      <c r="B108" t="s">
        <v>34</v>
      </c>
      <c r="C108" t="s">
        <v>116</v>
      </c>
      <c r="D108">
        <v>14</v>
      </c>
    </row>
    <row r="109" spans="1:4" x14ac:dyDescent="0.35">
      <c r="A109">
        <v>2004</v>
      </c>
      <c r="B109" t="s">
        <v>33</v>
      </c>
      <c r="C109" t="s">
        <v>117</v>
      </c>
      <c r="D109">
        <v>138</v>
      </c>
    </row>
    <row r="110" spans="1:4" x14ac:dyDescent="0.35">
      <c r="A110">
        <v>2004</v>
      </c>
      <c r="B110" t="s">
        <v>34</v>
      </c>
      <c r="C110" t="s">
        <v>118</v>
      </c>
      <c r="D110">
        <v>503</v>
      </c>
    </row>
    <row r="111" spans="1:4" x14ac:dyDescent="0.35">
      <c r="A111">
        <v>2004</v>
      </c>
      <c r="B111" t="s">
        <v>35</v>
      </c>
      <c r="C111" t="s">
        <v>119</v>
      </c>
      <c r="D111" t="s">
        <v>206</v>
      </c>
    </row>
    <row r="112" spans="1:4" x14ac:dyDescent="0.35">
      <c r="A112">
        <v>2004</v>
      </c>
      <c r="B112" t="s">
        <v>34</v>
      </c>
      <c r="C112" t="s">
        <v>120</v>
      </c>
      <c r="D112">
        <v>24</v>
      </c>
    </row>
    <row r="113" spans="1:4" x14ac:dyDescent="0.35">
      <c r="A113">
        <v>2004</v>
      </c>
      <c r="B113" t="s">
        <v>34</v>
      </c>
      <c r="C113" t="s">
        <v>121</v>
      </c>
      <c r="D113" t="s">
        <v>205</v>
      </c>
    </row>
    <row r="114" spans="1:4" x14ac:dyDescent="0.35">
      <c r="A114">
        <v>2004</v>
      </c>
      <c r="B114" t="s">
        <v>34</v>
      </c>
      <c r="C114" t="s">
        <v>122</v>
      </c>
      <c r="D114">
        <v>148</v>
      </c>
    </row>
    <row r="115" spans="1:4" x14ac:dyDescent="0.35">
      <c r="A115">
        <v>2004</v>
      </c>
      <c r="B115" t="s">
        <v>35</v>
      </c>
      <c r="C115" t="s">
        <v>123</v>
      </c>
      <c r="D115">
        <v>25</v>
      </c>
    </row>
    <row r="116" spans="1:4" x14ac:dyDescent="0.35">
      <c r="A116">
        <v>2004</v>
      </c>
      <c r="B116" t="s">
        <v>34</v>
      </c>
      <c r="C116" t="s">
        <v>124</v>
      </c>
      <c r="D116">
        <v>157</v>
      </c>
    </row>
    <row r="117" spans="1:4" x14ac:dyDescent="0.35">
      <c r="A117">
        <v>2004</v>
      </c>
      <c r="B117" t="s">
        <v>33</v>
      </c>
      <c r="C117" t="s">
        <v>125</v>
      </c>
      <c r="D117">
        <v>59</v>
      </c>
    </row>
    <row r="118" spans="1:4" x14ac:dyDescent="0.35">
      <c r="A118">
        <v>2004</v>
      </c>
      <c r="B118" t="s">
        <v>33</v>
      </c>
      <c r="C118" t="s">
        <v>126</v>
      </c>
      <c r="D118">
        <v>7</v>
      </c>
    </row>
    <row r="119" spans="1:4" x14ac:dyDescent="0.35">
      <c r="A119">
        <v>2004</v>
      </c>
      <c r="B119" t="s">
        <v>35</v>
      </c>
      <c r="C119" t="s">
        <v>127</v>
      </c>
      <c r="D119">
        <v>64</v>
      </c>
    </row>
    <row r="120" spans="1:4" x14ac:dyDescent="0.35">
      <c r="A120">
        <v>2004</v>
      </c>
      <c r="B120" t="s">
        <v>34</v>
      </c>
      <c r="C120" t="s">
        <v>369</v>
      </c>
    </row>
    <row r="121" spans="1:4" x14ac:dyDescent="0.35">
      <c r="A121">
        <v>2004</v>
      </c>
      <c r="B121" t="s">
        <v>33</v>
      </c>
      <c r="C121" t="s">
        <v>130</v>
      </c>
      <c r="D121">
        <v>11</v>
      </c>
    </row>
    <row r="122" spans="1:4" x14ac:dyDescent="0.35">
      <c r="A122">
        <v>2004</v>
      </c>
      <c r="B122" t="s">
        <v>34</v>
      </c>
      <c r="C122" t="s">
        <v>131</v>
      </c>
      <c r="D122">
        <v>67</v>
      </c>
    </row>
    <row r="123" spans="1:4" x14ac:dyDescent="0.35">
      <c r="A123">
        <v>2004</v>
      </c>
      <c r="B123" t="s">
        <v>33</v>
      </c>
      <c r="C123" t="s">
        <v>132</v>
      </c>
      <c r="D123">
        <v>38</v>
      </c>
    </row>
    <row r="124" spans="1:4" x14ac:dyDescent="0.35">
      <c r="A124">
        <v>2004</v>
      </c>
      <c r="B124" t="s">
        <v>35</v>
      </c>
      <c r="C124" t="s">
        <v>133</v>
      </c>
      <c r="D124">
        <v>10</v>
      </c>
    </row>
    <row r="125" spans="1:4" x14ac:dyDescent="0.35">
      <c r="A125">
        <v>2004</v>
      </c>
      <c r="B125" t="s">
        <v>37</v>
      </c>
      <c r="C125" t="s">
        <v>134</v>
      </c>
      <c r="D125">
        <v>16</v>
      </c>
    </row>
    <row r="126" spans="1:4" x14ac:dyDescent="0.35">
      <c r="A126">
        <v>2004</v>
      </c>
      <c r="B126" t="s">
        <v>33</v>
      </c>
      <c r="C126" t="s">
        <v>135</v>
      </c>
      <c r="D126">
        <v>20</v>
      </c>
    </row>
    <row r="127" spans="1:4" x14ac:dyDescent="0.35">
      <c r="A127">
        <v>2004</v>
      </c>
      <c r="B127" t="s">
        <v>36</v>
      </c>
      <c r="C127" t="s">
        <v>14</v>
      </c>
      <c r="D127">
        <v>1142807</v>
      </c>
    </row>
    <row r="128" spans="1:4" x14ac:dyDescent="0.35">
      <c r="A128">
        <v>2004</v>
      </c>
      <c r="B128" t="s">
        <v>37</v>
      </c>
      <c r="C128" t="s">
        <v>137</v>
      </c>
      <c r="D128">
        <v>55</v>
      </c>
    </row>
    <row r="129" spans="1:4" x14ac:dyDescent="0.35">
      <c r="A129">
        <v>2004</v>
      </c>
      <c r="B129" t="s">
        <v>35</v>
      </c>
      <c r="C129" t="s">
        <v>138</v>
      </c>
      <c r="D129">
        <v>10</v>
      </c>
    </row>
    <row r="130" spans="1:4" x14ac:dyDescent="0.35">
      <c r="A130">
        <v>2004</v>
      </c>
      <c r="B130" t="s">
        <v>34</v>
      </c>
      <c r="C130" t="s">
        <v>139</v>
      </c>
      <c r="D130">
        <v>70</v>
      </c>
    </row>
    <row r="131" spans="1:4" x14ac:dyDescent="0.35">
      <c r="A131">
        <v>2004</v>
      </c>
      <c r="B131" t="s">
        <v>35</v>
      </c>
      <c r="C131" t="s">
        <v>140</v>
      </c>
      <c r="D131" t="s">
        <v>206</v>
      </c>
    </row>
    <row r="132" spans="1:4" x14ac:dyDescent="0.35">
      <c r="A132">
        <v>2004</v>
      </c>
      <c r="B132" t="s">
        <v>36</v>
      </c>
      <c r="C132" t="s">
        <v>370</v>
      </c>
      <c r="D132" t="s">
        <v>205</v>
      </c>
    </row>
    <row r="133" spans="1:4" x14ac:dyDescent="0.35">
      <c r="A133">
        <v>2004</v>
      </c>
      <c r="B133" t="s">
        <v>33</v>
      </c>
      <c r="C133" t="s">
        <v>141</v>
      </c>
      <c r="D133">
        <v>244</v>
      </c>
    </row>
    <row r="134" spans="1:4" x14ac:dyDescent="0.35">
      <c r="A134">
        <v>2004</v>
      </c>
      <c r="B134" t="s">
        <v>34</v>
      </c>
      <c r="C134" t="s">
        <v>144</v>
      </c>
      <c r="D134">
        <v>60</v>
      </c>
    </row>
    <row r="135" spans="1:4" x14ac:dyDescent="0.35">
      <c r="A135">
        <v>2004</v>
      </c>
      <c r="B135" t="s">
        <v>35</v>
      </c>
      <c r="C135" t="s">
        <v>145</v>
      </c>
      <c r="D135">
        <v>55</v>
      </c>
    </row>
    <row r="136" spans="1:4" x14ac:dyDescent="0.35">
      <c r="A136">
        <v>2004</v>
      </c>
      <c r="B136" t="s">
        <v>36</v>
      </c>
      <c r="C136" t="s">
        <v>371</v>
      </c>
      <c r="D136">
        <v>6</v>
      </c>
    </row>
    <row r="137" spans="1:4" x14ac:dyDescent="0.35">
      <c r="A137">
        <v>2004</v>
      </c>
      <c r="B137" t="s">
        <v>37</v>
      </c>
      <c r="C137" t="s">
        <v>146</v>
      </c>
      <c r="D137">
        <v>42</v>
      </c>
    </row>
    <row r="138" spans="1:4" x14ac:dyDescent="0.35">
      <c r="A138">
        <v>2004</v>
      </c>
      <c r="B138" t="s">
        <v>36</v>
      </c>
      <c r="C138" t="s">
        <v>147</v>
      </c>
      <c r="D138">
        <v>1664</v>
      </c>
    </row>
    <row r="139" spans="1:4" x14ac:dyDescent="0.35">
      <c r="A139">
        <v>2004</v>
      </c>
      <c r="B139" t="s">
        <v>33</v>
      </c>
      <c r="C139" t="s">
        <v>148</v>
      </c>
      <c r="D139">
        <v>19</v>
      </c>
    </row>
    <row r="140" spans="1:4" x14ac:dyDescent="0.35">
      <c r="A140">
        <v>2004</v>
      </c>
      <c r="B140" t="s">
        <v>33</v>
      </c>
      <c r="C140" t="s">
        <v>149</v>
      </c>
      <c r="D140">
        <v>279</v>
      </c>
    </row>
    <row r="141" spans="1:4" x14ac:dyDescent="0.35">
      <c r="A141">
        <v>2004</v>
      </c>
      <c r="B141" t="s">
        <v>35</v>
      </c>
      <c r="C141" t="s">
        <v>322</v>
      </c>
      <c r="D141">
        <v>35</v>
      </c>
    </row>
    <row r="142" spans="1:4" x14ac:dyDescent="0.35">
      <c r="A142">
        <v>2004</v>
      </c>
      <c r="B142" t="s">
        <v>35</v>
      </c>
      <c r="C142" t="s">
        <v>150</v>
      </c>
      <c r="D142">
        <v>12</v>
      </c>
    </row>
    <row r="143" spans="1:4" x14ac:dyDescent="0.35">
      <c r="A143">
        <v>2004</v>
      </c>
      <c r="B143" t="s">
        <v>34</v>
      </c>
      <c r="C143" t="s">
        <v>152</v>
      </c>
      <c r="D143">
        <v>641</v>
      </c>
    </row>
    <row r="144" spans="1:4" x14ac:dyDescent="0.35">
      <c r="A144">
        <v>2004</v>
      </c>
      <c r="B144" t="s">
        <v>37</v>
      </c>
      <c r="C144" t="s">
        <v>153</v>
      </c>
      <c r="D144">
        <v>8</v>
      </c>
    </row>
    <row r="145" spans="1:4" x14ac:dyDescent="0.35">
      <c r="A145">
        <v>2004</v>
      </c>
      <c r="B145" t="s">
        <v>36</v>
      </c>
      <c r="C145" t="s">
        <v>154</v>
      </c>
      <c r="D145">
        <v>97</v>
      </c>
    </row>
    <row r="146" spans="1:4" x14ac:dyDescent="0.35">
      <c r="A146">
        <v>2004</v>
      </c>
      <c r="B146" t="s">
        <v>38</v>
      </c>
      <c r="C146" t="s">
        <v>155</v>
      </c>
      <c r="D146">
        <v>35</v>
      </c>
    </row>
    <row r="147" spans="1:4" x14ac:dyDescent="0.35">
      <c r="A147">
        <v>2004</v>
      </c>
      <c r="B147" t="s">
        <v>38</v>
      </c>
      <c r="C147" t="s">
        <v>156</v>
      </c>
      <c r="D147">
        <v>714</v>
      </c>
    </row>
    <row r="148" spans="1:4" x14ac:dyDescent="0.35">
      <c r="A148">
        <v>2004</v>
      </c>
      <c r="B148" t="s">
        <v>34</v>
      </c>
      <c r="C148" t="s">
        <v>18</v>
      </c>
      <c r="D148">
        <v>488</v>
      </c>
    </row>
    <row r="149" spans="1:4" x14ac:dyDescent="0.35">
      <c r="A149">
        <v>2004</v>
      </c>
      <c r="B149" t="s">
        <v>35</v>
      </c>
      <c r="C149" t="s">
        <v>157</v>
      </c>
      <c r="D149">
        <v>440</v>
      </c>
    </row>
    <row r="150" spans="1:4" x14ac:dyDescent="0.35">
      <c r="A150">
        <v>2004</v>
      </c>
      <c r="B150" t="s">
        <v>35</v>
      </c>
      <c r="C150" t="s">
        <v>158</v>
      </c>
      <c r="D150">
        <v>86</v>
      </c>
    </row>
    <row r="151" spans="1:4" x14ac:dyDescent="0.35">
      <c r="A151">
        <v>2004</v>
      </c>
      <c r="B151" t="s">
        <v>35</v>
      </c>
      <c r="C151" t="s">
        <v>160</v>
      </c>
      <c r="D151">
        <v>153</v>
      </c>
    </row>
    <row r="152" spans="1:4" x14ac:dyDescent="0.35">
      <c r="A152">
        <v>2004</v>
      </c>
      <c r="B152" t="s">
        <v>35</v>
      </c>
      <c r="C152" t="s">
        <v>161</v>
      </c>
      <c r="D152">
        <v>175</v>
      </c>
    </row>
    <row r="153" spans="1:4" x14ac:dyDescent="0.35">
      <c r="A153">
        <v>2004</v>
      </c>
      <c r="B153" t="s">
        <v>33</v>
      </c>
      <c r="C153" t="s">
        <v>162</v>
      </c>
      <c r="D153">
        <v>6</v>
      </c>
    </row>
    <row r="154" spans="1:4" x14ac:dyDescent="0.35">
      <c r="A154">
        <v>2004</v>
      </c>
      <c r="B154" t="s">
        <v>36</v>
      </c>
      <c r="C154" t="s">
        <v>163</v>
      </c>
      <c r="D154">
        <v>11</v>
      </c>
    </row>
    <row r="155" spans="1:4" x14ac:dyDescent="0.35">
      <c r="A155">
        <v>2004</v>
      </c>
      <c r="B155" t="s">
        <v>36</v>
      </c>
      <c r="C155" t="s">
        <v>164</v>
      </c>
      <c r="D155">
        <v>22</v>
      </c>
    </row>
    <row r="156" spans="1:4" x14ac:dyDescent="0.35">
      <c r="A156">
        <v>2004</v>
      </c>
      <c r="B156" t="s">
        <v>36</v>
      </c>
      <c r="C156" t="s">
        <v>165</v>
      </c>
      <c r="D156">
        <v>8</v>
      </c>
    </row>
    <row r="157" spans="1:4" x14ac:dyDescent="0.35">
      <c r="A157">
        <v>2004</v>
      </c>
      <c r="B157" t="s">
        <v>37</v>
      </c>
      <c r="C157" t="s">
        <v>166</v>
      </c>
      <c r="D157">
        <v>30</v>
      </c>
    </row>
    <row r="158" spans="1:4" x14ac:dyDescent="0.35">
      <c r="A158">
        <v>2004</v>
      </c>
      <c r="B158" t="s">
        <v>34</v>
      </c>
      <c r="C158" t="s">
        <v>167</v>
      </c>
      <c r="D158">
        <v>72</v>
      </c>
    </row>
    <row r="159" spans="1:4" x14ac:dyDescent="0.35">
      <c r="A159">
        <v>2004</v>
      </c>
      <c r="B159" t="s">
        <v>33</v>
      </c>
      <c r="C159" t="s">
        <v>168</v>
      </c>
      <c r="D159">
        <v>69</v>
      </c>
    </row>
    <row r="160" spans="1:4" x14ac:dyDescent="0.35">
      <c r="A160">
        <v>2004</v>
      </c>
      <c r="B160" t="s">
        <v>35</v>
      </c>
      <c r="C160" t="s">
        <v>169</v>
      </c>
      <c r="D160" t="s">
        <v>206</v>
      </c>
    </row>
    <row r="161" spans="1:4" x14ac:dyDescent="0.35">
      <c r="A161">
        <v>2004</v>
      </c>
      <c r="B161" t="s">
        <v>35</v>
      </c>
      <c r="C161" t="s">
        <v>215</v>
      </c>
      <c r="D161">
        <v>150</v>
      </c>
    </row>
    <row r="162" spans="1:4" x14ac:dyDescent="0.35">
      <c r="A162">
        <v>2004</v>
      </c>
      <c r="B162" t="s">
        <v>33</v>
      </c>
      <c r="C162" t="s">
        <v>170</v>
      </c>
      <c r="D162">
        <v>31</v>
      </c>
    </row>
    <row r="163" spans="1:4" x14ac:dyDescent="0.35">
      <c r="A163">
        <v>2004</v>
      </c>
      <c r="B163" t="s">
        <v>34</v>
      </c>
      <c r="C163" t="s">
        <v>171</v>
      </c>
      <c r="D163">
        <v>18</v>
      </c>
    </row>
    <row r="164" spans="1:4" x14ac:dyDescent="0.35">
      <c r="A164">
        <v>2004</v>
      </c>
      <c r="B164" t="s">
        <v>35</v>
      </c>
      <c r="C164" t="s">
        <v>172</v>
      </c>
      <c r="D164">
        <v>56</v>
      </c>
    </row>
    <row r="165" spans="1:4" x14ac:dyDescent="0.35">
      <c r="A165">
        <v>2004</v>
      </c>
      <c r="B165" t="s">
        <v>35</v>
      </c>
      <c r="C165" t="s">
        <v>173</v>
      </c>
    </row>
    <row r="166" spans="1:4" x14ac:dyDescent="0.35">
      <c r="A166">
        <v>2004</v>
      </c>
      <c r="B166" t="s">
        <v>33</v>
      </c>
      <c r="C166" t="s">
        <v>174</v>
      </c>
      <c r="D166">
        <v>50</v>
      </c>
    </row>
    <row r="167" spans="1:4" x14ac:dyDescent="0.35">
      <c r="A167">
        <v>2004</v>
      </c>
      <c r="B167" t="s">
        <v>33</v>
      </c>
      <c r="C167" t="s">
        <v>175</v>
      </c>
      <c r="D167">
        <v>83</v>
      </c>
    </row>
    <row r="168" spans="1:4" x14ac:dyDescent="0.35">
      <c r="A168">
        <v>2004</v>
      </c>
      <c r="B168" t="s">
        <v>33</v>
      </c>
      <c r="C168" t="s">
        <v>176</v>
      </c>
      <c r="D168" t="s">
        <v>206</v>
      </c>
    </row>
    <row r="169" spans="1:4" x14ac:dyDescent="0.35">
      <c r="A169">
        <v>2004</v>
      </c>
      <c r="B169" t="s">
        <v>35</v>
      </c>
      <c r="C169" t="s">
        <v>216</v>
      </c>
      <c r="D169">
        <v>20</v>
      </c>
    </row>
    <row r="170" spans="1:4" x14ac:dyDescent="0.35">
      <c r="A170">
        <v>2004</v>
      </c>
      <c r="B170" t="s">
        <v>35</v>
      </c>
      <c r="C170" t="s">
        <v>177</v>
      </c>
      <c r="D170">
        <v>41</v>
      </c>
    </row>
    <row r="171" spans="1:4" x14ac:dyDescent="0.35">
      <c r="A171">
        <v>2004</v>
      </c>
      <c r="B171" t="s">
        <v>34</v>
      </c>
      <c r="C171" t="s">
        <v>178</v>
      </c>
      <c r="D171">
        <v>26</v>
      </c>
    </row>
    <row r="172" spans="1:4" x14ac:dyDescent="0.35">
      <c r="A172">
        <v>2004</v>
      </c>
      <c r="B172" t="s">
        <v>33</v>
      </c>
      <c r="C172" t="s">
        <v>179</v>
      </c>
      <c r="D172">
        <v>50</v>
      </c>
    </row>
    <row r="173" spans="1:4" x14ac:dyDescent="0.35">
      <c r="A173">
        <v>2004</v>
      </c>
      <c r="B173" t="s">
        <v>38</v>
      </c>
      <c r="C173" t="s">
        <v>180</v>
      </c>
      <c r="D173">
        <v>10</v>
      </c>
    </row>
    <row r="174" spans="1:4" x14ac:dyDescent="0.35">
      <c r="A174">
        <v>2004</v>
      </c>
      <c r="B174" t="s">
        <v>35</v>
      </c>
      <c r="C174" t="s">
        <v>182</v>
      </c>
      <c r="D174">
        <v>18</v>
      </c>
    </row>
    <row r="175" spans="1:4" x14ac:dyDescent="0.35">
      <c r="A175">
        <v>2004</v>
      </c>
      <c r="B175" t="s">
        <v>35</v>
      </c>
      <c r="C175" t="s">
        <v>183</v>
      </c>
      <c r="D175">
        <v>11</v>
      </c>
    </row>
    <row r="176" spans="1:4" x14ac:dyDescent="0.35">
      <c r="A176">
        <v>2004</v>
      </c>
      <c r="B176" t="s">
        <v>34</v>
      </c>
      <c r="C176" t="s">
        <v>184</v>
      </c>
      <c r="D176">
        <v>106</v>
      </c>
    </row>
    <row r="177" spans="1:4" x14ac:dyDescent="0.35">
      <c r="A177">
        <v>2004</v>
      </c>
      <c r="B177" t="s">
        <v>34</v>
      </c>
      <c r="C177" t="s">
        <v>185</v>
      </c>
      <c r="D177">
        <v>37</v>
      </c>
    </row>
    <row r="178" spans="1:4" x14ac:dyDescent="0.35">
      <c r="A178">
        <v>2004</v>
      </c>
      <c r="B178" t="s">
        <v>34</v>
      </c>
      <c r="C178" t="s">
        <v>186</v>
      </c>
      <c r="D178">
        <v>8</v>
      </c>
    </row>
    <row r="179" spans="1:4" x14ac:dyDescent="0.35">
      <c r="A179">
        <v>2004</v>
      </c>
      <c r="B179" t="s">
        <v>33</v>
      </c>
      <c r="C179" t="s">
        <v>187</v>
      </c>
      <c r="D179">
        <v>44</v>
      </c>
    </row>
    <row r="180" spans="1:4" x14ac:dyDescent="0.35">
      <c r="A180">
        <v>2004</v>
      </c>
      <c r="B180" t="s">
        <v>34</v>
      </c>
      <c r="C180" t="s">
        <v>188</v>
      </c>
      <c r="D180">
        <v>123</v>
      </c>
    </row>
    <row r="181" spans="1:4" x14ac:dyDescent="0.35">
      <c r="A181">
        <v>2004</v>
      </c>
      <c r="B181" t="s">
        <v>33</v>
      </c>
      <c r="C181" t="s">
        <v>189</v>
      </c>
      <c r="D181">
        <v>16</v>
      </c>
    </row>
    <row r="182" spans="1:4" x14ac:dyDescent="0.35">
      <c r="A182">
        <v>2004</v>
      </c>
      <c r="B182" t="s">
        <v>37</v>
      </c>
      <c r="C182" t="s">
        <v>190</v>
      </c>
      <c r="D182">
        <v>52</v>
      </c>
    </row>
    <row r="183" spans="1:4" x14ac:dyDescent="0.35">
      <c r="A183">
        <v>2004</v>
      </c>
      <c r="B183" t="s">
        <v>36</v>
      </c>
      <c r="C183" t="s">
        <v>191</v>
      </c>
      <c r="D183">
        <v>181</v>
      </c>
    </row>
    <row r="184" spans="1:4" x14ac:dyDescent="0.35">
      <c r="A184">
        <v>2004</v>
      </c>
      <c r="B184" t="s">
        <v>33</v>
      </c>
      <c r="C184" t="s">
        <v>192</v>
      </c>
      <c r="D184">
        <v>79</v>
      </c>
    </row>
    <row r="185" spans="1:4" x14ac:dyDescent="0.35">
      <c r="A185">
        <v>2004</v>
      </c>
      <c r="B185" t="s">
        <v>34</v>
      </c>
      <c r="C185" t="s">
        <v>193</v>
      </c>
      <c r="D185">
        <v>232</v>
      </c>
    </row>
    <row r="186" spans="1:4" x14ac:dyDescent="0.35">
      <c r="A186">
        <v>2004</v>
      </c>
      <c r="B186" t="s">
        <v>34</v>
      </c>
      <c r="C186" t="s">
        <v>194</v>
      </c>
      <c r="D186">
        <v>4</v>
      </c>
    </row>
    <row r="187" spans="1:4" x14ac:dyDescent="0.35">
      <c r="A187">
        <v>2004</v>
      </c>
      <c r="B187" t="s">
        <v>36</v>
      </c>
      <c r="C187" t="s">
        <v>372</v>
      </c>
    </row>
    <row r="188" spans="1:4" x14ac:dyDescent="0.35">
      <c r="A188">
        <v>2004</v>
      </c>
      <c r="B188" t="s">
        <v>33</v>
      </c>
      <c r="C188" t="s">
        <v>195</v>
      </c>
      <c r="D188">
        <v>17</v>
      </c>
    </row>
    <row r="189" spans="1:4" x14ac:dyDescent="0.35">
      <c r="A189">
        <v>2004</v>
      </c>
      <c r="B189" t="s">
        <v>35</v>
      </c>
      <c r="C189" t="s">
        <v>196</v>
      </c>
      <c r="D189">
        <v>137</v>
      </c>
    </row>
    <row r="190" spans="1:4" x14ac:dyDescent="0.35">
      <c r="A190">
        <v>2004</v>
      </c>
      <c r="B190" t="s">
        <v>34</v>
      </c>
      <c r="C190" t="s">
        <v>197</v>
      </c>
      <c r="D190">
        <v>9</v>
      </c>
    </row>
    <row r="191" spans="1:4" x14ac:dyDescent="0.35">
      <c r="A191">
        <v>2004</v>
      </c>
      <c r="B191" t="s">
        <v>35</v>
      </c>
      <c r="C191" t="s">
        <v>198</v>
      </c>
      <c r="D191">
        <v>326</v>
      </c>
    </row>
    <row r="192" spans="1:4" x14ac:dyDescent="0.35">
      <c r="A192">
        <v>2004</v>
      </c>
      <c r="B192" t="s">
        <v>39</v>
      </c>
      <c r="C192" t="s">
        <v>39</v>
      </c>
      <c r="D192">
        <v>23386</v>
      </c>
    </row>
    <row r="193" spans="1:4" x14ac:dyDescent="0.35">
      <c r="A193">
        <v>2004</v>
      </c>
      <c r="B193" t="s">
        <v>38</v>
      </c>
      <c r="C193" t="s">
        <v>199</v>
      </c>
      <c r="D193">
        <v>114</v>
      </c>
    </row>
    <row r="194" spans="1:4" x14ac:dyDescent="0.35">
      <c r="A194">
        <v>2004</v>
      </c>
      <c r="B194" t="s">
        <v>34</v>
      </c>
      <c r="C194" t="s">
        <v>200</v>
      </c>
      <c r="D194">
        <v>73</v>
      </c>
    </row>
    <row r="195" spans="1:4" x14ac:dyDescent="0.35">
      <c r="A195">
        <v>2004</v>
      </c>
      <c r="B195" t="s">
        <v>38</v>
      </c>
      <c r="C195" t="s">
        <v>19</v>
      </c>
      <c r="D195">
        <v>249</v>
      </c>
    </row>
    <row r="196" spans="1:4" x14ac:dyDescent="0.35">
      <c r="A196">
        <v>2004</v>
      </c>
      <c r="B196" t="s">
        <v>34</v>
      </c>
      <c r="C196" t="s">
        <v>201</v>
      </c>
      <c r="D196">
        <v>271</v>
      </c>
    </row>
    <row r="197" spans="1:4" x14ac:dyDescent="0.35">
      <c r="A197">
        <v>2004</v>
      </c>
      <c r="B197" t="s">
        <v>34</v>
      </c>
      <c r="C197" t="s">
        <v>202</v>
      </c>
      <c r="D197">
        <v>88</v>
      </c>
    </row>
    <row r="198" spans="1:4" x14ac:dyDescent="0.35">
      <c r="A198">
        <v>2004</v>
      </c>
      <c r="B198" t="s">
        <v>33</v>
      </c>
      <c r="C198" t="s">
        <v>203</v>
      </c>
      <c r="D198">
        <v>24</v>
      </c>
    </row>
    <row r="199" spans="1:4" x14ac:dyDescent="0.35">
      <c r="A199">
        <v>2004</v>
      </c>
      <c r="B199" t="s">
        <v>33</v>
      </c>
      <c r="C199" t="s">
        <v>204</v>
      </c>
      <c r="D199">
        <v>26</v>
      </c>
    </row>
    <row r="200" spans="1:4" x14ac:dyDescent="0.35">
      <c r="A200">
        <v>2005</v>
      </c>
      <c r="B200" t="s">
        <v>34</v>
      </c>
      <c r="C200" t="s">
        <v>40</v>
      </c>
      <c r="D200">
        <v>55</v>
      </c>
    </row>
    <row r="201" spans="1:4" x14ac:dyDescent="0.35">
      <c r="A201">
        <v>2005</v>
      </c>
      <c r="B201" t="s">
        <v>35</v>
      </c>
      <c r="C201" t="s">
        <v>41</v>
      </c>
      <c r="D201">
        <v>253</v>
      </c>
    </row>
    <row r="202" spans="1:4" x14ac:dyDescent="0.35">
      <c r="A202">
        <v>2005</v>
      </c>
      <c r="B202" t="s">
        <v>33</v>
      </c>
      <c r="C202" t="s">
        <v>42</v>
      </c>
      <c r="D202">
        <v>39</v>
      </c>
    </row>
    <row r="203" spans="1:4" x14ac:dyDescent="0.35">
      <c r="A203">
        <v>2005</v>
      </c>
      <c r="C203" t="s">
        <v>373</v>
      </c>
      <c r="D203">
        <v>36</v>
      </c>
    </row>
    <row r="204" spans="1:4" x14ac:dyDescent="0.35">
      <c r="A204">
        <v>2005</v>
      </c>
      <c r="B204" t="s">
        <v>33</v>
      </c>
      <c r="C204" t="s">
        <v>43</v>
      </c>
      <c r="D204">
        <v>10</v>
      </c>
    </row>
    <row r="205" spans="1:4" x14ac:dyDescent="0.35">
      <c r="A205">
        <v>2005</v>
      </c>
      <c r="B205" t="s">
        <v>36</v>
      </c>
      <c r="C205" t="s">
        <v>44</v>
      </c>
      <c r="D205">
        <v>30</v>
      </c>
    </row>
    <row r="206" spans="1:4" x14ac:dyDescent="0.35">
      <c r="A206">
        <v>2005</v>
      </c>
      <c r="B206" t="s">
        <v>38</v>
      </c>
      <c r="C206" t="s">
        <v>45</v>
      </c>
      <c r="D206">
        <v>296</v>
      </c>
    </row>
    <row r="207" spans="1:4" x14ac:dyDescent="0.35">
      <c r="A207">
        <v>2005</v>
      </c>
      <c r="B207" t="s">
        <v>34</v>
      </c>
      <c r="C207" t="s">
        <v>46</v>
      </c>
      <c r="D207">
        <v>82</v>
      </c>
    </row>
    <row r="208" spans="1:4" x14ac:dyDescent="0.35">
      <c r="A208">
        <v>2005</v>
      </c>
      <c r="B208" t="s">
        <v>37</v>
      </c>
      <c r="C208" t="s">
        <v>47</v>
      </c>
      <c r="D208">
        <v>33</v>
      </c>
    </row>
    <row r="209" spans="1:4" x14ac:dyDescent="0.35">
      <c r="A209">
        <v>2005</v>
      </c>
      <c r="B209" t="s">
        <v>35</v>
      </c>
      <c r="C209" t="s">
        <v>48</v>
      </c>
      <c r="D209">
        <v>12</v>
      </c>
    </row>
    <row r="210" spans="1:4" x14ac:dyDescent="0.35">
      <c r="A210">
        <v>2005</v>
      </c>
      <c r="B210" t="s">
        <v>34</v>
      </c>
      <c r="C210" t="s">
        <v>49</v>
      </c>
      <c r="D210">
        <v>16</v>
      </c>
    </row>
    <row r="211" spans="1:4" x14ac:dyDescent="0.35">
      <c r="A211">
        <v>2005</v>
      </c>
      <c r="B211" t="s">
        <v>36</v>
      </c>
      <c r="C211" t="s">
        <v>50</v>
      </c>
      <c r="D211">
        <v>122</v>
      </c>
    </row>
    <row r="212" spans="1:4" x14ac:dyDescent="0.35">
      <c r="A212">
        <v>2005</v>
      </c>
      <c r="B212" t="s">
        <v>34</v>
      </c>
      <c r="C212" t="s">
        <v>51</v>
      </c>
      <c r="D212">
        <v>6</v>
      </c>
    </row>
    <row r="213" spans="1:4" x14ac:dyDescent="0.35">
      <c r="A213">
        <v>2005</v>
      </c>
      <c r="B213" t="s">
        <v>34</v>
      </c>
      <c r="C213" t="s">
        <v>52</v>
      </c>
      <c r="D213">
        <v>151</v>
      </c>
    </row>
    <row r="214" spans="1:4" x14ac:dyDescent="0.35">
      <c r="A214">
        <v>2005</v>
      </c>
      <c r="B214" t="s">
        <v>36</v>
      </c>
      <c r="C214" t="s">
        <v>53</v>
      </c>
      <c r="D214">
        <v>67</v>
      </c>
    </row>
    <row r="215" spans="1:4" x14ac:dyDescent="0.35">
      <c r="A215">
        <v>2005</v>
      </c>
      <c r="B215" t="s">
        <v>35</v>
      </c>
      <c r="C215" t="s">
        <v>54</v>
      </c>
      <c r="D215">
        <v>28</v>
      </c>
    </row>
    <row r="216" spans="1:4" x14ac:dyDescent="0.35">
      <c r="A216">
        <v>2005</v>
      </c>
      <c r="B216" t="s">
        <v>35</v>
      </c>
      <c r="C216" t="s">
        <v>55</v>
      </c>
      <c r="D216">
        <v>15</v>
      </c>
    </row>
    <row r="217" spans="1:4" x14ac:dyDescent="0.35">
      <c r="A217">
        <v>2005</v>
      </c>
      <c r="B217" t="s">
        <v>36</v>
      </c>
      <c r="C217" t="s">
        <v>56</v>
      </c>
      <c r="D217">
        <v>149</v>
      </c>
    </row>
    <row r="218" spans="1:4" x14ac:dyDescent="0.35">
      <c r="A218">
        <v>2005</v>
      </c>
      <c r="B218" t="s">
        <v>33</v>
      </c>
      <c r="C218" t="s">
        <v>57</v>
      </c>
      <c r="D218">
        <v>9</v>
      </c>
    </row>
    <row r="219" spans="1:4" x14ac:dyDescent="0.35">
      <c r="A219">
        <v>2005</v>
      </c>
      <c r="B219" t="s">
        <v>36</v>
      </c>
      <c r="C219" t="s">
        <v>363</v>
      </c>
      <c r="D219">
        <v>4</v>
      </c>
    </row>
    <row r="220" spans="1:4" x14ac:dyDescent="0.35">
      <c r="A220">
        <v>2005</v>
      </c>
      <c r="B220" t="s">
        <v>38</v>
      </c>
      <c r="C220" t="s">
        <v>59</v>
      </c>
      <c r="D220">
        <v>329</v>
      </c>
    </row>
    <row r="221" spans="1:4" x14ac:dyDescent="0.35">
      <c r="A221">
        <v>2005</v>
      </c>
      <c r="B221" t="s">
        <v>35</v>
      </c>
      <c r="C221" t="s">
        <v>60</v>
      </c>
      <c r="D221">
        <v>67</v>
      </c>
    </row>
    <row r="222" spans="1:4" x14ac:dyDescent="0.35">
      <c r="A222">
        <v>2005</v>
      </c>
      <c r="B222" t="s">
        <v>38</v>
      </c>
      <c r="C222" t="s">
        <v>21</v>
      </c>
      <c r="D222">
        <v>32103</v>
      </c>
    </row>
    <row r="223" spans="1:4" x14ac:dyDescent="0.35">
      <c r="A223">
        <v>2005</v>
      </c>
      <c r="B223" t="s">
        <v>36</v>
      </c>
      <c r="C223" t="s">
        <v>364</v>
      </c>
      <c r="D223" t="s">
        <v>205</v>
      </c>
    </row>
    <row r="224" spans="1:4" x14ac:dyDescent="0.35">
      <c r="A224">
        <v>2005</v>
      </c>
      <c r="B224" t="s">
        <v>35</v>
      </c>
      <c r="C224" t="s">
        <v>62</v>
      </c>
      <c r="D224">
        <v>75</v>
      </c>
    </row>
    <row r="225" spans="1:4" x14ac:dyDescent="0.35">
      <c r="A225">
        <v>2005</v>
      </c>
      <c r="B225" t="s">
        <v>33</v>
      </c>
      <c r="C225" t="s">
        <v>63</v>
      </c>
      <c r="D225">
        <v>13</v>
      </c>
    </row>
    <row r="226" spans="1:4" x14ac:dyDescent="0.35">
      <c r="A226">
        <v>2005</v>
      </c>
      <c r="B226" t="s">
        <v>34</v>
      </c>
      <c r="C226" t="s">
        <v>64</v>
      </c>
      <c r="D226">
        <v>9</v>
      </c>
    </row>
    <row r="227" spans="1:4" x14ac:dyDescent="0.35">
      <c r="A227">
        <v>2005</v>
      </c>
      <c r="B227" t="s">
        <v>33</v>
      </c>
      <c r="C227" t="s">
        <v>65</v>
      </c>
      <c r="D227" t="s">
        <v>205</v>
      </c>
    </row>
    <row r="228" spans="1:4" x14ac:dyDescent="0.35">
      <c r="A228">
        <v>2005</v>
      </c>
      <c r="B228" t="s">
        <v>33</v>
      </c>
      <c r="C228" t="s">
        <v>66</v>
      </c>
      <c r="D228">
        <v>104</v>
      </c>
    </row>
    <row r="229" spans="1:4" x14ac:dyDescent="0.35">
      <c r="A229">
        <v>2005</v>
      </c>
      <c r="B229" t="s">
        <v>34</v>
      </c>
      <c r="C229" t="s">
        <v>67</v>
      </c>
      <c r="D229">
        <v>45</v>
      </c>
    </row>
    <row r="230" spans="1:4" x14ac:dyDescent="0.35">
      <c r="A230">
        <v>2005</v>
      </c>
      <c r="B230" t="s">
        <v>33</v>
      </c>
      <c r="C230" t="s">
        <v>68</v>
      </c>
      <c r="D230">
        <v>1486</v>
      </c>
    </row>
    <row r="231" spans="1:4" x14ac:dyDescent="0.35">
      <c r="A231">
        <v>2005</v>
      </c>
      <c r="B231" t="s">
        <v>36</v>
      </c>
      <c r="C231" t="s">
        <v>69</v>
      </c>
      <c r="D231">
        <v>84</v>
      </c>
    </row>
    <row r="232" spans="1:4" x14ac:dyDescent="0.35">
      <c r="A232">
        <v>2005</v>
      </c>
      <c r="B232" t="s">
        <v>36</v>
      </c>
      <c r="C232" t="s">
        <v>365</v>
      </c>
      <c r="D232" t="s">
        <v>205</v>
      </c>
    </row>
    <row r="233" spans="1:4" x14ac:dyDescent="0.35">
      <c r="A233">
        <v>2005</v>
      </c>
      <c r="B233" t="s">
        <v>33</v>
      </c>
      <c r="C233" t="s">
        <v>70</v>
      </c>
      <c r="D233">
        <v>3</v>
      </c>
    </row>
    <row r="234" spans="1:4" x14ac:dyDescent="0.35">
      <c r="A234">
        <v>2005</v>
      </c>
      <c r="B234" t="s">
        <v>33</v>
      </c>
      <c r="C234" t="s">
        <v>71</v>
      </c>
    </row>
    <row r="235" spans="1:4" x14ac:dyDescent="0.35">
      <c r="A235">
        <v>2005</v>
      </c>
      <c r="B235" t="s">
        <v>38</v>
      </c>
      <c r="C235" t="s">
        <v>72</v>
      </c>
      <c r="D235">
        <v>156</v>
      </c>
    </row>
    <row r="236" spans="1:4" x14ac:dyDescent="0.35">
      <c r="A236">
        <v>2005</v>
      </c>
      <c r="B236" t="s">
        <v>34</v>
      </c>
      <c r="C236" t="s">
        <v>73</v>
      </c>
      <c r="D236">
        <v>2890</v>
      </c>
    </row>
    <row r="237" spans="1:4" x14ac:dyDescent="0.35">
      <c r="A237">
        <v>2005</v>
      </c>
      <c r="B237" t="s">
        <v>38</v>
      </c>
      <c r="C237" t="s">
        <v>20</v>
      </c>
      <c r="D237">
        <v>1545</v>
      </c>
    </row>
    <row r="238" spans="1:4" x14ac:dyDescent="0.35">
      <c r="A238">
        <v>2005</v>
      </c>
      <c r="B238" t="s">
        <v>33</v>
      </c>
      <c r="C238" t="s">
        <v>74</v>
      </c>
      <c r="D238">
        <v>10</v>
      </c>
    </row>
    <row r="239" spans="1:4" x14ac:dyDescent="0.35">
      <c r="A239">
        <v>2005</v>
      </c>
      <c r="B239" t="s">
        <v>33</v>
      </c>
      <c r="C239" t="s">
        <v>75</v>
      </c>
      <c r="D239">
        <v>18</v>
      </c>
    </row>
    <row r="240" spans="1:4" x14ac:dyDescent="0.35">
      <c r="A240">
        <v>2005</v>
      </c>
      <c r="B240" t="s">
        <v>36</v>
      </c>
      <c r="C240" t="s">
        <v>76</v>
      </c>
      <c r="D240">
        <v>1321</v>
      </c>
    </row>
    <row r="241" spans="1:4" x14ac:dyDescent="0.35">
      <c r="A241">
        <v>2005</v>
      </c>
      <c r="B241" t="s">
        <v>33</v>
      </c>
      <c r="C241" t="s">
        <v>77</v>
      </c>
      <c r="D241">
        <v>22</v>
      </c>
    </row>
    <row r="242" spans="1:4" x14ac:dyDescent="0.35">
      <c r="A242">
        <v>2005</v>
      </c>
      <c r="B242" t="s">
        <v>35</v>
      </c>
      <c r="C242" t="s">
        <v>78</v>
      </c>
      <c r="D242">
        <v>13</v>
      </c>
    </row>
    <row r="243" spans="1:4" x14ac:dyDescent="0.35">
      <c r="A243">
        <v>2005</v>
      </c>
      <c r="B243" t="s">
        <v>36</v>
      </c>
      <c r="C243" t="s">
        <v>79</v>
      </c>
      <c r="D243">
        <v>4285</v>
      </c>
    </row>
    <row r="244" spans="1:4" x14ac:dyDescent="0.35">
      <c r="A244">
        <v>2005</v>
      </c>
      <c r="B244" t="s">
        <v>35</v>
      </c>
      <c r="C244" t="s">
        <v>81</v>
      </c>
      <c r="D244">
        <v>50</v>
      </c>
    </row>
    <row r="245" spans="1:4" x14ac:dyDescent="0.35">
      <c r="A245">
        <v>2005</v>
      </c>
      <c r="B245" t="s">
        <v>35</v>
      </c>
      <c r="C245" t="s">
        <v>214</v>
      </c>
      <c r="D245">
        <v>12</v>
      </c>
    </row>
    <row r="246" spans="1:4" x14ac:dyDescent="0.35">
      <c r="A246">
        <v>2005</v>
      </c>
      <c r="B246" t="s">
        <v>35</v>
      </c>
      <c r="C246" t="s">
        <v>82</v>
      </c>
      <c r="D246">
        <v>8</v>
      </c>
    </row>
    <row r="247" spans="1:4" x14ac:dyDescent="0.35">
      <c r="A247">
        <v>2005</v>
      </c>
      <c r="B247" t="s">
        <v>36</v>
      </c>
      <c r="C247" t="s">
        <v>84</v>
      </c>
      <c r="D247">
        <v>44</v>
      </c>
    </row>
    <row r="248" spans="1:4" x14ac:dyDescent="0.35">
      <c r="A248">
        <v>2005</v>
      </c>
      <c r="B248" t="s">
        <v>36</v>
      </c>
      <c r="C248" t="s">
        <v>85</v>
      </c>
      <c r="D248">
        <v>4586</v>
      </c>
    </row>
    <row r="249" spans="1:4" x14ac:dyDescent="0.35">
      <c r="A249">
        <v>2005</v>
      </c>
      <c r="B249" t="s">
        <v>38</v>
      </c>
      <c r="C249" t="s">
        <v>86</v>
      </c>
      <c r="D249">
        <v>2048</v>
      </c>
    </row>
    <row r="250" spans="1:4" x14ac:dyDescent="0.35">
      <c r="A250">
        <v>2005</v>
      </c>
      <c r="B250" t="s">
        <v>33</v>
      </c>
      <c r="C250" t="s">
        <v>87</v>
      </c>
      <c r="D250">
        <v>291</v>
      </c>
    </row>
    <row r="251" spans="1:4" x14ac:dyDescent="0.35">
      <c r="A251">
        <v>2005</v>
      </c>
      <c r="B251" t="s">
        <v>36</v>
      </c>
      <c r="C251" t="s">
        <v>16</v>
      </c>
      <c r="D251">
        <v>42885</v>
      </c>
    </row>
    <row r="252" spans="1:4" x14ac:dyDescent="0.35">
      <c r="A252">
        <v>2005</v>
      </c>
      <c r="B252" t="s">
        <v>33</v>
      </c>
      <c r="C252" t="s">
        <v>88</v>
      </c>
      <c r="D252" t="s">
        <v>205</v>
      </c>
    </row>
    <row r="253" spans="1:4" x14ac:dyDescent="0.35">
      <c r="A253">
        <v>2005</v>
      </c>
      <c r="B253" t="s">
        <v>33</v>
      </c>
      <c r="C253" t="s">
        <v>89</v>
      </c>
      <c r="D253">
        <v>88</v>
      </c>
    </row>
    <row r="254" spans="1:4" x14ac:dyDescent="0.35">
      <c r="A254">
        <v>2005</v>
      </c>
      <c r="B254" t="s">
        <v>35</v>
      </c>
      <c r="C254" t="s">
        <v>90</v>
      </c>
      <c r="D254">
        <v>23</v>
      </c>
    </row>
    <row r="255" spans="1:4" x14ac:dyDescent="0.35">
      <c r="A255">
        <v>2005</v>
      </c>
      <c r="B255" t="s">
        <v>33</v>
      </c>
      <c r="C255" t="s">
        <v>91</v>
      </c>
      <c r="D255">
        <v>206</v>
      </c>
    </row>
    <row r="256" spans="1:4" x14ac:dyDescent="0.35">
      <c r="A256">
        <v>2005</v>
      </c>
      <c r="B256" t="s">
        <v>37</v>
      </c>
      <c r="C256" t="s">
        <v>92</v>
      </c>
      <c r="D256">
        <v>29</v>
      </c>
    </row>
    <row r="257" spans="1:4" x14ac:dyDescent="0.35">
      <c r="A257">
        <v>2005</v>
      </c>
      <c r="B257" t="s">
        <v>35</v>
      </c>
      <c r="C257" t="s">
        <v>94</v>
      </c>
      <c r="D257">
        <v>115</v>
      </c>
    </row>
    <row r="258" spans="1:4" x14ac:dyDescent="0.35">
      <c r="A258">
        <v>2005</v>
      </c>
      <c r="B258" t="s">
        <v>33</v>
      </c>
      <c r="C258" t="s">
        <v>95</v>
      </c>
      <c r="D258" t="s">
        <v>205</v>
      </c>
    </row>
    <row r="259" spans="1:4" x14ac:dyDescent="0.35">
      <c r="A259">
        <v>2005</v>
      </c>
      <c r="B259" t="s">
        <v>33</v>
      </c>
      <c r="C259" t="s">
        <v>96</v>
      </c>
      <c r="D259">
        <v>79</v>
      </c>
    </row>
    <row r="260" spans="1:4" x14ac:dyDescent="0.35">
      <c r="A260">
        <v>2005</v>
      </c>
      <c r="B260" t="s">
        <v>34</v>
      </c>
      <c r="C260" t="s">
        <v>8</v>
      </c>
      <c r="D260">
        <v>45</v>
      </c>
    </row>
    <row r="261" spans="1:4" x14ac:dyDescent="0.35">
      <c r="A261">
        <v>2005</v>
      </c>
      <c r="B261" t="s">
        <v>35</v>
      </c>
      <c r="C261" t="s">
        <v>97</v>
      </c>
      <c r="D261">
        <v>159</v>
      </c>
    </row>
    <row r="262" spans="1:4" x14ac:dyDescent="0.35">
      <c r="A262">
        <v>2005</v>
      </c>
      <c r="B262" t="s">
        <v>33</v>
      </c>
      <c r="C262" t="s">
        <v>98</v>
      </c>
      <c r="D262">
        <v>165</v>
      </c>
    </row>
    <row r="263" spans="1:4" x14ac:dyDescent="0.35">
      <c r="A263">
        <v>2005</v>
      </c>
      <c r="B263" t="s">
        <v>35</v>
      </c>
      <c r="C263" t="s">
        <v>99</v>
      </c>
      <c r="D263">
        <v>29</v>
      </c>
    </row>
    <row r="264" spans="1:4" x14ac:dyDescent="0.35">
      <c r="A264">
        <v>2005</v>
      </c>
      <c r="B264" t="s">
        <v>36</v>
      </c>
      <c r="C264" t="s">
        <v>100</v>
      </c>
      <c r="D264">
        <v>23</v>
      </c>
    </row>
    <row r="265" spans="1:4" x14ac:dyDescent="0.35">
      <c r="A265">
        <v>2005</v>
      </c>
      <c r="B265" t="s">
        <v>37</v>
      </c>
      <c r="C265" t="s">
        <v>367</v>
      </c>
    </row>
    <row r="266" spans="1:4" x14ac:dyDescent="0.35">
      <c r="A266">
        <v>2005</v>
      </c>
      <c r="B266" t="s">
        <v>36</v>
      </c>
      <c r="C266" t="s">
        <v>15</v>
      </c>
      <c r="D266">
        <v>25909</v>
      </c>
    </row>
    <row r="267" spans="1:4" x14ac:dyDescent="0.35">
      <c r="A267">
        <v>2005</v>
      </c>
      <c r="B267" t="s">
        <v>33</v>
      </c>
      <c r="C267" t="s">
        <v>101</v>
      </c>
      <c r="D267">
        <v>67</v>
      </c>
    </row>
    <row r="268" spans="1:4" x14ac:dyDescent="0.35">
      <c r="A268">
        <v>2005</v>
      </c>
      <c r="B268" t="s">
        <v>33</v>
      </c>
      <c r="C268" t="s">
        <v>102</v>
      </c>
      <c r="D268" t="s">
        <v>205</v>
      </c>
    </row>
    <row r="269" spans="1:4" x14ac:dyDescent="0.35">
      <c r="A269">
        <v>2005</v>
      </c>
      <c r="B269" t="s">
        <v>38</v>
      </c>
      <c r="C269" t="s">
        <v>103</v>
      </c>
      <c r="D269">
        <v>293</v>
      </c>
    </row>
    <row r="270" spans="1:4" x14ac:dyDescent="0.35">
      <c r="A270">
        <v>2005</v>
      </c>
      <c r="B270" t="s">
        <v>36</v>
      </c>
      <c r="C270" t="s">
        <v>104</v>
      </c>
      <c r="D270">
        <v>999</v>
      </c>
    </row>
    <row r="271" spans="1:4" x14ac:dyDescent="0.35">
      <c r="A271">
        <v>2005</v>
      </c>
      <c r="B271" t="s">
        <v>36</v>
      </c>
      <c r="C271" t="s">
        <v>17</v>
      </c>
      <c r="D271">
        <v>55756</v>
      </c>
    </row>
    <row r="272" spans="1:4" x14ac:dyDescent="0.35">
      <c r="A272">
        <v>2005</v>
      </c>
      <c r="B272" t="s">
        <v>34</v>
      </c>
      <c r="C272" t="s">
        <v>368</v>
      </c>
      <c r="D272">
        <v>31</v>
      </c>
    </row>
    <row r="273" spans="1:4" x14ac:dyDescent="0.35">
      <c r="A273">
        <v>2005</v>
      </c>
      <c r="B273" t="s">
        <v>35</v>
      </c>
      <c r="C273" t="s">
        <v>105</v>
      </c>
      <c r="D273">
        <v>50</v>
      </c>
    </row>
    <row r="274" spans="1:4" x14ac:dyDescent="0.35">
      <c r="A274">
        <v>2005</v>
      </c>
      <c r="B274" t="s">
        <v>35</v>
      </c>
      <c r="C274" t="s">
        <v>106</v>
      </c>
      <c r="D274">
        <v>3</v>
      </c>
    </row>
    <row r="275" spans="1:4" x14ac:dyDescent="0.35">
      <c r="A275">
        <v>2005</v>
      </c>
      <c r="B275" t="s">
        <v>34</v>
      </c>
      <c r="C275" t="s">
        <v>22</v>
      </c>
      <c r="D275">
        <v>770</v>
      </c>
    </row>
    <row r="276" spans="1:4" x14ac:dyDescent="0.35">
      <c r="A276">
        <v>2005</v>
      </c>
      <c r="B276" t="s">
        <v>34</v>
      </c>
      <c r="C276" t="s">
        <v>107</v>
      </c>
      <c r="D276">
        <v>153</v>
      </c>
    </row>
    <row r="277" spans="1:4" x14ac:dyDescent="0.35">
      <c r="A277">
        <v>2005</v>
      </c>
      <c r="B277" t="s">
        <v>34</v>
      </c>
      <c r="C277" t="s">
        <v>108</v>
      </c>
      <c r="D277">
        <v>166</v>
      </c>
    </row>
    <row r="278" spans="1:4" x14ac:dyDescent="0.35">
      <c r="A278">
        <v>2005</v>
      </c>
      <c r="B278" t="s">
        <v>34</v>
      </c>
      <c r="C278" t="s">
        <v>109</v>
      </c>
      <c r="D278">
        <v>164</v>
      </c>
    </row>
    <row r="279" spans="1:4" x14ac:dyDescent="0.35">
      <c r="A279">
        <v>2005</v>
      </c>
      <c r="B279" t="s">
        <v>35</v>
      </c>
      <c r="C279" t="s">
        <v>110</v>
      </c>
      <c r="D279">
        <v>53</v>
      </c>
    </row>
    <row r="280" spans="1:4" x14ac:dyDescent="0.35">
      <c r="A280">
        <v>2005</v>
      </c>
      <c r="B280" t="s">
        <v>34</v>
      </c>
      <c r="C280" t="s">
        <v>111</v>
      </c>
      <c r="D280">
        <v>322</v>
      </c>
    </row>
    <row r="281" spans="1:4" x14ac:dyDescent="0.35">
      <c r="A281">
        <v>2005</v>
      </c>
      <c r="B281" t="s">
        <v>35</v>
      </c>
      <c r="C281" t="s">
        <v>112</v>
      </c>
      <c r="D281">
        <v>104</v>
      </c>
    </row>
    <row r="282" spans="1:4" x14ac:dyDescent="0.35">
      <c r="A282">
        <v>2005</v>
      </c>
      <c r="B282" t="s">
        <v>36</v>
      </c>
      <c r="C282" t="s">
        <v>113</v>
      </c>
      <c r="D282">
        <v>1557</v>
      </c>
    </row>
    <row r="283" spans="1:4" x14ac:dyDescent="0.35">
      <c r="A283">
        <v>2005</v>
      </c>
      <c r="B283" t="s">
        <v>34</v>
      </c>
      <c r="C283" t="s">
        <v>114</v>
      </c>
      <c r="D283">
        <v>41</v>
      </c>
    </row>
    <row r="284" spans="1:4" x14ac:dyDescent="0.35">
      <c r="A284">
        <v>2005</v>
      </c>
      <c r="B284" t="s">
        <v>34</v>
      </c>
      <c r="C284" t="s">
        <v>115</v>
      </c>
      <c r="D284">
        <v>309</v>
      </c>
    </row>
    <row r="285" spans="1:4" x14ac:dyDescent="0.35">
      <c r="A285">
        <v>2005</v>
      </c>
      <c r="B285" t="s">
        <v>34</v>
      </c>
      <c r="C285" t="s">
        <v>116</v>
      </c>
      <c r="D285">
        <v>14</v>
      </c>
    </row>
    <row r="286" spans="1:4" x14ac:dyDescent="0.35">
      <c r="A286">
        <v>2005</v>
      </c>
      <c r="B286" t="s">
        <v>33</v>
      </c>
      <c r="C286" t="s">
        <v>117</v>
      </c>
      <c r="D286">
        <v>146</v>
      </c>
    </row>
    <row r="287" spans="1:4" x14ac:dyDescent="0.35">
      <c r="A287">
        <v>2005</v>
      </c>
      <c r="B287" t="s">
        <v>34</v>
      </c>
      <c r="C287" t="s">
        <v>118</v>
      </c>
      <c r="D287">
        <v>604</v>
      </c>
    </row>
    <row r="288" spans="1:4" x14ac:dyDescent="0.35">
      <c r="A288">
        <v>2005</v>
      </c>
      <c r="B288" t="s">
        <v>35</v>
      </c>
      <c r="C288" t="s">
        <v>119</v>
      </c>
      <c r="D288" t="s">
        <v>206</v>
      </c>
    </row>
    <row r="289" spans="1:4" x14ac:dyDescent="0.35">
      <c r="A289">
        <v>2005</v>
      </c>
      <c r="B289" t="s">
        <v>34</v>
      </c>
      <c r="C289" t="s">
        <v>120</v>
      </c>
      <c r="D289">
        <v>16</v>
      </c>
    </row>
    <row r="290" spans="1:4" x14ac:dyDescent="0.35">
      <c r="A290">
        <v>2005</v>
      </c>
      <c r="B290" t="s">
        <v>34</v>
      </c>
      <c r="C290" t="s">
        <v>121</v>
      </c>
      <c r="D290">
        <v>12</v>
      </c>
    </row>
    <row r="291" spans="1:4" x14ac:dyDescent="0.35">
      <c r="A291">
        <v>2005</v>
      </c>
      <c r="B291" t="s">
        <v>34</v>
      </c>
      <c r="C291" t="s">
        <v>122</v>
      </c>
      <c r="D291">
        <v>237</v>
      </c>
    </row>
    <row r="292" spans="1:4" x14ac:dyDescent="0.35">
      <c r="A292">
        <v>2005</v>
      </c>
      <c r="B292" t="s">
        <v>35</v>
      </c>
      <c r="C292" t="s">
        <v>123</v>
      </c>
      <c r="D292">
        <v>14</v>
      </c>
    </row>
    <row r="293" spans="1:4" x14ac:dyDescent="0.35">
      <c r="A293">
        <v>2005</v>
      </c>
      <c r="B293" t="s">
        <v>34</v>
      </c>
      <c r="C293" t="s">
        <v>124</v>
      </c>
      <c r="D293">
        <v>125</v>
      </c>
    </row>
    <row r="294" spans="1:4" x14ac:dyDescent="0.35">
      <c r="A294">
        <v>2005</v>
      </c>
      <c r="B294" t="s">
        <v>33</v>
      </c>
      <c r="C294" t="s">
        <v>125</v>
      </c>
      <c r="D294">
        <v>85</v>
      </c>
    </row>
    <row r="295" spans="1:4" x14ac:dyDescent="0.35">
      <c r="A295">
        <v>2005</v>
      </c>
      <c r="B295" t="s">
        <v>33</v>
      </c>
      <c r="C295" t="s">
        <v>126</v>
      </c>
      <c r="D295">
        <v>5</v>
      </c>
    </row>
    <row r="296" spans="1:4" x14ac:dyDescent="0.35">
      <c r="A296">
        <v>2005</v>
      </c>
      <c r="B296" t="s">
        <v>35</v>
      </c>
      <c r="C296" t="s">
        <v>127</v>
      </c>
      <c r="D296">
        <v>62</v>
      </c>
    </row>
    <row r="297" spans="1:4" x14ac:dyDescent="0.35">
      <c r="A297">
        <v>2005</v>
      </c>
      <c r="B297" t="s">
        <v>34</v>
      </c>
      <c r="C297" t="s">
        <v>369</v>
      </c>
      <c r="D297" t="s">
        <v>205</v>
      </c>
    </row>
    <row r="298" spans="1:4" x14ac:dyDescent="0.35">
      <c r="A298">
        <v>2005</v>
      </c>
      <c r="B298" t="s">
        <v>33</v>
      </c>
      <c r="C298" t="s">
        <v>130</v>
      </c>
      <c r="D298">
        <v>7</v>
      </c>
    </row>
    <row r="299" spans="1:4" x14ac:dyDescent="0.35">
      <c r="A299">
        <v>2005</v>
      </c>
      <c r="B299" t="s">
        <v>34</v>
      </c>
      <c r="C299" t="s">
        <v>131</v>
      </c>
      <c r="D299">
        <v>51</v>
      </c>
    </row>
    <row r="300" spans="1:4" x14ac:dyDescent="0.35">
      <c r="A300">
        <v>2005</v>
      </c>
      <c r="B300" t="s">
        <v>33</v>
      </c>
      <c r="C300" t="s">
        <v>132</v>
      </c>
      <c r="D300">
        <v>44</v>
      </c>
    </row>
    <row r="301" spans="1:4" x14ac:dyDescent="0.35">
      <c r="A301">
        <v>2005</v>
      </c>
      <c r="B301" t="s">
        <v>35</v>
      </c>
      <c r="C301" t="s">
        <v>133</v>
      </c>
      <c r="D301">
        <v>3</v>
      </c>
    </row>
    <row r="302" spans="1:4" x14ac:dyDescent="0.35">
      <c r="A302">
        <v>2005</v>
      </c>
      <c r="B302" t="s">
        <v>37</v>
      </c>
      <c r="C302" t="s">
        <v>134</v>
      </c>
      <c r="D302">
        <v>5</v>
      </c>
    </row>
    <row r="303" spans="1:4" x14ac:dyDescent="0.35">
      <c r="A303">
        <v>2005</v>
      </c>
      <c r="B303" t="s">
        <v>33</v>
      </c>
      <c r="C303" t="s">
        <v>135</v>
      </c>
      <c r="D303">
        <v>33</v>
      </c>
    </row>
    <row r="304" spans="1:4" x14ac:dyDescent="0.35">
      <c r="A304">
        <v>2005</v>
      </c>
      <c r="B304" t="s">
        <v>36</v>
      </c>
      <c r="C304" t="s">
        <v>14</v>
      </c>
      <c r="D304">
        <v>1093340</v>
      </c>
    </row>
    <row r="305" spans="1:4" x14ac:dyDescent="0.35">
      <c r="A305">
        <v>2005</v>
      </c>
      <c r="B305" t="s">
        <v>37</v>
      </c>
      <c r="C305" t="s">
        <v>137</v>
      </c>
      <c r="D305">
        <v>22</v>
      </c>
    </row>
    <row r="306" spans="1:4" x14ac:dyDescent="0.35">
      <c r="A306">
        <v>2005</v>
      </c>
      <c r="B306" t="s">
        <v>35</v>
      </c>
      <c r="C306" t="s">
        <v>138</v>
      </c>
      <c r="D306">
        <v>20</v>
      </c>
    </row>
    <row r="307" spans="1:4" x14ac:dyDescent="0.35">
      <c r="A307">
        <v>2005</v>
      </c>
      <c r="B307" t="s">
        <v>34</v>
      </c>
      <c r="C307" t="s">
        <v>139</v>
      </c>
      <c r="D307">
        <v>41</v>
      </c>
    </row>
    <row r="308" spans="1:4" x14ac:dyDescent="0.35">
      <c r="A308">
        <v>2005</v>
      </c>
      <c r="B308" t="s">
        <v>35</v>
      </c>
      <c r="C308" t="s">
        <v>140</v>
      </c>
      <c r="D308" t="s">
        <v>206</v>
      </c>
    </row>
    <row r="309" spans="1:4" x14ac:dyDescent="0.35">
      <c r="A309">
        <v>2005</v>
      </c>
      <c r="B309" t="s">
        <v>36</v>
      </c>
      <c r="C309" t="s">
        <v>370</v>
      </c>
      <c r="D309">
        <v>4</v>
      </c>
    </row>
    <row r="310" spans="1:4" x14ac:dyDescent="0.35">
      <c r="A310">
        <v>2005</v>
      </c>
      <c r="B310" t="s">
        <v>33</v>
      </c>
      <c r="C310" t="s">
        <v>141</v>
      </c>
      <c r="D310">
        <v>278</v>
      </c>
    </row>
    <row r="311" spans="1:4" x14ac:dyDescent="0.35">
      <c r="A311">
        <v>2005</v>
      </c>
      <c r="B311" t="s">
        <v>34</v>
      </c>
      <c r="C311" t="s">
        <v>144</v>
      </c>
      <c r="D311">
        <v>33</v>
      </c>
    </row>
    <row r="312" spans="1:4" x14ac:dyDescent="0.35">
      <c r="A312">
        <v>2005</v>
      </c>
      <c r="B312" t="s">
        <v>35</v>
      </c>
      <c r="C312" t="s">
        <v>145</v>
      </c>
      <c r="D312">
        <v>53</v>
      </c>
    </row>
    <row r="313" spans="1:4" x14ac:dyDescent="0.35">
      <c r="A313">
        <v>2005</v>
      </c>
      <c r="B313" t="s">
        <v>36</v>
      </c>
      <c r="C313" t="s">
        <v>371</v>
      </c>
      <c r="D313">
        <v>10</v>
      </c>
    </row>
    <row r="314" spans="1:4" x14ac:dyDescent="0.35">
      <c r="A314">
        <v>2005</v>
      </c>
      <c r="B314" t="s">
        <v>37</v>
      </c>
      <c r="C314" t="s">
        <v>146</v>
      </c>
      <c r="D314">
        <v>25</v>
      </c>
    </row>
    <row r="315" spans="1:4" x14ac:dyDescent="0.35">
      <c r="A315">
        <v>2005</v>
      </c>
      <c r="B315" t="s">
        <v>36</v>
      </c>
      <c r="C315" t="s">
        <v>147</v>
      </c>
      <c r="D315">
        <v>4272</v>
      </c>
    </row>
    <row r="316" spans="1:4" x14ac:dyDescent="0.35">
      <c r="A316">
        <v>2005</v>
      </c>
      <c r="B316" t="s">
        <v>33</v>
      </c>
      <c r="C316" t="s">
        <v>148</v>
      </c>
      <c r="D316">
        <v>19</v>
      </c>
    </row>
    <row r="317" spans="1:4" x14ac:dyDescent="0.35">
      <c r="A317">
        <v>2005</v>
      </c>
      <c r="B317" t="s">
        <v>33</v>
      </c>
      <c r="C317" t="s">
        <v>149</v>
      </c>
      <c r="D317">
        <v>375</v>
      </c>
    </row>
    <row r="318" spans="1:4" x14ac:dyDescent="0.35">
      <c r="A318">
        <v>2005</v>
      </c>
      <c r="B318" t="s">
        <v>35</v>
      </c>
      <c r="C318" t="s">
        <v>322</v>
      </c>
      <c r="D318">
        <v>44</v>
      </c>
    </row>
    <row r="319" spans="1:4" x14ac:dyDescent="0.35">
      <c r="A319">
        <v>2005</v>
      </c>
      <c r="B319" t="s">
        <v>35</v>
      </c>
      <c r="C319" t="s">
        <v>150</v>
      </c>
      <c r="D319">
        <v>5</v>
      </c>
    </row>
    <row r="320" spans="1:4" x14ac:dyDescent="0.35">
      <c r="A320">
        <v>2005</v>
      </c>
      <c r="B320" t="s">
        <v>34</v>
      </c>
      <c r="C320" t="s">
        <v>152</v>
      </c>
      <c r="D320">
        <v>792</v>
      </c>
    </row>
    <row r="321" spans="1:4" x14ac:dyDescent="0.35">
      <c r="A321">
        <v>2005</v>
      </c>
      <c r="B321" t="s">
        <v>37</v>
      </c>
      <c r="C321" t="s">
        <v>153</v>
      </c>
      <c r="D321">
        <v>5</v>
      </c>
    </row>
    <row r="322" spans="1:4" x14ac:dyDescent="0.35">
      <c r="A322">
        <v>2005</v>
      </c>
      <c r="B322" t="s">
        <v>36</v>
      </c>
      <c r="C322" t="s">
        <v>154</v>
      </c>
      <c r="D322">
        <v>131</v>
      </c>
    </row>
    <row r="323" spans="1:4" x14ac:dyDescent="0.35">
      <c r="A323">
        <v>2005</v>
      </c>
      <c r="B323" t="s">
        <v>38</v>
      </c>
      <c r="C323" t="s">
        <v>155</v>
      </c>
      <c r="D323">
        <v>18</v>
      </c>
    </row>
    <row r="324" spans="1:4" x14ac:dyDescent="0.35">
      <c r="A324">
        <v>2005</v>
      </c>
      <c r="B324" t="s">
        <v>38</v>
      </c>
      <c r="C324" t="s">
        <v>156</v>
      </c>
      <c r="D324">
        <v>903</v>
      </c>
    </row>
    <row r="325" spans="1:4" x14ac:dyDescent="0.35">
      <c r="A325">
        <v>2005</v>
      </c>
      <c r="B325" t="s">
        <v>34</v>
      </c>
      <c r="C325" t="s">
        <v>18</v>
      </c>
      <c r="D325">
        <v>600</v>
      </c>
    </row>
    <row r="326" spans="1:4" x14ac:dyDescent="0.35">
      <c r="A326">
        <v>2005</v>
      </c>
      <c r="B326" t="s">
        <v>35</v>
      </c>
      <c r="C326" t="s">
        <v>157</v>
      </c>
      <c r="D326">
        <v>348</v>
      </c>
    </row>
    <row r="327" spans="1:4" x14ac:dyDescent="0.35">
      <c r="A327">
        <v>2005</v>
      </c>
      <c r="B327" t="s">
        <v>35</v>
      </c>
      <c r="C327" t="s">
        <v>158</v>
      </c>
      <c r="D327">
        <v>145</v>
      </c>
    </row>
    <row r="328" spans="1:4" x14ac:dyDescent="0.35">
      <c r="A328">
        <v>2005</v>
      </c>
      <c r="B328" t="s">
        <v>35</v>
      </c>
      <c r="C328" t="s">
        <v>160</v>
      </c>
      <c r="D328">
        <v>232</v>
      </c>
    </row>
    <row r="329" spans="1:4" x14ac:dyDescent="0.35">
      <c r="A329">
        <v>2005</v>
      </c>
      <c r="B329" t="s">
        <v>35</v>
      </c>
      <c r="C329" t="s">
        <v>161</v>
      </c>
      <c r="D329">
        <v>195</v>
      </c>
    </row>
    <row r="330" spans="1:4" x14ac:dyDescent="0.35">
      <c r="A330">
        <v>2005</v>
      </c>
      <c r="B330" t="s">
        <v>33</v>
      </c>
      <c r="C330" t="s">
        <v>162</v>
      </c>
      <c r="D330">
        <v>5</v>
      </c>
    </row>
    <row r="331" spans="1:4" x14ac:dyDescent="0.35">
      <c r="A331">
        <v>2005</v>
      </c>
      <c r="B331" t="s">
        <v>36</v>
      </c>
      <c r="C331" t="s">
        <v>163</v>
      </c>
      <c r="D331">
        <v>20</v>
      </c>
    </row>
    <row r="332" spans="1:4" x14ac:dyDescent="0.35">
      <c r="A332">
        <v>2005</v>
      </c>
      <c r="B332" t="s">
        <v>36</v>
      </c>
      <c r="C332" t="s">
        <v>164</v>
      </c>
      <c r="D332">
        <v>44</v>
      </c>
    </row>
    <row r="333" spans="1:4" x14ac:dyDescent="0.35">
      <c r="A333">
        <v>2005</v>
      </c>
      <c r="B333" t="s">
        <v>36</v>
      </c>
      <c r="C333" t="s">
        <v>165</v>
      </c>
      <c r="D333">
        <v>28</v>
      </c>
    </row>
    <row r="334" spans="1:4" x14ac:dyDescent="0.35">
      <c r="A334">
        <v>2005</v>
      </c>
      <c r="B334" t="s">
        <v>37</v>
      </c>
      <c r="C334" t="s">
        <v>166</v>
      </c>
      <c r="D334">
        <v>20</v>
      </c>
    </row>
    <row r="335" spans="1:4" x14ac:dyDescent="0.35">
      <c r="A335">
        <v>2005</v>
      </c>
      <c r="B335" t="s">
        <v>34</v>
      </c>
      <c r="C335" t="s">
        <v>167</v>
      </c>
      <c r="D335">
        <v>40</v>
      </c>
    </row>
    <row r="336" spans="1:4" x14ac:dyDescent="0.35">
      <c r="A336">
        <v>2005</v>
      </c>
      <c r="B336" t="s">
        <v>33</v>
      </c>
      <c r="C336" t="s">
        <v>168</v>
      </c>
      <c r="D336">
        <v>66</v>
      </c>
    </row>
    <row r="337" spans="1:4" x14ac:dyDescent="0.35">
      <c r="A337">
        <v>2005</v>
      </c>
      <c r="B337" t="s">
        <v>35</v>
      </c>
      <c r="C337" t="s">
        <v>169</v>
      </c>
      <c r="D337" t="s">
        <v>206</v>
      </c>
    </row>
    <row r="338" spans="1:4" x14ac:dyDescent="0.35">
      <c r="A338">
        <v>2005</v>
      </c>
      <c r="B338" t="s">
        <v>35</v>
      </c>
      <c r="C338" t="s">
        <v>215</v>
      </c>
      <c r="D338">
        <v>122</v>
      </c>
    </row>
    <row r="339" spans="1:4" x14ac:dyDescent="0.35">
      <c r="A339">
        <v>2005</v>
      </c>
      <c r="B339" t="s">
        <v>33</v>
      </c>
      <c r="C339" t="s">
        <v>170</v>
      </c>
      <c r="D339">
        <v>63</v>
      </c>
    </row>
    <row r="340" spans="1:4" x14ac:dyDescent="0.35">
      <c r="A340">
        <v>2005</v>
      </c>
      <c r="B340" t="s">
        <v>34</v>
      </c>
      <c r="C340" t="s">
        <v>171</v>
      </c>
      <c r="D340">
        <v>13</v>
      </c>
    </row>
    <row r="341" spans="1:4" x14ac:dyDescent="0.35">
      <c r="A341">
        <v>2005</v>
      </c>
      <c r="B341" t="s">
        <v>35</v>
      </c>
      <c r="C341" t="s">
        <v>172</v>
      </c>
      <c r="D341">
        <v>32</v>
      </c>
    </row>
    <row r="342" spans="1:4" x14ac:dyDescent="0.35">
      <c r="A342">
        <v>2005</v>
      </c>
      <c r="B342" t="s">
        <v>35</v>
      </c>
      <c r="C342" t="s">
        <v>173</v>
      </c>
      <c r="D342">
        <v>4</v>
      </c>
    </row>
    <row r="343" spans="1:4" x14ac:dyDescent="0.35">
      <c r="A343">
        <v>2005</v>
      </c>
      <c r="B343" t="s">
        <v>33</v>
      </c>
      <c r="C343" t="s">
        <v>174</v>
      </c>
      <c r="D343">
        <v>92</v>
      </c>
    </row>
    <row r="344" spans="1:4" x14ac:dyDescent="0.35">
      <c r="A344">
        <v>2005</v>
      </c>
      <c r="B344" t="s">
        <v>33</v>
      </c>
      <c r="C344" t="s">
        <v>175</v>
      </c>
      <c r="D344">
        <v>138</v>
      </c>
    </row>
    <row r="345" spans="1:4" x14ac:dyDescent="0.35">
      <c r="A345">
        <v>2005</v>
      </c>
      <c r="B345" t="s">
        <v>33</v>
      </c>
      <c r="C345" t="s">
        <v>176</v>
      </c>
      <c r="D345" t="s">
        <v>206</v>
      </c>
    </row>
    <row r="346" spans="1:4" x14ac:dyDescent="0.35">
      <c r="A346">
        <v>2005</v>
      </c>
      <c r="B346" t="s">
        <v>35</v>
      </c>
      <c r="C346" t="s">
        <v>216</v>
      </c>
      <c r="D346">
        <v>42</v>
      </c>
    </row>
    <row r="347" spans="1:4" x14ac:dyDescent="0.35">
      <c r="A347">
        <v>2005</v>
      </c>
      <c r="B347" t="s">
        <v>35</v>
      </c>
      <c r="C347" t="s">
        <v>177</v>
      </c>
      <c r="D347">
        <v>43</v>
      </c>
    </row>
    <row r="348" spans="1:4" x14ac:dyDescent="0.35">
      <c r="A348">
        <v>2005</v>
      </c>
      <c r="B348" t="s">
        <v>34</v>
      </c>
      <c r="C348" t="s">
        <v>178</v>
      </c>
      <c r="D348">
        <v>46</v>
      </c>
    </row>
    <row r="349" spans="1:4" x14ac:dyDescent="0.35">
      <c r="A349">
        <v>2005</v>
      </c>
      <c r="B349" t="s">
        <v>33</v>
      </c>
      <c r="C349" t="s">
        <v>179</v>
      </c>
      <c r="D349">
        <v>81</v>
      </c>
    </row>
    <row r="350" spans="1:4" x14ac:dyDescent="0.35">
      <c r="A350">
        <v>2005</v>
      </c>
      <c r="B350" t="s">
        <v>38</v>
      </c>
      <c r="C350" t="s">
        <v>180</v>
      </c>
      <c r="D350">
        <v>8</v>
      </c>
    </row>
    <row r="351" spans="1:4" x14ac:dyDescent="0.35">
      <c r="A351">
        <v>2005</v>
      </c>
      <c r="B351" t="s">
        <v>35</v>
      </c>
      <c r="C351" t="s">
        <v>182</v>
      </c>
      <c r="D351">
        <v>23</v>
      </c>
    </row>
    <row r="352" spans="1:4" x14ac:dyDescent="0.35">
      <c r="A352">
        <v>2005</v>
      </c>
      <c r="B352" t="s">
        <v>35</v>
      </c>
      <c r="C352" t="s">
        <v>183</v>
      </c>
      <c r="D352">
        <v>10</v>
      </c>
    </row>
    <row r="353" spans="1:4" x14ac:dyDescent="0.35">
      <c r="A353">
        <v>2005</v>
      </c>
      <c r="B353" t="s">
        <v>34</v>
      </c>
      <c r="C353" t="s">
        <v>184</v>
      </c>
      <c r="D353">
        <v>113</v>
      </c>
    </row>
    <row r="354" spans="1:4" x14ac:dyDescent="0.35">
      <c r="A354">
        <v>2005</v>
      </c>
      <c r="B354" t="s">
        <v>34</v>
      </c>
      <c r="C354" t="s">
        <v>185</v>
      </c>
      <c r="D354">
        <v>51</v>
      </c>
    </row>
    <row r="355" spans="1:4" x14ac:dyDescent="0.35">
      <c r="A355">
        <v>2005</v>
      </c>
      <c r="B355" t="s">
        <v>34</v>
      </c>
      <c r="C355" t="s">
        <v>186</v>
      </c>
      <c r="D355">
        <v>8</v>
      </c>
    </row>
    <row r="356" spans="1:4" x14ac:dyDescent="0.35">
      <c r="A356">
        <v>2005</v>
      </c>
      <c r="B356" t="s">
        <v>33</v>
      </c>
      <c r="C356" t="s">
        <v>187</v>
      </c>
      <c r="D356">
        <v>37</v>
      </c>
    </row>
    <row r="357" spans="1:4" x14ac:dyDescent="0.35">
      <c r="A357">
        <v>2005</v>
      </c>
      <c r="B357" t="s">
        <v>34</v>
      </c>
      <c r="C357" t="s">
        <v>188</v>
      </c>
      <c r="D357">
        <v>134</v>
      </c>
    </row>
    <row r="358" spans="1:4" x14ac:dyDescent="0.35">
      <c r="A358">
        <v>2005</v>
      </c>
      <c r="B358" t="s">
        <v>33</v>
      </c>
      <c r="C358" t="s">
        <v>189</v>
      </c>
      <c r="D358">
        <v>12</v>
      </c>
    </row>
    <row r="359" spans="1:4" x14ac:dyDescent="0.35">
      <c r="A359">
        <v>2005</v>
      </c>
      <c r="B359" t="s">
        <v>37</v>
      </c>
      <c r="C359" t="s">
        <v>190</v>
      </c>
      <c r="D359">
        <v>33</v>
      </c>
    </row>
    <row r="360" spans="1:4" x14ac:dyDescent="0.35">
      <c r="A360">
        <v>2005</v>
      </c>
      <c r="B360" t="s">
        <v>36</v>
      </c>
      <c r="C360" t="s">
        <v>191</v>
      </c>
      <c r="D360">
        <v>448</v>
      </c>
    </row>
    <row r="361" spans="1:4" x14ac:dyDescent="0.35">
      <c r="A361">
        <v>2005</v>
      </c>
      <c r="B361" t="s">
        <v>33</v>
      </c>
      <c r="C361" t="s">
        <v>192</v>
      </c>
      <c r="D361">
        <v>85</v>
      </c>
    </row>
    <row r="362" spans="1:4" x14ac:dyDescent="0.35">
      <c r="A362">
        <v>2005</v>
      </c>
      <c r="B362" t="s">
        <v>34</v>
      </c>
      <c r="C362" t="s">
        <v>193</v>
      </c>
      <c r="D362">
        <v>392</v>
      </c>
    </row>
    <row r="363" spans="1:4" x14ac:dyDescent="0.35">
      <c r="A363">
        <v>2005</v>
      </c>
      <c r="B363" t="s">
        <v>34</v>
      </c>
      <c r="C363" t="s">
        <v>194</v>
      </c>
    </row>
    <row r="364" spans="1:4" x14ac:dyDescent="0.35">
      <c r="A364">
        <v>2005</v>
      </c>
      <c r="B364" t="s">
        <v>36</v>
      </c>
      <c r="C364" t="s">
        <v>372</v>
      </c>
      <c r="D364">
        <v>5</v>
      </c>
    </row>
    <row r="365" spans="1:4" x14ac:dyDescent="0.35">
      <c r="A365">
        <v>2005</v>
      </c>
      <c r="B365" t="s">
        <v>33</v>
      </c>
      <c r="C365" t="s">
        <v>195</v>
      </c>
      <c r="D365">
        <v>17</v>
      </c>
    </row>
    <row r="366" spans="1:4" x14ac:dyDescent="0.35">
      <c r="A366">
        <v>2005</v>
      </c>
      <c r="B366" t="s">
        <v>35</v>
      </c>
      <c r="C366" t="s">
        <v>196</v>
      </c>
      <c r="D366">
        <v>154</v>
      </c>
    </row>
    <row r="367" spans="1:4" x14ac:dyDescent="0.35">
      <c r="A367">
        <v>2005</v>
      </c>
      <c r="B367" t="s">
        <v>34</v>
      </c>
      <c r="C367" t="s">
        <v>197</v>
      </c>
      <c r="D367">
        <v>6</v>
      </c>
    </row>
    <row r="368" spans="1:4" x14ac:dyDescent="0.35">
      <c r="A368">
        <v>2005</v>
      </c>
      <c r="B368" t="s">
        <v>35</v>
      </c>
      <c r="C368" t="s">
        <v>198</v>
      </c>
      <c r="D368">
        <v>297</v>
      </c>
    </row>
    <row r="369" spans="1:4" x14ac:dyDescent="0.35">
      <c r="A369">
        <v>2005</v>
      </c>
      <c r="B369" t="s">
        <v>39</v>
      </c>
      <c r="C369" t="s">
        <v>39</v>
      </c>
      <c r="D369">
        <v>227</v>
      </c>
    </row>
    <row r="370" spans="1:4" x14ac:dyDescent="0.35">
      <c r="A370">
        <v>2005</v>
      </c>
      <c r="B370" t="s">
        <v>38</v>
      </c>
      <c r="C370" t="s">
        <v>199</v>
      </c>
      <c r="D370">
        <v>128</v>
      </c>
    </row>
    <row r="371" spans="1:4" x14ac:dyDescent="0.35">
      <c r="A371">
        <v>2005</v>
      </c>
      <c r="B371" t="s">
        <v>34</v>
      </c>
      <c r="C371" t="s">
        <v>200</v>
      </c>
      <c r="D371">
        <v>130</v>
      </c>
    </row>
    <row r="372" spans="1:4" x14ac:dyDescent="0.35">
      <c r="A372">
        <v>2005</v>
      </c>
      <c r="B372" t="s">
        <v>38</v>
      </c>
      <c r="C372" t="s">
        <v>19</v>
      </c>
      <c r="D372">
        <v>301</v>
      </c>
    </row>
    <row r="373" spans="1:4" x14ac:dyDescent="0.35">
      <c r="A373">
        <v>2005</v>
      </c>
      <c r="B373" t="s">
        <v>34</v>
      </c>
      <c r="C373" t="s">
        <v>201</v>
      </c>
      <c r="D373">
        <v>421</v>
      </c>
    </row>
    <row r="374" spans="1:4" x14ac:dyDescent="0.35">
      <c r="A374">
        <v>2005</v>
      </c>
      <c r="B374" t="s">
        <v>34</v>
      </c>
      <c r="C374" t="s">
        <v>202</v>
      </c>
      <c r="D374">
        <v>67</v>
      </c>
    </row>
    <row r="375" spans="1:4" x14ac:dyDescent="0.35">
      <c r="A375">
        <v>2005</v>
      </c>
      <c r="B375" t="s">
        <v>33</v>
      </c>
      <c r="C375" t="s">
        <v>203</v>
      </c>
      <c r="D375">
        <v>22</v>
      </c>
    </row>
    <row r="376" spans="1:4" x14ac:dyDescent="0.35">
      <c r="A376">
        <v>2005</v>
      </c>
      <c r="B376" t="s">
        <v>33</v>
      </c>
      <c r="C376" t="s">
        <v>204</v>
      </c>
      <c r="D376">
        <v>32</v>
      </c>
    </row>
    <row r="377" spans="1:4" x14ac:dyDescent="0.35">
      <c r="A377">
        <v>2006</v>
      </c>
      <c r="B377" t="s">
        <v>34</v>
      </c>
      <c r="C377" t="s">
        <v>40</v>
      </c>
      <c r="D377">
        <v>53</v>
      </c>
    </row>
    <row r="378" spans="1:4" x14ac:dyDescent="0.35">
      <c r="A378">
        <v>2006</v>
      </c>
      <c r="B378" t="s">
        <v>35</v>
      </c>
      <c r="C378" t="s">
        <v>41</v>
      </c>
      <c r="D378">
        <v>350</v>
      </c>
    </row>
    <row r="379" spans="1:4" x14ac:dyDescent="0.35">
      <c r="A379">
        <v>2006</v>
      </c>
      <c r="B379" t="s">
        <v>33</v>
      </c>
      <c r="C379" t="s">
        <v>42</v>
      </c>
      <c r="D379">
        <v>50</v>
      </c>
    </row>
    <row r="380" spans="1:4" x14ac:dyDescent="0.35">
      <c r="A380">
        <v>2006</v>
      </c>
      <c r="C380" t="s">
        <v>373</v>
      </c>
      <c r="D380">
        <v>45</v>
      </c>
    </row>
    <row r="381" spans="1:4" x14ac:dyDescent="0.35">
      <c r="A381">
        <v>2006</v>
      </c>
      <c r="B381" t="s">
        <v>33</v>
      </c>
      <c r="C381" t="s">
        <v>43</v>
      </c>
      <c r="D381">
        <v>11</v>
      </c>
    </row>
    <row r="382" spans="1:4" x14ac:dyDescent="0.35">
      <c r="A382">
        <v>2006</v>
      </c>
      <c r="B382" t="s">
        <v>36</v>
      </c>
      <c r="C382" t="s">
        <v>44</v>
      </c>
      <c r="D382">
        <v>29</v>
      </c>
    </row>
    <row r="383" spans="1:4" x14ac:dyDescent="0.35">
      <c r="A383">
        <v>2006</v>
      </c>
      <c r="B383" t="s">
        <v>38</v>
      </c>
      <c r="C383" t="s">
        <v>45</v>
      </c>
      <c r="D383">
        <v>293</v>
      </c>
    </row>
    <row r="384" spans="1:4" x14ac:dyDescent="0.35">
      <c r="A384">
        <v>2006</v>
      </c>
      <c r="B384" t="s">
        <v>34</v>
      </c>
      <c r="C384" t="s">
        <v>46</v>
      </c>
      <c r="D384">
        <v>78</v>
      </c>
    </row>
    <row r="385" spans="1:4" x14ac:dyDescent="0.35">
      <c r="A385">
        <v>2006</v>
      </c>
      <c r="B385" t="s">
        <v>37</v>
      </c>
      <c r="C385" t="s">
        <v>47</v>
      </c>
      <c r="D385">
        <v>28</v>
      </c>
    </row>
    <row r="386" spans="1:4" x14ac:dyDescent="0.35">
      <c r="A386">
        <v>2006</v>
      </c>
      <c r="B386" t="s">
        <v>35</v>
      </c>
      <c r="C386" t="s">
        <v>48</v>
      </c>
      <c r="D386">
        <v>9</v>
      </c>
    </row>
    <row r="387" spans="1:4" x14ac:dyDescent="0.35">
      <c r="A387">
        <v>2006</v>
      </c>
      <c r="B387" t="s">
        <v>34</v>
      </c>
      <c r="C387" t="s">
        <v>49</v>
      </c>
      <c r="D387">
        <v>13</v>
      </c>
    </row>
    <row r="388" spans="1:4" x14ac:dyDescent="0.35">
      <c r="A388">
        <v>2006</v>
      </c>
      <c r="B388" t="s">
        <v>36</v>
      </c>
      <c r="C388" t="s">
        <v>50</v>
      </c>
      <c r="D388">
        <v>101</v>
      </c>
    </row>
    <row r="389" spans="1:4" x14ac:dyDescent="0.35">
      <c r="A389">
        <v>2006</v>
      </c>
      <c r="B389" t="s">
        <v>34</v>
      </c>
      <c r="C389" t="s">
        <v>51</v>
      </c>
      <c r="D389">
        <v>5</v>
      </c>
    </row>
    <row r="390" spans="1:4" x14ac:dyDescent="0.35">
      <c r="A390">
        <v>2006</v>
      </c>
      <c r="B390" t="s">
        <v>34</v>
      </c>
      <c r="C390" t="s">
        <v>52</v>
      </c>
      <c r="D390">
        <v>190</v>
      </c>
    </row>
    <row r="391" spans="1:4" x14ac:dyDescent="0.35">
      <c r="A391">
        <v>2006</v>
      </c>
      <c r="B391" t="s">
        <v>36</v>
      </c>
      <c r="C391" t="s">
        <v>53</v>
      </c>
      <c r="D391">
        <v>34</v>
      </c>
    </row>
    <row r="392" spans="1:4" x14ac:dyDescent="0.35">
      <c r="A392">
        <v>2006</v>
      </c>
      <c r="B392" t="s">
        <v>35</v>
      </c>
      <c r="C392" t="s">
        <v>54</v>
      </c>
      <c r="D392">
        <v>22</v>
      </c>
    </row>
    <row r="393" spans="1:4" x14ac:dyDescent="0.35">
      <c r="A393">
        <v>2006</v>
      </c>
      <c r="B393" t="s">
        <v>35</v>
      </c>
      <c r="C393" t="s">
        <v>55</v>
      </c>
      <c r="D393">
        <v>16</v>
      </c>
    </row>
    <row r="394" spans="1:4" x14ac:dyDescent="0.35">
      <c r="A394">
        <v>2006</v>
      </c>
      <c r="B394" t="s">
        <v>36</v>
      </c>
      <c r="C394" t="s">
        <v>56</v>
      </c>
      <c r="D394">
        <v>140</v>
      </c>
    </row>
    <row r="395" spans="1:4" x14ac:dyDescent="0.35">
      <c r="A395">
        <v>2006</v>
      </c>
      <c r="B395" t="s">
        <v>33</v>
      </c>
      <c r="C395" t="s">
        <v>57</v>
      </c>
      <c r="D395">
        <v>8</v>
      </c>
    </row>
    <row r="396" spans="1:4" x14ac:dyDescent="0.35">
      <c r="A396">
        <v>2006</v>
      </c>
      <c r="B396" t="s">
        <v>36</v>
      </c>
      <c r="C396" t="s">
        <v>363</v>
      </c>
      <c r="D396">
        <v>8</v>
      </c>
    </row>
    <row r="397" spans="1:4" x14ac:dyDescent="0.35">
      <c r="A397">
        <v>2006</v>
      </c>
      <c r="B397" t="s">
        <v>38</v>
      </c>
      <c r="C397" t="s">
        <v>59</v>
      </c>
      <c r="D397">
        <v>310</v>
      </c>
    </row>
    <row r="398" spans="1:4" x14ac:dyDescent="0.35">
      <c r="A398">
        <v>2006</v>
      </c>
      <c r="B398" t="s">
        <v>35</v>
      </c>
      <c r="C398" t="s">
        <v>60</v>
      </c>
      <c r="D398">
        <v>66</v>
      </c>
    </row>
    <row r="399" spans="1:4" x14ac:dyDescent="0.35">
      <c r="A399">
        <v>2006</v>
      </c>
      <c r="B399" t="s">
        <v>38</v>
      </c>
      <c r="C399" t="s">
        <v>21</v>
      </c>
      <c r="D399">
        <v>2957</v>
      </c>
    </row>
    <row r="400" spans="1:4" x14ac:dyDescent="0.35">
      <c r="A400">
        <v>2006</v>
      </c>
      <c r="B400" t="s">
        <v>36</v>
      </c>
      <c r="C400" t="s">
        <v>364</v>
      </c>
      <c r="D400">
        <v>4</v>
      </c>
    </row>
    <row r="401" spans="1:4" x14ac:dyDescent="0.35">
      <c r="A401">
        <v>2006</v>
      </c>
      <c r="B401" t="s">
        <v>35</v>
      </c>
      <c r="C401" t="s">
        <v>62</v>
      </c>
      <c r="D401">
        <v>69</v>
      </c>
    </row>
    <row r="402" spans="1:4" x14ac:dyDescent="0.35">
      <c r="A402">
        <v>2006</v>
      </c>
      <c r="B402" t="s">
        <v>33</v>
      </c>
      <c r="C402" t="s">
        <v>63</v>
      </c>
      <c r="D402">
        <v>13</v>
      </c>
    </row>
    <row r="403" spans="1:4" x14ac:dyDescent="0.35">
      <c r="A403">
        <v>2006</v>
      </c>
      <c r="B403" t="s">
        <v>34</v>
      </c>
      <c r="C403" t="s">
        <v>64</v>
      </c>
      <c r="D403">
        <v>26</v>
      </c>
    </row>
    <row r="404" spans="1:4" x14ac:dyDescent="0.35">
      <c r="A404">
        <v>2006</v>
      </c>
      <c r="B404" t="s">
        <v>33</v>
      </c>
      <c r="C404" t="s">
        <v>65</v>
      </c>
      <c r="D404">
        <v>8</v>
      </c>
    </row>
    <row r="405" spans="1:4" x14ac:dyDescent="0.35">
      <c r="A405">
        <v>2006</v>
      </c>
      <c r="B405" t="s">
        <v>33</v>
      </c>
      <c r="C405" t="s">
        <v>66</v>
      </c>
      <c r="D405">
        <v>124</v>
      </c>
    </row>
    <row r="406" spans="1:4" x14ac:dyDescent="0.35">
      <c r="A406">
        <v>2006</v>
      </c>
      <c r="B406" t="s">
        <v>34</v>
      </c>
      <c r="C406" t="s">
        <v>67</v>
      </c>
      <c r="D406">
        <v>79</v>
      </c>
    </row>
    <row r="407" spans="1:4" x14ac:dyDescent="0.35">
      <c r="A407">
        <v>2006</v>
      </c>
      <c r="B407" t="s">
        <v>33</v>
      </c>
      <c r="C407" t="s">
        <v>68</v>
      </c>
      <c r="D407">
        <v>1200</v>
      </c>
    </row>
    <row r="408" spans="1:4" x14ac:dyDescent="0.35">
      <c r="A408">
        <v>2006</v>
      </c>
      <c r="B408" t="s">
        <v>36</v>
      </c>
      <c r="C408" t="s">
        <v>69</v>
      </c>
      <c r="D408">
        <v>57</v>
      </c>
    </row>
    <row r="409" spans="1:4" x14ac:dyDescent="0.35">
      <c r="A409">
        <v>2006</v>
      </c>
      <c r="B409" t="s">
        <v>36</v>
      </c>
      <c r="C409" t="s">
        <v>365</v>
      </c>
      <c r="D409" t="s">
        <v>205</v>
      </c>
    </row>
    <row r="410" spans="1:4" x14ac:dyDescent="0.35">
      <c r="A410">
        <v>2006</v>
      </c>
      <c r="B410" t="s">
        <v>33</v>
      </c>
      <c r="C410" t="s">
        <v>70</v>
      </c>
      <c r="D410">
        <v>5</v>
      </c>
    </row>
    <row r="411" spans="1:4" x14ac:dyDescent="0.35">
      <c r="A411">
        <v>2006</v>
      </c>
      <c r="B411" t="s">
        <v>33</v>
      </c>
      <c r="C411" t="s">
        <v>71</v>
      </c>
      <c r="D411">
        <v>4</v>
      </c>
    </row>
    <row r="412" spans="1:4" x14ac:dyDescent="0.35">
      <c r="A412">
        <v>2006</v>
      </c>
      <c r="B412" t="s">
        <v>38</v>
      </c>
      <c r="C412" t="s">
        <v>72</v>
      </c>
      <c r="D412">
        <v>190</v>
      </c>
    </row>
    <row r="413" spans="1:4" x14ac:dyDescent="0.35">
      <c r="A413">
        <v>2006</v>
      </c>
      <c r="B413" t="s">
        <v>34</v>
      </c>
      <c r="C413" t="s">
        <v>73</v>
      </c>
      <c r="D413">
        <v>2987</v>
      </c>
    </row>
    <row r="414" spans="1:4" x14ac:dyDescent="0.35">
      <c r="A414">
        <v>2006</v>
      </c>
      <c r="B414" t="s">
        <v>38</v>
      </c>
      <c r="C414" t="s">
        <v>20</v>
      </c>
      <c r="D414">
        <v>1647</v>
      </c>
    </row>
    <row r="415" spans="1:4" x14ac:dyDescent="0.35">
      <c r="A415">
        <v>2006</v>
      </c>
      <c r="B415" t="s">
        <v>33</v>
      </c>
      <c r="C415" t="s">
        <v>74</v>
      </c>
      <c r="D415">
        <v>13</v>
      </c>
    </row>
    <row r="416" spans="1:4" x14ac:dyDescent="0.35">
      <c r="A416">
        <v>2006</v>
      </c>
      <c r="B416" t="s">
        <v>33</v>
      </c>
      <c r="C416" t="s">
        <v>75</v>
      </c>
      <c r="D416">
        <v>44</v>
      </c>
    </row>
    <row r="417" spans="1:4" x14ac:dyDescent="0.35">
      <c r="A417">
        <v>2006</v>
      </c>
      <c r="B417" t="s">
        <v>36</v>
      </c>
      <c r="C417" t="s">
        <v>76</v>
      </c>
      <c r="D417">
        <v>804</v>
      </c>
    </row>
    <row r="418" spans="1:4" x14ac:dyDescent="0.35">
      <c r="A418">
        <v>2006</v>
      </c>
      <c r="B418" t="s">
        <v>33</v>
      </c>
      <c r="C418" t="s">
        <v>77</v>
      </c>
      <c r="D418">
        <v>62</v>
      </c>
    </row>
    <row r="419" spans="1:4" x14ac:dyDescent="0.35">
      <c r="A419">
        <v>2006</v>
      </c>
      <c r="B419" t="s">
        <v>35</v>
      </c>
      <c r="C419" t="s">
        <v>78</v>
      </c>
      <c r="D419">
        <v>15</v>
      </c>
    </row>
    <row r="420" spans="1:4" x14ac:dyDescent="0.35">
      <c r="A420">
        <v>2006</v>
      </c>
      <c r="B420" t="s">
        <v>36</v>
      </c>
      <c r="C420" t="s">
        <v>79</v>
      </c>
      <c r="D420">
        <v>5088</v>
      </c>
    </row>
    <row r="421" spans="1:4" x14ac:dyDescent="0.35">
      <c r="A421">
        <v>2006</v>
      </c>
      <c r="B421" t="s">
        <v>35</v>
      </c>
      <c r="C421" t="s">
        <v>81</v>
      </c>
      <c r="D421">
        <v>44</v>
      </c>
    </row>
    <row r="422" spans="1:4" x14ac:dyDescent="0.35">
      <c r="A422">
        <v>2006</v>
      </c>
      <c r="B422" t="s">
        <v>35</v>
      </c>
      <c r="C422" t="s">
        <v>214</v>
      </c>
      <c r="D422">
        <v>33</v>
      </c>
    </row>
    <row r="423" spans="1:4" x14ac:dyDescent="0.35">
      <c r="A423">
        <v>2006</v>
      </c>
      <c r="B423" t="s">
        <v>35</v>
      </c>
      <c r="C423" t="s">
        <v>82</v>
      </c>
      <c r="D423">
        <v>6</v>
      </c>
    </row>
    <row r="424" spans="1:4" x14ac:dyDescent="0.35">
      <c r="A424">
        <v>2006</v>
      </c>
      <c r="B424" t="s">
        <v>36</v>
      </c>
      <c r="C424" t="s">
        <v>84</v>
      </c>
      <c r="D424">
        <v>35</v>
      </c>
    </row>
    <row r="425" spans="1:4" x14ac:dyDescent="0.35">
      <c r="A425">
        <v>2006</v>
      </c>
      <c r="B425" t="s">
        <v>36</v>
      </c>
      <c r="C425" t="s">
        <v>85</v>
      </c>
      <c r="D425">
        <v>3713</v>
      </c>
    </row>
    <row r="426" spans="1:4" x14ac:dyDescent="0.35">
      <c r="A426">
        <v>2006</v>
      </c>
      <c r="B426" t="s">
        <v>38</v>
      </c>
      <c r="C426" t="s">
        <v>86</v>
      </c>
      <c r="D426">
        <v>1931</v>
      </c>
    </row>
    <row r="427" spans="1:4" x14ac:dyDescent="0.35">
      <c r="A427">
        <v>2006</v>
      </c>
      <c r="B427" t="s">
        <v>33</v>
      </c>
      <c r="C427" t="s">
        <v>87</v>
      </c>
      <c r="D427">
        <v>354</v>
      </c>
    </row>
    <row r="428" spans="1:4" x14ac:dyDescent="0.35">
      <c r="A428">
        <v>2006</v>
      </c>
      <c r="B428" t="s">
        <v>36</v>
      </c>
      <c r="C428" t="s">
        <v>16</v>
      </c>
      <c r="D428">
        <v>46314</v>
      </c>
    </row>
    <row r="429" spans="1:4" x14ac:dyDescent="0.35">
      <c r="A429">
        <v>2006</v>
      </c>
      <c r="B429" t="s">
        <v>33</v>
      </c>
      <c r="C429" t="s">
        <v>88</v>
      </c>
      <c r="D429" t="s">
        <v>205</v>
      </c>
    </row>
    <row r="430" spans="1:4" x14ac:dyDescent="0.35">
      <c r="A430">
        <v>2006</v>
      </c>
      <c r="B430" t="s">
        <v>33</v>
      </c>
      <c r="C430" t="s">
        <v>89</v>
      </c>
      <c r="D430">
        <v>83</v>
      </c>
    </row>
    <row r="431" spans="1:4" x14ac:dyDescent="0.35">
      <c r="A431">
        <v>2006</v>
      </c>
      <c r="B431" t="s">
        <v>35</v>
      </c>
      <c r="C431" t="s">
        <v>90</v>
      </c>
      <c r="D431">
        <v>13</v>
      </c>
    </row>
    <row r="432" spans="1:4" x14ac:dyDescent="0.35">
      <c r="A432">
        <v>2006</v>
      </c>
      <c r="B432" t="s">
        <v>33</v>
      </c>
      <c r="C432" t="s">
        <v>91</v>
      </c>
      <c r="D432">
        <v>346</v>
      </c>
    </row>
    <row r="433" spans="1:4" x14ac:dyDescent="0.35">
      <c r="A433">
        <v>2006</v>
      </c>
      <c r="B433" t="s">
        <v>37</v>
      </c>
      <c r="C433" t="s">
        <v>92</v>
      </c>
      <c r="D433">
        <v>54</v>
      </c>
    </row>
    <row r="434" spans="1:4" x14ac:dyDescent="0.35">
      <c r="A434">
        <v>2006</v>
      </c>
      <c r="B434" t="s">
        <v>35</v>
      </c>
      <c r="C434" t="s">
        <v>94</v>
      </c>
      <c r="D434">
        <v>75</v>
      </c>
    </row>
    <row r="435" spans="1:4" x14ac:dyDescent="0.35">
      <c r="A435">
        <v>2006</v>
      </c>
      <c r="B435" t="s">
        <v>33</v>
      </c>
      <c r="C435" t="s">
        <v>95</v>
      </c>
      <c r="D435">
        <v>4</v>
      </c>
    </row>
    <row r="436" spans="1:4" x14ac:dyDescent="0.35">
      <c r="A436">
        <v>2006</v>
      </c>
      <c r="B436" t="s">
        <v>33</v>
      </c>
      <c r="C436" t="s">
        <v>96</v>
      </c>
      <c r="D436">
        <v>71</v>
      </c>
    </row>
    <row r="437" spans="1:4" x14ac:dyDescent="0.35">
      <c r="A437">
        <v>2006</v>
      </c>
      <c r="B437" t="s">
        <v>34</v>
      </c>
      <c r="C437" t="s">
        <v>8</v>
      </c>
      <c r="D437">
        <v>50</v>
      </c>
    </row>
    <row r="438" spans="1:4" x14ac:dyDescent="0.35">
      <c r="A438">
        <v>2006</v>
      </c>
      <c r="B438" t="s">
        <v>35</v>
      </c>
      <c r="C438" t="s">
        <v>97</v>
      </c>
      <c r="D438">
        <v>130</v>
      </c>
    </row>
    <row r="439" spans="1:4" x14ac:dyDescent="0.35">
      <c r="A439">
        <v>2006</v>
      </c>
      <c r="B439" t="s">
        <v>33</v>
      </c>
      <c r="C439" t="s">
        <v>98</v>
      </c>
      <c r="D439">
        <v>251</v>
      </c>
    </row>
    <row r="440" spans="1:4" x14ac:dyDescent="0.35">
      <c r="A440">
        <v>2006</v>
      </c>
      <c r="B440" t="s">
        <v>35</v>
      </c>
      <c r="C440" t="s">
        <v>99</v>
      </c>
      <c r="D440">
        <v>36</v>
      </c>
    </row>
    <row r="441" spans="1:4" x14ac:dyDescent="0.35">
      <c r="A441">
        <v>2006</v>
      </c>
      <c r="B441" t="s">
        <v>36</v>
      </c>
      <c r="C441" t="s">
        <v>100</v>
      </c>
      <c r="D441">
        <v>28</v>
      </c>
    </row>
    <row r="442" spans="1:4" x14ac:dyDescent="0.35">
      <c r="A442">
        <v>2006</v>
      </c>
      <c r="B442" t="s">
        <v>37</v>
      </c>
      <c r="C442" t="s">
        <v>367</v>
      </c>
    </row>
    <row r="443" spans="1:4" x14ac:dyDescent="0.35">
      <c r="A443">
        <v>2006</v>
      </c>
      <c r="B443" t="s">
        <v>36</v>
      </c>
      <c r="C443" t="s">
        <v>15</v>
      </c>
      <c r="D443">
        <v>25144</v>
      </c>
    </row>
    <row r="444" spans="1:4" x14ac:dyDescent="0.35">
      <c r="A444">
        <v>2006</v>
      </c>
      <c r="B444" t="s">
        <v>33</v>
      </c>
      <c r="C444" t="s">
        <v>101</v>
      </c>
      <c r="D444">
        <v>64</v>
      </c>
    </row>
    <row r="445" spans="1:4" x14ac:dyDescent="0.35">
      <c r="A445">
        <v>2006</v>
      </c>
      <c r="B445" t="s">
        <v>33</v>
      </c>
      <c r="C445" t="s">
        <v>102</v>
      </c>
    </row>
    <row r="446" spans="1:4" x14ac:dyDescent="0.35">
      <c r="A446">
        <v>2006</v>
      </c>
      <c r="B446" t="s">
        <v>38</v>
      </c>
      <c r="C446" t="s">
        <v>103</v>
      </c>
      <c r="D446">
        <v>243</v>
      </c>
    </row>
    <row r="447" spans="1:4" x14ac:dyDescent="0.35">
      <c r="A447">
        <v>2006</v>
      </c>
      <c r="B447" t="s">
        <v>36</v>
      </c>
      <c r="C447" t="s">
        <v>104</v>
      </c>
      <c r="D447">
        <v>1215</v>
      </c>
    </row>
    <row r="448" spans="1:4" x14ac:dyDescent="0.35">
      <c r="A448">
        <v>2006</v>
      </c>
      <c r="B448" t="s">
        <v>36</v>
      </c>
      <c r="C448" t="s">
        <v>17</v>
      </c>
      <c r="D448">
        <v>33394</v>
      </c>
    </row>
    <row r="449" spans="1:4" x14ac:dyDescent="0.35">
      <c r="A449">
        <v>2006</v>
      </c>
      <c r="B449" t="s">
        <v>34</v>
      </c>
      <c r="C449" t="s">
        <v>368</v>
      </c>
      <c r="D449">
        <v>22</v>
      </c>
    </row>
    <row r="450" spans="1:4" x14ac:dyDescent="0.35">
      <c r="A450">
        <v>2006</v>
      </c>
      <c r="B450" t="s">
        <v>35</v>
      </c>
      <c r="C450" t="s">
        <v>105</v>
      </c>
      <c r="D450">
        <v>47</v>
      </c>
    </row>
    <row r="451" spans="1:4" x14ac:dyDescent="0.35">
      <c r="A451">
        <v>2006</v>
      </c>
      <c r="B451" t="s">
        <v>35</v>
      </c>
      <c r="C451" t="s">
        <v>106</v>
      </c>
      <c r="D451" t="s">
        <v>205</v>
      </c>
    </row>
    <row r="452" spans="1:4" x14ac:dyDescent="0.35">
      <c r="A452">
        <v>2006</v>
      </c>
      <c r="B452" t="s">
        <v>34</v>
      </c>
      <c r="C452" t="s">
        <v>22</v>
      </c>
      <c r="D452">
        <v>769</v>
      </c>
    </row>
    <row r="453" spans="1:4" x14ac:dyDescent="0.35">
      <c r="A453">
        <v>2006</v>
      </c>
      <c r="B453" t="s">
        <v>34</v>
      </c>
      <c r="C453" t="s">
        <v>107</v>
      </c>
      <c r="D453">
        <v>488</v>
      </c>
    </row>
    <row r="454" spans="1:4" x14ac:dyDescent="0.35">
      <c r="A454">
        <v>2006</v>
      </c>
      <c r="B454" t="s">
        <v>34</v>
      </c>
      <c r="C454" t="s">
        <v>108</v>
      </c>
      <c r="D454">
        <v>215</v>
      </c>
    </row>
    <row r="455" spans="1:4" x14ac:dyDescent="0.35">
      <c r="A455">
        <v>2006</v>
      </c>
      <c r="B455" t="s">
        <v>34</v>
      </c>
      <c r="C455" t="s">
        <v>109</v>
      </c>
      <c r="D455">
        <v>170</v>
      </c>
    </row>
    <row r="456" spans="1:4" x14ac:dyDescent="0.35">
      <c r="A456">
        <v>2006</v>
      </c>
      <c r="B456" t="s">
        <v>35</v>
      </c>
      <c r="C456" t="s">
        <v>110</v>
      </c>
      <c r="D456">
        <v>52</v>
      </c>
    </row>
    <row r="457" spans="1:4" x14ac:dyDescent="0.35">
      <c r="A457">
        <v>2006</v>
      </c>
      <c r="B457" t="s">
        <v>34</v>
      </c>
      <c r="C457" t="s">
        <v>111</v>
      </c>
      <c r="D457">
        <v>267</v>
      </c>
    </row>
    <row r="458" spans="1:4" x14ac:dyDescent="0.35">
      <c r="A458">
        <v>2006</v>
      </c>
      <c r="B458" t="s">
        <v>35</v>
      </c>
      <c r="C458" t="s">
        <v>112</v>
      </c>
      <c r="D458">
        <v>90</v>
      </c>
    </row>
    <row r="459" spans="1:4" x14ac:dyDescent="0.35">
      <c r="A459">
        <v>2006</v>
      </c>
      <c r="B459" t="s">
        <v>36</v>
      </c>
      <c r="C459" t="s">
        <v>113</v>
      </c>
      <c r="D459">
        <v>1350</v>
      </c>
    </row>
    <row r="460" spans="1:4" x14ac:dyDescent="0.35">
      <c r="A460">
        <v>2006</v>
      </c>
      <c r="B460" t="s">
        <v>34</v>
      </c>
      <c r="C460" t="s">
        <v>114</v>
      </c>
      <c r="D460">
        <v>33</v>
      </c>
    </row>
    <row r="461" spans="1:4" x14ac:dyDescent="0.35">
      <c r="A461">
        <v>2006</v>
      </c>
      <c r="B461" t="s">
        <v>34</v>
      </c>
      <c r="C461" t="s">
        <v>115</v>
      </c>
      <c r="D461">
        <v>338</v>
      </c>
    </row>
    <row r="462" spans="1:4" x14ac:dyDescent="0.35">
      <c r="A462">
        <v>2006</v>
      </c>
      <c r="B462" t="s">
        <v>34</v>
      </c>
      <c r="C462" t="s">
        <v>116</v>
      </c>
      <c r="D462">
        <v>40</v>
      </c>
    </row>
    <row r="463" spans="1:4" x14ac:dyDescent="0.35">
      <c r="A463">
        <v>2006</v>
      </c>
      <c r="B463" t="s">
        <v>33</v>
      </c>
      <c r="C463" t="s">
        <v>117</v>
      </c>
      <c r="D463">
        <v>176</v>
      </c>
    </row>
    <row r="464" spans="1:4" x14ac:dyDescent="0.35">
      <c r="A464">
        <v>2006</v>
      </c>
      <c r="B464" t="s">
        <v>34</v>
      </c>
      <c r="C464" t="s">
        <v>118</v>
      </c>
      <c r="D464">
        <v>519</v>
      </c>
    </row>
    <row r="465" spans="1:4" x14ac:dyDescent="0.35">
      <c r="A465">
        <v>2006</v>
      </c>
      <c r="B465" t="s">
        <v>35</v>
      </c>
      <c r="C465" t="s">
        <v>119</v>
      </c>
      <c r="D465" t="s">
        <v>206</v>
      </c>
    </row>
    <row r="466" spans="1:4" x14ac:dyDescent="0.35">
      <c r="A466">
        <v>2006</v>
      </c>
      <c r="B466" t="s">
        <v>34</v>
      </c>
      <c r="C466" t="s">
        <v>120</v>
      </c>
      <c r="D466">
        <v>80</v>
      </c>
    </row>
    <row r="467" spans="1:4" x14ac:dyDescent="0.35">
      <c r="A467">
        <v>2006</v>
      </c>
      <c r="B467" t="s">
        <v>34</v>
      </c>
      <c r="C467" t="s">
        <v>121</v>
      </c>
      <c r="D467">
        <v>14</v>
      </c>
    </row>
    <row r="468" spans="1:4" x14ac:dyDescent="0.35">
      <c r="A468">
        <v>2006</v>
      </c>
      <c r="B468" t="s">
        <v>34</v>
      </c>
      <c r="C468" t="s">
        <v>122</v>
      </c>
      <c r="D468">
        <v>199</v>
      </c>
    </row>
    <row r="469" spans="1:4" x14ac:dyDescent="0.35">
      <c r="A469">
        <v>2006</v>
      </c>
      <c r="B469" t="s">
        <v>35</v>
      </c>
      <c r="C469" t="s">
        <v>123</v>
      </c>
      <c r="D469">
        <v>22</v>
      </c>
    </row>
    <row r="470" spans="1:4" x14ac:dyDescent="0.35">
      <c r="A470">
        <v>2006</v>
      </c>
      <c r="B470" t="s">
        <v>34</v>
      </c>
      <c r="C470" t="s">
        <v>124</v>
      </c>
      <c r="D470">
        <v>262</v>
      </c>
    </row>
    <row r="471" spans="1:4" x14ac:dyDescent="0.35">
      <c r="A471">
        <v>2006</v>
      </c>
      <c r="B471" t="s">
        <v>33</v>
      </c>
      <c r="C471" t="s">
        <v>125</v>
      </c>
      <c r="D471">
        <v>137</v>
      </c>
    </row>
    <row r="472" spans="1:4" x14ac:dyDescent="0.35">
      <c r="A472">
        <v>2006</v>
      </c>
      <c r="B472" t="s">
        <v>33</v>
      </c>
      <c r="C472" t="s">
        <v>126</v>
      </c>
      <c r="D472">
        <v>10</v>
      </c>
    </row>
    <row r="473" spans="1:4" x14ac:dyDescent="0.35">
      <c r="A473">
        <v>2006</v>
      </c>
      <c r="B473" t="s">
        <v>35</v>
      </c>
      <c r="C473" t="s">
        <v>127</v>
      </c>
      <c r="D473">
        <v>47</v>
      </c>
    </row>
    <row r="474" spans="1:4" x14ac:dyDescent="0.35">
      <c r="A474">
        <v>2006</v>
      </c>
      <c r="B474" t="s">
        <v>34</v>
      </c>
      <c r="C474" t="s">
        <v>369</v>
      </c>
      <c r="D474" t="s">
        <v>205</v>
      </c>
    </row>
    <row r="475" spans="1:4" x14ac:dyDescent="0.35">
      <c r="A475">
        <v>2006</v>
      </c>
      <c r="B475" t="s">
        <v>33</v>
      </c>
      <c r="C475" t="s">
        <v>130</v>
      </c>
      <c r="D475">
        <v>5</v>
      </c>
    </row>
    <row r="476" spans="1:4" x14ac:dyDescent="0.35">
      <c r="A476">
        <v>2006</v>
      </c>
      <c r="B476" t="s">
        <v>34</v>
      </c>
      <c r="C476" t="s">
        <v>131</v>
      </c>
      <c r="D476">
        <v>104</v>
      </c>
    </row>
    <row r="477" spans="1:4" x14ac:dyDescent="0.35">
      <c r="A477">
        <v>2006</v>
      </c>
      <c r="B477" t="s">
        <v>33</v>
      </c>
      <c r="C477" t="s">
        <v>132</v>
      </c>
      <c r="D477">
        <v>120</v>
      </c>
    </row>
    <row r="478" spans="1:4" x14ac:dyDescent="0.35">
      <c r="A478">
        <v>2006</v>
      </c>
      <c r="B478" t="s">
        <v>35</v>
      </c>
      <c r="C478" t="s">
        <v>133</v>
      </c>
      <c r="D478" t="s">
        <v>205</v>
      </c>
    </row>
    <row r="479" spans="1:4" x14ac:dyDescent="0.35">
      <c r="A479">
        <v>2006</v>
      </c>
      <c r="B479" t="s">
        <v>37</v>
      </c>
      <c r="C479" t="s">
        <v>134</v>
      </c>
      <c r="D479">
        <v>4</v>
      </c>
    </row>
    <row r="480" spans="1:4" x14ac:dyDescent="0.35">
      <c r="A480">
        <v>2006</v>
      </c>
      <c r="B480" t="s">
        <v>33</v>
      </c>
      <c r="C480" t="s">
        <v>135</v>
      </c>
      <c r="D480">
        <v>46</v>
      </c>
    </row>
    <row r="481" spans="1:4" x14ac:dyDescent="0.35">
      <c r="A481">
        <v>2006</v>
      </c>
      <c r="B481" t="s">
        <v>36</v>
      </c>
      <c r="C481" t="s">
        <v>14</v>
      </c>
      <c r="D481">
        <v>1057222</v>
      </c>
    </row>
    <row r="482" spans="1:4" x14ac:dyDescent="0.35">
      <c r="A482">
        <v>2006</v>
      </c>
      <c r="B482" t="s">
        <v>37</v>
      </c>
      <c r="C482" t="s">
        <v>137</v>
      </c>
      <c r="D482">
        <v>23</v>
      </c>
    </row>
    <row r="483" spans="1:4" x14ac:dyDescent="0.35">
      <c r="A483">
        <v>2006</v>
      </c>
      <c r="B483" t="s">
        <v>35</v>
      </c>
      <c r="C483" t="s">
        <v>138</v>
      </c>
      <c r="D483">
        <v>28</v>
      </c>
    </row>
    <row r="484" spans="1:4" x14ac:dyDescent="0.35">
      <c r="A484">
        <v>2006</v>
      </c>
      <c r="B484" t="s">
        <v>34</v>
      </c>
      <c r="C484" t="s">
        <v>139</v>
      </c>
      <c r="D484">
        <v>44</v>
      </c>
    </row>
    <row r="485" spans="1:4" x14ac:dyDescent="0.35">
      <c r="A485">
        <v>2006</v>
      </c>
      <c r="B485" t="s">
        <v>35</v>
      </c>
      <c r="C485" t="s">
        <v>140</v>
      </c>
      <c r="D485" t="s">
        <v>206</v>
      </c>
    </row>
    <row r="486" spans="1:4" x14ac:dyDescent="0.35">
      <c r="A486">
        <v>2006</v>
      </c>
      <c r="B486" t="s">
        <v>36</v>
      </c>
      <c r="C486" t="s">
        <v>370</v>
      </c>
      <c r="D486" t="s">
        <v>205</v>
      </c>
    </row>
    <row r="487" spans="1:4" x14ac:dyDescent="0.35">
      <c r="A487">
        <v>2006</v>
      </c>
      <c r="B487" t="s">
        <v>33</v>
      </c>
      <c r="C487" t="s">
        <v>141</v>
      </c>
      <c r="D487">
        <v>287</v>
      </c>
    </row>
    <row r="488" spans="1:4" x14ac:dyDescent="0.35">
      <c r="A488">
        <v>2006</v>
      </c>
      <c r="B488" t="s">
        <v>34</v>
      </c>
      <c r="C488" t="s">
        <v>144</v>
      </c>
      <c r="D488">
        <v>48</v>
      </c>
    </row>
    <row r="489" spans="1:4" x14ac:dyDescent="0.35">
      <c r="A489">
        <v>2006</v>
      </c>
      <c r="B489" t="s">
        <v>35</v>
      </c>
      <c r="C489" t="s">
        <v>145</v>
      </c>
      <c r="D489">
        <v>29</v>
      </c>
    </row>
    <row r="490" spans="1:4" x14ac:dyDescent="0.35">
      <c r="A490">
        <v>2006</v>
      </c>
      <c r="B490" t="s">
        <v>36</v>
      </c>
      <c r="C490" t="s">
        <v>371</v>
      </c>
      <c r="D490">
        <v>4</v>
      </c>
    </row>
    <row r="491" spans="1:4" x14ac:dyDescent="0.35">
      <c r="A491">
        <v>2006</v>
      </c>
      <c r="B491" t="s">
        <v>37</v>
      </c>
      <c r="C491" t="s">
        <v>146</v>
      </c>
      <c r="D491">
        <v>33</v>
      </c>
    </row>
    <row r="492" spans="1:4" x14ac:dyDescent="0.35">
      <c r="A492">
        <v>2006</v>
      </c>
      <c r="B492" t="s">
        <v>36</v>
      </c>
      <c r="C492" t="s">
        <v>147</v>
      </c>
      <c r="D492">
        <v>3228</v>
      </c>
    </row>
    <row r="493" spans="1:4" x14ac:dyDescent="0.35">
      <c r="A493">
        <v>2006</v>
      </c>
      <c r="B493" t="s">
        <v>33</v>
      </c>
      <c r="C493" t="s">
        <v>148</v>
      </c>
      <c r="D493">
        <v>112</v>
      </c>
    </row>
    <row r="494" spans="1:4" x14ac:dyDescent="0.35">
      <c r="A494">
        <v>2006</v>
      </c>
      <c r="B494" t="s">
        <v>33</v>
      </c>
      <c r="C494" t="s">
        <v>149</v>
      </c>
      <c r="D494">
        <v>363</v>
      </c>
    </row>
    <row r="495" spans="1:4" x14ac:dyDescent="0.35">
      <c r="A495">
        <v>2006</v>
      </c>
      <c r="B495" t="s">
        <v>35</v>
      </c>
      <c r="C495" t="s">
        <v>322</v>
      </c>
      <c r="D495">
        <v>48</v>
      </c>
    </row>
    <row r="496" spans="1:4" x14ac:dyDescent="0.35">
      <c r="A496">
        <v>2006</v>
      </c>
      <c r="B496" t="s">
        <v>35</v>
      </c>
      <c r="C496" t="s">
        <v>150</v>
      </c>
      <c r="D496">
        <v>7</v>
      </c>
    </row>
    <row r="497" spans="1:4" x14ac:dyDescent="0.35">
      <c r="A497">
        <v>2006</v>
      </c>
      <c r="B497" t="s">
        <v>34</v>
      </c>
      <c r="C497" t="s">
        <v>152</v>
      </c>
      <c r="D497">
        <v>721</v>
      </c>
    </row>
    <row r="498" spans="1:4" x14ac:dyDescent="0.35">
      <c r="A498">
        <v>2006</v>
      </c>
      <c r="B498" t="s">
        <v>37</v>
      </c>
      <c r="C498" t="s">
        <v>153</v>
      </c>
      <c r="D498">
        <v>8</v>
      </c>
    </row>
    <row r="499" spans="1:4" x14ac:dyDescent="0.35">
      <c r="A499">
        <v>2006</v>
      </c>
      <c r="B499" t="s">
        <v>36</v>
      </c>
      <c r="C499" t="s">
        <v>154</v>
      </c>
      <c r="D499">
        <v>132</v>
      </c>
    </row>
    <row r="500" spans="1:4" x14ac:dyDescent="0.35">
      <c r="A500">
        <v>2006</v>
      </c>
      <c r="B500" t="s">
        <v>38</v>
      </c>
      <c r="C500" t="s">
        <v>155</v>
      </c>
      <c r="D500">
        <v>26</v>
      </c>
    </row>
    <row r="501" spans="1:4" x14ac:dyDescent="0.35">
      <c r="A501">
        <v>2006</v>
      </c>
      <c r="B501" t="s">
        <v>38</v>
      </c>
      <c r="C501" t="s">
        <v>156</v>
      </c>
      <c r="D501">
        <v>1020</v>
      </c>
    </row>
    <row r="502" spans="1:4" x14ac:dyDescent="0.35">
      <c r="A502">
        <v>2006</v>
      </c>
      <c r="B502" t="s">
        <v>34</v>
      </c>
      <c r="C502" t="s">
        <v>18</v>
      </c>
      <c r="D502">
        <v>773</v>
      </c>
    </row>
    <row r="503" spans="1:4" x14ac:dyDescent="0.35">
      <c r="A503">
        <v>2006</v>
      </c>
      <c r="B503" t="s">
        <v>35</v>
      </c>
      <c r="C503" t="s">
        <v>157</v>
      </c>
      <c r="D503">
        <v>337</v>
      </c>
    </row>
    <row r="504" spans="1:4" x14ac:dyDescent="0.35">
      <c r="A504">
        <v>2006</v>
      </c>
      <c r="B504" t="s">
        <v>35</v>
      </c>
      <c r="C504" t="s">
        <v>158</v>
      </c>
      <c r="D504">
        <v>106</v>
      </c>
    </row>
    <row r="505" spans="1:4" x14ac:dyDescent="0.35">
      <c r="A505">
        <v>2006</v>
      </c>
      <c r="B505" t="s">
        <v>35</v>
      </c>
      <c r="C505" t="s">
        <v>160</v>
      </c>
      <c r="D505">
        <v>309</v>
      </c>
    </row>
    <row r="506" spans="1:4" x14ac:dyDescent="0.35">
      <c r="A506">
        <v>2006</v>
      </c>
      <c r="B506" t="s">
        <v>35</v>
      </c>
      <c r="C506" t="s">
        <v>161</v>
      </c>
      <c r="D506">
        <v>183</v>
      </c>
    </row>
    <row r="507" spans="1:4" x14ac:dyDescent="0.35">
      <c r="A507">
        <v>2006</v>
      </c>
      <c r="B507" t="s">
        <v>33</v>
      </c>
      <c r="C507" t="s">
        <v>162</v>
      </c>
      <c r="D507">
        <v>4</v>
      </c>
    </row>
    <row r="508" spans="1:4" x14ac:dyDescent="0.35">
      <c r="A508">
        <v>2006</v>
      </c>
      <c r="B508" t="s">
        <v>36</v>
      </c>
      <c r="C508" t="s">
        <v>163</v>
      </c>
      <c r="D508">
        <v>24</v>
      </c>
    </row>
    <row r="509" spans="1:4" x14ac:dyDescent="0.35">
      <c r="A509">
        <v>2006</v>
      </c>
      <c r="B509" t="s">
        <v>36</v>
      </c>
      <c r="C509" t="s">
        <v>164</v>
      </c>
      <c r="D509">
        <v>45</v>
      </c>
    </row>
    <row r="510" spans="1:4" x14ac:dyDescent="0.35">
      <c r="A510">
        <v>2006</v>
      </c>
      <c r="B510" t="s">
        <v>36</v>
      </c>
      <c r="C510" t="s">
        <v>165</v>
      </c>
      <c r="D510">
        <v>14</v>
      </c>
    </row>
    <row r="511" spans="1:4" x14ac:dyDescent="0.35">
      <c r="A511">
        <v>2006</v>
      </c>
      <c r="B511" t="s">
        <v>37</v>
      </c>
      <c r="C511" t="s">
        <v>166</v>
      </c>
      <c r="D511">
        <v>21</v>
      </c>
    </row>
    <row r="512" spans="1:4" x14ac:dyDescent="0.35">
      <c r="A512">
        <v>2006</v>
      </c>
      <c r="B512" t="s">
        <v>34</v>
      </c>
      <c r="C512" t="s">
        <v>167</v>
      </c>
      <c r="D512">
        <v>130</v>
      </c>
    </row>
    <row r="513" spans="1:4" x14ac:dyDescent="0.35">
      <c r="A513">
        <v>2006</v>
      </c>
      <c r="B513" t="s">
        <v>33</v>
      </c>
      <c r="C513" t="s">
        <v>168</v>
      </c>
      <c r="D513">
        <v>98</v>
      </c>
    </row>
    <row r="514" spans="1:4" x14ac:dyDescent="0.35">
      <c r="A514">
        <v>2006</v>
      </c>
      <c r="B514" t="s">
        <v>35</v>
      </c>
      <c r="C514" t="s">
        <v>169</v>
      </c>
      <c r="D514" t="s">
        <v>206</v>
      </c>
    </row>
    <row r="515" spans="1:4" x14ac:dyDescent="0.35">
      <c r="A515">
        <v>2006</v>
      </c>
      <c r="B515" t="s">
        <v>35</v>
      </c>
      <c r="C515" t="s">
        <v>215</v>
      </c>
      <c r="D515">
        <v>176</v>
      </c>
    </row>
    <row r="516" spans="1:4" x14ac:dyDescent="0.35">
      <c r="A516">
        <v>2006</v>
      </c>
      <c r="B516" t="s">
        <v>33</v>
      </c>
      <c r="C516" t="s">
        <v>170</v>
      </c>
      <c r="D516">
        <v>75</v>
      </c>
    </row>
    <row r="517" spans="1:4" x14ac:dyDescent="0.35">
      <c r="A517">
        <v>2006</v>
      </c>
      <c r="B517" t="s">
        <v>34</v>
      </c>
      <c r="C517" t="s">
        <v>171</v>
      </c>
      <c r="D517">
        <v>11</v>
      </c>
    </row>
    <row r="518" spans="1:4" x14ac:dyDescent="0.35">
      <c r="A518">
        <v>2006</v>
      </c>
      <c r="B518" t="s">
        <v>35</v>
      </c>
      <c r="C518" t="s">
        <v>172</v>
      </c>
      <c r="D518">
        <v>15</v>
      </c>
    </row>
    <row r="519" spans="1:4" x14ac:dyDescent="0.35">
      <c r="A519">
        <v>2006</v>
      </c>
      <c r="B519" t="s">
        <v>35</v>
      </c>
      <c r="C519" t="s">
        <v>173</v>
      </c>
      <c r="D519">
        <v>3</v>
      </c>
    </row>
    <row r="520" spans="1:4" x14ac:dyDescent="0.35">
      <c r="A520">
        <v>2006</v>
      </c>
      <c r="B520" t="s">
        <v>33</v>
      </c>
      <c r="C520" t="s">
        <v>174</v>
      </c>
      <c r="D520">
        <v>122</v>
      </c>
    </row>
    <row r="521" spans="1:4" x14ac:dyDescent="0.35">
      <c r="A521">
        <v>2006</v>
      </c>
      <c r="B521" t="s">
        <v>33</v>
      </c>
      <c r="C521" t="s">
        <v>175</v>
      </c>
      <c r="D521">
        <v>108</v>
      </c>
    </row>
    <row r="522" spans="1:4" x14ac:dyDescent="0.35">
      <c r="A522">
        <v>2006</v>
      </c>
      <c r="B522" t="s">
        <v>33</v>
      </c>
      <c r="C522" t="s">
        <v>176</v>
      </c>
      <c r="D522" t="s">
        <v>206</v>
      </c>
    </row>
    <row r="523" spans="1:4" x14ac:dyDescent="0.35">
      <c r="A523">
        <v>2006</v>
      </c>
      <c r="B523" t="s">
        <v>35</v>
      </c>
      <c r="C523" t="s">
        <v>216</v>
      </c>
      <c r="D523">
        <v>82</v>
      </c>
    </row>
    <row r="524" spans="1:4" x14ac:dyDescent="0.35">
      <c r="A524">
        <v>2006</v>
      </c>
      <c r="B524" t="s">
        <v>35</v>
      </c>
      <c r="C524" t="s">
        <v>177</v>
      </c>
      <c r="D524">
        <v>32</v>
      </c>
    </row>
    <row r="525" spans="1:4" x14ac:dyDescent="0.35">
      <c r="A525">
        <v>2006</v>
      </c>
      <c r="B525" t="s">
        <v>34</v>
      </c>
      <c r="C525" t="s">
        <v>178</v>
      </c>
      <c r="D525">
        <v>67</v>
      </c>
    </row>
    <row r="526" spans="1:4" x14ac:dyDescent="0.35">
      <c r="A526">
        <v>2006</v>
      </c>
      <c r="B526" t="s">
        <v>33</v>
      </c>
      <c r="C526" t="s">
        <v>179</v>
      </c>
      <c r="D526">
        <v>74</v>
      </c>
    </row>
    <row r="527" spans="1:4" x14ac:dyDescent="0.35">
      <c r="A527">
        <v>2006</v>
      </c>
      <c r="B527" t="s">
        <v>38</v>
      </c>
      <c r="C527" t="s">
        <v>180</v>
      </c>
      <c r="D527">
        <v>20</v>
      </c>
    </row>
    <row r="528" spans="1:4" x14ac:dyDescent="0.35">
      <c r="A528">
        <v>2006</v>
      </c>
      <c r="B528" t="s">
        <v>35</v>
      </c>
      <c r="C528" t="s">
        <v>182</v>
      </c>
      <c r="D528">
        <v>10</v>
      </c>
    </row>
    <row r="529" spans="1:4" x14ac:dyDescent="0.35">
      <c r="A529">
        <v>2006</v>
      </c>
      <c r="B529" t="s">
        <v>35</v>
      </c>
      <c r="C529" t="s">
        <v>183</v>
      </c>
      <c r="D529">
        <v>8</v>
      </c>
    </row>
    <row r="530" spans="1:4" x14ac:dyDescent="0.35">
      <c r="A530">
        <v>2006</v>
      </c>
      <c r="B530" t="s">
        <v>34</v>
      </c>
      <c r="C530" t="s">
        <v>184</v>
      </c>
      <c r="D530">
        <v>151</v>
      </c>
    </row>
    <row r="531" spans="1:4" x14ac:dyDescent="0.35">
      <c r="A531">
        <v>2006</v>
      </c>
      <c r="B531" t="s">
        <v>34</v>
      </c>
      <c r="C531" t="s">
        <v>185</v>
      </c>
      <c r="D531">
        <v>44</v>
      </c>
    </row>
    <row r="532" spans="1:4" x14ac:dyDescent="0.35">
      <c r="A532">
        <v>2006</v>
      </c>
      <c r="B532" t="s">
        <v>34</v>
      </c>
      <c r="C532" t="s">
        <v>186</v>
      </c>
      <c r="D532">
        <v>13</v>
      </c>
    </row>
    <row r="533" spans="1:4" x14ac:dyDescent="0.35">
      <c r="A533">
        <v>2006</v>
      </c>
      <c r="B533" t="s">
        <v>33</v>
      </c>
      <c r="C533" t="s">
        <v>187</v>
      </c>
      <c r="D533">
        <v>49</v>
      </c>
    </row>
    <row r="534" spans="1:4" x14ac:dyDescent="0.35">
      <c r="A534">
        <v>2006</v>
      </c>
      <c r="B534" t="s">
        <v>34</v>
      </c>
      <c r="C534" t="s">
        <v>188</v>
      </c>
      <c r="D534">
        <v>339</v>
      </c>
    </row>
    <row r="535" spans="1:4" x14ac:dyDescent="0.35">
      <c r="A535">
        <v>2006</v>
      </c>
      <c r="B535" t="s">
        <v>33</v>
      </c>
      <c r="C535" t="s">
        <v>189</v>
      </c>
      <c r="D535">
        <v>29</v>
      </c>
    </row>
    <row r="536" spans="1:4" x14ac:dyDescent="0.35">
      <c r="A536">
        <v>2006</v>
      </c>
      <c r="B536" t="s">
        <v>37</v>
      </c>
      <c r="C536" t="s">
        <v>190</v>
      </c>
      <c r="D536">
        <v>43</v>
      </c>
    </row>
    <row r="537" spans="1:4" x14ac:dyDescent="0.35">
      <c r="A537">
        <v>2006</v>
      </c>
      <c r="B537" t="s">
        <v>36</v>
      </c>
      <c r="C537" t="s">
        <v>191</v>
      </c>
      <c r="D537">
        <v>320</v>
      </c>
    </row>
    <row r="538" spans="1:4" x14ac:dyDescent="0.35">
      <c r="A538">
        <v>2006</v>
      </c>
      <c r="B538" t="s">
        <v>33</v>
      </c>
      <c r="C538" t="s">
        <v>192</v>
      </c>
      <c r="D538">
        <v>86</v>
      </c>
    </row>
    <row r="539" spans="1:4" x14ac:dyDescent="0.35">
      <c r="A539">
        <v>2006</v>
      </c>
      <c r="B539" t="s">
        <v>34</v>
      </c>
      <c r="C539" t="s">
        <v>193</v>
      </c>
      <c r="D539">
        <v>250</v>
      </c>
    </row>
    <row r="540" spans="1:4" x14ac:dyDescent="0.35">
      <c r="A540">
        <v>2006</v>
      </c>
      <c r="B540" t="s">
        <v>34</v>
      </c>
      <c r="C540" t="s">
        <v>194</v>
      </c>
      <c r="D540">
        <v>6</v>
      </c>
    </row>
    <row r="541" spans="1:4" x14ac:dyDescent="0.35">
      <c r="A541">
        <v>2006</v>
      </c>
      <c r="B541" t="s">
        <v>36</v>
      </c>
      <c r="C541" t="s">
        <v>372</v>
      </c>
      <c r="D541" t="s">
        <v>205</v>
      </c>
    </row>
    <row r="542" spans="1:4" x14ac:dyDescent="0.35">
      <c r="A542">
        <v>2006</v>
      </c>
      <c r="B542" t="s">
        <v>33</v>
      </c>
      <c r="C542" t="s">
        <v>195</v>
      </c>
      <c r="D542">
        <v>36</v>
      </c>
    </row>
    <row r="543" spans="1:4" x14ac:dyDescent="0.35">
      <c r="A543">
        <v>2006</v>
      </c>
      <c r="B543" t="s">
        <v>35</v>
      </c>
      <c r="C543" t="s">
        <v>196</v>
      </c>
      <c r="D543">
        <v>193</v>
      </c>
    </row>
    <row r="544" spans="1:4" x14ac:dyDescent="0.35">
      <c r="A544">
        <v>2006</v>
      </c>
      <c r="B544" t="s">
        <v>34</v>
      </c>
      <c r="C544" t="s">
        <v>197</v>
      </c>
      <c r="D544">
        <v>35</v>
      </c>
    </row>
    <row r="545" spans="1:4" x14ac:dyDescent="0.35">
      <c r="A545">
        <v>2006</v>
      </c>
      <c r="B545" t="s">
        <v>35</v>
      </c>
      <c r="C545" t="s">
        <v>198</v>
      </c>
      <c r="D545">
        <v>305</v>
      </c>
    </row>
    <row r="546" spans="1:4" x14ac:dyDescent="0.35">
      <c r="A546">
        <v>2006</v>
      </c>
      <c r="B546" t="s">
        <v>39</v>
      </c>
      <c r="C546" t="s">
        <v>39</v>
      </c>
      <c r="D546">
        <v>678</v>
      </c>
    </row>
    <row r="547" spans="1:4" x14ac:dyDescent="0.35">
      <c r="A547">
        <v>2006</v>
      </c>
      <c r="B547" t="s">
        <v>38</v>
      </c>
      <c r="C547" t="s">
        <v>199</v>
      </c>
      <c r="D547">
        <v>110</v>
      </c>
    </row>
    <row r="548" spans="1:4" x14ac:dyDescent="0.35">
      <c r="A548">
        <v>2006</v>
      </c>
      <c r="B548" t="s">
        <v>34</v>
      </c>
      <c r="C548" t="s">
        <v>200</v>
      </c>
      <c r="D548">
        <v>147</v>
      </c>
    </row>
    <row r="549" spans="1:4" x14ac:dyDescent="0.35">
      <c r="A549">
        <v>2006</v>
      </c>
      <c r="B549" t="s">
        <v>38</v>
      </c>
      <c r="C549" t="s">
        <v>19</v>
      </c>
      <c r="D549">
        <v>255</v>
      </c>
    </row>
    <row r="550" spans="1:4" x14ac:dyDescent="0.35">
      <c r="A550">
        <v>2006</v>
      </c>
      <c r="B550" t="s">
        <v>34</v>
      </c>
      <c r="C550" t="s">
        <v>201</v>
      </c>
      <c r="D550">
        <v>442</v>
      </c>
    </row>
    <row r="551" spans="1:4" x14ac:dyDescent="0.35">
      <c r="A551">
        <v>2006</v>
      </c>
      <c r="B551" t="s">
        <v>34</v>
      </c>
      <c r="C551" t="s">
        <v>202</v>
      </c>
      <c r="D551">
        <v>64</v>
      </c>
    </row>
    <row r="552" spans="1:4" x14ac:dyDescent="0.35">
      <c r="A552">
        <v>2006</v>
      </c>
      <c r="B552" t="s">
        <v>33</v>
      </c>
      <c r="C552" t="s">
        <v>203</v>
      </c>
      <c r="D552">
        <v>22</v>
      </c>
    </row>
    <row r="553" spans="1:4" x14ac:dyDescent="0.35">
      <c r="A553">
        <v>2006</v>
      </c>
      <c r="B553" t="s">
        <v>33</v>
      </c>
      <c r="C553" t="s">
        <v>204</v>
      </c>
      <c r="D553">
        <v>41</v>
      </c>
    </row>
    <row r="554" spans="1:4" x14ac:dyDescent="0.35">
      <c r="A554">
        <v>2007</v>
      </c>
      <c r="B554" t="s">
        <v>34</v>
      </c>
      <c r="C554" t="s">
        <v>40</v>
      </c>
      <c r="D554">
        <v>28</v>
      </c>
    </row>
    <row r="555" spans="1:4" x14ac:dyDescent="0.35">
      <c r="A555">
        <v>2007</v>
      </c>
      <c r="B555" t="s">
        <v>35</v>
      </c>
      <c r="C555" t="s">
        <v>41</v>
      </c>
      <c r="D555">
        <v>259</v>
      </c>
    </row>
    <row r="556" spans="1:4" x14ac:dyDescent="0.35">
      <c r="A556">
        <v>2007</v>
      </c>
      <c r="B556" t="s">
        <v>33</v>
      </c>
      <c r="C556" t="s">
        <v>42</v>
      </c>
      <c r="D556">
        <v>49</v>
      </c>
    </row>
    <row r="557" spans="1:4" x14ac:dyDescent="0.35">
      <c r="A557">
        <v>2007</v>
      </c>
      <c r="C557" t="s">
        <v>373</v>
      </c>
      <c r="D557">
        <v>35</v>
      </c>
    </row>
    <row r="558" spans="1:4" x14ac:dyDescent="0.35">
      <c r="A558">
        <v>2007</v>
      </c>
      <c r="B558" t="s">
        <v>33</v>
      </c>
      <c r="C558" t="s">
        <v>43</v>
      </c>
      <c r="D558">
        <v>13</v>
      </c>
    </row>
    <row r="559" spans="1:4" x14ac:dyDescent="0.35">
      <c r="A559">
        <v>2007</v>
      </c>
      <c r="B559" t="s">
        <v>36</v>
      </c>
      <c r="C559" t="s">
        <v>44</v>
      </c>
      <c r="D559">
        <v>23</v>
      </c>
    </row>
    <row r="560" spans="1:4" x14ac:dyDescent="0.35">
      <c r="A560">
        <v>2007</v>
      </c>
      <c r="B560" t="s">
        <v>38</v>
      </c>
      <c r="C560" t="s">
        <v>45</v>
      </c>
      <c r="D560">
        <v>227</v>
      </c>
    </row>
    <row r="561" spans="1:4" x14ac:dyDescent="0.35">
      <c r="A561">
        <v>2007</v>
      </c>
      <c r="B561" t="s">
        <v>34</v>
      </c>
      <c r="C561" t="s">
        <v>46</v>
      </c>
      <c r="D561">
        <v>60</v>
      </c>
    </row>
    <row r="562" spans="1:4" x14ac:dyDescent="0.35">
      <c r="A562">
        <v>2007</v>
      </c>
      <c r="B562" t="s">
        <v>37</v>
      </c>
      <c r="C562" t="s">
        <v>47</v>
      </c>
      <c r="D562">
        <v>27</v>
      </c>
    </row>
    <row r="563" spans="1:4" x14ac:dyDescent="0.35">
      <c r="A563">
        <v>2007</v>
      </c>
      <c r="B563" t="s">
        <v>35</v>
      </c>
      <c r="C563" t="s">
        <v>48</v>
      </c>
      <c r="D563">
        <v>7</v>
      </c>
    </row>
    <row r="564" spans="1:4" x14ac:dyDescent="0.35">
      <c r="A564">
        <v>2007</v>
      </c>
      <c r="B564" t="s">
        <v>34</v>
      </c>
      <c r="C564" t="s">
        <v>49</v>
      </c>
      <c r="D564">
        <v>15</v>
      </c>
    </row>
    <row r="565" spans="1:4" x14ac:dyDescent="0.35">
      <c r="A565">
        <v>2007</v>
      </c>
      <c r="B565" t="s">
        <v>36</v>
      </c>
      <c r="C565" t="s">
        <v>50</v>
      </c>
      <c r="D565">
        <v>62</v>
      </c>
    </row>
    <row r="566" spans="1:4" x14ac:dyDescent="0.35">
      <c r="A566">
        <v>2007</v>
      </c>
      <c r="B566" t="s">
        <v>34</v>
      </c>
      <c r="C566" t="s">
        <v>51</v>
      </c>
      <c r="D566" t="s">
        <v>205</v>
      </c>
    </row>
    <row r="567" spans="1:4" x14ac:dyDescent="0.35">
      <c r="A567">
        <v>2007</v>
      </c>
      <c r="B567" t="s">
        <v>34</v>
      </c>
      <c r="C567" t="s">
        <v>52</v>
      </c>
      <c r="D567">
        <v>182</v>
      </c>
    </row>
    <row r="568" spans="1:4" x14ac:dyDescent="0.35">
      <c r="A568">
        <v>2007</v>
      </c>
      <c r="B568" t="s">
        <v>36</v>
      </c>
      <c r="C568" t="s">
        <v>53</v>
      </c>
      <c r="D568">
        <v>28</v>
      </c>
    </row>
    <row r="569" spans="1:4" x14ac:dyDescent="0.35">
      <c r="A569">
        <v>2007</v>
      </c>
      <c r="B569" t="s">
        <v>35</v>
      </c>
      <c r="C569" t="s">
        <v>54</v>
      </c>
      <c r="D569">
        <v>17</v>
      </c>
    </row>
    <row r="570" spans="1:4" x14ac:dyDescent="0.35">
      <c r="A570">
        <v>2007</v>
      </c>
      <c r="B570" t="s">
        <v>35</v>
      </c>
      <c r="C570" t="s">
        <v>55</v>
      </c>
      <c r="D570">
        <v>8</v>
      </c>
    </row>
    <row r="571" spans="1:4" x14ac:dyDescent="0.35">
      <c r="A571">
        <v>2007</v>
      </c>
      <c r="B571" t="s">
        <v>36</v>
      </c>
      <c r="C571" t="s">
        <v>56</v>
      </c>
      <c r="D571">
        <v>113</v>
      </c>
    </row>
    <row r="572" spans="1:4" x14ac:dyDescent="0.35">
      <c r="A572">
        <v>2007</v>
      </c>
      <c r="B572" t="s">
        <v>33</v>
      </c>
      <c r="C572" t="s">
        <v>57</v>
      </c>
      <c r="D572">
        <v>10</v>
      </c>
    </row>
    <row r="573" spans="1:4" x14ac:dyDescent="0.35">
      <c r="A573">
        <v>2007</v>
      </c>
      <c r="B573" t="s">
        <v>36</v>
      </c>
      <c r="C573" t="s">
        <v>363</v>
      </c>
      <c r="D573">
        <v>3</v>
      </c>
    </row>
    <row r="574" spans="1:4" x14ac:dyDescent="0.35">
      <c r="A574">
        <v>2007</v>
      </c>
      <c r="B574" t="s">
        <v>38</v>
      </c>
      <c r="C574" t="s">
        <v>59</v>
      </c>
      <c r="D574">
        <v>189</v>
      </c>
    </row>
    <row r="575" spans="1:4" x14ac:dyDescent="0.35">
      <c r="A575">
        <v>2007</v>
      </c>
      <c r="B575" t="s">
        <v>35</v>
      </c>
      <c r="C575" t="s">
        <v>60</v>
      </c>
      <c r="D575">
        <v>60</v>
      </c>
    </row>
    <row r="576" spans="1:4" x14ac:dyDescent="0.35">
      <c r="A576">
        <v>2007</v>
      </c>
      <c r="B576" t="s">
        <v>38</v>
      </c>
      <c r="C576" t="s">
        <v>21</v>
      </c>
      <c r="D576">
        <v>2902</v>
      </c>
    </row>
    <row r="577" spans="1:4" x14ac:dyDescent="0.35">
      <c r="A577">
        <v>2007</v>
      </c>
      <c r="B577" t="s">
        <v>36</v>
      </c>
      <c r="C577" t="s">
        <v>364</v>
      </c>
    </row>
    <row r="578" spans="1:4" x14ac:dyDescent="0.35">
      <c r="A578">
        <v>2007</v>
      </c>
      <c r="B578" t="s">
        <v>35</v>
      </c>
      <c r="C578" t="s">
        <v>62</v>
      </c>
      <c r="D578">
        <v>71</v>
      </c>
    </row>
    <row r="579" spans="1:4" x14ac:dyDescent="0.35">
      <c r="A579">
        <v>2007</v>
      </c>
      <c r="B579" t="s">
        <v>33</v>
      </c>
      <c r="C579" t="s">
        <v>63</v>
      </c>
      <c r="D579">
        <v>12</v>
      </c>
    </row>
    <row r="580" spans="1:4" x14ac:dyDescent="0.35">
      <c r="A580">
        <v>2007</v>
      </c>
      <c r="B580" t="s">
        <v>34</v>
      </c>
      <c r="C580" t="s">
        <v>64</v>
      </c>
      <c r="D580">
        <v>18</v>
      </c>
    </row>
    <row r="581" spans="1:4" x14ac:dyDescent="0.35">
      <c r="A581">
        <v>2007</v>
      </c>
      <c r="B581" t="s">
        <v>33</v>
      </c>
      <c r="C581" t="s">
        <v>65</v>
      </c>
      <c r="D581">
        <v>3</v>
      </c>
    </row>
    <row r="582" spans="1:4" x14ac:dyDescent="0.35">
      <c r="A582">
        <v>2007</v>
      </c>
      <c r="B582" t="s">
        <v>33</v>
      </c>
      <c r="C582" t="s">
        <v>66</v>
      </c>
      <c r="D582">
        <v>79</v>
      </c>
    </row>
    <row r="583" spans="1:4" x14ac:dyDescent="0.35">
      <c r="A583">
        <v>2007</v>
      </c>
      <c r="B583" t="s">
        <v>34</v>
      </c>
      <c r="C583" t="s">
        <v>67</v>
      </c>
      <c r="D583">
        <v>79</v>
      </c>
    </row>
    <row r="584" spans="1:4" x14ac:dyDescent="0.35">
      <c r="A584">
        <v>2007</v>
      </c>
      <c r="B584" t="s">
        <v>33</v>
      </c>
      <c r="C584" t="s">
        <v>68</v>
      </c>
      <c r="D584">
        <v>767</v>
      </c>
    </row>
    <row r="585" spans="1:4" x14ac:dyDescent="0.35">
      <c r="A585">
        <v>2007</v>
      </c>
      <c r="B585" t="s">
        <v>36</v>
      </c>
      <c r="C585" t="s">
        <v>69</v>
      </c>
      <c r="D585">
        <v>48</v>
      </c>
    </row>
    <row r="586" spans="1:4" x14ac:dyDescent="0.35">
      <c r="A586">
        <v>2007</v>
      </c>
      <c r="B586" t="s">
        <v>36</v>
      </c>
      <c r="C586" t="s">
        <v>365</v>
      </c>
    </row>
    <row r="587" spans="1:4" x14ac:dyDescent="0.35">
      <c r="A587">
        <v>2007</v>
      </c>
      <c r="B587" t="s">
        <v>33</v>
      </c>
      <c r="C587" t="s">
        <v>70</v>
      </c>
      <c r="D587">
        <v>6</v>
      </c>
    </row>
    <row r="588" spans="1:4" x14ac:dyDescent="0.35">
      <c r="A588">
        <v>2007</v>
      </c>
      <c r="B588" t="s">
        <v>33</v>
      </c>
      <c r="C588" t="s">
        <v>71</v>
      </c>
      <c r="D588">
        <v>6</v>
      </c>
    </row>
    <row r="589" spans="1:4" x14ac:dyDescent="0.35">
      <c r="A589">
        <v>2007</v>
      </c>
      <c r="B589" t="s">
        <v>38</v>
      </c>
      <c r="C589" t="s">
        <v>72</v>
      </c>
      <c r="D589">
        <v>135</v>
      </c>
    </row>
    <row r="590" spans="1:4" x14ac:dyDescent="0.35">
      <c r="A590">
        <v>2007</v>
      </c>
      <c r="B590" t="s">
        <v>34</v>
      </c>
      <c r="C590" t="s">
        <v>73</v>
      </c>
      <c r="D590">
        <v>1623</v>
      </c>
    </row>
    <row r="591" spans="1:4" x14ac:dyDescent="0.35">
      <c r="A591">
        <v>2007</v>
      </c>
      <c r="B591" t="s">
        <v>38</v>
      </c>
      <c r="C591" t="s">
        <v>20</v>
      </c>
      <c r="D591">
        <v>1893</v>
      </c>
    </row>
    <row r="592" spans="1:4" x14ac:dyDescent="0.35">
      <c r="A592">
        <v>2007</v>
      </c>
      <c r="B592" t="s">
        <v>33</v>
      </c>
      <c r="C592" t="s">
        <v>74</v>
      </c>
      <c r="D592" t="s">
        <v>205</v>
      </c>
    </row>
    <row r="593" spans="1:4" x14ac:dyDescent="0.35">
      <c r="A593">
        <v>2007</v>
      </c>
      <c r="B593" t="s">
        <v>33</v>
      </c>
      <c r="C593" t="s">
        <v>75</v>
      </c>
      <c r="D593">
        <v>77</v>
      </c>
    </row>
    <row r="594" spans="1:4" x14ac:dyDescent="0.35">
      <c r="A594">
        <v>2007</v>
      </c>
      <c r="B594" t="s">
        <v>36</v>
      </c>
      <c r="C594" t="s">
        <v>76</v>
      </c>
      <c r="D594">
        <v>377</v>
      </c>
    </row>
    <row r="595" spans="1:4" x14ac:dyDescent="0.35">
      <c r="A595">
        <v>2007</v>
      </c>
      <c r="B595" t="s">
        <v>33</v>
      </c>
      <c r="C595" t="s">
        <v>77</v>
      </c>
      <c r="D595">
        <v>72</v>
      </c>
    </row>
    <row r="596" spans="1:4" x14ac:dyDescent="0.35">
      <c r="A596">
        <v>2007</v>
      </c>
      <c r="B596" t="s">
        <v>35</v>
      </c>
      <c r="C596" t="s">
        <v>78</v>
      </c>
      <c r="D596">
        <v>13</v>
      </c>
    </row>
    <row r="597" spans="1:4" x14ac:dyDescent="0.35">
      <c r="A597">
        <v>2007</v>
      </c>
      <c r="B597" t="s">
        <v>36</v>
      </c>
      <c r="C597" t="s">
        <v>79</v>
      </c>
      <c r="D597">
        <v>4931</v>
      </c>
    </row>
    <row r="598" spans="1:4" x14ac:dyDescent="0.35">
      <c r="A598">
        <v>2007</v>
      </c>
      <c r="B598" t="s">
        <v>35</v>
      </c>
      <c r="C598" t="s">
        <v>81</v>
      </c>
      <c r="D598">
        <v>42</v>
      </c>
    </row>
    <row r="599" spans="1:4" x14ac:dyDescent="0.35">
      <c r="A599">
        <v>2007</v>
      </c>
      <c r="B599" t="s">
        <v>35</v>
      </c>
      <c r="C599" t="s">
        <v>214</v>
      </c>
      <c r="D599">
        <v>42</v>
      </c>
    </row>
    <row r="600" spans="1:4" x14ac:dyDescent="0.35">
      <c r="A600">
        <v>2007</v>
      </c>
      <c r="B600" t="s">
        <v>35</v>
      </c>
      <c r="C600" t="s">
        <v>82</v>
      </c>
      <c r="D600">
        <v>12</v>
      </c>
    </row>
    <row r="601" spans="1:4" x14ac:dyDescent="0.35">
      <c r="A601">
        <v>2007</v>
      </c>
      <c r="B601" t="s">
        <v>36</v>
      </c>
      <c r="C601" t="s">
        <v>84</v>
      </c>
      <c r="D601">
        <v>34</v>
      </c>
    </row>
    <row r="602" spans="1:4" x14ac:dyDescent="0.35">
      <c r="A602">
        <v>2007</v>
      </c>
      <c r="B602" t="s">
        <v>36</v>
      </c>
      <c r="C602" t="s">
        <v>85</v>
      </c>
      <c r="D602">
        <v>2118</v>
      </c>
    </row>
    <row r="603" spans="1:4" x14ac:dyDescent="0.35">
      <c r="A603">
        <v>2007</v>
      </c>
      <c r="B603" t="s">
        <v>38</v>
      </c>
      <c r="C603" t="s">
        <v>86</v>
      </c>
      <c r="D603">
        <v>1771</v>
      </c>
    </row>
    <row r="604" spans="1:4" x14ac:dyDescent="0.35">
      <c r="A604">
        <v>2007</v>
      </c>
      <c r="B604" t="s">
        <v>33</v>
      </c>
      <c r="C604" t="s">
        <v>87</v>
      </c>
      <c r="D604">
        <v>269</v>
      </c>
    </row>
    <row r="605" spans="1:4" x14ac:dyDescent="0.35">
      <c r="A605">
        <v>2007</v>
      </c>
      <c r="B605" t="s">
        <v>36</v>
      </c>
      <c r="C605" t="s">
        <v>16</v>
      </c>
      <c r="D605">
        <v>19699</v>
      </c>
    </row>
    <row r="606" spans="1:4" x14ac:dyDescent="0.35">
      <c r="A606">
        <v>2007</v>
      </c>
      <c r="B606" t="s">
        <v>33</v>
      </c>
      <c r="C606" t="s">
        <v>88</v>
      </c>
      <c r="D606">
        <v>7</v>
      </c>
    </row>
    <row r="607" spans="1:4" x14ac:dyDescent="0.35">
      <c r="A607">
        <v>2007</v>
      </c>
      <c r="B607" t="s">
        <v>33</v>
      </c>
      <c r="C607" t="s">
        <v>89</v>
      </c>
      <c r="D607">
        <v>100</v>
      </c>
    </row>
    <row r="608" spans="1:4" x14ac:dyDescent="0.35">
      <c r="A608">
        <v>2007</v>
      </c>
      <c r="B608" t="s">
        <v>35</v>
      </c>
      <c r="C608" t="s">
        <v>90</v>
      </c>
      <c r="D608">
        <v>13</v>
      </c>
    </row>
    <row r="609" spans="1:4" x14ac:dyDescent="0.35">
      <c r="A609">
        <v>2007</v>
      </c>
      <c r="B609" t="s">
        <v>33</v>
      </c>
      <c r="C609" t="s">
        <v>91</v>
      </c>
      <c r="D609">
        <v>144</v>
      </c>
    </row>
    <row r="610" spans="1:4" x14ac:dyDescent="0.35">
      <c r="A610">
        <v>2007</v>
      </c>
      <c r="B610" t="s">
        <v>37</v>
      </c>
      <c r="C610" t="s">
        <v>92</v>
      </c>
      <c r="D610">
        <v>45</v>
      </c>
    </row>
    <row r="611" spans="1:4" x14ac:dyDescent="0.35">
      <c r="A611">
        <v>2007</v>
      </c>
      <c r="B611" t="s">
        <v>35</v>
      </c>
      <c r="C611" t="s">
        <v>94</v>
      </c>
      <c r="D611">
        <v>69</v>
      </c>
    </row>
    <row r="612" spans="1:4" x14ac:dyDescent="0.35">
      <c r="A612">
        <v>2007</v>
      </c>
      <c r="B612" t="s">
        <v>33</v>
      </c>
      <c r="C612" t="s">
        <v>95</v>
      </c>
      <c r="D612">
        <v>10</v>
      </c>
    </row>
    <row r="613" spans="1:4" x14ac:dyDescent="0.35">
      <c r="A613">
        <v>2007</v>
      </c>
      <c r="B613" t="s">
        <v>33</v>
      </c>
      <c r="C613" t="s">
        <v>96</v>
      </c>
      <c r="D613">
        <v>87</v>
      </c>
    </row>
    <row r="614" spans="1:4" x14ac:dyDescent="0.35">
      <c r="A614">
        <v>2007</v>
      </c>
      <c r="B614" t="s">
        <v>34</v>
      </c>
      <c r="C614" t="s">
        <v>8</v>
      </c>
      <c r="D614">
        <v>59</v>
      </c>
    </row>
    <row r="615" spans="1:4" x14ac:dyDescent="0.35">
      <c r="A615">
        <v>2007</v>
      </c>
      <c r="B615" t="s">
        <v>35</v>
      </c>
      <c r="C615" t="s">
        <v>97</v>
      </c>
      <c r="D615">
        <v>84</v>
      </c>
    </row>
    <row r="616" spans="1:4" x14ac:dyDescent="0.35">
      <c r="A616">
        <v>2007</v>
      </c>
      <c r="B616" t="s">
        <v>33</v>
      </c>
      <c r="C616" t="s">
        <v>98</v>
      </c>
      <c r="D616">
        <v>239</v>
      </c>
    </row>
    <row r="617" spans="1:4" x14ac:dyDescent="0.35">
      <c r="A617">
        <v>2007</v>
      </c>
      <c r="B617" t="s">
        <v>35</v>
      </c>
      <c r="C617" t="s">
        <v>99</v>
      </c>
      <c r="D617">
        <v>16</v>
      </c>
    </row>
    <row r="618" spans="1:4" x14ac:dyDescent="0.35">
      <c r="A618">
        <v>2007</v>
      </c>
      <c r="B618" t="s">
        <v>36</v>
      </c>
      <c r="C618" t="s">
        <v>100</v>
      </c>
      <c r="D618">
        <v>15</v>
      </c>
    </row>
    <row r="619" spans="1:4" x14ac:dyDescent="0.35">
      <c r="A619">
        <v>2007</v>
      </c>
      <c r="B619" t="s">
        <v>37</v>
      </c>
      <c r="C619" t="s">
        <v>367</v>
      </c>
      <c r="D619" t="s">
        <v>205</v>
      </c>
    </row>
    <row r="620" spans="1:4" x14ac:dyDescent="0.35">
      <c r="A620">
        <v>2007</v>
      </c>
      <c r="B620" t="s">
        <v>36</v>
      </c>
      <c r="C620" t="s">
        <v>15</v>
      </c>
      <c r="D620">
        <v>23907</v>
      </c>
    </row>
    <row r="621" spans="1:4" x14ac:dyDescent="0.35">
      <c r="A621">
        <v>2007</v>
      </c>
      <c r="B621" t="s">
        <v>33</v>
      </c>
      <c r="C621" t="s">
        <v>101</v>
      </c>
      <c r="D621">
        <v>86</v>
      </c>
    </row>
    <row r="622" spans="1:4" x14ac:dyDescent="0.35">
      <c r="A622">
        <v>2007</v>
      </c>
      <c r="B622" t="s">
        <v>33</v>
      </c>
      <c r="C622" t="s">
        <v>102</v>
      </c>
      <c r="D622" t="s">
        <v>205</v>
      </c>
    </row>
    <row r="623" spans="1:4" x14ac:dyDescent="0.35">
      <c r="A623">
        <v>2007</v>
      </c>
      <c r="B623" t="s">
        <v>38</v>
      </c>
      <c r="C623" t="s">
        <v>103</v>
      </c>
      <c r="D623">
        <v>156</v>
      </c>
    </row>
    <row r="624" spans="1:4" x14ac:dyDescent="0.35">
      <c r="A624">
        <v>2007</v>
      </c>
      <c r="B624" t="s">
        <v>36</v>
      </c>
      <c r="C624" t="s">
        <v>104</v>
      </c>
      <c r="D624">
        <v>1004</v>
      </c>
    </row>
    <row r="625" spans="1:4" x14ac:dyDescent="0.35">
      <c r="A625">
        <v>2007</v>
      </c>
      <c r="B625" t="s">
        <v>36</v>
      </c>
      <c r="C625" t="s">
        <v>17</v>
      </c>
      <c r="D625">
        <v>28265</v>
      </c>
    </row>
    <row r="626" spans="1:4" x14ac:dyDescent="0.35">
      <c r="A626">
        <v>2007</v>
      </c>
      <c r="B626" t="s">
        <v>34</v>
      </c>
      <c r="C626" t="s">
        <v>368</v>
      </c>
      <c r="D626">
        <v>21</v>
      </c>
    </row>
    <row r="627" spans="1:4" x14ac:dyDescent="0.35">
      <c r="A627">
        <v>2007</v>
      </c>
      <c r="B627" t="s">
        <v>35</v>
      </c>
      <c r="C627" t="s">
        <v>105</v>
      </c>
      <c r="D627">
        <v>44</v>
      </c>
    </row>
    <row r="628" spans="1:4" x14ac:dyDescent="0.35">
      <c r="A628">
        <v>2007</v>
      </c>
      <c r="B628" t="s">
        <v>35</v>
      </c>
      <c r="C628" t="s">
        <v>106</v>
      </c>
      <c r="D628">
        <v>3</v>
      </c>
    </row>
    <row r="629" spans="1:4" x14ac:dyDescent="0.35">
      <c r="A629">
        <v>2007</v>
      </c>
      <c r="B629" t="s">
        <v>34</v>
      </c>
      <c r="C629" t="s">
        <v>22</v>
      </c>
      <c r="D629">
        <v>795</v>
      </c>
    </row>
    <row r="630" spans="1:4" x14ac:dyDescent="0.35">
      <c r="A630">
        <v>2007</v>
      </c>
      <c r="B630" t="s">
        <v>34</v>
      </c>
      <c r="C630" t="s">
        <v>107</v>
      </c>
      <c r="D630">
        <v>536</v>
      </c>
    </row>
    <row r="631" spans="1:4" x14ac:dyDescent="0.35">
      <c r="A631">
        <v>2007</v>
      </c>
      <c r="B631" t="s">
        <v>34</v>
      </c>
      <c r="C631" t="s">
        <v>108</v>
      </c>
      <c r="D631">
        <v>128</v>
      </c>
    </row>
    <row r="632" spans="1:4" x14ac:dyDescent="0.35">
      <c r="A632">
        <v>2007</v>
      </c>
      <c r="B632" t="s">
        <v>34</v>
      </c>
      <c r="C632" t="s">
        <v>109</v>
      </c>
      <c r="D632">
        <v>138</v>
      </c>
    </row>
    <row r="633" spans="1:4" x14ac:dyDescent="0.35">
      <c r="A633">
        <v>2007</v>
      </c>
      <c r="B633" t="s">
        <v>35</v>
      </c>
      <c r="C633" t="s">
        <v>110</v>
      </c>
      <c r="D633">
        <v>27</v>
      </c>
    </row>
    <row r="634" spans="1:4" x14ac:dyDescent="0.35">
      <c r="A634">
        <v>2007</v>
      </c>
      <c r="B634" t="s">
        <v>34</v>
      </c>
      <c r="C634" t="s">
        <v>111</v>
      </c>
      <c r="D634">
        <v>226</v>
      </c>
    </row>
    <row r="635" spans="1:4" x14ac:dyDescent="0.35">
      <c r="A635">
        <v>2007</v>
      </c>
      <c r="B635" t="s">
        <v>35</v>
      </c>
      <c r="C635" t="s">
        <v>112</v>
      </c>
      <c r="D635">
        <v>60</v>
      </c>
    </row>
    <row r="636" spans="1:4" x14ac:dyDescent="0.35">
      <c r="A636">
        <v>2007</v>
      </c>
      <c r="B636" t="s">
        <v>36</v>
      </c>
      <c r="C636" t="s">
        <v>113</v>
      </c>
      <c r="D636">
        <v>804</v>
      </c>
    </row>
    <row r="637" spans="1:4" x14ac:dyDescent="0.35">
      <c r="A637">
        <v>2007</v>
      </c>
      <c r="B637" t="s">
        <v>34</v>
      </c>
      <c r="C637" t="s">
        <v>114</v>
      </c>
      <c r="D637">
        <v>19</v>
      </c>
    </row>
    <row r="638" spans="1:4" x14ac:dyDescent="0.35">
      <c r="A638">
        <v>2007</v>
      </c>
      <c r="B638" t="s">
        <v>34</v>
      </c>
      <c r="C638" t="s">
        <v>115</v>
      </c>
      <c r="D638">
        <v>318</v>
      </c>
    </row>
    <row r="639" spans="1:4" x14ac:dyDescent="0.35">
      <c r="A639">
        <v>2007</v>
      </c>
      <c r="B639" t="s">
        <v>34</v>
      </c>
      <c r="C639" t="s">
        <v>116</v>
      </c>
      <c r="D639">
        <v>35</v>
      </c>
    </row>
    <row r="640" spans="1:4" x14ac:dyDescent="0.35">
      <c r="A640">
        <v>2007</v>
      </c>
      <c r="B640" t="s">
        <v>33</v>
      </c>
      <c r="C640" t="s">
        <v>117</v>
      </c>
      <c r="D640">
        <v>160</v>
      </c>
    </row>
    <row r="641" spans="1:4" x14ac:dyDescent="0.35">
      <c r="A641">
        <v>2007</v>
      </c>
      <c r="B641" t="s">
        <v>34</v>
      </c>
      <c r="C641" t="s">
        <v>118</v>
      </c>
      <c r="D641">
        <v>307</v>
      </c>
    </row>
    <row r="642" spans="1:4" x14ac:dyDescent="0.35">
      <c r="A642">
        <v>2007</v>
      </c>
      <c r="B642" t="s">
        <v>35</v>
      </c>
      <c r="C642" t="s">
        <v>119</v>
      </c>
      <c r="D642" t="s">
        <v>206</v>
      </c>
    </row>
    <row r="643" spans="1:4" x14ac:dyDescent="0.35">
      <c r="A643">
        <v>2007</v>
      </c>
      <c r="B643" t="s">
        <v>34</v>
      </c>
      <c r="C643" t="s">
        <v>120</v>
      </c>
      <c r="D643">
        <v>57</v>
      </c>
    </row>
    <row r="644" spans="1:4" x14ac:dyDescent="0.35">
      <c r="A644">
        <v>2007</v>
      </c>
      <c r="B644" t="s">
        <v>34</v>
      </c>
      <c r="C644" t="s">
        <v>121</v>
      </c>
      <c r="D644" t="s">
        <v>205</v>
      </c>
    </row>
    <row r="645" spans="1:4" x14ac:dyDescent="0.35">
      <c r="A645">
        <v>2007</v>
      </c>
      <c r="B645" t="s">
        <v>34</v>
      </c>
      <c r="C645" t="s">
        <v>122</v>
      </c>
      <c r="D645">
        <v>117</v>
      </c>
    </row>
    <row r="646" spans="1:4" x14ac:dyDescent="0.35">
      <c r="A646">
        <v>2007</v>
      </c>
      <c r="B646" t="s">
        <v>35</v>
      </c>
      <c r="C646" t="s">
        <v>123</v>
      </c>
      <c r="D646">
        <v>16</v>
      </c>
    </row>
    <row r="647" spans="1:4" x14ac:dyDescent="0.35">
      <c r="A647">
        <v>2007</v>
      </c>
      <c r="B647" t="s">
        <v>34</v>
      </c>
      <c r="C647" t="s">
        <v>124</v>
      </c>
      <c r="D647">
        <v>195</v>
      </c>
    </row>
    <row r="648" spans="1:4" x14ac:dyDescent="0.35">
      <c r="A648">
        <v>2007</v>
      </c>
      <c r="B648" t="s">
        <v>33</v>
      </c>
      <c r="C648" t="s">
        <v>125</v>
      </c>
      <c r="D648">
        <v>99</v>
      </c>
    </row>
    <row r="649" spans="1:4" x14ac:dyDescent="0.35">
      <c r="A649">
        <v>2007</v>
      </c>
      <c r="B649" t="s">
        <v>33</v>
      </c>
      <c r="C649" t="s">
        <v>126</v>
      </c>
      <c r="D649">
        <v>8</v>
      </c>
    </row>
    <row r="650" spans="1:4" x14ac:dyDescent="0.35">
      <c r="A650">
        <v>2007</v>
      </c>
      <c r="B650" t="s">
        <v>35</v>
      </c>
      <c r="C650" t="s">
        <v>127</v>
      </c>
      <c r="D650">
        <v>55</v>
      </c>
    </row>
    <row r="651" spans="1:4" x14ac:dyDescent="0.35">
      <c r="A651">
        <v>2007</v>
      </c>
      <c r="B651" t="s">
        <v>34</v>
      </c>
      <c r="C651" t="s">
        <v>369</v>
      </c>
      <c r="D651">
        <v>21</v>
      </c>
    </row>
    <row r="652" spans="1:4" x14ac:dyDescent="0.35">
      <c r="A652">
        <v>2007</v>
      </c>
      <c r="B652" t="s">
        <v>33</v>
      </c>
      <c r="C652" t="s">
        <v>130</v>
      </c>
      <c r="D652">
        <v>7</v>
      </c>
    </row>
    <row r="653" spans="1:4" x14ac:dyDescent="0.35">
      <c r="A653">
        <v>2007</v>
      </c>
      <c r="B653" t="s">
        <v>34</v>
      </c>
      <c r="C653" t="s">
        <v>131</v>
      </c>
      <c r="D653">
        <v>58</v>
      </c>
    </row>
    <row r="654" spans="1:4" x14ac:dyDescent="0.35">
      <c r="A654">
        <v>2007</v>
      </c>
      <c r="B654" t="s">
        <v>33</v>
      </c>
      <c r="C654" t="s">
        <v>132</v>
      </c>
      <c r="D654">
        <v>80</v>
      </c>
    </row>
    <row r="655" spans="1:4" x14ac:dyDescent="0.35">
      <c r="A655">
        <v>2007</v>
      </c>
      <c r="B655" t="s">
        <v>35</v>
      </c>
      <c r="C655" t="s">
        <v>133</v>
      </c>
    </row>
    <row r="656" spans="1:4" x14ac:dyDescent="0.35">
      <c r="A656">
        <v>2007</v>
      </c>
      <c r="B656" t="s">
        <v>37</v>
      </c>
      <c r="C656" t="s">
        <v>134</v>
      </c>
      <c r="D656">
        <v>3</v>
      </c>
    </row>
    <row r="657" spans="1:4" x14ac:dyDescent="0.35">
      <c r="A657">
        <v>2007</v>
      </c>
      <c r="B657" t="s">
        <v>33</v>
      </c>
      <c r="C657" t="s">
        <v>135</v>
      </c>
      <c r="D657">
        <v>62</v>
      </c>
    </row>
    <row r="658" spans="1:4" x14ac:dyDescent="0.35">
      <c r="A658">
        <v>2007</v>
      </c>
      <c r="B658" t="s">
        <v>36</v>
      </c>
      <c r="C658" t="s">
        <v>14</v>
      </c>
      <c r="D658">
        <v>854275</v>
      </c>
    </row>
    <row r="659" spans="1:4" x14ac:dyDescent="0.35">
      <c r="A659">
        <v>2007</v>
      </c>
      <c r="B659" t="s">
        <v>37</v>
      </c>
      <c r="C659" t="s">
        <v>137</v>
      </c>
      <c r="D659">
        <v>13</v>
      </c>
    </row>
    <row r="660" spans="1:4" x14ac:dyDescent="0.35">
      <c r="A660">
        <v>2007</v>
      </c>
      <c r="B660" t="s">
        <v>35</v>
      </c>
      <c r="C660" t="s">
        <v>138</v>
      </c>
      <c r="D660">
        <v>46</v>
      </c>
    </row>
    <row r="661" spans="1:4" x14ac:dyDescent="0.35">
      <c r="A661">
        <v>2007</v>
      </c>
      <c r="B661" t="s">
        <v>34</v>
      </c>
      <c r="C661" t="s">
        <v>139</v>
      </c>
      <c r="D661">
        <v>54</v>
      </c>
    </row>
    <row r="662" spans="1:4" x14ac:dyDescent="0.35">
      <c r="A662">
        <v>2007</v>
      </c>
      <c r="B662" t="s">
        <v>35</v>
      </c>
      <c r="C662" t="s">
        <v>140</v>
      </c>
    </row>
    <row r="663" spans="1:4" x14ac:dyDescent="0.35">
      <c r="A663">
        <v>2007</v>
      </c>
      <c r="B663" t="s">
        <v>36</v>
      </c>
      <c r="C663" t="s">
        <v>370</v>
      </c>
      <c r="D663" t="s">
        <v>205</v>
      </c>
    </row>
    <row r="664" spans="1:4" x14ac:dyDescent="0.35">
      <c r="A664">
        <v>2007</v>
      </c>
      <c r="B664" t="s">
        <v>33</v>
      </c>
      <c r="C664" t="s">
        <v>141</v>
      </c>
      <c r="D664">
        <v>183</v>
      </c>
    </row>
    <row r="665" spans="1:4" x14ac:dyDescent="0.35">
      <c r="A665">
        <v>2007</v>
      </c>
      <c r="B665" t="s">
        <v>34</v>
      </c>
      <c r="C665" t="s">
        <v>144</v>
      </c>
      <c r="D665">
        <v>44</v>
      </c>
    </row>
    <row r="666" spans="1:4" x14ac:dyDescent="0.35">
      <c r="A666">
        <v>2007</v>
      </c>
      <c r="B666" t="s">
        <v>35</v>
      </c>
      <c r="C666" t="s">
        <v>145</v>
      </c>
      <c r="D666">
        <v>25</v>
      </c>
    </row>
    <row r="667" spans="1:4" x14ac:dyDescent="0.35">
      <c r="A667">
        <v>2007</v>
      </c>
      <c r="B667" t="s">
        <v>36</v>
      </c>
      <c r="C667" t="s">
        <v>371</v>
      </c>
      <c r="D667" t="s">
        <v>205</v>
      </c>
    </row>
    <row r="668" spans="1:4" x14ac:dyDescent="0.35">
      <c r="A668">
        <v>2007</v>
      </c>
      <c r="B668" t="s">
        <v>37</v>
      </c>
      <c r="C668" t="s">
        <v>146</v>
      </c>
      <c r="D668">
        <v>55</v>
      </c>
    </row>
    <row r="669" spans="1:4" x14ac:dyDescent="0.35">
      <c r="A669">
        <v>2007</v>
      </c>
      <c r="B669" t="s">
        <v>36</v>
      </c>
      <c r="C669" t="s">
        <v>147</v>
      </c>
      <c r="D669">
        <v>2119</v>
      </c>
    </row>
    <row r="670" spans="1:4" x14ac:dyDescent="0.35">
      <c r="A670">
        <v>2007</v>
      </c>
      <c r="B670" t="s">
        <v>33</v>
      </c>
      <c r="C670" t="s">
        <v>148</v>
      </c>
      <c r="D670">
        <v>115</v>
      </c>
    </row>
    <row r="671" spans="1:4" x14ac:dyDescent="0.35">
      <c r="A671">
        <v>2007</v>
      </c>
      <c r="B671" t="s">
        <v>33</v>
      </c>
      <c r="C671" t="s">
        <v>149</v>
      </c>
      <c r="D671">
        <v>351</v>
      </c>
    </row>
    <row r="672" spans="1:4" x14ac:dyDescent="0.35">
      <c r="A672">
        <v>2007</v>
      </c>
      <c r="B672" t="s">
        <v>35</v>
      </c>
      <c r="C672" t="s">
        <v>322</v>
      </c>
      <c r="D672">
        <v>40</v>
      </c>
    </row>
    <row r="673" spans="1:4" x14ac:dyDescent="0.35">
      <c r="A673">
        <v>2007</v>
      </c>
      <c r="B673" t="s">
        <v>35</v>
      </c>
      <c r="C673" t="s">
        <v>150</v>
      </c>
      <c r="D673">
        <v>7</v>
      </c>
    </row>
    <row r="674" spans="1:4" x14ac:dyDescent="0.35">
      <c r="A674">
        <v>2007</v>
      </c>
      <c r="B674" t="s">
        <v>34</v>
      </c>
      <c r="C674" t="s">
        <v>152</v>
      </c>
      <c r="D674">
        <v>654</v>
      </c>
    </row>
    <row r="675" spans="1:4" x14ac:dyDescent="0.35">
      <c r="A675">
        <v>2007</v>
      </c>
      <c r="B675" t="s">
        <v>37</v>
      </c>
      <c r="C675" t="s">
        <v>153</v>
      </c>
      <c r="D675">
        <v>3</v>
      </c>
    </row>
    <row r="676" spans="1:4" x14ac:dyDescent="0.35">
      <c r="A676">
        <v>2007</v>
      </c>
      <c r="B676" t="s">
        <v>36</v>
      </c>
      <c r="C676" t="s">
        <v>154</v>
      </c>
      <c r="D676">
        <v>112</v>
      </c>
    </row>
    <row r="677" spans="1:4" x14ac:dyDescent="0.35">
      <c r="A677">
        <v>2007</v>
      </c>
      <c r="B677" t="s">
        <v>38</v>
      </c>
      <c r="C677" t="s">
        <v>155</v>
      </c>
      <c r="D677">
        <v>21</v>
      </c>
    </row>
    <row r="678" spans="1:4" x14ac:dyDescent="0.35">
      <c r="A678">
        <v>2007</v>
      </c>
      <c r="B678" t="s">
        <v>38</v>
      </c>
      <c r="C678" t="s">
        <v>156</v>
      </c>
      <c r="D678">
        <v>944</v>
      </c>
    </row>
    <row r="679" spans="1:4" x14ac:dyDescent="0.35">
      <c r="A679">
        <v>2007</v>
      </c>
      <c r="B679" t="s">
        <v>34</v>
      </c>
      <c r="C679" t="s">
        <v>18</v>
      </c>
      <c r="D679">
        <v>500</v>
      </c>
    </row>
    <row r="680" spans="1:4" x14ac:dyDescent="0.35">
      <c r="A680">
        <v>2007</v>
      </c>
      <c r="B680" t="s">
        <v>35</v>
      </c>
      <c r="C680" t="s">
        <v>157</v>
      </c>
      <c r="D680">
        <v>309</v>
      </c>
    </row>
    <row r="681" spans="1:4" x14ac:dyDescent="0.35">
      <c r="A681">
        <v>2007</v>
      </c>
      <c r="B681" t="s">
        <v>35</v>
      </c>
      <c r="C681" t="s">
        <v>158</v>
      </c>
      <c r="D681">
        <v>70</v>
      </c>
    </row>
    <row r="682" spans="1:4" x14ac:dyDescent="0.35">
      <c r="A682">
        <v>2007</v>
      </c>
      <c r="B682" t="s">
        <v>35</v>
      </c>
      <c r="C682" t="s">
        <v>160</v>
      </c>
      <c r="D682">
        <v>196</v>
      </c>
    </row>
    <row r="683" spans="1:4" x14ac:dyDescent="0.35">
      <c r="A683">
        <v>2007</v>
      </c>
      <c r="B683" t="s">
        <v>35</v>
      </c>
      <c r="C683" t="s">
        <v>161</v>
      </c>
      <c r="D683">
        <v>194</v>
      </c>
    </row>
    <row r="684" spans="1:4" x14ac:dyDescent="0.35">
      <c r="A684">
        <v>2007</v>
      </c>
      <c r="B684" t="s">
        <v>33</v>
      </c>
      <c r="C684" t="s">
        <v>162</v>
      </c>
      <c r="D684">
        <v>8</v>
      </c>
    </row>
    <row r="685" spans="1:4" x14ac:dyDescent="0.35">
      <c r="A685">
        <v>2007</v>
      </c>
      <c r="B685" t="s">
        <v>36</v>
      </c>
      <c r="C685" t="s">
        <v>163</v>
      </c>
      <c r="D685">
        <v>9</v>
      </c>
    </row>
    <row r="686" spans="1:4" x14ac:dyDescent="0.35">
      <c r="A686">
        <v>2007</v>
      </c>
      <c r="B686" t="s">
        <v>36</v>
      </c>
      <c r="C686" t="s">
        <v>164</v>
      </c>
      <c r="D686">
        <v>37</v>
      </c>
    </row>
    <row r="687" spans="1:4" x14ac:dyDescent="0.35">
      <c r="A687">
        <v>2007</v>
      </c>
      <c r="B687" t="s">
        <v>36</v>
      </c>
      <c r="C687" t="s">
        <v>165</v>
      </c>
      <c r="D687">
        <v>9</v>
      </c>
    </row>
    <row r="688" spans="1:4" x14ac:dyDescent="0.35">
      <c r="A688">
        <v>2007</v>
      </c>
      <c r="B688" t="s">
        <v>37</v>
      </c>
      <c r="C688" t="s">
        <v>166</v>
      </c>
      <c r="D688">
        <v>25</v>
      </c>
    </row>
    <row r="689" spans="1:4" x14ac:dyDescent="0.35">
      <c r="A689">
        <v>2007</v>
      </c>
      <c r="B689" t="s">
        <v>34</v>
      </c>
      <c r="C689" t="s">
        <v>167</v>
      </c>
      <c r="D689">
        <v>67</v>
      </c>
    </row>
    <row r="690" spans="1:4" x14ac:dyDescent="0.35">
      <c r="A690">
        <v>2007</v>
      </c>
      <c r="B690" t="s">
        <v>33</v>
      </c>
      <c r="C690" t="s">
        <v>168</v>
      </c>
      <c r="D690">
        <v>92</v>
      </c>
    </row>
    <row r="691" spans="1:4" x14ac:dyDescent="0.35">
      <c r="A691">
        <v>2007</v>
      </c>
      <c r="B691" t="s">
        <v>35</v>
      </c>
      <c r="C691" t="s">
        <v>169</v>
      </c>
      <c r="D691" t="s">
        <v>205</v>
      </c>
    </row>
    <row r="692" spans="1:4" x14ac:dyDescent="0.35">
      <c r="A692">
        <v>2007</v>
      </c>
      <c r="B692" t="s">
        <v>35</v>
      </c>
      <c r="C692" t="s">
        <v>215</v>
      </c>
      <c r="D692">
        <v>222</v>
      </c>
    </row>
    <row r="693" spans="1:4" x14ac:dyDescent="0.35">
      <c r="A693">
        <v>2007</v>
      </c>
      <c r="B693" t="s">
        <v>33</v>
      </c>
      <c r="C693" t="s">
        <v>170</v>
      </c>
      <c r="D693">
        <v>98</v>
      </c>
    </row>
    <row r="694" spans="1:4" x14ac:dyDescent="0.35">
      <c r="A694">
        <v>2007</v>
      </c>
      <c r="B694" t="s">
        <v>34</v>
      </c>
      <c r="C694" t="s">
        <v>171</v>
      </c>
      <c r="D694">
        <v>14</v>
      </c>
    </row>
    <row r="695" spans="1:4" x14ac:dyDescent="0.35">
      <c r="A695">
        <v>2007</v>
      </c>
      <c r="B695" t="s">
        <v>35</v>
      </c>
      <c r="C695" t="s">
        <v>172</v>
      </c>
      <c r="D695">
        <v>23</v>
      </c>
    </row>
    <row r="696" spans="1:4" x14ac:dyDescent="0.35">
      <c r="A696">
        <v>2007</v>
      </c>
      <c r="B696" t="s">
        <v>35</v>
      </c>
      <c r="C696" t="s">
        <v>173</v>
      </c>
      <c r="D696" t="s">
        <v>205</v>
      </c>
    </row>
    <row r="697" spans="1:4" x14ac:dyDescent="0.35">
      <c r="A697">
        <v>2007</v>
      </c>
      <c r="B697" t="s">
        <v>33</v>
      </c>
      <c r="C697" t="s">
        <v>174</v>
      </c>
      <c r="D697">
        <v>98</v>
      </c>
    </row>
    <row r="698" spans="1:4" x14ac:dyDescent="0.35">
      <c r="A698">
        <v>2007</v>
      </c>
      <c r="B698" t="s">
        <v>33</v>
      </c>
      <c r="C698" t="s">
        <v>175</v>
      </c>
      <c r="D698">
        <v>83</v>
      </c>
    </row>
    <row r="699" spans="1:4" x14ac:dyDescent="0.35">
      <c r="A699">
        <v>2007</v>
      </c>
      <c r="B699" t="s">
        <v>33</v>
      </c>
      <c r="C699" t="s">
        <v>176</v>
      </c>
      <c r="D699" t="s">
        <v>206</v>
      </c>
    </row>
    <row r="700" spans="1:4" x14ac:dyDescent="0.35">
      <c r="A700">
        <v>2007</v>
      </c>
      <c r="B700" t="s">
        <v>35</v>
      </c>
      <c r="C700" t="s">
        <v>216</v>
      </c>
      <c r="D700">
        <v>7</v>
      </c>
    </row>
    <row r="701" spans="1:4" x14ac:dyDescent="0.35">
      <c r="A701">
        <v>2007</v>
      </c>
      <c r="B701" t="s">
        <v>35</v>
      </c>
      <c r="C701" t="s">
        <v>177</v>
      </c>
      <c r="D701">
        <v>28</v>
      </c>
    </row>
    <row r="702" spans="1:4" x14ac:dyDescent="0.35">
      <c r="A702">
        <v>2007</v>
      </c>
      <c r="B702" t="s">
        <v>34</v>
      </c>
      <c r="C702" t="s">
        <v>178</v>
      </c>
      <c r="D702">
        <v>47</v>
      </c>
    </row>
    <row r="703" spans="1:4" x14ac:dyDescent="0.35">
      <c r="A703">
        <v>2007</v>
      </c>
      <c r="B703" t="s">
        <v>33</v>
      </c>
      <c r="C703" t="s">
        <v>179</v>
      </c>
      <c r="D703">
        <v>38</v>
      </c>
    </row>
    <row r="704" spans="1:4" x14ac:dyDescent="0.35">
      <c r="A704">
        <v>2007</v>
      </c>
      <c r="B704" t="s">
        <v>38</v>
      </c>
      <c r="C704" t="s">
        <v>180</v>
      </c>
      <c r="D704">
        <v>10</v>
      </c>
    </row>
    <row r="705" spans="1:4" x14ac:dyDescent="0.35">
      <c r="A705">
        <v>2007</v>
      </c>
      <c r="B705" t="s">
        <v>35</v>
      </c>
      <c r="C705" t="s">
        <v>182</v>
      </c>
      <c r="D705">
        <v>19</v>
      </c>
    </row>
    <row r="706" spans="1:4" x14ac:dyDescent="0.35">
      <c r="A706">
        <v>2007</v>
      </c>
      <c r="B706" t="s">
        <v>35</v>
      </c>
      <c r="C706" t="s">
        <v>183</v>
      </c>
      <c r="D706">
        <v>12</v>
      </c>
    </row>
    <row r="707" spans="1:4" x14ac:dyDescent="0.35">
      <c r="A707">
        <v>2007</v>
      </c>
      <c r="B707" t="s">
        <v>34</v>
      </c>
      <c r="C707" t="s">
        <v>184</v>
      </c>
      <c r="D707">
        <v>101</v>
      </c>
    </row>
    <row r="708" spans="1:4" x14ac:dyDescent="0.35">
      <c r="A708">
        <v>2007</v>
      </c>
      <c r="B708" t="s">
        <v>34</v>
      </c>
      <c r="C708" t="s">
        <v>185</v>
      </c>
      <c r="D708">
        <v>34</v>
      </c>
    </row>
    <row r="709" spans="1:4" x14ac:dyDescent="0.35">
      <c r="A709">
        <v>2007</v>
      </c>
      <c r="B709" t="s">
        <v>34</v>
      </c>
      <c r="C709" t="s">
        <v>186</v>
      </c>
      <c r="D709">
        <v>15</v>
      </c>
    </row>
    <row r="710" spans="1:4" x14ac:dyDescent="0.35">
      <c r="A710">
        <v>2007</v>
      </c>
      <c r="B710" t="s">
        <v>33</v>
      </c>
      <c r="C710" t="s">
        <v>187</v>
      </c>
      <c r="D710">
        <v>45</v>
      </c>
    </row>
    <row r="711" spans="1:4" x14ac:dyDescent="0.35">
      <c r="A711">
        <v>2007</v>
      </c>
      <c r="B711" t="s">
        <v>34</v>
      </c>
      <c r="C711" t="s">
        <v>188</v>
      </c>
      <c r="D711">
        <v>117</v>
      </c>
    </row>
    <row r="712" spans="1:4" x14ac:dyDescent="0.35">
      <c r="A712">
        <v>2007</v>
      </c>
      <c r="B712" t="s">
        <v>33</v>
      </c>
      <c r="C712" t="s">
        <v>189</v>
      </c>
      <c r="D712">
        <v>43</v>
      </c>
    </row>
    <row r="713" spans="1:4" x14ac:dyDescent="0.35">
      <c r="A713">
        <v>2007</v>
      </c>
      <c r="B713" t="s">
        <v>37</v>
      </c>
      <c r="C713" t="s">
        <v>190</v>
      </c>
      <c r="D713">
        <v>27</v>
      </c>
    </row>
    <row r="714" spans="1:4" x14ac:dyDescent="0.35">
      <c r="A714">
        <v>2007</v>
      </c>
      <c r="B714" t="s">
        <v>36</v>
      </c>
      <c r="C714" t="s">
        <v>191</v>
      </c>
      <c r="D714">
        <v>210</v>
      </c>
    </row>
    <row r="715" spans="1:4" x14ac:dyDescent="0.35">
      <c r="A715">
        <v>2007</v>
      </c>
      <c r="B715" t="s">
        <v>33</v>
      </c>
      <c r="C715" t="s">
        <v>192</v>
      </c>
      <c r="D715">
        <v>60</v>
      </c>
    </row>
    <row r="716" spans="1:4" x14ac:dyDescent="0.35">
      <c r="A716">
        <v>2007</v>
      </c>
      <c r="B716" t="s">
        <v>34</v>
      </c>
      <c r="C716" t="s">
        <v>193</v>
      </c>
      <c r="D716">
        <v>221</v>
      </c>
    </row>
    <row r="717" spans="1:4" x14ac:dyDescent="0.35">
      <c r="A717">
        <v>2007</v>
      </c>
      <c r="B717" t="s">
        <v>34</v>
      </c>
      <c r="C717" t="s">
        <v>194</v>
      </c>
      <c r="D717">
        <v>9</v>
      </c>
    </row>
    <row r="718" spans="1:4" x14ac:dyDescent="0.35">
      <c r="A718">
        <v>2007</v>
      </c>
      <c r="B718" t="s">
        <v>36</v>
      </c>
      <c r="C718" t="s">
        <v>372</v>
      </c>
      <c r="D718">
        <v>3</v>
      </c>
    </row>
    <row r="719" spans="1:4" x14ac:dyDescent="0.35">
      <c r="A719">
        <v>2007</v>
      </c>
      <c r="B719" t="s">
        <v>33</v>
      </c>
      <c r="C719" t="s">
        <v>195</v>
      </c>
      <c r="D719">
        <v>49</v>
      </c>
    </row>
    <row r="720" spans="1:4" x14ac:dyDescent="0.35">
      <c r="A720">
        <v>2007</v>
      </c>
      <c r="B720" t="s">
        <v>35</v>
      </c>
      <c r="C720" t="s">
        <v>196</v>
      </c>
      <c r="D720">
        <v>177</v>
      </c>
    </row>
    <row r="721" spans="1:4" x14ac:dyDescent="0.35">
      <c r="A721">
        <v>2007</v>
      </c>
      <c r="B721" t="s">
        <v>34</v>
      </c>
      <c r="C721" t="s">
        <v>197</v>
      </c>
      <c r="D721">
        <v>8</v>
      </c>
    </row>
    <row r="722" spans="1:4" x14ac:dyDescent="0.35">
      <c r="A722">
        <v>2007</v>
      </c>
      <c r="B722" t="s">
        <v>35</v>
      </c>
      <c r="C722" t="s">
        <v>198</v>
      </c>
      <c r="D722">
        <v>169</v>
      </c>
    </row>
    <row r="723" spans="1:4" x14ac:dyDescent="0.35">
      <c r="A723">
        <v>2007</v>
      </c>
      <c r="B723" t="s">
        <v>39</v>
      </c>
      <c r="C723" t="s">
        <v>39</v>
      </c>
      <c r="D723">
        <v>68</v>
      </c>
    </row>
    <row r="724" spans="1:4" x14ac:dyDescent="0.35">
      <c r="A724">
        <v>2007</v>
      </c>
      <c r="B724" t="s">
        <v>38</v>
      </c>
      <c r="C724" t="s">
        <v>199</v>
      </c>
      <c r="D724">
        <v>109</v>
      </c>
    </row>
    <row r="725" spans="1:4" x14ac:dyDescent="0.35">
      <c r="A725">
        <v>2007</v>
      </c>
      <c r="B725" t="s">
        <v>34</v>
      </c>
      <c r="C725" t="s">
        <v>200</v>
      </c>
      <c r="D725">
        <v>96</v>
      </c>
    </row>
    <row r="726" spans="1:4" x14ac:dyDescent="0.35">
      <c r="A726">
        <v>2007</v>
      </c>
      <c r="B726" t="s">
        <v>38</v>
      </c>
      <c r="C726" t="s">
        <v>19</v>
      </c>
      <c r="D726">
        <v>314</v>
      </c>
    </row>
    <row r="727" spans="1:4" x14ac:dyDescent="0.35">
      <c r="A727">
        <v>2007</v>
      </c>
      <c r="B727" t="s">
        <v>34</v>
      </c>
      <c r="C727" t="s">
        <v>201</v>
      </c>
      <c r="D727">
        <v>212</v>
      </c>
    </row>
    <row r="728" spans="1:4" x14ac:dyDescent="0.35">
      <c r="A728">
        <v>2007</v>
      </c>
      <c r="B728" t="s">
        <v>34</v>
      </c>
      <c r="C728" t="s">
        <v>202</v>
      </c>
      <c r="D728">
        <v>106</v>
      </c>
    </row>
    <row r="729" spans="1:4" x14ac:dyDescent="0.35">
      <c r="A729">
        <v>2007</v>
      </c>
      <c r="B729" t="s">
        <v>33</v>
      </c>
      <c r="C729" t="s">
        <v>203</v>
      </c>
      <c r="D729">
        <v>25</v>
      </c>
    </row>
    <row r="730" spans="1:4" x14ac:dyDescent="0.35">
      <c r="A730">
        <v>2007</v>
      </c>
      <c r="B730" t="s">
        <v>33</v>
      </c>
      <c r="C730" t="s">
        <v>204</v>
      </c>
      <c r="D730">
        <v>44</v>
      </c>
    </row>
    <row r="731" spans="1:4" x14ac:dyDescent="0.35">
      <c r="A731">
        <v>2008</v>
      </c>
      <c r="B731" t="s">
        <v>34</v>
      </c>
      <c r="C731" t="s">
        <v>40</v>
      </c>
      <c r="D731">
        <v>74</v>
      </c>
    </row>
    <row r="732" spans="1:4" x14ac:dyDescent="0.35">
      <c r="A732">
        <v>2008</v>
      </c>
      <c r="B732" t="s">
        <v>35</v>
      </c>
      <c r="C732" t="s">
        <v>41</v>
      </c>
      <c r="D732">
        <v>362</v>
      </c>
    </row>
    <row r="733" spans="1:4" x14ac:dyDescent="0.35">
      <c r="A733">
        <v>2008</v>
      </c>
      <c r="B733" t="s">
        <v>33</v>
      </c>
      <c r="C733" t="s">
        <v>42</v>
      </c>
      <c r="D733">
        <v>59</v>
      </c>
    </row>
    <row r="734" spans="1:4" x14ac:dyDescent="0.35">
      <c r="A734">
        <v>2008</v>
      </c>
      <c r="C734" t="s">
        <v>373</v>
      </c>
      <c r="D734">
        <v>83</v>
      </c>
    </row>
    <row r="735" spans="1:4" x14ac:dyDescent="0.35">
      <c r="A735">
        <v>2008</v>
      </c>
      <c r="B735" t="s">
        <v>33</v>
      </c>
      <c r="C735" t="s">
        <v>43</v>
      </c>
      <c r="D735">
        <v>31</v>
      </c>
    </row>
    <row r="736" spans="1:4" x14ac:dyDescent="0.35">
      <c r="A736">
        <v>2008</v>
      </c>
      <c r="B736" t="s">
        <v>36</v>
      </c>
      <c r="C736" t="s">
        <v>44</v>
      </c>
      <c r="D736">
        <v>69</v>
      </c>
    </row>
    <row r="737" spans="1:4" x14ac:dyDescent="0.35">
      <c r="A737">
        <v>2008</v>
      </c>
      <c r="B737" t="s">
        <v>38</v>
      </c>
      <c r="C737" t="s">
        <v>45</v>
      </c>
      <c r="D737">
        <v>440</v>
      </c>
    </row>
    <row r="738" spans="1:4" x14ac:dyDescent="0.35">
      <c r="A738">
        <v>2008</v>
      </c>
      <c r="B738" t="s">
        <v>34</v>
      </c>
      <c r="C738" t="s">
        <v>46</v>
      </c>
      <c r="D738">
        <v>235</v>
      </c>
    </row>
    <row r="739" spans="1:4" x14ac:dyDescent="0.35">
      <c r="A739">
        <v>2008</v>
      </c>
      <c r="B739" t="s">
        <v>37</v>
      </c>
      <c r="C739" t="s">
        <v>47</v>
      </c>
      <c r="D739">
        <v>52</v>
      </c>
    </row>
    <row r="740" spans="1:4" x14ac:dyDescent="0.35">
      <c r="A740">
        <v>2008</v>
      </c>
      <c r="B740" t="s">
        <v>35</v>
      </c>
      <c r="C740" t="s">
        <v>48</v>
      </c>
      <c r="D740">
        <v>12</v>
      </c>
    </row>
    <row r="741" spans="1:4" x14ac:dyDescent="0.35">
      <c r="A741">
        <v>2008</v>
      </c>
      <c r="B741" t="s">
        <v>34</v>
      </c>
      <c r="C741" t="s">
        <v>49</v>
      </c>
      <c r="D741">
        <v>30</v>
      </c>
    </row>
    <row r="742" spans="1:4" x14ac:dyDescent="0.35">
      <c r="A742">
        <v>2008</v>
      </c>
      <c r="B742" t="s">
        <v>36</v>
      </c>
      <c r="C742" t="s">
        <v>50</v>
      </c>
      <c r="D742">
        <v>269</v>
      </c>
    </row>
    <row r="743" spans="1:4" x14ac:dyDescent="0.35">
      <c r="A743">
        <v>2008</v>
      </c>
      <c r="B743" t="s">
        <v>34</v>
      </c>
      <c r="C743" t="s">
        <v>51</v>
      </c>
      <c r="D743">
        <v>4</v>
      </c>
    </row>
    <row r="744" spans="1:4" x14ac:dyDescent="0.35">
      <c r="A744">
        <v>2008</v>
      </c>
      <c r="B744" t="s">
        <v>34</v>
      </c>
      <c r="C744" t="s">
        <v>52</v>
      </c>
      <c r="D744">
        <v>278</v>
      </c>
    </row>
    <row r="745" spans="1:4" x14ac:dyDescent="0.35">
      <c r="A745">
        <v>2008</v>
      </c>
      <c r="B745" t="s">
        <v>36</v>
      </c>
      <c r="C745" t="s">
        <v>53</v>
      </c>
      <c r="D745">
        <v>90</v>
      </c>
    </row>
    <row r="746" spans="1:4" x14ac:dyDescent="0.35">
      <c r="A746">
        <v>2008</v>
      </c>
      <c r="B746" t="s">
        <v>35</v>
      </c>
      <c r="C746" t="s">
        <v>54</v>
      </c>
      <c r="D746">
        <v>52</v>
      </c>
    </row>
    <row r="747" spans="1:4" x14ac:dyDescent="0.35">
      <c r="A747">
        <v>2008</v>
      </c>
      <c r="B747" t="s">
        <v>35</v>
      </c>
      <c r="C747" t="s">
        <v>55</v>
      </c>
      <c r="D747">
        <v>16</v>
      </c>
    </row>
    <row r="748" spans="1:4" x14ac:dyDescent="0.35">
      <c r="A748">
        <v>2008</v>
      </c>
      <c r="B748" t="s">
        <v>36</v>
      </c>
      <c r="C748" t="s">
        <v>56</v>
      </c>
      <c r="D748">
        <v>348</v>
      </c>
    </row>
    <row r="749" spans="1:4" x14ac:dyDescent="0.35">
      <c r="A749">
        <v>2008</v>
      </c>
      <c r="B749" t="s">
        <v>33</v>
      </c>
      <c r="C749" t="s">
        <v>57</v>
      </c>
      <c r="D749">
        <v>17</v>
      </c>
    </row>
    <row r="750" spans="1:4" x14ac:dyDescent="0.35">
      <c r="A750">
        <v>2008</v>
      </c>
      <c r="B750" t="s">
        <v>36</v>
      </c>
      <c r="C750" t="s">
        <v>363</v>
      </c>
      <c r="D750">
        <v>14</v>
      </c>
    </row>
    <row r="751" spans="1:4" x14ac:dyDescent="0.35">
      <c r="A751">
        <v>2008</v>
      </c>
      <c r="B751" t="s">
        <v>38</v>
      </c>
      <c r="C751" t="s">
        <v>59</v>
      </c>
      <c r="D751">
        <v>328</v>
      </c>
    </row>
    <row r="752" spans="1:4" x14ac:dyDescent="0.35">
      <c r="A752">
        <v>2008</v>
      </c>
      <c r="B752" t="s">
        <v>35</v>
      </c>
      <c r="C752" t="s">
        <v>60</v>
      </c>
      <c r="D752">
        <v>108</v>
      </c>
    </row>
    <row r="753" spans="1:4" x14ac:dyDescent="0.35">
      <c r="A753">
        <v>2008</v>
      </c>
      <c r="B753" t="s">
        <v>38</v>
      </c>
      <c r="C753" t="s">
        <v>21</v>
      </c>
      <c r="D753">
        <v>3889</v>
      </c>
    </row>
    <row r="754" spans="1:4" x14ac:dyDescent="0.35">
      <c r="A754">
        <v>2008</v>
      </c>
      <c r="B754" t="s">
        <v>36</v>
      </c>
      <c r="C754" t="s">
        <v>364</v>
      </c>
      <c r="D754">
        <v>8</v>
      </c>
    </row>
    <row r="755" spans="1:4" x14ac:dyDescent="0.35">
      <c r="A755">
        <v>2008</v>
      </c>
      <c r="B755" t="s">
        <v>35</v>
      </c>
      <c r="C755" t="s">
        <v>62</v>
      </c>
      <c r="D755">
        <v>121</v>
      </c>
    </row>
    <row r="756" spans="1:4" x14ac:dyDescent="0.35">
      <c r="A756">
        <v>2008</v>
      </c>
      <c r="B756" t="s">
        <v>33</v>
      </c>
      <c r="C756" t="s">
        <v>63</v>
      </c>
      <c r="D756">
        <v>31</v>
      </c>
    </row>
    <row r="757" spans="1:4" x14ac:dyDescent="0.35">
      <c r="A757">
        <v>2008</v>
      </c>
      <c r="B757" t="s">
        <v>34</v>
      </c>
      <c r="C757" t="s">
        <v>64</v>
      </c>
      <c r="D757">
        <v>53</v>
      </c>
    </row>
    <row r="758" spans="1:4" x14ac:dyDescent="0.35">
      <c r="A758">
        <v>2008</v>
      </c>
      <c r="B758" t="s">
        <v>33</v>
      </c>
      <c r="C758" t="s">
        <v>65</v>
      </c>
      <c r="D758">
        <v>12</v>
      </c>
    </row>
    <row r="759" spans="1:4" x14ac:dyDescent="0.35">
      <c r="A759">
        <v>2008</v>
      </c>
      <c r="B759" t="s">
        <v>33</v>
      </c>
      <c r="C759" t="s">
        <v>66</v>
      </c>
      <c r="D759">
        <v>344</v>
      </c>
    </row>
    <row r="760" spans="1:4" x14ac:dyDescent="0.35">
      <c r="A760">
        <v>2008</v>
      </c>
      <c r="B760" t="s">
        <v>34</v>
      </c>
      <c r="C760" t="s">
        <v>67</v>
      </c>
      <c r="D760">
        <v>153</v>
      </c>
    </row>
    <row r="761" spans="1:4" x14ac:dyDescent="0.35">
      <c r="A761">
        <v>2008</v>
      </c>
      <c r="B761" t="s">
        <v>33</v>
      </c>
      <c r="C761" t="s">
        <v>68</v>
      </c>
      <c r="D761">
        <v>1378</v>
      </c>
    </row>
    <row r="762" spans="1:4" x14ac:dyDescent="0.35">
      <c r="A762">
        <v>2008</v>
      </c>
      <c r="B762" t="s">
        <v>36</v>
      </c>
      <c r="C762" t="s">
        <v>69</v>
      </c>
      <c r="D762">
        <v>127</v>
      </c>
    </row>
    <row r="763" spans="1:4" x14ac:dyDescent="0.35">
      <c r="A763">
        <v>2008</v>
      </c>
      <c r="B763" t="s">
        <v>36</v>
      </c>
      <c r="C763" t="s">
        <v>365</v>
      </c>
      <c r="D763">
        <v>6</v>
      </c>
    </row>
    <row r="764" spans="1:4" x14ac:dyDescent="0.35">
      <c r="A764">
        <v>2008</v>
      </c>
      <c r="B764" t="s">
        <v>33</v>
      </c>
      <c r="C764" t="s">
        <v>70</v>
      </c>
      <c r="D764">
        <v>9</v>
      </c>
    </row>
    <row r="765" spans="1:4" x14ac:dyDescent="0.35">
      <c r="A765">
        <v>2008</v>
      </c>
      <c r="B765" t="s">
        <v>33</v>
      </c>
      <c r="C765" t="s">
        <v>71</v>
      </c>
      <c r="D765">
        <v>14</v>
      </c>
    </row>
    <row r="766" spans="1:4" x14ac:dyDescent="0.35">
      <c r="A766">
        <v>2008</v>
      </c>
      <c r="B766" t="s">
        <v>38</v>
      </c>
      <c r="C766" t="s">
        <v>72</v>
      </c>
      <c r="D766">
        <v>255</v>
      </c>
    </row>
    <row r="767" spans="1:4" x14ac:dyDescent="0.35">
      <c r="A767">
        <v>2008</v>
      </c>
      <c r="B767" t="s">
        <v>34</v>
      </c>
      <c r="C767" t="s">
        <v>73</v>
      </c>
      <c r="D767">
        <v>2296</v>
      </c>
    </row>
    <row r="768" spans="1:4" x14ac:dyDescent="0.35">
      <c r="A768">
        <v>2008</v>
      </c>
      <c r="B768" t="s">
        <v>38</v>
      </c>
      <c r="C768" t="s">
        <v>20</v>
      </c>
      <c r="D768">
        <v>3619</v>
      </c>
    </row>
    <row r="769" spans="1:4" x14ac:dyDescent="0.35">
      <c r="A769">
        <v>2008</v>
      </c>
      <c r="B769" t="s">
        <v>33</v>
      </c>
      <c r="C769" t="s">
        <v>74</v>
      </c>
      <c r="D769">
        <v>26</v>
      </c>
    </row>
    <row r="770" spans="1:4" x14ac:dyDescent="0.35">
      <c r="A770">
        <v>2008</v>
      </c>
      <c r="B770" t="s">
        <v>33</v>
      </c>
      <c r="C770" t="s">
        <v>75</v>
      </c>
      <c r="D770">
        <v>59</v>
      </c>
    </row>
    <row r="771" spans="1:4" x14ac:dyDescent="0.35">
      <c r="A771">
        <v>2008</v>
      </c>
      <c r="B771" t="s">
        <v>36</v>
      </c>
      <c r="C771" t="s">
        <v>76</v>
      </c>
      <c r="D771">
        <v>629</v>
      </c>
    </row>
    <row r="772" spans="1:4" x14ac:dyDescent="0.35">
      <c r="A772">
        <v>2008</v>
      </c>
      <c r="B772" t="s">
        <v>33</v>
      </c>
      <c r="C772" t="s">
        <v>77</v>
      </c>
      <c r="D772">
        <v>118</v>
      </c>
    </row>
    <row r="773" spans="1:4" x14ac:dyDescent="0.35">
      <c r="A773">
        <v>2008</v>
      </c>
      <c r="B773" t="s">
        <v>35</v>
      </c>
      <c r="C773" t="s">
        <v>78</v>
      </c>
      <c r="D773">
        <v>23</v>
      </c>
    </row>
    <row r="774" spans="1:4" x14ac:dyDescent="0.35">
      <c r="A774">
        <v>2008</v>
      </c>
      <c r="B774" t="s">
        <v>36</v>
      </c>
      <c r="C774" t="s">
        <v>79</v>
      </c>
      <c r="D774">
        <v>6676</v>
      </c>
    </row>
    <row r="775" spans="1:4" x14ac:dyDescent="0.35">
      <c r="A775">
        <v>2008</v>
      </c>
      <c r="B775" t="s">
        <v>35</v>
      </c>
      <c r="C775" t="s">
        <v>81</v>
      </c>
      <c r="D775">
        <v>96</v>
      </c>
    </row>
    <row r="776" spans="1:4" x14ac:dyDescent="0.35">
      <c r="A776">
        <v>2008</v>
      </c>
      <c r="B776" t="s">
        <v>35</v>
      </c>
      <c r="C776" t="s">
        <v>214</v>
      </c>
      <c r="D776">
        <v>29</v>
      </c>
    </row>
    <row r="777" spans="1:4" x14ac:dyDescent="0.35">
      <c r="A777">
        <v>2008</v>
      </c>
      <c r="B777" t="s">
        <v>35</v>
      </c>
      <c r="C777" t="s">
        <v>82</v>
      </c>
      <c r="D777">
        <v>17</v>
      </c>
    </row>
    <row r="778" spans="1:4" x14ac:dyDescent="0.35">
      <c r="A778">
        <v>2008</v>
      </c>
      <c r="B778" t="s">
        <v>36</v>
      </c>
      <c r="C778" t="s">
        <v>84</v>
      </c>
      <c r="D778">
        <v>72</v>
      </c>
    </row>
    <row r="779" spans="1:4" x14ac:dyDescent="0.35">
      <c r="A779">
        <v>2008</v>
      </c>
      <c r="B779" t="s">
        <v>36</v>
      </c>
      <c r="C779" t="s">
        <v>85</v>
      </c>
      <c r="D779">
        <v>5470</v>
      </c>
    </row>
    <row r="780" spans="1:4" x14ac:dyDescent="0.35">
      <c r="A780">
        <v>2008</v>
      </c>
      <c r="B780" t="s">
        <v>38</v>
      </c>
      <c r="C780" t="s">
        <v>86</v>
      </c>
      <c r="D780">
        <v>3676</v>
      </c>
    </row>
    <row r="781" spans="1:4" x14ac:dyDescent="0.35">
      <c r="A781">
        <v>2008</v>
      </c>
      <c r="B781" t="s">
        <v>33</v>
      </c>
      <c r="C781" t="s">
        <v>87</v>
      </c>
      <c r="D781">
        <v>321</v>
      </c>
    </row>
    <row r="782" spans="1:4" x14ac:dyDescent="0.35">
      <c r="A782">
        <v>2008</v>
      </c>
      <c r="B782" t="s">
        <v>36</v>
      </c>
      <c r="C782" t="s">
        <v>16</v>
      </c>
      <c r="D782">
        <v>27153</v>
      </c>
    </row>
    <row r="783" spans="1:4" x14ac:dyDescent="0.35">
      <c r="A783">
        <v>2008</v>
      </c>
      <c r="B783" t="s">
        <v>33</v>
      </c>
      <c r="C783" t="s">
        <v>88</v>
      </c>
      <c r="D783">
        <v>4</v>
      </c>
    </row>
    <row r="784" spans="1:4" x14ac:dyDescent="0.35">
      <c r="A784">
        <v>2008</v>
      </c>
      <c r="B784" t="s">
        <v>33</v>
      </c>
      <c r="C784" t="s">
        <v>89</v>
      </c>
      <c r="D784">
        <v>217</v>
      </c>
    </row>
    <row r="785" spans="1:4" x14ac:dyDescent="0.35">
      <c r="A785">
        <v>2008</v>
      </c>
      <c r="B785" t="s">
        <v>35</v>
      </c>
      <c r="C785" t="s">
        <v>90</v>
      </c>
      <c r="D785">
        <v>34</v>
      </c>
    </row>
    <row r="786" spans="1:4" x14ac:dyDescent="0.35">
      <c r="A786">
        <v>2008</v>
      </c>
      <c r="B786" t="s">
        <v>33</v>
      </c>
      <c r="C786" t="s">
        <v>91</v>
      </c>
      <c r="D786">
        <v>218</v>
      </c>
    </row>
    <row r="787" spans="1:4" x14ac:dyDescent="0.35">
      <c r="A787">
        <v>2008</v>
      </c>
      <c r="B787" t="s">
        <v>37</v>
      </c>
      <c r="C787" t="s">
        <v>92</v>
      </c>
      <c r="D787">
        <v>128</v>
      </c>
    </row>
    <row r="788" spans="1:4" x14ac:dyDescent="0.35">
      <c r="A788">
        <v>2008</v>
      </c>
      <c r="B788" t="s">
        <v>35</v>
      </c>
      <c r="C788" t="s">
        <v>94</v>
      </c>
      <c r="D788">
        <v>124</v>
      </c>
    </row>
    <row r="789" spans="1:4" x14ac:dyDescent="0.35">
      <c r="A789">
        <v>2008</v>
      </c>
      <c r="B789" t="s">
        <v>33</v>
      </c>
      <c r="C789" t="s">
        <v>95</v>
      </c>
      <c r="D789">
        <v>7</v>
      </c>
    </row>
    <row r="790" spans="1:4" x14ac:dyDescent="0.35">
      <c r="A790">
        <v>2008</v>
      </c>
      <c r="B790" t="s">
        <v>33</v>
      </c>
      <c r="C790" t="s">
        <v>96</v>
      </c>
      <c r="D790">
        <v>126</v>
      </c>
    </row>
    <row r="791" spans="1:4" x14ac:dyDescent="0.35">
      <c r="A791">
        <v>2008</v>
      </c>
      <c r="B791" t="s">
        <v>34</v>
      </c>
      <c r="C791" t="s">
        <v>8</v>
      </c>
      <c r="D791">
        <v>105</v>
      </c>
    </row>
    <row r="792" spans="1:4" x14ac:dyDescent="0.35">
      <c r="A792">
        <v>2008</v>
      </c>
      <c r="B792" t="s">
        <v>35</v>
      </c>
      <c r="C792" t="s">
        <v>97</v>
      </c>
      <c r="D792">
        <v>201</v>
      </c>
    </row>
    <row r="793" spans="1:4" x14ac:dyDescent="0.35">
      <c r="A793">
        <v>2008</v>
      </c>
      <c r="B793" t="s">
        <v>33</v>
      </c>
      <c r="C793" t="s">
        <v>98</v>
      </c>
      <c r="D793">
        <v>414</v>
      </c>
    </row>
    <row r="794" spans="1:4" x14ac:dyDescent="0.35">
      <c r="A794">
        <v>2008</v>
      </c>
      <c r="B794" t="s">
        <v>35</v>
      </c>
      <c r="C794" t="s">
        <v>99</v>
      </c>
      <c r="D794">
        <v>61</v>
      </c>
    </row>
    <row r="795" spans="1:4" x14ac:dyDescent="0.35">
      <c r="A795">
        <v>2008</v>
      </c>
      <c r="B795" t="s">
        <v>36</v>
      </c>
      <c r="C795" t="s">
        <v>100</v>
      </c>
      <c r="D795">
        <v>56</v>
      </c>
    </row>
    <row r="796" spans="1:4" x14ac:dyDescent="0.35">
      <c r="A796">
        <v>2008</v>
      </c>
      <c r="B796" t="s">
        <v>37</v>
      </c>
      <c r="C796" t="s">
        <v>367</v>
      </c>
      <c r="D796">
        <v>24</v>
      </c>
    </row>
    <row r="797" spans="1:4" x14ac:dyDescent="0.35">
      <c r="A797">
        <v>2008</v>
      </c>
      <c r="B797" t="s">
        <v>36</v>
      </c>
      <c r="C797" t="s">
        <v>15</v>
      </c>
      <c r="D797">
        <v>33690</v>
      </c>
    </row>
    <row r="798" spans="1:4" x14ac:dyDescent="0.35">
      <c r="A798">
        <v>2008</v>
      </c>
      <c r="B798" t="s">
        <v>33</v>
      </c>
      <c r="C798" t="s">
        <v>101</v>
      </c>
      <c r="D798">
        <v>163</v>
      </c>
    </row>
    <row r="799" spans="1:4" x14ac:dyDescent="0.35">
      <c r="A799">
        <v>2008</v>
      </c>
      <c r="B799" t="s">
        <v>33</v>
      </c>
      <c r="C799" t="s">
        <v>102</v>
      </c>
      <c r="D799">
        <v>7</v>
      </c>
    </row>
    <row r="800" spans="1:4" x14ac:dyDescent="0.35">
      <c r="A800">
        <v>2008</v>
      </c>
      <c r="B800" t="s">
        <v>38</v>
      </c>
      <c r="C800" t="s">
        <v>103</v>
      </c>
      <c r="D800">
        <v>508</v>
      </c>
    </row>
    <row r="801" spans="1:4" x14ac:dyDescent="0.35">
      <c r="A801">
        <v>2008</v>
      </c>
      <c r="B801" t="s">
        <v>36</v>
      </c>
      <c r="C801" t="s">
        <v>104</v>
      </c>
      <c r="D801">
        <v>2299</v>
      </c>
    </row>
    <row r="802" spans="1:4" x14ac:dyDescent="0.35">
      <c r="A802">
        <v>2008</v>
      </c>
      <c r="B802" t="s">
        <v>36</v>
      </c>
      <c r="C802" t="s">
        <v>17</v>
      </c>
      <c r="D802">
        <v>33777</v>
      </c>
    </row>
    <row r="803" spans="1:4" x14ac:dyDescent="0.35">
      <c r="A803">
        <v>2008</v>
      </c>
      <c r="B803" t="s">
        <v>34</v>
      </c>
      <c r="C803" t="s">
        <v>368</v>
      </c>
      <c r="D803">
        <v>60</v>
      </c>
    </row>
    <row r="804" spans="1:4" x14ac:dyDescent="0.35">
      <c r="A804">
        <v>2008</v>
      </c>
      <c r="B804" t="s">
        <v>35</v>
      </c>
      <c r="C804" t="s">
        <v>105</v>
      </c>
      <c r="D804">
        <v>80</v>
      </c>
    </row>
    <row r="805" spans="1:4" x14ac:dyDescent="0.35">
      <c r="A805">
        <v>2008</v>
      </c>
      <c r="B805" t="s">
        <v>35</v>
      </c>
      <c r="C805" t="s">
        <v>106</v>
      </c>
      <c r="D805">
        <v>8</v>
      </c>
    </row>
    <row r="806" spans="1:4" x14ac:dyDescent="0.35">
      <c r="A806">
        <v>2008</v>
      </c>
      <c r="B806" t="s">
        <v>34</v>
      </c>
      <c r="C806" t="s">
        <v>22</v>
      </c>
      <c r="D806">
        <v>1218</v>
      </c>
    </row>
    <row r="807" spans="1:4" x14ac:dyDescent="0.35">
      <c r="A807">
        <v>2008</v>
      </c>
      <c r="B807" t="s">
        <v>34</v>
      </c>
      <c r="C807" t="s">
        <v>107</v>
      </c>
      <c r="D807">
        <v>632</v>
      </c>
    </row>
    <row r="808" spans="1:4" x14ac:dyDescent="0.35">
      <c r="A808">
        <v>2008</v>
      </c>
      <c r="B808" t="s">
        <v>34</v>
      </c>
      <c r="C808" t="s">
        <v>108</v>
      </c>
      <c r="D808">
        <v>239</v>
      </c>
    </row>
    <row r="809" spans="1:4" x14ac:dyDescent="0.35">
      <c r="A809">
        <v>2008</v>
      </c>
      <c r="B809" t="s">
        <v>34</v>
      </c>
      <c r="C809" t="s">
        <v>109</v>
      </c>
      <c r="D809">
        <v>222</v>
      </c>
    </row>
    <row r="810" spans="1:4" x14ac:dyDescent="0.35">
      <c r="A810">
        <v>2008</v>
      </c>
      <c r="B810" t="s">
        <v>35</v>
      </c>
      <c r="C810" t="s">
        <v>110</v>
      </c>
      <c r="D810">
        <v>94</v>
      </c>
    </row>
    <row r="811" spans="1:4" x14ac:dyDescent="0.35">
      <c r="A811">
        <v>2008</v>
      </c>
      <c r="B811" t="s">
        <v>34</v>
      </c>
      <c r="C811" t="s">
        <v>111</v>
      </c>
      <c r="D811">
        <v>298</v>
      </c>
    </row>
    <row r="812" spans="1:4" x14ac:dyDescent="0.35">
      <c r="A812">
        <v>2008</v>
      </c>
      <c r="B812" t="s">
        <v>35</v>
      </c>
      <c r="C812" t="s">
        <v>112</v>
      </c>
      <c r="D812">
        <v>201</v>
      </c>
    </row>
    <row r="813" spans="1:4" x14ac:dyDescent="0.35">
      <c r="A813">
        <v>2008</v>
      </c>
      <c r="B813" t="s">
        <v>36</v>
      </c>
      <c r="C813" t="s">
        <v>113</v>
      </c>
      <c r="D813">
        <v>3068</v>
      </c>
    </row>
    <row r="814" spans="1:4" x14ac:dyDescent="0.35">
      <c r="A814">
        <v>2008</v>
      </c>
      <c r="B814" t="s">
        <v>34</v>
      </c>
      <c r="C814" t="s">
        <v>114</v>
      </c>
      <c r="D814">
        <v>68</v>
      </c>
    </row>
    <row r="815" spans="1:4" x14ac:dyDescent="0.35">
      <c r="A815">
        <v>2008</v>
      </c>
      <c r="B815" t="s">
        <v>34</v>
      </c>
      <c r="C815" t="s">
        <v>115</v>
      </c>
      <c r="D815">
        <v>437</v>
      </c>
    </row>
    <row r="816" spans="1:4" x14ac:dyDescent="0.35">
      <c r="A816">
        <v>2008</v>
      </c>
      <c r="B816" t="s">
        <v>34</v>
      </c>
      <c r="C816" t="s">
        <v>116</v>
      </c>
      <c r="D816">
        <v>78</v>
      </c>
    </row>
    <row r="817" spans="1:4" x14ac:dyDescent="0.35">
      <c r="A817">
        <v>2008</v>
      </c>
      <c r="B817" t="s">
        <v>33</v>
      </c>
      <c r="C817" t="s">
        <v>117</v>
      </c>
      <c r="D817">
        <v>325</v>
      </c>
    </row>
    <row r="818" spans="1:4" x14ac:dyDescent="0.35">
      <c r="A818">
        <v>2008</v>
      </c>
      <c r="B818" t="s">
        <v>34</v>
      </c>
      <c r="C818" t="s">
        <v>118</v>
      </c>
      <c r="D818">
        <v>545</v>
      </c>
    </row>
    <row r="819" spans="1:4" x14ac:dyDescent="0.35">
      <c r="A819">
        <v>2008</v>
      </c>
      <c r="B819" t="s">
        <v>35</v>
      </c>
      <c r="C819" t="s">
        <v>119</v>
      </c>
      <c r="D819" t="s">
        <v>205</v>
      </c>
    </row>
    <row r="820" spans="1:4" x14ac:dyDescent="0.35">
      <c r="A820">
        <v>2008</v>
      </c>
      <c r="B820" t="s">
        <v>34</v>
      </c>
      <c r="C820" t="s">
        <v>120</v>
      </c>
      <c r="D820">
        <v>27</v>
      </c>
    </row>
    <row r="821" spans="1:4" x14ac:dyDescent="0.35">
      <c r="A821">
        <v>2008</v>
      </c>
      <c r="B821" t="s">
        <v>34</v>
      </c>
      <c r="C821" t="s">
        <v>121</v>
      </c>
      <c r="D821">
        <v>20</v>
      </c>
    </row>
    <row r="822" spans="1:4" x14ac:dyDescent="0.35">
      <c r="A822">
        <v>2008</v>
      </c>
      <c r="B822" t="s">
        <v>34</v>
      </c>
      <c r="C822" t="s">
        <v>122</v>
      </c>
      <c r="D822">
        <v>712</v>
      </c>
    </row>
    <row r="823" spans="1:4" x14ac:dyDescent="0.35">
      <c r="A823">
        <v>2008</v>
      </c>
      <c r="B823" t="s">
        <v>35</v>
      </c>
      <c r="C823" t="s">
        <v>123</v>
      </c>
      <c r="D823">
        <v>29</v>
      </c>
    </row>
    <row r="824" spans="1:4" x14ac:dyDescent="0.35">
      <c r="A824">
        <v>2008</v>
      </c>
      <c r="B824" t="s">
        <v>34</v>
      </c>
      <c r="C824" t="s">
        <v>124</v>
      </c>
      <c r="D824">
        <v>236</v>
      </c>
    </row>
    <row r="825" spans="1:4" x14ac:dyDescent="0.35">
      <c r="A825">
        <v>2008</v>
      </c>
      <c r="B825" t="s">
        <v>33</v>
      </c>
      <c r="C825" t="s">
        <v>125</v>
      </c>
      <c r="D825">
        <v>271</v>
      </c>
    </row>
    <row r="826" spans="1:4" x14ac:dyDescent="0.35">
      <c r="A826">
        <v>2008</v>
      </c>
      <c r="B826" t="s">
        <v>33</v>
      </c>
      <c r="C826" t="s">
        <v>126</v>
      </c>
      <c r="D826">
        <v>21</v>
      </c>
    </row>
    <row r="827" spans="1:4" x14ac:dyDescent="0.35">
      <c r="A827">
        <v>2008</v>
      </c>
      <c r="B827" t="s">
        <v>35</v>
      </c>
      <c r="C827" t="s">
        <v>127</v>
      </c>
      <c r="D827">
        <v>100</v>
      </c>
    </row>
    <row r="828" spans="1:4" x14ac:dyDescent="0.35">
      <c r="A828">
        <v>2008</v>
      </c>
      <c r="B828" t="s">
        <v>34</v>
      </c>
      <c r="C828" t="s">
        <v>369</v>
      </c>
      <c r="D828" t="s">
        <v>205</v>
      </c>
    </row>
    <row r="829" spans="1:4" x14ac:dyDescent="0.35">
      <c r="A829">
        <v>2008</v>
      </c>
      <c r="B829" t="s">
        <v>33</v>
      </c>
      <c r="C829" t="s">
        <v>130</v>
      </c>
      <c r="D829">
        <v>16</v>
      </c>
    </row>
    <row r="830" spans="1:4" x14ac:dyDescent="0.35">
      <c r="A830">
        <v>2008</v>
      </c>
      <c r="B830" t="s">
        <v>34</v>
      </c>
      <c r="C830" t="s">
        <v>131</v>
      </c>
      <c r="D830">
        <v>91</v>
      </c>
    </row>
    <row r="831" spans="1:4" x14ac:dyDescent="0.35">
      <c r="A831">
        <v>2008</v>
      </c>
      <c r="B831" t="s">
        <v>33</v>
      </c>
      <c r="C831" t="s">
        <v>132</v>
      </c>
      <c r="D831">
        <v>127</v>
      </c>
    </row>
    <row r="832" spans="1:4" x14ac:dyDescent="0.35">
      <c r="A832">
        <v>2008</v>
      </c>
      <c r="B832" t="s">
        <v>35</v>
      </c>
      <c r="C832" t="s">
        <v>133</v>
      </c>
      <c r="D832" t="s">
        <v>205</v>
      </c>
    </row>
    <row r="833" spans="1:4" x14ac:dyDescent="0.35">
      <c r="A833">
        <v>2008</v>
      </c>
      <c r="B833" t="s">
        <v>37</v>
      </c>
      <c r="C833" t="s">
        <v>134</v>
      </c>
      <c r="D833">
        <v>15</v>
      </c>
    </row>
    <row r="834" spans="1:4" x14ac:dyDescent="0.35">
      <c r="A834">
        <v>2008</v>
      </c>
      <c r="B834" t="s">
        <v>33</v>
      </c>
      <c r="C834" t="s">
        <v>135</v>
      </c>
      <c r="D834">
        <v>128</v>
      </c>
    </row>
    <row r="835" spans="1:4" x14ac:dyDescent="0.35">
      <c r="A835">
        <v>2008</v>
      </c>
      <c r="B835" t="s">
        <v>36</v>
      </c>
      <c r="C835" t="s">
        <v>14</v>
      </c>
      <c r="D835">
        <v>884043</v>
      </c>
    </row>
    <row r="836" spans="1:4" x14ac:dyDescent="0.35">
      <c r="A836">
        <v>2008</v>
      </c>
      <c r="B836" t="s">
        <v>37</v>
      </c>
      <c r="C836" t="s">
        <v>137</v>
      </c>
      <c r="D836">
        <v>83</v>
      </c>
    </row>
    <row r="837" spans="1:4" x14ac:dyDescent="0.35">
      <c r="A837">
        <v>2008</v>
      </c>
      <c r="B837" t="s">
        <v>35</v>
      </c>
      <c r="C837" t="s">
        <v>138</v>
      </c>
      <c r="D837">
        <v>82</v>
      </c>
    </row>
    <row r="838" spans="1:4" x14ac:dyDescent="0.35">
      <c r="A838">
        <v>2008</v>
      </c>
      <c r="B838" t="s">
        <v>34</v>
      </c>
      <c r="C838" t="s">
        <v>139</v>
      </c>
      <c r="D838">
        <v>80</v>
      </c>
    </row>
    <row r="839" spans="1:4" x14ac:dyDescent="0.35">
      <c r="A839">
        <v>2008</v>
      </c>
      <c r="B839" t="s">
        <v>35</v>
      </c>
      <c r="C839" t="s">
        <v>140</v>
      </c>
      <c r="D839" t="s">
        <v>205</v>
      </c>
    </row>
    <row r="840" spans="1:4" x14ac:dyDescent="0.35">
      <c r="A840">
        <v>2008</v>
      </c>
      <c r="B840" t="s">
        <v>36</v>
      </c>
      <c r="C840" t="s">
        <v>370</v>
      </c>
      <c r="D840">
        <v>10</v>
      </c>
    </row>
    <row r="841" spans="1:4" x14ac:dyDescent="0.35">
      <c r="A841">
        <v>2008</v>
      </c>
      <c r="B841" t="s">
        <v>33</v>
      </c>
      <c r="C841" t="s">
        <v>141</v>
      </c>
      <c r="D841">
        <v>227</v>
      </c>
    </row>
    <row r="842" spans="1:4" x14ac:dyDescent="0.35">
      <c r="A842">
        <v>2008</v>
      </c>
      <c r="B842" t="s">
        <v>34</v>
      </c>
      <c r="C842" t="s">
        <v>144</v>
      </c>
      <c r="D842">
        <v>102</v>
      </c>
    </row>
    <row r="843" spans="1:4" x14ac:dyDescent="0.35">
      <c r="A843">
        <v>2008</v>
      </c>
      <c r="B843" t="s">
        <v>35</v>
      </c>
      <c r="C843" t="s">
        <v>145</v>
      </c>
      <c r="D843">
        <v>59</v>
      </c>
    </row>
    <row r="844" spans="1:4" x14ac:dyDescent="0.35">
      <c r="A844">
        <v>2008</v>
      </c>
      <c r="B844" t="s">
        <v>36</v>
      </c>
      <c r="C844" t="s">
        <v>371</v>
      </c>
      <c r="D844">
        <v>15</v>
      </c>
    </row>
    <row r="845" spans="1:4" x14ac:dyDescent="0.35">
      <c r="A845">
        <v>2008</v>
      </c>
      <c r="B845" t="s">
        <v>37</v>
      </c>
      <c r="C845" t="s">
        <v>146</v>
      </c>
      <c r="D845">
        <v>45</v>
      </c>
    </row>
    <row r="846" spans="1:4" x14ac:dyDescent="0.35">
      <c r="A846">
        <v>2008</v>
      </c>
      <c r="B846" t="s">
        <v>36</v>
      </c>
      <c r="C846" t="s">
        <v>147</v>
      </c>
      <c r="D846">
        <v>2801</v>
      </c>
    </row>
    <row r="847" spans="1:4" x14ac:dyDescent="0.35">
      <c r="A847">
        <v>2008</v>
      </c>
      <c r="B847" t="s">
        <v>33</v>
      </c>
      <c r="C847" t="s">
        <v>148</v>
      </c>
      <c r="D847">
        <v>87</v>
      </c>
    </row>
    <row r="848" spans="1:4" x14ac:dyDescent="0.35">
      <c r="A848">
        <v>2008</v>
      </c>
      <c r="B848" t="s">
        <v>33</v>
      </c>
      <c r="C848" t="s">
        <v>149</v>
      </c>
      <c r="D848">
        <v>680</v>
      </c>
    </row>
    <row r="849" spans="1:4" x14ac:dyDescent="0.35">
      <c r="A849">
        <v>2008</v>
      </c>
      <c r="B849" t="s">
        <v>35</v>
      </c>
      <c r="C849" t="s">
        <v>322</v>
      </c>
      <c r="D849">
        <v>93</v>
      </c>
    </row>
    <row r="850" spans="1:4" x14ac:dyDescent="0.35">
      <c r="A850">
        <v>2008</v>
      </c>
      <c r="B850" t="s">
        <v>35</v>
      </c>
      <c r="C850" t="s">
        <v>150</v>
      </c>
      <c r="D850">
        <v>13</v>
      </c>
    </row>
    <row r="851" spans="1:4" x14ac:dyDescent="0.35">
      <c r="A851">
        <v>2008</v>
      </c>
      <c r="B851" t="s">
        <v>34</v>
      </c>
      <c r="C851" t="s">
        <v>152</v>
      </c>
      <c r="D851">
        <v>654</v>
      </c>
    </row>
    <row r="852" spans="1:4" x14ac:dyDescent="0.35">
      <c r="A852">
        <v>2008</v>
      </c>
      <c r="B852" t="s">
        <v>37</v>
      </c>
      <c r="C852" t="s">
        <v>153</v>
      </c>
      <c r="D852">
        <v>20</v>
      </c>
    </row>
    <row r="853" spans="1:4" x14ac:dyDescent="0.35">
      <c r="A853">
        <v>2008</v>
      </c>
      <c r="B853" t="s">
        <v>36</v>
      </c>
      <c r="C853" t="s">
        <v>154</v>
      </c>
      <c r="D853">
        <v>326</v>
      </c>
    </row>
    <row r="854" spans="1:4" x14ac:dyDescent="0.35">
      <c r="A854">
        <v>2008</v>
      </c>
      <c r="B854" t="s">
        <v>38</v>
      </c>
      <c r="C854" t="s">
        <v>155</v>
      </c>
      <c r="D854">
        <v>26</v>
      </c>
    </row>
    <row r="855" spans="1:4" x14ac:dyDescent="0.35">
      <c r="A855">
        <v>2008</v>
      </c>
      <c r="B855" t="s">
        <v>38</v>
      </c>
      <c r="C855" t="s">
        <v>156</v>
      </c>
      <c r="D855">
        <v>1807</v>
      </c>
    </row>
    <row r="856" spans="1:4" x14ac:dyDescent="0.35">
      <c r="A856">
        <v>2008</v>
      </c>
      <c r="B856" t="s">
        <v>34</v>
      </c>
      <c r="C856" t="s">
        <v>18</v>
      </c>
      <c r="D856">
        <v>1340</v>
      </c>
    </row>
    <row r="857" spans="1:4" x14ac:dyDescent="0.35">
      <c r="A857">
        <v>2008</v>
      </c>
      <c r="B857" t="s">
        <v>35</v>
      </c>
      <c r="C857" t="s">
        <v>157</v>
      </c>
      <c r="D857">
        <v>602</v>
      </c>
    </row>
    <row r="858" spans="1:4" x14ac:dyDescent="0.35">
      <c r="A858">
        <v>2008</v>
      </c>
      <c r="B858" t="s">
        <v>35</v>
      </c>
      <c r="C858" t="s">
        <v>158</v>
      </c>
      <c r="D858">
        <v>234</v>
      </c>
    </row>
    <row r="859" spans="1:4" x14ac:dyDescent="0.35">
      <c r="A859">
        <v>2008</v>
      </c>
      <c r="B859" t="s">
        <v>35</v>
      </c>
      <c r="C859" t="s">
        <v>160</v>
      </c>
      <c r="D859">
        <v>287</v>
      </c>
    </row>
    <row r="860" spans="1:4" x14ac:dyDescent="0.35">
      <c r="A860">
        <v>2008</v>
      </c>
      <c r="B860" t="s">
        <v>35</v>
      </c>
      <c r="C860" t="s">
        <v>161</v>
      </c>
      <c r="D860">
        <v>470</v>
      </c>
    </row>
    <row r="861" spans="1:4" x14ac:dyDescent="0.35">
      <c r="A861">
        <v>2008</v>
      </c>
      <c r="B861" t="s">
        <v>33</v>
      </c>
      <c r="C861" t="s">
        <v>162</v>
      </c>
      <c r="D861">
        <v>19</v>
      </c>
    </row>
    <row r="862" spans="1:4" x14ac:dyDescent="0.35">
      <c r="A862">
        <v>2008</v>
      </c>
      <c r="B862" t="s">
        <v>36</v>
      </c>
      <c r="C862" t="s">
        <v>163</v>
      </c>
      <c r="D862">
        <v>41</v>
      </c>
    </row>
    <row r="863" spans="1:4" x14ac:dyDescent="0.35">
      <c r="A863">
        <v>2008</v>
      </c>
      <c r="B863" t="s">
        <v>36</v>
      </c>
      <c r="C863" t="s">
        <v>164</v>
      </c>
      <c r="D863">
        <v>79</v>
      </c>
    </row>
    <row r="864" spans="1:4" x14ac:dyDescent="0.35">
      <c r="A864">
        <v>2008</v>
      </c>
      <c r="B864" t="s">
        <v>36</v>
      </c>
      <c r="C864" t="s">
        <v>165</v>
      </c>
      <c r="D864">
        <v>69</v>
      </c>
    </row>
    <row r="865" spans="1:4" x14ac:dyDescent="0.35">
      <c r="A865">
        <v>2008</v>
      </c>
      <c r="B865" t="s">
        <v>37</v>
      </c>
      <c r="C865" t="s">
        <v>166</v>
      </c>
      <c r="D865">
        <v>33</v>
      </c>
    </row>
    <row r="866" spans="1:4" x14ac:dyDescent="0.35">
      <c r="A866">
        <v>2008</v>
      </c>
      <c r="B866" t="s">
        <v>34</v>
      </c>
      <c r="C866" t="s">
        <v>167</v>
      </c>
      <c r="D866">
        <v>87</v>
      </c>
    </row>
    <row r="867" spans="1:4" x14ac:dyDescent="0.35">
      <c r="A867">
        <v>2008</v>
      </c>
      <c r="B867" t="s">
        <v>33</v>
      </c>
      <c r="C867" t="s">
        <v>168</v>
      </c>
      <c r="D867">
        <v>158</v>
      </c>
    </row>
    <row r="868" spans="1:4" x14ac:dyDescent="0.35">
      <c r="A868">
        <v>2008</v>
      </c>
      <c r="B868" t="s">
        <v>35</v>
      </c>
      <c r="C868" t="s">
        <v>169</v>
      </c>
      <c r="D868">
        <v>4</v>
      </c>
    </row>
    <row r="869" spans="1:4" x14ac:dyDescent="0.35">
      <c r="A869">
        <v>2008</v>
      </c>
      <c r="B869" t="s">
        <v>35</v>
      </c>
      <c r="C869" t="s">
        <v>215</v>
      </c>
      <c r="D869">
        <v>302</v>
      </c>
    </row>
    <row r="870" spans="1:4" x14ac:dyDescent="0.35">
      <c r="A870">
        <v>2008</v>
      </c>
      <c r="B870" t="s">
        <v>33</v>
      </c>
      <c r="C870" t="s">
        <v>170</v>
      </c>
      <c r="D870">
        <v>158</v>
      </c>
    </row>
    <row r="871" spans="1:4" x14ac:dyDescent="0.35">
      <c r="A871">
        <v>2008</v>
      </c>
      <c r="B871" t="s">
        <v>34</v>
      </c>
      <c r="C871" t="s">
        <v>171</v>
      </c>
      <c r="D871">
        <v>21</v>
      </c>
    </row>
    <row r="872" spans="1:4" x14ac:dyDescent="0.35">
      <c r="A872">
        <v>2008</v>
      </c>
      <c r="B872" t="s">
        <v>35</v>
      </c>
      <c r="C872" t="s">
        <v>172</v>
      </c>
      <c r="D872">
        <v>45</v>
      </c>
    </row>
    <row r="873" spans="1:4" x14ac:dyDescent="0.35">
      <c r="A873">
        <v>2008</v>
      </c>
      <c r="B873" t="s">
        <v>35</v>
      </c>
      <c r="C873" t="s">
        <v>173</v>
      </c>
      <c r="D873">
        <v>4</v>
      </c>
    </row>
    <row r="874" spans="1:4" x14ac:dyDescent="0.35">
      <c r="A874">
        <v>2008</v>
      </c>
      <c r="B874" t="s">
        <v>33</v>
      </c>
      <c r="C874" t="s">
        <v>174</v>
      </c>
      <c r="D874">
        <v>201</v>
      </c>
    </row>
    <row r="875" spans="1:4" x14ac:dyDescent="0.35">
      <c r="A875">
        <v>2008</v>
      </c>
      <c r="B875" t="s">
        <v>33</v>
      </c>
      <c r="C875" t="s">
        <v>175</v>
      </c>
      <c r="D875">
        <v>124</v>
      </c>
    </row>
    <row r="876" spans="1:4" x14ac:dyDescent="0.35">
      <c r="A876">
        <v>2008</v>
      </c>
      <c r="B876" t="s">
        <v>33</v>
      </c>
      <c r="C876" t="s">
        <v>176</v>
      </c>
      <c r="D876" t="s">
        <v>206</v>
      </c>
    </row>
    <row r="877" spans="1:4" x14ac:dyDescent="0.35">
      <c r="A877">
        <v>2008</v>
      </c>
      <c r="B877" t="s">
        <v>35</v>
      </c>
      <c r="C877" t="s">
        <v>216</v>
      </c>
      <c r="D877">
        <v>110</v>
      </c>
    </row>
    <row r="878" spans="1:4" x14ac:dyDescent="0.35">
      <c r="A878">
        <v>2008</v>
      </c>
      <c r="B878" t="s">
        <v>35</v>
      </c>
      <c r="C878" t="s">
        <v>177</v>
      </c>
      <c r="D878">
        <v>91</v>
      </c>
    </row>
    <row r="879" spans="1:4" x14ac:dyDescent="0.35">
      <c r="A879">
        <v>2008</v>
      </c>
      <c r="B879" t="s">
        <v>34</v>
      </c>
      <c r="C879" t="s">
        <v>178</v>
      </c>
      <c r="D879">
        <v>107</v>
      </c>
    </row>
    <row r="880" spans="1:4" x14ac:dyDescent="0.35">
      <c r="A880">
        <v>2008</v>
      </c>
      <c r="B880" t="s">
        <v>33</v>
      </c>
      <c r="C880" t="s">
        <v>179</v>
      </c>
      <c r="D880">
        <v>164</v>
      </c>
    </row>
    <row r="881" spans="1:4" x14ac:dyDescent="0.35">
      <c r="A881">
        <v>2008</v>
      </c>
      <c r="B881" t="s">
        <v>38</v>
      </c>
      <c r="C881" t="s">
        <v>180</v>
      </c>
      <c r="D881">
        <v>28</v>
      </c>
    </row>
    <row r="882" spans="1:4" x14ac:dyDescent="0.35">
      <c r="A882">
        <v>2008</v>
      </c>
      <c r="B882" t="s">
        <v>35</v>
      </c>
      <c r="C882" t="s">
        <v>182</v>
      </c>
      <c r="D882">
        <v>30</v>
      </c>
    </row>
    <row r="883" spans="1:4" x14ac:dyDescent="0.35">
      <c r="A883">
        <v>2008</v>
      </c>
      <c r="B883" t="s">
        <v>35</v>
      </c>
      <c r="C883" t="s">
        <v>183</v>
      </c>
      <c r="D883">
        <v>22</v>
      </c>
    </row>
    <row r="884" spans="1:4" x14ac:dyDescent="0.35">
      <c r="A884">
        <v>2008</v>
      </c>
      <c r="B884" t="s">
        <v>34</v>
      </c>
      <c r="C884" t="s">
        <v>184</v>
      </c>
      <c r="D884">
        <v>101</v>
      </c>
    </row>
    <row r="885" spans="1:4" x14ac:dyDescent="0.35">
      <c r="A885">
        <v>2008</v>
      </c>
      <c r="B885" t="s">
        <v>34</v>
      </c>
      <c r="C885" t="s">
        <v>185</v>
      </c>
      <c r="D885">
        <v>52</v>
      </c>
    </row>
    <row r="886" spans="1:4" x14ac:dyDescent="0.35">
      <c r="A886">
        <v>2008</v>
      </c>
      <c r="B886" t="s">
        <v>34</v>
      </c>
      <c r="C886" t="s">
        <v>186</v>
      </c>
      <c r="D886">
        <v>43</v>
      </c>
    </row>
    <row r="887" spans="1:4" x14ac:dyDescent="0.35">
      <c r="A887">
        <v>2008</v>
      </c>
      <c r="B887" t="s">
        <v>33</v>
      </c>
      <c r="C887" t="s">
        <v>187</v>
      </c>
      <c r="D887">
        <v>64</v>
      </c>
    </row>
    <row r="888" spans="1:4" x14ac:dyDescent="0.35">
      <c r="A888">
        <v>2008</v>
      </c>
      <c r="B888" t="s">
        <v>34</v>
      </c>
      <c r="C888" t="s">
        <v>188</v>
      </c>
      <c r="D888">
        <v>381</v>
      </c>
    </row>
    <row r="889" spans="1:4" x14ac:dyDescent="0.35">
      <c r="A889">
        <v>2008</v>
      </c>
      <c r="B889" t="s">
        <v>33</v>
      </c>
      <c r="C889" t="s">
        <v>189</v>
      </c>
      <c r="D889">
        <v>53</v>
      </c>
    </row>
    <row r="890" spans="1:4" x14ac:dyDescent="0.35">
      <c r="A890">
        <v>2008</v>
      </c>
      <c r="B890" t="s">
        <v>37</v>
      </c>
      <c r="C890" t="s">
        <v>190</v>
      </c>
      <c r="D890">
        <v>99</v>
      </c>
    </row>
    <row r="891" spans="1:4" x14ac:dyDescent="0.35">
      <c r="A891">
        <v>2008</v>
      </c>
      <c r="B891" t="s">
        <v>36</v>
      </c>
      <c r="C891" t="s">
        <v>191</v>
      </c>
      <c r="D891">
        <v>691</v>
      </c>
    </row>
    <row r="892" spans="1:4" x14ac:dyDescent="0.35">
      <c r="A892">
        <v>2008</v>
      </c>
      <c r="B892" t="s">
        <v>33</v>
      </c>
      <c r="C892" t="s">
        <v>192</v>
      </c>
      <c r="D892">
        <v>53</v>
      </c>
    </row>
    <row r="893" spans="1:4" x14ac:dyDescent="0.35">
      <c r="A893">
        <v>2008</v>
      </c>
      <c r="B893" t="s">
        <v>34</v>
      </c>
      <c r="C893" t="s">
        <v>193</v>
      </c>
      <c r="D893">
        <v>310</v>
      </c>
    </row>
    <row r="894" spans="1:4" x14ac:dyDescent="0.35">
      <c r="A894">
        <v>2008</v>
      </c>
      <c r="B894" t="s">
        <v>34</v>
      </c>
      <c r="C894" t="s">
        <v>194</v>
      </c>
      <c r="D894">
        <v>11</v>
      </c>
    </row>
    <row r="895" spans="1:4" x14ac:dyDescent="0.35">
      <c r="A895">
        <v>2008</v>
      </c>
      <c r="B895" t="s">
        <v>36</v>
      </c>
      <c r="C895" t="s">
        <v>372</v>
      </c>
      <c r="D895">
        <v>17</v>
      </c>
    </row>
    <row r="896" spans="1:4" x14ac:dyDescent="0.35">
      <c r="A896">
        <v>2008</v>
      </c>
      <c r="B896" t="s">
        <v>33</v>
      </c>
      <c r="C896" t="s">
        <v>195</v>
      </c>
      <c r="D896">
        <v>59</v>
      </c>
    </row>
    <row r="897" spans="1:4" x14ac:dyDescent="0.35">
      <c r="A897">
        <v>2008</v>
      </c>
      <c r="B897" t="s">
        <v>35</v>
      </c>
      <c r="C897" t="s">
        <v>196</v>
      </c>
      <c r="D897">
        <v>403</v>
      </c>
    </row>
    <row r="898" spans="1:4" x14ac:dyDescent="0.35">
      <c r="A898">
        <v>2008</v>
      </c>
      <c r="B898" t="s">
        <v>34</v>
      </c>
      <c r="C898" t="s">
        <v>197</v>
      </c>
      <c r="D898">
        <v>4</v>
      </c>
    </row>
    <row r="899" spans="1:4" x14ac:dyDescent="0.35">
      <c r="A899">
        <v>2008</v>
      </c>
      <c r="B899" t="s">
        <v>35</v>
      </c>
      <c r="C899" t="s">
        <v>198</v>
      </c>
      <c r="D899">
        <v>510</v>
      </c>
    </row>
    <row r="900" spans="1:4" x14ac:dyDescent="0.35">
      <c r="A900">
        <v>2008</v>
      </c>
      <c r="B900" t="s">
        <v>39</v>
      </c>
      <c r="C900" t="s">
        <v>39</v>
      </c>
      <c r="D900">
        <v>1022</v>
      </c>
    </row>
    <row r="901" spans="1:4" x14ac:dyDescent="0.35">
      <c r="A901">
        <v>2008</v>
      </c>
      <c r="B901" t="s">
        <v>38</v>
      </c>
      <c r="C901" t="s">
        <v>199</v>
      </c>
      <c r="D901">
        <v>200</v>
      </c>
    </row>
    <row r="902" spans="1:4" x14ac:dyDescent="0.35">
      <c r="A902">
        <v>2008</v>
      </c>
      <c r="B902" t="s">
        <v>34</v>
      </c>
      <c r="C902" t="s">
        <v>200</v>
      </c>
      <c r="D902">
        <v>157</v>
      </c>
    </row>
    <row r="903" spans="1:4" x14ac:dyDescent="0.35">
      <c r="A903">
        <v>2008</v>
      </c>
      <c r="B903" t="s">
        <v>38</v>
      </c>
      <c r="C903" t="s">
        <v>19</v>
      </c>
      <c r="D903">
        <v>750</v>
      </c>
    </row>
    <row r="904" spans="1:4" x14ac:dyDescent="0.35">
      <c r="A904">
        <v>2008</v>
      </c>
      <c r="B904" t="s">
        <v>34</v>
      </c>
      <c r="C904" t="s">
        <v>201</v>
      </c>
      <c r="D904">
        <v>1342</v>
      </c>
    </row>
    <row r="905" spans="1:4" x14ac:dyDescent="0.35">
      <c r="A905">
        <v>2008</v>
      </c>
      <c r="B905" t="s">
        <v>34</v>
      </c>
      <c r="C905" t="s">
        <v>202</v>
      </c>
      <c r="D905">
        <v>90</v>
      </c>
    </row>
    <row r="906" spans="1:4" x14ac:dyDescent="0.35">
      <c r="A906">
        <v>2008</v>
      </c>
      <c r="B906" t="s">
        <v>33</v>
      </c>
      <c r="C906" t="s">
        <v>203</v>
      </c>
      <c r="D906">
        <v>45</v>
      </c>
    </row>
    <row r="907" spans="1:4" x14ac:dyDescent="0.35">
      <c r="A907">
        <v>2008</v>
      </c>
      <c r="B907" t="s">
        <v>33</v>
      </c>
      <c r="C907" t="s">
        <v>204</v>
      </c>
      <c r="D907">
        <v>72</v>
      </c>
    </row>
    <row r="908" spans="1:4" x14ac:dyDescent="0.35">
      <c r="A908">
        <v>2009</v>
      </c>
      <c r="B908" t="s">
        <v>34</v>
      </c>
      <c r="C908" t="s">
        <v>40</v>
      </c>
      <c r="D908">
        <v>76</v>
      </c>
    </row>
    <row r="909" spans="1:4" x14ac:dyDescent="0.35">
      <c r="A909">
        <v>2009</v>
      </c>
      <c r="B909" t="s">
        <v>35</v>
      </c>
      <c r="C909" t="s">
        <v>41</v>
      </c>
      <c r="D909">
        <v>331</v>
      </c>
    </row>
    <row r="910" spans="1:4" x14ac:dyDescent="0.35">
      <c r="A910">
        <v>2009</v>
      </c>
      <c r="B910" t="s">
        <v>33</v>
      </c>
      <c r="C910" t="s">
        <v>42</v>
      </c>
      <c r="D910">
        <v>53</v>
      </c>
    </row>
    <row r="911" spans="1:4" x14ac:dyDescent="0.35">
      <c r="A911">
        <v>2009</v>
      </c>
      <c r="C911" t="s">
        <v>373</v>
      </c>
      <c r="D911">
        <v>80</v>
      </c>
    </row>
    <row r="912" spans="1:4" x14ac:dyDescent="0.35">
      <c r="A912">
        <v>2009</v>
      </c>
      <c r="B912" t="s">
        <v>33</v>
      </c>
      <c r="C912" t="s">
        <v>43</v>
      </c>
      <c r="D912">
        <v>24</v>
      </c>
    </row>
    <row r="913" spans="1:4" x14ac:dyDescent="0.35">
      <c r="A913">
        <v>2009</v>
      </c>
      <c r="B913" t="s">
        <v>36</v>
      </c>
      <c r="C913" t="s">
        <v>44</v>
      </c>
      <c r="D913">
        <v>59</v>
      </c>
    </row>
    <row r="914" spans="1:4" x14ac:dyDescent="0.35">
      <c r="A914">
        <v>2009</v>
      </c>
      <c r="B914" t="s">
        <v>38</v>
      </c>
      <c r="C914" t="s">
        <v>45</v>
      </c>
      <c r="D914">
        <v>507</v>
      </c>
    </row>
    <row r="915" spans="1:4" x14ac:dyDescent="0.35">
      <c r="A915">
        <v>2009</v>
      </c>
      <c r="B915" t="s">
        <v>34</v>
      </c>
      <c r="C915" t="s">
        <v>46</v>
      </c>
      <c r="D915">
        <v>181</v>
      </c>
    </row>
    <row r="916" spans="1:4" x14ac:dyDescent="0.35">
      <c r="A916">
        <v>2009</v>
      </c>
      <c r="B916" t="s">
        <v>37</v>
      </c>
      <c r="C916" t="s">
        <v>47</v>
      </c>
      <c r="D916">
        <v>65</v>
      </c>
    </row>
    <row r="917" spans="1:4" x14ac:dyDescent="0.35">
      <c r="A917">
        <v>2009</v>
      </c>
      <c r="B917" t="s">
        <v>35</v>
      </c>
      <c r="C917" t="s">
        <v>48</v>
      </c>
      <c r="D917">
        <v>12</v>
      </c>
    </row>
    <row r="918" spans="1:4" x14ac:dyDescent="0.35">
      <c r="A918">
        <v>2009</v>
      </c>
      <c r="B918" t="s">
        <v>34</v>
      </c>
      <c r="C918" t="s">
        <v>49</v>
      </c>
      <c r="D918">
        <v>40</v>
      </c>
    </row>
    <row r="919" spans="1:4" x14ac:dyDescent="0.35">
      <c r="A919">
        <v>2009</v>
      </c>
      <c r="B919" t="s">
        <v>36</v>
      </c>
      <c r="C919" t="s">
        <v>50</v>
      </c>
      <c r="D919">
        <v>288</v>
      </c>
    </row>
    <row r="920" spans="1:4" x14ac:dyDescent="0.35">
      <c r="A920">
        <v>2009</v>
      </c>
      <c r="B920" t="s">
        <v>34</v>
      </c>
      <c r="C920" t="s">
        <v>51</v>
      </c>
      <c r="D920">
        <v>4</v>
      </c>
    </row>
    <row r="921" spans="1:4" x14ac:dyDescent="0.35">
      <c r="A921">
        <v>2009</v>
      </c>
      <c r="B921" t="s">
        <v>34</v>
      </c>
      <c r="C921" t="s">
        <v>52</v>
      </c>
      <c r="D921">
        <v>223</v>
      </c>
    </row>
    <row r="922" spans="1:4" x14ac:dyDescent="0.35">
      <c r="A922">
        <v>2009</v>
      </c>
      <c r="B922" t="s">
        <v>36</v>
      </c>
      <c r="C922" t="s">
        <v>53</v>
      </c>
      <c r="D922">
        <v>105</v>
      </c>
    </row>
    <row r="923" spans="1:4" x14ac:dyDescent="0.35">
      <c r="A923">
        <v>2009</v>
      </c>
      <c r="B923" t="s">
        <v>35</v>
      </c>
      <c r="C923" t="s">
        <v>54</v>
      </c>
      <c r="D923">
        <v>72</v>
      </c>
    </row>
    <row r="924" spans="1:4" x14ac:dyDescent="0.35">
      <c r="A924">
        <v>2009</v>
      </c>
      <c r="B924" t="s">
        <v>35</v>
      </c>
      <c r="C924" t="s">
        <v>55</v>
      </c>
      <c r="D924">
        <v>26</v>
      </c>
    </row>
    <row r="925" spans="1:4" x14ac:dyDescent="0.35">
      <c r="A925">
        <v>2009</v>
      </c>
      <c r="B925" t="s">
        <v>36</v>
      </c>
      <c r="C925" t="s">
        <v>56</v>
      </c>
      <c r="D925">
        <v>345</v>
      </c>
    </row>
    <row r="926" spans="1:4" x14ac:dyDescent="0.35">
      <c r="A926">
        <v>2009</v>
      </c>
      <c r="B926" t="s">
        <v>33</v>
      </c>
      <c r="C926" t="s">
        <v>57</v>
      </c>
      <c r="D926">
        <v>11</v>
      </c>
    </row>
    <row r="927" spans="1:4" x14ac:dyDescent="0.35">
      <c r="A927">
        <v>2009</v>
      </c>
      <c r="B927" t="s">
        <v>36</v>
      </c>
      <c r="C927" t="s">
        <v>363</v>
      </c>
      <c r="D927">
        <v>20</v>
      </c>
    </row>
    <row r="928" spans="1:4" x14ac:dyDescent="0.35">
      <c r="A928">
        <v>2009</v>
      </c>
      <c r="B928" t="s">
        <v>38</v>
      </c>
      <c r="C928" t="s">
        <v>59</v>
      </c>
      <c r="D928">
        <v>351</v>
      </c>
    </row>
    <row r="929" spans="1:4" x14ac:dyDescent="0.35">
      <c r="A929">
        <v>2009</v>
      </c>
      <c r="B929" t="s">
        <v>35</v>
      </c>
      <c r="C929" t="s">
        <v>60</v>
      </c>
      <c r="D929">
        <v>175</v>
      </c>
    </row>
    <row r="930" spans="1:4" x14ac:dyDescent="0.35">
      <c r="A930">
        <v>2009</v>
      </c>
      <c r="B930" t="s">
        <v>38</v>
      </c>
      <c r="C930" t="s">
        <v>21</v>
      </c>
      <c r="D930">
        <v>3392</v>
      </c>
    </row>
    <row r="931" spans="1:4" x14ac:dyDescent="0.35">
      <c r="A931">
        <v>2009</v>
      </c>
      <c r="B931" t="s">
        <v>36</v>
      </c>
      <c r="C931" t="s">
        <v>364</v>
      </c>
      <c r="D931">
        <v>8</v>
      </c>
    </row>
    <row r="932" spans="1:4" x14ac:dyDescent="0.35">
      <c r="A932">
        <v>2009</v>
      </c>
      <c r="B932" t="s">
        <v>35</v>
      </c>
      <c r="C932" t="s">
        <v>62</v>
      </c>
      <c r="D932">
        <v>102</v>
      </c>
    </row>
    <row r="933" spans="1:4" x14ac:dyDescent="0.35">
      <c r="A933">
        <v>2009</v>
      </c>
      <c r="B933" t="s">
        <v>33</v>
      </c>
      <c r="C933" t="s">
        <v>63</v>
      </c>
      <c r="D933">
        <v>24</v>
      </c>
    </row>
    <row r="934" spans="1:4" x14ac:dyDescent="0.35">
      <c r="A934">
        <v>2009</v>
      </c>
      <c r="B934" t="s">
        <v>34</v>
      </c>
      <c r="C934" t="s">
        <v>64</v>
      </c>
      <c r="D934">
        <v>36</v>
      </c>
    </row>
    <row r="935" spans="1:4" x14ac:dyDescent="0.35">
      <c r="A935">
        <v>2009</v>
      </c>
      <c r="B935" t="s">
        <v>33</v>
      </c>
      <c r="C935" t="s">
        <v>65</v>
      </c>
      <c r="D935">
        <v>13</v>
      </c>
    </row>
    <row r="936" spans="1:4" x14ac:dyDescent="0.35">
      <c r="A936">
        <v>2009</v>
      </c>
      <c r="B936" t="s">
        <v>33</v>
      </c>
      <c r="C936" t="s">
        <v>66</v>
      </c>
      <c r="D936">
        <v>330</v>
      </c>
    </row>
    <row r="937" spans="1:4" x14ac:dyDescent="0.35">
      <c r="A937">
        <v>2009</v>
      </c>
      <c r="B937" t="s">
        <v>34</v>
      </c>
      <c r="C937" t="s">
        <v>67</v>
      </c>
      <c r="D937">
        <v>149</v>
      </c>
    </row>
    <row r="938" spans="1:4" x14ac:dyDescent="0.35">
      <c r="A938">
        <v>2009</v>
      </c>
      <c r="B938" t="s">
        <v>33</v>
      </c>
      <c r="C938" t="s">
        <v>68</v>
      </c>
      <c r="D938">
        <v>1306</v>
      </c>
    </row>
    <row r="939" spans="1:4" x14ac:dyDescent="0.35">
      <c r="A939">
        <v>2009</v>
      </c>
      <c r="B939" t="s">
        <v>36</v>
      </c>
      <c r="C939" t="s">
        <v>69</v>
      </c>
      <c r="D939">
        <v>116</v>
      </c>
    </row>
    <row r="940" spans="1:4" x14ac:dyDescent="0.35">
      <c r="A940">
        <v>2009</v>
      </c>
      <c r="B940" t="s">
        <v>36</v>
      </c>
      <c r="C940" t="s">
        <v>365</v>
      </c>
      <c r="D940">
        <v>9</v>
      </c>
    </row>
    <row r="941" spans="1:4" x14ac:dyDescent="0.35">
      <c r="A941">
        <v>2009</v>
      </c>
      <c r="B941" t="s">
        <v>33</v>
      </c>
      <c r="C941" t="s">
        <v>70</v>
      </c>
      <c r="D941">
        <v>12</v>
      </c>
    </row>
    <row r="942" spans="1:4" x14ac:dyDescent="0.35">
      <c r="A942">
        <v>2009</v>
      </c>
      <c r="B942" t="s">
        <v>33</v>
      </c>
      <c r="C942" t="s">
        <v>71</v>
      </c>
      <c r="D942">
        <v>9</v>
      </c>
    </row>
    <row r="943" spans="1:4" x14ac:dyDescent="0.35">
      <c r="A943">
        <v>2009</v>
      </c>
      <c r="B943" t="s">
        <v>38</v>
      </c>
      <c r="C943" t="s">
        <v>72</v>
      </c>
      <c r="D943">
        <v>284</v>
      </c>
    </row>
    <row r="944" spans="1:4" x14ac:dyDescent="0.35">
      <c r="A944">
        <v>2009</v>
      </c>
      <c r="B944" t="s">
        <v>34</v>
      </c>
      <c r="C944" t="s">
        <v>73</v>
      </c>
      <c r="D944">
        <v>2928</v>
      </c>
    </row>
    <row r="945" spans="1:4" x14ac:dyDescent="0.35">
      <c r="A945">
        <v>2009</v>
      </c>
      <c r="B945" t="s">
        <v>38</v>
      </c>
      <c r="C945" t="s">
        <v>20</v>
      </c>
      <c r="D945">
        <v>3468</v>
      </c>
    </row>
    <row r="946" spans="1:4" x14ac:dyDescent="0.35">
      <c r="A946">
        <v>2009</v>
      </c>
      <c r="B946" t="s">
        <v>33</v>
      </c>
      <c r="C946" t="s">
        <v>74</v>
      </c>
      <c r="D946">
        <v>35</v>
      </c>
    </row>
    <row r="947" spans="1:4" x14ac:dyDescent="0.35">
      <c r="A947">
        <v>2009</v>
      </c>
      <c r="B947" t="s">
        <v>33</v>
      </c>
      <c r="C947" t="s">
        <v>75</v>
      </c>
      <c r="D947">
        <v>77</v>
      </c>
    </row>
    <row r="948" spans="1:4" x14ac:dyDescent="0.35">
      <c r="A948">
        <v>2009</v>
      </c>
      <c r="B948" t="s">
        <v>36</v>
      </c>
      <c r="C948" t="s">
        <v>76</v>
      </c>
      <c r="D948">
        <v>582</v>
      </c>
    </row>
    <row r="949" spans="1:4" x14ac:dyDescent="0.35">
      <c r="A949">
        <v>2009</v>
      </c>
      <c r="B949" t="s">
        <v>33</v>
      </c>
      <c r="C949" t="s">
        <v>77</v>
      </c>
      <c r="D949">
        <v>116</v>
      </c>
    </row>
    <row r="950" spans="1:4" x14ac:dyDescent="0.35">
      <c r="A950">
        <v>2009</v>
      </c>
      <c r="B950" t="s">
        <v>35</v>
      </c>
      <c r="C950" t="s">
        <v>78</v>
      </c>
      <c r="D950">
        <v>25</v>
      </c>
    </row>
    <row r="951" spans="1:4" x14ac:dyDescent="0.35">
      <c r="A951">
        <v>2009</v>
      </c>
      <c r="B951" t="s">
        <v>36</v>
      </c>
      <c r="C951" t="s">
        <v>79</v>
      </c>
      <c r="D951">
        <v>4742</v>
      </c>
    </row>
    <row r="952" spans="1:4" x14ac:dyDescent="0.35">
      <c r="A952">
        <v>2009</v>
      </c>
      <c r="B952" t="s">
        <v>35</v>
      </c>
      <c r="C952" t="s">
        <v>81</v>
      </c>
      <c r="D952">
        <v>66</v>
      </c>
    </row>
    <row r="953" spans="1:4" x14ac:dyDescent="0.35">
      <c r="A953">
        <v>2009</v>
      </c>
      <c r="B953" t="s">
        <v>35</v>
      </c>
      <c r="C953" t="s">
        <v>214</v>
      </c>
      <c r="D953">
        <v>24</v>
      </c>
    </row>
    <row r="954" spans="1:4" x14ac:dyDescent="0.35">
      <c r="A954">
        <v>2009</v>
      </c>
      <c r="B954" t="s">
        <v>35</v>
      </c>
      <c r="C954" t="s">
        <v>82</v>
      </c>
      <c r="D954">
        <v>21</v>
      </c>
    </row>
    <row r="955" spans="1:4" x14ac:dyDescent="0.35">
      <c r="A955">
        <v>2009</v>
      </c>
      <c r="B955" t="s">
        <v>36</v>
      </c>
      <c r="C955" t="s">
        <v>84</v>
      </c>
      <c r="D955">
        <v>57</v>
      </c>
    </row>
    <row r="956" spans="1:4" x14ac:dyDescent="0.35">
      <c r="A956">
        <v>2009</v>
      </c>
      <c r="B956" t="s">
        <v>36</v>
      </c>
      <c r="C956" t="s">
        <v>85</v>
      </c>
      <c r="D956">
        <v>5106</v>
      </c>
    </row>
    <row r="957" spans="1:4" x14ac:dyDescent="0.35">
      <c r="A957">
        <v>2009</v>
      </c>
      <c r="B957" t="s">
        <v>38</v>
      </c>
      <c r="C957" t="s">
        <v>86</v>
      </c>
      <c r="D957">
        <v>3483</v>
      </c>
    </row>
    <row r="958" spans="1:4" x14ac:dyDescent="0.35">
      <c r="A958">
        <v>2009</v>
      </c>
      <c r="B958" t="s">
        <v>33</v>
      </c>
      <c r="C958" t="s">
        <v>87</v>
      </c>
      <c r="D958">
        <v>313</v>
      </c>
    </row>
    <row r="959" spans="1:4" x14ac:dyDescent="0.35">
      <c r="A959">
        <v>2009</v>
      </c>
      <c r="B959" t="s">
        <v>36</v>
      </c>
      <c r="C959" t="s">
        <v>16</v>
      </c>
      <c r="D959">
        <v>27741</v>
      </c>
    </row>
    <row r="960" spans="1:4" x14ac:dyDescent="0.35">
      <c r="A960">
        <v>2009</v>
      </c>
      <c r="B960" t="s">
        <v>33</v>
      </c>
      <c r="C960" t="s">
        <v>88</v>
      </c>
      <c r="D960">
        <v>7</v>
      </c>
    </row>
    <row r="961" spans="1:4" x14ac:dyDescent="0.35">
      <c r="A961">
        <v>2009</v>
      </c>
      <c r="B961" t="s">
        <v>33</v>
      </c>
      <c r="C961" t="s">
        <v>89</v>
      </c>
      <c r="D961">
        <v>212</v>
      </c>
    </row>
    <row r="962" spans="1:4" x14ac:dyDescent="0.35">
      <c r="A962">
        <v>2009</v>
      </c>
      <c r="B962" t="s">
        <v>35</v>
      </c>
      <c r="C962" t="s">
        <v>90</v>
      </c>
      <c r="D962">
        <v>32</v>
      </c>
    </row>
    <row r="963" spans="1:4" x14ac:dyDescent="0.35">
      <c r="A963">
        <v>2009</v>
      </c>
      <c r="B963" t="s">
        <v>33</v>
      </c>
      <c r="C963" t="s">
        <v>91</v>
      </c>
      <c r="D963">
        <v>262</v>
      </c>
    </row>
    <row r="964" spans="1:4" x14ac:dyDescent="0.35">
      <c r="A964">
        <v>2009</v>
      </c>
      <c r="B964" t="s">
        <v>37</v>
      </c>
      <c r="C964" t="s">
        <v>92</v>
      </c>
      <c r="D964">
        <v>101</v>
      </c>
    </row>
    <row r="965" spans="1:4" x14ac:dyDescent="0.35">
      <c r="A965">
        <v>2009</v>
      </c>
      <c r="B965" t="s">
        <v>35</v>
      </c>
      <c r="C965" t="s">
        <v>94</v>
      </c>
      <c r="D965">
        <v>136</v>
      </c>
    </row>
    <row r="966" spans="1:4" x14ac:dyDescent="0.35">
      <c r="A966">
        <v>2009</v>
      </c>
      <c r="B966" t="s">
        <v>33</v>
      </c>
      <c r="C966" t="s">
        <v>95</v>
      </c>
      <c r="D966">
        <v>17</v>
      </c>
    </row>
    <row r="967" spans="1:4" x14ac:dyDescent="0.35">
      <c r="A967">
        <v>2009</v>
      </c>
      <c r="B967" t="s">
        <v>33</v>
      </c>
      <c r="C967" t="s">
        <v>96</v>
      </c>
      <c r="D967">
        <v>131</v>
      </c>
    </row>
    <row r="968" spans="1:4" x14ac:dyDescent="0.35">
      <c r="A968">
        <v>2009</v>
      </c>
      <c r="B968" t="s">
        <v>34</v>
      </c>
      <c r="C968" t="s">
        <v>8</v>
      </c>
      <c r="D968">
        <v>157</v>
      </c>
    </row>
    <row r="969" spans="1:4" x14ac:dyDescent="0.35">
      <c r="A969">
        <v>2009</v>
      </c>
      <c r="B969" t="s">
        <v>35</v>
      </c>
      <c r="C969" t="s">
        <v>97</v>
      </c>
      <c r="D969">
        <v>228</v>
      </c>
    </row>
    <row r="970" spans="1:4" x14ac:dyDescent="0.35">
      <c r="A970">
        <v>2009</v>
      </c>
      <c r="B970" t="s">
        <v>33</v>
      </c>
      <c r="C970" t="s">
        <v>98</v>
      </c>
      <c r="D970">
        <v>422</v>
      </c>
    </row>
    <row r="971" spans="1:4" x14ac:dyDescent="0.35">
      <c r="A971">
        <v>2009</v>
      </c>
      <c r="B971" t="s">
        <v>35</v>
      </c>
      <c r="C971" t="s">
        <v>99</v>
      </c>
      <c r="D971">
        <v>58</v>
      </c>
    </row>
    <row r="972" spans="1:4" x14ac:dyDescent="0.35">
      <c r="A972">
        <v>2009</v>
      </c>
      <c r="B972" t="s">
        <v>36</v>
      </c>
      <c r="C972" t="s">
        <v>100</v>
      </c>
      <c r="D972">
        <v>63</v>
      </c>
    </row>
    <row r="973" spans="1:4" x14ac:dyDescent="0.35">
      <c r="A973">
        <v>2009</v>
      </c>
      <c r="B973" t="s">
        <v>37</v>
      </c>
      <c r="C973" t="s">
        <v>367</v>
      </c>
      <c r="D973">
        <v>15</v>
      </c>
    </row>
    <row r="974" spans="1:4" x14ac:dyDescent="0.35">
      <c r="A974">
        <v>2009</v>
      </c>
      <c r="B974" t="s">
        <v>36</v>
      </c>
      <c r="C974" t="s">
        <v>15</v>
      </c>
      <c r="D974">
        <v>34992</v>
      </c>
    </row>
    <row r="975" spans="1:4" x14ac:dyDescent="0.35">
      <c r="A975">
        <v>2009</v>
      </c>
      <c r="B975" t="s">
        <v>33</v>
      </c>
      <c r="C975" t="s">
        <v>101</v>
      </c>
      <c r="D975">
        <v>185</v>
      </c>
    </row>
    <row r="976" spans="1:4" x14ac:dyDescent="0.35">
      <c r="A976">
        <v>2009</v>
      </c>
      <c r="B976" t="s">
        <v>33</v>
      </c>
      <c r="C976" t="s">
        <v>102</v>
      </c>
      <c r="D976">
        <v>13</v>
      </c>
    </row>
    <row r="977" spans="1:4" x14ac:dyDescent="0.35">
      <c r="A977">
        <v>2009</v>
      </c>
      <c r="B977" t="s">
        <v>38</v>
      </c>
      <c r="C977" t="s">
        <v>103</v>
      </c>
      <c r="D977">
        <v>492</v>
      </c>
    </row>
    <row r="978" spans="1:4" x14ac:dyDescent="0.35">
      <c r="A978">
        <v>2009</v>
      </c>
      <c r="B978" t="s">
        <v>36</v>
      </c>
      <c r="C978" t="s">
        <v>104</v>
      </c>
      <c r="D978">
        <v>2220</v>
      </c>
    </row>
    <row r="979" spans="1:4" x14ac:dyDescent="0.35">
      <c r="A979">
        <v>2009</v>
      </c>
      <c r="B979" t="s">
        <v>36</v>
      </c>
      <c r="C979" t="s">
        <v>17</v>
      </c>
      <c r="D979">
        <v>32901</v>
      </c>
    </row>
    <row r="980" spans="1:4" x14ac:dyDescent="0.35">
      <c r="A980">
        <v>2009</v>
      </c>
      <c r="B980" t="s">
        <v>34</v>
      </c>
      <c r="C980" t="s">
        <v>368</v>
      </c>
      <c r="D980">
        <v>58</v>
      </c>
    </row>
    <row r="981" spans="1:4" x14ac:dyDescent="0.35">
      <c r="A981">
        <v>2009</v>
      </c>
      <c r="B981" t="s">
        <v>35</v>
      </c>
      <c r="C981" t="s">
        <v>105</v>
      </c>
      <c r="D981">
        <v>95</v>
      </c>
    </row>
    <row r="982" spans="1:4" x14ac:dyDescent="0.35">
      <c r="A982">
        <v>2009</v>
      </c>
      <c r="B982" t="s">
        <v>35</v>
      </c>
      <c r="C982" t="s">
        <v>106</v>
      </c>
      <c r="D982">
        <v>6</v>
      </c>
    </row>
    <row r="983" spans="1:4" x14ac:dyDescent="0.35">
      <c r="A983">
        <v>2009</v>
      </c>
      <c r="B983" t="s">
        <v>34</v>
      </c>
      <c r="C983" t="s">
        <v>22</v>
      </c>
      <c r="D983">
        <v>1155</v>
      </c>
    </row>
    <row r="984" spans="1:4" x14ac:dyDescent="0.35">
      <c r="A984">
        <v>2009</v>
      </c>
      <c r="B984" t="s">
        <v>34</v>
      </c>
      <c r="C984" t="s">
        <v>107</v>
      </c>
      <c r="D984">
        <v>371</v>
      </c>
    </row>
    <row r="985" spans="1:4" x14ac:dyDescent="0.35">
      <c r="A985">
        <v>2009</v>
      </c>
      <c r="B985" t="s">
        <v>34</v>
      </c>
      <c r="C985" t="s">
        <v>108</v>
      </c>
      <c r="D985">
        <v>291</v>
      </c>
    </row>
    <row r="986" spans="1:4" x14ac:dyDescent="0.35">
      <c r="A986">
        <v>2009</v>
      </c>
      <c r="B986" t="s">
        <v>34</v>
      </c>
      <c r="C986" t="s">
        <v>109</v>
      </c>
      <c r="D986">
        <v>291</v>
      </c>
    </row>
    <row r="987" spans="1:4" x14ac:dyDescent="0.35">
      <c r="A987">
        <v>2009</v>
      </c>
      <c r="B987" t="s">
        <v>35</v>
      </c>
      <c r="C987" t="s">
        <v>110</v>
      </c>
      <c r="D987">
        <v>94</v>
      </c>
    </row>
    <row r="988" spans="1:4" x14ac:dyDescent="0.35">
      <c r="A988">
        <v>2009</v>
      </c>
      <c r="B988" t="s">
        <v>34</v>
      </c>
      <c r="C988" t="s">
        <v>111</v>
      </c>
      <c r="D988">
        <v>345</v>
      </c>
    </row>
    <row r="989" spans="1:4" x14ac:dyDescent="0.35">
      <c r="A989">
        <v>2009</v>
      </c>
      <c r="B989" t="s">
        <v>35</v>
      </c>
      <c r="C989" t="s">
        <v>112</v>
      </c>
      <c r="D989">
        <v>205</v>
      </c>
    </row>
    <row r="990" spans="1:4" x14ac:dyDescent="0.35">
      <c r="A990">
        <v>2009</v>
      </c>
      <c r="B990" t="s">
        <v>36</v>
      </c>
      <c r="C990" t="s">
        <v>113</v>
      </c>
      <c r="D990">
        <v>3075</v>
      </c>
    </row>
    <row r="991" spans="1:4" x14ac:dyDescent="0.35">
      <c r="A991">
        <v>2009</v>
      </c>
      <c r="B991" t="s">
        <v>34</v>
      </c>
      <c r="C991" t="s">
        <v>114</v>
      </c>
      <c r="D991">
        <v>68</v>
      </c>
    </row>
    <row r="992" spans="1:4" x14ac:dyDescent="0.35">
      <c r="A992">
        <v>2009</v>
      </c>
      <c r="B992" t="s">
        <v>34</v>
      </c>
      <c r="C992" t="s">
        <v>115</v>
      </c>
      <c r="D992">
        <v>359</v>
      </c>
    </row>
    <row r="993" spans="1:4" x14ac:dyDescent="0.35">
      <c r="A993">
        <v>2009</v>
      </c>
      <c r="B993" t="s">
        <v>34</v>
      </c>
      <c r="C993" t="s">
        <v>116</v>
      </c>
      <c r="D993">
        <v>101</v>
      </c>
    </row>
    <row r="994" spans="1:4" x14ac:dyDescent="0.35">
      <c r="A994">
        <v>2009</v>
      </c>
      <c r="B994" t="s">
        <v>33</v>
      </c>
      <c r="C994" t="s">
        <v>117</v>
      </c>
      <c r="D994">
        <v>537</v>
      </c>
    </row>
    <row r="995" spans="1:4" x14ac:dyDescent="0.35">
      <c r="A995">
        <v>2009</v>
      </c>
      <c r="B995" t="s">
        <v>34</v>
      </c>
      <c r="C995" t="s">
        <v>118</v>
      </c>
      <c r="D995">
        <v>580</v>
      </c>
    </row>
    <row r="996" spans="1:4" x14ac:dyDescent="0.35">
      <c r="A996">
        <v>2009</v>
      </c>
      <c r="B996" t="s">
        <v>35</v>
      </c>
      <c r="C996" t="s">
        <v>119</v>
      </c>
      <c r="D996">
        <v>26</v>
      </c>
    </row>
    <row r="997" spans="1:4" x14ac:dyDescent="0.35">
      <c r="A997">
        <v>2009</v>
      </c>
      <c r="B997" t="s">
        <v>34</v>
      </c>
      <c r="C997" t="s">
        <v>120</v>
      </c>
      <c r="D997">
        <v>29</v>
      </c>
    </row>
    <row r="998" spans="1:4" x14ac:dyDescent="0.35">
      <c r="A998">
        <v>2009</v>
      </c>
      <c r="B998" t="s">
        <v>34</v>
      </c>
      <c r="C998" t="s">
        <v>121</v>
      </c>
      <c r="D998">
        <v>59</v>
      </c>
    </row>
    <row r="999" spans="1:4" x14ac:dyDescent="0.35">
      <c r="A999">
        <v>2009</v>
      </c>
      <c r="B999" t="s">
        <v>34</v>
      </c>
      <c r="C999" t="s">
        <v>122</v>
      </c>
      <c r="D999">
        <v>657</v>
      </c>
    </row>
    <row r="1000" spans="1:4" x14ac:dyDescent="0.35">
      <c r="A1000">
        <v>2009</v>
      </c>
      <c r="B1000" t="s">
        <v>35</v>
      </c>
      <c r="C1000" t="s">
        <v>123</v>
      </c>
      <c r="D1000">
        <v>30</v>
      </c>
    </row>
    <row r="1001" spans="1:4" x14ac:dyDescent="0.35">
      <c r="A1001">
        <v>2009</v>
      </c>
      <c r="B1001" t="s">
        <v>34</v>
      </c>
      <c r="C1001" t="s">
        <v>124</v>
      </c>
      <c r="D1001">
        <v>216</v>
      </c>
    </row>
    <row r="1002" spans="1:4" x14ac:dyDescent="0.35">
      <c r="A1002">
        <v>2009</v>
      </c>
      <c r="B1002" t="s">
        <v>33</v>
      </c>
      <c r="C1002" t="s">
        <v>125</v>
      </c>
      <c r="D1002">
        <v>338</v>
      </c>
    </row>
    <row r="1003" spans="1:4" x14ac:dyDescent="0.35">
      <c r="A1003">
        <v>2009</v>
      </c>
      <c r="B1003" t="s">
        <v>33</v>
      </c>
      <c r="C1003" t="s">
        <v>126</v>
      </c>
      <c r="D1003">
        <v>14</v>
      </c>
    </row>
    <row r="1004" spans="1:4" x14ac:dyDescent="0.35">
      <c r="A1004">
        <v>2009</v>
      </c>
      <c r="B1004" t="s">
        <v>35</v>
      </c>
      <c r="C1004" t="s">
        <v>127</v>
      </c>
      <c r="D1004">
        <v>94</v>
      </c>
    </row>
    <row r="1005" spans="1:4" x14ac:dyDescent="0.35">
      <c r="A1005">
        <v>2009</v>
      </c>
      <c r="B1005" t="s">
        <v>34</v>
      </c>
      <c r="C1005" t="s">
        <v>369</v>
      </c>
      <c r="D1005" t="s">
        <v>205</v>
      </c>
    </row>
    <row r="1006" spans="1:4" x14ac:dyDescent="0.35">
      <c r="A1006">
        <v>2009</v>
      </c>
      <c r="B1006" t="s">
        <v>33</v>
      </c>
      <c r="C1006" t="s">
        <v>130</v>
      </c>
      <c r="D1006">
        <v>10</v>
      </c>
    </row>
    <row r="1007" spans="1:4" x14ac:dyDescent="0.35">
      <c r="A1007">
        <v>2009</v>
      </c>
      <c r="B1007" t="s">
        <v>34</v>
      </c>
      <c r="C1007" t="s">
        <v>131</v>
      </c>
      <c r="D1007">
        <v>60</v>
      </c>
    </row>
    <row r="1008" spans="1:4" x14ac:dyDescent="0.35">
      <c r="A1008">
        <v>2009</v>
      </c>
      <c r="B1008" t="s">
        <v>33</v>
      </c>
      <c r="C1008" t="s">
        <v>132</v>
      </c>
      <c r="D1008">
        <v>140</v>
      </c>
    </row>
    <row r="1009" spans="1:4" x14ac:dyDescent="0.35">
      <c r="A1009">
        <v>2009</v>
      </c>
      <c r="B1009" t="s">
        <v>35</v>
      </c>
      <c r="C1009" t="s">
        <v>133</v>
      </c>
      <c r="D1009" t="s">
        <v>205</v>
      </c>
    </row>
    <row r="1010" spans="1:4" x14ac:dyDescent="0.35">
      <c r="A1010">
        <v>2009</v>
      </c>
      <c r="B1010" t="s">
        <v>37</v>
      </c>
      <c r="C1010" t="s">
        <v>134</v>
      </c>
      <c r="D1010">
        <v>20</v>
      </c>
    </row>
    <row r="1011" spans="1:4" x14ac:dyDescent="0.35">
      <c r="A1011">
        <v>2009</v>
      </c>
      <c r="B1011" t="s">
        <v>33</v>
      </c>
      <c r="C1011" t="s">
        <v>135</v>
      </c>
      <c r="D1011">
        <v>141</v>
      </c>
    </row>
    <row r="1012" spans="1:4" x14ac:dyDescent="0.35">
      <c r="A1012">
        <v>2009</v>
      </c>
      <c r="B1012" t="s">
        <v>36</v>
      </c>
      <c r="C1012" t="s">
        <v>14</v>
      </c>
      <c r="D1012">
        <v>731218</v>
      </c>
    </row>
    <row r="1013" spans="1:4" x14ac:dyDescent="0.35">
      <c r="A1013">
        <v>2009</v>
      </c>
      <c r="B1013" t="s">
        <v>37</v>
      </c>
      <c r="C1013" t="s">
        <v>137</v>
      </c>
      <c r="D1013">
        <v>88</v>
      </c>
    </row>
    <row r="1014" spans="1:4" x14ac:dyDescent="0.35">
      <c r="A1014">
        <v>2009</v>
      </c>
      <c r="B1014" t="s">
        <v>35</v>
      </c>
      <c r="C1014" t="s">
        <v>138</v>
      </c>
      <c r="D1014">
        <v>98</v>
      </c>
    </row>
    <row r="1015" spans="1:4" x14ac:dyDescent="0.35">
      <c r="A1015">
        <v>2009</v>
      </c>
      <c r="B1015" t="s">
        <v>34</v>
      </c>
      <c r="C1015" t="s">
        <v>139</v>
      </c>
      <c r="D1015">
        <v>142</v>
      </c>
    </row>
    <row r="1016" spans="1:4" x14ac:dyDescent="0.35">
      <c r="A1016">
        <v>2009</v>
      </c>
      <c r="B1016" t="s">
        <v>35</v>
      </c>
      <c r="C1016" t="s">
        <v>140</v>
      </c>
      <c r="D1016">
        <v>4</v>
      </c>
    </row>
    <row r="1017" spans="1:4" x14ac:dyDescent="0.35">
      <c r="A1017">
        <v>2009</v>
      </c>
      <c r="B1017" t="s">
        <v>36</v>
      </c>
      <c r="C1017" t="s">
        <v>370</v>
      </c>
      <c r="D1017">
        <v>9</v>
      </c>
    </row>
    <row r="1018" spans="1:4" x14ac:dyDescent="0.35">
      <c r="A1018">
        <v>2009</v>
      </c>
      <c r="B1018" t="s">
        <v>33</v>
      </c>
      <c r="C1018" t="s">
        <v>141</v>
      </c>
      <c r="D1018">
        <v>232</v>
      </c>
    </row>
    <row r="1019" spans="1:4" x14ac:dyDescent="0.35">
      <c r="A1019">
        <v>2009</v>
      </c>
      <c r="B1019" t="s">
        <v>34</v>
      </c>
      <c r="C1019" t="s">
        <v>144</v>
      </c>
      <c r="D1019">
        <v>148</v>
      </c>
    </row>
    <row r="1020" spans="1:4" x14ac:dyDescent="0.35">
      <c r="A1020">
        <v>2009</v>
      </c>
      <c r="B1020" t="s">
        <v>35</v>
      </c>
      <c r="C1020" t="s">
        <v>145</v>
      </c>
      <c r="D1020">
        <v>92</v>
      </c>
    </row>
    <row r="1021" spans="1:4" x14ac:dyDescent="0.35">
      <c r="A1021">
        <v>2009</v>
      </c>
      <c r="B1021" t="s">
        <v>36</v>
      </c>
      <c r="C1021" t="s">
        <v>371</v>
      </c>
      <c r="D1021">
        <v>4</v>
      </c>
    </row>
    <row r="1022" spans="1:4" x14ac:dyDescent="0.35">
      <c r="A1022">
        <v>2009</v>
      </c>
      <c r="B1022" t="s">
        <v>37</v>
      </c>
      <c r="C1022" t="s">
        <v>146</v>
      </c>
      <c r="D1022">
        <v>38</v>
      </c>
    </row>
    <row r="1023" spans="1:4" x14ac:dyDescent="0.35">
      <c r="A1023">
        <v>2009</v>
      </c>
      <c r="B1023" t="s">
        <v>36</v>
      </c>
      <c r="C1023" t="s">
        <v>147</v>
      </c>
      <c r="D1023">
        <v>2739</v>
      </c>
    </row>
    <row r="1024" spans="1:4" x14ac:dyDescent="0.35">
      <c r="A1024">
        <v>2009</v>
      </c>
      <c r="B1024" t="s">
        <v>33</v>
      </c>
      <c r="C1024" t="s">
        <v>148</v>
      </c>
      <c r="D1024">
        <v>54</v>
      </c>
    </row>
    <row r="1025" spans="1:4" x14ac:dyDescent="0.35">
      <c r="A1025">
        <v>2009</v>
      </c>
      <c r="B1025" t="s">
        <v>33</v>
      </c>
      <c r="C1025" t="s">
        <v>149</v>
      </c>
      <c r="D1025">
        <v>624</v>
      </c>
    </row>
    <row r="1026" spans="1:4" x14ac:dyDescent="0.35">
      <c r="A1026">
        <v>2009</v>
      </c>
      <c r="B1026" t="s">
        <v>35</v>
      </c>
      <c r="C1026" t="s">
        <v>322</v>
      </c>
      <c r="D1026">
        <v>62</v>
      </c>
    </row>
    <row r="1027" spans="1:4" x14ac:dyDescent="0.35">
      <c r="A1027">
        <v>2009</v>
      </c>
      <c r="B1027" t="s">
        <v>35</v>
      </c>
      <c r="C1027" t="s">
        <v>150</v>
      </c>
      <c r="D1027">
        <v>8</v>
      </c>
    </row>
    <row r="1028" spans="1:4" x14ac:dyDescent="0.35">
      <c r="A1028">
        <v>2009</v>
      </c>
      <c r="B1028" t="s">
        <v>34</v>
      </c>
      <c r="C1028" t="s">
        <v>152</v>
      </c>
      <c r="D1028">
        <v>578</v>
      </c>
    </row>
    <row r="1029" spans="1:4" x14ac:dyDescent="0.35">
      <c r="A1029">
        <v>2009</v>
      </c>
      <c r="B1029" t="s">
        <v>37</v>
      </c>
      <c r="C1029" t="s">
        <v>153</v>
      </c>
      <c r="D1029">
        <v>19</v>
      </c>
    </row>
    <row r="1030" spans="1:4" x14ac:dyDescent="0.35">
      <c r="A1030">
        <v>2009</v>
      </c>
      <c r="B1030" t="s">
        <v>36</v>
      </c>
      <c r="C1030" t="s">
        <v>154</v>
      </c>
      <c r="D1030">
        <v>268</v>
      </c>
    </row>
    <row r="1031" spans="1:4" x14ac:dyDescent="0.35">
      <c r="A1031">
        <v>2009</v>
      </c>
      <c r="B1031" t="s">
        <v>38</v>
      </c>
      <c r="C1031" t="s">
        <v>155</v>
      </c>
      <c r="D1031">
        <v>47</v>
      </c>
    </row>
    <row r="1032" spans="1:4" x14ac:dyDescent="0.35">
      <c r="A1032">
        <v>2009</v>
      </c>
      <c r="B1032" t="s">
        <v>38</v>
      </c>
      <c r="C1032" t="s">
        <v>156</v>
      </c>
      <c r="D1032">
        <v>2079</v>
      </c>
    </row>
    <row r="1033" spans="1:4" x14ac:dyDescent="0.35">
      <c r="A1033">
        <v>2009</v>
      </c>
      <c r="B1033" t="s">
        <v>34</v>
      </c>
      <c r="C1033" t="s">
        <v>18</v>
      </c>
      <c r="D1033">
        <v>1080</v>
      </c>
    </row>
    <row r="1034" spans="1:4" x14ac:dyDescent="0.35">
      <c r="A1034">
        <v>2009</v>
      </c>
      <c r="B1034" t="s">
        <v>35</v>
      </c>
      <c r="C1034" t="s">
        <v>157</v>
      </c>
      <c r="D1034">
        <v>571</v>
      </c>
    </row>
    <row r="1035" spans="1:4" x14ac:dyDescent="0.35">
      <c r="A1035">
        <v>2009</v>
      </c>
      <c r="B1035" t="s">
        <v>35</v>
      </c>
      <c r="C1035" t="s">
        <v>158</v>
      </c>
      <c r="D1035">
        <v>220</v>
      </c>
    </row>
    <row r="1036" spans="1:4" x14ac:dyDescent="0.35">
      <c r="A1036">
        <v>2009</v>
      </c>
      <c r="B1036" t="s">
        <v>35</v>
      </c>
      <c r="C1036" t="s">
        <v>160</v>
      </c>
      <c r="D1036">
        <v>255</v>
      </c>
    </row>
    <row r="1037" spans="1:4" x14ac:dyDescent="0.35">
      <c r="A1037">
        <v>2009</v>
      </c>
      <c r="B1037" t="s">
        <v>35</v>
      </c>
      <c r="C1037" t="s">
        <v>161</v>
      </c>
      <c r="D1037">
        <v>565</v>
      </c>
    </row>
    <row r="1038" spans="1:4" x14ac:dyDescent="0.35">
      <c r="A1038">
        <v>2009</v>
      </c>
      <c r="B1038" t="s">
        <v>33</v>
      </c>
      <c r="C1038" t="s">
        <v>162</v>
      </c>
      <c r="D1038">
        <v>23</v>
      </c>
    </row>
    <row r="1039" spans="1:4" x14ac:dyDescent="0.35">
      <c r="A1039">
        <v>2009</v>
      </c>
      <c r="B1039" t="s">
        <v>36</v>
      </c>
      <c r="C1039" t="s">
        <v>163</v>
      </c>
      <c r="D1039">
        <v>45</v>
      </c>
    </row>
    <row r="1040" spans="1:4" x14ac:dyDescent="0.35">
      <c r="A1040">
        <v>2009</v>
      </c>
      <c r="B1040" t="s">
        <v>36</v>
      </c>
      <c r="C1040" t="s">
        <v>164</v>
      </c>
      <c r="D1040">
        <v>71</v>
      </c>
    </row>
    <row r="1041" spans="1:4" x14ac:dyDescent="0.35">
      <c r="A1041">
        <v>2009</v>
      </c>
      <c r="B1041" t="s">
        <v>36</v>
      </c>
      <c r="C1041" t="s">
        <v>165</v>
      </c>
      <c r="D1041">
        <v>63</v>
      </c>
    </row>
    <row r="1042" spans="1:4" x14ac:dyDescent="0.35">
      <c r="A1042">
        <v>2009</v>
      </c>
      <c r="B1042" t="s">
        <v>37</v>
      </c>
      <c r="C1042" t="s">
        <v>166</v>
      </c>
      <c r="D1042">
        <v>57</v>
      </c>
    </row>
    <row r="1043" spans="1:4" x14ac:dyDescent="0.35">
      <c r="A1043">
        <v>2009</v>
      </c>
      <c r="B1043" t="s">
        <v>34</v>
      </c>
      <c r="C1043" t="s">
        <v>167</v>
      </c>
      <c r="D1043">
        <v>70</v>
      </c>
    </row>
    <row r="1044" spans="1:4" x14ac:dyDescent="0.35">
      <c r="A1044">
        <v>2009</v>
      </c>
      <c r="B1044" t="s">
        <v>33</v>
      </c>
      <c r="C1044" t="s">
        <v>168</v>
      </c>
      <c r="D1044">
        <v>157</v>
      </c>
    </row>
    <row r="1045" spans="1:4" x14ac:dyDescent="0.35">
      <c r="A1045">
        <v>2009</v>
      </c>
      <c r="B1045" t="s">
        <v>35</v>
      </c>
      <c r="C1045" t="s">
        <v>169</v>
      </c>
      <c r="D1045">
        <v>6</v>
      </c>
    </row>
    <row r="1046" spans="1:4" x14ac:dyDescent="0.35">
      <c r="A1046">
        <v>2009</v>
      </c>
      <c r="B1046" t="s">
        <v>35</v>
      </c>
      <c r="C1046" t="s">
        <v>215</v>
      </c>
      <c r="D1046">
        <v>219</v>
      </c>
    </row>
    <row r="1047" spans="1:4" x14ac:dyDescent="0.35">
      <c r="A1047">
        <v>2009</v>
      </c>
      <c r="B1047" t="s">
        <v>33</v>
      </c>
      <c r="C1047" t="s">
        <v>170</v>
      </c>
      <c r="D1047">
        <v>192</v>
      </c>
    </row>
    <row r="1048" spans="1:4" x14ac:dyDescent="0.35">
      <c r="A1048">
        <v>2009</v>
      </c>
      <c r="B1048" t="s">
        <v>34</v>
      </c>
      <c r="C1048" t="s">
        <v>171</v>
      </c>
      <c r="D1048">
        <v>21</v>
      </c>
    </row>
    <row r="1049" spans="1:4" x14ac:dyDescent="0.35">
      <c r="A1049">
        <v>2009</v>
      </c>
      <c r="B1049" t="s">
        <v>35</v>
      </c>
      <c r="C1049" t="s">
        <v>172</v>
      </c>
      <c r="D1049">
        <v>40</v>
      </c>
    </row>
    <row r="1050" spans="1:4" x14ac:dyDescent="0.35">
      <c r="A1050">
        <v>2009</v>
      </c>
      <c r="B1050" t="s">
        <v>35</v>
      </c>
      <c r="C1050" t="s">
        <v>173</v>
      </c>
      <c r="D1050">
        <v>11</v>
      </c>
    </row>
    <row r="1051" spans="1:4" x14ac:dyDescent="0.35">
      <c r="A1051">
        <v>2009</v>
      </c>
      <c r="B1051" t="s">
        <v>33</v>
      </c>
      <c r="C1051" t="s">
        <v>174</v>
      </c>
      <c r="D1051">
        <v>237</v>
      </c>
    </row>
    <row r="1052" spans="1:4" x14ac:dyDescent="0.35">
      <c r="A1052">
        <v>2009</v>
      </c>
      <c r="B1052" t="s">
        <v>33</v>
      </c>
      <c r="C1052" t="s">
        <v>175</v>
      </c>
      <c r="D1052">
        <v>149</v>
      </c>
    </row>
    <row r="1053" spans="1:4" x14ac:dyDescent="0.35">
      <c r="A1053">
        <v>2009</v>
      </c>
      <c r="B1053" t="s">
        <v>33</v>
      </c>
      <c r="C1053" t="s">
        <v>176</v>
      </c>
      <c r="D1053" t="s">
        <v>206</v>
      </c>
    </row>
    <row r="1054" spans="1:4" x14ac:dyDescent="0.35">
      <c r="A1054">
        <v>2009</v>
      </c>
      <c r="B1054" t="s">
        <v>35</v>
      </c>
      <c r="C1054" t="s">
        <v>216</v>
      </c>
      <c r="D1054">
        <v>62</v>
      </c>
    </row>
    <row r="1055" spans="1:4" x14ac:dyDescent="0.35">
      <c r="A1055">
        <v>2009</v>
      </c>
      <c r="B1055" t="s">
        <v>35</v>
      </c>
      <c r="C1055" t="s">
        <v>177</v>
      </c>
      <c r="D1055">
        <v>92</v>
      </c>
    </row>
    <row r="1056" spans="1:4" x14ac:dyDescent="0.35">
      <c r="A1056">
        <v>2009</v>
      </c>
      <c r="B1056" t="s">
        <v>34</v>
      </c>
      <c r="C1056" t="s">
        <v>178</v>
      </c>
      <c r="D1056">
        <v>135</v>
      </c>
    </row>
    <row r="1057" spans="1:4" x14ac:dyDescent="0.35">
      <c r="A1057">
        <v>2009</v>
      </c>
      <c r="B1057" t="s">
        <v>33</v>
      </c>
      <c r="C1057" t="s">
        <v>179</v>
      </c>
      <c r="D1057">
        <v>202</v>
      </c>
    </row>
    <row r="1058" spans="1:4" x14ac:dyDescent="0.35">
      <c r="A1058">
        <v>2009</v>
      </c>
      <c r="B1058" t="s">
        <v>38</v>
      </c>
      <c r="C1058" t="s">
        <v>180</v>
      </c>
      <c r="D1058">
        <v>28</v>
      </c>
    </row>
    <row r="1059" spans="1:4" x14ac:dyDescent="0.35">
      <c r="A1059">
        <v>2009</v>
      </c>
      <c r="B1059" t="s">
        <v>35</v>
      </c>
      <c r="C1059" t="s">
        <v>182</v>
      </c>
      <c r="D1059">
        <v>44</v>
      </c>
    </row>
    <row r="1060" spans="1:4" x14ac:dyDescent="0.35">
      <c r="A1060">
        <v>2009</v>
      </c>
      <c r="B1060" t="s">
        <v>35</v>
      </c>
      <c r="C1060" t="s">
        <v>183</v>
      </c>
      <c r="D1060">
        <v>19</v>
      </c>
    </row>
    <row r="1061" spans="1:4" x14ac:dyDescent="0.35">
      <c r="A1061">
        <v>2009</v>
      </c>
      <c r="B1061" t="s">
        <v>34</v>
      </c>
      <c r="C1061" t="s">
        <v>184</v>
      </c>
      <c r="D1061">
        <v>91</v>
      </c>
    </row>
    <row r="1062" spans="1:4" x14ac:dyDescent="0.35">
      <c r="A1062">
        <v>2009</v>
      </c>
      <c r="B1062" t="s">
        <v>34</v>
      </c>
      <c r="C1062" t="s">
        <v>185</v>
      </c>
      <c r="D1062">
        <v>61</v>
      </c>
    </row>
    <row r="1063" spans="1:4" x14ac:dyDescent="0.35">
      <c r="A1063">
        <v>2009</v>
      </c>
      <c r="B1063" t="s">
        <v>34</v>
      </c>
      <c r="C1063" t="s">
        <v>186</v>
      </c>
      <c r="D1063">
        <v>90</v>
      </c>
    </row>
    <row r="1064" spans="1:4" x14ac:dyDescent="0.35">
      <c r="A1064">
        <v>2009</v>
      </c>
      <c r="B1064" t="s">
        <v>33</v>
      </c>
      <c r="C1064" t="s">
        <v>187</v>
      </c>
      <c r="D1064">
        <v>81</v>
      </c>
    </row>
    <row r="1065" spans="1:4" x14ac:dyDescent="0.35">
      <c r="A1065">
        <v>2009</v>
      </c>
      <c r="B1065" t="s">
        <v>34</v>
      </c>
      <c r="C1065" t="s">
        <v>188</v>
      </c>
      <c r="D1065">
        <v>304</v>
      </c>
    </row>
    <row r="1066" spans="1:4" x14ac:dyDescent="0.35">
      <c r="A1066">
        <v>2009</v>
      </c>
      <c r="B1066" t="s">
        <v>33</v>
      </c>
      <c r="C1066" t="s">
        <v>189</v>
      </c>
      <c r="D1066">
        <v>44</v>
      </c>
    </row>
    <row r="1067" spans="1:4" x14ac:dyDescent="0.35">
      <c r="A1067">
        <v>2009</v>
      </c>
      <c r="B1067" t="s">
        <v>37</v>
      </c>
      <c r="C1067" t="s">
        <v>190</v>
      </c>
      <c r="D1067">
        <v>76</v>
      </c>
    </row>
    <row r="1068" spans="1:4" x14ac:dyDescent="0.35">
      <c r="A1068">
        <v>2009</v>
      </c>
      <c r="B1068" t="s">
        <v>36</v>
      </c>
      <c r="C1068" t="s">
        <v>191</v>
      </c>
      <c r="D1068">
        <v>729</v>
      </c>
    </row>
    <row r="1069" spans="1:4" x14ac:dyDescent="0.35">
      <c r="A1069">
        <v>2009</v>
      </c>
      <c r="B1069" t="s">
        <v>33</v>
      </c>
      <c r="C1069" t="s">
        <v>192</v>
      </c>
      <c r="D1069">
        <v>47</v>
      </c>
    </row>
    <row r="1070" spans="1:4" x14ac:dyDescent="0.35">
      <c r="A1070">
        <v>2009</v>
      </c>
      <c r="B1070" t="s">
        <v>34</v>
      </c>
      <c r="C1070" t="s">
        <v>193</v>
      </c>
      <c r="D1070">
        <v>317</v>
      </c>
    </row>
    <row r="1071" spans="1:4" x14ac:dyDescent="0.35">
      <c r="A1071">
        <v>2009</v>
      </c>
      <c r="B1071" t="s">
        <v>34</v>
      </c>
      <c r="C1071" t="s">
        <v>194</v>
      </c>
      <c r="D1071">
        <v>20</v>
      </c>
    </row>
    <row r="1072" spans="1:4" x14ac:dyDescent="0.35">
      <c r="A1072">
        <v>2009</v>
      </c>
      <c r="B1072" t="s">
        <v>36</v>
      </c>
      <c r="C1072" t="s">
        <v>372</v>
      </c>
      <c r="D1072">
        <v>11</v>
      </c>
    </row>
    <row r="1073" spans="1:4" x14ac:dyDescent="0.35">
      <c r="A1073">
        <v>2009</v>
      </c>
      <c r="B1073" t="s">
        <v>33</v>
      </c>
      <c r="C1073" t="s">
        <v>195</v>
      </c>
      <c r="D1073">
        <v>65</v>
      </c>
    </row>
    <row r="1074" spans="1:4" x14ac:dyDescent="0.35">
      <c r="A1074">
        <v>2009</v>
      </c>
      <c r="B1074" t="s">
        <v>35</v>
      </c>
      <c r="C1074" t="s">
        <v>196</v>
      </c>
      <c r="D1074">
        <v>374</v>
      </c>
    </row>
    <row r="1075" spans="1:4" x14ac:dyDescent="0.35">
      <c r="A1075">
        <v>2009</v>
      </c>
      <c r="B1075" t="s">
        <v>34</v>
      </c>
      <c r="C1075" t="s">
        <v>197</v>
      </c>
      <c r="D1075">
        <v>7</v>
      </c>
    </row>
    <row r="1076" spans="1:4" x14ac:dyDescent="0.35">
      <c r="A1076">
        <v>2009</v>
      </c>
      <c r="B1076" t="s">
        <v>35</v>
      </c>
      <c r="C1076" t="s">
        <v>198</v>
      </c>
      <c r="D1076">
        <v>486</v>
      </c>
    </row>
    <row r="1077" spans="1:4" x14ac:dyDescent="0.35">
      <c r="A1077">
        <v>2009</v>
      </c>
      <c r="B1077" t="s">
        <v>39</v>
      </c>
      <c r="C1077" t="s">
        <v>39</v>
      </c>
      <c r="D1077">
        <v>600</v>
      </c>
    </row>
    <row r="1078" spans="1:4" x14ac:dyDescent="0.35">
      <c r="A1078">
        <v>2009</v>
      </c>
      <c r="B1078" t="s">
        <v>38</v>
      </c>
      <c r="C1078" t="s">
        <v>199</v>
      </c>
      <c r="D1078">
        <v>221</v>
      </c>
    </row>
    <row r="1079" spans="1:4" x14ac:dyDescent="0.35">
      <c r="A1079">
        <v>2009</v>
      </c>
      <c r="B1079" t="s">
        <v>34</v>
      </c>
      <c r="C1079" t="s">
        <v>200</v>
      </c>
      <c r="D1079">
        <v>198</v>
      </c>
    </row>
    <row r="1080" spans="1:4" x14ac:dyDescent="0.35">
      <c r="A1080">
        <v>2009</v>
      </c>
      <c r="B1080" t="s">
        <v>38</v>
      </c>
      <c r="C1080" t="s">
        <v>19</v>
      </c>
      <c r="D1080">
        <v>862</v>
      </c>
    </row>
    <row r="1081" spans="1:4" x14ac:dyDescent="0.35">
      <c r="A1081">
        <v>2009</v>
      </c>
      <c r="B1081" t="s">
        <v>34</v>
      </c>
      <c r="C1081" t="s">
        <v>201</v>
      </c>
      <c r="D1081">
        <v>1374</v>
      </c>
    </row>
    <row r="1082" spans="1:4" x14ac:dyDescent="0.35">
      <c r="A1082">
        <v>2009</v>
      </c>
      <c r="B1082" t="s">
        <v>34</v>
      </c>
      <c r="C1082" t="s">
        <v>202</v>
      </c>
      <c r="D1082">
        <v>82</v>
      </c>
    </row>
    <row r="1083" spans="1:4" x14ac:dyDescent="0.35">
      <c r="A1083">
        <v>2009</v>
      </c>
      <c r="B1083" t="s">
        <v>33</v>
      </c>
      <c r="C1083" t="s">
        <v>203</v>
      </c>
      <c r="D1083">
        <v>63</v>
      </c>
    </row>
    <row r="1084" spans="1:4" x14ac:dyDescent="0.35">
      <c r="A1084">
        <v>2009</v>
      </c>
      <c r="B1084" t="s">
        <v>33</v>
      </c>
      <c r="C1084" t="s">
        <v>204</v>
      </c>
      <c r="D1084">
        <v>80</v>
      </c>
    </row>
    <row r="1085" spans="1:4" x14ac:dyDescent="0.35">
      <c r="A1085">
        <v>2010</v>
      </c>
      <c r="B1085" t="s">
        <v>34</v>
      </c>
      <c r="C1085" t="s">
        <v>40</v>
      </c>
      <c r="D1085">
        <v>92</v>
      </c>
    </row>
    <row r="1086" spans="1:4" x14ac:dyDescent="0.35">
      <c r="A1086">
        <v>2010</v>
      </c>
      <c r="B1086" t="s">
        <v>35</v>
      </c>
      <c r="C1086" t="s">
        <v>41</v>
      </c>
      <c r="D1086">
        <v>321</v>
      </c>
    </row>
    <row r="1087" spans="1:4" x14ac:dyDescent="0.35">
      <c r="A1087">
        <v>2010</v>
      </c>
      <c r="B1087" t="s">
        <v>33</v>
      </c>
      <c r="C1087" t="s">
        <v>42</v>
      </c>
      <c r="D1087">
        <v>62</v>
      </c>
    </row>
    <row r="1088" spans="1:4" x14ac:dyDescent="0.35">
      <c r="A1088">
        <v>2010</v>
      </c>
      <c r="C1088" t="s">
        <v>373</v>
      </c>
      <c r="D1088">
        <v>95</v>
      </c>
    </row>
    <row r="1089" spans="1:4" x14ac:dyDescent="0.35">
      <c r="A1089">
        <v>2010</v>
      </c>
      <c r="B1089" t="s">
        <v>33</v>
      </c>
      <c r="C1089" t="s">
        <v>43</v>
      </c>
      <c r="D1089">
        <v>22</v>
      </c>
    </row>
    <row r="1090" spans="1:4" x14ac:dyDescent="0.35">
      <c r="A1090">
        <v>2010</v>
      </c>
      <c r="B1090" t="s">
        <v>36</v>
      </c>
      <c r="C1090" t="s">
        <v>44</v>
      </c>
      <c r="D1090">
        <v>57</v>
      </c>
    </row>
    <row r="1091" spans="1:4" x14ac:dyDescent="0.35">
      <c r="A1091">
        <v>2010</v>
      </c>
      <c r="B1091" t="s">
        <v>38</v>
      </c>
      <c r="C1091" t="s">
        <v>45</v>
      </c>
      <c r="D1091">
        <v>431</v>
      </c>
    </row>
    <row r="1092" spans="1:4" x14ac:dyDescent="0.35">
      <c r="A1092">
        <v>2010</v>
      </c>
      <c r="B1092" t="s">
        <v>34</v>
      </c>
      <c r="C1092" t="s">
        <v>46</v>
      </c>
      <c r="D1092">
        <v>239</v>
      </c>
    </row>
    <row r="1093" spans="1:4" x14ac:dyDescent="0.35">
      <c r="A1093">
        <v>2010</v>
      </c>
      <c r="B1093" t="s">
        <v>37</v>
      </c>
      <c r="C1093" t="s">
        <v>47</v>
      </c>
      <c r="D1093">
        <v>76</v>
      </c>
    </row>
    <row r="1094" spans="1:4" x14ac:dyDescent="0.35">
      <c r="A1094">
        <v>2010</v>
      </c>
      <c r="B1094" t="s">
        <v>35</v>
      </c>
      <c r="C1094" t="s">
        <v>48</v>
      </c>
      <c r="D1094">
        <v>22</v>
      </c>
    </row>
    <row r="1095" spans="1:4" x14ac:dyDescent="0.35">
      <c r="A1095">
        <v>2010</v>
      </c>
      <c r="B1095" t="s">
        <v>34</v>
      </c>
      <c r="C1095" t="s">
        <v>49</v>
      </c>
      <c r="D1095">
        <v>30</v>
      </c>
    </row>
    <row r="1096" spans="1:4" x14ac:dyDescent="0.35">
      <c r="A1096">
        <v>2010</v>
      </c>
      <c r="B1096" t="s">
        <v>36</v>
      </c>
      <c r="C1096" t="s">
        <v>50</v>
      </c>
      <c r="D1096">
        <v>279</v>
      </c>
    </row>
    <row r="1097" spans="1:4" x14ac:dyDescent="0.35">
      <c r="A1097">
        <v>2010</v>
      </c>
      <c r="B1097" t="s">
        <v>34</v>
      </c>
      <c r="C1097" t="s">
        <v>51</v>
      </c>
      <c r="D1097">
        <v>5</v>
      </c>
    </row>
    <row r="1098" spans="1:4" x14ac:dyDescent="0.35">
      <c r="A1098">
        <v>2010</v>
      </c>
      <c r="B1098" t="s">
        <v>34</v>
      </c>
      <c r="C1098" t="s">
        <v>52</v>
      </c>
      <c r="D1098">
        <v>325</v>
      </c>
    </row>
    <row r="1099" spans="1:4" x14ac:dyDescent="0.35">
      <c r="A1099">
        <v>2010</v>
      </c>
      <c r="B1099" t="s">
        <v>36</v>
      </c>
      <c r="C1099" t="s">
        <v>53</v>
      </c>
      <c r="D1099">
        <v>82</v>
      </c>
    </row>
    <row r="1100" spans="1:4" x14ac:dyDescent="0.35">
      <c r="A1100">
        <v>2010</v>
      </c>
      <c r="B1100" t="s">
        <v>35</v>
      </c>
      <c r="C1100" t="s">
        <v>54</v>
      </c>
      <c r="D1100">
        <v>66</v>
      </c>
    </row>
    <row r="1101" spans="1:4" x14ac:dyDescent="0.35">
      <c r="A1101">
        <v>2010</v>
      </c>
      <c r="B1101" t="s">
        <v>35</v>
      </c>
      <c r="C1101" t="s">
        <v>55</v>
      </c>
      <c r="D1101">
        <v>24</v>
      </c>
    </row>
    <row r="1102" spans="1:4" x14ac:dyDescent="0.35">
      <c r="A1102">
        <v>2010</v>
      </c>
      <c r="B1102" t="s">
        <v>36</v>
      </c>
      <c r="C1102" t="s">
        <v>56</v>
      </c>
      <c r="D1102">
        <v>338</v>
      </c>
    </row>
    <row r="1103" spans="1:4" x14ac:dyDescent="0.35">
      <c r="A1103">
        <v>2010</v>
      </c>
      <c r="B1103" t="s">
        <v>33</v>
      </c>
      <c r="C1103" t="s">
        <v>57</v>
      </c>
      <c r="D1103">
        <v>12</v>
      </c>
    </row>
    <row r="1104" spans="1:4" x14ac:dyDescent="0.35">
      <c r="A1104">
        <v>2010</v>
      </c>
      <c r="B1104" t="s">
        <v>36</v>
      </c>
      <c r="C1104" t="s">
        <v>363</v>
      </c>
      <c r="D1104">
        <v>18</v>
      </c>
    </row>
    <row r="1105" spans="1:4" x14ac:dyDescent="0.35">
      <c r="A1105">
        <v>2010</v>
      </c>
      <c r="B1105" t="s">
        <v>38</v>
      </c>
      <c r="C1105" t="s">
        <v>59</v>
      </c>
      <c r="D1105">
        <v>307</v>
      </c>
    </row>
    <row r="1106" spans="1:4" x14ac:dyDescent="0.35">
      <c r="A1106">
        <v>2010</v>
      </c>
      <c r="B1106" t="s">
        <v>35</v>
      </c>
      <c r="C1106" t="s">
        <v>60</v>
      </c>
      <c r="D1106">
        <v>202</v>
      </c>
    </row>
    <row r="1107" spans="1:4" x14ac:dyDescent="0.35">
      <c r="A1107">
        <v>2010</v>
      </c>
      <c r="B1107" t="s">
        <v>38</v>
      </c>
      <c r="C1107" t="s">
        <v>21</v>
      </c>
      <c r="D1107">
        <v>3532</v>
      </c>
    </row>
    <row r="1108" spans="1:4" x14ac:dyDescent="0.35">
      <c r="A1108">
        <v>2010</v>
      </c>
      <c r="B1108" t="s">
        <v>36</v>
      </c>
      <c r="C1108" t="s">
        <v>364</v>
      </c>
      <c r="D1108">
        <v>10</v>
      </c>
    </row>
    <row r="1109" spans="1:4" x14ac:dyDescent="0.35">
      <c r="A1109">
        <v>2010</v>
      </c>
      <c r="B1109" t="s">
        <v>35</v>
      </c>
      <c r="C1109" t="s">
        <v>62</v>
      </c>
      <c r="D1109">
        <v>103</v>
      </c>
    </row>
    <row r="1110" spans="1:4" x14ac:dyDescent="0.35">
      <c r="A1110">
        <v>2010</v>
      </c>
      <c r="B1110" t="s">
        <v>33</v>
      </c>
      <c r="C1110" t="s">
        <v>63</v>
      </c>
      <c r="D1110">
        <v>29</v>
      </c>
    </row>
    <row r="1111" spans="1:4" x14ac:dyDescent="0.35">
      <c r="A1111">
        <v>2010</v>
      </c>
      <c r="B1111" t="s">
        <v>34</v>
      </c>
      <c r="C1111" t="s">
        <v>64</v>
      </c>
      <c r="D1111">
        <v>54</v>
      </c>
    </row>
    <row r="1112" spans="1:4" x14ac:dyDescent="0.35">
      <c r="A1112">
        <v>2010</v>
      </c>
      <c r="B1112" t="s">
        <v>33</v>
      </c>
      <c r="C1112" t="s">
        <v>65</v>
      </c>
      <c r="D1112">
        <v>17</v>
      </c>
    </row>
    <row r="1113" spans="1:4" x14ac:dyDescent="0.35">
      <c r="A1113">
        <v>2010</v>
      </c>
      <c r="B1113" t="s">
        <v>33</v>
      </c>
      <c r="C1113" t="s">
        <v>66</v>
      </c>
      <c r="D1113">
        <v>384</v>
      </c>
    </row>
    <row r="1114" spans="1:4" x14ac:dyDescent="0.35">
      <c r="A1114">
        <v>2010</v>
      </c>
      <c r="B1114" t="s">
        <v>34</v>
      </c>
      <c r="C1114" t="s">
        <v>67</v>
      </c>
      <c r="D1114">
        <v>152</v>
      </c>
    </row>
    <row r="1115" spans="1:4" x14ac:dyDescent="0.35">
      <c r="A1115">
        <v>2010</v>
      </c>
      <c r="B1115" t="s">
        <v>33</v>
      </c>
      <c r="C1115" t="s">
        <v>68</v>
      </c>
      <c r="D1115">
        <v>1486</v>
      </c>
    </row>
    <row r="1116" spans="1:4" x14ac:dyDescent="0.35">
      <c r="A1116">
        <v>2010</v>
      </c>
      <c r="B1116" t="s">
        <v>36</v>
      </c>
      <c r="C1116" t="s">
        <v>69</v>
      </c>
      <c r="D1116">
        <v>118</v>
      </c>
    </row>
    <row r="1117" spans="1:4" x14ac:dyDescent="0.35">
      <c r="A1117">
        <v>2010</v>
      </c>
      <c r="B1117" t="s">
        <v>36</v>
      </c>
      <c r="C1117" t="s">
        <v>365</v>
      </c>
      <c r="D1117">
        <v>10</v>
      </c>
    </row>
    <row r="1118" spans="1:4" x14ac:dyDescent="0.35">
      <c r="A1118">
        <v>2010</v>
      </c>
      <c r="B1118" t="s">
        <v>33</v>
      </c>
      <c r="C1118" t="s">
        <v>70</v>
      </c>
      <c r="D1118">
        <v>12</v>
      </c>
    </row>
    <row r="1119" spans="1:4" x14ac:dyDescent="0.35">
      <c r="A1119">
        <v>2010</v>
      </c>
      <c r="B1119" t="s">
        <v>33</v>
      </c>
      <c r="C1119" t="s">
        <v>71</v>
      </c>
      <c r="D1119">
        <v>5</v>
      </c>
    </row>
    <row r="1120" spans="1:4" x14ac:dyDescent="0.35">
      <c r="A1120">
        <v>2010</v>
      </c>
      <c r="B1120" t="s">
        <v>38</v>
      </c>
      <c r="C1120" t="s">
        <v>72</v>
      </c>
      <c r="D1120">
        <v>285</v>
      </c>
    </row>
    <row r="1121" spans="1:4" x14ac:dyDescent="0.35">
      <c r="A1121">
        <v>2010</v>
      </c>
      <c r="B1121" t="s">
        <v>34</v>
      </c>
      <c r="C1121" t="s">
        <v>73</v>
      </c>
      <c r="D1121">
        <v>2714</v>
      </c>
    </row>
    <row r="1122" spans="1:4" x14ac:dyDescent="0.35">
      <c r="A1122">
        <v>2010</v>
      </c>
      <c r="B1122" t="s">
        <v>38</v>
      </c>
      <c r="C1122" t="s">
        <v>20</v>
      </c>
      <c r="D1122">
        <v>3006</v>
      </c>
    </row>
    <row r="1123" spans="1:4" x14ac:dyDescent="0.35">
      <c r="A1123">
        <v>2010</v>
      </c>
      <c r="B1123" t="s">
        <v>33</v>
      </c>
      <c r="C1123" t="s">
        <v>74</v>
      </c>
      <c r="D1123">
        <v>24</v>
      </c>
    </row>
    <row r="1124" spans="1:4" x14ac:dyDescent="0.35">
      <c r="A1124">
        <v>2010</v>
      </c>
      <c r="B1124" t="s">
        <v>33</v>
      </c>
      <c r="C1124" t="s">
        <v>75</v>
      </c>
      <c r="D1124">
        <v>72</v>
      </c>
    </row>
    <row r="1125" spans="1:4" x14ac:dyDescent="0.35">
      <c r="A1125">
        <v>2010</v>
      </c>
      <c r="B1125" t="s">
        <v>36</v>
      </c>
      <c r="C1125" t="s">
        <v>76</v>
      </c>
      <c r="D1125">
        <v>548</v>
      </c>
    </row>
    <row r="1126" spans="1:4" x14ac:dyDescent="0.35">
      <c r="A1126">
        <v>2010</v>
      </c>
      <c r="B1126" t="s">
        <v>33</v>
      </c>
      <c r="C1126" t="s">
        <v>77</v>
      </c>
      <c r="D1126">
        <v>119</v>
      </c>
    </row>
    <row r="1127" spans="1:4" x14ac:dyDescent="0.35">
      <c r="A1127">
        <v>2010</v>
      </c>
      <c r="B1127" t="s">
        <v>35</v>
      </c>
      <c r="C1127" t="s">
        <v>78</v>
      </c>
      <c r="D1127">
        <v>34</v>
      </c>
    </row>
    <row r="1128" spans="1:4" x14ac:dyDescent="0.35">
      <c r="A1128">
        <v>2010</v>
      </c>
      <c r="B1128" t="s">
        <v>36</v>
      </c>
      <c r="C1128" t="s">
        <v>79</v>
      </c>
      <c r="D1128">
        <v>4030</v>
      </c>
    </row>
    <row r="1129" spans="1:4" x14ac:dyDescent="0.35">
      <c r="A1129">
        <v>2010</v>
      </c>
      <c r="B1129" t="s">
        <v>35</v>
      </c>
      <c r="C1129" t="s">
        <v>81</v>
      </c>
      <c r="D1129">
        <v>107</v>
      </c>
    </row>
    <row r="1130" spans="1:4" x14ac:dyDescent="0.35">
      <c r="A1130">
        <v>2010</v>
      </c>
      <c r="B1130" t="s">
        <v>35</v>
      </c>
      <c r="C1130" t="s">
        <v>214</v>
      </c>
      <c r="D1130">
        <v>19</v>
      </c>
    </row>
    <row r="1131" spans="1:4" x14ac:dyDescent="0.35">
      <c r="A1131">
        <v>2010</v>
      </c>
      <c r="B1131" t="s">
        <v>35</v>
      </c>
      <c r="C1131" t="s">
        <v>82</v>
      </c>
      <c r="D1131">
        <v>14</v>
      </c>
    </row>
    <row r="1132" spans="1:4" x14ac:dyDescent="0.35">
      <c r="A1132">
        <v>2010</v>
      </c>
      <c r="B1132" t="s">
        <v>36</v>
      </c>
      <c r="C1132" t="s">
        <v>84</v>
      </c>
      <c r="D1132">
        <v>64</v>
      </c>
    </row>
    <row r="1133" spans="1:4" x14ac:dyDescent="0.35">
      <c r="A1133">
        <v>2010</v>
      </c>
      <c r="B1133" t="s">
        <v>36</v>
      </c>
      <c r="C1133" t="s">
        <v>85</v>
      </c>
      <c r="D1133">
        <v>5274</v>
      </c>
    </row>
    <row r="1134" spans="1:4" x14ac:dyDescent="0.35">
      <c r="A1134">
        <v>2010</v>
      </c>
      <c r="B1134" t="s">
        <v>38</v>
      </c>
      <c r="C1134" t="s">
        <v>86</v>
      </c>
      <c r="D1134">
        <v>3890</v>
      </c>
    </row>
    <row r="1135" spans="1:4" x14ac:dyDescent="0.35">
      <c r="A1135">
        <v>2010</v>
      </c>
      <c r="B1135" t="s">
        <v>33</v>
      </c>
      <c r="C1135" t="s">
        <v>87</v>
      </c>
      <c r="D1135">
        <v>275</v>
      </c>
    </row>
    <row r="1136" spans="1:4" x14ac:dyDescent="0.35">
      <c r="A1136">
        <v>2010</v>
      </c>
      <c r="B1136" t="s">
        <v>36</v>
      </c>
      <c r="C1136" t="s">
        <v>16</v>
      </c>
      <c r="D1136">
        <v>29911</v>
      </c>
    </row>
    <row r="1137" spans="1:4" x14ac:dyDescent="0.35">
      <c r="A1137">
        <v>2010</v>
      </c>
      <c r="B1137" t="s">
        <v>33</v>
      </c>
      <c r="C1137" t="s">
        <v>88</v>
      </c>
      <c r="D1137">
        <v>14</v>
      </c>
    </row>
    <row r="1138" spans="1:4" x14ac:dyDescent="0.35">
      <c r="A1138">
        <v>2010</v>
      </c>
      <c r="B1138" t="s">
        <v>33</v>
      </c>
      <c r="C1138" t="s">
        <v>89</v>
      </c>
      <c r="D1138">
        <v>231</v>
      </c>
    </row>
    <row r="1139" spans="1:4" x14ac:dyDescent="0.35">
      <c r="A1139">
        <v>2010</v>
      </c>
      <c r="B1139" t="s">
        <v>35</v>
      </c>
      <c r="C1139" t="s">
        <v>90</v>
      </c>
      <c r="D1139">
        <v>22</v>
      </c>
    </row>
    <row r="1140" spans="1:4" x14ac:dyDescent="0.35">
      <c r="A1140">
        <v>2010</v>
      </c>
      <c r="B1140" t="s">
        <v>33</v>
      </c>
      <c r="C1140" t="s">
        <v>91</v>
      </c>
      <c r="D1140">
        <v>274</v>
      </c>
    </row>
    <row r="1141" spans="1:4" x14ac:dyDescent="0.35">
      <c r="A1141">
        <v>2010</v>
      </c>
      <c r="B1141" t="s">
        <v>37</v>
      </c>
      <c r="C1141" t="s">
        <v>92</v>
      </c>
      <c r="D1141">
        <v>99</v>
      </c>
    </row>
    <row r="1142" spans="1:4" x14ac:dyDescent="0.35">
      <c r="A1142">
        <v>2010</v>
      </c>
      <c r="B1142" t="s">
        <v>35</v>
      </c>
      <c r="C1142" t="s">
        <v>94</v>
      </c>
      <c r="D1142">
        <v>151</v>
      </c>
    </row>
    <row r="1143" spans="1:4" x14ac:dyDescent="0.35">
      <c r="A1143">
        <v>2010</v>
      </c>
      <c r="B1143" t="s">
        <v>33</v>
      </c>
      <c r="C1143" t="s">
        <v>95</v>
      </c>
      <c r="D1143">
        <v>28</v>
      </c>
    </row>
    <row r="1144" spans="1:4" x14ac:dyDescent="0.35">
      <c r="A1144">
        <v>2010</v>
      </c>
      <c r="B1144" t="s">
        <v>33</v>
      </c>
      <c r="C1144" t="s">
        <v>96</v>
      </c>
      <c r="D1144">
        <v>130</v>
      </c>
    </row>
    <row r="1145" spans="1:4" x14ac:dyDescent="0.35">
      <c r="A1145">
        <v>2010</v>
      </c>
      <c r="B1145" t="s">
        <v>34</v>
      </c>
      <c r="C1145" t="s">
        <v>8</v>
      </c>
      <c r="D1145">
        <v>121</v>
      </c>
    </row>
    <row r="1146" spans="1:4" x14ac:dyDescent="0.35">
      <c r="A1146">
        <v>2010</v>
      </c>
      <c r="B1146" t="s">
        <v>35</v>
      </c>
      <c r="C1146" t="s">
        <v>97</v>
      </c>
      <c r="D1146">
        <v>227</v>
      </c>
    </row>
    <row r="1147" spans="1:4" x14ac:dyDescent="0.35">
      <c r="A1147">
        <v>2010</v>
      </c>
      <c r="B1147" t="s">
        <v>33</v>
      </c>
      <c r="C1147" t="s">
        <v>98</v>
      </c>
      <c r="D1147">
        <v>414</v>
      </c>
    </row>
    <row r="1148" spans="1:4" x14ac:dyDescent="0.35">
      <c r="A1148">
        <v>2010</v>
      </c>
      <c r="B1148" t="s">
        <v>35</v>
      </c>
      <c r="C1148" t="s">
        <v>99</v>
      </c>
      <c r="D1148">
        <v>53</v>
      </c>
    </row>
    <row r="1149" spans="1:4" x14ac:dyDescent="0.35">
      <c r="A1149">
        <v>2010</v>
      </c>
      <c r="B1149" t="s">
        <v>36</v>
      </c>
      <c r="C1149" t="s">
        <v>100</v>
      </c>
      <c r="D1149">
        <v>76</v>
      </c>
    </row>
    <row r="1150" spans="1:4" x14ac:dyDescent="0.35">
      <c r="A1150">
        <v>2010</v>
      </c>
      <c r="B1150" t="s">
        <v>37</v>
      </c>
      <c r="C1150" t="s">
        <v>367</v>
      </c>
      <c r="D1150">
        <v>21</v>
      </c>
    </row>
    <row r="1151" spans="1:4" x14ac:dyDescent="0.35">
      <c r="A1151">
        <v>2010</v>
      </c>
      <c r="B1151" t="s">
        <v>36</v>
      </c>
      <c r="C1151" t="s">
        <v>15</v>
      </c>
      <c r="D1151">
        <v>39050</v>
      </c>
    </row>
    <row r="1152" spans="1:4" x14ac:dyDescent="0.35">
      <c r="A1152">
        <v>2010</v>
      </c>
      <c r="B1152" t="s">
        <v>33</v>
      </c>
      <c r="C1152" t="s">
        <v>101</v>
      </c>
      <c r="D1152">
        <v>154</v>
      </c>
    </row>
    <row r="1153" spans="1:4" x14ac:dyDescent="0.35">
      <c r="A1153">
        <v>2010</v>
      </c>
      <c r="B1153" t="s">
        <v>33</v>
      </c>
      <c r="C1153" t="s">
        <v>102</v>
      </c>
      <c r="D1153">
        <v>5</v>
      </c>
    </row>
    <row r="1154" spans="1:4" x14ac:dyDescent="0.35">
      <c r="A1154">
        <v>2010</v>
      </c>
      <c r="B1154" t="s">
        <v>38</v>
      </c>
      <c r="C1154" t="s">
        <v>103</v>
      </c>
      <c r="D1154">
        <v>428</v>
      </c>
    </row>
    <row r="1155" spans="1:4" x14ac:dyDescent="0.35">
      <c r="A1155">
        <v>2010</v>
      </c>
      <c r="B1155" t="s">
        <v>36</v>
      </c>
      <c r="C1155" t="s">
        <v>104</v>
      </c>
      <c r="D1155">
        <v>1768</v>
      </c>
    </row>
    <row r="1156" spans="1:4" x14ac:dyDescent="0.35">
      <c r="A1156">
        <v>2010</v>
      </c>
      <c r="B1156" t="s">
        <v>36</v>
      </c>
      <c r="C1156" t="s">
        <v>17</v>
      </c>
      <c r="D1156">
        <v>32501</v>
      </c>
    </row>
    <row r="1157" spans="1:4" x14ac:dyDescent="0.35">
      <c r="A1157">
        <v>2010</v>
      </c>
      <c r="B1157" t="s">
        <v>34</v>
      </c>
      <c r="C1157" t="s">
        <v>368</v>
      </c>
      <c r="D1157">
        <v>53</v>
      </c>
    </row>
    <row r="1158" spans="1:4" x14ac:dyDescent="0.35">
      <c r="A1158">
        <v>2010</v>
      </c>
      <c r="B1158" t="s">
        <v>35</v>
      </c>
      <c r="C1158" t="s">
        <v>105</v>
      </c>
      <c r="D1158">
        <v>69</v>
      </c>
    </row>
    <row r="1159" spans="1:4" x14ac:dyDescent="0.35">
      <c r="A1159">
        <v>2010</v>
      </c>
      <c r="B1159" t="s">
        <v>35</v>
      </c>
      <c r="C1159" t="s">
        <v>106</v>
      </c>
      <c r="D1159">
        <v>10</v>
      </c>
    </row>
    <row r="1160" spans="1:4" x14ac:dyDescent="0.35">
      <c r="A1160">
        <v>2010</v>
      </c>
      <c r="B1160" t="s">
        <v>34</v>
      </c>
      <c r="C1160" t="s">
        <v>22</v>
      </c>
      <c r="D1160">
        <v>2175</v>
      </c>
    </row>
    <row r="1161" spans="1:4" x14ac:dyDescent="0.35">
      <c r="A1161">
        <v>2010</v>
      </c>
      <c r="B1161" t="s">
        <v>34</v>
      </c>
      <c r="C1161" t="s">
        <v>107</v>
      </c>
      <c r="D1161">
        <v>486</v>
      </c>
    </row>
    <row r="1162" spans="1:4" x14ac:dyDescent="0.35">
      <c r="A1162">
        <v>2010</v>
      </c>
      <c r="B1162" t="s">
        <v>34</v>
      </c>
      <c r="C1162" t="s">
        <v>108</v>
      </c>
      <c r="D1162">
        <v>297</v>
      </c>
    </row>
    <row r="1163" spans="1:4" x14ac:dyDescent="0.35">
      <c r="A1163">
        <v>2010</v>
      </c>
      <c r="B1163" t="s">
        <v>34</v>
      </c>
      <c r="C1163" t="s">
        <v>109</v>
      </c>
      <c r="D1163">
        <v>280</v>
      </c>
    </row>
    <row r="1164" spans="1:4" x14ac:dyDescent="0.35">
      <c r="A1164">
        <v>2010</v>
      </c>
      <c r="B1164" t="s">
        <v>35</v>
      </c>
      <c r="C1164" t="s">
        <v>110</v>
      </c>
      <c r="D1164">
        <v>72</v>
      </c>
    </row>
    <row r="1165" spans="1:4" x14ac:dyDescent="0.35">
      <c r="A1165">
        <v>2010</v>
      </c>
      <c r="B1165" t="s">
        <v>34</v>
      </c>
      <c r="C1165" t="s">
        <v>111</v>
      </c>
      <c r="D1165">
        <v>311</v>
      </c>
    </row>
    <row r="1166" spans="1:4" x14ac:dyDescent="0.35">
      <c r="A1166">
        <v>2010</v>
      </c>
      <c r="B1166" t="s">
        <v>35</v>
      </c>
      <c r="C1166" t="s">
        <v>112</v>
      </c>
      <c r="D1166">
        <v>174</v>
      </c>
    </row>
    <row r="1167" spans="1:4" x14ac:dyDescent="0.35">
      <c r="A1167">
        <v>2010</v>
      </c>
      <c r="B1167" t="s">
        <v>36</v>
      </c>
      <c r="C1167" t="s">
        <v>113</v>
      </c>
      <c r="D1167">
        <v>3064</v>
      </c>
    </row>
    <row r="1168" spans="1:4" x14ac:dyDescent="0.35">
      <c r="A1168">
        <v>2010</v>
      </c>
      <c r="B1168" t="s">
        <v>34</v>
      </c>
      <c r="C1168" t="s">
        <v>114</v>
      </c>
      <c r="D1168">
        <v>72</v>
      </c>
    </row>
    <row r="1169" spans="1:4" x14ac:dyDescent="0.35">
      <c r="A1169">
        <v>2010</v>
      </c>
      <c r="B1169" t="s">
        <v>34</v>
      </c>
      <c r="C1169" t="s">
        <v>115</v>
      </c>
      <c r="D1169">
        <v>368</v>
      </c>
    </row>
    <row r="1170" spans="1:4" x14ac:dyDescent="0.35">
      <c r="A1170">
        <v>2010</v>
      </c>
      <c r="B1170" t="s">
        <v>34</v>
      </c>
      <c r="C1170" t="s">
        <v>116</v>
      </c>
      <c r="D1170">
        <v>118</v>
      </c>
    </row>
    <row r="1171" spans="1:4" x14ac:dyDescent="0.35">
      <c r="A1171">
        <v>2010</v>
      </c>
      <c r="B1171" t="s">
        <v>33</v>
      </c>
      <c r="C1171" t="s">
        <v>117</v>
      </c>
      <c r="D1171">
        <v>716</v>
      </c>
    </row>
    <row r="1172" spans="1:4" x14ac:dyDescent="0.35">
      <c r="A1172">
        <v>2010</v>
      </c>
      <c r="B1172" t="s">
        <v>34</v>
      </c>
      <c r="C1172" t="s">
        <v>118</v>
      </c>
      <c r="D1172">
        <v>594</v>
      </c>
    </row>
    <row r="1173" spans="1:4" x14ac:dyDescent="0.35">
      <c r="A1173">
        <v>2010</v>
      </c>
      <c r="B1173" t="s">
        <v>35</v>
      </c>
      <c r="C1173" t="s">
        <v>119</v>
      </c>
      <c r="D1173">
        <v>24</v>
      </c>
    </row>
    <row r="1174" spans="1:4" x14ac:dyDescent="0.35">
      <c r="A1174">
        <v>2010</v>
      </c>
      <c r="B1174" t="s">
        <v>34</v>
      </c>
      <c r="C1174" t="s">
        <v>120</v>
      </c>
      <c r="D1174">
        <v>27</v>
      </c>
    </row>
    <row r="1175" spans="1:4" x14ac:dyDescent="0.35">
      <c r="A1175">
        <v>2010</v>
      </c>
      <c r="B1175" t="s">
        <v>34</v>
      </c>
      <c r="C1175" t="s">
        <v>121</v>
      </c>
      <c r="D1175">
        <v>56</v>
      </c>
    </row>
    <row r="1176" spans="1:4" x14ac:dyDescent="0.35">
      <c r="A1176">
        <v>2010</v>
      </c>
      <c r="B1176" t="s">
        <v>34</v>
      </c>
      <c r="C1176" t="s">
        <v>122</v>
      </c>
      <c r="D1176">
        <v>703</v>
      </c>
    </row>
    <row r="1177" spans="1:4" x14ac:dyDescent="0.35">
      <c r="A1177">
        <v>2010</v>
      </c>
      <c r="B1177" t="s">
        <v>35</v>
      </c>
      <c r="C1177" t="s">
        <v>123</v>
      </c>
      <c r="D1177">
        <v>44</v>
      </c>
    </row>
    <row r="1178" spans="1:4" x14ac:dyDescent="0.35">
      <c r="A1178">
        <v>2010</v>
      </c>
      <c r="B1178" t="s">
        <v>34</v>
      </c>
      <c r="C1178" t="s">
        <v>124</v>
      </c>
      <c r="D1178">
        <v>220</v>
      </c>
    </row>
    <row r="1179" spans="1:4" x14ac:dyDescent="0.35">
      <c r="A1179">
        <v>2010</v>
      </c>
      <c r="B1179" t="s">
        <v>33</v>
      </c>
      <c r="C1179" t="s">
        <v>125</v>
      </c>
      <c r="D1179">
        <v>309</v>
      </c>
    </row>
    <row r="1180" spans="1:4" x14ac:dyDescent="0.35">
      <c r="A1180">
        <v>2010</v>
      </c>
      <c r="B1180" t="s">
        <v>33</v>
      </c>
      <c r="C1180" t="s">
        <v>126</v>
      </c>
      <c r="D1180">
        <v>16</v>
      </c>
    </row>
    <row r="1181" spans="1:4" x14ac:dyDescent="0.35">
      <c r="A1181">
        <v>2010</v>
      </c>
      <c r="B1181" t="s">
        <v>35</v>
      </c>
      <c r="C1181" t="s">
        <v>127</v>
      </c>
      <c r="D1181">
        <v>81</v>
      </c>
    </row>
    <row r="1182" spans="1:4" x14ac:dyDescent="0.35">
      <c r="A1182">
        <v>2010</v>
      </c>
      <c r="B1182" t="s">
        <v>34</v>
      </c>
      <c r="C1182" t="s">
        <v>369</v>
      </c>
      <c r="D1182">
        <v>5</v>
      </c>
    </row>
    <row r="1183" spans="1:4" x14ac:dyDescent="0.35">
      <c r="A1183">
        <v>2010</v>
      </c>
      <c r="B1183" t="s">
        <v>33</v>
      </c>
      <c r="C1183" t="s">
        <v>130</v>
      </c>
      <c r="D1183">
        <v>14</v>
      </c>
    </row>
    <row r="1184" spans="1:4" x14ac:dyDescent="0.35">
      <c r="A1184">
        <v>2010</v>
      </c>
      <c r="B1184" t="s">
        <v>34</v>
      </c>
      <c r="C1184" t="s">
        <v>131</v>
      </c>
      <c r="D1184">
        <v>73</v>
      </c>
    </row>
    <row r="1185" spans="1:4" x14ac:dyDescent="0.35">
      <c r="A1185">
        <v>2010</v>
      </c>
      <c r="B1185" t="s">
        <v>33</v>
      </c>
      <c r="C1185" t="s">
        <v>132</v>
      </c>
      <c r="D1185">
        <v>163</v>
      </c>
    </row>
    <row r="1186" spans="1:4" x14ac:dyDescent="0.35">
      <c r="A1186">
        <v>2010</v>
      </c>
      <c r="B1186" t="s">
        <v>35</v>
      </c>
      <c r="C1186" t="s">
        <v>133</v>
      </c>
    </row>
    <row r="1187" spans="1:4" x14ac:dyDescent="0.35">
      <c r="A1187">
        <v>2010</v>
      </c>
      <c r="B1187" t="s">
        <v>37</v>
      </c>
      <c r="C1187" t="s">
        <v>134</v>
      </c>
      <c r="D1187">
        <v>19</v>
      </c>
    </row>
    <row r="1188" spans="1:4" x14ac:dyDescent="0.35">
      <c r="A1188">
        <v>2010</v>
      </c>
      <c r="B1188" t="s">
        <v>33</v>
      </c>
      <c r="C1188" t="s">
        <v>135</v>
      </c>
      <c r="D1188">
        <v>81</v>
      </c>
    </row>
    <row r="1189" spans="1:4" x14ac:dyDescent="0.35">
      <c r="A1189">
        <v>2010</v>
      </c>
      <c r="B1189" t="s">
        <v>36</v>
      </c>
      <c r="C1189" t="s">
        <v>14</v>
      </c>
      <c r="D1189">
        <v>632034</v>
      </c>
    </row>
    <row r="1190" spans="1:4" x14ac:dyDescent="0.35">
      <c r="A1190">
        <v>2010</v>
      </c>
      <c r="B1190" t="s">
        <v>37</v>
      </c>
      <c r="C1190" t="s">
        <v>137</v>
      </c>
      <c r="D1190">
        <v>110</v>
      </c>
    </row>
    <row r="1191" spans="1:4" x14ac:dyDescent="0.35">
      <c r="A1191">
        <v>2010</v>
      </c>
      <c r="B1191" t="s">
        <v>35</v>
      </c>
      <c r="C1191" t="s">
        <v>138</v>
      </c>
      <c r="D1191">
        <v>129</v>
      </c>
    </row>
    <row r="1192" spans="1:4" x14ac:dyDescent="0.35">
      <c r="A1192">
        <v>2010</v>
      </c>
      <c r="B1192" t="s">
        <v>34</v>
      </c>
      <c r="C1192" t="s">
        <v>139</v>
      </c>
      <c r="D1192">
        <v>124</v>
      </c>
    </row>
    <row r="1193" spans="1:4" x14ac:dyDescent="0.35">
      <c r="A1193">
        <v>2010</v>
      </c>
      <c r="B1193" t="s">
        <v>35</v>
      </c>
      <c r="C1193" t="s">
        <v>140</v>
      </c>
      <c r="D1193" t="s">
        <v>205</v>
      </c>
    </row>
    <row r="1194" spans="1:4" x14ac:dyDescent="0.35">
      <c r="A1194">
        <v>2010</v>
      </c>
      <c r="B1194" t="s">
        <v>36</v>
      </c>
      <c r="C1194" t="s">
        <v>370</v>
      </c>
      <c r="D1194">
        <v>9</v>
      </c>
    </row>
    <row r="1195" spans="1:4" x14ac:dyDescent="0.35">
      <c r="A1195">
        <v>2010</v>
      </c>
      <c r="B1195" t="s">
        <v>33</v>
      </c>
      <c r="C1195" t="s">
        <v>141</v>
      </c>
      <c r="D1195">
        <v>226</v>
      </c>
    </row>
    <row r="1196" spans="1:4" x14ac:dyDescent="0.35">
      <c r="A1196">
        <v>2010</v>
      </c>
      <c r="B1196" t="s">
        <v>34</v>
      </c>
      <c r="C1196" t="s">
        <v>144</v>
      </c>
      <c r="D1196">
        <v>230</v>
      </c>
    </row>
    <row r="1197" spans="1:4" x14ac:dyDescent="0.35">
      <c r="A1197">
        <v>2010</v>
      </c>
      <c r="B1197" t="s">
        <v>35</v>
      </c>
      <c r="C1197" t="s">
        <v>145</v>
      </c>
      <c r="D1197">
        <v>76</v>
      </c>
    </row>
    <row r="1198" spans="1:4" x14ac:dyDescent="0.35">
      <c r="A1198">
        <v>2010</v>
      </c>
      <c r="B1198" t="s">
        <v>36</v>
      </c>
      <c r="C1198" t="s">
        <v>371</v>
      </c>
      <c r="D1198">
        <v>9</v>
      </c>
    </row>
    <row r="1199" spans="1:4" x14ac:dyDescent="0.35">
      <c r="A1199">
        <v>2010</v>
      </c>
      <c r="B1199" t="s">
        <v>37</v>
      </c>
      <c r="C1199" t="s">
        <v>146</v>
      </c>
      <c r="D1199">
        <v>55</v>
      </c>
    </row>
    <row r="1200" spans="1:4" x14ac:dyDescent="0.35">
      <c r="A1200">
        <v>2010</v>
      </c>
      <c r="B1200" t="s">
        <v>36</v>
      </c>
      <c r="C1200" t="s">
        <v>147</v>
      </c>
      <c r="D1200">
        <v>2587</v>
      </c>
    </row>
    <row r="1201" spans="1:4" x14ac:dyDescent="0.35">
      <c r="A1201">
        <v>2010</v>
      </c>
      <c r="B1201" t="s">
        <v>33</v>
      </c>
      <c r="C1201" t="s">
        <v>148</v>
      </c>
      <c r="D1201">
        <v>68</v>
      </c>
    </row>
    <row r="1202" spans="1:4" x14ac:dyDescent="0.35">
      <c r="A1202">
        <v>2010</v>
      </c>
      <c r="B1202" t="s">
        <v>33</v>
      </c>
      <c r="C1202" t="s">
        <v>149</v>
      </c>
      <c r="D1202">
        <v>599</v>
      </c>
    </row>
    <row r="1203" spans="1:4" x14ac:dyDescent="0.35">
      <c r="A1203">
        <v>2010</v>
      </c>
      <c r="B1203" t="s">
        <v>35</v>
      </c>
      <c r="C1203" t="s">
        <v>322</v>
      </c>
      <c r="D1203">
        <v>57</v>
      </c>
    </row>
    <row r="1204" spans="1:4" x14ac:dyDescent="0.35">
      <c r="A1204">
        <v>2010</v>
      </c>
      <c r="B1204" t="s">
        <v>35</v>
      </c>
      <c r="C1204" t="s">
        <v>150</v>
      </c>
      <c r="D1204">
        <v>12</v>
      </c>
    </row>
    <row r="1205" spans="1:4" x14ac:dyDescent="0.35">
      <c r="A1205">
        <v>2010</v>
      </c>
      <c r="B1205" t="s">
        <v>34</v>
      </c>
      <c r="C1205" t="s">
        <v>152</v>
      </c>
      <c r="D1205">
        <v>612</v>
      </c>
    </row>
    <row r="1206" spans="1:4" x14ac:dyDescent="0.35">
      <c r="A1206">
        <v>2010</v>
      </c>
      <c r="B1206" t="s">
        <v>37</v>
      </c>
      <c r="C1206" t="s">
        <v>153</v>
      </c>
      <c r="D1206">
        <v>20</v>
      </c>
    </row>
    <row r="1207" spans="1:4" x14ac:dyDescent="0.35">
      <c r="A1207">
        <v>2010</v>
      </c>
      <c r="B1207" t="s">
        <v>36</v>
      </c>
      <c r="C1207" t="s">
        <v>154</v>
      </c>
      <c r="D1207">
        <v>283</v>
      </c>
    </row>
    <row r="1208" spans="1:4" x14ac:dyDescent="0.35">
      <c r="A1208">
        <v>2010</v>
      </c>
      <c r="B1208" t="s">
        <v>38</v>
      </c>
      <c r="C1208" t="s">
        <v>155</v>
      </c>
      <c r="D1208">
        <v>32</v>
      </c>
    </row>
    <row r="1209" spans="1:4" x14ac:dyDescent="0.35">
      <c r="A1209">
        <v>2010</v>
      </c>
      <c r="B1209" t="s">
        <v>38</v>
      </c>
      <c r="C1209" t="s">
        <v>156</v>
      </c>
      <c r="D1209">
        <v>1729</v>
      </c>
    </row>
    <row r="1210" spans="1:4" x14ac:dyDescent="0.35">
      <c r="A1210">
        <v>2010</v>
      </c>
      <c r="B1210" t="s">
        <v>34</v>
      </c>
      <c r="C1210" t="s">
        <v>18</v>
      </c>
      <c r="D1210">
        <v>1079</v>
      </c>
    </row>
    <row r="1211" spans="1:4" x14ac:dyDescent="0.35">
      <c r="A1211">
        <v>2010</v>
      </c>
      <c r="B1211" t="s">
        <v>35</v>
      </c>
      <c r="C1211" t="s">
        <v>157</v>
      </c>
      <c r="D1211">
        <v>635</v>
      </c>
    </row>
    <row r="1212" spans="1:4" x14ac:dyDescent="0.35">
      <c r="A1212">
        <v>2010</v>
      </c>
      <c r="B1212" t="s">
        <v>35</v>
      </c>
      <c r="C1212" t="s">
        <v>158</v>
      </c>
      <c r="D1212">
        <v>205</v>
      </c>
    </row>
    <row r="1213" spans="1:4" x14ac:dyDescent="0.35">
      <c r="A1213">
        <v>2010</v>
      </c>
      <c r="B1213" t="s">
        <v>35</v>
      </c>
      <c r="C1213" t="s">
        <v>160</v>
      </c>
      <c r="D1213">
        <v>630</v>
      </c>
    </row>
    <row r="1214" spans="1:4" x14ac:dyDescent="0.35">
      <c r="A1214">
        <v>2010</v>
      </c>
      <c r="B1214" t="s">
        <v>35</v>
      </c>
      <c r="C1214" t="s">
        <v>161</v>
      </c>
      <c r="D1214">
        <v>564</v>
      </c>
    </row>
    <row r="1215" spans="1:4" x14ac:dyDescent="0.35">
      <c r="A1215">
        <v>2010</v>
      </c>
      <c r="B1215" t="s">
        <v>33</v>
      </c>
      <c r="C1215" t="s">
        <v>162</v>
      </c>
      <c r="D1215">
        <v>12</v>
      </c>
    </row>
    <row r="1216" spans="1:4" x14ac:dyDescent="0.35">
      <c r="A1216">
        <v>2010</v>
      </c>
      <c r="B1216" t="s">
        <v>36</v>
      </c>
      <c r="C1216" t="s">
        <v>163</v>
      </c>
      <c r="D1216">
        <v>30</v>
      </c>
    </row>
    <row r="1217" spans="1:4" x14ac:dyDescent="0.35">
      <c r="A1217">
        <v>2010</v>
      </c>
      <c r="B1217" t="s">
        <v>36</v>
      </c>
      <c r="C1217" t="s">
        <v>164</v>
      </c>
      <c r="D1217">
        <v>82</v>
      </c>
    </row>
    <row r="1218" spans="1:4" x14ac:dyDescent="0.35">
      <c r="A1218">
        <v>2010</v>
      </c>
      <c r="B1218" t="s">
        <v>36</v>
      </c>
      <c r="C1218" t="s">
        <v>165</v>
      </c>
      <c r="D1218">
        <v>57</v>
      </c>
    </row>
    <row r="1219" spans="1:4" x14ac:dyDescent="0.35">
      <c r="A1219">
        <v>2010</v>
      </c>
      <c r="B1219" t="s">
        <v>37</v>
      </c>
      <c r="C1219" t="s">
        <v>166</v>
      </c>
      <c r="D1219">
        <v>26</v>
      </c>
    </row>
    <row r="1220" spans="1:4" x14ac:dyDescent="0.35">
      <c r="A1220">
        <v>2010</v>
      </c>
      <c r="B1220" t="s">
        <v>34</v>
      </c>
      <c r="C1220" t="s">
        <v>167</v>
      </c>
      <c r="D1220">
        <v>148</v>
      </c>
    </row>
    <row r="1221" spans="1:4" x14ac:dyDescent="0.35">
      <c r="A1221">
        <v>2010</v>
      </c>
      <c r="B1221" t="s">
        <v>33</v>
      </c>
      <c r="C1221" t="s">
        <v>168</v>
      </c>
      <c r="D1221">
        <v>170</v>
      </c>
    </row>
    <row r="1222" spans="1:4" x14ac:dyDescent="0.35">
      <c r="A1222">
        <v>2010</v>
      </c>
      <c r="B1222" t="s">
        <v>35</v>
      </c>
      <c r="C1222" t="s">
        <v>169</v>
      </c>
      <c r="D1222" t="s">
        <v>205</v>
      </c>
    </row>
    <row r="1223" spans="1:4" x14ac:dyDescent="0.35">
      <c r="A1223">
        <v>2010</v>
      </c>
      <c r="B1223" t="s">
        <v>35</v>
      </c>
      <c r="C1223" t="s">
        <v>215</v>
      </c>
      <c r="D1223">
        <v>174</v>
      </c>
    </row>
    <row r="1224" spans="1:4" x14ac:dyDescent="0.35">
      <c r="A1224">
        <v>2010</v>
      </c>
      <c r="B1224" t="s">
        <v>33</v>
      </c>
      <c r="C1224" t="s">
        <v>170</v>
      </c>
      <c r="D1224">
        <v>147</v>
      </c>
    </row>
    <row r="1225" spans="1:4" x14ac:dyDescent="0.35">
      <c r="A1225">
        <v>2010</v>
      </c>
      <c r="B1225" t="s">
        <v>34</v>
      </c>
      <c r="C1225" t="s">
        <v>171</v>
      </c>
      <c r="D1225">
        <v>21</v>
      </c>
    </row>
    <row r="1226" spans="1:4" x14ac:dyDescent="0.35">
      <c r="A1226">
        <v>2010</v>
      </c>
      <c r="B1226" t="s">
        <v>35</v>
      </c>
      <c r="C1226" t="s">
        <v>172</v>
      </c>
      <c r="D1226">
        <v>51</v>
      </c>
    </row>
    <row r="1227" spans="1:4" x14ac:dyDescent="0.35">
      <c r="A1227">
        <v>2010</v>
      </c>
      <c r="B1227" t="s">
        <v>35</v>
      </c>
      <c r="C1227" t="s">
        <v>173</v>
      </c>
      <c r="D1227">
        <v>9</v>
      </c>
    </row>
    <row r="1228" spans="1:4" x14ac:dyDescent="0.35">
      <c r="A1228">
        <v>2010</v>
      </c>
      <c r="B1228" t="s">
        <v>33</v>
      </c>
      <c r="C1228" t="s">
        <v>174</v>
      </c>
      <c r="D1228">
        <v>277</v>
      </c>
    </row>
    <row r="1229" spans="1:4" x14ac:dyDescent="0.35">
      <c r="A1229">
        <v>2010</v>
      </c>
      <c r="B1229" t="s">
        <v>33</v>
      </c>
      <c r="C1229" t="s">
        <v>175</v>
      </c>
      <c r="D1229">
        <v>144</v>
      </c>
    </row>
    <row r="1230" spans="1:4" x14ac:dyDescent="0.35">
      <c r="A1230">
        <v>2010</v>
      </c>
      <c r="B1230" t="s">
        <v>33</v>
      </c>
      <c r="C1230" t="s">
        <v>176</v>
      </c>
      <c r="D1230" t="s">
        <v>206</v>
      </c>
    </row>
    <row r="1231" spans="1:4" x14ac:dyDescent="0.35">
      <c r="A1231">
        <v>2010</v>
      </c>
      <c r="B1231" t="s">
        <v>35</v>
      </c>
      <c r="C1231" t="s">
        <v>216</v>
      </c>
      <c r="D1231">
        <v>91</v>
      </c>
    </row>
    <row r="1232" spans="1:4" x14ac:dyDescent="0.35">
      <c r="A1232">
        <v>2010</v>
      </c>
      <c r="B1232" t="s">
        <v>35</v>
      </c>
      <c r="C1232" t="s">
        <v>177</v>
      </c>
      <c r="D1232">
        <v>99</v>
      </c>
    </row>
    <row r="1233" spans="1:4" x14ac:dyDescent="0.35">
      <c r="A1233">
        <v>2010</v>
      </c>
      <c r="B1233" t="s">
        <v>34</v>
      </c>
      <c r="C1233" t="s">
        <v>178</v>
      </c>
      <c r="D1233">
        <v>284</v>
      </c>
    </row>
    <row r="1234" spans="1:4" x14ac:dyDescent="0.35">
      <c r="A1234">
        <v>2010</v>
      </c>
      <c r="B1234" t="s">
        <v>33</v>
      </c>
      <c r="C1234" t="s">
        <v>179</v>
      </c>
      <c r="D1234">
        <v>252</v>
      </c>
    </row>
    <row r="1235" spans="1:4" x14ac:dyDescent="0.35">
      <c r="A1235">
        <v>2010</v>
      </c>
      <c r="B1235" t="s">
        <v>38</v>
      </c>
      <c r="C1235" t="s">
        <v>180</v>
      </c>
      <c r="D1235">
        <v>18</v>
      </c>
    </row>
    <row r="1236" spans="1:4" x14ac:dyDescent="0.35">
      <c r="A1236">
        <v>2010</v>
      </c>
      <c r="B1236" t="s">
        <v>35</v>
      </c>
      <c r="C1236" t="s">
        <v>182</v>
      </c>
      <c r="D1236">
        <v>37</v>
      </c>
    </row>
    <row r="1237" spans="1:4" x14ac:dyDescent="0.35">
      <c r="A1237">
        <v>2010</v>
      </c>
      <c r="B1237" t="s">
        <v>35</v>
      </c>
      <c r="C1237" t="s">
        <v>183</v>
      </c>
      <c r="D1237">
        <v>22</v>
      </c>
    </row>
    <row r="1238" spans="1:4" x14ac:dyDescent="0.35">
      <c r="A1238">
        <v>2010</v>
      </c>
      <c r="B1238" t="s">
        <v>34</v>
      </c>
      <c r="C1238" t="s">
        <v>184</v>
      </c>
      <c r="D1238">
        <v>99</v>
      </c>
    </row>
    <row r="1239" spans="1:4" x14ac:dyDescent="0.35">
      <c r="A1239">
        <v>2010</v>
      </c>
      <c r="B1239" t="s">
        <v>34</v>
      </c>
      <c r="C1239" t="s">
        <v>185</v>
      </c>
      <c r="D1239">
        <v>55</v>
      </c>
    </row>
    <row r="1240" spans="1:4" x14ac:dyDescent="0.35">
      <c r="A1240">
        <v>2010</v>
      </c>
      <c r="B1240" t="s">
        <v>34</v>
      </c>
      <c r="C1240" t="s">
        <v>186</v>
      </c>
      <c r="D1240">
        <v>80</v>
      </c>
    </row>
    <row r="1241" spans="1:4" x14ac:dyDescent="0.35">
      <c r="A1241">
        <v>2010</v>
      </c>
      <c r="B1241" t="s">
        <v>33</v>
      </c>
      <c r="C1241" t="s">
        <v>187</v>
      </c>
      <c r="D1241">
        <v>82</v>
      </c>
    </row>
    <row r="1242" spans="1:4" x14ac:dyDescent="0.35">
      <c r="A1242">
        <v>2010</v>
      </c>
      <c r="B1242" t="s">
        <v>34</v>
      </c>
      <c r="C1242" t="s">
        <v>188</v>
      </c>
      <c r="D1242">
        <v>300</v>
      </c>
    </row>
    <row r="1243" spans="1:4" x14ac:dyDescent="0.35">
      <c r="A1243">
        <v>2010</v>
      </c>
      <c r="B1243" t="s">
        <v>33</v>
      </c>
      <c r="C1243" t="s">
        <v>189</v>
      </c>
      <c r="D1243">
        <v>40</v>
      </c>
    </row>
    <row r="1244" spans="1:4" x14ac:dyDescent="0.35">
      <c r="A1244">
        <v>2010</v>
      </c>
      <c r="B1244" t="s">
        <v>37</v>
      </c>
      <c r="C1244" t="s">
        <v>190</v>
      </c>
      <c r="D1244">
        <v>100</v>
      </c>
    </row>
    <row r="1245" spans="1:4" x14ac:dyDescent="0.35">
      <c r="A1245">
        <v>2010</v>
      </c>
      <c r="B1245" t="s">
        <v>36</v>
      </c>
      <c r="C1245" t="s">
        <v>191</v>
      </c>
      <c r="D1245">
        <v>624</v>
      </c>
    </row>
    <row r="1246" spans="1:4" x14ac:dyDescent="0.35">
      <c r="A1246">
        <v>2010</v>
      </c>
      <c r="B1246" t="s">
        <v>33</v>
      </c>
      <c r="C1246" t="s">
        <v>192</v>
      </c>
      <c r="D1246">
        <v>61</v>
      </c>
    </row>
    <row r="1247" spans="1:4" x14ac:dyDescent="0.35">
      <c r="A1247">
        <v>2010</v>
      </c>
      <c r="B1247" t="s">
        <v>34</v>
      </c>
      <c r="C1247" t="s">
        <v>193</v>
      </c>
      <c r="D1247">
        <v>326</v>
      </c>
    </row>
    <row r="1248" spans="1:4" x14ac:dyDescent="0.35">
      <c r="A1248">
        <v>2010</v>
      </c>
      <c r="B1248" t="s">
        <v>34</v>
      </c>
      <c r="C1248" t="s">
        <v>194</v>
      </c>
      <c r="D1248">
        <v>29</v>
      </c>
    </row>
    <row r="1249" spans="1:4" x14ac:dyDescent="0.35">
      <c r="A1249">
        <v>2010</v>
      </c>
      <c r="B1249" t="s">
        <v>36</v>
      </c>
      <c r="C1249" t="s">
        <v>372</v>
      </c>
      <c r="D1249">
        <v>19</v>
      </c>
    </row>
    <row r="1250" spans="1:4" x14ac:dyDescent="0.35">
      <c r="A1250">
        <v>2010</v>
      </c>
      <c r="B1250" t="s">
        <v>33</v>
      </c>
      <c r="C1250" t="s">
        <v>195</v>
      </c>
      <c r="D1250">
        <v>54</v>
      </c>
    </row>
    <row r="1251" spans="1:4" x14ac:dyDescent="0.35">
      <c r="A1251">
        <v>2010</v>
      </c>
      <c r="B1251" t="s">
        <v>35</v>
      </c>
      <c r="C1251" t="s">
        <v>196</v>
      </c>
      <c r="D1251">
        <v>392</v>
      </c>
    </row>
    <row r="1252" spans="1:4" x14ac:dyDescent="0.35">
      <c r="A1252">
        <v>2010</v>
      </c>
      <c r="B1252" t="s">
        <v>34</v>
      </c>
      <c r="C1252" t="s">
        <v>197</v>
      </c>
      <c r="D1252">
        <v>15</v>
      </c>
    </row>
    <row r="1253" spans="1:4" x14ac:dyDescent="0.35">
      <c r="A1253">
        <v>2010</v>
      </c>
      <c r="B1253" t="s">
        <v>35</v>
      </c>
      <c r="C1253" t="s">
        <v>198</v>
      </c>
      <c r="D1253">
        <v>533</v>
      </c>
    </row>
    <row r="1254" spans="1:4" x14ac:dyDescent="0.35">
      <c r="A1254">
        <v>2010</v>
      </c>
      <c r="B1254" t="s">
        <v>39</v>
      </c>
      <c r="C1254" t="s">
        <v>39</v>
      </c>
      <c r="D1254">
        <v>937</v>
      </c>
    </row>
    <row r="1255" spans="1:4" x14ac:dyDescent="0.35">
      <c r="A1255">
        <v>2010</v>
      </c>
      <c r="B1255" t="s">
        <v>38</v>
      </c>
      <c r="C1255" t="s">
        <v>199</v>
      </c>
      <c r="D1255">
        <v>190</v>
      </c>
    </row>
    <row r="1256" spans="1:4" x14ac:dyDescent="0.35">
      <c r="A1256">
        <v>2010</v>
      </c>
      <c r="B1256" t="s">
        <v>34</v>
      </c>
      <c r="C1256" t="s">
        <v>200</v>
      </c>
      <c r="D1256">
        <v>210</v>
      </c>
    </row>
    <row r="1257" spans="1:4" x14ac:dyDescent="0.35">
      <c r="A1257">
        <v>2010</v>
      </c>
      <c r="B1257" t="s">
        <v>38</v>
      </c>
      <c r="C1257" t="s">
        <v>19</v>
      </c>
      <c r="D1257">
        <v>741</v>
      </c>
    </row>
    <row r="1258" spans="1:4" x14ac:dyDescent="0.35">
      <c r="A1258">
        <v>2010</v>
      </c>
      <c r="B1258" t="s">
        <v>34</v>
      </c>
      <c r="C1258" t="s">
        <v>201</v>
      </c>
      <c r="D1258">
        <v>1313</v>
      </c>
    </row>
    <row r="1259" spans="1:4" x14ac:dyDescent="0.35">
      <c r="A1259">
        <v>2010</v>
      </c>
      <c r="B1259" t="s">
        <v>34</v>
      </c>
      <c r="C1259" t="s">
        <v>202</v>
      </c>
      <c r="D1259">
        <v>130</v>
      </c>
    </row>
    <row r="1260" spans="1:4" x14ac:dyDescent="0.35">
      <c r="A1260">
        <v>2010</v>
      </c>
      <c r="B1260" t="s">
        <v>33</v>
      </c>
      <c r="C1260" t="s">
        <v>203</v>
      </c>
      <c r="D1260">
        <v>49</v>
      </c>
    </row>
    <row r="1261" spans="1:4" x14ac:dyDescent="0.35">
      <c r="A1261">
        <v>2010</v>
      </c>
      <c r="B1261" t="s">
        <v>33</v>
      </c>
      <c r="C1261" t="s">
        <v>204</v>
      </c>
      <c r="D1261">
        <v>74</v>
      </c>
    </row>
    <row r="1262" spans="1:4" x14ac:dyDescent="0.35">
      <c r="A1262">
        <v>2011</v>
      </c>
      <c r="B1262" t="s">
        <v>34</v>
      </c>
      <c r="C1262" t="s">
        <v>40</v>
      </c>
      <c r="D1262">
        <v>111</v>
      </c>
    </row>
    <row r="1263" spans="1:4" x14ac:dyDescent="0.35">
      <c r="A1263">
        <v>2011</v>
      </c>
      <c r="B1263" t="s">
        <v>35</v>
      </c>
      <c r="C1263" t="s">
        <v>41</v>
      </c>
      <c r="D1263">
        <v>258</v>
      </c>
    </row>
    <row r="1264" spans="1:4" x14ac:dyDescent="0.35">
      <c r="A1264">
        <v>2011</v>
      </c>
      <c r="B1264" t="s">
        <v>33</v>
      </c>
      <c r="C1264" t="s">
        <v>42</v>
      </c>
      <c r="D1264">
        <v>36</v>
      </c>
    </row>
    <row r="1265" spans="1:4" x14ac:dyDescent="0.35">
      <c r="A1265">
        <v>2011</v>
      </c>
      <c r="C1265" t="s">
        <v>373</v>
      </c>
      <c r="D1265">
        <v>68</v>
      </c>
    </row>
    <row r="1266" spans="1:4" x14ac:dyDescent="0.35">
      <c r="A1266">
        <v>2011</v>
      </c>
      <c r="B1266" t="s">
        <v>33</v>
      </c>
      <c r="C1266" t="s">
        <v>43</v>
      </c>
      <c r="D1266">
        <v>28</v>
      </c>
    </row>
    <row r="1267" spans="1:4" x14ac:dyDescent="0.35">
      <c r="A1267">
        <v>2011</v>
      </c>
      <c r="B1267" t="s">
        <v>36</v>
      </c>
      <c r="C1267" t="s">
        <v>44</v>
      </c>
      <c r="D1267">
        <v>47</v>
      </c>
    </row>
    <row r="1268" spans="1:4" x14ac:dyDescent="0.35">
      <c r="A1268">
        <v>2011</v>
      </c>
      <c r="B1268" t="s">
        <v>38</v>
      </c>
      <c r="C1268" t="s">
        <v>45</v>
      </c>
      <c r="D1268">
        <v>421</v>
      </c>
    </row>
    <row r="1269" spans="1:4" x14ac:dyDescent="0.35">
      <c r="A1269">
        <v>2011</v>
      </c>
      <c r="B1269" t="s">
        <v>34</v>
      </c>
      <c r="C1269" t="s">
        <v>46</v>
      </c>
      <c r="D1269">
        <v>232</v>
      </c>
    </row>
    <row r="1270" spans="1:4" x14ac:dyDescent="0.35">
      <c r="A1270">
        <v>2011</v>
      </c>
      <c r="B1270" t="s">
        <v>37</v>
      </c>
      <c r="C1270" t="s">
        <v>47</v>
      </c>
      <c r="D1270">
        <v>75</v>
      </c>
    </row>
    <row r="1271" spans="1:4" x14ac:dyDescent="0.35">
      <c r="A1271">
        <v>2011</v>
      </c>
      <c r="B1271" t="s">
        <v>35</v>
      </c>
      <c r="C1271" t="s">
        <v>48</v>
      </c>
      <c r="D1271">
        <v>23</v>
      </c>
    </row>
    <row r="1272" spans="1:4" x14ac:dyDescent="0.35">
      <c r="A1272">
        <v>2011</v>
      </c>
      <c r="B1272" t="s">
        <v>34</v>
      </c>
      <c r="C1272" t="s">
        <v>49</v>
      </c>
      <c r="D1272">
        <v>37</v>
      </c>
    </row>
    <row r="1273" spans="1:4" x14ac:dyDescent="0.35">
      <c r="A1273">
        <v>2011</v>
      </c>
      <c r="B1273" t="s">
        <v>36</v>
      </c>
      <c r="C1273" t="s">
        <v>50</v>
      </c>
      <c r="D1273">
        <v>311</v>
      </c>
    </row>
    <row r="1274" spans="1:4" x14ac:dyDescent="0.35">
      <c r="A1274">
        <v>2011</v>
      </c>
      <c r="B1274" t="s">
        <v>34</v>
      </c>
      <c r="C1274" t="s">
        <v>51</v>
      </c>
      <c r="D1274">
        <v>3</v>
      </c>
    </row>
    <row r="1275" spans="1:4" x14ac:dyDescent="0.35">
      <c r="A1275">
        <v>2011</v>
      </c>
      <c r="B1275" t="s">
        <v>34</v>
      </c>
      <c r="C1275" t="s">
        <v>52</v>
      </c>
      <c r="D1275">
        <v>272</v>
      </c>
    </row>
    <row r="1276" spans="1:4" x14ac:dyDescent="0.35">
      <c r="A1276">
        <v>2011</v>
      </c>
      <c r="B1276" t="s">
        <v>36</v>
      </c>
      <c r="C1276" t="s">
        <v>53</v>
      </c>
      <c r="D1276">
        <v>77</v>
      </c>
    </row>
    <row r="1277" spans="1:4" x14ac:dyDescent="0.35">
      <c r="A1277">
        <v>2011</v>
      </c>
      <c r="B1277" t="s">
        <v>35</v>
      </c>
      <c r="C1277" t="s">
        <v>54</v>
      </c>
      <c r="D1277">
        <v>58</v>
      </c>
    </row>
    <row r="1278" spans="1:4" x14ac:dyDescent="0.35">
      <c r="A1278">
        <v>2011</v>
      </c>
      <c r="B1278" t="s">
        <v>35</v>
      </c>
      <c r="C1278" t="s">
        <v>55</v>
      </c>
      <c r="D1278">
        <v>35</v>
      </c>
    </row>
    <row r="1279" spans="1:4" x14ac:dyDescent="0.35">
      <c r="A1279">
        <v>2011</v>
      </c>
      <c r="B1279" t="s">
        <v>36</v>
      </c>
      <c r="C1279" t="s">
        <v>56</v>
      </c>
      <c r="D1279">
        <v>361</v>
      </c>
    </row>
    <row r="1280" spans="1:4" x14ac:dyDescent="0.35">
      <c r="A1280">
        <v>2011</v>
      </c>
      <c r="B1280" t="s">
        <v>33</v>
      </c>
      <c r="C1280" t="s">
        <v>57</v>
      </c>
      <c r="D1280">
        <v>18</v>
      </c>
    </row>
    <row r="1281" spans="1:4" x14ac:dyDescent="0.35">
      <c r="A1281">
        <v>2011</v>
      </c>
      <c r="B1281" t="s">
        <v>36</v>
      </c>
      <c r="C1281" t="s">
        <v>363</v>
      </c>
      <c r="D1281">
        <v>23</v>
      </c>
    </row>
    <row r="1282" spans="1:4" x14ac:dyDescent="0.35">
      <c r="A1282">
        <v>2011</v>
      </c>
      <c r="B1282" t="s">
        <v>38</v>
      </c>
      <c r="C1282" t="s">
        <v>59</v>
      </c>
      <c r="D1282">
        <v>387</v>
      </c>
    </row>
    <row r="1283" spans="1:4" x14ac:dyDescent="0.35">
      <c r="A1283">
        <v>2011</v>
      </c>
      <c r="B1283" t="s">
        <v>35</v>
      </c>
      <c r="C1283" t="s">
        <v>60</v>
      </c>
      <c r="D1283">
        <v>201</v>
      </c>
    </row>
    <row r="1284" spans="1:4" x14ac:dyDescent="0.35">
      <c r="A1284">
        <v>2011</v>
      </c>
      <c r="B1284" t="s">
        <v>38</v>
      </c>
      <c r="C1284" t="s">
        <v>21</v>
      </c>
      <c r="D1284">
        <v>3228</v>
      </c>
    </row>
    <row r="1285" spans="1:4" x14ac:dyDescent="0.35">
      <c r="A1285">
        <v>2011</v>
      </c>
      <c r="B1285" t="s">
        <v>36</v>
      </c>
      <c r="C1285" t="s">
        <v>364</v>
      </c>
      <c r="D1285">
        <v>12</v>
      </c>
    </row>
    <row r="1286" spans="1:4" x14ac:dyDescent="0.35">
      <c r="A1286">
        <v>2011</v>
      </c>
      <c r="B1286" t="s">
        <v>35</v>
      </c>
      <c r="C1286" t="s">
        <v>62</v>
      </c>
      <c r="D1286">
        <v>95</v>
      </c>
    </row>
    <row r="1287" spans="1:4" x14ac:dyDescent="0.35">
      <c r="A1287">
        <v>2011</v>
      </c>
      <c r="B1287" t="s">
        <v>33</v>
      </c>
      <c r="C1287" t="s">
        <v>63</v>
      </c>
      <c r="D1287">
        <v>20</v>
      </c>
    </row>
    <row r="1288" spans="1:4" x14ac:dyDescent="0.35">
      <c r="A1288">
        <v>2011</v>
      </c>
      <c r="B1288" t="s">
        <v>34</v>
      </c>
      <c r="C1288" t="s">
        <v>64</v>
      </c>
      <c r="D1288">
        <v>35</v>
      </c>
    </row>
    <row r="1289" spans="1:4" x14ac:dyDescent="0.35">
      <c r="A1289">
        <v>2011</v>
      </c>
      <c r="B1289" t="s">
        <v>33</v>
      </c>
      <c r="C1289" t="s">
        <v>65</v>
      </c>
      <c r="D1289">
        <v>17</v>
      </c>
    </row>
    <row r="1290" spans="1:4" x14ac:dyDescent="0.35">
      <c r="A1290">
        <v>2011</v>
      </c>
      <c r="B1290" t="s">
        <v>33</v>
      </c>
      <c r="C1290" t="s">
        <v>66</v>
      </c>
      <c r="D1290">
        <v>347</v>
      </c>
    </row>
    <row r="1291" spans="1:4" x14ac:dyDescent="0.35">
      <c r="A1291">
        <v>2011</v>
      </c>
      <c r="B1291" t="s">
        <v>34</v>
      </c>
      <c r="C1291" t="s">
        <v>67</v>
      </c>
      <c r="D1291">
        <v>164</v>
      </c>
    </row>
    <row r="1292" spans="1:4" x14ac:dyDescent="0.35">
      <c r="A1292">
        <v>2011</v>
      </c>
      <c r="B1292" t="s">
        <v>33</v>
      </c>
      <c r="C1292" t="s">
        <v>68</v>
      </c>
      <c r="D1292">
        <v>1131</v>
      </c>
    </row>
    <row r="1293" spans="1:4" x14ac:dyDescent="0.35">
      <c r="A1293">
        <v>2011</v>
      </c>
      <c r="B1293" t="s">
        <v>36</v>
      </c>
      <c r="C1293" t="s">
        <v>69</v>
      </c>
      <c r="D1293">
        <v>105</v>
      </c>
    </row>
    <row r="1294" spans="1:4" x14ac:dyDescent="0.35">
      <c r="A1294">
        <v>2011</v>
      </c>
      <c r="B1294" t="s">
        <v>36</v>
      </c>
      <c r="C1294" t="s">
        <v>365</v>
      </c>
      <c r="D1294">
        <v>6</v>
      </c>
    </row>
    <row r="1295" spans="1:4" x14ac:dyDescent="0.35">
      <c r="A1295">
        <v>2011</v>
      </c>
      <c r="B1295" t="s">
        <v>33</v>
      </c>
      <c r="C1295" t="s">
        <v>70</v>
      </c>
      <c r="D1295">
        <v>10</v>
      </c>
    </row>
    <row r="1296" spans="1:4" x14ac:dyDescent="0.35">
      <c r="A1296">
        <v>2011</v>
      </c>
      <c r="B1296" t="s">
        <v>33</v>
      </c>
      <c r="C1296" t="s">
        <v>71</v>
      </c>
      <c r="D1296">
        <v>8</v>
      </c>
    </row>
    <row r="1297" spans="1:4" x14ac:dyDescent="0.35">
      <c r="A1297">
        <v>2011</v>
      </c>
      <c r="B1297" t="s">
        <v>38</v>
      </c>
      <c r="C1297" t="s">
        <v>72</v>
      </c>
      <c r="D1297">
        <v>248</v>
      </c>
    </row>
    <row r="1298" spans="1:4" x14ac:dyDescent="0.35">
      <c r="A1298">
        <v>2011</v>
      </c>
      <c r="B1298" t="s">
        <v>34</v>
      </c>
      <c r="C1298" t="s">
        <v>73</v>
      </c>
      <c r="D1298">
        <v>2563</v>
      </c>
    </row>
    <row r="1299" spans="1:4" x14ac:dyDescent="0.35">
      <c r="A1299">
        <v>2011</v>
      </c>
      <c r="B1299" t="s">
        <v>38</v>
      </c>
      <c r="C1299" t="s">
        <v>20</v>
      </c>
      <c r="D1299">
        <v>2755</v>
      </c>
    </row>
    <row r="1300" spans="1:4" x14ac:dyDescent="0.35">
      <c r="A1300">
        <v>2011</v>
      </c>
      <c r="B1300" t="s">
        <v>33</v>
      </c>
      <c r="C1300" t="s">
        <v>74</v>
      </c>
      <c r="D1300">
        <v>26</v>
      </c>
    </row>
    <row r="1301" spans="1:4" x14ac:dyDescent="0.35">
      <c r="A1301">
        <v>2011</v>
      </c>
      <c r="B1301" t="s">
        <v>33</v>
      </c>
      <c r="C1301" t="s">
        <v>75</v>
      </c>
      <c r="D1301">
        <v>63</v>
      </c>
    </row>
    <row r="1302" spans="1:4" x14ac:dyDescent="0.35">
      <c r="A1302">
        <v>2011</v>
      </c>
      <c r="B1302" t="s">
        <v>36</v>
      </c>
      <c r="C1302" t="s">
        <v>76</v>
      </c>
      <c r="D1302">
        <v>503</v>
      </c>
    </row>
    <row r="1303" spans="1:4" x14ac:dyDescent="0.35">
      <c r="A1303">
        <v>2011</v>
      </c>
      <c r="B1303" t="s">
        <v>33</v>
      </c>
      <c r="C1303" t="s">
        <v>77</v>
      </c>
      <c r="D1303">
        <v>102</v>
      </c>
    </row>
    <row r="1304" spans="1:4" x14ac:dyDescent="0.35">
      <c r="A1304">
        <v>2011</v>
      </c>
      <c r="B1304" t="s">
        <v>35</v>
      </c>
      <c r="C1304" t="s">
        <v>78</v>
      </c>
      <c r="D1304">
        <v>31</v>
      </c>
    </row>
    <row r="1305" spans="1:4" x14ac:dyDescent="0.35">
      <c r="A1305">
        <v>2011</v>
      </c>
      <c r="B1305" t="s">
        <v>36</v>
      </c>
      <c r="C1305" t="s">
        <v>79</v>
      </c>
      <c r="D1305">
        <v>4801</v>
      </c>
    </row>
    <row r="1306" spans="1:4" x14ac:dyDescent="0.35">
      <c r="A1306">
        <v>2011</v>
      </c>
      <c r="B1306" t="s">
        <v>35</v>
      </c>
      <c r="C1306" t="s">
        <v>81</v>
      </c>
      <c r="D1306">
        <v>71</v>
      </c>
    </row>
    <row r="1307" spans="1:4" x14ac:dyDescent="0.35">
      <c r="A1307">
        <v>2011</v>
      </c>
      <c r="B1307" t="s">
        <v>35</v>
      </c>
      <c r="C1307" t="s">
        <v>214</v>
      </c>
      <c r="D1307">
        <v>21</v>
      </c>
    </row>
    <row r="1308" spans="1:4" x14ac:dyDescent="0.35">
      <c r="A1308">
        <v>2011</v>
      </c>
      <c r="B1308" t="s">
        <v>35</v>
      </c>
      <c r="C1308" t="s">
        <v>82</v>
      </c>
      <c r="D1308">
        <v>9</v>
      </c>
    </row>
    <row r="1309" spans="1:4" x14ac:dyDescent="0.35">
      <c r="A1309">
        <v>2011</v>
      </c>
      <c r="B1309" t="s">
        <v>36</v>
      </c>
      <c r="C1309" t="s">
        <v>84</v>
      </c>
      <c r="D1309">
        <v>65</v>
      </c>
    </row>
    <row r="1310" spans="1:4" x14ac:dyDescent="0.35">
      <c r="A1310">
        <v>2011</v>
      </c>
      <c r="B1310" t="s">
        <v>36</v>
      </c>
      <c r="C1310" t="s">
        <v>85</v>
      </c>
      <c r="D1310">
        <v>4433</v>
      </c>
    </row>
    <row r="1311" spans="1:4" x14ac:dyDescent="0.35">
      <c r="A1311">
        <v>2011</v>
      </c>
      <c r="B1311" t="s">
        <v>38</v>
      </c>
      <c r="C1311" t="s">
        <v>86</v>
      </c>
      <c r="D1311">
        <v>3298</v>
      </c>
    </row>
    <row r="1312" spans="1:4" x14ac:dyDescent="0.35">
      <c r="A1312">
        <v>2011</v>
      </c>
      <c r="B1312" t="s">
        <v>33</v>
      </c>
      <c r="C1312" t="s">
        <v>87</v>
      </c>
      <c r="D1312">
        <v>237</v>
      </c>
    </row>
    <row r="1313" spans="1:4" x14ac:dyDescent="0.35">
      <c r="A1313">
        <v>2011</v>
      </c>
      <c r="B1313" t="s">
        <v>36</v>
      </c>
      <c r="C1313" t="s">
        <v>16</v>
      </c>
      <c r="D1313">
        <v>27652</v>
      </c>
    </row>
    <row r="1314" spans="1:4" x14ac:dyDescent="0.35">
      <c r="A1314">
        <v>2011</v>
      </c>
      <c r="B1314" t="s">
        <v>33</v>
      </c>
      <c r="C1314" t="s">
        <v>88</v>
      </c>
      <c r="D1314">
        <v>4</v>
      </c>
    </row>
    <row r="1315" spans="1:4" x14ac:dyDescent="0.35">
      <c r="A1315">
        <v>2011</v>
      </c>
      <c r="B1315" t="s">
        <v>33</v>
      </c>
      <c r="C1315" t="s">
        <v>89</v>
      </c>
      <c r="D1315">
        <v>63</v>
      </c>
    </row>
    <row r="1316" spans="1:4" x14ac:dyDescent="0.35">
      <c r="A1316">
        <v>2011</v>
      </c>
      <c r="B1316" t="s">
        <v>35</v>
      </c>
      <c r="C1316" t="s">
        <v>90</v>
      </c>
      <c r="D1316">
        <v>35</v>
      </c>
    </row>
    <row r="1317" spans="1:4" x14ac:dyDescent="0.35">
      <c r="A1317">
        <v>2011</v>
      </c>
      <c r="B1317" t="s">
        <v>33</v>
      </c>
      <c r="C1317" t="s">
        <v>91</v>
      </c>
      <c r="D1317">
        <v>219</v>
      </c>
    </row>
    <row r="1318" spans="1:4" x14ac:dyDescent="0.35">
      <c r="A1318">
        <v>2011</v>
      </c>
      <c r="B1318" t="s">
        <v>37</v>
      </c>
      <c r="C1318" t="s">
        <v>92</v>
      </c>
      <c r="D1318">
        <v>87</v>
      </c>
    </row>
    <row r="1319" spans="1:4" x14ac:dyDescent="0.35">
      <c r="A1319">
        <v>2011</v>
      </c>
      <c r="B1319" t="s">
        <v>35</v>
      </c>
      <c r="C1319" t="s">
        <v>94</v>
      </c>
      <c r="D1319">
        <v>145</v>
      </c>
    </row>
    <row r="1320" spans="1:4" x14ac:dyDescent="0.35">
      <c r="A1320">
        <v>2011</v>
      </c>
      <c r="B1320" t="s">
        <v>33</v>
      </c>
      <c r="C1320" t="s">
        <v>95</v>
      </c>
      <c r="D1320">
        <v>13</v>
      </c>
    </row>
    <row r="1321" spans="1:4" x14ac:dyDescent="0.35">
      <c r="A1321">
        <v>2011</v>
      </c>
      <c r="B1321" t="s">
        <v>33</v>
      </c>
      <c r="C1321" t="s">
        <v>96</v>
      </c>
      <c r="D1321">
        <v>148</v>
      </c>
    </row>
    <row r="1322" spans="1:4" x14ac:dyDescent="0.35">
      <c r="A1322">
        <v>2011</v>
      </c>
      <c r="B1322" t="s">
        <v>34</v>
      </c>
      <c r="C1322" t="s">
        <v>8</v>
      </c>
      <c r="D1322">
        <v>101</v>
      </c>
    </row>
    <row r="1323" spans="1:4" x14ac:dyDescent="0.35">
      <c r="A1323">
        <v>2011</v>
      </c>
      <c r="B1323" t="s">
        <v>35</v>
      </c>
      <c r="C1323" t="s">
        <v>97</v>
      </c>
      <c r="D1323">
        <v>198</v>
      </c>
    </row>
    <row r="1324" spans="1:4" x14ac:dyDescent="0.35">
      <c r="A1324">
        <v>2011</v>
      </c>
      <c r="B1324" t="s">
        <v>33</v>
      </c>
      <c r="C1324" t="s">
        <v>98</v>
      </c>
      <c r="D1324">
        <v>435</v>
      </c>
    </row>
    <row r="1325" spans="1:4" x14ac:dyDescent="0.35">
      <c r="A1325">
        <v>2011</v>
      </c>
      <c r="B1325" t="s">
        <v>35</v>
      </c>
      <c r="C1325" t="s">
        <v>99</v>
      </c>
      <c r="D1325">
        <v>48</v>
      </c>
    </row>
    <row r="1326" spans="1:4" x14ac:dyDescent="0.35">
      <c r="A1326">
        <v>2011</v>
      </c>
      <c r="B1326" t="s">
        <v>36</v>
      </c>
      <c r="C1326" t="s">
        <v>100</v>
      </c>
      <c r="D1326">
        <v>61</v>
      </c>
    </row>
    <row r="1327" spans="1:4" x14ac:dyDescent="0.35">
      <c r="A1327">
        <v>2011</v>
      </c>
      <c r="B1327" t="s">
        <v>37</v>
      </c>
      <c r="C1327" t="s">
        <v>367</v>
      </c>
      <c r="D1327">
        <v>16</v>
      </c>
    </row>
    <row r="1328" spans="1:4" x14ac:dyDescent="0.35">
      <c r="A1328">
        <v>2011</v>
      </c>
      <c r="B1328" t="s">
        <v>36</v>
      </c>
      <c r="C1328" t="s">
        <v>15</v>
      </c>
      <c r="D1328">
        <v>41708</v>
      </c>
    </row>
    <row r="1329" spans="1:4" x14ac:dyDescent="0.35">
      <c r="A1329">
        <v>2011</v>
      </c>
      <c r="B1329" t="s">
        <v>33</v>
      </c>
      <c r="C1329" t="s">
        <v>101</v>
      </c>
      <c r="D1329">
        <v>147</v>
      </c>
    </row>
    <row r="1330" spans="1:4" x14ac:dyDescent="0.35">
      <c r="A1330">
        <v>2011</v>
      </c>
      <c r="B1330" t="s">
        <v>33</v>
      </c>
      <c r="C1330" t="s">
        <v>102</v>
      </c>
      <c r="D1330">
        <v>6</v>
      </c>
    </row>
    <row r="1331" spans="1:4" x14ac:dyDescent="0.35">
      <c r="A1331">
        <v>2011</v>
      </c>
      <c r="B1331" t="s">
        <v>38</v>
      </c>
      <c r="C1331" t="s">
        <v>103</v>
      </c>
      <c r="D1331">
        <v>411</v>
      </c>
    </row>
    <row r="1332" spans="1:4" x14ac:dyDescent="0.35">
      <c r="A1332">
        <v>2011</v>
      </c>
      <c r="B1332" t="s">
        <v>36</v>
      </c>
      <c r="C1332" t="s">
        <v>104</v>
      </c>
      <c r="D1332">
        <v>1351</v>
      </c>
    </row>
    <row r="1333" spans="1:4" x14ac:dyDescent="0.35">
      <c r="A1333">
        <v>2011</v>
      </c>
      <c r="B1333" t="s">
        <v>36</v>
      </c>
      <c r="C1333" t="s">
        <v>17</v>
      </c>
      <c r="D1333">
        <v>31189</v>
      </c>
    </row>
    <row r="1334" spans="1:4" x14ac:dyDescent="0.35">
      <c r="A1334">
        <v>2011</v>
      </c>
      <c r="B1334" t="s">
        <v>34</v>
      </c>
      <c r="C1334" t="s">
        <v>368</v>
      </c>
      <c r="D1334">
        <v>56</v>
      </c>
    </row>
    <row r="1335" spans="1:4" x14ac:dyDescent="0.35">
      <c r="A1335">
        <v>2011</v>
      </c>
      <c r="B1335" t="s">
        <v>35</v>
      </c>
      <c r="C1335" t="s">
        <v>105</v>
      </c>
      <c r="D1335">
        <v>106</v>
      </c>
    </row>
    <row r="1336" spans="1:4" x14ac:dyDescent="0.35">
      <c r="A1336">
        <v>2011</v>
      </c>
      <c r="B1336" t="s">
        <v>35</v>
      </c>
      <c r="C1336" t="s">
        <v>106</v>
      </c>
      <c r="D1336">
        <v>7</v>
      </c>
    </row>
    <row r="1337" spans="1:4" x14ac:dyDescent="0.35">
      <c r="A1337">
        <v>2011</v>
      </c>
      <c r="B1337" t="s">
        <v>34</v>
      </c>
      <c r="C1337" t="s">
        <v>22</v>
      </c>
      <c r="D1337">
        <v>3859</v>
      </c>
    </row>
    <row r="1338" spans="1:4" x14ac:dyDescent="0.35">
      <c r="A1338">
        <v>2011</v>
      </c>
      <c r="B1338" t="s">
        <v>34</v>
      </c>
      <c r="C1338" t="s">
        <v>107</v>
      </c>
      <c r="D1338">
        <v>327</v>
      </c>
    </row>
    <row r="1339" spans="1:4" x14ac:dyDescent="0.35">
      <c r="A1339">
        <v>2011</v>
      </c>
      <c r="B1339" t="s">
        <v>34</v>
      </c>
      <c r="C1339" t="s">
        <v>108</v>
      </c>
      <c r="D1339">
        <v>305</v>
      </c>
    </row>
    <row r="1340" spans="1:4" x14ac:dyDescent="0.35">
      <c r="A1340">
        <v>2011</v>
      </c>
      <c r="B1340" t="s">
        <v>34</v>
      </c>
      <c r="C1340" t="s">
        <v>109</v>
      </c>
      <c r="D1340">
        <v>285</v>
      </c>
    </row>
    <row r="1341" spans="1:4" x14ac:dyDescent="0.35">
      <c r="A1341">
        <v>2011</v>
      </c>
      <c r="B1341" t="s">
        <v>35</v>
      </c>
      <c r="C1341" t="s">
        <v>110</v>
      </c>
      <c r="D1341">
        <v>88</v>
      </c>
    </row>
    <row r="1342" spans="1:4" x14ac:dyDescent="0.35">
      <c r="A1342">
        <v>2011</v>
      </c>
      <c r="B1342" t="s">
        <v>34</v>
      </c>
      <c r="C1342" t="s">
        <v>111</v>
      </c>
      <c r="D1342">
        <v>254</v>
      </c>
    </row>
    <row r="1343" spans="1:4" x14ac:dyDescent="0.35">
      <c r="A1343">
        <v>2011</v>
      </c>
      <c r="B1343" t="s">
        <v>35</v>
      </c>
      <c r="C1343" t="s">
        <v>112</v>
      </c>
      <c r="D1343">
        <v>149</v>
      </c>
    </row>
    <row r="1344" spans="1:4" x14ac:dyDescent="0.35">
      <c r="A1344">
        <v>2011</v>
      </c>
      <c r="B1344" t="s">
        <v>36</v>
      </c>
      <c r="C1344" t="s">
        <v>113</v>
      </c>
      <c r="D1344">
        <v>2862</v>
      </c>
    </row>
    <row r="1345" spans="1:4" x14ac:dyDescent="0.35">
      <c r="A1345">
        <v>2011</v>
      </c>
      <c r="B1345" t="s">
        <v>34</v>
      </c>
      <c r="C1345" t="s">
        <v>114</v>
      </c>
      <c r="D1345">
        <v>63</v>
      </c>
    </row>
    <row r="1346" spans="1:4" x14ac:dyDescent="0.35">
      <c r="A1346">
        <v>2011</v>
      </c>
      <c r="B1346" t="s">
        <v>34</v>
      </c>
      <c r="C1346" t="s">
        <v>115</v>
      </c>
      <c r="D1346">
        <v>305</v>
      </c>
    </row>
    <row r="1347" spans="1:4" x14ac:dyDescent="0.35">
      <c r="A1347">
        <v>2011</v>
      </c>
      <c r="B1347" t="s">
        <v>34</v>
      </c>
      <c r="C1347" t="s">
        <v>116</v>
      </c>
      <c r="D1347">
        <v>117</v>
      </c>
    </row>
    <row r="1348" spans="1:4" x14ac:dyDescent="0.35">
      <c r="A1348">
        <v>2011</v>
      </c>
      <c r="B1348" t="s">
        <v>33</v>
      </c>
      <c r="C1348" t="s">
        <v>117</v>
      </c>
      <c r="D1348">
        <v>539</v>
      </c>
    </row>
    <row r="1349" spans="1:4" x14ac:dyDescent="0.35">
      <c r="A1349">
        <v>2011</v>
      </c>
      <c r="B1349" t="s">
        <v>34</v>
      </c>
      <c r="C1349" t="s">
        <v>118</v>
      </c>
      <c r="D1349">
        <v>714</v>
      </c>
    </row>
    <row r="1350" spans="1:4" x14ac:dyDescent="0.35">
      <c r="A1350">
        <v>2011</v>
      </c>
      <c r="B1350" t="s">
        <v>35</v>
      </c>
      <c r="C1350" t="s">
        <v>119</v>
      </c>
      <c r="D1350">
        <v>36</v>
      </c>
    </row>
    <row r="1351" spans="1:4" x14ac:dyDescent="0.35">
      <c r="A1351">
        <v>2011</v>
      </c>
      <c r="B1351" t="s">
        <v>34</v>
      </c>
      <c r="C1351" t="s">
        <v>120</v>
      </c>
      <c r="D1351">
        <v>23</v>
      </c>
    </row>
    <row r="1352" spans="1:4" x14ac:dyDescent="0.35">
      <c r="A1352">
        <v>2011</v>
      </c>
      <c r="B1352" t="s">
        <v>34</v>
      </c>
      <c r="C1352" t="s">
        <v>121</v>
      </c>
      <c r="D1352">
        <v>44</v>
      </c>
    </row>
    <row r="1353" spans="1:4" x14ac:dyDescent="0.35">
      <c r="A1353">
        <v>2011</v>
      </c>
      <c r="B1353" t="s">
        <v>34</v>
      </c>
      <c r="C1353" t="s">
        <v>122</v>
      </c>
      <c r="D1353">
        <v>758</v>
      </c>
    </row>
    <row r="1354" spans="1:4" x14ac:dyDescent="0.35">
      <c r="A1354">
        <v>2011</v>
      </c>
      <c r="B1354" t="s">
        <v>35</v>
      </c>
      <c r="C1354" t="s">
        <v>123</v>
      </c>
      <c r="D1354">
        <v>38</v>
      </c>
    </row>
    <row r="1355" spans="1:4" x14ac:dyDescent="0.35">
      <c r="A1355">
        <v>2011</v>
      </c>
      <c r="B1355" t="s">
        <v>34</v>
      </c>
      <c r="C1355" t="s">
        <v>124</v>
      </c>
      <c r="D1355">
        <v>171</v>
      </c>
    </row>
    <row r="1356" spans="1:4" x14ac:dyDescent="0.35">
      <c r="A1356">
        <v>2011</v>
      </c>
      <c r="B1356" t="s">
        <v>33</v>
      </c>
      <c r="C1356" t="s">
        <v>125</v>
      </c>
      <c r="D1356">
        <v>309</v>
      </c>
    </row>
    <row r="1357" spans="1:4" x14ac:dyDescent="0.35">
      <c r="A1357">
        <v>2011</v>
      </c>
      <c r="B1357" t="s">
        <v>33</v>
      </c>
      <c r="C1357" t="s">
        <v>126</v>
      </c>
      <c r="D1357">
        <v>24</v>
      </c>
    </row>
    <row r="1358" spans="1:4" x14ac:dyDescent="0.35">
      <c r="A1358">
        <v>2011</v>
      </c>
      <c r="B1358" t="s">
        <v>35</v>
      </c>
      <c r="C1358" t="s">
        <v>127</v>
      </c>
      <c r="D1358">
        <v>77</v>
      </c>
    </row>
    <row r="1359" spans="1:4" x14ac:dyDescent="0.35">
      <c r="A1359">
        <v>2011</v>
      </c>
      <c r="B1359" t="s">
        <v>34</v>
      </c>
      <c r="C1359" t="s">
        <v>369</v>
      </c>
      <c r="D1359" t="s">
        <v>205</v>
      </c>
    </row>
    <row r="1360" spans="1:4" x14ac:dyDescent="0.35">
      <c r="A1360">
        <v>2011</v>
      </c>
      <c r="B1360" t="s">
        <v>33</v>
      </c>
      <c r="C1360" t="s">
        <v>130</v>
      </c>
      <c r="D1360">
        <v>21</v>
      </c>
    </row>
    <row r="1361" spans="1:4" x14ac:dyDescent="0.35">
      <c r="A1361">
        <v>2011</v>
      </c>
      <c r="B1361" t="s">
        <v>34</v>
      </c>
      <c r="C1361" t="s">
        <v>131</v>
      </c>
      <c r="D1361">
        <v>53</v>
      </c>
    </row>
    <row r="1362" spans="1:4" x14ac:dyDescent="0.35">
      <c r="A1362">
        <v>2011</v>
      </c>
      <c r="B1362" t="s">
        <v>33</v>
      </c>
      <c r="C1362" t="s">
        <v>132</v>
      </c>
      <c r="D1362">
        <v>112</v>
      </c>
    </row>
    <row r="1363" spans="1:4" x14ac:dyDescent="0.35">
      <c r="A1363">
        <v>2011</v>
      </c>
      <c r="B1363" t="s">
        <v>35</v>
      </c>
      <c r="C1363" t="s">
        <v>133</v>
      </c>
      <c r="D1363" t="s">
        <v>205</v>
      </c>
    </row>
    <row r="1364" spans="1:4" x14ac:dyDescent="0.35">
      <c r="A1364">
        <v>2011</v>
      </c>
      <c r="B1364" t="s">
        <v>37</v>
      </c>
      <c r="C1364" t="s">
        <v>134</v>
      </c>
      <c r="D1364">
        <v>21</v>
      </c>
    </row>
    <row r="1365" spans="1:4" x14ac:dyDescent="0.35">
      <c r="A1365">
        <v>2011</v>
      </c>
      <c r="B1365" t="s">
        <v>33</v>
      </c>
      <c r="C1365" t="s">
        <v>135</v>
      </c>
      <c r="D1365">
        <v>70</v>
      </c>
    </row>
    <row r="1366" spans="1:4" x14ac:dyDescent="0.35">
      <c r="A1366">
        <v>2011</v>
      </c>
      <c r="B1366" t="s">
        <v>36</v>
      </c>
      <c r="C1366" t="s">
        <v>14</v>
      </c>
      <c r="D1366">
        <v>517472</v>
      </c>
    </row>
    <row r="1367" spans="1:4" x14ac:dyDescent="0.35">
      <c r="A1367">
        <v>2011</v>
      </c>
      <c r="B1367" t="s">
        <v>37</v>
      </c>
      <c r="C1367" t="s">
        <v>137</v>
      </c>
      <c r="D1367">
        <v>106</v>
      </c>
    </row>
    <row r="1368" spans="1:4" x14ac:dyDescent="0.35">
      <c r="A1368">
        <v>2011</v>
      </c>
      <c r="B1368" t="s">
        <v>35</v>
      </c>
      <c r="C1368" t="s">
        <v>138</v>
      </c>
      <c r="D1368">
        <v>144</v>
      </c>
    </row>
    <row r="1369" spans="1:4" x14ac:dyDescent="0.35">
      <c r="A1369">
        <v>2011</v>
      </c>
      <c r="B1369" t="s">
        <v>34</v>
      </c>
      <c r="C1369" t="s">
        <v>139</v>
      </c>
      <c r="D1369">
        <v>129</v>
      </c>
    </row>
    <row r="1370" spans="1:4" x14ac:dyDescent="0.35">
      <c r="A1370">
        <v>2011</v>
      </c>
      <c r="B1370" t="s">
        <v>35</v>
      </c>
      <c r="C1370" t="s">
        <v>140</v>
      </c>
      <c r="D1370">
        <v>11</v>
      </c>
    </row>
    <row r="1371" spans="1:4" x14ac:dyDescent="0.35">
      <c r="A1371">
        <v>2011</v>
      </c>
      <c r="B1371" t="s">
        <v>36</v>
      </c>
      <c r="C1371" t="s">
        <v>370</v>
      </c>
      <c r="D1371">
        <v>9</v>
      </c>
    </row>
    <row r="1372" spans="1:4" x14ac:dyDescent="0.35">
      <c r="A1372">
        <v>2011</v>
      </c>
      <c r="B1372" t="s">
        <v>33</v>
      </c>
      <c r="C1372" t="s">
        <v>141</v>
      </c>
      <c r="D1372">
        <v>173</v>
      </c>
    </row>
    <row r="1373" spans="1:4" x14ac:dyDescent="0.35">
      <c r="A1373">
        <v>2011</v>
      </c>
      <c r="B1373" t="s">
        <v>34</v>
      </c>
      <c r="C1373" t="s">
        <v>144</v>
      </c>
      <c r="D1373">
        <v>180</v>
      </c>
    </row>
    <row r="1374" spans="1:4" x14ac:dyDescent="0.35">
      <c r="A1374">
        <v>2011</v>
      </c>
      <c r="B1374" t="s">
        <v>35</v>
      </c>
      <c r="C1374" t="s">
        <v>145</v>
      </c>
      <c r="D1374">
        <v>72</v>
      </c>
    </row>
    <row r="1375" spans="1:4" x14ac:dyDescent="0.35">
      <c r="A1375">
        <v>2011</v>
      </c>
      <c r="B1375" t="s">
        <v>36</v>
      </c>
      <c r="C1375" t="s">
        <v>371</v>
      </c>
      <c r="D1375">
        <v>11</v>
      </c>
    </row>
    <row r="1376" spans="1:4" x14ac:dyDescent="0.35">
      <c r="A1376">
        <v>2011</v>
      </c>
      <c r="B1376" t="s">
        <v>37</v>
      </c>
      <c r="C1376" t="s">
        <v>146</v>
      </c>
      <c r="D1376">
        <v>63</v>
      </c>
    </row>
    <row r="1377" spans="1:4" x14ac:dyDescent="0.35">
      <c r="A1377">
        <v>2011</v>
      </c>
      <c r="B1377" t="s">
        <v>36</v>
      </c>
      <c r="C1377" t="s">
        <v>147</v>
      </c>
      <c r="D1377">
        <v>2278</v>
      </c>
    </row>
    <row r="1378" spans="1:4" x14ac:dyDescent="0.35">
      <c r="A1378">
        <v>2011</v>
      </c>
      <c r="B1378" t="s">
        <v>33</v>
      </c>
      <c r="C1378" t="s">
        <v>148</v>
      </c>
      <c r="D1378">
        <v>48</v>
      </c>
    </row>
    <row r="1379" spans="1:4" x14ac:dyDescent="0.35">
      <c r="A1379">
        <v>2011</v>
      </c>
      <c r="B1379" t="s">
        <v>33</v>
      </c>
      <c r="C1379" t="s">
        <v>149</v>
      </c>
      <c r="D1379">
        <v>633</v>
      </c>
    </row>
    <row r="1380" spans="1:4" x14ac:dyDescent="0.35">
      <c r="A1380">
        <v>2011</v>
      </c>
      <c r="B1380" t="s">
        <v>35</v>
      </c>
      <c r="C1380" t="s">
        <v>322</v>
      </c>
      <c r="D1380">
        <v>51</v>
      </c>
    </row>
    <row r="1381" spans="1:4" x14ac:dyDescent="0.35">
      <c r="A1381">
        <v>2011</v>
      </c>
      <c r="B1381" t="s">
        <v>35</v>
      </c>
      <c r="C1381" t="s">
        <v>150</v>
      </c>
      <c r="D1381">
        <v>7</v>
      </c>
    </row>
    <row r="1382" spans="1:4" x14ac:dyDescent="0.35">
      <c r="A1382">
        <v>2011</v>
      </c>
      <c r="B1382" t="s">
        <v>34</v>
      </c>
      <c r="C1382" t="s">
        <v>152</v>
      </c>
      <c r="D1382">
        <v>538</v>
      </c>
    </row>
    <row r="1383" spans="1:4" x14ac:dyDescent="0.35">
      <c r="A1383">
        <v>2011</v>
      </c>
      <c r="B1383" t="s">
        <v>37</v>
      </c>
      <c r="C1383" t="s">
        <v>153</v>
      </c>
      <c r="D1383">
        <v>20</v>
      </c>
    </row>
    <row r="1384" spans="1:4" x14ac:dyDescent="0.35">
      <c r="A1384">
        <v>2011</v>
      </c>
      <c r="B1384" t="s">
        <v>36</v>
      </c>
      <c r="C1384" t="s">
        <v>154</v>
      </c>
      <c r="D1384">
        <v>226</v>
      </c>
    </row>
    <row r="1385" spans="1:4" x14ac:dyDescent="0.35">
      <c r="A1385">
        <v>2011</v>
      </c>
      <c r="B1385" t="s">
        <v>38</v>
      </c>
      <c r="C1385" t="s">
        <v>155</v>
      </c>
      <c r="D1385">
        <v>35</v>
      </c>
    </row>
    <row r="1386" spans="1:4" x14ac:dyDescent="0.35">
      <c r="A1386">
        <v>2011</v>
      </c>
      <c r="B1386" t="s">
        <v>38</v>
      </c>
      <c r="C1386" t="s">
        <v>156</v>
      </c>
      <c r="D1386">
        <v>1741</v>
      </c>
    </row>
    <row r="1387" spans="1:4" x14ac:dyDescent="0.35">
      <c r="A1387">
        <v>2011</v>
      </c>
      <c r="B1387" t="s">
        <v>34</v>
      </c>
      <c r="C1387" t="s">
        <v>18</v>
      </c>
      <c r="D1387">
        <v>1135</v>
      </c>
    </row>
    <row r="1388" spans="1:4" x14ac:dyDescent="0.35">
      <c r="A1388">
        <v>2011</v>
      </c>
      <c r="B1388" t="s">
        <v>35</v>
      </c>
      <c r="C1388" t="s">
        <v>157</v>
      </c>
      <c r="D1388">
        <v>519</v>
      </c>
    </row>
    <row r="1389" spans="1:4" x14ac:dyDescent="0.35">
      <c r="A1389">
        <v>2011</v>
      </c>
      <c r="B1389" t="s">
        <v>35</v>
      </c>
      <c r="C1389" t="s">
        <v>158</v>
      </c>
      <c r="D1389">
        <v>194</v>
      </c>
    </row>
    <row r="1390" spans="1:4" x14ac:dyDescent="0.35">
      <c r="A1390">
        <v>2011</v>
      </c>
      <c r="B1390" t="s">
        <v>35</v>
      </c>
      <c r="C1390" t="s">
        <v>160</v>
      </c>
      <c r="D1390">
        <v>869</v>
      </c>
    </row>
    <row r="1391" spans="1:4" x14ac:dyDescent="0.35">
      <c r="A1391">
        <v>2011</v>
      </c>
      <c r="B1391" t="s">
        <v>35</v>
      </c>
      <c r="C1391" t="s">
        <v>161</v>
      </c>
      <c r="D1391">
        <v>526</v>
      </c>
    </row>
    <row r="1392" spans="1:4" x14ac:dyDescent="0.35">
      <c r="A1392">
        <v>2011</v>
      </c>
      <c r="B1392" t="s">
        <v>33</v>
      </c>
      <c r="C1392" t="s">
        <v>162</v>
      </c>
      <c r="D1392">
        <v>19</v>
      </c>
    </row>
    <row r="1393" spans="1:4" x14ac:dyDescent="0.35">
      <c r="A1393">
        <v>2011</v>
      </c>
      <c r="B1393" t="s">
        <v>36</v>
      </c>
      <c r="C1393" t="s">
        <v>163</v>
      </c>
      <c r="D1393">
        <v>46</v>
      </c>
    </row>
    <row r="1394" spans="1:4" x14ac:dyDescent="0.35">
      <c r="A1394">
        <v>2011</v>
      </c>
      <c r="B1394" t="s">
        <v>36</v>
      </c>
      <c r="C1394" t="s">
        <v>164</v>
      </c>
      <c r="D1394">
        <v>58</v>
      </c>
    </row>
    <row r="1395" spans="1:4" x14ac:dyDescent="0.35">
      <c r="A1395">
        <v>2011</v>
      </c>
      <c r="B1395" t="s">
        <v>36</v>
      </c>
      <c r="C1395" t="s">
        <v>165</v>
      </c>
      <c r="D1395">
        <v>50</v>
      </c>
    </row>
    <row r="1396" spans="1:4" x14ac:dyDescent="0.35">
      <c r="A1396">
        <v>2011</v>
      </c>
      <c r="B1396" t="s">
        <v>37</v>
      </c>
      <c r="C1396" t="s">
        <v>166</v>
      </c>
      <c r="D1396">
        <v>36</v>
      </c>
    </row>
    <row r="1397" spans="1:4" x14ac:dyDescent="0.35">
      <c r="A1397">
        <v>2011</v>
      </c>
      <c r="B1397" t="s">
        <v>34</v>
      </c>
      <c r="C1397" t="s">
        <v>167</v>
      </c>
      <c r="D1397">
        <v>127</v>
      </c>
    </row>
    <row r="1398" spans="1:4" x14ac:dyDescent="0.35">
      <c r="A1398">
        <v>2011</v>
      </c>
      <c r="B1398" t="s">
        <v>33</v>
      </c>
      <c r="C1398" t="s">
        <v>168</v>
      </c>
      <c r="D1398">
        <v>158</v>
      </c>
    </row>
    <row r="1399" spans="1:4" x14ac:dyDescent="0.35">
      <c r="A1399">
        <v>2011</v>
      </c>
      <c r="B1399" t="s">
        <v>35</v>
      </c>
      <c r="C1399" t="s">
        <v>169</v>
      </c>
      <c r="D1399">
        <v>22</v>
      </c>
    </row>
    <row r="1400" spans="1:4" x14ac:dyDescent="0.35">
      <c r="A1400">
        <v>2011</v>
      </c>
      <c r="B1400" t="s">
        <v>35</v>
      </c>
      <c r="C1400" t="s">
        <v>215</v>
      </c>
      <c r="D1400">
        <v>142</v>
      </c>
    </row>
    <row r="1401" spans="1:4" x14ac:dyDescent="0.35">
      <c r="A1401">
        <v>2011</v>
      </c>
      <c r="B1401" t="s">
        <v>33</v>
      </c>
      <c r="C1401" t="s">
        <v>170</v>
      </c>
      <c r="D1401">
        <v>171</v>
      </c>
    </row>
    <row r="1402" spans="1:4" x14ac:dyDescent="0.35">
      <c r="A1402">
        <v>2011</v>
      </c>
      <c r="B1402" t="s">
        <v>34</v>
      </c>
      <c r="C1402" t="s">
        <v>171</v>
      </c>
      <c r="D1402">
        <v>12</v>
      </c>
    </row>
    <row r="1403" spans="1:4" x14ac:dyDescent="0.35">
      <c r="A1403">
        <v>2011</v>
      </c>
      <c r="B1403" t="s">
        <v>35</v>
      </c>
      <c r="C1403" t="s">
        <v>172</v>
      </c>
      <c r="D1403">
        <v>29</v>
      </c>
    </row>
    <row r="1404" spans="1:4" x14ac:dyDescent="0.35">
      <c r="A1404">
        <v>2011</v>
      </c>
      <c r="B1404" t="s">
        <v>35</v>
      </c>
      <c r="C1404" t="s">
        <v>173</v>
      </c>
      <c r="D1404">
        <v>5</v>
      </c>
    </row>
    <row r="1405" spans="1:4" x14ac:dyDescent="0.35">
      <c r="A1405">
        <v>2011</v>
      </c>
      <c r="B1405" t="s">
        <v>33</v>
      </c>
      <c r="C1405" t="s">
        <v>174</v>
      </c>
      <c r="D1405">
        <v>336</v>
      </c>
    </row>
    <row r="1406" spans="1:4" x14ac:dyDescent="0.35">
      <c r="A1406">
        <v>2011</v>
      </c>
      <c r="B1406" t="s">
        <v>33</v>
      </c>
      <c r="C1406" t="s">
        <v>175</v>
      </c>
      <c r="D1406">
        <v>123</v>
      </c>
    </row>
    <row r="1407" spans="1:4" x14ac:dyDescent="0.35">
      <c r="A1407">
        <v>2011</v>
      </c>
      <c r="B1407" t="s">
        <v>33</v>
      </c>
      <c r="C1407" t="s">
        <v>176</v>
      </c>
      <c r="D1407" t="s">
        <v>205</v>
      </c>
    </row>
    <row r="1408" spans="1:4" x14ac:dyDescent="0.35">
      <c r="A1408">
        <v>2011</v>
      </c>
      <c r="B1408" t="s">
        <v>35</v>
      </c>
      <c r="C1408" t="s">
        <v>216</v>
      </c>
      <c r="D1408">
        <v>92</v>
      </c>
    </row>
    <row r="1409" spans="1:4" x14ac:dyDescent="0.35">
      <c r="A1409">
        <v>2011</v>
      </c>
      <c r="B1409" t="s">
        <v>35</v>
      </c>
      <c r="C1409" t="s">
        <v>177</v>
      </c>
      <c r="D1409">
        <v>126</v>
      </c>
    </row>
    <row r="1410" spans="1:4" x14ac:dyDescent="0.35">
      <c r="A1410">
        <v>2011</v>
      </c>
      <c r="B1410" t="s">
        <v>34</v>
      </c>
      <c r="C1410" t="s">
        <v>178</v>
      </c>
      <c r="D1410">
        <v>316</v>
      </c>
    </row>
    <row r="1411" spans="1:4" x14ac:dyDescent="0.35">
      <c r="A1411">
        <v>2011</v>
      </c>
      <c r="B1411" t="s">
        <v>33</v>
      </c>
      <c r="C1411" t="s">
        <v>179</v>
      </c>
      <c r="D1411">
        <v>226</v>
      </c>
    </row>
    <row r="1412" spans="1:4" x14ac:dyDescent="0.35">
      <c r="A1412">
        <v>2011</v>
      </c>
      <c r="B1412" t="s">
        <v>38</v>
      </c>
      <c r="C1412" t="s">
        <v>180</v>
      </c>
      <c r="D1412">
        <v>19</v>
      </c>
    </row>
    <row r="1413" spans="1:4" x14ac:dyDescent="0.35">
      <c r="A1413">
        <v>2011</v>
      </c>
      <c r="B1413" t="s">
        <v>35</v>
      </c>
      <c r="C1413" t="s">
        <v>182</v>
      </c>
      <c r="D1413">
        <v>42</v>
      </c>
    </row>
    <row r="1414" spans="1:4" x14ac:dyDescent="0.35">
      <c r="A1414">
        <v>2011</v>
      </c>
      <c r="B1414" t="s">
        <v>35</v>
      </c>
      <c r="C1414" t="s">
        <v>183</v>
      </c>
      <c r="D1414">
        <v>19</v>
      </c>
    </row>
    <row r="1415" spans="1:4" x14ac:dyDescent="0.35">
      <c r="A1415">
        <v>2011</v>
      </c>
      <c r="B1415" t="s">
        <v>34</v>
      </c>
      <c r="C1415" t="s">
        <v>184</v>
      </c>
      <c r="D1415">
        <v>114</v>
      </c>
    </row>
    <row r="1416" spans="1:4" x14ac:dyDescent="0.35">
      <c r="A1416">
        <v>2011</v>
      </c>
      <c r="B1416" t="s">
        <v>34</v>
      </c>
      <c r="C1416" t="s">
        <v>185</v>
      </c>
      <c r="D1416">
        <v>58</v>
      </c>
    </row>
    <row r="1417" spans="1:4" x14ac:dyDescent="0.35">
      <c r="A1417">
        <v>2011</v>
      </c>
      <c r="B1417" t="s">
        <v>34</v>
      </c>
      <c r="C1417" t="s">
        <v>186</v>
      </c>
      <c r="D1417">
        <v>82</v>
      </c>
    </row>
    <row r="1418" spans="1:4" x14ac:dyDescent="0.35">
      <c r="A1418">
        <v>2011</v>
      </c>
      <c r="B1418" t="s">
        <v>33</v>
      </c>
      <c r="C1418" t="s">
        <v>187</v>
      </c>
      <c r="D1418">
        <v>64</v>
      </c>
    </row>
    <row r="1419" spans="1:4" x14ac:dyDescent="0.35">
      <c r="A1419">
        <v>2011</v>
      </c>
      <c r="B1419" t="s">
        <v>34</v>
      </c>
      <c r="C1419" t="s">
        <v>188</v>
      </c>
      <c r="D1419">
        <v>257</v>
      </c>
    </row>
    <row r="1420" spans="1:4" x14ac:dyDescent="0.35">
      <c r="A1420">
        <v>2011</v>
      </c>
      <c r="B1420" t="s">
        <v>33</v>
      </c>
      <c r="C1420" t="s">
        <v>189</v>
      </c>
      <c r="D1420">
        <v>43</v>
      </c>
    </row>
    <row r="1421" spans="1:4" x14ac:dyDescent="0.35">
      <c r="A1421">
        <v>2011</v>
      </c>
      <c r="B1421" t="s">
        <v>37</v>
      </c>
      <c r="C1421" t="s">
        <v>190</v>
      </c>
      <c r="D1421">
        <v>82</v>
      </c>
    </row>
    <row r="1422" spans="1:4" x14ac:dyDescent="0.35">
      <c r="A1422">
        <v>2011</v>
      </c>
      <c r="B1422" t="s">
        <v>36</v>
      </c>
      <c r="C1422" t="s">
        <v>191</v>
      </c>
      <c r="D1422">
        <v>596</v>
      </c>
    </row>
    <row r="1423" spans="1:4" x14ac:dyDescent="0.35">
      <c r="A1423">
        <v>2011</v>
      </c>
      <c r="B1423" t="s">
        <v>33</v>
      </c>
      <c r="C1423" t="s">
        <v>192</v>
      </c>
      <c r="D1423">
        <v>43</v>
      </c>
    </row>
    <row r="1424" spans="1:4" x14ac:dyDescent="0.35">
      <c r="A1424">
        <v>2011</v>
      </c>
      <c r="B1424" t="s">
        <v>34</v>
      </c>
      <c r="C1424" t="s">
        <v>193</v>
      </c>
      <c r="D1424">
        <v>224</v>
      </c>
    </row>
    <row r="1425" spans="1:4" x14ac:dyDescent="0.35">
      <c r="A1425">
        <v>2011</v>
      </c>
      <c r="B1425" t="s">
        <v>34</v>
      </c>
      <c r="C1425" t="s">
        <v>194</v>
      </c>
      <c r="D1425">
        <v>8</v>
      </c>
    </row>
    <row r="1426" spans="1:4" x14ac:dyDescent="0.35">
      <c r="A1426">
        <v>2011</v>
      </c>
      <c r="B1426" t="s">
        <v>36</v>
      </c>
      <c r="C1426" t="s">
        <v>372</v>
      </c>
      <c r="D1426">
        <v>11</v>
      </c>
    </row>
    <row r="1427" spans="1:4" x14ac:dyDescent="0.35">
      <c r="A1427">
        <v>2011</v>
      </c>
      <c r="B1427" t="s">
        <v>33</v>
      </c>
      <c r="C1427" t="s">
        <v>195</v>
      </c>
      <c r="D1427">
        <v>66</v>
      </c>
    </row>
    <row r="1428" spans="1:4" x14ac:dyDescent="0.35">
      <c r="A1428">
        <v>2011</v>
      </c>
      <c r="B1428" t="s">
        <v>35</v>
      </c>
      <c r="C1428" t="s">
        <v>196</v>
      </c>
      <c r="D1428">
        <v>393</v>
      </c>
    </row>
    <row r="1429" spans="1:4" x14ac:dyDescent="0.35">
      <c r="A1429">
        <v>2011</v>
      </c>
      <c r="B1429" t="s">
        <v>34</v>
      </c>
      <c r="C1429" t="s">
        <v>197</v>
      </c>
      <c r="D1429">
        <v>3</v>
      </c>
    </row>
    <row r="1430" spans="1:4" x14ac:dyDescent="0.35">
      <c r="A1430">
        <v>2011</v>
      </c>
      <c r="B1430" t="s">
        <v>35</v>
      </c>
      <c r="C1430" t="s">
        <v>198</v>
      </c>
      <c r="D1430">
        <v>518</v>
      </c>
    </row>
    <row r="1431" spans="1:4" x14ac:dyDescent="0.35">
      <c r="A1431">
        <v>2011</v>
      </c>
      <c r="B1431" t="s">
        <v>39</v>
      </c>
      <c r="C1431" t="s">
        <v>39</v>
      </c>
      <c r="D1431">
        <v>775</v>
      </c>
    </row>
    <row r="1432" spans="1:4" x14ac:dyDescent="0.35">
      <c r="A1432">
        <v>2011</v>
      </c>
      <c r="B1432" t="s">
        <v>38</v>
      </c>
      <c r="C1432" t="s">
        <v>199</v>
      </c>
      <c r="D1432">
        <v>239</v>
      </c>
    </row>
    <row r="1433" spans="1:4" x14ac:dyDescent="0.35">
      <c r="A1433">
        <v>2011</v>
      </c>
      <c r="B1433" t="s">
        <v>34</v>
      </c>
      <c r="C1433" t="s">
        <v>200</v>
      </c>
      <c r="D1433">
        <v>135</v>
      </c>
    </row>
    <row r="1434" spans="1:4" x14ac:dyDescent="0.35">
      <c r="A1434">
        <v>2011</v>
      </c>
      <c r="B1434" t="s">
        <v>38</v>
      </c>
      <c r="C1434" t="s">
        <v>19</v>
      </c>
      <c r="D1434">
        <v>575</v>
      </c>
    </row>
    <row r="1435" spans="1:4" x14ac:dyDescent="0.35">
      <c r="A1435">
        <v>2011</v>
      </c>
      <c r="B1435" t="s">
        <v>34</v>
      </c>
      <c r="C1435" t="s">
        <v>201</v>
      </c>
      <c r="D1435">
        <v>1413</v>
      </c>
    </row>
    <row r="1436" spans="1:4" x14ac:dyDescent="0.35">
      <c r="A1436">
        <v>2011</v>
      </c>
      <c r="B1436" t="s">
        <v>34</v>
      </c>
      <c r="C1436" t="s">
        <v>202</v>
      </c>
      <c r="D1436">
        <v>86</v>
      </c>
    </row>
    <row r="1437" spans="1:4" x14ac:dyDescent="0.35">
      <c r="A1437">
        <v>2011</v>
      </c>
      <c r="B1437" t="s">
        <v>33</v>
      </c>
      <c r="C1437" t="s">
        <v>203</v>
      </c>
      <c r="D1437">
        <v>49</v>
      </c>
    </row>
    <row r="1438" spans="1:4" x14ac:dyDescent="0.35">
      <c r="A1438">
        <v>2011</v>
      </c>
      <c r="B1438" t="s">
        <v>33</v>
      </c>
      <c r="C1438" t="s">
        <v>204</v>
      </c>
      <c r="D1438">
        <v>88</v>
      </c>
    </row>
    <row r="1439" spans="1:4" x14ac:dyDescent="0.35">
      <c r="A1439">
        <v>2012</v>
      </c>
      <c r="B1439" t="s">
        <v>34</v>
      </c>
      <c r="C1439" t="s">
        <v>40</v>
      </c>
      <c r="D1439">
        <v>98</v>
      </c>
    </row>
    <row r="1440" spans="1:4" x14ac:dyDescent="0.35">
      <c r="A1440">
        <v>2012</v>
      </c>
      <c r="B1440" t="s">
        <v>35</v>
      </c>
      <c r="C1440" t="s">
        <v>41</v>
      </c>
      <c r="D1440">
        <v>277</v>
      </c>
    </row>
    <row r="1441" spans="1:4" x14ac:dyDescent="0.35">
      <c r="A1441">
        <v>2012</v>
      </c>
      <c r="B1441" t="s">
        <v>33</v>
      </c>
      <c r="C1441" t="s">
        <v>42</v>
      </c>
      <c r="D1441">
        <v>42</v>
      </c>
    </row>
    <row r="1442" spans="1:4" x14ac:dyDescent="0.35">
      <c r="A1442">
        <v>2012</v>
      </c>
      <c r="C1442" t="s">
        <v>373</v>
      </c>
      <c r="D1442">
        <v>73</v>
      </c>
    </row>
    <row r="1443" spans="1:4" x14ac:dyDescent="0.35">
      <c r="A1443">
        <v>2012</v>
      </c>
      <c r="B1443" t="s">
        <v>33</v>
      </c>
      <c r="C1443" t="s">
        <v>43</v>
      </c>
      <c r="D1443">
        <v>22</v>
      </c>
    </row>
    <row r="1444" spans="1:4" x14ac:dyDescent="0.35">
      <c r="A1444">
        <v>2012</v>
      </c>
      <c r="B1444" t="s">
        <v>36</v>
      </c>
      <c r="C1444" t="s">
        <v>44</v>
      </c>
      <c r="D1444">
        <v>56</v>
      </c>
    </row>
    <row r="1445" spans="1:4" x14ac:dyDescent="0.35">
      <c r="A1445">
        <v>2012</v>
      </c>
      <c r="B1445" t="s">
        <v>38</v>
      </c>
      <c r="C1445" t="s">
        <v>45</v>
      </c>
      <c r="D1445">
        <v>324</v>
      </c>
    </row>
    <row r="1446" spans="1:4" x14ac:dyDescent="0.35">
      <c r="A1446">
        <v>2012</v>
      </c>
      <c r="B1446" t="s">
        <v>34</v>
      </c>
      <c r="C1446" t="s">
        <v>46</v>
      </c>
      <c r="D1446">
        <v>217</v>
      </c>
    </row>
    <row r="1447" spans="1:4" x14ac:dyDescent="0.35">
      <c r="A1447">
        <v>2012</v>
      </c>
      <c r="B1447" t="s">
        <v>37</v>
      </c>
      <c r="C1447" t="s">
        <v>47</v>
      </c>
      <c r="D1447">
        <v>55</v>
      </c>
    </row>
    <row r="1448" spans="1:4" x14ac:dyDescent="0.35">
      <c r="A1448">
        <v>2012</v>
      </c>
      <c r="B1448" t="s">
        <v>35</v>
      </c>
      <c r="C1448" t="s">
        <v>48</v>
      </c>
      <c r="D1448">
        <v>12</v>
      </c>
    </row>
    <row r="1449" spans="1:4" x14ac:dyDescent="0.35">
      <c r="A1449">
        <v>2012</v>
      </c>
      <c r="B1449" t="s">
        <v>34</v>
      </c>
      <c r="C1449" t="s">
        <v>49</v>
      </c>
      <c r="D1449">
        <v>29</v>
      </c>
    </row>
    <row r="1450" spans="1:4" x14ac:dyDescent="0.35">
      <c r="A1450">
        <v>2012</v>
      </c>
      <c r="B1450" t="s">
        <v>36</v>
      </c>
      <c r="C1450" t="s">
        <v>50</v>
      </c>
      <c r="D1450">
        <v>275</v>
      </c>
    </row>
    <row r="1451" spans="1:4" x14ac:dyDescent="0.35">
      <c r="A1451">
        <v>2012</v>
      </c>
      <c r="B1451" t="s">
        <v>34</v>
      </c>
      <c r="C1451" t="s">
        <v>51</v>
      </c>
      <c r="D1451" t="s">
        <v>205</v>
      </c>
    </row>
    <row r="1452" spans="1:4" x14ac:dyDescent="0.35">
      <c r="A1452">
        <v>2012</v>
      </c>
      <c r="B1452" t="s">
        <v>34</v>
      </c>
      <c r="C1452" t="s">
        <v>52</v>
      </c>
      <c r="D1452">
        <v>262</v>
      </c>
    </row>
    <row r="1453" spans="1:4" x14ac:dyDescent="0.35">
      <c r="A1453">
        <v>2012</v>
      </c>
      <c r="B1453" t="s">
        <v>36</v>
      </c>
      <c r="C1453" t="s">
        <v>53</v>
      </c>
      <c r="D1453">
        <v>80</v>
      </c>
    </row>
    <row r="1454" spans="1:4" x14ac:dyDescent="0.35">
      <c r="A1454">
        <v>2012</v>
      </c>
      <c r="B1454" t="s">
        <v>35</v>
      </c>
      <c r="C1454" t="s">
        <v>54</v>
      </c>
      <c r="D1454">
        <v>51</v>
      </c>
    </row>
    <row r="1455" spans="1:4" x14ac:dyDescent="0.35">
      <c r="A1455">
        <v>2012</v>
      </c>
      <c r="B1455" t="s">
        <v>35</v>
      </c>
      <c r="C1455" t="s">
        <v>55</v>
      </c>
      <c r="D1455">
        <v>17</v>
      </c>
    </row>
    <row r="1456" spans="1:4" x14ac:dyDescent="0.35">
      <c r="A1456">
        <v>2012</v>
      </c>
      <c r="B1456" t="s">
        <v>36</v>
      </c>
      <c r="C1456" t="s">
        <v>56</v>
      </c>
      <c r="D1456">
        <v>316</v>
      </c>
    </row>
    <row r="1457" spans="1:4" x14ac:dyDescent="0.35">
      <c r="A1457">
        <v>2012</v>
      </c>
      <c r="B1457" t="s">
        <v>33</v>
      </c>
      <c r="C1457" t="s">
        <v>57</v>
      </c>
      <c r="D1457">
        <v>11</v>
      </c>
    </row>
    <row r="1458" spans="1:4" x14ac:dyDescent="0.35">
      <c r="A1458">
        <v>2012</v>
      </c>
      <c r="B1458" t="s">
        <v>36</v>
      </c>
      <c r="C1458" t="s">
        <v>363</v>
      </c>
      <c r="D1458">
        <v>21</v>
      </c>
    </row>
    <row r="1459" spans="1:4" x14ac:dyDescent="0.35">
      <c r="A1459">
        <v>2012</v>
      </c>
      <c r="B1459" t="s">
        <v>38</v>
      </c>
      <c r="C1459" t="s">
        <v>59</v>
      </c>
      <c r="D1459">
        <v>290</v>
      </c>
    </row>
    <row r="1460" spans="1:4" x14ac:dyDescent="0.35">
      <c r="A1460">
        <v>2012</v>
      </c>
      <c r="B1460" t="s">
        <v>35</v>
      </c>
      <c r="C1460" t="s">
        <v>60</v>
      </c>
      <c r="D1460">
        <v>198</v>
      </c>
    </row>
    <row r="1461" spans="1:4" x14ac:dyDescent="0.35">
      <c r="A1461">
        <v>2012</v>
      </c>
      <c r="B1461" t="s">
        <v>38</v>
      </c>
      <c r="C1461" t="s">
        <v>21</v>
      </c>
      <c r="D1461">
        <v>2433</v>
      </c>
    </row>
    <row r="1462" spans="1:4" x14ac:dyDescent="0.35">
      <c r="A1462">
        <v>2012</v>
      </c>
      <c r="B1462" t="s">
        <v>36</v>
      </c>
      <c r="C1462" t="s">
        <v>364</v>
      </c>
      <c r="D1462">
        <v>12</v>
      </c>
    </row>
    <row r="1463" spans="1:4" x14ac:dyDescent="0.35">
      <c r="A1463">
        <v>2012</v>
      </c>
      <c r="B1463" t="s">
        <v>35</v>
      </c>
      <c r="C1463" t="s">
        <v>62</v>
      </c>
      <c r="D1463">
        <v>110</v>
      </c>
    </row>
    <row r="1464" spans="1:4" x14ac:dyDescent="0.35">
      <c r="A1464">
        <v>2012</v>
      </c>
      <c r="B1464" t="s">
        <v>33</v>
      </c>
      <c r="C1464" t="s">
        <v>63</v>
      </c>
      <c r="D1464">
        <v>29</v>
      </c>
    </row>
    <row r="1465" spans="1:4" x14ac:dyDescent="0.35">
      <c r="A1465">
        <v>2012</v>
      </c>
      <c r="B1465" t="s">
        <v>34</v>
      </c>
      <c r="C1465" t="s">
        <v>64</v>
      </c>
      <c r="D1465">
        <v>54</v>
      </c>
    </row>
    <row r="1466" spans="1:4" x14ac:dyDescent="0.35">
      <c r="A1466">
        <v>2012</v>
      </c>
      <c r="B1466" t="s">
        <v>33</v>
      </c>
      <c r="C1466" t="s">
        <v>65</v>
      </c>
      <c r="D1466">
        <v>27</v>
      </c>
    </row>
    <row r="1467" spans="1:4" x14ac:dyDescent="0.35">
      <c r="A1467">
        <v>2012</v>
      </c>
      <c r="B1467" t="s">
        <v>33</v>
      </c>
      <c r="C1467" t="s">
        <v>66</v>
      </c>
      <c r="D1467">
        <v>268</v>
      </c>
    </row>
    <row r="1468" spans="1:4" x14ac:dyDescent="0.35">
      <c r="A1468">
        <v>2012</v>
      </c>
      <c r="B1468" t="s">
        <v>34</v>
      </c>
      <c r="C1468" t="s">
        <v>67</v>
      </c>
      <c r="D1468">
        <v>130</v>
      </c>
    </row>
    <row r="1469" spans="1:4" x14ac:dyDescent="0.35">
      <c r="A1469">
        <v>2012</v>
      </c>
      <c r="B1469" t="s">
        <v>33</v>
      </c>
      <c r="C1469" t="s">
        <v>68</v>
      </c>
      <c r="D1469">
        <v>1172</v>
      </c>
    </row>
    <row r="1470" spans="1:4" x14ac:dyDescent="0.35">
      <c r="A1470">
        <v>2012</v>
      </c>
      <c r="B1470" t="s">
        <v>36</v>
      </c>
      <c r="C1470" t="s">
        <v>69</v>
      </c>
      <c r="D1470">
        <v>110</v>
      </c>
    </row>
    <row r="1471" spans="1:4" x14ac:dyDescent="0.35">
      <c r="A1471">
        <v>2012</v>
      </c>
      <c r="B1471" t="s">
        <v>36</v>
      </c>
      <c r="C1471" t="s">
        <v>365</v>
      </c>
      <c r="D1471">
        <v>6</v>
      </c>
    </row>
    <row r="1472" spans="1:4" x14ac:dyDescent="0.35">
      <c r="A1472">
        <v>2012</v>
      </c>
      <c r="B1472" t="s">
        <v>33</v>
      </c>
      <c r="C1472" t="s">
        <v>70</v>
      </c>
      <c r="D1472">
        <v>9</v>
      </c>
    </row>
    <row r="1473" spans="1:4" x14ac:dyDescent="0.35">
      <c r="A1473">
        <v>2012</v>
      </c>
      <c r="B1473" t="s">
        <v>33</v>
      </c>
      <c r="C1473" t="s">
        <v>71</v>
      </c>
      <c r="D1473">
        <v>7</v>
      </c>
    </row>
    <row r="1474" spans="1:4" x14ac:dyDescent="0.35">
      <c r="A1474">
        <v>2012</v>
      </c>
      <c r="B1474" t="s">
        <v>38</v>
      </c>
      <c r="C1474" t="s">
        <v>72</v>
      </c>
      <c r="D1474">
        <v>193</v>
      </c>
    </row>
    <row r="1475" spans="1:4" x14ac:dyDescent="0.35">
      <c r="A1475">
        <v>2012</v>
      </c>
      <c r="B1475" t="s">
        <v>34</v>
      </c>
      <c r="C1475" t="s">
        <v>73</v>
      </c>
      <c r="D1475">
        <v>2350</v>
      </c>
    </row>
    <row r="1476" spans="1:4" x14ac:dyDescent="0.35">
      <c r="A1476">
        <v>2012</v>
      </c>
      <c r="B1476" t="s">
        <v>38</v>
      </c>
      <c r="C1476" t="s">
        <v>20</v>
      </c>
      <c r="D1476">
        <v>2201</v>
      </c>
    </row>
    <row r="1477" spans="1:4" x14ac:dyDescent="0.35">
      <c r="A1477">
        <v>2012</v>
      </c>
      <c r="B1477" t="s">
        <v>33</v>
      </c>
      <c r="C1477" t="s">
        <v>74</v>
      </c>
      <c r="D1477">
        <v>28</v>
      </c>
    </row>
    <row r="1478" spans="1:4" x14ac:dyDescent="0.35">
      <c r="A1478">
        <v>2012</v>
      </c>
      <c r="B1478" t="s">
        <v>33</v>
      </c>
      <c r="C1478" t="s">
        <v>75</v>
      </c>
      <c r="D1478">
        <v>75</v>
      </c>
    </row>
    <row r="1479" spans="1:4" x14ac:dyDescent="0.35">
      <c r="A1479">
        <v>2012</v>
      </c>
      <c r="B1479" t="s">
        <v>36</v>
      </c>
      <c r="C1479" t="s">
        <v>76</v>
      </c>
      <c r="D1479">
        <v>518</v>
      </c>
    </row>
    <row r="1480" spans="1:4" x14ac:dyDescent="0.35">
      <c r="A1480">
        <v>2012</v>
      </c>
      <c r="B1480" t="s">
        <v>33</v>
      </c>
      <c r="C1480" t="s">
        <v>77</v>
      </c>
      <c r="D1480">
        <v>112</v>
      </c>
    </row>
    <row r="1481" spans="1:4" x14ac:dyDescent="0.35">
      <c r="A1481">
        <v>2012</v>
      </c>
      <c r="B1481" t="s">
        <v>35</v>
      </c>
      <c r="C1481" t="s">
        <v>78</v>
      </c>
      <c r="D1481">
        <v>31</v>
      </c>
    </row>
    <row r="1482" spans="1:4" x14ac:dyDescent="0.35">
      <c r="A1482">
        <v>2012</v>
      </c>
      <c r="B1482" t="s">
        <v>36</v>
      </c>
      <c r="C1482" t="s">
        <v>79</v>
      </c>
      <c r="D1482">
        <v>4121</v>
      </c>
    </row>
    <row r="1483" spans="1:4" x14ac:dyDescent="0.35">
      <c r="A1483">
        <v>2012</v>
      </c>
      <c r="B1483" t="s">
        <v>35</v>
      </c>
      <c r="C1483" t="s">
        <v>81</v>
      </c>
      <c r="D1483">
        <v>68</v>
      </c>
    </row>
    <row r="1484" spans="1:4" x14ac:dyDescent="0.35">
      <c r="A1484">
        <v>2012</v>
      </c>
      <c r="B1484" t="s">
        <v>35</v>
      </c>
      <c r="C1484" t="s">
        <v>214</v>
      </c>
      <c r="D1484">
        <v>20</v>
      </c>
    </row>
    <row r="1485" spans="1:4" x14ac:dyDescent="0.35">
      <c r="A1485">
        <v>2012</v>
      </c>
      <c r="B1485" t="s">
        <v>35</v>
      </c>
      <c r="C1485" t="s">
        <v>82</v>
      </c>
      <c r="D1485">
        <v>8</v>
      </c>
    </row>
    <row r="1486" spans="1:4" x14ac:dyDescent="0.35">
      <c r="A1486">
        <v>2012</v>
      </c>
      <c r="B1486" t="s">
        <v>36</v>
      </c>
      <c r="C1486" t="s">
        <v>84</v>
      </c>
      <c r="D1486">
        <v>41</v>
      </c>
    </row>
    <row r="1487" spans="1:4" x14ac:dyDescent="0.35">
      <c r="A1487">
        <v>2012</v>
      </c>
      <c r="B1487" t="s">
        <v>36</v>
      </c>
      <c r="C1487" t="s">
        <v>85</v>
      </c>
      <c r="D1487">
        <v>4506</v>
      </c>
    </row>
    <row r="1488" spans="1:4" x14ac:dyDescent="0.35">
      <c r="A1488">
        <v>2012</v>
      </c>
      <c r="B1488" t="s">
        <v>38</v>
      </c>
      <c r="C1488" t="s">
        <v>86</v>
      </c>
      <c r="D1488">
        <v>4374</v>
      </c>
    </row>
    <row r="1489" spans="1:4" x14ac:dyDescent="0.35">
      <c r="A1489">
        <v>2012</v>
      </c>
      <c r="B1489" t="s">
        <v>33</v>
      </c>
      <c r="C1489" t="s">
        <v>87</v>
      </c>
      <c r="D1489">
        <v>190</v>
      </c>
    </row>
    <row r="1490" spans="1:4" x14ac:dyDescent="0.35">
      <c r="A1490">
        <v>2012</v>
      </c>
      <c r="B1490" t="s">
        <v>36</v>
      </c>
      <c r="C1490" t="s">
        <v>16</v>
      </c>
      <c r="D1490">
        <v>38976</v>
      </c>
    </row>
    <row r="1491" spans="1:4" x14ac:dyDescent="0.35">
      <c r="A1491">
        <v>2012</v>
      </c>
      <c r="B1491" t="s">
        <v>33</v>
      </c>
      <c r="C1491" t="s">
        <v>88</v>
      </c>
      <c r="D1491">
        <v>7</v>
      </c>
    </row>
    <row r="1492" spans="1:4" x14ac:dyDescent="0.35">
      <c r="A1492">
        <v>2012</v>
      </c>
      <c r="B1492" t="s">
        <v>33</v>
      </c>
      <c r="C1492" t="s">
        <v>89</v>
      </c>
      <c r="D1492">
        <v>37</v>
      </c>
    </row>
    <row r="1493" spans="1:4" x14ac:dyDescent="0.35">
      <c r="A1493">
        <v>2012</v>
      </c>
      <c r="B1493" t="s">
        <v>35</v>
      </c>
      <c r="C1493" t="s">
        <v>90</v>
      </c>
      <c r="D1493">
        <v>30</v>
      </c>
    </row>
    <row r="1494" spans="1:4" x14ac:dyDescent="0.35">
      <c r="A1494">
        <v>2012</v>
      </c>
      <c r="B1494" t="s">
        <v>33</v>
      </c>
      <c r="C1494" t="s">
        <v>91</v>
      </c>
      <c r="D1494">
        <v>220</v>
      </c>
    </row>
    <row r="1495" spans="1:4" x14ac:dyDescent="0.35">
      <c r="A1495">
        <v>2012</v>
      </c>
      <c r="B1495" t="s">
        <v>37</v>
      </c>
      <c r="C1495" t="s">
        <v>92</v>
      </c>
      <c r="D1495">
        <v>79</v>
      </c>
    </row>
    <row r="1496" spans="1:4" x14ac:dyDescent="0.35">
      <c r="A1496">
        <v>2012</v>
      </c>
      <c r="B1496" t="s">
        <v>35</v>
      </c>
      <c r="C1496" t="s">
        <v>94</v>
      </c>
      <c r="D1496">
        <v>131</v>
      </c>
    </row>
    <row r="1497" spans="1:4" x14ac:dyDescent="0.35">
      <c r="A1497">
        <v>2012</v>
      </c>
      <c r="B1497" t="s">
        <v>33</v>
      </c>
      <c r="C1497" t="s">
        <v>95</v>
      </c>
      <c r="D1497">
        <v>13</v>
      </c>
    </row>
    <row r="1498" spans="1:4" x14ac:dyDescent="0.35">
      <c r="A1498">
        <v>2012</v>
      </c>
      <c r="B1498" t="s">
        <v>33</v>
      </c>
      <c r="C1498" t="s">
        <v>96</v>
      </c>
      <c r="D1498">
        <v>119</v>
      </c>
    </row>
    <row r="1499" spans="1:4" x14ac:dyDescent="0.35">
      <c r="A1499">
        <v>2012</v>
      </c>
      <c r="B1499" t="s">
        <v>34</v>
      </c>
      <c r="C1499" t="s">
        <v>8</v>
      </c>
      <c r="D1499">
        <v>58</v>
      </c>
    </row>
    <row r="1500" spans="1:4" x14ac:dyDescent="0.35">
      <c r="A1500">
        <v>2012</v>
      </c>
      <c r="B1500" t="s">
        <v>35</v>
      </c>
      <c r="C1500" t="s">
        <v>97</v>
      </c>
      <c r="D1500">
        <v>186</v>
      </c>
    </row>
    <row r="1501" spans="1:4" x14ac:dyDescent="0.35">
      <c r="A1501">
        <v>2012</v>
      </c>
      <c r="B1501" t="s">
        <v>33</v>
      </c>
      <c r="C1501" t="s">
        <v>98</v>
      </c>
      <c r="D1501">
        <v>340</v>
      </c>
    </row>
    <row r="1502" spans="1:4" x14ac:dyDescent="0.35">
      <c r="A1502">
        <v>2012</v>
      </c>
      <c r="B1502" t="s">
        <v>35</v>
      </c>
      <c r="C1502" t="s">
        <v>99</v>
      </c>
      <c r="D1502">
        <v>34</v>
      </c>
    </row>
    <row r="1503" spans="1:4" x14ac:dyDescent="0.35">
      <c r="A1503">
        <v>2012</v>
      </c>
      <c r="B1503" t="s">
        <v>36</v>
      </c>
      <c r="C1503" t="s">
        <v>100</v>
      </c>
      <c r="D1503">
        <v>35</v>
      </c>
    </row>
    <row r="1504" spans="1:4" x14ac:dyDescent="0.35">
      <c r="A1504">
        <v>2012</v>
      </c>
      <c r="B1504" t="s">
        <v>37</v>
      </c>
      <c r="C1504" t="s">
        <v>367</v>
      </c>
      <c r="D1504">
        <v>8</v>
      </c>
    </row>
    <row r="1505" spans="1:4" x14ac:dyDescent="0.35">
      <c r="A1505">
        <v>2012</v>
      </c>
      <c r="B1505" t="s">
        <v>36</v>
      </c>
      <c r="C1505" t="s">
        <v>15</v>
      </c>
      <c r="D1505">
        <v>57486</v>
      </c>
    </row>
    <row r="1506" spans="1:4" x14ac:dyDescent="0.35">
      <c r="A1506">
        <v>2012</v>
      </c>
      <c r="B1506" t="s">
        <v>33</v>
      </c>
      <c r="C1506" t="s">
        <v>101</v>
      </c>
      <c r="D1506">
        <v>142</v>
      </c>
    </row>
    <row r="1507" spans="1:4" x14ac:dyDescent="0.35">
      <c r="A1507">
        <v>2012</v>
      </c>
      <c r="B1507" t="s">
        <v>33</v>
      </c>
      <c r="C1507" t="s">
        <v>102</v>
      </c>
      <c r="D1507">
        <v>3</v>
      </c>
    </row>
    <row r="1508" spans="1:4" x14ac:dyDescent="0.35">
      <c r="A1508">
        <v>2012</v>
      </c>
      <c r="B1508" t="s">
        <v>38</v>
      </c>
      <c r="C1508" t="s">
        <v>103</v>
      </c>
      <c r="D1508">
        <v>360</v>
      </c>
    </row>
    <row r="1509" spans="1:4" x14ac:dyDescent="0.35">
      <c r="A1509">
        <v>2012</v>
      </c>
      <c r="B1509" t="s">
        <v>36</v>
      </c>
      <c r="C1509" t="s">
        <v>104</v>
      </c>
      <c r="D1509">
        <v>1492</v>
      </c>
    </row>
    <row r="1510" spans="1:4" x14ac:dyDescent="0.35">
      <c r="A1510">
        <v>2012</v>
      </c>
      <c r="B1510" t="s">
        <v>36</v>
      </c>
      <c r="C1510" t="s">
        <v>17</v>
      </c>
      <c r="D1510">
        <v>50771</v>
      </c>
    </row>
    <row r="1511" spans="1:4" x14ac:dyDescent="0.35">
      <c r="A1511">
        <v>2012</v>
      </c>
      <c r="B1511" t="s">
        <v>34</v>
      </c>
      <c r="C1511" t="s">
        <v>368</v>
      </c>
      <c r="D1511">
        <v>85</v>
      </c>
    </row>
    <row r="1512" spans="1:4" x14ac:dyDescent="0.35">
      <c r="A1512">
        <v>2012</v>
      </c>
      <c r="B1512" t="s">
        <v>35</v>
      </c>
      <c r="C1512" t="s">
        <v>105</v>
      </c>
      <c r="D1512">
        <v>111</v>
      </c>
    </row>
    <row r="1513" spans="1:4" x14ac:dyDescent="0.35">
      <c r="A1513">
        <v>2012</v>
      </c>
      <c r="B1513" t="s">
        <v>35</v>
      </c>
      <c r="C1513" t="s">
        <v>106</v>
      </c>
      <c r="D1513">
        <v>3</v>
      </c>
    </row>
    <row r="1514" spans="1:4" x14ac:dyDescent="0.35">
      <c r="A1514">
        <v>2012</v>
      </c>
      <c r="B1514" t="s">
        <v>34</v>
      </c>
      <c r="C1514" t="s">
        <v>22</v>
      </c>
      <c r="D1514">
        <v>1566</v>
      </c>
    </row>
    <row r="1515" spans="1:4" x14ac:dyDescent="0.35">
      <c r="A1515">
        <v>2012</v>
      </c>
      <c r="B1515" t="s">
        <v>34</v>
      </c>
      <c r="C1515" t="s">
        <v>107</v>
      </c>
      <c r="D1515">
        <v>219</v>
      </c>
    </row>
    <row r="1516" spans="1:4" x14ac:dyDescent="0.35">
      <c r="A1516">
        <v>2012</v>
      </c>
      <c r="B1516" t="s">
        <v>34</v>
      </c>
      <c r="C1516" t="s">
        <v>108</v>
      </c>
      <c r="D1516">
        <v>301</v>
      </c>
    </row>
    <row r="1517" spans="1:4" x14ac:dyDescent="0.35">
      <c r="A1517">
        <v>2012</v>
      </c>
      <c r="B1517" t="s">
        <v>34</v>
      </c>
      <c r="C1517" t="s">
        <v>109</v>
      </c>
      <c r="D1517">
        <v>244</v>
      </c>
    </row>
    <row r="1518" spans="1:4" x14ac:dyDescent="0.35">
      <c r="A1518">
        <v>2012</v>
      </c>
      <c r="B1518" t="s">
        <v>35</v>
      </c>
      <c r="C1518" t="s">
        <v>110</v>
      </c>
      <c r="D1518">
        <v>89</v>
      </c>
    </row>
    <row r="1519" spans="1:4" x14ac:dyDescent="0.35">
      <c r="A1519">
        <v>2012</v>
      </c>
      <c r="B1519" t="s">
        <v>34</v>
      </c>
      <c r="C1519" t="s">
        <v>111</v>
      </c>
      <c r="D1519">
        <v>192</v>
      </c>
    </row>
    <row r="1520" spans="1:4" x14ac:dyDescent="0.35">
      <c r="A1520">
        <v>2012</v>
      </c>
      <c r="B1520" t="s">
        <v>35</v>
      </c>
      <c r="C1520" t="s">
        <v>112</v>
      </c>
      <c r="D1520">
        <v>153</v>
      </c>
    </row>
    <row r="1521" spans="1:4" x14ac:dyDescent="0.35">
      <c r="A1521">
        <v>2012</v>
      </c>
      <c r="B1521" t="s">
        <v>36</v>
      </c>
      <c r="C1521" t="s">
        <v>113</v>
      </c>
      <c r="D1521">
        <v>2655</v>
      </c>
    </row>
    <row r="1522" spans="1:4" x14ac:dyDescent="0.35">
      <c r="A1522">
        <v>2012</v>
      </c>
      <c r="B1522" t="s">
        <v>34</v>
      </c>
      <c r="C1522" t="s">
        <v>114</v>
      </c>
      <c r="D1522">
        <v>59</v>
      </c>
    </row>
    <row r="1523" spans="1:4" x14ac:dyDescent="0.35">
      <c r="A1523">
        <v>2012</v>
      </c>
      <c r="B1523" t="s">
        <v>34</v>
      </c>
      <c r="C1523" t="s">
        <v>115</v>
      </c>
      <c r="D1523">
        <v>281</v>
      </c>
    </row>
    <row r="1524" spans="1:4" x14ac:dyDescent="0.35">
      <c r="A1524">
        <v>2012</v>
      </c>
      <c r="B1524" t="s">
        <v>34</v>
      </c>
      <c r="C1524" t="s">
        <v>116</v>
      </c>
      <c r="D1524">
        <v>108</v>
      </c>
    </row>
    <row r="1525" spans="1:4" x14ac:dyDescent="0.35">
      <c r="A1525">
        <v>2012</v>
      </c>
      <c r="B1525" t="s">
        <v>33</v>
      </c>
      <c r="C1525" t="s">
        <v>117</v>
      </c>
      <c r="D1525">
        <v>494</v>
      </c>
    </row>
    <row r="1526" spans="1:4" x14ac:dyDescent="0.35">
      <c r="A1526">
        <v>2012</v>
      </c>
      <c r="B1526" t="s">
        <v>34</v>
      </c>
      <c r="C1526" t="s">
        <v>118</v>
      </c>
      <c r="D1526">
        <v>627</v>
      </c>
    </row>
    <row r="1527" spans="1:4" x14ac:dyDescent="0.35">
      <c r="A1527">
        <v>2012</v>
      </c>
      <c r="B1527" t="s">
        <v>35</v>
      </c>
      <c r="C1527" t="s">
        <v>119</v>
      </c>
      <c r="D1527">
        <v>26</v>
      </c>
    </row>
    <row r="1528" spans="1:4" x14ac:dyDescent="0.35">
      <c r="A1528">
        <v>2012</v>
      </c>
      <c r="B1528" t="s">
        <v>34</v>
      </c>
      <c r="C1528" t="s">
        <v>120</v>
      </c>
      <c r="D1528">
        <v>22</v>
      </c>
    </row>
    <row r="1529" spans="1:4" x14ac:dyDescent="0.35">
      <c r="A1529">
        <v>2012</v>
      </c>
      <c r="B1529" t="s">
        <v>34</v>
      </c>
      <c r="C1529" t="s">
        <v>121</v>
      </c>
      <c r="D1529">
        <v>40</v>
      </c>
    </row>
    <row r="1530" spans="1:4" x14ac:dyDescent="0.35">
      <c r="A1530">
        <v>2012</v>
      </c>
      <c r="B1530" t="s">
        <v>34</v>
      </c>
      <c r="C1530" t="s">
        <v>122</v>
      </c>
      <c r="D1530">
        <v>754</v>
      </c>
    </row>
    <row r="1531" spans="1:4" x14ac:dyDescent="0.35">
      <c r="A1531">
        <v>2012</v>
      </c>
      <c r="B1531" t="s">
        <v>35</v>
      </c>
      <c r="C1531" t="s">
        <v>123</v>
      </c>
      <c r="D1531">
        <v>35</v>
      </c>
    </row>
    <row r="1532" spans="1:4" x14ac:dyDescent="0.35">
      <c r="A1532">
        <v>2012</v>
      </c>
      <c r="B1532" t="s">
        <v>34</v>
      </c>
      <c r="C1532" t="s">
        <v>124</v>
      </c>
      <c r="D1532">
        <v>128</v>
      </c>
    </row>
    <row r="1533" spans="1:4" x14ac:dyDescent="0.35">
      <c r="A1533">
        <v>2012</v>
      </c>
      <c r="B1533" t="s">
        <v>33</v>
      </c>
      <c r="C1533" t="s">
        <v>125</v>
      </c>
      <c r="D1533">
        <v>314</v>
      </c>
    </row>
    <row r="1534" spans="1:4" x14ac:dyDescent="0.35">
      <c r="A1534">
        <v>2012</v>
      </c>
      <c r="B1534" t="s">
        <v>33</v>
      </c>
      <c r="C1534" t="s">
        <v>126</v>
      </c>
      <c r="D1534">
        <v>23</v>
      </c>
    </row>
    <row r="1535" spans="1:4" x14ac:dyDescent="0.35">
      <c r="A1535">
        <v>2012</v>
      </c>
      <c r="B1535" t="s">
        <v>35</v>
      </c>
      <c r="C1535" t="s">
        <v>127</v>
      </c>
      <c r="D1535">
        <v>84</v>
      </c>
    </row>
    <row r="1536" spans="1:4" x14ac:dyDescent="0.35">
      <c r="A1536">
        <v>2012</v>
      </c>
      <c r="B1536" t="s">
        <v>34</v>
      </c>
      <c r="C1536" t="s">
        <v>369</v>
      </c>
    </row>
    <row r="1537" spans="1:4" x14ac:dyDescent="0.35">
      <c r="A1537">
        <v>2012</v>
      </c>
      <c r="B1537" t="s">
        <v>33</v>
      </c>
      <c r="C1537" t="s">
        <v>130</v>
      </c>
      <c r="D1537">
        <v>14</v>
      </c>
    </row>
    <row r="1538" spans="1:4" x14ac:dyDescent="0.35">
      <c r="A1538">
        <v>2012</v>
      </c>
      <c r="B1538" t="s">
        <v>34</v>
      </c>
      <c r="C1538" t="s">
        <v>131</v>
      </c>
      <c r="D1538">
        <v>49</v>
      </c>
    </row>
    <row r="1539" spans="1:4" x14ac:dyDescent="0.35">
      <c r="A1539">
        <v>2012</v>
      </c>
      <c r="B1539" t="s">
        <v>33</v>
      </c>
      <c r="C1539" t="s">
        <v>132</v>
      </c>
      <c r="D1539">
        <v>100</v>
      </c>
    </row>
    <row r="1540" spans="1:4" x14ac:dyDescent="0.35">
      <c r="A1540">
        <v>2012</v>
      </c>
      <c r="B1540" t="s">
        <v>35</v>
      </c>
      <c r="C1540" t="s">
        <v>133</v>
      </c>
      <c r="D1540" t="s">
        <v>205</v>
      </c>
    </row>
    <row r="1541" spans="1:4" x14ac:dyDescent="0.35">
      <c r="A1541">
        <v>2012</v>
      </c>
      <c r="B1541" t="s">
        <v>37</v>
      </c>
      <c r="C1541" t="s">
        <v>134</v>
      </c>
      <c r="D1541">
        <v>28</v>
      </c>
    </row>
    <row r="1542" spans="1:4" x14ac:dyDescent="0.35">
      <c r="A1542">
        <v>2012</v>
      </c>
      <c r="B1542" t="s">
        <v>33</v>
      </c>
      <c r="C1542" t="s">
        <v>135</v>
      </c>
      <c r="D1542">
        <v>55</v>
      </c>
    </row>
    <row r="1543" spans="1:4" x14ac:dyDescent="0.35">
      <c r="A1543">
        <v>2012</v>
      </c>
      <c r="B1543" t="s">
        <v>36</v>
      </c>
      <c r="C1543" t="s">
        <v>14</v>
      </c>
      <c r="D1543">
        <v>468766</v>
      </c>
    </row>
    <row r="1544" spans="1:4" x14ac:dyDescent="0.35">
      <c r="A1544">
        <v>2012</v>
      </c>
      <c r="B1544" t="s">
        <v>37</v>
      </c>
      <c r="C1544" t="s">
        <v>137</v>
      </c>
      <c r="D1544">
        <v>106</v>
      </c>
    </row>
    <row r="1545" spans="1:4" x14ac:dyDescent="0.35">
      <c r="A1545">
        <v>2012</v>
      </c>
      <c r="B1545" t="s">
        <v>35</v>
      </c>
      <c r="C1545" t="s">
        <v>138</v>
      </c>
      <c r="D1545">
        <v>93</v>
      </c>
    </row>
    <row r="1546" spans="1:4" x14ac:dyDescent="0.35">
      <c r="A1546">
        <v>2012</v>
      </c>
      <c r="B1546" t="s">
        <v>34</v>
      </c>
      <c r="C1546" t="s">
        <v>139</v>
      </c>
      <c r="D1546">
        <v>95</v>
      </c>
    </row>
    <row r="1547" spans="1:4" x14ac:dyDescent="0.35">
      <c r="A1547">
        <v>2012</v>
      </c>
      <c r="B1547" t="s">
        <v>35</v>
      </c>
      <c r="C1547" t="s">
        <v>140</v>
      </c>
      <c r="D1547">
        <v>18</v>
      </c>
    </row>
    <row r="1548" spans="1:4" x14ac:dyDescent="0.35">
      <c r="A1548">
        <v>2012</v>
      </c>
      <c r="B1548" t="s">
        <v>36</v>
      </c>
      <c r="C1548" t="s">
        <v>370</v>
      </c>
      <c r="D1548">
        <v>4</v>
      </c>
    </row>
    <row r="1549" spans="1:4" x14ac:dyDescent="0.35">
      <c r="A1549">
        <v>2012</v>
      </c>
      <c r="B1549" t="s">
        <v>33</v>
      </c>
      <c r="C1549" t="s">
        <v>141</v>
      </c>
      <c r="D1549">
        <v>149</v>
      </c>
    </row>
    <row r="1550" spans="1:4" x14ac:dyDescent="0.35">
      <c r="A1550">
        <v>2012</v>
      </c>
      <c r="B1550" t="s">
        <v>34</v>
      </c>
      <c r="C1550" t="s">
        <v>144</v>
      </c>
      <c r="D1550">
        <v>248</v>
      </c>
    </row>
    <row r="1551" spans="1:4" x14ac:dyDescent="0.35">
      <c r="A1551">
        <v>2012</v>
      </c>
      <c r="B1551" t="s">
        <v>35</v>
      </c>
      <c r="C1551" t="s">
        <v>145</v>
      </c>
      <c r="D1551">
        <v>64</v>
      </c>
    </row>
    <row r="1552" spans="1:4" x14ac:dyDescent="0.35">
      <c r="A1552">
        <v>2012</v>
      </c>
      <c r="B1552" t="s">
        <v>36</v>
      </c>
      <c r="C1552" t="s">
        <v>371</v>
      </c>
      <c r="D1552" t="s">
        <v>205</v>
      </c>
    </row>
    <row r="1553" spans="1:4" x14ac:dyDescent="0.35">
      <c r="A1553">
        <v>2012</v>
      </c>
      <c r="B1553" t="s">
        <v>37</v>
      </c>
      <c r="C1553" t="s">
        <v>146</v>
      </c>
      <c r="D1553">
        <v>35</v>
      </c>
    </row>
    <row r="1554" spans="1:4" x14ac:dyDescent="0.35">
      <c r="A1554">
        <v>2012</v>
      </c>
      <c r="B1554" t="s">
        <v>36</v>
      </c>
      <c r="C1554" t="s">
        <v>147</v>
      </c>
      <c r="D1554">
        <v>2532</v>
      </c>
    </row>
    <row r="1555" spans="1:4" x14ac:dyDescent="0.35">
      <c r="A1555">
        <v>2012</v>
      </c>
      <c r="B1555" t="s">
        <v>33</v>
      </c>
      <c r="C1555" t="s">
        <v>148</v>
      </c>
      <c r="D1555">
        <v>50</v>
      </c>
    </row>
    <row r="1556" spans="1:4" x14ac:dyDescent="0.35">
      <c r="A1556">
        <v>2012</v>
      </c>
      <c r="B1556" t="s">
        <v>33</v>
      </c>
      <c r="C1556" t="s">
        <v>149</v>
      </c>
      <c r="D1556">
        <v>543</v>
      </c>
    </row>
    <row r="1557" spans="1:4" x14ac:dyDescent="0.35">
      <c r="A1557">
        <v>2012</v>
      </c>
      <c r="B1557" t="s">
        <v>35</v>
      </c>
      <c r="C1557" t="s">
        <v>322</v>
      </c>
      <c r="D1557">
        <v>43</v>
      </c>
    </row>
    <row r="1558" spans="1:4" x14ac:dyDescent="0.35">
      <c r="A1558">
        <v>2012</v>
      </c>
      <c r="B1558" t="s">
        <v>35</v>
      </c>
      <c r="C1558" t="s">
        <v>150</v>
      </c>
      <c r="D1558">
        <v>8</v>
      </c>
    </row>
    <row r="1559" spans="1:4" x14ac:dyDescent="0.35">
      <c r="A1559">
        <v>2012</v>
      </c>
      <c r="B1559" t="s">
        <v>34</v>
      </c>
      <c r="C1559" t="s">
        <v>152</v>
      </c>
      <c r="D1559">
        <v>470</v>
      </c>
    </row>
    <row r="1560" spans="1:4" x14ac:dyDescent="0.35">
      <c r="A1560">
        <v>2012</v>
      </c>
      <c r="B1560" t="s">
        <v>37</v>
      </c>
      <c r="C1560" t="s">
        <v>153</v>
      </c>
      <c r="D1560">
        <v>26</v>
      </c>
    </row>
    <row r="1561" spans="1:4" x14ac:dyDescent="0.35">
      <c r="A1561">
        <v>2012</v>
      </c>
      <c r="B1561" t="s">
        <v>36</v>
      </c>
      <c r="C1561" t="s">
        <v>154</v>
      </c>
      <c r="D1561">
        <v>197</v>
      </c>
    </row>
    <row r="1562" spans="1:4" x14ac:dyDescent="0.35">
      <c r="A1562">
        <v>2012</v>
      </c>
      <c r="B1562" t="s">
        <v>38</v>
      </c>
      <c r="C1562" t="s">
        <v>155</v>
      </c>
      <c r="D1562">
        <v>33</v>
      </c>
    </row>
    <row r="1563" spans="1:4" x14ac:dyDescent="0.35">
      <c r="A1563">
        <v>2012</v>
      </c>
      <c r="B1563" t="s">
        <v>38</v>
      </c>
      <c r="C1563" t="s">
        <v>156</v>
      </c>
      <c r="D1563">
        <v>1588</v>
      </c>
    </row>
    <row r="1564" spans="1:4" x14ac:dyDescent="0.35">
      <c r="A1564">
        <v>2012</v>
      </c>
      <c r="B1564" t="s">
        <v>34</v>
      </c>
      <c r="C1564" t="s">
        <v>18</v>
      </c>
      <c r="D1564">
        <v>927</v>
      </c>
    </row>
    <row r="1565" spans="1:4" x14ac:dyDescent="0.35">
      <c r="A1565">
        <v>2012</v>
      </c>
      <c r="B1565" t="s">
        <v>35</v>
      </c>
      <c r="C1565" t="s">
        <v>157</v>
      </c>
      <c r="D1565">
        <v>494</v>
      </c>
    </row>
    <row r="1566" spans="1:4" x14ac:dyDescent="0.35">
      <c r="A1566">
        <v>2012</v>
      </c>
      <c r="B1566" t="s">
        <v>35</v>
      </c>
      <c r="C1566" t="s">
        <v>158</v>
      </c>
      <c r="D1566">
        <v>215</v>
      </c>
    </row>
    <row r="1567" spans="1:4" x14ac:dyDescent="0.35">
      <c r="A1567">
        <v>2012</v>
      </c>
      <c r="B1567" t="s">
        <v>35</v>
      </c>
      <c r="C1567" t="s">
        <v>160</v>
      </c>
      <c r="D1567">
        <v>1220</v>
      </c>
    </row>
    <row r="1568" spans="1:4" x14ac:dyDescent="0.35">
      <c r="A1568">
        <v>2012</v>
      </c>
      <c r="B1568" t="s">
        <v>35</v>
      </c>
      <c r="C1568" t="s">
        <v>161</v>
      </c>
      <c r="D1568">
        <v>414</v>
      </c>
    </row>
    <row r="1569" spans="1:4" x14ac:dyDescent="0.35">
      <c r="A1569">
        <v>2012</v>
      </c>
      <c r="B1569" t="s">
        <v>33</v>
      </c>
      <c r="C1569" t="s">
        <v>162</v>
      </c>
      <c r="D1569">
        <v>13</v>
      </c>
    </row>
    <row r="1570" spans="1:4" x14ac:dyDescent="0.35">
      <c r="A1570">
        <v>2012</v>
      </c>
      <c r="B1570" t="s">
        <v>36</v>
      </c>
      <c r="C1570" t="s">
        <v>163</v>
      </c>
      <c r="D1570">
        <v>49</v>
      </c>
    </row>
    <row r="1571" spans="1:4" x14ac:dyDescent="0.35">
      <c r="A1571">
        <v>2012</v>
      </c>
      <c r="B1571" t="s">
        <v>36</v>
      </c>
      <c r="C1571" t="s">
        <v>164</v>
      </c>
      <c r="D1571">
        <v>57</v>
      </c>
    </row>
    <row r="1572" spans="1:4" x14ac:dyDescent="0.35">
      <c r="A1572">
        <v>2012</v>
      </c>
      <c r="B1572" t="s">
        <v>36</v>
      </c>
      <c r="C1572" t="s">
        <v>165</v>
      </c>
      <c r="D1572">
        <v>41</v>
      </c>
    </row>
    <row r="1573" spans="1:4" x14ac:dyDescent="0.35">
      <c r="A1573">
        <v>2012</v>
      </c>
      <c r="B1573" t="s">
        <v>37</v>
      </c>
      <c r="C1573" t="s">
        <v>166</v>
      </c>
      <c r="D1573">
        <v>32</v>
      </c>
    </row>
    <row r="1574" spans="1:4" x14ac:dyDescent="0.35">
      <c r="A1574">
        <v>2012</v>
      </c>
      <c r="B1574" t="s">
        <v>34</v>
      </c>
      <c r="C1574" t="s">
        <v>167</v>
      </c>
      <c r="D1574">
        <v>198</v>
      </c>
    </row>
    <row r="1575" spans="1:4" x14ac:dyDescent="0.35">
      <c r="A1575">
        <v>2012</v>
      </c>
      <c r="B1575" t="s">
        <v>33</v>
      </c>
      <c r="C1575" t="s">
        <v>168</v>
      </c>
      <c r="D1575">
        <v>164</v>
      </c>
    </row>
    <row r="1576" spans="1:4" x14ac:dyDescent="0.35">
      <c r="A1576">
        <v>2012</v>
      </c>
      <c r="B1576" t="s">
        <v>35</v>
      </c>
      <c r="C1576" t="s">
        <v>169</v>
      </c>
      <c r="D1576">
        <v>13</v>
      </c>
    </row>
    <row r="1577" spans="1:4" x14ac:dyDescent="0.35">
      <c r="A1577">
        <v>2012</v>
      </c>
      <c r="B1577" t="s">
        <v>35</v>
      </c>
      <c r="C1577" t="s">
        <v>215</v>
      </c>
      <c r="D1577">
        <v>86</v>
      </c>
    </row>
    <row r="1578" spans="1:4" x14ac:dyDescent="0.35">
      <c r="A1578">
        <v>2012</v>
      </c>
      <c r="B1578" t="s">
        <v>33</v>
      </c>
      <c r="C1578" t="s">
        <v>170</v>
      </c>
      <c r="D1578">
        <v>162</v>
      </c>
    </row>
    <row r="1579" spans="1:4" x14ac:dyDescent="0.35">
      <c r="A1579">
        <v>2012</v>
      </c>
      <c r="B1579" t="s">
        <v>34</v>
      </c>
      <c r="C1579" t="s">
        <v>171</v>
      </c>
      <c r="D1579">
        <v>7</v>
      </c>
    </row>
    <row r="1580" spans="1:4" x14ac:dyDescent="0.35">
      <c r="A1580">
        <v>2012</v>
      </c>
      <c r="B1580" t="s">
        <v>35</v>
      </c>
      <c r="C1580" t="s">
        <v>172</v>
      </c>
      <c r="D1580">
        <v>44</v>
      </c>
    </row>
    <row r="1581" spans="1:4" x14ac:dyDescent="0.35">
      <c r="A1581">
        <v>2012</v>
      </c>
      <c r="B1581" t="s">
        <v>35</v>
      </c>
      <c r="C1581" t="s">
        <v>173</v>
      </c>
      <c r="D1581">
        <v>7</v>
      </c>
    </row>
    <row r="1582" spans="1:4" x14ac:dyDescent="0.35">
      <c r="A1582">
        <v>2012</v>
      </c>
      <c r="B1582" t="s">
        <v>33</v>
      </c>
      <c r="C1582" t="s">
        <v>174</v>
      </c>
      <c r="D1582">
        <v>316</v>
      </c>
    </row>
    <row r="1583" spans="1:4" x14ac:dyDescent="0.35">
      <c r="A1583">
        <v>2012</v>
      </c>
      <c r="B1583" t="s">
        <v>33</v>
      </c>
      <c r="C1583" t="s">
        <v>175</v>
      </c>
      <c r="D1583">
        <v>95</v>
      </c>
    </row>
    <row r="1584" spans="1:4" x14ac:dyDescent="0.35">
      <c r="A1584">
        <v>2012</v>
      </c>
      <c r="B1584" t="s">
        <v>33</v>
      </c>
      <c r="C1584" t="s">
        <v>176</v>
      </c>
      <c r="D1584">
        <v>3</v>
      </c>
    </row>
    <row r="1585" spans="1:4" x14ac:dyDescent="0.35">
      <c r="A1585">
        <v>2012</v>
      </c>
      <c r="B1585" t="s">
        <v>35</v>
      </c>
      <c r="C1585" t="s">
        <v>216</v>
      </c>
      <c r="D1585">
        <v>115</v>
      </c>
    </row>
    <row r="1586" spans="1:4" x14ac:dyDescent="0.35">
      <c r="A1586">
        <v>2012</v>
      </c>
      <c r="B1586" t="s">
        <v>35</v>
      </c>
      <c r="C1586" t="s">
        <v>177</v>
      </c>
      <c r="D1586">
        <v>139</v>
      </c>
    </row>
    <row r="1587" spans="1:4" x14ac:dyDescent="0.35">
      <c r="A1587">
        <v>2012</v>
      </c>
      <c r="B1587" t="s">
        <v>34</v>
      </c>
      <c r="C1587" t="s">
        <v>178</v>
      </c>
      <c r="D1587">
        <v>223</v>
      </c>
    </row>
    <row r="1588" spans="1:4" x14ac:dyDescent="0.35">
      <c r="A1588">
        <v>2012</v>
      </c>
      <c r="B1588" t="s">
        <v>33</v>
      </c>
      <c r="C1588" t="s">
        <v>179</v>
      </c>
      <c r="D1588">
        <v>253</v>
      </c>
    </row>
    <row r="1589" spans="1:4" x14ac:dyDescent="0.35">
      <c r="A1589">
        <v>2012</v>
      </c>
      <c r="B1589" t="s">
        <v>38</v>
      </c>
      <c r="C1589" t="s">
        <v>180</v>
      </c>
      <c r="D1589">
        <v>20</v>
      </c>
    </row>
    <row r="1590" spans="1:4" x14ac:dyDescent="0.35">
      <c r="A1590">
        <v>2012</v>
      </c>
      <c r="B1590" t="s">
        <v>35</v>
      </c>
      <c r="C1590" t="s">
        <v>182</v>
      </c>
      <c r="D1590">
        <v>33</v>
      </c>
    </row>
    <row r="1591" spans="1:4" x14ac:dyDescent="0.35">
      <c r="A1591">
        <v>2012</v>
      </c>
      <c r="B1591" t="s">
        <v>35</v>
      </c>
      <c r="C1591" t="s">
        <v>183</v>
      </c>
      <c r="D1591">
        <v>14</v>
      </c>
    </row>
    <row r="1592" spans="1:4" x14ac:dyDescent="0.35">
      <c r="A1592">
        <v>2012</v>
      </c>
      <c r="B1592" t="s">
        <v>34</v>
      </c>
      <c r="C1592" t="s">
        <v>184</v>
      </c>
      <c r="D1592">
        <v>57</v>
      </c>
    </row>
    <row r="1593" spans="1:4" x14ac:dyDescent="0.35">
      <c r="A1593">
        <v>2012</v>
      </c>
      <c r="B1593" t="s">
        <v>34</v>
      </c>
      <c r="C1593" t="s">
        <v>185</v>
      </c>
      <c r="D1593">
        <v>46</v>
      </c>
    </row>
    <row r="1594" spans="1:4" x14ac:dyDescent="0.35">
      <c r="A1594">
        <v>2012</v>
      </c>
      <c r="B1594" t="s">
        <v>34</v>
      </c>
      <c r="C1594" t="s">
        <v>186</v>
      </c>
      <c r="D1594">
        <v>51</v>
      </c>
    </row>
    <row r="1595" spans="1:4" x14ac:dyDescent="0.35">
      <c r="A1595">
        <v>2012</v>
      </c>
      <c r="B1595" t="s">
        <v>33</v>
      </c>
      <c r="C1595" t="s">
        <v>187</v>
      </c>
      <c r="D1595">
        <v>73</v>
      </c>
    </row>
    <row r="1596" spans="1:4" x14ac:dyDescent="0.35">
      <c r="A1596">
        <v>2012</v>
      </c>
      <c r="B1596" t="s">
        <v>34</v>
      </c>
      <c r="C1596" t="s">
        <v>188</v>
      </c>
      <c r="D1596">
        <v>276</v>
      </c>
    </row>
    <row r="1597" spans="1:4" x14ac:dyDescent="0.35">
      <c r="A1597">
        <v>2012</v>
      </c>
      <c r="B1597" t="s">
        <v>33</v>
      </c>
      <c r="C1597" t="s">
        <v>189</v>
      </c>
      <c r="D1597">
        <v>46</v>
      </c>
    </row>
    <row r="1598" spans="1:4" x14ac:dyDescent="0.35">
      <c r="A1598">
        <v>2012</v>
      </c>
      <c r="B1598" t="s">
        <v>37</v>
      </c>
      <c r="C1598" t="s">
        <v>190</v>
      </c>
      <c r="D1598">
        <v>86</v>
      </c>
    </row>
    <row r="1599" spans="1:4" x14ac:dyDescent="0.35">
      <c r="A1599">
        <v>2012</v>
      </c>
      <c r="B1599" t="s">
        <v>36</v>
      </c>
      <c r="C1599" t="s">
        <v>191</v>
      </c>
      <c r="D1599">
        <v>498</v>
      </c>
    </row>
    <row r="1600" spans="1:4" x14ac:dyDescent="0.35">
      <c r="A1600">
        <v>2012</v>
      </c>
      <c r="B1600" t="s">
        <v>33</v>
      </c>
      <c r="C1600" t="s">
        <v>192</v>
      </c>
      <c r="D1600">
        <v>33</v>
      </c>
    </row>
    <row r="1601" spans="1:4" x14ac:dyDescent="0.35">
      <c r="A1601">
        <v>2012</v>
      </c>
      <c r="B1601" t="s">
        <v>34</v>
      </c>
      <c r="C1601" t="s">
        <v>193</v>
      </c>
      <c r="D1601">
        <v>265</v>
      </c>
    </row>
    <row r="1602" spans="1:4" x14ac:dyDescent="0.35">
      <c r="A1602">
        <v>2012</v>
      </c>
      <c r="B1602" t="s">
        <v>34</v>
      </c>
      <c r="C1602" t="s">
        <v>194</v>
      </c>
      <c r="D1602">
        <v>10</v>
      </c>
    </row>
    <row r="1603" spans="1:4" x14ac:dyDescent="0.35">
      <c r="A1603">
        <v>2012</v>
      </c>
      <c r="B1603" t="s">
        <v>36</v>
      </c>
      <c r="C1603" t="s">
        <v>372</v>
      </c>
      <c r="D1603">
        <v>19</v>
      </c>
    </row>
    <row r="1604" spans="1:4" x14ac:dyDescent="0.35">
      <c r="A1604">
        <v>2012</v>
      </c>
      <c r="B1604" t="s">
        <v>33</v>
      </c>
      <c r="C1604" t="s">
        <v>195</v>
      </c>
      <c r="D1604">
        <v>44</v>
      </c>
    </row>
    <row r="1605" spans="1:4" x14ac:dyDescent="0.35">
      <c r="A1605">
        <v>2012</v>
      </c>
      <c r="B1605" t="s">
        <v>35</v>
      </c>
      <c r="C1605" t="s">
        <v>196</v>
      </c>
      <c r="D1605">
        <v>394</v>
      </c>
    </row>
    <row r="1606" spans="1:4" x14ac:dyDescent="0.35">
      <c r="A1606">
        <v>2012</v>
      </c>
      <c r="B1606" t="s">
        <v>34</v>
      </c>
      <c r="C1606" t="s">
        <v>197</v>
      </c>
      <c r="D1606">
        <v>10</v>
      </c>
    </row>
    <row r="1607" spans="1:4" x14ac:dyDescent="0.35">
      <c r="A1607">
        <v>2012</v>
      </c>
      <c r="B1607" t="s">
        <v>35</v>
      </c>
      <c r="C1607" t="s">
        <v>198</v>
      </c>
      <c r="D1607">
        <v>448</v>
      </c>
    </row>
    <row r="1608" spans="1:4" x14ac:dyDescent="0.35">
      <c r="A1608">
        <v>2012</v>
      </c>
      <c r="B1608" t="s">
        <v>39</v>
      </c>
      <c r="C1608" t="s">
        <v>39</v>
      </c>
      <c r="D1608">
        <v>914</v>
      </c>
    </row>
    <row r="1609" spans="1:4" x14ac:dyDescent="0.35">
      <c r="A1609">
        <v>2012</v>
      </c>
      <c r="B1609" t="s">
        <v>38</v>
      </c>
      <c r="C1609" t="s">
        <v>199</v>
      </c>
      <c r="D1609">
        <v>144</v>
      </c>
    </row>
    <row r="1610" spans="1:4" x14ac:dyDescent="0.35">
      <c r="A1610">
        <v>2012</v>
      </c>
      <c r="B1610" t="s">
        <v>34</v>
      </c>
      <c r="C1610" t="s">
        <v>200</v>
      </c>
      <c r="D1610">
        <v>129</v>
      </c>
    </row>
    <row r="1611" spans="1:4" x14ac:dyDescent="0.35">
      <c r="A1611">
        <v>2012</v>
      </c>
      <c r="B1611" t="s">
        <v>38</v>
      </c>
      <c r="C1611" t="s">
        <v>19</v>
      </c>
      <c r="D1611">
        <v>547</v>
      </c>
    </row>
    <row r="1612" spans="1:4" x14ac:dyDescent="0.35">
      <c r="A1612">
        <v>2012</v>
      </c>
      <c r="B1612" t="s">
        <v>34</v>
      </c>
      <c r="C1612" t="s">
        <v>201</v>
      </c>
      <c r="D1612">
        <v>1313</v>
      </c>
    </row>
    <row r="1613" spans="1:4" x14ac:dyDescent="0.35">
      <c r="A1613">
        <v>2012</v>
      </c>
      <c r="B1613" t="s">
        <v>34</v>
      </c>
      <c r="C1613" t="s">
        <v>202</v>
      </c>
      <c r="D1613">
        <v>69</v>
      </c>
    </row>
    <row r="1614" spans="1:4" x14ac:dyDescent="0.35">
      <c r="A1614">
        <v>2012</v>
      </c>
      <c r="B1614" t="s">
        <v>33</v>
      </c>
      <c r="C1614" t="s">
        <v>203</v>
      </c>
      <c r="D1614">
        <v>50</v>
      </c>
    </row>
    <row r="1615" spans="1:4" x14ac:dyDescent="0.35">
      <c r="A1615">
        <v>2012</v>
      </c>
      <c r="B1615" t="s">
        <v>33</v>
      </c>
      <c r="C1615" t="s">
        <v>204</v>
      </c>
      <c r="D1615">
        <v>63</v>
      </c>
    </row>
    <row r="1616" spans="1:4" x14ac:dyDescent="0.35">
      <c r="A1616">
        <v>9999</v>
      </c>
      <c r="B1616" t="s">
        <v>34</v>
      </c>
      <c r="C1616" t="s">
        <v>40</v>
      </c>
      <c r="D1616">
        <v>70</v>
      </c>
    </row>
    <row r="1617" spans="1:4" x14ac:dyDescent="0.35">
      <c r="A1617">
        <v>9999</v>
      </c>
      <c r="B1617" t="s">
        <v>35</v>
      </c>
      <c r="C1617" t="s">
        <v>41</v>
      </c>
      <c r="D1617">
        <v>423</v>
      </c>
    </row>
    <row r="1618" spans="1:4" x14ac:dyDescent="0.35">
      <c r="A1618">
        <v>9999</v>
      </c>
      <c r="B1618" t="s">
        <v>33</v>
      </c>
      <c r="C1618" t="s">
        <v>42</v>
      </c>
      <c r="D1618">
        <v>27</v>
      </c>
    </row>
    <row r="1619" spans="1:4" x14ac:dyDescent="0.35">
      <c r="A1619">
        <v>9999</v>
      </c>
      <c r="C1619" t="s">
        <v>373</v>
      </c>
      <c r="D1619">
        <v>55</v>
      </c>
    </row>
    <row r="1620" spans="1:4" x14ac:dyDescent="0.35">
      <c r="A1620">
        <v>9999</v>
      </c>
      <c r="B1620" t="s">
        <v>33</v>
      </c>
      <c r="C1620" t="s">
        <v>43</v>
      </c>
      <c r="D1620">
        <v>16</v>
      </c>
    </row>
    <row r="1621" spans="1:4" x14ac:dyDescent="0.35">
      <c r="A1621">
        <v>9999</v>
      </c>
      <c r="B1621" t="s">
        <v>36</v>
      </c>
      <c r="C1621" t="s">
        <v>44</v>
      </c>
      <c r="D1621">
        <v>40</v>
      </c>
    </row>
    <row r="1622" spans="1:4" x14ac:dyDescent="0.35">
      <c r="A1622">
        <v>9999</v>
      </c>
      <c r="B1622" t="s">
        <v>38</v>
      </c>
      <c r="C1622" t="s">
        <v>45</v>
      </c>
      <c r="D1622">
        <v>235</v>
      </c>
    </row>
    <row r="1623" spans="1:4" x14ac:dyDescent="0.35">
      <c r="A1623">
        <v>9999</v>
      </c>
      <c r="B1623" t="s">
        <v>34</v>
      </c>
      <c r="C1623" t="s">
        <v>46</v>
      </c>
      <c r="D1623">
        <v>141</v>
      </c>
    </row>
    <row r="1624" spans="1:4" x14ac:dyDescent="0.35">
      <c r="A1624">
        <v>9999</v>
      </c>
      <c r="B1624" t="s">
        <v>37</v>
      </c>
      <c r="C1624" t="s">
        <v>47</v>
      </c>
      <c r="D1624">
        <v>69</v>
      </c>
    </row>
    <row r="1625" spans="1:4" x14ac:dyDescent="0.35">
      <c r="A1625">
        <v>9999</v>
      </c>
      <c r="B1625" t="s">
        <v>35</v>
      </c>
      <c r="C1625" t="s">
        <v>48</v>
      </c>
      <c r="D1625">
        <v>14</v>
      </c>
    </row>
    <row r="1626" spans="1:4" x14ac:dyDescent="0.35">
      <c r="A1626">
        <v>9999</v>
      </c>
      <c r="B1626" t="s">
        <v>34</v>
      </c>
      <c r="C1626" t="s">
        <v>49</v>
      </c>
      <c r="D1626">
        <v>36</v>
      </c>
    </row>
    <row r="1627" spans="1:4" x14ac:dyDescent="0.35">
      <c r="A1627">
        <v>9999</v>
      </c>
      <c r="B1627" t="s">
        <v>36</v>
      </c>
      <c r="C1627" t="s">
        <v>50</v>
      </c>
      <c r="D1627">
        <v>288</v>
      </c>
    </row>
    <row r="1628" spans="1:4" x14ac:dyDescent="0.35">
      <c r="A1628">
        <v>9999</v>
      </c>
      <c r="B1628" t="s">
        <v>34</v>
      </c>
      <c r="C1628" t="s">
        <v>51</v>
      </c>
      <c r="D1628" t="s">
        <v>205</v>
      </c>
    </row>
    <row r="1629" spans="1:4" x14ac:dyDescent="0.35">
      <c r="A1629">
        <v>9999</v>
      </c>
      <c r="B1629" t="s">
        <v>34</v>
      </c>
      <c r="C1629" t="s">
        <v>52</v>
      </c>
      <c r="D1629">
        <v>366</v>
      </c>
    </row>
    <row r="1630" spans="1:4" x14ac:dyDescent="0.35">
      <c r="A1630">
        <v>9999</v>
      </c>
      <c r="B1630" t="s">
        <v>36</v>
      </c>
      <c r="C1630" t="s">
        <v>53</v>
      </c>
      <c r="D1630">
        <v>45</v>
      </c>
    </row>
    <row r="1631" spans="1:4" x14ac:dyDescent="0.35">
      <c r="A1631">
        <v>9999</v>
      </c>
      <c r="B1631" t="s">
        <v>35</v>
      </c>
      <c r="C1631" t="s">
        <v>54</v>
      </c>
      <c r="D1631">
        <v>42</v>
      </c>
    </row>
    <row r="1632" spans="1:4" x14ac:dyDescent="0.35">
      <c r="A1632">
        <v>9999</v>
      </c>
      <c r="B1632" t="s">
        <v>35</v>
      </c>
      <c r="C1632" t="s">
        <v>55</v>
      </c>
      <c r="D1632">
        <v>25</v>
      </c>
    </row>
    <row r="1633" spans="1:4" x14ac:dyDescent="0.35">
      <c r="A1633">
        <v>9999</v>
      </c>
      <c r="B1633" t="s">
        <v>36</v>
      </c>
      <c r="C1633" t="s">
        <v>56</v>
      </c>
      <c r="D1633">
        <v>293</v>
      </c>
    </row>
    <row r="1634" spans="1:4" x14ac:dyDescent="0.35">
      <c r="A1634">
        <v>9999</v>
      </c>
      <c r="B1634" t="s">
        <v>33</v>
      </c>
      <c r="C1634" t="s">
        <v>57</v>
      </c>
      <c r="D1634">
        <v>9</v>
      </c>
    </row>
    <row r="1635" spans="1:4" x14ac:dyDescent="0.35">
      <c r="A1635">
        <v>9999</v>
      </c>
      <c r="B1635" t="s">
        <v>36</v>
      </c>
      <c r="C1635" t="s">
        <v>363</v>
      </c>
      <c r="D1635">
        <v>18</v>
      </c>
    </row>
    <row r="1636" spans="1:4" x14ac:dyDescent="0.35">
      <c r="A1636">
        <v>9999</v>
      </c>
      <c r="B1636" t="s">
        <v>38</v>
      </c>
      <c r="C1636" t="s">
        <v>59</v>
      </c>
      <c r="D1636">
        <v>226</v>
      </c>
    </row>
    <row r="1637" spans="1:4" x14ac:dyDescent="0.35">
      <c r="A1637">
        <v>9999</v>
      </c>
      <c r="B1637" t="s">
        <v>35</v>
      </c>
      <c r="C1637" t="s">
        <v>60</v>
      </c>
      <c r="D1637">
        <v>179</v>
      </c>
    </row>
    <row r="1638" spans="1:4" x14ac:dyDescent="0.35">
      <c r="A1638">
        <v>9999</v>
      </c>
      <c r="B1638" t="s">
        <v>38</v>
      </c>
      <c r="C1638" t="s">
        <v>21</v>
      </c>
      <c r="D1638">
        <v>1702</v>
      </c>
    </row>
    <row r="1639" spans="1:4" x14ac:dyDescent="0.35">
      <c r="A1639">
        <v>9999</v>
      </c>
      <c r="B1639" t="s">
        <v>36</v>
      </c>
      <c r="C1639" t="s">
        <v>364</v>
      </c>
      <c r="D1639">
        <v>8</v>
      </c>
    </row>
    <row r="1640" spans="1:4" x14ac:dyDescent="0.35">
      <c r="A1640">
        <v>9999</v>
      </c>
      <c r="B1640" t="s">
        <v>35</v>
      </c>
      <c r="C1640" t="s">
        <v>62</v>
      </c>
      <c r="D1640">
        <v>52</v>
      </c>
    </row>
    <row r="1641" spans="1:4" x14ac:dyDescent="0.35">
      <c r="A1641">
        <v>9999</v>
      </c>
      <c r="B1641" t="s">
        <v>33</v>
      </c>
      <c r="C1641" t="s">
        <v>63</v>
      </c>
      <c r="D1641">
        <v>19</v>
      </c>
    </row>
    <row r="1642" spans="1:4" x14ac:dyDescent="0.35">
      <c r="A1642">
        <v>9999</v>
      </c>
      <c r="B1642" t="s">
        <v>34</v>
      </c>
      <c r="C1642" t="s">
        <v>64</v>
      </c>
      <c r="D1642">
        <v>48</v>
      </c>
    </row>
    <row r="1643" spans="1:4" x14ac:dyDescent="0.35">
      <c r="A1643">
        <v>9999</v>
      </c>
      <c r="B1643" t="s">
        <v>33</v>
      </c>
      <c r="C1643" t="s">
        <v>65</v>
      </c>
      <c r="D1643">
        <v>21</v>
      </c>
    </row>
    <row r="1644" spans="1:4" x14ac:dyDescent="0.35">
      <c r="A1644">
        <v>9999</v>
      </c>
      <c r="B1644" t="s">
        <v>33</v>
      </c>
      <c r="C1644" t="s">
        <v>66</v>
      </c>
      <c r="D1644">
        <v>204</v>
      </c>
    </row>
    <row r="1645" spans="1:4" x14ac:dyDescent="0.35">
      <c r="A1645">
        <v>9999</v>
      </c>
      <c r="B1645" t="s">
        <v>34</v>
      </c>
      <c r="C1645" t="s">
        <v>67</v>
      </c>
      <c r="D1645">
        <v>102</v>
      </c>
    </row>
    <row r="1646" spans="1:4" x14ac:dyDescent="0.35">
      <c r="A1646">
        <v>9999</v>
      </c>
      <c r="B1646" t="s">
        <v>33</v>
      </c>
      <c r="C1646" t="s">
        <v>68</v>
      </c>
      <c r="D1646">
        <v>822</v>
      </c>
    </row>
    <row r="1647" spans="1:4" x14ac:dyDescent="0.35">
      <c r="A1647">
        <v>9999</v>
      </c>
      <c r="B1647" t="s">
        <v>36</v>
      </c>
      <c r="C1647" t="s">
        <v>69</v>
      </c>
      <c r="D1647">
        <v>66</v>
      </c>
    </row>
    <row r="1648" spans="1:4" x14ac:dyDescent="0.35">
      <c r="A1648">
        <v>9999</v>
      </c>
      <c r="B1648" t="s">
        <v>36</v>
      </c>
      <c r="C1648" t="s">
        <v>365</v>
      </c>
      <c r="D1648">
        <v>5</v>
      </c>
    </row>
    <row r="1649" spans="1:4" x14ac:dyDescent="0.35">
      <c r="A1649">
        <v>9999</v>
      </c>
      <c r="B1649" t="s">
        <v>33</v>
      </c>
      <c r="C1649" t="s">
        <v>70</v>
      </c>
      <c r="D1649">
        <v>14</v>
      </c>
    </row>
    <row r="1650" spans="1:4" x14ac:dyDescent="0.35">
      <c r="A1650">
        <v>9999</v>
      </c>
      <c r="B1650" t="s">
        <v>33</v>
      </c>
      <c r="C1650" t="s">
        <v>71</v>
      </c>
      <c r="D1650">
        <v>12</v>
      </c>
    </row>
    <row r="1651" spans="1:4" x14ac:dyDescent="0.35">
      <c r="A1651">
        <v>9999</v>
      </c>
      <c r="B1651" t="s">
        <v>38</v>
      </c>
      <c r="C1651" t="s">
        <v>72</v>
      </c>
      <c r="D1651">
        <v>128</v>
      </c>
    </row>
    <row r="1652" spans="1:4" x14ac:dyDescent="0.35">
      <c r="A1652">
        <v>9999</v>
      </c>
      <c r="B1652" t="s">
        <v>34</v>
      </c>
      <c r="C1652" t="s">
        <v>73</v>
      </c>
      <c r="D1652">
        <v>1918</v>
      </c>
    </row>
    <row r="1653" spans="1:4" x14ac:dyDescent="0.35">
      <c r="A1653">
        <v>9999</v>
      </c>
      <c r="B1653" t="s">
        <v>38</v>
      </c>
      <c r="C1653" t="s">
        <v>20</v>
      </c>
      <c r="D1653">
        <v>1987</v>
      </c>
    </row>
    <row r="1654" spans="1:4" x14ac:dyDescent="0.35">
      <c r="A1654">
        <v>9999</v>
      </c>
      <c r="B1654" t="s">
        <v>33</v>
      </c>
      <c r="C1654" t="s">
        <v>74</v>
      </c>
      <c r="D1654">
        <v>28</v>
      </c>
    </row>
    <row r="1655" spans="1:4" x14ac:dyDescent="0.35">
      <c r="A1655">
        <v>9999</v>
      </c>
      <c r="B1655" t="s">
        <v>33</v>
      </c>
      <c r="C1655" t="s">
        <v>75</v>
      </c>
      <c r="D1655">
        <v>39</v>
      </c>
    </row>
    <row r="1656" spans="1:4" x14ac:dyDescent="0.35">
      <c r="A1656">
        <v>9999</v>
      </c>
      <c r="B1656" t="s">
        <v>36</v>
      </c>
      <c r="C1656" t="s">
        <v>76</v>
      </c>
      <c r="D1656">
        <v>409</v>
      </c>
    </row>
    <row r="1657" spans="1:4" x14ac:dyDescent="0.35">
      <c r="A1657">
        <v>9999</v>
      </c>
      <c r="B1657" t="s">
        <v>33</v>
      </c>
      <c r="C1657" t="s">
        <v>77</v>
      </c>
      <c r="D1657">
        <v>80</v>
      </c>
    </row>
    <row r="1658" spans="1:4" x14ac:dyDescent="0.35">
      <c r="A1658">
        <v>9999</v>
      </c>
      <c r="B1658" t="s">
        <v>35</v>
      </c>
      <c r="C1658" t="s">
        <v>78</v>
      </c>
      <c r="D1658">
        <v>29</v>
      </c>
    </row>
    <row r="1659" spans="1:4" x14ac:dyDescent="0.35">
      <c r="A1659">
        <v>9999</v>
      </c>
      <c r="B1659" t="s">
        <v>36</v>
      </c>
      <c r="C1659" t="s">
        <v>79</v>
      </c>
      <c r="D1659">
        <v>2809</v>
      </c>
    </row>
    <row r="1660" spans="1:4" x14ac:dyDescent="0.35">
      <c r="A1660">
        <v>9999</v>
      </c>
      <c r="B1660" t="s">
        <v>35</v>
      </c>
      <c r="C1660" t="s">
        <v>81</v>
      </c>
      <c r="D1660">
        <v>56</v>
      </c>
    </row>
    <row r="1661" spans="1:4" x14ac:dyDescent="0.35">
      <c r="A1661">
        <v>9999</v>
      </c>
      <c r="B1661" t="s">
        <v>35</v>
      </c>
      <c r="C1661" t="s">
        <v>214</v>
      </c>
      <c r="D1661">
        <v>15</v>
      </c>
    </row>
    <row r="1662" spans="1:4" x14ac:dyDescent="0.35">
      <c r="A1662">
        <v>9999</v>
      </c>
      <c r="B1662" t="s">
        <v>35</v>
      </c>
      <c r="C1662" t="s">
        <v>82</v>
      </c>
      <c r="D1662">
        <v>7</v>
      </c>
    </row>
    <row r="1663" spans="1:4" x14ac:dyDescent="0.35">
      <c r="A1663">
        <v>9999</v>
      </c>
      <c r="B1663" t="s">
        <v>36</v>
      </c>
      <c r="C1663" t="s">
        <v>84</v>
      </c>
      <c r="D1663">
        <v>41</v>
      </c>
    </row>
    <row r="1664" spans="1:4" x14ac:dyDescent="0.35">
      <c r="A1664">
        <v>9999</v>
      </c>
      <c r="B1664" t="s">
        <v>36</v>
      </c>
      <c r="C1664" t="s">
        <v>85</v>
      </c>
      <c r="D1664">
        <v>3893</v>
      </c>
    </row>
    <row r="1665" spans="1:4" x14ac:dyDescent="0.35">
      <c r="A1665">
        <v>9999</v>
      </c>
      <c r="B1665" t="s">
        <v>38</v>
      </c>
      <c r="C1665" t="s">
        <v>86</v>
      </c>
      <c r="D1665">
        <v>5680</v>
      </c>
    </row>
    <row r="1666" spans="1:4" x14ac:dyDescent="0.35">
      <c r="A1666">
        <v>9999</v>
      </c>
      <c r="B1666" t="s">
        <v>33</v>
      </c>
      <c r="C1666" t="s">
        <v>87</v>
      </c>
      <c r="D1666">
        <v>192</v>
      </c>
    </row>
    <row r="1667" spans="1:4" x14ac:dyDescent="0.35">
      <c r="A1667">
        <v>9999</v>
      </c>
      <c r="B1667" t="s">
        <v>36</v>
      </c>
      <c r="C1667" t="s">
        <v>16</v>
      </c>
      <c r="D1667">
        <v>51226</v>
      </c>
    </row>
    <row r="1668" spans="1:4" x14ac:dyDescent="0.35">
      <c r="A1668">
        <v>9999</v>
      </c>
      <c r="B1668" t="s">
        <v>33</v>
      </c>
      <c r="C1668" t="s">
        <v>88</v>
      </c>
    </row>
    <row r="1669" spans="1:4" x14ac:dyDescent="0.35">
      <c r="A1669">
        <v>9999</v>
      </c>
      <c r="B1669" t="s">
        <v>33</v>
      </c>
      <c r="C1669" t="s">
        <v>89</v>
      </c>
      <c r="D1669">
        <v>40</v>
      </c>
    </row>
    <row r="1670" spans="1:4" x14ac:dyDescent="0.35">
      <c r="A1670">
        <v>9999</v>
      </c>
      <c r="B1670" t="s">
        <v>35</v>
      </c>
      <c r="C1670" t="s">
        <v>90</v>
      </c>
      <c r="D1670">
        <v>18</v>
      </c>
    </row>
    <row r="1671" spans="1:4" x14ac:dyDescent="0.35">
      <c r="A1671">
        <v>9999</v>
      </c>
      <c r="B1671" t="s">
        <v>33</v>
      </c>
      <c r="C1671" t="s">
        <v>91</v>
      </c>
      <c r="D1671">
        <v>144</v>
      </c>
    </row>
    <row r="1672" spans="1:4" x14ac:dyDescent="0.35">
      <c r="A1672">
        <v>9999</v>
      </c>
      <c r="B1672" t="s">
        <v>37</v>
      </c>
      <c r="C1672" t="s">
        <v>92</v>
      </c>
      <c r="D1672">
        <v>67</v>
      </c>
    </row>
    <row r="1673" spans="1:4" x14ac:dyDescent="0.35">
      <c r="A1673">
        <v>9999</v>
      </c>
      <c r="B1673" t="s">
        <v>35</v>
      </c>
      <c r="C1673" t="s">
        <v>94</v>
      </c>
      <c r="D1673">
        <v>106</v>
      </c>
    </row>
    <row r="1674" spans="1:4" x14ac:dyDescent="0.35">
      <c r="A1674">
        <v>9999</v>
      </c>
      <c r="B1674" t="s">
        <v>33</v>
      </c>
      <c r="C1674" t="s">
        <v>95</v>
      </c>
      <c r="D1674">
        <v>10</v>
      </c>
    </row>
    <row r="1675" spans="1:4" x14ac:dyDescent="0.35">
      <c r="A1675">
        <v>9999</v>
      </c>
      <c r="B1675" t="s">
        <v>33</v>
      </c>
      <c r="C1675" t="s">
        <v>96</v>
      </c>
      <c r="D1675">
        <v>100</v>
      </c>
    </row>
    <row r="1676" spans="1:4" x14ac:dyDescent="0.35">
      <c r="A1676">
        <v>9999</v>
      </c>
      <c r="B1676" t="s">
        <v>34</v>
      </c>
      <c r="C1676" t="s">
        <v>8</v>
      </c>
      <c r="D1676">
        <v>65</v>
      </c>
    </row>
    <row r="1677" spans="1:4" x14ac:dyDescent="0.35">
      <c r="A1677">
        <v>9999</v>
      </c>
      <c r="B1677" t="s">
        <v>35</v>
      </c>
      <c r="C1677" t="s">
        <v>97</v>
      </c>
      <c r="D1677">
        <v>153</v>
      </c>
    </row>
    <row r="1678" spans="1:4" x14ac:dyDescent="0.35">
      <c r="A1678">
        <v>9999</v>
      </c>
      <c r="B1678" t="s">
        <v>33</v>
      </c>
      <c r="C1678" t="s">
        <v>98</v>
      </c>
      <c r="D1678">
        <v>272</v>
      </c>
    </row>
    <row r="1679" spans="1:4" x14ac:dyDescent="0.35">
      <c r="A1679">
        <v>9999</v>
      </c>
      <c r="B1679" t="s">
        <v>35</v>
      </c>
      <c r="C1679" t="s">
        <v>99</v>
      </c>
      <c r="D1679">
        <v>29</v>
      </c>
    </row>
    <row r="1680" spans="1:4" x14ac:dyDescent="0.35">
      <c r="A1680">
        <v>9999</v>
      </c>
      <c r="B1680" t="s">
        <v>36</v>
      </c>
      <c r="C1680" t="s">
        <v>100</v>
      </c>
      <c r="D1680">
        <v>44</v>
      </c>
    </row>
    <row r="1681" spans="1:4" x14ac:dyDescent="0.35">
      <c r="A1681">
        <v>9999</v>
      </c>
      <c r="B1681" t="s">
        <v>37</v>
      </c>
      <c r="C1681" t="s">
        <v>367</v>
      </c>
      <c r="D1681">
        <v>22</v>
      </c>
    </row>
    <row r="1682" spans="1:4" x14ac:dyDescent="0.35">
      <c r="A1682">
        <v>9999</v>
      </c>
      <c r="B1682" t="s">
        <v>36</v>
      </c>
      <c r="C1682" t="s">
        <v>15</v>
      </c>
      <c r="D1682">
        <v>73208</v>
      </c>
    </row>
    <row r="1683" spans="1:4" x14ac:dyDescent="0.35">
      <c r="A1683">
        <v>9999</v>
      </c>
      <c r="B1683" t="s">
        <v>33</v>
      </c>
      <c r="C1683" t="s">
        <v>101</v>
      </c>
      <c r="D1683">
        <v>112</v>
      </c>
    </row>
    <row r="1684" spans="1:4" x14ac:dyDescent="0.35">
      <c r="A1684">
        <v>9999</v>
      </c>
      <c r="B1684" t="s">
        <v>33</v>
      </c>
      <c r="C1684" t="s">
        <v>102</v>
      </c>
      <c r="D1684" t="s">
        <v>205</v>
      </c>
    </row>
    <row r="1685" spans="1:4" x14ac:dyDescent="0.35">
      <c r="A1685">
        <v>9999</v>
      </c>
      <c r="B1685" t="s">
        <v>38</v>
      </c>
      <c r="C1685" t="s">
        <v>103</v>
      </c>
      <c r="D1685">
        <v>292</v>
      </c>
    </row>
    <row r="1686" spans="1:4" x14ac:dyDescent="0.35">
      <c r="A1686">
        <v>9999</v>
      </c>
      <c r="B1686" t="s">
        <v>36</v>
      </c>
      <c r="C1686" t="s">
        <v>104</v>
      </c>
      <c r="D1686">
        <v>1992</v>
      </c>
    </row>
    <row r="1687" spans="1:4" x14ac:dyDescent="0.35">
      <c r="A1687">
        <v>9999</v>
      </c>
      <c r="B1687" t="s">
        <v>36</v>
      </c>
      <c r="C1687" t="s">
        <v>17</v>
      </c>
      <c r="D1687">
        <v>64157</v>
      </c>
    </row>
    <row r="1688" spans="1:4" x14ac:dyDescent="0.35">
      <c r="A1688">
        <v>9999</v>
      </c>
      <c r="B1688" t="s">
        <v>34</v>
      </c>
      <c r="C1688" t="s">
        <v>368</v>
      </c>
      <c r="D1688">
        <v>74</v>
      </c>
    </row>
    <row r="1689" spans="1:4" x14ac:dyDescent="0.35">
      <c r="A1689">
        <v>9999</v>
      </c>
      <c r="B1689" t="s">
        <v>35</v>
      </c>
      <c r="C1689" t="s">
        <v>105</v>
      </c>
      <c r="D1689">
        <v>88</v>
      </c>
    </row>
    <row r="1690" spans="1:4" x14ac:dyDescent="0.35">
      <c r="A1690">
        <v>9999</v>
      </c>
      <c r="B1690" t="s">
        <v>35</v>
      </c>
      <c r="C1690" t="s">
        <v>106</v>
      </c>
      <c r="D1690" t="s">
        <v>205</v>
      </c>
    </row>
    <row r="1691" spans="1:4" x14ac:dyDescent="0.35">
      <c r="A1691">
        <v>9999</v>
      </c>
      <c r="B1691" t="s">
        <v>34</v>
      </c>
      <c r="C1691" t="s">
        <v>22</v>
      </c>
      <c r="D1691">
        <v>1791</v>
      </c>
    </row>
    <row r="1692" spans="1:4" x14ac:dyDescent="0.35">
      <c r="A1692">
        <v>9999</v>
      </c>
      <c r="B1692" t="s">
        <v>34</v>
      </c>
      <c r="C1692" t="s">
        <v>107</v>
      </c>
      <c r="D1692">
        <v>126</v>
      </c>
    </row>
    <row r="1693" spans="1:4" x14ac:dyDescent="0.35">
      <c r="A1693">
        <v>9999</v>
      </c>
      <c r="B1693" t="s">
        <v>34</v>
      </c>
      <c r="C1693" t="s">
        <v>108</v>
      </c>
      <c r="D1693">
        <v>257</v>
      </c>
    </row>
    <row r="1694" spans="1:4" x14ac:dyDescent="0.35">
      <c r="A1694">
        <v>9999</v>
      </c>
      <c r="B1694" t="s">
        <v>34</v>
      </c>
      <c r="C1694" t="s">
        <v>109</v>
      </c>
      <c r="D1694">
        <v>169</v>
      </c>
    </row>
    <row r="1695" spans="1:4" x14ac:dyDescent="0.35">
      <c r="A1695">
        <v>9999</v>
      </c>
      <c r="B1695" t="s">
        <v>35</v>
      </c>
      <c r="C1695" t="s">
        <v>110</v>
      </c>
      <c r="D1695">
        <v>70</v>
      </c>
    </row>
    <row r="1696" spans="1:4" x14ac:dyDescent="0.35">
      <c r="A1696">
        <v>9999</v>
      </c>
      <c r="B1696" t="s">
        <v>34</v>
      </c>
      <c r="C1696" t="s">
        <v>111</v>
      </c>
      <c r="D1696">
        <v>213</v>
      </c>
    </row>
    <row r="1697" spans="1:4" x14ac:dyDescent="0.35">
      <c r="A1697">
        <v>9999</v>
      </c>
      <c r="B1697" t="s">
        <v>35</v>
      </c>
      <c r="C1697" t="s">
        <v>112</v>
      </c>
      <c r="D1697">
        <v>138</v>
      </c>
    </row>
    <row r="1698" spans="1:4" x14ac:dyDescent="0.35">
      <c r="A1698">
        <v>9999</v>
      </c>
      <c r="B1698" t="s">
        <v>36</v>
      </c>
      <c r="C1698" t="s">
        <v>113</v>
      </c>
      <c r="D1698">
        <v>2147</v>
      </c>
    </row>
    <row r="1699" spans="1:4" x14ac:dyDescent="0.35">
      <c r="A1699">
        <v>9999</v>
      </c>
      <c r="B1699" t="s">
        <v>34</v>
      </c>
      <c r="C1699" t="s">
        <v>114</v>
      </c>
      <c r="D1699">
        <v>47</v>
      </c>
    </row>
    <row r="1700" spans="1:4" x14ac:dyDescent="0.35">
      <c r="A1700">
        <v>9999</v>
      </c>
      <c r="B1700" t="s">
        <v>34</v>
      </c>
      <c r="C1700" t="s">
        <v>115</v>
      </c>
      <c r="D1700">
        <v>198</v>
      </c>
    </row>
    <row r="1701" spans="1:4" x14ac:dyDescent="0.35">
      <c r="A1701">
        <v>9999</v>
      </c>
      <c r="B1701" t="s">
        <v>34</v>
      </c>
      <c r="C1701" t="s">
        <v>116</v>
      </c>
      <c r="D1701">
        <v>71</v>
      </c>
    </row>
    <row r="1702" spans="1:4" x14ac:dyDescent="0.35">
      <c r="A1702">
        <v>9999</v>
      </c>
      <c r="B1702" t="s">
        <v>33</v>
      </c>
      <c r="C1702" t="s">
        <v>117</v>
      </c>
      <c r="D1702">
        <v>341</v>
      </c>
    </row>
    <row r="1703" spans="1:4" x14ac:dyDescent="0.35">
      <c r="A1703">
        <v>9999</v>
      </c>
      <c r="B1703" t="s">
        <v>34</v>
      </c>
      <c r="C1703" t="s">
        <v>118</v>
      </c>
      <c r="D1703">
        <v>470</v>
      </c>
    </row>
    <row r="1704" spans="1:4" x14ac:dyDescent="0.35">
      <c r="A1704">
        <v>9999</v>
      </c>
      <c r="B1704" t="s">
        <v>35</v>
      </c>
      <c r="C1704" t="s">
        <v>119</v>
      </c>
      <c r="D1704">
        <v>30</v>
      </c>
    </row>
    <row r="1705" spans="1:4" x14ac:dyDescent="0.35">
      <c r="A1705">
        <v>9999</v>
      </c>
      <c r="B1705" t="s">
        <v>34</v>
      </c>
      <c r="C1705" t="s">
        <v>120</v>
      </c>
      <c r="D1705">
        <v>26</v>
      </c>
    </row>
    <row r="1706" spans="1:4" x14ac:dyDescent="0.35">
      <c r="A1706">
        <v>9999</v>
      </c>
      <c r="B1706" t="s">
        <v>34</v>
      </c>
      <c r="C1706" t="s">
        <v>121</v>
      </c>
      <c r="D1706">
        <v>89</v>
      </c>
    </row>
    <row r="1707" spans="1:4" x14ac:dyDescent="0.35">
      <c r="A1707">
        <v>9999</v>
      </c>
      <c r="B1707" t="s">
        <v>34</v>
      </c>
      <c r="C1707" t="s">
        <v>122</v>
      </c>
      <c r="D1707">
        <v>561</v>
      </c>
    </row>
    <row r="1708" spans="1:4" x14ac:dyDescent="0.35">
      <c r="A1708">
        <v>9999</v>
      </c>
      <c r="B1708" t="s">
        <v>35</v>
      </c>
      <c r="C1708" t="s">
        <v>123</v>
      </c>
      <c r="D1708">
        <v>36</v>
      </c>
    </row>
    <row r="1709" spans="1:4" x14ac:dyDescent="0.35">
      <c r="A1709">
        <v>9999</v>
      </c>
      <c r="B1709" t="s">
        <v>34</v>
      </c>
      <c r="C1709" t="s">
        <v>124</v>
      </c>
      <c r="D1709">
        <v>103</v>
      </c>
    </row>
    <row r="1710" spans="1:4" x14ac:dyDescent="0.35">
      <c r="A1710">
        <v>9999</v>
      </c>
      <c r="B1710" t="s">
        <v>33</v>
      </c>
      <c r="C1710" t="s">
        <v>125</v>
      </c>
      <c r="D1710">
        <v>231</v>
      </c>
    </row>
    <row r="1711" spans="1:4" x14ac:dyDescent="0.35">
      <c r="A1711">
        <v>9999</v>
      </c>
      <c r="B1711" t="s">
        <v>33</v>
      </c>
      <c r="C1711" t="s">
        <v>126</v>
      </c>
      <c r="D1711">
        <v>16</v>
      </c>
    </row>
    <row r="1712" spans="1:4" x14ac:dyDescent="0.35">
      <c r="A1712">
        <v>9999</v>
      </c>
      <c r="B1712" t="s">
        <v>35</v>
      </c>
      <c r="C1712" t="s">
        <v>127</v>
      </c>
      <c r="D1712">
        <v>65</v>
      </c>
    </row>
    <row r="1713" spans="1:4" x14ac:dyDescent="0.35">
      <c r="A1713">
        <v>9999</v>
      </c>
      <c r="B1713" t="s">
        <v>34</v>
      </c>
      <c r="C1713" t="s">
        <v>369</v>
      </c>
    </row>
    <row r="1714" spans="1:4" x14ac:dyDescent="0.35">
      <c r="A1714">
        <v>9999</v>
      </c>
      <c r="B1714" t="s">
        <v>33</v>
      </c>
      <c r="C1714" t="s">
        <v>130</v>
      </c>
      <c r="D1714">
        <v>10</v>
      </c>
    </row>
    <row r="1715" spans="1:4" x14ac:dyDescent="0.35">
      <c r="A1715">
        <v>9999</v>
      </c>
      <c r="B1715" t="s">
        <v>34</v>
      </c>
      <c r="C1715" t="s">
        <v>131</v>
      </c>
      <c r="D1715">
        <v>31</v>
      </c>
    </row>
    <row r="1716" spans="1:4" x14ac:dyDescent="0.35">
      <c r="A1716">
        <v>9999</v>
      </c>
      <c r="B1716" t="s">
        <v>33</v>
      </c>
      <c r="C1716" t="s">
        <v>132</v>
      </c>
      <c r="D1716">
        <v>83</v>
      </c>
    </row>
    <row r="1717" spans="1:4" x14ac:dyDescent="0.35">
      <c r="A1717">
        <v>9999</v>
      </c>
      <c r="B1717" t="s">
        <v>35</v>
      </c>
      <c r="C1717" t="s">
        <v>133</v>
      </c>
      <c r="D1717">
        <v>8</v>
      </c>
    </row>
    <row r="1718" spans="1:4" x14ac:dyDescent="0.35">
      <c r="A1718">
        <v>9999</v>
      </c>
      <c r="B1718" t="s">
        <v>37</v>
      </c>
      <c r="C1718" t="s">
        <v>134</v>
      </c>
      <c r="D1718">
        <v>35</v>
      </c>
    </row>
    <row r="1719" spans="1:4" x14ac:dyDescent="0.35">
      <c r="A1719">
        <v>9999</v>
      </c>
      <c r="B1719" t="s">
        <v>33</v>
      </c>
      <c r="C1719" t="s">
        <v>135</v>
      </c>
      <c r="D1719">
        <v>57</v>
      </c>
    </row>
    <row r="1720" spans="1:4" x14ac:dyDescent="0.35">
      <c r="A1720">
        <v>9999</v>
      </c>
      <c r="B1720" t="s">
        <v>36</v>
      </c>
      <c r="C1720" t="s">
        <v>14</v>
      </c>
      <c r="D1720">
        <v>424978</v>
      </c>
    </row>
    <row r="1721" spans="1:4" x14ac:dyDescent="0.35">
      <c r="A1721">
        <v>9999</v>
      </c>
      <c r="B1721" t="s">
        <v>37</v>
      </c>
      <c r="C1721" t="s">
        <v>137</v>
      </c>
      <c r="D1721">
        <v>113</v>
      </c>
    </row>
    <row r="1722" spans="1:4" x14ac:dyDescent="0.35">
      <c r="A1722">
        <v>9999</v>
      </c>
      <c r="B1722" t="s">
        <v>35</v>
      </c>
      <c r="C1722" t="s">
        <v>138</v>
      </c>
      <c r="D1722">
        <v>93</v>
      </c>
    </row>
    <row r="1723" spans="1:4" x14ac:dyDescent="0.35">
      <c r="A1723">
        <v>9999</v>
      </c>
      <c r="B1723" t="s">
        <v>34</v>
      </c>
      <c r="C1723" t="s">
        <v>139</v>
      </c>
      <c r="D1723">
        <v>66</v>
      </c>
    </row>
    <row r="1724" spans="1:4" x14ac:dyDescent="0.35">
      <c r="A1724">
        <v>9999</v>
      </c>
      <c r="B1724" t="s">
        <v>35</v>
      </c>
      <c r="C1724" t="s">
        <v>140</v>
      </c>
      <c r="D1724">
        <v>6</v>
      </c>
    </row>
    <row r="1725" spans="1:4" x14ac:dyDescent="0.35">
      <c r="A1725">
        <v>9999</v>
      </c>
      <c r="B1725" t="s">
        <v>36</v>
      </c>
      <c r="C1725" t="s">
        <v>370</v>
      </c>
      <c r="D1725" t="s">
        <v>205</v>
      </c>
    </row>
    <row r="1726" spans="1:4" x14ac:dyDescent="0.35">
      <c r="A1726">
        <v>9999</v>
      </c>
      <c r="B1726" t="s">
        <v>33</v>
      </c>
      <c r="C1726" t="s">
        <v>141</v>
      </c>
      <c r="D1726">
        <v>135</v>
      </c>
    </row>
    <row r="1727" spans="1:4" x14ac:dyDescent="0.35">
      <c r="A1727">
        <v>9999</v>
      </c>
      <c r="B1727" t="s">
        <v>34</v>
      </c>
      <c r="C1727" t="s">
        <v>144</v>
      </c>
      <c r="D1727">
        <v>448</v>
      </c>
    </row>
    <row r="1728" spans="1:4" x14ac:dyDescent="0.35">
      <c r="A1728">
        <v>9999</v>
      </c>
      <c r="B1728" t="s">
        <v>35</v>
      </c>
      <c r="C1728" t="s">
        <v>145</v>
      </c>
      <c r="D1728">
        <v>57</v>
      </c>
    </row>
    <row r="1729" spans="1:4" x14ac:dyDescent="0.35">
      <c r="A1729">
        <v>9999</v>
      </c>
      <c r="B1729" t="s">
        <v>36</v>
      </c>
      <c r="C1729" t="s">
        <v>371</v>
      </c>
      <c r="D1729">
        <v>5</v>
      </c>
    </row>
    <row r="1730" spans="1:4" x14ac:dyDescent="0.35">
      <c r="A1730">
        <v>9999</v>
      </c>
      <c r="B1730" t="s">
        <v>37</v>
      </c>
      <c r="C1730" t="s">
        <v>146</v>
      </c>
      <c r="D1730">
        <v>30</v>
      </c>
    </row>
    <row r="1731" spans="1:4" x14ac:dyDescent="0.35">
      <c r="A1731">
        <v>9999</v>
      </c>
      <c r="B1731" t="s">
        <v>36</v>
      </c>
      <c r="C1731" t="s">
        <v>147</v>
      </c>
      <c r="D1731">
        <v>2712</v>
      </c>
    </row>
    <row r="1732" spans="1:4" x14ac:dyDescent="0.35">
      <c r="A1732">
        <v>9999</v>
      </c>
      <c r="B1732" t="s">
        <v>33</v>
      </c>
      <c r="C1732" t="s">
        <v>148</v>
      </c>
      <c r="D1732">
        <v>39</v>
      </c>
    </row>
    <row r="1733" spans="1:4" x14ac:dyDescent="0.35">
      <c r="A1733">
        <v>9999</v>
      </c>
      <c r="B1733" t="s">
        <v>33</v>
      </c>
      <c r="C1733" t="s">
        <v>149</v>
      </c>
      <c r="D1733">
        <v>492</v>
      </c>
    </row>
    <row r="1734" spans="1:4" x14ac:dyDescent="0.35">
      <c r="A1734">
        <v>9999</v>
      </c>
      <c r="B1734" t="s">
        <v>35</v>
      </c>
      <c r="C1734" t="s">
        <v>322</v>
      </c>
      <c r="D1734">
        <v>30</v>
      </c>
    </row>
    <row r="1735" spans="1:4" x14ac:dyDescent="0.35">
      <c r="A1735">
        <v>9999</v>
      </c>
      <c r="B1735" t="s">
        <v>35</v>
      </c>
      <c r="C1735" t="s">
        <v>150</v>
      </c>
      <c r="D1735" t="s">
        <v>205</v>
      </c>
    </row>
    <row r="1736" spans="1:4" x14ac:dyDescent="0.35">
      <c r="A1736">
        <v>9999</v>
      </c>
      <c r="B1736" t="s">
        <v>34</v>
      </c>
      <c r="C1736" t="s">
        <v>152</v>
      </c>
      <c r="D1736">
        <v>334</v>
      </c>
    </row>
    <row r="1737" spans="1:4" x14ac:dyDescent="0.35">
      <c r="A1737">
        <v>9999</v>
      </c>
      <c r="B1737" t="s">
        <v>37</v>
      </c>
      <c r="C1737" t="s">
        <v>153</v>
      </c>
      <c r="D1737">
        <v>21</v>
      </c>
    </row>
    <row r="1738" spans="1:4" x14ac:dyDescent="0.35">
      <c r="A1738">
        <v>9999</v>
      </c>
      <c r="B1738" t="s">
        <v>36</v>
      </c>
      <c r="C1738" t="s">
        <v>154</v>
      </c>
      <c r="D1738">
        <v>184</v>
      </c>
    </row>
    <row r="1739" spans="1:4" x14ac:dyDescent="0.35">
      <c r="A1739">
        <v>9999</v>
      </c>
      <c r="B1739" t="s">
        <v>38</v>
      </c>
      <c r="C1739" t="s">
        <v>155</v>
      </c>
      <c r="D1739">
        <v>30</v>
      </c>
    </row>
    <row r="1740" spans="1:4" x14ac:dyDescent="0.35">
      <c r="A1740">
        <v>9999</v>
      </c>
      <c r="B1740" t="s">
        <v>38</v>
      </c>
      <c r="C1740" t="s">
        <v>156</v>
      </c>
      <c r="D1740">
        <v>1682</v>
      </c>
    </row>
    <row r="1741" spans="1:4" x14ac:dyDescent="0.35">
      <c r="A1741">
        <v>9999</v>
      </c>
      <c r="B1741" t="s">
        <v>34</v>
      </c>
      <c r="C1741" t="s">
        <v>18</v>
      </c>
      <c r="D1741">
        <v>721</v>
      </c>
    </row>
    <row r="1742" spans="1:4" x14ac:dyDescent="0.35">
      <c r="A1742">
        <v>9999</v>
      </c>
      <c r="B1742" t="s">
        <v>35</v>
      </c>
      <c r="C1742" t="s">
        <v>157</v>
      </c>
      <c r="D1742">
        <v>328</v>
      </c>
    </row>
    <row r="1743" spans="1:4" x14ac:dyDescent="0.35">
      <c r="A1743">
        <v>9999</v>
      </c>
      <c r="B1743" t="s">
        <v>35</v>
      </c>
      <c r="C1743" t="s">
        <v>158</v>
      </c>
      <c r="D1743">
        <v>131</v>
      </c>
    </row>
    <row r="1744" spans="1:4" x14ac:dyDescent="0.35">
      <c r="A1744">
        <v>9999</v>
      </c>
      <c r="B1744" t="s">
        <v>35</v>
      </c>
      <c r="C1744" t="s">
        <v>160</v>
      </c>
      <c r="D1744">
        <v>865</v>
      </c>
    </row>
    <row r="1745" spans="1:4" x14ac:dyDescent="0.35">
      <c r="A1745">
        <v>9999</v>
      </c>
      <c r="B1745" t="s">
        <v>35</v>
      </c>
      <c r="C1745" t="s">
        <v>161</v>
      </c>
      <c r="D1745">
        <v>320</v>
      </c>
    </row>
    <row r="1746" spans="1:4" x14ac:dyDescent="0.35">
      <c r="A1746">
        <v>9999</v>
      </c>
      <c r="B1746" t="s">
        <v>33</v>
      </c>
      <c r="C1746" t="s">
        <v>162</v>
      </c>
      <c r="D1746">
        <v>21</v>
      </c>
    </row>
    <row r="1747" spans="1:4" x14ac:dyDescent="0.35">
      <c r="A1747">
        <v>9999</v>
      </c>
      <c r="B1747" t="s">
        <v>36</v>
      </c>
      <c r="C1747" t="s">
        <v>163</v>
      </c>
      <c r="D1747">
        <v>32</v>
      </c>
    </row>
    <row r="1748" spans="1:4" x14ac:dyDescent="0.35">
      <c r="A1748">
        <v>9999</v>
      </c>
      <c r="B1748" t="s">
        <v>36</v>
      </c>
      <c r="C1748" t="s">
        <v>164</v>
      </c>
      <c r="D1748">
        <v>45</v>
      </c>
    </row>
    <row r="1749" spans="1:4" x14ac:dyDescent="0.35">
      <c r="A1749">
        <v>9999</v>
      </c>
      <c r="B1749" t="s">
        <v>36</v>
      </c>
      <c r="C1749" t="s">
        <v>165</v>
      </c>
      <c r="D1749">
        <v>43</v>
      </c>
    </row>
    <row r="1750" spans="1:4" x14ac:dyDescent="0.35">
      <c r="A1750">
        <v>9999</v>
      </c>
      <c r="B1750" t="s">
        <v>37</v>
      </c>
      <c r="C1750" t="s">
        <v>166</v>
      </c>
      <c r="D1750">
        <v>37</v>
      </c>
    </row>
    <row r="1751" spans="1:4" x14ac:dyDescent="0.35">
      <c r="A1751">
        <v>9999</v>
      </c>
      <c r="B1751" t="s">
        <v>34</v>
      </c>
      <c r="C1751" t="s">
        <v>167</v>
      </c>
      <c r="D1751">
        <v>264</v>
      </c>
    </row>
    <row r="1752" spans="1:4" x14ac:dyDescent="0.35">
      <c r="A1752">
        <v>9999</v>
      </c>
      <c r="B1752" t="s">
        <v>33</v>
      </c>
      <c r="C1752" t="s">
        <v>168</v>
      </c>
      <c r="D1752">
        <v>132</v>
      </c>
    </row>
    <row r="1753" spans="1:4" x14ac:dyDescent="0.35">
      <c r="A1753">
        <v>9999</v>
      </c>
      <c r="B1753" t="s">
        <v>35</v>
      </c>
      <c r="C1753" t="s">
        <v>169</v>
      </c>
      <c r="D1753">
        <v>35</v>
      </c>
    </row>
    <row r="1754" spans="1:4" x14ac:dyDescent="0.35">
      <c r="A1754">
        <v>9999</v>
      </c>
      <c r="B1754" t="s">
        <v>35</v>
      </c>
      <c r="C1754" t="s">
        <v>215</v>
      </c>
      <c r="D1754">
        <v>64</v>
      </c>
    </row>
    <row r="1755" spans="1:4" x14ac:dyDescent="0.35">
      <c r="A1755">
        <v>9999</v>
      </c>
      <c r="B1755" t="s">
        <v>33</v>
      </c>
      <c r="C1755" t="s">
        <v>170</v>
      </c>
      <c r="D1755">
        <v>145</v>
      </c>
    </row>
    <row r="1756" spans="1:4" x14ac:dyDescent="0.35">
      <c r="A1756">
        <v>9999</v>
      </c>
      <c r="B1756" t="s">
        <v>34</v>
      </c>
      <c r="C1756" t="s">
        <v>171</v>
      </c>
      <c r="D1756">
        <v>16</v>
      </c>
    </row>
    <row r="1757" spans="1:4" x14ac:dyDescent="0.35">
      <c r="A1757">
        <v>9999</v>
      </c>
      <c r="B1757" t="s">
        <v>35</v>
      </c>
      <c r="C1757" t="s">
        <v>172</v>
      </c>
      <c r="D1757">
        <v>23</v>
      </c>
    </row>
    <row r="1758" spans="1:4" x14ac:dyDescent="0.35">
      <c r="A1758">
        <v>9999</v>
      </c>
      <c r="B1758" t="s">
        <v>35</v>
      </c>
      <c r="C1758" t="s">
        <v>173</v>
      </c>
    </row>
    <row r="1759" spans="1:4" x14ac:dyDescent="0.35">
      <c r="A1759">
        <v>9999</v>
      </c>
      <c r="B1759" t="s">
        <v>33</v>
      </c>
      <c r="C1759" t="s">
        <v>174</v>
      </c>
      <c r="D1759">
        <v>214</v>
      </c>
    </row>
    <row r="1760" spans="1:4" x14ac:dyDescent="0.35">
      <c r="A1760">
        <v>9999</v>
      </c>
      <c r="B1760" t="s">
        <v>33</v>
      </c>
      <c r="C1760" t="s">
        <v>175</v>
      </c>
      <c r="D1760">
        <v>79</v>
      </c>
    </row>
    <row r="1761" spans="1:4" x14ac:dyDescent="0.35">
      <c r="A1761">
        <v>9999</v>
      </c>
      <c r="B1761" t="s">
        <v>33</v>
      </c>
      <c r="C1761" t="s">
        <v>176</v>
      </c>
      <c r="D1761">
        <v>42</v>
      </c>
    </row>
    <row r="1762" spans="1:4" x14ac:dyDescent="0.35">
      <c r="A1762">
        <v>9999</v>
      </c>
      <c r="B1762" t="s">
        <v>35</v>
      </c>
      <c r="C1762" t="s">
        <v>216</v>
      </c>
      <c r="D1762">
        <v>89</v>
      </c>
    </row>
    <row r="1763" spans="1:4" x14ac:dyDescent="0.35">
      <c r="A1763">
        <v>9999</v>
      </c>
      <c r="B1763" t="s">
        <v>35</v>
      </c>
      <c r="C1763" t="s">
        <v>177</v>
      </c>
      <c r="D1763">
        <v>98</v>
      </c>
    </row>
    <row r="1764" spans="1:4" x14ac:dyDescent="0.35">
      <c r="A1764">
        <v>9999</v>
      </c>
      <c r="B1764" t="s">
        <v>34</v>
      </c>
      <c r="C1764" t="s">
        <v>178</v>
      </c>
      <c r="D1764">
        <v>134</v>
      </c>
    </row>
    <row r="1765" spans="1:4" x14ac:dyDescent="0.35">
      <c r="A1765">
        <v>9999</v>
      </c>
      <c r="B1765" t="s">
        <v>33</v>
      </c>
      <c r="C1765" t="s">
        <v>179</v>
      </c>
      <c r="D1765">
        <v>168</v>
      </c>
    </row>
    <row r="1766" spans="1:4" x14ac:dyDescent="0.35">
      <c r="A1766">
        <v>9999</v>
      </c>
      <c r="B1766" t="s">
        <v>38</v>
      </c>
      <c r="C1766" t="s">
        <v>180</v>
      </c>
      <c r="D1766">
        <v>15</v>
      </c>
    </row>
    <row r="1767" spans="1:4" x14ac:dyDescent="0.35">
      <c r="A1767">
        <v>9999</v>
      </c>
      <c r="B1767" t="s">
        <v>35</v>
      </c>
      <c r="C1767" t="s">
        <v>182</v>
      </c>
      <c r="D1767">
        <v>27</v>
      </c>
    </row>
    <row r="1768" spans="1:4" x14ac:dyDescent="0.35">
      <c r="A1768">
        <v>9999</v>
      </c>
      <c r="B1768" t="s">
        <v>35</v>
      </c>
      <c r="C1768" t="s">
        <v>183</v>
      </c>
      <c r="D1768">
        <v>11</v>
      </c>
    </row>
    <row r="1769" spans="1:4" x14ac:dyDescent="0.35">
      <c r="A1769">
        <v>9999</v>
      </c>
      <c r="B1769" t="s">
        <v>34</v>
      </c>
      <c r="C1769" t="s">
        <v>184</v>
      </c>
      <c r="D1769">
        <v>72</v>
      </c>
    </row>
    <row r="1770" spans="1:4" x14ac:dyDescent="0.35">
      <c r="A1770">
        <v>9999</v>
      </c>
      <c r="B1770" t="s">
        <v>34</v>
      </c>
      <c r="C1770" t="s">
        <v>185</v>
      </c>
      <c r="D1770">
        <v>55</v>
      </c>
    </row>
    <row r="1771" spans="1:4" x14ac:dyDescent="0.35">
      <c r="A1771">
        <v>9999</v>
      </c>
      <c r="B1771" t="s">
        <v>34</v>
      </c>
      <c r="C1771" t="s">
        <v>186</v>
      </c>
      <c r="D1771">
        <v>33</v>
      </c>
    </row>
    <row r="1772" spans="1:4" x14ac:dyDescent="0.35">
      <c r="A1772">
        <v>9999</v>
      </c>
      <c r="B1772" t="s">
        <v>33</v>
      </c>
      <c r="C1772" t="s">
        <v>187</v>
      </c>
      <c r="D1772">
        <v>72</v>
      </c>
    </row>
    <row r="1773" spans="1:4" x14ac:dyDescent="0.35">
      <c r="A1773">
        <v>9999</v>
      </c>
      <c r="B1773" t="s">
        <v>34</v>
      </c>
      <c r="C1773" t="s">
        <v>188</v>
      </c>
      <c r="D1773">
        <v>246</v>
      </c>
    </row>
    <row r="1774" spans="1:4" x14ac:dyDescent="0.35">
      <c r="A1774">
        <v>9999</v>
      </c>
      <c r="B1774" t="s">
        <v>33</v>
      </c>
      <c r="C1774" t="s">
        <v>189</v>
      </c>
      <c r="D1774">
        <v>20</v>
      </c>
    </row>
    <row r="1775" spans="1:4" x14ac:dyDescent="0.35">
      <c r="A1775">
        <v>9999</v>
      </c>
      <c r="B1775" t="s">
        <v>37</v>
      </c>
      <c r="C1775" t="s">
        <v>190</v>
      </c>
      <c r="D1775">
        <v>49</v>
      </c>
    </row>
    <row r="1776" spans="1:4" x14ac:dyDescent="0.35">
      <c r="A1776">
        <v>9999</v>
      </c>
      <c r="B1776" t="s">
        <v>36</v>
      </c>
      <c r="C1776" t="s">
        <v>191</v>
      </c>
      <c r="D1776">
        <v>419</v>
      </c>
    </row>
    <row r="1777" spans="1:4" x14ac:dyDescent="0.35">
      <c r="A1777">
        <v>9999</v>
      </c>
      <c r="B1777" t="s">
        <v>33</v>
      </c>
      <c r="C1777" t="s">
        <v>192</v>
      </c>
      <c r="D1777">
        <v>24</v>
      </c>
    </row>
    <row r="1778" spans="1:4" x14ac:dyDescent="0.35">
      <c r="A1778">
        <v>9999</v>
      </c>
      <c r="B1778" t="s">
        <v>34</v>
      </c>
      <c r="C1778" t="s">
        <v>193</v>
      </c>
      <c r="D1778">
        <v>216</v>
      </c>
    </row>
    <row r="1779" spans="1:4" x14ac:dyDescent="0.35">
      <c r="A1779">
        <v>9999</v>
      </c>
      <c r="B1779" t="s">
        <v>34</v>
      </c>
      <c r="C1779" t="s">
        <v>194</v>
      </c>
      <c r="D1779">
        <v>4</v>
      </c>
    </row>
    <row r="1780" spans="1:4" x14ac:dyDescent="0.35">
      <c r="A1780">
        <v>9999</v>
      </c>
      <c r="B1780" t="s">
        <v>36</v>
      </c>
      <c r="C1780" t="s">
        <v>372</v>
      </c>
      <c r="D1780">
        <v>13</v>
      </c>
    </row>
    <row r="1781" spans="1:4" x14ac:dyDescent="0.35">
      <c r="A1781">
        <v>9999</v>
      </c>
      <c r="B1781" t="s">
        <v>33</v>
      </c>
      <c r="C1781" t="s">
        <v>195</v>
      </c>
      <c r="D1781">
        <v>49</v>
      </c>
    </row>
    <row r="1782" spans="1:4" x14ac:dyDescent="0.35">
      <c r="A1782">
        <v>9999</v>
      </c>
      <c r="B1782" t="s">
        <v>35</v>
      </c>
      <c r="C1782" t="s">
        <v>196</v>
      </c>
      <c r="D1782">
        <v>290</v>
      </c>
    </row>
    <row r="1783" spans="1:4" x14ac:dyDescent="0.35">
      <c r="A1783">
        <v>9999</v>
      </c>
      <c r="B1783" t="s">
        <v>34</v>
      </c>
      <c r="C1783" t="s">
        <v>197</v>
      </c>
      <c r="D1783">
        <v>11</v>
      </c>
    </row>
    <row r="1784" spans="1:4" x14ac:dyDescent="0.35">
      <c r="A1784">
        <v>9999</v>
      </c>
      <c r="B1784" t="s">
        <v>35</v>
      </c>
      <c r="C1784" t="s">
        <v>198</v>
      </c>
      <c r="D1784">
        <v>388</v>
      </c>
    </row>
    <row r="1785" spans="1:4" x14ac:dyDescent="0.35">
      <c r="A1785">
        <v>9999</v>
      </c>
      <c r="B1785" t="s">
        <v>39</v>
      </c>
      <c r="C1785" t="s">
        <v>39</v>
      </c>
      <c r="D1785">
        <v>697</v>
      </c>
    </row>
    <row r="1786" spans="1:4" x14ac:dyDescent="0.35">
      <c r="A1786">
        <v>9999</v>
      </c>
      <c r="B1786" t="s">
        <v>38</v>
      </c>
      <c r="C1786" t="s">
        <v>199</v>
      </c>
      <c r="D1786">
        <v>116</v>
      </c>
    </row>
    <row r="1787" spans="1:4" x14ac:dyDescent="0.35">
      <c r="A1787">
        <v>9999</v>
      </c>
      <c r="B1787" t="s">
        <v>34</v>
      </c>
      <c r="C1787" t="s">
        <v>200</v>
      </c>
      <c r="D1787">
        <v>116</v>
      </c>
    </row>
    <row r="1788" spans="1:4" x14ac:dyDescent="0.35">
      <c r="A1788">
        <v>9999</v>
      </c>
      <c r="B1788" t="s">
        <v>38</v>
      </c>
      <c r="C1788" t="s">
        <v>19</v>
      </c>
      <c r="D1788">
        <v>366</v>
      </c>
    </row>
    <row r="1789" spans="1:4" x14ac:dyDescent="0.35">
      <c r="A1789">
        <v>9999</v>
      </c>
      <c r="B1789" t="s">
        <v>34</v>
      </c>
      <c r="C1789" t="s">
        <v>201</v>
      </c>
      <c r="D1789">
        <v>875</v>
      </c>
    </row>
    <row r="1790" spans="1:4" x14ac:dyDescent="0.35">
      <c r="A1790">
        <v>9999</v>
      </c>
      <c r="B1790" t="s">
        <v>34</v>
      </c>
      <c r="C1790" t="s">
        <v>202</v>
      </c>
      <c r="D1790">
        <v>68</v>
      </c>
    </row>
    <row r="1791" spans="1:4" x14ac:dyDescent="0.35">
      <c r="A1791">
        <v>9999</v>
      </c>
      <c r="B1791" t="s">
        <v>33</v>
      </c>
      <c r="C1791" t="s">
        <v>203</v>
      </c>
      <c r="D1791">
        <v>31</v>
      </c>
    </row>
    <row r="1792" spans="1:4" x14ac:dyDescent="0.35">
      <c r="A1792">
        <v>9999</v>
      </c>
      <c r="B1792" t="s">
        <v>33</v>
      </c>
      <c r="C1792" t="s">
        <v>204</v>
      </c>
      <c r="D1792">
        <v>48</v>
      </c>
    </row>
    <row r="1794" spans="1:9" x14ac:dyDescent="0.35">
      <c r="A1794" s="16" t="s">
        <v>208</v>
      </c>
      <c r="B1794" s="55"/>
      <c r="C1794" s="55"/>
      <c r="D1794" s="55"/>
      <c r="E1794" s="55"/>
      <c r="F1794" s="55"/>
      <c r="G1794" s="55"/>
      <c r="H1794" s="55"/>
      <c r="I1794" s="55"/>
    </row>
    <row r="1795" spans="1:9" x14ac:dyDescent="0.35">
      <c r="A1795" s="16" t="s">
        <v>374</v>
      </c>
      <c r="B1795" s="55"/>
      <c r="C1795" s="55"/>
      <c r="D1795" s="55"/>
      <c r="E1795" s="55"/>
      <c r="F1795" s="55"/>
      <c r="G1795" s="55"/>
      <c r="H1795" s="55"/>
      <c r="I1795" s="55"/>
    </row>
    <row r="1796" spans="1:9" x14ac:dyDescent="0.35">
      <c r="A1796" s="16" t="s">
        <v>207</v>
      </c>
      <c r="B1796" s="4"/>
      <c r="C1796" s="4"/>
      <c r="D1796" s="4"/>
      <c r="E1796" s="4"/>
      <c r="F1796" s="4"/>
      <c r="G1796" s="4"/>
      <c r="H1796" s="4"/>
      <c r="I1796" s="4"/>
    </row>
    <row r="1797" spans="1:9" x14ac:dyDescent="0.35">
      <c r="A1797" s="56" t="s">
        <v>375</v>
      </c>
      <c r="B1797" s="4"/>
      <c r="C1797" s="4"/>
      <c r="D1797" s="4"/>
      <c r="E1797" s="4"/>
      <c r="F1797" s="4"/>
      <c r="G1797" s="4"/>
      <c r="H1797" s="4"/>
      <c r="I1797" s="4"/>
    </row>
    <row r="1798" spans="1:9" x14ac:dyDescent="0.35">
      <c r="A1798" s="56" t="s">
        <v>376</v>
      </c>
      <c r="B1798" s="4"/>
      <c r="C1798" s="4"/>
      <c r="D1798" s="4"/>
      <c r="E1798" s="4"/>
      <c r="F1798" s="4"/>
      <c r="G1798" s="4"/>
      <c r="H1798" s="4"/>
      <c r="I1798" s="4"/>
    </row>
    <row r="1799" spans="1:9" x14ac:dyDescent="0.35">
      <c r="A1799" s="92" t="s">
        <v>377</v>
      </c>
      <c r="B1799" s="92"/>
      <c r="C1799" s="92"/>
      <c r="D1799" s="92"/>
      <c r="E1799" s="92"/>
      <c r="F1799" s="92"/>
      <c r="G1799" s="92"/>
      <c r="H1799" s="92"/>
      <c r="I1799" s="92"/>
    </row>
    <row r="1800" spans="1:9" x14ac:dyDescent="0.35">
      <c r="A1800" s="93" t="s">
        <v>378</v>
      </c>
      <c r="B1800" s="93"/>
      <c r="C1800" s="93"/>
      <c r="D1800" s="93"/>
      <c r="E1800" s="93"/>
      <c r="F1800" s="93"/>
      <c r="G1800" s="93"/>
      <c r="H1800" s="93"/>
      <c r="I1800" s="93"/>
    </row>
    <row r="1801" spans="1:9" x14ac:dyDescent="0.35">
      <c r="A1801" s="4" t="s">
        <v>463</v>
      </c>
      <c r="B1801" s="4"/>
      <c r="C1801" s="4"/>
      <c r="D1801" s="4"/>
      <c r="E1801" s="4"/>
      <c r="F1801" s="4"/>
      <c r="G1801" s="4"/>
      <c r="H1801" s="4"/>
      <c r="I1801" s="4"/>
    </row>
    <row r="1802" spans="1:9" x14ac:dyDescent="0.35">
      <c r="A1802" s="54" t="s">
        <v>356</v>
      </c>
      <c r="B1802" s="4"/>
      <c r="C1802" s="4"/>
      <c r="D1802" s="4"/>
      <c r="E1802" s="4"/>
      <c r="F1802" s="4"/>
      <c r="G1802" s="4"/>
      <c r="H1802" s="4"/>
      <c r="I1802" s="4"/>
    </row>
    <row r="1803" spans="1:9" x14ac:dyDescent="0.35">
      <c r="A1803" s="54" t="s">
        <v>362</v>
      </c>
      <c r="B1803" s="4"/>
      <c r="C1803" s="4"/>
      <c r="D1803" s="4"/>
      <c r="E1803" s="4"/>
      <c r="F1803" s="4"/>
      <c r="G1803" s="4"/>
      <c r="H1803" s="4"/>
      <c r="I1803" s="4"/>
    </row>
  </sheetData>
  <mergeCells count="2">
    <mergeCell ref="A1799:I1799"/>
    <mergeCell ref="A1800:I1800"/>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E58E-B1F5-44C8-A6BA-E7B98D9FF6AC}">
  <dimension ref="A1:H773"/>
  <sheetViews>
    <sheetView workbookViewId="0">
      <selection activeCell="F677" sqref="F677"/>
    </sheetView>
  </sheetViews>
  <sheetFormatPr defaultRowHeight="14.5" x14ac:dyDescent="0.35"/>
  <cols>
    <col min="1" max="1" width="10.81640625" bestFit="1" customWidth="1"/>
    <col min="2" max="2" width="33.90625" bestFit="1" customWidth="1"/>
    <col min="3" max="3" width="16" bestFit="1" customWidth="1"/>
    <col min="4" max="4" width="26.7265625" bestFit="1" customWidth="1"/>
    <col min="5" max="5" width="30.6328125" bestFit="1" customWidth="1"/>
    <col min="6" max="6" width="35.36328125" customWidth="1"/>
  </cols>
  <sheetData>
    <row r="1" spans="1:6" x14ac:dyDescent="0.35">
      <c r="A1" t="s">
        <v>24</v>
      </c>
      <c r="B1" t="s">
        <v>279</v>
      </c>
      <c r="C1" t="s">
        <v>280</v>
      </c>
      <c r="D1" t="s">
        <v>282</v>
      </c>
      <c r="E1" t="s">
        <v>305</v>
      </c>
      <c r="F1" t="s">
        <v>218</v>
      </c>
    </row>
    <row r="2" spans="1:6" x14ac:dyDescent="0.35">
      <c r="A2" t="s">
        <v>379</v>
      </c>
      <c r="B2" t="s">
        <v>288</v>
      </c>
      <c r="C2" t="s">
        <v>232</v>
      </c>
      <c r="D2" t="s">
        <v>416</v>
      </c>
      <c r="E2" t="s">
        <v>299</v>
      </c>
      <c r="F2">
        <v>2701</v>
      </c>
    </row>
    <row r="3" spans="1:6" x14ac:dyDescent="0.35">
      <c r="A3" t="s">
        <v>379</v>
      </c>
      <c r="B3" t="s">
        <v>288</v>
      </c>
      <c r="C3" t="s">
        <v>232</v>
      </c>
      <c r="D3" t="s">
        <v>415</v>
      </c>
      <c r="E3" t="s">
        <v>299</v>
      </c>
      <c r="F3">
        <v>847</v>
      </c>
    </row>
    <row r="4" spans="1:6" x14ac:dyDescent="0.35">
      <c r="A4" t="s">
        <v>379</v>
      </c>
      <c r="B4" t="s">
        <v>288</v>
      </c>
      <c r="C4" t="s">
        <v>232</v>
      </c>
      <c r="D4" t="s">
        <v>232</v>
      </c>
      <c r="E4" t="s">
        <v>299</v>
      </c>
      <c r="F4">
        <v>21113</v>
      </c>
    </row>
    <row r="5" spans="1:6" x14ac:dyDescent="0.35">
      <c r="A5" t="s">
        <v>379</v>
      </c>
      <c r="B5" t="s">
        <v>288</v>
      </c>
      <c r="C5" t="s">
        <v>232</v>
      </c>
      <c r="D5" t="s">
        <v>405</v>
      </c>
      <c r="E5" t="s">
        <v>299</v>
      </c>
      <c r="F5">
        <v>1354</v>
      </c>
    </row>
    <row r="6" spans="1:6" x14ac:dyDescent="0.35">
      <c r="A6" t="s">
        <v>379</v>
      </c>
      <c r="B6" t="s">
        <v>288</v>
      </c>
      <c r="C6" t="s">
        <v>232</v>
      </c>
      <c r="D6" t="s">
        <v>406</v>
      </c>
      <c r="E6" t="s">
        <v>299</v>
      </c>
      <c r="F6">
        <v>671</v>
      </c>
    </row>
    <row r="7" spans="1:6" x14ac:dyDescent="0.35">
      <c r="A7" t="s">
        <v>379</v>
      </c>
      <c r="B7" t="s">
        <v>288</v>
      </c>
      <c r="C7" t="s">
        <v>232</v>
      </c>
      <c r="D7" t="s">
        <v>407</v>
      </c>
      <c r="E7" t="s">
        <v>299</v>
      </c>
      <c r="F7">
        <v>1912</v>
      </c>
    </row>
    <row r="8" spans="1:6" x14ac:dyDescent="0.35">
      <c r="A8" t="s">
        <v>379</v>
      </c>
      <c r="B8" t="s">
        <v>288</v>
      </c>
      <c r="C8" t="s">
        <v>232</v>
      </c>
      <c r="D8" t="s">
        <v>408</v>
      </c>
      <c r="E8" t="s">
        <v>299</v>
      </c>
      <c r="F8">
        <v>1225</v>
      </c>
    </row>
    <row r="9" spans="1:6" x14ac:dyDescent="0.35">
      <c r="A9" t="s">
        <v>379</v>
      </c>
      <c r="B9" t="s">
        <v>288</v>
      </c>
      <c r="C9" t="s">
        <v>232</v>
      </c>
      <c r="D9" t="s">
        <v>410</v>
      </c>
      <c r="E9" t="s">
        <v>299</v>
      </c>
      <c r="F9">
        <v>263</v>
      </c>
    </row>
    <row r="10" spans="1:6" x14ac:dyDescent="0.35">
      <c r="A10" t="s">
        <v>379</v>
      </c>
      <c r="B10" t="s">
        <v>288</v>
      </c>
      <c r="C10" t="s">
        <v>232</v>
      </c>
      <c r="D10" t="s">
        <v>427</v>
      </c>
      <c r="E10" t="s">
        <v>299</v>
      </c>
      <c r="F10">
        <v>1850</v>
      </c>
    </row>
    <row r="11" spans="1:6" x14ac:dyDescent="0.35">
      <c r="A11" t="s">
        <v>379</v>
      </c>
      <c r="B11" t="s">
        <v>288</v>
      </c>
      <c r="C11" t="s">
        <v>232</v>
      </c>
      <c r="D11" t="s">
        <v>412</v>
      </c>
      <c r="E11" t="s">
        <v>299</v>
      </c>
      <c r="F11">
        <v>4602</v>
      </c>
    </row>
    <row r="12" spans="1:6" x14ac:dyDescent="0.35">
      <c r="A12" t="s">
        <v>379</v>
      </c>
      <c r="B12" t="s">
        <v>288</v>
      </c>
      <c r="C12" t="s">
        <v>232</v>
      </c>
      <c r="D12" t="s">
        <v>413</v>
      </c>
      <c r="E12" t="s">
        <v>299</v>
      </c>
      <c r="F12">
        <v>2889</v>
      </c>
    </row>
    <row r="13" spans="1:6" x14ac:dyDescent="0.35">
      <c r="A13" t="s">
        <v>379</v>
      </c>
      <c r="B13" t="s">
        <v>288</v>
      </c>
      <c r="C13" t="s">
        <v>232</v>
      </c>
      <c r="D13" t="s">
        <v>414</v>
      </c>
      <c r="E13" t="s">
        <v>299</v>
      </c>
      <c r="F13">
        <v>1813</v>
      </c>
    </row>
    <row r="14" spans="1:6" x14ac:dyDescent="0.35">
      <c r="A14" t="s">
        <v>379</v>
      </c>
      <c r="B14" t="s">
        <v>288</v>
      </c>
      <c r="C14" t="s">
        <v>232</v>
      </c>
      <c r="D14" t="s">
        <v>409</v>
      </c>
      <c r="E14" t="s">
        <v>299</v>
      </c>
      <c r="F14">
        <v>986</v>
      </c>
    </row>
    <row r="15" spans="1:6" x14ac:dyDescent="0.35">
      <c r="A15" t="s">
        <v>379</v>
      </c>
      <c r="B15" t="s">
        <v>288</v>
      </c>
      <c r="C15" t="s">
        <v>222</v>
      </c>
      <c r="D15" t="s">
        <v>222</v>
      </c>
      <c r="E15" t="s">
        <v>299</v>
      </c>
      <c r="F15">
        <v>1139282</v>
      </c>
    </row>
    <row r="16" spans="1:6" x14ac:dyDescent="0.35">
      <c r="A16" t="s">
        <v>379</v>
      </c>
      <c r="B16" t="s">
        <v>288</v>
      </c>
      <c r="C16" t="s">
        <v>222</v>
      </c>
      <c r="D16" t="s">
        <v>403</v>
      </c>
      <c r="E16" t="s">
        <v>299</v>
      </c>
      <c r="F16">
        <v>491771</v>
      </c>
    </row>
    <row r="17" spans="1:6" x14ac:dyDescent="0.35">
      <c r="A17" t="s">
        <v>379</v>
      </c>
      <c r="B17" t="s">
        <v>288</v>
      </c>
      <c r="C17" t="s">
        <v>222</v>
      </c>
      <c r="D17" t="s">
        <v>404</v>
      </c>
      <c r="E17" t="s">
        <v>299</v>
      </c>
      <c r="F17">
        <v>98060</v>
      </c>
    </row>
    <row r="18" spans="1:6" x14ac:dyDescent="0.35">
      <c r="A18" t="s">
        <v>379</v>
      </c>
      <c r="B18" t="s">
        <v>288</v>
      </c>
      <c r="C18" t="s">
        <v>222</v>
      </c>
      <c r="D18" t="s">
        <v>402</v>
      </c>
      <c r="E18" t="s">
        <v>299</v>
      </c>
      <c r="F18">
        <v>138608</v>
      </c>
    </row>
    <row r="19" spans="1:6" x14ac:dyDescent="0.35">
      <c r="A19" t="s">
        <v>379</v>
      </c>
      <c r="B19" t="s">
        <v>288</v>
      </c>
      <c r="C19" t="s">
        <v>222</v>
      </c>
      <c r="D19" t="s">
        <v>400</v>
      </c>
      <c r="E19" t="s">
        <v>299</v>
      </c>
      <c r="F19">
        <v>74706</v>
      </c>
    </row>
    <row r="20" spans="1:6" x14ac:dyDescent="0.35">
      <c r="A20" t="s">
        <v>379</v>
      </c>
      <c r="B20" t="s">
        <v>288</v>
      </c>
      <c r="C20" t="s">
        <v>222</v>
      </c>
      <c r="D20" t="s">
        <v>398</v>
      </c>
      <c r="E20" t="s">
        <v>299</v>
      </c>
      <c r="F20">
        <v>74467</v>
      </c>
    </row>
    <row r="21" spans="1:6" x14ac:dyDescent="0.35">
      <c r="A21" t="s">
        <v>379</v>
      </c>
      <c r="B21" t="s">
        <v>288</v>
      </c>
      <c r="C21" t="s">
        <v>222</v>
      </c>
      <c r="D21" t="s">
        <v>428</v>
      </c>
      <c r="E21" t="s">
        <v>299</v>
      </c>
      <c r="F21">
        <v>10530</v>
      </c>
    </row>
    <row r="22" spans="1:6" x14ac:dyDescent="0.35">
      <c r="A22" t="s">
        <v>379</v>
      </c>
      <c r="B22" t="s">
        <v>288</v>
      </c>
      <c r="C22" t="s">
        <v>222</v>
      </c>
      <c r="D22" t="s">
        <v>397</v>
      </c>
      <c r="E22" t="s">
        <v>299</v>
      </c>
      <c r="F22">
        <v>53794</v>
      </c>
    </row>
    <row r="23" spans="1:6" x14ac:dyDescent="0.35">
      <c r="A23" t="s">
        <v>379</v>
      </c>
      <c r="B23" t="s">
        <v>288</v>
      </c>
      <c r="C23" t="s">
        <v>222</v>
      </c>
      <c r="D23" t="s">
        <v>401</v>
      </c>
      <c r="E23" t="s">
        <v>299</v>
      </c>
      <c r="F23">
        <v>92947</v>
      </c>
    </row>
    <row r="24" spans="1:6" x14ac:dyDescent="0.35">
      <c r="A24" t="s">
        <v>379</v>
      </c>
      <c r="B24" t="s">
        <v>288</v>
      </c>
      <c r="C24" t="s">
        <v>222</v>
      </c>
      <c r="D24" t="s">
        <v>399</v>
      </c>
      <c r="E24" t="s">
        <v>299</v>
      </c>
      <c r="F24">
        <v>104399</v>
      </c>
    </row>
    <row r="25" spans="1:6" x14ac:dyDescent="0.35">
      <c r="A25" t="s">
        <v>379</v>
      </c>
      <c r="B25" t="s">
        <v>291</v>
      </c>
      <c r="C25" t="s">
        <v>425</v>
      </c>
      <c r="D25" t="s">
        <v>270</v>
      </c>
      <c r="E25" t="s">
        <v>302</v>
      </c>
      <c r="F25" t="s">
        <v>206</v>
      </c>
    </row>
    <row r="26" spans="1:6" x14ac:dyDescent="0.35">
      <c r="A26" t="s">
        <v>379</v>
      </c>
      <c r="B26" t="s">
        <v>291</v>
      </c>
      <c r="C26" t="s">
        <v>425</v>
      </c>
      <c r="D26" t="s">
        <v>273</v>
      </c>
      <c r="E26" t="s">
        <v>302</v>
      </c>
      <c r="F26" t="s">
        <v>206</v>
      </c>
    </row>
    <row r="27" spans="1:6" x14ac:dyDescent="0.35">
      <c r="A27" t="s">
        <v>379</v>
      </c>
      <c r="B27" t="s">
        <v>291</v>
      </c>
      <c r="C27" t="s">
        <v>425</v>
      </c>
      <c r="D27" t="s">
        <v>39</v>
      </c>
      <c r="E27" t="s">
        <v>302</v>
      </c>
      <c r="F27" t="s">
        <v>206</v>
      </c>
    </row>
    <row r="28" spans="1:6" x14ac:dyDescent="0.35">
      <c r="A28" t="s">
        <v>379</v>
      </c>
      <c r="B28" t="s">
        <v>291</v>
      </c>
      <c r="C28" t="s">
        <v>425</v>
      </c>
      <c r="D28" t="s">
        <v>272</v>
      </c>
      <c r="E28" t="s">
        <v>302</v>
      </c>
      <c r="F28" t="s">
        <v>206</v>
      </c>
    </row>
    <row r="29" spans="1:6" x14ac:dyDescent="0.35">
      <c r="A29" t="s">
        <v>379</v>
      </c>
      <c r="B29" t="s">
        <v>291</v>
      </c>
      <c r="C29" t="s">
        <v>425</v>
      </c>
      <c r="D29" t="s">
        <v>268</v>
      </c>
      <c r="E29" t="s">
        <v>302</v>
      </c>
      <c r="F29" t="s">
        <v>206</v>
      </c>
    </row>
    <row r="30" spans="1:6" x14ac:dyDescent="0.35">
      <c r="A30" t="s">
        <v>379</v>
      </c>
      <c r="B30" t="s">
        <v>291</v>
      </c>
      <c r="C30" t="s">
        <v>425</v>
      </c>
      <c r="D30" t="s">
        <v>267</v>
      </c>
      <c r="E30" t="s">
        <v>302</v>
      </c>
      <c r="F30" t="s">
        <v>206</v>
      </c>
    </row>
    <row r="31" spans="1:6" x14ac:dyDescent="0.35">
      <c r="A31" t="s">
        <v>379</v>
      </c>
      <c r="B31" t="s">
        <v>291</v>
      </c>
      <c r="C31" t="s">
        <v>425</v>
      </c>
      <c r="D31" t="s">
        <v>266</v>
      </c>
      <c r="E31" t="s">
        <v>302</v>
      </c>
      <c r="F31" t="s">
        <v>206</v>
      </c>
    </row>
    <row r="32" spans="1:6" x14ac:dyDescent="0.35">
      <c r="A32" t="s">
        <v>379</v>
      </c>
      <c r="B32" t="s">
        <v>291</v>
      </c>
      <c r="C32" t="s">
        <v>425</v>
      </c>
      <c r="D32" t="s">
        <v>265</v>
      </c>
      <c r="E32" t="s">
        <v>302</v>
      </c>
      <c r="F32" t="s">
        <v>206</v>
      </c>
    </row>
    <row r="33" spans="1:6" x14ac:dyDescent="0.35">
      <c r="A33" t="s">
        <v>379</v>
      </c>
      <c r="B33" t="s">
        <v>291</v>
      </c>
      <c r="C33" t="s">
        <v>425</v>
      </c>
      <c r="D33" t="s">
        <v>419</v>
      </c>
      <c r="E33" t="s">
        <v>302</v>
      </c>
      <c r="F33" t="s">
        <v>206</v>
      </c>
    </row>
    <row r="34" spans="1:6" x14ac:dyDescent="0.35">
      <c r="A34" t="s">
        <v>379</v>
      </c>
      <c r="B34" t="s">
        <v>291</v>
      </c>
      <c r="C34" t="s">
        <v>425</v>
      </c>
      <c r="D34" t="s">
        <v>240</v>
      </c>
      <c r="E34" t="s">
        <v>302</v>
      </c>
      <c r="F34" t="s">
        <v>206</v>
      </c>
    </row>
    <row r="35" spans="1:6" x14ac:dyDescent="0.35">
      <c r="A35" t="s">
        <v>379</v>
      </c>
      <c r="B35" t="s">
        <v>291</v>
      </c>
      <c r="C35" t="s">
        <v>425</v>
      </c>
      <c r="D35" t="s">
        <v>239</v>
      </c>
      <c r="E35" t="s">
        <v>302</v>
      </c>
      <c r="F35" t="s">
        <v>206</v>
      </c>
    </row>
    <row r="36" spans="1:6" x14ac:dyDescent="0.35">
      <c r="A36" t="s">
        <v>379</v>
      </c>
      <c r="B36" t="s">
        <v>291</v>
      </c>
      <c r="C36" t="s">
        <v>425</v>
      </c>
      <c r="D36" t="s">
        <v>249</v>
      </c>
      <c r="E36" t="s">
        <v>302</v>
      </c>
      <c r="F36" t="s">
        <v>206</v>
      </c>
    </row>
    <row r="37" spans="1:6" x14ac:dyDescent="0.35">
      <c r="A37" t="s">
        <v>379</v>
      </c>
      <c r="B37" t="s">
        <v>291</v>
      </c>
      <c r="C37" t="s">
        <v>425</v>
      </c>
      <c r="D37" t="s">
        <v>248</v>
      </c>
      <c r="E37" t="s">
        <v>302</v>
      </c>
      <c r="F37" t="s">
        <v>206</v>
      </c>
    </row>
    <row r="38" spans="1:6" x14ac:dyDescent="0.35">
      <c r="A38" t="s">
        <v>379</v>
      </c>
      <c r="B38" t="s">
        <v>291</v>
      </c>
      <c r="C38" t="s">
        <v>425</v>
      </c>
      <c r="D38" t="s">
        <v>229</v>
      </c>
      <c r="E38" t="s">
        <v>302</v>
      </c>
      <c r="F38" t="s">
        <v>206</v>
      </c>
    </row>
    <row r="39" spans="1:6" x14ac:dyDescent="0.35">
      <c r="A39" t="s">
        <v>379</v>
      </c>
      <c r="B39" t="s">
        <v>291</v>
      </c>
      <c r="C39" t="s">
        <v>425</v>
      </c>
      <c r="D39" t="s">
        <v>417</v>
      </c>
      <c r="E39" t="s">
        <v>302</v>
      </c>
      <c r="F39" t="s">
        <v>206</v>
      </c>
    </row>
    <row r="40" spans="1:6" x14ac:dyDescent="0.35">
      <c r="A40" t="s">
        <v>379</v>
      </c>
      <c r="B40" t="s">
        <v>291</v>
      </c>
      <c r="C40" t="s">
        <v>425</v>
      </c>
      <c r="D40" t="s">
        <v>235</v>
      </c>
      <c r="E40" t="s">
        <v>302</v>
      </c>
      <c r="F40" t="s">
        <v>206</v>
      </c>
    </row>
    <row r="41" spans="1:6" x14ac:dyDescent="0.35">
      <c r="A41" t="s">
        <v>379</v>
      </c>
      <c r="B41" t="s">
        <v>291</v>
      </c>
      <c r="C41" t="s">
        <v>425</v>
      </c>
      <c r="D41" t="s">
        <v>260</v>
      </c>
      <c r="E41" t="s">
        <v>302</v>
      </c>
      <c r="F41" t="s">
        <v>206</v>
      </c>
    </row>
    <row r="42" spans="1:6" x14ac:dyDescent="0.35">
      <c r="A42" t="s">
        <v>379</v>
      </c>
      <c r="B42" t="s">
        <v>291</v>
      </c>
      <c r="C42" t="s">
        <v>425</v>
      </c>
      <c r="D42" t="s">
        <v>259</v>
      </c>
      <c r="E42" t="s">
        <v>302</v>
      </c>
      <c r="F42" t="s">
        <v>206</v>
      </c>
    </row>
    <row r="43" spans="1:6" x14ac:dyDescent="0.35">
      <c r="A43" t="s">
        <v>379</v>
      </c>
      <c r="B43" t="s">
        <v>291</v>
      </c>
      <c r="C43" t="s">
        <v>425</v>
      </c>
      <c r="D43" t="s">
        <v>247</v>
      </c>
      <c r="E43" t="s">
        <v>302</v>
      </c>
      <c r="F43" t="s">
        <v>206</v>
      </c>
    </row>
    <row r="44" spans="1:6" x14ac:dyDescent="0.35">
      <c r="A44" t="s">
        <v>379</v>
      </c>
      <c r="B44" t="s">
        <v>291</v>
      </c>
      <c r="C44" t="s">
        <v>425</v>
      </c>
      <c r="D44" t="s">
        <v>234</v>
      </c>
      <c r="E44" t="s">
        <v>302</v>
      </c>
      <c r="F44" t="s">
        <v>206</v>
      </c>
    </row>
    <row r="45" spans="1:6" x14ac:dyDescent="0.35">
      <c r="A45" t="s">
        <v>379</v>
      </c>
      <c r="B45" t="s">
        <v>291</v>
      </c>
      <c r="C45" t="s">
        <v>425</v>
      </c>
      <c r="D45" t="s">
        <v>254</v>
      </c>
      <c r="E45" t="s">
        <v>302</v>
      </c>
      <c r="F45" t="s">
        <v>206</v>
      </c>
    </row>
    <row r="46" spans="1:6" x14ac:dyDescent="0.35">
      <c r="A46" t="s">
        <v>379</v>
      </c>
      <c r="B46" t="s">
        <v>291</v>
      </c>
      <c r="C46" t="s">
        <v>425</v>
      </c>
      <c r="D46" t="s">
        <v>252</v>
      </c>
      <c r="E46" t="s">
        <v>302</v>
      </c>
      <c r="F46" t="s">
        <v>206</v>
      </c>
    </row>
    <row r="47" spans="1:6" x14ac:dyDescent="0.35">
      <c r="A47" t="s">
        <v>379</v>
      </c>
      <c r="B47" t="s">
        <v>291</v>
      </c>
      <c r="C47" t="s">
        <v>425</v>
      </c>
      <c r="D47" t="s">
        <v>244</v>
      </c>
      <c r="E47" t="s">
        <v>302</v>
      </c>
      <c r="F47" t="s">
        <v>206</v>
      </c>
    </row>
    <row r="48" spans="1:6" x14ac:dyDescent="0.35">
      <c r="A48" t="s">
        <v>379</v>
      </c>
      <c r="B48" t="s">
        <v>291</v>
      </c>
      <c r="C48" t="s">
        <v>425</v>
      </c>
      <c r="D48" t="s">
        <v>245</v>
      </c>
      <c r="E48" t="s">
        <v>302</v>
      </c>
      <c r="F48" t="s">
        <v>206</v>
      </c>
    </row>
    <row r="49" spans="1:6" x14ac:dyDescent="0.35">
      <c r="A49" t="s">
        <v>379</v>
      </c>
      <c r="B49" t="s">
        <v>291</v>
      </c>
      <c r="C49" t="s">
        <v>425</v>
      </c>
      <c r="D49" t="s">
        <v>246</v>
      </c>
      <c r="E49" t="s">
        <v>302</v>
      </c>
      <c r="F49" t="s">
        <v>206</v>
      </c>
    </row>
    <row r="50" spans="1:6" x14ac:dyDescent="0.35">
      <c r="A50" t="s">
        <v>379</v>
      </c>
      <c r="B50" t="s">
        <v>291</v>
      </c>
      <c r="C50" t="s">
        <v>425</v>
      </c>
      <c r="D50" t="s">
        <v>269</v>
      </c>
      <c r="E50" t="s">
        <v>302</v>
      </c>
      <c r="F50" t="s">
        <v>206</v>
      </c>
    </row>
    <row r="51" spans="1:6" x14ac:dyDescent="0.35">
      <c r="A51" t="s">
        <v>379</v>
      </c>
      <c r="B51" t="s">
        <v>290</v>
      </c>
      <c r="C51" t="s">
        <v>426</v>
      </c>
      <c r="D51" t="s">
        <v>418</v>
      </c>
      <c r="E51" t="s">
        <v>301</v>
      </c>
    </row>
    <row r="52" spans="1:6" x14ac:dyDescent="0.35">
      <c r="A52" t="s">
        <v>379</v>
      </c>
      <c r="B52" t="s">
        <v>290</v>
      </c>
      <c r="C52" t="s">
        <v>425</v>
      </c>
      <c r="D52" t="s">
        <v>240</v>
      </c>
      <c r="E52" t="s">
        <v>301</v>
      </c>
      <c r="F52">
        <v>2357</v>
      </c>
    </row>
    <row r="53" spans="1:6" x14ac:dyDescent="0.35">
      <c r="A53" t="s">
        <v>379</v>
      </c>
      <c r="B53" t="s">
        <v>290</v>
      </c>
      <c r="C53" t="s">
        <v>425</v>
      </c>
      <c r="D53" t="s">
        <v>239</v>
      </c>
      <c r="E53" t="s">
        <v>301</v>
      </c>
      <c r="F53">
        <v>1815</v>
      </c>
    </row>
    <row r="54" spans="1:6" x14ac:dyDescent="0.35">
      <c r="A54" t="s">
        <v>379</v>
      </c>
      <c r="B54" t="s">
        <v>290</v>
      </c>
      <c r="C54" t="s">
        <v>425</v>
      </c>
      <c r="D54" t="s">
        <v>249</v>
      </c>
      <c r="E54" t="s">
        <v>301</v>
      </c>
      <c r="F54">
        <v>13253</v>
      </c>
    </row>
    <row r="55" spans="1:6" x14ac:dyDescent="0.35">
      <c r="A55" t="s">
        <v>379</v>
      </c>
      <c r="B55" t="s">
        <v>290</v>
      </c>
      <c r="C55" t="s">
        <v>425</v>
      </c>
      <c r="D55" t="s">
        <v>248</v>
      </c>
      <c r="E55" t="s">
        <v>301</v>
      </c>
      <c r="F55">
        <v>4251</v>
      </c>
    </row>
    <row r="56" spans="1:6" x14ac:dyDescent="0.35">
      <c r="A56" t="s">
        <v>379</v>
      </c>
      <c r="B56" t="s">
        <v>290</v>
      </c>
      <c r="C56" t="s">
        <v>425</v>
      </c>
      <c r="D56" t="s">
        <v>261</v>
      </c>
      <c r="E56" t="s">
        <v>301</v>
      </c>
      <c r="F56">
        <v>425</v>
      </c>
    </row>
    <row r="57" spans="1:6" x14ac:dyDescent="0.35">
      <c r="A57" t="s">
        <v>379</v>
      </c>
      <c r="B57" t="s">
        <v>290</v>
      </c>
      <c r="C57" t="s">
        <v>425</v>
      </c>
      <c r="D57" t="s">
        <v>417</v>
      </c>
      <c r="E57" t="s">
        <v>301</v>
      </c>
      <c r="F57">
        <v>2017</v>
      </c>
    </row>
    <row r="58" spans="1:6" x14ac:dyDescent="0.35">
      <c r="A58" t="s">
        <v>379</v>
      </c>
      <c r="B58" t="s">
        <v>290</v>
      </c>
      <c r="C58" t="s">
        <v>425</v>
      </c>
      <c r="D58" t="s">
        <v>235</v>
      </c>
      <c r="E58" t="s">
        <v>301</v>
      </c>
      <c r="F58">
        <v>2239</v>
      </c>
    </row>
    <row r="59" spans="1:6" x14ac:dyDescent="0.35">
      <c r="A59" t="s">
        <v>379</v>
      </c>
      <c r="B59" t="s">
        <v>290</v>
      </c>
      <c r="C59" t="s">
        <v>425</v>
      </c>
      <c r="D59" t="s">
        <v>260</v>
      </c>
      <c r="E59" t="s">
        <v>301</v>
      </c>
      <c r="F59">
        <v>5943</v>
      </c>
    </row>
    <row r="60" spans="1:6" x14ac:dyDescent="0.35">
      <c r="A60" t="s">
        <v>379</v>
      </c>
      <c r="B60" t="s">
        <v>290</v>
      </c>
      <c r="C60" t="s">
        <v>425</v>
      </c>
      <c r="D60" t="s">
        <v>259</v>
      </c>
      <c r="E60" t="s">
        <v>301</v>
      </c>
      <c r="F60">
        <v>5160</v>
      </c>
    </row>
    <row r="61" spans="1:6" x14ac:dyDescent="0.35">
      <c r="A61" t="s">
        <v>379</v>
      </c>
      <c r="B61" t="s">
        <v>290</v>
      </c>
      <c r="C61" t="s">
        <v>425</v>
      </c>
      <c r="D61" t="s">
        <v>247</v>
      </c>
      <c r="E61" t="s">
        <v>301</v>
      </c>
      <c r="F61">
        <v>8113</v>
      </c>
    </row>
    <row r="62" spans="1:6" x14ac:dyDescent="0.35">
      <c r="A62" t="s">
        <v>379</v>
      </c>
      <c r="B62" t="s">
        <v>290</v>
      </c>
      <c r="C62" t="s">
        <v>425</v>
      </c>
      <c r="D62" t="s">
        <v>234</v>
      </c>
      <c r="E62" t="s">
        <v>301</v>
      </c>
      <c r="F62">
        <v>1031</v>
      </c>
    </row>
    <row r="63" spans="1:6" x14ac:dyDescent="0.35">
      <c r="A63" t="s">
        <v>379</v>
      </c>
      <c r="B63" t="s">
        <v>290</v>
      </c>
      <c r="C63" t="s">
        <v>425</v>
      </c>
      <c r="D63" t="s">
        <v>246</v>
      </c>
      <c r="E63" t="s">
        <v>301</v>
      </c>
      <c r="F63">
        <v>3141</v>
      </c>
    </row>
    <row r="64" spans="1:6" x14ac:dyDescent="0.35">
      <c r="A64" t="s">
        <v>379</v>
      </c>
      <c r="B64" t="s">
        <v>290</v>
      </c>
      <c r="C64" t="s">
        <v>425</v>
      </c>
      <c r="D64" t="s">
        <v>245</v>
      </c>
      <c r="E64" t="s">
        <v>301</v>
      </c>
      <c r="F64">
        <v>990</v>
      </c>
    </row>
    <row r="65" spans="1:6" x14ac:dyDescent="0.35">
      <c r="A65" t="s">
        <v>379</v>
      </c>
      <c r="B65" t="s">
        <v>290</v>
      </c>
      <c r="C65" t="s">
        <v>425</v>
      </c>
      <c r="D65" t="s">
        <v>244</v>
      </c>
      <c r="E65" t="s">
        <v>301</v>
      </c>
      <c r="F65">
        <v>3237</v>
      </c>
    </row>
    <row r="66" spans="1:6" x14ac:dyDescent="0.35">
      <c r="A66" t="s">
        <v>379</v>
      </c>
      <c r="B66" t="s">
        <v>290</v>
      </c>
      <c r="C66" t="s">
        <v>425</v>
      </c>
      <c r="D66" t="s">
        <v>250</v>
      </c>
      <c r="E66" t="s">
        <v>301</v>
      </c>
      <c r="F66">
        <v>4019</v>
      </c>
    </row>
    <row r="67" spans="1:6" x14ac:dyDescent="0.35">
      <c r="A67" t="s">
        <v>379</v>
      </c>
      <c r="B67" t="s">
        <v>290</v>
      </c>
      <c r="C67" t="s">
        <v>425</v>
      </c>
      <c r="D67" t="s">
        <v>265</v>
      </c>
      <c r="E67" t="s">
        <v>301</v>
      </c>
      <c r="F67">
        <v>1892</v>
      </c>
    </row>
    <row r="68" spans="1:6" x14ac:dyDescent="0.35">
      <c r="A68" t="s">
        <v>379</v>
      </c>
      <c r="B68" t="s">
        <v>290</v>
      </c>
      <c r="C68" t="s">
        <v>425</v>
      </c>
      <c r="D68" t="s">
        <v>266</v>
      </c>
      <c r="E68" t="s">
        <v>301</v>
      </c>
      <c r="F68">
        <v>2506</v>
      </c>
    </row>
    <row r="69" spans="1:6" x14ac:dyDescent="0.35">
      <c r="A69" t="s">
        <v>379</v>
      </c>
      <c r="B69" t="s">
        <v>290</v>
      </c>
      <c r="C69" t="s">
        <v>425</v>
      </c>
      <c r="D69" t="s">
        <v>267</v>
      </c>
      <c r="E69" t="s">
        <v>301</v>
      </c>
      <c r="F69">
        <v>12385</v>
      </c>
    </row>
    <row r="70" spans="1:6" x14ac:dyDescent="0.35">
      <c r="A70" t="s">
        <v>379</v>
      </c>
      <c r="B70" t="s">
        <v>290</v>
      </c>
      <c r="C70" t="s">
        <v>425</v>
      </c>
      <c r="D70" t="s">
        <v>268</v>
      </c>
      <c r="E70" t="s">
        <v>301</v>
      </c>
      <c r="F70">
        <v>2596</v>
      </c>
    </row>
    <row r="71" spans="1:6" x14ac:dyDescent="0.35">
      <c r="A71" t="s">
        <v>379</v>
      </c>
      <c r="B71" t="s">
        <v>290</v>
      </c>
      <c r="C71" t="s">
        <v>425</v>
      </c>
      <c r="D71" t="s">
        <v>269</v>
      </c>
      <c r="E71" t="s">
        <v>301</v>
      </c>
      <c r="F71">
        <v>3943</v>
      </c>
    </row>
    <row r="72" spans="1:6" x14ac:dyDescent="0.35">
      <c r="A72" t="s">
        <v>379</v>
      </c>
      <c r="B72" t="s">
        <v>290</v>
      </c>
      <c r="C72" t="s">
        <v>425</v>
      </c>
      <c r="D72" t="s">
        <v>229</v>
      </c>
      <c r="E72" t="s">
        <v>301</v>
      </c>
      <c r="F72">
        <v>5291</v>
      </c>
    </row>
    <row r="73" spans="1:6" x14ac:dyDescent="0.35">
      <c r="A73" t="s">
        <v>379</v>
      </c>
      <c r="B73" t="s">
        <v>290</v>
      </c>
      <c r="C73" t="s">
        <v>425</v>
      </c>
      <c r="D73" t="s">
        <v>252</v>
      </c>
      <c r="E73" t="s">
        <v>301</v>
      </c>
      <c r="F73">
        <v>9088</v>
      </c>
    </row>
    <row r="74" spans="1:6" x14ac:dyDescent="0.35">
      <c r="A74" t="s">
        <v>379</v>
      </c>
      <c r="B74" t="s">
        <v>290</v>
      </c>
      <c r="C74" t="s">
        <v>425</v>
      </c>
      <c r="D74" t="s">
        <v>253</v>
      </c>
      <c r="E74" t="s">
        <v>301</v>
      </c>
      <c r="F74">
        <v>1185</v>
      </c>
    </row>
    <row r="75" spans="1:6" x14ac:dyDescent="0.35">
      <c r="A75" t="s">
        <v>379</v>
      </c>
      <c r="B75" t="s">
        <v>290</v>
      </c>
      <c r="C75" t="s">
        <v>425</v>
      </c>
      <c r="D75" t="s">
        <v>254</v>
      </c>
      <c r="E75" t="s">
        <v>301</v>
      </c>
      <c r="F75">
        <v>3254</v>
      </c>
    </row>
    <row r="76" spans="1:6" x14ac:dyDescent="0.35">
      <c r="A76" t="s">
        <v>379</v>
      </c>
      <c r="B76" t="s">
        <v>290</v>
      </c>
      <c r="C76" t="s">
        <v>425</v>
      </c>
      <c r="D76" t="s">
        <v>270</v>
      </c>
      <c r="E76" t="s">
        <v>301</v>
      </c>
      <c r="F76">
        <v>2135</v>
      </c>
    </row>
    <row r="77" spans="1:6" x14ac:dyDescent="0.35">
      <c r="A77" t="s">
        <v>379</v>
      </c>
      <c r="B77" t="s">
        <v>290</v>
      </c>
      <c r="C77" t="s">
        <v>425</v>
      </c>
      <c r="D77" t="s">
        <v>255</v>
      </c>
      <c r="E77" t="s">
        <v>301</v>
      </c>
      <c r="F77">
        <v>1571</v>
      </c>
    </row>
    <row r="78" spans="1:6" x14ac:dyDescent="0.35">
      <c r="A78" t="s">
        <v>380</v>
      </c>
      <c r="B78" t="s">
        <v>288</v>
      </c>
      <c r="C78" t="s">
        <v>232</v>
      </c>
      <c r="D78" t="s">
        <v>409</v>
      </c>
      <c r="E78" t="s">
        <v>299</v>
      </c>
      <c r="F78">
        <v>948</v>
      </c>
    </row>
    <row r="79" spans="1:6" x14ac:dyDescent="0.35">
      <c r="A79" t="s">
        <v>380</v>
      </c>
      <c r="B79" t="s">
        <v>288</v>
      </c>
      <c r="C79" t="s">
        <v>232</v>
      </c>
      <c r="D79" t="s">
        <v>408</v>
      </c>
      <c r="E79" t="s">
        <v>299</v>
      </c>
      <c r="F79">
        <v>754</v>
      </c>
    </row>
    <row r="80" spans="1:6" x14ac:dyDescent="0.35">
      <c r="A80" t="s">
        <v>380</v>
      </c>
      <c r="B80" t="s">
        <v>288</v>
      </c>
      <c r="C80" t="s">
        <v>232</v>
      </c>
      <c r="D80" t="s">
        <v>407</v>
      </c>
      <c r="E80" t="s">
        <v>299</v>
      </c>
      <c r="F80">
        <v>1793</v>
      </c>
    </row>
    <row r="81" spans="1:6" x14ac:dyDescent="0.35">
      <c r="A81" t="s">
        <v>380</v>
      </c>
      <c r="B81" t="s">
        <v>288</v>
      </c>
      <c r="C81" t="s">
        <v>232</v>
      </c>
      <c r="D81" t="s">
        <v>406</v>
      </c>
      <c r="E81" t="s">
        <v>299</v>
      </c>
      <c r="F81">
        <v>406</v>
      </c>
    </row>
    <row r="82" spans="1:6" x14ac:dyDescent="0.35">
      <c r="A82" t="s">
        <v>380</v>
      </c>
      <c r="B82" t="s">
        <v>288</v>
      </c>
      <c r="C82" t="s">
        <v>232</v>
      </c>
      <c r="D82" t="s">
        <v>414</v>
      </c>
      <c r="E82" t="s">
        <v>299</v>
      </c>
      <c r="F82">
        <v>1619</v>
      </c>
    </row>
    <row r="83" spans="1:6" x14ac:dyDescent="0.35">
      <c r="A83" t="s">
        <v>380</v>
      </c>
      <c r="B83" t="s">
        <v>288</v>
      </c>
      <c r="C83" t="s">
        <v>232</v>
      </c>
      <c r="D83" t="s">
        <v>412</v>
      </c>
      <c r="E83" t="s">
        <v>299</v>
      </c>
      <c r="F83">
        <v>7243</v>
      </c>
    </row>
    <row r="84" spans="1:6" x14ac:dyDescent="0.35">
      <c r="A84" t="s">
        <v>380</v>
      </c>
      <c r="B84" t="s">
        <v>288</v>
      </c>
      <c r="C84" t="s">
        <v>232</v>
      </c>
      <c r="D84" t="s">
        <v>415</v>
      </c>
      <c r="E84" t="s">
        <v>299</v>
      </c>
      <c r="F84">
        <v>279</v>
      </c>
    </row>
    <row r="85" spans="1:6" x14ac:dyDescent="0.35">
      <c r="A85" t="s">
        <v>380</v>
      </c>
      <c r="B85" t="s">
        <v>288</v>
      </c>
      <c r="C85" t="s">
        <v>232</v>
      </c>
      <c r="D85" t="s">
        <v>427</v>
      </c>
      <c r="E85" t="s">
        <v>299</v>
      </c>
      <c r="F85" t="s">
        <v>206</v>
      </c>
    </row>
    <row r="86" spans="1:6" x14ac:dyDescent="0.35">
      <c r="A86" t="s">
        <v>380</v>
      </c>
      <c r="B86" t="s">
        <v>288</v>
      </c>
      <c r="C86" t="s">
        <v>232</v>
      </c>
      <c r="D86" t="s">
        <v>416</v>
      </c>
      <c r="E86" t="s">
        <v>299</v>
      </c>
      <c r="F86">
        <v>1936</v>
      </c>
    </row>
    <row r="87" spans="1:6" x14ac:dyDescent="0.35">
      <c r="A87" t="s">
        <v>380</v>
      </c>
      <c r="B87" t="s">
        <v>288</v>
      </c>
      <c r="C87" t="s">
        <v>232</v>
      </c>
      <c r="D87" t="s">
        <v>410</v>
      </c>
      <c r="E87" t="s">
        <v>299</v>
      </c>
      <c r="F87">
        <v>233</v>
      </c>
    </row>
    <row r="88" spans="1:6" x14ac:dyDescent="0.35">
      <c r="A88" t="s">
        <v>380</v>
      </c>
      <c r="B88" t="s">
        <v>288</v>
      </c>
      <c r="C88" t="s">
        <v>232</v>
      </c>
      <c r="D88" t="s">
        <v>413</v>
      </c>
      <c r="E88" t="s">
        <v>299</v>
      </c>
      <c r="F88">
        <v>1358</v>
      </c>
    </row>
    <row r="89" spans="1:6" x14ac:dyDescent="0.35">
      <c r="A89" t="s">
        <v>380</v>
      </c>
      <c r="B89" t="s">
        <v>288</v>
      </c>
      <c r="C89" t="s">
        <v>232</v>
      </c>
      <c r="D89" t="s">
        <v>232</v>
      </c>
      <c r="E89" t="s">
        <v>299</v>
      </c>
      <c r="F89">
        <v>17569</v>
      </c>
    </row>
    <row r="90" spans="1:6" x14ac:dyDescent="0.35">
      <c r="A90" t="s">
        <v>380</v>
      </c>
      <c r="B90" t="s">
        <v>288</v>
      </c>
      <c r="C90" t="s">
        <v>232</v>
      </c>
      <c r="D90" t="s">
        <v>405</v>
      </c>
      <c r="E90" t="s">
        <v>299</v>
      </c>
      <c r="F90">
        <v>1000</v>
      </c>
    </row>
    <row r="91" spans="1:6" x14ac:dyDescent="0.35">
      <c r="A91" t="s">
        <v>380</v>
      </c>
      <c r="B91" t="s">
        <v>288</v>
      </c>
      <c r="C91" t="s">
        <v>222</v>
      </c>
      <c r="D91" t="s">
        <v>401</v>
      </c>
      <c r="E91" t="s">
        <v>299</v>
      </c>
      <c r="F91">
        <v>134161</v>
      </c>
    </row>
    <row r="92" spans="1:6" x14ac:dyDescent="0.35">
      <c r="A92" t="s">
        <v>380</v>
      </c>
      <c r="B92" t="s">
        <v>288</v>
      </c>
      <c r="C92" t="s">
        <v>222</v>
      </c>
      <c r="D92" t="s">
        <v>222</v>
      </c>
      <c r="E92" t="s">
        <v>299</v>
      </c>
      <c r="F92">
        <v>1171462</v>
      </c>
    </row>
    <row r="93" spans="1:6" x14ac:dyDescent="0.35">
      <c r="A93" t="s">
        <v>380</v>
      </c>
      <c r="B93" t="s">
        <v>288</v>
      </c>
      <c r="C93" t="s">
        <v>222</v>
      </c>
      <c r="D93" t="s">
        <v>397</v>
      </c>
      <c r="E93" t="s">
        <v>299</v>
      </c>
      <c r="F93">
        <v>68504</v>
      </c>
    </row>
    <row r="94" spans="1:6" x14ac:dyDescent="0.35">
      <c r="A94" t="s">
        <v>380</v>
      </c>
      <c r="B94" t="s">
        <v>288</v>
      </c>
      <c r="C94" t="s">
        <v>222</v>
      </c>
      <c r="D94" t="s">
        <v>400</v>
      </c>
      <c r="E94" t="s">
        <v>299</v>
      </c>
      <c r="F94">
        <v>75330</v>
      </c>
    </row>
    <row r="95" spans="1:6" x14ac:dyDescent="0.35">
      <c r="A95" t="s">
        <v>380</v>
      </c>
      <c r="B95" t="s">
        <v>288</v>
      </c>
      <c r="C95" t="s">
        <v>222</v>
      </c>
      <c r="D95" t="s">
        <v>399</v>
      </c>
      <c r="E95" t="s">
        <v>299</v>
      </c>
      <c r="F95">
        <v>122691</v>
      </c>
    </row>
    <row r="96" spans="1:6" x14ac:dyDescent="0.35">
      <c r="A96" t="s">
        <v>380</v>
      </c>
      <c r="B96" t="s">
        <v>288</v>
      </c>
      <c r="C96" t="s">
        <v>222</v>
      </c>
      <c r="D96" t="s">
        <v>404</v>
      </c>
      <c r="E96" t="s">
        <v>299</v>
      </c>
      <c r="F96">
        <v>138430</v>
      </c>
    </row>
    <row r="97" spans="1:6" x14ac:dyDescent="0.35">
      <c r="A97" t="s">
        <v>380</v>
      </c>
      <c r="B97" t="s">
        <v>288</v>
      </c>
      <c r="C97" t="s">
        <v>222</v>
      </c>
      <c r="D97" t="s">
        <v>428</v>
      </c>
      <c r="E97" t="s">
        <v>299</v>
      </c>
      <c r="F97">
        <v>10536</v>
      </c>
    </row>
    <row r="98" spans="1:6" x14ac:dyDescent="0.35">
      <c r="A98" t="s">
        <v>380</v>
      </c>
      <c r="B98" t="s">
        <v>288</v>
      </c>
      <c r="C98" t="s">
        <v>222</v>
      </c>
      <c r="D98" t="s">
        <v>403</v>
      </c>
      <c r="E98" t="s">
        <v>299</v>
      </c>
      <c r="F98">
        <v>439105</v>
      </c>
    </row>
    <row r="99" spans="1:6" x14ac:dyDescent="0.35">
      <c r="A99" t="s">
        <v>380</v>
      </c>
      <c r="B99" t="s">
        <v>288</v>
      </c>
      <c r="C99" t="s">
        <v>222</v>
      </c>
      <c r="D99" t="s">
        <v>402</v>
      </c>
      <c r="E99" t="s">
        <v>299</v>
      </c>
      <c r="F99">
        <v>126915</v>
      </c>
    </row>
    <row r="100" spans="1:6" x14ac:dyDescent="0.35">
      <c r="A100" t="s">
        <v>380</v>
      </c>
      <c r="B100" t="s">
        <v>288</v>
      </c>
      <c r="C100" t="s">
        <v>222</v>
      </c>
      <c r="D100" t="s">
        <v>398</v>
      </c>
      <c r="E100" t="s">
        <v>299</v>
      </c>
      <c r="F100">
        <v>55790</v>
      </c>
    </row>
    <row r="101" spans="1:6" x14ac:dyDescent="0.35">
      <c r="A101" t="s">
        <v>380</v>
      </c>
      <c r="B101" t="s">
        <v>291</v>
      </c>
      <c r="C101" t="s">
        <v>425</v>
      </c>
      <c r="D101" t="s">
        <v>247</v>
      </c>
      <c r="E101" t="s">
        <v>302</v>
      </c>
      <c r="F101" t="s">
        <v>206</v>
      </c>
    </row>
    <row r="102" spans="1:6" x14ac:dyDescent="0.35">
      <c r="A102" t="s">
        <v>380</v>
      </c>
      <c r="B102" t="s">
        <v>291</v>
      </c>
      <c r="C102" t="s">
        <v>425</v>
      </c>
      <c r="D102" t="s">
        <v>265</v>
      </c>
      <c r="E102" t="s">
        <v>302</v>
      </c>
      <c r="F102" t="s">
        <v>206</v>
      </c>
    </row>
    <row r="103" spans="1:6" x14ac:dyDescent="0.35">
      <c r="A103" t="s">
        <v>380</v>
      </c>
      <c r="B103" t="s">
        <v>291</v>
      </c>
      <c r="C103" t="s">
        <v>425</v>
      </c>
      <c r="D103" t="s">
        <v>269</v>
      </c>
      <c r="E103" t="s">
        <v>302</v>
      </c>
      <c r="F103" t="s">
        <v>206</v>
      </c>
    </row>
    <row r="104" spans="1:6" x14ac:dyDescent="0.35">
      <c r="A104" t="s">
        <v>380</v>
      </c>
      <c r="B104" t="s">
        <v>291</v>
      </c>
      <c r="C104" t="s">
        <v>425</v>
      </c>
      <c r="D104" t="s">
        <v>259</v>
      </c>
      <c r="E104" t="s">
        <v>302</v>
      </c>
      <c r="F104" t="s">
        <v>206</v>
      </c>
    </row>
    <row r="105" spans="1:6" x14ac:dyDescent="0.35">
      <c r="A105" t="s">
        <v>380</v>
      </c>
      <c r="B105" t="s">
        <v>291</v>
      </c>
      <c r="C105" t="s">
        <v>425</v>
      </c>
      <c r="D105" t="s">
        <v>270</v>
      </c>
      <c r="E105" t="s">
        <v>302</v>
      </c>
      <c r="F105" t="s">
        <v>206</v>
      </c>
    </row>
    <row r="106" spans="1:6" x14ac:dyDescent="0.35">
      <c r="A106" t="s">
        <v>380</v>
      </c>
      <c r="B106" t="s">
        <v>291</v>
      </c>
      <c r="C106" t="s">
        <v>425</v>
      </c>
      <c r="D106" t="s">
        <v>268</v>
      </c>
      <c r="E106" t="s">
        <v>302</v>
      </c>
      <c r="F106" t="s">
        <v>206</v>
      </c>
    </row>
    <row r="107" spans="1:6" x14ac:dyDescent="0.35">
      <c r="A107" t="s">
        <v>380</v>
      </c>
      <c r="B107" t="s">
        <v>291</v>
      </c>
      <c r="C107" t="s">
        <v>425</v>
      </c>
      <c r="D107" t="s">
        <v>252</v>
      </c>
      <c r="E107" t="s">
        <v>302</v>
      </c>
      <c r="F107" t="s">
        <v>206</v>
      </c>
    </row>
    <row r="108" spans="1:6" x14ac:dyDescent="0.35">
      <c r="A108" t="s">
        <v>380</v>
      </c>
      <c r="B108" t="s">
        <v>291</v>
      </c>
      <c r="C108" t="s">
        <v>425</v>
      </c>
      <c r="D108" t="s">
        <v>419</v>
      </c>
      <c r="E108" t="s">
        <v>302</v>
      </c>
      <c r="F108" t="s">
        <v>206</v>
      </c>
    </row>
    <row r="109" spans="1:6" x14ac:dyDescent="0.35">
      <c r="A109" t="s">
        <v>380</v>
      </c>
      <c r="B109" t="s">
        <v>291</v>
      </c>
      <c r="C109" t="s">
        <v>425</v>
      </c>
      <c r="D109" t="s">
        <v>244</v>
      </c>
      <c r="E109" t="s">
        <v>302</v>
      </c>
      <c r="F109" t="s">
        <v>206</v>
      </c>
    </row>
    <row r="110" spans="1:6" x14ac:dyDescent="0.35">
      <c r="A110" t="s">
        <v>380</v>
      </c>
      <c r="B110" t="s">
        <v>291</v>
      </c>
      <c r="C110" t="s">
        <v>425</v>
      </c>
      <c r="D110" t="s">
        <v>273</v>
      </c>
      <c r="E110" t="s">
        <v>302</v>
      </c>
      <c r="F110" t="s">
        <v>206</v>
      </c>
    </row>
    <row r="111" spans="1:6" x14ac:dyDescent="0.35">
      <c r="A111" t="s">
        <v>380</v>
      </c>
      <c r="B111" t="s">
        <v>291</v>
      </c>
      <c r="C111" t="s">
        <v>425</v>
      </c>
      <c r="D111" t="s">
        <v>245</v>
      </c>
      <c r="E111" t="s">
        <v>302</v>
      </c>
      <c r="F111" t="s">
        <v>206</v>
      </c>
    </row>
    <row r="112" spans="1:6" x14ac:dyDescent="0.35">
      <c r="A112" t="s">
        <v>380</v>
      </c>
      <c r="B112" t="s">
        <v>291</v>
      </c>
      <c r="C112" t="s">
        <v>425</v>
      </c>
      <c r="D112" t="s">
        <v>246</v>
      </c>
      <c r="E112" t="s">
        <v>302</v>
      </c>
      <c r="F112" t="s">
        <v>206</v>
      </c>
    </row>
    <row r="113" spans="1:6" x14ac:dyDescent="0.35">
      <c r="A113" t="s">
        <v>380</v>
      </c>
      <c r="B113" t="s">
        <v>291</v>
      </c>
      <c r="C113" t="s">
        <v>425</v>
      </c>
      <c r="D113" t="s">
        <v>234</v>
      </c>
      <c r="E113" t="s">
        <v>302</v>
      </c>
      <c r="F113" t="s">
        <v>206</v>
      </c>
    </row>
    <row r="114" spans="1:6" x14ac:dyDescent="0.35">
      <c r="A114" t="s">
        <v>380</v>
      </c>
      <c r="B114" t="s">
        <v>291</v>
      </c>
      <c r="C114" t="s">
        <v>425</v>
      </c>
      <c r="D114" t="s">
        <v>260</v>
      </c>
      <c r="E114" t="s">
        <v>302</v>
      </c>
      <c r="F114" t="s">
        <v>206</v>
      </c>
    </row>
    <row r="115" spans="1:6" x14ac:dyDescent="0.35">
      <c r="A115" t="s">
        <v>380</v>
      </c>
      <c r="B115" t="s">
        <v>291</v>
      </c>
      <c r="C115" t="s">
        <v>425</v>
      </c>
      <c r="D115" t="s">
        <v>267</v>
      </c>
      <c r="E115" t="s">
        <v>302</v>
      </c>
      <c r="F115" t="s">
        <v>206</v>
      </c>
    </row>
    <row r="116" spans="1:6" x14ac:dyDescent="0.35">
      <c r="A116" t="s">
        <v>380</v>
      </c>
      <c r="B116" t="s">
        <v>291</v>
      </c>
      <c r="C116" t="s">
        <v>425</v>
      </c>
      <c r="D116" t="s">
        <v>240</v>
      </c>
      <c r="E116" t="s">
        <v>302</v>
      </c>
      <c r="F116" t="s">
        <v>206</v>
      </c>
    </row>
    <row r="117" spans="1:6" x14ac:dyDescent="0.35">
      <c r="A117" t="s">
        <v>380</v>
      </c>
      <c r="B117" t="s">
        <v>291</v>
      </c>
      <c r="C117" t="s">
        <v>425</v>
      </c>
      <c r="D117" t="s">
        <v>229</v>
      </c>
      <c r="E117" t="s">
        <v>302</v>
      </c>
      <c r="F117" t="s">
        <v>206</v>
      </c>
    </row>
    <row r="118" spans="1:6" x14ac:dyDescent="0.35">
      <c r="A118" t="s">
        <v>380</v>
      </c>
      <c r="B118" t="s">
        <v>291</v>
      </c>
      <c r="C118" t="s">
        <v>425</v>
      </c>
      <c r="D118" t="s">
        <v>272</v>
      </c>
      <c r="E118" t="s">
        <v>302</v>
      </c>
      <c r="F118" t="s">
        <v>206</v>
      </c>
    </row>
    <row r="119" spans="1:6" x14ac:dyDescent="0.35">
      <c r="A119" t="s">
        <v>380</v>
      </c>
      <c r="B119" t="s">
        <v>291</v>
      </c>
      <c r="C119" t="s">
        <v>425</v>
      </c>
      <c r="D119" t="s">
        <v>254</v>
      </c>
      <c r="E119" t="s">
        <v>302</v>
      </c>
      <c r="F119" t="s">
        <v>206</v>
      </c>
    </row>
    <row r="120" spans="1:6" x14ac:dyDescent="0.35">
      <c r="A120" t="s">
        <v>380</v>
      </c>
      <c r="B120" t="s">
        <v>291</v>
      </c>
      <c r="C120" t="s">
        <v>425</v>
      </c>
      <c r="D120" t="s">
        <v>39</v>
      </c>
      <c r="E120" t="s">
        <v>302</v>
      </c>
      <c r="F120" t="s">
        <v>206</v>
      </c>
    </row>
    <row r="121" spans="1:6" x14ac:dyDescent="0.35">
      <c r="A121" t="s">
        <v>380</v>
      </c>
      <c r="B121" t="s">
        <v>291</v>
      </c>
      <c r="C121" t="s">
        <v>425</v>
      </c>
      <c r="D121" t="s">
        <v>248</v>
      </c>
      <c r="E121" t="s">
        <v>302</v>
      </c>
      <c r="F121" t="s">
        <v>206</v>
      </c>
    </row>
    <row r="122" spans="1:6" x14ac:dyDescent="0.35">
      <c r="A122" t="s">
        <v>380</v>
      </c>
      <c r="B122" t="s">
        <v>291</v>
      </c>
      <c r="C122" t="s">
        <v>425</v>
      </c>
      <c r="D122" t="s">
        <v>249</v>
      </c>
      <c r="E122" t="s">
        <v>302</v>
      </c>
      <c r="F122" t="s">
        <v>206</v>
      </c>
    </row>
    <row r="123" spans="1:6" x14ac:dyDescent="0.35">
      <c r="A123" t="s">
        <v>380</v>
      </c>
      <c r="B123" t="s">
        <v>291</v>
      </c>
      <c r="C123" t="s">
        <v>425</v>
      </c>
      <c r="D123" t="s">
        <v>239</v>
      </c>
      <c r="E123" t="s">
        <v>302</v>
      </c>
      <c r="F123" t="s">
        <v>206</v>
      </c>
    </row>
    <row r="124" spans="1:6" x14ac:dyDescent="0.35">
      <c r="A124" t="s">
        <v>380</v>
      </c>
      <c r="B124" t="s">
        <v>291</v>
      </c>
      <c r="C124" t="s">
        <v>425</v>
      </c>
      <c r="D124" t="s">
        <v>266</v>
      </c>
      <c r="E124" t="s">
        <v>302</v>
      </c>
      <c r="F124" t="s">
        <v>206</v>
      </c>
    </row>
    <row r="125" spans="1:6" x14ac:dyDescent="0.35">
      <c r="A125" t="s">
        <v>380</v>
      </c>
      <c r="B125" t="s">
        <v>291</v>
      </c>
      <c r="C125" t="s">
        <v>425</v>
      </c>
      <c r="D125" t="s">
        <v>417</v>
      </c>
      <c r="E125" t="s">
        <v>302</v>
      </c>
      <c r="F125" t="s">
        <v>206</v>
      </c>
    </row>
    <row r="126" spans="1:6" x14ac:dyDescent="0.35">
      <c r="A126" t="s">
        <v>380</v>
      </c>
      <c r="B126" t="s">
        <v>291</v>
      </c>
      <c r="C126" t="s">
        <v>425</v>
      </c>
      <c r="D126" t="s">
        <v>235</v>
      </c>
      <c r="E126" t="s">
        <v>302</v>
      </c>
      <c r="F126" t="s">
        <v>206</v>
      </c>
    </row>
    <row r="127" spans="1:6" x14ac:dyDescent="0.35">
      <c r="A127" t="s">
        <v>380</v>
      </c>
      <c r="B127" t="s">
        <v>290</v>
      </c>
      <c r="C127" t="s">
        <v>426</v>
      </c>
      <c r="D127" t="s">
        <v>418</v>
      </c>
      <c r="E127" t="s">
        <v>301</v>
      </c>
    </row>
    <row r="128" spans="1:6" x14ac:dyDescent="0.35">
      <c r="A128" t="s">
        <v>380</v>
      </c>
      <c r="B128" t="s">
        <v>290</v>
      </c>
      <c r="C128" t="s">
        <v>425</v>
      </c>
      <c r="D128" t="s">
        <v>245</v>
      </c>
      <c r="E128" t="s">
        <v>301</v>
      </c>
    </row>
    <row r="129" spans="1:5" x14ac:dyDescent="0.35">
      <c r="A129" t="s">
        <v>380</v>
      </c>
      <c r="B129" t="s">
        <v>290</v>
      </c>
      <c r="C129" t="s">
        <v>425</v>
      </c>
      <c r="D129" t="s">
        <v>229</v>
      </c>
      <c r="E129" t="s">
        <v>301</v>
      </c>
    </row>
    <row r="130" spans="1:5" x14ac:dyDescent="0.35">
      <c r="A130" t="s">
        <v>380</v>
      </c>
      <c r="B130" t="s">
        <v>290</v>
      </c>
      <c r="C130" t="s">
        <v>425</v>
      </c>
      <c r="D130" t="s">
        <v>246</v>
      </c>
      <c r="E130" t="s">
        <v>301</v>
      </c>
    </row>
    <row r="131" spans="1:5" x14ac:dyDescent="0.35">
      <c r="A131" t="s">
        <v>380</v>
      </c>
      <c r="B131" t="s">
        <v>290</v>
      </c>
      <c r="C131" t="s">
        <v>425</v>
      </c>
      <c r="D131" t="s">
        <v>269</v>
      </c>
      <c r="E131" t="s">
        <v>301</v>
      </c>
    </row>
    <row r="132" spans="1:5" x14ac:dyDescent="0.35">
      <c r="A132" t="s">
        <v>380</v>
      </c>
      <c r="B132" t="s">
        <v>290</v>
      </c>
      <c r="C132" t="s">
        <v>425</v>
      </c>
      <c r="D132" t="s">
        <v>234</v>
      </c>
      <c r="E132" t="s">
        <v>301</v>
      </c>
    </row>
    <row r="133" spans="1:5" x14ac:dyDescent="0.35">
      <c r="A133" t="s">
        <v>380</v>
      </c>
      <c r="B133" t="s">
        <v>290</v>
      </c>
      <c r="C133" t="s">
        <v>425</v>
      </c>
      <c r="D133" t="s">
        <v>268</v>
      </c>
      <c r="E133" t="s">
        <v>301</v>
      </c>
    </row>
    <row r="134" spans="1:5" x14ac:dyDescent="0.35">
      <c r="A134" t="s">
        <v>380</v>
      </c>
      <c r="B134" t="s">
        <v>290</v>
      </c>
      <c r="C134" t="s">
        <v>425</v>
      </c>
      <c r="D134" t="s">
        <v>247</v>
      </c>
      <c r="E134" t="s">
        <v>301</v>
      </c>
    </row>
    <row r="135" spans="1:5" x14ac:dyDescent="0.35">
      <c r="A135" t="s">
        <v>380</v>
      </c>
      <c r="B135" t="s">
        <v>290</v>
      </c>
      <c r="C135" t="s">
        <v>425</v>
      </c>
      <c r="D135" t="s">
        <v>252</v>
      </c>
      <c r="E135" t="s">
        <v>301</v>
      </c>
    </row>
    <row r="136" spans="1:5" x14ac:dyDescent="0.35">
      <c r="A136" t="s">
        <v>380</v>
      </c>
      <c r="B136" t="s">
        <v>290</v>
      </c>
      <c r="C136" t="s">
        <v>425</v>
      </c>
      <c r="D136" t="s">
        <v>253</v>
      </c>
      <c r="E136" t="s">
        <v>301</v>
      </c>
    </row>
    <row r="137" spans="1:5" x14ac:dyDescent="0.35">
      <c r="A137" t="s">
        <v>380</v>
      </c>
      <c r="B137" t="s">
        <v>290</v>
      </c>
      <c r="C137" t="s">
        <v>425</v>
      </c>
      <c r="D137" t="s">
        <v>244</v>
      </c>
      <c r="E137" t="s">
        <v>301</v>
      </c>
    </row>
    <row r="138" spans="1:5" x14ac:dyDescent="0.35">
      <c r="A138" t="s">
        <v>380</v>
      </c>
      <c r="B138" t="s">
        <v>290</v>
      </c>
      <c r="C138" t="s">
        <v>425</v>
      </c>
      <c r="D138" t="s">
        <v>267</v>
      </c>
      <c r="E138" t="s">
        <v>301</v>
      </c>
    </row>
    <row r="139" spans="1:5" x14ac:dyDescent="0.35">
      <c r="A139" t="s">
        <v>380</v>
      </c>
      <c r="B139" t="s">
        <v>290</v>
      </c>
      <c r="C139" t="s">
        <v>425</v>
      </c>
      <c r="D139" t="s">
        <v>270</v>
      </c>
      <c r="E139" t="s">
        <v>301</v>
      </c>
    </row>
    <row r="140" spans="1:5" x14ac:dyDescent="0.35">
      <c r="A140" t="s">
        <v>380</v>
      </c>
      <c r="B140" t="s">
        <v>290</v>
      </c>
      <c r="C140" t="s">
        <v>425</v>
      </c>
      <c r="D140" t="s">
        <v>255</v>
      </c>
      <c r="E140" t="s">
        <v>301</v>
      </c>
    </row>
    <row r="141" spans="1:5" x14ac:dyDescent="0.35">
      <c r="A141" t="s">
        <v>380</v>
      </c>
      <c r="B141" t="s">
        <v>290</v>
      </c>
      <c r="C141" t="s">
        <v>425</v>
      </c>
      <c r="D141" t="s">
        <v>254</v>
      </c>
      <c r="E141" t="s">
        <v>301</v>
      </c>
    </row>
    <row r="142" spans="1:5" x14ac:dyDescent="0.35">
      <c r="A142" t="s">
        <v>380</v>
      </c>
      <c r="B142" t="s">
        <v>290</v>
      </c>
      <c r="C142" t="s">
        <v>425</v>
      </c>
      <c r="D142" t="s">
        <v>250</v>
      </c>
      <c r="E142" t="s">
        <v>301</v>
      </c>
    </row>
    <row r="143" spans="1:5" x14ac:dyDescent="0.35">
      <c r="A143" t="s">
        <v>380</v>
      </c>
      <c r="B143" t="s">
        <v>290</v>
      </c>
      <c r="C143" t="s">
        <v>425</v>
      </c>
      <c r="D143" t="s">
        <v>417</v>
      </c>
      <c r="E143" t="s">
        <v>301</v>
      </c>
    </row>
    <row r="144" spans="1:5" x14ac:dyDescent="0.35">
      <c r="A144" t="s">
        <v>380</v>
      </c>
      <c r="B144" t="s">
        <v>290</v>
      </c>
      <c r="C144" t="s">
        <v>425</v>
      </c>
      <c r="D144" t="s">
        <v>261</v>
      </c>
      <c r="E144" t="s">
        <v>301</v>
      </c>
    </row>
    <row r="145" spans="1:5" x14ac:dyDescent="0.35">
      <c r="A145" t="s">
        <v>380</v>
      </c>
      <c r="B145" t="s">
        <v>290</v>
      </c>
      <c r="C145" t="s">
        <v>425</v>
      </c>
      <c r="D145" t="s">
        <v>239</v>
      </c>
      <c r="E145" t="s">
        <v>301</v>
      </c>
    </row>
    <row r="146" spans="1:5" x14ac:dyDescent="0.35">
      <c r="A146" t="s">
        <v>380</v>
      </c>
      <c r="B146" t="s">
        <v>290</v>
      </c>
      <c r="C146" t="s">
        <v>425</v>
      </c>
      <c r="D146" t="s">
        <v>248</v>
      </c>
      <c r="E146" t="s">
        <v>301</v>
      </c>
    </row>
    <row r="147" spans="1:5" x14ac:dyDescent="0.35">
      <c r="A147" t="s">
        <v>380</v>
      </c>
      <c r="B147" t="s">
        <v>290</v>
      </c>
      <c r="C147" t="s">
        <v>425</v>
      </c>
      <c r="D147" t="s">
        <v>249</v>
      </c>
      <c r="E147" t="s">
        <v>301</v>
      </c>
    </row>
    <row r="148" spans="1:5" x14ac:dyDescent="0.35">
      <c r="A148" t="s">
        <v>380</v>
      </c>
      <c r="B148" t="s">
        <v>290</v>
      </c>
      <c r="C148" t="s">
        <v>425</v>
      </c>
      <c r="D148" t="s">
        <v>240</v>
      </c>
      <c r="E148" t="s">
        <v>301</v>
      </c>
    </row>
    <row r="149" spans="1:5" x14ac:dyDescent="0.35">
      <c r="A149" t="s">
        <v>380</v>
      </c>
      <c r="B149" t="s">
        <v>290</v>
      </c>
      <c r="C149" t="s">
        <v>425</v>
      </c>
      <c r="D149" t="s">
        <v>260</v>
      </c>
      <c r="E149" t="s">
        <v>301</v>
      </c>
    </row>
    <row r="150" spans="1:5" x14ac:dyDescent="0.35">
      <c r="A150" t="s">
        <v>380</v>
      </c>
      <c r="B150" t="s">
        <v>290</v>
      </c>
      <c r="C150" t="s">
        <v>425</v>
      </c>
      <c r="D150" t="s">
        <v>235</v>
      </c>
      <c r="E150" t="s">
        <v>301</v>
      </c>
    </row>
    <row r="151" spans="1:5" x14ac:dyDescent="0.35">
      <c r="A151" t="s">
        <v>380</v>
      </c>
      <c r="B151" t="s">
        <v>290</v>
      </c>
      <c r="C151" t="s">
        <v>425</v>
      </c>
      <c r="D151" t="s">
        <v>265</v>
      </c>
      <c r="E151" t="s">
        <v>301</v>
      </c>
    </row>
    <row r="152" spans="1:5" x14ac:dyDescent="0.35">
      <c r="A152" t="s">
        <v>380</v>
      </c>
      <c r="B152" t="s">
        <v>290</v>
      </c>
      <c r="C152" t="s">
        <v>425</v>
      </c>
      <c r="D152" t="s">
        <v>259</v>
      </c>
      <c r="E152" t="s">
        <v>301</v>
      </c>
    </row>
    <row r="153" spans="1:5" x14ac:dyDescent="0.35">
      <c r="A153" t="s">
        <v>380</v>
      </c>
      <c r="B153" t="s">
        <v>290</v>
      </c>
      <c r="C153" t="s">
        <v>425</v>
      </c>
      <c r="D153" t="s">
        <v>266</v>
      </c>
      <c r="E153" t="s">
        <v>301</v>
      </c>
    </row>
    <row r="154" spans="1:5" x14ac:dyDescent="0.35">
      <c r="A154" t="s">
        <v>381</v>
      </c>
      <c r="B154" t="s">
        <v>288</v>
      </c>
      <c r="C154" t="s">
        <v>232</v>
      </c>
      <c r="D154" t="s">
        <v>415</v>
      </c>
      <c r="E154" t="s">
        <v>299</v>
      </c>
    </row>
    <row r="155" spans="1:5" x14ac:dyDescent="0.35">
      <c r="A155" t="s">
        <v>381</v>
      </c>
      <c r="B155" t="s">
        <v>288</v>
      </c>
      <c r="C155" t="s">
        <v>232</v>
      </c>
      <c r="D155" t="s">
        <v>414</v>
      </c>
      <c r="E155" t="s">
        <v>299</v>
      </c>
    </row>
    <row r="156" spans="1:5" x14ac:dyDescent="0.35">
      <c r="A156" t="s">
        <v>381</v>
      </c>
      <c r="B156" t="s">
        <v>288</v>
      </c>
      <c r="C156" t="s">
        <v>232</v>
      </c>
      <c r="D156" t="s">
        <v>416</v>
      </c>
      <c r="E156" t="s">
        <v>299</v>
      </c>
    </row>
    <row r="157" spans="1:5" x14ac:dyDescent="0.35">
      <c r="A157" t="s">
        <v>381</v>
      </c>
      <c r="B157" t="s">
        <v>288</v>
      </c>
      <c r="C157" t="s">
        <v>232</v>
      </c>
      <c r="D157" t="s">
        <v>413</v>
      </c>
      <c r="E157" t="s">
        <v>299</v>
      </c>
    </row>
    <row r="158" spans="1:5" x14ac:dyDescent="0.35">
      <c r="A158" t="s">
        <v>381</v>
      </c>
      <c r="B158" t="s">
        <v>288</v>
      </c>
      <c r="C158" t="s">
        <v>232</v>
      </c>
      <c r="D158" t="s">
        <v>410</v>
      </c>
      <c r="E158" t="s">
        <v>299</v>
      </c>
    </row>
    <row r="159" spans="1:5" x14ac:dyDescent="0.35">
      <c r="A159" t="s">
        <v>381</v>
      </c>
      <c r="B159" t="s">
        <v>288</v>
      </c>
      <c r="C159" t="s">
        <v>232</v>
      </c>
      <c r="D159" t="s">
        <v>232</v>
      </c>
      <c r="E159" t="s">
        <v>299</v>
      </c>
    </row>
    <row r="160" spans="1:5" x14ac:dyDescent="0.35">
      <c r="A160" t="s">
        <v>381</v>
      </c>
      <c r="B160" t="s">
        <v>288</v>
      </c>
      <c r="C160" t="s">
        <v>232</v>
      </c>
      <c r="D160" t="s">
        <v>409</v>
      </c>
      <c r="E160" t="s">
        <v>299</v>
      </c>
    </row>
    <row r="161" spans="1:5" x14ac:dyDescent="0.35">
      <c r="A161" t="s">
        <v>381</v>
      </c>
      <c r="B161" t="s">
        <v>288</v>
      </c>
      <c r="C161" t="s">
        <v>232</v>
      </c>
      <c r="D161" t="s">
        <v>405</v>
      </c>
      <c r="E161" t="s">
        <v>299</v>
      </c>
    </row>
    <row r="162" spans="1:5" x14ac:dyDescent="0.35">
      <c r="A162" t="s">
        <v>381</v>
      </c>
      <c r="B162" t="s">
        <v>288</v>
      </c>
      <c r="C162" t="s">
        <v>232</v>
      </c>
      <c r="D162" t="s">
        <v>408</v>
      </c>
      <c r="E162" t="s">
        <v>299</v>
      </c>
    </row>
    <row r="163" spans="1:5" x14ac:dyDescent="0.35">
      <c r="A163" t="s">
        <v>381</v>
      </c>
      <c r="B163" t="s">
        <v>288</v>
      </c>
      <c r="C163" t="s">
        <v>232</v>
      </c>
      <c r="D163" t="s">
        <v>406</v>
      </c>
      <c r="E163" t="s">
        <v>299</v>
      </c>
    </row>
    <row r="164" spans="1:5" x14ac:dyDescent="0.35">
      <c r="A164" t="s">
        <v>381</v>
      </c>
      <c r="B164" t="s">
        <v>288</v>
      </c>
      <c r="C164" t="s">
        <v>232</v>
      </c>
      <c r="D164" t="s">
        <v>407</v>
      </c>
      <c r="E164" t="s">
        <v>299</v>
      </c>
    </row>
    <row r="165" spans="1:5" x14ac:dyDescent="0.35">
      <c r="A165" t="s">
        <v>381</v>
      </c>
      <c r="B165" t="s">
        <v>288</v>
      </c>
      <c r="C165" t="s">
        <v>232</v>
      </c>
      <c r="D165" t="s">
        <v>427</v>
      </c>
      <c r="E165" t="s">
        <v>299</v>
      </c>
    </row>
    <row r="166" spans="1:5" x14ac:dyDescent="0.35">
      <c r="A166" t="s">
        <v>381</v>
      </c>
      <c r="B166" t="s">
        <v>288</v>
      </c>
      <c r="C166" t="s">
        <v>232</v>
      </c>
      <c r="D166" t="s">
        <v>412</v>
      </c>
      <c r="E166" t="s">
        <v>299</v>
      </c>
    </row>
    <row r="167" spans="1:5" x14ac:dyDescent="0.35">
      <c r="A167" t="s">
        <v>381</v>
      </c>
      <c r="B167" t="s">
        <v>288</v>
      </c>
      <c r="C167" t="s">
        <v>222</v>
      </c>
      <c r="D167" t="s">
        <v>400</v>
      </c>
      <c r="E167" t="s">
        <v>299</v>
      </c>
    </row>
    <row r="168" spans="1:5" x14ac:dyDescent="0.35">
      <c r="A168" t="s">
        <v>381</v>
      </c>
      <c r="B168" t="s">
        <v>288</v>
      </c>
      <c r="C168" t="s">
        <v>222</v>
      </c>
      <c r="D168" t="s">
        <v>222</v>
      </c>
      <c r="E168" t="s">
        <v>299</v>
      </c>
    </row>
    <row r="169" spans="1:5" x14ac:dyDescent="0.35">
      <c r="A169" t="s">
        <v>381</v>
      </c>
      <c r="B169" t="s">
        <v>288</v>
      </c>
      <c r="C169" t="s">
        <v>222</v>
      </c>
      <c r="D169" t="s">
        <v>399</v>
      </c>
      <c r="E169" t="s">
        <v>299</v>
      </c>
    </row>
    <row r="170" spans="1:5" x14ac:dyDescent="0.35">
      <c r="A170" t="s">
        <v>381</v>
      </c>
      <c r="B170" t="s">
        <v>288</v>
      </c>
      <c r="C170" t="s">
        <v>222</v>
      </c>
      <c r="D170" t="s">
        <v>398</v>
      </c>
      <c r="E170" t="s">
        <v>299</v>
      </c>
    </row>
    <row r="171" spans="1:5" x14ac:dyDescent="0.35">
      <c r="A171" t="s">
        <v>381</v>
      </c>
      <c r="B171" t="s">
        <v>288</v>
      </c>
      <c r="C171" t="s">
        <v>222</v>
      </c>
      <c r="D171" t="s">
        <v>428</v>
      </c>
      <c r="E171" t="s">
        <v>299</v>
      </c>
    </row>
    <row r="172" spans="1:5" x14ac:dyDescent="0.35">
      <c r="A172" t="s">
        <v>381</v>
      </c>
      <c r="B172" t="s">
        <v>288</v>
      </c>
      <c r="C172" t="s">
        <v>222</v>
      </c>
      <c r="D172" t="s">
        <v>401</v>
      </c>
      <c r="E172" t="s">
        <v>299</v>
      </c>
    </row>
    <row r="173" spans="1:5" x14ac:dyDescent="0.35">
      <c r="A173" t="s">
        <v>381</v>
      </c>
      <c r="B173" t="s">
        <v>288</v>
      </c>
      <c r="C173" t="s">
        <v>222</v>
      </c>
      <c r="D173" t="s">
        <v>404</v>
      </c>
      <c r="E173" t="s">
        <v>299</v>
      </c>
    </row>
    <row r="174" spans="1:5" x14ac:dyDescent="0.35">
      <c r="A174" t="s">
        <v>381</v>
      </c>
      <c r="B174" t="s">
        <v>288</v>
      </c>
      <c r="C174" t="s">
        <v>222</v>
      </c>
      <c r="D174" t="s">
        <v>402</v>
      </c>
      <c r="E174" t="s">
        <v>299</v>
      </c>
    </row>
    <row r="175" spans="1:5" x14ac:dyDescent="0.35">
      <c r="A175" t="s">
        <v>381</v>
      </c>
      <c r="B175" t="s">
        <v>288</v>
      </c>
      <c r="C175" t="s">
        <v>222</v>
      </c>
      <c r="D175" t="s">
        <v>397</v>
      </c>
      <c r="E175" t="s">
        <v>299</v>
      </c>
    </row>
    <row r="176" spans="1:5" x14ac:dyDescent="0.35">
      <c r="A176" t="s">
        <v>381</v>
      </c>
      <c r="B176" t="s">
        <v>288</v>
      </c>
      <c r="C176" t="s">
        <v>222</v>
      </c>
      <c r="D176" t="s">
        <v>403</v>
      </c>
      <c r="E176" t="s">
        <v>299</v>
      </c>
    </row>
    <row r="177" spans="1:5" x14ac:dyDescent="0.35">
      <c r="A177" t="s">
        <v>381</v>
      </c>
      <c r="B177" t="s">
        <v>291</v>
      </c>
      <c r="C177" t="s">
        <v>425</v>
      </c>
      <c r="D177" t="s">
        <v>265</v>
      </c>
      <c r="E177" t="s">
        <v>302</v>
      </c>
    </row>
    <row r="178" spans="1:5" x14ac:dyDescent="0.35">
      <c r="A178" t="s">
        <v>381</v>
      </c>
      <c r="B178" t="s">
        <v>291</v>
      </c>
      <c r="C178" t="s">
        <v>425</v>
      </c>
      <c r="D178" t="s">
        <v>267</v>
      </c>
      <c r="E178" t="s">
        <v>302</v>
      </c>
    </row>
    <row r="179" spans="1:5" x14ac:dyDescent="0.35">
      <c r="A179" t="s">
        <v>381</v>
      </c>
      <c r="B179" t="s">
        <v>291</v>
      </c>
      <c r="C179" t="s">
        <v>425</v>
      </c>
      <c r="D179" t="s">
        <v>269</v>
      </c>
      <c r="E179" t="s">
        <v>302</v>
      </c>
    </row>
    <row r="180" spans="1:5" x14ac:dyDescent="0.35">
      <c r="A180" t="s">
        <v>381</v>
      </c>
      <c r="B180" t="s">
        <v>291</v>
      </c>
      <c r="C180" t="s">
        <v>425</v>
      </c>
      <c r="D180" t="s">
        <v>254</v>
      </c>
      <c r="E180" t="s">
        <v>302</v>
      </c>
    </row>
    <row r="181" spans="1:5" x14ac:dyDescent="0.35">
      <c r="A181" t="s">
        <v>381</v>
      </c>
      <c r="B181" t="s">
        <v>291</v>
      </c>
      <c r="C181" t="s">
        <v>425</v>
      </c>
      <c r="D181" t="s">
        <v>252</v>
      </c>
      <c r="E181" t="s">
        <v>302</v>
      </c>
    </row>
    <row r="182" spans="1:5" x14ac:dyDescent="0.35">
      <c r="A182" t="s">
        <v>381</v>
      </c>
      <c r="B182" t="s">
        <v>291</v>
      </c>
      <c r="C182" t="s">
        <v>425</v>
      </c>
      <c r="D182" t="s">
        <v>270</v>
      </c>
      <c r="E182" t="s">
        <v>302</v>
      </c>
    </row>
    <row r="183" spans="1:5" x14ac:dyDescent="0.35">
      <c r="A183" t="s">
        <v>381</v>
      </c>
      <c r="B183" t="s">
        <v>291</v>
      </c>
      <c r="C183" t="s">
        <v>425</v>
      </c>
      <c r="D183" t="s">
        <v>266</v>
      </c>
      <c r="E183" t="s">
        <v>302</v>
      </c>
    </row>
    <row r="184" spans="1:5" x14ac:dyDescent="0.35">
      <c r="A184" t="s">
        <v>381</v>
      </c>
      <c r="B184" t="s">
        <v>291</v>
      </c>
      <c r="C184" t="s">
        <v>425</v>
      </c>
      <c r="D184" t="s">
        <v>273</v>
      </c>
      <c r="E184" t="s">
        <v>302</v>
      </c>
    </row>
    <row r="185" spans="1:5" x14ac:dyDescent="0.35">
      <c r="A185" t="s">
        <v>381</v>
      </c>
      <c r="B185" t="s">
        <v>291</v>
      </c>
      <c r="C185" t="s">
        <v>425</v>
      </c>
      <c r="D185" t="s">
        <v>417</v>
      </c>
      <c r="E185" t="s">
        <v>302</v>
      </c>
    </row>
    <row r="186" spans="1:5" x14ac:dyDescent="0.35">
      <c r="A186" t="s">
        <v>381</v>
      </c>
      <c r="B186" t="s">
        <v>291</v>
      </c>
      <c r="C186" t="s">
        <v>425</v>
      </c>
      <c r="D186" t="s">
        <v>246</v>
      </c>
      <c r="E186" t="s">
        <v>302</v>
      </c>
    </row>
    <row r="187" spans="1:5" x14ac:dyDescent="0.35">
      <c r="A187" t="s">
        <v>381</v>
      </c>
      <c r="B187" t="s">
        <v>291</v>
      </c>
      <c r="C187" t="s">
        <v>425</v>
      </c>
      <c r="D187" t="s">
        <v>235</v>
      </c>
      <c r="E187" t="s">
        <v>302</v>
      </c>
    </row>
    <row r="188" spans="1:5" x14ac:dyDescent="0.35">
      <c r="A188" t="s">
        <v>381</v>
      </c>
      <c r="B188" t="s">
        <v>291</v>
      </c>
      <c r="C188" t="s">
        <v>425</v>
      </c>
      <c r="D188" t="s">
        <v>234</v>
      </c>
      <c r="E188" t="s">
        <v>302</v>
      </c>
    </row>
    <row r="189" spans="1:5" x14ac:dyDescent="0.35">
      <c r="A189" t="s">
        <v>381</v>
      </c>
      <c r="B189" t="s">
        <v>291</v>
      </c>
      <c r="C189" t="s">
        <v>425</v>
      </c>
      <c r="D189" t="s">
        <v>272</v>
      </c>
      <c r="E189" t="s">
        <v>302</v>
      </c>
    </row>
    <row r="190" spans="1:5" x14ac:dyDescent="0.35">
      <c r="A190" t="s">
        <v>381</v>
      </c>
      <c r="B190" t="s">
        <v>291</v>
      </c>
      <c r="C190" t="s">
        <v>425</v>
      </c>
      <c r="D190" t="s">
        <v>39</v>
      </c>
      <c r="E190" t="s">
        <v>302</v>
      </c>
    </row>
    <row r="191" spans="1:5" x14ac:dyDescent="0.35">
      <c r="A191" t="s">
        <v>381</v>
      </c>
      <c r="B191" t="s">
        <v>291</v>
      </c>
      <c r="C191" t="s">
        <v>425</v>
      </c>
      <c r="D191" t="s">
        <v>229</v>
      </c>
      <c r="E191" t="s">
        <v>302</v>
      </c>
    </row>
    <row r="192" spans="1:5" x14ac:dyDescent="0.35">
      <c r="A192" t="s">
        <v>381</v>
      </c>
      <c r="B192" t="s">
        <v>291</v>
      </c>
      <c r="C192" t="s">
        <v>425</v>
      </c>
      <c r="D192" t="s">
        <v>247</v>
      </c>
      <c r="E192" t="s">
        <v>302</v>
      </c>
    </row>
    <row r="193" spans="1:5" x14ac:dyDescent="0.35">
      <c r="A193" t="s">
        <v>381</v>
      </c>
      <c r="B193" t="s">
        <v>291</v>
      </c>
      <c r="C193" t="s">
        <v>425</v>
      </c>
      <c r="D193" t="s">
        <v>240</v>
      </c>
      <c r="E193" t="s">
        <v>302</v>
      </c>
    </row>
    <row r="194" spans="1:5" x14ac:dyDescent="0.35">
      <c r="A194" t="s">
        <v>381</v>
      </c>
      <c r="B194" t="s">
        <v>291</v>
      </c>
      <c r="C194" t="s">
        <v>425</v>
      </c>
      <c r="D194" t="s">
        <v>260</v>
      </c>
      <c r="E194" t="s">
        <v>302</v>
      </c>
    </row>
    <row r="195" spans="1:5" x14ac:dyDescent="0.35">
      <c r="A195" t="s">
        <v>381</v>
      </c>
      <c r="B195" t="s">
        <v>291</v>
      </c>
      <c r="C195" t="s">
        <v>425</v>
      </c>
      <c r="D195" t="s">
        <v>259</v>
      </c>
      <c r="E195" t="s">
        <v>302</v>
      </c>
    </row>
    <row r="196" spans="1:5" x14ac:dyDescent="0.35">
      <c r="A196" t="s">
        <v>381</v>
      </c>
      <c r="B196" t="s">
        <v>291</v>
      </c>
      <c r="C196" t="s">
        <v>425</v>
      </c>
      <c r="D196" t="s">
        <v>245</v>
      </c>
      <c r="E196" t="s">
        <v>302</v>
      </c>
    </row>
    <row r="197" spans="1:5" x14ac:dyDescent="0.35">
      <c r="A197" t="s">
        <v>381</v>
      </c>
      <c r="B197" t="s">
        <v>291</v>
      </c>
      <c r="C197" t="s">
        <v>425</v>
      </c>
      <c r="D197" t="s">
        <v>249</v>
      </c>
      <c r="E197" t="s">
        <v>302</v>
      </c>
    </row>
    <row r="198" spans="1:5" x14ac:dyDescent="0.35">
      <c r="A198" t="s">
        <v>381</v>
      </c>
      <c r="B198" t="s">
        <v>291</v>
      </c>
      <c r="C198" t="s">
        <v>425</v>
      </c>
      <c r="D198" t="s">
        <v>239</v>
      </c>
      <c r="E198" t="s">
        <v>302</v>
      </c>
    </row>
    <row r="199" spans="1:5" x14ac:dyDescent="0.35">
      <c r="A199" t="s">
        <v>381</v>
      </c>
      <c r="B199" t="s">
        <v>291</v>
      </c>
      <c r="C199" t="s">
        <v>425</v>
      </c>
      <c r="D199" t="s">
        <v>248</v>
      </c>
      <c r="E199" t="s">
        <v>302</v>
      </c>
    </row>
    <row r="200" spans="1:5" x14ac:dyDescent="0.35">
      <c r="A200" t="s">
        <v>381</v>
      </c>
      <c r="B200" t="s">
        <v>291</v>
      </c>
      <c r="C200" t="s">
        <v>425</v>
      </c>
      <c r="D200" t="s">
        <v>244</v>
      </c>
      <c r="E200" t="s">
        <v>302</v>
      </c>
    </row>
    <row r="201" spans="1:5" x14ac:dyDescent="0.35">
      <c r="A201" t="s">
        <v>381</v>
      </c>
      <c r="B201" t="s">
        <v>291</v>
      </c>
      <c r="C201" t="s">
        <v>425</v>
      </c>
      <c r="D201" t="s">
        <v>419</v>
      </c>
      <c r="E201" t="s">
        <v>302</v>
      </c>
    </row>
    <row r="202" spans="1:5" x14ac:dyDescent="0.35">
      <c r="A202" t="s">
        <v>381</v>
      </c>
      <c r="B202" t="s">
        <v>291</v>
      </c>
      <c r="C202" t="s">
        <v>425</v>
      </c>
      <c r="D202" t="s">
        <v>268</v>
      </c>
      <c r="E202" t="s">
        <v>302</v>
      </c>
    </row>
    <row r="203" spans="1:5" x14ac:dyDescent="0.35">
      <c r="A203" t="s">
        <v>381</v>
      </c>
      <c r="B203" t="s">
        <v>290</v>
      </c>
      <c r="C203" t="s">
        <v>426</v>
      </c>
      <c r="D203" t="s">
        <v>418</v>
      </c>
      <c r="E203" t="s">
        <v>301</v>
      </c>
    </row>
    <row r="204" spans="1:5" x14ac:dyDescent="0.35">
      <c r="A204" t="s">
        <v>381</v>
      </c>
      <c r="B204" t="s">
        <v>290</v>
      </c>
      <c r="C204" t="s">
        <v>425</v>
      </c>
      <c r="D204" t="s">
        <v>255</v>
      </c>
      <c r="E204" t="s">
        <v>301</v>
      </c>
    </row>
    <row r="205" spans="1:5" x14ac:dyDescent="0.35">
      <c r="A205" t="s">
        <v>381</v>
      </c>
      <c r="B205" t="s">
        <v>290</v>
      </c>
      <c r="C205" t="s">
        <v>425</v>
      </c>
      <c r="D205" t="s">
        <v>266</v>
      </c>
      <c r="E205" t="s">
        <v>301</v>
      </c>
    </row>
    <row r="206" spans="1:5" x14ac:dyDescent="0.35">
      <c r="A206" t="s">
        <v>381</v>
      </c>
      <c r="B206" t="s">
        <v>290</v>
      </c>
      <c r="C206" t="s">
        <v>425</v>
      </c>
      <c r="D206" t="s">
        <v>261</v>
      </c>
      <c r="E206" t="s">
        <v>301</v>
      </c>
    </row>
    <row r="207" spans="1:5" x14ac:dyDescent="0.35">
      <c r="A207" t="s">
        <v>381</v>
      </c>
      <c r="B207" t="s">
        <v>290</v>
      </c>
      <c r="C207" t="s">
        <v>425</v>
      </c>
      <c r="D207" t="s">
        <v>239</v>
      </c>
      <c r="E207" t="s">
        <v>301</v>
      </c>
    </row>
    <row r="208" spans="1:5" x14ac:dyDescent="0.35">
      <c r="A208" t="s">
        <v>381</v>
      </c>
      <c r="B208" t="s">
        <v>290</v>
      </c>
      <c r="C208" t="s">
        <v>425</v>
      </c>
      <c r="D208" t="s">
        <v>259</v>
      </c>
      <c r="E208" t="s">
        <v>301</v>
      </c>
    </row>
    <row r="209" spans="1:5" x14ac:dyDescent="0.35">
      <c r="A209" t="s">
        <v>381</v>
      </c>
      <c r="B209" t="s">
        <v>290</v>
      </c>
      <c r="C209" t="s">
        <v>425</v>
      </c>
      <c r="D209" t="s">
        <v>248</v>
      </c>
      <c r="E209" t="s">
        <v>301</v>
      </c>
    </row>
    <row r="210" spans="1:5" x14ac:dyDescent="0.35">
      <c r="A210" t="s">
        <v>381</v>
      </c>
      <c r="B210" t="s">
        <v>290</v>
      </c>
      <c r="C210" t="s">
        <v>425</v>
      </c>
      <c r="D210" t="s">
        <v>247</v>
      </c>
      <c r="E210" t="s">
        <v>301</v>
      </c>
    </row>
    <row r="211" spans="1:5" x14ac:dyDescent="0.35">
      <c r="A211" t="s">
        <v>381</v>
      </c>
      <c r="B211" t="s">
        <v>290</v>
      </c>
      <c r="C211" t="s">
        <v>425</v>
      </c>
      <c r="D211" t="s">
        <v>267</v>
      </c>
      <c r="E211" t="s">
        <v>301</v>
      </c>
    </row>
    <row r="212" spans="1:5" x14ac:dyDescent="0.35">
      <c r="A212" t="s">
        <v>381</v>
      </c>
      <c r="B212" t="s">
        <v>290</v>
      </c>
      <c r="C212" t="s">
        <v>425</v>
      </c>
      <c r="D212" t="s">
        <v>270</v>
      </c>
      <c r="E212" t="s">
        <v>301</v>
      </c>
    </row>
    <row r="213" spans="1:5" x14ac:dyDescent="0.35">
      <c r="A213" t="s">
        <v>381</v>
      </c>
      <c r="B213" t="s">
        <v>290</v>
      </c>
      <c r="C213" t="s">
        <v>425</v>
      </c>
      <c r="D213" t="s">
        <v>246</v>
      </c>
      <c r="E213" t="s">
        <v>301</v>
      </c>
    </row>
    <row r="214" spans="1:5" x14ac:dyDescent="0.35">
      <c r="A214" t="s">
        <v>381</v>
      </c>
      <c r="B214" t="s">
        <v>290</v>
      </c>
      <c r="C214" t="s">
        <v>425</v>
      </c>
      <c r="D214" t="s">
        <v>235</v>
      </c>
      <c r="E214" t="s">
        <v>301</v>
      </c>
    </row>
    <row r="215" spans="1:5" x14ac:dyDescent="0.35">
      <c r="A215" t="s">
        <v>381</v>
      </c>
      <c r="B215" t="s">
        <v>290</v>
      </c>
      <c r="C215" t="s">
        <v>425</v>
      </c>
      <c r="D215" t="s">
        <v>229</v>
      </c>
      <c r="E215" t="s">
        <v>301</v>
      </c>
    </row>
    <row r="216" spans="1:5" x14ac:dyDescent="0.35">
      <c r="A216" t="s">
        <v>381</v>
      </c>
      <c r="B216" t="s">
        <v>290</v>
      </c>
      <c r="C216" t="s">
        <v>425</v>
      </c>
      <c r="D216" t="s">
        <v>245</v>
      </c>
      <c r="E216" t="s">
        <v>301</v>
      </c>
    </row>
    <row r="217" spans="1:5" x14ac:dyDescent="0.35">
      <c r="A217" t="s">
        <v>381</v>
      </c>
      <c r="B217" t="s">
        <v>290</v>
      </c>
      <c r="C217" t="s">
        <v>425</v>
      </c>
      <c r="D217" t="s">
        <v>250</v>
      </c>
      <c r="E217" t="s">
        <v>301</v>
      </c>
    </row>
    <row r="218" spans="1:5" x14ac:dyDescent="0.35">
      <c r="A218" t="s">
        <v>381</v>
      </c>
      <c r="B218" t="s">
        <v>290</v>
      </c>
      <c r="C218" t="s">
        <v>425</v>
      </c>
      <c r="D218" t="s">
        <v>252</v>
      </c>
      <c r="E218" t="s">
        <v>301</v>
      </c>
    </row>
    <row r="219" spans="1:5" x14ac:dyDescent="0.35">
      <c r="A219" t="s">
        <v>381</v>
      </c>
      <c r="B219" t="s">
        <v>290</v>
      </c>
      <c r="C219" t="s">
        <v>425</v>
      </c>
      <c r="D219" t="s">
        <v>265</v>
      </c>
      <c r="E219" t="s">
        <v>301</v>
      </c>
    </row>
    <row r="220" spans="1:5" x14ac:dyDescent="0.35">
      <c r="A220" t="s">
        <v>381</v>
      </c>
      <c r="B220" t="s">
        <v>290</v>
      </c>
      <c r="C220" t="s">
        <v>425</v>
      </c>
      <c r="D220" t="s">
        <v>244</v>
      </c>
      <c r="E220" t="s">
        <v>301</v>
      </c>
    </row>
    <row r="221" spans="1:5" x14ac:dyDescent="0.35">
      <c r="A221" t="s">
        <v>381</v>
      </c>
      <c r="B221" t="s">
        <v>290</v>
      </c>
      <c r="C221" t="s">
        <v>425</v>
      </c>
      <c r="D221" t="s">
        <v>260</v>
      </c>
      <c r="E221" t="s">
        <v>301</v>
      </c>
    </row>
    <row r="222" spans="1:5" x14ac:dyDescent="0.35">
      <c r="A222" t="s">
        <v>381</v>
      </c>
      <c r="B222" t="s">
        <v>290</v>
      </c>
      <c r="C222" t="s">
        <v>425</v>
      </c>
      <c r="D222" t="s">
        <v>253</v>
      </c>
      <c r="E222" t="s">
        <v>301</v>
      </c>
    </row>
    <row r="223" spans="1:5" x14ac:dyDescent="0.35">
      <c r="A223" t="s">
        <v>381</v>
      </c>
      <c r="B223" t="s">
        <v>290</v>
      </c>
      <c r="C223" t="s">
        <v>425</v>
      </c>
      <c r="D223" t="s">
        <v>417</v>
      </c>
      <c r="E223" t="s">
        <v>301</v>
      </c>
    </row>
    <row r="224" spans="1:5" x14ac:dyDescent="0.35">
      <c r="A224" t="s">
        <v>381</v>
      </c>
      <c r="B224" t="s">
        <v>290</v>
      </c>
      <c r="C224" t="s">
        <v>425</v>
      </c>
      <c r="D224" t="s">
        <v>234</v>
      </c>
      <c r="E224" t="s">
        <v>301</v>
      </c>
    </row>
    <row r="225" spans="1:5" x14ac:dyDescent="0.35">
      <c r="A225" t="s">
        <v>381</v>
      </c>
      <c r="B225" t="s">
        <v>290</v>
      </c>
      <c r="C225" t="s">
        <v>425</v>
      </c>
      <c r="D225" t="s">
        <v>268</v>
      </c>
      <c r="E225" t="s">
        <v>301</v>
      </c>
    </row>
    <row r="226" spans="1:5" x14ac:dyDescent="0.35">
      <c r="A226" t="s">
        <v>381</v>
      </c>
      <c r="B226" t="s">
        <v>290</v>
      </c>
      <c r="C226" t="s">
        <v>425</v>
      </c>
      <c r="D226" t="s">
        <v>254</v>
      </c>
      <c r="E226" t="s">
        <v>301</v>
      </c>
    </row>
    <row r="227" spans="1:5" x14ac:dyDescent="0.35">
      <c r="A227" t="s">
        <v>381</v>
      </c>
      <c r="B227" t="s">
        <v>290</v>
      </c>
      <c r="C227" t="s">
        <v>425</v>
      </c>
      <c r="D227" t="s">
        <v>240</v>
      </c>
      <c r="E227" t="s">
        <v>301</v>
      </c>
    </row>
    <row r="228" spans="1:5" x14ac:dyDescent="0.35">
      <c r="A228" t="s">
        <v>381</v>
      </c>
      <c r="B228" t="s">
        <v>290</v>
      </c>
      <c r="C228" t="s">
        <v>425</v>
      </c>
      <c r="D228" t="s">
        <v>269</v>
      </c>
      <c r="E228" t="s">
        <v>301</v>
      </c>
    </row>
    <row r="229" spans="1:5" x14ac:dyDescent="0.35">
      <c r="A229" t="s">
        <v>381</v>
      </c>
      <c r="B229" t="s">
        <v>290</v>
      </c>
      <c r="C229" t="s">
        <v>425</v>
      </c>
      <c r="D229" t="s">
        <v>249</v>
      </c>
      <c r="E229" t="s">
        <v>301</v>
      </c>
    </row>
    <row r="230" spans="1:5" x14ac:dyDescent="0.35">
      <c r="A230" t="s">
        <v>382</v>
      </c>
      <c r="B230" t="s">
        <v>288</v>
      </c>
      <c r="C230" t="s">
        <v>232</v>
      </c>
      <c r="D230" t="s">
        <v>405</v>
      </c>
      <c r="E230" t="s">
        <v>299</v>
      </c>
    </row>
    <row r="231" spans="1:5" x14ac:dyDescent="0.35">
      <c r="A231" t="s">
        <v>382</v>
      </c>
      <c r="B231" t="s">
        <v>288</v>
      </c>
      <c r="C231" t="s">
        <v>232</v>
      </c>
      <c r="D231" t="s">
        <v>406</v>
      </c>
      <c r="E231" t="s">
        <v>299</v>
      </c>
    </row>
    <row r="232" spans="1:5" x14ac:dyDescent="0.35">
      <c r="A232" t="s">
        <v>382</v>
      </c>
      <c r="B232" t="s">
        <v>288</v>
      </c>
      <c r="C232" t="s">
        <v>232</v>
      </c>
      <c r="D232" t="s">
        <v>232</v>
      </c>
      <c r="E232" t="s">
        <v>299</v>
      </c>
    </row>
    <row r="233" spans="1:5" x14ac:dyDescent="0.35">
      <c r="A233" t="s">
        <v>382</v>
      </c>
      <c r="B233" t="s">
        <v>288</v>
      </c>
      <c r="C233" t="s">
        <v>232</v>
      </c>
      <c r="D233" t="s">
        <v>413</v>
      </c>
      <c r="E233" t="s">
        <v>299</v>
      </c>
    </row>
    <row r="234" spans="1:5" x14ac:dyDescent="0.35">
      <c r="A234" t="s">
        <v>382</v>
      </c>
      <c r="B234" t="s">
        <v>288</v>
      </c>
      <c r="C234" t="s">
        <v>232</v>
      </c>
      <c r="D234" t="s">
        <v>416</v>
      </c>
      <c r="E234" t="s">
        <v>299</v>
      </c>
    </row>
    <row r="235" spans="1:5" x14ac:dyDescent="0.35">
      <c r="A235" t="s">
        <v>382</v>
      </c>
      <c r="B235" t="s">
        <v>288</v>
      </c>
      <c r="C235" t="s">
        <v>232</v>
      </c>
      <c r="D235" t="s">
        <v>410</v>
      </c>
      <c r="E235" t="s">
        <v>299</v>
      </c>
    </row>
    <row r="236" spans="1:5" x14ac:dyDescent="0.35">
      <c r="A236" t="s">
        <v>382</v>
      </c>
      <c r="B236" t="s">
        <v>288</v>
      </c>
      <c r="C236" t="s">
        <v>232</v>
      </c>
      <c r="D236" t="s">
        <v>409</v>
      </c>
      <c r="E236" t="s">
        <v>299</v>
      </c>
    </row>
    <row r="237" spans="1:5" x14ac:dyDescent="0.35">
      <c r="A237" t="s">
        <v>382</v>
      </c>
      <c r="B237" t="s">
        <v>288</v>
      </c>
      <c r="C237" t="s">
        <v>232</v>
      </c>
      <c r="D237" t="s">
        <v>415</v>
      </c>
      <c r="E237" t="s">
        <v>299</v>
      </c>
    </row>
    <row r="238" spans="1:5" x14ac:dyDescent="0.35">
      <c r="A238" t="s">
        <v>382</v>
      </c>
      <c r="B238" t="s">
        <v>288</v>
      </c>
      <c r="C238" t="s">
        <v>232</v>
      </c>
      <c r="D238" t="s">
        <v>427</v>
      </c>
      <c r="E238" t="s">
        <v>299</v>
      </c>
    </row>
    <row r="239" spans="1:5" x14ac:dyDescent="0.35">
      <c r="A239" t="s">
        <v>382</v>
      </c>
      <c r="B239" t="s">
        <v>288</v>
      </c>
      <c r="C239" t="s">
        <v>232</v>
      </c>
      <c r="D239" t="s">
        <v>407</v>
      </c>
      <c r="E239" t="s">
        <v>299</v>
      </c>
    </row>
    <row r="240" spans="1:5" x14ac:dyDescent="0.35">
      <c r="A240" t="s">
        <v>382</v>
      </c>
      <c r="B240" t="s">
        <v>288</v>
      </c>
      <c r="C240" t="s">
        <v>232</v>
      </c>
      <c r="D240" t="s">
        <v>412</v>
      </c>
      <c r="E240" t="s">
        <v>299</v>
      </c>
    </row>
    <row r="241" spans="1:5" x14ac:dyDescent="0.35">
      <c r="A241" t="s">
        <v>382</v>
      </c>
      <c r="B241" t="s">
        <v>288</v>
      </c>
      <c r="C241" t="s">
        <v>232</v>
      </c>
      <c r="D241" t="s">
        <v>414</v>
      </c>
      <c r="E241" t="s">
        <v>299</v>
      </c>
    </row>
    <row r="242" spans="1:5" x14ac:dyDescent="0.35">
      <c r="A242" t="s">
        <v>382</v>
      </c>
      <c r="B242" t="s">
        <v>288</v>
      </c>
      <c r="C242" t="s">
        <v>232</v>
      </c>
      <c r="D242" t="s">
        <v>408</v>
      </c>
      <c r="E242" t="s">
        <v>299</v>
      </c>
    </row>
    <row r="243" spans="1:5" x14ac:dyDescent="0.35">
      <c r="A243" t="s">
        <v>382</v>
      </c>
      <c r="B243" t="s">
        <v>288</v>
      </c>
      <c r="C243" t="s">
        <v>222</v>
      </c>
      <c r="D243" t="s">
        <v>222</v>
      </c>
      <c r="E243" t="s">
        <v>299</v>
      </c>
    </row>
    <row r="244" spans="1:5" x14ac:dyDescent="0.35">
      <c r="A244" t="s">
        <v>382</v>
      </c>
      <c r="B244" t="s">
        <v>288</v>
      </c>
      <c r="C244" t="s">
        <v>222</v>
      </c>
      <c r="D244" t="s">
        <v>402</v>
      </c>
      <c r="E244" t="s">
        <v>299</v>
      </c>
    </row>
    <row r="245" spans="1:5" x14ac:dyDescent="0.35">
      <c r="A245" t="s">
        <v>382</v>
      </c>
      <c r="B245" t="s">
        <v>288</v>
      </c>
      <c r="C245" t="s">
        <v>222</v>
      </c>
      <c r="D245" t="s">
        <v>401</v>
      </c>
      <c r="E245" t="s">
        <v>299</v>
      </c>
    </row>
    <row r="246" spans="1:5" x14ac:dyDescent="0.35">
      <c r="A246" t="s">
        <v>382</v>
      </c>
      <c r="B246" t="s">
        <v>288</v>
      </c>
      <c r="C246" t="s">
        <v>222</v>
      </c>
      <c r="D246" t="s">
        <v>404</v>
      </c>
      <c r="E246" t="s">
        <v>299</v>
      </c>
    </row>
    <row r="247" spans="1:5" x14ac:dyDescent="0.35">
      <c r="A247" t="s">
        <v>382</v>
      </c>
      <c r="B247" t="s">
        <v>288</v>
      </c>
      <c r="C247" t="s">
        <v>222</v>
      </c>
      <c r="D247" t="s">
        <v>403</v>
      </c>
      <c r="E247" t="s">
        <v>299</v>
      </c>
    </row>
    <row r="248" spans="1:5" x14ac:dyDescent="0.35">
      <c r="A248" t="s">
        <v>382</v>
      </c>
      <c r="B248" t="s">
        <v>288</v>
      </c>
      <c r="C248" t="s">
        <v>222</v>
      </c>
      <c r="D248" t="s">
        <v>399</v>
      </c>
      <c r="E248" t="s">
        <v>299</v>
      </c>
    </row>
    <row r="249" spans="1:5" x14ac:dyDescent="0.35">
      <c r="A249" t="s">
        <v>382</v>
      </c>
      <c r="B249" t="s">
        <v>288</v>
      </c>
      <c r="C249" t="s">
        <v>222</v>
      </c>
      <c r="D249" t="s">
        <v>428</v>
      </c>
      <c r="E249" t="s">
        <v>299</v>
      </c>
    </row>
    <row r="250" spans="1:5" x14ac:dyDescent="0.35">
      <c r="A250" t="s">
        <v>382</v>
      </c>
      <c r="B250" t="s">
        <v>288</v>
      </c>
      <c r="C250" t="s">
        <v>222</v>
      </c>
      <c r="D250" t="s">
        <v>398</v>
      </c>
      <c r="E250" t="s">
        <v>299</v>
      </c>
    </row>
    <row r="251" spans="1:5" x14ac:dyDescent="0.35">
      <c r="A251" t="s">
        <v>382</v>
      </c>
      <c r="B251" t="s">
        <v>288</v>
      </c>
      <c r="C251" t="s">
        <v>222</v>
      </c>
      <c r="D251" t="s">
        <v>397</v>
      </c>
      <c r="E251" t="s">
        <v>299</v>
      </c>
    </row>
    <row r="252" spans="1:5" x14ac:dyDescent="0.35">
      <c r="A252" t="s">
        <v>382</v>
      </c>
      <c r="B252" t="s">
        <v>288</v>
      </c>
      <c r="C252" t="s">
        <v>222</v>
      </c>
      <c r="D252" t="s">
        <v>400</v>
      </c>
      <c r="E252" t="s">
        <v>299</v>
      </c>
    </row>
    <row r="253" spans="1:5" x14ac:dyDescent="0.35">
      <c r="A253" t="s">
        <v>382</v>
      </c>
      <c r="B253" t="s">
        <v>291</v>
      </c>
      <c r="C253" t="s">
        <v>425</v>
      </c>
      <c r="D253" t="s">
        <v>260</v>
      </c>
      <c r="E253" t="s">
        <v>302</v>
      </c>
    </row>
    <row r="254" spans="1:5" x14ac:dyDescent="0.35">
      <c r="A254" t="s">
        <v>382</v>
      </c>
      <c r="B254" t="s">
        <v>291</v>
      </c>
      <c r="C254" t="s">
        <v>425</v>
      </c>
      <c r="D254" t="s">
        <v>239</v>
      </c>
      <c r="E254" t="s">
        <v>302</v>
      </c>
    </row>
    <row r="255" spans="1:5" x14ac:dyDescent="0.35">
      <c r="A255" t="s">
        <v>382</v>
      </c>
      <c r="B255" t="s">
        <v>291</v>
      </c>
      <c r="C255" t="s">
        <v>425</v>
      </c>
      <c r="D255" t="s">
        <v>265</v>
      </c>
      <c r="E255" t="s">
        <v>302</v>
      </c>
    </row>
    <row r="256" spans="1:5" x14ac:dyDescent="0.35">
      <c r="A256" t="s">
        <v>382</v>
      </c>
      <c r="B256" t="s">
        <v>291</v>
      </c>
      <c r="C256" t="s">
        <v>425</v>
      </c>
      <c r="D256" t="s">
        <v>229</v>
      </c>
      <c r="E256" t="s">
        <v>302</v>
      </c>
    </row>
    <row r="257" spans="1:5" x14ac:dyDescent="0.35">
      <c r="A257" t="s">
        <v>382</v>
      </c>
      <c r="B257" t="s">
        <v>291</v>
      </c>
      <c r="C257" t="s">
        <v>425</v>
      </c>
      <c r="D257" t="s">
        <v>269</v>
      </c>
      <c r="E257" t="s">
        <v>302</v>
      </c>
    </row>
    <row r="258" spans="1:5" x14ac:dyDescent="0.35">
      <c r="A258" t="s">
        <v>382</v>
      </c>
      <c r="B258" t="s">
        <v>291</v>
      </c>
      <c r="C258" t="s">
        <v>425</v>
      </c>
      <c r="D258" t="s">
        <v>417</v>
      </c>
      <c r="E258" t="s">
        <v>302</v>
      </c>
    </row>
    <row r="259" spans="1:5" x14ac:dyDescent="0.35">
      <c r="A259" t="s">
        <v>382</v>
      </c>
      <c r="B259" t="s">
        <v>291</v>
      </c>
      <c r="C259" t="s">
        <v>425</v>
      </c>
      <c r="D259" t="s">
        <v>248</v>
      </c>
      <c r="E259" t="s">
        <v>302</v>
      </c>
    </row>
    <row r="260" spans="1:5" x14ac:dyDescent="0.35">
      <c r="A260" t="s">
        <v>382</v>
      </c>
      <c r="B260" t="s">
        <v>291</v>
      </c>
      <c r="C260" t="s">
        <v>425</v>
      </c>
      <c r="D260" t="s">
        <v>272</v>
      </c>
      <c r="E260" t="s">
        <v>302</v>
      </c>
    </row>
    <row r="261" spans="1:5" x14ac:dyDescent="0.35">
      <c r="A261" t="s">
        <v>382</v>
      </c>
      <c r="B261" t="s">
        <v>291</v>
      </c>
      <c r="C261" t="s">
        <v>425</v>
      </c>
      <c r="D261" t="s">
        <v>240</v>
      </c>
      <c r="E261" t="s">
        <v>302</v>
      </c>
    </row>
    <row r="262" spans="1:5" x14ac:dyDescent="0.35">
      <c r="A262" t="s">
        <v>382</v>
      </c>
      <c r="B262" t="s">
        <v>291</v>
      </c>
      <c r="C262" t="s">
        <v>425</v>
      </c>
      <c r="D262" t="s">
        <v>235</v>
      </c>
      <c r="E262" t="s">
        <v>302</v>
      </c>
    </row>
    <row r="263" spans="1:5" x14ac:dyDescent="0.35">
      <c r="A263" t="s">
        <v>382</v>
      </c>
      <c r="B263" t="s">
        <v>291</v>
      </c>
      <c r="C263" t="s">
        <v>425</v>
      </c>
      <c r="D263" t="s">
        <v>249</v>
      </c>
      <c r="E263" t="s">
        <v>302</v>
      </c>
    </row>
    <row r="264" spans="1:5" x14ac:dyDescent="0.35">
      <c r="A264" t="s">
        <v>382</v>
      </c>
      <c r="B264" t="s">
        <v>291</v>
      </c>
      <c r="C264" t="s">
        <v>425</v>
      </c>
      <c r="D264" t="s">
        <v>254</v>
      </c>
      <c r="E264" t="s">
        <v>302</v>
      </c>
    </row>
    <row r="265" spans="1:5" x14ac:dyDescent="0.35">
      <c r="A265" t="s">
        <v>382</v>
      </c>
      <c r="B265" t="s">
        <v>291</v>
      </c>
      <c r="C265" t="s">
        <v>425</v>
      </c>
      <c r="D265" t="s">
        <v>259</v>
      </c>
      <c r="E265" t="s">
        <v>302</v>
      </c>
    </row>
    <row r="266" spans="1:5" x14ac:dyDescent="0.35">
      <c r="A266" t="s">
        <v>382</v>
      </c>
      <c r="B266" t="s">
        <v>291</v>
      </c>
      <c r="C266" t="s">
        <v>425</v>
      </c>
      <c r="D266" t="s">
        <v>234</v>
      </c>
      <c r="E266" t="s">
        <v>302</v>
      </c>
    </row>
    <row r="267" spans="1:5" x14ac:dyDescent="0.35">
      <c r="A267" t="s">
        <v>382</v>
      </c>
      <c r="B267" t="s">
        <v>291</v>
      </c>
      <c r="C267" t="s">
        <v>425</v>
      </c>
      <c r="D267" t="s">
        <v>273</v>
      </c>
      <c r="E267" t="s">
        <v>302</v>
      </c>
    </row>
    <row r="268" spans="1:5" x14ac:dyDescent="0.35">
      <c r="A268" t="s">
        <v>382</v>
      </c>
      <c r="B268" t="s">
        <v>291</v>
      </c>
      <c r="C268" t="s">
        <v>425</v>
      </c>
      <c r="D268" t="s">
        <v>39</v>
      </c>
      <c r="E268" t="s">
        <v>302</v>
      </c>
    </row>
    <row r="269" spans="1:5" x14ac:dyDescent="0.35">
      <c r="A269" t="s">
        <v>382</v>
      </c>
      <c r="B269" t="s">
        <v>291</v>
      </c>
      <c r="C269" t="s">
        <v>425</v>
      </c>
      <c r="D269" t="s">
        <v>252</v>
      </c>
      <c r="E269" t="s">
        <v>302</v>
      </c>
    </row>
    <row r="270" spans="1:5" x14ac:dyDescent="0.35">
      <c r="A270" t="s">
        <v>382</v>
      </c>
      <c r="B270" t="s">
        <v>291</v>
      </c>
      <c r="C270" t="s">
        <v>425</v>
      </c>
      <c r="D270" t="s">
        <v>246</v>
      </c>
      <c r="E270" t="s">
        <v>302</v>
      </c>
    </row>
    <row r="271" spans="1:5" x14ac:dyDescent="0.35">
      <c r="A271" t="s">
        <v>382</v>
      </c>
      <c r="B271" t="s">
        <v>291</v>
      </c>
      <c r="C271" t="s">
        <v>425</v>
      </c>
      <c r="D271" t="s">
        <v>270</v>
      </c>
      <c r="E271" t="s">
        <v>302</v>
      </c>
    </row>
    <row r="272" spans="1:5" x14ac:dyDescent="0.35">
      <c r="A272" t="s">
        <v>382</v>
      </c>
      <c r="B272" t="s">
        <v>291</v>
      </c>
      <c r="C272" t="s">
        <v>425</v>
      </c>
      <c r="D272" t="s">
        <v>268</v>
      </c>
      <c r="E272" t="s">
        <v>302</v>
      </c>
    </row>
    <row r="273" spans="1:5" x14ac:dyDescent="0.35">
      <c r="A273" t="s">
        <v>382</v>
      </c>
      <c r="B273" t="s">
        <v>291</v>
      </c>
      <c r="C273" t="s">
        <v>425</v>
      </c>
      <c r="D273" t="s">
        <v>267</v>
      </c>
      <c r="E273" t="s">
        <v>302</v>
      </c>
    </row>
    <row r="274" spans="1:5" x14ac:dyDescent="0.35">
      <c r="A274" t="s">
        <v>382</v>
      </c>
      <c r="B274" t="s">
        <v>291</v>
      </c>
      <c r="C274" t="s">
        <v>425</v>
      </c>
      <c r="D274" t="s">
        <v>245</v>
      </c>
      <c r="E274" t="s">
        <v>302</v>
      </c>
    </row>
    <row r="275" spans="1:5" x14ac:dyDescent="0.35">
      <c r="A275" t="s">
        <v>382</v>
      </c>
      <c r="B275" t="s">
        <v>291</v>
      </c>
      <c r="C275" t="s">
        <v>425</v>
      </c>
      <c r="D275" t="s">
        <v>244</v>
      </c>
      <c r="E275" t="s">
        <v>302</v>
      </c>
    </row>
    <row r="276" spans="1:5" x14ac:dyDescent="0.35">
      <c r="A276" t="s">
        <v>382</v>
      </c>
      <c r="B276" t="s">
        <v>291</v>
      </c>
      <c r="C276" t="s">
        <v>425</v>
      </c>
      <c r="D276" t="s">
        <v>247</v>
      </c>
      <c r="E276" t="s">
        <v>302</v>
      </c>
    </row>
    <row r="277" spans="1:5" x14ac:dyDescent="0.35">
      <c r="A277" t="s">
        <v>382</v>
      </c>
      <c r="B277" t="s">
        <v>291</v>
      </c>
      <c r="C277" t="s">
        <v>425</v>
      </c>
      <c r="D277" t="s">
        <v>266</v>
      </c>
      <c r="E277" t="s">
        <v>302</v>
      </c>
    </row>
    <row r="278" spans="1:5" x14ac:dyDescent="0.35">
      <c r="A278" t="s">
        <v>382</v>
      </c>
      <c r="B278" t="s">
        <v>291</v>
      </c>
      <c r="C278" t="s">
        <v>425</v>
      </c>
      <c r="D278" t="s">
        <v>419</v>
      </c>
      <c r="E278" t="s">
        <v>302</v>
      </c>
    </row>
    <row r="279" spans="1:5" x14ac:dyDescent="0.35">
      <c r="A279" t="s">
        <v>382</v>
      </c>
      <c r="B279" t="s">
        <v>290</v>
      </c>
      <c r="C279" t="s">
        <v>426</v>
      </c>
      <c r="D279" t="s">
        <v>418</v>
      </c>
      <c r="E279" t="s">
        <v>301</v>
      </c>
    </row>
    <row r="280" spans="1:5" x14ac:dyDescent="0.35">
      <c r="A280" t="s">
        <v>382</v>
      </c>
      <c r="B280" t="s">
        <v>290</v>
      </c>
      <c r="C280" t="s">
        <v>425</v>
      </c>
      <c r="D280" t="s">
        <v>259</v>
      </c>
      <c r="E280" t="s">
        <v>301</v>
      </c>
    </row>
    <row r="281" spans="1:5" x14ac:dyDescent="0.35">
      <c r="A281" t="s">
        <v>382</v>
      </c>
      <c r="B281" t="s">
        <v>290</v>
      </c>
      <c r="C281" t="s">
        <v>425</v>
      </c>
      <c r="D281" t="s">
        <v>248</v>
      </c>
      <c r="E281" t="s">
        <v>301</v>
      </c>
    </row>
    <row r="282" spans="1:5" x14ac:dyDescent="0.35">
      <c r="A282" t="s">
        <v>382</v>
      </c>
      <c r="B282" t="s">
        <v>290</v>
      </c>
      <c r="C282" t="s">
        <v>425</v>
      </c>
      <c r="D282" t="s">
        <v>266</v>
      </c>
      <c r="E282" t="s">
        <v>301</v>
      </c>
    </row>
    <row r="283" spans="1:5" x14ac:dyDescent="0.35">
      <c r="A283" t="s">
        <v>382</v>
      </c>
      <c r="B283" t="s">
        <v>290</v>
      </c>
      <c r="C283" t="s">
        <v>425</v>
      </c>
      <c r="D283" t="s">
        <v>240</v>
      </c>
      <c r="E283" t="s">
        <v>301</v>
      </c>
    </row>
    <row r="284" spans="1:5" x14ac:dyDescent="0.35">
      <c r="A284" t="s">
        <v>382</v>
      </c>
      <c r="B284" t="s">
        <v>290</v>
      </c>
      <c r="C284" t="s">
        <v>425</v>
      </c>
      <c r="D284" t="s">
        <v>249</v>
      </c>
      <c r="E284" t="s">
        <v>301</v>
      </c>
    </row>
    <row r="285" spans="1:5" x14ac:dyDescent="0.35">
      <c r="A285" t="s">
        <v>382</v>
      </c>
      <c r="B285" t="s">
        <v>290</v>
      </c>
      <c r="C285" t="s">
        <v>425</v>
      </c>
      <c r="D285" t="s">
        <v>267</v>
      </c>
      <c r="E285" t="s">
        <v>301</v>
      </c>
    </row>
    <row r="286" spans="1:5" x14ac:dyDescent="0.35">
      <c r="A286" t="s">
        <v>382</v>
      </c>
      <c r="B286" t="s">
        <v>290</v>
      </c>
      <c r="C286" t="s">
        <v>425</v>
      </c>
      <c r="D286" t="s">
        <v>247</v>
      </c>
      <c r="E286" t="s">
        <v>301</v>
      </c>
    </row>
    <row r="287" spans="1:5" x14ac:dyDescent="0.35">
      <c r="A287" t="s">
        <v>382</v>
      </c>
      <c r="B287" t="s">
        <v>290</v>
      </c>
      <c r="C287" t="s">
        <v>425</v>
      </c>
      <c r="D287" t="s">
        <v>260</v>
      </c>
      <c r="E287" t="s">
        <v>301</v>
      </c>
    </row>
    <row r="288" spans="1:5" x14ac:dyDescent="0.35">
      <c r="A288" t="s">
        <v>382</v>
      </c>
      <c r="B288" t="s">
        <v>290</v>
      </c>
      <c r="C288" t="s">
        <v>425</v>
      </c>
      <c r="D288" t="s">
        <v>417</v>
      </c>
      <c r="E288" t="s">
        <v>301</v>
      </c>
    </row>
    <row r="289" spans="1:5" x14ac:dyDescent="0.35">
      <c r="A289" t="s">
        <v>382</v>
      </c>
      <c r="B289" t="s">
        <v>290</v>
      </c>
      <c r="C289" t="s">
        <v>425</v>
      </c>
      <c r="D289" t="s">
        <v>250</v>
      </c>
      <c r="E289" t="s">
        <v>301</v>
      </c>
    </row>
    <row r="290" spans="1:5" x14ac:dyDescent="0.35">
      <c r="A290" t="s">
        <v>382</v>
      </c>
      <c r="B290" t="s">
        <v>290</v>
      </c>
      <c r="C290" t="s">
        <v>425</v>
      </c>
      <c r="D290" t="s">
        <v>235</v>
      </c>
      <c r="E290" t="s">
        <v>301</v>
      </c>
    </row>
    <row r="291" spans="1:5" x14ac:dyDescent="0.35">
      <c r="A291" t="s">
        <v>382</v>
      </c>
      <c r="B291" t="s">
        <v>290</v>
      </c>
      <c r="C291" t="s">
        <v>425</v>
      </c>
      <c r="D291" t="s">
        <v>239</v>
      </c>
      <c r="E291" t="s">
        <v>301</v>
      </c>
    </row>
    <row r="292" spans="1:5" x14ac:dyDescent="0.35">
      <c r="A292" t="s">
        <v>382</v>
      </c>
      <c r="B292" t="s">
        <v>290</v>
      </c>
      <c r="C292" t="s">
        <v>425</v>
      </c>
      <c r="D292" t="s">
        <v>265</v>
      </c>
      <c r="E292" t="s">
        <v>301</v>
      </c>
    </row>
    <row r="293" spans="1:5" x14ac:dyDescent="0.35">
      <c r="A293" t="s">
        <v>382</v>
      </c>
      <c r="B293" t="s">
        <v>290</v>
      </c>
      <c r="C293" t="s">
        <v>425</v>
      </c>
      <c r="D293" t="s">
        <v>261</v>
      </c>
      <c r="E293" t="s">
        <v>301</v>
      </c>
    </row>
    <row r="294" spans="1:5" x14ac:dyDescent="0.35">
      <c r="A294" t="s">
        <v>382</v>
      </c>
      <c r="B294" t="s">
        <v>290</v>
      </c>
      <c r="C294" t="s">
        <v>425</v>
      </c>
      <c r="D294" t="s">
        <v>229</v>
      </c>
      <c r="E294" t="s">
        <v>301</v>
      </c>
    </row>
    <row r="295" spans="1:5" x14ac:dyDescent="0.35">
      <c r="A295" t="s">
        <v>382</v>
      </c>
      <c r="B295" t="s">
        <v>290</v>
      </c>
      <c r="C295" t="s">
        <v>425</v>
      </c>
      <c r="D295" t="s">
        <v>245</v>
      </c>
      <c r="E295" t="s">
        <v>301</v>
      </c>
    </row>
    <row r="296" spans="1:5" x14ac:dyDescent="0.35">
      <c r="A296" t="s">
        <v>382</v>
      </c>
      <c r="B296" t="s">
        <v>290</v>
      </c>
      <c r="C296" t="s">
        <v>425</v>
      </c>
      <c r="D296" t="s">
        <v>252</v>
      </c>
      <c r="E296" t="s">
        <v>301</v>
      </c>
    </row>
    <row r="297" spans="1:5" x14ac:dyDescent="0.35">
      <c r="A297" t="s">
        <v>382</v>
      </c>
      <c r="B297" t="s">
        <v>290</v>
      </c>
      <c r="C297" t="s">
        <v>425</v>
      </c>
      <c r="D297" t="s">
        <v>244</v>
      </c>
      <c r="E297" t="s">
        <v>301</v>
      </c>
    </row>
    <row r="298" spans="1:5" x14ac:dyDescent="0.35">
      <c r="A298" t="s">
        <v>382</v>
      </c>
      <c r="B298" t="s">
        <v>290</v>
      </c>
      <c r="C298" t="s">
        <v>425</v>
      </c>
      <c r="D298" t="s">
        <v>255</v>
      </c>
      <c r="E298" t="s">
        <v>301</v>
      </c>
    </row>
    <row r="299" spans="1:5" x14ac:dyDescent="0.35">
      <c r="A299" t="s">
        <v>382</v>
      </c>
      <c r="B299" t="s">
        <v>290</v>
      </c>
      <c r="C299" t="s">
        <v>425</v>
      </c>
      <c r="D299" t="s">
        <v>253</v>
      </c>
      <c r="E299" t="s">
        <v>301</v>
      </c>
    </row>
    <row r="300" spans="1:5" x14ac:dyDescent="0.35">
      <c r="A300" t="s">
        <v>382</v>
      </c>
      <c r="B300" t="s">
        <v>290</v>
      </c>
      <c r="C300" t="s">
        <v>425</v>
      </c>
      <c r="D300" t="s">
        <v>269</v>
      </c>
      <c r="E300" t="s">
        <v>301</v>
      </c>
    </row>
    <row r="301" spans="1:5" x14ac:dyDescent="0.35">
      <c r="A301" t="s">
        <v>382</v>
      </c>
      <c r="B301" t="s">
        <v>290</v>
      </c>
      <c r="C301" t="s">
        <v>425</v>
      </c>
      <c r="D301" t="s">
        <v>234</v>
      </c>
      <c r="E301" t="s">
        <v>301</v>
      </c>
    </row>
    <row r="302" spans="1:5" x14ac:dyDescent="0.35">
      <c r="A302" t="s">
        <v>382</v>
      </c>
      <c r="B302" t="s">
        <v>290</v>
      </c>
      <c r="C302" t="s">
        <v>425</v>
      </c>
      <c r="D302" t="s">
        <v>254</v>
      </c>
      <c r="E302" t="s">
        <v>301</v>
      </c>
    </row>
    <row r="303" spans="1:5" x14ac:dyDescent="0.35">
      <c r="A303" t="s">
        <v>382</v>
      </c>
      <c r="B303" t="s">
        <v>290</v>
      </c>
      <c r="C303" t="s">
        <v>425</v>
      </c>
      <c r="D303" t="s">
        <v>270</v>
      </c>
      <c r="E303" t="s">
        <v>301</v>
      </c>
    </row>
    <row r="304" spans="1:5" x14ac:dyDescent="0.35">
      <c r="A304" t="s">
        <v>382</v>
      </c>
      <c r="B304" t="s">
        <v>290</v>
      </c>
      <c r="C304" t="s">
        <v>425</v>
      </c>
      <c r="D304" t="s">
        <v>268</v>
      </c>
      <c r="E304" t="s">
        <v>301</v>
      </c>
    </row>
    <row r="305" spans="1:5" x14ac:dyDescent="0.35">
      <c r="A305" t="s">
        <v>382</v>
      </c>
      <c r="B305" t="s">
        <v>290</v>
      </c>
      <c r="C305" t="s">
        <v>425</v>
      </c>
      <c r="D305" t="s">
        <v>246</v>
      </c>
      <c r="E305" t="s">
        <v>301</v>
      </c>
    </row>
    <row r="306" spans="1:5" x14ac:dyDescent="0.35">
      <c r="A306" t="s">
        <v>394</v>
      </c>
      <c r="B306" t="s">
        <v>288</v>
      </c>
      <c r="C306" t="s">
        <v>232</v>
      </c>
      <c r="D306" t="s">
        <v>405</v>
      </c>
      <c r="E306" t="s">
        <v>299</v>
      </c>
    </row>
    <row r="307" spans="1:5" x14ac:dyDescent="0.35">
      <c r="A307" t="s">
        <v>394</v>
      </c>
      <c r="B307" t="s">
        <v>288</v>
      </c>
      <c r="C307" t="s">
        <v>232</v>
      </c>
      <c r="D307" t="s">
        <v>412</v>
      </c>
      <c r="E307" t="s">
        <v>299</v>
      </c>
    </row>
    <row r="308" spans="1:5" x14ac:dyDescent="0.35">
      <c r="A308" t="s">
        <v>394</v>
      </c>
      <c r="B308" t="s">
        <v>288</v>
      </c>
      <c r="C308" t="s">
        <v>232</v>
      </c>
      <c r="D308" t="s">
        <v>414</v>
      </c>
      <c r="E308" t="s">
        <v>299</v>
      </c>
    </row>
    <row r="309" spans="1:5" x14ac:dyDescent="0.35">
      <c r="A309" t="s">
        <v>394</v>
      </c>
      <c r="B309" t="s">
        <v>288</v>
      </c>
      <c r="C309" t="s">
        <v>232</v>
      </c>
      <c r="D309" t="s">
        <v>232</v>
      </c>
      <c r="E309" t="s">
        <v>299</v>
      </c>
    </row>
    <row r="310" spans="1:5" x14ac:dyDescent="0.35">
      <c r="A310" t="s">
        <v>394</v>
      </c>
      <c r="B310" t="s">
        <v>288</v>
      </c>
      <c r="C310" t="s">
        <v>232</v>
      </c>
      <c r="D310" t="s">
        <v>415</v>
      </c>
      <c r="E310" t="s">
        <v>299</v>
      </c>
    </row>
    <row r="311" spans="1:5" x14ac:dyDescent="0.35">
      <c r="A311" t="s">
        <v>394</v>
      </c>
      <c r="B311" t="s">
        <v>288</v>
      </c>
      <c r="C311" t="s">
        <v>232</v>
      </c>
      <c r="D311" t="s">
        <v>427</v>
      </c>
      <c r="E311" t="s">
        <v>299</v>
      </c>
    </row>
    <row r="312" spans="1:5" x14ac:dyDescent="0.35">
      <c r="A312" t="s">
        <v>394</v>
      </c>
      <c r="B312" t="s">
        <v>288</v>
      </c>
      <c r="C312" t="s">
        <v>232</v>
      </c>
      <c r="D312" t="s">
        <v>416</v>
      </c>
      <c r="E312" t="s">
        <v>299</v>
      </c>
    </row>
    <row r="313" spans="1:5" x14ac:dyDescent="0.35">
      <c r="A313" t="s">
        <v>394</v>
      </c>
      <c r="B313" t="s">
        <v>288</v>
      </c>
      <c r="C313" t="s">
        <v>232</v>
      </c>
      <c r="D313" t="s">
        <v>413</v>
      </c>
      <c r="E313" t="s">
        <v>299</v>
      </c>
    </row>
    <row r="314" spans="1:5" x14ac:dyDescent="0.35">
      <c r="A314" t="s">
        <v>394</v>
      </c>
      <c r="B314" t="s">
        <v>288</v>
      </c>
      <c r="C314" t="s">
        <v>232</v>
      </c>
      <c r="D314" t="s">
        <v>408</v>
      </c>
      <c r="E314" t="s">
        <v>299</v>
      </c>
    </row>
    <row r="315" spans="1:5" x14ac:dyDescent="0.35">
      <c r="A315" t="s">
        <v>394</v>
      </c>
      <c r="B315" t="s">
        <v>288</v>
      </c>
      <c r="C315" t="s">
        <v>232</v>
      </c>
      <c r="D315" t="s">
        <v>410</v>
      </c>
      <c r="E315" t="s">
        <v>299</v>
      </c>
    </row>
    <row r="316" spans="1:5" x14ac:dyDescent="0.35">
      <c r="A316" t="s">
        <v>394</v>
      </c>
      <c r="B316" t="s">
        <v>288</v>
      </c>
      <c r="C316" t="s">
        <v>232</v>
      </c>
      <c r="D316" t="s">
        <v>407</v>
      </c>
      <c r="E316" t="s">
        <v>299</v>
      </c>
    </row>
    <row r="317" spans="1:5" x14ac:dyDescent="0.35">
      <c r="A317" t="s">
        <v>394</v>
      </c>
      <c r="B317" t="s">
        <v>288</v>
      </c>
      <c r="C317" t="s">
        <v>232</v>
      </c>
      <c r="D317" t="s">
        <v>409</v>
      </c>
      <c r="E317" t="s">
        <v>299</v>
      </c>
    </row>
    <row r="318" spans="1:5" x14ac:dyDescent="0.35">
      <c r="A318" t="s">
        <v>394</v>
      </c>
      <c r="B318" t="s">
        <v>288</v>
      </c>
      <c r="C318" t="s">
        <v>232</v>
      </c>
      <c r="D318" t="s">
        <v>406</v>
      </c>
      <c r="E318" t="s">
        <v>299</v>
      </c>
    </row>
    <row r="319" spans="1:5" x14ac:dyDescent="0.35">
      <c r="A319" t="s">
        <v>394</v>
      </c>
      <c r="B319" t="s">
        <v>288</v>
      </c>
      <c r="C319" t="s">
        <v>222</v>
      </c>
      <c r="D319" t="s">
        <v>222</v>
      </c>
      <c r="E319" t="s">
        <v>299</v>
      </c>
    </row>
    <row r="320" spans="1:5" x14ac:dyDescent="0.35">
      <c r="A320" t="s">
        <v>394</v>
      </c>
      <c r="B320" t="s">
        <v>288</v>
      </c>
      <c r="C320" t="s">
        <v>222</v>
      </c>
      <c r="D320" t="s">
        <v>397</v>
      </c>
      <c r="E320" t="s">
        <v>299</v>
      </c>
    </row>
    <row r="321" spans="1:5" x14ac:dyDescent="0.35">
      <c r="A321" t="s">
        <v>394</v>
      </c>
      <c r="B321" t="s">
        <v>288</v>
      </c>
      <c r="C321" t="s">
        <v>222</v>
      </c>
      <c r="D321" t="s">
        <v>428</v>
      </c>
      <c r="E321" t="s">
        <v>299</v>
      </c>
    </row>
    <row r="322" spans="1:5" x14ac:dyDescent="0.35">
      <c r="A322" t="s">
        <v>394</v>
      </c>
      <c r="B322" t="s">
        <v>288</v>
      </c>
      <c r="C322" t="s">
        <v>222</v>
      </c>
      <c r="D322" t="s">
        <v>398</v>
      </c>
      <c r="E322" t="s">
        <v>299</v>
      </c>
    </row>
    <row r="323" spans="1:5" x14ac:dyDescent="0.35">
      <c r="A323" t="s">
        <v>394</v>
      </c>
      <c r="B323" t="s">
        <v>288</v>
      </c>
      <c r="C323" t="s">
        <v>222</v>
      </c>
      <c r="D323" t="s">
        <v>400</v>
      </c>
      <c r="E323" t="s">
        <v>299</v>
      </c>
    </row>
    <row r="324" spans="1:5" x14ac:dyDescent="0.35">
      <c r="A324" t="s">
        <v>394</v>
      </c>
      <c r="B324" t="s">
        <v>288</v>
      </c>
      <c r="C324" t="s">
        <v>222</v>
      </c>
      <c r="D324" t="s">
        <v>401</v>
      </c>
      <c r="E324" t="s">
        <v>299</v>
      </c>
    </row>
    <row r="325" spans="1:5" x14ac:dyDescent="0.35">
      <c r="A325" t="s">
        <v>394</v>
      </c>
      <c r="B325" t="s">
        <v>288</v>
      </c>
      <c r="C325" t="s">
        <v>222</v>
      </c>
      <c r="D325" t="s">
        <v>399</v>
      </c>
      <c r="E325" t="s">
        <v>299</v>
      </c>
    </row>
    <row r="326" spans="1:5" x14ac:dyDescent="0.35">
      <c r="A326" t="s">
        <v>394</v>
      </c>
      <c r="B326" t="s">
        <v>288</v>
      </c>
      <c r="C326" t="s">
        <v>222</v>
      </c>
      <c r="D326" t="s">
        <v>403</v>
      </c>
      <c r="E326" t="s">
        <v>299</v>
      </c>
    </row>
    <row r="327" spans="1:5" x14ac:dyDescent="0.35">
      <c r="A327" t="s">
        <v>394</v>
      </c>
      <c r="B327" t="s">
        <v>288</v>
      </c>
      <c r="C327" t="s">
        <v>222</v>
      </c>
      <c r="D327" t="s">
        <v>404</v>
      </c>
      <c r="E327" t="s">
        <v>299</v>
      </c>
    </row>
    <row r="328" spans="1:5" x14ac:dyDescent="0.35">
      <c r="A328" t="s">
        <v>394</v>
      </c>
      <c r="B328" t="s">
        <v>288</v>
      </c>
      <c r="C328" t="s">
        <v>222</v>
      </c>
      <c r="D328" t="s">
        <v>402</v>
      </c>
      <c r="E328" t="s">
        <v>299</v>
      </c>
    </row>
    <row r="329" spans="1:5" x14ac:dyDescent="0.35">
      <c r="A329" t="s">
        <v>394</v>
      </c>
      <c r="B329" t="s">
        <v>291</v>
      </c>
      <c r="C329" t="s">
        <v>425</v>
      </c>
      <c r="D329" t="s">
        <v>269</v>
      </c>
      <c r="E329" t="s">
        <v>302</v>
      </c>
    </row>
    <row r="330" spans="1:5" x14ac:dyDescent="0.35">
      <c r="A330" t="s">
        <v>394</v>
      </c>
      <c r="B330" t="s">
        <v>291</v>
      </c>
      <c r="C330" t="s">
        <v>425</v>
      </c>
      <c r="D330" t="s">
        <v>417</v>
      </c>
      <c r="E330" t="s">
        <v>302</v>
      </c>
    </row>
    <row r="331" spans="1:5" x14ac:dyDescent="0.35">
      <c r="A331" t="s">
        <v>394</v>
      </c>
      <c r="B331" t="s">
        <v>291</v>
      </c>
      <c r="C331" t="s">
        <v>425</v>
      </c>
      <c r="D331" t="s">
        <v>419</v>
      </c>
      <c r="E331" t="s">
        <v>302</v>
      </c>
    </row>
    <row r="332" spans="1:5" x14ac:dyDescent="0.35">
      <c r="A332" t="s">
        <v>394</v>
      </c>
      <c r="B332" t="s">
        <v>291</v>
      </c>
      <c r="C332" t="s">
        <v>425</v>
      </c>
      <c r="D332" t="s">
        <v>249</v>
      </c>
      <c r="E332" t="s">
        <v>302</v>
      </c>
    </row>
    <row r="333" spans="1:5" x14ac:dyDescent="0.35">
      <c r="A333" t="s">
        <v>394</v>
      </c>
      <c r="B333" t="s">
        <v>291</v>
      </c>
      <c r="C333" t="s">
        <v>425</v>
      </c>
      <c r="D333" t="s">
        <v>248</v>
      </c>
      <c r="E333" t="s">
        <v>302</v>
      </c>
    </row>
    <row r="334" spans="1:5" x14ac:dyDescent="0.35">
      <c r="A334" t="s">
        <v>394</v>
      </c>
      <c r="B334" t="s">
        <v>291</v>
      </c>
      <c r="C334" t="s">
        <v>425</v>
      </c>
      <c r="D334" t="s">
        <v>244</v>
      </c>
      <c r="E334" t="s">
        <v>302</v>
      </c>
    </row>
    <row r="335" spans="1:5" x14ac:dyDescent="0.35">
      <c r="A335" t="s">
        <v>394</v>
      </c>
      <c r="B335" t="s">
        <v>291</v>
      </c>
      <c r="C335" t="s">
        <v>425</v>
      </c>
      <c r="D335" t="s">
        <v>229</v>
      </c>
      <c r="E335" t="s">
        <v>302</v>
      </c>
    </row>
    <row r="336" spans="1:5" x14ac:dyDescent="0.35">
      <c r="A336" t="s">
        <v>394</v>
      </c>
      <c r="B336" t="s">
        <v>291</v>
      </c>
      <c r="C336" t="s">
        <v>425</v>
      </c>
      <c r="D336" t="s">
        <v>240</v>
      </c>
      <c r="E336" t="s">
        <v>302</v>
      </c>
    </row>
    <row r="337" spans="1:5" x14ac:dyDescent="0.35">
      <c r="A337" t="s">
        <v>394</v>
      </c>
      <c r="B337" t="s">
        <v>291</v>
      </c>
      <c r="C337" t="s">
        <v>425</v>
      </c>
      <c r="D337" t="s">
        <v>247</v>
      </c>
      <c r="E337" t="s">
        <v>302</v>
      </c>
    </row>
    <row r="338" spans="1:5" x14ac:dyDescent="0.35">
      <c r="A338" t="s">
        <v>394</v>
      </c>
      <c r="B338" t="s">
        <v>291</v>
      </c>
      <c r="C338" t="s">
        <v>425</v>
      </c>
      <c r="D338" t="s">
        <v>265</v>
      </c>
      <c r="E338" t="s">
        <v>302</v>
      </c>
    </row>
    <row r="339" spans="1:5" x14ac:dyDescent="0.35">
      <c r="A339" t="s">
        <v>394</v>
      </c>
      <c r="B339" t="s">
        <v>291</v>
      </c>
      <c r="C339" t="s">
        <v>425</v>
      </c>
      <c r="D339" t="s">
        <v>260</v>
      </c>
      <c r="E339" t="s">
        <v>302</v>
      </c>
    </row>
    <row r="340" spans="1:5" x14ac:dyDescent="0.35">
      <c r="A340" t="s">
        <v>394</v>
      </c>
      <c r="B340" t="s">
        <v>291</v>
      </c>
      <c r="C340" t="s">
        <v>425</v>
      </c>
      <c r="D340" t="s">
        <v>234</v>
      </c>
      <c r="E340" t="s">
        <v>302</v>
      </c>
    </row>
    <row r="341" spans="1:5" x14ac:dyDescent="0.35">
      <c r="A341" t="s">
        <v>394</v>
      </c>
      <c r="B341" t="s">
        <v>291</v>
      </c>
      <c r="C341" t="s">
        <v>425</v>
      </c>
      <c r="D341" t="s">
        <v>252</v>
      </c>
      <c r="E341" t="s">
        <v>302</v>
      </c>
    </row>
    <row r="342" spans="1:5" x14ac:dyDescent="0.35">
      <c r="A342" t="s">
        <v>394</v>
      </c>
      <c r="B342" t="s">
        <v>291</v>
      </c>
      <c r="C342" t="s">
        <v>425</v>
      </c>
      <c r="D342" t="s">
        <v>246</v>
      </c>
      <c r="E342" t="s">
        <v>302</v>
      </c>
    </row>
    <row r="343" spans="1:5" x14ac:dyDescent="0.35">
      <c r="A343" t="s">
        <v>394</v>
      </c>
      <c r="B343" t="s">
        <v>291</v>
      </c>
      <c r="C343" t="s">
        <v>425</v>
      </c>
      <c r="D343" t="s">
        <v>235</v>
      </c>
      <c r="E343" t="s">
        <v>302</v>
      </c>
    </row>
    <row r="344" spans="1:5" x14ac:dyDescent="0.35">
      <c r="A344" t="s">
        <v>394</v>
      </c>
      <c r="B344" t="s">
        <v>291</v>
      </c>
      <c r="C344" t="s">
        <v>425</v>
      </c>
      <c r="D344" t="s">
        <v>245</v>
      </c>
      <c r="E344" t="s">
        <v>302</v>
      </c>
    </row>
    <row r="345" spans="1:5" x14ac:dyDescent="0.35">
      <c r="A345" t="s">
        <v>394</v>
      </c>
      <c r="B345" t="s">
        <v>291</v>
      </c>
      <c r="C345" t="s">
        <v>425</v>
      </c>
      <c r="D345" t="s">
        <v>259</v>
      </c>
      <c r="E345" t="s">
        <v>302</v>
      </c>
    </row>
    <row r="346" spans="1:5" x14ac:dyDescent="0.35">
      <c r="A346" t="s">
        <v>394</v>
      </c>
      <c r="B346" t="s">
        <v>291</v>
      </c>
      <c r="C346" t="s">
        <v>425</v>
      </c>
      <c r="D346" t="s">
        <v>239</v>
      </c>
      <c r="E346" t="s">
        <v>302</v>
      </c>
    </row>
    <row r="347" spans="1:5" x14ac:dyDescent="0.35">
      <c r="A347" t="s">
        <v>394</v>
      </c>
      <c r="B347" t="s">
        <v>291</v>
      </c>
      <c r="C347" t="s">
        <v>425</v>
      </c>
      <c r="D347" t="s">
        <v>268</v>
      </c>
      <c r="E347" t="s">
        <v>302</v>
      </c>
    </row>
    <row r="348" spans="1:5" x14ac:dyDescent="0.35">
      <c r="A348" t="s">
        <v>394</v>
      </c>
      <c r="B348" t="s">
        <v>291</v>
      </c>
      <c r="C348" t="s">
        <v>425</v>
      </c>
      <c r="D348" t="s">
        <v>267</v>
      </c>
      <c r="E348" t="s">
        <v>302</v>
      </c>
    </row>
    <row r="349" spans="1:5" x14ac:dyDescent="0.35">
      <c r="A349" t="s">
        <v>394</v>
      </c>
      <c r="B349" t="s">
        <v>291</v>
      </c>
      <c r="C349" t="s">
        <v>425</v>
      </c>
      <c r="D349" t="s">
        <v>254</v>
      </c>
      <c r="E349" t="s">
        <v>302</v>
      </c>
    </row>
    <row r="350" spans="1:5" x14ac:dyDescent="0.35">
      <c r="A350" t="s">
        <v>394</v>
      </c>
      <c r="B350" t="s">
        <v>291</v>
      </c>
      <c r="C350" t="s">
        <v>425</v>
      </c>
      <c r="D350" t="s">
        <v>272</v>
      </c>
      <c r="E350" t="s">
        <v>302</v>
      </c>
    </row>
    <row r="351" spans="1:5" x14ac:dyDescent="0.35">
      <c r="A351" t="s">
        <v>394</v>
      </c>
      <c r="B351" t="s">
        <v>291</v>
      </c>
      <c r="C351" t="s">
        <v>425</v>
      </c>
      <c r="D351" t="s">
        <v>270</v>
      </c>
      <c r="E351" t="s">
        <v>302</v>
      </c>
    </row>
    <row r="352" spans="1:5" x14ac:dyDescent="0.35">
      <c r="A352" t="s">
        <v>394</v>
      </c>
      <c r="B352" t="s">
        <v>291</v>
      </c>
      <c r="C352" t="s">
        <v>425</v>
      </c>
      <c r="D352" t="s">
        <v>266</v>
      </c>
      <c r="E352" t="s">
        <v>302</v>
      </c>
    </row>
    <row r="353" spans="1:6" x14ac:dyDescent="0.35">
      <c r="A353" t="s">
        <v>394</v>
      </c>
      <c r="B353" t="s">
        <v>291</v>
      </c>
      <c r="C353" t="s">
        <v>425</v>
      </c>
      <c r="D353" t="s">
        <v>39</v>
      </c>
      <c r="E353" t="s">
        <v>302</v>
      </c>
    </row>
    <row r="354" spans="1:6" x14ac:dyDescent="0.35">
      <c r="A354" t="s">
        <v>394</v>
      </c>
      <c r="B354" t="s">
        <v>291</v>
      </c>
      <c r="C354" t="s">
        <v>425</v>
      </c>
      <c r="D354" t="s">
        <v>273</v>
      </c>
      <c r="E354" t="s">
        <v>302</v>
      </c>
    </row>
    <row r="355" spans="1:6" x14ac:dyDescent="0.35">
      <c r="A355" t="s">
        <v>394</v>
      </c>
      <c r="B355" t="s">
        <v>290</v>
      </c>
      <c r="C355" t="s">
        <v>426</v>
      </c>
      <c r="D355" t="s">
        <v>418</v>
      </c>
      <c r="E355" t="s">
        <v>301</v>
      </c>
      <c r="F355">
        <v>21</v>
      </c>
    </row>
    <row r="356" spans="1:6" x14ac:dyDescent="0.35">
      <c r="A356" t="s">
        <v>394</v>
      </c>
      <c r="B356" t="s">
        <v>290</v>
      </c>
      <c r="C356" t="s">
        <v>425</v>
      </c>
      <c r="D356" t="s">
        <v>255</v>
      </c>
      <c r="E356" t="s">
        <v>301</v>
      </c>
      <c r="F356">
        <v>1001</v>
      </c>
    </row>
    <row r="357" spans="1:6" x14ac:dyDescent="0.35">
      <c r="A357" t="s">
        <v>394</v>
      </c>
      <c r="B357" t="s">
        <v>290</v>
      </c>
      <c r="C357" t="s">
        <v>425</v>
      </c>
      <c r="D357" t="s">
        <v>239</v>
      </c>
      <c r="E357" t="s">
        <v>301</v>
      </c>
      <c r="F357">
        <v>763</v>
      </c>
    </row>
    <row r="358" spans="1:6" x14ac:dyDescent="0.35">
      <c r="A358" t="s">
        <v>394</v>
      </c>
      <c r="B358" t="s">
        <v>290</v>
      </c>
      <c r="C358" t="s">
        <v>425</v>
      </c>
      <c r="D358" t="s">
        <v>270</v>
      </c>
      <c r="E358" t="s">
        <v>301</v>
      </c>
      <c r="F358">
        <v>1149</v>
      </c>
    </row>
    <row r="359" spans="1:6" x14ac:dyDescent="0.35">
      <c r="A359" t="s">
        <v>394</v>
      </c>
      <c r="B359" t="s">
        <v>290</v>
      </c>
      <c r="C359" t="s">
        <v>425</v>
      </c>
      <c r="D359" t="s">
        <v>253</v>
      </c>
      <c r="E359" t="s">
        <v>301</v>
      </c>
      <c r="F359">
        <v>503</v>
      </c>
    </row>
    <row r="360" spans="1:6" x14ac:dyDescent="0.35">
      <c r="A360" t="s">
        <v>394</v>
      </c>
      <c r="B360" t="s">
        <v>290</v>
      </c>
      <c r="C360" t="s">
        <v>425</v>
      </c>
      <c r="D360" t="s">
        <v>267</v>
      </c>
      <c r="E360" t="s">
        <v>301</v>
      </c>
      <c r="F360">
        <v>1189</v>
      </c>
    </row>
    <row r="361" spans="1:6" x14ac:dyDescent="0.35">
      <c r="A361" t="s">
        <v>394</v>
      </c>
      <c r="B361" t="s">
        <v>290</v>
      </c>
      <c r="C361" t="s">
        <v>425</v>
      </c>
      <c r="D361" t="s">
        <v>268</v>
      </c>
      <c r="E361" t="s">
        <v>301</v>
      </c>
      <c r="F361">
        <v>1145</v>
      </c>
    </row>
    <row r="362" spans="1:6" x14ac:dyDescent="0.35">
      <c r="A362" t="s">
        <v>394</v>
      </c>
      <c r="B362" t="s">
        <v>290</v>
      </c>
      <c r="C362" t="s">
        <v>425</v>
      </c>
      <c r="D362" t="s">
        <v>266</v>
      </c>
      <c r="E362" t="s">
        <v>301</v>
      </c>
      <c r="F362">
        <v>2295</v>
      </c>
    </row>
    <row r="363" spans="1:6" x14ac:dyDescent="0.35">
      <c r="A363" t="s">
        <v>394</v>
      </c>
      <c r="B363" t="s">
        <v>290</v>
      </c>
      <c r="C363" t="s">
        <v>425</v>
      </c>
      <c r="D363" t="s">
        <v>269</v>
      </c>
      <c r="E363" t="s">
        <v>301</v>
      </c>
      <c r="F363">
        <v>1171</v>
      </c>
    </row>
    <row r="364" spans="1:6" x14ac:dyDescent="0.35">
      <c r="A364" t="s">
        <v>394</v>
      </c>
      <c r="B364" t="s">
        <v>290</v>
      </c>
      <c r="C364" t="s">
        <v>425</v>
      </c>
      <c r="D364" t="s">
        <v>229</v>
      </c>
      <c r="E364" t="s">
        <v>301</v>
      </c>
      <c r="F364">
        <v>725</v>
      </c>
    </row>
    <row r="365" spans="1:6" x14ac:dyDescent="0.35">
      <c r="A365" t="s">
        <v>394</v>
      </c>
      <c r="B365" t="s">
        <v>290</v>
      </c>
      <c r="C365" t="s">
        <v>425</v>
      </c>
      <c r="D365" t="s">
        <v>265</v>
      </c>
      <c r="E365" t="s">
        <v>301</v>
      </c>
      <c r="F365">
        <v>273</v>
      </c>
    </row>
    <row r="366" spans="1:6" x14ac:dyDescent="0.35">
      <c r="A366" t="s">
        <v>394</v>
      </c>
      <c r="B366" t="s">
        <v>290</v>
      </c>
      <c r="C366" t="s">
        <v>425</v>
      </c>
      <c r="D366" t="s">
        <v>252</v>
      </c>
      <c r="E366" t="s">
        <v>301</v>
      </c>
      <c r="F366">
        <v>896</v>
      </c>
    </row>
    <row r="367" spans="1:6" x14ac:dyDescent="0.35">
      <c r="A367" t="s">
        <v>394</v>
      </c>
      <c r="B367" t="s">
        <v>290</v>
      </c>
      <c r="C367" t="s">
        <v>425</v>
      </c>
      <c r="D367" t="s">
        <v>250</v>
      </c>
      <c r="E367" t="s">
        <v>301</v>
      </c>
      <c r="F367">
        <v>725</v>
      </c>
    </row>
    <row r="368" spans="1:6" x14ac:dyDescent="0.35">
      <c r="A368" t="s">
        <v>394</v>
      </c>
      <c r="B368" t="s">
        <v>290</v>
      </c>
      <c r="C368" t="s">
        <v>425</v>
      </c>
      <c r="D368" t="s">
        <v>254</v>
      </c>
      <c r="E368" t="s">
        <v>301</v>
      </c>
      <c r="F368">
        <v>1103</v>
      </c>
    </row>
    <row r="369" spans="1:6" x14ac:dyDescent="0.35">
      <c r="A369" t="s">
        <v>394</v>
      </c>
      <c r="B369" t="s">
        <v>290</v>
      </c>
      <c r="C369" t="s">
        <v>425</v>
      </c>
      <c r="D369" t="s">
        <v>240</v>
      </c>
      <c r="E369" t="s">
        <v>301</v>
      </c>
      <c r="F369">
        <v>3229</v>
      </c>
    </row>
    <row r="370" spans="1:6" x14ac:dyDescent="0.35">
      <c r="A370" t="s">
        <v>394</v>
      </c>
      <c r="B370" t="s">
        <v>290</v>
      </c>
      <c r="C370" t="s">
        <v>425</v>
      </c>
      <c r="D370" t="s">
        <v>249</v>
      </c>
      <c r="E370" t="s">
        <v>301</v>
      </c>
      <c r="F370">
        <v>1641</v>
      </c>
    </row>
    <row r="371" spans="1:6" x14ac:dyDescent="0.35">
      <c r="A371" t="s">
        <v>394</v>
      </c>
      <c r="B371" t="s">
        <v>290</v>
      </c>
      <c r="C371" t="s">
        <v>425</v>
      </c>
      <c r="D371" t="s">
        <v>235</v>
      </c>
      <c r="E371" t="s">
        <v>301</v>
      </c>
      <c r="F371">
        <v>808</v>
      </c>
    </row>
    <row r="372" spans="1:6" x14ac:dyDescent="0.35">
      <c r="A372" t="s">
        <v>394</v>
      </c>
      <c r="B372" t="s">
        <v>290</v>
      </c>
      <c r="C372" t="s">
        <v>425</v>
      </c>
      <c r="D372" t="s">
        <v>260</v>
      </c>
      <c r="E372" t="s">
        <v>301</v>
      </c>
      <c r="F372">
        <v>2063</v>
      </c>
    </row>
    <row r="373" spans="1:6" x14ac:dyDescent="0.35">
      <c r="A373" t="s">
        <v>394</v>
      </c>
      <c r="B373" t="s">
        <v>290</v>
      </c>
      <c r="C373" t="s">
        <v>425</v>
      </c>
      <c r="D373" t="s">
        <v>247</v>
      </c>
      <c r="E373" t="s">
        <v>301</v>
      </c>
      <c r="F373">
        <v>2929</v>
      </c>
    </row>
    <row r="374" spans="1:6" x14ac:dyDescent="0.35">
      <c r="A374" t="s">
        <v>394</v>
      </c>
      <c r="B374" t="s">
        <v>290</v>
      </c>
      <c r="C374" t="s">
        <v>425</v>
      </c>
      <c r="D374" t="s">
        <v>244</v>
      </c>
      <c r="E374" t="s">
        <v>301</v>
      </c>
      <c r="F374">
        <v>1663</v>
      </c>
    </row>
    <row r="375" spans="1:6" x14ac:dyDescent="0.35">
      <c r="A375" t="s">
        <v>394</v>
      </c>
      <c r="B375" t="s">
        <v>290</v>
      </c>
      <c r="C375" t="s">
        <v>425</v>
      </c>
      <c r="D375" t="s">
        <v>234</v>
      </c>
      <c r="E375" t="s">
        <v>301</v>
      </c>
      <c r="F375">
        <v>438</v>
      </c>
    </row>
    <row r="376" spans="1:6" x14ac:dyDescent="0.35">
      <c r="A376" t="s">
        <v>394</v>
      </c>
      <c r="B376" t="s">
        <v>290</v>
      </c>
      <c r="C376" t="s">
        <v>425</v>
      </c>
      <c r="D376" t="s">
        <v>245</v>
      </c>
      <c r="E376" t="s">
        <v>301</v>
      </c>
      <c r="F376">
        <v>511</v>
      </c>
    </row>
    <row r="377" spans="1:6" x14ac:dyDescent="0.35">
      <c r="A377" t="s">
        <v>394</v>
      </c>
      <c r="B377" t="s">
        <v>290</v>
      </c>
      <c r="C377" t="s">
        <v>425</v>
      </c>
      <c r="D377" t="s">
        <v>246</v>
      </c>
      <c r="E377" t="s">
        <v>301</v>
      </c>
      <c r="F377">
        <v>826</v>
      </c>
    </row>
    <row r="378" spans="1:6" x14ac:dyDescent="0.35">
      <c r="A378" t="s">
        <v>394</v>
      </c>
      <c r="B378" t="s">
        <v>290</v>
      </c>
      <c r="C378" t="s">
        <v>425</v>
      </c>
      <c r="D378" t="s">
        <v>259</v>
      </c>
      <c r="E378" t="s">
        <v>301</v>
      </c>
      <c r="F378">
        <v>973</v>
      </c>
    </row>
    <row r="379" spans="1:6" x14ac:dyDescent="0.35">
      <c r="A379" t="s">
        <v>394</v>
      </c>
      <c r="B379" t="s">
        <v>290</v>
      </c>
      <c r="C379" t="s">
        <v>425</v>
      </c>
      <c r="D379" t="s">
        <v>417</v>
      </c>
      <c r="E379" t="s">
        <v>301</v>
      </c>
      <c r="F379">
        <v>1103</v>
      </c>
    </row>
    <row r="380" spans="1:6" x14ac:dyDescent="0.35">
      <c r="A380" t="s">
        <v>394</v>
      </c>
      <c r="B380" t="s">
        <v>290</v>
      </c>
      <c r="C380" t="s">
        <v>425</v>
      </c>
      <c r="D380" t="s">
        <v>248</v>
      </c>
      <c r="E380" t="s">
        <v>301</v>
      </c>
      <c r="F380">
        <v>1612</v>
      </c>
    </row>
    <row r="381" spans="1:6" x14ac:dyDescent="0.35">
      <c r="A381" t="s">
        <v>394</v>
      </c>
      <c r="B381" t="s">
        <v>290</v>
      </c>
      <c r="C381" t="s">
        <v>425</v>
      </c>
      <c r="D381" t="s">
        <v>261</v>
      </c>
      <c r="E381" t="s">
        <v>301</v>
      </c>
      <c r="F381">
        <v>368</v>
      </c>
    </row>
    <row r="382" spans="1:6" x14ac:dyDescent="0.35">
      <c r="A382" t="s">
        <v>395</v>
      </c>
      <c r="B382" t="s">
        <v>288</v>
      </c>
      <c r="C382" t="s">
        <v>232</v>
      </c>
      <c r="D382" t="s">
        <v>408</v>
      </c>
      <c r="E382" t="s">
        <v>299</v>
      </c>
      <c r="F382">
        <v>472</v>
      </c>
    </row>
    <row r="383" spans="1:6" x14ac:dyDescent="0.35">
      <c r="A383" t="s">
        <v>395</v>
      </c>
      <c r="B383" t="s">
        <v>288</v>
      </c>
      <c r="C383" t="s">
        <v>232</v>
      </c>
      <c r="D383" t="s">
        <v>416</v>
      </c>
      <c r="E383" t="s">
        <v>299</v>
      </c>
      <c r="F383">
        <v>1042</v>
      </c>
    </row>
    <row r="384" spans="1:6" x14ac:dyDescent="0.35">
      <c r="A384" t="s">
        <v>395</v>
      </c>
      <c r="B384" t="s">
        <v>288</v>
      </c>
      <c r="C384" t="s">
        <v>232</v>
      </c>
      <c r="D384" t="s">
        <v>407</v>
      </c>
      <c r="E384" t="s">
        <v>299</v>
      </c>
      <c r="F384">
        <v>1157</v>
      </c>
    </row>
    <row r="385" spans="1:6" x14ac:dyDescent="0.35">
      <c r="A385" t="s">
        <v>395</v>
      </c>
      <c r="B385" t="s">
        <v>288</v>
      </c>
      <c r="C385" t="s">
        <v>232</v>
      </c>
      <c r="D385" t="s">
        <v>405</v>
      </c>
      <c r="E385" t="s">
        <v>299</v>
      </c>
      <c r="F385">
        <v>844</v>
      </c>
    </row>
    <row r="386" spans="1:6" x14ac:dyDescent="0.35">
      <c r="A386" t="s">
        <v>395</v>
      </c>
      <c r="B386" t="s">
        <v>288</v>
      </c>
      <c r="C386" t="s">
        <v>232</v>
      </c>
      <c r="D386" t="s">
        <v>427</v>
      </c>
      <c r="E386" t="s">
        <v>299</v>
      </c>
      <c r="F386" t="s">
        <v>206</v>
      </c>
    </row>
    <row r="387" spans="1:6" x14ac:dyDescent="0.35">
      <c r="A387" t="s">
        <v>395</v>
      </c>
      <c r="B387" t="s">
        <v>288</v>
      </c>
      <c r="C387" t="s">
        <v>232</v>
      </c>
      <c r="D387" t="s">
        <v>410</v>
      </c>
      <c r="E387" t="s">
        <v>299</v>
      </c>
      <c r="F387">
        <v>60</v>
      </c>
    </row>
    <row r="388" spans="1:6" x14ac:dyDescent="0.35">
      <c r="A388" t="s">
        <v>395</v>
      </c>
      <c r="B388" t="s">
        <v>288</v>
      </c>
      <c r="C388" t="s">
        <v>232</v>
      </c>
      <c r="D388" t="s">
        <v>412</v>
      </c>
      <c r="E388" t="s">
        <v>299</v>
      </c>
      <c r="F388">
        <v>4429</v>
      </c>
    </row>
    <row r="389" spans="1:6" x14ac:dyDescent="0.35">
      <c r="A389" t="s">
        <v>395</v>
      </c>
      <c r="B389" t="s">
        <v>288</v>
      </c>
      <c r="C389" t="s">
        <v>232</v>
      </c>
      <c r="D389" t="s">
        <v>406</v>
      </c>
      <c r="E389" t="s">
        <v>299</v>
      </c>
      <c r="F389">
        <v>2672</v>
      </c>
    </row>
    <row r="390" spans="1:6" x14ac:dyDescent="0.35">
      <c r="A390" t="s">
        <v>395</v>
      </c>
      <c r="B390" t="s">
        <v>288</v>
      </c>
      <c r="C390" t="s">
        <v>232</v>
      </c>
      <c r="D390" t="s">
        <v>413</v>
      </c>
      <c r="E390" t="s">
        <v>299</v>
      </c>
      <c r="F390">
        <v>3527</v>
      </c>
    </row>
    <row r="391" spans="1:6" x14ac:dyDescent="0.35">
      <c r="A391" t="s">
        <v>395</v>
      </c>
      <c r="B391" t="s">
        <v>288</v>
      </c>
      <c r="C391" t="s">
        <v>232</v>
      </c>
      <c r="D391" t="s">
        <v>409</v>
      </c>
      <c r="E391" t="s">
        <v>299</v>
      </c>
      <c r="F391">
        <v>283</v>
      </c>
    </row>
    <row r="392" spans="1:6" x14ac:dyDescent="0.35">
      <c r="A392" t="s">
        <v>395</v>
      </c>
      <c r="B392" t="s">
        <v>288</v>
      </c>
      <c r="C392" t="s">
        <v>232</v>
      </c>
      <c r="D392" t="s">
        <v>414</v>
      </c>
      <c r="E392" t="s">
        <v>299</v>
      </c>
      <c r="F392">
        <v>418</v>
      </c>
    </row>
    <row r="393" spans="1:6" x14ac:dyDescent="0.35">
      <c r="A393" t="s">
        <v>395</v>
      </c>
      <c r="B393" t="s">
        <v>288</v>
      </c>
      <c r="C393" t="s">
        <v>232</v>
      </c>
      <c r="D393" t="s">
        <v>232</v>
      </c>
      <c r="E393" t="s">
        <v>299</v>
      </c>
      <c r="F393">
        <v>15181</v>
      </c>
    </row>
    <row r="394" spans="1:6" x14ac:dyDescent="0.35">
      <c r="A394" t="s">
        <v>395</v>
      </c>
      <c r="B394" t="s">
        <v>288</v>
      </c>
      <c r="C394" t="s">
        <v>232</v>
      </c>
      <c r="D394" t="s">
        <v>415</v>
      </c>
      <c r="E394" t="s">
        <v>299</v>
      </c>
      <c r="F394">
        <v>277</v>
      </c>
    </row>
    <row r="395" spans="1:6" x14ac:dyDescent="0.35">
      <c r="A395" t="s">
        <v>395</v>
      </c>
      <c r="B395" t="s">
        <v>288</v>
      </c>
      <c r="C395" t="s">
        <v>222</v>
      </c>
      <c r="D395" t="s">
        <v>397</v>
      </c>
      <c r="E395" t="s">
        <v>299</v>
      </c>
      <c r="F395">
        <v>17082</v>
      </c>
    </row>
    <row r="396" spans="1:6" x14ac:dyDescent="0.35">
      <c r="A396" t="s">
        <v>395</v>
      </c>
      <c r="B396" t="s">
        <v>288</v>
      </c>
      <c r="C396" t="s">
        <v>222</v>
      </c>
      <c r="D396" t="s">
        <v>401</v>
      </c>
      <c r="E396" t="s">
        <v>299</v>
      </c>
      <c r="F396">
        <v>60992</v>
      </c>
    </row>
    <row r="397" spans="1:6" x14ac:dyDescent="0.35">
      <c r="A397" t="s">
        <v>395</v>
      </c>
      <c r="B397" t="s">
        <v>288</v>
      </c>
      <c r="C397" t="s">
        <v>222</v>
      </c>
      <c r="D397" t="s">
        <v>222</v>
      </c>
      <c r="E397" t="s">
        <v>299</v>
      </c>
      <c r="F397">
        <v>540851</v>
      </c>
    </row>
    <row r="398" spans="1:6" x14ac:dyDescent="0.35">
      <c r="A398" t="s">
        <v>395</v>
      </c>
      <c r="B398" t="s">
        <v>288</v>
      </c>
      <c r="C398" t="s">
        <v>222</v>
      </c>
      <c r="D398" t="s">
        <v>404</v>
      </c>
      <c r="E398" t="s">
        <v>299</v>
      </c>
      <c r="F398">
        <v>6952</v>
      </c>
    </row>
    <row r="399" spans="1:6" x14ac:dyDescent="0.35">
      <c r="A399" t="s">
        <v>395</v>
      </c>
      <c r="B399" t="s">
        <v>288</v>
      </c>
      <c r="C399" t="s">
        <v>222</v>
      </c>
      <c r="D399" t="s">
        <v>400</v>
      </c>
      <c r="E399" t="s">
        <v>299</v>
      </c>
      <c r="F399">
        <v>40571</v>
      </c>
    </row>
    <row r="400" spans="1:6" x14ac:dyDescent="0.35">
      <c r="A400" t="s">
        <v>395</v>
      </c>
      <c r="B400" t="s">
        <v>288</v>
      </c>
      <c r="C400" t="s">
        <v>222</v>
      </c>
      <c r="D400" t="s">
        <v>399</v>
      </c>
      <c r="E400" t="s">
        <v>299</v>
      </c>
      <c r="F400">
        <v>14998</v>
      </c>
    </row>
    <row r="401" spans="1:6" x14ac:dyDescent="0.35">
      <c r="A401" t="s">
        <v>395</v>
      </c>
      <c r="B401" t="s">
        <v>288</v>
      </c>
      <c r="C401" t="s">
        <v>222</v>
      </c>
      <c r="D401" t="s">
        <v>398</v>
      </c>
      <c r="E401" t="s">
        <v>299</v>
      </c>
      <c r="F401">
        <v>33520</v>
      </c>
    </row>
    <row r="402" spans="1:6" x14ac:dyDescent="0.35">
      <c r="A402" t="s">
        <v>395</v>
      </c>
      <c r="B402" t="s">
        <v>288</v>
      </c>
      <c r="C402" t="s">
        <v>222</v>
      </c>
      <c r="D402" t="s">
        <v>402</v>
      </c>
      <c r="E402" t="s">
        <v>299</v>
      </c>
      <c r="F402">
        <v>118712</v>
      </c>
    </row>
    <row r="403" spans="1:6" x14ac:dyDescent="0.35">
      <c r="A403" t="s">
        <v>395</v>
      </c>
      <c r="B403" t="s">
        <v>288</v>
      </c>
      <c r="C403" t="s">
        <v>222</v>
      </c>
      <c r="D403" t="s">
        <v>428</v>
      </c>
      <c r="E403" t="s">
        <v>299</v>
      </c>
      <c r="F403">
        <v>6357</v>
      </c>
    </row>
    <row r="404" spans="1:6" x14ac:dyDescent="0.35">
      <c r="A404" t="s">
        <v>395</v>
      </c>
      <c r="B404" t="s">
        <v>288</v>
      </c>
      <c r="C404" t="s">
        <v>222</v>
      </c>
      <c r="D404" t="s">
        <v>403</v>
      </c>
      <c r="E404" t="s">
        <v>299</v>
      </c>
      <c r="F404">
        <v>241667</v>
      </c>
    </row>
    <row r="405" spans="1:6" x14ac:dyDescent="0.35">
      <c r="A405" t="s">
        <v>395</v>
      </c>
      <c r="B405" t="s">
        <v>291</v>
      </c>
      <c r="C405" t="s">
        <v>425</v>
      </c>
      <c r="D405" t="s">
        <v>270</v>
      </c>
      <c r="E405" t="s">
        <v>302</v>
      </c>
      <c r="F405">
        <v>4851</v>
      </c>
    </row>
    <row r="406" spans="1:6" x14ac:dyDescent="0.35">
      <c r="A406" t="s">
        <v>395</v>
      </c>
      <c r="B406" t="s">
        <v>291</v>
      </c>
      <c r="C406" t="s">
        <v>425</v>
      </c>
      <c r="D406" t="s">
        <v>247</v>
      </c>
      <c r="E406" t="s">
        <v>302</v>
      </c>
      <c r="F406">
        <v>12669</v>
      </c>
    </row>
    <row r="407" spans="1:6" x14ac:dyDescent="0.35">
      <c r="A407" t="s">
        <v>395</v>
      </c>
      <c r="B407" t="s">
        <v>291</v>
      </c>
      <c r="C407" t="s">
        <v>425</v>
      </c>
      <c r="D407" t="s">
        <v>252</v>
      </c>
      <c r="E407" t="s">
        <v>302</v>
      </c>
      <c r="F407">
        <v>13680</v>
      </c>
    </row>
    <row r="408" spans="1:6" x14ac:dyDescent="0.35">
      <c r="A408" t="s">
        <v>395</v>
      </c>
      <c r="B408" t="s">
        <v>291</v>
      </c>
      <c r="C408" t="s">
        <v>425</v>
      </c>
      <c r="D408" t="s">
        <v>272</v>
      </c>
      <c r="E408" t="s">
        <v>302</v>
      </c>
      <c r="F408">
        <v>5475</v>
      </c>
    </row>
    <row r="409" spans="1:6" x14ac:dyDescent="0.35">
      <c r="A409" t="s">
        <v>395</v>
      </c>
      <c r="B409" t="s">
        <v>291</v>
      </c>
      <c r="C409" t="s">
        <v>425</v>
      </c>
      <c r="D409" t="s">
        <v>417</v>
      </c>
      <c r="E409" t="s">
        <v>302</v>
      </c>
      <c r="F409">
        <v>3345</v>
      </c>
    </row>
    <row r="410" spans="1:6" x14ac:dyDescent="0.35">
      <c r="A410" t="s">
        <v>395</v>
      </c>
      <c r="B410" t="s">
        <v>291</v>
      </c>
      <c r="C410" t="s">
        <v>425</v>
      </c>
      <c r="D410" t="s">
        <v>269</v>
      </c>
      <c r="E410" t="s">
        <v>302</v>
      </c>
      <c r="F410">
        <v>17199</v>
      </c>
    </row>
    <row r="411" spans="1:6" x14ac:dyDescent="0.35">
      <c r="A411" t="s">
        <v>395</v>
      </c>
      <c r="B411" t="s">
        <v>291</v>
      </c>
      <c r="C411" t="s">
        <v>425</v>
      </c>
      <c r="D411" t="s">
        <v>260</v>
      </c>
      <c r="E411" t="s">
        <v>302</v>
      </c>
      <c r="F411">
        <v>5977</v>
      </c>
    </row>
    <row r="412" spans="1:6" x14ac:dyDescent="0.35">
      <c r="A412" t="s">
        <v>395</v>
      </c>
      <c r="B412" t="s">
        <v>291</v>
      </c>
      <c r="C412" t="s">
        <v>425</v>
      </c>
      <c r="D412" t="s">
        <v>235</v>
      </c>
      <c r="E412" t="s">
        <v>302</v>
      </c>
      <c r="F412">
        <v>7768</v>
      </c>
    </row>
    <row r="413" spans="1:6" x14ac:dyDescent="0.35">
      <c r="A413" t="s">
        <v>395</v>
      </c>
      <c r="B413" t="s">
        <v>291</v>
      </c>
      <c r="C413" t="s">
        <v>425</v>
      </c>
      <c r="D413" t="s">
        <v>268</v>
      </c>
      <c r="E413" t="s">
        <v>302</v>
      </c>
      <c r="F413">
        <v>4747</v>
      </c>
    </row>
    <row r="414" spans="1:6" x14ac:dyDescent="0.35">
      <c r="A414" t="s">
        <v>395</v>
      </c>
      <c r="B414" t="s">
        <v>291</v>
      </c>
      <c r="C414" t="s">
        <v>425</v>
      </c>
      <c r="D414" t="s">
        <v>245</v>
      </c>
      <c r="E414" t="s">
        <v>302</v>
      </c>
      <c r="F414">
        <v>2773</v>
      </c>
    </row>
    <row r="415" spans="1:6" x14ac:dyDescent="0.35">
      <c r="A415" t="s">
        <v>395</v>
      </c>
      <c r="B415" t="s">
        <v>291</v>
      </c>
      <c r="C415" t="s">
        <v>425</v>
      </c>
      <c r="D415" t="s">
        <v>246</v>
      </c>
      <c r="E415" t="s">
        <v>302</v>
      </c>
      <c r="F415">
        <v>3979</v>
      </c>
    </row>
    <row r="416" spans="1:6" x14ac:dyDescent="0.35">
      <c r="A416" t="s">
        <v>395</v>
      </c>
      <c r="B416" t="s">
        <v>291</v>
      </c>
      <c r="C416" t="s">
        <v>425</v>
      </c>
      <c r="D416" t="s">
        <v>259</v>
      </c>
      <c r="E416" t="s">
        <v>302</v>
      </c>
      <c r="F416">
        <v>14626</v>
      </c>
    </row>
    <row r="417" spans="1:6" x14ac:dyDescent="0.35">
      <c r="A417" t="s">
        <v>395</v>
      </c>
      <c r="B417" t="s">
        <v>291</v>
      </c>
      <c r="C417" t="s">
        <v>425</v>
      </c>
      <c r="D417" t="s">
        <v>234</v>
      </c>
      <c r="E417" t="s">
        <v>302</v>
      </c>
      <c r="F417">
        <v>659</v>
      </c>
    </row>
    <row r="418" spans="1:6" x14ac:dyDescent="0.35">
      <c r="A418" t="s">
        <v>395</v>
      </c>
      <c r="B418" t="s">
        <v>291</v>
      </c>
      <c r="C418" t="s">
        <v>425</v>
      </c>
      <c r="D418" t="s">
        <v>273</v>
      </c>
      <c r="E418" t="s">
        <v>302</v>
      </c>
      <c r="F418">
        <v>21</v>
      </c>
    </row>
    <row r="419" spans="1:6" x14ac:dyDescent="0.35">
      <c r="A419" t="s">
        <v>395</v>
      </c>
      <c r="B419" t="s">
        <v>291</v>
      </c>
      <c r="C419" t="s">
        <v>425</v>
      </c>
      <c r="D419" t="s">
        <v>240</v>
      </c>
      <c r="E419" t="s">
        <v>302</v>
      </c>
      <c r="F419">
        <v>5743</v>
      </c>
    </row>
    <row r="420" spans="1:6" x14ac:dyDescent="0.35">
      <c r="A420" t="s">
        <v>395</v>
      </c>
      <c r="B420" t="s">
        <v>291</v>
      </c>
      <c r="C420" t="s">
        <v>425</v>
      </c>
      <c r="D420" t="s">
        <v>419</v>
      </c>
      <c r="E420" t="s">
        <v>302</v>
      </c>
      <c r="F420">
        <v>8711</v>
      </c>
    </row>
    <row r="421" spans="1:6" x14ac:dyDescent="0.35">
      <c r="A421" t="s">
        <v>395</v>
      </c>
      <c r="B421" t="s">
        <v>291</v>
      </c>
      <c r="C421" t="s">
        <v>425</v>
      </c>
      <c r="D421" t="s">
        <v>244</v>
      </c>
      <c r="E421" t="s">
        <v>302</v>
      </c>
      <c r="F421">
        <v>7121</v>
      </c>
    </row>
    <row r="422" spans="1:6" x14ac:dyDescent="0.35">
      <c r="A422" t="s">
        <v>395</v>
      </c>
      <c r="B422" t="s">
        <v>291</v>
      </c>
      <c r="C422" t="s">
        <v>425</v>
      </c>
      <c r="D422" t="s">
        <v>229</v>
      </c>
      <c r="E422" t="s">
        <v>302</v>
      </c>
      <c r="F422">
        <v>12031</v>
      </c>
    </row>
    <row r="423" spans="1:6" x14ac:dyDescent="0.35">
      <c r="A423" t="s">
        <v>395</v>
      </c>
      <c r="B423" t="s">
        <v>291</v>
      </c>
      <c r="C423" t="s">
        <v>425</v>
      </c>
      <c r="D423" t="s">
        <v>265</v>
      </c>
      <c r="E423" t="s">
        <v>302</v>
      </c>
      <c r="F423">
        <v>4508</v>
      </c>
    </row>
    <row r="424" spans="1:6" x14ac:dyDescent="0.35">
      <c r="A424" t="s">
        <v>395</v>
      </c>
      <c r="B424" t="s">
        <v>291</v>
      </c>
      <c r="C424" t="s">
        <v>425</v>
      </c>
      <c r="D424" t="s">
        <v>248</v>
      </c>
      <c r="E424" t="s">
        <v>302</v>
      </c>
      <c r="F424">
        <v>2688</v>
      </c>
    </row>
    <row r="425" spans="1:6" x14ac:dyDescent="0.35">
      <c r="A425" t="s">
        <v>395</v>
      </c>
      <c r="B425" t="s">
        <v>291</v>
      </c>
      <c r="C425" t="s">
        <v>425</v>
      </c>
      <c r="D425" t="s">
        <v>267</v>
      </c>
      <c r="E425" t="s">
        <v>302</v>
      </c>
      <c r="F425">
        <v>13031</v>
      </c>
    </row>
    <row r="426" spans="1:6" x14ac:dyDescent="0.35">
      <c r="A426" t="s">
        <v>395</v>
      </c>
      <c r="B426" t="s">
        <v>291</v>
      </c>
      <c r="C426" t="s">
        <v>425</v>
      </c>
      <c r="D426" t="s">
        <v>249</v>
      </c>
      <c r="E426" t="s">
        <v>302</v>
      </c>
      <c r="F426">
        <v>6767</v>
      </c>
    </row>
    <row r="427" spans="1:6" x14ac:dyDescent="0.35">
      <c r="A427" t="s">
        <v>395</v>
      </c>
      <c r="B427" t="s">
        <v>291</v>
      </c>
      <c r="C427" t="s">
        <v>425</v>
      </c>
      <c r="D427" t="s">
        <v>266</v>
      </c>
      <c r="E427" t="s">
        <v>302</v>
      </c>
      <c r="F427">
        <v>4883</v>
      </c>
    </row>
    <row r="428" spans="1:6" x14ac:dyDescent="0.35">
      <c r="A428" t="s">
        <v>395</v>
      </c>
      <c r="B428" t="s">
        <v>291</v>
      </c>
      <c r="C428" t="s">
        <v>425</v>
      </c>
      <c r="D428" t="s">
        <v>239</v>
      </c>
      <c r="E428" t="s">
        <v>302</v>
      </c>
      <c r="F428">
        <v>15441</v>
      </c>
    </row>
    <row r="429" spans="1:6" x14ac:dyDescent="0.35">
      <c r="A429" t="s">
        <v>395</v>
      </c>
      <c r="B429" t="s">
        <v>291</v>
      </c>
      <c r="C429" t="s">
        <v>425</v>
      </c>
      <c r="D429" t="s">
        <v>254</v>
      </c>
      <c r="E429" t="s">
        <v>302</v>
      </c>
      <c r="F429">
        <v>7002</v>
      </c>
    </row>
    <row r="430" spans="1:6" x14ac:dyDescent="0.35">
      <c r="A430" t="s">
        <v>395</v>
      </c>
      <c r="B430" t="s">
        <v>291</v>
      </c>
      <c r="C430" t="s">
        <v>425</v>
      </c>
      <c r="D430" t="s">
        <v>39</v>
      </c>
      <c r="E430" t="s">
        <v>302</v>
      </c>
      <c r="F430">
        <v>126225</v>
      </c>
    </row>
    <row r="431" spans="1:6" x14ac:dyDescent="0.35">
      <c r="A431" t="s">
        <v>395</v>
      </c>
      <c r="B431" t="s">
        <v>290</v>
      </c>
      <c r="C431" t="s">
        <v>426</v>
      </c>
      <c r="D431" t="s">
        <v>418</v>
      </c>
      <c r="E431" t="s">
        <v>301</v>
      </c>
      <c r="F431">
        <v>10</v>
      </c>
    </row>
    <row r="432" spans="1:6" x14ac:dyDescent="0.35">
      <c r="A432" t="s">
        <v>395</v>
      </c>
      <c r="B432" t="s">
        <v>290</v>
      </c>
      <c r="C432" t="s">
        <v>425</v>
      </c>
      <c r="D432" t="s">
        <v>253</v>
      </c>
      <c r="E432" t="s">
        <v>301</v>
      </c>
      <c r="F432">
        <v>293</v>
      </c>
    </row>
    <row r="433" spans="1:6" x14ac:dyDescent="0.35">
      <c r="A433" t="s">
        <v>395</v>
      </c>
      <c r="B433" t="s">
        <v>290</v>
      </c>
      <c r="C433" t="s">
        <v>425</v>
      </c>
      <c r="D433" t="s">
        <v>244</v>
      </c>
      <c r="E433" t="s">
        <v>301</v>
      </c>
      <c r="F433">
        <v>1506</v>
      </c>
    </row>
    <row r="434" spans="1:6" x14ac:dyDescent="0.35">
      <c r="A434" t="s">
        <v>395</v>
      </c>
      <c r="B434" t="s">
        <v>290</v>
      </c>
      <c r="C434" t="s">
        <v>425</v>
      </c>
      <c r="D434" t="s">
        <v>229</v>
      </c>
      <c r="E434" t="s">
        <v>301</v>
      </c>
      <c r="F434">
        <v>567</v>
      </c>
    </row>
    <row r="435" spans="1:6" x14ac:dyDescent="0.35">
      <c r="A435" t="s">
        <v>395</v>
      </c>
      <c r="B435" t="s">
        <v>290</v>
      </c>
      <c r="C435" t="s">
        <v>425</v>
      </c>
      <c r="D435" t="s">
        <v>245</v>
      </c>
      <c r="E435" t="s">
        <v>301</v>
      </c>
      <c r="F435">
        <v>403</v>
      </c>
    </row>
    <row r="436" spans="1:6" x14ac:dyDescent="0.35">
      <c r="A436" t="s">
        <v>395</v>
      </c>
      <c r="B436" t="s">
        <v>290</v>
      </c>
      <c r="C436" t="s">
        <v>425</v>
      </c>
      <c r="D436" t="s">
        <v>254</v>
      </c>
      <c r="E436" t="s">
        <v>301</v>
      </c>
      <c r="F436">
        <v>835</v>
      </c>
    </row>
    <row r="437" spans="1:6" x14ac:dyDescent="0.35">
      <c r="A437" t="s">
        <v>395</v>
      </c>
      <c r="B437" t="s">
        <v>290</v>
      </c>
      <c r="C437" t="s">
        <v>425</v>
      </c>
      <c r="D437" t="s">
        <v>270</v>
      </c>
      <c r="E437" t="s">
        <v>301</v>
      </c>
      <c r="F437">
        <v>825</v>
      </c>
    </row>
    <row r="438" spans="1:6" x14ac:dyDescent="0.35">
      <c r="A438" t="s">
        <v>395</v>
      </c>
      <c r="B438" t="s">
        <v>290</v>
      </c>
      <c r="C438" t="s">
        <v>425</v>
      </c>
      <c r="D438" t="s">
        <v>255</v>
      </c>
      <c r="E438" t="s">
        <v>301</v>
      </c>
      <c r="F438">
        <v>661</v>
      </c>
    </row>
    <row r="439" spans="1:6" x14ac:dyDescent="0.35">
      <c r="A439" t="s">
        <v>395</v>
      </c>
      <c r="B439" t="s">
        <v>290</v>
      </c>
      <c r="C439" t="s">
        <v>425</v>
      </c>
      <c r="D439" t="s">
        <v>269</v>
      </c>
      <c r="E439" t="s">
        <v>301</v>
      </c>
      <c r="F439">
        <v>1175</v>
      </c>
    </row>
    <row r="440" spans="1:6" x14ac:dyDescent="0.35">
      <c r="A440" t="s">
        <v>395</v>
      </c>
      <c r="B440" t="s">
        <v>290</v>
      </c>
      <c r="C440" t="s">
        <v>425</v>
      </c>
      <c r="D440" t="s">
        <v>252</v>
      </c>
      <c r="E440" t="s">
        <v>301</v>
      </c>
      <c r="F440">
        <v>715</v>
      </c>
    </row>
    <row r="441" spans="1:6" x14ac:dyDescent="0.35">
      <c r="A441" t="s">
        <v>395</v>
      </c>
      <c r="B441" t="s">
        <v>290</v>
      </c>
      <c r="C441" t="s">
        <v>425</v>
      </c>
      <c r="D441" t="s">
        <v>235</v>
      </c>
      <c r="E441" t="s">
        <v>301</v>
      </c>
      <c r="F441">
        <v>586</v>
      </c>
    </row>
    <row r="442" spans="1:6" x14ac:dyDescent="0.35">
      <c r="A442" t="s">
        <v>395</v>
      </c>
      <c r="B442" t="s">
        <v>290</v>
      </c>
      <c r="C442" t="s">
        <v>425</v>
      </c>
      <c r="D442" t="s">
        <v>266</v>
      </c>
      <c r="E442" t="s">
        <v>301</v>
      </c>
      <c r="F442">
        <v>1057</v>
      </c>
    </row>
    <row r="443" spans="1:6" x14ac:dyDescent="0.35">
      <c r="A443" t="s">
        <v>395</v>
      </c>
      <c r="B443" t="s">
        <v>290</v>
      </c>
      <c r="C443" t="s">
        <v>425</v>
      </c>
      <c r="D443" t="s">
        <v>259</v>
      </c>
      <c r="E443" t="s">
        <v>301</v>
      </c>
      <c r="F443">
        <v>641</v>
      </c>
    </row>
    <row r="444" spans="1:6" x14ac:dyDescent="0.35">
      <c r="A444" t="s">
        <v>395</v>
      </c>
      <c r="B444" t="s">
        <v>290</v>
      </c>
      <c r="C444" t="s">
        <v>425</v>
      </c>
      <c r="D444" t="s">
        <v>260</v>
      </c>
      <c r="E444" t="s">
        <v>301</v>
      </c>
      <c r="F444">
        <v>1196</v>
      </c>
    </row>
    <row r="445" spans="1:6" x14ac:dyDescent="0.35">
      <c r="A445" t="s">
        <v>395</v>
      </c>
      <c r="B445" t="s">
        <v>290</v>
      </c>
      <c r="C445" t="s">
        <v>425</v>
      </c>
      <c r="D445" t="s">
        <v>265</v>
      </c>
      <c r="E445" t="s">
        <v>301</v>
      </c>
      <c r="F445">
        <v>365</v>
      </c>
    </row>
    <row r="446" spans="1:6" x14ac:dyDescent="0.35">
      <c r="A446" t="s">
        <v>395</v>
      </c>
      <c r="B446" t="s">
        <v>290</v>
      </c>
      <c r="C446" t="s">
        <v>425</v>
      </c>
      <c r="D446" t="s">
        <v>250</v>
      </c>
      <c r="E446" t="s">
        <v>301</v>
      </c>
      <c r="F446">
        <v>572</v>
      </c>
    </row>
    <row r="447" spans="1:6" x14ac:dyDescent="0.35">
      <c r="A447" t="s">
        <v>395</v>
      </c>
      <c r="B447" t="s">
        <v>290</v>
      </c>
      <c r="C447" t="s">
        <v>425</v>
      </c>
      <c r="D447" t="s">
        <v>240</v>
      </c>
      <c r="E447" t="s">
        <v>301</v>
      </c>
      <c r="F447">
        <v>1630</v>
      </c>
    </row>
    <row r="448" spans="1:6" x14ac:dyDescent="0.35">
      <c r="A448" t="s">
        <v>395</v>
      </c>
      <c r="B448" t="s">
        <v>290</v>
      </c>
      <c r="C448" t="s">
        <v>425</v>
      </c>
      <c r="D448" t="s">
        <v>417</v>
      </c>
      <c r="E448" t="s">
        <v>301</v>
      </c>
      <c r="F448">
        <v>499</v>
      </c>
    </row>
    <row r="449" spans="1:6" x14ac:dyDescent="0.35">
      <c r="A449" t="s">
        <v>395</v>
      </c>
      <c r="B449" t="s">
        <v>290</v>
      </c>
      <c r="C449" t="s">
        <v>425</v>
      </c>
      <c r="D449" t="s">
        <v>239</v>
      </c>
      <c r="E449" t="s">
        <v>301</v>
      </c>
      <c r="F449">
        <v>763</v>
      </c>
    </row>
    <row r="450" spans="1:6" x14ac:dyDescent="0.35">
      <c r="A450" t="s">
        <v>395</v>
      </c>
      <c r="B450" t="s">
        <v>290</v>
      </c>
      <c r="C450" t="s">
        <v>425</v>
      </c>
      <c r="D450" t="s">
        <v>261</v>
      </c>
      <c r="E450" t="s">
        <v>301</v>
      </c>
      <c r="F450">
        <v>215</v>
      </c>
    </row>
    <row r="451" spans="1:6" x14ac:dyDescent="0.35">
      <c r="A451" t="s">
        <v>395</v>
      </c>
      <c r="B451" t="s">
        <v>290</v>
      </c>
      <c r="C451" t="s">
        <v>425</v>
      </c>
      <c r="D451" t="s">
        <v>249</v>
      </c>
      <c r="E451" t="s">
        <v>301</v>
      </c>
      <c r="F451">
        <v>1164</v>
      </c>
    </row>
    <row r="452" spans="1:6" x14ac:dyDescent="0.35">
      <c r="A452" t="s">
        <v>395</v>
      </c>
      <c r="B452" t="s">
        <v>290</v>
      </c>
      <c r="C452" t="s">
        <v>425</v>
      </c>
      <c r="D452" t="s">
        <v>248</v>
      </c>
      <c r="E452" t="s">
        <v>301</v>
      </c>
      <c r="F452">
        <v>1139</v>
      </c>
    </row>
    <row r="453" spans="1:6" x14ac:dyDescent="0.35">
      <c r="A453" t="s">
        <v>395</v>
      </c>
      <c r="B453" t="s">
        <v>290</v>
      </c>
      <c r="C453" t="s">
        <v>425</v>
      </c>
      <c r="D453" t="s">
        <v>247</v>
      </c>
      <c r="E453" t="s">
        <v>301</v>
      </c>
      <c r="F453">
        <v>1946</v>
      </c>
    </row>
    <row r="454" spans="1:6" x14ac:dyDescent="0.35">
      <c r="A454" t="s">
        <v>395</v>
      </c>
      <c r="B454" t="s">
        <v>290</v>
      </c>
      <c r="C454" t="s">
        <v>425</v>
      </c>
      <c r="D454" t="s">
        <v>267</v>
      </c>
      <c r="E454" t="s">
        <v>301</v>
      </c>
      <c r="F454">
        <v>1044</v>
      </c>
    </row>
    <row r="455" spans="1:6" x14ac:dyDescent="0.35">
      <c r="A455" t="s">
        <v>395</v>
      </c>
      <c r="B455" t="s">
        <v>290</v>
      </c>
      <c r="C455" t="s">
        <v>425</v>
      </c>
      <c r="D455" t="s">
        <v>268</v>
      </c>
      <c r="E455" t="s">
        <v>301</v>
      </c>
      <c r="F455">
        <v>591</v>
      </c>
    </row>
    <row r="456" spans="1:6" x14ac:dyDescent="0.35">
      <c r="A456" t="s">
        <v>395</v>
      </c>
      <c r="B456" t="s">
        <v>290</v>
      </c>
      <c r="C456" t="s">
        <v>425</v>
      </c>
      <c r="D456" t="s">
        <v>246</v>
      </c>
      <c r="E456" t="s">
        <v>301</v>
      </c>
      <c r="F456">
        <v>596</v>
      </c>
    </row>
    <row r="457" spans="1:6" x14ac:dyDescent="0.35">
      <c r="A457" t="s">
        <v>395</v>
      </c>
      <c r="B457" t="s">
        <v>290</v>
      </c>
      <c r="C457" t="s">
        <v>425</v>
      </c>
      <c r="D457" t="s">
        <v>234</v>
      </c>
      <c r="E457" t="s">
        <v>301</v>
      </c>
      <c r="F457">
        <v>257</v>
      </c>
    </row>
    <row r="458" spans="1:6" x14ac:dyDescent="0.35">
      <c r="A458" t="s">
        <v>383</v>
      </c>
      <c r="B458" t="s">
        <v>288</v>
      </c>
      <c r="C458" t="s">
        <v>232</v>
      </c>
      <c r="D458" t="s">
        <v>405</v>
      </c>
      <c r="E458" t="s">
        <v>299</v>
      </c>
      <c r="F458">
        <v>673</v>
      </c>
    </row>
    <row r="459" spans="1:6" x14ac:dyDescent="0.35">
      <c r="A459" t="s">
        <v>383</v>
      </c>
      <c r="B459" t="s">
        <v>288</v>
      </c>
      <c r="C459" t="s">
        <v>232</v>
      </c>
      <c r="D459" t="s">
        <v>410</v>
      </c>
      <c r="E459" t="s">
        <v>299</v>
      </c>
      <c r="F459">
        <v>56</v>
      </c>
    </row>
    <row r="460" spans="1:6" x14ac:dyDescent="0.35">
      <c r="A460" t="s">
        <v>383</v>
      </c>
      <c r="B460" t="s">
        <v>288</v>
      </c>
      <c r="C460" t="s">
        <v>232</v>
      </c>
      <c r="D460" t="s">
        <v>409</v>
      </c>
      <c r="E460" t="s">
        <v>299</v>
      </c>
      <c r="F460">
        <v>290</v>
      </c>
    </row>
    <row r="461" spans="1:6" x14ac:dyDescent="0.35">
      <c r="A461" t="s">
        <v>383</v>
      </c>
      <c r="B461" t="s">
        <v>288</v>
      </c>
      <c r="C461" t="s">
        <v>232</v>
      </c>
      <c r="D461" t="s">
        <v>408</v>
      </c>
      <c r="E461" t="s">
        <v>299</v>
      </c>
      <c r="F461">
        <v>543</v>
      </c>
    </row>
    <row r="462" spans="1:6" x14ac:dyDescent="0.35">
      <c r="A462" t="s">
        <v>383</v>
      </c>
      <c r="B462" t="s">
        <v>288</v>
      </c>
      <c r="C462" t="s">
        <v>232</v>
      </c>
      <c r="D462" t="s">
        <v>406</v>
      </c>
      <c r="E462" t="s">
        <v>299</v>
      </c>
      <c r="F462">
        <v>2422</v>
      </c>
    </row>
    <row r="463" spans="1:6" x14ac:dyDescent="0.35">
      <c r="A463" t="s">
        <v>383</v>
      </c>
      <c r="B463" t="s">
        <v>288</v>
      </c>
      <c r="C463" t="s">
        <v>232</v>
      </c>
      <c r="D463" t="s">
        <v>427</v>
      </c>
      <c r="E463" t="s">
        <v>299</v>
      </c>
      <c r="F463" t="s">
        <v>206</v>
      </c>
    </row>
    <row r="464" spans="1:6" x14ac:dyDescent="0.35">
      <c r="A464" t="s">
        <v>383</v>
      </c>
      <c r="B464" t="s">
        <v>288</v>
      </c>
      <c r="C464" t="s">
        <v>232</v>
      </c>
      <c r="D464" t="s">
        <v>415</v>
      </c>
      <c r="E464" t="s">
        <v>299</v>
      </c>
      <c r="F464">
        <v>356</v>
      </c>
    </row>
    <row r="465" spans="1:6" x14ac:dyDescent="0.35">
      <c r="A465" t="s">
        <v>383</v>
      </c>
      <c r="B465" t="s">
        <v>288</v>
      </c>
      <c r="C465" t="s">
        <v>232</v>
      </c>
      <c r="D465" t="s">
        <v>407</v>
      </c>
      <c r="E465" t="s">
        <v>299</v>
      </c>
      <c r="F465">
        <v>1669</v>
      </c>
    </row>
    <row r="466" spans="1:6" x14ac:dyDescent="0.35">
      <c r="A466" t="s">
        <v>383</v>
      </c>
      <c r="B466" t="s">
        <v>288</v>
      </c>
      <c r="C466" t="s">
        <v>232</v>
      </c>
      <c r="D466" t="s">
        <v>416</v>
      </c>
      <c r="E466" t="s">
        <v>299</v>
      </c>
      <c r="F466">
        <v>1422</v>
      </c>
    </row>
    <row r="467" spans="1:6" x14ac:dyDescent="0.35">
      <c r="A467" t="s">
        <v>383</v>
      </c>
      <c r="B467" t="s">
        <v>288</v>
      </c>
      <c r="C467" t="s">
        <v>232</v>
      </c>
      <c r="D467" t="s">
        <v>412</v>
      </c>
      <c r="E467" t="s">
        <v>299</v>
      </c>
      <c r="F467">
        <v>4651</v>
      </c>
    </row>
    <row r="468" spans="1:6" x14ac:dyDescent="0.35">
      <c r="A468" t="s">
        <v>383</v>
      </c>
      <c r="B468" t="s">
        <v>288</v>
      </c>
      <c r="C468" t="s">
        <v>232</v>
      </c>
      <c r="D468" t="s">
        <v>413</v>
      </c>
      <c r="E468" t="s">
        <v>299</v>
      </c>
      <c r="F468">
        <v>3171</v>
      </c>
    </row>
    <row r="469" spans="1:6" x14ac:dyDescent="0.35">
      <c r="A469" t="s">
        <v>383</v>
      </c>
      <c r="B469" t="s">
        <v>288</v>
      </c>
      <c r="C469" t="s">
        <v>232</v>
      </c>
      <c r="D469" t="s">
        <v>414</v>
      </c>
      <c r="E469" t="s">
        <v>299</v>
      </c>
      <c r="F469">
        <v>398</v>
      </c>
    </row>
    <row r="470" spans="1:6" x14ac:dyDescent="0.35">
      <c r="A470" t="s">
        <v>383</v>
      </c>
      <c r="B470" t="s">
        <v>288</v>
      </c>
      <c r="C470" t="s">
        <v>232</v>
      </c>
      <c r="D470" t="s">
        <v>232</v>
      </c>
      <c r="E470" t="s">
        <v>299</v>
      </c>
      <c r="F470">
        <v>15651</v>
      </c>
    </row>
    <row r="471" spans="1:6" x14ac:dyDescent="0.35">
      <c r="A471" t="s">
        <v>383</v>
      </c>
      <c r="B471" t="s">
        <v>288</v>
      </c>
      <c r="C471" t="s">
        <v>222</v>
      </c>
      <c r="D471" t="s">
        <v>222</v>
      </c>
      <c r="E471" t="s">
        <v>299</v>
      </c>
      <c r="F471">
        <v>447731</v>
      </c>
    </row>
    <row r="472" spans="1:6" x14ac:dyDescent="0.35">
      <c r="A472" t="s">
        <v>383</v>
      </c>
      <c r="B472" t="s">
        <v>288</v>
      </c>
      <c r="C472" t="s">
        <v>222</v>
      </c>
      <c r="D472" t="s">
        <v>397</v>
      </c>
      <c r="E472" t="s">
        <v>299</v>
      </c>
      <c r="F472">
        <v>14694</v>
      </c>
    </row>
    <row r="473" spans="1:6" x14ac:dyDescent="0.35">
      <c r="A473" t="s">
        <v>383</v>
      </c>
      <c r="B473" t="s">
        <v>288</v>
      </c>
      <c r="C473" t="s">
        <v>222</v>
      </c>
      <c r="D473" t="s">
        <v>428</v>
      </c>
      <c r="E473" t="s">
        <v>299</v>
      </c>
      <c r="F473">
        <v>5288</v>
      </c>
    </row>
    <row r="474" spans="1:6" x14ac:dyDescent="0.35">
      <c r="A474" t="s">
        <v>383</v>
      </c>
      <c r="B474" t="s">
        <v>288</v>
      </c>
      <c r="C474" t="s">
        <v>222</v>
      </c>
      <c r="D474" t="s">
        <v>398</v>
      </c>
      <c r="E474" t="s">
        <v>299</v>
      </c>
      <c r="F474">
        <v>32562</v>
      </c>
    </row>
    <row r="475" spans="1:6" x14ac:dyDescent="0.35">
      <c r="A475" t="s">
        <v>383</v>
      </c>
      <c r="B475" t="s">
        <v>288</v>
      </c>
      <c r="C475" t="s">
        <v>222</v>
      </c>
      <c r="D475" t="s">
        <v>402</v>
      </c>
      <c r="E475" t="s">
        <v>299</v>
      </c>
      <c r="F475">
        <v>68565</v>
      </c>
    </row>
    <row r="476" spans="1:6" x14ac:dyDescent="0.35">
      <c r="A476" t="s">
        <v>383</v>
      </c>
      <c r="B476" t="s">
        <v>288</v>
      </c>
      <c r="C476" t="s">
        <v>222</v>
      </c>
      <c r="D476" t="s">
        <v>401</v>
      </c>
      <c r="E476" t="s">
        <v>299</v>
      </c>
      <c r="F476">
        <v>59766</v>
      </c>
    </row>
    <row r="477" spans="1:6" x14ac:dyDescent="0.35">
      <c r="A477" t="s">
        <v>383</v>
      </c>
      <c r="B477" t="s">
        <v>288</v>
      </c>
      <c r="C477" t="s">
        <v>222</v>
      </c>
      <c r="D477" t="s">
        <v>404</v>
      </c>
      <c r="E477" t="s">
        <v>299</v>
      </c>
      <c r="F477">
        <v>7116</v>
      </c>
    </row>
    <row r="478" spans="1:6" x14ac:dyDescent="0.35">
      <c r="A478" t="s">
        <v>383</v>
      </c>
      <c r="B478" t="s">
        <v>288</v>
      </c>
      <c r="C478" t="s">
        <v>222</v>
      </c>
      <c r="D478" t="s">
        <v>399</v>
      </c>
      <c r="E478" t="s">
        <v>299</v>
      </c>
      <c r="F478">
        <v>12251</v>
      </c>
    </row>
    <row r="479" spans="1:6" x14ac:dyDescent="0.35">
      <c r="A479" t="s">
        <v>383</v>
      </c>
      <c r="B479" t="s">
        <v>288</v>
      </c>
      <c r="C479" t="s">
        <v>222</v>
      </c>
      <c r="D479" t="s">
        <v>400</v>
      </c>
      <c r="E479" t="s">
        <v>299</v>
      </c>
      <c r="F479">
        <v>35287</v>
      </c>
    </row>
    <row r="480" spans="1:6" x14ac:dyDescent="0.35">
      <c r="A480" t="s">
        <v>383</v>
      </c>
      <c r="B480" t="s">
        <v>288</v>
      </c>
      <c r="C480" t="s">
        <v>222</v>
      </c>
      <c r="D480" t="s">
        <v>403</v>
      </c>
      <c r="E480" t="s">
        <v>299</v>
      </c>
      <c r="F480">
        <v>212202</v>
      </c>
    </row>
    <row r="481" spans="1:6" x14ac:dyDescent="0.35">
      <c r="A481" t="s">
        <v>383</v>
      </c>
      <c r="B481" t="s">
        <v>291</v>
      </c>
      <c r="C481" t="s">
        <v>425</v>
      </c>
      <c r="D481" t="s">
        <v>273</v>
      </c>
      <c r="E481" t="s">
        <v>302</v>
      </c>
      <c r="F481">
        <v>15</v>
      </c>
    </row>
    <row r="482" spans="1:6" x14ac:dyDescent="0.35">
      <c r="A482" t="s">
        <v>383</v>
      </c>
      <c r="B482" t="s">
        <v>291</v>
      </c>
      <c r="C482" t="s">
        <v>425</v>
      </c>
      <c r="D482" t="s">
        <v>245</v>
      </c>
      <c r="E482" t="s">
        <v>302</v>
      </c>
      <c r="F482">
        <v>2973</v>
      </c>
    </row>
    <row r="483" spans="1:6" x14ac:dyDescent="0.35">
      <c r="A483" t="s">
        <v>383</v>
      </c>
      <c r="B483" t="s">
        <v>291</v>
      </c>
      <c r="C483" t="s">
        <v>425</v>
      </c>
      <c r="D483" t="s">
        <v>272</v>
      </c>
      <c r="E483" t="s">
        <v>302</v>
      </c>
      <c r="F483">
        <v>9194</v>
      </c>
    </row>
    <row r="484" spans="1:6" x14ac:dyDescent="0.35">
      <c r="A484" t="s">
        <v>383</v>
      </c>
      <c r="B484" t="s">
        <v>291</v>
      </c>
      <c r="C484" t="s">
        <v>425</v>
      </c>
      <c r="D484" t="s">
        <v>269</v>
      </c>
      <c r="E484" t="s">
        <v>302</v>
      </c>
      <c r="F484">
        <v>24337</v>
      </c>
    </row>
    <row r="485" spans="1:6" x14ac:dyDescent="0.35">
      <c r="A485" t="s">
        <v>383</v>
      </c>
      <c r="B485" t="s">
        <v>291</v>
      </c>
      <c r="C485" t="s">
        <v>425</v>
      </c>
      <c r="D485" t="s">
        <v>39</v>
      </c>
      <c r="E485" t="s">
        <v>302</v>
      </c>
      <c r="F485">
        <v>19524</v>
      </c>
    </row>
    <row r="486" spans="1:6" x14ac:dyDescent="0.35">
      <c r="A486" t="s">
        <v>383</v>
      </c>
      <c r="B486" t="s">
        <v>291</v>
      </c>
      <c r="C486" t="s">
        <v>425</v>
      </c>
      <c r="D486" t="s">
        <v>268</v>
      </c>
      <c r="E486" t="s">
        <v>302</v>
      </c>
      <c r="F486">
        <v>7371</v>
      </c>
    </row>
    <row r="487" spans="1:6" x14ac:dyDescent="0.35">
      <c r="A487" t="s">
        <v>383</v>
      </c>
      <c r="B487" t="s">
        <v>291</v>
      </c>
      <c r="C487" t="s">
        <v>425</v>
      </c>
      <c r="D487" t="s">
        <v>244</v>
      </c>
      <c r="E487" t="s">
        <v>302</v>
      </c>
      <c r="F487">
        <v>21742</v>
      </c>
    </row>
    <row r="488" spans="1:6" x14ac:dyDescent="0.35">
      <c r="A488" t="s">
        <v>383</v>
      </c>
      <c r="B488" t="s">
        <v>291</v>
      </c>
      <c r="C488" t="s">
        <v>425</v>
      </c>
      <c r="D488" t="s">
        <v>249</v>
      </c>
      <c r="E488" t="s">
        <v>302</v>
      </c>
      <c r="F488">
        <v>27748</v>
      </c>
    </row>
    <row r="489" spans="1:6" x14ac:dyDescent="0.35">
      <c r="A489" t="s">
        <v>383</v>
      </c>
      <c r="B489" t="s">
        <v>291</v>
      </c>
      <c r="C489" t="s">
        <v>425</v>
      </c>
      <c r="D489" t="s">
        <v>260</v>
      </c>
      <c r="E489" t="s">
        <v>302</v>
      </c>
      <c r="F489">
        <v>8073</v>
      </c>
    </row>
    <row r="490" spans="1:6" x14ac:dyDescent="0.35">
      <c r="A490" t="s">
        <v>383</v>
      </c>
      <c r="B490" t="s">
        <v>291</v>
      </c>
      <c r="C490" t="s">
        <v>425</v>
      </c>
      <c r="D490" t="s">
        <v>266</v>
      </c>
      <c r="E490" t="s">
        <v>302</v>
      </c>
      <c r="F490">
        <v>5358</v>
      </c>
    </row>
    <row r="491" spans="1:6" x14ac:dyDescent="0.35">
      <c r="A491" t="s">
        <v>383</v>
      </c>
      <c r="B491" t="s">
        <v>291</v>
      </c>
      <c r="C491" t="s">
        <v>425</v>
      </c>
      <c r="D491" t="s">
        <v>247</v>
      </c>
      <c r="E491" t="s">
        <v>302</v>
      </c>
      <c r="F491">
        <v>19272</v>
      </c>
    </row>
    <row r="492" spans="1:6" x14ac:dyDescent="0.35">
      <c r="A492" t="s">
        <v>383</v>
      </c>
      <c r="B492" t="s">
        <v>291</v>
      </c>
      <c r="C492" t="s">
        <v>425</v>
      </c>
      <c r="D492" t="s">
        <v>252</v>
      </c>
      <c r="E492" t="s">
        <v>302</v>
      </c>
      <c r="F492">
        <v>28972</v>
      </c>
    </row>
    <row r="493" spans="1:6" x14ac:dyDescent="0.35">
      <c r="A493" t="s">
        <v>383</v>
      </c>
      <c r="B493" t="s">
        <v>291</v>
      </c>
      <c r="C493" t="s">
        <v>425</v>
      </c>
      <c r="D493" t="s">
        <v>417</v>
      </c>
      <c r="E493" t="s">
        <v>302</v>
      </c>
      <c r="F493">
        <v>6432</v>
      </c>
    </row>
    <row r="494" spans="1:6" x14ac:dyDescent="0.35">
      <c r="A494" t="s">
        <v>383</v>
      </c>
      <c r="B494" t="s">
        <v>291</v>
      </c>
      <c r="C494" t="s">
        <v>425</v>
      </c>
      <c r="D494" t="s">
        <v>239</v>
      </c>
      <c r="E494" t="s">
        <v>302</v>
      </c>
      <c r="F494">
        <v>13656</v>
      </c>
    </row>
    <row r="495" spans="1:6" x14ac:dyDescent="0.35">
      <c r="A495" t="s">
        <v>383</v>
      </c>
      <c r="B495" t="s">
        <v>291</v>
      </c>
      <c r="C495" t="s">
        <v>425</v>
      </c>
      <c r="D495" t="s">
        <v>254</v>
      </c>
      <c r="E495" t="s">
        <v>302</v>
      </c>
      <c r="F495">
        <v>10246</v>
      </c>
    </row>
    <row r="496" spans="1:6" x14ac:dyDescent="0.35">
      <c r="A496" t="s">
        <v>383</v>
      </c>
      <c r="B496" t="s">
        <v>291</v>
      </c>
      <c r="C496" t="s">
        <v>425</v>
      </c>
      <c r="D496" t="s">
        <v>259</v>
      </c>
      <c r="E496" t="s">
        <v>302</v>
      </c>
      <c r="F496">
        <v>16548</v>
      </c>
    </row>
    <row r="497" spans="1:6" x14ac:dyDescent="0.35">
      <c r="A497" t="s">
        <v>383</v>
      </c>
      <c r="B497" t="s">
        <v>291</v>
      </c>
      <c r="C497" t="s">
        <v>425</v>
      </c>
      <c r="D497" t="s">
        <v>229</v>
      </c>
      <c r="E497" t="s">
        <v>302</v>
      </c>
      <c r="F497">
        <v>10608</v>
      </c>
    </row>
    <row r="498" spans="1:6" x14ac:dyDescent="0.35">
      <c r="A498" t="s">
        <v>383</v>
      </c>
      <c r="B498" t="s">
        <v>291</v>
      </c>
      <c r="C498" t="s">
        <v>425</v>
      </c>
      <c r="D498" t="s">
        <v>240</v>
      </c>
      <c r="E498" t="s">
        <v>302</v>
      </c>
      <c r="F498">
        <v>12179</v>
      </c>
    </row>
    <row r="499" spans="1:6" x14ac:dyDescent="0.35">
      <c r="A499" t="s">
        <v>383</v>
      </c>
      <c r="B499" t="s">
        <v>291</v>
      </c>
      <c r="C499" t="s">
        <v>425</v>
      </c>
      <c r="D499" t="s">
        <v>246</v>
      </c>
      <c r="E499" t="s">
        <v>302</v>
      </c>
      <c r="F499">
        <v>5107</v>
      </c>
    </row>
    <row r="500" spans="1:6" x14ac:dyDescent="0.35">
      <c r="A500" t="s">
        <v>383</v>
      </c>
      <c r="B500" t="s">
        <v>291</v>
      </c>
      <c r="C500" t="s">
        <v>425</v>
      </c>
      <c r="D500" t="s">
        <v>234</v>
      </c>
      <c r="E500" t="s">
        <v>302</v>
      </c>
      <c r="F500">
        <v>1169</v>
      </c>
    </row>
    <row r="501" spans="1:6" x14ac:dyDescent="0.35">
      <c r="A501" t="s">
        <v>383</v>
      </c>
      <c r="B501" t="s">
        <v>291</v>
      </c>
      <c r="C501" t="s">
        <v>425</v>
      </c>
      <c r="D501" t="s">
        <v>248</v>
      </c>
      <c r="E501" t="s">
        <v>302</v>
      </c>
      <c r="F501">
        <v>19052</v>
      </c>
    </row>
    <row r="502" spans="1:6" x14ac:dyDescent="0.35">
      <c r="A502" t="s">
        <v>383</v>
      </c>
      <c r="B502" t="s">
        <v>291</v>
      </c>
      <c r="C502" t="s">
        <v>425</v>
      </c>
      <c r="D502" t="s">
        <v>235</v>
      </c>
      <c r="E502" t="s">
        <v>302</v>
      </c>
      <c r="F502">
        <v>7781</v>
      </c>
    </row>
    <row r="503" spans="1:6" x14ac:dyDescent="0.35">
      <c r="A503" t="s">
        <v>383</v>
      </c>
      <c r="B503" t="s">
        <v>291</v>
      </c>
      <c r="C503" t="s">
        <v>425</v>
      </c>
      <c r="D503" t="s">
        <v>270</v>
      </c>
      <c r="E503" t="s">
        <v>302</v>
      </c>
      <c r="F503">
        <v>5069</v>
      </c>
    </row>
    <row r="504" spans="1:6" x14ac:dyDescent="0.35">
      <c r="A504" t="s">
        <v>383</v>
      </c>
      <c r="B504" t="s">
        <v>291</v>
      </c>
      <c r="C504" t="s">
        <v>425</v>
      </c>
      <c r="D504" t="s">
        <v>419</v>
      </c>
      <c r="E504" t="s">
        <v>302</v>
      </c>
      <c r="F504">
        <v>9346</v>
      </c>
    </row>
    <row r="505" spans="1:6" x14ac:dyDescent="0.35">
      <c r="A505" t="s">
        <v>383</v>
      </c>
      <c r="B505" t="s">
        <v>291</v>
      </c>
      <c r="C505" t="s">
        <v>425</v>
      </c>
      <c r="D505" t="s">
        <v>265</v>
      </c>
      <c r="E505" t="s">
        <v>302</v>
      </c>
      <c r="F505">
        <v>5585</v>
      </c>
    </row>
    <row r="506" spans="1:6" x14ac:dyDescent="0.35">
      <c r="A506" t="s">
        <v>383</v>
      </c>
      <c r="B506" t="s">
        <v>291</v>
      </c>
      <c r="C506" t="s">
        <v>425</v>
      </c>
      <c r="D506" t="s">
        <v>267</v>
      </c>
      <c r="E506" t="s">
        <v>302</v>
      </c>
      <c r="F506">
        <v>17558</v>
      </c>
    </row>
    <row r="507" spans="1:6" x14ac:dyDescent="0.35">
      <c r="A507" t="s">
        <v>383</v>
      </c>
      <c r="B507" t="s">
        <v>290</v>
      </c>
      <c r="C507" t="s">
        <v>426</v>
      </c>
      <c r="D507" t="s">
        <v>418</v>
      </c>
      <c r="E507" t="s">
        <v>301</v>
      </c>
      <c r="F507">
        <v>10</v>
      </c>
    </row>
    <row r="508" spans="1:6" x14ac:dyDescent="0.35">
      <c r="A508" t="s">
        <v>383</v>
      </c>
      <c r="B508" t="s">
        <v>290</v>
      </c>
      <c r="C508" t="s">
        <v>425</v>
      </c>
      <c r="D508" t="s">
        <v>267</v>
      </c>
      <c r="E508" t="s">
        <v>301</v>
      </c>
      <c r="F508">
        <v>654</v>
      </c>
    </row>
    <row r="509" spans="1:6" x14ac:dyDescent="0.35">
      <c r="A509" t="s">
        <v>383</v>
      </c>
      <c r="B509" t="s">
        <v>290</v>
      </c>
      <c r="C509" t="s">
        <v>425</v>
      </c>
      <c r="D509" t="s">
        <v>417</v>
      </c>
      <c r="E509" t="s">
        <v>301</v>
      </c>
      <c r="F509">
        <v>508</v>
      </c>
    </row>
    <row r="510" spans="1:6" x14ac:dyDescent="0.35">
      <c r="A510" t="s">
        <v>383</v>
      </c>
      <c r="B510" t="s">
        <v>290</v>
      </c>
      <c r="C510" t="s">
        <v>425</v>
      </c>
      <c r="D510" t="s">
        <v>229</v>
      </c>
      <c r="E510" t="s">
        <v>301</v>
      </c>
      <c r="F510">
        <v>516</v>
      </c>
    </row>
    <row r="511" spans="1:6" x14ac:dyDescent="0.35">
      <c r="A511" t="s">
        <v>383</v>
      </c>
      <c r="B511" t="s">
        <v>290</v>
      </c>
      <c r="C511" t="s">
        <v>425</v>
      </c>
      <c r="D511" t="s">
        <v>268</v>
      </c>
      <c r="E511" t="s">
        <v>301</v>
      </c>
      <c r="F511">
        <v>607</v>
      </c>
    </row>
    <row r="512" spans="1:6" x14ac:dyDescent="0.35">
      <c r="A512" t="s">
        <v>383</v>
      </c>
      <c r="B512" t="s">
        <v>290</v>
      </c>
      <c r="C512" t="s">
        <v>425</v>
      </c>
      <c r="D512" t="s">
        <v>240</v>
      </c>
      <c r="E512" t="s">
        <v>301</v>
      </c>
      <c r="F512">
        <v>949</v>
      </c>
    </row>
    <row r="513" spans="1:6" x14ac:dyDescent="0.35">
      <c r="A513" t="s">
        <v>383</v>
      </c>
      <c r="B513" t="s">
        <v>290</v>
      </c>
      <c r="C513" t="s">
        <v>425</v>
      </c>
      <c r="D513" t="s">
        <v>246</v>
      </c>
      <c r="E513" t="s">
        <v>301</v>
      </c>
      <c r="F513">
        <v>481</v>
      </c>
    </row>
    <row r="514" spans="1:6" x14ac:dyDescent="0.35">
      <c r="A514" t="s">
        <v>383</v>
      </c>
      <c r="B514" t="s">
        <v>290</v>
      </c>
      <c r="C514" t="s">
        <v>425</v>
      </c>
      <c r="D514" t="s">
        <v>248</v>
      </c>
      <c r="E514" t="s">
        <v>301</v>
      </c>
      <c r="F514">
        <v>967</v>
      </c>
    </row>
    <row r="515" spans="1:6" x14ac:dyDescent="0.35">
      <c r="A515" t="s">
        <v>383</v>
      </c>
      <c r="B515" t="s">
        <v>290</v>
      </c>
      <c r="C515" t="s">
        <v>425</v>
      </c>
      <c r="D515" t="s">
        <v>249</v>
      </c>
      <c r="E515" t="s">
        <v>301</v>
      </c>
      <c r="F515">
        <v>1012</v>
      </c>
    </row>
    <row r="516" spans="1:6" x14ac:dyDescent="0.35">
      <c r="A516" t="s">
        <v>383</v>
      </c>
      <c r="B516" t="s">
        <v>290</v>
      </c>
      <c r="C516" t="s">
        <v>425</v>
      </c>
      <c r="D516" t="s">
        <v>261</v>
      </c>
      <c r="E516" t="s">
        <v>301</v>
      </c>
      <c r="F516">
        <v>124</v>
      </c>
    </row>
    <row r="517" spans="1:6" x14ac:dyDescent="0.35">
      <c r="A517" t="s">
        <v>383</v>
      </c>
      <c r="B517" t="s">
        <v>290</v>
      </c>
      <c r="C517" t="s">
        <v>425</v>
      </c>
      <c r="D517" t="s">
        <v>245</v>
      </c>
      <c r="E517" t="s">
        <v>301</v>
      </c>
      <c r="F517">
        <v>394</v>
      </c>
    </row>
    <row r="518" spans="1:6" x14ac:dyDescent="0.35">
      <c r="A518" t="s">
        <v>383</v>
      </c>
      <c r="B518" t="s">
        <v>290</v>
      </c>
      <c r="C518" t="s">
        <v>425</v>
      </c>
      <c r="D518" t="s">
        <v>239</v>
      </c>
      <c r="E518" t="s">
        <v>301</v>
      </c>
      <c r="F518">
        <v>936</v>
      </c>
    </row>
    <row r="519" spans="1:6" x14ac:dyDescent="0.35">
      <c r="A519" t="s">
        <v>383</v>
      </c>
      <c r="B519" t="s">
        <v>290</v>
      </c>
      <c r="C519" t="s">
        <v>425</v>
      </c>
      <c r="D519" t="s">
        <v>235</v>
      </c>
      <c r="E519" t="s">
        <v>301</v>
      </c>
      <c r="F519">
        <v>484</v>
      </c>
    </row>
    <row r="520" spans="1:6" x14ac:dyDescent="0.35">
      <c r="A520" t="s">
        <v>383</v>
      </c>
      <c r="B520" t="s">
        <v>290</v>
      </c>
      <c r="C520" t="s">
        <v>425</v>
      </c>
      <c r="D520" t="s">
        <v>259</v>
      </c>
      <c r="E520" t="s">
        <v>301</v>
      </c>
      <c r="F520">
        <v>628</v>
      </c>
    </row>
    <row r="521" spans="1:6" x14ac:dyDescent="0.35">
      <c r="A521" t="s">
        <v>383</v>
      </c>
      <c r="B521" t="s">
        <v>290</v>
      </c>
      <c r="C521" t="s">
        <v>425</v>
      </c>
      <c r="D521" t="s">
        <v>234</v>
      </c>
      <c r="E521" t="s">
        <v>301</v>
      </c>
      <c r="F521">
        <v>200</v>
      </c>
    </row>
    <row r="522" spans="1:6" x14ac:dyDescent="0.35">
      <c r="A522" t="s">
        <v>383</v>
      </c>
      <c r="B522" t="s">
        <v>290</v>
      </c>
      <c r="C522" t="s">
        <v>425</v>
      </c>
      <c r="D522" t="s">
        <v>244</v>
      </c>
      <c r="E522" t="s">
        <v>301</v>
      </c>
      <c r="F522">
        <v>978</v>
      </c>
    </row>
    <row r="523" spans="1:6" x14ac:dyDescent="0.35">
      <c r="A523" t="s">
        <v>383</v>
      </c>
      <c r="B523" t="s">
        <v>290</v>
      </c>
      <c r="C523" t="s">
        <v>425</v>
      </c>
      <c r="D523" t="s">
        <v>266</v>
      </c>
      <c r="E523" t="s">
        <v>301</v>
      </c>
      <c r="F523">
        <v>884</v>
      </c>
    </row>
    <row r="524" spans="1:6" x14ac:dyDescent="0.35">
      <c r="A524" t="s">
        <v>383</v>
      </c>
      <c r="B524" t="s">
        <v>290</v>
      </c>
      <c r="C524" t="s">
        <v>425</v>
      </c>
      <c r="D524" t="s">
        <v>254</v>
      </c>
      <c r="E524" t="s">
        <v>301</v>
      </c>
      <c r="F524">
        <v>661</v>
      </c>
    </row>
    <row r="525" spans="1:6" x14ac:dyDescent="0.35">
      <c r="A525" t="s">
        <v>383</v>
      </c>
      <c r="B525" t="s">
        <v>290</v>
      </c>
      <c r="C525" t="s">
        <v>425</v>
      </c>
      <c r="D525" t="s">
        <v>252</v>
      </c>
      <c r="E525" t="s">
        <v>301</v>
      </c>
      <c r="F525">
        <v>691</v>
      </c>
    </row>
    <row r="526" spans="1:6" x14ac:dyDescent="0.35">
      <c r="A526" t="s">
        <v>383</v>
      </c>
      <c r="B526" t="s">
        <v>290</v>
      </c>
      <c r="C526" t="s">
        <v>425</v>
      </c>
      <c r="D526" t="s">
        <v>253</v>
      </c>
      <c r="E526" t="s">
        <v>301</v>
      </c>
      <c r="F526">
        <v>271</v>
      </c>
    </row>
    <row r="527" spans="1:6" x14ac:dyDescent="0.35">
      <c r="A527" t="s">
        <v>383</v>
      </c>
      <c r="B527" t="s">
        <v>290</v>
      </c>
      <c r="C527" t="s">
        <v>425</v>
      </c>
      <c r="D527" t="s">
        <v>247</v>
      </c>
      <c r="E527" t="s">
        <v>301</v>
      </c>
      <c r="F527">
        <v>1709</v>
      </c>
    </row>
    <row r="528" spans="1:6" x14ac:dyDescent="0.35">
      <c r="A528" t="s">
        <v>383</v>
      </c>
      <c r="B528" t="s">
        <v>290</v>
      </c>
      <c r="C528" t="s">
        <v>425</v>
      </c>
      <c r="D528" t="s">
        <v>255</v>
      </c>
      <c r="E528" t="s">
        <v>301</v>
      </c>
      <c r="F528">
        <v>615</v>
      </c>
    </row>
    <row r="529" spans="1:6" x14ac:dyDescent="0.35">
      <c r="A529" t="s">
        <v>383</v>
      </c>
      <c r="B529" t="s">
        <v>290</v>
      </c>
      <c r="C529" t="s">
        <v>425</v>
      </c>
      <c r="D529" t="s">
        <v>265</v>
      </c>
      <c r="E529" t="s">
        <v>301</v>
      </c>
      <c r="F529">
        <v>239</v>
      </c>
    </row>
    <row r="530" spans="1:6" x14ac:dyDescent="0.35">
      <c r="A530" t="s">
        <v>383</v>
      </c>
      <c r="B530" t="s">
        <v>290</v>
      </c>
      <c r="C530" t="s">
        <v>425</v>
      </c>
      <c r="D530" t="s">
        <v>250</v>
      </c>
      <c r="E530" t="s">
        <v>301</v>
      </c>
      <c r="F530">
        <v>681</v>
      </c>
    </row>
    <row r="531" spans="1:6" x14ac:dyDescent="0.35">
      <c r="A531" t="s">
        <v>383</v>
      </c>
      <c r="B531" t="s">
        <v>290</v>
      </c>
      <c r="C531" t="s">
        <v>425</v>
      </c>
      <c r="D531" t="s">
        <v>270</v>
      </c>
      <c r="E531" t="s">
        <v>301</v>
      </c>
      <c r="F531">
        <v>562</v>
      </c>
    </row>
    <row r="532" spans="1:6" x14ac:dyDescent="0.35">
      <c r="A532" t="s">
        <v>383</v>
      </c>
      <c r="B532" t="s">
        <v>290</v>
      </c>
      <c r="C532" t="s">
        <v>425</v>
      </c>
      <c r="D532" t="s">
        <v>269</v>
      </c>
      <c r="E532" t="s">
        <v>301</v>
      </c>
      <c r="F532">
        <v>1492</v>
      </c>
    </row>
    <row r="533" spans="1:6" x14ac:dyDescent="0.35">
      <c r="A533" t="s">
        <v>383</v>
      </c>
      <c r="B533" t="s">
        <v>290</v>
      </c>
      <c r="C533" t="s">
        <v>425</v>
      </c>
      <c r="D533" t="s">
        <v>260</v>
      </c>
      <c r="E533" t="s">
        <v>301</v>
      </c>
      <c r="F533">
        <v>1037</v>
      </c>
    </row>
    <row r="534" spans="1:6" x14ac:dyDescent="0.35">
      <c r="A534" t="s">
        <v>384</v>
      </c>
      <c r="B534" t="s">
        <v>288</v>
      </c>
      <c r="C534" t="s">
        <v>232</v>
      </c>
      <c r="D534" t="s">
        <v>405</v>
      </c>
      <c r="E534" t="s">
        <v>299</v>
      </c>
      <c r="F534">
        <v>591</v>
      </c>
    </row>
    <row r="535" spans="1:6" x14ac:dyDescent="0.35">
      <c r="A535" t="s">
        <v>384</v>
      </c>
      <c r="B535" t="s">
        <v>288</v>
      </c>
      <c r="C535" t="s">
        <v>232</v>
      </c>
      <c r="D535" t="s">
        <v>406</v>
      </c>
      <c r="E535" t="s">
        <v>299</v>
      </c>
      <c r="F535">
        <v>2114</v>
      </c>
    </row>
    <row r="536" spans="1:6" x14ac:dyDescent="0.35">
      <c r="A536" t="s">
        <v>384</v>
      </c>
      <c r="B536" t="s">
        <v>288</v>
      </c>
      <c r="C536" t="s">
        <v>232</v>
      </c>
      <c r="D536" t="s">
        <v>232</v>
      </c>
      <c r="E536" t="s">
        <v>299</v>
      </c>
      <c r="F536">
        <v>12675</v>
      </c>
    </row>
    <row r="537" spans="1:6" x14ac:dyDescent="0.35">
      <c r="A537" t="s">
        <v>384</v>
      </c>
      <c r="B537" t="s">
        <v>288</v>
      </c>
      <c r="C537" t="s">
        <v>232</v>
      </c>
      <c r="D537" t="s">
        <v>407</v>
      </c>
      <c r="E537" t="s">
        <v>299</v>
      </c>
      <c r="F537">
        <v>1531</v>
      </c>
    </row>
    <row r="538" spans="1:6" x14ac:dyDescent="0.35">
      <c r="A538" t="s">
        <v>384</v>
      </c>
      <c r="B538" t="s">
        <v>288</v>
      </c>
      <c r="C538" t="s">
        <v>232</v>
      </c>
      <c r="D538" t="s">
        <v>408</v>
      </c>
      <c r="E538" t="s">
        <v>299</v>
      </c>
      <c r="F538">
        <v>468</v>
      </c>
    </row>
    <row r="539" spans="1:6" x14ac:dyDescent="0.35">
      <c r="A539" t="s">
        <v>384</v>
      </c>
      <c r="B539" t="s">
        <v>288</v>
      </c>
      <c r="C539" t="s">
        <v>232</v>
      </c>
      <c r="D539" t="s">
        <v>409</v>
      </c>
      <c r="E539" t="s">
        <v>299</v>
      </c>
      <c r="F539">
        <v>270</v>
      </c>
    </row>
    <row r="540" spans="1:6" x14ac:dyDescent="0.35">
      <c r="A540" t="s">
        <v>384</v>
      </c>
      <c r="B540" t="s">
        <v>288</v>
      </c>
      <c r="C540" t="s">
        <v>232</v>
      </c>
      <c r="D540" t="s">
        <v>410</v>
      </c>
      <c r="E540" t="s">
        <v>299</v>
      </c>
      <c r="F540">
        <v>41</v>
      </c>
    </row>
    <row r="541" spans="1:6" x14ac:dyDescent="0.35">
      <c r="A541" t="s">
        <v>384</v>
      </c>
      <c r="B541" t="s">
        <v>288</v>
      </c>
      <c r="C541" t="s">
        <v>232</v>
      </c>
      <c r="D541" t="s">
        <v>416</v>
      </c>
      <c r="E541" t="s">
        <v>299</v>
      </c>
      <c r="F541">
        <v>815</v>
      </c>
    </row>
    <row r="542" spans="1:6" x14ac:dyDescent="0.35">
      <c r="A542" t="s">
        <v>384</v>
      </c>
      <c r="B542" t="s">
        <v>288</v>
      </c>
      <c r="C542" t="s">
        <v>232</v>
      </c>
      <c r="D542" t="s">
        <v>427</v>
      </c>
      <c r="E542" t="s">
        <v>299</v>
      </c>
      <c r="F542" t="s">
        <v>206</v>
      </c>
    </row>
    <row r="543" spans="1:6" x14ac:dyDescent="0.35">
      <c r="A543" t="s">
        <v>384</v>
      </c>
      <c r="B543" t="s">
        <v>288</v>
      </c>
      <c r="C543" t="s">
        <v>232</v>
      </c>
      <c r="D543" t="s">
        <v>414</v>
      </c>
      <c r="E543" t="s">
        <v>299</v>
      </c>
      <c r="F543">
        <v>642</v>
      </c>
    </row>
    <row r="544" spans="1:6" x14ac:dyDescent="0.35">
      <c r="A544" t="s">
        <v>384</v>
      </c>
      <c r="B544" t="s">
        <v>288</v>
      </c>
      <c r="C544" t="s">
        <v>232</v>
      </c>
      <c r="D544" t="s">
        <v>415</v>
      </c>
      <c r="E544" t="s">
        <v>299</v>
      </c>
      <c r="F544">
        <v>293</v>
      </c>
    </row>
    <row r="545" spans="1:6" x14ac:dyDescent="0.35">
      <c r="A545" t="s">
        <v>384</v>
      </c>
      <c r="B545" t="s">
        <v>288</v>
      </c>
      <c r="C545" t="s">
        <v>232</v>
      </c>
      <c r="D545" t="s">
        <v>413</v>
      </c>
      <c r="E545" t="s">
        <v>299</v>
      </c>
      <c r="F545">
        <v>1509</v>
      </c>
    </row>
    <row r="546" spans="1:6" x14ac:dyDescent="0.35">
      <c r="A546" t="s">
        <v>384</v>
      </c>
      <c r="B546" t="s">
        <v>288</v>
      </c>
      <c r="C546" t="s">
        <v>232</v>
      </c>
      <c r="D546" t="s">
        <v>412</v>
      </c>
      <c r="E546" t="s">
        <v>299</v>
      </c>
      <c r="F546">
        <v>4401</v>
      </c>
    </row>
    <row r="547" spans="1:6" x14ac:dyDescent="0.35">
      <c r="A547" t="s">
        <v>384</v>
      </c>
      <c r="B547" t="s">
        <v>288</v>
      </c>
      <c r="C547" t="s">
        <v>222</v>
      </c>
      <c r="D547" t="s">
        <v>404</v>
      </c>
      <c r="E547" t="s">
        <v>299</v>
      </c>
      <c r="F547">
        <v>5833</v>
      </c>
    </row>
    <row r="548" spans="1:6" x14ac:dyDescent="0.35">
      <c r="A548" t="s">
        <v>384</v>
      </c>
      <c r="B548" t="s">
        <v>288</v>
      </c>
      <c r="C548" t="s">
        <v>222</v>
      </c>
      <c r="D548" t="s">
        <v>403</v>
      </c>
      <c r="E548" t="s">
        <v>299</v>
      </c>
      <c r="F548">
        <v>123285</v>
      </c>
    </row>
    <row r="549" spans="1:6" x14ac:dyDescent="0.35">
      <c r="A549" t="s">
        <v>384</v>
      </c>
      <c r="B549" t="s">
        <v>288</v>
      </c>
      <c r="C549" t="s">
        <v>222</v>
      </c>
      <c r="D549" t="s">
        <v>402</v>
      </c>
      <c r="E549" t="s">
        <v>299</v>
      </c>
      <c r="F549">
        <v>42447</v>
      </c>
    </row>
    <row r="550" spans="1:6" x14ac:dyDescent="0.35">
      <c r="A550" t="s">
        <v>384</v>
      </c>
      <c r="B550" t="s">
        <v>288</v>
      </c>
      <c r="C550" t="s">
        <v>222</v>
      </c>
      <c r="D550" t="s">
        <v>401</v>
      </c>
      <c r="E550" t="s">
        <v>299</v>
      </c>
      <c r="F550">
        <v>59243</v>
      </c>
    </row>
    <row r="551" spans="1:6" x14ac:dyDescent="0.35">
      <c r="A551" t="s">
        <v>384</v>
      </c>
      <c r="B551" t="s">
        <v>288</v>
      </c>
      <c r="C551" t="s">
        <v>222</v>
      </c>
      <c r="D551" t="s">
        <v>222</v>
      </c>
      <c r="E551" t="s">
        <v>299</v>
      </c>
      <c r="F551">
        <v>327577</v>
      </c>
    </row>
    <row r="552" spans="1:6" x14ac:dyDescent="0.35">
      <c r="A552" t="s">
        <v>384</v>
      </c>
      <c r="B552" t="s">
        <v>288</v>
      </c>
      <c r="C552" t="s">
        <v>222</v>
      </c>
      <c r="D552" t="s">
        <v>399</v>
      </c>
      <c r="E552" t="s">
        <v>299</v>
      </c>
      <c r="F552">
        <v>10345</v>
      </c>
    </row>
    <row r="553" spans="1:6" x14ac:dyDescent="0.35">
      <c r="A553" t="s">
        <v>384</v>
      </c>
      <c r="B553" t="s">
        <v>288</v>
      </c>
      <c r="C553" t="s">
        <v>222</v>
      </c>
      <c r="D553" t="s">
        <v>398</v>
      </c>
      <c r="E553" t="s">
        <v>299</v>
      </c>
      <c r="F553">
        <v>30191</v>
      </c>
    </row>
    <row r="554" spans="1:6" x14ac:dyDescent="0.35">
      <c r="A554" t="s">
        <v>384</v>
      </c>
      <c r="B554" t="s">
        <v>288</v>
      </c>
      <c r="C554" t="s">
        <v>222</v>
      </c>
      <c r="D554" t="s">
        <v>397</v>
      </c>
      <c r="E554" t="s">
        <v>299</v>
      </c>
      <c r="F554">
        <v>16144</v>
      </c>
    </row>
    <row r="555" spans="1:6" x14ac:dyDescent="0.35">
      <c r="A555" t="s">
        <v>384</v>
      </c>
      <c r="B555" t="s">
        <v>288</v>
      </c>
      <c r="C555" t="s">
        <v>222</v>
      </c>
      <c r="D555" t="s">
        <v>428</v>
      </c>
      <c r="E555" t="s">
        <v>299</v>
      </c>
      <c r="F555">
        <v>4036</v>
      </c>
    </row>
    <row r="556" spans="1:6" x14ac:dyDescent="0.35">
      <c r="A556" t="s">
        <v>384</v>
      </c>
      <c r="B556" t="s">
        <v>288</v>
      </c>
      <c r="C556" t="s">
        <v>222</v>
      </c>
      <c r="D556" t="s">
        <v>400</v>
      </c>
      <c r="E556" t="s">
        <v>299</v>
      </c>
      <c r="F556">
        <v>36053</v>
      </c>
    </row>
    <row r="557" spans="1:6" x14ac:dyDescent="0.35">
      <c r="A557" t="s">
        <v>384</v>
      </c>
      <c r="B557" t="s">
        <v>291</v>
      </c>
      <c r="C557" t="s">
        <v>425</v>
      </c>
      <c r="D557" t="s">
        <v>260</v>
      </c>
      <c r="E557" t="s">
        <v>302</v>
      </c>
      <c r="F557">
        <v>7324</v>
      </c>
    </row>
    <row r="558" spans="1:6" x14ac:dyDescent="0.35">
      <c r="A558" t="s">
        <v>384</v>
      </c>
      <c r="B558" t="s">
        <v>291</v>
      </c>
      <c r="C558" t="s">
        <v>425</v>
      </c>
      <c r="D558" t="s">
        <v>417</v>
      </c>
      <c r="E558" t="s">
        <v>302</v>
      </c>
      <c r="F558">
        <v>5046</v>
      </c>
    </row>
    <row r="559" spans="1:6" x14ac:dyDescent="0.35">
      <c r="A559" t="s">
        <v>384</v>
      </c>
      <c r="B559" t="s">
        <v>291</v>
      </c>
      <c r="C559" t="s">
        <v>425</v>
      </c>
      <c r="D559" t="s">
        <v>248</v>
      </c>
      <c r="E559" t="s">
        <v>302</v>
      </c>
      <c r="F559">
        <v>19579</v>
      </c>
    </row>
    <row r="560" spans="1:6" x14ac:dyDescent="0.35">
      <c r="A560" t="s">
        <v>384</v>
      </c>
      <c r="B560" t="s">
        <v>291</v>
      </c>
      <c r="C560" t="s">
        <v>425</v>
      </c>
      <c r="D560" t="s">
        <v>235</v>
      </c>
      <c r="E560" t="s">
        <v>302</v>
      </c>
      <c r="F560">
        <v>7304</v>
      </c>
    </row>
    <row r="561" spans="1:6" x14ac:dyDescent="0.35">
      <c r="A561" t="s">
        <v>384</v>
      </c>
      <c r="B561" t="s">
        <v>291</v>
      </c>
      <c r="C561" t="s">
        <v>425</v>
      </c>
      <c r="D561" t="s">
        <v>269</v>
      </c>
      <c r="E561" t="s">
        <v>302</v>
      </c>
      <c r="F561">
        <v>28292</v>
      </c>
    </row>
    <row r="562" spans="1:6" x14ac:dyDescent="0.35">
      <c r="A562" t="s">
        <v>384</v>
      </c>
      <c r="B562" t="s">
        <v>291</v>
      </c>
      <c r="C562" t="s">
        <v>425</v>
      </c>
      <c r="D562" t="s">
        <v>259</v>
      </c>
      <c r="E562" t="s">
        <v>302</v>
      </c>
      <c r="F562">
        <v>18808</v>
      </c>
    </row>
    <row r="563" spans="1:6" x14ac:dyDescent="0.35">
      <c r="A563" t="s">
        <v>384</v>
      </c>
      <c r="B563" t="s">
        <v>291</v>
      </c>
      <c r="C563" t="s">
        <v>425</v>
      </c>
      <c r="D563" t="s">
        <v>273</v>
      </c>
      <c r="E563" t="s">
        <v>302</v>
      </c>
      <c r="F563">
        <v>38</v>
      </c>
    </row>
    <row r="564" spans="1:6" x14ac:dyDescent="0.35">
      <c r="A564" t="s">
        <v>384</v>
      </c>
      <c r="B564" t="s">
        <v>291</v>
      </c>
      <c r="C564" t="s">
        <v>425</v>
      </c>
      <c r="D564" t="s">
        <v>249</v>
      </c>
      <c r="E564" t="s">
        <v>302</v>
      </c>
      <c r="F564">
        <v>33728</v>
      </c>
    </row>
    <row r="565" spans="1:6" x14ac:dyDescent="0.35">
      <c r="A565" t="s">
        <v>384</v>
      </c>
      <c r="B565" t="s">
        <v>291</v>
      </c>
      <c r="C565" t="s">
        <v>425</v>
      </c>
      <c r="D565" t="s">
        <v>239</v>
      </c>
      <c r="E565" t="s">
        <v>302</v>
      </c>
      <c r="F565">
        <v>15940</v>
      </c>
    </row>
    <row r="566" spans="1:6" x14ac:dyDescent="0.35">
      <c r="A566" t="s">
        <v>384</v>
      </c>
      <c r="B566" t="s">
        <v>291</v>
      </c>
      <c r="C566" t="s">
        <v>425</v>
      </c>
      <c r="D566" t="s">
        <v>39</v>
      </c>
      <c r="E566" t="s">
        <v>302</v>
      </c>
      <c r="F566">
        <v>3759</v>
      </c>
    </row>
    <row r="567" spans="1:6" x14ac:dyDescent="0.35">
      <c r="A567" t="s">
        <v>384</v>
      </c>
      <c r="B567" t="s">
        <v>291</v>
      </c>
      <c r="C567" t="s">
        <v>425</v>
      </c>
      <c r="D567" t="s">
        <v>272</v>
      </c>
      <c r="E567" t="s">
        <v>302</v>
      </c>
      <c r="F567">
        <v>8730</v>
      </c>
    </row>
    <row r="568" spans="1:6" x14ac:dyDescent="0.35">
      <c r="A568" t="s">
        <v>384</v>
      </c>
      <c r="B568" t="s">
        <v>291</v>
      </c>
      <c r="C568" t="s">
        <v>425</v>
      </c>
      <c r="D568" t="s">
        <v>247</v>
      </c>
      <c r="E568" t="s">
        <v>302</v>
      </c>
      <c r="F568">
        <v>18739</v>
      </c>
    </row>
    <row r="569" spans="1:6" x14ac:dyDescent="0.35">
      <c r="A569" t="s">
        <v>384</v>
      </c>
      <c r="B569" t="s">
        <v>291</v>
      </c>
      <c r="C569" t="s">
        <v>425</v>
      </c>
      <c r="D569" t="s">
        <v>252</v>
      </c>
      <c r="E569" t="s">
        <v>302</v>
      </c>
      <c r="F569">
        <v>31430</v>
      </c>
    </row>
    <row r="570" spans="1:6" x14ac:dyDescent="0.35">
      <c r="A570" t="s">
        <v>384</v>
      </c>
      <c r="B570" t="s">
        <v>291</v>
      </c>
      <c r="C570" t="s">
        <v>425</v>
      </c>
      <c r="D570" t="s">
        <v>266</v>
      </c>
      <c r="E570" t="s">
        <v>302</v>
      </c>
      <c r="F570">
        <v>5668</v>
      </c>
    </row>
    <row r="571" spans="1:6" x14ac:dyDescent="0.35">
      <c r="A571" t="s">
        <v>384</v>
      </c>
      <c r="B571" t="s">
        <v>291</v>
      </c>
      <c r="C571" t="s">
        <v>425</v>
      </c>
      <c r="D571" t="s">
        <v>265</v>
      </c>
      <c r="E571" t="s">
        <v>302</v>
      </c>
      <c r="F571">
        <v>5539</v>
      </c>
    </row>
    <row r="572" spans="1:6" x14ac:dyDescent="0.35">
      <c r="A572" t="s">
        <v>384</v>
      </c>
      <c r="B572" t="s">
        <v>291</v>
      </c>
      <c r="C572" t="s">
        <v>425</v>
      </c>
      <c r="D572" t="s">
        <v>254</v>
      </c>
      <c r="E572" t="s">
        <v>302</v>
      </c>
      <c r="F572">
        <v>9714</v>
      </c>
    </row>
    <row r="573" spans="1:6" x14ac:dyDescent="0.35">
      <c r="A573" t="s">
        <v>384</v>
      </c>
      <c r="B573" t="s">
        <v>291</v>
      </c>
      <c r="C573" t="s">
        <v>425</v>
      </c>
      <c r="D573" t="s">
        <v>267</v>
      </c>
      <c r="E573" t="s">
        <v>302</v>
      </c>
      <c r="F573">
        <v>14953</v>
      </c>
    </row>
    <row r="574" spans="1:6" x14ac:dyDescent="0.35">
      <c r="A574" t="s">
        <v>384</v>
      </c>
      <c r="B574" t="s">
        <v>291</v>
      </c>
      <c r="C574" t="s">
        <v>425</v>
      </c>
      <c r="D574" t="s">
        <v>234</v>
      </c>
      <c r="E574" t="s">
        <v>302</v>
      </c>
      <c r="F574">
        <v>1635</v>
      </c>
    </row>
    <row r="575" spans="1:6" x14ac:dyDescent="0.35">
      <c r="A575" t="s">
        <v>384</v>
      </c>
      <c r="B575" t="s">
        <v>291</v>
      </c>
      <c r="C575" t="s">
        <v>425</v>
      </c>
      <c r="D575" t="s">
        <v>246</v>
      </c>
      <c r="E575" t="s">
        <v>302</v>
      </c>
      <c r="F575">
        <v>5390</v>
      </c>
    </row>
    <row r="576" spans="1:6" x14ac:dyDescent="0.35">
      <c r="A576" t="s">
        <v>384</v>
      </c>
      <c r="B576" t="s">
        <v>291</v>
      </c>
      <c r="C576" t="s">
        <v>425</v>
      </c>
      <c r="D576" t="s">
        <v>268</v>
      </c>
      <c r="E576" t="s">
        <v>302</v>
      </c>
      <c r="F576">
        <v>7770</v>
      </c>
    </row>
    <row r="577" spans="1:6" x14ac:dyDescent="0.35">
      <c r="A577" t="s">
        <v>384</v>
      </c>
      <c r="B577" t="s">
        <v>291</v>
      </c>
      <c r="C577" t="s">
        <v>425</v>
      </c>
      <c r="D577" t="s">
        <v>240</v>
      </c>
      <c r="E577" t="s">
        <v>302</v>
      </c>
      <c r="F577">
        <v>14258</v>
      </c>
    </row>
    <row r="578" spans="1:6" x14ac:dyDescent="0.35">
      <c r="A578" t="s">
        <v>384</v>
      </c>
      <c r="B578" t="s">
        <v>291</v>
      </c>
      <c r="C578" t="s">
        <v>425</v>
      </c>
      <c r="D578" t="s">
        <v>229</v>
      </c>
      <c r="E578" t="s">
        <v>302</v>
      </c>
      <c r="F578">
        <v>13016</v>
      </c>
    </row>
    <row r="579" spans="1:6" x14ac:dyDescent="0.35">
      <c r="A579" t="s">
        <v>384</v>
      </c>
      <c r="B579" t="s">
        <v>291</v>
      </c>
      <c r="C579" t="s">
        <v>425</v>
      </c>
      <c r="D579" t="s">
        <v>245</v>
      </c>
      <c r="E579" t="s">
        <v>302</v>
      </c>
      <c r="F579">
        <v>3178</v>
      </c>
    </row>
    <row r="580" spans="1:6" x14ac:dyDescent="0.35">
      <c r="A580" t="s">
        <v>384</v>
      </c>
      <c r="B580" t="s">
        <v>291</v>
      </c>
      <c r="C580" t="s">
        <v>425</v>
      </c>
      <c r="D580" t="s">
        <v>419</v>
      </c>
      <c r="E580" t="s">
        <v>302</v>
      </c>
      <c r="F580">
        <v>7245</v>
      </c>
    </row>
    <row r="581" spans="1:6" x14ac:dyDescent="0.35">
      <c r="A581" t="s">
        <v>384</v>
      </c>
      <c r="B581" t="s">
        <v>291</v>
      </c>
      <c r="C581" t="s">
        <v>425</v>
      </c>
      <c r="D581" t="s">
        <v>244</v>
      </c>
      <c r="E581" t="s">
        <v>302</v>
      </c>
      <c r="F581">
        <v>26688</v>
      </c>
    </row>
    <row r="582" spans="1:6" x14ac:dyDescent="0.35">
      <c r="A582" t="s">
        <v>384</v>
      </c>
      <c r="B582" t="s">
        <v>291</v>
      </c>
      <c r="C582" t="s">
        <v>425</v>
      </c>
      <c r="D582" t="s">
        <v>270</v>
      </c>
      <c r="E582" t="s">
        <v>302</v>
      </c>
      <c r="F582">
        <v>8322</v>
      </c>
    </row>
    <row r="583" spans="1:6" x14ac:dyDescent="0.35">
      <c r="A583" t="s">
        <v>384</v>
      </c>
      <c r="B583" t="s">
        <v>290</v>
      </c>
      <c r="C583" t="s">
        <v>426</v>
      </c>
      <c r="D583" t="s">
        <v>418</v>
      </c>
      <c r="E583" t="s">
        <v>301</v>
      </c>
      <c r="F583">
        <v>70</v>
      </c>
    </row>
    <row r="584" spans="1:6" x14ac:dyDescent="0.35">
      <c r="A584" t="s">
        <v>384</v>
      </c>
      <c r="B584" t="s">
        <v>290</v>
      </c>
      <c r="C584" t="s">
        <v>425</v>
      </c>
      <c r="D584" t="s">
        <v>255</v>
      </c>
      <c r="E584" t="s">
        <v>301</v>
      </c>
      <c r="F584">
        <v>488</v>
      </c>
    </row>
    <row r="585" spans="1:6" x14ac:dyDescent="0.35">
      <c r="A585" t="s">
        <v>384</v>
      </c>
      <c r="B585" t="s">
        <v>290</v>
      </c>
      <c r="C585" t="s">
        <v>425</v>
      </c>
      <c r="D585" t="s">
        <v>229</v>
      </c>
      <c r="E585" t="s">
        <v>301</v>
      </c>
      <c r="F585">
        <v>304</v>
      </c>
    </row>
    <row r="586" spans="1:6" x14ac:dyDescent="0.35">
      <c r="A586" t="s">
        <v>384</v>
      </c>
      <c r="B586" t="s">
        <v>290</v>
      </c>
      <c r="C586" t="s">
        <v>425</v>
      </c>
      <c r="D586" t="s">
        <v>245</v>
      </c>
      <c r="E586" t="s">
        <v>301</v>
      </c>
      <c r="F586">
        <v>316</v>
      </c>
    </row>
    <row r="587" spans="1:6" x14ac:dyDescent="0.35">
      <c r="A587" t="s">
        <v>384</v>
      </c>
      <c r="B587" t="s">
        <v>290</v>
      </c>
      <c r="C587" t="s">
        <v>425</v>
      </c>
      <c r="D587" t="s">
        <v>269</v>
      </c>
      <c r="E587" t="s">
        <v>301</v>
      </c>
      <c r="F587">
        <v>1525</v>
      </c>
    </row>
    <row r="588" spans="1:6" x14ac:dyDescent="0.35">
      <c r="A588" t="s">
        <v>384</v>
      </c>
      <c r="B588" t="s">
        <v>290</v>
      </c>
      <c r="C588" t="s">
        <v>425</v>
      </c>
      <c r="D588" t="s">
        <v>268</v>
      </c>
      <c r="E588" t="s">
        <v>301</v>
      </c>
      <c r="F588">
        <v>582</v>
      </c>
    </row>
    <row r="589" spans="1:6" x14ac:dyDescent="0.35">
      <c r="A589" t="s">
        <v>384</v>
      </c>
      <c r="B589" t="s">
        <v>290</v>
      </c>
      <c r="C589" t="s">
        <v>425</v>
      </c>
      <c r="D589" t="s">
        <v>246</v>
      </c>
      <c r="E589" t="s">
        <v>301</v>
      </c>
      <c r="F589">
        <v>449</v>
      </c>
    </row>
    <row r="590" spans="1:6" x14ac:dyDescent="0.35">
      <c r="A590" t="s">
        <v>384</v>
      </c>
      <c r="B590" t="s">
        <v>290</v>
      </c>
      <c r="C590" t="s">
        <v>425</v>
      </c>
      <c r="D590" t="s">
        <v>234</v>
      </c>
      <c r="E590" t="s">
        <v>301</v>
      </c>
      <c r="F590">
        <v>138</v>
      </c>
    </row>
    <row r="591" spans="1:6" x14ac:dyDescent="0.35">
      <c r="A591" t="s">
        <v>384</v>
      </c>
      <c r="B591" t="s">
        <v>290</v>
      </c>
      <c r="C591" t="s">
        <v>425</v>
      </c>
      <c r="D591" t="s">
        <v>267</v>
      </c>
      <c r="E591" t="s">
        <v>301</v>
      </c>
      <c r="F591">
        <v>401</v>
      </c>
    </row>
    <row r="592" spans="1:6" x14ac:dyDescent="0.35">
      <c r="A592" t="s">
        <v>384</v>
      </c>
      <c r="B592" t="s">
        <v>290</v>
      </c>
      <c r="C592" t="s">
        <v>425</v>
      </c>
      <c r="D592" t="s">
        <v>247</v>
      </c>
      <c r="E592" t="s">
        <v>301</v>
      </c>
      <c r="F592">
        <v>1451</v>
      </c>
    </row>
    <row r="593" spans="1:6" x14ac:dyDescent="0.35">
      <c r="A593" t="s">
        <v>384</v>
      </c>
      <c r="B593" t="s">
        <v>290</v>
      </c>
      <c r="C593" t="s">
        <v>425</v>
      </c>
      <c r="D593" t="s">
        <v>266</v>
      </c>
      <c r="E593" t="s">
        <v>301</v>
      </c>
      <c r="F593">
        <v>578</v>
      </c>
    </row>
    <row r="594" spans="1:6" x14ac:dyDescent="0.35">
      <c r="A594" t="s">
        <v>384</v>
      </c>
      <c r="B594" t="s">
        <v>290</v>
      </c>
      <c r="C594" t="s">
        <v>425</v>
      </c>
      <c r="D594" t="s">
        <v>244</v>
      </c>
      <c r="E594" t="s">
        <v>301</v>
      </c>
      <c r="F594">
        <v>806</v>
      </c>
    </row>
    <row r="595" spans="1:6" x14ac:dyDescent="0.35">
      <c r="A595" t="s">
        <v>384</v>
      </c>
      <c r="B595" t="s">
        <v>290</v>
      </c>
      <c r="C595" t="s">
        <v>425</v>
      </c>
      <c r="D595" t="s">
        <v>259</v>
      </c>
      <c r="E595" t="s">
        <v>301</v>
      </c>
      <c r="F595">
        <v>557</v>
      </c>
    </row>
    <row r="596" spans="1:6" x14ac:dyDescent="0.35">
      <c r="A596" t="s">
        <v>384</v>
      </c>
      <c r="B596" t="s">
        <v>290</v>
      </c>
      <c r="C596" t="s">
        <v>425</v>
      </c>
      <c r="D596" t="s">
        <v>260</v>
      </c>
      <c r="E596" t="s">
        <v>301</v>
      </c>
      <c r="F596">
        <v>1180</v>
      </c>
    </row>
    <row r="597" spans="1:6" x14ac:dyDescent="0.35">
      <c r="A597" t="s">
        <v>384</v>
      </c>
      <c r="B597" t="s">
        <v>290</v>
      </c>
      <c r="C597" t="s">
        <v>425</v>
      </c>
      <c r="D597" t="s">
        <v>250</v>
      </c>
      <c r="E597" t="s">
        <v>301</v>
      </c>
      <c r="F597">
        <v>600</v>
      </c>
    </row>
    <row r="598" spans="1:6" x14ac:dyDescent="0.35">
      <c r="A598" t="s">
        <v>384</v>
      </c>
      <c r="B598" t="s">
        <v>290</v>
      </c>
      <c r="C598" t="s">
        <v>425</v>
      </c>
      <c r="D598" t="s">
        <v>235</v>
      </c>
      <c r="E598" t="s">
        <v>301</v>
      </c>
      <c r="F598">
        <v>365</v>
      </c>
    </row>
    <row r="599" spans="1:6" x14ac:dyDescent="0.35">
      <c r="A599" t="s">
        <v>384</v>
      </c>
      <c r="B599" t="s">
        <v>290</v>
      </c>
      <c r="C599" t="s">
        <v>425</v>
      </c>
      <c r="D599" t="s">
        <v>240</v>
      </c>
      <c r="E599" t="s">
        <v>301</v>
      </c>
      <c r="F599">
        <v>923</v>
      </c>
    </row>
    <row r="600" spans="1:6" x14ac:dyDescent="0.35">
      <c r="A600" t="s">
        <v>384</v>
      </c>
      <c r="B600" t="s">
        <v>290</v>
      </c>
      <c r="C600" t="s">
        <v>425</v>
      </c>
      <c r="D600" t="s">
        <v>417</v>
      </c>
      <c r="E600" t="s">
        <v>301</v>
      </c>
      <c r="F600">
        <v>513</v>
      </c>
    </row>
    <row r="601" spans="1:6" x14ac:dyDescent="0.35">
      <c r="A601" t="s">
        <v>384</v>
      </c>
      <c r="B601" t="s">
        <v>290</v>
      </c>
      <c r="C601" t="s">
        <v>425</v>
      </c>
      <c r="D601" t="s">
        <v>239</v>
      </c>
      <c r="E601" t="s">
        <v>301</v>
      </c>
      <c r="F601">
        <v>1038</v>
      </c>
    </row>
    <row r="602" spans="1:6" x14ac:dyDescent="0.35">
      <c r="A602" t="s">
        <v>384</v>
      </c>
      <c r="B602" t="s">
        <v>290</v>
      </c>
      <c r="C602" t="s">
        <v>425</v>
      </c>
      <c r="D602" t="s">
        <v>261</v>
      </c>
      <c r="E602" t="s">
        <v>301</v>
      </c>
      <c r="F602">
        <v>167</v>
      </c>
    </row>
    <row r="603" spans="1:6" x14ac:dyDescent="0.35">
      <c r="A603" t="s">
        <v>384</v>
      </c>
      <c r="B603" t="s">
        <v>290</v>
      </c>
      <c r="C603" t="s">
        <v>425</v>
      </c>
      <c r="D603" t="s">
        <v>249</v>
      </c>
      <c r="E603" t="s">
        <v>301</v>
      </c>
      <c r="F603">
        <v>640</v>
      </c>
    </row>
    <row r="604" spans="1:6" x14ac:dyDescent="0.35">
      <c r="A604" t="s">
        <v>384</v>
      </c>
      <c r="B604" t="s">
        <v>290</v>
      </c>
      <c r="C604" t="s">
        <v>425</v>
      </c>
      <c r="D604" t="s">
        <v>265</v>
      </c>
      <c r="E604" t="s">
        <v>301</v>
      </c>
      <c r="F604">
        <v>372</v>
      </c>
    </row>
    <row r="605" spans="1:6" x14ac:dyDescent="0.35">
      <c r="A605" t="s">
        <v>384</v>
      </c>
      <c r="B605" t="s">
        <v>290</v>
      </c>
      <c r="C605" t="s">
        <v>425</v>
      </c>
      <c r="D605" t="s">
        <v>252</v>
      </c>
      <c r="E605" t="s">
        <v>301</v>
      </c>
      <c r="F605">
        <v>749</v>
      </c>
    </row>
    <row r="606" spans="1:6" x14ac:dyDescent="0.35">
      <c r="A606" t="s">
        <v>384</v>
      </c>
      <c r="B606" t="s">
        <v>290</v>
      </c>
      <c r="C606" t="s">
        <v>425</v>
      </c>
      <c r="D606" t="s">
        <v>253</v>
      </c>
      <c r="E606" t="s">
        <v>301</v>
      </c>
      <c r="F606">
        <v>158</v>
      </c>
    </row>
    <row r="607" spans="1:6" x14ac:dyDescent="0.35">
      <c r="A607" t="s">
        <v>384</v>
      </c>
      <c r="B607" t="s">
        <v>290</v>
      </c>
      <c r="C607" t="s">
        <v>425</v>
      </c>
      <c r="D607" t="s">
        <v>254</v>
      </c>
      <c r="E607" t="s">
        <v>301</v>
      </c>
      <c r="F607">
        <v>659</v>
      </c>
    </row>
    <row r="608" spans="1:6" x14ac:dyDescent="0.35">
      <c r="A608" t="s">
        <v>384</v>
      </c>
      <c r="B608" t="s">
        <v>290</v>
      </c>
      <c r="C608" t="s">
        <v>425</v>
      </c>
      <c r="D608" t="s">
        <v>270</v>
      </c>
      <c r="E608" t="s">
        <v>301</v>
      </c>
      <c r="F608">
        <v>489</v>
      </c>
    </row>
    <row r="609" spans="1:6" x14ac:dyDescent="0.35">
      <c r="A609" t="s">
        <v>384</v>
      </c>
      <c r="B609" t="s">
        <v>290</v>
      </c>
      <c r="C609" t="s">
        <v>425</v>
      </c>
      <c r="D609" t="s">
        <v>248</v>
      </c>
      <c r="E609" t="s">
        <v>301</v>
      </c>
      <c r="F609">
        <v>743</v>
      </c>
    </row>
    <row r="610" spans="1:6" x14ac:dyDescent="0.35">
      <c r="A610" t="s">
        <v>385</v>
      </c>
      <c r="B610" t="s">
        <v>288</v>
      </c>
      <c r="C610" t="s">
        <v>232</v>
      </c>
      <c r="D610" t="s">
        <v>416</v>
      </c>
      <c r="E610" t="s">
        <v>299</v>
      </c>
      <c r="F610">
        <v>702</v>
      </c>
    </row>
    <row r="611" spans="1:6" x14ac:dyDescent="0.35">
      <c r="A611" t="s">
        <v>385</v>
      </c>
      <c r="B611" t="s">
        <v>288</v>
      </c>
      <c r="C611" t="s">
        <v>232</v>
      </c>
      <c r="D611" t="s">
        <v>415</v>
      </c>
      <c r="E611" t="s">
        <v>299</v>
      </c>
      <c r="F611">
        <v>317</v>
      </c>
    </row>
    <row r="612" spans="1:6" x14ac:dyDescent="0.35">
      <c r="A612" t="s">
        <v>385</v>
      </c>
      <c r="B612" t="s">
        <v>288</v>
      </c>
      <c r="C612" t="s">
        <v>232</v>
      </c>
      <c r="D612" t="s">
        <v>414</v>
      </c>
      <c r="E612" t="s">
        <v>299</v>
      </c>
      <c r="F612">
        <v>702</v>
      </c>
    </row>
    <row r="613" spans="1:6" x14ac:dyDescent="0.35">
      <c r="A613" t="s">
        <v>385</v>
      </c>
      <c r="B613" t="s">
        <v>288</v>
      </c>
      <c r="C613" t="s">
        <v>232</v>
      </c>
      <c r="D613" t="s">
        <v>413</v>
      </c>
      <c r="E613" t="s">
        <v>299</v>
      </c>
      <c r="F613">
        <v>474</v>
      </c>
    </row>
    <row r="614" spans="1:6" x14ac:dyDescent="0.35">
      <c r="A614" t="s">
        <v>385</v>
      </c>
      <c r="B614" t="s">
        <v>288</v>
      </c>
      <c r="C614" t="s">
        <v>232</v>
      </c>
      <c r="D614" t="s">
        <v>232</v>
      </c>
      <c r="E614" t="s">
        <v>299</v>
      </c>
      <c r="F614">
        <v>7895</v>
      </c>
    </row>
    <row r="615" spans="1:6" x14ac:dyDescent="0.35">
      <c r="A615" t="s">
        <v>385</v>
      </c>
      <c r="B615" t="s">
        <v>288</v>
      </c>
      <c r="C615" t="s">
        <v>232</v>
      </c>
      <c r="D615" t="s">
        <v>405</v>
      </c>
      <c r="E615" t="s">
        <v>299</v>
      </c>
      <c r="F615">
        <v>537</v>
      </c>
    </row>
    <row r="616" spans="1:6" x14ac:dyDescent="0.35">
      <c r="A616" t="s">
        <v>385</v>
      </c>
      <c r="B616" t="s">
        <v>288</v>
      </c>
      <c r="C616" t="s">
        <v>232</v>
      </c>
      <c r="D616" t="s">
        <v>406</v>
      </c>
      <c r="E616" t="s">
        <v>299</v>
      </c>
      <c r="F616">
        <v>1143</v>
      </c>
    </row>
    <row r="617" spans="1:6" x14ac:dyDescent="0.35">
      <c r="A617" t="s">
        <v>385</v>
      </c>
      <c r="B617" t="s">
        <v>288</v>
      </c>
      <c r="C617" t="s">
        <v>232</v>
      </c>
      <c r="D617" t="s">
        <v>408</v>
      </c>
      <c r="E617" t="s">
        <v>299</v>
      </c>
      <c r="F617">
        <v>418</v>
      </c>
    </row>
    <row r="618" spans="1:6" x14ac:dyDescent="0.35">
      <c r="A618" t="s">
        <v>385</v>
      </c>
      <c r="B618" t="s">
        <v>288</v>
      </c>
      <c r="C618" t="s">
        <v>232</v>
      </c>
      <c r="D618" t="s">
        <v>409</v>
      </c>
      <c r="E618" t="s">
        <v>299</v>
      </c>
      <c r="F618">
        <v>102</v>
      </c>
    </row>
    <row r="619" spans="1:6" x14ac:dyDescent="0.35">
      <c r="A619" t="s">
        <v>385</v>
      </c>
      <c r="B619" t="s">
        <v>288</v>
      </c>
      <c r="C619" t="s">
        <v>232</v>
      </c>
      <c r="D619" t="s">
        <v>410</v>
      </c>
      <c r="E619" t="s">
        <v>299</v>
      </c>
      <c r="F619">
        <v>41</v>
      </c>
    </row>
    <row r="620" spans="1:6" x14ac:dyDescent="0.35">
      <c r="A620" t="s">
        <v>385</v>
      </c>
      <c r="B620" t="s">
        <v>288</v>
      </c>
      <c r="C620" t="s">
        <v>232</v>
      </c>
      <c r="D620" t="s">
        <v>427</v>
      </c>
      <c r="E620" t="s">
        <v>299</v>
      </c>
      <c r="F620" t="s">
        <v>206</v>
      </c>
    </row>
    <row r="621" spans="1:6" x14ac:dyDescent="0.35">
      <c r="A621" t="s">
        <v>385</v>
      </c>
      <c r="B621" t="s">
        <v>288</v>
      </c>
      <c r="C621" t="s">
        <v>232</v>
      </c>
      <c r="D621" t="s">
        <v>412</v>
      </c>
      <c r="E621" t="s">
        <v>299</v>
      </c>
      <c r="F621">
        <v>2509</v>
      </c>
    </row>
    <row r="622" spans="1:6" x14ac:dyDescent="0.35">
      <c r="A622" t="s">
        <v>385</v>
      </c>
      <c r="B622" t="s">
        <v>288</v>
      </c>
      <c r="C622" t="s">
        <v>232</v>
      </c>
      <c r="D622" t="s">
        <v>407</v>
      </c>
      <c r="E622" t="s">
        <v>299</v>
      </c>
      <c r="F622">
        <v>950</v>
      </c>
    </row>
    <row r="623" spans="1:6" x14ac:dyDescent="0.35">
      <c r="A623" t="s">
        <v>385</v>
      </c>
      <c r="B623" t="s">
        <v>288</v>
      </c>
      <c r="C623" t="s">
        <v>222</v>
      </c>
      <c r="D623" t="s">
        <v>399</v>
      </c>
      <c r="E623" t="s">
        <v>299</v>
      </c>
      <c r="F623">
        <v>9678</v>
      </c>
    </row>
    <row r="624" spans="1:6" x14ac:dyDescent="0.35">
      <c r="A624" t="s">
        <v>385</v>
      </c>
      <c r="B624" t="s">
        <v>288</v>
      </c>
      <c r="C624" t="s">
        <v>222</v>
      </c>
      <c r="D624" t="s">
        <v>222</v>
      </c>
      <c r="E624" t="s">
        <v>299</v>
      </c>
      <c r="F624">
        <v>356873</v>
      </c>
    </row>
    <row r="625" spans="1:6" x14ac:dyDescent="0.35">
      <c r="A625" t="s">
        <v>385</v>
      </c>
      <c r="B625" t="s">
        <v>288</v>
      </c>
      <c r="C625" t="s">
        <v>222</v>
      </c>
      <c r="D625" t="s">
        <v>402</v>
      </c>
      <c r="E625" t="s">
        <v>299</v>
      </c>
      <c r="F625">
        <v>28461</v>
      </c>
    </row>
    <row r="626" spans="1:6" x14ac:dyDescent="0.35">
      <c r="A626" t="s">
        <v>385</v>
      </c>
      <c r="B626" t="s">
        <v>288</v>
      </c>
      <c r="C626" t="s">
        <v>222</v>
      </c>
      <c r="D626" t="s">
        <v>403</v>
      </c>
      <c r="E626" t="s">
        <v>299</v>
      </c>
      <c r="F626">
        <v>120000</v>
      </c>
    </row>
    <row r="627" spans="1:6" x14ac:dyDescent="0.35">
      <c r="A627" t="s">
        <v>385</v>
      </c>
      <c r="B627" t="s">
        <v>288</v>
      </c>
      <c r="C627" t="s">
        <v>222</v>
      </c>
      <c r="D627" t="s">
        <v>404</v>
      </c>
      <c r="E627" t="s">
        <v>299</v>
      </c>
      <c r="F627">
        <v>6500</v>
      </c>
    </row>
    <row r="628" spans="1:6" x14ac:dyDescent="0.35">
      <c r="A628" t="s">
        <v>385</v>
      </c>
      <c r="B628" t="s">
        <v>288</v>
      </c>
      <c r="C628" t="s">
        <v>222</v>
      </c>
      <c r="D628" t="s">
        <v>400</v>
      </c>
      <c r="E628" t="s">
        <v>299</v>
      </c>
      <c r="F628">
        <v>44872</v>
      </c>
    </row>
    <row r="629" spans="1:6" x14ac:dyDescent="0.35">
      <c r="A629" t="s">
        <v>385</v>
      </c>
      <c r="B629" t="s">
        <v>288</v>
      </c>
      <c r="C629" t="s">
        <v>222</v>
      </c>
      <c r="D629" t="s">
        <v>398</v>
      </c>
      <c r="E629" t="s">
        <v>299</v>
      </c>
      <c r="F629">
        <v>23916</v>
      </c>
    </row>
    <row r="630" spans="1:6" x14ac:dyDescent="0.35">
      <c r="A630" t="s">
        <v>385</v>
      </c>
      <c r="B630" t="s">
        <v>288</v>
      </c>
      <c r="C630" t="s">
        <v>222</v>
      </c>
      <c r="D630" t="s">
        <v>428</v>
      </c>
      <c r="E630" t="s">
        <v>299</v>
      </c>
      <c r="F630">
        <v>3964</v>
      </c>
    </row>
    <row r="631" spans="1:6" x14ac:dyDescent="0.35">
      <c r="A631" t="s">
        <v>385</v>
      </c>
      <c r="B631" t="s">
        <v>288</v>
      </c>
      <c r="C631" t="s">
        <v>222</v>
      </c>
      <c r="D631" t="s">
        <v>401</v>
      </c>
      <c r="E631" t="s">
        <v>299</v>
      </c>
      <c r="F631">
        <v>97762</v>
      </c>
    </row>
    <row r="632" spans="1:6" x14ac:dyDescent="0.35">
      <c r="A632" t="s">
        <v>385</v>
      </c>
      <c r="B632" t="s">
        <v>288</v>
      </c>
      <c r="C632" t="s">
        <v>222</v>
      </c>
      <c r="D632" t="s">
        <v>397</v>
      </c>
      <c r="E632" t="s">
        <v>299</v>
      </c>
      <c r="F632">
        <v>21720</v>
      </c>
    </row>
    <row r="633" spans="1:6" x14ac:dyDescent="0.35">
      <c r="A633" t="s">
        <v>385</v>
      </c>
      <c r="B633" t="s">
        <v>291</v>
      </c>
      <c r="C633" t="s">
        <v>425</v>
      </c>
      <c r="D633" t="s">
        <v>266</v>
      </c>
      <c r="E633" t="s">
        <v>302</v>
      </c>
      <c r="F633">
        <v>5092</v>
      </c>
    </row>
    <row r="634" spans="1:6" x14ac:dyDescent="0.35">
      <c r="A634" t="s">
        <v>385</v>
      </c>
      <c r="B634" t="s">
        <v>291</v>
      </c>
      <c r="C634" t="s">
        <v>425</v>
      </c>
      <c r="D634" t="s">
        <v>265</v>
      </c>
      <c r="E634" t="s">
        <v>302</v>
      </c>
      <c r="F634">
        <v>5589</v>
      </c>
    </row>
    <row r="635" spans="1:6" x14ac:dyDescent="0.35">
      <c r="A635" t="s">
        <v>385</v>
      </c>
      <c r="B635" t="s">
        <v>291</v>
      </c>
      <c r="C635" t="s">
        <v>425</v>
      </c>
      <c r="D635" t="s">
        <v>239</v>
      </c>
      <c r="E635" t="s">
        <v>302</v>
      </c>
      <c r="F635">
        <v>16011</v>
      </c>
    </row>
    <row r="636" spans="1:6" x14ac:dyDescent="0.35">
      <c r="A636" t="s">
        <v>385</v>
      </c>
      <c r="B636" t="s">
        <v>291</v>
      </c>
      <c r="C636" t="s">
        <v>425</v>
      </c>
      <c r="D636" t="s">
        <v>267</v>
      </c>
      <c r="E636" t="s">
        <v>302</v>
      </c>
      <c r="F636">
        <v>13113</v>
      </c>
    </row>
    <row r="637" spans="1:6" x14ac:dyDescent="0.35">
      <c r="A637" t="s">
        <v>385</v>
      </c>
      <c r="B637" t="s">
        <v>291</v>
      </c>
      <c r="C637" t="s">
        <v>425</v>
      </c>
      <c r="D637" t="s">
        <v>268</v>
      </c>
      <c r="E637" t="s">
        <v>302</v>
      </c>
      <c r="F637">
        <v>6960</v>
      </c>
    </row>
    <row r="638" spans="1:6" x14ac:dyDescent="0.35">
      <c r="A638" t="s">
        <v>385</v>
      </c>
      <c r="B638" t="s">
        <v>291</v>
      </c>
      <c r="C638" t="s">
        <v>425</v>
      </c>
      <c r="D638" t="s">
        <v>419</v>
      </c>
      <c r="E638" t="s">
        <v>302</v>
      </c>
      <c r="F638">
        <v>6532</v>
      </c>
    </row>
    <row r="639" spans="1:6" x14ac:dyDescent="0.35">
      <c r="A639" t="s">
        <v>385</v>
      </c>
      <c r="B639" t="s">
        <v>291</v>
      </c>
      <c r="C639" t="s">
        <v>425</v>
      </c>
      <c r="D639" t="s">
        <v>240</v>
      </c>
      <c r="E639" t="s">
        <v>302</v>
      </c>
      <c r="F639">
        <v>12584</v>
      </c>
    </row>
    <row r="640" spans="1:6" x14ac:dyDescent="0.35">
      <c r="A640" t="s">
        <v>385</v>
      </c>
      <c r="B640" t="s">
        <v>291</v>
      </c>
      <c r="C640" t="s">
        <v>425</v>
      </c>
      <c r="D640" t="s">
        <v>39</v>
      </c>
      <c r="E640" t="s">
        <v>302</v>
      </c>
      <c r="F640">
        <v>2788</v>
      </c>
    </row>
    <row r="641" spans="1:6" x14ac:dyDescent="0.35">
      <c r="A641" t="s">
        <v>385</v>
      </c>
      <c r="B641" t="s">
        <v>291</v>
      </c>
      <c r="C641" t="s">
        <v>425</v>
      </c>
      <c r="D641" t="s">
        <v>269</v>
      </c>
      <c r="E641" t="s">
        <v>302</v>
      </c>
      <c r="F641">
        <v>28947</v>
      </c>
    </row>
    <row r="642" spans="1:6" x14ac:dyDescent="0.35">
      <c r="A642" t="s">
        <v>385</v>
      </c>
      <c r="B642" t="s">
        <v>291</v>
      </c>
      <c r="C642" t="s">
        <v>425</v>
      </c>
      <c r="D642" t="s">
        <v>254</v>
      </c>
      <c r="E642" t="s">
        <v>302</v>
      </c>
      <c r="F642">
        <v>8801</v>
      </c>
    </row>
    <row r="643" spans="1:6" x14ac:dyDescent="0.35">
      <c r="A643" t="s">
        <v>385</v>
      </c>
      <c r="B643" t="s">
        <v>291</v>
      </c>
      <c r="C643" t="s">
        <v>425</v>
      </c>
      <c r="D643" t="s">
        <v>273</v>
      </c>
      <c r="E643" t="s">
        <v>302</v>
      </c>
      <c r="F643">
        <v>31</v>
      </c>
    </row>
    <row r="644" spans="1:6" x14ac:dyDescent="0.35">
      <c r="A644" t="s">
        <v>385</v>
      </c>
      <c r="B644" t="s">
        <v>291</v>
      </c>
      <c r="C644" t="s">
        <v>425</v>
      </c>
      <c r="D644" t="s">
        <v>270</v>
      </c>
      <c r="E644" t="s">
        <v>302</v>
      </c>
      <c r="F644">
        <v>7383</v>
      </c>
    </row>
    <row r="645" spans="1:6" x14ac:dyDescent="0.35">
      <c r="A645" t="s">
        <v>385</v>
      </c>
      <c r="B645" t="s">
        <v>291</v>
      </c>
      <c r="C645" t="s">
        <v>425</v>
      </c>
      <c r="D645" t="s">
        <v>272</v>
      </c>
      <c r="E645" t="s">
        <v>302</v>
      </c>
      <c r="F645">
        <v>7535</v>
      </c>
    </row>
    <row r="646" spans="1:6" x14ac:dyDescent="0.35">
      <c r="A646" t="s">
        <v>385</v>
      </c>
      <c r="B646" t="s">
        <v>291</v>
      </c>
      <c r="C646" t="s">
        <v>425</v>
      </c>
      <c r="D646" t="s">
        <v>249</v>
      </c>
      <c r="E646" t="s">
        <v>302</v>
      </c>
      <c r="F646">
        <v>31078</v>
      </c>
    </row>
    <row r="647" spans="1:6" x14ac:dyDescent="0.35">
      <c r="A647" t="s">
        <v>385</v>
      </c>
      <c r="B647" t="s">
        <v>291</v>
      </c>
      <c r="C647" t="s">
        <v>425</v>
      </c>
      <c r="D647" t="s">
        <v>248</v>
      </c>
      <c r="E647" t="s">
        <v>302</v>
      </c>
      <c r="F647">
        <v>17126</v>
      </c>
    </row>
    <row r="648" spans="1:6" x14ac:dyDescent="0.35">
      <c r="A648" t="s">
        <v>385</v>
      </c>
      <c r="B648" t="s">
        <v>291</v>
      </c>
      <c r="C648" t="s">
        <v>425</v>
      </c>
      <c r="D648" t="s">
        <v>417</v>
      </c>
      <c r="E648" t="s">
        <v>302</v>
      </c>
      <c r="F648">
        <v>4407</v>
      </c>
    </row>
    <row r="649" spans="1:6" x14ac:dyDescent="0.35">
      <c r="A649" t="s">
        <v>385</v>
      </c>
      <c r="B649" t="s">
        <v>291</v>
      </c>
      <c r="C649" t="s">
        <v>425</v>
      </c>
      <c r="D649" t="s">
        <v>235</v>
      </c>
      <c r="E649" t="s">
        <v>302</v>
      </c>
      <c r="F649">
        <v>6886</v>
      </c>
    </row>
    <row r="650" spans="1:6" x14ac:dyDescent="0.35">
      <c r="A650" t="s">
        <v>385</v>
      </c>
      <c r="B650" t="s">
        <v>291</v>
      </c>
      <c r="C650" t="s">
        <v>425</v>
      </c>
      <c r="D650" t="s">
        <v>260</v>
      </c>
      <c r="E650" t="s">
        <v>302</v>
      </c>
      <c r="F650">
        <v>6008</v>
      </c>
    </row>
    <row r="651" spans="1:6" x14ac:dyDescent="0.35">
      <c r="A651" t="s">
        <v>385</v>
      </c>
      <c r="B651" t="s">
        <v>291</v>
      </c>
      <c r="C651" t="s">
        <v>425</v>
      </c>
      <c r="D651" t="s">
        <v>259</v>
      </c>
      <c r="E651" t="s">
        <v>302</v>
      </c>
      <c r="F651">
        <v>16515</v>
      </c>
    </row>
    <row r="652" spans="1:6" x14ac:dyDescent="0.35">
      <c r="A652" t="s">
        <v>385</v>
      </c>
      <c r="B652" t="s">
        <v>291</v>
      </c>
      <c r="C652" t="s">
        <v>425</v>
      </c>
      <c r="D652" t="s">
        <v>247</v>
      </c>
      <c r="E652" t="s">
        <v>302</v>
      </c>
      <c r="F652">
        <v>15455</v>
      </c>
    </row>
    <row r="653" spans="1:6" x14ac:dyDescent="0.35">
      <c r="A653" t="s">
        <v>385</v>
      </c>
      <c r="B653" t="s">
        <v>291</v>
      </c>
      <c r="C653" t="s">
        <v>425</v>
      </c>
      <c r="D653" t="s">
        <v>234</v>
      </c>
      <c r="E653" t="s">
        <v>302</v>
      </c>
      <c r="F653">
        <v>1666</v>
      </c>
    </row>
    <row r="654" spans="1:6" x14ac:dyDescent="0.35">
      <c r="A654" t="s">
        <v>385</v>
      </c>
      <c r="B654" t="s">
        <v>291</v>
      </c>
      <c r="C654" t="s">
        <v>425</v>
      </c>
      <c r="D654" t="s">
        <v>246</v>
      </c>
      <c r="E654" t="s">
        <v>302</v>
      </c>
      <c r="F654">
        <v>5268</v>
      </c>
    </row>
    <row r="655" spans="1:6" x14ac:dyDescent="0.35">
      <c r="A655" t="s">
        <v>385</v>
      </c>
      <c r="B655" t="s">
        <v>291</v>
      </c>
      <c r="C655" t="s">
        <v>425</v>
      </c>
      <c r="D655" t="s">
        <v>245</v>
      </c>
      <c r="E655" t="s">
        <v>302</v>
      </c>
      <c r="F655">
        <v>2953</v>
      </c>
    </row>
    <row r="656" spans="1:6" x14ac:dyDescent="0.35">
      <c r="A656" t="s">
        <v>385</v>
      </c>
      <c r="B656" t="s">
        <v>291</v>
      </c>
      <c r="C656" t="s">
        <v>425</v>
      </c>
      <c r="D656" t="s">
        <v>229</v>
      </c>
      <c r="E656" t="s">
        <v>302</v>
      </c>
      <c r="F656">
        <v>11196</v>
      </c>
    </row>
    <row r="657" spans="1:6" x14ac:dyDescent="0.35">
      <c r="A657" t="s">
        <v>385</v>
      </c>
      <c r="B657" t="s">
        <v>291</v>
      </c>
      <c r="C657" t="s">
        <v>425</v>
      </c>
      <c r="D657" t="s">
        <v>244</v>
      </c>
      <c r="E657" t="s">
        <v>302</v>
      </c>
      <c r="F657">
        <v>24312</v>
      </c>
    </row>
    <row r="658" spans="1:6" x14ac:dyDescent="0.35">
      <c r="A658" t="s">
        <v>385</v>
      </c>
      <c r="B658" t="s">
        <v>291</v>
      </c>
      <c r="C658" t="s">
        <v>425</v>
      </c>
      <c r="D658" t="s">
        <v>252</v>
      </c>
      <c r="E658" t="s">
        <v>302</v>
      </c>
      <c r="F658">
        <v>26386</v>
      </c>
    </row>
    <row r="659" spans="1:6" x14ac:dyDescent="0.35">
      <c r="A659" t="s">
        <v>385</v>
      </c>
      <c r="B659" t="s">
        <v>290</v>
      </c>
      <c r="C659" t="s">
        <v>426</v>
      </c>
      <c r="D659" t="s">
        <v>418</v>
      </c>
      <c r="E659" t="s">
        <v>301</v>
      </c>
      <c r="F659">
        <v>48</v>
      </c>
    </row>
    <row r="660" spans="1:6" x14ac:dyDescent="0.35">
      <c r="A660" t="s">
        <v>385</v>
      </c>
      <c r="B660" t="s">
        <v>290</v>
      </c>
      <c r="C660" t="s">
        <v>425</v>
      </c>
      <c r="D660" t="s">
        <v>244</v>
      </c>
      <c r="E660" t="s">
        <v>301</v>
      </c>
      <c r="F660">
        <v>578</v>
      </c>
    </row>
    <row r="661" spans="1:6" x14ac:dyDescent="0.35">
      <c r="A661" t="s">
        <v>385</v>
      </c>
      <c r="B661" t="s">
        <v>290</v>
      </c>
      <c r="C661" t="s">
        <v>425</v>
      </c>
      <c r="D661" t="s">
        <v>245</v>
      </c>
      <c r="E661" t="s">
        <v>301</v>
      </c>
      <c r="F661">
        <v>135</v>
      </c>
    </row>
    <row r="662" spans="1:6" x14ac:dyDescent="0.35">
      <c r="A662" t="s">
        <v>385</v>
      </c>
      <c r="B662" t="s">
        <v>290</v>
      </c>
      <c r="C662" t="s">
        <v>425</v>
      </c>
      <c r="D662" t="s">
        <v>246</v>
      </c>
      <c r="E662" t="s">
        <v>301</v>
      </c>
      <c r="F662">
        <v>346</v>
      </c>
    </row>
    <row r="663" spans="1:6" x14ac:dyDescent="0.35">
      <c r="A663" t="s">
        <v>385</v>
      </c>
      <c r="B663" t="s">
        <v>290</v>
      </c>
      <c r="C663" t="s">
        <v>425</v>
      </c>
      <c r="D663" t="s">
        <v>234</v>
      </c>
      <c r="E663" t="s">
        <v>301</v>
      </c>
      <c r="F663">
        <v>183</v>
      </c>
    </row>
    <row r="664" spans="1:6" x14ac:dyDescent="0.35">
      <c r="A664" t="s">
        <v>385</v>
      </c>
      <c r="B664" t="s">
        <v>290</v>
      </c>
      <c r="C664" t="s">
        <v>425</v>
      </c>
      <c r="D664" t="s">
        <v>247</v>
      </c>
      <c r="E664" t="s">
        <v>301</v>
      </c>
      <c r="F664">
        <v>1658</v>
      </c>
    </row>
    <row r="665" spans="1:6" x14ac:dyDescent="0.35">
      <c r="A665" t="s">
        <v>385</v>
      </c>
      <c r="B665" t="s">
        <v>290</v>
      </c>
      <c r="C665" t="s">
        <v>425</v>
      </c>
      <c r="D665" t="s">
        <v>260</v>
      </c>
      <c r="E665" t="s">
        <v>301</v>
      </c>
      <c r="F665">
        <v>643</v>
      </c>
    </row>
    <row r="666" spans="1:6" x14ac:dyDescent="0.35">
      <c r="A666" t="s">
        <v>385</v>
      </c>
      <c r="B666" t="s">
        <v>290</v>
      </c>
      <c r="C666" t="s">
        <v>425</v>
      </c>
      <c r="D666" t="s">
        <v>235</v>
      </c>
      <c r="E666" t="s">
        <v>301</v>
      </c>
      <c r="F666">
        <v>257</v>
      </c>
    </row>
    <row r="667" spans="1:6" x14ac:dyDescent="0.35">
      <c r="A667" t="s">
        <v>385</v>
      </c>
      <c r="B667" t="s">
        <v>290</v>
      </c>
      <c r="C667" t="s">
        <v>425</v>
      </c>
      <c r="D667" t="s">
        <v>417</v>
      </c>
      <c r="E667" t="s">
        <v>301</v>
      </c>
      <c r="F667">
        <v>446</v>
      </c>
    </row>
    <row r="668" spans="1:6" x14ac:dyDescent="0.35">
      <c r="A668" t="s">
        <v>385</v>
      </c>
      <c r="B668" t="s">
        <v>290</v>
      </c>
      <c r="C668" t="s">
        <v>425</v>
      </c>
      <c r="D668" t="s">
        <v>261</v>
      </c>
      <c r="E668" t="s">
        <v>301</v>
      </c>
      <c r="F668">
        <v>197</v>
      </c>
    </row>
    <row r="669" spans="1:6" x14ac:dyDescent="0.35">
      <c r="A669" t="s">
        <v>385</v>
      </c>
      <c r="B669" t="s">
        <v>290</v>
      </c>
      <c r="C669" t="s">
        <v>425</v>
      </c>
      <c r="D669" t="s">
        <v>248</v>
      </c>
      <c r="E669" t="s">
        <v>301</v>
      </c>
      <c r="F669">
        <v>1044</v>
      </c>
    </row>
    <row r="670" spans="1:6" x14ac:dyDescent="0.35">
      <c r="A670" t="s">
        <v>385</v>
      </c>
      <c r="B670" t="s">
        <v>290</v>
      </c>
      <c r="C670" t="s">
        <v>425</v>
      </c>
      <c r="D670" t="s">
        <v>259</v>
      </c>
      <c r="E670" t="s">
        <v>301</v>
      </c>
      <c r="F670">
        <v>508</v>
      </c>
    </row>
    <row r="671" spans="1:6" x14ac:dyDescent="0.35">
      <c r="A671" t="s">
        <v>385</v>
      </c>
      <c r="B671" t="s">
        <v>290</v>
      </c>
      <c r="C671" t="s">
        <v>425</v>
      </c>
      <c r="D671" t="s">
        <v>239</v>
      </c>
      <c r="E671" t="s">
        <v>301</v>
      </c>
      <c r="F671">
        <v>1030</v>
      </c>
    </row>
    <row r="672" spans="1:6" x14ac:dyDescent="0.35">
      <c r="A672" t="s">
        <v>385</v>
      </c>
      <c r="B672" t="s">
        <v>290</v>
      </c>
      <c r="C672" t="s">
        <v>425</v>
      </c>
      <c r="D672" t="s">
        <v>249</v>
      </c>
      <c r="E672" t="s">
        <v>301</v>
      </c>
      <c r="F672">
        <v>536</v>
      </c>
    </row>
    <row r="673" spans="1:6" x14ac:dyDescent="0.35">
      <c r="A673" t="s">
        <v>385</v>
      </c>
      <c r="B673" t="s">
        <v>290</v>
      </c>
      <c r="C673" t="s">
        <v>425</v>
      </c>
      <c r="D673" t="s">
        <v>270</v>
      </c>
      <c r="E673" t="s">
        <v>301</v>
      </c>
      <c r="F673">
        <v>347</v>
      </c>
    </row>
    <row r="674" spans="1:6" x14ac:dyDescent="0.35">
      <c r="A674" t="s">
        <v>385</v>
      </c>
      <c r="B674" t="s">
        <v>290</v>
      </c>
      <c r="C674" t="s">
        <v>425</v>
      </c>
      <c r="D674" t="s">
        <v>254</v>
      </c>
      <c r="E674" t="s">
        <v>301</v>
      </c>
      <c r="F674">
        <v>424</v>
      </c>
    </row>
    <row r="675" spans="1:6" x14ac:dyDescent="0.35">
      <c r="A675" t="s">
        <v>385</v>
      </c>
      <c r="B675" t="s">
        <v>290</v>
      </c>
      <c r="C675" t="s">
        <v>425</v>
      </c>
      <c r="D675" t="s">
        <v>240</v>
      </c>
      <c r="E675" t="s">
        <v>301</v>
      </c>
      <c r="F675">
        <v>686</v>
      </c>
    </row>
    <row r="676" spans="1:6" x14ac:dyDescent="0.35">
      <c r="A676" t="s">
        <v>385</v>
      </c>
      <c r="B676" t="s">
        <v>290</v>
      </c>
      <c r="C676" t="s">
        <v>425</v>
      </c>
      <c r="D676" t="s">
        <v>250</v>
      </c>
      <c r="E676" t="s">
        <v>301</v>
      </c>
      <c r="F676">
        <v>461</v>
      </c>
    </row>
    <row r="677" spans="1:6" x14ac:dyDescent="0.35">
      <c r="A677" t="s">
        <v>385</v>
      </c>
      <c r="B677" t="s">
        <v>290</v>
      </c>
      <c r="C677" t="s">
        <v>425</v>
      </c>
      <c r="D677" t="s">
        <v>265</v>
      </c>
      <c r="E677" t="s">
        <v>301</v>
      </c>
      <c r="F677">
        <v>194</v>
      </c>
    </row>
    <row r="678" spans="1:6" x14ac:dyDescent="0.35">
      <c r="A678" t="s">
        <v>385</v>
      </c>
      <c r="B678" t="s">
        <v>290</v>
      </c>
      <c r="C678" t="s">
        <v>425</v>
      </c>
      <c r="D678" t="s">
        <v>266</v>
      </c>
      <c r="E678" t="s">
        <v>301</v>
      </c>
      <c r="F678">
        <v>373</v>
      </c>
    </row>
    <row r="679" spans="1:6" x14ac:dyDescent="0.35">
      <c r="A679" t="s">
        <v>385</v>
      </c>
      <c r="B679" t="s">
        <v>290</v>
      </c>
      <c r="C679" t="s">
        <v>425</v>
      </c>
      <c r="D679" t="s">
        <v>267</v>
      </c>
      <c r="E679" t="s">
        <v>301</v>
      </c>
      <c r="F679">
        <v>403</v>
      </c>
    </row>
    <row r="680" spans="1:6" x14ac:dyDescent="0.35">
      <c r="A680" t="s">
        <v>385</v>
      </c>
      <c r="B680" t="s">
        <v>290</v>
      </c>
      <c r="C680" t="s">
        <v>425</v>
      </c>
      <c r="D680" t="s">
        <v>255</v>
      </c>
      <c r="E680" t="s">
        <v>301</v>
      </c>
      <c r="F680">
        <v>421</v>
      </c>
    </row>
    <row r="681" spans="1:6" x14ac:dyDescent="0.35">
      <c r="A681" t="s">
        <v>385</v>
      </c>
      <c r="B681" t="s">
        <v>290</v>
      </c>
      <c r="C681" t="s">
        <v>425</v>
      </c>
      <c r="D681" t="s">
        <v>269</v>
      </c>
      <c r="E681" t="s">
        <v>301</v>
      </c>
      <c r="F681">
        <v>3599</v>
      </c>
    </row>
    <row r="682" spans="1:6" x14ac:dyDescent="0.35">
      <c r="A682" t="s">
        <v>385</v>
      </c>
      <c r="B682" t="s">
        <v>290</v>
      </c>
      <c r="C682" t="s">
        <v>425</v>
      </c>
      <c r="D682" t="s">
        <v>229</v>
      </c>
      <c r="E682" t="s">
        <v>301</v>
      </c>
      <c r="F682">
        <v>506</v>
      </c>
    </row>
    <row r="683" spans="1:6" x14ac:dyDescent="0.35">
      <c r="A683" t="s">
        <v>385</v>
      </c>
      <c r="B683" t="s">
        <v>290</v>
      </c>
      <c r="C683" t="s">
        <v>425</v>
      </c>
      <c r="D683" t="s">
        <v>252</v>
      </c>
      <c r="E683" t="s">
        <v>301</v>
      </c>
      <c r="F683">
        <v>355</v>
      </c>
    </row>
    <row r="684" spans="1:6" x14ac:dyDescent="0.35">
      <c r="A684" t="s">
        <v>385</v>
      </c>
      <c r="B684" t="s">
        <v>290</v>
      </c>
      <c r="C684" t="s">
        <v>425</v>
      </c>
      <c r="D684" t="s">
        <v>253</v>
      </c>
      <c r="E684" t="s">
        <v>301</v>
      </c>
      <c r="F684">
        <v>178</v>
      </c>
    </row>
    <row r="685" spans="1:6" x14ac:dyDescent="0.35">
      <c r="A685" t="s">
        <v>385</v>
      </c>
      <c r="B685" t="s">
        <v>290</v>
      </c>
      <c r="C685" t="s">
        <v>425</v>
      </c>
      <c r="D685" t="s">
        <v>268</v>
      </c>
      <c r="E685" t="s">
        <v>301</v>
      </c>
      <c r="F685">
        <v>381</v>
      </c>
    </row>
    <row r="686" spans="1:6" x14ac:dyDescent="0.35">
      <c r="A686" t="s">
        <v>292</v>
      </c>
      <c r="B686" t="s">
        <v>288</v>
      </c>
      <c r="C686" t="s">
        <v>232</v>
      </c>
      <c r="D686" t="s">
        <v>416</v>
      </c>
      <c r="E686" t="s">
        <v>299</v>
      </c>
      <c r="F686">
        <v>531</v>
      </c>
    </row>
    <row r="687" spans="1:6" x14ac:dyDescent="0.35">
      <c r="A687" t="s">
        <v>292</v>
      </c>
      <c r="B687" t="s">
        <v>288</v>
      </c>
      <c r="C687" t="s">
        <v>232</v>
      </c>
      <c r="D687" t="s">
        <v>415</v>
      </c>
      <c r="E687" t="s">
        <v>299</v>
      </c>
      <c r="F687">
        <v>299</v>
      </c>
    </row>
    <row r="688" spans="1:6" x14ac:dyDescent="0.35">
      <c r="A688" t="s">
        <v>292</v>
      </c>
      <c r="B688" t="s">
        <v>288</v>
      </c>
      <c r="C688" t="s">
        <v>232</v>
      </c>
      <c r="D688" t="s">
        <v>414</v>
      </c>
      <c r="E688" t="s">
        <v>299</v>
      </c>
      <c r="F688">
        <v>924</v>
      </c>
    </row>
    <row r="689" spans="1:6" x14ac:dyDescent="0.35">
      <c r="A689" t="s">
        <v>292</v>
      </c>
      <c r="B689" t="s">
        <v>288</v>
      </c>
      <c r="C689" t="s">
        <v>232</v>
      </c>
      <c r="D689" t="s">
        <v>413</v>
      </c>
      <c r="E689" t="s">
        <v>299</v>
      </c>
      <c r="F689">
        <v>500</v>
      </c>
    </row>
    <row r="690" spans="1:6" x14ac:dyDescent="0.35">
      <c r="A690" t="s">
        <v>292</v>
      </c>
      <c r="B690" t="s">
        <v>288</v>
      </c>
      <c r="C690" t="s">
        <v>232</v>
      </c>
      <c r="D690" t="s">
        <v>412</v>
      </c>
      <c r="E690" t="s">
        <v>299</v>
      </c>
      <c r="F690">
        <v>1738</v>
      </c>
    </row>
    <row r="691" spans="1:6" x14ac:dyDescent="0.35">
      <c r="A691" t="s">
        <v>292</v>
      </c>
      <c r="B691" t="s">
        <v>288</v>
      </c>
      <c r="C691" t="s">
        <v>232</v>
      </c>
      <c r="D691" t="s">
        <v>427</v>
      </c>
      <c r="E691" t="s">
        <v>299</v>
      </c>
      <c r="F691" t="s">
        <v>206</v>
      </c>
    </row>
    <row r="692" spans="1:6" x14ac:dyDescent="0.35">
      <c r="A692" t="s">
        <v>292</v>
      </c>
      <c r="B692" t="s">
        <v>288</v>
      </c>
      <c r="C692" t="s">
        <v>232</v>
      </c>
      <c r="D692" t="s">
        <v>410</v>
      </c>
      <c r="E692" t="s">
        <v>299</v>
      </c>
      <c r="F692">
        <v>37</v>
      </c>
    </row>
    <row r="693" spans="1:6" x14ac:dyDescent="0.35">
      <c r="A693" t="s">
        <v>292</v>
      </c>
      <c r="B693" t="s">
        <v>288</v>
      </c>
      <c r="C693" t="s">
        <v>232</v>
      </c>
      <c r="D693" t="s">
        <v>409</v>
      </c>
      <c r="E693" t="s">
        <v>299</v>
      </c>
      <c r="F693">
        <v>88</v>
      </c>
    </row>
    <row r="694" spans="1:6" x14ac:dyDescent="0.35">
      <c r="A694" t="s">
        <v>292</v>
      </c>
      <c r="B694" t="s">
        <v>288</v>
      </c>
      <c r="C694" t="s">
        <v>232</v>
      </c>
      <c r="D694" t="s">
        <v>408</v>
      </c>
      <c r="E694" t="s">
        <v>299</v>
      </c>
      <c r="F694">
        <v>469</v>
      </c>
    </row>
    <row r="695" spans="1:6" x14ac:dyDescent="0.35">
      <c r="A695" t="s">
        <v>292</v>
      </c>
      <c r="B695" t="s">
        <v>288</v>
      </c>
      <c r="C695" t="s">
        <v>232</v>
      </c>
      <c r="D695" t="s">
        <v>232</v>
      </c>
      <c r="E695" t="s">
        <v>299</v>
      </c>
      <c r="F695">
        <v>6392</v>
      </c>
    </row>
    <row r="696" spans="1:6" x14ac:dyDescent="0.35">
      <c r="A696" t="s">
        <v>292</v>
      </c>
      <c r="B696" t="s">
        <v>288</v>
      </c>
      <c r="C696" t="s">
        <v>232</v>
      </c>
      <c r="D696" t="s">
        <v>405</v>
      </c>
      <c r="E696" t="s">
        <v>299</v>
      </c>
      <c r="F696">
        <v>360</v>
      </c>
    </row>
    <row r="697" spans="1:6" x14ac:dyDescent="0.35">
      <c r="A697" t="s">
        <v>292</v>
      </c>
      <c r="B697" t="s">
        <v>288</v>
      </c>
      <c r="C697" t="s">
        <v>232</v>
      </c>
      <c r="D697" t="s">
        <v>406</v>
      </c>
      <c r="E697" t="s">
        <v>299</v>
      </c>
      <c r="F697">
        <v>796</v>
      </c>
    </row>
    <row r="698" spans="1:6" x14ac:dyDescent="0.35">
      <c r="A698" t="s">
        <v>292</v>
      </c>
      <c r="B698" t="s">
        <v>288</v>
      </c>
      <c r="C698" t="s">
        <v>232</v>
      </c>
      <c r="D698" t="s">
        <v>407</v>
      </c>
      <c r="E698" t="s">
        <v>299</v>
      </c>
      <c r="F698">
        <v>650</v>
      </c>
    </row>
    <row r="699" spans="1:6" x14ac:dyDescent="0.35">
      <c r="A699" t="s">
        <v>292</v>
      </c>
      <c r="B699" t="s">
        <v>288</v>
      </c>
      <c r="C699" t="s">
        <v>222</v>
      </c>
      <c r="D699" t="s">
        <v>222</v>
      </c>
      <c r="E699" t="s">
        <v>299</v>
      </c>
      <c r="F699">
        <v>414397</v>
      </c>
    </row>
    <row r="700" spans="1:6" x14ac:dyDescent="0.35">
      <c r="A700" t="s">
        <v>292</v>
      </c>
      <c r="B700" t="s">
        <v>288</v>
      </c>
      <c r="C700" t="s">
        <v>222</v>
      </c>
      <c r="D700" t="s">
        <v>428</v>
      </c>
      <c r="E700" t="s">
        <v>299</v>
      </c>
      <c r="F700">
        <v>3684</v>
      </c>
    </row>
    <row r="701" spans="1:6" x14ac:dyDescent="0.35">
      <c r="A701" t="s">
        <v>292</v>
      </c>
      <c r="B701" t="s">
        <v>288</v>
      </c>
      <c r="C701" t="s">
        <v>222</v>
      </c>
      <c r="D701" t="s">
        <v>397</v>
      </c>
      <c r="E701" t="s">
        <v>299</v>
      </c>
      <c r="F701">
        <v>23510</v>
      </c>
    </row>
    <row r="702" spans="1:6" x14ac:dyDescent="0.35">
      <c r="A702" t="s">
        <v>292</v>
      </c>
      <c r="B702" t="s">
        <v>288</v>
      </c>
      <c r="C702" t="s">
        <v>222</v>
      </c>
      <c r="D702" t="s">
        <v>398</v>
      </c>
      <c r="E702" t="s">
        <v>299</v>
      </c>
      <c r="F702">
        <v>16306</v>
      </c>
    </row>
    <row r="703" spans="1:6" x14ac:dyDescent="0.35">
      <c r="A703" t="s">
        <v>292</v>
      </c>
      <c r="B703" t="s">
        <v>288</v>
      </c>
      <c r="C703" t="s">
        <v>222</v>
      </c>
      <c r="D703" t="s">
        <v>399</v>
      </c>
      <c r="E703" t="s">
        <v>299</v>
      </c>
      <c r="F703">
        <v>11154</v>
      </c>
    </row>
    <row r="704" spans="1:6" x14ac:dyDescent="0.35">
      <c r="A704" t="s">
        <v>292</v>
      </c>
      <c r="B704" t="s">
        <v>288</v>
      </c>
      <c r="C704" t="s">
        <v>222</v>
      </c>
      <c r="D704" t="s">
        <v>400</v>
      </c>
      <c r="E704" t="s">
        <v>299</v>
      </c>
      <c r="F704">
        <v>50749</v>
      </c>
    </row>
    <row r="705" spans="1:6" x14ac:dyDescent="0.35">
      <c r="A705" t="s">
        <v>292</v>
      </c>
      <c r="B705" t="s">
        <v>288</v>
      </c>
      <c r="C705" t="s">
        <v>222</v>
      </c>
      <c r="D705" t="s">
        <v>401</v>
      </c>
      <c r="E705" t="s">
        <v>299</v>
      </c>
      <c r="F705">
        <v>154453</v>
      </c>
    </row>
    <row r="706" spans="1:6" x14ac:dyDescent="0.35">
      <c r="A706" t="s">
        <v>292</v>
      </c>
      <c r="B706" t="s">
        <v>288</v>
      </c>
      <c r="C706" t="s">
        <v>222</v>
      </c>
      <c r="D706" t="s">
        <v>403</v>
      </c>
      <c r="E706" t="s">
        <v>299</v>
      </c>
      <c r="F706">
        <v>120939</v>
      </c>
    </row>
    <row r="707" spans="1:6" x14ac:dyDescent="0.35">
      <c r="A707" t="s">
        <v>292</v>
      </c>
      <c r="B707" t="s">
        <v>288</v>
      </c>
      <c r="C707" t="s">
        <v>222</v>
      </c>
      <c r="D707" t="s">
        <v>404</v>
      </c>
      <c r="E707" t="s">
        <v>299</v>
      </c>
      <c r="F707">
        <v>6106</v>
      </c>
    </row>
    <row r="708" spans="1:6" x14ac:dyDescent="0.35">
      <c r="A708" t="s">
        <v>292</v>
      </c>
      <c r="B708" t="s">
        <v>288</v>
      </c>
      <c r="C708" t="s">
        <v>222</v>
      </c>
      <c r="D708" t="s">
        <v>402</v>
      </c>
      <c r="E708" t="s">
        <v>299</v>
      </c>
      <c r="F708">
        <v>27496</v>
      </c>
    </row>
    <row r="709" spans="1:6" x14ac:dyDescent="0.35">
      <c r="A709" t="s">
        <v>292</v>
      </c>
      <c r="B709" t="s">
        <v>291</v>
      </c>
      <c r="C709" t="s">
        <v>425</v>
      </c>
      <c r="D709" t="s">
        <v>252</v>
      </c>
      <c r="E709" t="s">
        <v>302</v>
      </c>
      <c r="F709">
        <v>20441</v>
      </c>
    </row>
    <row r="710" spans="1:6" x14ac:dyDescent="0.35">
      <c r="A710" t="s">
        <v>292</v>
      </c>
      <c r="B710" t="s">
        <v>291</v>
      </c>
      <c r="C710" t="s">
        <v>425</v>
      </c>
      <c r="D710" t="s">
        <v>270</v>
      </c>
      <c r="E710" t="s">
        <v>302</v>
      </c>
      <c r="F710">
        <v>5557</v>
      </c>
    </row>
    <row r="711" spans="1:6" x14ac:dyDescent="0.35">
      <c r="A711" t="s">
        <v>292</v>
      </c>
      <c r="B711" t="s">
        <v>291</v>
      </c>
      <c r="C711" t="s">
        <v>425</v>
      </c>
      <c r="D711" t="s">
        <v>229</v>
      </c>
      <c r="E711" t="s">
        <v>302</v>
      </c>
      <c r="F711">
        <v>6521</v>
      </c>
    </row>
    <row r="712" spans="1:6" x14ac:dyDescent="0.35">
      <c r="A712" t="s">
        <v>292</v>
      </c>
      <c r="B712" t="s">
        <v>291</v>
      </c>
      <c r="C712" t="s">
        <v>425</v>
      </c>
      <c r="D712" t="s">
        <v>273</v>
      </c>
      <c r="E712" t="s">
        <v>302</v>
      </c>
      <c r="F712">
        <v>12</v>
      </c>
    </row>
    <row r="713" spans="1:6" x14ac:dyDescent="0.35">
      <c r="A713" t="s">
        <v>292</v>
      </c>
      <c r="B713" t="s">
        <v>291</v>
      </c>
      <c r="C713" t="s">
        <v>425</v>
      </c>
      <c r="D713" t="s">
        <v>269</v>
      </c>
      <c r="E713" t="s">
        <v>302</v>
      </c>
      <c r="F713">
        <v>25658</v>
      </c>
    </row>
    <row r="714" spans="1:6" x14ac:dyDescent="0.35">
      <c r="A714" t="s">
        <v>292</v>
      </c>
      <c r="B714" t="s">
        <v>291</v>
      </c>
      <c r="C714" t="s">
        <v>425</v>
      </c>
      <c r="D714" t="s">
        <v>254</v>
      </c>
      <c r="E714" t="s">
        <v>302</v>
      </c>
      <c r="F714">
        <v>7156</v>
      </c>
    </row>
    <row r="715" spans="1:6" x14ac:dyDescent="0.35">
      <c r="A715" t="s">
        <v>292</v>
      </c>
      <c r="B715" t="s">
        <v>291</v>
      </c>
      <c r="C715" t="s">
        <v>425</v>
      </c>
      <c r="D715" t="s">
        <v>268</v>
      </c>
      <c r="E715" t="s">
        <v>302</v>
      </c>
      <c r="F715">
        <v>5505</v>
      </c>
    </row>
    <row r="716" spans="1:6" x14ac:dyDescent="0.35">
      <c r="A716" t="s">
        <v>292</v>
      </c>
      <c r="B716" t="s">
        <v>291</v>
      </c>
      <c r="C716" t="s">
        <v>425</v>
      </c>
      <c r="D716" t="s">
        <v>272</v>
      </c>
      <c r="E716" t="s">
        <v>302</v>
      </c>
      <c r="F716">
        <v>6182</v>
      </c>
    </row>
    <row r="717" spans="1:6" x14ac:dyDescent="0.35">
      <c r="A717" t="s">
        <v>292</v>
      </c>
      <c r="B717" t="s">
        <v>291</v>
      </c>
      <c r="C717" t="s">
        <v>425</v>
      </c>
      <c r="D717" t="s">
        <v>267</v>
      </c>
      <c r="E717" t="s">
        <v>302</v>
      </c>
      <c r="F717">
        <v>10941</v>
      </c>
    </row>
    <row r="718" spans="1:6" x14ac:dyDescent="0.35">
      <c r="A718" t="s">
        <v>292</v>
      </c>
      <c r="B718" t="s">
        <v>291</v>
      </c>
      <c r="C718" t="s">
        <v>425</v>
      </c>
      <c r="D718" t="s">
        <v>266</v>
      </c>
      <c r="E718" t="s">
        <v>302</v>
      </c>
      <c r="F718">
        <v>4980</v>
      </c>
    </row>
    <row r="719" spans="1:6" x14ac:dyDescent="0.35">
      <c r="A719" t="s">
        <v>292</v>
      </c>
      <c r="B719" t="s">
        <v>291</v>
      </c>
      <c r="C719" t="s">
        <v>425</v>
      </c>
      <c r="D719" t="s">
        <v>265</v>
      </c>
      <c r="E719" t="s">
        <v>302</v>
      </c>
      <c r="F719">
        <v>4380</v>
      </c>
    </row>
    <row r="720" spans="1:6" x14ac:dyDescent="0.35">
      <c r="A720" t="s">
        <v>292</v>
      </c>
      <c r="B720" t="s">
        <v>291</v>
      </c>
      <c r="C720" t="s">
        <v>425</v>
      </c>
      <c r="D720" t="s">
        <v>419</v>
      </c>
      <c r="E720" t="s">
        <v>302</v>
      </c>
      <c r="F720">
        <v>5560</v>
      </c>
    </row>
    <row r="721" spans="1:6" x14ac:dyDescent="0.35">
      <c r="A721" t="s">
        <v>292</v>
      </c>
      <c r="B721" t="s">
        <v>291</v>
      </c>
      <c r="C721" t="s">
        <v>425</v>
      </c>
      <c r="D721" t="s">
        <v>240</v>
      </c>
      <c r="E721" t="s">
        <v>302</v>
      </c>
      <c r="F721">
        <v>8972</v>
      </c>
    </row>
    <row r="722" spans="1:6" x14ac:dyDescent="0.35">
      <c r="A722" t="s">
        <v>292</v>
      </c>
      <c r="B722" t="s">
        <v>291</v>
      </c>
      <c r="C722" t="s">
        <v>425</v>
      </c>
      <c r="D722" t="s">
        <v>239</v>
      </c>
      <c r="E722" t="s">
        <v>302</v>
      </c>
      <c r="F722">
        <v>11147</v>
      </c>
    </row>
    <row r="723" spans="1:6" x14ac:dyDescent="0.35">
      <c r="A723" t="s">
        <v>292</v>
      </c>
      <c r="B723" t="s">
        <v>291</v>
      </c>
      <c r="C723" t="s">
        <v>425</v>
      </c>
      <c r="D723" t="s">
        <v>249</v>
      </c>
      <c r="E723" t="s">
        <v>302</v>
      </c>
      <c r="F723">
        <v>24582</v>
      </c>
    </row>
    <row r="724" spans="1:6" x14ac:dyDescent="0.35">
      <c r="A724" t="s">
        <v>292</v>
      </c>
      <c r="B724" t="s">
        <v>291</v>
      </c>
      <c r="C724" t="s">
        <v>425</v>
      </c>
      <c r="D724" t="s">
        <v>248</v>
      </c>
      <c r="E724" t="s">
        <v>302</v>
      </c>
      <c r="F724">
        <v>13866</v>
      </c>
    </row>
    <row r="725" spans="1:6" x14ac:dyDescent="0.35">
      <c r="A725" t="s">
        <v>292</v>
      </c>
      <c r="B725" t="s">
        <v>291</v>
      </c>
      <c r="C725" t="s">
        <v>425</v>
      </c>
      <c r="D725" t="s">
        <v>417</v>
      </c>
      <c r="E725" t="s">
        <v>302</v>
      </c>
      <c r="F725">
        <v>3244</v>
      </c>
    </row>
    <row r="726" spans="1:6" x14ac:dyDescent="0.35">
      <c r="A726" t="s">
        <v>292</v>
      </c>
      <c r="B726" t="s">
        <v>291</v>
      </c>
      <c r="C726" t="s">
        <v>425</v>
      </c>
      <c r="D726" t="s">
        <v>235</v>
      </c>
      <c r="E726" t="s">
        <v>302</v>
      </c>
      <c r="F726">
        <v>5374</v>
      </c>
    </row>
    <row r="727" spans="1:6" x14ac:dyDescent="0.35">
      <c r="A727" t="s">
        <v>292</v>
      </c>
      <c r="B727" t="s">
        <v>291</v>
      </c>
      <c r="C727" t="s">
        <v>425</v>
      </c>
      <c r="D727" t="s">
        <v>260</v>
      </c>
      <c r="E727" t="s">
        <v>302</v>
      </c>
      <c r="F727">
        <v>4819</v>
      </c>
    </row>
    <row r="728" spans="1:6" x14ac:dyDescent="0.35">
      <c r="A728" t="s">
        <v>292</v>
      </c>
      <c r="B728" t="s">
        <v>291</v>
      </c>
      <c r="C728" t="s">
        <v>425</v>
      </c>
      <c r="D728" t="s">
        <v>259</v>
      </c>
      <c r="E728" t="s">
        <v>302</v>
      </c>
      <c r="F728">
        <v>15882</v>
      </c>
    </row>
    <row r="729" spans="1:6" x14ac:dyDescent="0.35">
      <c r="A729" t="s">
        <v>292</v>
      </c>
      <c r="B729" t="s">
        <v>291</v>
      </c>
      <c r="C729" t="s">
        <v>425</v>
      </c>
      <c r="D729" t="s">
        <v>247</v>
      </c>
      <c r="E729" t="s">
        <v>302</v>
      </c>
      <c r="F729">
        <v>11817</v>
      </c>
    </row>
    <row r="730" spans="1:6" x14ac:dyDescent="0.35">
      <c r="A730" t="s">
        <v>292</v>
      </c>
      <c r="B730" t="s">
        <v>291</v>
      </c>
      <c r="C730" t="s">
        <v>425</v>
      </c>
      <c r="D730" t="s">
        <v>234</v>
      </c>
      <c r="E730" t="s">
        <v>302</v>
      </c>
      <c r="F730">
        <v>1668</v>
      </c>
    </row>
    <row r="731" spans="1:6" x14ac:dyDescent="0.35">
      <c r="A731" t="s">
        <v>292</v>
      </c>
      <c r="B731" t="s">
        <v>291</v>
      </c>
      <c r="C731" t="s">
        <v>425</v>
      </c>
      <c r="D731" t="s">
        <v>246</v>
      </c>
      <c r="E731" t="s">
        <v>302</v>
      </c>
      <c r="F731">
        <v>3908</v>
      </c>
    </row>
    <row r="732" spans="1:6" x14ac:dyDescent="0.35">
      <c r="A732" t="s">
        <v>292</v>
      </c>
      <c r="B732" t="s">
        <v>291</v>
      </c>
      <c r="C732" t="s">
        <v>425</v>
      </c>
      <c r="D732" t="s">
        <v>245</v>
      </c>
      <c r="E732" t="s">
        <v>302</v>
      </c>
      <c r="F732">
        <v>2562</v>
      </c>
    </row>
    <row r="733" spans="1:6" x14ac:dyDescent="0.35">
      <c r="A733" t="s">
        <v>292</v>
      </c>
      <c r="B733" t="s">
        <v>291</v>
      </c>
      <c r="C733" t="s">
        <v>425</v>
      </c>
      <c r="D733" t="s">
        <v>244</v>
      </c>
      <c r="E733" t="s">
        <v>302</v>
      </c>
      <c r="F733">
        <v>17480</v>
      </c>
    </row>
    <row r="734" spans="1:6" x14ac:dyDescent="0.35">
      <c r="A734" t="s">
        <v>292</v>
      </c>
      <c r="B734" t="s">
        <v>291</v>
      </c>
      <c r="C734" t="s">
        <v>425</v>
      </c>
      <c r="D734" t="s">
        <v>39</v>
      </c>
      <c r="E734" t="s">
        <v>302</v>
      </c>
      <c r="F734">
        <v>1484</v>
      </c>
    </row>
    <row r="735" spans="1:6" x14ac:dyDescent="0.35">
      <c r="A735" t="s">
        <v>292</v>
      </c>
      <c r="B735" t="s">
        <v>290</v>
      </c>
      <c r="C735" t="s">
        <v>426</v>
      </c>
      <c r="D735" t="s">
        <v>418</v>
      </c>
      <c r="E735" t="s">
        <v>301</v>
      </c>
      <c r="F735">
        <v>50</v>
      </c>
    </row>
    <row r="736" spans="1:6" x14ac:dyDescent="0.35">
      <c r="A736" t="s">
        <v>292</v>
      </c>
      <c r="B736" t="s">
        <v>290</v>
      </c>
      <c r="C736" t="s">
        <v>425</v>
      </c>
      <c r="D736" t="s">
        <v>250</v>
      </c>
      <c r="E736" t="s">
        <v>301</v>
      </c>
      <c r="F736">
        <v>219</v>
      </c>
    </row>
    <row r="737" spans="1:6" x14ac:dyDescent="0.35">
      <c r="A737" t="s">
        <v>292</v>
      </c>
      <c r="B737" t="s">
        <v>290</v>
      </c>
      <c r="C737" t="s">
        <v>425</v>
      </c>
      <c r="D737" t="s">
        <v>235</v>
      </c>
      <c r="E737" t="s">
        <v>301</v>
      </c>
      <c r="F737">
        <v>176</v>
      </c>
    </row>
    <row r="738" spans="1:6" x14ac:dyDescent="0.35">
      <c r="A738" t="s">
        <v>292</v>
      </c>
      <c r="B738" t="s">
        <v>290</v>
      </c>
      <c r="C738" t="s">
        <v>425</v>
      </c>
      <c r="D738" t="s">
        <v>260</v>
      </c>
      <c r="E738" t="s">
        <v>301</v>
      </c>
      <c r="F738">
        <v>226</v>
      </c>
    </row>
    <row r="739" spans="1:6" x14ac:dyDescent="0.35">
      <c r="A739" t="s">
        <v>292</v>
      </c>
      <c r="B739" t="s">
        <v>290</v>
      </c>
      <c r="C739" t="s">
        <v>425</v>
      </c>
      <c r="D739" t="s">
        <v>259</v>
      </c>
      <c r="E739" t="s">
        <v>301</v>
      </c>
      <c r="F739">
        <v>256</v>
      </c>
    </row>
    <row r="740" spans="1:6" x14ac:dyDescent="0.35">
      <c r="A740" t="s">
        <v>292</v>
      </c>
      <c r="B740" t="s">
        <v>290</v>
      </c>
      <c r="C740" t="s">
        <v>425</v>
      </c>
      <c r="D740" t="s">
        <v>247</v>
      </c>
      <c r="E740" t="s">
        <v>301</v>
      </c>
      <c r="F740">
        <v>1239</v>
      </c>
    </row>
    <row r="741" spans="1:6" x14ac:dyDescent="0.35">
      <c r="A741" t="s">
        <v>292</v>
      </c>
      <c r="B741" t="s">
        <v>290</v>
      </c>
      <c r="C741" t="s">
        <v>425</v>
      </c>
      <c r="D741" t="s">
        <v>234</v>
      </c>
      <c r="E741" t="s">
        <v>301</v>
      </c>
      <c r="F741">
        <v>153</v>
      </c>
    </row>
    <row r="742" spans="1:6" x14ac:dyDescent="0.35">
      <c r="A742" t="s">
        <v>292</v>
      </c>
      <c r="B742" t="s">
        <v>290</v>
      </c>
      <c r="C742" t="s">
        <v>425</v>
      </c>
      <c r="D742" t="s">
        <v>246</v>
      </c>
      <c r="E742" t="s">
        <v>301</v>
      </c>
      <c r="F742">
        <v>225</v>
      </c>
    </row>
    <row r="743" spans="1:6" x14ac:dyDescent="0.35">
      <c r="A743" t="s">
        <v>292</v>
      </c>
      <c r="B743" t="s">
        <v>290</v>
      </c>
      <c r="C743" t="s">
        <v>425</v>
      </c>
      <c r="D743" t="s">
        <v>245</v>
      </c>
      <c r="E743" t="s">
        <v>301</v>
      </c>
      <c r="F743">
        <v>75</v>
      </c>
    </row>
    <row r="744" spans="1:6" x14ac:dyDescent="0.35">
      <c r="A744" t="s">
        <v>292</v>
      </c>
      <c r="B744" t="s">
        <v>290</v>
      </c>
      <c r="C744" t="s">
        <v>425</v>
      </c>
      <c r="D744" t="s">
        <v>244</v>
      </c>
      <c r="E744" t="s">
        <v>301</v>
      </c>
      <c r="F744">
        <v>337</v>
      </c>
    </row>
    <row r="745" spans="1:6" x14ac:dyDescent="0.35">
      <c r="A745" t="s">
        <v>292</v>
      </c>
      <c r="B745" t="s">
        <v>290</v>
      </c>
      <c r="C745" t="s">
        <v>425</v>
      </c>
      <c r="D745" t="s">
        <v>417</v>
      </c>
      <c r="E745" t="s">
        <v>301</v>
      </c>
      <c r="F745">
        <v>367</v>
      </c>
    </row>
    <row r="746" spans="1:6" x14ac:dyDescent="0.35">
      <c r="A746" t="s">
        <v>292</v>
      </c>
      <c r="B746" t="s">
        <v>290</v>
      </c>
      <c r="C746" t="s">
        <v>425</v>
      </c>
      <c r="D746" t="s">
        <v>261</v>
      </c>
      <c r="E746" t="s">
        <v>301</v>
      </c>
      <c r="F746">
        <v>95</v>
      </c>
    </row>
    <row r="747" spans="1:6" x14ac:dyDescent="0.35">
      <c r="A747" t="s">
        <v>292</v>
      </c>
      <c r="B747" t="s">
        <v>290</v>
      </c>
      <c r="C747" t="s">
        <v>425</v>
      </c>
      <c r="D747" t="s">
        <v>249</v>
      </c>
      <c r="E747" t="s">
        <v>301</v>
      </c>
      <c r="F747">
        <v>507</v>
      </c>
    </row>
    <row r="748" spans="1:6" x14ac:dyDescent="0.35">
      <c r="A748" t="s">
        <v>292</v>
      </c>
      <c r="B748" t="s">
        <v>290</v>
      </c>
      <c r="C748" t="s">
        <v>425</v>
      </c>
      <c r="D748" t="s">
        <v>239</v>
      </c>
      <c r="E748" t="s">
        <v>301</v>
      </c>
      <c r="F748">
        <v>881</v>
      </c>
    </row>
    <row r="749" spans="1:6" x14ac:dyDescent="0.35">
      <c r="A749" t="s">
        <v>292</v>
      </c>
      <c r="B749" t="s">
        <v>290</v>
      </c>
      <c r="C749" t="s">
        <v>425</v>
      </c>
      <c r="D749" t="s">
        <v>240</v>
      </c>
      <c r="E749" t="s">
        <v>301</v>
      </c>
      <c r="F749">
        <v>508</v>
      </c>
    </row>
    <row r="750" spans="1:6" x14ac:dyDescent="0.35">
      <c r="A750" t="s">
        <v>292</v>
      </c>
      <c r="B750" t="s">
        <v>290</v>
      </c>
      <c r="C750" t="s">
        <v>425</v>
      </c>
      <c r="D750" t="s">
        <v>265</v>
      </c>
      <c r="E750" t="s">
        <v>301</v>
      </c>
      <c r="F750">
        <v>118</v>
      </c>
    </row>
    <row r="751" spans="1:6" x14ac:dyDescent="0.35">
      <c r="A751" t="s">
        <v>292</v>
      </c>
      <c r="B751" t="s">
        <v>290</v>
      </c>
      <c r="C751" t="s">
        <v>425</v>
      </c>
      <c r="D751" t="s">
        <v>266</v>
      </c>
      <c r="E751" t="s">
        <v>301</v>
      </c>
      <c r="F751">
        <v>178</v>
      </c>
    </row>
    <row r="752" spans="1:6" x14ac:dyDescent="0.35">
      <c r="A752" t="s">
        <v>292</v>
      </c>
      <c r="B752" t="s">
        <v>290</v>
      </c>
      <c r="C752" t="s">
        <v>425</v>
      </c>
      <c r="D752" t="s">
        <v>267</v>
      </c>
      <c r="E752" t="s">
        <v>301</v>
      </c>
      <c r="F752">
        <v>457</v>
      </c>
    </row>
    <row r="753" spans="1:6" x14ac:dyDescent="0.35">
      <c r="A753" t="s">
        <v>292</v>
      </c>
      <c r="B753" t="s">
        <v>290</v>
      </c>
      <c r="C753" t="s">
        <v>425</v>
      </c>
      <c r="D753" t="s">
        <v>268</v>
      </c>
      <c r="E753" t="s">
        <v>301</v>
      </c>
      <c r="F753">
        <v>174</v>
      </c>
    </row>
    <row r="754" spans="1:6" x14ac:dyDescent="0.35">
      <c r="A754" t="s">
        <v>292</v>
      </c>
      <c r="B754" t="s">
        <v>290</v>
      </c>
      <c r="C754" t="s">
        <v>425</v>
      </c>
      <c r="D754" t="s">
        <v>248</v>
      </c>
      <c r="E754" t="s">
        <v>301</v>
      </c>
      <c r="F754">
        <v>1071</v>
      </c>
    </row>
    <row r="755" spans="1:6" x14ac:dyDescent="0.35">
      <c r="A755" t="s">
        <v>292</v>
      </c>
      <c r="B755" t="s">
        <v>290</v>
      </c>
      <c r="C755" t="s">
        <v>425</v>
      </c>
      <c r="D755" t="s">
        <v>269</v>
      </c>
      <c r="E755" t="s">
        <v>301</v>
      </c>
      <c r="F755">
        <v>2945</v>
      </c>
    </row>
    <row r="756" spans="1:6" x14ac:dyDescent="0.35">
      <c r="A756" t="s">
        <v>292</v>
      </c>
      <c r="B756" t="s">
        <v>290</v>
      </c>
      <c r="C756" t="s">
        <v>425</v>
      </c>
      <c r="D756" t="s">
        <v>252</v>
      </c>
      <c r="E756" t="s">
        <v>301</v>
      </c>
      <c r="F756">
        <v>252</v>
      </c>
    </row>
    <row r="757" spans="1:6" x14ac:dyDescent="0.35">
      <c r="A757" t="s">
        <v>292</v>
      </c>
      <c r="B757" t="s">
        <v>290</v>
      </c>
      <c r="C757" t="s">
        <v>425</v>
      </c>
      <c r="D757" t="s">
        <v>253</v>
      </c>
      <c r="E757" t="s">
        <v>301</v>
      </c>
      <c r="F757">
        <v>242</v>
      </c>
    </row>
    <row r="758" spans="1:6" x14ac:dyDescent="0.35">
      <c r="A758" t="s">
        <v>292</v>
      </c>
      <c r="B758" t="s">
        <v>290</v>
      </c>
      <c r="C758" t="s">
        <v>425</v>
      </c>
      <c r="D758" t="s">
        <v>254</v>
      </c>
      <c r="E758" t="s">
        <v>301</v>
      </c>
      <c r="F758">
        <v>376</v>
      </c>
    </row>
    <row r="759" spans="1:6" x14ac:dyDescent="0.35">
      <c r="A759" t="s">
        <v>292</v>
      </c>
      <c r="B759" t="s">
        <v>290</v>
      </c>
      <c r="C759" t="s">
        <v>425</v>
      </c>
      <c r="D759" t="s">
        <v>255</v>
      </c>
      <c r="E759" t="s">
        <v>301</v>
      </c>
      <c r="F759">
        <v>168</v>
      </c>
    </row>
    <row r="760" spans="1:6" x14ac:dyDescent="0.35">
      <c r="A760" t="s">
        <v>292</v>
      </c>
      <c r="B760" t="s">
        <v>290</v>
      </c>
      <c r="C760" t="s">
        <v>425</v>
      </c>
      <c r="D760" t="s">
        <v>270</v>
      </c>
      <c r="E760" t="s">
        <v>301</v>
      </c>
      <c r="F760">
        <v>303</v>
      </c>
    </row>
    <row r="761" spans="1:6" x14ac:dyDescent="0.35">
      <c r="A761" t="s">
        <v>292</v>
      </c>
      <c r="B761" t="s">
        <v>290</v>
      </c>
      <c r="C761" t="s">
        <v>425</v>
      </c>
      <c r="D761" t="s">
        <v>229</v>
      </c>
      <c r="E761" t="s">
        <v>301</v>
      </c>
      <c r="F761">
        <v>398</v>
      </c>
    </row>
    <row r="764" spans="1:6" x14ac:dyDescent="0.35">
      <c r="A764" s="68" t="s">
        <v>208</v>
      </c>
    </row>
    <row r="765" spans="1:6" x14ac:dyDescent="0.35">
      <c r="A765" s="56" t="s">
        <v>420</v>
      </c>
    </row>
    <row r="766" spans="1:6" x14ac:dyDescent="0.35">
      <c r="A766" s="69" t="s">
        <v>421</v>
      </c>
    </row>
    <row r="767" spans="1:6" x14ac:dyDescent="0.35">
      <c r="A767" s="69" t="s">
        <v>422</v>
      </c>
    </row>
    <row r="768" spans="1:6" x14ac:dyDescent="0.35">
      <c r="A768" s="69" t="s">
        <v>423</v>
      </c>
    </row>
    <row r="769" spans="1:8" x14ac:dyDescent="0.35">
      <c r="A769" s="69" t="s">
        <v>424</v>
      </c>
    </row>
    <row r="770" spans="1:8" x14ac:dyDescent="0.35">
      <c r="A770" s="70" t="s">
        <v>378</v>
      </c>
    </row>
    <row r="772" spans="1:8" x14ac:dyDescent="0.35">
      <c r="A772" s="54" t="s">
        <v>429</v>
      </c>
      <c r="B772" s="63"/>
      <c r="C772" s="63"/>
      <c r="D772" s="63"/>
      <c r="E772" s="63"/>
      <c r="F772" s="61"/>
      <c r="G772" s="61"/>
      <c r="H772" s="61"/>
    </row>
    <row r="773" spans="1:8" x14ac:dyDescent="0.35">
      <c r="A773" s="94" t="s">
        <v>430</v>
      </c>
      <c r="B773" s="94"/>
      <c r="C773" s="94"/>
      <c r="D773" s="94"/>
      <c r="E773" s="94"/>
      <c r="F773" s="94"/>
      <c r="G773" s="94"/>
      <c r="H773" s="94"/>
    </row>
  </sheetData>
  <mergeCells count="1">
    <mergeCell ref="A773:H773"/>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A0299-3940-49E1-ABFC-46F05313FF3F}">
  <dimension ref="A1:E907"/>
  <sheetViews>
    <sheetView workbookViewId="0">
      <selection activeCell="E1" sqref="E1"/>
    </sheetView>
  </sheetViews>
  <sheetFormatPr defaultRowHeight="14.5" x14ac:dyDescent="0.35"/>
  <cols>
    <col min="1" max="1" width="10.26953125" customWidth="1"/>
    <col min="2" max="2" width="24.81640625" customWidth="1"/>
    <col min="3" max="3" width="22.90625" customWidth="1"/>
    <col min="4" max="4" width="29.453125" bestFit="1" customWidth="1"/>
    <col min="6" max="6" width="16" bestFit="1" customWidth="1"/>
    <col min="257" max="257" width="19" bestFit="1" customWidth="1"/>
    <col min="258" max="258" width="49.90625" bestFit="1" customWidth="1"/>
    <col min="259" max="260" width="29.453125" bestFit="1" customWidth="1"/>
    <col min="262" max="262" width="16" bestFit="1" customWidth="1"/>
    <col min="513" max="513" width="19" bestFit="1" customWidth="1"/>
    <col min="514" max="514" width="49.90625" bestFit="1" customWidth="1"/>
    <col min="515" max="516" width="29.453125" bestFit="1" customWidth="1"/>
    <col min="518" max="518" width="16" bestFit="1" customWidth="1"/>
    <col min="769" max="769" width="19" bestFit="1" customWidth="1"/>
    <col min="770" max="770" width="49.90625" bestFit="1" customWidth="1"/>
    <col min="771" max="772" width="29.453125" bestFit="1" customWidth="1"/>
    <col min="774" max="774" width="16" bestFit="1" customWidth="1"/>
    <col min="1025" max="1025" width="19" bestFit="1" customWidth="1"/>
    <col min="1026" max="1026" width="49.90625" bestFit="1" customWidth="1"/>
    <col min="1027" max="1028" width="29.453125" bestFit="1" customWidth="1"/>
    <col min="1030" max="1030" width="16" bestFit="1" customWidth="1"/>
    <col min="1281" max="1281" width="19" bestFit="1" customWidth="1"/>
    <col min="1282" max="1282" width="49.90625" bestFit="1" customWidth="1"/>
    <col min="1283" max="1284" width="29.453125" bestFit="1" customWidth="1"/>
    <col min="1286" max="1286" width="16" bestFit="1" customWidth="1"/>
    <col min="1537" max="1537" width="19" bestFit="1" customWidth="1"/>
    <col min="1538" max="1538" width="49.90625" bestFit="1" customWidth="1"/>
    <col min="1539" max="1540" width="29.453125" bestFit="1" customWidth="1"/>
    <col min="1542" max="1542" width="16" bestFit="1" customWidth="1"/>
    <col min="1793" max="1793" width="19" bestFit="1" customWidth="1"/>
    <col min="1794" max="1794" width="49.90625" bestFit="1" customWidth="1"/>
    <col min="1795" max="1796" width="29.453125" bestFit="1" customWidth="1"/>
    <col min="1798" max="1798" width="16" bestFit="1" customWidth="1"/>
    <col min="2049" max="2049" width="19" bestFit="1" customWidth="1"/>
    <col min="2050" max="2050" width="49.90625" bestFit="1" customWidth="1"/>
    <col min="2051" max="2052" width="29.453125" bestFit="1" customWidth="1"/>
    <col min="2054" max="2054" width="16" bestFit="1" customWidth="1"/>
    <col min="2305" max="2305" width="19" bestFit="1" customWidth="1"/>
    <col min="2306" max="2306" width="49.90625" bestFit="1" customWidth="1"/>
    <col min="2307" max="2308" width="29.453125" bestFit="1" customWidth="1"/>
    <col min="2310" max="2310" width="16" bestFit="1" customWidth="1"/>
    <col min="2561" max="2561" width="19" bestFit="1" customWidth="1"/>
    <col min="2562" max="2562" width="49.90625" bestFit="1" customWidth="1"/>
    <col min="2563" max="2564" width="29.453125" bestFit="1" customWidth="1"/>
    <col min="2566" max="2566" width="16" bestFit="1" customWidth="1"/>
    <col min="2817" max="2817" width="19" bestFit="1" customWidth="1"/>
    <col min="2818" max="2818" width="49.90625" bestFit="1" customWidth="1"/>
    <col min="2819" max="2820" width="29.453125" bestFit="1" customWidth="1"/>
    <col min="2822" max="2822" width="16" bestFit="1" customWidth="1"/>
    <col min="3073" max="3073" width="19" bestFit="1" customWidth="1"/>
    <col min="3074" max="3074" width="49.90625" bestFit="1" customWidth="1"/>
    <col min="3075" max="3076" width="29.453125" bestFit="1" customWidth="1"/>
    <col min="3078" max="3078" width="16" bestFit="1" customWidth="1"/>
    <col min="3329" max="3329" width="19" bestFit="1" customWidth="1"/>
    <col min="3330" max="3330" width="49.90625" bestFit="1" customWidth="1"/>
    <col min="3331" max="3332" width="29.453125" bestFit="1" customWidth="1"/>
    <col min="3334" max="3334" width="16" bestFit="1" customWidth="1"/>
    <col min="3585" max="3585" width="19" bestFit="1" customWidth="1"/>
    <col min="3586" max="3586" width="49.90625" bestFit="1" customWidth="1"/>
    <col min="3587" max="3588" width="29.453125" bestFit="1" customWidth="1"/>
    <col min="3590" max="3590" width="16" bestFit="1" customWidth="1"/>
    <col min="3841" max="3841" width="19" bestFit="1" customWidth="1"/>
    <col min="3842" max="3842" width="49.90625" bestFit="1" customWidth="1"/>
    <col min="3843" max="3844" width="29.453125" bestFit="1" customWidth="1"/>
    <col min="3846" max="3846" width="16" bestFit="1" customWidth="1"/>
    <col min="4097" max="4097" width="19" bestFit="1" customWidth="1"/>
    <col min="4098" max="4098" width="49.90625" bestFit="1" customWidth="1"/>
    <col min="4099" max="4100" width="29.453125" bestFit="1" customWidth="1"/>
    <col min="4102" max="4102" width="16" bestFit="1" customWidth="1"/>
    <col min="4353" max="4353" width="19" bestFit="1" customWidth="1"/>
    <col min="4354" max="4354" width="49.90625" bestFit="1" customWidth="1"/>
    <col min="4355" max="4356" width="29.453125" bestFit="1" customWidth="1"/>
    <col min="4358" max="4358" width="16" bestFit="1" customWidth="1"/>
    <col min="4609" max="4609" width="19" bestFit="1" customWidth="1"/>
    <col min="4610" max="4610" width="49.90625" bestFit="1" customWidth="1"/>
    <col min="4611" max="4612" width="29.453125" bestFit="1" customWidth="1"/>
    <col min="4614" max="4614" width="16" bestFit="1" customWidth="1"/>
    <col min="4865" max="4865" width="19" bestFit="1" customWidth="1"/>
    <col min="4866" max="4866" width="49.90625" bestFit="1" customWidth="1"/>
    <col min="4867" max="4868" width="29.453125" bestFit="1" customWidth="1"/>
    <col min="4870" max="4870" width="16" bestFit="1" customWidth="1"/>
    <col min="5121" max="5121" width="19" bestFit="1" customWidth="1"/>
    <col min="5122" max="5122" width="49.90625" bestFit="1" customWidth="1"/>
    <col min="5123" max="5124" width="29.453125" bestFit="1" customWidth="1"/>
    <col min="5126" max="5126" width="16" bestFit="1" customWidth="1"/>
    <col min="5377" max="5377" width="19" bestFit="1" customWidth="1"/>
    <col min="5378" max="5378" width="49.90625" bestFit="1" customWidth="1"/>
    <col min="5379" max="5380" width="29.453125" bestFit="1" customWidth="1"/>
    <col min="5382" max="5382" width="16" bestFit="1" customWidth="1"/>
    <col min="5633" max="5633" width="19" bestFit="1" customWidth="1"/>
    <col min="5634" max="5634" width="49.90625" bestFit="1" customWidth="1"/>
    <col min="5635" max="5636" width="29.453125" bestFit="1" customWidth="1"/>
    <col min="5638" max="5638" width="16" bestFit="1" customWidth="1"/>
    <col min="5889" max="5889" width="19" bestFit="1" customWidth="1"/>
    <col min="5890" max="5890" width="49.90625" bestFit="1" customWidth="1"/>
    <col min="5891" max="5892" width="29.453125" bestFit="1" customWidth="1"/>
    <col min="5894" max="5894" width="16" bestFit="1" customWidth="1"/>
    <col min="6145" max="6145" width="19" bestFit="1" customWidth="1"/>
    <col min="6146" max="6146" width="49.90625" bestFit="1" customWidth="1"/>
    <col min="6147" max="6148" width="29.453125" bestFit="1" customWidth="1"/>
    <col min="6150" max="6150" width="16" bestFit="1" customWidth="1"/>
    <col min="6401" max="6401" width="19" bestFit="1" customWidth="1"/>
    <col min="6402" max="6402" width="49.90625" bestFit="1" customWidth="1"/>
    <col min="6403" max="6404" width="29.453125" bestFit="1" customWidth="1"/>
    <col min="6406" max="6406" width="16" bestFit="1" customWidth="1"/>
    <col min="6657" max="6657" width="19" bestFit="1" customWidth="1"/>
    <col min="6658" max="6658" width="49.90625" bestFit="1" customWidth="1"/>
    <col min="6659" max="6660" width="29.453125" bestFit="1" customWidth="1"/>
    <col min="6662" max="6662" width="16" bestFit="1" customWidth="1"/>
    <col min="6913" max="6913" width="19" bestFit="1" customWidth="1"/>
    <col min="6914" max="6914" width="49.90625" bestFit="1" customWidth="1"/>
    <col min="6915" max="6916" width="29.453125" bestFit="1" customWidth="1"/>
    <col min="6918" max="6918" width="16" bestFit="1" customWidth="1"/>
    <col min="7169" max="7169" width="19" bestFit="1" customWidth="1"/>
    <col min="7170" max="7170" width="49.90625" bestFit="1" customWidth="1"/>
    <col min="7171" max="7172" width="29.453125" bestFit="1" customWidth="1"/>
    <col min="7174" max="7174" width="16" bestFit="1" customWidth="1"/>
    <col min="7425" max="7425" width="19" bestFit="1" customWidth="1"/>
    <col min="7426" max="7426" width="49.90625" bestFit="1" customWidth="1"/>
    <col min="7427" max="7428" width="29.453125" bestFit="1" customWidth="1"/>
    <col min="7430" max="7430" width="16" bestFit="1" customWidth="1"/>
    <col min="7681" max="7681" width="19" bestFit="1" customWidth="1"/>
    <col min="7682" max="7682" width="49.90625" bestFit="1" customWidth="1"/>
    <col min="7683" max="7684" width="29.453125" bestFit="1" customWidth="1"/>
    <col min="7686" max="7686" width="16" bestFit="1" customWidth="1"/>
    <col min="7937" max="7937" width="19" bestFit="1" customWidth="1"/>
    <col min="7938" max="7938" width="49.90625" bestFit="1" customWidth="1"/>
    <col min="7939" max="7940" width="29.453125" bestFit="1" customWidth="1"/>
    <col min="7942" max="7942" width="16" bestFit="1" customWidth="1"/>
    <col min="8193" max="8193" width="19" bestFit="1" customWidth="1"/>
    <col min="8194" max="8194" width="49.90625" bestFit="1" customWidth="1"/>
    <col min="8195" max="8196" width="29.453125" bestFit="1" customWidth="1"/>
    <col min="8198" max="8198" width="16" bestFit="1" customWidth="1"/>
    <col min="8449" max="8449" width="19" bestFit="1" customWidth="1"/>
    <col min="8450" max="8450" width="49.90625" bestFit="1" customWidth="1"/>
    <col min="8451" max="8452" width="29.453125" bestFit="1" customWidth="1"/>
    <col min="8454" max="8454" width="16" bestFit="1" customWidth="1"/>
    <col min="8705" max="8705" width="19" bestFit="1" customWidth="1"/>
    <col min="8706" max="8706" width="49.90625" bestFit="1" customWidth="1"/>
    <col min="8707" max="8708" width="29.453125" bestFit="1" customWidth="1"/>
    <col min="8710" max="8710" width="16" bestFit="1" customWidth="1"/>
    <col min="8961" max="8961" width="19" bestFit="1" customWidth="1"/>
    <col min="8962" max="8962" width="49.90625" bestFit="1" customWidth="1"/>
    <col min="8963" max="8964" width="29.453125" bestFit="1" customWidth="1"/>
    <col min="8966" max="8966" width="16" bestFit="1" customWidth="1"/>
    <col min="9217" max="9217" width="19" bestFit="1" customWidth="1"/>
    <col min="9218" max="9218" width="49.90625" bestFit="1" customWidth="1"/>
    <col min="9219" max="9220" width="29.453125" bestFit="1" customWidth="1"/>
    <col min="9222" max="9222" width="16" bestFit="1" customWidth="1"/>
    <col min="9473" max="9473" width="19" bestFit="1" customWidth="1"/>
    <col min="9474" max="9474" width="49.90625" bestFit="1" customWidth="1"/>
    <col min="9475" max="9476" width="29.453125" bestFit="1" customWidth="1"/>
    <col min="9478" max="9478" width="16" bestFit="1" customWidth="1"/>
    <col min="9729" max="9729" width="19" bestFit="1" customWidth="1"/>
    <col min="9730" max="9730" width="49.90625" bestFit="1" customWidth="1"/>
    <col min="9731" max="9732" width="29.453125" bestFit="1" customWidth="1"/>
    <col min="9734" max="9734" width="16" bestFit="1" customWidth="1"/>
    <col min="9985" max="9985" width="19" bestFit="1" customWidth="1"/>
    <col min="9986" max="9986" width="49.90625" bestFit="1" customWidth="1"/>
    <col min="9987" max="9988" width="29.453125" bestFit="1" customWidth="1"/>
    <col min="9990" max="9990" width="16" bestFit="1" customWidth="1"/>
    <col min="10241" max="10241" width="19" bestFit="1" customWidth="1"/>
    <col min="10242" max="10242" width="49.90625" bestFit="1" customWidth="1"/>
    <col min="10243" max="10244" width="29.453125" bestFit="1" customWidth="1"/>
    <col min="10246" max="10246" width="16" bestFit="1" customWidth="1"/>
    <col min="10497" max="10497" width="19" bestFit="1" customWidth="1"/>
    <col min="10498" max="10498" width="49.90625" bestFit="1" customWidth="1"/>
    <col min="10499" max="10500" width="29.453125" bestFit="1" customWidth="1"/>
    <col min="10502" max="10502" width="16" bestFit="1" customWidth="1"/>
    <col min="10753" max="10753" width="19" bestFit="1" customWidth="1"/>
    <col min="10754" max="10754" width="49.90625" bestFit="1" customWidth="1"/>
    <col min="10755" max="10756" width="29.453125" bestFit="1" customWidth="1"/>
    <col min="10758" max="10758" width="16" bestFit="1" customWidth="1"/>
    <col min="11009" max="11009" width="19" bestFit="1" customWidth="1"/>
    <col min="11010" max="11010" width="49.90625" bestFit="1" customWidth="1"/>
    <col min="11011" max="11012" width="29.453125" bestFit="1" customWidth="1"/>
    <col min="11014" max="11014" width="16" bestFit="1" customWidth="1"/>
    <col min="11265" max="11265" width="19" bestFit="1" customWidth="1"/>
    <col min="11266" max="11266" width="49.90625" bestFit="1" customWidth="1"/>
    <col min="11267" max="11268" width="29.453125" bestFit="1" customWidth="1"/>
    <col min="11270" max="11270" width="16" bestFit="1" customWidth="1"/>
    <col min="11521" max="11521" width="19" bestFit="1" customWidth="1"/>
    <col min="11522" max="11522" width="49.90625" bestFit="1" customWidth="1"/>
    <col min="11523" max="11524" width="29.453125" bestFit="1" customWidth="1"/>
    <col min="11526" max="11526" width="16" bestFit="1" customWidth="1"/>
    <col min="11777" max="11777" width="19" bestFit="1" customWidth="1"/>
    <col min="11778" max="11778" width="49.90625" bestFit="1" customWidth="1"/>
    <col min="11779" max="11780" width="29.453125" bestFit="1" customWidth="1"/>
    <col min="11782" max="11782" width="16" bestFit="1" customWidth="1"/>
    <col min="12033" max="12033" width="19" bestFit="1" customWidth="1"/>
    <col min="12034" max="12034" width="49.90625" bestFit="1" customWidth="1"/>
    <col min="12035" max="12036" width="29.453125" bestFit="1" customWidth="1"/>
    <col min="12038" max="12038" width="16" bestFit="1" customWidth="1"/>
    <col min="12289" max="12289" width="19" bestFit="1" customWidth="1"/>
    <col min="12290" max="12290" width="49.90625" bestFit="1" customWidth="1"/>
    <col min="12291" max="12292" width="29.453125" bestFit="1" customWidth="1"/>
    <col min="12294" max="12294" width="16" bestFit="1" customWidth="1"/>
    <col min="12545" max="12545" width="19" bestFit="1" customWidth="1"/>
    <col min="12546" max="12546" width="49.90625" bestFit="1" customWidth="1"/>
    <col min="12547" max="12548" width="29.453125" bestFit="1" customWidth="1"/>
    <col min="12550" max="12550" width="16" bestFit="1" customWidth="1"/>
    <col min="12801" max="12801" width="19" bestFit="1" customWidth="1"/>
    <col min="12802" max="12802" width="49.90625" bestFit="1" customWidth="1"/>
    <col min="12803" max="12804" width="29.453125" bestFit="1" customWidth="1"/>
    <col min="12806" max="12806" width="16" bestFit="1" customWidth="1"/>
    <col min="13057" max="13057" width="19" bestFit="1" customWidth="1"/>
    <col min="13058" max="13058" width="49.90625" bestFit="1" customWidth="1"/>
    <col min="13059" max="13060" width="29.453125" bestFit="1" customWidth="1"/>
    <col min="13062" max="13062" width="16" bestFit="1" customWidth="1"/>
    <col min="13313" max="13313" width="19" bestFit="1" customWidth="1"/>
    <col min="13314" max="13314" width="49.90625" bestFit="1" customWidth="1"/>
    <col min="13315" max="13316" width="29.453125" bestFit="1" customWidth="1"/>
    <col min="13318" max="13318" width="16" bestFit="1" customWidth="1"/>
    <col min="13569" max="13569" width="19" bestFit="1" customWidth="1"/>
    <col min="13570" max="13570" width="49.90625" bestFit="1" customWidth="1"/>
    <col min="13571" max="13572" width="29.453125" bestFit="1" customWidth="1"/>
    <col min="13574" max="13574" width="16" bestFit="1" customWidth="1"/>
    <col min="13825" max="13825" width="19" bestFit="1" customWidth="1"/>
    <col min="13826" max="13826" width="49.90625" bestFit="1" customWidth="1"/>
    <col min="13827" max="13828" width="29.453125" bestFit="1" customWidth="1"/>
    <col min="13830" max="13830" width="16" bestFit="1" customWidth="1"/>
    <col min="14081" max="14081" width="19" bestFit="1" customWidth="1"/>
    <col min="14082" max="14082" width="49.90625" bestFit="1" customWidth="1"/>
    <col min="14083" max="14084" width="29.453125" bestFit="1" customWidth="1"/>
    <col min="14086" max="14086" width="16" bestFit="1" customWidth="1"/>
    <col min="14337" max="14337" width="19" bestFit="1" customWidth="1"/>
    <col min="14338" max="14338" width="49.90625" bestFit="1" customWidth="1"/>
    <col min="14339" max="14340" width="29.453125" bestFit="1" customWidth="1"/>
    <col min="14342" max="14342" width="16" bestFit="1" customWidth="1"/>
    <col min="14593" max="14593" width="19" bestFit="1" customWidth="1"/>
    <col min="14594" max="14594" width="49.90625" bestFit="1" customWidth="1"/>
    <col min="14595" max="14596" width="29.453125" bestFit="1" customWidth="1"/>
    <col min="14598" max="14598" width="16" bestFit="1" customWidth="1"/>
    <col min="14849" max="14849" width="19" bestFit="1" customWidth="1"/>
    <col min="14850" max="14850" width="49.90625" bestFit="1" customWidth="1"/>
    <col min="14851" max="14852" width="29.453125" bestFit="1" customWidth="1"/>
    <col min="14854" max="14854" width="16" bestFit="1" customWidth="1"/>
    <col min="15105" max="15105" width="19" bestFit="1" customWidth="1"/>
    <col min="15106" max="15106" width="49.90625" bestFit="1" customWidth="1"/>
    <col min="15107" max="15108" width="29.453125" bestFit="1" customWidth="1"/>
    <col min="15110" max="15110" width="16" bestFit="1" customWidth="1"/>
    <col min="15361" max="15361" width="19" bestFit="1" customWidth="1"/>
    <col min="15362" max="15362" width="49.90625" bestFit="1" customWidth="1"/>
    <col min="15363" max="15364" width="29.453125" bestFit="1" customWidth="1"/>
    <col min="15366" max="15366" width="16" bestFit="1" customWidth="1"/>
    <col min="15617" max="15617" width="19" bestFit="1" customWidth="1"/>
    <col min="15618" max="15618" width="49.90625" bestFit="1" customWidth="1"/>
    <col min="15619" max="15620" width="29.453125" bestFit="1" customWidth="1"/>
    <col min="15622" max="15622" width="16" bestFit="1" customWidth="1"/>
    <col min="15873" max="15873" width="19" bestFit="1" customWidth="1"/>
    <col min="15874" max="15874" width="49.90625" bestFit="1" customWidth="1"/>
    <col min="15875" max="15876" width="29.453125" bestFit="1" customWidth="1"/>
    <col min="15878" max="15878" width="16" bestFit="1" customWidth="1"/>
    <col min="16129" max="16129" width="19" bestFit="1" customWidth="1"/>
    <col min="16130" max="16130" width="49.90625" bestFit="1" customWidth="1"/>
    <col min="16131" max="16132" width="29.453125" bestFit="1" customWidth="1"/>
    <col min="16134" max="16134" width="16" bestFit="1" customWidth="1"/>
  </cols>
  <sheetData>
    <row r="1" spans="1:4" x14ac:dyDescent="0.35">
      <c r="A1" t="s">
        <v>24</v>
      </c>
      <c r="B1" t="s">
        <v>217</v>
      </c>
      <c r="C1" t="s">
        <v>13</v>
      </c>
      <c r="D1" t="s">
        <v>325</v>
      </c>
    </row>
    <row r="2" spans="1:4" x14ac:dyDescent="0.35">
      <c r="A2">
        <v>2009</v>
      </c>
      <c r="B2" t="s">
        <v>34</v>
      </c>
      <c r="C2" t="s">
        <v>40</v>
      </c>
      <c r="D2">
        <v>98</v>
      </c>
    </row>
    <row r="3" spans="1:4" x14ac:dyDescent="0.35">
      <c r="A3">
        <v>2009</v>
      </c>
      <c r="B3" t="s">
        <v>35</v>
      </c>
      <c r="C3" t="s">
        <v>41</v>
      </c>
      <c r="D3">
        <v>87</v>
      </c>
    </row>
    <row r="4" spans="1:4" x14ac:dyDescent="0.35">
      <c r="A4">
        <v>2009</v>
      </c>
      <c r="B4" t="s">
        <v>33</v>
      </c>
      <c r="C4" t="s">
        <v>42</v>
      </c>
      <c r="D4">
        <v>141</v>
      </c>
    </row>
    <row r="5" spans="1:4" x14ac:dyDescent="0.35">
      <c r="A5">
        <v>2009</v>
      </c>
      <c r="C5" t="s">
        <v>373</v>
      </c>
      <c r="D5">
        <v>87</v>
      </c>
    </row>
    <row r="6" spans="1:4" x14ac:dyDescent="0.35">
      <c r="A6">
        <v>2009</v>
      </c>
      <c r="B6" t="s">
        <v>37</v>
      </c>
      <c r="C6" t="s">
        <v>386</v>
      </c>
    </row>
    <row r="7" spans="1:4" x14ac:dyDescent="0.35">
      <c r="A7">
        <v>2009</v>
      </c>
      <c r="B7" t="s">
        <v>33</v>
      </c>
      <c r="C7" t="s">
        <v>43</v>
      </c>
      <c r="D7">
        <v>13</v>
      </c>
    </row>
    <row r="8" spans="1:4" x14ac:dyDescent="0.35">
      <c r="A8">
        <v>2009</v>
      </c>
      <c r="B8" t="s">
        <v>36</v>
      </c>
      <c r="C8" t="s">
        <v>44</v>
      </c>
      <c r="D8">
        <v>11</v>
      </c>
    </row>
    <row r="9" spans="1:4" x14ac:dyDescent="0.35">
      <c r="A9">
        <v>2009</v>
      </c>
      <c r="B9" t="s">
        <v>38</v>
      </c>
      <c r="C9" t="s">
        <v>45</v>
      </c>
      <c r="D9">
        <v>120</v>
      </c>
    </row>
    <row r="10" spans="1:4" x14ac:dyDescent="0.35">
      <c r="A10">
        <v>2009</v>
      </c>
      <c r="B10" t="s">
        <v>34</v>
      </c>
      <c r="C10" t="s">
        <v>46</v>
      </c>
      <c r="D10">
        <v>18</v>
      </c>
    </row>
    <row r="11" spans="1:4" x14ac:dyDescent="0.35">
      <c r="A11">
        <v>2009</v>
      </c>
      <c r="B11" t="s">
        <v>37</v>
      </c>
      <c r="C11" t="s">
        <v>47</v>
      </c>
      <c r="D11">
        <v>423</v>
      </c>
    </row>
    <row r="12" spans="1:4" x14ac:dyDescent="0.35">
      <c r="A12">
        <v>2009</v>
      </c>
      <c r="B12" t="s">
        <v>35</v>
      </c>
      <c r="C12" t="s">
        <v>48</v>
      </c>
      <c r="D12">
        <v>82</v>
      </c>
    </row>
    <row r="13" spans="1:4" x14ac:dyDescent="0.35">
      <c r="A13">
        <v>2009</v>
      </c>
      <c r="B13" t="s">
        <v>34</v>
      </c>
      <c r="C13" t="s">
        <v>49</v>
      </c>
      <c r="D13">
        <v>40</v>
      </c>
    </row>
    <row r="14" spans="1:4" x14ac:dyDescent="0.35">
      <c r="A14">
        <v>2009</v>
      </c>
      <c r="B14" t="s">
        <v>36</v>
      </c>
      <c r="C14" t="s">
        <v>50</v>
      </c>
      <c r="D14">
        <v>314</v>
      </c>
    </row>
    <row r="15" spans="1:4" x14ac:dyDescent="0.35">
      <c r="A15">
        <v>2009</v>
      </c>
      <c r="B15" t="s">
        <v>34</v>
      </c>
      <c r="C15" t="s">
        <v>51</v>
      </c>
      <c r="D15" t="s">
        <v>205</v>
      </c>
    </row>
    <row r="16" spans="1:4" x14ac:dyDescent="0.35">
      <c r="A16">
        <v>2009</v>
      </c>
      <c r="B16" t="s">
        <v>34</v>
      </c>
      <c r="C16" t="s">
        <v>52</v>
      </c>
      <c r="D16">
        <v>310</v>
      </c>
    </row>
    <row r="17" spans="1:4" x14ac:dyDescent="0.35">
      <c r="A17">
        <v>2009</v>
      </c>
      <c r="B17" t="s">
        <v>36</v>
      </c>
      <c r="C17" t="s">
        <v>53</v>
      </c>
      <c r="D17">
        <v>47</v>
      </c>
    </row>
    <row r="18" spans="1:4" x14ac:dyDescent="0.35">
      <c r="A18">
        <v>2009</v>
      </c>
      <c r="B18" t="s">
        <v>35</v>
      </c>
      <c r="C18" t="s">
        <v>54</v>
      </c>
      <c r="D18">
        <v>91</v>
      </c>
    </row>
    <row r="19" spans="1:4" x14ac:dyDescent="0.35">
      <c r="A19">
        <v>2009</v>
      </c>
      <c r="B19" t="s">
        <v>35</v>
      </c>
      <c r="C19" t="s">
        <v>55</v>
      </c>
      <c r="D19">
        <v>124</v>
      </c>
    </row>
    <row r="20" spans="1:4" x14ac:dyDescent="0.35">
      <c r="A20">
        <v>2009</v>
      </c>
      <c r="B20" t="s">
        <v>36</v>
      </c>
      <c r="C20" t="s">
        <v>56</v>
      </c>
      <c r="D20">
        <v>65</v>
      </c>
    </row>
    <row r="21" spans="1:4" x14ac:dyDescent="0.35">
      <c r="A21">
        <v>2009</v>
      </c>
      <c r="B21" t="s">
        <v>33</v>
      </c>
      <c r="C21" t="s">
        <v>57</v>
      </c>
      <c r="D21">
        <v>43</v>
      </c>
    </row>
    <row r="22" spans="1:4" x14ac:dyDescent="0.35">
      <c r="A22">
        <v>2009</v>
      </c>
      <c r="B22" t="s">
        <v>36</v>
      </c>
      <c r="C22" t="s">
        <v>363</v>
      </c>
      <c r="D22">
        <v>78</v>
      </c>
    </row>
    <row r="23" spans="1:4" x14ac:dyDescent="0.35">
      <c r="A23">
        <v>2009</v>
      </c>
      <c r="B23" t="s">
        <v>38</v>
      </c>
      <c r="C23" t="s">
        <v>59</v>
      </c>
      <c r="D23">
        <v>90</v>
      </c>
    </row>
    <row r="24" spans="1:4" x14ac:dyDescent="0.35">
      <c r="A24">
        <v>2009</v>
      </c>
      <c r="B24" t="s">
        <v>35</v>
      </c>
      <c r="C24" t="s">
        <v>60</v>
      </c>
      <c r="D24">
        <v>32</v>
      </c>
    </row>
    <row r="25" spans="1:4" x14ac:dyDescent="0.35">
      <c r="A25">
        <v>2009</v>
      </c>
      <c r="B25" t="s">
        <v>38</v>
      </c>
      <c r="C25" t="s">
        <v>21</v>
      </c>
      <c r="D25">
        <v>773</v>
      </c>
    </row>
    <row r="26" spans="1:4" x14ac:dyDescent="0.35">
      <c r="A26">
        <v>2009</v>
      </c>
      <c r="B26" t="s">
        <v>36</v>
      </c>
      <c r="C26" t="s">
        <v>364</v>
      </c>
      <c r="D26">
        <v>42</v>
      </c>
    </row>
    <row r="27" spans="1:4" x14ac:dyDescent="0.35">
      <c r="A27">
        <v>2009</v>
      </c>
      <c r="B27" t="s">
        <v>35</v>
      </c>
      <c r="C27" t="s">
        <v>62</v>
      </c>
      <c r="D27">
        <v>296</v>
      </c>
    </row>
    <row r="28" spans="1:4" x14ac:dyDescent="0.35">
      <c r="A28">
        <v>2009</v>
      </c>
      <c r="B28" t="s">
        <v>33</v>
      </c>
      <c r="C28" t="s">
        <v>63</v>
      </c>
      <c r="D28">
        <v>15</v>
      </c>
    </row>
    <row r="29" spans="1:4" x14ac:dyDescent="0.35">
      <c r="A29">
        <v>2009</v>
      </c>
      <c r="B29" t="s">
        <v>34</v>
      </c>
      <c r="C29" t="s">
        <v>64</v>
      </c>
      <c r="D29">
        <v>3783</v>
      </c>
    </row>
    <row r="30" spans="1:4" x14ac:dyDescent="0.35">
      <c r="A30">
        <v>2009</v>
      </c>
      <c r="B30" t="s">
        <v>33</v>
      </c>
      <c r="C30" t="s">
        <v>65</v>
      </c>
      <c r="D30">
        <v>9</v>
      </c>
    </row>
    <row r="31" spans="1:4" x14ac:dyDescent="0.35">
      <c r="A31">
        <v>2009</v>
      </c>
      <c r="B31" t="s">
        <v>34</v>
      </c>
      <c r="C31" t="s">
        <v>67</v>
      </c>
      <c r="D31">
        <v>21</v>
      </c>
    </row>
    <row r="32" spans="1:4" x14ac:dyDescent="0.35">
      <c r="A32">
        <v>2009</v>
      </c>
      <c r="B32" t="s">
        <v>33</v>
      </c>
      <c r="C32" t="s">
        <v>68</v>
      </c>
      <c r="D32">
        <v>54</v>
      </c>
    </row>
    <row r="33" spans="1:4" x14ac:dyDescent="0.35">
      <c r="A33">
        <v>2009</v>
      </c>
      <c r="B33" t="s">
        <v>36</v>
      </c>
      <c r="C33" t="s">
        <v>69</v>
      </c>
      <c r="D33">
        <v>25373</v>
      </c>
    </row>
    <row r="34" spans="1:4" x14ac:dyDescent="0.35">
      <c r="A34">
        <v>2009</v>
      </c>
      <c r="B34" t="s">
        <v>33</v>
      </c>
      <c r="C34" t="s">
        <v>66</v>
      </c>
      <c r="D34">
        <v>35</v>
      </c>
    </row>
    <row r="35" spans="1:4" x14ac:dyDescent="0.35">
      <c r="A35">
        <v>2009</v>
      </c>
      <c r="B35" t="s">
        <v>36</v>
      </c>
      <c r="C35" t="s">
        <v>365</v>
      </c>
      <c r="D35">
        <v>15</v>
      </c>
    </row>
    <row r="36" spans="1:4" x14ac:dyDescent="0.35">
      <c r="A36">
        <v>2009</v>
      </c>
      <c r="B36" t="s">
        <v>38</v>
      </c>
      <c r="C36" t="s">
        <v>72</v>
      </c>
      <c r="D36">
        <v>140</v>
      </c>
    </row>
    <row r="37" spans="1:4" x14ac:dyDescent="0.35">
      <c r="A37">
        <v>2009</v>
      </c>
      <c r="B37" t="s">
        <v>34</v>
      </c>
      <c r="C37" t="s">
        <v>73</v>
      </c>
      <c r="D37">
        <v>15155</v>
      </c>
    </row>
    <row r="38" spans="1:4" x14ac:dyDescent="0.35">
      <c r="A38">
        <v>2009</v>
      </c>
      <c r="B38" t="s">
        <v>38</v>
      </c>
      <c r="C38" t="s">
        <v>20</v>
      </c>
      <c r="D38">
        <v>893</v>
      </c>
    </row>
    <row r="39" spans="1:4" x14ac:dyDescent="0.35">
      <c r="A39">
        <v>2009</v>
      </c>
      <c r="B39" t="s">
        <v>33</v>
      </c>
      <c r="C39" t="s">
        <v>74</v>
      </c>
      <c r="D39" t="s">
        <v>205</v>
      </c>
    </row>
    <row r="40" spans="1:4" x14ac:dyDescent="0.35">
      <c r="A40">
        <v>2009</v>
      </c>
      <c r="B40" t="s">
        <v>33</v>
      </c>
      <c r="C40" t="s">
        <v>75</v>
      </c>
      <c r="D40">
        <v>50</v>
      </c>
    </row>
    <row r="41" spans="1:4" x14ac:dyDescent="0.35">
      <c r="A41">
        <v>2009</v>
      </c>
      <c r="B41" t="s">
        <v>36</v>
      </c>
      <c r="C41" t="s">
        <v>76</v>
      </c>
      <c r="D41">
        <v>163</v>
      </c>
    </row>
    <row r="42" spans="1:4" x14ac:dyDescent="0.35">
      <c r="A42">
        <v>2009</v>
      </c>
      <c r="B42" t="s">
        <v>33</v>
      </c>
      <c r="C42" t="s">
        <v>77</v>
      </c>
      <c r="D42">
        <v>45</v>
      </c>
    </row>
    <row r="43" spans="1:4" x14ac:dyDescent="0.35">
      <c r="A43">
        <v>2009</v>
      </c>
      <c r="B43" t="s">
        <v>35</v>
      </c>
      <c r="C43" t="s">
        <v>78</v>
      </c>
      <c r="D43">
        <v>121</v>
      </c>
    </row>
    <row r="44" spans="1:4" x14ac:dyDescent="0.35">
      <c r="A44">
        <v>2009</v>
      </c>
      <c r="B44" t="s">
        <v>36</v>
      </c>
      <c r="C44" t="s">
        <v>79</v>
      </c>
      <c r="D44">
        <v>85</v>
      </c>
    </row>
    <row r="45" spans="1:4" x14ac:dyDescent="0.35">
      <c r="A45">
        <v>2009</v>
      </c>
      <c r="B45" t="s">
        <v>34</v>
      </c>
      <c r="C45" t="s">
        <v>80</v>
      </c>
      <c r="D45">
        <v>16</v>
      </c>
    </row>
    <row r="46" spans="1:4" x14ac:dyDescent="0.35">
      <c r="A46">
        <v>2009</v>
      </c>
      <c r="B46" t="s">
        <v>35</v>
      </c>
      <c r="C46" t="s">
        <v>81</v>
      </c>
      <c r="D46">
        <v>100</v>
      </c>
    </row>
    <row r="47" spans="1:4" x14ac:dyDescent="0.35">
      <c r="A47">
        <v>2009</v>
      </c>
      <c r="B47" t="s">
        <v>35</v>
      </c>
      <c r="C47" t="s">
        <v>214</v>
      </c>
      <c r="D47">
        <v>82</v>
      </c>
    </row>
    <row r="48" spans="1:4" x14ac:dyDescent="0.35">
      <c r="A48">
        <v>2009</v>
      </c>
      <c r="B48" t="s">
        <v>35</v>
      </c>
      <c r="C48" t="s">
        <v>82</v>
      </c>
      <c r="D48">
        <v>97</v>
      </c>
    </row>
    <row r="49" spans="1:4" x14ac:dyDescent="0.35">
      <c r="A49">
        <v>2009</v>
      </c>
      <c r="B49" t="s">
        <v>36</v>
      </c>
      <c r="C49" t="s">
        <v>84</v>
      </c>
      <c r="D49">
        <v>59</v>
      </c>
    </row>
    <row r="50" spans="1:4" x14ac:dyDescent="0.35">
      <c r="A50">
        <v>2009</v>
      </c>
      <c r="B50" t="s">
        <v>36</v>
      </c>
      <c r="C50" t="s">
        <v>85</v>
      </c>
      <c r="D50">
        <v>786</v>
      </c>
    </row>
    <row r="51" spans="1:4" x14ac:dyDescent="0.35">
      <c r="A51">
        <v>2009</v>
      </c>
      <c r="B51" t="s">
        <v>38</v>
      </c>
      <c r="C51" t="s">
        <v>86</v>
      </c>
      <c r="D51">
        <v>411</v>
      </c>
    </row>
    <row r="52" spans="1:4" x14ac:dyDescent="0.35">
      <c r="A52">
        <v>2009</v>
      </c>
      <c r="B52" t="s">
        <v>33</v>
      </c>
      <c r="C52" t="s">
        <v>87</v>
      </c>
      <c r="D52">
        <v>454</v>
      </c>
    </row>
    <row r="53" spans="1:4" x14ac:dyDescent="0.35">
      <c r="A53">
        <v>2009</v>
      </c>
      <c r="B53" t="s">
        <v>36</v>
      </c>
      <c r="C53" t="s">
        <v>16</v>
      </c>
      <c r="D53">
        <v>1072</v>
      </c>
    </row>
    <row r="54" spans="1:4" x14ac:dyDescent="0.35">
      <c r="A54">
        <v>2009</v>
      </c>
      <c r="B54" t="s">
        <v>33</v>
      </c>
      <c r="C54" t="s">
        <v>89</v>
      </c>
      <c r="D54">
        <v>10</v>
      </c>
    </row>
    <row r="55" spans="1:4" x14ac:dyDescent="0.35">
      <c r="A55">
        <v>2009</v>
      </c>
      <c r="B55" t="s">
        <v>35</v>
      </c>
      <c r="C55" t="s">
        <v>90</v>
      </c>
      <c r="D55">
        <v>70</v>
      </c>
    </row>
    <row r="56" spans="1:4" x14ac:dyDescent="0.35">
      <c r="A56">
        <v>2009</v>
      </c>
      <c r="B56" t="s">
        <v>33</v>
      </c>
      <c r="C56" t="s">
        <v>91</v>
      </c>
      <c r="D56">
        <v>73</v>
      </c>
    </row>
    <row r="57" spans="1:4" x14ac:dyDescent="0.35">
      <c r="A57">
        <v>2009</v>
      </c>
      <c r="B57" t="s">
        <v>37</v>
      </c>
      <c r="C57" t="s">
        <v>92</v>
      </c>
      <c r="D57">
        <v>333</v>
      </c>
    </row>
    <row r="58" spans="1:4" x14ac:dyDescent="0.35">
      <c r="A58">
        <v>2009</v>
      </c>
      <c r="B58" t="s">
        <v>35</v>
      </c>
      <c r="C58" t="s">
        <v>93</v>
      </c>
      <c r="D58">
        <v>79</v>
      </c>
    </row>
    <row r="59" spans="1:4" x14ac:dyDescent="0.35">
      <c r="A59">
        <v>2009</v>
      </c>
      <c r="B59" t="s">
        <v>35</v>
      </c>
      <c r="C59" t="s">
        <v>94</v>
      </c>
      <c r="D59">
        <v>917</v>
      </c>
    </row>
    <row r="60" spans="1:4" x14ac:dyDescent="0.35">
      <c r="A60">
        <v>2009</v>
      </c>
      <c r="B60" t="s">
        <v>33</v>
      </c>
      <c r="C60" t="s">
        <v>95</v>
      </c>
      <c r="D60">
        <v>11</v>
      </c>
    </row>
    <row r="61" spans="1:4" x14ac:dyDescent="0.35">
      <c r="A61">
        <v>2009</v>
      </c>
      <c r="B61" t="s">
        <v>33</v>
      </c>
      <c r="C61" t="s">
        <v>96</v>
      </c>
      <c r="D61">
        <v>14</v>
      </c>
    </row>
    <row r="62" spans="1:4" x14ac:dyDescent="0.35">
      <c r="A62">
        <v>2009</v>
      </c>
      <c r="B62" t="s">
        <v>34</v>
      </c>
      <c r="C62" t="s">
        <v>8</v>
      </c>
      <c r="D62">
        <v>378</v>
      </c>
    </row>
    <row r="63" spans="1:4" x14ac:dyDescent="0.35">
      <c r="A63">
        <v>2009</v>
      </c>
      <c r="B63" t="s">
        <v>35</v>
      </c>
      <c r="C63" t="s">
        <v>97</v>
      </c>
      <c r="D63">
        <v>690</v>
      </c>
    </row>
    <row r="64" spans="1:4" x14ac:dyDescent="0.35">
      <c r="A64">
        <v>2009</v>
      </c>
      <c r="B64" t="s">
        <v>33</v>
      </c>
      <c r="C64" t="s">
        <v>98</v>
      </c>
      <c r="D64">
        <v>231</v>
      </c>
    </row>
    <row r="65" spans="1:4" x14ac:dyDescent="0.35">
      <c r="A65">
        <v>2009</v>
      </c>
      <c r="B65" t="s">
        <v>35</v>
      </c>
      <c r="C65" t="s">
        <v>99</v>
      </c>
      <c r="D65">
        <v>311</v>
      </c>
    </row>
    <row r="66" spans="1:4" x14ac:dyDescent="0.35">
      <c r="A66">
        <v>2009</v>
      </c>
      <c r="B66" t="s">
        <v>36</v>
      </c>
      <c r="C66" t="s">
        <v>100</v>
      </c>
      <c r="D66">
        <v>36</v>
      </c>
    </row>
    <row r="67" spans="1:4" x14ac:dyDescent="0.35">
      <c r="A67">
        <v>2009</v>
      </c>
      <c r="B67" t="s">
        <v>36</v>
      </c>
      <c r="C67" t="s">
        <v>15</v>
      </c>
      <c r="D67">
        <v>1860</v>
      </c>
    </row>
    <row r="68" spans="1:4" x14ac:dyDescent="0.35">
      <c r="A68">
        <v>2009</v>
      </c>
      <c r="B68" t="s">
        <v>33</v>
      </c>
      <c r="C68" t="s">
        <v>101</v>
      </c>
      <c r="D68">
        <v>29</v>
      </c>
    </row>
    <row r="69" spans="1:4" x14ac:dyDescent="0.35">
      <c r="A69">
        <v>2009</v>
      </c>
      <c r="B69" t="s">
        <v>38</v>
      </c>
      <c r="C69" t="s">
        <v>103</v>
      </c>
      <c r="D69">
        <v>192</v>
      </c>
    </row>
    <row r="70" spans="1:4" x14ac:dyDescent="0.35">
      <c r="A70">
        <v>2009</v>
      </c>
      <c r="B70" t="s">
        <v>36</v>
      </c>
      <c r="C70" t="s">
        <v>104</v>
      </c>
      <c r="D70">
        <v>272</v>
      </c>
    </row>
    <row r="71" spans="1:4" x14ac:dyDescent="0.35">
      <c r="A71">
        <v>2009</v>
      </c>
      <c r="B71" t="s">
        <v>36</v>
      </c>
      <c r="C71" t="s">
        <v>17</v>
      </c>
      <c r="D71">
        <v>1354</v>
      </c>
    </row>
    <row r="72" spans="1:4" x14ac:dyDescent="0.35">
      <c r="A72">
        <v>2009</v>
      </c>
      <c r="B72" t="s">
        <v>34</v>
      </c>
      <c r="C72" t="s">
        <v>368</v>
      </c>
      <c r="D72">
        <v>137</v>
      </c>
    </row>
    <row r="73" spans="1:4" x14ac:dyDescent="0.35">
      <c r="A73">
        <v>2009</v>
      </c>
      <c r="B73" t="s">
        <v>35</v>
      </c>
      <c r="C73" t="s">
        <v>105</v>
      </c>
      <c r="D73">
        <v>176</v>
      </c>
    </row>
    <row r="74" spans="1:4" x14ac:dyDescent="0.35">
      <c r="A74">
        <v>2009</v>
      </c>
      <c r="B74" t="s">
        <v>35</v>
      </c>
      <c r="C74" t="s">
        <v>106</v>
      </c>
      <c r="D74">
        <v>17</v>
      </c>
    </row>
    <row r="75" spans="1:4" x14ac:dyDescent="0.35">
      <c r="A75">
        <v>2009</v>
      </c>
      <c r="B75" t="s">
        <v>34</v>
      </c>
      <c r="C75" t="s">
        <v>22</v>
      </c>
      <c r="D75">
        <v>4233</v>
      </c>
    </row>
    <row r="76" spans="1:4" x14ac:dyDescent="0.35">
      <c r="A76">
        <v>2009</v>
      </c>
      <c r="B76" t="s">
        <v>34</v>
      </c>
      <c r="C76" t="s">
        <v>107</v>
      </c>
      <c r="D76">
        <v>2685</v>
      </c>
    </row>
    <row r="77" spans="1:4" x14ac:dyDescent="0.35">
      <c r="A77">
        <v>2009</v>
      </c>
      <c r="B77" t="s">
        <v>34</v>
      </c>
      <c r="C77" t="s">
        <v>108</v>
      </c>
      <c r="D77">
        <v>304</v>
      </c>
    </row>
    <row r="78" spans="1:4" x14ac:dyDescent="0.35">
      <c r="A78">
        <v>2009</v>
      </c>
      <c r="B78" t="s">
        <v>34</v>
      </c>
      <c r="C78" t="s">
        <v>109</v>
      </c>
      <c r="D78">
        <v>71</v>
      </c>
    </row>
    <row r="79" spans="1:4" x14ac:dyDescent="0.35">
      <c r="A79">
        <v>2009</v>
      </c>
      <c r="B79" t="s">
        <v>35</v>
      </c>
      <c r="C79" t="s">
        <v>110</v>
      </c>
      <c r="D79">
        <v>300</v>
      </c>
    </row>
    <row r="80" spans="1:4" x14ac:dyDescent="0.35">
      <c r="A80">
        <v>2009</v>
      </c>
      <c r="B80" t="s">
        <v>34</v>
      </c>
      <c r="C80" t="s">
        <v>111</v>
      </c>
      <c r="D80">
        <v>495</v>
      </c>
    </row>
    <row r="81" spans="1:4" x14ac:dyDescent="0.35">
      <c r="A81">
        <v>2009</v>
      </c>
      <c r="B81" t="s">
        <v>35</v>
      </c>
      <c r="C81" t="s">
        <v>112</v>
      </c>
      <c r="D81">
        <v>790</v>
      </c>
    </row>
    <row r="82" spans="1:4" x14ac:dyDescent="0.35">
      <c r="A82">
        <v>2009</v>
      </c>
      <c r="B82" t="s">
        <v>36</v>
      </c>
      <c r="C82" t="s">
        <v>113</v>
      </c>
      <c r="D82">
        <v>555</v>
      </c>
    </row>
    <row r="83" spans="1:4" x14ac:dyDescent="0.35">
      <c r="A83">
        <v>2009</v>
      </c>
      <c r="B83" t="s">
        <v>34</v>
      </c>
      <c r="C83" t="s">
        <v>114</v>
      </c>
      <c r="D83">
        <v>461</v>
      </c>
    </row>
    <row r="84" spans="1:4" x14ac:dyDescent="0.35">
      <c r="A84">
        <v>2009</v>
      </c>
      <c r="B84" t="s">
        <v>34</v>
      </c>
      <c r="C84" t="s">
        <v>115</v>
      </c>
      <c r="D84">
        <v>197</v>
      </c>
    </row>
    <row r="85" spans="1:4" x14ac:dyDescent="0.35">
      <c r="A85">
        <v>2009</v>
      </c>
      <c r="B85" t="s">
        <v>34</v>
      </c>
      <c r="C85" t="s">
        <v>116</v>
      </c>
      <c r="D85">
        <v>31</v>
      </c>
    </row>
    <row r="86" spans="1:4" x14ac:dyDescent="0.35">
      <c r="A86">
        <v>2009</v>
      </c>
      <c r="B86" t="s">
        <v>33</v>
      </c>
      <c r="C86" t="s">
        <v>117</v>
      </c>
      <c r="D86">
        <v>96</v>
      </c>
    </row>
    <row r="87" spans="1:4" x14ac:dyDescent="0.35">
      <c r="A87">
        <v>2009</v>
      </c>
      <c r="B87" t="s">
        <v>37</v>
      </c>
      <c r="C87" t="s">
        <v>390</v>
      </c>
      <c r="D87">
        <v>63</v>
      </c>
    </row>
    <row r="88" spans="1:4" x14ac:dyDescent="0.35">
      <c r="A88">
        <v>2009</v>
      </c>
      <c r="B88" t="s">
        <v>34</v>
      </c>
      <c r="C88" t="s">
        <v>118</v>
      </c>
      <c r="D88">
        <v>1634</v>
      </c>
    </row>
    <row r="89" spans="1:4" x14ac:dyDescent="0.35">
      <c r="A89">
        <v>2009</v>
      </c>
      <c r="B89" t="s">
        <v>35</v>
      </c>
      <c r="C89" t="s">
        <v>119</v>
      </c>
      <c r="D89">
        <v>8</v>
      </c>
    </row>
    <row r="90" spans="1:4" x14ac:dyDescent="0.35">
      <c r="A90">
        <v>2009</v>
      </c>
      <c r="B90" t="s">
        <v>34</v>
      </c>
      <c r="C90" t="s">
        <v>120</v>
      </c>
      <c r="D90">
        <v>36</v>
      </c>
    </row>
    <row r="91" spans="1:4" x14ac:dyDescent="0.35">
      <c r="A91">
        <v>2009</v>
      </c>
      <c r="B91" t="s">
        <v>34</v>
      </c>
      <c r="C91" t="s">
        <v>121</v>
      </c>
      <c r="D91">
        <v>13</v>
      </c>
    </row>
    <row r="92" spans="1:4" x14ac:dyDescent="0.35">
      <c r="A92">
        <v>2009</v>
      </c>
      <c r="B92" t="s">
        <v>34</v>
      </c>
      <c r="C92" t="s">
        <v>122</v>
      </c>
      <c r="D92">
        <v>21</v>
      </c>
    </row>
    <row r="93" spans="1:4" x14ac:dyDescent="0.35">
      <c r="A93">
        <v>2009</v>
      </c>
      <c r="B93" t="s">
        <v>35</v>
      </c>
      <c r="C93" t="s">
        <v>123</v>
      </c>
      <c r="D93">
        <v>322</v>
      </c>
    </row>
    <row r="94" spans="1:4" x14ac:dyDescent="0.35">
      <c r="A94">
        <v>2009</v>
      </c>
      <c r="B94" t="s">
        <v>34</v>
      </c>
      <c r="C94" t="s">
        <v>124</v>
      </c>
      <c r="D94">
        <v>204</v>
      </c>
    </row>
    <row r="95" spans="1:4" x14ac:dyDescent="0.35">
      <c r="A95">
        <v>2009</v>
      </c>
      <c r="B95" t="s">
        <v>33</v>
      </c>
      <c r="C95" t="s">
        <v>125</v>
      </c>
      <c r="D95">
        <v>39</v>
      </c>
    </row>
    <row r="96" spans="1:4" x14ac:dyDescent="0.35">
      <c r="A96">
        <v>2009</v>
      </c>
      <c r="B96" t="s">
        <v>33</v>
      </c>
      <c r="C96" t="s">
        <v>126</v>
      </c>
      <c r="D96">
        <v>59</v>
      </c>
    </row>
    <row r="97" spans="1:4" x14ac:dyDescent="0.35">
      <c r="A97">
        <v>2009</v>
      </c>
      <c r="B97" t="s">
        <v>35</v>
      </c>
      <c r="C97" t="s">
        <v>127</v>
      </c>
      <c r="D97">
        <v>703</v>
      </c>
    </row>
    <row r="98" spans="1:4" x14ac:dyDescent="0.35">
      <c r="A98">
        <v>2009</v>
      </c>
      <c r="B98" t="s">
        <v>35</v>
      </c>
      <c r="C98" t="s">
        <v>322</v>
      </c>
      <c r="D98">
        <v>39</v>
      </c>
    </row>
    <row r="99" spans="1:4" x14ac:dyDescent="0.35">
      <c r="A99">
        <v>2009</v>
      </c>
      <c r="B99" t="s">
        <v>33</v>
      </c>
      <c r="C99" t="s">
        <v>129</v>
      </c>
      <c r="D99">
        <v>7</v>
      </c>
    </row>
    <row r="100" spans="1:4" x14ac:dyDescent="0.35">
      <c r="A100">
        <v>2009</v>
      </c>
      <c r="B100" t="s">
        <v>34</v>
      </c>
      <c r="C100" t="s">
        <v>131</v>
      </c>
      <c r="D100">
        <v>267</v>
      </c>
    </row>
    <row r="101" spans="1:4" x14ac:dyDescent="0.35">
      <c r="A101">
        <v>2009</v>
      </c>
      <c r="B101" t="s">
        <v>34</v>
      </c>
      <c r="C101" t="s">
        <v>389</v>
      </c>
      <c r="D101">
        <v>125</v>
      </c>
    </row>
    <row r="102" spans="1:4" x14ac:dyDescent="0.35">
      <c r="A102">
        <v>2009</v>
      </c>
      <c r="B102" t="s">
        <v>33</v>
      </c>
      <c r="C102" t="s">
        <v>132</v>
      </c>
      <c r="D102">
        <v>25</v>
      </c>
    </row>
    <row r="103" spans="1:4" x14ac:dyDescent="0.35">
      <c r="A103">
        <v>2009</v>
      </c>
      <c r="B103" t="s">
        <v>35</v>
      </c>
      <c r="C103" t="s">
        <v>133</v>
      </c>
      <c r="D103">
        <v>9</v>
      </c>
    </row>
    <row r="104" spans="1:4" x14ac:dyDescent="0.35">
      <c r="A104">
        <v>2009</v>
      </c>
      <c r="B104" t="s">
        <v>37</v>
      </c>
      <c r="C104" t="s">
        <v>134</v>
      </c>
      <c r="D104">
        <v>27</v>
      </c>
    </row>
    <row r="105" spans="1:4" x14ac:dyDescent="0.35">
      <c r="A105">
        <v>2009</v>
      </c>
      <c r="B105" t="s">
        <v>33</v>
      </c>
      <c r="C105" t="s">
        <v>136</v>
      </c>
      <c r="D105">
        <v>158</v>
      </c>
    </row>
    <row r="106" spans="1:4" x14ac:dyDescent="0.35">
      <c r="A106">
        <v>2009</v>
      </c>
      <c r="B106" t="s">
        <v>36</v>
      </c>
      <c r="C106" t="s">
        <v>14</v>
      </c>
      <c r="D106">
        <v>468699</v>
      </c>
    </row>
    <row r="107" spans="1:4" x14ac:dyDescent="0.35">
      <c r="A107">
        <v>2009</v>
      </c>
      <c r="B107" t="s">
        <v>37</v>
      </c>
      <c r="C107" t="s">
        <v>137</v>
      </c>
      <c r="D107">
        <v>13</v>
      </c>
    </row>
    <row r="108" spans="1:4" x14ac:dyDescent="0.35">
      <c r="A108">
        <v>2009</v>
      </c>
      <c r="B108" t="s">
        <v>35</v>
      </c>
      <c r="C108" t="s">
        <v>138</v>
      </c>
      <c r="D108">
        <v>53</v>
      </c>
    </row>
    <row r="109" spans="1:4" x14ac:dyDescent="0.35">
      <c r="A109">
        <v>2009</v>
      </c>
      <c r="B109" t="s">
        <v>34</v>
      </c>
      <c r="C109" t="s">
        <v>139</v>
      </c>
      <c r="D109">
        <v>39</v>
      </c>
    </row>
    <row r="110" spans="1:4" x14ac:dyDescent="0.35">
      <c r="A110">
        <v>2009</v>
      </c>
      <c r="B110" t="s">
        <v>35</v>
      </c>
      <c r="C110" t="s">
        <v>140</v>
      </c>
    </row>
    <row r="111" spans="1:4" x14ac:dyDescent="0.35">
      <c r="A111">
        <v>2009</v>
      </c>
      <c r="B111" t="s">
        <v>33</v>
      </c>
      <c r="C111" t="s">
        <v>141</v>
      </c>
      <c r="D111">
        <v>156</v>
      </c>
    </row>
    <row r="112" spans="1:4" x14ac:dyDescent="0.35">
      <c r="A112">
        <v>2009</v>
      </c>
      <c r="B112" t="s">
        <v>34</v>
      </c>
      <c r="C112" t="s">
        <v>144</v>
      </c>
      <c r="D112">
        <v>52</v>
      </c>
    </row>
    <row r="113" spans="1:4" x14ac:dyDescent="0.35">
      <c r="A113">
        <v>2009</v>
      </c>
      <c r="B113" t="s">
        <v>35</v>
      </c>
      <c r="C113" t="s">
        <v>145</v>
      </c>
      <c r="D113">
        <v>392</v>
      </c>
    </row>
    <row r="114" spans="1:4" x14ac:dyDescent="0.35">
      <c r="A114">
        <v>2009</v>
      </c>
      <c r="B114" t="s">
        <v>36</v>
      </c>
      <c r="C114" t="s">
        <v>371</v>
      </c>
      <c r="D114">
        <v>6</v>
      </c>
    </row>
    <row r="115" spans="1:4" x14ac:dyDescent="0.35">
      <c r="A115">
        <v>2009</v>
      </c>
      <c r="B115" t="s">
        <v>37</v>
      </c>
      <c r="C115" t="s">
        <v>146</v>
      </c>
      <c r="D115">
        <v>128</v>
      </c>
    </row>
    <row r="116" spans="1:4" x14ac:dyDescent="0.35">
      <c r="A116">
        <v>2009</v>
      </c>
      <c r="B116" t="s">
        <v>36</v>
      </c>
      <c r="C116" t="s">
        <v>147</v>
      </c>
      <c r="D116">
        <v>175</v>
      </c>
    </row>
    <row r="117" spans="1:4" x14ac:dyDescent="0.35">
      <c r="A117">
        <v>2009</v>
      </c>
      <c r="B117" t="s">
        <v>33</v>
      </c>
      <c r="C117" t="s">
        <v>148</v>
      </c>
      <c r="D117">
        <v>21</v>
      </c>
    </row>
    <row r="118" spans="1:4" x14ac:dyDescent="0.35">
      <c r="A118">
        <v>2009</v>
      </c>
      <c r="B118" t="s">
        <v>33</v>
      </c>
      <c r="C118" t="s">
        <v>149</v>
      </c>
      <c r="D118">
        <v>298</v>
      </c>
    </row>
    <row r="119" spans="1:4" x14ac:dyDescent="0.35">
      <c r="A119">
        <v>2009</v>
      </c>
      <c r="B119" t="s">
        <v>35</v>
      </c>
      <c r="C119" t="s">
        <v>150</v>
      </c>
      <c r="D119">
        <v>124</v>
      </c>
    </row>
    <row r="120" spans="1:4" x14ac:dyDescent="0.35">
      <c r="A120">
        <v>2009</v>
      </c>
      <c r="B120" t="s">
        <v>34</v>
      </c>
      <c r="C120" t="s">
        <v>152</v>
      </c>
      <c r="D120">
        <v>658</v>
      </c>
    </row>
    <row r="121" spans="1:4" x14ac:dyDescent="0.35">
      <c r="A121">
        <v>2009</v>
      </c>
      <c r="B121" t="s">
        <v>37</v>
      </c>
      <c r="C121" t="s">
        <v>153</v>
      </c>
      <c r="D121">
        <v>19</v>
      </c>
    </row>
    <row r="122" spans="1:4" x14ac:dyDescent="0.35">
      <c r="A122">
        <v>2009</v>
      </c>
      <c r="B122" t="s">
        <v>36</v>
      </c>
      <c r="C122" t="s">
        <v>154</v>
      </c>
      <c r="D122">
        <v>119</v>
      </c>
    </row>
    <row r="123" spans="1:4" x14ac:dyDescent="0.35">
      <c r="A123">
        <v>2009</v>
      </c>
      <c r="B123" t="s">
        <v>38</v>
      </c>
      <c r="C123" t="s">
        <v>155</v>
      </c>
      <c r="D123">
        <v>20</v>
      </c>
    </row>
    <row r="124" spans="1:4" x14ac:dyDescent="0.35">
      <c r="A124">
        <v>2009</v>
      </c>
      <c r="B124" t="s">
        <v>38</v>
      </c>
      <c r="C124" t="s">
        <v>156</v>
      </c>
      <c r="D124">
        <v>659</v>
      </c>
    </row>
    <row r="125" spans="1:4" x14ac:dyDescent="0.35">
      <c r="A125">
        <v>2009</v>
      </c>
      <c r="B125" t="s">
        <v>34</v>
      </c>
      <c r="C125" t="s">
        <v>18</v>
      </c>
      <c r="D125">
        <v>18823</v>
      </c>
    </row>
    <row r="126" spans="1:4" x14ac:dyDescent="0.35">
      <c r="A126">
        <v>2009</v>
      </c>
      <c r="B126" t="s">
        <v>35</v>
      </c>
      <c r="C126" t="s">
        <v>157</v>
      </c>
      <c r="D126">
        <v>920</v>
      </c>
    </row>
    <row r="127" spans="1:4" x14ac:dyDescent="0.35">
      <c r="A127">
        <v>2009</v>
      </c>
      <c r="B127" t="s">
        <v>35</v>
      </c>
      <c r="C127" t="s">
        <v>158</v>
      </c>
      <c r="D127">
        <v>211</v>
      </c>
    </row>
    <row r="128" spans="1:4" x14ac:dyDescent="0.35">
      <c r="A128">
        <v>2009</v>
      </c>
      <c r="B128" t="s">
        <v>34</v>
      </c>
      <c r="C128" t="s">
        <v>159</v>
      </c>
      <c r="D128">
        <v>5</v>
      </c>
    </row>
    <row r="129" spans="1:4" x14ac:dyDescent="0.35">
      <c r="A129">
        <v>2009</v>
      </c>
      <c r="B129" t="s">
        <v>35</v>
      </c>
      <c r="C129" t="s">
        <v>160</v>
      </c>
      <c r="D129">
        <v>893</v>
      </c>
    </row>
    <row r="130" spans="1:4" x14ac:dyDescent="0.35">
      <c r="A130">
        <v>2009</v>
      </c>
      <c r="B130" t="s">
        <v>35</v>
      </c>
      <c r="C130" t="s">
        <v>161</v>
      </c>
      <c r="D130">
        <v>3522</v>
      </c>
    </row>
    <row r="131" spans="1:4" x14ac:dyDescent="0.35">
      <c r="A131">
        <v>2009</v>
      </c>
      <c r="B131" t="s">
        <v>33</v>
      </c>
      <c r="C131" t="s">
        <v>162</v>
      </c>
      <c r="D131">
        <v>27</v>
      </c>
    </row>
    <row r="132" spans="1:4" x14ac:dyDescent="0.35">
      <c r="A132">
        <v>2009</v>
      </c>
      <c r="B132" t="s">
        <v>36</v>
      </c>
      <c r="C132" t="s">
        <v>163</v>
      </c>
      <c r="D132">
        <v>12</v>
      </c>
    </row>
    <row r="133" spans="1:4" x14ac:dyDescent="0.35">
      <c r="A133">
        <v>2009</v>
      </c>
      <c r="B133" t="s">
        <v>36</v>
      </c>
      <c r="C133" t="s">
        <v>164</v>
      </c>
      <c r="D133">
        <v>41</v>
      </c>
    </row>
    <row r="134" spans="1:4" x14ac:dyDescent="0.35">
      <c r="A134">
        <v>2009</v>
      </c>
      <c r="B134" t="s">
        <v>36</v>
      </c>
      <c r="C134" t="s">
        <v>165</v>
      </c>
      <c r="D134">
        <v>52</v>
      </c>
    </row>
    <row r="135" spans="1:4" x14ac:dyDescent="0.35">
      <c r="A135">
        <v>2009</v>
      </c>
      <c r="B135" t="s">
        <v>37</v>
      </c>
      <c r="C135" t="s">
        <v>166</v>
      </c>
      <c r="D135">
        <v>24</v>
      </c>
    </row>
    <row r="136" spans="1:4" x14ac:dyDescent="0.35">
      <c r="A136">
        <v>2009</v>
      </c>
      <c r="B136" t="s">
        <v>34</v>
      </c>
      <c r="C136" t="s">
        <v>167</v>
      </c>
      <c r="D136">
        <v>153</v>
      </c>
    </row>
    <row r="137" spans="1:4" x14ac:dyDescent="0.35">
      <c r="A137">
        <v>2009</v>
      </c>
      <c r="B137" t="s">
        <v>33</v>
      </c>
      <c r="C137" t="s">
        <v>168</v>
      </c>
      <c r="D137">
        <v>106</v>
      </c>
    </row>
    <row r="138" spans="1:4" x14ac:dyDescent="0.35">
      <c r="A138">
        <v>2009</v>
      </c>
      <c r="B138" t="s">
        <v>35</v>
      </c>
      <c r="C138" t="s">
        <v>169</v>
      </c>
    </row>
    <row r="139" spans="1:4" x14ac:dyDescent="0.35">
      <c r="A139">
        <v>2009</v>
      </c>
      <c r="B139" t="s">
        <v>35</v>
      </c>
      <c r="C139" t="s">
        <v>215</v>
      </c>
      <c r="D139">
        <v>135</v>
      </c>
    </row>
    <row r="140" spans="1:4" x14ac:dyDescent="0.35">
      <c r="A140">
        <v>2009</v>
      </c>
      <c r="B140" t="s">
        <v>33</v>
      </c>
      <c r="C140" t="s">
        <v>170</v>
      </c>
      <c r="D140">
        <v>16</v>
      </c>
    </row>
    <row r="141" spans="1:4" x14ac:dyDescent="0.35">
      <c r="A141">
        <v>2009</v>
      </c>
      <c r="B141" t="s">
        <v>34</v>
      </c>
      <c r="C141" t="s">
        <v>171</v>
      </c>
      <c r="D141">
        <v>91</v>
      </c>
    </row>
    <row r="142" spans="1:4" x14ac:dyDescent="0.35">
      <c r="A142">
        <v>2009</v>
      </c>
      <c r="B142" t="s">
        <v>35</v>
      </c>
      <c r="C142" t="s">
        <v>172</v>
      </c>
      <c r="D142">
        <v>98</v>
      </c>
    </row>
    <row r="143" spans="1:4" x14ac:dyDescent="0.35">
      <c r="A143">
        <v>2009</v>
      </c>
      <c r="B143" t="s">
        <v>35</v>
      </c>
      <c r="C143" t="s">
        <v>173</v>
      </c>
      <c r="D143">
        <v>21</v>
      </c>
    </row>
    <row r="144" spans="1:4" x14ac:dyDescent="0.35">
      <c r="A144">
        <v>2009</v>
      </c>
      <c r="B144" t="s">
        <v>37</v>
      </c>
      <c r="C144" t="s">
        <v>388</v>
      </c>
      <c r="D144">
        <v>12</v>
      </c>
    </row>
    <row r="145" spans="1:4" x14ac:dyDescent="0.35">
      <c r="A145">
        <v>2009</v>
      </c>
      <c r="B145" t="s">
        <v>33</v>
      </c>
      <c r="C145" t="s">
        <v>174</v>
      </c>
      <c r="D145">
        <v>23</v>
      </c>
    </row>
    <row r="146" spans="1:4" x14ac:dyDescent="0.35">
      <c r="A146">
        <v>2009</v>
      </c>
      <c r="B146" t="s">
        <v>33</v>
      </c>
      <c r="C146" t="s">
        <v>175</v>
      </c>
      <c r="D146">
        <v>223</v>
      </c>
    </row>
    <row r="147" spans="1:4" x14ac:dyDescent="0.35">
      <c r="A147">
        <v>2009</v>
      </c>
      <c r="B147" t="s">
        <v>35</v>
      </c>
      <c r="C147" t="s">
        <v>216</v>
      </c>
      <c r="D147">
        <v>94</v>
      </c>
    </row>
    <row r="148" spans="1:4" x14ac:dyDescent="0.35">
      <c r="A148">
        <v>2009</v>
      </c>
      <c r="B148" t="s">
        <v>35</v>
      </c>
      <c r="C148" t="s">
        <v>177</v>
      </c>
      <c r="D148">
        <v>348</v>
      </c>
    </row>
    <row r="149" spans="1:4" x14ac:dyDescent="0.35">
      <c r="A149">
        <v>2009</v>
      </c>
      <c r="B149" t="s">
        <v>34</v>
      </c>
      <c r="C149" t="s">
        <v>178</v>
      </c>
      <c r="D149">
        <v>342</v>
      </c>
    </row>
    <row r="150" spans="1:4" x14ac:dyDescent="0.35">
      <c r="A150">
        <v>2009</v>
      </c>
      <c r="B150" t="s">
        <v>33</v>
      </c>
      <c r="C150" t="s">
        <v>179</v>
      </c>
      <c r="D150">
        <v>23</v>
      </c>
    </row>
    <row r="151" spans="1:4" x14ac:dyDescent="0.35">
      <c r="A151">
        <v>2009</v>
      </c>
      <c r="B151" t="s">
        <v>35</v>
      </c>
      <c r="C151" t="s">
        <v>182</v>
      </c>
      <c r="D151">
        <v>157</v>
      </c>
    </row>
    <row r="152" spans="1:4" x14ac:dyDescent="0.35">
      <c r="A152">
        <v>2009</v>
      </c>
      <c r="B152" t="s">
        <v>35</v>
      </c>
      <c r="C152" t="s">
        <v>183</v>
      </c>
      <c r="D152">
        <v>94</v>
      </c>
    </row>
    <row r="153" spans="1:4" x14ac:dyDescent="0.35">
      <c r="A153">
        <v>2009</v>
      </c>
      <c r="B153" t="s">
        <v>34</v>
      </c>
      <c r="C153" t="s">
        <v>184</v>
      </c>
      <c r="D153">
        <v>56</v>
      </c>
    </row>
    <row r="154" spans="1:4" x14ac:dyDescent="0.35">
      <c r="A154">
        <v>2009</v>
      </c>
      <c r="B154" t="s">
        <v>34</v>
      </c>
      <c r="C154" t="s">
        <v>185</v>
      </c>
      <c r="D154">
        <v>325</v>
      </c>
    </row>
    <row r="155" spans="1:4" x14ac:dyDescent="0.35">
      <c r="A155">
        <v>2009</v>
      </c>
      <c r="B155" t="s">
        <v>34</v>
      </c>
      <c r="C155" t="s">
        <v>186</v>
      </c>
      <c r="D155">
        <v>27</v>
      </c>
    </row>
    <row r="156" spans="1:4" x14ac:dyDescent="0.35">
      <c r="A156">
        <v>2009</v>
      </c>
      <c r="B156" t="s">
        <v>33</v>
      </c>
      <c r="C156" t="s">
        <v>187</v>
      </c>
      <c r="D156">
        <v>351</v>
      </c>
    </row>
    <row r="157" spans="1:4" x14ac:dyDescent="0.35">
      <c r="A157">
        <v>2009</v>
      </c>
      <c r="B157" t="s">
        <v>34</v>
      </c>
      <c r="C157" t="s">
        <v>188</v>
      </c>
      <c r="D157">
        <v>394</v>
      </c>
    </row>
    <row r="158" spans="1:4" x14ac:dyDescent="0.35">
      <c r="A158">
        <v>2009</v>
      </c>
      <c r="B158" t="s">
        <v>33</v>
      </c>
      <c r="C158" t="s">
        <v>189</v>
      </c>
      <c r="D158">
        <v>40</v>
      </c>
    </row>
    <row r="159" spans="1:4" x14ac:dyDescent="0.35">
      <c r="A159">
        <v>2009</v>
      </c>
      <c r="B159" t="s">
        <v>37</v>
      </c>
      <c r="C159" t="s">
        <v>190</v>
      </c>
      <c r="D159">
        <v>16</v>
      </c>
    </row>
    <row r="160" spans="1:4" x14ac:dyDescent="0.35">
      <c r="A160">
        <v>2009</v>
      </c>
      <c r="B160" t="s">
        <v>36</v>
      </c>
      <c r="C160" t="s">
        <v>191</v>
      </c>
      <c r="D160">
        <v>267</v>
      </c>
    </row>
    <row r="161" spans="1:4" x14ac:dyDescent="0.35">
      <c r="A161">
        <v>2009</v>
      </c>
      <c r="B161" t="s">
        <v>33</v>
      </c>
      <c r="C161" t="s">
        <v>192</v>
      </c>
      <c r="D161">
        <v>37</v>
      </c>
    </row>
    <row r="162" spans="1:4" x14ac:dyDescent="0.35">
      <c r="A162">
        <v>2009</v>
      </c>
      <c r="B162" t="s">
        <v>34</v>
      </c>
      <c r="C162" t="s">
        <v>193</v>
      </c>
      <c r="D162">
        <v>1534</v>
      </c>
    </row>
    <row r="163" spans="1:4" x14ac:dyDescent="0.35">
      <c r="A163">
        <v>2009</v>
      </c>
      <c r="B163" t="s">
        <v>36</v>
      </c>
      <c r="C163" t="s">
        <v>372</v>
      </c>
      <c r="D163">
        <v>9</v>
      </c>
    </row>
    <row r="164" spans="1:4" x14ac:dyDescent="0.35">
      <c r="A164">
        <v>2009</v>
      </c>
      <c r="B164" t="s">
        <v>37</v>
      </c>
      <c r="C164" t="s">
        <v>387</v>
      </c>
      <c r="D164">
        <v>5</v>
      </c>
    </row>
    <row r="165" spans="1:4" x14ac:dyDescent="0.35">
      <c r="A165">
        <v>2009</v>
      </c>
      <c r="B165" t="s">
        <v>33</v>
      </c>
      <c r="C165" t="s">
        <v>195</v>
      </c>
      <c r="D165">
        <v>24</v>
      </c>
    </row>
    <row r="166" spans="1:4" x14ac:dyDescent="0.35">
      <c r="A166">
        <v>2009</v>
      </c>
      <c r="B166" t="s">
        <v>35</v>
      </c>
      <c r="C166" t="s">
        <v>196</v>
      </c>
      <c r="D166">
        <v>4664</v>
      </c>
    </row>
    <row r="167" spans="1:4" x14ac:dyDescent="0.35">
      <c r="A167">
        <v>2009</v>
      </c>
      <c r="B167" t="s">
        <v>34</v>
      </c>
      <c r="C167" t="s">
        <v>197</v>
      </c>
      <c r="D167">
        <v>10</v>
      </c>
    </row>
    <row r="168" spans="1:4" x14ac:dyDescent="0.35">
      <c r="A168">
        <v>2009</v>
      </c>
      <c r="B168" t="s">
        <v>35</v>
      </c>
      <c r="C168" t="s">
        <v>198</v>
      </c>
      <c r="D168">
        <v>1984</v>
      </c>
    </row>
    <row r="169" spans="1:4" x14ac:dyDescent="0.35">
      <c r="A169">
        <v>2009</v>
      </c>
      <c r="B169" t="s">
        <v>39</v>
      </c>
      <c r="C169" t="s">
        <v>39</v>
      </c>
      <c r="D169">
        <v>182</v>
      </c>
    </row>
    <row r="170" spans="1:4" x14ac:dyDescent="0.35">
      <c r="A170">
        <v>2009</v>
      </c>
      <c r="B170" t="s">
        <v>38</v>
      </c>
      <c r="C170" t="s">
        <v>199</v>
      </c>
      <c r="D170">
        <v>39</v>
      </c>
    </row>
    <row r="171" spans="1:4" x14ac:dyDescent="0.35">
      <c r="A171">
        <v>2009</v>
      </c>
      <c r="B171" t="s">
        <v>34</v>
      </c>
      <c r="C171" t="s">
        <v>200</v>
      </c>
      <c r="D171">
        <v>34</v>
      </c>
    </row>
    <row r="172" spans="1:4" x14ac:dyDescent="0.35">
      <c r="A172">
        <v>2009</v>
      </c>
      <c r="B172" t="s">
        <v>38</v>
      </c>
      <c r="C172" t="s">
        <v>19</v>
      </c>
      <c r="D172">
        <v>297</v>
      </c>
    </row>
    <row r="173" spans="1:4" x14ac:dyDescent="0.35">
      <c r="A173">
        <v>2009</v>
      </c>
      <c r="B173" t="s">
        <v>34</v>
      </c>
      <c r="C173" t="s">
        <v>201</v>
      </c>
      <c r="D173">
        <v>513</v>
      </c>
    </row>
    <row r="174" spans="1:4" x14ac:dyDescent="0.35">
      <c r="A174">
        <v>2009</v>
      </c>
      <c r="B174" t="s">
        <v>34</v>
      </c>
      <c r="C174" t="s">
        <v>202</v>
      </c>
      <c r="D174">
        <v>19</v>
      </c>
    </row>
    <row r="175" spans="1:4" x14ac:dyDescent="0.35">
      <c r="A175">
        <v>2009</v>
      </c>
      <c r="B175" t="s">
        <v>33</v>
      </c>
      <c r="C175" t="s">
        <v>203</v>
      </c>
      <c r="D175">
        <v>22</v>
      </c>
    </row>
    <row r="176" spans="1:4" x14ac:dyDescent="0.35">
      <c r="A176">
        <v>2009</v>
      </c>
      <c r="B176" t="s">
        <v>33</v>
      </c>
      <c r="C176" t="s">
        <v>204</v>
      </c>
      <c r="D176">
        <v>46</v>
      </c>
    </row>
    <row r="177" spans="1:4" x14ac:dyDescent="0.35">
      <c r="A177">
        <v>2010</v>
      </c>
      <c r="B177" t="s">
        <v>34</v>
      </c>
      <c r="C177" t="s">
        <v>40</v>
      </c>
      <c r="D177">
        <v>85</v>
      </c>
    </row>
    <row r="178" spans="1:4" x14ac:dyDescent="0.35">
      <c r="A178">
        <v>2010</v>
      </c>
      <c r="B178" t="s">
        <v>35</v>
      </c>
      <c r="C178" t="s">
        <v>41</v>
      </c>
      <c r="D178">
        <v>47</v>
      </c>
    </row>
    <row r="179" spans="1:4" x14ac:dyDescent="0.35">
      <c r="A179">
        <v>2010</v>
      </c>
      <c r="B179" t="s">
        <v>33</v>
      </c>
      <c r="C179" t="s">
        <v>42</v>
      </c>
      <c r="D179">
        <v>131</v>
      </c>
    </row>
    <row r="180" spans="1:4" x14ac:dyDescent="0.35">
      <c r="A180">
        <v>2010</v>
      </c>
      <c r="C180" t="s">
        <v>373</v>
      </c>
      <c r="D180">
        <v>89</v>
      </c>
    </row>
    <row r="181" spans="1:4" x14ac:dyDescent="0.35">
      <c r="A181">
        <v>2010</v>
      </c>
      <c r="B181" t="s">
        <v>37</v>
      </c>
      <c r="C181" t="s">
        <v>386</v>
      </c>
    </row>
    <row r="182" spans="1:4" x14ac:dyDescent="0.35">
      <c r="A182">
        <v>2010</v>
      </c>
      <c r="B182" t="s">
        <v>33</v>
      </c>
      <c r="C182" t="s">
        <v>43</v>
      </c>
      <c r="D182">
        <v>7</v>
      </c>
    </row>
    <row r="183" spans="1:4" x14ac:dyDescent="0.35">
      <c r="A183">
        <v>2010</v>
      </c>
      <c r="B183" t="s">
        <v>36</v>
      </c>
      <c r="C183" t="s">
        <v>44</v>
      </c>
      <c r="D183">
        <v>18</v>
      </c>
    </row>
    <row r="184" spans="1:4" x14ac:dyDescent="0.35">
      <c r="A184">
        <v>2010</v>
      </c>
      <c r="B184" t="s">
        <v>38</v>
      </c>
      <c r="C184" t="s">
        <v>45</v>
      </c>
      <c r="D184">
        <v>98</v>
      </c>
    </row>
    <row r="185" spans="1:4" x14ac:dyDescent="0.35">
      <c r="A185">
        <v>2010</v>
      </c>
      <c r="B185" t="s">
        <v>34</v>
      </c>
      <c r="C185" t="s">
        <v>46</v>
      </c>
      <c r="D185">
        <v>15</v>
      </c>
    </row>
    <row r="186" spans="1:4" x14ac:dyDescent="0.35">
      <c r="A186">
        <v>2010</v>
      </c>
      <c r="B186" t="s">
        <v>37</v>
      </c>
      <c r="C186" t="s">
        <v>47</v>
      </c>
      <c r="D186">
        <v>431</v>
      </c>
    </row>
    <row r="187" spans="1:4" x14ac:dyDescent="0.35">
      <c r="A187">
        <v>2010</v>
      </c>
      <c r="B187" t="s">
        <v>35</v>
      </c>
      <c r="C187" t="s">
        <v>48</v>
      </c>
      <c r="D187">
        <v>76</v>
      </c>
    </row>
    <row r="188" spans="1:4" x14ac:dyDescent="0.35">
      <c r="A188">
        <v>2010</v>
      </c>
      <c r="B188" t="s">
        <v>34</v>
      </c>
      <c r="C188" t="s">
        <v>49</v>
      </c>
      <c r="D188">
        <v>33</v>
      </c>
    </row>
    <row r="189" spans="1:4" x14ac:dyDescent="0.35">
      <c r="A189">
        <v>2010</v>
      </c>
      <c r="B189" t="s">
        <v>36</v>
      </c>
      <c r="C189" t="s">
        <v>50</v>
      </c>
      <c r="D189">
        <v>474</v>
      </c>
    </row>
    <row r="190" spans="1:4" x14ac:dyDescent="0.35">
      <c r="A190">
        <v>2010</v>
      </c>
      <c r="B190" t="s">
        <v>34</v>
      </c>
      <c r="C190" t="s">
        <v>51</v>
      </c>
      <c r="D190">
        <v>11</v>
      </c>
    </row>
    <row r="191" spans="1:4" x14ac:dyDescent="0.35">
      <c r="A191">
        <v>2010</v>
      </c>
      <c r="B191" t="s">
        <v>34</v>
      </c>
      <c r="C191" t="s">
        <v>52</v>
      </c>
      <c r="D191">
        <v>281</v>
      </c>
    </row>
    <row r="192" spans="1:4" x14ac:dyDescent="0.35">
      <c r="A192">
        <v>2010</v>
      </c>
      <c r="B192" t="s">
        <v>36</v>
      </c>
      <c r="C192" t="s">
        <v>53</v>
      </c>
      <c r="D192">
        <v>44</v>
      </c>
    </row>
    <row r="193" spans="1:4" x14ac:dyDescent="0.35">
      <c r="A193">
        <v>2010</v>
      </c>
      <c r="B193" t="s">
        <v>35</v>
      </c>
      <c r="C193" t="s">
        <v>54</v>
      </c>
      <c r="D193">
        <v>52</v>
      </c>
    </row>
    <row r="194" spans="1:4" x14ac:dyDescent="0.35">
      <c r="A194">
        <v>2010</v>
      </c>
      <c r="B194" t="s">
        <v>35</v>
      </c>
      <c r="C194" t="s">
        <v>55</v>
      </c>
      <c r="D194">
        <v>115</v>
      </c>
    </row>
    <row r="195" spans="1:4" x14ac:dyDescent="0.35">
      <c r="A195">
        <v>2010</v>
      </c>
      <c r="B195" t="s">
        <v>36</v>
      </c>
      <c r="C195" t="s">
        <v>56</v>
      </c>
      <c r="D195">
        <v>51</v>
      </c>
    </row>
    <row r="196" spans="1:4" x14ac:dyDescent="0.35">
      <c r="A196">
        <v>2010</v>
      </c>
      <c r="B196" t="s">
        <v>33</v>
      </c>
      <c r="C196" t="s">
        <v>57</v>
      </c>
      <c r="D196">
        <v>59</v>
      </c>
    </row>
    <row r="197" spans="1:4" x14ac:dyDescent="0.35">
      <c r="A197">
        <v>2010</v>
      </c>
      <c r="B197" t="s">
        <v>36</v>
      </c>
      <c r="C197" t="s">
        <v>363</v>
      </c>
      <c r="D197">
        <v>88</v>
      </c>
    </row>
    <row r="198" spans="1:4" x14ac:dyDescent="0.35">
      <c r="A198">
        <v>2010</v>
      </c>
      <c r="B198" t="s">
        <v>38</v>
      </c>
      <c r="C198" t="s">
        <v>59</v>
      </c>
      <c r="D198">
        <v>59</v>
      </c>
    </row>
    <row r="199" spans="1:4" x14ac:dyDescent="0.35">
      <c r="A199">
        <v>2010</v>
      </c>
      <c r="B199" t="s">
        <v>35</v>
      </c>
      <c r="C199" t="s">
        <v>60</v>
      </c>
      <c r="D199">
        <v>26</v>
      </c>
    </row>
    <row r="200" spans="1:4" x14ac:dyDescent="0.35">
      <c r="A200">
        <v>2010</v>
      </c>
      <c r="B200" t="s">
        <v>38</v>
      </c>
      <c r="C200" t="s">
        <v>21</v>
      </c>
      <c r="D200">
        <v>766</v>
      </c>
    </row>
    <row r="201" spans="1:4" x14ac:dyDescent="0.35">
      <c r="A201">
        <v>2010</v>
      </c>
      <c r="B201" t="s">
        <v>36</v>
      </c>
      <c r="C201" t="s">
        <v>364</v>
      </c>
      <c r="D201">
        <v>5</v>
      </c>
    </row>
    <row r="202" spans="1:4" x14ac:dyDescent="0.35">
      <c r="A202">
        <v>2010</v>
      </c>
      <c r="B202" t="s">
        <v>35</v>
      </c>
      <c r="C202" t="s">
        <v>62</v>
      </c>
      <c r="D202">
        <v>271</v>
      </c>
    </row>
    <row r="203" spans="1:4" x14ac:dyDescent="0.35">
      <c r="A203">
        <v>2010</v>
      </c>
      <c r="B203" t="s">
        <v>33</v>
      </c>
      <c r="C203" t="s">
        <v>63</v>
      </c>
      <c r="D203">
        <v>16</v>
      </c>
    </row>
    <row r="204" spans="1:4" x14ac:dyDescent="0.35">
      <c r="A204">
        <v>2010</v>
      </c>
      <c r="B204" t="s">
        <v>34</v>
      </c>
      <c r="C204" t="s">
        <v>64</v>
      </c>
      <c r="D204">
        <v>3951</v>
      </c>
    </row>
    <row r="205" spans="1:4" x14ac:dyDescent="0.35">
      <c r="A205">
        <v>2010</v>
      </c>
      <c r="B205" t="s">
        <v>33</v>
      </c>
      <c r="C205" t="s">
        <v>65</v>
      </c>
      <c r="D205">
        <v>19</v>
      </c>
    </row>
    <row r="206" spans="1:4" x14ac:dyDescent="0.35">
      <c r="A206">
        <v>2010</v>
      </c>
      <c r="B206" t="s">
        <v>34</v>
      </c>
      <c r="C206" t="s">
        <v>67</v>
      </c>
      <c r="D206">
        <v>28</v>
      </c>
    </row>
    <row r="207" spans="1:4" x14ac:dyDescent="0.35">
      <c r="A207">
        <v>2010</v>
      </c>
      <c r="B207" t="s">
        <v>33</v>
      </c>
      <c r="C207" t="s">
        <v>68</v>
      </c>
      <c r="D207">
        <v>55</v>
      </c>
    </row>
    <row r="208" spans="1:4" x14ac:dyDescent="0.35">
      <c r="A208">
        <v>2010</v>
      </c>
      <c r="B208" t="s">
        <v>36</v>
      </c>
      <c r="C208" t="s">
        <v>69</v>
      </c>
      <c r="D208">
        <v>29144</v>
      </c>
    </row>
    <row r="209" spans="1:4" x14ac:dyDescent="0.35">
      <c r="A209">
        <v>2010</v>
      </c>
      <c r="B209" t="s">
        <v>33</v>
      </c>
      <c r="C209" t="s">
        <v>66</v>
      </c>
      <c r="D209">
        <v>41</v>
      </c>
    </row>
    <row r="210" spans="1:4" x14ac:dyDescent="0.35">
      <c r="A210">
        <v>2010</v>
      </c>
      <c r="B210" t="s">
        <v>36</v>
      </c>
      <c r="C210" t="s">
        <v>365</v>
      </c>
      <c r="D210">
        <v>11</v>
      </c>
    </row>
    <row r="211" spans="1:4" x14ac:dyDescent="0.35">
      <c r="A211">
        <v>2010</v>
      </c>
      <c r="B211" t="s">
        <v>38</v>
      </c>
      <c r="C211" t="s">
        <v>72</v>
      </c>
      <c r="D211">
        <v>133</v>
      </c>
    </row>
    <row r="212" spans="1:4" x14ac:dyDescent="0.35">
      <c r="A212">
        <v>2010</v>
      </c>
      <c r="B212" t="s">
        <v>34</v>
      </c>
      <c r="C212" t="s">
        <v>73</v>
      </c>
      <c r="D212">
        <v>16449</v>
      </c>
    </row>
    <row r="213" spans="1:4" x14ac:dyDescent="0.35">
      <c r="A213">
        <v>2010</v>
      </c>
      <c r="B213" t="s">
        <v>38</v>
      </c>
      <c r="C213" t="s">
        <v>20</v>
      </c>
      <c r="D213">
        <v>777</v>
      </c>
    </row>
    <row r="214" spans="1:4" x14ac:dyDescent="0.35">
      <c r="A214">
        <v>2010</v>
      </c>
      <c r="B214" t="s">
        <v>33</v>
      </c>
      <c r="C214" t="s">
        <v>74</v>
      </c>
      <c r="D214">
        <v>7</v>
      </c>
    </row>
    <row r="215" spans="1:4" x14ac:dyDescent="0.35">
      <c r="A215">
        <v>2010</v>
      </c>
      <c r="B215" t="s">
        <v>33</v>
      </c>
      <c r="C215" t="s">
        <v>75</v>
      </c>
      <c r="D215">
        <v>47</v>
      </c>
    </row>
    <row r="216" spans="1:4" x14ac:dyDescent="0.35">
      <c r="A216">
        <v>2010</v>
      </c>
      <c r="B216" t="s">
        <v>36</v>
      </c>
      <c r="C216" t="s">
        <v>76</v>
      </c>
      <c r="D216">
        <v>122</v>
      </c>
    </row>
    <row r="217" spans="1:4" x14ac:dyDescent="0.35">
      <c r="A217">
        <v>2010</v>
      </c>
      <c r="B217" t="s">
        <v>33</v>
      </c>
      <c r="C217" t="s">
        <v>77</v>
      </c>
      <c r="D217">
        <v>120</v>
      </c>
    </row>
    <row r="218" spans="1:4" x14ac:dyDescent="0.35">
      <c r="A218">
        <v>2010</v>
      </c>
      <c r="B218" t="s">
        <v>35</v>
      </c>
      <c r="C218" t="s">
        <v>78</v>
      </c>
      <c r="D218">
        <v>192</v>
      </c>
    </row>
    <row r="219" spans="1:4" x14ac:dyDescent="0.35">
      <c r="A219">
        <v>2010</v>
      </c>
      <c r="B219" t="s">
        <v>36</v>
      </c>
      <c r="C219" t="s">
        <v>79</v>
      </c>
      <c r="D219">
        <v>108</v>
      </c>
    </row>
    <row r="220" spans="1:4" x14ac:dyDescent="0.35">
      <c r="A220">
        <v>2010</v>
      </c>
      <c r="B220" t="s">
        <v>34</v>
      </c>
      <c r="C220" t="s">
        <v>80</v>
      </c>
      <c r="D220">
        <v>10</v>
      </c>
    </row>
    <row r="221" spans="1:4" x14ac:dyDescent="0.35">
      <c r="A221">
        <v>2010</v>
      </c>
      <c r="B221" t="s">
        <v>35</v>
      </c>
      <c r="C221" t="s">
        <v>81</v>
      </c>
      <c r="D221">
        <v>101</v>
      </c>
    </row>
    <row r="222" spans="1:4" x14ac:dyDescent="0.35">
      <c r="A222">
        <v>2010</v>
      </c>
      <c r="B222" t="s">
        <v>35</v>
      </c>
      <c r="C222" t="s">
        <v>214</v>
      </c>
      <c r="D222">
        <v>54</v>
      </c>
    </row>
    <row r="223" spans="1:4" x14ac:dyDescent="0.35">
      <c r="A223">
        <v>2010</v>
      </c>
      <c r="B223" t="s">
        <v>35</v>
      </c>
      <c r="C223" t="s">
        <v>82</v>
      </c>
      <c r="D223">
        <v>88</v>
      </c>
    </row>
    <row r="224" spans="1:4" x14ac:dyDescent="0.35">
      <c r="A224">
        <v>2010</v>
      </c>
      <c r="B224" t="s">
        <v>36</v>
      </c>
      <c r="C224" t="s">
        <v>84</v>
      </c>
      <c r="D224">
        <v>30</v>
      </c>
    </row>
    <row r="225" spans="1:4" x14ac:dyDescent="0.35">
      <c r="A225">
        <v>2010</v>
      </c>
      <c r="B225" t="s">
        <v>36</v>
      </c>
      <c r="C225" t="s">
        <v>85</v>
      </c>
      <c r="D225">
        <v>741</v>
      </c>
    </row>
    <row r="226" spans="1:4" x14ac:dyDescent="0.35">
      <c r="A226">
        <v>2010</v>
      </c>
      <c r="B226" t="s">
        <v>38</v>
      </c>
      <c r="C226" t="s">
        <v>86</v>
      </c>
      <c r="D226">
        <v>328</v>
      </c>
    </row>
    <row r="227" spans="1:4" x14ac:dyDescent="0.35">
      <c r="A227">
        <v>2010</v>
      </c>
      <c r="B227" t="s">
        <v>33</v>
      </c>
      <c r="C227" t="s">
        <v>87</v>
      </c>
      <c r="D227">
        <v>520</v>
      </c>
    </row>
    <row r="228" spans="1:4" x14ac:dyDescent="0.35">
      <c r="A228">
        <v>2010</v>
      </c>
      <c r="B228" t="s">
        <v>36</v>
      </c>
      <c r="C228" t="s">
        <v>16</v>
      </c>
      <c r="D228">
        <v>949</v>
      </c>
    </row>
    <row r="229" spans="1:4" x14ac:dyDescent="0.35">
      <c r="A229">
        <v>2010</v>
      </c>
      <c r="B229" t="s">
        <v>33</v>
      </c>
      <c r="C229" t="s">
        <v>89</v>
      </c>
      <c r="D229">
        <v>9</v>
      </c>
    </row>
    <row r="230" spans="1:4" x14ac:dyDescent="0.35">
      <c r="A230">
        <v>2010</v>
      </c>
      <c r="B230" t="s">
        <v>35</v>
      </c>
      <c r="C230" t="s">
        <v>90</v>
      </c>
      <c r="D230">
        <v>55</v>
      </c>
    </row>
    <row r="231" spans="1:4" x14ac:dyDescent="0.35">
      <c r="A231">
        <v>2010</v>
      </c>
      <c r="B231" t="s">
        <v>33</v>
      </c>
      <c r="C231" t="s">
        <v>91</v>
      </c>
      <c r="D231">
        <v>73</v>
      </c>
    </row>
    <row r="232" spans="1:4" x14ac:dyDescent="0.35">
      <c r="A232">
        <v>2010</v>
      </c>
      <c r="B232" t="s">
        <v>37</v>
      </c>
      <c r="C232" t="s">
        <v>92</v>
      </c>
      <c r="D232">
        <v>109</v>
      </c>
    </row>
    <row r="233" spans="1:4" x14ac:dyDescent="0.35">
      <c r="A233">
        <v>2010</v>
      </c>
      <c r="B233" t="s">
        <v>35</v>
      </c>
      <c r="C233" t="s">
        <v>93</v>
      </c>
      <c r="D233">
        <v>39</v>
      </c>
    </row>
    <row r="234" spans="1:4" x14ac:dyDescent="0.35">
      <c r="A234">
        <v>2010</v>
      </c>
      <c r="B234" t="s">
        <v>35</v>
      </c>
      <c r="C234" t="s">
        <v>94</v>
      </c>
      <c r="D234">
        <v>970</v>
      </c>
    </row>
    <row r="235" spans="1:4" x14ac:dyDescent="0.35">
      <c r="A235">
        <v>2010</v>
      </c>
      <c r="B235" t="s">
        <v>33</v>
      </c>
      <c r="C235" t="s">
        <v>95</v>
      </c>
      <c r="D235">
        <v>4</v>
      </c>
    </row>
    <row r="236" spans="1:4" x14ac:dyDescent="0.35">
      <c r="A236">
        <v>2010</v>
      </c>
      <c r="B236" t="s">
        <v>33</v>
      </c>
      <c r="C236" t="s">
        <v>96</v>
      </c>
      <c r="D236">
        <v>9</v>
      </c>
    </row>
    <row r="237" spans="1:4" x14ac:dyDescent="0.35">
      <c r="A237">
        <v>2010</v>
      </c>
      <c r="B237" t="s">
        <v>34</v>
      </c>
      <c r="C237" t="s">
        <v>8</v>
      </c>
      <c r="D237">
        <v>309</v>
      </c>
    </row>
    <row r="238" spans="1:4" x14ac:dyDescent="0.35">
      <c r="A238">
        <v>2010</v>
      </c>
      <c r="B238" t="s">
        <v>35</v>
      </c>
      <c r="C238" t="s">
        <v>97</v>
      </c>
      <c r="D238">
        <v>670</v>
      </c>
    </row>
    <row r="239" spans="1:4" x14ac:dyDescent="0.35">
      <c r="A239">
        <v>2010</v>
      </c>
      <c r="B239" t="s">
        <v>33</v>
      </c>
      <c r="C239" t="s">
        <v>98</v>
      </c>
      <c r="D239">
        <v>159</v>
      </c>
    </row>
    <row r="240" spans="1:4" x14ac:dyDescent="0.35">
      <c r="A240">
        <v>2010</v>
      </c>
      <c r="B240" t="s">
        <v>35</v>
      </c>
      <c r="C240" t="s">
        <v>99</v>
      </c>
      <c r="D240">
        <v>365</v>
      </c>
    </row>
    <row r="241" spans="1:4" x14ac:dyDescent="0.35">
      <c r="A241">
        <v>2010</v>
      </c>
      <c r="B241" t="s">
        <v>36</v>
      </c>
      <c r="C241" t="s">
        <v>100</v>
      </c>
      <c r="D241">
        <v>37</v>
      </c>
    </row>
    <row r="242" spans="1:4" x14ac:dyDescent="0.35">
      <c r="A242">
        <v>2010</v>
      </c>
      <c r="B242" t="s">
        <v>36</v>
      </c>
      <c r="C242" t="s">
        <v>15</v>
      </c>
      <c r="D242">
        <v>2314</v>
      </c>
    </row>
    <row r="243" spans="1:4" x14ac:dyDescent="0.35">
      <c r="A243">
        <v>2010</v>
      </c>
      <c r="B243" t="s">
        <v>33</v>
      </c>
      <c r="C243" t="s">
        <v>101</v>
      </c>
      <c r="D243">
        <v>17</v>
      </c>
    </row>
    <row r="244" spans="1:4" x14ac:dyDescent="0.35">
      <c r="A244">
        <v>2010</v>
      </c>
      <c r="B244" t="s">
        <v>38</v>
      </c>
      <c r="C244" t="s">
        <v>103</v>
      </c>
      <c r="D244">
        <v>183</v>
      </c>
    </row>
    <row r="245" spans="1:4" x14ac:dyDescent="0.35">
      <c r="A245">
        <v>2010</v>
      </c>
      <c r="B245" t="s">
        <v>36</v>
      </c>
      <c r="C245" t="s">
        <v>104</v>
      </c>
      <c r="D245">
        <v>297</v>
      </c>
    </row>
    <row r="246" spans="1:4" x14ac:dyDescent="0.35">
      <c r="A246">
        <v>2010</v>
      </c>
      <c r="B246" t="s">
        <v>36</v>
      </c>
      <c r="C246" t="s">
        <v>17</v>
      </c>
      <c r="D246">
        <v>1382</v>
      </c>
    </row>
    <row r="247" spans="1:4" x14ac:dyDescent="0.35">
      <c r="A247">
        <v>2010</v>
      </c>
      <c r="B247" t="s">
        <v>34</v>
      </c>
      <c r="C247" t="s">
        <v>368</v>
      </c>
      <c r="D247">
        <v>102</v>
      </c>
    </row>
    <row r="248" spans="1:4" x14ac:dyDescent="0.35">
      <c r="A248">
        <v>2010</v>
      </c>
      <c r="B248" t="s">
        <v>35</v>
      </c>
      <c r="C248" t="s">
        <v>105</v>
      </c>
      <c r="D248">
        <v>126</v>
      </c>
    </row>
    <row r="249" spans="1:4" x14ac:dyDescent="0.35">
      <c r="A249">
        <v>2010</v>
      </c>
      <c r="B249" t="s">
        <v>35</v>
      </c>
      <c r="C249" t="s">
        <v>106</v>
      </c>
      <c r="D249">
        <v>13</v>
      </c>
    </row>
    <row r="250" spans="1:4" x14ac:dyDescent="0.35">
      <c r="A250">
        <v>2010</v>
      </c>
      <c r="B250" t="s">
        <v>34</v>
      </c>
      <c r="C250" t="s">
        <v>22</v>
      </c>
      <c r="D250">
        <v>4695</v>
      </c>
    </row>
    <row r="251" spans="1:4" x14ac:dyDescent="0.35">
      <c r="A251">
        <v>2010</v>
      </c>
      <c r="B251" t="s">
        <v>34</v>
      </c>
      <c r="C251" t="s">
        <v>107</v>
      </c>
      <c r="D251">
        <v>1907</v>
      </c>
    </row>
    <row r="252" spans="1:4" x14ac:dyDescent="0.35">
      <c r="A252">
        <v>2010</v>
      </c>
      <c r="B252" t="s">
        <v>34</v>
      </c>
      <c r="C252" t="s">
        <v>108</v>
      </c>
      <c r="D252">
        <v>433</v>
      </c>
    </row>
    <row r="253" spans="1:4" x14ac:dyDescent="0.35">
      <c r="A253">
        <v>2010</v>
      </c>
      <c r="B253" t="s">
        <v>34</v>
      </c>
      <c r="C253" t="s">
        <v>109</v>
      </c>
      <c r="D253">
        <v>93</v>
      </c>
    </row>
    <row r="254" spans="1:4" x14ac:dyDescent="0.35">
      <c r="A254">
        <v>2010</v>
      </c>
      <c r="B254" t="s">
        <v>35</v>
      </c>
      <c r="C254" t="s">
        <v>110</v>
      </c>
      <c r="D254">
        <v>202</v>
      </c>
    </row>
    <row r="255" spans="1:4" x14ac:dyDescent="0.35">
      <c r="A255">
        <v>2010</v>
      </c>
      <c r="B255" t="s">
        <v>34</v>
      </c>
      <c r="C255" t="s">
        <v>111</v>
      </c>
      <c r="D255">
        <v>429</v>
      </c>
    </row>
    <row r="256" spans="1:4" x14ac:dyDescent="0.35">
      <c r="A256">
        <v>2010</v>
      </c>
      <c r="B256" t="s">
        <v>35</v>
      </c>
      <c r="C256" t="s">
        <v>112</v>
      </c>
      <c r="D256">
        <v>771</v>
      </c>
    </row>
    <row r="257" spans="1:4" x14ac:dyDescent="0.35">
      <c r="A257">
        <v>2010</v>
      </c>
      <c r="B257" t="s">
        <v>36</v>
      </c>
      <c r="C257" t="s">
        <v>113</v>
      </c>
      <c r="D257">
        <v>508</v>
      </c>
    </row>
    <row r="258" spans="1:4" x14ac:dyDescent="0.35">
      <c r="A258">
        <v>2010</v>
      </c>
      <c r="B258" t="s">
        <v>34</v>
      </c>
      <c r="C258" t="s">
        <v>114</v>
      </c>
      <c r="D258">
        <v>482</v>
      </c>
    </row>
    <row r="259" spans="1:4" x14ac:dyDescent="0.35">
      <c r="A259">
        <v>2010</v>
      </c>
      <c r="B259" t="s">
        <v>34</v>
      </c>
      <c r="C259" t="s">
        <v>115</v>
      </c>
      <c r="D259">
        <v>165</v>
      </c>
    </row>
    <row r="260" spans="1:4" x14ac:dyDescent="0.35">
      <c r="A260">
        <v>2010</v>
      </c>
      <c r="B260" t="s">
        <v>34</v>
      </c>
      <c r="C260" t="s">
        <v>116</v>
      </c>
      <c r="D260">
        <v>38</v>
      </c>
    </row>
    <row r="261" spans="1:4" x14ac:dyDescent="0.35">
      <c r="A261">
        <v>2010</v>
      </c>
      <c r="B261" t="s">
        <v>33</v>
      </c>
      <c r="C261" t="s">
        <v>117</v>
      </c>
      <c r="D261">
        <v>127</v>
      </c>
    </row>
    <row r="262" spans="1:4" x14ac:dyDescent="0.35">
      <c r="A262">
        <v>2010</v>
      </c>
      <c r="B262" t="s">
        <v>37</v>
      </c>
      <c r="C262" t="s">
        <v>390</v>
      </c>
      <c r="D262">
        <v>37</v>
      </c>
    </row>
    <row r="263" spans="1:4" x14ac:dyDescent="0.35">
      <c r="A263">
        <v>2010</v>
      </c>
      <c r="B263" t="s">
        <v>34</v>
      </c>
      <c r="C263" t="s">
        <v>118</v>
      </c>
      <c r="D263">
        <v>1561</v>
      </c>
    </row>
    <row r="264" spans="1:4" x14ac:dyDescent="0.35">
      <c r="A264">
        <v>2010</v>
      </c>
      <c r="B264" t="s">
        <v>35</v>
      </c>
      <c r="C264" t="s">
        <v>119</v>
      </c>
      <c r="D264" t="s">
        <v>205</v>
      </c>
    </row>
    <row r="265" spans="1:4" x14ac:dyDescent="0.35">
      <c r="A265">
        <v>2010</v>
      </c>
      <c r="B265" t="s">
        <v>34</v>
      </c>
      <c r="C265" t="s">
        <v>120</v>
      </c>
      <c r="D265">
        <v>26</v>
      </c>
    </row>
    <row r="266" spans="1:4" x14ac:dyDescent="0.35">
      <c r="A266">
        <v>2010</v>
      </c>
      <c r="B266" t="s">
        <v>34</v>
      </c>
      <c r="C266" t="s">
        <v>121</v>
      </c>
      <c r="D266">
        <v>18</v>
      </c>
    </row>
    <row r="267" spans="1:4" x14ac:dyDescent="0.35">
      <c r="A267">
        <v>2010</v>
      </c>
      <c r="B267" t="s">
        <v>34</v>
      </c>
      <c r="C267" t="s">
        <v>122</v>
      </c>
      <c r="D267">
        <v>12</v>
      </c>
    </row>
    <row r="268" spans="1:4" x14ac:dyDescent="0.35">
      <c r="A268">
        <v>2010</v>
      </c>
      <c r="B268" t="s">
        <v>35</v>
      </c>
      <c r="C268" t="s">
        <v>123</v>
      </c>
      <c r="D268">
        <v>222</v>
      </c>
    </row>
    <row r="269" spans="1:4" x14ac:dyDescent="0.35">
      <c r="A269">
        <v>2010</v>
      </c>
      <c r="B269" t="s">
        <v>34</v>
      </c>
      <c r="C269" t="s">
        <v>124</v>
      </c>
      <c r="D269">
        <v>194</v>
      </c>
    </row>
    <row r="270" spans="1:4" x14ac:dyDescent="0.35">
      <c r="A270">
        <v>2010</v>
      </c>
      <c r="B270" t="s">
        <v>33</v>
      </c>
      <c r="C270" t="s">
        <v>125</v>
      </c>
      <c r="D270">
        <v>16</v>
      </c>
    </row>
    <row r="271" spans="1:4" x14ac:dyDescent="0.35">
      <c r="A271">
        <v>2010</v>
      </c>
      <c r="B271" t="s">
        <v>33</v>
      </c>
      <c r="C271" t="s">
        <v>126</v>
      </c>
      <c r="D271">
        <v>49</v>
      </c>
    </row>
    <row r="272" spans="1:4" x14ac:dyDescent="0.35">
      <c r="A272">
        <v>2010</v>
      </c>
      <c r="B272" t="s">
        <v>35</v>
      </c>
      <c r="C272" t="s">
        <v>127</v>
      </c>
      <c r="D272">
        <v>638</v>
      </c>
    </row>
    <row r="273" spans="1:4" x14ac:dyDescent="0.35">
      <c r="A273">
        <v>2010</v>
      </c>
      <c r="B273" t="s">
        <v>35</v>
      </c>
      <c r="C273" t="s">
        <v>322</v>
      </c>
      <c r="D273">
        <v>28</v>
      </c>
    </row>
    <row r="274" spans="1:4" x14ac:dyDescent="0.35">
      <c r="A274">
        <v>2010</v>
      </c>
      <c r="B274" t="s">
        <v>33</v>
      </c>
      <c r="C274" t="s">
        <v>129</v>
      </c>
      <c r="D274">
        <v>10</v>
      </c>
    </row>
    <row r="275" spans="1:4" x14ac:dyDescent="0.35">
      <c r="A275">
        <v>2010</v>
      </c>
      <c r="B275" t="s">
        <v>34</v>
      </c>
      <c r="C275" t="s">
        <v>131</v>
      </c>
      <c r="D275">
        <v>231</v>
      </c>
    </row>
    <row r="276" spans="1:4" x14ac:dyDescent="0.35">
      <c r="A276">
        <v>2010</v>
      </c>
      <c r="B276" t="s">
        <v>34</v>
      </c>
      <c r="C276" t="s">
        <v>389</v>
      </c>
      <c r="D276">
        <v>61</v>
      </c>
    </row>
    <row r="277" spans="1:4" x14ac:dyDescent="0.35">
      <c r="A277">
        <v>2010</v>
      </c>
      <c r="B277" t="s">
        <v>33</v>
      </c>
      <c r="C277" t="s">
        <v>132</v>
      </c>
      <c r="D277">
        <v>29</v>
      </c>
    </row>
    <row r="278" spans="1:4" x14ac:dyDescent="0.35">
      <c r="A278">
        <v>2010</v>
      </c>
      <c r="B278" t="s">
        <v>35</v>
      </c>
      <c r="C278" t="s">
        <v>133</v>
      </c>
      <c r="D278">
        <v>6</v>
      </c>
    </row>
    <row r="279" spans="1:4" x14ac:dyDescent="0.35">
      <c r="A279">
        <v>2010</v>
      </c>
      <c r="B279" t="s">
        <v>37</v>
      </c>
      <c r="C279" t="s">
        <v>134</v>
      </c>
      <c r="D279">
        <v>5</v>
      </c>
    </row>
    <row r="280" spans="1:4" x14ac:dyDescent="0.35">
      <c r="A280">
        <v>2010</v>
      </c>
      <c r="B280" t="s">
        <v>33</v>
      </c>
      <c r="C280" t="s">
        <v>136</v>
      </c>
      <c r="D280">
        <v>270</v>
      </c>
    </row>
    <row r="281" spans="1:4" x14ac:dyDescent="0.35">
      <c r="A281">
        <v>2010</v>
      </c>
      <c r="B281" t="s">
        <v>36</v>
      </c>
      <c r="C281" t="s">
        <v>14</v>
      </c>
      <c r="D281">
        <v>353850</v>
      </c>
    </row>
    <row r="282" spans="1:4" x14ac:dyDescent="0.35">
      <c r="A282">
        <v>2010</v>
      </c>
      <c r="B282" t="s">
        <v>37</v>
      </c>
      <c r="C282" t="s">
        <v>137</v>
      </c>
      <c r="D282">
        <v>10</v>
      </c>
    </row>
    <row r="283" spans="1:4" x14ac:dyDescent="0.35">
      <c r="A283">
        <v>2010</v>
      </c>
      <c r="B283" t="s">
        <v>35</v>
      </c>
      <c r="C283" t="s">
        <v>138</v>
      </c>
      <c r="D283">
        <v>56</v>
      </c>
    </row>
    <row r="284" spans="1:4" x14ac:dyDescent="0.35">
      <c r="A284">
        <v>2010</v>
      </c>
      <c r="B284" t="s">
        <v>34</v>
      </c>
      <c r="C284" t="s">
        <v>139</v>
      </c>
      <c r="D284">
        <v>36</v>
      </c>
    </row>
    <row r="285" spans="1:4" x14ac:dyDescent="0.35">
      <c r="A285">
        <v>2010</v>
      </c>
      <c r="B285" t="s">
        <v>35</v>
      </c>
      <c r="C285" t="s">
        <v>140</v>
      </c>
    </row>
    <row r="286" spans="1:4" x14ac:dyDescent="0.35">
      <c r="A286">
        <v>2010</v>
      </c>
      <c r="B286" t="s">
        <v>33</v>
      </c>
      <c r="C286" t="s">
        <v>141</v>
      </c>
      <c r="D286">
        <v>214</v>
      </c>
    </row>
    <row r="287" spans="1:4" x14ac:dyDescent="0.35">
      <c r="A287">
        <v>2010</v>
      </c>
      <c r="B287" t="s">
        <v>34</v>
      </c>
      <c r="C287" t="s">
        <v>144</v>
      </c>
      <c r="D287">
        <v>43</v>
      </c>
    </row>
    <row r="288" spans="1:4" x14ac:dyDescent="0.35">
      <c r="A288">
        <v>2010</v>
      </c>
      <c r="B288" t="s">
        <v>35</v>
      </c>
      <c r="C288" t="s">
        <v>145</v>
      </c>
      <c r="D288">
        <v>393</v>
      </c>
    </row>
    <row r="289" spans="1:4" x14ac:dyDescent="0.35">
      <c r="A289">
        <v>2010</v>
      </c>
      <c r="B289" t="s">
        <v>36</v>
      </c>
      <c r="C289" t="s">
        <v>371</v>
      </c>
      <c r="D289">
        <v>11</v>
      </c>
    </row>
    <row r="290" spans="1:4" x14ac:dyDescent="0.35">
      <c r="A290">
        <v>2010</v>
      </c>
      <c r="B290" t="s">
        <v>37</v>
      </c>
      <c r="C290" t="s">
        <v>146</v>
      </c>
      <c r="D290">
        <v>136</v>
      </c>
    </row>
    <row r="291" spans="1:4" x14ac:dyDescent="0.35">
      <c r="A291">
        <v>2010</v>
      </c>
      <c r="B291" t="s">
        <v>36</v>
      </c>
      <c r="C291" t="s">
        <v>147</v>
      </c>
      <c r="D291">
        <v>170</v>
      </c>
    </row>
    <row r="292" spans="1:4" x14ac:dyDescent="0.35">
      <c r="A292">
        <v>2010</v>
      </c>
      <c r="B292" t="s">
        <v>33</v>
      </c>
      <c r="C292" t="s">
        <v>148</v>
      </c>
      <c r="D292">
        <v>28</v>
      </c>
    </row>
    <row r="293" spans="1:4" x14ac:dyDescent="0.35">
      <c r="A293">
        <v>2010</v>
      </c>
      <c r="B293" t="s">
        <v>33</v>
      </c>
      <c r="C293" t="s">
        <v>149</v>
      </c>
      <c r="D293">
        <v>461</v>
      </c>
    </row>
    <row r="294" spans="1:4" x14ac:dyDescent="0.35">
      <c r="A294">
        <v>2010</v>
      </c>
      <c r="B294" t="s">
        <v>35</v>
      </c>
      <c r="C294" t="s">
        <v>150</v>
      </c>
      <c r="D294">
        <v>117</v>
      </c>
    </row>
    <row r="295" spans="1:4" x14ac:dyDescent="0.35">
      <c r="A295">
        <v>2010</v>
      </c>
      <c r="B295" t="s">
        <v>34</v>
      </c>
      <c r="C295" t="s">
        <v>152</v>
      </c>
      <c r="D295">
        <v>647</v>
      </c>
    </row>
    <row r="296" spans="1:4" x14ac:dyDescent="0.35">
      <c r="A296">
        <v>2010</v>
      </c>
      <c r="B296" t="s">
        <v>37</v>
      </c>
      <c r="C296" t="s">
        <v>153</v>
      </c>
      <c r="D296">
        <v>23</v>
      </c>
    </row>
    <row r="297" spans="1:4" x14ac:dyDescent="0.35">
      <c r="A297">
        <v>2010</v>
      </c>
      <c r="B297" t="s">
        <v>36</v>
      </c>
      <c r="C297" t="s">
        <v>154</v>
      </c>
      <c r="D297">
        <v>73</v>
      </c>
    </row>
    <row r="298" spans="1:4" x14ac:dyDescent="0.35">
      <c r="A298">
        <v>2010</v>
      </c>
      <c r="B298" t="s">
        <v>38</v>
      </c>
      <c r="C298" t="s">
        <v>155</v>
      </c>
      <c r="D298">
        <v>21</v>
      </c>
    </row>
    <row r="299" spans="1:4" x14ac:dyDescent="0.35">
      <c r="A299">
        <v>2010</v>
      </c>
      <c r="B299" t="s">
        <v>38</v>
      </c>
      <c r="C299" t="s">
        <v>156</v>
      </c>
      <c r="D299">
        <v>460</v>
      </c>
    </row>
    <row r="300" spans="1:4" x14ac:dyDescent="0.35">
      <c r="A300">
        <v>2010</v>
      </c>
      <c r="B300" t="s">
        <v>34</v>
      </c>
      <c r="C300" t="s">
        <v>18</v>
      </c>
      <c r="D300">
        <v>21413</v>
      </c>
    </row>
    <row r="301" spans="1:4" x14ac:dyDescent="0.35">
      <c r="A301">
        <v>2010</v>
      </c>
      <c r="B301" t="s">
        <v>35</v>
      </c>
      <c r="C301" t="s">
        <v>157</v>
      </c>
      <c r="D301">
        <v>846</v>
      </c>
    </row>
    <row r="302" spans="1:4" x14ac:dyDescent="0.35">
      <c r="A302">
        <v>2010</v>
      </c>
      <c r="B302" t="s">
        <v>35</v>
      </c>
      <c r="C302" t="s">
        <v>158</v>
      </c>
      <c r="D302">
        <v>169</v>
      </c>
    </row>
    <row r="303" spans="1:4" x14ac:dyDescent="0.35">
      <c r="A303">
        <v>2010</v>
      </c>
      <c r="B303" t="s">
        <v>34</v>
      </c>
      <c r="C303" t="s">
        <v>159</v>
      </c>
      <c r="D303">
        <v>7</v>
      </c>
    </row>
    <row r="304" spans="1:4" x14ac:dyDescent="0.35">
      <c r="A304">
        <v>2010</v>
      </c>
      <c r="B304" t="s">
        <v>35</v>
      </c>
      <c r="C304" t="s">
        <v>160</v>
      </c>
      <c r="D304">
        <v>1012</v>
      </c>
    </row>
    <row r="305" spans="1:4" x14ac:dyDescent="0.35">
      <c r="A305">
        <v>2010</v>
      </c>
      <c r="B305" t="s">
        <v>35</v>
      </c>
      <c r="C305" t="s">
        <v>161</v>
      </c>
      <c r="D305">
        <v>3189</v>
      </c>
    </row>
    <row r="306" spans="1:4" x14ac:dyDescent="0.35">
      <c r="A306">
        <v>2010</v>
      </c>
      <c r="B306" t="s">
        <v>33</v>
      </c>
      <c r="C306" t="s">
        <v>162</v>
      </c>
      <c r="D306">
        <v>15</v>
      </c>
    </row>
    <row r="307" spans="1:4" x14ac:dyDescent="0.35">
      <c r="A307">
        <v>2010</v>
      </c>
      <c r="B307" t="s">
        <v>36</v>
      </c>
      <c r="C307" t="s">
        <v>163</v>
      </c>
      <c r="D307">
        <v>13</v>
      </c>
    </row>
    <row r="308" spans="1:4" x14ac:dyDescent="0.35">
      <c r="A308">
        <v>2010</v>
      </c>
      <c r="B308" t="s">
        <v>36</v>
      </c>
      <c r="C308" t="s">
        <v>164</v>
      </c>
      <c r="D308">
        <v>31</v>
      </c>
    </row>
    <row r="309" spans="1:4" x14ac:dyDescent="0.35">
      <c r="A309">
        <v>2010</v>
      </c>
      <c r="B309" t="s">
        <v>36</v>
      </c>
      <c r="C309" t="s">
        <v>165</v>
      </c>
      <c r="D309">
        <v>53</v>
      </c>
    </row>
    <row r="310" spans="1:4" x14ac:dyDescent="0.35">
      <c r="A310">
        <v>2010</v>
      </c>
      <c r="B310" t="s">
        <v>37</v>
      </c>
      <c r="C310" t="s">
        <v>166</v>
      </c>
      <c r="D310">
        <v>20</v>
      </c>
    </row>
    <row r="311" spans="1:4" x14ac:dyDescent="0.35">
      <c r="A311">
        <v>2010</v>
      </c>
      <c r="B311" t="s">
        <v>34</v>
      </c>
      <c r="C311" t="s">
        <v>167</v>
      </c>
      <c r="D311">
        <v>220</v>
      </c>
    </row>
    <row r="312" spans="1:4" x14ac:dyDescent="0.35">
      <c r="A312">
        <v>2010</v>
      </c>
      <c r="B312" t="s">
        <v>33</v>
      </c>
      <c r="C312" t="s">
        <v>168</v>
      </c>
      <c r="D312">
        <v>127</v>
      </c>
    </row>
    <row r="313" spans="1:4" x14ac:dyDescent="0.35">
      <c r="A313">
        <v>2010</v>
      </c>
      <c r="B313" t="s">
        <v>35</v>
      </c>
      <c r="C313" t="s">
        <v>169</v>
      </c>
    </row>
    <row r="314" spans="1:4" x14ac:dyDescent="0.35">
      <c r="A314">
        <v>2010</v>
      </c>
      <c r="B314" t="s">
        <v>35</v>
      </c>
      <c r="C314" t="s">
        <v>215</v>
      </c>
      <c r="D314">
        <v>119</v>
      </c>
    </row>
    <row r="315" spans="1:4" x14ac:dyDescent="0.35">
      <c r="A315">
        <v>2010</v>
      </c>
      <c r="B315" t="s">
        <v>33</v>
      </c>
      <c r="C315" t="s">
        <v>170</v>
      </c>
      <c r="D315">
        <v>19</v>
      </c>
    </row>
    <row r="316" spans="1:4" x14ac:dyDescent="0.35">
      <c r="A316">
        <v>2010</v>
      </c>
      <c r="B316" t="s">
        <v>34</v>
      </c>
      <c r="C316" t="s">
        <v>171</v>
      </c>
      <c r="D316">
        <v>65</v>
      </c>
    </row>
    <row r="317" spans="1:4" x14ac:dyDescent="0.35">
      <c r="A317">
        <v>2010</v>
      </c>
      <c r="B317" t="s">
        <v>35</v>
      </c>
      <c r="C317" t="s">
        <v>172</v>
      </c>
      <c r="D317">
        <v>80</v>
      </c>
    </row>
    <row r="318" spans="1:4" x14ac:dyDescent="0.35">
      <c r="A318">
        <v>2010</v>
      </c>
      <c r="B318" t="s">
        <v>35</v>
      </c>
      <c r="C318" t="s">
        <v>173</v>
      </c>
      <c r="D318">
        <v>26</v>
      </c>
    </row>
    <row r="319" spans="1:4" x14ac:dyDescent="0.35">
      <c r="A319">
        <v>2010</v>
      </c>
      <c r="B319" t="s">
        <v>37</v>
      </c>
      <c r="C319" t="s">
        <v>388</v>
      </c>
      <c r="D319" t="s">
        <v>205</v>
      </c>
    </row>
    <row r="320" spans="1:4" x14ac:dyDescent="0.35">
      <c r="A320">
        <v>2010</v>
      </c>
      <c r="B320" t="s">
        <v>33</v>
      </c>
      <c r="C320" t="s">
        <v>174</v>
      </c>
      <c r="D320">
        <v>25</v>
      </c>
    </row>
    <row r="321" spans="1:4" x14ac:dyDescent="0.35">
      <c r="A321">
        <v>2010</v>
      </c>
      <c r="B321" t="s">
        <v>33</v>
      </c>
      <c r="C321" t="s">
        <v>175</v>
      </c>
      <c r="D321">
        <v>160</v>
      </c>
    </row>
    <row r="322" spans="1:4" x14ac:dyDescent="0.35">
      <c r="A322">
        <v>2010</v>
      </c>
      <c r="B322" t="s">
        <v>35</v>
      </c>
      <c r="C322" t="s">
        <v>216</v>
      </c>
      <c r="D322">
        <v>150</v>
      </c>
    </row>
    <row r="323" spans="1:4" x14ac:dyDescent="0.35">
      <c r="A323">
        <v>2010</v>
      </c>
      <c r="B323" t="s">
        <v>35</v>
      </c>
      <c r="C323" t="s">
        <v>177</v>
      </c>
      <c r="D323">
        <v>461</v>
      </c>
    </row>
    <row r="324" spans="1:4" x14ac:dyDescent="0.35">
      <c r="A324">
        <v>2010</v>
      </c>
      <c r="B324" t="s">
        <v>34</v>
      </c>
      <c r="C324" t="s">
        <v>178</v>
      </c>
      <c r="D324">
        <v>254</v>
      </c>
    </row>
    <row r="325" spans="1:4" x14ac:dyDescent="0.35">
      <c r="A325">
        <v>2010</v>
      </c>
      <c r="B325" t="s">
        <v>33</v>
      </c>
      <c r="C325" t="s">
        <v>179</v>
      </c>
      <c r="D325">
        <v>21</v>
      </c>
    </row>
    <row r="326" spans="1:4" x14ac:dyDescent="0.35">
      <c r="A326">
        <v>2010</v>
      </c>
      <c r="B326" t="s">
        <v>35</v>
      </c>
      <c r="C326" t="s">
        <v>182</v>
      </c>
      <c r="D326">
        <v>152</v>
      </c>
    </row>
    <row r="327" spans="1:4" x14ac:dyDescent="0.35">
      <c r="A327">
        <v>2010</v>
      </c>
      <c r="B327" t="s">
        <v>35</v>
      </c>
      <c r="C327" t="s">
        <v>183</v>
      </c>
      <c r="D327">
        <v>108</v>
      </c>
    </row>
    <row r="328" spans="1:4" x14ac:dyDescent="0.35">
      <c r="A328">
        <v>2010</v>
      </c>
      <c r="B328" t="s">
        <v>34</v>
      </c>
      <c r="C328" t="s">
        <v>184</v>
      </c>
      <c r="D328">
        <v>89</v>
      </c>
    </row>
    <row r="329" spans="1:4" x14ac:dyDescent="0.35">
      <c r="A329">
        <v>2010</v>
      </c>
      <c r="B329" t="s">
        <v>34</v>
      </c>
      <c r="C329" t="s">
        <v>185</v>
      </c>
      <c r="D329">
        <v>293</v>
      </c>
    </row>
    <row r="330" spans="1:4" x14ac:dyDescent="0.35">
      <c r="A330">
        <v>2010</v>
      </c>
      <c r="B330" t="s">
        <v>34</v>
      </c>
      <c r="C330" t="s">
        <v>186</v>
      </c>
      <c r="D330">
        <v>14</v>
      </c>
    </row>
    <row r="331" spans="1:4" x14ac:dyDescent="0.35">
      <c r="A331">
        <v>2010</v>
      </c>
      <c r="B331" t="s">
        <v>33</v>
      </c>
      <c r="C331" t="s">
        <v>187</v>
      </c>
      <c r="D331">
        <v>320</v>
      </c>
    </row>
    <row r="332" spans="1:4" x14ac:dyDescent="0.35">
      <c r="A332">
        <v>2010</v>
      </c>
      <c r="B332" t="s">
        <v>34</v>
      </c>
      <c r="C332" t="s">
        <v>188</v>
      </c>
      <c r="D332">
        <v>463</v>
      </c>
    </row>
    <row r="333" spans="1:4" x14ac:dyDescent="0.35">
      <c r="A333">
        <v>2010</v>
      </c>
      <c r="B333" t="s">
        <v>33</v>
      </c>
      <c r="C333" t="s">
        <v>189</v>
      </c>
      <c r="D333">
        <v>75</v>
      </c>
    </row>
    <row r="334" spans="1:4" x14ac:dyDescent="0.35">
      <c r="A334">
        <v>2010</v>
      </c>
      <c r="B334" t="s">
        <v>37</v>
      </c>
      <c r="C334" t="s">
        <v>190</v>
      </c>
      <c r="D334">
        <v>9</v>
      </c>
    </row>
    <row r="335" spans="1:4" x14ac:dyDescent="0.35">
      <c r="A335">
        <v>2010</v>
      </c>
      <c r="B335" t="s">
        <v>36</v>
      </c>
      <c r="C335" t="s">
        <v>191</v>
      </c>
      <c r="D335">
        <v>199</v>
      </c>
    </row>
    <row r="336" spans="1:4" x14ac:dyDescent="0.35">
      <c r="A336">
        <v>2010</v>
      </c>
      <c r="B336" t="s">
        <v>33</v>
      </c>
      <c r="C336" t="s">
        <v>192</v>
      </c>
      <c r="D336">
        <v>57</v>
      </c>
    </row>
    <row r="337" spans="1:4" x14ac:dyDescent="0.35">
      <c r="A337">
        <v>2010</v>
      </c>
      <c r="B337" t="s">
        <v>34</v>
      </c>
      <c r="C337" t="s">
        <v>193</v>
      </c>
      <c r="D337">
        <v>1802</v>
      </c>
    </row>
    <row r="338" spans="1:4" x14ac:dyDescent="0.35">
      <c r="A338">
        <v>2010</v>
      </c>
      <c r="B338" t="s">
        <v>36</v>
      </c>
      <c r="C338" t="s">
        <v>372</v>
      </c>
      <c r="D338">
        <v>11</v>
      </c>
    </row>
    <row r="339" spans="1:4" x14ac:dyDescent="0.35">
      <c r="A339">
        <v>2010</v>
      </c>
      <c r="B339" t="s">
        <v>37</v>
      </c>
      <c r="C339" t="s">
        <v>387</v>
      </c>
    </row>
    <row r="340" spans="1:4" x14ac:dyDescent="0.35">
      <c r="A340">
        <v>2010</v>
      </c>
      <c r="B340" t="s">
        <v>33</v>
      </c>
      <c r="C340" t="s">
        <v>195</v>
      </c>
      <c r="D340">
        <v>20</v>
      </c>
    </row>
    <row r="341" spans="1:4" x14ac:dyDescent="0.35">
      <c r="A341">
        <v>2010</v>
      </c>
      <c r="B341" t="s">
        <v>35</v>
      </c>
      <c r="C341" t="s">
        <v>196</v>
      </c>
      <c r="D341">
        <v>4415</v>
      </c>
    </row>
    <row r="342" spans="1:4" x14ac:dyDescent="0.35">
      <c r="A342">
        <v>2010</v>
      </c>
      <c r="B342" t="s">
        <v>34</v>
      </c>
      <c r="C342" t="s">
        <v>197</v>
      </c>
      <c r="D342">
        <v>18</v>
      </c>
    </row>
    <row r="343" spans="1:4" x14ac:dyDescent="0.35">
      <c r="A343">
        <v>2010</v>
      </c>
      <c r="B343" t="s">
        <v>35</v>
      </c>
      <c r="C343" t="s">
        <v>198</v>
      </c>
      <c r="D343">
        <v>1774</v>
      </c>
    </row>
    <row r="344" spans="1:4" x14ac:dyDescent="0.35">
      <c r="A344">
        <v>2010</v>
      </c>
      <c r="B344" t="s">
        <v>39</v>
      </c>
      <c r="C344" t="s">
        <v>39</v>
      </c>
      <c r="D344">
        <v>132</v>
      </c>
    </row>
    <row r="345" spans="1:4" x14ac:dyDescent="0.35">
      <c r="A345">
        <v>2010</v>
      </c>
      <c r="B345" t="s">
        <v>38</v>
      </c>
      <c r="C345" t="s">
        <v>199</v>
      </c>
      <c r="D345">
        <v>32</v>
      </c>
    </row>
    <row r="346" spans="1:4" x14ac:dyDescent="0.35">
      <c r="A346">
        <v>2010</v>
      </c>
      <c r="B346" t="s">
        <v>34</v>
      </c>
      <c r="C346" t="s">
        <v>200</v>
      </c>
      <c r="D346">
        <v>46</v>
      </c>
    </row>
    <row r="347" spans="1:4" x14ac:dyDescent="0.35">
      <c r="A347">
        <v>2010</v>
      </c>
      <c r="B347" t="s">
        <v>38</v>
      </c>
      <c r="C347" t="s">
        <v>19</v>
      </c>
      <c r="D347">
        <v>274</v>
      </c>
    </row>
    <row r="348" spans="1:4" x14ac:dyDescent="0.35">
      <c r="A348">
        <v>2010</v>
      </c>
      <c r="B348" t="s">
        <v>34</v>
      </c>
      <c r="C348" t="s">
        <v>201</v>
      </c>
      <c r="D348">
        <v>722</v>
      </c>
    </row>
    <row r="349" spans="1:4" x14ac:dyDescent="0.35">
      <c r="A349">
        <v>2010</v>
      </c>
      <c r="B349" t="s">
        <v>34</v>
      </c>
      <c r="C349" t="s">
        <v>202</v>
      </c>
      <c r="D349">
        <v>23</v>
      </c>
    </row>
    <row r="350" spans="1:4" x14ac:dyDescent="0.35">
      <c r="A350">
        <v>2010</v>
      </c>
      <c r="B350" t="s">
        <v>33</v>
      </c>
      <c r="C350" t="s">
        <v>203</v>
      </c>
      <c r="D350">
        <v>16</v>
      </c>
    </row>
    <row r="351" spans="1:4" x14ac:dyDescent="0.35">
      <c r="A351">
        <v>2010</v>
      </c>
      <c r="B351" t="s">
        <v>33</v>
      </c>
      <c r="C351" t="s">
        <v>204</v>
      </c>
      <c r="D351">
        <v>42</v>
      </c>
    </row>
    <row r="352" spans="1:4" x14ac:dyDescent="0.35">
      <c r="A352">
        <v>2011</v>
      </c>
      <c r="B352" t="s">
        <v>34</v>
      </c>
      <c r="C352" t="s">
        <v>40</v>
      </c>
      <c r="D352">
        <v>93</v>
      </c>
    </row>
    <row r="353" spans="1:4" x14ac:dyDescent="0.35">
      <c r="A353">
        <v>2011</v>
      </c>
      <c r="B353" t="s">
        <v>35</v>
      </c>
      <c r="C353" t="s">
        <v>41</v>
      </c>
      <c r="D353">
        <v>36</v>
      </c>
    </row>
    <row r="354" spans="1:4" x14ac:dyDescent="0.35">
      <c r="A354">
        <v>2011</v>
      </c>
      <c r="B354" t="s">
        <v>33</v>
      </c>
      <c r="C354" t="s">
        <v>42</v>
      </c>
      <c r="D354">
        <v>56</v>
      </c>
    </row>
    <row r="355" spans="1:4" x14ac:dyDescent="0.35">
      <c r="A355">
        <v>2011</v>
      </c>
      <c r="C355" t="s">
        <v>373</v>
      </c>
      <c r="D355">
        <v>70</v>
      </c>
    </row>
    <row r="356" spans="1:4" x14ac:dyDescent="0.35">
      <c r="A356">
        <v>2011</v>
      </c>
      <c r="B356" t="s">
        <v>37</v>
      </c>
      <c r="C356" t="s">
        <v>386</v>
      </c>
      <c r="D356">
        <v>4</v>
      </c>
    </row>
    <row r="357" spans="1:4" x14ac:dyDescent="0.35">
      <c r="A357">
        <v>2011</v>
      </c>
      <c r="B357" t="s">
        <v>33</v>
      </c>
      <c r="C357" t="s">
        <v>43</v>
      </c>
      <c r="D357">
        <v>11</v>
      </c>
    </row>
    <row r="358" spans="1:4" x14ac:dyDescent="0.35">
      <c r="A358">
        <v>2011</v>
      </c>
      <c r="B358" t="s">
        <v>36</v>
      </c>
      <c r="C358" t="s">
        <v>44</v>
      </c>
      <c r="D358">
        <v>9</v>
      </c>
    </row>
    <row r="359" spans="1:4" x14ac:dyDescent="0.35">
      <c r="A359">
        <v>2011</v>
      </c>
      <c r="B359" t="s">
        <v>38</v>
      </c>
      <c r="C359" t="s">
        <v>45</v>
      </c>
      <c r="D359">
        <v>89</v>
      </c>
    </row>
    <row r="360" spans="1:4" x14ac:dyDescent="0.35">
      <c r="A360">
        <v>2011</v>
      </c>
      <c r="B360" t="s">
        <v>34</v>
      </c>
      <c r="C360" t="s">
        <v>46</v>
      </c>
      <c r="D360">
        <v>6</v>
      </c>
    </row>
    <row r="361" spans="1:4" x14ac:dyDescent="0.35">
      <c r="A361">
        <v>2011</v>
      </c>
      <c r="B361" t="s">
        <v>37</v>
      </c>
      <c r="C361" t="s">
        <v>47</v>
      </c>
      <c r="D361">
        <v>351</v>
      </c>
    </row>
    <row r="362" spans="1:4" x14ac:dyDescent="0.35">
      <c r="A362">
        <v>2011</v>
      </c>
      <c r="B362" t="s">
        <v>35</v>
      </c>
      <c r="C362" t="s">
        <v>48</v>
      </c>
      <c r="D362">
        <v>57</v>
      </c>
    </row>
    <row r="363" spans="1:4" x14ac:dyDescent="0.35">
      <c r="A363">
        <v>2011</v>
      </c>
      <c r="B363" t="s">
        <v>34</v>
      </c>
      <c r="C363" t="s">
        <v>49</v>
      </c>
      <c r="D363">
        <v>52</v>
      </c>
    </row>
    <row r="364" spans="1:4" x14ac:dyDescent="0.35">
      <c r="A364">
        <v>2011</v>
      </c>
      <c r="B364" t="s">
        <v>36</v>
      </c>
      <c r="C364" t="s">
        <v>50</v>
      </c>
      <c r="D364">
        <v>433</v>
      </c>
    </row>
    <row r="365" spans="1:4" x14ac:dyDescent="0.35">
      <c r="A365">
        <v>2011</v>
      </c>
      <c r="B365" t="s">
        <v>34</v>
      </c>
      <c r="C365" t="s">
        <v>51</v>
      </c>
      <c r="D365">
        <v>4</v>
      </c>
    </row>
    <row r="366" spans="1:4" x14ac:dyDescent="0.35">
      <c r="A366">
        <v>2011</v>
      </c>
      <c r="B366" t="s">
        <v>34</v>
      </c>
      <c r="C366" t="s">
        <v>52</v>
      </c>
      <c r="D366">
        <v>248</v>
      </c>
    </row>
    <row r="367" spans="1:4" x14ac:dyDescent="0.35">
      <c r="A367">
        <v>2011</v>
      </c>
      <c r="B367" t="s">
        <v>36</v>
      </c>
      <c r="C367" t="s">
        <v>53</v>
      </c>
      <c r="D367">
        <v>43</v>
      </c>
    </row>
    <row r="368" spans="1:4" x14ac:dyDescent="0.35">
      <c r="A368">
        <v>2011</v>
      </c>
      <c r="B368" t="s">
        <v>35</v>
      </c>
      <c r="C368" t="s">
        <v>54</v>
      </c>
      <c r="D368">
        <v>71</v>
      </c>
    </row>
    <row r="369" spans="1:4" x14ac:dyDescent="0.35">
      <c r="A369">
        <v>2011</v>
      </c>
      <c r="B369" t="s">
        <v>35</v>
      </c>
      <c r="C369" t="s">
        <v>55</v>
      </c>
      <c r="D369">
        <v>111</v>
      </c>
    </row>
    <row r="370" spans="1:4" x14ac:dyDescent="0.35">
      <c r="A370">
        <v>2011</v>
      </c>
      <c r="B370" t="s">
        <v>36</v>
      </c>
      <c r="C370" t="s">
        <v>56</v>
      </c>
      <c r="D370">
        <v>39</v>
      </c>
    </row>
    <row r="371" spans="1:4" x14ac:dyDescent="0.35">
      <c r="A371">
        <v>2011</v>
      </c>
      <c r="B371" t="s">
        <v>33</v>
      </c>
      <c r="C371" t="s">
        <v>57</v>
      </c>
      <c r="D371">
        <v>21</v>
      </c>
    </row>
    <row r="372" spans="1:4" x14ac:dyDescent="0.35">
      <c r="A372">
        <v>2011</v>
      </c>
      <c r="B372" t="s">
        <v>36</v>
      </c>
      <c r="C372" t="s">
        <v>363</v>
      </c>
      <c r="D372">
        <v>115</v>
      </c>
    </row>
    <row r="373" spans="1:4" x14ac:dyDescent="0.35">
      <c r="A373">
        <v>2011</v>
      </c>
      <c r="B373" t="s">
        <v>38</v>
      </c>
      <c r="C373" t="s">
        <v>59</v>
      </c>
      <c r="D373">
        <v>99</v>
      </c>
    </row>
    <row r="374" spans="1:4" x14ac:dyDescent="0.35">
      <c r="A374">
        <v>2011</v>
      </c>
      <c r="B374" t="s">
        <v>35</v>
      </c>
      <c r="C374" t="s">
        <v>60</v>
      </c>
      <c r="D374">
        <v>24</v>
      </c>
    </row>
    <row r="375" spans="1:4" x14ac:dyDescent="0.35">
      <c r="A375">
        <v>2011</v>
      </c>
      <c r="B375" t="s">
        <v>38</v>
      </c>
      <c r="C375" t="s">
        <v>21</v>
      </c>
      <c r="D375">
        <v>721</v>
      </c>
    </row>
    <row r="376" spans="1:4" x14ac:dyDescent="0.35">
      <c r="A376">
        <v>2011</v>
      </c>
      <c r="B376" t="s">
        <v>36</v>
      </c>
      <c r="C376" t="s">
        <v>364</v>
      </c>
      <c r="D376">
        <v>5</v>
      </c>
    </row>
    <row r="377" spans="1:4" x14ac:dyDescent="0.35">
      <c r="A377">
        <v>2011</v>
      </c>
      <c r="B377" t="s">
        <v>35</v>
      </c>
      <c r="C377" t="s">
        <v>62</v>
      </c>
      <c r="D377">
        <v>199</v>
      </c>
    </row>
    <row r="378" spans="1:4" x14ac:dyDescent="0.35">
      <c r="A378">
        <v>2011</v>
      </c>
      <c r="B378" t="s">
        <v>33</v>
      </c>
      <c r="C378" t="s">
        <v>63</v>
      </c>
      <c r="D378">
        <v>8</v>
      </c>
    </row>
    <row r="379" spans="1:4" x14ac:dyDescent="0.35">
      <c r="A379">
        <v>2011</v>
      </c>
      <c r="B379" t="s">
        <v>34</v>
      </c>
      <c r="C379" t="s">
        <v>64</v>
      </c>
      <c r="D379">
        <v>2582</v>
      </c>
    </row>
    <row r="380" spans="1:4" x14ac:dyDescent="0.35">
      <c r="A380">
        <v>2011</v>
      </c>
      <c r="B380" t="s">
        <v>33</v>
      </c>
      <c r="C380" t="s">
        <v>65</v>
      </c>
      <c r="D380">
        <v>11</v>
      </c>
    </row>
    <row r="381" spans="1:4" x14ac:dyDescent="0.35">
      <c r="A381">
        <v>2011</v>
      </c>
      <c r="B381" t="s">
        <v>34</v>
      </c>
      <c r="C381" t="s">
        <v>67</v>
      </c>
      <c r="D381">
        <v>15</v>
      </c>
    </row>
    <row r="382" spans="1:4" x14ac:dyDescent="0.35">
      <c r="A382">
        <v>2011</v>
      </c>
      <c r="B382" t="s">
        <v>33</v>
      </c>
      <c r="C382" t="s">
        <v>68</v>
      </c>
      <c r="D382">
        <v>66</v>
      </c>
    </row>
    <row r="383" spans="1:4" x14ac:dyDescent="0.35">
      <c r="A383">
        <v>2011</v>
      </c>
      <c r="B383" t="s">
        <v>36</v>
      </c>
      <c r="C383" t="s">
        <v>69</v>
      </c>
      <c r="D383">
        <v>28274</v>
      </c>
    </row>
    <row r="384" spans="1:4" x14ac:dyDescent="0.35">
      <c r="A384">
        <v>2011</v>
      </c>
      <c r="B384" t="s">
        <v>33</v>
      </c>
      <c r="C384" t="s">
        <v>66</v>
      </c>
      <c r="D384">
        <v>26</v>
      </c>
    </row>
    <row r="385" spans="1:4" x14ac:dyDescent="0.35">
      <c r="A385">
        <v>2011</v>
      </c>
      <c r="B385" t="s">
        <v>36</v>
      </c>
      <c r="C385" t="s">
        <v>365</v>
      </c>
      <c r="D385">
        <v>6</v>
      </c>
    </row>
    <row r="386" spans="1:4" x14ac:dyDescent="0.35">
      <c r="A386">
        <v>2011</v>
      </c>
      <c r="B386" t="s">
        <v>38</v>
      </c>
      <c r="C386" t="s">
        <v>72</v>
      </c>
      <c r="D386">
        <v>125</v>
      </c>
    </row>
    <row r="387" spans="1:4" x14ac:dyDescent="0.35">
      <c r="A387">
        <v>2011</v>
      </c>
      <c r="B387" t="s">
        <v>34</v>
      </c>
      <c r="C387" t="s">
        <v>73</v>
      </c>
      <c r="D387">
        <v>16234</v>
      </c>
    </row>
    <row r="388" spans="1:4" x14ac:dyDescent="0.35">
      <c r="A388">
        <v>2011</v>
      </c>
      <c r="B388" t="s">
        <v>38</v>
      </c>
      <c r="C388" t="s">
        <v>20</v>
      </c>
      <c r="D388">
        <v>645</v>
      </c>
    </row>
    <row r="389" spans="1:4" x14ac:dyDescent="0.35">
      <c r="A389">
        <v>2011</v>
      </c>
      <c r="B389" t="s">
        <v>33</v>
      </c>
      <c r="C389" t="s">
        <v>74</v>
      </c>
      <c r="D389">
        <v>10</v>
      </c>
    </row>
    <row r="390" spans="1:4" x14ac:dyDescent="0.35">
      <c r="A390">
        <v>2011</v>
      </c>
      <c r="B390" t="s">
        <v>33</v>
      </c>
      <c r="C390" t="s">
        <v>75</v>
      </c>
      <c r="D390">
        <v>33</v>
      </c>
    </row>
    <row r="391" spans="1:4" x14ac:dyDescent="0.35">
      <c r="A391">
        <v>2011</v>
      </c>
      <c r="B391" t="s">
        <v>36</v>
      </c>
      <c r="C391" t="s">
        <v>76</v>
      </c>
      <c r="D391">
        <v>132</v>
      </c>
    </row>
    <row r="392" spans="1:4" x14ac:dyDescent="0.35">
      <c r="A392">
        <v>2011</v>
      </c>
      <c r="B392" t="s">
        <v>33</v>
      </c>
      <c r="C392" t="s">
        <v>77</v>
      </c>
      <c r="D392">
        <v>43</v>
      </c>
    </row>
    <row r="393" spans="1:4" x14ac:dyDescent="0.35">
      <c r="A393">
        <v>2011</v>
      </c>
      <c r="B393" t="s">
        <v>35</v>
      </c>
      <c r="C393" t="s">
        <v>78</v>
      </c>
      <c r="D393">
        <v>158</v>
      </c>
    </row>
    <row r="394" spans="1:4" x14ac:dyDescent="0.35">
      <c r="A394">
        <v>2011</v>
      </c>
      <c r="B394" t="s">
        <v>36</v>
      </c>
      <c r="C394" t="s">
        <v>79</v>
      </c>
      <c r="D394">
        <v>105</v>
      </c>
    </row>
    <row r="395" spans="1:4" x14ac:dyDescent="0.35">
      <c r="A395">
        <v>2011</v>
      </c>
      <c r="B395" t="s">
        <v>34</v>
      </c>
      <c r="C395" t="s">
        <v>80</v>
      </c>
      <c r="D395">
        <v>5</v>
      </c>
    </row>
    <row r="396" spans="1:4" x14ac:dyDescent="0.35">
      <c r="A396">
        <v>2011</v>
      </c>
      <c r="B396" t="s">
        <v>35</v>
      </c>
      <c r="C396" t="s">
        <v>81</v>
      </c>
      <c r="D396">
        <v>105</v>
      </c>
    </row>
    <row r="397" spans="1:4" x14ac:dyDescent="0.35">
      <c r="A397">
        <v>2011</v>
      </c>
      <c r="B397" t="s">
        <v>35</v>
      </c>
      <c r="C397" t="s">
        <v>214</v>
      </c>
      <c r="D397">
        <v>23</v>
      </c>
    </row>
    <row r="398" spans="1:4" x14ac:dyDescent="0.35">
      <c r="A398">
        <v>2011</v>
      </c>
      <c r="B398" t="s">
        <v>35</v>
      </c>
      <c r="C398" t="s">
        <v>82</v>
      </c>
      <c r="D398">
        <v>72</v>
      </c>
    </row>
    <row r="399" spans="1:4" x14ac:dyDescent="0.35">
      <c r="A399">
        <v>2011</v>
      </c>
      <c r="B399" t="s">
        <v>36</v>
      </c>
      <c r="C399" t="s">
        <v>84</v>
      </c>
      <c r="D399">
        <v>37</v>
      </c>
    </row>
    <row r="400" spans="1:4" x14ac:dyDescent="0.35">
      <c r="A400">
        <v>2011</v>
      </c>
      <c r="B400" t="s">
        <v>36</v>
      </c>
      <c r="C400" t="s">
        <v>85</v>
      </c>
      <c r="D400">
        <v>763</v>
      </c>
    </row>
    <row r="401" spans="1:4" x14ac:dyDescent="0.35">
      <c r="A401">
        <v>2011</v>
      </c>
      <c r="B401" t="s">
        <v>38</v>
      </c>
      <c r="C401" t="s">
        <v>86</v>
      </c>
      <c r="D401">
        <v>336</v>
      </c>
    </row>
    <row r="402" spans="1:4" x14ac:dyDescent="0.35">
      <c r="A402">
        <v>2011</v>
      </c>
      <c r="B402" t="s">
        <v>33</v>
      </c>
      <c r="C402" t="s">
        <v>87</v>
      </c>
      <c r="D402">
        <v>326</v>
      </c>
    </row>
    <row r="403" spans="1:4" x14ac:dyDescent="0.35">
      <c r="A403">
        <v>2011</v>
      </c>
      <c r="B403" t="s">
        <v>36</v>
      </c>
      <c r="C403" t="s">
        <v>16</v>
      </c>
      <c r="D403">
        <v>1021</v>
      </c>
    </row>
    <row r="404" spans="1:4" x14ac:dyDescent="0.35">
      <c r="A404">
        <v>2011</v>
      </c>
      <c r="B404" t="s">
        <v>33</v>
      </c>
      <c r="C404" t="s">
        <v>89</v>
      </c>
      <c r="D404">
        <v>11</v>
      </c>
    </row>
    <row r="405" spans="1:4" x14ac:dyDescent="0.35">
      <c r="A405">
        <v>2011</v>
      </c>
      <c r="B405" t="s">
        <v>35</v>
      </c>
      <c r="C405" t="s">
        <v>90</v>
      </c>
      <c r="D405">
        <v>42</v>
      </c>
    </row>
    <row r="406" spans="1:4" x14ac:dyDescent="0.35">
      <c r="A406">
        <v>2011</v>
      </c>
      <c r="B406" t="s">
        <v>33</v>
      </c>
      <c r="C406" t="s">
        <v>91</v>
      </c>
      <c r="D406">
        <v>54</v>
      </c>
    </row>
    <row r="407" spans="1:4" x14ac:dyDescent="0.35">
      <c r="A407">
        <v>2011</v>
      </c>
      <c r="B407" t="s">
        <v>37</v>
      </c>
      <c r="C407" t="s">
        <v>92</v>
      </c>
      <c r="D407">
        <v>72</v>
      </c>
    </row>
    <row r="408" spans="1:4" x14ac:dyDescent="0.35">
      <c r="A408">
        <v>2011</v>
      </c>
      <c r="B408" t="s">
        <v>35</v>
      </c>
      <c r="C408" t="s">
        <v>93</v>
      </c>
      <c r="D408">
        <v>50</v>
      </c>
    </row>
    <row r="409" spans="1:4" x14ac:dyDescent="0.35">
      <c r="A409">
        <v>2011</v>
      </c>
      <c r="B409" t="s">
        <v>35</v>
      </c>
      <c r="C409" t="s">
        <v>94</v>
      </c>
      <c r="D409">
        <v>842</v>
      </c>
    </row>
    <row r="410" spans="1:4" x14ac:dyDescent="0.35">
      <c r="A410">
        <v>2011</v>
      </c>
      <c r="B410" t="s">
        <v>33</v>
      </c>
      <c r="C410" t="s">
        <v>95</v>
      </c>
      <c r="D410">
        <v>10</v>
      </c>
    </row>
    <row r="411" spans="1:4" x14ac:dyDescent="0.35">
      <c r="A411">
        <v>2011</v>
      </c>
      <c r="B411" t="s">
        <v>33</v>
      </c>
      <c r="C411" t="s">
        <v>96</v>
      </c>
      <c r="D411">
        <v>14</v>
      </c>
    </row>
    <row r="412" spans="1:4" x14ac:dyDescent="0.35">
      <c r="A412">
        <v>2011</v>
      </c>
      <c r="B412" t="s">
        <v>34</v>
      </c>
      <c r="C412" t="s">
        <v>8</v>
      </c>
      <c r="D412">
        <v>107</v>
      </c>
    </row>
    <row r="413" spans="1:4" x14ac:dyDescent="0.35">
      <c r="A413">
        <v>2011</v>
      </c>
      <c r="B413" t="s">
        <v>35</v>
      </c>
      <c r="C413" t="s">
        <v>97</v>
      </c>
      <c r="D413">
        <v>627</v>
      </c>
    </row>
    <row r="414" spans="1:4" x14ac:dyDescent="0.35">
      <c r="A414">
        <v>2011</v>
      </c>
      <c r="B414" t="s">
        <v>33</v>
      </c>
      <c r="C414" t="s">
        <v>98</v>
      </c>
      <c r="D414">
        <v>150</v>
      </c>
    </row>
    <row r="415" spans="1:4" x14ac:dyDescent="0.35">
      <c r="A415">
        <v>2011</v>
      </c>
      <c r="B415" t="s">
        <v>35</v>
      </c>
      <c r="C415" t="s">
        <v>99</v>
      </c>
      <c r="D415">
        <v>291</v>
      </c>
    </row>
    <row r="416" spans="1:4" x14ac:dyDescent="0.35">
      <c r="A416">
        <v>2011</v>
      </c>
      <c r="B416" t="s">
        <v>36</v>
      </c>
      <c r="C416" t="s">
        <v>100</v>
      </c>
      <c r="D416">
        <v>16</v>
      </c>
    </row>
    <row r="417" spans="1:4" x14ac:dyDescent="0.35">
      <c r="A417">
        <v>2011</v>
      </c>
      <c r="B417" t="s">
        <v>36</v>
      </c>
      <c r="C417" t="s">
        <v>15</v>
      </c>
      <c r="D417">
        <v>3026</v>
      </c>
    </row>
    <row r="418" spans="1:4" x14ac:dyDescent="0.35">
      <c r="A418">
        <v>2011</v>
      </c>
      <c r="B418" t="s">
        <v>33</v>
      </c>
      <c r="C418" t="s">
        <v>101</v>
      </c>
      <c r="D418">
        <v>25</v>
      </c>
    </row>
    <row r="419" spans="1:4" x14ac:dyDescent="0.35">
      <c r="A419">
        <v>2011</v>
      </c>
      <c r="B419" t="s">
        <v>38</v>
      </c>
      <c r="C419" t="s">
        <v>103</v>
      </c>
      <c r="D419">
        <v>167</v>
      </c>
    </row>
    <row r="420" spans="1:4" x14ac:dyDescent="0.35">
      <c r="A420">
        <v>2011</v>
      </c>
      <c r="B420" t="s">
        <v>36</v>
      </c>
      <c r="C420" t="s">
        <v>104</v>
      </c>
      <c r="D420">
        <v>210</v>
      </c>
    </row>
    <row r="421" spans="1:4" x14ac:dyDescent="0.35">
      <c r="A421">
        <v>2011</v>
      </c>
      <c r="B421" t="s">
        <v>36</v>
      </c>
      <c r="C421" t="s">
        <v>17</v>
      </c>
      <c r="D421">
        <v>1553</v>
      </c>
    </row>
    <row r="422" spans="1:4" x14ac:dyDescent="0.35">
      <c r="A422">
        <v>2011</v>
      </c>
      <c r="B422" t="s">
        <v>34</v>
      </c>
      <c r="C422" t="s">
        <v>368</v>
      </c>
      <c r="D422">
        <v>92</v>
      </c>
    </row>
    <row r="423" spans="1:4" x14ac:dyDescent="0.35">
      <c r="A423">
        <v>2011</v>
      </c>
      <c r="B423" t="s">
        <v>35</v>
      </c>
      <c r="C423" t="s">
        <v>105</v>
      </c>
      <c r="D423">
        <v>152</v>
      </c>
    </row>
    <row r="424" spans="1:4" x14ac:dyDescent="0.35">
      <c r="A424">
        <v>2011</v>
      </c>
      <c r="B424" t="s">
        <v>35</v>
      </c>
      <c r="C424" t="s">
        <v>106</v>
      </c>
      <c r="D424">
        <v>9</v>
      </c>
    </row>
    <row r="425" spans="1:4" x14ac:dyDescent="0.35">
      <c r="A425">
        <v>2011</v>
      </c>
      <c r="B425" t="s">
        <v>34</v>
      </c>
      <c r="C425" t="s">
        <v>22</v>
      </c>
      <c r="D425">
        <v>4136</v>
      </c>
    </row>
    <row r="426" spans="1:4" x14ac:dyDescent="0.35">
      <c r="A426">
        <v>2011</v>
      </c>
      <c r="B426" t="s">
        <v>34</v>
      </c>
      <c r="C426" t="s">
        <v>107</v>
      </c>
      <c r="D426">
        <v>1587</v>
      </c>
    </row>
    <row r="427" spans="1:4" x14ac:dyDescent="0.35">
      <c r="A427">
        <v>2011</v>
      </c>
      <c r="B427" t="s">
        <v>34</v>
      </c>
      <c r="C427" t="s">
        <v>108</v>
      </c>
      <c r="D427">
        <v>315</v>
      </c>
    </row>
    <row r="428" spans="1:4" x14ac:dyDescent="0.35">
      <c r="A428">
        <v>2011</v>
      </c>
      <c r="B428" t="s">
        <v>34</v>
      </c>
      <c r="C428" t="s">
        <v>109</v>
      </c>
      <c r="D428">
        <v>107</v>
      </c>
    </row>
    <row r="429" spans="1:4" x14ac:dyDescent="0.35">
      <c r="A429">
        <v>2011</v>
      </c>
      <c r="B429" t="s">
        <v>35</v>
      </c>
      <c r="C429" t="s">
        <v>110</v>
      </c>
      <c r="D429">
        <v>182</v>
      </c>
    </row>
    <row r="430" spans="1:4" x14ac:dyDescent="0.35">
      <c r="A430">
        <v>2011</v>
      </c>
      <c r="B430" t="s">
        <v>34</v>
      </c>
      <c r="C430" t="s">
        <v>111</v>
      </c>
      <c r="D430">
        <v>341</v>
      </c>
    </row>
    <row r="431" spans="1:4" x14ac:dyDescent="0.35">
      <c r="A431">
        <v>2011</v>
      </c>
      <c r="B431" t="s">
        <v>35</v>
      </c>
      <c r="C431" t="s">
        <v>112</v>
      </c>
      <c r="D431">
        <v>739</v>
      </c>
    </row>
    <row r="432" spans="1:4" x14ac:dyDescent="0.35">
      <c r="A432">
        <v>2011</v>
      </c>
      <c r="B432" t="s">
        <v>36</v>
      </c>
      <c r="C432" t="s">
        <v>113</v>
      </c>
      <c r="D432">
        <v>458</v>
      </c>
    </row>
    <row r="433" spans="1:4" x14ac:dyDescent="0.35">
      <c r="A433">
        <v>2011</v>
      </c>
      <c r="B433" t="s">
        <v>34</v>
      </c>
      <c r="C433" t="s">
        <v>114</v>
      </c>
      <c r="D433">
        <v>461</v>
      </c>
    </row>
    <row r="434" spans="1:4" x14ac:dyDescent="0.35">
      <c r="A434">
        <v>2011</v>
      </c>
      <c r="B434" t="s">
        <v>34</v>
      </c>
      <c r="C434" t="s">
        <v>115</v>
      </c>
      <c r="D434">
        <v>138</v>
      </c>
    </row>
    <row r="435" spans="1:4" x14ac:dyDescent="0.35">
      <c r="A435">
        <v>2011</v>
      </c>
      <c r="B435" t="s">
        <v>34</v>
      </c>
      <c r="C435" t="s">
        <v>116</v>
      </c>
      <c r="D435">
        <v>37</v>
      </c>
    </row>
    <row r="436" spans="1:4" x14ac:dyDescent="0.35">
      <c r="A436">
        <v>2011</v>
      </c>
      <c r="B436" t="s">
        <v>33</v>
      </c>
      <c r="C436" t="s">
        <v>117</v>
      </c>
      <c r="D436">
        <v>124</v>
      </c>
    </row>
    <row r="437" spans="1:4" x14ac:dyDescent="0.35">
      <c r="A437">
        <v>2011</v>
      </c>
      <c r="B437" t="s">
        <v>37</v>
      </c>
      <c r="C437" t="s">
        <v>390</v>
      </c>
      <c r="D437">
        <v>46</v>
      </c>
    </row>
    <row r="438" spans="1:4" x14ac:dyDescent="0.35">
      <c r="A438">
        <v>2011</v>
      </c>
      <c r="B438" t="s">
        <v>34</v>
      </c>
      <c r="C438" t="s">
        <v>118</v>
      </c>
      <c r="D438">
        <v>1619</v>
      </c>
    </row>
    <row r="439" spans="1:4" x14ac:dyDescent="0.35">
      <c r="A439">
        <v>2011</v>
      </c>
      <c r="B439" t="s">
        <v>35</v>
      </c>
      <c r="C439" t="s">
        <v>119</v>
      </c>
      <c r="D439" t="s">
        <v>205</v>
      </c>
    </row>
    <row r="440" spans="1:4" x14ac:dyDescent="0.35">
      <c r="A440">
        <v>2011</v>
      </c>
      <c r="B440" t="s">
        <v>34</v>
      </c>
      <c r="C440" t="s">
        <v>120</v>
      </c>
      <c r="D440">
        <v>40</v>
      </c>
    </row>
    <row r="441" spans="1:4" x14ac:dyDescent="0.35">
      <c r="A441">
        <v>2011</v>
      </c>
      <c r="B441" t="s">
        <v>34</v>
      </c>
      <c r="C441" t="s">
        <v>121</v>
      </c>
      <c r="D441">
        <v>15</v>
      </c>
    </row>
    <row r="442" spans="1:4" x14ac:dyDescent="0.35">
      <c r="A442">
        <v>2011</v>
      </c>
      <c r="B442" t="s">
        <v>34</v>
      </c>
      <c r="C442" t="s">
        <v>122</v>
      </c>
      <c r="D442">
        <v>6</v>
      </c>
    </row>
    <row r="443" spans="1:4" x14ac:dyDescent="0.35">
      <c r="A443">
        <v>2011</v>
      </c>
      <c r="B443" t="s">
        <v>35</v>
      </c>
      <c r="C443" t="s">
        <v>123</v>
      </c>
      <c r="D443">
        <v>167</v>
      </c>
    </row>
    <row r="444" spans="1:4" x14ac:dyDescent="0.35">
      <c r="A444">
        <v>2011</v>
      </c>
      <c r="B444" t="s">
        <v>34</v>
      </c>
      <c r="C444" t="s">
        <v>124</v>
      </c>
      <c r="D444">
        <v>126</v>
      </c>
    </row>
    <row r="445" spans="1:4" x14ac:dyDescent="0.35">
      <c r="A445">
        <v>2011</v>
      </c>
      <c r="B445" t="s">
        <v>33</v>
      </c>
      <c r="C445" t="s">
        <v>125</v>
      </c>
      <c r="D445">
        <v>25</v>
      </c>
    </row>
    <row r="446" spans="1:4" x14ac:dyDescent="0.35">
      <c r="A446">
        <v>2011</v>
      </c>
      <c r="B446" t="s">
        <v>33</v>
      </c>
      <c r="C446" t="s">
        <v>126</v>
      </c>
      <c r="D446">
        <v>41</v>
      </c>
    </row>
    <row r="447" spans="1:4" x14ac:dyDescent="0.35">
      <c r="A447">
        <v>2011</v>
      </c>
      <c r="B447" t="s">
        <v>35</v>
      </c>
      <c r="C447" t="s">
        <v>127</v>
      </c>
      <c r="D447">
        <v>470</v>
      </c>
    </row>
    <row r="448" spans="1:4" x14ac:dyDescent="0.35">
      <c r="A448">
        <v>2011</v>
      </c>
      <c r="B448" t="s">
        <v>35</v>
      </c>
      <c r="C448" t="s">
        <v>322</v>
      </c>
      <c r="D448">
        <v>37</v>
      </c>
    </row>
    <row r="449" spans="1:4" x14ac:dyDescent="0.35">
      <c r="A449">
        <v>2011</v>
      </c>
      <c r="B449" t="s">
        <v>33</v>
      </c>
      <c r="C449" t="s">
        <v>129</v>
      </c>
      <c r="D449">
        <v>40</v>
      </c>
    </row>
    <row r="450" spans="1:4" x14ac:dyDescent="0.35">
      <c r="A450">
        <v>2011</v>
      </c>
      <c r="B450" t="s">
        <v>34</v>
      </c>
      <c r="C450" t="s">
        <v>131</v>
      </c>
      <c r="D450">
        <v>156</v>
      </c>
    </row>
    <row r="451" spans="1:4" x14ac:dyDescent="0.35">
      <c r="A451">
        <v>2011</v>
      </c>
      <c r="B451" t="s">
        <v>34</v>
      </c>
      <c r="C451" t="s">
        <v>389</v>
      </c>
      <c r="D451">
        <v>58</v>
      </c>
    </row>
    <row r="452" spans="1:4" x14ac:dyDescent="0.35">
      <c r="A452">
        <v>2011</v>
      </c>
      <c r="B452" t="s">
        <v>33</v>
      </c>
      <c r="C452" t="s">
        <v>132</v>
      </c>
      <c r="D452">
        <v>21</v>
      </c>
    </row>
    <row r="453" spans="1:4" x14ac:dyDescent="0.35">
      <c r="A453">
        <v>2011</v>
      </c>
      <c r="B453" t="s">
        <v>35</v>
      </c>
      <c r="C453" t="s">
        <v>133</v>
      </c>
      <c r="D453">
        <v>14</v>
      </c>
    </row>
    <row r="454" spans="1:4" x14ac:dyDescent="0.35">
      <c r="A454">
        <v>2011</v>
      </c>
      <c r="B454" t="s">
        <v>37</v>
      </c>
      <c r="C454" t="s">
        <v>134</v>
      </c>
      <c r="D454" t="s">
        <v>205</v>
      </c>
    </row>
    <row r="455" spans="1:4" x14ac:dyDescent="0.35">
      <c r="A455">
        <v>2011</v>
      </c>
      <c r="B455" t="s">
        <v>33</v>
      </c>
      <c r="C455" t="s">
        <v>136</v>
      </c>
      <c r="D455">
        <v>246</v>
      </c>
    </row>
    <row r="456" spans="1:4" x14ac:dyDescent="0.35">
      <c r="A456">
        <v>2011</v>
      </c>
      <c r="B456" t="s">
        <v>36</v>
      </c>
      <c r="C456" t="s">
        <v>14</v>
      </c>
      <c r="D456">
        <v>205158</v>
      </c>
    </row>
    <row r="457" spans="1:4" x14ac:dyDescent="0.35">
      <c r="A457">
        <v>2011</v>
      </c>
      <c r="B457" t="s">
        <v>37</v>
      </c>
      <c r="C457" t="s">
        <v>137</v>
      </c>
      <c r="D457">
        <v>6</v>
      </c>
    </row>
    <row r="458" spans="1:4" x14ac:dyDescent="0.35">
      <c r="A458">
        <v>2011</v>
      </c>
      <c r="B458" t="s">
        <v>35</v>
      </c>
      <c r="C458" t="s">
        <v>138</v>
      </c>
      <c r="D458">
        <v>64</v>
      </c>
    </row>
    <row r="459" spans="1:4" x14ac:dyDescent="0.35">
      <c r="A459">
        <v>2011</v>
      </c>
      <c r="B459" t="s">
        <v>34</v>
      </c>
      <c r="C459" t="s">
        <v>139</v>
      </c>
      <c r="D459">
        <v>54</v>
      </c>
    </row>
    <row r="460" spans="1:4" x14ac:dyDescent="0.35">
      <c r="A460">
        <v>2011</v>
      </c>
      <c r="B460" t="s">
        <v>35</v>
      </c>
      <c r="C460" t="s">
        <v>140</v>
      </c>
      <c r="D460">
        <v>13</v>
      </c>
    </row>
    <row r="461" spans="1:4" x14ac:dyDescent="0.35">
      <c r="A461">
        <v>2011</v>
      </c>
      <c r="B461" t="s">
        <v>33</v>
      </c>
      <c r="C461" t="s">
        <v>141</v>
      </c>
      <c r="D461">
        <v>142</v>
      </c>
    </row>
    <row r="462" spans="1:4" x14ac:dyDescent="0.35">
      <c r="A462">
        <v>2011</v>
      </c>
      <c r="B462" t="s">
        <v>34</v>
      </c>
      <c r="C462" t="s">
        <v>144</v>
      </c>
      <c r="D462">
        <v>63</v>
      </c>
    </row>
    <row r="463" spans="1:4" x14ac:dyDescent="0.35">
      <c r="A463">
        <v>2011</v>
      </c>
      <c r="B463" t="s">
        <v>35</v>
      </c>
      <c r="C463" t="s">
        <v>145</v>
      </c>
      <c r="D463">
        <v>295</v>
      </c>
    </row>
    <row r="464" spans="1:4" x14ac:dyDescent="0.35">
      <c r="A464">
        <v>2011</v>
      </c>
      <c r="B464" t="s">
        <v>36</v>
      </c>
      <c r="C464" t="s">
        <v>371</v>
      </c>
      <c r="D464">
        <v>7</v>
      </c>
    </row>
    <row r="465" spans="1:4" x14ac:dyDescent="0.35">
      <c r="A465">
        <v>2011</v>
      </c>
      <c r="B465" t="s">
        <v>37</v>
      </c>
      <c r="C465" t="s">
        <v>146</v>
      </c>
      <c r="D465">
        <v>104</v>
      </c>
    </row>
    <row r="466" spans="1:4" x14ac:dyDescent="0.35">
      <c r="A466">
        <v>2011</v>
      </c>
      <c r="B466" t="s">
        <v>36</v>
      </c>
      <c r="C466" t="s">
        <v>147</v>
      </c>
      <c r="D466">
        <v>217</v>
      </c>
    </row>
    <row r="467" spans="1:4" x14ac:dyDescent="0.35">
      <c r="A467">
        <v>2011</v>
      </c>
      <c r="B467" t="s">
        <v>33</v>
      </c>
      <c r="C467" t="s">
        <v>148</v>
      </c>
      <c r="D467">
        <v>10</v>
      </c>
    </row>
    <row r="468" spans="1:4" x14ac:dyDescent="0.35">
      <c r="A468">
        <v>2011</v>
      </c>
      <c r="B468" t="s">
        <v>33</v>
      </c>
      <c r="C468" t="s">
        <v>149</v>
      </c>
      <c r="D468">
        <v>292</v>
      </c>
    </row>
    <row r="469" spans="1:4" x14ac:dyDescent="0.35">
      <c r="A469">
        <v>2011</v>
      </c>
      <c r="B469" t="s">
        <v>35</v>
      </c>
      <c r="C469" t="s">
        <v>150</v>
      </c>
      <c r="D469">
        <v>79</v>
      </c>
    </row>
    <row r="470" spans="1:4" x14ac:dyDescent="0.35">
      <c r="A470">
        <v>2011</v>
      </c>
      <c r="B470" t="s">
        <v>34</v>
      </c>
      <c r="C470" t="s">
        <v>152</v>
      </c>
      <c r="D470">
        <v>586</v>
      </c>
    </row>
    <row r="471" spans="1:4" x14ac:dyDescent="0.35">
      <c r="A471">
        <v>2011</v>
      </c>
      <c r="B471" t="s">
        <v>37</v>
      </c>
      <c r="C471" t="s">
        <v>153</v>
      </c>
      <c r="D471">
        <v>7</v>
      </c>
    </row>
    <row r="472" spans="1:4" x14ac:dyDescent="0.35">
      <c r="A472">
        <v>2011</v>
      </c>
      <c r="B472" t="s">
        <v>36</v>
      </c>
      <c r="C472" t="s">
        <v>154</v>
      </c>
      <c r="D472">
        <v>98</v>
      </c>
    </row>
    <row r="473" spans="1:4" x14ac:dyDescent="0.35">
      <c r="A473">
        <v>2011</v>
      </c>
      <c r="B473" t="s">
        <v>38</v>
      </c>
      <c r="C473" t="s">
        <v>155</v>
      </c>
      <c r="D473">
        <v>9</v>
      </c>
    </row>
    <row r="474" spans="1:4" x14ac:dyDescent="0.35">
      <c r="A474">
        <v>2011</v>
      </c>
      <c r="B474" t="s">
        <v>38</v>
      </c>
      <c r="C474" t="s">
        <v>156</v>
      </c>
      <c r="D474">
        <v>521</v>
      </c>
    </row>
    <row r="475" spans="1:4" x14ac:dyDescent="0.35">
      <c r="A475">
        <v>2011</v>
      </c>
      <c r="B475" t="s">
        <v>34</v>
      </c>
      <c r="C475" t="s">
        <v>18</v>
      </c>
      <c r="D475">
        <v>23150</v>
      </c>
    </row>
    <row r="476" spans="1:4" x14ac:dyDescent="0.35">
      <c r="A476">
        <v>2011</v>
      </c>
      <c r="B476" t="s">
        <v>35</v>
      </c>
      <c r="C476" t="s">
        <v>157</v>
      </c>
      <c r="D476">
        <v>888</v>
      </c>
    </row>
    <row r="477" spans="1:4" x14ac:dyDescent="0.35">
      <c r="A477">
        <v>2011</v>
      </c>
      <c r="B477" t="s">
        <v>35</v>
      </c>
      <c r="C477" t="s">
        <v>158</v>
      </c>
      <c r="D477">
        <v>205</v>
      </c>
    </row>
    <row r="478" spans="1:4" x14ac:dyDescent="0.35">
      <c r="A478">
        <v>2011</v>
      </c>
      <c r="B478" t="s">
        <v>34</v>
      </c>
      <c r="C478" t="s">
        <v>159</v>
      </c>
      <c r="D478">
        <v>3</v>
      </c>
    </row>
    <row r="479" spans="1:4" x14ac:dyDescent="0.35">
      <c r="A479">
        <v>2011</v>
      </c>
      <c r="B479" t="s">
        <v>35</v>
      </c>
      <c r="C479" t="s">
        <v>160</v>
      </c>
      <c r="D479">
        <v>808</v>
      </c>
    </row>
    <row r="480" spans="1:4" x14ac:dyDescent="0.35">
      <c r="A480">
        <v>2011</v>
      </c>
      <c r="B480" t="s">
        <v>35</v>
      </c>
      <c r="C480" t="s">
        <v>161</v>
      </c>
      <c r="D480">
        <v>3512</v>
      </c>
    </row>
    <row r="481" spans="1:4" x14ac:dyDescent="0.35">
      <c r="A481">
        <v>2011</v>
      </c>
      <c r="B481" t="s">
        <v>33</v>
      </c>
      <c r="C481" t="s">
        <v>162</v>
      </c>
      <c r="D481">
        <v>18</v>
      </c>
    </row>
    <row r="482" spans="1:4" x14ac:dyDescent="0.35">
      <c r="A482">
        <v>2011</v>
      </c>
      <c r="B482" t="s">
        <v>36</v>
      </c>
      <c r="C482" t="s">
        <v>163</v>
      </c>
      <c r="D482">
        <v>22</v>
      </c>
    </row>
    <row r="483" spans="1:4" x14ac:dyDescent="0.35">
      <c r="A483">
        <v>2011</v>
      </c>
      <c r="B483" t="s">
        <v>36</v>
      </c>
      <c r="C483" t="s">
        <v>164</v>
      </c>
      <c r="D483">
        <v>39</v>
      </c>
    </row>
    <row r="484" spans="1:4" x14ac:dyDescent="0.35">
      <c r="A484">
        <v>2011</v>
      </c>
      <c r="B484" t="s">
        <v>36</v>
      </c>
      <c r="C484" t="s">
        <v>165</v>
      </c>
      <c r="D484">
        <v>44</v>
      </c>
    </row>
    <row r="485" spans="1:4" x14ac:dyDescent="0.35">
      <c r="A485">
        <v>2011</v>
      </c>
      <c r="B485" t="s">
        <v>37</v>
      </c>
      <c r="C485" t="s">
        <v>166</v>
      </c>
      <c r="D485">
        <v>10</v>
      </c>
    </row>
    <row r="486" spans="1:4" x14ac:dyDescent="0.35">
      <c r="A486">
        <v>2011</v>
      </c>
      <c r="B486" t="s">
        <v>34</v>
      </c>
      <c r="C486" t="s">
        <v>167</v>
      </c>
      <c r="D486">
        <v>291</v>
      </c>
    </row>
    <row r="487" spans="1:4" x14ac:dyDescent="0.35">
      <c r="A487">
        <v>2011</v>
      </c>
      <c r="B487" t="s">
        <v>33</v>
      </c>
      <c r="C487" t="s">
        <v>168</v>
      </c>
      <c r="D487">
        <v>56</v>
      </c>
    </row>
    <row r="488" spans="1:4" x14ac:dyDescent="0.35">
      <c r="A488">
        <v>2011</v>
      </c>
      <c r="B488" t="s">
        <v>35</v>
      </c>
      <c r="C488" t="s">
        <v>169</v>
      </c>
      <c r="D488">
        <v>33</v>
      </c>
    </row>
    <row r="489" spans="1:4" x14ac:dyDescent="0.35">
      <c r="A489">
        <v>2011</v>
      </c>
      <c r="B489" t="s">
        <v>35</v>
      </c>
      <c r="C489" t="s">
        <v>215</v>
      </c>
      <c r="D489">
        <v>48</v>
      </c>
    </row>
    <row r="490" spans="1:4" x14ac:dyDescent="0.35">
      <c r="A490">
        <v>2011</v>
      </c>
      <c r="B490" t="s">
        <v>33</v>
      </c>
      <c r="C490" t="s">
        <v>170</v>
      </c>
      <c r="D490">
        <v>28</v>
      </c>
    </row>
    <row r="491" spans="1:4" x14ac:dyDescent="0.35">
      <c r="A491">
        <v>2011</v>
      </c>
      <c r="B491" t="s">
        <v>34</v>
      </c>
      <c r="C491" t="s">
        <v>171</v>
      </c>
      <c r="D491">
        <v>68</v>
      </c>
    </row>
    <row r="492" spans="1:4" x14ac:dyDescent="0.35">
      <c r="A492">
        <v>2011</v>
      </c>
      <c r="B492" t="s">
        <v>35</v>
      </c>
      <c r="C492" t="s">
        <v>172</v>
      </c>
      <c r="D492">
        <v>83</v>
      </c>
    </row>
    <row r="493" spans="1:4" x14ac:dyDescent="0.35">
      <c r="A493">
        <v>2011</v>
      </c>
      <c r="B493" t="s">
        <v>35</v>
      </c>
      <c r="C493" t="s">
        <v>173</v>
      </c>
      <c r="D493">
        <v>15</v>
      </c>
    </row>
    <row r="494" spans="1:4" x14ac:dyDescent="0.35">
      <c r="A494">
        <v>2011</v>
      </c>
      <c r="B494" t="s">
        <v>37</v>
      </c>
      <c r="C494" t="s">
        <v>388</v>
      </c>
      <c r="D494">
        <v>5</v>
      </c>
    </row>
    <row r="495" spans="1:4" x14ac:dyDescent="0.35">
      <c r="A495">
        <v>2011</v>
      </c>
      <c r="B495" t="s">
        <v>33</v>
      </c>
      <c r="C495" t="s">
        <v>174</v>
      </c>
      <c r="D495">
        <v>10</v>
      </c>
    </row>
    <row r="496" spans="1:4" x14ac:dyDescent="0.35">
      <c r="A496">
        <v>2011</v>
      </c>
      <c r="B496" t="s">
        <v>33</v>
      </c>
      <c r="C496" t="s">
        <v>175</v>
      </c>
      <c r="D496">
        <v>101</v>
      </c>
    </row>
    <row r="497" spans="1:4" x14ac:dyDescent="0.35">
      <c r="A497">
        <v>2011</v>
      </c>
      <c r="B497" t="s">
        <v>35</v>
      </c>
      <c r="C497" t="s">
        <v>216</v>
      </c>
      <c r="D497">
        <v>61</v>
      </c>
    </row>
    <row r="498" spans="1:4" x14ac:dyDescent="0.35">
      <c r="A498">
        <v>2011</v>
      </c>
      <c r="B498" t="s">
        <v>35</v>
      </c>
      <c r="C498" t="s">
        <v>177</v>
      </c>
      <c r="D498">
        <v>649</v>
      </c>
    </row>
    <row r="499" spans="1:4" x14ac:dyDescent="0.35">
      <c r="A499">
        <v>2011</v>
      </c>
      <c r="B499" t="s">
        <v>34</v>
      </c>
      <c r="C499" t="s">
        <v>178</v>
      </c>
      <c r="D499">
        <v>182</v>
      </c>
    </row>
    <row r="500" spans="1:4" x14ac:dyDescent="0.35">
      <c r="A500">
        <v>2011</v>
      </c>
      <c r="B500" t="s">
        <v>33</v>
      </c>
      <c r="C500" t="s">
        <v>179</v>
      </c>
      <c r="D500">
        <v>33</v>
      </c>
    </row>
    <row r="501" spans="1:4" x14ac:dyDescent="0.35">
      <c r="A501">
        <v>2011</v>
      </c>
      <c r="B501" t="s">
        <v>35</v>
      </c>
      <c r="C501" t="s">
        <v>182</v>
      </c>
      <c r="D501">
        <v>145</v>
      </c>
    </row>
    <row r="502" spans="1:4" x14ac:dyDescent="0.35">
      <c r="A502">
        <v>2011</v>
      </c>
      <c r="B502" t="s">
        <v>35</v>
      </c>
      <c r="C502" t="s">
        <v>183</v>
      </c>
      <c r="D502">
        <v>87</v>
      </c>
    </row>
    <row r="503" spans="1:4" x14ac:dyDescent="0.35">
      <c r="A503">
        <v>2011</v>
      </c>
      <c r="B503" t="s">
        <v>34</v>
      </c>
      <c r="C503" t="s">
        <v>184</v>
      </c>
      <c r="D503">
        <v>71</v>
      </c>
    </row>
    <row r="504" spans="1:4" x14ac:dyDescent="0.35">
      <c r="A504">
        <v>2011</v>
      </c>
      <c r="B504" t="s">
        <v>34</v>
      </c>
      <c r="C504" t="s">
        <v>185</v>
      </c>
      <c r="D504">
        <v>286</v>
      </c>
    </row>
    <row r="505" spans="1:4" x14ac:dyDescent="0.35">
      <c r="A505">
        <v>2011</v>
      </c>
      <c r="B505" t="s">
        <v>34</v>
      </c>
      <c r="C505" t="s">
        <v>186</v>
      </c>
      <c r="D505">
        <v>22</v>
      </c>
    </row>
    <row r="506" spans="1:4" x14ac:dyDescent="0.35">
      <c r="A506">
        <v>2011</v>
      </c>
      <c r="B506" t="s">
        <v>33</v>
      </c>
      <c r="C506" t="s">
        <v>187</v>
      </c>
      <c r="D506">
        <v>149</v>
      </c>
    </row>
    <row r="507" spans="1:4" x14ac:dyDescent="0.35">
      <c r="A507">
        <v>2011</v>
      </c>
      <c r="B507" t="s">
        <v>34</v>
      </c>
      <c r="C507" t="s">
        <v>188</v>
      </c>
      <c r="D507">
        <v>530</v>
      </c>
    </row>
    <row r="508" spans="1:4" x14ac:dyDescent="0.35">
      <c r="A508">
        <v>2011</v>
      </c>
      <c r="B508" t="s">
        <v>33</v>
      </c>
      <c r="C508" t="s">
        <v>189</v>
      </c>
      <c r="D508">
        <v>19</v>
      </c>
    </row>
    <row r="509" spans="1:4" x14ac:dyDescent="0.35">
      <c r="A509">
        <v>2011</v>
      </c>
      <c r="B509" t="s">
        <v>37</v>
      </c>
      <c r="C509" t="s">
        <v>190</v>
      </c>
      <c r="D509">
        <v>12</v>
      </c>
    </row>
    <row r="510" spans="1:4" x14ac:dyDescent="0.35">
      <c r="A510">
        <v>2011</v>
      </c>
      <c r="B510" t="s">
        <v>36</v>
      </c>
      <c r="C510" t="s">
        <v>191</v>
      </c>
      <c r="D510">
        <v>130</v>
      </c>
    </row>
    <row r="511" spans="1:4" x14ac:dyDescent="0.35">
      <c r="A511">
        <v>2011</v>
      </c>
      <c r="B511" t="s">
        <v>33</v>
      </c>
      <c r="C511" t="s">
        <v>192</v>
      </c>
      <c r="D511">
        <v>35</v>
      </c>
    </row>
    <row r="512" spans="1:4" x14ac:dyDescent="0.35">
      <c r="A512">
        <v>2011</v>
      </c>
      <c r="B512" t="s">
        <v>34</v>
      </c>
      <c r="C512" t="s">
        <v>193</v>
      </c>
      <c r="D512">
        <v>1879</v>
      </c>
    </row>
    <row r="513" spans="1:4" x14ac:dyDescent="0.35">
      <c r="A513">
        <v>2011</v>
      </c>
      <c r="B513" t="s">
        <v>36</v>
      </c>
      <c r="C513" t="s">
        <v>372</v>
      </c>
      <c r="D513">
        <v>14</v>
      </c>
    </row>
    <row r="514" spans="1:4" x14ac:dyDescent="0.35">
      <c r="A514">
        <v>2011</v>
      </c>
      <c r="B514" t="s">
        <v>37</v>
      </c>
      <c r="C514" t="s">
        <v>387</v>
      </c>
      <c r="D514">
        <v>5</v>
      </c>
    </row>
    <row r="515" spans="1:4" x14ac:dyDescent="0.35">
      <c r="A515">
        <v>2011</v>
      </c>
      <c r="B515" t="s">
        <v>33</v>
      </c>
      <c r="C515" t="s">
        <v>195</v>
      </c>
      <c r="D515">
        <v>42</v>
      </c>
    </row>
    <row r="516" spans="1:4" x14ac:dyDescent="0.35">
      <c r="A516">
        <v>2011</v>
      </c>
      <c r="B516" t="s">
        <v>35</v>
      </c>
      <c r="C516" t="s">
        <v>196</v>
      </c>
      <c r="D516">
        <v>4111</v>
      </c>
    </row>
    <row r="517" spans="1:4" x14ac:dyDescent="0.35">
      <c r="A517">
        <v>2011</v>
      </c>
      <c r="B517" t="s">
        <v>34</v>
      </c>
      <c r="C517" t="s">
        <v>197</v>
      </c>
      <c r="D517">
        <v>8</v>
      </c>
    </row>
    <row r="518" spans="1:4" x14ac:dyDescent="0.35">
      <c r="A518">
        <v>2011</v>
      </c>
      <c r="B518" t="s">
        <v>35</v>
      </c>
      <c r="C518" t="s">
        <v>198</v>
      </c>
      <c r="D518">
        <v>1604</v>
      </c>
    </row>
    <row r="519" spans="1:4" x14ac:dyDescent="0.35">
      <c r="A519">
        <v>2011</v>
      </c>
      <c r="B519" t="s">
        <v>39</v>
      </c>
      <c r="C519" t="s">
        <v>39</v>
      </c>
      <c r="D519">
        <v>290</v>
      </c>
    </row>
    <row r="520" spans="1:4" x14ac:dyDescent="0.35">
      <c r="A520">
        <v>2011</v>
      </c>
      <c r="B520" t="s">
        <v>38</v>
      </c>
      <c r="C520" t="s">
        <v>199</v>
      </c>
      <c r="D520">
        <v>30</v>
      </c>
    </row>
    <row r="521" spans="1:4" x14ac:dyDescent="0.35">
      <c r="A521">
        <v>2011</v>
      </c>
      <c r="B521" t="s">
        <v>34</v>
      </c>
      <c r="C521" t="s">
        <v>200</v>
      </c>
      <c r="D521">
        <v>39</v>
      </c>
    </row>
    <row r="522" spans="1:4" x14ac:dyDescent="0.35">
      <c r="A522">
        <v>2011</v>
      </c>
      <c r="B522" t="s">
        <v>38</v>
      </c>
      <c r="C522" t="s">
        <v>19</v>
      </c>
      <c r="D522">
        <v>216</v>
      </c>
    </row>
    <row r="523" spans="1:4" x14ac:dyDescent="0.35">
      <c r="A523">
        <v>2011</v>
      </c>
      <c r="B523" t="s">
        <v>34</v>
      </c>
      <c r="C523" t="s">
        <v>201</v>
      </c>
      <c r="D523">
        <v>839</v>
      </c>
    </row>
    <row r="524" spans="1:4" x14ac:dyDescent="0.35">
      <c r="A524">
        <v>2011</v>
      </c>
      <c r="B524" t="s">
        <v>34</v>
      </c>
      <c r="C524" t="s">
        <v>202</v>
      </c>
      <c r="D524">
        <v>23</v>
      </c>
    </row>
    <row r="525" spans="1:4" x14ac:dyDescent="0.35">
      <c r="A525">
        <v>2011</v>
      </c>
      <c r="B525" t="s">
        <v>33</v>
      </c>
      <c r="C525" t="s">
        <v>203</v>
      </c>
      <c r="D525">
        <v>15</v>
      </c>
    </row>
    <row r="526" spans="1:4" x14ac:dyDescent="0.35">
      <c r="A526">
        <v>2011</v>
      </c>
      <c r="B526" t="s">
        <v>33</v>
      </c>
      <c r="C526" t="s">
        <v>204</v>
      </c>
      <c r="D526">
        <v>33</v>
      </c>
    </row>
    <row r="527" spans="1:4" x14ac:dyDescent="0.35">
      <c r="A527">
        <v>2012</v>
      </c>
      <c r="B527" t="s">
        <v>34</v>
      </c>
      <c r="C527" t="s">
        <v>40</v>
      </c>
      <c r="D527">
        <v>56</v>
      </c>
    </row>
    <row r="528" spans="1:4" x14ac:dyDescent="0.35">
      <c r="A528">
        <v>2012</v>
      </c>
      <c r="B528" t="s">
        <v>35</v>
      </c>
      <c r="C528" t="s">
        <v>41</v>
      </c>
      <c r="D528">
        <v>47</v>
      </c>
    </row>
    <row r="529" spans="1:4" x14ac:dyDescent="0.35">
      <c r="A529">
        <v>2012</v>
      </c>
      <c r="B529" t="s">
        <v>33</v>
      </c>
      <c r="C529" t="s">
        <v>42</v>
      </c>
      <c r="D529">
        <v>57</v>
      </c>
    </row>
    <row r="530" spans="1:4" x14ac:dyDescent="0.35">
      <c r="A530">
        <v>2012</v>
      </c>
      <c r="C530" t="s">
        <v>373</v>
      </c>
      <c r="D530">
        <v>73</v>
      </c>
    </row>
    <row r="531" spans="1:4" x14ac:dyDescent="0.35">
      <c r="A531">
        <v>2012</v>
      </c>
      <c r="B531" t="s">
        <v>37</v>
      </c>
      <c r="C531" t="s">
        <v>386</v>
      </c>
      <c r="D531">
        <v>11</v>
      </c>
    </row>
    <row r="532" spans="1:4" x14ac:dyDescent="0.35">
      <c r="A532">
        <v>2012</v>
      </c>
      <c r="B532" t="s">
        <v>33</v>
      </c>
      <c r="C532" t="s">
        <v>43</v>
      </c>
      <c r="D532">
        <v>20</v>
      </c>
    </row>
    <row r="533" spans="1:4" x14ac:dyDescent="0.35">
      <c r="A533">
        <v>2012</v>
      </c>
      <c r="B533" t="s">
        <v>36</v>
      </c>
      <c r="C533" t="s">
        <v>44</v>
      </c>
      <c r="D533">
        <v>14</v>
      </c>
    </row>
    <row r="534" spans="1:4" x14ac:dyDescent="0.35">
      <c r="A534">
        <v>2012</v>
      </c>
      <c r="B534" t="s">
        <v>38</v>
      </c>
      <c r="C534" t="s">
        <v>45</v>
      </c>
      <c r="D534">
        <v>62</v>
      </c>
    </row>
    <row r="535" spans="1:4" x14ac:dyDescent="0.35">
      <c r="A535">
        <v>2012</v>
      </c>
      <c r="B535" t="s">
        <v>34</v>
      </c>
      <c r="C535" t="s">
        <v>46</v>
      </c>
      <c r="D535">
        <v>12</v>
      </c>
    </row>
    <row r="536" spans="1:4" x14ac:dyDescent="0.35">
      <c r="A536">
        <v>2012</v>
      </c>
      <c r="B536" t="s">
        <v>37</v>
      </c>
      <c r="C536" t="s">
        <v>47</v>
      </c>
      <c r="D536">
        <v>335</v>
      </c>
    </row>
    <row r="537" spans="1:4" x14ac:dyDescent="0.35">
      <c r="A537">
        <v>2012</v>
      </c>
      <c r="B537" t="s">
        <v>35</v>
      </c>
      <c r="C537" t="s">
        <v>48</v>
      </c>
      <c r="D537">
        <v>53</v>
      </c>
    </row>
    <row r="538" spans="1:4" x14ac:dyDescent="0.35">
      <c r="A538">
        <v>2012</v>
      </c>
      <c r="B538" t="s">
        <v>34</v>
      </c>
      <c r="C538" t="s">
        <v>49</v>
      </c>
      <c r="D538">
        <v>14</v>
      </c>
    </row>
    <row r="539" spans="1:4" x14ac:dyDescent="0.35">
      <c r="A539">
        <v>2012</v>
      </c>
      <c r="B539" t="s">
        <v>36</v>
      </c>
      <c r="C539" t="s">
        <v>50</v>
      </c>
      <c r="D539">
        <v>416</v>
      </c>
    </row>
    <row r="540" spans="1:4" x14ac:dyDescent="0.35">
      <c r="A540">
        <v>2012</v>
      </c>
      <c r="B540" t="s">
        <v>34</v>
      </c>
      <c r="C540" t="s">
        <v>51</v>
      </c>
      <c r="D540">
        <v>8</v>
      </c>
    </row>
    <row r="541" spans="1:4" x14ac:dyDescent="0.35">
      <c r="A541">
        <v>2012</v>
      </c>
      <c r="B541" t="s">
        <v>34</v>
      </c>
      <c r="C541" t="s">
        <v>52</v>
      </c>
      <c r="D541">
        <v>238</v>
      </c>
    </row>
    <row r="542" spans="1:4" x14ac:dyDescent="0.35">
      <c r="A542">
        <v>2012</v>
      </c>
      <c r="B542" t="s">
        <v>36</v>
      </c>
      <c r="C542" t="s">
        <v>53</v>
      </c>
      <c r="D542">
        <v>37</v>
      </c>
    </row>
    <row r="543" spans="1:4" x14ac:dyDescent="0.35">
      <c r="A543">
        <v>2012</v>
      </c>
      <c r="B543" t="s">
        <v>35</v>
      </c>
      <c r="C543" t="s">
        <v>54</v>
      </c>
      <c r="D543">
        <v>44</v>
      </c>
    </row>
    <row r="544" spans="1:4" x14ac:dyDescent="0.35">
      <c r="A544">
        <v>2012</v>
      </c>
      <c r="B544" t="s">
        <v>35</v>
      </c>
      <c r="C544" t="s">
        <v>55</v>
      </c>
      <c r="D544">
        <v>105</v>
      </c>
    </row>
    <row r="545" spans="1:4" x14ac:dyDescent="0.35">
      <c r="A545">
        <v>2012</v>
      </c>
      <c r="B545" t="s">
        <v>36</v>
      </c>
      <c r="C545" t="s">
        <v>56</v>
      </c>
      <c r="D545">
        <v>38</v>
      </c>
    </row>
    <row r="546" spans="1:4" x14ac:dyDescent="0.35">
      <c r="A546">
        <v>2012</v>
      </c>
      <c r="B546" t="s">
        <v>33</v>
      </c>
      <c r="C546" t="s">
        <v>57</v>
      </c>
      <c r="D546">
        <v>11</v>
      </c>
    </row>
    <row r="547" spans="1:4" x14ac:dyDescent="0.35">
      <c r="A547">
        <v>2012</v>
      </c>
      <c r="B547" t="s">
        <v>36</v>
      </c>
      <c r="C547" t="s">
        <v>363</v>
      </c>
      <c r="D547">
        <v>79</v>
      </c>
    </row>
    <row r="548" spans="1:4" x14ac:dyDescent="0.35">
      <c r="A548">
        <v>2012</v>
      </c>
      <c r="B548" t="s">
        <v>38</v>
      </c>
      <c r="C548" t="s">
        <v>59</v>
      </c>
      <c r="D548">
        <v>85</v>
      </c>
    </row>
    <row r="549" spans="1:4" x14ac:dyDescent="0.35">
      <c r="A549">
        <v>2012</v>
      </c>
      <c r="B549" t="s">
        <v>35</v>
      </c>
      <c r="C549" t="s">
        <v>60</v>
      </c>
      <c r="D549">
        <v>22</v>
      </c>
    </row>
    <row r="550" spans="1:4" x14ac:dyDescent="0.35">
      <c r="A550">
        <v>2012</v>
      </c>
      <c r="B550" t="s">
        <v>38</v>
      </c>
      <c r="C550" t="s">
        <v>21</v>
      </c>
      <c r="D550">
        <v>542</v>
      </c>
    </row>
    <row r="551" spans="1:4" x14ac:dyDescent="0.35">
      <c r="A551">
        <v>2012</v>
      </c>
      <c r="B551" t="s">
        <v>36</v>
      </c>
      <c r="C551" t="s">
        <v>364</v>
      </c>
      <c r="D551">
        <v>11</v>
      </c>
    </row>
    <row r="552" spans="1:4" x14ac:dyDescent="0.35">
      <c r="A552">
        <v>2012</v>
      </c>
      <c r="B552" t="s">
        <v>35</v>
      </c>
      <c r="C552" t="s">
        <v>62</v>
      </c>
      <c r="D552">
        <v>186</v>
      </c>
    </row>
    <row r="553" spans="1:4" x14ac:dyDescent="0.35">
      <c r="A553">
        <v>2012</v>
      </c>
      <c r="B553" t="s">
        <v>33</v>
      </c>
      <c r="C553" t="s">
        <v>63</v>
      </c>
      <c r="D553">
        <v>18</v>
      </c>
    </row>
    <row r="554" spans="1:4" x14ac:dyDescent="0.35">
      <c r="A554">
        <v>2012</v>
      </c>
      <c r="B554" t="s">
        <v>34</v>
      </c>
      <c r="C554" t="s">
        <v>64</v>
      </c>
      <c r="D554">
        <v>2337</v>
      </c>
    </row>
    <row r="555" spans="1:4" x14ac:dyDescent="0.35">
      <c r="A555">
        <v>2012</v>
      </c>
      <c r="B555" t="s">
        <v>33</v>
      </c>
      <c r="C555" t="s">
        <v>65</v>
      </c>
      <c r="D555">
        <v>12</v>
      </c>
    </row>
    <row r="556" spans="1:4" x14ac:dyDescent="0.35">
      <c r="A556">
        <v>2012</v>
      </c>
      <c r="B556" t="s">
        <v>34</v>
      </c>
      <c r="C556" t="s">
        <v>67</v>
      </c>
      <c r="D556">
        <v>16</v>
      </c>
    </row>
    <row r="557" spans="1:4" x14ac:dyDescent="0.35">
      <c r="A557">
        <v>2012</v>
      </c>
      <c r="B557" t="s">
        <v>33</v>
      </c>
      <c r="C557" t="s">
        <v>68</v>
      </c>
      <c r="D557">
        <v>49</v>
      </c>
    </row>
    <row r="558" spans="1:4" x14ac:dyDescent="0.35">
      <c r="A558">
        <v>2012</v>
      </c>
      <c r="B558" t="s">
        <v>36</v>
      </c>
      <c r="C558" t="s">
        <v>69</v>
      </c>
      <c r="D558">
        <v>27039</v>
      </c>
    </row>
    <row r="559" spans="1:4" x14ac:dyDescent="0.35">
      <c r="A559">
        <v>2012</v>
      </c>
      <c r="B559" t="s">
        <v>33</v>
      </c>
      <c r="C559" t="s">
        <v>66</v>
      </c>
      <c r="D559">
        <v>30</v>
      </c>
    </row>
    <row r="560" spans="1:4" x14ac:dyDescent="0.35">
      <c r="A560">
        <v>2012</v>
      </c>
      <c r="B560" t="s">
        <v>36</v>
      </c>
      <c r="C560" t="s">
        <v>365</v>
      </c>
      <c r="D560">
        <v>10</v>
      </c>
    </row>
    <row r="561" spans="1:4" x14ac:dyDescent="0.35">
      <c r="A561">
        <v>2012</v>
      </c>
      <c r="B561" t="s">
        <v>38</v>
      </c>
      <c r="C561" t="s">
        <v>72</v>
      </c>
      <c r="D561">
        <v>81</v>
      </c>
    </row>
    <row r="562" spans="1:4" x14ac:dyDescent="0.35">
      <c r="A562">
        <v>2012</v>
      </c>
      <c r="B562" t="s">
        <v>34</v>
      </c>
      <c r="C562" t="s">
        <v>73</v>
      </c>
      <c r="D562">
        <v>11780</v>
      </c>
    </row>
    <row r="563" spans="1:4" x14ac:dyDescent="0.35">
      <c r="A563">
        <v>2012</v>
      </c>
      <c r="B563" t="s">
        <v>38</v>
      </c>
      <c r="C563" t="s">
        <v>20</v>
      </c>
      <c r="D563">
        <v>435</v>
      </c>
    </row>
    <row r="564" spans="1:4" x14ac:dyDescent="0.35">
      <c r="A564">
        <v>2012</v>
      </c>
      <c r="B564" t="s">
        <v>33</v>
      </c>
      <c r="C564" t="s">
        <v>74</v>
      </c>
      <c r="D564">
        <v>29</v>
      </c>
    </row>
    <row r="565" spans="1:4" x14ac:dyDescent="0.35">
      <c r="A565">
        <v>2012</v>
      </c>
      <c r="B565" t="s">
        <v>33</v>
      </c>
      <c r="C565" t="s">
        <v>75</v>
      </c>
      <c r="D565">
        <v>14</v>
      </c>
    </row>
    <row r="566" spans="1:4" x14ac:dyDescent="0.35">
      <c r="A566">
        <v>2012</v>
      </c>
      <c r="B566" t="s">
        <v>36</v>
      </c>
      <c r="C566" t="s">
        <v>76</v>
      </c>
      <c r="D566">
        <v>94</v>
      </c>
    </row>
    <row r="567" spans="1:4" x14ac:dyDescent="0.35">
      <c r="A567">
        <v>2012</v>
      </c>
      <c r="B567" t="s">
        <v>33</v>
      </c>
      <c r="C567" t="s">
        <v>77</v>
      </c>
      <c r="D567">
        <v>18</v>
      </c>
    </row>
    <row r="568" spans="1:4" x14ac:dyDescent="0.35">
      <c r="A568">
        <v>2012</v>
      </c>
      <c r="B568" t="s">
        <v>35</v>
      </c>
      <c r="C568" t="s">
        <v>78</v>
      </c>
      <c r="D568">
        <v>87</v>
      </c>
    </row>
    <row r="569" spans="1:4" x14ac:dyDescent="0.35">
      <c r="A569">
        <v>2012</v>
      </c>
      <c r="B569" t="s">
        <v>36</v>
      </c>
      <c r="C569" t="s">
        <v>79</v>
      </c>
      <c r="D569">
        <v>90</v>
      </c>
    </row>
    <row r="570" spans="1:4" x14ac:dyDescent="0.35">
      <c r="A570">
        <v>2012</v>
      </c>
      <c r="B570" t="s">
        <v>34</v>
      </c>
      <c r="C570" t="s">
        <v>80</v>
      </c>
      <c r="D570">
        <v>10</v>
      </c>
    </row>
    <row r="571" spans="1:4" x14ac:dyDescent="0.35">
      <c r="A571">
        <v>2012</v>
      </c>
      <c r="B571" t="s">
        <v>35</v>
      </c>
      <c r="C571" t="s">
        <v>81</v>
      </c>
      <c r="D571">
        <v>144</v>
      </c>
    </row>
    <row r="572" spans="1:4" x14ac:dyDescent="0.35">
      <c r="A572">
        <v>2012</v>
      </c>
      <c r="B572" t="s">
        <v>35</v>
      </c>
      <c r="C572" t="s">
        <v>214</v>
      </c>
      <c r="D572">
        <v>4</v>
      </c>
    </row>
    <row r="573" spans="1:4" x14ac:dyDescent="0.35">
      <c r="A573">
        <v>2012</v>
      </c>
      <c r="B573" t="s">
        <v>35</v>
      </c>
      <c r="C573" t="s">
        <v>82</v>
      </c>
      <c r="D573">
        <v>74</v>
      </c>
    </row>
    <row r="574" spans="1:4" x14ac:dyDescent="0.35">
      <c r="A574">
        <v>2012</v>
      </c>
      <c r="B574" t="s">
        <v>36</v>
      </c>
      <c r="C574" t="s">
        <v>84</v>
      </c>
      <c r="D574">
        <v>24</v>
      </c>
    </row>
    <row r="575" spans="1:4" x14ac:dyDescent="0.35">
      <c r="A575">
        <v>2012</v>
      </c>
      <c r="B575" t="s">
        <v>36</v>
      </c>
      <c r="C575" t="s">
        <v>85</v>
      </c>
      <c r="D575">
        <v>764</v>
      </c>
    </row>
    <row r="576" spans="1:4" x14ac:dyDescent="0.35">
      <c r="A576">
        <v>2012</v>
      </c>
      <c r="B576" t="s">
        <v>38</v>
      </c>
      <c r="C576" t="s">
        <v>86</v>
      </c>
      <c r="D576">
        <v>303</v>
      </c>
    </row>
    <row r="577" spans="1:4" x14ac:dyDescent="0.35">
      <c r="A577">
        <v>2012</v>
      </c>
      <c r="B577" t="s">
        <v>33</v>
      </c>
      <c r="C577" t="s">
        <v>87</v>
      </c>
      <c r="D577">
        <v>299</v>
      </c>
    </row>
    <row r="578" spans="1:4" x14ac:dyDescent="0.35">
      <c r="A578">
        <v>2012</v>
      </c>
      <c r="B578" t="s">
        <v>36</v>
      </c>
      <c r="C578" t="s">
        <v>16</v>
      </c>
      <c r="D578">
        <v>921</v>
      </c>
    </row>
    <row r="579" spans="1:4" x14ac:dyDescent="0.35">
      <c r="A579">
        <v>2012</v>
      </c>
      <c r="B579" t="s">
        <v>33</v>
      </c>
      <c r="C579" t="s">
        <v>89</v>
      </c>
      <c r="D579">
        <v>9</v>
      </c>
    </row>
    <row r="580" spans="1:4" x14ac:dyDescent="0.35">
      <c r="A580">
        <v>2012</v>
      </c>
      <c r="B580" t="s">
        <v>35</v>
      </c>
      <c r="C580" t="s">
        <v>90</v>
      </c>
      <c r="D580">
        <v>28</v>
      </c>
    </row>
    <row r="581" spans="1:4" x14ac:dyDescent="0.35">
      <c r="A581">
        <v>2012</v>
      </c>
      <c r="B581" t="s">
        <v>33</v>
      </c>
      <c r="C581" t="s">
        <v>91</v>
      </c>
      <c r="D581">
        <v>33</v>
      </c>
    </row>
    <row r="582" spans="1:4" x14ac:dyDescent="0.35">
      <c r="A582">
        <v>2012</v>
      </c>
      <c r="B582" t="s">
        <v>37</v>
      </c>
      <c r="C582" t="s">
        <v>92</v>
      </c>
      <c r="D582">
        <v>51</v>
      </c>
    </row>
    <row r="583" spans="1:4" x14ac:dyDescent="0.35">
      <c r="A583">
        <v>2012</v>
      </c>
      <c r="B583" t="s">
        <v>35</v>
      </c>
      <c r="C583" t="s">
        <v>93</v>
      </c>
      <c r="D583">
        <v>39</v>
      </c>
    </row>
    <row r="584" spans="1:4" x14ac:dyDescent="0.35">
      <c r="A584">
        <v>2012</v>
      </c>
      <c r="B584" t="s">
        <v>35</v>
      </c>
      <c r="C584" t="s">
        <v>94</v>
      </c>
      <c r="D584">
        <v>661</v>
      </c>
    </row>
    <row r="585" spans="1:4" x14ac:dyDescent="0.35">
      <c r="A585">
        <v>2012</v>
      </c>
      <c r="B585" t="s">
        <v>33</v>
      </c>
      <c r="C585" t="s">
        <v>95</v>
      </c>
      <c r="D585">
        <v>6</v>
      </c>
    </row>
    <row r="586" spans="1:4" x14ac:dyDescent="0.35">
      <c r="A586">
        <v>2012</v>
      </c>
      <c r="B586" t="s">
        <v>33</v>
      </c>
      <c r="C586" t="s">
        <v>96</v>
      </c>
      <c r="D586">
        <v>11</v>
      </c>
    </row>
    <row r="587" spans="1:4" x14ac:dyDescent="0.35">
      <c r="A587">
        <v>2012</v>
      </c>
      <c r="B587" t="s">
        <v>34</v>
      </c>
      <c r="C587" t="s">
        <v>8</v>
      </c>
      <c r="D587">
        <v>82</v>
      </c>
    </row>
    <row r="588" spans="1:4" x14ac:dyDescent="0.35">
      <c r="A588">
        <v>2012</v>
      </c>
      <c r="B588" t="s">
        <v>35</v>
      </c>
      <c r="C588" t="s">
        <v>97</v>
      </c>
      <c r="D588">
        <v>552</v>
      </c>
    </row>
    <row r="589" spans="1:4" x14ac:dyDescent="0.35">
      <c r="A589">
        <v>2012</v>
      </c>
      <c r="B589" t="s">
        <v>33</v>
      </c>
      <c r="C589" t="s">
        <v>98</v>
      </c>
      <c r="D589">
        <v>128</v>
      </c>
    </row>
    <row r="590" spans="1:4" x14ac:dyDescent="0.35">
      <c r="A590">
        <v>2012</v>
      </c>
      <c r="B590" t="s">
        <v>35</v>
      </c>
      <c r="C590" t="s">
        <v>99</v>
      </c>
      <c r="D590">
        <v>294</v>
      </c>
    </row>
    <row r="591" spans="1:4" x14ac:dyDescent="0.35">
      <c r="A591">
        <v>2012</v>
      </c>
      <c r="B591" t="s">
        <v>36</v>
      </c>
      <c r="C591" t="s">
        <v>100</v>
      </c>
      <c r="D591">
        <v>22</v>
      </c>
    </row>
    <row r="592" spans="1:4" x14ac:dyDescent="0.35">
      <c r="A592">
        <v>2012</v>
      </c>
      <c r="B592" t="s">
        <v>36</v>
      </c>
      <c r="C592" t="s">
        <v>15</v>
      </c>
      <c r="D592">
        <v>2332</v>
      </c>
    </row>
    <row r="593" spans="1:4" x14ac:dyDescent="0.35">
      <c r="A593">
        <v>2012</v>
      </c>
      <c r="B593" t="s">
        <v>33</v>
      </c>
      <c r="C593" t="s">
        <v>101</v>
      </c>
      <c r="D593">
        <v>16</v>
      </c>
    </row>
    <row r="594" spans="1:4" x14ac:dyDescent="0.35">
      <c r="A594">
        <v>2012</v>
      </c>
      <c r="B594" t="s">
        <v>38</v>
      </c>
      <c r="C594" t="s">
        <v>103</v>
      </c>
      <c r="D594">
        <v>88</v>
      </c>
    </row>
    <row r="595" spans="1:4" x14ac:dyDescent="0.35">
      <c r="A595">
        <v>2012</v>
      </c>
      <c r="B595" t="s">
        <v>36</v>
      </c>
      <c r="C595" t="s">
        <v>104</v>
      </c>
      <c r="D595">
        <v>163</v>
      </c>
    </row>
    <row r="596" spans="1:4" x14ac:dyDescent="0.35">
      <c r="A596">
        <v>2012</v>
      </c>
      <c r="B596" t="s">
        <v>36</v>
      </c>
      <c r="C596" t="s">
        <v>17</v>
      </c>
      <c r="D596">
        <v>1282</v>
      </c>
    </row>
    <row r="597" spans="1:4" x14ac:dyDescent="0.35">
      <c r="A597">
        <v>2012</v>
      </c>
      <c r="B597" t="s">
        <v>34</v>
      </c>
      <c r="C597" t="s">
        <v>368</v>
      </c>
      <c r="D597">
        <v>75</v>
      </c>
    </row>
    <row r="598" spans="1:4" x14ac:dyDescent="0.35">
      <c r="A598">
        <v>2012</v>
      </c>
      <c r="B598" t="s">
        <v>35</v>
      </c>
      <c r="C598" t="s">
        <v>105</v>
      </c>
      <c r="D598">
        <v>209</v>
      </c>
    </row>
    <row r="599" spans="1:4" x14ac:dyDescent="0.35">
      <c r="A599">
        <v>2012</v>
      </c>
      <c r="B599" t="s">
        <v>35</v>
      </c>
      <c r="C599" t="s">
        <v>106</v>
      </c>
      <c r="D599">
        <v>19</v>
      </c>
    </row>
    <row r="600" spans="1:4" x14ac:dyDescent="0.35">
      <c r="A600">
        <v>2012</v>
      </c>
      <c r="B600" t="s">
        <v>34</v>
      </c>
      <c r="C600" t="s">
        <v>22</v>
      </c>
      <c r="D600">
        <v>3273</v>
      </c>
    </row>
    <row r="601" spans="1:4" x14ac:dyDescent="0.35">
      <c r="A601">
        <v>2012</v>
      </c>
      <c r="B601" t="s">
        <v>34</v>
      </c>
      <c r="C601" t="s">
        <v>107</v>
      </c>
      <c r="D601">
        <v>1171</v>
      </c>
    </row>
    <row r="602" spans="1:4" x14ac:dyDescent="0.35">
      <c r="A602">
        <v>2012</v>
      </c>
      <c r="B602" t="s">
        <v>34</v>
      </c>
      <c r="C602" t="s">
        <v>108</v>
      </c>
      <c r="D602">
        <v>306</v>
      </c>
    </row>
    <row r="603" spans="1:4" x14ac:dyDescent="0.35">
      <c r="A603">
        <v>2012</v>
      </c>
      <c r="B603" t="s">
        <v>34</v>
      </c>
      <c r="C603" t="s">
        <v>109</v>
      </c>
      <c r="D603">
        <v>120</v>
      </c>
    </row>
    <row r="604" spans="1:4" x14ac:dyDescent="0.35">
      <c r="A604">
        <v>2012</v>
      </c>
      <c r="B604" t="s">
        <v>35</v>
      </c>
      <c r="C604" t="s">
        <v>110</v>
      </c>
      <c r="D604">
        <v>180</v>
      </c>
    </row>
    <row r="605" spans="1:4" x14ac:dyDescent="0.35">
      <c r="A605">
        <v>2012</v>
      </c>
      <c r="B605" t="s">
        <v>34</v>
      </c>
      <c r="C605" t="s">
        <v>111</v>
      </c>
      <c r="D605">
        <v>275</v>
      </c>
    </row>
    <row r="606" spans="1:4" x14ac:dyDescent="0.35">
      <c r="A606">
        <v>2012</v>
      </c>
      <c r="B606" t="s">
        <v>35</v>
      </c>
      <c r="C606" t="s">
        <v>112</v>
      </c>
      <c r="D606">
        <v>692</v>
      </c>
    </row>
    <row r="607" spans="1:4" x14ac:dyDescent="0.35">
      <c r="A607">
        <v>2012</v>
      </c>
      <c r="B607" t="s">
        <v>36</v>
      </c>
      <c r="C607" t="s">
        <v>113</v>
      </c>
      <c r="D607">
        <v>344</v>
      </c>
    </row>
    <row r="608" spans="1:4" x14ac:dyDescent="0.35">
      <c r="A608">
        <v>2012</v>
      </c>
      <c r="B608" t="s">
        <v>34</v>
      </c>
      <c r="C608" t="s">
        <v>114</v>
      </c>
      <c r="D608">
        <v>354</v>
      </c>
    </row>
    <row r="609" spans="1:4" x14ac:dyDescent="0.35">
      <c r="A609">
        <v>2012</v>
      </c>
      <c r="B609" t="s">
        <v>34</v>
      </c>
      <c r="C609" t="s">
        <v>115</v>
      </c>
      <c r="D609">
        <v>123</v>
      </c>
    </row>
    <row r="610" spans="1:4" x14ac:dyDescent="0.35">
      <c r="A610">
        <v>2012</v>
      </c>
      <c r="B610" t="s">
        <v>34</v>
      </c>
      <c r="C610" t="s">
        <v>116</v>
      </c>
      <c r="D610">
        <v>42</v>
      </c>
    </row>
    <row r="611" spans="1:4" x14ac:dyDescent="0.35">
      <c r="A611">
        <v>2012</v>
      </c>
      <c r="B611" t="s">
        <v>33</v>
      </c>
      <c r="C611" t="s">
        <v>117</v>
      </c>
      <c r="D611">
        <v>92</v>
      </c>
    </row>
    <row r="612" spans="1:4" x14ac:dyDescent="0.35">
      <c r="A612">
        <v>2012</v>
      </c>
      <c r="B612" t="s">
        <v>37</v>
      </c>
      <c r="C612" t="s">
        <v>390</v>
      </c>
      <c r="D612">
        <v>40</v>
      </c>
    </row>
    <row r="613" spans="1:4" x14ac:dyDescent="0.35">
      <c r="A613">
        <v>2012</v>
      </c>
      <c r="B613" t="s">
        <v>34</v>
      </c>
      <c r="C613" t="s">
        <v>118</v>
      </c>
      <c r="D613">
        <v>1191</v>
      </c>
    </row>
    <row r="614" spans="1:4" x14ac:dyDescent="0.35">
      <c r="A614">
        <v>2012</v>
      </c>
      <c r="B614" t="s">
        <v>35</v>
      </c>
      <c r="C614" t="s">
        <v>119</v>
      </c>
      <c r="D614">
        <v>9</v>
      </c>
    </row>
    <row r="615" spans="1:4" x14ac:dyDescent="0.35">
      <c r="A615">
        <v>2012</v>
      </c>
      <c r="B615" t="s">
        <v>34</v>
      </c>
      <c r="C615" t="s">
        <v>120</v>
      </c>
      <c r="D615">
        <v>22</v>
      </c>
    </row>
    <row r="616" spans="1:4" x14ac:dyDescent="0.35">
      <c r="A616">
        <v>2012</v>
      </c>
      <c r="B616" t="s">
        <v>34</v>
      </c>
      <c r="C616" t="s">
        <v>121</v>
      </c>
      <c r="D616">
        <v>5</v>
      </c>
    </row>
    <row r="617" spans="1:4" x14ac:dyDescent="0.35">
      <c r="A617">
        <v>2012</v>
      </c>
      <c r="B617" t="s">
        <v>34</v>
      </c>
      <c r="C617" t="s">
        <v>122</v>
      </c>
      <c r="D617">
        <v>12</v>
      </c>
    </row>
    <row r="618" spans="1:4" x14ac:dyDescent="0.35">
      <c r="A618">
        <v>2012</v>
      </c>
      <c r="B618" t="s">
        <v>35</v>
      </c>
      <c r="C618" t="s">
        <v>123</v>
      </c>
      <c r="D618">
        <v>112</v>
      </c>
    </row>
    <row r="619" spans="1:4" x14ac:dyDescent="0.35">
      <c r="A619">
        <v>2012</v>
      </c>
      <c r="B619" t="s">
        <v>34</v>
      </c>
      <c r="C619" t="s">
        <v>124</v>
      </c>
      <c r="D619">
        <v>89</v>
      </c>
    </row>
    <row r="620" spans="1:4" x14ac:dyDescent="0.35">
      <c r="A620">
        <v>2012</v>
      </c>
      <c r="B620" t="s">
        <v>33</v>
      </c>
      <c r="C620" t="s">
        <v>125</v>
      </c>
      <c r="D620">
        <v>24</v>
      </c>
    </row>
    <row r="621" spans="1:4" x14ac:dyDescent="0.35">
      <c r="A621">
        <v>2012</v>
      </c>
      <c r="B621" t="s">
        <v>33</v>
      </c>
      <c r="C621" t="s">
        <v>126</v>
      </c>
      <c r="D621">
        <v>34</v>
      </c>
    </row>
    <row r="622" spans="1:4" x14ac:dyDescent="0.35">
      <c r="A622">
        <v>2012</v>
      </c>
      <c r="B622" t="s">
        <v>35</v>
      </c>
      <c r="C622" t="s">
        <v>127</v>
      </c>
      <c r="D622">
        <v>371</v>
      </c>
    </row>
    <row r="623" spans="1:4" x14ac:dyDescent="0.35">
      <c r="A623">
        <v>2012</v>
      </c>
      <c r="B623" t="s">
        <v>35</v>
      </c>
      <c r="C623" t="s">
        <v>322</v>
      </c>
      <c r="D623">
        <v>15</v>
      </c>
    </row>
    <row r="624" spans="1:4" x14ac:dyDescent="0.35">
      <c r="A624">
        <v>2012</v>
      </c>
      <c r="B624" t="s">
        <v>33</v>
      </c>
      <c r="C624" t="s">
        <v>129</v>
      </c>
      <c r="D624">
        <v>9</v>
      </c>
    </row>
    <row r="625" spans="1:4" x14ac:dyDescent="0.35">
      <c r="A625">
        <v>2012</v>
      </c>
      <c r="B625" t="s">
        <v>34</v>
      </c>
      <c r="C625" t="s">
        <v>131</v>
      </c>
      <c r="D625">
        <v>124</v>
      </c>
    </row>
    <row r="626" spans="1:4" x14ac:dyDescent="0.35">
      <c r="A626">
        <v>2012</v>
      </c>
      <c r="B626" t="s">
        <v>34</v>
      </c>
      <c r="C626" t="s">
        <v>389</v>
      </c>
      <c r="D626">
        <v>92</v>
      </c>
    </row>
    <row r="627" spans="1:4" x14ac:dyDescent="0.35">
      <c r="A627">
        <v>2012</v>
      </c>
      <c r="B627" t="s">
        <v>33</v>
      </c>
      <c r="C627" t="s">
        <v>132</v>
      </c>
      <c r="D627">
        <v>18</v>
      </c>
    </row>
    <row r="628" spans="1:4" x14ac:dyDescent="0.35">
      <c r="A628">
        <v>2012</v>
      </c>
      <c r="B628" t="s">
        <v>35</v>
      </c>
      <c r="C628" t="s">
        <v>133</v>
      </c>
      <c r="D628">
        <v>5</v>
      </c>
    </row>
    <row r="629" spans="1:4" x14ac:dyDescent="0.35">
      <c r="A629">
        <v>2012</v>
      </c>
      <c r="B629" t="s">
        <v>37</v>
      </c>
      <c r="C629" t="s">
        <v>134</v>
      </c>
      <c r="D629" t="s">
        <v>205</v>
      </c>
    </row>
    <row r="630" spans="1:4" x14ac:dyDescent="0.35">
      <c r="A630">
        <v>2012</v>
      </c>
      <c r="B630" t="s">
        <v>33</v>
      </c>
      <c r="C630" t="s">
        <v>136</v>
      </c>
      <c r="D630">
        <v>33</v>
      </c>
    </row>
    <row r="631" spans="1:4" x14ac:dyDescent="0.35">
      <c r="A631">
        <v>2012</v>
      </c>
      <c r="B631" t="s">
        <v>36</v>
      </c>
      <c r="C631" t="s">
        <v>14</v>
      </c>
      <c r="D631">
        <v>131983</v>
      </c>
    </row>
    <row r="632" spans="1:4" x14ac:dyDescent="0.35">
      <c r="A632">
        <v>2012</v>
      </c>
      <c r="B632" t="s">
        <v>37</v>
      </c>
      <c r="C632" t="s">
        <v>137</v>
      </c>
      <c r="D632">
        <v>9</v>
      </c>
    </row>
    <row r="633" spans="1:4" x14ac:dyDescent="0.35">
      <c r="A633">
        <v>2012</v>
      </c>
      <c r="B633" t="s">
        <v>35</v>
      </c>
      <c r="C633" t="s">
        <v>138</v>
      </c>
      <c r="D633">
        <v>41</v>
      </c>
    </row>
    <row r="634" spans="1:4" x14ac:dyDescent="0.35">
      <c r="A634">
        <v>2012</v>
      </c>
      <c r="B634" t="s">
        <v>34</v>
      </c>
      <c r="C634" t="s">
        <v>139</v>
      </c>
      <c r="D634">
        <v>35</v>
      </c>
    </row>
    <row r="635" spans="1:4" x14ac:dyDescent="0.35">
      <c r="A635">
        <v>2012</v>
      </c>
      <c r="B635" t="s">
        <v>35</v>
      </c>
      <c r="C635" t="s">
        <v>140</v>
      </c>
      <c r="D635">
        <v>22</v>
      </c>
    </row>
    <row r="636" spans="1:4" x14ac:dyDescent="0.35">
      <c r="A636">
        <v>2012</v>
      </c>
      <c r="B636" t="s">
        <v>33</v>
      </c>
      <c r="C636" t="s">
        <v>141</v>
      </c>
      <c r="D636">
        <v>101</v>
      </c>
    </row>
    <row r="637" spans="1:4" x14ac:dyDescent="0.35">
      <c r="A637">
        <v>2012</v>
      </c>
      <c r="B637" t="s">
        <v>34</v>
      </c>
      <c r="C637" t="s">
        <v>144</v>
      </c>
      <c r="D637">
        <v>36</v>
      </c>
    </row>
    <row r="638" spans="1:4" x14ac:dyDescent="0.35">
      <c r="A638">
        <v>2012</v>
      </c>
      <c r="B638" t="s">
        <v>35</v>
      </c>
      <c r="C638" t="s">
        <v>145</v>
      </c>
      <c r="D638">
        <v>287</v>
      </c>
    </row>
    <row r="639" spans="1:4" x14ac:dyDescent="0.35">
      <c r="A639">
        <v>2012</v>
      </c>
      <c r="B639" t="s">
        <v>36</v>
      </c>
      <c r="C639" t="s">
        <v>371</v>
      </c>
    </row>
    <row r="640" spans="1:4" x14ac:dyDescent="0.35">
      <c r="A640">
        <v>2012</v>
      </c>
      <c r="B640" t="s">
        <v>37</v>
      </c>
      <c r="C640" t="s">
        <v>146</v>
      </c>
      <c r="D640">
        <v>97</v>
      </c>
    </row>
    <row r="641" spans="1:4" x14ac:dyDescent="0.35">
      <c r="A641">
        <v>2012</v>
      </c>
      <c r="B641" t="s">
        <v>36</v>
      </c>
      <c r="C641" t="s">
        <v>147</v>
      </c>
      <c r="D641">
        <v>172</v>
      </c>
    </row>
    <row r="642" spans="1:4" x14ac:dyDescent="0.35">
      <c r="A642">
        <v>2012</v>
      </c>
      <c r="B642" t="s">
        <v>33</v>
      </c>
      <c r="C642" t="s">
        <v>148</v>
      </c>
      <c r="D642">
        <v>10</v>
      </c>
    </row>
    <row r="643" spans="1:4" x14ac:dyDescent="0.35">
      <c r="A643">
        <v>2012</v>
      </c>
      <c r="B643" t="s">
        <v>33</v>
      </c>
      <c r="C643" t="s">
        <v>149</v>
      </c>
      <c r="D643">
        <v>265</v>
      </c>
    </row>
    <row r="644" spans="1:4" x14ac:dyDescent="0.35">
      <c r="A644">
        <v>2012</v>
      </c>
      <c r="B644" t="s">
        <v>35</v>
      </c>
      <c r="C644" t="s">
        <v>150</v>
      </c>
      <c r="D644">
        <v>88</v>
      </c>
    </row>
    <row r="645" spans="1:4" x14ac:dyDescent="0.35">
      <c r="A645">
        <v>2012</v>
      </c>
      <c r="B645" t="s">
        <v>34</v>
      </c>
      <c r="C645" t="s">
        <v>152</v>
      </c>
      <c r="D645">
        <v>477</v>
      </c>
    </row>
    <row r="646" spans="1:4" x14ac:dyDescent="0.35">
      <c r="A646">
        <v>2012</v>
      </c>
      <c r="B646" t="s">
        <v>37</v>
      </c>
      <c r="C646" t="s">
        <v>153</v>
      </c>
      <c r="D646">
        <v>10</v>
      </c>
    </row>
    <row r="647" spans="1:4" x14ac:dyDescent="0.35">
      <c r="A647">
        <v>2012</v>
      </c>
      <c r="B647" t="s">
        <v>36</v>
      </c>
      <c r="C647" t="s">
        <v>154</v>
      </c>
      <c r="D647">
        <v>53</v>
      </c>
    </row>
    <row r="648" spans="1:4" x14ac:dyDescent="0.35">
      <c r="A648">
        <v>2012</v>
      </c>
      <c r="B648" t="s">
        <v>38</v>
      </c>
      <c r="C648" t="s">
        <v>155</v>
      </c>
      <c r="D648">
        <v>14</v>
      </c>
    </row>
    <row r="649" spans="1:4" x14ac:dyDescent="0.35">
      <c r="A649">
        <v>2012</v>
      </c>
      <c r="B649" t="s">
        <v>38</v>
      </c>
      <c r="C649" t="s">
        <v>156</v>
      </c>
      <c r="D649">
        <v>356</v>
      </c>
    </row>
    <row r="650" spans="1:4" x14ac:dyDescent="0.35">
      <c r="A650">
        <v>2012</v>
      </c>
      <c r="B650" t="s">
        <v>34</v>
      </c>
      <c r="C650" t="s">
        <v>18</v>
      </c>
      <c r="D650">
        <v>20903</v>
      </c>
    </row>
    <row r="651" spans="1:4" x14ac:dyDescent="0.35">
      <c r="A651">
        <v>2012</v>
      </c>
      <c r="B651" t="s">
        <v>35</v>
      </c>
      <c r="C651" t="s">
        <v>157</v>
      </c>
      <c r="D651">
        <v>516</v>
      </c>
    </row>
    <row r="652" spans="1:4" x14ac:dyDescent="0.35">
      <c r="A652">
        <v>2012</v>
      </c>
      <c r="B652" t="s">
        <v>35</v>
      </c>
      <c r="C652" t="s">
        <v>158</v>
      </c>
      <c r="D652">
        <v>294</v>
      </c>
    </row>
    <row r="653" spans="1:4" x14ac:dyDescent="0.35">
      <c r="A653">
        <v>2012</v>
      </c>
      <c r="B653" t="s">
        <v>34</v>
      </c>
      <c r="C653" t="s">
        <v>159</v>
      </c>
      <c r="D653">
        <v>6</v>
      </c>
    </row>
    <row r="654" spans="1:4" x14ac:dyDescent="0.35">
      <c r="A654">
        <v>2012</v>
      </c>
      <c r="B654" t="s">
        <v>35</v>
      </c>
      <c r="C654" t="s">
        <v>160</v>
      </c>
      <c r="D654">
        <v>478</v>
      </c>
    </row>
    <row r="655" spans="1:4" x14ac:dyDescent="0.35">
      <c r="A655">
        <v>2012</v>
      </c>
      <c r="B655" t="s">
        <v>35</v>
      </c>
      <c r="C655" t="s">
        <v>161</v>
      </c>
      <c r="D655">
        <v>2464</v>
      </c>
    </row>
    <row r="656" spans="1:4" x14ac:dyDescent="0.35">
      <c r="A656">
        <v>2012</v>
      </c>
      <c r="B656" t="s">
        <v>33</v>
      </c>
      <c r="C656" t="s">
        <v>162</v>
      </c>
      <c r="D656">
        <v>13</v>
      </c>
    </row>
    <row r="657" spans="1:4" x14ac:dyDescent="0.35">
      <c r="A657">
        <v>2012</v>
      </c>
      <c r="B657" t="s">
        <v>36</v>
      </c>
      <c r="C657" t="s">
        <v>163</v>
      </c>
      <c r="D657">
        <v>6</v>
      </c>
    </row>
    <row r="658" spans="1:4" x14ac:dyDescent="0.35">
      <c r="A658">
        <v>2012</v>
      </c>
      <c r="B658" t="s">
        <v>36</v>
      </c>
      <c r="C658" t="s">
        <v>164</v>
      </c>
      <c r="D658">
        <v>21</v>
      </c>
    </row>
    <row r="659" spans="1:4" x14ac:dyDescent="0.35">
      <c r="A659">
        <v>2012</v>
      </c>
      <c r="B659" t="s">
        <v>36</v>
      </c>
      <c r="C659" t="s">
        <v>165</v>
      </c>
      <c r="D659">
        <v>39</v>
      </c>
    </row>
    <row r="660" spans="1:4" x14ac:dyDescent="0.35">
      <c r="A660">
        <v>2012</v>
      </c>
      <c r="B660" t="s">
        <v>37</v>
      </c>
      <c r="C660" t="s">
        <v>166</v>
      </c>
      <c r="D660">
        <v>9</v>
      </c>
    </row>
    <row r="661" spans="1:4" x14ac:dyDescent="0.35">
      <c r="A661">
        <v>2012</v>
      </c>
      <c r="B661" t="s">
        <v>34</v>
      </c>
      <c r="C661" t="s">
        <v>167</v>
      </c>
      <c r="D661">
        <v>296</v>
      </c>
    </row>
    <row r="662" spans="1:4" x14ac:dyDescent="0.35">
      <c r="A662">
        <v>2012</v>
      </c>
      <c r="B662" t="s">
        <v>33</v>
      </c>
      <c r="C662" t="s">
        <v>168</v>
      </c>
      <c r="D662">
        <v>38</v>
      </c>
    </row>
    <row r="663" spans="1:4" x14ac:dyDescent="0.35">
      <c r="A663">
        <v>2012</v>
      </c>
      <c r="B663" t="s">
        <v>35</v>
      </c>
      <c r="C663" t="s">
        <v>169</v>
      </c>
      <c r="D663" t="s">
        <v>205</v>
      </c>
    </row>
    <row r="664" spans="1:4" x14ac:dyDescent="0.35">
      <c r="A664">
        <v>2012</v>
      </c>
      <c r="B664" t="s">
        <v>35</v>
      </c>
      <c r="C664" t="s">
        <v>215</v>
      </c>
      <c r="D664">
        <v>9</v>
      </c>
    </row>
    <row r="665" spans="1:4" x14ac:dyDescent="0.35">
      <c r="A665">
        <v>2012</v>
      </c>
      <c r="B665" t="s">
        <v>33</v>
      </c>
      <c r="C665" t="s">
        <v>170</v>
      </c>
      <c r="D665">
        <v>18</v>
      </c>
    </row>
    <row r="666" spans="1:4" x14ac:dyDescent="0.35">
      <c r="A666">
        <v>2012</v>
      </c>
      <c r="B666" t="s">
        <v>34</v>
      </c>
      <c r="C666" t="s">
        <v>171</v>
      </c>
      <c r="D666">
        <v>74</v>
      </c>
    </row>
    <row r="667" spans="1:4" x14ac:dyDescent="0.35">
      <c r="A667">
        <v>2012</v>
      </c>
      <c r="B667" t="s">
        <v>35</v>
      </c>
      <c r="C667" t="s">
        <v>172</v>
      </c>
      <c r="D667">
        <v>76</v>
      </c>
    </row>
    <row r="668" spans="1:4" x14ac:dyDescent="0.35">
      <c r="A668">
        <v>2012</v>
      </c>
      <c r="B668" t="s">
        <v>35</v>
      </c>
      <c r="C668" t="s">
        <v>173</v>
      </c>
      <c r="D668">
        <v>16</v>
      </c>
    </row>
    <row r="669" spans="1:4" x14ac:dyDescent="0.35">
      <c r="A669">
        <v>2012</v>
      </c>
      <c r="B669" t="s">
        <v>37</v>
      </c>
      <c r="C669" t="s">
        <v>388</v>
      </c>
    </row>
    <row r="670" spans="1:4" x14ac:dyDescent="0.35">
      <c r="A670">
        <v>2012</v>
      </c>
      <c r="B670" t="s">
        <v>33</v>
      </c>
      <c r="C670" t="s">
        <v>174</v>
      </c>
      <c r="D670">
        <v>5</v>
      </c>
    </row>
    <row r="671" spans="1:4" x14ac:dyDescent="0.35">
      <c r="A671">
        <v>2012</v>
      </c>
      <c r="B671" t="s">
        <v>33</v>
      </c>
      <c r="C671" t="s">
        <v>175</v>
      </c>
      <c r="D671">
        <v>119</v>
      </c>
    </row>
    <row r="672" spans="1:4" x14ac:dyDescent="0.35">
      <c r="A672">
        <v>2012</v>
      </c>
      <c r="B672" t="s">
        <v>35</v>
      </c>
      <c r="C672" t="s">
        <v>216</v>
      </c>
    </row>
    <row r="673" spans="1:4" x14ac:dyDescent="0.35">
      <c r="A673">
        <v>2012</v>
      </c>
      <c r="B673" t="s">
        <v>35</v>
      </c>
      <c r="C673" t="s">
        <v>177</v>
      </c>
      <c r="D673">
        <v>874</v>
      </c>
    </row>
    <row r="674" spans="1:4" x14ac:dyDescent="0.35">
      <c r="A674">
        <v>2012</v>
      </c>
      <c r="B674" t="s">
        <v>34</v>
      </c>
      <c r="C674" t="s">
        <v>178</v>
      </c>
      <c r="D674">
        <v>151</v>
      </c>
    </row>
    <row r="675" spans="1:4" x14ac:dyDescent="0.35">
      <c r="A675">
        <v>2012</v>
      </c>
      <c r="B675" t="s">
        <v>33</v>
      </c>
      <c r="C675" t="s">
        <v>179</v>
      </c>
      <c r="D675">
        <v>29</v>
      </c>
    </row>
    <row r="676" spans="1:4" x14ac:dyDescent="0.35">
      <c r="A676">
        <v>2012</v>
      </c>
      <c r="B676" t="s">
        <v>35</v>
      </c>
      <c r="C676" t="s">
        <v>182</v>
      </c>
      <c r="D676">
        <v>119</v>
      </c>
    </row>
    <row r="677" spans="1:4" x14ac:dyDescent="0.35">
      <c r="A677">
        <v>2012</v>
      </c>
      <c r="B677" t="s">
        <v>35</v>
      </c>
      <c r="C677" t="s">
        <v>183</v>
      </c>
      <c r="D677">
        <v>104</v>
      </c>
    </row>
    <row r="678" spans="1:4" x14ac:dyDescent="0.35">
      <c r="A678">
        <v>2012</v>
      </c>
      <c r="B678" t="s">
        <v>34</v>
      </c>
      <c r="C678" t="s">
        <v>184</v>
      </c>
      <c r="D678">
        <v>72</v>
      </c>
    </row>
    <row r="679" spans="1:4" x14ac:dyDescent="0.35">
      <c r="A679">
        <v>2012</v>
      </c>
      <c r="B679" t="s">
        <v>34</v>
      </c>
      <c r="C679" t="s">
        <v>185</v>
      </c>
      <c r="D679">
        <v>374</v>
      </c>
    </row>
    <row r="680" spans="1:4" x14ac:dyDescent="0.35">
      <c r="A680">
        <v>2012</v>
      </c>
      <c r="B680" t="s">
        <v>34</v>
      </c>
      <c r="C680" t="s">
        <v>186</v>
      </c>
      <c r="D680">
        <v>17</v>
      </c>
    </row>
    <row r="681" spans="1:4" x14ac:dyDescent="0.35">
      <c r="A681">
        <v>2012</v>
      </c>
      <c r="B681" t="s">
        <v>33</v>
      </c>
      <c r="C681" t="s">
        <v>187</v>
      </c>
      <c r="D681">
        <v>38</v>
      </c>
    </row>
    <row r="682" spans="1:4" x14ac:dyDescent="0.35">
      <c r="A682">
        <v>2012</v>
      </c>
      <c r="B682" t="s">
        <v>34</v>
      </c>
      <c r="C682" t="s">
        <v>188</v>
      </c>
      <c r="D682">
        <v>231</v>
      </c>
    </row>
    <row r="683" spans="1:4" x14ac:dyDescent="0.35">
      <c r="A683">
        <v>2012</v>
      </c>
      <c r="B683" t="s">
        <v>33</v>
      </c>
      <c r="C683" t="s">
        <v>189</v>
      </c>
      <c r="D683">
        <v>11</v>
      </c>
    </row>
    <row r="684" spans="1:4" x14ac:dyDescent="0.35">
      <c r="A684">
        <v>2012</v>
      </c>
      <c r="B684" t="s">
        <v>37</v>
      </c>
      <c r="C684" t="s">
        <v>190</v>
      </c>
      <c r="D684">
        <v>7</v>
      </c>
    </row>
    <row r="685" spans="1:4" x14ac:dyDescent="0.35">
      <c r="A685">
        <v>2012</v>
      </c>
      <c r="B685" t="s">
        <v>36</v>
      </c>
      <c r="C685" t="s">
        <v>191</v>
      </c>
      <c r="D685">
        <v>117</v>
      </c>
    </row>
    <row r="686" spans="1:4" x14ac:dyDescent="0.35">
      <c r="A686">
        <v>2012</v>
      </c>
      <c r="B686" t="s">
        <v>33</v>
      </c>
      <c r="C686" t="s">
        <v>192</v>
      </c>
      <c r="D686">
        <v>21</v>
      </c>
    </row>
    <row r="687" spans="1:4" x14ac:dyDescent="0.35">
      <c r="A687">
        <v>2012</v>
      </c>
      <c r="B687" t="s">
        <v>34</v>
      </c>
      <c r="C687" t="s">
        <v>193</v>
      </c>
      <c r="D687">
        <v>1226</v>
      </c>
    </row>
    <row r="688" spans="1:4" x14ac:dyDescent="0.35">
      <c r="A688">
        <v>2012</v>
      </c>
      <c r="B688" t="s">
        <v>36</v>
      </c>
      <c r="C688" t="s">
        <v>372</v>
      </c>
      <c r="D688">
        <v>16</v>
      </c>
    </row>
    <row r="689" spans="1:4" x14ac:dyDescent="0.35">
      <c r="A689">
        <v>2012</v>
      </c>
      <c r="B689" t="s">
        <v>37</v>
      </c>
      <c r="C689" t="s">
        <v>387</v>
      </c>
      <c r="D689">
        <v>20</v>
      </c>
    </row>
    <row r="690" spans="1:4" x14ac:dyDescent="0.35">
      <c r="A690">
        <v>2012</v>
      </c>
      <c r="B690" t="s">
        <v>33</v>
      </c>
      <c r="C690" t="s">
        <v>195</v>
      </c>
      <c r="D690">
        <v>22</v>
      </c>
    </row>
    <row r="691" spans="1:4" x14ac:dyDescent="0.35">
      <c r="A691">
        <v>2012</v>
      </c>
      <c r="B691" t="s">
        <v>35</v>
      </c>
      <c r="C691" t="s">
        <v>196</v>
      </c>
      <c r="D691">
        <v>2589</v>
      </c>
    </row>
    <row r="692" spans="1:4" x14ac:dyDescent="0.35">
      <c r="A692">
        <v>2012</v>
      </c>
      <c r="B692" t="s">
        <v>34</v>
      </c>
      <c r="C692" t="s">
        <v>197</v>
      </c>
      <c r="D692">
        <v>13</v>
      </c>
    </row>
    <row r="693" spans="1:4" x14ac:dyDescent="0.35">
      <c r="A693">
        <v>2012</v>
      </c>
      <c r="B693" t="s">
        <v>35</v>
      </c>
      <c r="C693" t="s">
        <v>198</v>
      </c>
      <c r="D693">
        <v>1353</v>
      </c>
    </row>
    <row r="694" spans="1:4" x14ac:dyDescent="0.35">
      <c r="A694">
        <v>2012</v>
      </c>
      <c r="B694" t="s">
        <v>39</v>
      </c>
      <c r="C694" t="s">
        <v>39</v>
      </c>
      <c r="D694">
        <v>137</v>
      </c>
    </row>
    <row r="695" spans="1:4" x14ac:dyDescent="0.35">
      <c r="A695">
        <v>2012</v>
      </c>
      <c r="B695" t="s">
        <v>38</v>
      </c>
      <c r="C695" t="s">
        <v>199</v>
      </c>
      <c r="D695">
        <v>18</v>
      </c>
    </row>
    <row r="696" spans="1:4" x14ac:dyDescent="0.35">
      <c r="A696">
        <v>2012</v>
      </c>
      <c r="B696" t="s">
        <v>34</v>
      </c>
      <c r="C696" t="s">
        <v>200</v>
      </c>
      <c r="D696">
        <v>22</v>
      </c>
    </row>
    <row r="697" spans="1:4" x14ac:dyDescent="0.35">
      <c r="A697">
        <v>2012</v>
      </c>
      <c r="B697" t="s">
        <v>38</v>
      </c>
      <c r="C697" t="s">
        <v>19</v>
      </c>
      <c r="D697">
        <v>188</v>
      </c>
    </row>
    <row r="698" spans="1:4" x14ac:dyDescent="0.35">
      <c r="A698">
        <v>2012</v>
      </c>
      <c r="B698" t="s">
        <v>34</v>
      </c>
      <c r="C698" t="s">
        <v>201</v>
      </c>
      <c r="D698">
        <v>565</v>
      </c>
    </row>
    <row r="699" spans="1:4" x14ac:dyDescent="0.35">
      <c r="A699">
        <v>2012</v>
      </c>
      <c r="B699" t="s">
        <v>34</v>
      </c>
      <c r="C699" t="s">
        <v>202</v>
      </c>
      <c r="D699">
        <v>26</v>
      </c>
    </row>
    <row r="700" spans="1:4" x14ac:dyDescent="0.35">
      <c r="A700">
        <v>2012</v>
      </c>
      <c r="B700" t="s">
        <v>33</v>
      </c>
      <c r="C700" t="s">
        <v>203</v>
      </c>
      <c r="D700">
        <v>10</v>
      </c>
    </row>
    <row r="701" spans="1:4" x14ac:dyDescent="0.35">
      <c r="A701">
        <v>2012</v>
      </c>
      <c r="B701" t="s">
        <v>33</v>
      </c>
      <c r="C701" t="s">
        <v>204</v>
      </c>
      <c r="D701">
        <v>19</v>
      </c>
    </row>
    <row r="702" spans="1:4" x14ac:dyDescent="0.35">
      <c r="A702">
        <v>2013</v>
      </c>
      <c r="B702" t="s">
        <v>34</v>
      </c>
      <c r="C702" t="s">
        <v>40</v>
      </c>
      <c r="D702">
        <v>42</v>
      </c>
    </row>
    <row r="703" spans="1:4" x14ac:dyDescent="0.35">
      <c r="A703">
        <v>2013</v>
      </c>
      <c r="B703" t="s">
        <v>35</v>
      </c>
      <c r="C703" t="s">
        <v>41</v>
      </c>
      <c r="D703">
        <v>22</v>
      </c>
    </row>
    <row r="704" spans="1:4" x14ac:dyDescent="0.35">
      <c r="A704">
        <v>2013</v>
      </c>
      <c r="B704" t="s">
        <v>33</v>
      </c>
      <c r="C704" t="s">
        <v>42</v>
      </c>
      <c r="D704">
        <v>39</v>
      </c>
    </row>
    <row r="705" spans="1:4" x14ac:dyDescent="0.35">
      <c r="A705">
        <v>2013</v>
      </c>
      <c r="C705" t="s">
        <v>373</v>
      </c>
      <c r="D705">
        <v>57</v>
      </c>
    </row>
    <row r="706" spans="1:4" x14ac:dyDescent="0.35">
      <c r="A706">
        <v>2013</v>
      </c>
      <c r="B706" t="s">
        <v>37</v>
      </c>
      <c r="C706" t="s">
        <v>386</v>
      </c>
      <c r="D706">
        <v>8</v>
      </c>
    </row>
    <row r="707" spans="1:4" x14ac:dyDescent="0.35">
      <c r="A707">
        <v>2013</v>
      </c>
      <c r="B707" t="s">
        <v>33</v>
      </c>
      <c r="C707" t="s">
        <v>43</v>
      </c>
      <c r="D707">
        <v>21</v>
      </c>
    </row>
    <row r="708" spans="1:4" x14ac:dyDescent="0.35">
      <c r="A708">
        <v>2013</v>
      </c>
      <c r="B708" t="s">
        <v>36</v>
      </c>
      <c r="C708" t="s">
        <v>44</v>
      </c>
      <c r="D708">
        <v>8</v>
      </c>
    </row>
    <row r="709" spans="1:4" x14ac:dyDescent="0.35">
      <c r="A709">
        <v>2013</v>
      </c>
      <c r="B709" t="s">
        <v>38</v>
      </c>
      <c r="C709" t="s">
        <v>45</v>
      </c>
      <c r="D709">
        <v>70</v>
      </c>
    </row>
    <row r="710" spans="1:4" x14ac:dyDescent="0.35">
      <c r="A710">
        <v>2013</v>
      </c>
      <c r="B710" t="s">
        <v>34</v>
      </c>
      <c r="C710" t="s">
        <v>46</v>
      </c>
      <c r="D710">
        <v>5</v>
      </c>
    </row>
    <row r="711" spans="1:4" x14ac:dyDescent="0.35">
      <c r="A711">
        <v>2013</v>
      </c>
      <c r="B711" t="s">
        <v>37</v>
      </c>
      <c r="C711" t="s">
        <v>47</v>
      </c>
      <c r="D711">
        <v>396</v>
      </c>
    </row>
    <row r="712" spans="1:4" x14ac:dyDescent="0.35">
      <c r="A712">
        <v>2013</v>
      </c>
      <c r="B712" t="s">
        <v>35</v>
      </c>
      <c r="C712" t="s">
        <v>48</v>
      </c>
      <c r="D712">
        <v>46</v>
      </c>
    </row>
    <row r="713" spans="1:4" x14ac:dyDescent="0.35">
      <c r="A713">
        <v>2013</v>
      </c>
      <c r="B713" t="s">
        <v>34</v>
      </c>
      <c r="C713" t="s">
        <v>49</v>
      </c>
      <c r="D713">
        <v>27</v>
      </c>
    </row>
    <row r="714" spans="1:4" x14ac:dyDescent="0.35">
      <c r="A714">
        <v>2013</v>
      </c>
      <c r="B714" t="s">
        <v>36</v>
      </c>
      <c r="C714" t="s">
        <v>50</v>
      </c>
      <c r="D714">
        <v>485</v>
      </c>
    </row>
    <row r="715" spans="1:4" x14ac:dyDescent="0.35">
      <c r="A715">
        <v>2013</v>
      </c>
      <c r="B715" t="s">
        <v>34</v>
      </c>
      <c r="C715" t="s">
        <v>51</v>
      </c>
      <c r="D715">
        <v>4</v>
      </c>
    </row>
    <row r="716" spans="1:4" x14ac:dyDescent="0.35">
      <c r="A716">
        <v>2013</v>
      </c>
      <c r="B716" t="s">
        <v>34</v>
      </c>
      <c r="C716" t="s">
        <v>52</v>
      </c>
      <c r="D716">
        <v>167</v>
      </c>
    </row>
    <row r="717" spans="1:4" x14ac:dyDescent="0.35">
      <c r="A717">
        <v>2013</v>
      </c>
      <c r="B717" t="s">
        <v>36</v>
      </c>
      <c r="C717" t="s">
        <v>53</v>
      </c>
      <c r="D717">
        <v>24</v>
      </c>
    </row>
    <row r="718" spans="1:4" x14ac:dyDescent="0.35">
      <c r="A718">
        <v>2013</v>
      </c>
      <c r="B718" t="s">
        <v>35</v>
      </c>
      <c r="C718" t="s">
        <v>54</v>
      </c>
      <c r="D718">
        <v>24</v>
      </c>
    </row>
    <row r="719" spans="1:4" x14ac:dyDescent="0.35">
      <c r="A719">
        <v>2013</v>
      </c>
      <c r="B719" t="s">
        <v>35</v>
      </c>
      <c r="C719" t="s">
        <v>55</v>
      </c>
      <c r="D719">
        <v>98</v>
      </c>
    </row>
    <row r="720" spans="1:4" x14ac:dyDescent="0.35">
      <c r="A720">
        <v>2013</v>
      </c>
      <c r="B720" t="s">
        <v>36</v>
      </c>
      <c r="C720" t="s">
        <v>56</v>
      </c>
      <c r="D720">
        <v>36</v>
      </c>
    </row>
    <row r="721" spans="1:4" x14ac:dyDescent="0.35">
      <c r="A721">
        <v>2013</v>
      </c>
      <c r="B721" t="s">
        <v>33</v>
      </c>
      <c r="C721" t="s">
        <v>57</v>
      </c>
      <c r="D721">
        <v>19</v>
      </c>
    </row>
    <row r="722" spans="1:4" x14ac:dyDescent="0.35">
      <c r="A722">
        <v>2013</v>
      </c>
      <c r="B722" t="s">
        <v>36</v>
      </c>
      <c r="C722" t="s">
        <v>363</v>
      </c>
      <c r="D722">
        <v>93</v>
      </c>
    </row>
    <row r="723" spans="1:4" x14ac:dyDescent="0.35">
      <c r="A723">
        <v>2013</v>
      </c>
      <c r="B723" t="s">
        <v>38</v>
      </c>
      <c r="C723" t="s">
        <v>59</v>
      </c>
      <c r="D723">
        <v>43</v>
      </c>
    </row>
    <row r="724" spans="1:4" x14ac:dyDescent="0.35">
      <c r="A724">
        <v>2013</v>
      </c>
      <c r="B724" t="s">
        <v>35</v>
      </c>
      <c r="C724" t="s">
        <v>60</v>
      </c>
      <c r="D724">
        <v>10</v>
      </c>
    </row>
    <row r="725" spans="1:4" x14ac:dyDescent="0.35">
      <c r="A725">
        <v>2013</v>
      </c>
      <c r="B725" t="s">
        <v>38</v>
      </c>
      <c r="C725" t="s">
        <v>21</v>
      </c>
      <c r="D725">
        <v>481</v>
      </c>
    </row>
    <row r="726" spans="1:4" x14ac:dyDescent="0.35">
      <c r="A726">
        <v>2013</v>
      </c>
      <c r="B726" t="s">
        <v>36</v>
      </c>
      <c r="C726" t="s">
        <v>364</v>
      </c>
      <c r="D726">
        <v>19</v>
      </c>
    </row>
    <row r="727" spans="1:4" x14ac:dyDescent="0.35">
      <c r="A727">
        <v>2013</v>
      </c>
      <c r="B727" t="s">
        <v>35</v>
      </c>
      <c r="C727" t="s">
        <v>62</v>
      </c>
      <c r="D727">
        <v>117</v>
      </c>
    </row>
    <row r="728" spans="1:4" x14ac:dyDescent="0.35">
      <c r="A728">
        <v>2013</v>
      </c>
      <c r="B728" t="s">
        <v>33</v>
      </c>
      <c r="C728" t="s">
        <v>63</v>
      </c>
      <c r="D728">
        <v>12</v>
      </c>
    </row>
    <row r="729" spans="1:4" x14ac:dyDescent="0.35">
      <c r="A729">
        <v>2013</v>
      </c>
      <c r="B729" t="s">
        <v>34</v>
      </c>
      <c r="C729" t="s">
        <v>64</v>
      </c>
      <c r="D729">
        <v>1920</v>
      </c>
    </row>
    <row r="730" spans="1:4" x14ac:dyDescent="0.35">
      <c r="A730">
        <v>2013</v>
      </c>
      <c r="B730" t="s">
        <v>33</v>
      </c>
      <c r="C730" t="s">
        <v>65</v>
      </c>
      <c r="D730">
        <v>12</v>
      </c>
    </row>
    <row r="731" spans="1:4" x14ac:dyDescent="0.35">
      <c r="A731">
        <v>2013</v>
      </c>
      <c r="B731" t="s">
        <v>34</v>
      </c>
      <c r="C731" t="s">
        <v>67</v>
      </c>
      <c r="D731">
        <v>13</v>
      </c>
    </row>
    <row r="732" spans="1:4" x14ac:dyDescent="0.35">
      <c r="A732">
        <v>2013</v>
      </c>
      <c r="B732" t="s">
        <v>33</v>
      </c>
      <c r="C732" t="s">
        <v>68</v>
      </c>
      <c r="D732">
        <v>47</v>
      </c>
    </row>
    <row r="733" spans="1:4" x14ac:dyDescent="0.35">
      <c r="A733">
        <v>2013</v>
      </c>
      <c r="B733" t="s">
        <v>36</v>
      </c>
      <c r="C733" t="s">
        <v>69</v>
      </c>
      <c r="D733">
        <v>23963</v>
      </c>
    </row>
    <row r="734" spans="1:4" x14ac:dyDescent="0.35">
      <c r="A734">
        <v>2013</v>
      </c>
      <c r="B734" t="s">
        <v>33</v>
      </c>
      <c r="C734" t="s">
        <v>66</v>
      </c>
      <c r="D734">
        <v>8</v>
      </c>
    </row>
    <row r="735" spans="1:4" x14ac:dyDescent="0.35">
      <c r="A735">
        <v>2013</v>
      </c>
      <c r="B735" t="s">
        <v>36</v>
      </c>
      <c r="C735" t="s">
        <v>365</v>
      </c>
      <c r="D735">
        <v>3</v>
      </c>
    </row>
    <row r="736" spans="1:4" x14ac:dyDescent="0.35">
      <c r="A736">
        <v>2013</v>
      </c>
      <c r="B736" t="s">
        <v>38</v>
      </c>
      <c r="C736" t="s">
        <v>72</v>
      </c>
      <c r="D736">
        <v>119</v>
      </c>
    </row>
    <row r="737" spans="1:4" x14ac:dyDescent="0.35">
      <c r="A737">
        <v>2013</v>
      </c>
      <c r="B737" t="s">
        <v>34</v>
      </c>
      <c r="C737" t="s">
        <v>73</v>
      </c>
      <c r="D737">
        <v>11684</v>
      </c>
    </row>
    <row r="738" spans="1:4" x14ac:dyDescent="0.35">
      <c r="A738">
        <v>2013</v>
      </c>
      <c r="B738" t="s">
        <v>38</v>
      </c>
      <c r="C738" t="s">
        <v>20</v>
      </c>
      <c r="D738">
        <v>448</v>
      </c>
    </row>
    <row r="739" spans="1:4" x14ac:dyDescent="0.35">
      <c r="A739">
        <v>2013</v>
      </c>
      <c r="B739" t="s">
        <v>33</v>
      </c>
      <c r="C739" t="s">
        <v>74</v>
      </c>
      <c r="D739">
        <v>17</v>
      </c>
    </row>
    <row r="740" spans="1:4" x14ac:dyDescent="0.35">
      <c r="A740">
        <v>2013</v>
      </c>
      <c r="B740" t="s">
        <v>33</v>
      </c>
      <c r="C740" t="s">
        <v>75</v>
      </c>
      <c r="D740">
        <v>19</v>
      </c>
    </row>
    <row r="741" spans="1:4" x14ac:dyDescent="0.35">
      <c r="A741">
        <v>2013</v>
      </c>
      <c r="B741" t="s">
        <v>36</v>
      </c>
      <c r="C741" t="s">
        <v>76</v>
      </c>
      <c r="D741">
        <v>55</v>
      </c>
    </row>
    <row r="742" spans="1:4" x14ac:dyDescent="0.35">
      <c r="A742">
        <v>2013</v>
      </c>
      <c r="B742" t="s">
        <v>33</v>
      </c>
      <c r="C742" t="s">
        <v>77</v>
      </c>
      <c r="D742">
        <v>18</v>
      </c>
    </row>
    <row r="743" spans="1:4" x14ac:dyDescent="0.35">
      <c r="A743">
        <v>2013</v>
      </c>
      <c r="B743" t="s">
        <v>35</v>
      </c>
      <c r="C743" t="s">
        <v>78</v>
      </c>
      <c r="D743">
        <v>79</v>
      </c>
    </row>
    <row r="744" spans="1:4" x14ac:dyDescent="0.35">
      <c r="A744">
        <v>2013</v>
      </c>
      <c r="B744" t="s">
        <v>36</v>
      </c>
      <c r="C744" t="s">
        <v>79</v>
      </c>
      <c r="D744">
        <v>77</v>
      </c>
    </row>
    <row r="745" spans="1:4" x14ac:dyDescent="0.35">
      <c r="A745">
        <v>2013</v>
      </c>
      <c r="B745" t="s">
        <v>34</v>
      </c>
      <c r="C745" t="s">
        <v>80</v>
      </c>
      <c r="D745">
        <v>5</v>
      </c>
    </row>
    <row r="746" spans="1:4" x14ac:dyDescent="0.35">
      <c r="A746">
        <v>2013</v>
      </c>
      <c r="B746" t="s">
        <v>35</v>
      </c>
      <c r="C746" t="s">
        <v>81</v>
      </c>
      <c r="D746">
        <v>133</v>
      </c>
    </row>
    <row r="747" spans="1:4" x14ac:dyDescent="0.35">
      <c r="A747">
        <v>2013</v>
      </c>
      <c r="B747" t="s">
        <v>35</v>
      </c>
      <c r="C747" t="s">
        <v>214</v>
      </c>
      <c r="D747">
        <v>5</v>
      </c>
    </row>
    <row r="748" spans="1:4" x14ac:dyDescent="0.35">
      <c r="A748">
        <v>2013</v>
      </c>
      <c r="B748" t="s">
        <v>35</v>
      </c>
      <c r="C748" t="s">
        <v>82</v>
      </c>
      <c r="D748">
        <v>59</v>
      </c>
    </row>
    <row r="749" spans="1:4" x14ac:dyDescent="0.35">
      <c r="A749">
        <v>2013</v>
      </c>
      <c r="B749" t="s">
        <v>36</v>
      </c>
      <c r="C749" t="s">
        <v>84</v>
      </c>
      <c r="D749">
        <v>27</v>
      </c>
    </row>
    <row r="750" spans="1:4" x14ac:dyDescent="0.35">
      <c r="A750">
        <v>2013</v>
      </c>
      <c r="B750" t="s">
        <v>36</v>
      </c>
      <c r="C750" t="s">
        <v>85</v>
      </c>
      <c r="D750">
        <v>531</v>
      </c>
    </row>
    <row r="751" spans="1:4" x14ac:dyDescent="0.35">
      <c r="A751">
        <v>2013</v>
      </c>
      <c r="B751" t="s">
        <v>38</v>
      </c>
      <c r="C751" t="s">
        <v>86</v>
      </c>
      <c r="D751">
        <v>209</v>
      </c>
    </row>
    <row r="752" spans="1:4" x14ac:dyDescent="0.35">
      <c r="A752">
        <v>2013</v>
      </c>
      <c r="B752" t="s">
        <v>33</v>
      </c>
      <c r="C752" t="s">
        <v>87</v>
      </c>
      <c r="D752">
        <v>186</v>
      </c>
    </row>
    <row r="753" spans="1:4" x14ac:dyDescent="0.35">
      <c r="A753">
        <v>2013</v>
      </c>
      <c r="B753" t="s">
        <v>36</v>
      </c>
      <c r="C753" t="s">
        <v>16</v>
      </c>
      <c r="D753">
        <v>619</v>
      </c>
    </row>
    <row r="754" spans="1:4" x14ac:dyDescent="0.35">
      <c r="A754">
        <v>2013</v>
      </c>
      <c r="B754" t="s">
        <v>33</v>
      </c>
      <c r="C754" t="s">
        <v>89</v>
      </c>
      <c r="D754">
        <v>10</v>
      </c>
    </row>
    <row r="755" spans="1:4" x14ac:dyDescent="0.35">
      <c r="A755">
        <v>2013</v>
      </c>
      <c r="B755" t="s">
        <v>35</v>
      </c>
      <c r="C755" t="s">
        <v>90</v>
      </c>
      <c r="D755">
        <v>35</v>
      </c>
    </row>
    <row r="756" spans="1:4" x14ac:dyDescent="0.35">
      <c r="A756">
        <v>2013</v>
      </c>
      <c r="B756" t="s">
        <v>33</v>
      </c>
      <c r="C756" t="s">
        <v>91</v>
      </c>
      <c r="D756">
        <v>47</v>
      </c>
    </row>
    <row r="757" spans="1:4" x14ac:dyDescent="0.35">
      <c r="A757">
        <v>2013</v>
      </c>
      <c r="B757" t="s">
        <v>37</v>
      </c>
      <c r="C757" t="s">
        <v>92</v>
      </c>
      <c r="D757">
        <v>57</v>
      </c>
    </row>
    <row r="758" spans="1:4" x14ac:dyDescent="0.35">
      <c r="A758">
        <v>2013</v>
      </c>
      <c r="B758" t="s">
        <v>35</v>
      </c>
      <c r="C758" t="s">
        <v>93</v>
      </c>
      <c r="D758">
        <v>34</v>
      </c>
    </row>
    <row r="759" spans="1:4" x14ac:dyDescent="0.35">
      <c r="A759">
        <v>2013</v>
      </c>
      <c r="B759" t="s">
        <v>35</v>
      </c>
      <c r="C759" t="s">
        <v>94</v>
      </c>
      <c r="D759">
        <v>609</v>
      </c>
    </row>
    <row r="760" spans="1:4" x14ac:dyDescent="0.35">
      <c r="A760">
        <v>2013</v>
      </c>
      <c r="B760" t="s">
        <v>33</v>
      </c>
      <c r="C760" t="s">
        <v>95</v>
      </c>
      <c r="D760">
        <v>5</v>
      </c>
    </row>
    <row r="761" spans="1:4" x14ac:dyDescent="0.35">
      <c r="A761">
        <v>2013</v>
      </c>
      <c r="B761" t="s">
        <v>33</v>
      </c>
      <c r="C761" t="s">
        <v>96</v>
      </c>
      <c r="D761">
        <v>8</v>
      </c>
    </row>
    <row r="762" spans="1:4" x14ac:dyDescent="0.35">
      <c r="A762">
        <v>2013</v>
      </c>
      <c r="B762" t="s">
        <v>34</v>
      </c>
      <c r="C762" t="s">
        <v>8</v>
      </c>
      <c r="D762">
        <v>80</v>
      </c>
    </row>
    <row r="763" spans="1:4" x14ac:dyDescent="0.35">
      <c r="A763">
        <v>2013</v>
      </c>
      <c r="B763" t="s">
        <v>35</v>
      </c>
      <c r="C763" t="s">
        <v>97</v>
      </c>
      <c r="D763">
        <v>501</v>
      </c>
    </row>
    <row r="764" spans="1:4" x14ac:dyDescent="0.35">
      <c r="A764">
        <v>2013</v>
      </c>
      <c r="B764" t="s">
        <v>33</v>
      </c>
      <c r="C764" t="s">
        <v>98</v>
      </c>
      <c r="D764">
        <v>83</v>
      </c>
    </row>
    <row r="765" spans="1:4" x14ac:dyDescent="0.35">
      <c r="A765">
        <v>2013</v>
      </c>
      <c r="B765" t="s">
        <v>35</v>
      </c>
      <c r="C765" t="s">
        <v>99</v>
      </c>
      <c r="D765">
        <v>375</v>
      </c>
    </row>
    <row r="766" spans="1:4" x14ac:dyDescent="0.35">
      <c r="A766">
        <v>2013</v>
      </c>
      <c r="B766" t="s">
        <v>36</v>
      </c>
      <c r="C766" t="s">
        <v>100</v>
      </c>
      <c r="D766">
        <v>22</v>
      </c>
    </row>
    <row r="767" spans="1:4" x14ac:dyDescent="0.35">
      <c r="A767">
        <v>2013</v>
      </c>
      <c r="B767" t="s">
        <v>36</v>
      </c>
      <c r="C767" t="s">
        <v>15</v>
      </c>
      <c r="D767">
        <v>1347</v>
      </c>
    </row>
    <row r="768" spans="1:4" x14ac:dyDescent="0.35">
      <c r="A768">
        <v>2013</v>
      </c>
      <c r="B768" t="s">
        <v>33</v>
      </c>
      <c r="C768" t="s">
        <v>101</v>
      </c>
      <c r="D768">
        <v>5</v>
      </c>
    </row>
    <row r="769" spans="1:4" x14ac:dyDescent="0.35">
      <c r="A769">
        <v>2013</v>
      </c>
      <c r="B769" t="s">
        <v>38</v>
      </c>
      <c r="C769" t="s">
        <v>103</v>
      </c>
      <c r="D769">
        <v>80</v>
      </c>
    </row>
    <row r="770" spans="1:4" x14ac:dyDescent="0.35">
      <c r="A770">
        <v>2013</v>
      </c>
      <c r="B770" t="s">
        <v>36</v>
      </c>
      <c r="C770" t="s">
        <v>104</v>
      </c>
      <c r="D770">
        <v>156</v>
      </c>
    </row>
    <row r="771" spans="1:4" x14ac:dyDescent="0.35">
      <c r="A771">
        <v>2013</v>
      </c>
      <c r="B771" t="s">
        <v>36</v>
      </c>
      <c r="C771" t="s">
        <v>17</v>
      </c>
      <c r="D771">
        <v>912</v>
      </c>
    </row>
    <row r="772" spans="1:4" x14ac:dyDescent="0.35">
      <c r="A772">
        <v>2013</v>
      </c>
      <c r="B772" t="s">
        <v>34</v>
      </c>
      <c r="C772" t="s">
        <v>368</v>
      </c>
      <c r="D772">
        <v>54</v>
      </c>
    </row>
    <row r="773" spans="1:4" x14ac:dyDescent="0.35">
      <c r="A773">
        <v>2013</v>
      </c>
      <c r="B773" t="s">
        <v>35</v>
      </c>
      <c r="C773" t="s">
        <v>105</v>
      </c>
      <c r="D773">
        <v>173</v>
      </c>
    </row>
    <row r="774" spans="1:4" x14ac:dyDescent="0.35">
      <c r="A774">
        <v>2013</v>
      </c>
      <c r="B774" t="s">
        <v>35</v>
      </c>
      <c r="C774" t="s">
        <v>106</v>
      </c>
      <c r="D774">
        <v>8</v>
      </c>
    </row>
    <row r="775" spans="1:4" x14ac:dyDescent="0.35">
      <c r="A775">
        <v>2013</v>
      </c>
      <c r="B775" t="s">
        <v>34</v>
      </c>
      <c r="C775" t="s">
        <v>22</v>
      </c>
      <c r="D775">
        <v>2462</v>
      </c>
    </row>
    <row r="776" spans="1:4" x14ac:dyDescent="0.35">
      <c r="A776">
        <v>2013</v>
      </c>
      <c r="B776" t="s">
        <v>34</v>
      </c>
      <c r="C776" t="s">
        <v>107</v>
      </c>
      <c r="D776">
        <v>719</v>
      </c>
    </row>
    <row r="777" spans="1:4" x14ac:dyDescent="0.35">
      <c r="A777">
        <v>2013</v>
      </c>
      <c r="B777" t="s">
        <v>34</v>
      </c>
      <c r="C777" t="s">
        <v>108</v>
      </c>
      <c r="D777">
        <v>353</v>
      </c>
    </row>
    <row r="778" spans="1:4" x14ac:dyDescent="0.35">
      <c r="A778">
        <v>2013</v>
      </c>
      <c r="B778" t="s">
        <v>34</v>
      </c>
      <c r="C778" t="s">
        <v>109</v>
      </c>
      <c r="D778">
        <v>130</v>
      </c>
    </row>
    <row r="779" spans="1:4" x14ac:dyDescent="0.35">
      <c r="A779">
        <v>2013</v>
      </c>
      <c r="B779" t="s">
        <v>35</v>
      </c>
      <c r="C779" t="s">
        <v>110</v>
      </c>
      <c r="D779">
        <v>200</v>
      </c>
    </row>
    <row r="780" spans="1:4" x14ac:dyDescent="0.35">
      <c r="A780">
        <v>2013</v>
      </c>
      <c r="B780" t="s">
        <v>34</v>
      </c>
      <c r="C780" t="s">
        <v>111</v>
      </c>
      <c r="D780">
        <v>232</v>
      </c>
    </row>
    <row r="781" spans="1:4" x14ac:dyDescent="0.35">
      <c r="A781">
        <v>2013</v>
      </c>
      <c r="B781" t="s">
        <v>35</v>
      </c>
      <c r="C781" t="s">
        <v>112</v>
      </c>
      <c r="D781">
        <v>631</v>
      </c>
    </row>
    <row r="782" spans="1:4" x14ac:dyDescent="0.35">
      <c r="A782">
        <v>2013</v>
      </c>
      <c r="B782" t="s">
        <v>36</v>
      </c>
      <c r="C782" t="s">
        <v>113</v>
      </c>
      <c r="D782">
        <v>332</v>
      </c>
    </row>
    <row r="783" spans="1:4" x14ac:dyDescent="0.35">
      <c r="A783">
        <v>2013</v>
      </c>
      <c r="B783" t="s">
        <v>34</v>
      </c>
      <c r="C783" t="s">
        <v>114</v>
      </c>
      <c r="D783">
        <v>381</v>
      </c>
    </row>
    <row r="784" spans="1:4" x14ac:dyDescent="0.35">
      <c r="A784">
        <v>2013</v>
      </c>
      <c r="B784" t="s">
        <v>34</v>
      </c>
      <c r="C784" t="s">
        <v>115</v>
      </c>
      <c r="D784">
        <v>120</v>
      </c>
    </row>
    <row r="785" spans="1:4" x14ac:dyDescent="0.35">
      <c r="A785">
        <v>2013</v>
      </c>
      <c r="B785" t="s">
        <v>34</v>
      </c>
      <c r="C785" t="s">
        <v>116</v>
      </c>
      <c r="D785">
        <v>28</v>
      </c>
    </row>
    <row r="786" spans="1:4" x14ac:dyDescent="0.35">
      <c r="A786">
        <v>2013</v>
      </c>
      <c r="B786" t="s">
        <v>33</v>
      </c>
      <c r="C786" t="s">
        <v>117</v>
      </c>
      <c r="D786">
        <v>91</v>
      </c>
    </row>
    <row r="787" spans="1:4" x14ac:dyDescent="0.35">
      <c r="A787">
        <v>2013</v>
      </c>
      <c r="B787" t="s">
        <v>37</v>
      </c>
      <c r="C787" t="s">
        <v>390</v>
      </c>
      <c r="D787">
        <v>24</v>
      </c>
    </row>
    <row r="788" spans="1:4" x14ac:dyDescent="0.35">
      <c r="A788">
        <v>2013</v>
      </c>
      <c r="B788" t="s">
        <v>34</v>
      </c>
      <c r="C788" t="s">
        <v>118</v>
      </c>
      <c r="D788">
        <v>1259</v>
      </c>
    </row>
    <row r="789" spans="1:4" x14ac:dyDescent="0.35">
      <c r="A789">
        <v>2013</v>
      </c>
      <c r="B789" t="s">
        <v>35</v>
      </c>
      <c r="C789" t="s">
        <v>119</v>
      </c>
      <c r="D789">
        <v>11</v>
      </c>
    </row>
    <row r="790" spans="1:4" x14ac:dyDescent="0.35">
      <c r="A790">
        <v>2013</v>
      </c>
      <c r="B790" t="s">
        <v>34</v>
      </c>
      <c r="C790" t="s">
        <v>120</v>
      </c>
      <c r="D790">
        <v>40</v>
      </c>
    </row>
    <row r="791" spans="1:4" x14ac:dyDescent="0.35">
      <c r="A791">
        <v>2013</v>
      </c>
      <c r="B791" t="s">
        <v>34</v>
      </c>
      <c r="C791" t="s">
        <v>121</v>
      </c>
      <c r="D791">
        <v>8</v>
      </c>
    </row>
    <row r="792" spans="1:4" x14ac:dyDescent="0.35">
      <c r="A792">
        <v>2013</v>
      </c>
      <c r="B792" t="s">
        <v>34</v>
      </c>
      <c r="C792" t="s">
        <v>122</v>
      </c>
      <c r="D792">
        <v>3</v>
      </c>
    </row>
    <row r="793" spans="1:4" x14ac:dyDescent="0.35">
      <c r="A793">
        <v>2013</v>
      </c>
      <c r="B793" t="s">
        <v>35</v>
      </c>
      <c r="C793" t="s">
        <v>123</v>
      </c>
      <c r="D793">
        <v>95</v>
      </c>
    </row>
    <row r="794" spans="1:4" x14ac:dyDescent="0.35">
      <c r="A794">
        <v>2013</v>
      </c>
      <c r="B794" t="s">
        <v>34</v>
      </c>
      <c r="C794" t="s">
        <v>124</v>
      </c>
      <c r="D794">
        <v>92</v>
      </c>
    </row>
    <row r="795" spans="1:4" x14ac:dyDescent="0.35">
      <c r="A795">
        <v>2013</v>
      </c>
      <c r="B795" t="s">
        <v>33</v>
      </c>
      <c r="C795" t="s">
        <v>125</v>
      </c>
      <c r="D795">
        <v>14</v>
      </c>
    </row>
    <row r="796" spans="1:4" x14ac:dyDescent="0.35">
      <c r="A796">
        <v>2013</v>
      </c>
      <c r="B796" t="s">
        <v>33</v>
      </c>
      <c r="C796" t="s">
        <v>126</v>
      </c>
      <c r="D796">
        <v>17</v>
      </c>
    </row>
    <row r="797" spans="1:4" x14ac:dyDescent="0.35">
      <c r="A797">
        <v>2013</v>
      </c>
      <c r="B797" t="s">
        <v>35</v>
      </c>
      <c r="C797" t="s">
        <v>127</v>
      </c>
      <c r="D797">
        <v>153</v>
      </c>
    </row>
    <row r="798" spans="1:4" x14ac:dyDescent="0.35">
      <c r="A798">
        <v>2013</v>
      </c>
      <c r="B798" t="s">
        <v>35</v>
      </c>
      <c r="C798" t="s">
        <v>322</v>
      </c>
      <c r="D798">
        <v>12</v>
      </c>
    </row>
    <row r="799" spans="1:4" x14ac:dyDescent="0.35">
      <c r="A799">
        <v>2013</v>
      </c>
      <c r="B799" t="s">
        <v>33</v>
      </c>
      <c r="C799" t="s">
        <v>129</v>
      </c>
      <c r="D799">
        <v>4</v>
      </c>
    </row>
    <row r="800" spans="1:4" x14ac:dyDescent="0.35">
      <c r="A800">
        <v>2013</v>
      </c>
      <c r="B800" t="s">
        <v>34</v>
      </c>
      <c r="C800" t="s">
        <v>131</v>
      </c>
      <c r="D800">
        <v>53</v>
      </c>
    </row>
    <row r="801" spans="1:4" x14ac:dyDescent="0.35">
      <c r="A801">
        <v>2013</v>
      </c>
      <c r="B801" t="s">
        <v>34</v>
      </c>
      <c r="C801" t="s">
        <v>389</v>
      </c>
      <c r="D801">
        <v>12</v>
      </c>
    </row>
    <row r="802" spans="1:4" x14ac:dyDescent="0.35">
      <c r="A802">
        <v>2013</v>
      </c>
      <c r="B802" t="s">
        <v>33</v>
      </c>
      <c r="C802" t="s">
        <v>132</v>
      </c>
      <c r="D802">
        <v>8</v>
      </c>
    </row>
    <row r="803" spans="1:4" x14ac:dyDescent="0.35">
      <c r="A803">
        <v>2013</v>
      </c>
      <c r="B803" t="s">
        <v>35</v>
      </c>
      <c r="C803" t="s">
        <v>133</v>
      </c>
      <c r="D803">
        <v>4</v>
      </c>
    </row>
    <row r="804" spans="1:4" x14ac:dyDescent="0.35">
      <c r="A804">
        <v>2013</v>
      </c>
      <c r="B804" t="s">
        <v>37</v>
      </c>
      <c r="C804" t="s">
        <v>134</v>
      </c>
      <c r="D804">
        <v>3</v>
      </c>
    </row>
    <row r="805" spans="1:4" x14ac:dyDescent="0.35">
      <c r="A805">
        <v>2013</v>
      </c>
      <c r="B805" t="s">
        <v>33</v>
      </c>
      <c r="C805" t="s">
        <v>136</v>
      </c>
      <c r="D805">
        <v>18</v>
      </c>
    </row>
    <row r="806" spans="1:4" x14ac:dyDescent="0.35">
      <c r="A806">
        <v>2013</v>
      </c>
      <c r="B806" t="s">
        <v>36</v>
      </c>
      <c r="C806" t="s">
        <v>14</v>
      </c>
      <c r="D806">
        <v>88042</v>
      </c>
    </row>
    <row r="807" spans="1:4" x14ac:dyDescent="0.35">
      <c r="A807">
        <v>2013</v>
      </c>
      <c r="B807" t="s">
        <v>37</v>
      </c>
      <c r="C807" t="s">
        <v>137</v>
      </c>
      <c r="D807">
        <v>3</v>
      </c>
    </row>
    <row r="808" spans="1:4" x14ac:dyDescent="0.35">
      <c r="A808">
        <v>2013</v>
      </c>
      <c r="B808" t="s">
        <v>35</v>
      </c>
      <c r="C808" t="s">
        <v>138</v>
      </c>
      <c r="D808">
        <v>42</v>
      </c>
    </row>
    <row r="809" spans="1:4" x14ac:dyDescent="0.35">
      <c r="A809">
        <v>2013</v>
      </c>
      <c r="B809" t="s">
        <v>34</v>
      </c>
      <c r="C809" t="s">
        <v>139</v>
      </c>
      <c r="D809">
        <v>39</v>
      </c>
    </row>
    <row r="810" spans="1:4" x14ac:dyDescent="0.35">
      <c r="A810">
        <v>2013</v>
      </c>
      <c r="B810" t="s">
        <v>35</v>
      </c>
      <c r="C810" t="s">
        <v>140</v>
      </c>
      <c r="D810">
        <v>13</v>
      </c>
    </row>
    <row r="811" spans="1:4" x14ac:dyDescent="0.35">
      <c r="A811">
        <v>2013</v>
      </c>
      <c r="B811" t="s">
        <v>33</v>
      </c>
      <c r="C811" t="s">
        <v>141</v>
      </c>
      <c r="D811">
        <v>106</v>
      </c>
    </row>
    <row r="812" spans="1:4" x14ac:dyDescent="0.35">
      <c r="A812">
        <v>2013</v>
      </c>
      <c r="B812" t="s">
        <v>34</v>
      </c>
      <c r="C812" t="s">
        <v>144</v>
      </c>
      <c r="D812">
        <v>25</v>
      </c>
    </row>
    <row r="813" spans="1:4" x14ac:dyDescent="0.35">
      <c r="A813">
        <v>2013</v>
      </c>
      <c r="B813" t="s">
        <v>35</v>
      </c>
      <c r="C813" t="s">
        <v>145</v>
      </c>
      <c r="D813">
        <v>280</v>
      </c>
    </row>
    <row r="814" spans="1:4" x14ac:dyDescent="0.35">
      <c r="A814">
        <v>2013</v>
      </c>
      <c r="B814" t="s">
        <v>36</v>
      </c>
      <c r="C814" t="s">
        <v>371</v>
      </c>
    </row>
    <row r="815" spans="1:4" x14ac:dyDescent="0.35">
      <c r="A815">
        <v>2013</v>
      </c>
      <c r="B815" t="s">
        <v>37</v>
      </c>
      <c r="C815" t="s">
        <v>146</v>
      </c>
      <c r="D815">
        <v>94</v>
      </c>
    </row>
    <row r="816" spans="1:4" x14ac:dyDescent="0.35">
      <c r="A816">
        <v>2013</v>
      </c>
      <c r="B816" t="s">
        <v>36</v>
      </c>
      <c r="C816" t="s">
        <v>147</v>
      </c>
      <c r="D816">
        <v>122</v>
      </c>
    </row>
    <row r="817" spans="1:4" x14ac:dyDescent="0.35">
      <c r="A817">
        <v>2013</v>
      </c>
      <c r="B817" t="s">
        <v>33</v>
      </c>
      <c r="C817" t="s">
        <v>148</v>
      </c>
      <c r="D817">
        <v>6</v>
      </c>
    </row>
    <row r="818" spans="1:4" x14ac:dyDescent="0.35">
      <c r="A818">
        <v>2013</v>
      </c>
      <c r="B818" t="s">
        <v>33</v>
      </c>
      <c r="C818" t="s">
        <v>149</v>
      </c>
      <c r="D818">
        <v>293</v>
      </c>
    </row>
    <row r="819" spans="1:4" x14ac:dyDescent="0.35">
      <c r="A819">
        <v>2013</v>
      </c>
      <c r="B819" t="s">
        <v>35</v>
      </c>
      <c r="C819" t="s">
        <v>150</v>
      </c>
      <c r="D819">
        <v>71</v>
      </c>
    </row>
    <row r="820" spans="1:4" x14ac:dyDescent="0.35">
      <c r="A820">
        <v>2013</v>
      </c>
      <c r="B820" t="s">
        <v>34</v>
      </c>
      <c r="C820" t="s">
        <v>152</v>
      </c>
      <c r="D820">
        <v>296</v>
      </c>
    </row>
    <row r="821" spans="1:4" x14ac:dyDescent="0.35">
      <c r="A821">
        <v>2013</v>
      </c>
      <c r="B821" t="s">
        <v>37</v>
      </c>
      <c r="C821" t="s">
        <v>153</v>
      </c>
      <c r="D821">
        <v>5</v>
      </c>
    </row>
    <row r="822" spans="1:4" x14ac:dyDescent="0.35">
      <c r="A822">
        <v>2013</v>
      </c>
      <c r="B822" t="s">
        <v>36</v>
      </c>
      <c r="C822" t="s">
        <v>154</v>
      </c>
      <c r="D822">
        <v>53</v>
      </c>
    </row>
    <row r="823" spans="1:4" x14ac:dyDescent="0.35">
      <c r="A823">
        <v>2013</v>
      </c>
      <c r="B823" t="s">
        <v>38</v>
      </c>
      <c r="C823" t="s">
        <v>155</v>
      </c>
      <c r="D823">
        <v>16</v>
      </c>
    </row>
    <row r="824" spans="1:4" x14ac:dyDescent="0.35">
      <c r="A824">
        <v>2013</v>
      </c>
      <c r="B824" t="s">
        <v>38</v>
      </c>
      <c r="C824" t="s">
        <v>156</v>
      </c>
      <c r="D824">
        <v>510</v>
      </c>
    </row>
    <row r="825" spans="1:4" x14ac:dyDescent="0.35">
      <c r="A825">
        <v>2013</v>
      </c>
      <c r="B825" t="s">
        <v>34</v>
      </c>
      <c r="C825" t="s">
        <v>18</v>
      </c>
      <c r="D825">
        <v>21523</v>
      </c>
    </row>
    <row r="826" spans="1:4" x14ac:dyDescent="0.35">
      <c r="A826">
        <v>2013</v>
      </c>
      <c r="B826" t="s">
        <v>35</v>
      </c>
      <c r="C826" t="s">
        <v>157</v>
      </c>
      <c r="D826">
        <v>559</v>
      </c>
    </row>
    <row r="827" spans="1:4" x14ac:dyDescent="0.35">
      <c r="A827">
        <v>2013</v>
      </c>
      <c r="B827" t="s">
        <v>35</v>
      </c>
      <c r="C827" t="s">
        <v>158</v>
      </c>
      <c r="D827">
        <v>266</v>
      </c>
    </row>
    <row r="828" spans="1:4" x14ac:dyDescent="0.35">
      <c r="A828">
        <v>2013</v>
      </c>
      <c r="B828" t="s">
        <v>34</v>
      </c>
      <c r="C828" t="s">
        <v>159</v>
      </c>
      <c r="D828">
        <v>13</v>
      </c>
    </row>
    <row r="829" spans="1:4" x14ac:dyDescent="0.35">
      <c r="A829">
        <v>2013</v>
      </c>
      <c r="B829" t="s">
        <v>35</v>
      </c>
      <c r="C829" t="s">
        <v>160</v>
      </c>
      <c r="D829">
        <v>318</v>
      </c>
    </row>
    <row r="830" spans="1:4" x14ac:dyDescent="0.35">
      <c r="A830">
        <v>2013</v>
      </c>
      <c r="B830" t="s">
        <v>35</v>
      </c>
      <c r="C830" t="s">
        <v>161</v>
      </c>
      <c r="D830">
        <v>1991</v>
      </c>
    </row>
    <row r="831" spans="1:4" x14ac:dyDescent="0.35">
      <c r="A831">
        <v>2013</v>
      </c>
      <c r="B831" t="s">
        <v>33</v>
      </c>
      <c r="C831" t="s">
        <v>162</v>
      </c>
      <c r="D831">
        <v>14</v>
      </c>
    </row>
    <row r="832" spans="1:4" x14ac:dyDescent="0.35">
      <c r="A832">
        <v>2013</v>
      </c>
      <c r="B832" t="s">
        <v>36</v>
      </c>
      <c r="C832" t="s">
        <v>163</v>
      </c>
      <c r="D832">
        <v>18</v>
      </c>
    </row>
    <row r="833" spans="1:4" x14ac:dyDescent="0.35">
      <c r="A833">
        <v>2013</v>
      </c>
      <c r="B833" t="s">
        <v>36</v>
      </c>
      <c r="C833" t="s">
        <v>164</v>
      </c>
      <c r="D833">
        <v>27</v>
      </c>
    </row>
    <row r="834" spans="1:4" x14ac:dyDescent="0.35">
      <c r="A834">
        <v>2013</v>
      </c>
      <c r="B834" t="s">
        <v>36</v>
      </c>
      <c r="C834" t="s">
        <v>165</v>
      </c>
      <c r="D834">
        <v>31</v>
      </c>
    </row>
    <row r="835" spans="1:4" x14ac:dyDescent="0.35">
      <c r="A835">
        <v>2013</v>
      </c>
      <c r="B835" t="s">
        <v>37</v>
      </c>
      <c r="C835" t="s">
        <v>166</v>
      </c>
      <c r="D835" t="s">
        <v>205</v>
      </c>
    </row>
    <row r="836" spans="1:4" x14ac:dyDescent="0.35">
      <c r="A836">
        <v>2013</v>
      </c>
      <c r="B836" t="s">
        <v>34</v>
      </c>
      <c r="C836" t="s">
        <v>167</v>
      </c>
      <c r="D836">
        <v>354</v>
      </c>
    </row>
    <row r="837" spans="1:4" x14ac:dyDescent="0.35">
      <c r="A837">
        <v>2013</v>
      </c>
      <c r="B837" t="s">
        <v>33</v>
      </c>
      <c r="C837" t="s">
        <v>168</v>
      </c>
      <c r="D837">
        <v>87</v>
      </c>
    </row>
    <row r="838" spans="1:4" x14ac:dyDescent="0.35">
      <c r="A838">
        <v>2013</v>
      </c>
      <c r="B838" t="s">
        <v>35</v>
      </c>
      <c r="C838" t="s">
        <v>169</v>
      </c>
      <c r="D838">
        <v>112</v>
      </c>
    </row>
    <row r="839" spans="1:4" x14ac:dyDescent="0.35">
      <c r="A839">
        <v>2013</v>
      </c>
      <c r="B839" t="s">
        <v>35</v>
      </c>
      <c r="C839" t="s">
        <v>215</v>
      </c>
      <c r="D839">
        <v>4</v>
      </c>
    </row>
    <row r="840" spans="1:4" x14ac:dyDescent="0.35">
      <c r="A840">
        <v>2013</v>
      </c>
      <c r="B840" t="s">
        <v>33</v>
      </c>
      <c r="C840" t="s">
        <v>170</v>
      </c>
      <c r="D840">
        <v>10</v>
      </c>
    </row>
    <row r="841" spans="1:4" x14ac:dyDescent="0.35">
      <c r="A841">
        <v>2013</v>
      </c>
      <c r="B841" t="s">
        <v>34</v>
      </c>
      <c r="C841" t="s">
        <v>171</v>
      </c>
      <c r="D841">
        <v>64</v>
      </c>
    </row>
    <row r="842" spans="1:4" x14ac:dyDescent="0.35">
      <c r="A842">
        <v>2013</v>
      </c>
      <c r="B842" t="s">
        <v>35</v>
      </c>
      <c r="C842" t="s">
        <v>172</v>
      </c>
      <c r="D842">
        <v>67</v>
      </c>
    </row>
    <row r="843" spans="1:4" x14ac:dyDescent="0.35">
      <c r="A843">
        <v>2013</v>
      </c>
      <c r="B843" t="s">
        <v>35</v>
      </c>
      <c r="C843" t="s">
        <v>173</v>
      </c>
      <c r="D843">
        <v>21</v>
      </c>
    </row>
    <row r="844" spans="1:4" x14ac:dyDescent="0.35">
      <c r="A844">
        <v>2013</v>
      </c>
      <c r="B844" t="s">
        <v>37</v>
      </c>
      <c r="C844" t="s">
        <v>388</v>
      </c>
      <c r="D844">
        <v>5</v>
      </c>
    </row>
    <row r="845" spans="1:4" x14ac:dyDescent="0.35">
      <c r="A845">
        <v>2013</v>
      </c>
      <c r="B845" t="s">
        <v>33</v>
      </c>
      <c r="C845" t="s">
        <v>174</v>
      </c>
      <c r="D845">
        <v>10</v>
      </c>
    </row>
    <row r="846" spans="1:4" x14ac:dyDescent="0.35">
      <c r="A846">
        <v>2013</v>
      </c>
      <c r="B846" t="s">
        <v>33</v>
      </c>
      <c r="C846" t="s">
        <v>175</v>
      </c>
      <c r="D846">
        <v>107</v>
      </c>
    </row>
    <row r="847" spans="1:4" x14ac:dyDescent="0.35">
      <c r="A847">
        <v>2013</v>
      </c>
      <c r="B847" t="s">
        <v>35</v>
      </c>
      <c r="C847" t="s">
        <v>216</v>
      </c>
      <c r="D847" t="s">
        <v>205</v>
      </c>
    </row>
    <row r="848" spans="1:4" x14ac:dyDescent="0.35">
      <c r="A848">
        <v>2013</v>
      </c>
      <c r="B848" t="s">
        <v>35</v>
      </c>
      <c r="C848" t="s">
        <v>177</v>
      </c>
      <c r="D848">
        <v>1139</v>
      </c>
    </row>
    <row r="849" spans="1:4" x14ac:dyDescent="0.35">
      <c r="A849">
        <v>2013</v>
      </c>
      <c r="B849" t="s">
        <v>34</v>
      </c>
      <c r="C849" t="s">
        <v>178</v>
      </c>
      <c r="D849">
        <v>125</v>
      </c>
    </row>
    <row r="850" spans="1:4" x14ac:dyDescent="0.35">
      <c r="A850">
        <v>2013</v>
      </c>
      <c r="B850" t="s">
        <v>33</v>
      </c>
      <c r="C850" t="s">
        <v>179</v>
      </c>
      <c r="D850">
        <v>14</v>
      </c>
    </row>
    <row r="851" spans="1:4" x14ac:dyDescent="0.35">
      <c r="A851">
        <v>2013</v>
      </c>
      <c r="B851" t="s">
        <v>35</v>
      </c>
      <c r="C851" t="s">
        <v>182</v>
      </c>
      <c r="D851">
        <v>142</v>
      </c>
    </row>
    <row r="852" spans="1:4" x14ac:dyDescent="0.35">
      <c r="A852">
        <v>2013</v>
      </c>
      <c r="B852" t="s">
        <v>35</v>
      </c>
      <c r="C852" t="s">
        <v>183</v>
      </c>
      <c r="D852">
        <v>85</v>
      </c>
    </row>
    <row r="853" spans="1:4" x14ac:dyDescent="0.35">
      <c r="A853">
        <v>2013</v>
      </c>
      <c r="B853" t="s">
        <v>34</v>
      </c>
      <c r="C853" t="s">
        <v>184</v>
      </c>
      <c r="D853">
        <v>79</v>
      </c>
    </row>
    <row r="854" spans="1:4" x14ac:dyDescent="0.35">
      <c r="A854">
        <v>2013</v>
      </c>
      <c r="B854" t="s">
        <v>34</v>
      </c>
      <c r="C854" t="s">
        <v>185</v>
      </c>
      <c r="D854">
        <v>473</v>
      </c>
    </row>
    <row r="855" spans="1:4" x14ac:dyDescent="0.35">
      <c r="A855">
        <v>2013</v>
      </c>
      <c r="B855" t="s">
        <v>34</v>
      </c>
      <c r="C855" t="s">
        <v>186</v>
      </c>
      <c r="D855">
        <v>4</v>
      </c>
    </row>
    <row r="856" spans="1:4" x14ac:dyDescent="0.35">
      <c r="A856">
        <v>2013</v>
      </c>
      <c r="B856" t="s">
        <v>33</v>
      </c>
      <c r="C856" t="s">
        <v>187</v>
      </c>
      <c r="D856">
        <v>34</v>
      </c>
    </row>
    <row r="857" spans="1:4" x14ac:dyDescent="0.35">
      <c r="A857">
        <v>2013</v>
      </c>
      <c r="B857" t="s">
        <v>34</v>
      </c>
      <c r="C857" t="s">
        <v>188</v>
      </c>
      <c r="D857">
        <v>202</v>
      </c>
    </row>
    <row r="858" spans="1:4" x14ac:dyDescent="0.35">
      <c r="A858">
        <v>2013</v>
      </c>
      <c r="B858" t="s">
        <v>33</v>
      </c>
      <c r="C858" t="s">
        <v>189</v>
      </c>
      <c r="D858">
        <v>13</v>
      </c>
    </row>
    <row r="859" spans="1:4" x14ac:dyDescent="0.35">
      <c r="A859">
        <v>2013</v>
      </c>
      <c r="B859" t="s">
        <v>37</v>
      </c>
      <c r="C859" t="s">
        <v>190</v>
      </c>
      <c r="D859">
        <v>5</v>
      </c>
    </row>
    <row r="860" spans="1:4" x14ac:dyDescent="0.35">
      <c r="A860">
        <v>2013</v>
      </c>
      <c r="B860" t="s">
        <v>36</v>
      </c>
      <c r="C860" t="s">
        <v>191</v>
      </c>
      <c r="D860">
        <v>67</v>
      </c>
    </row>
    <row r="861" spans="1:4" x14ac:dyDescent="0.35">
      <c r="A861">
        <v>2013</v>
      </c>
      <c r="B861" t="s">
        <v>33</v>
      </c>
      <c r="C861" t="s">
        <v>192</v>
      </c>
      <c r="D861">
        <v>22</v>
      </c>
    </row>
    <row r="862" spans="1:4" x14ac:dyDescent="0.35">
      <c r="A862">
        <v>2013</v>
      </c>
      <c r="B862" t="s">
        <v>34</v>
      </c>
      <c r="C862" t="s">
        <v>193</v>
      </c>
      <c r="D862">
        <v>1029</v>
      </c>
    </row>
    <row r="863" spans="1:4" x14ac:dyDescent="0.35">
      <c r="A863">
        <v>2013</v>
      </c>
      <c r="B863" t="s">
        <v>36</v>
      </c>
      <c r="C863" t="s">
        <v>372</v>
      </c>
      <c r="D863">
        <v>8</v>
      </c>
    </row>
    <row r="864" spans="1:4" x14ac:dyDescent="0.35">
      <c r="A864">
        <v>2013</v>
      </c>
      <c r="B864" t="s">
        <v>37</v>
      </c>
      <c r="C864" t="s">
        <v>387</v>
      </c>
    </row>
    <row r="865" spans="1:4" x14ac:dyDescent="0.35">
      <c r="A865">
        <v>2013</v>
      </c>
      <c r="B865" t="s">
        <v>33</v>
      </c>
      <c r="C865" t="s">
        <v>195</v>
      </c>
      <c r="D865">
        <v>19</v>
      </c>
    </row>
    <row r="866" spans="1:4" x14ac:dyDescent="0.35">
      <c r="A866">
        <v>2013</v>
      </c>
      <c r="B866" t="s">
        <v>35</v>
      </c>
      <c r="C866" t="s">
        <v>196</v>
      </c>
      <c r="D866">
        <v>2604</v>
      </c>
    </row>
    <row r="867" spans="1:4" x14ac:dyDescent="0.35">
      <c r="A867">
        <v>2013</v>
      </c>
      <c r="B867" t="s">
        <v>34</v>
      </c>
      <c r="C867" t="s">
        <v>197</v>
      </c>
      <c r="D867">
        <v>13</v>
      </c>
    </row>
    <row r="868" spans="1:4" x14ac:dyDescent="0.35">
      <c r="A868">
        <v>2013</v>
      </c>
      <c r="B868" t="s">
        <v>35</v>
      </c>
      <c r="C868" t="s">
        <v>198</v>
      </c>
      <c r="D868">
        <v>1237</v>
      </c>
    </row>
    <row r="869" spans="1:4" x14ac:dyDescent="0.35">
      <c r="A869">
        <v>2013</v>
      </c>
      <c r="B869" t="s">
        <v>39</v>
      </c>
      <c r="C869" t="s">
        <v>39</v>
      </c>
      <c r="D869">
        <v>81</v>
      </c>
    </row>
    <row r="870" spans="1:4" x14ac:dyDescent="0.35">
      <c r="A870">
        <v>2013</v>
      </c>
      <c r="B870" t="s">
        <v>38</v>
      </c>
      <c r="C870" t="s">
        <v>199</v>
      </c>
      <c r="D870">
        <v>22</v>
      </c>
    </row>
    <row r="871" spans="1:4" x14ac:dyDescent="0.35">
      <c r="A871">
        <v>2013</v>
      </c>
      <c r="B871" t="s">
        <v>34</v>
      </c>
      <c r="C871" t="s">
        <v>200</v>
      </c>
      <c r="D871">
        <v>20</v>
      </c>
    </row>
    <row r="872" spans="1:4" x14ac:dyDescent="0.35">
      <c r="A872">
        <v>2013</v>
      </c>
      <c r="B872" t="s">
        <v>38</v>
      </c>
      <c r="C872" t="s">
        <v>19</v>
      </c>
      <c r="D872">
        <v>201</v>
      </c>
    </row>
    <row r="873" spans="1:4" x14ac:dyDescent="0.35">
      <c r="A873">
        <v>2013</v>
      </c>
      <c r="B873" t="s">
        <v>34</v>
      </c>
      <c r="C873" t="s">
        <v>201</v>
      </c>
      <c r="D873">
        <v>332</v>
      </c>
    </row>
    <row r="874" spans="1:4" x14ac:dyDescent="0.35">
      <c r="A874">
        <v>2013</v>
      </c>
      <c r="B874" t="s">
        <v>34</v>
      </c>
      <c r="C874" t="s">
        <v>202</v>
      </c>
      <c r="D874">
        <v>12</v>
      </c>
    </row>
    <row r="875" spans="1:4" x14ac:dyDescent="0.35">
      <c r="A875">
        <v>2013</v>
      </c>
      <c r="B875" t="s">
        <v>33</v>
      </c>
      <c r="C875" t="s">
        <v>203</v>
      </c>
      <c r="D875">
        <v>8</v>
      </c>
    </row>
    <row r="876" spans="1:4" x14ac:dyDescent="0.35">
      <c r="A876">
        <v>2013</v>
      </c>
      <c r="B876" t="s">
        <v>33</v>
      </c>
      <c r="C876" t="s">
        <v>204</v>
      </c>
      <c r="D876">
        <v>22</v>
      </c>
    </row>
    <row r="877" spans="1:4" x14ac:dyDescent="0.35">
      <c r="B877" t="s">
        <v>36</v>
      </c>
      <c r="C877" t="s">
        <v>392</v>
      </c>
    </row>
    <row r="878" spans="1:4" x14ac:dyDescent="0.35">
      <c r="B878" t="s">
        <v>34</v>
      </c>
      <c r="C878" t="s">
        <v>58</v>
      </c>
    </row>
    <row r="879" spans="1:4" x14ac:dyDescent="0.35">
      <c r="B879" t="s">
        <v>33</v>
      </c>
      <c r="C879" t="s">
        <v>61</v>
      </c>
    </row>
    <row r="880" spans="1:4" x14ac:dyDescent="0.35">
      <c r="B880" t="s">
        <v>33</v>
      </c>
      <c r="C880" t="s">
        <v>70</v>
      </c>
    </row>
    <row r="881" spans="2:3" x14ac:dyDescent="0.35">
      <c r="B881" t="s">
        <v>33</v>
      </c>
      <c r="C881" t="s">
        <v>71</v>
      </c>
    </row>
    <row r="882" spans="2:3" x14ac:dyDescent="0.35">
      <c r="B882" t="s">
        <v>33</v>
      </c>
      <c r="C882" t="s">
        <v>83</v>
      </c>
    </row>
    <row r="883" spans="2:3" x14ac:dyDescent="0.35">
      <c r="B883" t="s">
        <v>33</v>
      </c>
      <c r="C883" t="s">
        <v>88</v>
      </c>
    </row>
    <row r="884" spans="2:3" x14ac:dyDescent="0.35">
      <c r="B884" t="s">
        <v>37</v>
      </c>
      <c r="C884" t="s">
        <v>391</v>
      </c>
    </row>
    <row r="885" spans="2:3" x14ac:dyDescent="0.35">
      <c r="B885" t="s">
        <v>37</v>
      </c>
      <c r="C885" t="s">
        <v>367</v>
      </c>
    </row>
    <row r="886" spans="2:3" x14ac:dyDescent="0.35">
      <c r="B886" t="s">
        <v>33</v>
      </c>
      <c r="C886" t="s">
        <v>102</v>
      </c>
    </row>
    <row r="887" spans="2:3" x14ac:dyDescent="0.35">
      <c r="B887" t="s">
        <v>35</v>
      </c>
      <c r="C887" t="s">
        <v>128</v>
      </c>
    </row>
    <row r="888" spans="2:3" x14ac:dyDescent="0.35">
      <c r="B888" t="s">
        <v>34</v>
      </c>
      <c r="C888" t="s">
        <v>369</v>
      </c>
    </row>
    <row r="889" spans="2:3" x14ac:dyDescent="0.35">
      <c r="B889" t="s">
        <v>33</v>
      </c>
      <c r="C889" t="s">
        <v>130</v>
      </c>
    </row>
    <row r="890" spans="2:3" x14ac:dyDescent="0.35">
      <c r="B890" t="s">
        <v>33</v>
      </c>
      <c r="C890" t="s">
        <v>135</v>
      </c>
    </row>
    <row r="891" spans="2:3" x14ac:dyDescent="0.35">
      <c r="B891" t="s">
        <v>36</v>
      </c>
      <c r="C891" t="s">
        <v>370</v>
      </c>
    </row>
    <row r="892" spans="2:3" x14ac:dyDescent="0.35">
      <c r="B892" t="s">
        <v>33</v>
      </c>
      <c r="C892" t="s">
        <v>142</v>
      </c>
    </row>
    <row r="893" spans="2:3" x14ac:dyDescent="0.35">
      <c r="B893" t="s">
        <v>33</v>
      </c>
      <c r="C893" t="s">
        <v>143</v>
      </c>
    </row>
    <row r="894" spans="2:3" x14ac:dyDescent="0.35">
      <c r="B894" t="s">
        <v>34</v>
      </c>
      <c r="C894" t="s">
        <v>151</v>
      </c>
    </row>
    <row r="895" spans="2:3" x14ac:dyDescent="0.35">
      <c r="B895" t="s">
        <v>33</v>
      </c>
      <c r="C895" t="s">
        <v>176</v>
      </c>
    </row>
    <row r="896" spans="2:3" x14ac:dyDescent="0.35">
      <c r="B896" t="s">
        <v>38</v>
      </c>
      <c r="C896" t="s">
        <v>180</v>
      </c>
    </row>
    <row r="897" spans="1:5" x14ac:dyDescent="0.35">
      <c r="B897" t="s">
        <v>33</v>
      </c>
      <c r="C897" t="s">
        <v>181</v>
      </c>
    </row>
    <row r="898" spans="1:5" x14ac:dyDescent="0.35">
      <c r="B898" t="s">
        <v>34</v>
      </c>
      <c r="C898" t="s">
        <v>194</v>
      </c>
    </row>
    <row r="899" spans="1:5" x14ac:dyDescent="0.35">
      <c r="B899" t="s">
        <v>37</v>
      </c>
      <c r="C899" t="s">
        <v>393</v>
      </c>
    </row>
    <row r="902" spans="1:5" x14ac:dyDescent="0.35">
      <c r="A902" s="16" t="s">
        <v>207</v>
      </c>
      <c r="B902" s="73"/>
      <c r="C902" s="73"/>
      <c r="D902" s="73"/>
      <c r="E902" s="73"/>
    </row>
    <row r="903" spans="1:5" x14ac:dyDescent="0.35">
      <c r="A903" s="16" t="s">
        <v>374</v>
      </c>
      <c r="B903" s="73"/>
      <c r="C903" s="73"/>
      <c r="D903" s="73"/>
      <c r="E903" s="73"/>
    </row>
    <row r="904" spans="1:5" x14ac:dyDescent="0.35">
      <c r="A904" s="95" t="s">
        <v>431</v>
      </c>
      <c r="B904" s="95"/>
      <c r="C904" s="95"/>
      <c r="D904" s="95"/>
      <c r="E904" s="95"/>
    </row>
    <row r="905" spans="1:5" x14ac:dyDescent="0.35">
      <c r="A905" s="21" t="s">
        <v>432</v>
      </c>
      <c r="B905" s="75"/>
      <c r="C905" s="75"/>
      <c r="D905" s="75"/>
      <c r="E905" s="75"/>
    </row>
    <row r="906" spans="1:5" x14ac:dyDescent="0.35">
      <c r="A906" s="21" t="s">
        <v>433</v>
      </c>
      <c r="B906" s="75"/>
      <c r="C906" s="75"/>
      <c r="D906" s="75"/>
      <c r="E906" s="75"/>
    </row>
    <row r="907" spans="1:5" x14ac:dyDescent="0.35">
      <c r="A907" s="4"/>
      <c r="B907" s="75"/>
      <c r="C907" s="75"/>
      <c r="D907" s="75"/>
      <c r="E907" s="75"/>
    </row>
  </sheetData>
  <mergeCells count="1">
    <mergeCell ref="A904:E904"/>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7114-37E4-4350-A9CE-E425AA3B51E3}">
  <dimension ref="A1:E1676"/>
  <sheetViews>
    <sheetView workbookViewId="0">
      <selection activeCell="G15" sqref="G15"/>
    </sheetView>
  </sheetViews>
  <sheetFormatPr defaultRowHeight="14.5" x14ac:dyDescent="0.35"/>
  <cols>
    <col min="1" max="1" width="19.6328125" bestFit="1" customWidth="1"/>
    <col min="2" max="2" width="14.08984375" customWidth="1"/>
    <col min="3" max="3" width="14.54296875" customWidth="1"/>
    <col min="5" max="5" width="9.6328125" customWidth="1"/>
    <col min="6" max="6" width="13.90625" customWidth="1"/>
    <col min="7" max="7" width="21.81640625" bestFit="1" customWidth="1"/>
  </cols>
  <sheetData>
    <row r="1" spans="1:5" x14ac:dyDescent="0.35">
      <c r="A1" t="s">
        <v>24</v>
      </c>
      <c r="B1" t="s">
        <v>217</v>
      </c>
      <c r="C1" t="s">
        <v>13</v>
      </c>
      <c r="D1" t="s">
        <v>458</v>
      </c>
      <c r="E1" t="s">
        <v>328</v>
      </c>
    </row>
    <row r="2" spans="1:5" x14ac:dyDescent="0.35">
      <c r="A2" t="s">
        <v>379</v>
      </c>
      <c r="B2" t="s">
        <v>34</v>
      </c>
      <c r="C2" t="s">
        <v>40</v>
      </c>
      <c r="D2">
        <v>14</v>
      </c>
      <c r="E2">
        <v>24</v>
      </c>
    </row>
    <row r="3" spans="1:5" x14ac:dyDescent="0.35">
      <c r="A3" t="s">
        <v>379</v>
      </c>
      <c r="B3" t="s">
        <v>35</v>
      </c>
      <c r="C3" t="s">
        <v>41</v>
      </c>
      <c r="D3">
        <v>26</v>
      </c>
      <c r="E3">
        <v>183</v>
      </c>
    </row>
    <row r="4" spans="1:5" x14ac:dyDescent="0.35">
      <c r="A4" t="s">
        <v>379</v>
      </c>
      <c r="B4" t="s">
        <v>33</v>
      </c>
      <c r="C4" t="s">
        <v>42</v>
      </c>
      <c r="D4">
        <v>12</v>
      </c>
      <c r="E4">
        <v>42</v>
      </c>
    </row>
    <row r="5" spans="1:5" x14ac:dyDescent="0.35">
      <c r="A5" t="s">
        <v>379</v>
      </c>
      <c r="C5" t="s">
        <v>373</v>
      </c>
      <c r="D5">
        <v>16</v>
      </c>
      <c r="E5">
        <v>41</v>
      </c>
    </row>
    <row r="6" spans="1:5" x14ac:dyDescent="0.35">
      <c r="A6" t="s">
        <v>379</v>
      </c>
      <c r="B6" t="s">
        <v>33</v>
      </c>
      <c r="C6" t="s">
        <v>43</v>
      </c>
      <c r="D6">
        <v>3</v>
      </c>
      <c r="E6">
        <v>10</v>
      </c>
    </row>
    <row r="7" spans="1:5" x14ac:dyDescent="0.35">
      <c r="A7" t="s">
        <v>379</v>
      </c>
      <c r="B7" t="s">
        <v>36</v>
      </c>
      <c r="C7" t="s">
        <v>44</v>
      </c>
      <c r="D7">
        <v>25</v>
      </c>
      <c r="E7">
        <v>11</v>
      </c>
    </row>
    <row r="8" spans="1:5" x14ac:dyDescent="0.35">
      <c r="A8" t="s">
        <v>379</v>
      </c>
      <c r="B8" t="s">
        <v>38</v>
      </c>
      <c r="C8" t="s">
        <v>45</v>
      </c>
      <c r="D8">
        <v>71</v>
      </c>
      <c r="E8">
        <v>577</v>
      </c>
    </row>
    <row r="9" spans="1:5" x14ac:dyDescent="0.35">
      <c r="A9" t="s">
        <v>379</v>
      </c>
      <c r="B9" t="s">
        <v>34</v>
      </c>
      <c r="C9" t="s">
        <v>46</v>
      </c>
      <c r="D9">
        <v>38</v>
      </c>
      <c r="E9">
        <v>106</v>
      </c>
    </row>
    <row r="10" spans="1:5" x14ac:dyDescent="0.35">
      <c r="A10" t="s">
        <v>379</v>
      </c>
      <c r="B10" t="s">
        <v>37</v>
      </c>
      <c r="C10" t="s">
        <v>47</v>
      </c>
      <c r="D10">
        <v>12</v>
      </c>
      <c r="E10">
        <v>50</v>
      </c>
    </row>
    <row r="11" spans="1:5" x14ac:dyDescent="0.35">
      <c r="A11" t="s">
        <v>379</v>
      </c>
      <c r="B11" t="s">
        <v>35</v>
      </c>
      <c r="C11" t="s">
        <v>48</v>
      </c>
      <c r="D11">
        <v>8</v>
      </c>
      <c r="E11">
        <v>8</v>
      </c>
    </row>
    <row r="12" spans="1:5" x14ac:dyDescent="0.35">
      <c r="A12" t="s">
        <v>379</v>
      </c>
      <c r="B12" t="s">
        <v>34</v>
      </c>
      <c r="C12" t="s">
        <v>49</v>
      </c>
      <c r="D12" t="s">
        <v>205</v>
      </c>
      <c r="E12" t="s">
        <v>205</v>
      </c>
    </row>
    <row r="13" spans="1:5" x14ac:dyDescent="0.35">
      <c r="A13" t="s">
        <v>379</v>
      </c>
      <c r="B13" t="s">
        <v>36</v>
      </c>
      <c r="C13" t="s">
        <v>50</v>
      </c>
      <c r="D13">
        <v>95</v>
      </c>
      <c r="E13">
        <v>37</v>
      </c>
    </row>
    <row r="14" spans="1:5" x14ac:dyDescent="0.35">
      <c r="A14" t="s">
        <v>379</v>
      </c>
      <c r="B14" t="s">
        <v>34</v>
      </c>
      <c r="C14" t="s">
        <v>52</v>
      </c>
      <c r="D14">
        <v>21</v>
      </c>
      <c r="E14">
        <v>110</v>
      </c>
    </row>
    <row r="15" spans="1:5" x14ac:dyDescent="0.35">
      <c r="A15" t="s">
        <v>379</v>
      </c>
      <c r="B15" t="s">
        <v>36</v>
      </c>
      <c r="C15" t="s">
        <v>53</v>
      </c>
      <c r="D15">
        <v>68</v>
      </c>
      <c r="E15">
        <v>7</v>
      </c>
    </row>
    <row r="16" spans="1:5" x14ac:dyDescent="0.35">
      <c r="A16" t="s">
        <v>379</v>
      </c>
      <c r="B16" t="s">
        <v>35</v>
      </c>
      <c r="C16" t="s">
        <v>54</v>
      </c>
      <c r="D16">
        <v>11</v>
      </c>
      <c r="E16">
        <v>9</v>
      </c>
    </row>
    <row r="17" spans="1:5" x14ac:dyDescent="0.35">
      <c r="A17" t="s">
        <v>379</v>
      </c>
      <c r="B17" t="s">
        <v>35</v>
      </c>
      <c r="C17" t="s">
        <v>55</v>
      </c>
      <c r="D17">
        <v>10</v>
      </c>
      <c r="E17">
        <v>28</v>
      </c>
    </row>
    <row r="18" spans="1:5" x14ac:dyDescent="0.35">
      <c r="A18" t="s">
        <v>379</v>
      </c>
      <c r="B18" t="s">
        <v>36</v>
      </c>
      <c r="C18" t="s">
        <v>56</v>
      </c>
      <c r="D18">
        <v>119</v>
      </c>
      <c r="E18">
        <v>83</v>
      </c>
    </row>
    <row r="19" spans="1:5" x14ac:dyDescent="0.35">
      <c r="A19" t="s">
        <v>379</v>
      </c>
      <c r="B19" t="s">
        <v>33</v>
      </c>
      <c r="C19" t="s">
        <v>57</v>
      </c>
      <c r="E19">
        <v>3</v>
      </c>
    </row>
    <row r="20" spans="1:5" x14ac:dyDescent="0.35">
      <c r="A20" t="s">
        <v>379</v>
      </c>
      <c r="B20" t="s">
        <v>36</v>
      </c>
      <c r="C20" t="s">
        <v>363</v>
      </c>
      <c r="E20">
        <v>3</v>
      </c>
    </row>
    <row r="21" spans="1:5" x14ac:dyDescent="0.35">
      <c r="A21" t="s">
        <v>379</v>
      </c>
      <c r="B21" t="s">
        <v>38</v>
      </c>
      <c r="C21" t="s">
        <v>59</v>
      </c>
      <c r="D21">
        <v>51</v>
      </c>
      <c r="E21">
        <v>285</v>
      </c>
    </row>
    <row r="22" spans="1:5" x14ac:dyDescent="0.35">
      <c r="A22" t="s">
        <v>379</v>
      </c>
      <c r="B22" t="s">
        <v>35</v>
      </c>
      <c r="C22" t="s">
        <v>60</v>
      </c>
      <c r="D22">
        <v>21</v>
      </c>
      <c r="E22">
        <v>5</v>
      </c>
    </row>
    <row r="23" spans="1:5" x14ac:dyDescent="0.35">
      <c r="A23" t="s">
        <v>379</v>
      </c>
      <c r="B23" t="s">
        <v>38</v>
      </c>
      <c r="C23" t="s">
        <v>21</v>
      </c>
      <c r="D23">
        <v>761</v>
      </c>
      <c r="E23">
        <v>5629</v>
      </c>
    </row>
    <row r="24" spans="1:5" x14ac:dyDescent="0.35">
      <c r="A24" t="s">
        <v>379</v>
      </c>
      <c r="B24" t="s">
        <v>35</v>
      </c>
      <c r="C24" t="s">
        <v>62</v>
      </c>
      <c r="D24">
        <v>12</v>
      </c>
      <c r="E24">
        <v>72</v>
      </c>
    </row>
    <row r="25" spans="1:5" x14ac:dyDescent="0.35">
      <c r="A25" t="s">
        <v>379</v>
      </c>
      <c r="B25" t="s">
        <v>33</v>
      </c>
      <c r="C25" t="s">
        <v>63</v>
      </c>
      <c r="D25" t="s">
        <v>205</v>
      </c>
      <c r="E25" t="s">
        <v>205</v>
      </c>
    </row>
    <row r="26" spans="1:5" x14ac:dyDescent="0.35">
      <c r="A26" t="s">
        <v>379</v>
      </c>
      <c r="B26" t="s">
        <v>34</v>
      </c>
      <c r="C26" t="s">
        <v>64</v>
      </c>
      <c r="D26">
        <v>3</v>
      </c>
      <c r="E26">
        <v>12</v>
      </c>
    </row>
    <row r="27" spans="1:5" x14ac:dyDescent="0.35">
      <c r="A27" t="s">
        <v>379</v>
      </c>
      <c r="B27" t="s">
        <v>33</v>
      </c>
      <c r="C27" t="s">
        <v>66</v>
      </c>
      <c r="D27">
        <v>31</v>
      </c>
      <c r="E27">
        <v>11</v>
      </c>
    </row>
    <row r="28" spans="1:5" x14ac:dyDescent="0.35">
      <c r="A28" t="s">
        <v>379</v>
      </c>
      <c r="B28" t="s">
        <v>34</v>
      </c>
      <c r="C28" t="s">
        <v>67</v>
      </c>
      <c r="D28">
        <v>42</v>
      </c>
      <c r="E28">
        <v>28</v>
      </c>
    </row>
    <row r="29" spans="1:5" x14ac:dyDescent="0.35">
      <c r="A29" t="s">
        <v>379</v>
      </c>
      <c r="B29" t="s">
        <v>33</v>
      </c>
      <c r="C29" t="s">
        <v>68</v>
      </c>
      <c r="D29">
        <v>17</v>
      </c>
      <c r="E29">
        <v>63</v>
      </c>
    </row>
    <row r="30" spans="1:5" x14ac:dyDescent="0.35">
      <c r="A30" t="s">
        <v>379</v>
      </c>
      <c r="B30" t="s">
        <v>36</v>
      </c>
      <c r="C30" t="s">
        <v>69</v>
      </c>
      <c r="D30">
        <v>520</v>
      </c>
      <c r="E30">
        <v>977</v>
      </c>
    </row>
    <row r="31" spans="1:5" x14ac:dyDescent="0.35">
      <c r="A31" t="s">
        <v>379</v>
      </c>
      <c r="B31" t="s">
        <v>33</v>
      </c>
      <c r="C31" t="s">
        <v>71</v>
      </c>
      <c r="E31">
        <v>7</v>
      </c>
    </row>
    <row r="32" spans="1:5" x14ac:dyDescent="0.35">
      <c r="A32" t="s">
        <v>379</v>
      </c>
      <c r="B32" t="s">
        <v>38</v>
      </c>
      <c r="C32" t="s">
        <v>72</v>
      </c>
      <c r="D32">
        <v>73</v>
      </c>
      <c r="E32">
        <v>154</v>
      </c>
    </row>
    <row r="33" spans="1:5" x14ac:dyDescent="0.35">
      <c r="A33" t="s">
        <v>379</v>
      </c>
      <c r="B33" t="s">
        <v>34</v>
      </c>
      <c r="C33" t="s">
        <v>73</v>
      </c>
      <c r="D33">
        <v>144</v>
      </c>
      <c r="E33">
        <v>1081</v>
      </c>
    </row>
    <row r="34" spans="1:5" x14ac:dyDescent="0.35">
      <c r="A34" t="s">
        <v>379</v>
      </c>
      <c r="B34" t="s">
        <v>38</v>
      </c>
      <c r="C34" t="s">
        <v>20</v>
      </c>
      <c r="D34">
        <v>1456</v>
      </c>
      <c r="E34">
        <v>1269</v>
      </c>
    </row>
    <row r="35" spans="1:5" x14ac:dyDescent="0.35">
      <c r="A35" t="s">
        <v>379</v>
      </c>
      <c r="B35" t="s">
        <v>33</v>
      </c>
      <c r="C35" t="s">
        <v>74</v>
      </c>
      <c r="D35" t="s">
        <v>205</v>
      </c>
      <c r="E35" t="s">
        <v>205</v>
      </c>
    </row>
    <row r="36" spans="1:5" x14ac:dyDescent="0.35">
      <c r="A36" t="s">
        <v>379</v>
      </c>
      <c r="B36" t="s">
        <v>33</v>
      </c>
      <c r="C36" t="s">
        <v>75</v>
      </c>
      <c r="D36">
        <v>7</v>
      </c>
      <c r="E36">
        <v>17</v>
      </c>
    </row>
    <row r="37" spans="1:5" x14ac:dyDescent="0.35">
      <c r="A37" t="s">
        <v>379</v>
      </c>
      <c r="B37" t="s">
        <v>36</v>
      </c>
      <c r="C37" t="s">
        <v>76</v>
      </c>
      <c r="D37">
        <v>74</v>
      </c>
      <c r="E37">
        <v>525</v>
      </c>
    </row>
    <row r="38" spans="1:5" x14ac:dyDescent="0.35">
      <c r="A38" t="s">
        <v>379</v>
      </c>
      <c r="B38" t="s">
        <v>33</v>
      </c>
      <c r="C38" t="s">
        <v>77</v>
      </c>
      <c r="D38">
        <v>8</v>
      </c>
      <c r="E38">
        <v>27</v>
      </c>
    </row>
    <row r="39" spans="1:5" x14ac:dyDescent="0.35">
      <c r="A39" t="s">
        <v>379</v>
      </c>
      <c r="B39" t="s">
        <v>35</v>
      </c>
      <c r="C39" t="s">
        <v>78</v>
      </c>
      <c r="D39">
        <v>7</v>
      </c>
      <c r="E39">
        <v>12</v>
      </c>
    </row>
    <row r="40" spans="1:5" x14ac:dyDescent="0.35">
      <c r="A40" t="s">
        <v>379</v>
      </c>
      <c r="B40" t="s">
        <v>36</v>
      </c>
      <c r="C40" t="s">
        <v>79</v>
      </c>
      <c r="D40">
        <v>67</v>
      </c>
      <c r="E40">
        <v>398</v>
      </c>
    </row>
    <row r="41" spans="1:5" x14ac:dyDescent="0.35">
      <c r="A41" t="s">
        <v>379</v>
      </c>
      <c r="B41" t="s">
        <v>35</v>
      </c>
      <c r="C41" t="s">
        <v>81</v>
      </c>
      <c r="D41">
        <v>5</v>
      </c>
      <c r="E41">
        <v>29</v>
      </c>
    </row>
    <row r="42" spans="1:5" x14ac:dyDescent="0.35">
      <c r="A42" t="s">
        <v>379</v>
      </c>
      <c r="B42" t="s">
        <v>35</v>
      </c>
      <c r="C42" t="s">
        <v>214</v>
      </c>
      <c r="D42">
        <v>19</v>
      </c>
      <c r="E42">
        <v>166</v>
      </c>
    </row>
    <row r="43" spans="1:5" x14ac:dyDescent="0.35">
      <c r="A43" t="s">
        <v>379</v>
      </c>
      <c r="B43" t="s">
        <v>35</v>
      </c>
      <c r="C43" t="s">
        <v>82</v>
      </c>
      <c r="D43">
        <v>3</v>
      </c>
      <c r="E43">
        <v>11</v>
      </c>
    </row>
    <row r="44" spans="1:5" x14ac:dyDescent="0.35">
      <c r="A44" t="s">
        <v>379</v>
      </c>
      <c r="B44" t="s">
        <v>36</v>
      </c>
      <c r="C44" t="s">
        <v>84</v>
      </c>
      <c r="D44">
        <v>16</v>
      </c>
      <c r="E44">
        <v>31</v>
      </c>
    </row>
    <row r="45" spans="1:5" x14ac:dyDescent="0.35">
      <c r="A45" t="s">
        <v>379</v>
      </c>
      <c r="B45" t="s">
        <v>36</v>
      </c>
      <c r="C45" t="s">
        <v>85</v>
      </c>
      <c r="D45">
        <v>2479</v>
      </c>
      <c r="E45">
        <v>1281</v>
      </c>
    </row>
    <row r="46" spans="1:5" x14ac:dyDescent="0.35">
      <c r="A46" t="s">
        <v>379</v>
      </c>
      <c r="B46" t="s">
        <v>38</v>
      </c>
      <c r="C46" t="s">
        <v>86</v>
      </c>
      <c r="D46">
        <v>307</v>
      </c>
      <c r="E46">
        <v>809</v>
      </c>
    </row>
    <row r="47" spans="1:5" x14ac:dyDescent="0.35">
      <c r="A47" t="s">
        <v>379</v>
      </c>
      <c r="B47" t="s">
        <v>33</v>
      </c>
      <c r="C47" t="s">
        <v>87</v>
      </c>
      <c r="D47">
        <v>59</v>
      </c>
      <c r="E47">
        <v>197</v>
      </c>
    </row>
    <row r="48" spans="1:5" x14ac:dyDescent="0.35">
      <c r="A48" t="s">
        <v>379</v>
      </c>
      <c r="B48" t="s">
        <v>36</v>
      </c>
      <c r="C48" t="s">
        <v>16</v>
      </c>
      <c r="D48">
        <v>2805</v>
      </c>
      <c r="E48">
        <v>4464</v>
      </c>
    </row>
    <row r="49" spans="1:5" x14ac:dyDescent="0.35">
      <c r="A49" t="s">
        <v>379</v>
      </c>
      <c r="B49" t="s">
        <v>33</v>
      </c>
      <c r="C49" t="s">
        <v>89</v>
      </c>
      <c r="D49" t="s">
        <v>205</v>
      </c>
      <c r="E49" t="s">
        <v>205</v>
      </c>
    </row>
    <row r="50" spans="1:5" x14ac:dyDescent="0.35">
      <c r="A50" t="s">
        <v>379</v>
      </c>
      <c r="B50" t="s">
        <v>35</v>
      </c>
      <c r="C50" t="s">
        <v>90</v>
      </c>
      <c r="D50">
        <v>4</v>
      </c>
      <c r="E50">
        <v>10</v>
      </c>
    </row>
    <row r="51" spans="1:5" x14ac:dyDescent="0.35">
      <c r="A51" t="s">
        <v>379</v>
      </c>
      <c r="B51" t="s">
        <v>33</v>
      </c>
      <c r="C51" t="s">
        <v>91</v>
      </c>
      <c r="D51">
        <v>15</v>
      </c>
      <c r="E51">
        <v>63</v>
      </c>
    </row>
    <row r="52" spans="1:5" x14ac:dyDescent="0.35">
      <c r="A52" t="s">
        <v>379</v>
      </c>
      <c r="B52" t="s">
        <v>37</v>
      </c>
      <c r="C52" t="s">
        <v>92</v>
      </c>
      <c r="D52">
        <v>27</v>
      </c>
      <c r="E52">
        <v>38</v>
      </c>
    </row>
    <row r="53" spans="1:5" x14ac:dyDescent="0.35">
      <c r="A53" t="s">
        <v>379</v>
      </c>
      <c r="B53" t="s">
        <v>35</v>
      </c>
      <c r="C53" t="s">
        <v>93</v>
      </c>
      <c r="D53" t="s">
        <v>205</v>
      </c>
      <c r="E53" t="s">
        <v>205</v>
      </c>
    </row>
    <row r="54" spans="1:5" x14ac:dyDescent="0.35">
      <c r="A54" t="s">
        <v>379</v>
      </c>
      <c r="B54" t="s">
        <v>35</v>
      </c>
      <c r="C54" t="s">
        <v>94</v>
      </c>
      <c r="D54">
        <v>36</v>
      </c>
      <c r="E54">
        <v>85</v>
      </c>
    </row>
    <row r="55" spans="1:5" x14ac:dyDescent="0.35">
      <c r="A55" t="s">
        <v>379</v>
      </c>
      <c r="B55" t="s">
        <v>33</v>
      </c>
      <c r="C55" t="s">
        <v>95</v>
      </c>
      <c r="E55">
        <v>4</v>
      </c>
    </row>
    <row r="56" spans="1:5" x14ac:dyDescent="0.35">
      <c r="A56" t="s">
        <v>379</v>
      </c>
      <c r="B56" t="s">
        <v>33</v>
      </c>
      <c r="C56" t="s">
        <v>96</v>
      </c>
      <c r="D56">
        <v>16</v>
      </c>
      <c r="E56">
        <v>56</v>
      </c>
    </row>
    <row r="57" spans="1:5" x14ac:dyDescent="0.35">
      <c r="A57" t="s">
        <v>379</v>
      </c>
      <c r="B57" t="s">
        <v>34</v>
      </c>
      <c r="C57" t="s">
        <v>8</v>
      </c>
      <c r="D57">
        <v>18</v>
      </c>
      <c r="E57">
        <v>47</v>
      </c>
    </row>
    <row r="58" spans="1:5" x14ac:dyDescent="0.35">
      <c r="A58" t="s">
        <v>379</v>
      </c>
      <c r="B58" t="s">
        <v>35</v>
      </c>
      <c r="C58" t="s">
        <v>97</v>
      </c>
      <c r="D58">
        <v>100</v>
      </c>
      <c r="E58">
        <v>71</v>
      </c>
    </row>
    <row r="59" spans="1:5" x14ac:dyDescent="0.35">
      <c r="A59" t="s">
        <v>379</v>
      </c>
      <c r="B59" t="s">
        <v>33</v>
      </c>
      <c r="C59" t="s">
        <v>98</v>
      </c>
      <c r="D59">
        <v>53</v>
      </c>
      <c r="E59">
        <v>246</v>
      </c>
    </row>
    <row r="60" spans="1:5" x14ac:dyDescent="0.35">
      <c r="A60" t="s">
        <v>379</v>
      </c>
      <c r="B60" t="s">
        <v>35</v>
      </c>
      <c r="C60" t="s">
        <v>99</v>
      </c>
      <c r="D60">
        <v>22</v>
      </c>
      <c r="E60">
        <v>14</v>
      </c>
    </row>
    <row r="61" spans="1:5" x14ac:dyDescent="0.35">
      <c r="A61" t="s">
        <v>379</v>
      </c>
      <c r="B61" t="s">
        <v>36</v>
      </c>
      <c r="C61" t="s">
        <v>100</v>
      </c>
      <c r="D61">
        <v>19</v>
      </c>
      <c r="E61">
        <v>9</v>
      </c>
    </row>
    <row r="62" spans="1:5" x14ac:dyDescent="0.35">
      <c r="A62" t="s">
        <v>379</v>
      </c>
      <c r="B62" t="s">
        <v>36</v>
      </c>
      <c r="C62" t="s">
        <v>15</v>
      </c>
      <c r="D62">
        <v>2176</v>
      </c>
      <c r="E62">
        <v>7553</v>
      </c>
    </row>
    <row r="63" spans="1:5" x14ac:dyDescent="0.35">
      <c r="A63" t="s">
        <v>379</v>
      </c>
      <c r="B63" t="s">
        <v>33</v>
      </c>
      <c r="C63" t="s">
        <v>101</v>
      </c>
      <c r="D63">
        <v>22</v>
      </c>
      <c r="E63">
        <v>70</v>
      </c>
    </row>
    <row r="64" spans="1:5" x14ac:dyDescent="0.35">
      <c r="A64" t="s">
        <v>379</v>
      </c>
      <c r="B64" t="s">
        <v>38</v>
      </c>
      <c r="C64" t="s">
        <v>103</v>
      </c>
      <c r="D64">
        <v>230</v>
      </c>
      <c r="E64">
        <v>158</v>
      </c>
    </row>
    <row r="65" spans="1:5" x14ac:dyDescent="0.35">
      <c r="A65" t="s">
        <v>379</v>
      </c>
      <c r="B65" t="s">
        <v>36</v>
      </c>
      <c r="C65" t="s">
        <v>104</v>
      </c>
      <c r="D65">
        <v>222</v>
      </c>
      <c r="E65">
        <v>656</v>
      </c>
    </row>
    <row r="66" spans="1:5" x14ac:dyDescent="0.35">
      <c r="A66" t="s">
        <v>379</v>
      </c>
      <c r="B66" t="s">
        <v>36</v>
      </c>
      <c r="C66" t="s">
        <v>17</v>
      </c>
      <c r="D66">
        <v>2544</v>
      </c>
      <c r="E66">
        <v>6208</v>
      </c>
    </row>
    <row r="67" spans="1:5" x14ac:dyDescent="0.35">
      <c r="A67" t="s">
        <v>379</v>
      </c>
      <c r="B67" t="s">
        <v>34</v>
      </c>
      <c r="C67" t="s">
        <v>368</v>
      </c>
      <c r="D67">
        <v>5</v>
      </c>
      <c r="E67">
        <v>17</v>
      </c>
    </row>
    <row r="68" spans="1:5" x14ac:dyDescent="0.35">
      <c r="A68" t="s">
        <v>379</v>
      </c>
      <c r="B68" t="s">
        <v>35</v>
      </c>
      <c r="C68" t="s">
        <v>105</v>
      </c>
      <c r="D68">
        <v>9</v>
      </c>
      <c r="E68">
        <v>90</v>
      </c>
    </row>
    <row r="69" spans="1:5" x14ac:dyDescent="0.35">
      <c r="A69" t="s">
        <v>379</v>
      </c>
      <c r="B69" t="s">
        <v>34</v>
      </c>
      <c r="C69" t="s">
        <v>22</v>
      </c>
      <c r="D69">
        <v>131</v>
      </c>
      <c r="E69">
        <v>797</v>
      </c>
    </row>
    <row r="70" spans="1:5" x14ac:dyDescent="0.35">
      <c r="A70" t="s">
        <v>379</v>
      </c>
      <c r="B70" t="s">
        <v>34</v>
      </c>
      <c r="C70" t="s">
        <v>107</v>
      </c>
      <c r="D70">
        <v>21</v>
      </c>
      <c r="E70">
        <v>340</v>
      </c>
    </row>
    <row r="71" spans="1:5" x14ac:dyDescent="0.35">
      <c r="A71" t="s">
        <v>379</v>
      </c>
      <c r="B71" t="s">
        <v>34</v>
      </c>
      <c r="C71" t="s">
        <v>108</v>
      </c>
      <c r="D71">
        <v>23</v>
      </c>
      <c r="E71">
        <v>41</v>
      </c>
    </row>
    <row r="72" spans="1:5" x14ac:dyDescent="0.35">
      <c r="A72" t="s">
        <v>379</v>
      </c>
      <c r="B72" t="s">
        <v>34</v>
      </c>
      <c r="C72" t="s">
        <v>109</v>
      </c>
      <c r="D72">
        <v>3</v>
      </c>
      <c r="E72">
        <v>23</v>
      </c>
    </row>
    <row r="73" spans="1:5" x14ac:dyDescent="0.35">
      <c r="A73" t="s">
        <v>379</v>
      </c>
      <c r="B73" t="s">
        <v>35</v>
      </c>
      <c r="C73" t="s">
        <v>110</v>
      </c>
      <c r="D73">
        <v>25</v>
      </c>
      <c r="E73">
        <v>52</v>
      </c>
    </row>
    <row r="74" spans="1:5" x14ac:dyDescent="0.35">
      <c r="A74" t="s">
        <v>379</v>
      </c>
      <c r="B74" t="s">
        <v>34</v>
      </c>
      <c r="C74" t="s">
        <v>111</v>
      </c>
      <c r="D74">
        <v>63</v>
      </c>
      <c r="E74">
        <v>177</v>
      </c>
    </row>
    <row r="75" spans="1:5" x14ac:dyDescent="0.35">
      <c r="A75" t="s">
        <v>379</v>
      </c>
      <c r="B75" t="s">
        <v>35</v>
      </c>
      <c r="C75" t="s">
        <v>112</v>
      </c>
      <c r="D75">
        <v>100</v>
      </c>
      <c r="E75">
        <v>61</v>
      </c>
    </row>
    <row r="76" spans="1:5" x14ac:dyDescent="0.35">
      <c r="A76" t="s">
        <v>379</v>
      </c>
      <c r="B76" t="s">
        <v>36</v>
      </c>
      <c r="C76" t="s">
        <v>113</v>
      </c>
      <c r="D76">
        <v>1614</v>
      </c>
      <c r="E76">
        <v>927</v>
      </c>
    </row>
    <row r="77" spans="1:5" x14ac:dyDescent="0.35">
      <c r="A77" t="s">
        <v>379</v>
      </c>
      <c r="B77" t="s">
        <v>34</v>
      </c>
      <c r="C77" t="s">
        <v>114</v>
      </c>
      <c r="D77">
        <v>38</v>
      </c>
      <c r="E77">
        <v>55</v>
      </c>
    </row>
    <row r="78" spans="1:5" x14ac:dyDescent="0.35">
      <c r="A78" t="s">
        <v>379</v>
      </c>
      <c r="B78" t="s">
        <v>34</v>
      </c>
      <c r="C78" t="s">
        <v>115</v>
      </c>
      <c r="D78">
        <v>74</v>
      </c>
      <c r="E78">
        <v>133</v>
      </c>
    </row>
    <row r="79" spans="1:5" x14ac:dyDescent="0.35">
      <c r="A79" t="s">
        <v>379</v>
      </c>
      <c r="B79" t="s">
        <v>34</v>
      </c>
      <c r="C79" t="s">
        <v>116</v>
      </c>
      <c r="E79">
        <v>17</v>
      </c>
    </row>
    <row r="80" spans="1:5" x14ac:dyDescent="0.35">
      <c r="A80" t="s">
        <v>379</v>
      </c>
      <c r="B80" t="s">
        <v>33</v>
      </c>
      <c r="C80" t="s">
        <v>117</v>
      </c>
      <c r="D80">
        <v>47</v>
      </c>
      <c r="E80">
        <v>82</v>
      </c>
    </row>
    <row r="81" spans="1:5" x14ac:dyDescent="0.35">
      <c r="A81" t="s">
        <v>379</v>
      </c>
      <c r="B81" t="s">
        <v>34</v>
      </c>
      <c r="C81" t="s">
        <v>118</v>
      </c>
      <c r="D81">
        <v>156</v>
      </c>
      <c r="E81">
        <v>278</v>
      </c>
    </row>
    <row r="82" spans="1:5" x14ac:dyDescent="0.35">
      <c r="A82" t="s">
        <v>379</v>
      </c>
      <c r="B82" t="s">
        <v>35</v>
      </c>
      <c r="C82" t="s">
        <v>119</v>
      </c>
      <c r="D82" t="s">
        <v>206</v>
      </c>
      <c r="E82" t="s">
        <v>206</v>
      </c>
    </row>
    <row r="83" spans="1:5" x14ac:dyDescent="0.35">
      <c r="A83" t="s">
        <v>379</v>
      </c>
      <c r="B83" t="s">
        <v>34</v>
      </c>
      <c r="C83" t="s">
        <v>120</v>
      </c>
      <c r="D83">
        <v>4</v>
      </c>
      <c r="E83">
        <v>9</v>
      </c>
    </row>
    <row r="84" spans="1:5" x14ac:dyDescent="0.35">
      <c r="A84" t="s">
        <v>379</v>
      </c>
      <c r="B84" t="s">
        <v>34</v>
      </c>
      <c r="C84" t="s">
        <v>121</v>
      </c>
      <c r="E84">
        <v>4</v>
      </c>
    </row>
    <row r="85" spans="1:5" x14ac:dyDescent="0.35">
      <c r="A85" t="s">
        <v>379</v>
      </c>
      <c r="B85" t="s">
        <v>34</v>
      </c>
      <c r="C85" t="s">
        <v>122</v>
      </c>
      <c r="D85" t="s">
        <v>205</v>
      </c>
      <c r="E85" t="s">
        <v>205</v>
      </c>
    </row>
    <row r="86" spans="1:5" x14ac:dyDescent="0.35">
      <c r="A86" t="s">
        <v>379</v>
      </c>
      <c r="B86" t="s">
        <v>35</v>
      </c>
      <c r="C86" t="s">
        <v>123</v>
      </c>
      <c r="D86">
        <v>5</v>
      </c>
      <c r="E86">
        <v>18</v>
      </c>
    </row>
    <row r="87" spans="1:5" x14ac:dyDescent="0.35">
      <c r="A87" t="s">
        <v>379</v>
      </c>
      <c r="B87" t="s">
        <v>34</v>
      </c>
      <c r="C87" t="s">
        <v>124</v>
      </c>
      <c r="D87">
        <v>32</v>
      </c>
      <c r="E87">
        <v>140</v>
      </c>
    </row>
    <row r="88" spans="1:5" x14ac:dyDescent="0.35">
      <c r="A88" t="s">
        <v>379</v>
      </c>
      <c r="B88" t="s">
        <v>33</v>
      </c>
      <c r="C88" t="s">
        <v>125</v>
      </c>
      <c r="D88">
        <v>40</v>
      </c>
      <c r="E88">
        <v>27</v>
      </c>
    </row>
    <row r="89" spans="1:5" x14ac:dyDescent="0.35">
      <c r="A89" t="s">
        <v>379</v>
      </c>
      <c r="B89" t="s">
        <v>35</v>
      </c>
      <c r="C89" t="s">
        <v>127</v>
      </c>
      <c r="D89">
        <v>9</v>
      </c>
      <c r="E89">
        <v>65</v>
      </c>
    </row>
    <row r="90" spans="1:5" x14ac:dyDescent="0.35">
      <c r="A90" t="s">
        <v>379</v>
      </c>
      <c r="B90" t="s">
        <v>33</v>
      </c>
      <c r="C90" t="s">
        <v>130</v>
      </c>
      <c r="D90">
        <v>3</v>
      </c>
      <c r="E90">
        <v>4</v>
      </c>
    </row>
    <row r="91" spans="1:5" x14ac:dyDescent="0.35">
      <c r="A91" t="s">
        <v>379</v>
      </c>
      <c r="B91" t="s">
        <v>34</v>
      </c>
      <c r="C91" t="s">
        <v>131</v>
      </c>
      <c r="D91">
        <v>15</v>
      </c>
      <c r="E91">
        <v>93</v>
      </c>
    </row>
    <row r="92" spans="1:5" x14ac:dyDescent="0.35">
      <c r="A92" t="s">
        <v>379</v>
      </c>
      <c r="B92" t="s">
        <v>33</v>
      </c>
      <c r="C92" t="s">
        <v>132</v>
      </c>
      <c r="D92">
        <v>6</v>
      </c>
      <c r="E92">
        <v>41</v>
      </c>
    </row>
    <row r="93" spans="1:5" x14ac:dyDescent="0.35">
      <c r="A93" t="s">
        <v>379</v>
      </c>
      <c r="B93" t="s">
        <v>37</v>
      </c>
      <c r="C93" t="s">
        <v>134</v>
      </c>
      <c r="D93" t="s">
        <v>205</v>
      </c>
      <c r="E93" t="s">
        <v>205</v>
      </c>
    </row>
    <row r="94" spans="1:5" x14ac:dyDescent="0.35">
      <c r="A94" t="s">
        <v>379</v>
      </c>
      <c r="B94" t="s">
        <v>33</v>
      </c>
      <c r="C94" t="s">
        <v>135</v>
      </c>
      <c r="D94">
        <v>6</v>
      </c>
      <c r="E94">
        <v>38</v>
      </c>
    </row>
    <row r="95" spans="1:5" x14ac:dyDescent="0.35">
      <c r="A95" t="s">
        <v>379</v>
      </c>
      <c r="B95" t="s">
        <v>36</v>
      </c>
      <c r="C95" t="s">
        <v>14</v>
      </c>
      <c r="D95">
        <v>71570</v>
      </c>
      <c r="E95">
        <v>104295</v>
      </c>
    </row>
    <row r="96" spans="1:5" x14ac:dyDescent="0.35">
      <c r="A96" t="s">
        <v>379</v>
      </c>
      <c r="B96" t="s">
        <v>37</v>
      </c>
      <c r="C96" t="s">
        <v>137</v>
      </c>
      <c r="D96" t="s">
        <v>205</v>
      </c>
      <c r="E96" t="s">
        <v>205</v>
      </c>
    </row>
    <row r="97" spans="1:5" x14ac:dyDescent="0.35">
      <c r="A97" t="s">
        <v>379</v>
      </c>
      <c r="B97" t="s">
        <v>35</v>
      </c>
      <c r="C97" t="s">
        <v>138</v>
      </c>
      <c r="D97">
        <v>4</v>
      </c>
      <c r="E97">
        <v>8</v>
      </c>
    </row>
    <row r="98" spans="1:5" x14ac:dyDescent="0.35">
      <c r="A98" t="s">
        <v>379</v>
      </c>
      <c r="B98" t="s">
        <v>34</v>
      </c>
      <c r="C98" t="s">
        <v>139</v>
      </c>
      <c r="D98">
        <v>4</v>
      </c>
      <c r="E98">
        <v>38</v>
      </c>
    </row>
    <row r="99" spans="1:5" x14ac:dyDescent="0.35">
      <c r="A99" t="s">
        <v>379</v>
      </c>
      <c r="B99" t="s">
        <v>35</v>
      </c>
      <c r="C99" t="s">
        <v>140</v>
      </c>
      <c r="D99" t="s">
        <v>206</v>
      </c>
      <c r="E99" t="s">
        <v>206</v>
      </c>
    </row>
    <row r="100" spans="1:5" x14ac:dyDescent="0.35">
      <c r="A100" t="s">
        <v>379</v>
      </c>
      <c r="B100" t="s">
        <v>33</v>
      </c>
      <c r="C100" t="s">
        <v>141</v>
      </c>
      <c r="D100">
        <v>42</v>
      </c>
      <c r="E100">
        <v>86</v>
      </c>
    </row>
    <row r="101" spans="1:5" x14ac:dyDescent="0.35">
      <c r="A101" t="s">
        <v>379</v>
      </c>
      <c r="B101" t="s">
        <v>34</v>
      </c>
      <c r="C101" t="s">
        <v>144</v>
      </c>
      <c r="D101">
        <v>4</v>
      </c>
      <c r="E101">
        <v>45</v>
      </c>
    </row>
    <row r="102" spans="1:5" x14ac:dyDescent="0.35">
      <c r="A102" t="s">
        <v>379</v>
      </c>
      <c r="B102" t="s">
        <v>35</v>
      </c>
      <c r="C102" t="s">
        <v>145</v>
      </c>
      <c r="D102">
        <v>53</v>
      </c>
      <c r="E102">
        <v>35</v>
      </c>
    </row>
    <row r="103" spans="1:5" x14ac:dyDescent="0.35">
      <c r="A103" t="s">
        <v>379</v>
      </c>
      <c r="B103" t="s">
        <v>37</v>
      </c>
      <c r="C103" t="s">
        <v>146</v>
      </c>
      <c r="D103">
        <v>9</v>
      </c>
      <c r="E103">
        <v>29</v>
      </c>
    </row>
    <row r="104" spans="1:5" x14ac:dyDescent="0.35">
      <c r="A104" t="s">
        <v>379</v>
      </c>
      <c r="B104" t="s">
        <v>36</v>
      </c>
      <c r="C104" t="s">
        <v>147</v>
      </c>
      <c r="D104">
        <v>401</v>
      </c>
      <c r="E104">
        <v>546</v>
      </c>
    </row>
    <row r="105" spans="1:5" x14ac:dyDescent="0.35">
      <c r="A105" t="s">
        <v>379</v>
      </c>
      <c r="B105" t="s">
        <v>33</v>
      </c>
      <c r="C105" t="s">
        <v>148</v>
      </c>
      <c r="D105">
        <v>12</v>
      </c>
      <c r="E105">
        <v>36</v>
      </c>
    </row>
    <row r="106" spans="1:5" x14ac:dyDescent="0.35">
      <c r="A106" t="s">
        <v>379</v>
      </c>
      <c r="B106" t="s">
        <v>33</v>
      </c>
      <c r="C106" t="s">
        <v>149</v>
      </c>
      <c r="D106">
        <v>279</v>
      </c>
      <c r="E106">
        <v>278</v>
      </c>
    </row>
    <row r="107" spans="1:5" x14ac:dyDescent="0.35">
      <c r="A107" t="s">
        <v>379</v>
      </c>
      <c r="B107" t="s">
        <v>35</v>
      </c>
      <c r="C107" t="s">
        <v>322</v>
      </c>
      <c r="D107">
        <v>8</v>
      </c>
      <c r="E107">
        <v>22</v>
      </c>
    </row>
    <row r="108" spans="1:5" x14ac:dyDescent="0.35">
      <c r="A108" t="s">
        <v>379</v>
      </c>
      <c r="B108" t="s">
        <v>35</v>
      </c>
      <c r="C108" t="s">
        <v>150</v>
      </c>
      <c r="D108">
        <v>6</v>
      </c>
      <c r="E108">
        <v>13</v>
      </c>
    </row>
    <row r="109" spans="1:5" x14ac:dyDescent="0.35">
      <c r="A109" t="s">
        <v>379</v>
      </c>
      <c r="B109" t="s">
        <v>34</v>
      </c>
      <c r="C109" t="s">
        <v>152</v>
      </c>
      <c r="D109">
        <v>119</v>
      </c>
      <c r="E109">
        <v>531</v>
      </c>
    </row>
    <row r="110" spans="1:5" x14ac:dyDescent="0.35">
      <c r="A110" t="s">
        <v>379</v>
      </c>
      <c r="B110" t="s">
        <v>37</v>
      </c>
      <c r="C110" t="s">
        <v>153</v>
      </c>
      <c r="D110">
        <v>7</v>
      </c>
    </row>
    <row r="111" spans="1:5" x14ac:dyDescent="0.35">
      <c r="A111" t="s">
        <v>379</v>
      </c>
      <c r="B111" t="s">
        <v>36</v>
      </c>
      <c r="C111" t="s">
        <v>154</v>
      </c>
      <c r="D111">
        <v>122</v>
      </c>
      <c r="E111">
        <v>66</v>
      </c>
    </row>
    <row r="112" spans="1:5" x14ac:dyDescent="0.35">
      <c r="A112" t="s">
        <v>379</v>
      </c>
      <c r="B112" t="s">
        <v>38</v>
      </c>
      <c r="C112" t="s">
        <v>155</v>
      </c>
      <c r="D112" t="s">
        <v>205</v>
      </c>
      <c r="E112" t="s">
        <v>205</v>
      </c>
    </row>
    <row r="113" spans="1:5" x14ac:dyDescent="0.35">
      <c r="A113" t="s">
        <v>379</v>
      </c>
      <c r="B113" t="s">
        <v>38</v>
      </c>
      <c r="C113" t="s">
        <v>156</v>
      </c>
      <c r="D113">
        <v>306</v>
      </c>
      <c r="E113">
        <v>815</v>
      </c>
    </row>
    <row r="114" spans="1:5" x14ac:dyDescent="0.35">
      <c r="A114" t="s">
        <v>379</v>
      </c>
      <c r="B114" t="s">
        <v>34</v>
      </c>
      <c r="C114" t="s">
        <v>18</v>
      </c>
      <c r="D114">
        <v>364</v>
      </c>
      <c r="E114">
        <v>572</v>
      </c>
    </row>
    <row r="115" spans="1:5" x14ac:dyDescent="0.35">
      <c r="A115" t="s">
        <v>379</v>
      </c>
      <c r="B115" t="s">
        <v>35</v>
      </c>
      <c r="C115" t="s">
        <v>157</v>
      </c>
      <c r="D115">
        <v>107</v>
      </c>
      <c r="E115">
        <v>319</v>
      </c>
    </row>
    <row r="116" spans="1:5" x14ac:dyDescent="0.35">
      <c r="A116" t="s">
        <v>379</v>
      </c>
      <c r="B116" t="s">
        <v>35</v>
      </c>
      <c r="C116" t="s">
        <v>158</v>
      </c>
      <c r="D116">
        <v>77</v>
      </c>
      <c r="E116">
        <v>43</v>
      </c>
    </row>
    <row r="117" spans="1:5" x14ac:dyDescent="0.35">
      <c r="A117" t="s">
        <v>379</v>
      </c>
      <c r="B117" t="s">
        <v>35</v>
      </c>
      <c r="C117" t="s">
        <v>160</v>
      </c>
      <c r="D117">
        <v>34</v>
      </c>
      <c r="E117">
        <v>110</v>
      </c>
    </row>
    <row r="118" spans="1:5" x14ac:dyDescent="0.35">
      <c r="A118" t="s">
        <v>379</v>
      </c>
      <c r="B118" t="s">
        <v>35</v>
      </c>
      <c r="C118" t="s">
        <v>161</v>
      </c>
      <c r="D118">
        <v>67</v>
      </c>
      <c r="E118">
        <v>156</v>
      </c>
    </row>
    <row r="119" spans="1:5" x14ac:dyDescent="0.35">
      <c r="A119" t="s">
        <v>379</v>
      </c>
      <c r="B119" t="s">
        <v>33</v>
      </c>
      <c r="C119" t="s">
        <v>162</v>
      </c>
      <c r="E119">
        <v>7</v>
      </c>
    </row>
    <row r="120" spans="1:5" x14ac:dyDescent="0.35">
      <c r="A120" t="s">
        <v>379</v>
      </c>
      <c r="B120" t="s">
        <v>36</v>
      </c>
      <c r="C120" t="s">
        <v>163</v>
      </c>
      <c r="D120">
        <v>15</v>
      </c>
      <c r="E120">
        <v>11</v>
      </c>
    </row>
    <row r="121" spans="1:5" x14ac:dyDescent="0.35">
      <c r="A121" t="s">
        <v>379</v>
      </c>
      <c r="B121" t="s">
        <v>36</v>
      </c>
      <c r="C121" t="s">
        <v>164</v>
      </c>
      <c r="D121">
        <v>18</v>
      </c>
      <c r="E121">
        <v>32</v>
      </c>
    </row>
    <row r="122" spans="1:5" x14ac:dyDescent="0.35">
      <c r="A122" t="s">
        <v>379</v>
      </c>
      <c r="B122" t="s">
        <v>36</v>
      </c>
      <c r="C122" t="s">
        <v>165</v>
      </c>
      <c r="D122">
        <v>32</v>
      </c>
      <c r="E122">
        <v>12</v>
      </c>
    </row>
    <row r="123" spans="1:5" x14ac:dyDescent="0.35">
      <c r="A123" t="s">
        <v>379</v>
      </c>
      <c r="B123" t="s">
        <v>37</v>
      </c>
      <c r="C123" t="s">
        <v>166</v>
      </c>
      <c r="D123">
        <v>14</v>
      </c>
      <c r="E123">
        <v>13</v>
      </c>
    </row>
    <row r="124" spans="1:5" x14ac:dyDescent="0.35">
      <c r="A124" t="s">
        <v>379</v>
      </c>
      <c r="B124" t="s">
        <v>34</v>
      </c>
      <c r="C124" t="s">
        <v>167</v>
      </c>
      <c r="D124">
        <v>3</v>
      </c>
      <c r="E124">
        <v>20</v>
      </c>
    </row>
    <row r="125" spans="1:5" x14ac:dyDescent="0.35">
      <c r="A125" t="s">
        <v>379</v>
      </c>
      <c r="B125" t="s">
        <v>33</v>
      </c>
      <c r="C125" t="s">
        <v>168</v>
      </c>
      <c r="D125">
        <v>23</v>
      </c>
      <c r="E125">
        <v>98</v>
      </c>
    </row>
    <row r="126" spans="1:5" x14ac:dyDescent="0.35">
      <c r="A126" t="s">
        <v>379</v>
      </c>
      <c r="B126" t="s">
        <v>35</v>
      </c>
      <c r="C126" t="s">
        <v>169</v>
      </c>
      <c r="D126" t="s">
        <v>206</v>
      </c>
      <c r="E126" t="s">
        <v>206</v>
      </c>
    </row>
    <row r="127" spans="1:5" x14ac:dyDescent="0.35">
      <c r="A127" t="s">
        <v>379</v>
      </c>
      <c r="B127" t="s">
        <v>35</v>
      </c>
      <c r="C127" t="s">
        <v>215</v>
      </c>
      <c r="D127">
        <v>22</v>
      </c>
      <c r="E127">
        <v>95</v>
      </c>
    </row>
    <row r="128" spans="1:5" x14ac:dyDescent="0.35">
      <c r="A128" t="s">
        <v>379</v>
      </c>
      <c r="B128" t="s">
        <v>33</v>
      </c>
      <c r="C128" t="s">
        <v>170</v>
      </c>
      <c r="D128">
        <v>22</v>
      </c>
      <c r="E128">
        <v>40</v>
      </c>
    </row>
    <row r="129" spans="1:5" x14ac:dyDescent="0.35">
      <c r="A129" t="s">
        <v>379</v>
      </c>
      <c r="B129" t="s">
        <v>34</v>
      </c>
      <c r="C129" t="s">
        <v>171</v>
      </c>
      <c r="D129">
        <v>10</v>
      </c>
      <c r="E129">
        <v>20</v>
      </c>
    </row>
    <row r="130" spans="1:5" x14ac:dyDescent="0.35">
      <c r="A130" t="s">
        <v>379</v>
      </c>
      <c r="B130" t="s">
        <v>35</v>
      </c>
      <c r="C130" t="s">
        <v>172</v>
      </c>
      <c r="D130">
        <v>7</v>
      </c>
      <c r="E130">
        <v>40</v>
      </c>
    </row>
    <row r="131" spans="1:5" x14ac:dyDescent="0.35">
      <c r="A131" t="s">
        <v>379</v>
      </c>
      <c r="B131" t="s">
        <v>35</v>
      </c>
      <c r="C131" t="s">
        <v>173</v>
      </c>
      <c r="E131">
        <v>14</v>
      </c>
    </row>
    <row r="132" spans="1:5" x14ac:dyDescent="0.35">
      <c r="A132" t="s">
        <v>379</v>
      </c>
      <c r="B132" t="s">
        <v>33</v>
      </c>
      <c r="C132" t="s">
        <v>174</v>
      </c>
      <c r="D132" t="s">
        <v>205</v>
      </c>
      <c r="E132" t="s">
        <v>205</v>
      </c>
    </row>
    <row r="133" spans="1:5" x14ac:dyDescent="0.35">
      <c r="A133" t="s">
        <v>379</v>
      </c>
      <c r="B133" t="s">
        <v>33</v>
      </c>
      <c r="C133" t="s">
        <v>175</v>
      </c>
      <c r="D133">
        <v>30</v>
      </c>
      <c r="E133">
        <v>42</v>
      </c>
    </row>
    <row r="134" spans="1:5" x14ac:dyDescent="0.35">
      <c r="A134" t="s">
        <v>379</v>
      </c>
      <c r="B134" t="s">
        <v>33</v>
      </c>
      <c r="C134" t="s">
        <v>176</v>
      </c>
      <c r="D134" t="s">
        <v>206</v>
      </c>
      <c r="E134" t="s">
        <v>206</v>
      </c>
    </row>
    <row r="135" spans="1:5" x14ac:dyDescent="0.35">
      <c r="A135" t="s">
        <v>379</v>
      </c>
      <c r="B135" t="s">
        <v>35</v>
      </c>
      <c r="C135" t="s">
        <v>216</v>
      </c>
      <c r="D135">
        <v>9</v>
      </c>
      <c r="E135">
        <v>8</v>
      </c>
    </row>
    <row r="136" spans="1:5" x14ac:dyDescent="0.35">
      <c r="A136" t="s">
        <v>379</v>
      </c>
      <c r="B136" t="s">
        <v>35</v>
      </c>
      <c r="C136" t="s">
        <v>177</v>
      </c>
      <c r="D136">
        <v>56</v>
      </c>
      <c r="E136">
        <v>53</v>
      </c>
    </row>
    <row r="137" spans="1:5" x14ac:dyDescent="0.35">
      <c r="A137" t="s">
        <v>379</v>
      </c>
      <c r="B137" t="s">
        <v>34</v>
      </c>
      <c r="C137" t="s">
        <v>178</v>
      </c>
      <c r="D137">
        <v>8</v>
      </c>
      <c r="E137">
        <v>86</v>
      </c>
    </row>
    <row r="138" spans="1:5" x14ac:dyDescent="0.35">
      <c r="A138" t="s">
        <v>379</v>
      </c>
      <c r="B138" t="s">
        <v>33</v>
      </c>
      <c r="C138" t="s">
        <v>179</v>
      </c>
      <c r="D138">
        <v>11</v>
      </c>
      <c r="E138">
        <v>17</v>
      </c>
    </row>
    <row r="139" spans="1:5" x14ac:dyDescent="0.35">
      <c r="A139" t="s">
        <v>379</v>
      </c>
      <c r="B139" t="s">
        <v>38</v>
      </c>
      <c r="C139" t="s">
        <v>180</v>
      </c>
      <c r="D139">
        <v>7</v>
      </c>
      <c r="E139">
        <v>17</v>
      </c>
    </row>
    <row r="140" spans="1:5" x14ac:dyDescent="0.35">
      <c r="A140" t="s">
        <v>379</v>
      </c>
      <c r="B140" t="s">
        <v>35</v>
      </c>
      <c r="C140" t="s">
        <v>182</v>
      </c>
      <c r="D140">
        <v>9</v>
      </c>
      <c r="E140">
        <v>20</v>
      </c>
    </row>
    <row r="141" spans="1:5" x14ac:dyDescent="0.35">
      <c r="A141" t="s">
        <v>379</v>
      </c>
      <c r="B141" t="s">
        <v>35</v>
      </c>
      <c r="C141" t="s">
        <v>183</v>
      </c>
      <c r="D141">
        <v>3</v>
      </c>
      <c r="E141">
        <v>10</v>
      </c>
    </row>
    <row r="142" spans="1:5" x14ac:dyDescent="0.35">
      <c r="A142" t="s">
        <v>379</v>
      </c>
      <c r="B142" t="s">
        <v>34</v>
      </c>
      <c r="C142" t="s">
        <v>184</v>
      </c>
      <c r="D142">
        <v>25</v>
      </c>
      <c r="E142">
        <v>47</v>
      </c>
    </row>
    <row r="143" spans="1:5" x14ac:dyDescent="0.35">
      <c r="A143" t="s">
        <v>379</v>
      </c>
      <c r="B143" t="s">
        <v>34</v>
      </c>
      <c r="C143" t="s">
        <v>185</v>
      </c>
      <c r="D143">
        <v>31</v>
      </c>
      <c r="E143">
        <v>70</v>
      </c>
    </row>
    <row r="144" spans="1:5" x14ac:dyDescent="0.35">
      <c r="A144" t="s">
        <v>379</v>
      </c>
      <c r="B144" t="s">
        <v>34</v>
      </c>
      <c r="C144" t="s">
        <v>186</v>
      </c>
      <c r="E144">
        <v>6</v>
      </c>
    </row>
    <row r="145" spans="1:5" x14ac:dyDescent="0.35">
      <c r="A145" t="s">
        <v>379</v>
      </c>
      <c r="B145" t="s">
        <v>33</v>
      </c>
      <c r="C145" t="s">
        <v>187</v>
      </c>
      <c r="D145">
        <v>9</v>
      </c>
      <c r="E145">
        <v>18</v>
      </c>
    </row>
    <row r="146" spans="1:5" x14ac:dyDescent="0.35">
      <c r="A146" t="s">
        <v>379</v>
      </c>
      <c r="B146" t="s">
        <v>34</v>
      </c>
      <c r="C146" t="s">
        <v>188</v>
      </c>
      <c r="D146">
        <v>30</v>
      </c>
      <c r="E146">
        <v>66</v>
      </c>
    </row>
    <row r="147" spans="1:5" x14ac:dyDescent="0.35">
      <c r="A147" t="s">
        <v>379</v>
      </c>
      <c r="B147" t="s">
        <v>33</v>
      </c>
      <c r="C147" t="s">
        <v>189</v>
      </c>
      <c r="D147">
        <v>10</v>
      </c>
      <c r="E147">
        <v>31</v>
      </c>
    </row>
    <row r="148" spans="1:5" x14ac:dyDescent="0.35">
      <c r="A148" t="s">
        <v>379</v>
      </c>
      <c r="B148" t="s">
        <v>37</v>
      </c>
      <c r="C148" t="s">
        <v>190</v>
      </c>
      <c r="D148">
        <v>38</v>
      </c>
      <c r="E148">
        <v>12</v>
      </c>
    </row>
    <row r="149" spans="1:5" x14ac:dyDescent="0.35">
      <c r="A149" t="s">
        <v>379</v>
      </c>
      <c r="B149" t="s">
        <v>36</v>
      </c>
      <c r="C149" t="s">
        <v>191</v>
      </c>
      <c r="D149">
        <v>266</v>
      </c>
      <c r="E149">
        <v>191</v>
      </c>
    </row>
    <row r="150" spans="1:5" x14ac:dyDescent="0.35">
      <c r="A150" t="s">
        <v>379</v>
      </c>
      <c r="B150" t="s">
        <v>33</v>
      </c>
      <c r="C150" t="s">
        <v>192</v>
      </c>
      <c r="D150">
        <v>12</v>
      </c>
      <c r="E150">
        <v>27</v>
      </c>
    </row>
    <row r="151" spans="1:5" x14ac:dyDescent="0.35">
      <c r="A151" t="s">
        <v>379</v>
      </c>
      <c r="B151" t="s">
        <v>34</v>
      </c>
      <c r="C151" t="s">
        <v>193</v>
      </c>
      <c r="D151">
        <v>24</v>
      </c>
      <c r="E151">
        <v>125</v>
      </c>
    </row>
    <row r="152" spans="1:5" x14ac:dyDescent="0.35">
      <c r="A152" t="s">
        <v>379</v>
      </c>
      <c r="B152" t="s">
        <v>36</v>
      </c>
      <c r="C152" t="s">
        <v>372</v>
      </c>
      <c r="E152" t="s">
        <v>205</v>
      </c>
    </row>
    <row r="153" spans="1:5" x14ac:dyDescent="0.35">
      <c r="A153" t="s">
        <v>379</v>
      </c>
      <c r="B153" t="s">
        <v>33</v>
      </c>
      <c r="C153" t="s">
        <v>195</v>
      </c>
      <c r="D153">
        <v>8</v>
      </c>
      <c r="E153">
        <v>22</v>
      </c>
    </row>
    <row r="154" spans="1:5" x14ac:dyDescent="0.35">
      <c r="A154" t="s">
        <v>379</v>
      </c>
      <c r="B154" t="s">
        <v>35</v>
      </c>
      <c r="C154" t="s">
        <v>196</v>
      </c>
      <c r="D154">
        <v>47</v>
      </c>
      <c r="E154">
        <v>198</v>
      </c>
    </row>
    <row r="155" spans="1:5" x14ac:dyDescent="0.35">
      <c r="A155" t="s">
        <v>379</v>
      </c>
      <c r="B155" t="s">
        <v>34</v>
      </c>
      <c r="C155" t="s">
        <v>197</v>
      </c>
      <c r="D155" t="s">
        <v>205</v>
      </c>
      <c r="E155" t="s">
        <v>205</v>
      </c>
    </row>
    <row r="156" spans="1:5" x14ac:dyDescent="0.35">
      <c r="A156" t="s">
        <v>379</v>
      </c>
      <c r="B156" t="s">
        <v>35</v>
      </c>
      <c r="C156" t="s">
        <v>198</v>
      </c>
      <c r="D156">
        <v>254</v>
      </c>
      <c r="E156">
        <v>236</v>
      </c>
    </row>
    <row r="157" spans="1:5" x14ac:dyDescent="0.35">
      <c r="A157" t="s">
        <v>379</v>
      </c>
      <c r="B157" t="s">
        <v>39</v>
      </c>
      <c r="C157" t="s">
        <v>39</v>
      </c>
      <c r="D157">
        <v>7</v>
      </c>
      <c r="E157">
        <v>85</v>
      </c>
    </row>
    <row r="158" spans="1:5" x14ac:dyDescent="0.35">
      <c r="A158" t="s">
        <v>379</v>
      </c>
      <c r="B158" t="s">
        <v>38</v>
      </c>
      <c r="C158" t="s">
        <v>199</v>
      </c>
      <c r="D158">
        <v>17</v>
      </c>
      <c r="E158">
        <v>129</v>
      </c>
    </row>
    <row r="159" spans="1:5" x14ac:dyDescent="0.35">
      <c r="A159" t="s">
        <v>379</v>
      </c>
      <c r="B159" t="s">
        <v>34</v>
      </c>
      <c r="C159" t="s">
        <v>200</v>
      </c>
      <c r="D159">
        <v>10</v>
      </c>
      <c r="E159">
        <v>63</v>
      </c>
    </row>
    <row r="160" spans="1:5" x14ac:dyDescent="0.35">
      <c r="A160" t="s">
        <v>379</v>
      </c>
      <c r="B160" t="s">
        <v>38</v>
      </c>
      <c r="C160" t="s">
        <v>19</v>
      </c>
      <c r="D160">
        <v>119</v>
      </c>
      <c r="E160">
        <v>316</v>
      </c>
    </row>
    <row r="161" spans="1:5" x14ac:dyDescent="0.35">
      <c r="A161" t="s">
        <v>379</v>
      </c>
      <c r="B161" t="s">
        <v>34</v>
      </c>
      <c r="C161" t="s">
        <v>201</v>
      </c>
      <c r="D161">
        <v>18</v>
      </c>
      <c r="E161">
        <v>15</v>
      </c>
    </row>
    <row r="162" spans="1:5" x14ac:dyDescent="0.35">
      <c r="A162" t="s">
        <v>379</v>
      </c>
      <c r="B162" t="s">
        <v>34</v>
      </c>
      <c r="C162" t="s">
        <v>202</v>
      </c>
      <c r="D162">
        <v>12</v>
      </c>
      <c r="E162">
        <v>40</v>
      </c>
    </row>
    <row r="163" spans="1:5" x14ac:dyDescent="0.35">
      <c r="A163" t="s">
        <v>379</v>
      </c>
      <c r="B163" t="s">
        <v>33</v>
      </c>
      <c r="C163" t="s">
        <v>203</v>
      </c>
      <c r="D163">
        <v>8</v>
      </c>
      <c r="E163">
        <v>14</v>
      </c>
    </row>
    <row r="164" spans="1:5" x14ac:dyDescent="0.35">
      <c r="A164" t="s">
        <v>379</v>
      </c>
      <c r="B164" t="s">
        <v>33</v>
      </c>
      <c r="C164" t="s">
        <v>204</v>
      </c>
      <c r="D164">
        <v>11</v>
      </c>
      <c r="E164">
        <v>12</v>
      </c>
    </row>
    <row r="165" spans="1:5" x14ac:dyDescent="0.35">
      <c r="A165" t="s">
        <v>380</v>
      </c>
      <c r="B165" t="s">
        <v>34</v>
      </c>
      <c r="C165" t="s">
        <v>40</v>
      </c>
      <c r="D165">
        <v>21</v>
      </c>
      <c r="E165">
        <v>16</v>
      </c>
    </row>
    <row r="166" spans="1:5" x14ac:dyDescent="0.35">
      <c r="A166" t="s">
        <v>380</v>
      </c>
      <c r="B166" t="s">
        <v>35</v>
      </c>
      <c r="C166" t="s">
        <v>41</v>
      </c>
      <c r="D166">
        <v>32</v>
      </c>
      <c r="E166">
        <v>204</v>
      </c>
    </row>
    <row r="167" spans="1:5" x14ac:dyDescent="0.35">
      <c r="A167" t="s">
        <v>380</v>
      </c>
      <c r="B167" t="s">
        <v>33</v>
      </c>
      <c r="C167" t="s">
        <v>42</v>
      </c>
      <c r="D167">
        <v>9</v>
      </c>
      <c r="E167">
        <v>30</v>
      </c>
    </row>
    <row r="168" spans="1:5" x14ac:dyDescent="0.35">
      <c r="A168" t="s">
        <v>380</v>
      </c>
      <c r="C168" t="s">
        <v>373</v>
      </c>
      <c r="D168">
        <v>11</v>
      </c>
      <c r="E168">
        <v>42</v>
      </c>
    </row>
    <row r="169" spans="1:5" x14ac:dyDescent="0.35">
      <c r="A169" t="s">
        <v>380</v>
      </c>
      <c r="B169" t="s">
        <v>33</v>
      </c>
      <c r="C169" t="s">
        <v>43</v>
      </c>
      <c r="E169">
        <v>13</v>
      </c>
    </row>
    <row r="170" spans="1:5" x14ac:dyDescent="0.35">
      <c r="A170" t="s">
        <v>380</v>
      </c>
      <c r="B170" t="s">
        <v>36</v>
      </c>
      <c r="C170" t="s">
        <v>44</v>
      </c>
      <c r="D170">
        <v>26</v>
      </c>
      <c r="E170">
        <v>8</v>
      </c>
    </row>
    <row r="171" spans="1:5" x14ac:dyDescent="0.35">
      <c r="A171" t="s">
        <v>380</v>
      </c>
      <c r="B171" t="s">
        <v>38</v>
      </c>
      <c r="C171" t="s">
        <v>45</v>
      </c>
      <c r="D171">
        <v>95</v>
      </c>
      <c r="E171">
        <v>479</v>
      </c>
    </row>
    <row r="172" spans="1:5" x14ac:dyDescent="0.35">
      <c r="A172" t="s">
        <v>380</v>
      </c>
      <c r="B172" t="s">
        <v>34</v>
      </c>
      <c r="C172" t="s">
        <v>46</v>
      </c>
      <c r="D172">
        <v>32</v>
      </c>
      <c r="E172">
        <v>88</v>
      </c>
    </row>
    <row r="173" spans="1:5" x14ac:dyDescent="0.35">
      <c r="A173" t="s">
        <v>380</v>
      </c>
      <c r="B173" t="s">
        <v>37</v>
      </c>
      <c r="C173" t="s">
        <v>47</v>
      </c>
      <c r="D173">
        <v>11</v>
      </c>
      <c r="E173">
        <v>28</v>
      </c>
    </row>
    <row r="174" spans="1:5" x14ac:dyDescent="0.35">
      <c r="A174" t="s">
        <v>380</v>
      </c>
      <c r="B174" t="s">
        <v>35</v>
      </c>
      <c r="C174" t="s">
        <v>48</v>
      </c>
      <c r="D174" t="s">
        <v>205</v>
      </c>
      <c r="E174" t="s">
        <v>205</v>
      </c>
    </row>
    <row r="175" spans="1:5" x14ac:dyDescent="0.35">
      <c r="A175" t="s">
        <v>380</v>
      </c>
      <c r="B175" t="s">
        <v>34</v>
      </c>
      <c r="C175" t="s">
        <v>49</v>
      </c>
      <c r="D175" t="s">
        <v>205</v>
      </c>
      <c r="E175" t="s">
        <v>205</v>
      </c>
    </row>
    <row r="176" spans="1:5" x14ac:dyDescent="0.35">
      <c r="A176" t="s">
        <v>380</v>
      </c>
      <c r="B176" t="s">
        <v>36</v>
      </c>
      <c r="C176" t="s">
        <v>50</v>
      </c>
      <c r="D176">
        <v>120</v>
      </c>
      <c r="E176">
        <v>33</v>
      </c>
    </row>
    <row r="177" spans="1:5" x14ac:dyDescent="0.35">
      <c r="A177" t="s">
        <v>380</v>
      </c>
      <c r="B177" t="s">
        <v>34</v>
      </c>
      <c r="C177" t="s">
        <v>52</v>
      </c>
      <c r="D177">
        <v>21</v>
      </c>
      <c r="E177">
        <v>124</v>
      </c>
    </row>
    <row r="178" spans="1:5" x14ac:dyDescent="0.35">
      <c r="A178" t="s">
        <v>380</v>
      </c>
      <c r="B178" t="s">
        <v>36</v>
      </c>
      <c r="C178" t="s">
        <v>53</v>
      </c>
      <c r="D178">
        <v>55</v>
      </c>
      <c r="E178">
        <v>10</v>
      </c>
    </row>
    <row r="179" spans="1:5" x14ac:dyDescent="0.35">
      <c r="A179" t="s">
        <v>380</v>
      </c>
      <c r="B179" t="s">
        <v>35</v>
      </c>
      <c r="C179" t="s">
        <v>54</v>
      </c>
      <c r="D179">
        <v>6</v>
      </c>
      <c r="E179">
        <v>19</v>
      </c>
    </row>
    <row r="180" spans="1:5" x14ac:dyDescent="0.35">
      <c r="A180" t="s">
        <v>380</v>
      </c>
      <c r="B180" t="s">
        <v>35</v>
      </c>
      <c r="C180" t="s">
        <v>55</v>
      </c>
      <c r="D180">
        <v>7</v>
      </c>
      <c r="E180">
        <v>12</v>
      </c>
    </row>
    <row r="181" spans="1:5" x14ac:dyDescent="0.35">
      <c r="A181" t="s">
        <v>380</v>
      </c>
      <c r="B181" t="s">
        <v>36</v>
      </c>
      <c r="C181" t="s">
        <v>56</v>
      </c>
      <c r="D181">
        <v>118</v>
      </c>
      <c r="E181">
        <v>101</v>
      </c>
    </row>
    <row r="182" spans="1:5" x14ac:dyDescent="0.35">
      <c r="A182" t="s">
        <v>380</v>
      </c>
      <c r="B182" t="s">
        <v>33</v>
      </c>
      <c r="C182" t="s">
        <v>57</v>
      </c>
      <c r="D182" t="s">
        <v>205</v>
      </c>
      <c r="E182" t="s">
        <v>205</v>
      </c>
    </row>
    <row r="183" spans="1:5" x14ac:dyDescent="0.35">
      <c r="A183" t="s">
        <v>380</v>
      </c>
      <c r="B183" t="s">
        <v>36</v>
      </c>
      <c r="C183" t="s">
        <v>363</v>
      </c>
    </row>
    <row r="184" spans="1:5" x14ac:dyDescent="0.35">
      <c r="A184" t="s">
        <v>380</v>
      </c>
      <c r="B184" t="s">
        <v>38</v>
      </c>
      <c r="C184" t="s">
        <v>59</v>
      </c>
      <c r="D184">
        <v>62</v>
      </c>
      <c r="E184">
        <v>241</v>
      </c>
    </row>
    <row r="185" spans="1:5" x14ac:dyDescent="0.35">
      <c r="A185" t="s">
        <v>380</v>
      </c>
      <c r="B185" t="s">
        <v>35</v>
      </c>
      <c r="C185" t="s">
        <v>60</v>
      </c>
      <c r="D185">
        <v>14</v>
      </c>
      <c r="E185">
        <v>9</v>
      </c>
    </row>
    <row r="186" spans="1:5" x14ac:dyDescent="0.35">
      <c r="A186" t="s">
        <v>380</v>
      </c>
      <c r="B186" t="s">
        <v>38</v>
      </c>
      <c r="C186" t="s">
        <v>21</v>
      </c>
      <c r="D186">
        <v>1431</v>
      </c>
      <c r="E186">
        <v>5666</v>
      </c>
    </row>
    <row r="187" spans="1:5" x14ac:dyDescent="0.35">
      <c r="A187" t="s">
        <v>380</v>
      </c>
      <c r="B187" t="s">
        <v>35</v>
      </c>
      <c r="C187" t="s">
        <v>62</v>
      </c>
      <c r="D187">
        <v>15</v>
      </c>
      <c r="E187">
        <v>67</v>
      </c>
    </row>
    <row r="188" spans="1:5" x14ac:dyDescent="0.35">
      <c r="A188" t="s">
        <v>380</v>
      </c>
      <c r="B188" t="s">
        <v>33</v>
      </c>
      <c r="C188" t="s">
        <v>63</v>
      </c>
      <c r="D188">
        <v>3</v>
      </c>
      <c r="E188">
        <v>8</v>
      </c>
    </row>
    <row r="189" spans="1:5" x14ac:dyDescent="0.35">
      <c r="A189" t="s">
        <v>380</v>
      </c>
      <c r="B189" t="s">
        <v>34</v>
      </c>
      <c r="C189" t="s">
        <v>64</v>
      </c>
      <c r="D189">
        <v>5</v>
      </c>
      <c r="E189">
        <v>7</v>
      </c>
    </row>
    <row r="190" spans="1:5" x14ac:dyDescent="0.35">
      <c r="A190" t="s">
        <v>380</v>
      </c>
      <c r="B190" t="s">
        <v>33</v>
      </c>
      <c r="C190" t="s">
        <v>66</v>
      </c>
      <c r="D190">
        <v>38</v>
      </c>
      <c r="E190">
        <v>9</v>
      </c>
    </row>
    <row r="191" spans="1:5" x14ac:dyDescent="0.35">
      <c r="A191" t="s">
        <v>380</v>
      </c>
      <c r="B191" t="s">
        <v>34</v>
      </c>
      <c r="C191" t="s">
        <v>67</v>
      </c>
      <c r="D191">
        <v>28</v>
      </c>
      <c r="E191">
        <v>23</v>
      </c>
    </row>
    <row r="192" spans="1:5" x14ac:dyDescent="0.35">
      <c r="A192" t="s">
        <v>380</v>
      </c>
      <c r="B192" t="s">
        <v>33</v>
      </c>
      <c r="C192" t="s">
        <v>68</v>
      </c>
      <c r="D192">
        <v>8</v>
      </c>
      <c r="E192">
        <v>53</v>
      </c>
    </row>
    <row r="193" spans="1:5" x14ac:dyDescent="0.35">
      <c r="A193" t="s">
        <v>380</v>
      </c>
      <c r="B193" t="s">
        <v>36</v>
      </c>
      <c r="C193" t="s">
        <v>69</v>
      </c>
      <c r="D193">
        <v>462</v>
      </c>
      <c r="E193">
        <v>1099</v>
      </c>
    </row>
    <row r="194" spans="1:5" x14ac:dyDescent="0.35">
      <c r="A194" t="s">
        <v>380</v>
      </c>
      <c r="B194" t="s">
        <v>33</v>
      </c>
      <c r="C194" t="s">
        <v>71</v>
      </c>
      <c r="D194" t="s">
        <v>205</v>
      </c>
      <c r="E194" t="s">
        <v>205</v>
      </c>
    </row>
    <row r="195" spans="1:5" x14ac:dyDescent="0.35">
      <c r="A195" t="s">
        <v>380</v>
      </c>
      <c r="B195" t="s">
        <v>38</v>
      </c>
      <c r="C195" t="s">
        <v>72</v>
      </c>
      <c r="D195">
        <v>61</v>
      </c>
      <c r="E195">
        <v>164</v>
      </c>
    </row>
    <row r="196" spans="1:5" x14ac:dyDescent="0.35">
      <c r="A196" t="s">
        <v>380</v>
      </c>
      <c r="B196" t="s">
        <v>34</v>
      </c>
      <c r="C196" t="s">
        <v>73</v>
      </c>
      <c r="D196">
        <v>147</v>
      </c>
      <c r="E196">
        <v>1105</v>
      </c>
    </row>
    <row r="197" spans="1:5" x14ac:dyDescent="0.35">
      <c r="A197" t="s">
        <v>380</v>
      </c>
      <c r="B197" t="s">
        <v>38</v>
      </c>
      <c r="C197" t="s">
        <v>20</v>
      </c>
      <c r="D197">
        <v>1367</v>
      </c>
      <c r="E197">
        <v>1227</v>
      </c>
    </row>
    <row r="198" spans="1:5" x14ac:dyDescent="0.35">
      <c r="A198" t="s">
        <v>380</v>
      </c>
      <c r="B198" t="s">
        <v>33</v>
      </c>
      <c r="C198" t="s">
        <v>74</v>
      </c>
      <c r="D198" t="s">
        <v>205</v>
      </c>
      <c r="E198" t="s">
        <v>205</v>
      </c>
    </row>
    <row r="199" spans="1:5" x14ac:dyDescent="0.35">
      <c r="A199" t="s">
        <v>380</v>
      </c>
      <c r="B199" t="s">
        <v>33</v>
      </c>
      <c r="C199" t="s">
        <v>75</v>
      </c>
      <c r="D199">
        <v>3</v>
      </c>
      <c r="E199">
        <v>27</v>
      </c>
    </row>
    <row r="200" spans="1:5" x14ac:dyDescent="0.35">
      <c r="A200" t="s">
        <v>380</v>
      </c>
      <c r="B200" t="s">
        <v>36</v>
      </c>
      <c r="C200" t="s">
        <v>76</v>
      </c>
      <c r="D200">
        <v>82</v>
      </c>
      <c r="E200">
        <v>594</v>
      </c>
    </row>
    <row r="201" spans="1:5" x14ac:dyDescent="0.35">
      <c r="A201" t="s">
        <v>380</v>
      </c>
      <c r="B201" t="s">
        <v>33</v>
      </c>
      <c r="C201" t="s">
        <v>77</v>
      </c>
      <c r="D201">
        <v>6</v>
      </c>
      <c r="E201">
        <v>28</v>
      </c>
    </row>
    <row r="202" spans="1:5" x14ac:dyDescent="0.35">
      <c r="A202" t="s">
        <v>380</v>
      </c>
      <c r="B202" t="s">
        <v>35</v>
      </c>
      <c r="C202" t="s">
        <v>78</v>
      </c>
      <c r="D202">
        <v>4</v>
      </c>
      <c r="E202">
        <v>7</v>
      </c>
    </row>
    <row r="203" spans="1:5" x14ac:dyDescent="0.35">
      <c r="A203" t="s">
        <v>380</v>
      </c>
      <c r="B203" t="s">
        <v>36</v>
      </c>
      <c r="C203" t="s">
        <v>79</v>
      </c>
      <c r="D203">
        <v>44</v>
      </c>
      <c r="E203">
        <v>686</v>
      </c>
    </row>
    <row r="204" spans="1:5" x14ac:dyDescent="0.35">
      <c r="A204" t="s">
        <v>380</v>
      </c>
      <c r="B204" t="s">
        <v>35</v>
      </c>
      <c r="C204" t="s">
        <v>81</v>
      </c>
      <c r="D204" t="s">
        <v>205</v>
      </c>
      <c r="E204" t="s">
        <v>205</v>
      </c>
    </row>
    <row r="205" spans="1:5" x14ac:dyDescent="0.35">
      <c r="A205" t="s">
        <v>380</v>
      </c>
      <c r="B205" t="s">
        <v>35</v>
      </c>
      <c r="C205" t="s">
        <v>214</v>
      </c>
      <c r="D205">
        <v>10</v>
      </c>
      <c r="E205">
        <v>97</v>
      </c>
    </row>
    <row r="206" spans="1:5" x14ac:dyDescent="0.35">
      <c r="A206" t="s">
        <v>380</v>
      </c>
      <c r="B206" t="s">
        <v>35</v>
      </c>
      <c r="C206" t="s">
        <v>82</v>
      </c>
      <c r="D206">
        <v>6</v>
      </c>
      <c r="E206">
        <v>8</v>
      </c>
    </row>
    <row r="207" spans="1:5" x14ac:dyDescent="0.35">
      <c r="A207" t="s">
        <v>380</v>
      </c>
      <c r="B207" t="s">
        <v>36</v>
      </c>
      <c r="C207" t="s">
        <v>84</v>
      </c>
      <c r="D207">
        <v>17</v>
      </c>
      <c r="E207">
        <v>11</v>
      </c>
    </row>
    <row r="208" spans="1:5" x14ac:dyDescent="0.35">
      <c r="A208" t="s">
        <v>380</v>
      </c>
      <c r="B208" t="s">
        <v>36</v>
      </c>
      <c r="C208" t="s">
        <v>85</v>
      </c>
      <c r="D208">
        <v>2308</v>
      </c>
      <c r="E208">
        <v>902</v>
      </c>
    </row>
    <row r="209" spans="1:5" x14ac:dyDescent="0.35">
      <c r="A209" t="s">
        <v>380</v>
      </c>
      <c r="B209" t="s">
        <v>38</v>
      </c>
      <c r="C209" t="s">
        <v>86</v>
      </c>
      <c r="D209">
        <v>393</v>
      </c>
      <c r="E209">
        <v>1097</v>
      </c>
    </row>
    <row r="210" spans="1:5" x14ac:dyDescent="0.35">
      <c r="A210" t="s">
        <v>380</v>
      </c>
      <c r="B210" t="s">
        <v>33</v>
      </c>
      <c r="C210" t="s">
        <v>87</v>
      </c>
      <c r="D210">
        <v>47</v>
      </c>
      <c r="E210">
        <v>186</v>
      </c>
    </row>
    <row r="211" spans="1:5" x14ac:dyDescent="0.35">
      <c r="A211" t="s">
        <v>380</v>
      </c>
      <c r="B211" t="s">
        <v>36</v>
      </c>
      <c r="C211" t="s">
        <v>16</v>
      </c>
      <c r="D211">
        <v>2827</v>
      </c>
      <c r="E211">
        <v>5478</v>
      </c>
    </row>
    <row r="212" spans="1:5" x14ac:dyDescent="0.35">
      <c r="A212" t="s">
        <v>380</v>
      </c>
      <c r="B212" t="s">
        <v>33</v>
      </c>
      <c r="C212" t="s">
        <v>89</v>
      </c>
      <c r="D212" t="s">
        <v>205</v>
      </c>
      <c r="E212" t="s">
        <v>205</v>
      </c>
    </row>
    <row r="213" spans="1:5" x14ac:dyDescent="0.35">
      <c r="A213" t="s">
        <v>380</v>
      </c>
      <c r="B213" t="s">
        <v>35</v>
      </c>
      <c r="C213" t="s">
        <v>90</v>
      </c>
      <c r="D213">
        <v>4</v>
      </c>
      <c r="E213">
        <v>18</v>
      </c>
    </row>
    <row r="214" spans="1:5" x14ac:dyDescent="0.35">
      <c r="A214" t="s">
        <v>380</v>
      </c>
      <c r="B214" t="s">
        <v>33</v>
      </c>
      <c r="C214" t="s">
        <v>91</v>
      </c>
      <c r="D214">
        <v>19</v>
      </c>
      <c r="E214">
        <v>75</v>
      </c>
    </row>
    <row r="215" spans="1:5" x14ac:dyDescent="0.35">
      <c r="A215" t="s">
        <v>380</v>
      </c>
      <c r="B215" t="s">
        <v>37</v>
      </c>
      <c r="C215" t="s">
        <v>92</v>
      </c>
      <c r="D215">
        <v>18</v>
      </c>
      <c r="E215">
        <v>56</v>
      </c>
    </row>
    <row r="216" spans="1:5" x14ac:dyDescent="0.35">
      <c r="A216" t="s">
        <v>380</v>
      </c>
      <c r="B216" t="s">
        <v>35</v>
      </c>
      <c r="C216" t="s">
        <v>93</v>
      </c>
      <c r="E216">
        <v>8</v>
      </c>
    </row>
    <row r="217" spans="1:5" x14ac:dyDescent="0.35">
      <c r="A217" t="s">
        <v>380</v>
      </c>
      <c r="B217" t="s">
        <v>35</v>
      </c>
      <c r="C217" t="s">
        <v>94</v>
      </c>
      <c r="D217">
        <v>45</v>
      </c>
      <c r="E217">
        <v>91</v>
      </c>
    </row>
    <row r="218" spans="1:5" x14ac:dyDescent="0.35">
      <c r="A218" t="s">
        <v>380</v>
      </c>
      <c r="B218" t="s">
        <v>33</v>
      </c>
      <c r="C218" t="s">
        <v>95</v>
      </c>
      <c r="D218" t="s">
        <v>205</v>
      </c>
      <c r="E218" t="s">
        <v>205</v>
      </c>
    </row>
    <row r="219" spans="1:5" x14ac:dyDescent="0.35">
      <c r="A219" t="s">
        <v>380</v>
      </c>
      <c r="B219" t="s">
        <v>33</v>
      </c>
      <c r="C219" t="s">
        <v>96</v>
      </c>
      <c r="D219">
        <v>16</v>
      </c>
      <c r="E219">
        <v>45</v>
      </c>
    </row>
    <row r="220" spans="1:5" x14ac:dyDescent="0.35">
      <c r="A220" t="s">
        <v>380</v>
      </c>
      <c r="B220" t="s">
        <v>34</v>
      </c>
      <c r="C220" t="s">
        <v>8</v>
      </c>
      <c r="D220">
        <v>18</v>
      </c>
      <c r="E220">
        <v>17</v>
      </c>
    </row>
    <row r="221" spans="1:5" x14ac:dyDescent="0.35">
      <c r="A221" t="s">
        <v>380</v>
      </c>
      <c r="B221" t="s">
        <v>35</v>
      </c>
      <c r="C221" t="s">
        <v>97</v>
      </c>
      <c r="D221">
        <v>79</v>
      </c>
      <c r="E221">
        <v>90</v>
      </c>
    </row>
    <row r="222" spans="1:5" x14ac:dyDescent="0.35">
      <c r="A222" t="s">
        <v>380</v>
      </c>
      <c r="B222" t="s">
        <v>33</v>
      </c>
      <c r="C222" t="s">
        <v>98</v>
      </c>
      <c r="D222">
        <v>76</v>
      </c>
      <c r="E222">
        <v>142</v>
      </c>
    </row>
    <row r="223" spans="1:5" x14ac:dyDescent="0.35">
      <c r="A223" t="s">
        <v>380</v>
      </c>
      <c r="B223" t="s">
        <v>35</v>
      </c>
      <c r="C223" t="s">
        <v>99</v>
      </c>
      <c r="D223">
        <v>24</v>
      </c>
      <c r="E223">
        <v>26</v>
      </c>
    </row>
    <row r="224" spans="1:5" x14ac:dyDescent="0.35">
      <c r="A224" t="s">
        <v>380</v>
      </c>
      <c r="B224" t="s">
        <v>36</v>
      </c>
      <c r="C224" t="s">
        <v>100</v>
      </c>
      <c r="D224">
        <v>27</v>
      </c>
      <c r="E224">
        <v>11</v>
      </c>
    </row>
    <row r="225" spans="1:5" x14ac:dyDescent="0.35">
      <c r="A225" t="s">
        <v>380</v>
      </c>
      <c r="B225" t="s">
        <v>36</v>
      </c>
      <c r="C225" t="s">
        <v>15</v>
      </c>
      <c r="D225">
        <v>2143</v>
      </c>
      <c r="E225">
        <v>12379</v>
      </c>
    </row>
    <row r="226" spans="1:5" x14ac:dyDescent="0.35">
      <c r="A226" t="s">
        <v>380</v>
      </c>
      <c r="B226" t="s">
        <v>33</v>
      </c>
      <c r="C226" t="s">
        <v>101</v>
      </c>
      <c r="D226">
        <v>24</v>
      </c>
      <c r="E226">
        <v>68</v>
      </c>
    </row>
    <row r="227" spans="1:5" x14ac:dyDescent="0.35">
      <c r="A227" t="s">
        <v>380</v>
      </c>
      <c r="B227" t="s">
        <v>38</v>
      </c>
      <c r="C227" t="s">
        <v>103</v>
      </c>
      <c r="D227">
        <v>255</v>
      </c>
      <c r="E227">
        <v>141</v>
      </c>
    </row>
    <row r="228" spans="1:5" x14ac:dyDescent="0.35">
      <c r="A228" t="s">
        <v>380</v>
      </c>
      <c r="B228" t="s">
        <v>36</v>
      </c>
      <c r="C228" t="s">
        <v>104</v>
      </c>
      <c r="D228">
        <v>591</v>
      </c>
      <c r="E228">
        <v>613</v>
      </c>
    </row>
    <row r="229" spans="1:5" x14ac:dyDescent="0.35">
      <c r="A229" t="s">
        <v>380</v>
      </c>
      <c r="B229" t="s">
        <v>36</v>
      </c>
      <c r="C229" t="s">
        <v>17</v>
      </c>
      <c r="D229">
        <v>2704</v>
      </c>
      <c r="E229">
        <v>12868</v>
      </c>
    </row>
    <row r="230" spans="1:5" x14ac:dyDescent="0.35">
      <c r="A230" t="s">
        <v>380</v>
      </c>
      <c r="B230" t="s">
        <v>34</v>
      </c>
      <c r="C230" t="s">
        <v>368</v>
      </c>
      <c r="D230">
        <v>7</v>
      </c>
      <c r="E230">
        <v>13</v>
      </c>
    </row>
    <row r="231" spans="1:5" x14ac:dyDescent="0.35">
      <c r="A231" t="s">
        <v>380</v>
      </c>
      <c r="B231" t="s">
        <v>35</v>
      </c>
      <c r="C231" t="s">
        <v>105</v>
      </c>
      <c r="D231">
        <v>12</v>
      </c>
      <c r="E231">
        <v>98</v>
      </c>
    </row>
    <row r="232" spans="1:5" x14ac:dyDescent="0.35">
      <c r="A232" t="s">
        <v>380</v>
      </c>
      <c r="B232" t="s">
        <v>34</v>
      </c>
      <c r="C232" t="s">
        <v>22</v>
      </c>
      <c r="D232">
        <v>139</v>
      </c>
      <c r="E232">
        <v>728</v>
      </c>
    </row>
    <row r="233" spans="1:5" x14ac:dyDescent="0.35">
      <c r="A233" t="s">
        <v>380</v>
      </c>
      <c r="B233" t="s">
        <v>34</v>
      </c>
      <c r="C233" t="s">
        <v>107</v>
      </c>
      <c r="D233">
        <v>17</v>
      </c>
      <c r="E233">
        <v>358</v>
      </c>
    </row>
    <row r="234" spans="1:5" x14ac:dyDescent="0.35">
      <c r="A234" t="s">
        <v>380</v>
      </c>
      <c r="B234" t="s">
        <v>34</v>
      </c>
      <c r="C234" t="s">
        <v>108</v>
      </c>
      <c r="D234">
        <v>17</v>
      </c>
      <c r="E234">
        <v>35</v>
      </c>
    </row>
    <row r="235" spans="1:5" x14ac:dyDescent="0.35">
      <c r="A235" t="s">
        <v>380</v>
      </c>
      <c r="B235" t="s">
        <v>34</v>
      </c>
      <c r="C235" t="s">
        <v>109</v>
      </c>
      <c r="D235">
        <v>8</v>
      </c>
      <c r="E235">
        <v>16</v>
      </c>
    </row>
    <row r="236" spans="1:5" x14ac:dyDescent="0.35">
      <c r="A236" t="s">
        <v>380</v>
      </c>
      <c r="B236" t="s">
        <v>35</v>
      </c>
      <c r="C236" t="s">
        <v>110</v>
      </c>
      <c r="D236">
        <v>13</v>
      </c>
      <c r="E236">
        <v>59</v>
      </c>
    </row>
    <row r="237" spans="1:5" x14ac:dyDescent="0.35">
      <c r="A237" t="s">
        <v>380</v>
      </c>
      <c r="B237" t="s">
        <v>34</v>
      </c>
      <c r="C237" t="s">
        <v>111</v>
      </c>
      <c r="D237">
        <v>84</v>
      </c>
      <c r="E237">
        <v>200</v>
      </c>
    </row>
    <row r="238" spans="1:5" x14ac:dyDescent="0.35">
      <c r="A238" t="s">
        <v>380</v>
      </c>
      <c r="B238" t="s">
        <v>35</v>
      </c>
      <c r="C238" t="s">
        <v>112</v>
      </c>
      <c r="D238">
        <v>73</v>
      </c>
      <c r="E238">
        <v>71</v>
      </c>
    </row>
    <row r="239" spans="1:5" x14ac:dyDescent="0.35">
      <c r="A239" t="s">
        <v>380</v>
      </c>
      <c r="B239" t="s">
        <v>36</v>
      </c>
      <c r="C239" t="s">
        <v>113</v>
      </c>
      <c r="D239">
        <v>1475</v>
      </c>
      <c r="E239">
        <v>548</v>
      </c>
    </row>
    <row r="240" spans="1:5" x14ac:dyDescent="0.35">
      <c r="A240" t="s">
        <v>380</v>
      </c>
      <c r="B240" t="s">
        <v>34</v>
      </c>
      <c r="C240" t="s">
        <v>114</v>
      </c>
      <c r="D240">
        <v>12</v>
      </c>
      <c r="E240">
        <v>34</v>
      </c>
    </row>
    <row r="241" spans="1:5" x14ac:dyDescent="0.35">
      <c r="A241" t="s">
        <v>380</v>
      </c>
      <c r="B241" t="s">
        <v>34</v>
      </c>
      <c r="C241" t="s">
        <v>115</v>
      </c>
      <c r="D241">
        <v>81</v>
      </c>
      <c r="E241">
        <v>142</v>
      </c>
    </row>
    <row r="242" spans="1:5" x14ac:dyDescent="0.35">
      <c r="A242" t="s">
        <v>380</v>
      </c>
      <c r="B242" t="s">
        <v>34</v>
      </c>
      <c r="C242" t="s">
        <v>116</v>
      </c>
      <c r="D242">
        <v>3</v>
      </c>
      <c r="E242">
        <v>15</v>
      </c>
    </row>
    <row r="243" spans="1:5" x14ac:dyDescent="0.35">
      <c r="A243" t="s">
        <v>380</v>
      </c>
      <c r="B243" t="s">
        <v>33</v>
      </c>
      <c r="C243" t="s">
        <v>117</v>
      </c>
      <c r="D243">
        <v>36</v>
      </c>
      <c r="E243">
        <v>81</v>
      </c>
    </row>
    <row r="244" spans="1:5" x14ac:dyDescent="0.35">
      <c r="A244" t="s">
        <v>380</v>
      </c>
      <c r="B244" t="s">
        <v>34</v>
      </c>
      <c r="C244" t="s">
        <v>118</v>
      </c>
      <c r="D244">
        <v>113</v>
      </c>
      <c r="E244">
        <v>288</v>
      </c>
    </row>
    <row r="245" spans="1:5" x14ac:dyDescent="0.35">
      <c r="A245" t="s">
        <v>380</v>
      </c>
      <c r="B245" t="s">
        <v>35</v>
      </c>
      <c r="C245" t="s">
        <v>119</v>
      </c>
      <c r="D245" t="s">
        <v>206</v>
      </c>
      <c r="E245" t="s">
        <v>206</v>
      </c>
    </row>
    <row r="246" spans="1:5" x14ac:dyDescent="0.35">
      <c r="A246" t="s">
        <v>380</v>
      </c>
      <c r="B246" t="s">
        <v>34</v>
      </c>
      <c r="C246" t="s">
        <v>120</v>
      </c>
      <c r="D246">
        <v>5</v>
      </c>
      <c r="E246">
        <v>8</v>
      </c>
    </row>
    <row r="247" spans="1:5" x14ac:dyDescent="0.35">
      <c r="A247" t="s">
        <v>380</v>
      </c>
      <c r="B247" t="s">
        <v>34</v>
      </c>
      <c r="C247" t="s">
        <v>121</v>
      </c>
      <c r="D247" t="s">
        <v>205</v>
      </c>
      <c r="E247" t="s">
        <v>205</v>
      </c>
    </row>
    <row r="248" spans="1:5" x14ac:dyDescent="0.35">
      <c r="A248" t="s">
        <v>380</v>
      </c>
      <c r="B248" t="s">
        <v>34</v>
      </c>
      <c r="C248" t="s">
        <v>122</v>
      </c>
      <c r="D248">
        <v>4</v>
      </c>
      <c r="E248">
        <v>8</v>
      </c>
    </row>
    <row r="249" spans="1:5" x14ac:dyDescent="0.35">
      <c r="A249" t="s">
        <v>380</v>
      </c>
      <c r="B249" t="s">
        <v>35</v>
      </c>
      <c r="C249" t="s">
        <v>123</v>
      </c>
      <c r="D249">
        <v>7</v>
      </c>
      <c r="E249">
        <v>21</v>
      </c>
    </row>
    <row r="250" spans="1:5" x14ac:dyDescent="0.35">
      <c r="A250" t="s">
        <v>380</v>
      </c>
      <c r="B250" t="s">
        <v>34</v>
      </c>
      <c r="C250" t="s">
        <v>124</v>
      </c>
      <c r="D250">
        <v>38</v>
      </c>
      <c r="E250">
        <v>111</v>
      </c>
    </row>
    <row r="251" spans="1:5" x14ac:dyDescent="0.35">
      <c r="A251" t="s">
        <v>380</v>
      </c>
      <c r="B251" t="s">
        <v>33</v>
      </c>
      <c r="C251" t="s">
        <v>125</v>
      </c>
      <c r="D251">
        <v>70</v>
      </c>
      <c r="E251">
        <v>28</v>
      </c>
    </row>
    <row r="252" spans="1:5" x14ac:dyDescent="0.35">
      <c r="A252" t="s">
        <v>380</v>
      </c>
      <c r="B252" t="s">
        <v>35</v>
      </c>
      <c r="C252" t="s">
        <v>127</v>
      </c>
      <c r="D252">
        <v>16</v>
      </c>
      <c r="E252">
        <v>50</v>
      </c>
    </row>
    <row r="253" spans="1:5" x14ac:dyDescent="0.35">
      <c r="A253" t="s">
        <v>380</v>
      </c>
      <c r="B253" t="s">
        <v>33</v>
      </c>
      <c r="C253" t="s">
        <v>130</v>
      </c>
      <c r="D253">
        <v>4</v>
      </c>
      <c r="E253">
        <v>6</v>
      </c>
    </row>
    <row r="254" spans="1:5" x14ac:dyDescent="0.35">
      <c r="A254" t="s">
        <v>380</v>
      </c>
      <c r="B254" t="s">
        <v>34</v>
      </c>
      <c r="C254" t="s">
        <v>131</v>
      </c>
      <c r="D254">
        <v>13</v>
      </c>
      <c r="E254">
        <v>76</v>
      </c>
    </row>
    <row r="255" spans="1:5" x14ac:dyDescent="0.35">
      <c r="A255" t="s">
        <v>380</v>
      </c>
      <c r="B255" t="s">
        <v>33</v>
      </c>
      <c r="C255" t="s">
        <v>132</v>
      </c>
      <c r="D255">
        <v>4</v>
      </c>
      <c r="E255">
        <v>30</v>
      </c>
    </row>
    <row r="256" spans="1:5" x14ac:dyDescent="0.35">
      <c r="A256" t="s">
        <v>380</v>
      </c>
      <c r="B256" t="s">
        <v>37</v>
      </c>
      <c r="C256" t="s">
        <v>134</v>
      </c>
      <c r="D256" t="s">
        <v>205</v>
      </c>
      <c r="E256" t="s">
        <v>205</v>
      </c>
    </row>
    <row r="257" spans="1:5" x14ac:dyDescent="0.35">
      <c r="A257" t="s">
        <v>380</v>
      </c>
      <c r="B257" t="s">
        <v>33</v>
      </c>
      <c r="C257" t="s">
        <v>135</v>
      </c>
      <c r="E257">
        <v>32</v>
      </c>
    </row>
    <row r="258" spans="1:5" x14ac:dyDescent="0.35">
      <c r="A258" t="s">
        <v>380</v>
      </c>
      <c r="B258" t="s">
        <v>36</v>
      </c>
      <c r="C258" t="s">
        <v>14</v>
      </c>
      <c r="D258">
        <v>70779</v>
      </c>
      <c r="E258">
        <v>98252</v>
      </c>
    </row>
    <row r="259" spans="1:5" x14ac:dyDescent="0.35">
      <c r="A259" t="s">
        <v>380</v>
      </c>
      <c r="B259" t="s">
        <v>37</v>
      </c>
      <c r="C259" t="s">
        <v>137</v>
      </c>
      <c r="D259">
        <v>21</v>
      </c>
      <c r="E259">
        <v>3</v>
      </c>
    </row>
    <row r="260" spans="1:5" x14ac:dyDescent="0.35">
      <c r="A260" t="s">
        <v>380</v>
      </c>
      <c r="B260" t="s">
        <v>35</v>
      </c>
      <c r="C260" t="s">
        <v>138</v>
      </c>
      <c r="D260">
        <v>4</v>
      </c>
      <c r="E260">
        <v>8</v>
      </c>
    </row>
    <row r="261" spans="1:5" x14ac:dyDescent="0.35">
      <c r="A261" t="s">
        <v>380</v>
      </c>
      <c r="B261" t="s">
        <v>34</v>
      </c>
      <c r="C261" t="s">
        <v>139</v>
      </c>
      <c r="D261" t="s">
        <v>205</v>
      </c>
      <c r="E261" t="s">
        <v>205</v>
      </c>
    </row>
    <row r="262" spans="1:5" x14ac:dyDescent="0.35">
      <c r="A262" t="s">
        <v>380</v>
      </c>
      <c r="B262" t="s">
        <v>35</v>
      </c>
      <c r="C262" t="s">
        <v>140</v>
      </c>
      <c r="D262" t="s">
        <v>206</v>
      </c>
      <c r="E262" t="s">
        <v>206</v>
      </c>
    </row>
    <row r="263" spans="1:5" x14ac:dyDescent="0.35">
      <c r="A263" t="s">
        <v>380</v>
      </c>
      <c r="B263" t="s">
        <v>33</v>
      </c>
      <c r="C263" t="s">
        <v>141</v>
      </c>
      <c r="D263">
        <v>35</v>
      </c>
      <c r="E263">
        <v>73</v>
      </c>
    </row>
    <row r="264" spans="1:5" x14ac:dyDescent="0.35">
      <c r="A264" t="s">
        <v>380</v>
      </c>
      <c r="B264" t="s">
        <v>34</v>
      </c>
      <c r="C264" t="s">
        <v>144</v>
      </c>
      <c r="D264">
        <v>8</v>
      </c>
      <c r="E264">
        <v>30</v>
      </c>
    </row>
    <row r="265" spans="1:5" x14ac:dyDescent="0.35">
      <c r="A265" t="s">
        <v>380</v>
      </c>
      <c r="B265" t="s">
        <v>35</v>
      </c>
      <c r="C265" t="s">
        <v>145</v>
      </c>
      <c r="D265">
        <v>65</v>
      </c>
      <c r="E265">
        <v>38</v>
      </c>
    </row>
    <row r="266" spans="1:5" x14ac:dyDescent="0.35">
      <c r="A266" t="s">
        <v>380</v>
      </c>
      <c r="B266" t="s">
        <v>37</v>
      </c>
      <c r="C266" t="s">
        <v>146</v>
      </c>
      <c r="D266">
        <v>13</v>
      </c>
      <c r="E266">
        <v>22</v>
      </c>
    </row>
    <row r="267" spans="1:5" x14ac:dyDescent="0.35">
      <c r="A267" t="s">
        <v>380</v>
      </c>
      <c r="B267" t="s">
        <v>36</v>
      </c>
      <c r="C267" t="s">
        <v>147</v>
      </c>
      <c r="D267">
        <v>356</v>
      </c>
      <c r="E267">
        <v>936</v>
      </c>
    </row>
    <row r="268" spans="1:5" x14ac:dyDescent="0.35">
      <c r="A268" t="s">
        <v>380</v>
      </c>
      <c r="B268" t="s">
        <v>33</v>
      </c>
      <c r="C268" t="s">
        <v>148</v>
      </c>
      <c r="D268">
        <v>8</v>
      </c>
      <c r="E268">
        <v>26</v>
      </c>
    </row>
    <row r="269" spans="1:5" x14ac:dyDescent="0.35">
      <c r="A269" t="s">
        <v>380</v>
      </c>
      <c r="B269" t="s">
        <v>33</v>
      </c>
      <c r="C269" t="s">
        <v>149</v>
      </c>
      <c r="D269">
        <v>232</v>
      </c>
      <c r="E269">
        <v>248</v>
      </c>
    </row>
    <row r="270" spans="1:5" x14ac:dyDescent="0.35">
      <c r="A270" t="s">
        <v>380</v>
      </c>
      <c r="B270" t="s">
        <v>35</v>
      </c>
      <c r="C270" t="s">
        <v>322</v>
      </c>
      <c r="D270" t="s">
        <v>205</v>
      </c>
      <c r="E270" t="s">
        <v>205</v>
      </c>
    </row>
    <row r="271" spans="1:5" x14ac:dyDescent="0.35">
      <c r="A271" t="s">
        <v>380</v>
      </c>
      <c r="B271" t="s">
        <v>35</v>
      </c>
      <c r="C271" t="s">
        <v>150</v>
      </c>
      <c r="D271">
        <v>3</v>
      </c>
      <c r="E271">
        <v>5</v>
      </c>
    </row>
    <row r="272" spans="1:5" x14ac:dyDescent="0.35">
      <c r="A272" t="s">
        <v>380</v>
      </c>
      <c r="B272" t="s">
        <v>34</v>
      </c>
      <c r="C272" t="s">
        <v>152</v>
      </c>
      <c r="D272">
        <v>104</v>
      </c>
      <c r="E272">
        <v>551</v>
      </c>
    </row>
    <row r="273" spans="1:5" x14ac:dyDescent="0.35">
      <c r="A273" t="s">
        <v>380</v>
      </c>
      <c r="B273" t="s">
        <v>37</v>
      </c>
      <c r="C273" t="s">
        <v>153</v>
      </c>
      <c r="D273">
        <v>6</v>
      </c>
    </row>
    <row r="274" spans="1:5" x14ac:dyDescent="0.35">
      <c r="A274" t="s">
        <v>380</v>
      </c>
      <c r="B274" t="s">
        <v>36</v>
      </c>
      <c r="C274" t="s">
        <v>154</v>
      </c>
      <c r="D274">
        <v>122</v>
      </c>
      <c r="E274">
        <v>65</v>
      </c>
    </row>
    <row r="275" spans="1:5" x14ac:dyDescent="0.35">
      <c r="A275" t="s">
        <v>380</v>
      </c>
      <c r="B275" t="s">
        <v>38</v>
      </c>
      <c r="C275" t="s">
        <v>155</v>
      </c>
      <c r="D275">
        <v>11</v>
      </c>
      <c r="E275">
        <v>46</v>
      </c>
    </row>
    <row r="276" spans="1:5" x14ac:dyDescent="0.35">
      <c r="A276" t="s">
        <v>380</v>
      </c>
      <c r="B276" t="s">
        <v>38</v>
      </c>
      <c r="C276" t="s">
        <v>156</v>
      </c>
      <c r="D276">
        <v>304</v>
      </c>
      <c r="E276">
        <v>916</v>
      </c>
    </row>
    <row r="277" spans="1:5" x14ac:dyDescent="0.35">
      <c r="A277" t="s">
        <v>380</v>
      </c>
      <c r="B277" t="s">
        <v>34</v>
      </c>
      <c r="C277" t="s">
        <v>18</v>
      </c>
      <c r="D277">
        <v>357</v>
      </c>
      <c r="E277">
        <v>398</v>
      </c>
    </row>
    <row r="278" spans="1:5" x14ac:dyDescent="0.35">
      <c r="A278" t="s">
        <v>380</v>
      </c>
      <c r="B278" t="s">
        <v>35</v>
      </c>
      <c r="C278" t="s">
        <v>157</v>
      </c>
      <c r="D278">
        <v>135</v>
      </c>
      <c r="E278">
        <v>314</v>
      </c>
    </row>
    <row r="279" spans="1:5" x14ac:dyDescent="0.35">
      <c r="A279" t="s">
        <v>380</v>
      </c>
      <c r="B279" t="s">
        <v>35</v>
      </c>
      <c r="C279" t="s">
        <v>158</v>
      </c>
      <c r="D279">
        <v>78</v>
      </c>
      <c r="E279">
        <v>45</v>
      </c>
    </row>
    <row r="280" spans="1:5" x14ac:dyDescent="0.35">
      <c r="A280" t="s">
        <v>380</v>
      </c>
      <c r="B280" t="s">
        <v>35</v>
      </c>
      <c r="C280" t="s">
        <v>160</v>
      </c>
      <c r="D280">
        <v>27</v>
      </c>
      <c r="E280">
        <v>106</v>
      </c>
    </row>
    <row r="281" spans="1:5" x14ac:dyDescent="0.35">
      <c r="A281" t="s">
        <v>380</v>
      </c>
      <c r="B281" t="s">
        <v>35</v>
      </c>
      <c r="C281" t="s">
        <v>161</v>
      </c>
      <c r="D281">
        <v>54</v>
      </c>
      <c r="E281">
        <v>135</v>
      </c>
    </row>
    <row r="282" spans="1:5" x14ac:dyDescent="0.35">
      <c r="A282" t="s">
        <v>380</v>
      </c>
      <c r="B282" t="s">
        <v>33</v>
      </c>
      <c r="C282" t="s">
        <v>162</v>
      </c>
      <c r="D282" t="s">
        <v>205</v>
      </c>
      <c r="E282" t="s">
        <v>205</v>
      </c>
    </row>
    <row r="283" spans="1:5" x14ac:dyDescent="0.35">
      <c r="A283" t="s">
        <v>380</v>
      </c>
      <c r="B283" t="s">
        <v>36</v>
      </c>
      <c r="C283" t="s">
        <v>163</v>
      </c>
      <c r="D283">
        <v>21</v>
      </c>
      <c r="E283">
        <v>3</v>
      </c>
    </row>
    <row r="284" spans="1:5" x14ac:dyDescent="0.35">
      <c r="A284" t="s">
        <v>380</v>
      </c>
      <c r="B284" t="s">
        <v>36</v>
      </c>
      <c r="C284" t="s">
        <v>164</v>
      </c>
      <c r="D284">
        <v>18</v>
      </c>
      <c r="E284">
        <v>32</v>
      </c>
    </row>
    <row r="285" spans="1:5" x14ac:dyDescent="0.35">
      <c r="A285" t="s">
        <v>380</v>
      </c>
      <c r="B285" t="s">
        <v>36</v>
      </c>
      <c r="C285" t="s">
        <v>165</v>
      </c>
      <c r="D285">
        <v>30</v>
      </c>
      <c r="E285">
        <v>14</v>
      </c>
    </row>
    <row r="286" spans="1:5" x14ac:dyDescent="0.35">
      <c r="A286" t="s">
        <v>380</v>
      </c>
      <c r="B286" t="s">
        <v>37</v>
      </c>
      <c r="C286" t="s">
        <v>166</v>
      </c>
      <c r="D286">
        <v>15</v>
      </c>
      <c r="E286">
        <v>6</v>
      </c>
    </row>
    <row r="287" spans="1:5" x14ac:dyDescent="0.35">
      <c r="A287" t="s">
        <v>380</v>
      </c>
      <c r="B287" t="s">
        <v>34</v>
      </c>
      <c r="C287" t="s">
        <v>167</v>
      </c>
      <c r="D287">
        <v>5</v>
      </c>
      <c r="E287">
        <v>15</v>
      </c>
    </row>
    <row r="288" spans="1:5" x14ac:dyDescent="0.35">
      <c r="A288" t="s">
        <v>380</v>
      </c>
      <c r="B288" t="s">
        <v>33</v>
      </c>
      <c r="C288" t="s">
        <v>168</v>
      </c>
      <c r="D288">
        <v>22</v>
      </c>
      <c r="E288">
        <v>69</v>
      </c>
    </row>
    <row r="289" spans="1:5" x14ac:dyDescent="0.35">
      <c r="A289" t="s">
        <v>380</v>
      </c>
      <c r="B289" t="s">
        <v>35</v>
      </c>
      <c r="C289" t="s">
        <v>169</v>
      </c>
      <c r="D289" t="s">
        <v>206</v>
      </c>
      <c r="E289" t="s">
        <v>206</v>
      </c>
    </row>
    <row r="290" spans="1:5" x14ac:dyDescent="0.35">
      <c r="A290" t="s">
        <v>380</v>
      </c>
      <c r="B290" t="s">
        <v>35</v>
      </c>
      <c r="C290" t="s">
        <v>215</v>
      </c>
      <c r="D290">
        <v>35</v>
      </c>
      <c r="E290">
        <v>110</v>
      </c>
    </row>
    <row r="291" spans="1:5" x14ac:dyDescent="0.35">
      <c r="A291" t="s">
        <v>380</v>
      </c>
      <c r="B291" t="s">
        <v>33</v>
      </c>
      <c r="C291" t="s">
        <v>170</v>
      </c>
      <c r="D291">
        <v>16</v>
      </c>
      <c r="E291">
        <v>44</v>
      </c>
    </row>
    <row r="292" spans="1:5" x14ac:dyDescent="0.35">
      <c r="A292" t="s">
        <v>380</v>
      </c>
      <c r="B292" t="s">
        <v>34</v>
      </c>
      <c r="C292" t="s">
        <v>171</v>
      </c>
      <c r="D292">
        <v>12</v>
      </c>
      <c r="E292">
        <v>18</v>
      </c>
    </row>
    <row r="293" spans="1:5" x14ac:dyDescent="0.35">
      <c r="A293" t="s">
        <v>380</v>
      </c>
      <c r="B293" t="s">
        <v>35</v>
      </c>
      <c r="C293" t="s">
        <v>172</v>
      </c>
      <c r="D293">
        <v>5</v>
      </c>
      <c r="E293">
        <v>32</v>
      </c>
    </row>
    <row r="294" spans="1:5" x14ac:dyDescent="0.35">
      <c r="A294" t="s">
        <v>380</v>
      </c>
      <c r="B294" t="s">
        <v>35</v>
      </c>
      <c r="C294" t="s">
        <v>173</v>
      </c>
      <c r="D294">
        <v>3</v>
      </c>
      <c r="E294">
        <v>5</v>
      </c>
    </row>
    <row r="295" spans="1:5" x14ac:dyDescent="0.35">
      <c r="A295" t="s">
        <v>380</v>
      </c>
      <c r="B295" t="s">
        <v>33</v>
      </c>
      <c r="C295" t="s">
        <v>174</v>
      </c>
      <c r="D295">
        <v>5</v>
      </c>
      <c r="E295">
        <v>35</v>
      </c>
    </row>
    <row r="296" spans="1:5" x14ac:dyDescent="0.35">
      <c r="A296" t="s">
        <v>380</v>
      </c>
      <c r="B296" t="s">
        <v>33</v>
      </c>
      <c r="C296" t="s">
        <v>175</v>
      </c>
      <c r="D296">
        <v>23</v>
      </c>
      <c r="E296">
        <v>50</v>
      </c>
    </row>
    <row r="297" spans="1:5" x14ac:dyDescent="0.35">
      <c r="A297" t="s">
        <v>380</v>
      </c>
      <c r="B297" t="s">
        <v>33</v>
      </c>
      <c r="C297" t="s">
        <v>176</v>
      </c>
      <c r="D297" t="s">
        <v>206</v>
      </c>
      <c r="E297" t="s">
        <v>206</v>
      </c>
    </row>
    <row r="298" spans="1:5" x14ac:dyDescent="0.35">
      <c r="A298" t="s">
        <v>380</v>
      </c>
      <c r="B298" t="s">
        <v>35</v>
      </c>
      <c r="C298" t="s">
        <v>216</v>
      </c>
      <c r="D298">
        <v>14</v>
      </c>
      <c r="E298">
        <v>8</v>
      </c>
    </row>
    <row r="299" spans="1:5" x14ac:dyDescent="0.35">
      <c r="A299" t="s">
        <v>380</v>
      </c>
      <c r="B299" t="s">
        <v>35</v>
      </c>
      <c r="C299" t="s">
        <v>177</v>
      </c>
      <c r="D299">
        <v>29</v>
      </c>
      <c r="E299">
        <v>37</v>
      </c>
    </row>
    <row r="300" spans="1:5" x14ac:dyDescent="0.35">
      <c r="A300" t="s">
        <v>380</v>
      </c>
      <c r="B300" t="s">
        <v>34</v>
      </c>
      <c r="C300" t="s">
        <v>178</v>
      </c>
      <c r="D300">
        <v>4</v>
      </c>
      <c r="E300">
        <v>81</v>
      </c>
    </row>
    <row r="301" spans="1:5" x14ac:dyDescent="0.35">
      <c r="A301" t="s">
        <v>380</v>
      </c>
      <c r="B301" t="s">
        <v>33</v>
      </c>
      <c r="C301" t="s">
        <v>179</v>
      </c>
      <c r="D301">
        <v>4</v>
      </c>
      <c r="E301">
        <v>13</v>
      </c>
    </row>
    <row r="302" spans="1:5" x14ac:dyDescent="0.35">
      <c r="A302" t="s">
        <v>380</v>
      </c>
      <c r="B302" t="s">
        <v>38</v>
      </c>
      <c r="C302" t="s">
        <v>180</v>
      </c>
      <c r="D302">
        <v>6</v>
      </c>
      <c r="E302">
        <v>18</v>
      </c>
    </row>
    <row r="303" spans="1:5" x14ac:dyDescent="0.35">
      <c r="A303" t="s">
        <v>380</v>
      </c>
      <c r="B303" t="s">
        <v>35</v>
      </c>
      <c r="C303" t="s">
        <v>182</v>
      </c>
      <c r="D303">
        <v>13</v>
      </c>
      <c r="E303">
        <v>21</v>
      </c>
    </row>
    <row r="304" spans="1:5" x14ac:dyDescent="0.35">
      <c r="A304" t="s">
        <v>380</v>
      </c>
      <c r="B304" t="s">
        <v>35</v>
      </c>
      <c r="C304" t="s">
        <v>183</v>
      </c>
      <c r="D304">
        <v>5</v>
      </c>
      <c r="E304">
        <v>12</v>
      </c>
    </row>
    <row r="305" spans="1:5" x14ac:dyDescent="0.35">
      <c r="A305" t="s">
        <v>380</v>
      </c>
      <c r="B305" t="s">
        <v>34</v>
      </c>
      <c r="C305" t="s">
        <v>184</v>
      </c>
      <c r="D305">
        <v>15</v>
      </c>
      <c r="E305">
        <v>44</v>
      </c>
    </row>
    <row r="306" spans="1:5" x14ac:dyDescent="0.35">
      <c r="A306" t="s">
        <v>380</v>
      </c>
      <c r="B306" t="s">
        <v>34</v>
      </c>
      <c r="C306" t="s">
        <v>185</v>
      </c>
      <c r="D306">
        <v>18</v>
      </c>
      <c r="E306">
        <v>50</v>
      </c>
    </row>
    <row r="307" spans="1:5" x14ac:dyDescent="0.35">
      <c r="A307" t="s">
        <v>380</v>
      </c>
      <c r="B307" t="s">
        <v>34</v>
      </c>
      <c r="C307" t="s">
        <v>186</v>
      </c>
      <c r="D307" t="s">
        <v>205</v>
      </c>
      <c r="E307" t="s">
        <v>205</v>
      </c>
    </row>
    <row r="308" spans="1:5" x14ac:dyDescent="0.35">
      <c r="A308" t="s">
        <v>380</v>
      </c>
      <c r="B308" t="s">
        <v>33</v>
      </c>
      <c r="C308" t="s">
        <v>187</v>
      </c>
      <c r="D308">
        <v>5</v>
      </c>
      <c r="E308">
        <v>13</v>
      </c>
    </row>
    <row r="309" spans="1:5" x14ac:dyDescent="0.35">
      <c r="A309" t="s">
        <v>380</v>
      </c>
      <c r="B309" t="s">
        <v>34</v>
      </c>
      <c r="C309" t="s">
        <v>188</v>
      </c>
      <c r="D309">
        <v>31</v>
      </c>
      <c r="E309">
        <v>44</v>
      </c>
    </row>
    <row r="310" spans="1:5" x14ac:dyDescent="0.35">
      <c r="A310" t="s">
        <v>380</v>
      </c>
      <c r="B310" t="s">
        <v>33</v>
      </c>
      <c r="C310" t="s">
        <v>189</v>
      </c>
      <c r="D310">
        <v>4</v>
      </c>
      <c r="E310">
        <v>23</v>
      </c>
    </row>
    <row r="311" spans="1:5" x14ac:dyDescent="0.35">
      <c r="A311" t="s">
        <v>380</v>
      </c>
      <c r="B311" t="s">
        <v>37</v>
      </c>
      <c r="C311" t="s">
        <v>190</v>
      </c>
      <c r="D311">
        <v>34</v>
      </c>
      <c r="E311">
        <v>7</v>
      </c>
    </row>
    <row r="312" spans="1:5" x14ac:dyDescent="0.35">
      <c r="A312" t="s">
        <v>380</v>
      </c>
      <c r="B312" t="s">
        <v>36</v>
      </c>
      <c r="C312" t="s">
        <v>191</v>
      </c>
      <c r="D312">
        <v>307</v>
      </c>
      <c r="E312">
        <v>148</v>
      </c>
    </row>
    <row r="313" spans="1:5" x14ac:dyDescent="0.35">
      <c r="A313" t="s">
        <v>380</v>
      </c>
      <c r="B313" t="s">
        <v>33</v>
      </c>
      <c r="C313" t="s">
        <v>192</v>
      </c>
      <c r="D313">
        <v>12</v>
      </c>
      <c r="E313">
        <v>27</v>
      </c>
    </row>
    <row r="314" spans="1:5" x14ac:dyDescent="0.35">
      <c r="A314" t="s">
        <v>380</v>
      </c>
      <c r="B314" t="s">
        <v>34</v>
      </c>
      <c r="C314" t="s">
        <v>193</v>
      </c>
      <c r="D314">
        <v>26</v>
      </c>
      <c r="E314">
        <v>158</v>
      </c>
    </row>
    <row r="315" spans="1:5" x14ac:dyDescent="0.35">
      <c r="A315" t="s">
        <v>380</v>
      </c>
      <c r="B315" t="s">
        <v>36</v>
      </c>
      <c r="C315" t="s">
        <v>372</v>
      </c>
      <c r="E315">
        <v>3</v>
      </c>
    </row>
    <row r="316" spans="1:5" x14ac:dyDescent="0.35">
      <c r="A316" t="s">
        <v>380</v>
      </c>
      <c r="B316" t="s">
        <v>33</v>
      </c>
      <c r="C316" t="s">
        <v>195</v>
      </c>
      <c r="D316">
        <v>5</v>
      </c>
      <c r="E316">
        <v>19</v>
      </c>
    </row>
    <row r="317" spans="1:5" x14ac:dyDescent="0.35">
      <c r="A317" t="s">
        <v>380</v>
      </c>
      <c r="B317" t="s">
        <v>35</v>
      </c>
      <c r="C317" t="s">
        <v>196</v>
      </c>
      <c r="D317">
        <v>47</v>
      </c>
      <c r="E317">
        <v>121</v>
      </c>
    </row>
    <row r="318" spans="1:5" x14ac:dyDescent="0.35">
      <c r="A318" t="s">
        <v>380</v>
      </c>
      <c r="B318" t="s">
        <v>34</v>
      </c>
      <c r="C318" t="s">
        <v>197</v>
      </c>
      <c r="E318" t="s">
        <v>205</v>
      </c>
    </row>
    <row r="319" spans="1:5" x14ac:dyDescent="0.35">
      <c r="A319" t="s">
        <v>380</v>
      </c>
      <c r="B319" t="s">
        <v>35</v>
      </c>
      <c r="C319" t="s">
        <v>198</v>
      </c>
      <c r="D319">
        <v>218</v>
      </c>
      <c r="E319">
        <v>213</v>
      </c>
    </row>
    <row r="320" spans="1:5" x14ac:dyDescent="0.35">
      <c r="A320" t="s">
        <v>380</v>
      </c>
      <c r="B320" t="s">
        <v>39</v>
      </c>
      <c r="C320" t="s">
        <v>39</v>
      </c>
      <c r="D320" t="s">
        <v>205</v>
      </c>
      <c r="E320" t="s">
        <v>205</v>
      </c>
    </row>
    <row r="321" spans="1:5" x14ac:dyDescent="0.35">
      <c r="A321" t="s">
        <v>380</v>
      </c>
      <c r="B321" t="s">
        <v>38</v>
      </c>
      <c r="C321" t="s">
        <v>199</v>
      </c>
      <c r="D321">
        <v>23</v>
      </c>
      <c r="E321">
        <v>134</v>
      </c>
    </row>
    <row r="322" spans="1:5" x14ac:dyDescent="0.35">
      <c r="A322" t="s">
        <v>380</v>
      </c>
      <c r="B322" t="s">
        <v>34</v>
      </c>
      <c r="C322" t="s">
        <v>200</v>
      </c>
      <c r="D322">
        <v>8</v>
      </c>
      <c r="E322">
        <v>48</v>
      </c>
    </row>
    <row r="323" spans="1:5" x14ac:dyDescent="0.35">
      <c r="A323" t="s">
        <v>380</v>
      </c>
      <c r="B323" t="s">
        <v>38</v>
      </c>
      <c r="C323" t="s">
        <v>19</v>
      </c>
      <c r="D323">
        <v>144</v>
      </c>
      <c r="E323">
        <v>254</v>
      </c>
    </row>
    <row r="324" spans="1:5" x14ac:dyDescent="0.35">
      <c r="A324" t="s">
        <v>380</v>
      </c>
      <c r="B324" t="s">
        <v>34</v>
      </c>
      <c r="C324" t="s">
        <v>201</v>
      </c>
      <c r="D324">
        <v>11</v>
      </c>
      <c r="E324">
        <v>16</v>
      </c>
    </row>
    <row r="325" spans="1:5" x14ac:dyDescent="0.35">
      <c r="A325" t="s">
        <v>380</v>
      </c>
      <c r="B325" t="s">
        <v>34</v>
      </c>
      <c r="C325" t="s">
        <v>202</v>
      </c>
      <c r="D325">
        <v>23</v>
      </c>
      <c r="E325">
        <v>53</v>
      </c>
    </row>
    <row r="326" spans="1:5" x14ac:dyDescent="0.35">
      <c r="A326" t="s">
        <v>380</v>
      </c>
      <c r="B326" t="s">
        <v>33</v>
      </c>
      <c r="C326" t="s">
        <v>203</v>
      </c>
      <c r="D326">
        <v>6</v>
      </c>
      <c r="E326">
        <v>10</v>
      </c>
    </row>
    <row r="327" spans="1:5" x14ac:dyDescent="0.35">
      <c r="A327" t="s">
        <v>380</v>
      </c>
      <c r="B327" t="s">
        <v>33</v>
      </c>
      <c r="C327" t="s">
        <v>204</v>
      </c>
      <c r="D327">
        <v>5</v>
      </c>
      <c r="E327">
        <v>29</v>
      </c>
    </row>
    <row r="328" spans="1:5" x14ac:dyDescent="0.35">
      <c r="A328" t="s">
        <v>381</v>
      </c>
      <c r="B328" t="s">
        <v>34</v>
      </c>
      <c r="C328" t="s">
        <v>40</v>
      </c>
      <c r="D328">
        <v>12</v>
      </c>
      <c r="E328">
        <v>8</v>
      </c>
    </row>
    <row r="329" spans="1:5" x14ac:dyDescent="0.35">
      <c r="A329" t="s">
        <v>381</v>
      </c>
      <c r="B329" t="s">
        <v>35</v>
      </c>
      <c r="C329" t="s">
        <v>41</v>
      </c>
      <c r="D329">
        <v>32</v>
      </c>
      <c r="E329">
        <v>220</v>
      </c>
    </row>
    <row r="330" spans="1:5" x14ac:dyDescent="0.35">
      <c r="A330" t="s">
        <v>381</v>
      </c>
      <c r="B330" t="s">
        <v>33</v>
      </c>
      <c r="C330" t="s">
        <v>42</v>
      </c>
      <c r="D330">
        <v>18</v>
      </c>
      <c r="E330">
        <v>23</v>
      </c>
    </row>
    <row r="331" spans="1:5" x14ac:dyDescent="0.35">
      <c r="A331" t="s">
        <v>381</v>
      </c>
      <c r="C331" t="s">
        <v>373</v>
      </c>
      <c r="D331">
        <v>10</v>
      </c>
      <c r="E331">
        <v>46</v>
      </c>
    </row>
    <row r="332" spans="1:5" x14ac:dyDescent="0.35">
      <c r="A332" t="s">
        <v>381</v>
      </c>
      <c r="B332" t="s">
        <v>33</v>
      </c>
      <c r="C332" t="s">
        <v>43</v>
      </c>
      <c r="D332" t="s">
        <v>205</v>
      </c>
      <c r="E332" t="s">
        <v>205</v>
      </c>
    </row>
    <row r="333" spans="1:5" x14ac:dyDescent="0.35">
      <c r="A333" t="s">
        <v>381</v>
      </c>
      <c r="B333" t="s">
        <v>36</v>
      </c>
      <c r="C333" t="s">
        <v>44</v>
      </c>
      <c r="D333">
        <v>33</v>
      </c>
      <c r="E333">
        <v>7</v>
      </c>
    </row>
    <row r="334" spans="1:5" x14ac:dyDescent="0.35">
      <c r="A334" t="s">
        <v>381</v>
      </c>
      <c r="B334" t="s">
        <v>38</v>
      </c>
      <c r="C334" t="s">
        <v>45</v>
      </c>
      <c r="D334">
        <v>88</v>
      </c>
      <c r="E334">
        <v>369</v>
      </c>
    </row>
    <row r="335" spans="1:5" x14ac:dyDescent="0.35">
      <c r="A335" t="s">
        <v>381</v>
      </c>
      <c r="B335" t="s">
        <v>34</v>
      </c>
      <c r="C335" t="s">
        <v>46</v>
      </c>
      <c r="D335">
        <v>27</v>
      </c>
      <c r="E335">
        <v>70</v>
      </c>
    </row>
    <row r="336" spans="1:5" x14ac:dyDescent="0.35">
      <c r="A336" t="s">
        <v>381</v>
      </c>
      <c r="B336" t="s">
        <v>37</v>
      </c>
      <c r="C336" t="s">
        <v>47</v>
      </c>
      <c r="D336">
        <v>20</v>
      </c>
      <c r="E336">
        <v>34</v>
      </c>
    </row>
    <row r="337" spans="1:5" x14ac:dyDescent="0.35">
      <c r="A337" t="s">
        <v>381</v>
      </c>
      <c r="B337" t="s">
        <v>35</v>
      </c>
      <c r="C337" t="s">
        <v>48</v>
      </c>
      <c r="D337" t="s">
        <v>205</v>
      </c>
      <c r="E337" t="s">
        <v>205</v>
      </c>
    </row>
    <row r="338" spans="1:5" x14ac:dyDescent="0.35">
      <c r="A338" t="s">
        <v>381</v>
      </c>
      <c r="B338" t="s">
        <v>34</v>
      </c>
      <c r="C338" t="s">
        <v>49</v>
      </c>
      <c r="D338" t="s">
        <v>205</v>
      </c>
      <c r="E338" t="s">
        <v>205</v>
      </c>
    </row>
    <row r="339" spans="1:5" x14ac:dyDescent="0.35">
      <c r="A339" t="s">
        <v>381</v>
      </c>
      <c r="B339" t="s">
        <v>36</v>
      </c>
      <c r="C339" t="s">
        <v>50</v>
      </c>
      <c r="D339">
        <v>68</v>
      </c>
      <c r="E339">
        <v>23</v>
      </c>
    </row>
    <row r="340" spans="1:5" x14ac:dyDescent="0.35">
      <c r="A340" t="s">
        <v>381</v>
      </c>
      <c r="B340" t="s">
        <v>34</v>
      </c>
      <c r="C340" t="s">
        <v>52</v>
      </c>
      <c r="D340">
        <v>22</v>
      </c>
      <c r="E340">
        <v>129</v>
      </c>
    </row>
    <row r="341" spans="1:5" x14ac:dyDescent="0.35">
      <c r="A341" t="s">
        <v>381</v>
      </c>
      <c r="B341" t="s">
        <v>36</v>
      </c>
      <c r="C341" t="s">
        <v>53</v>
      </c>
      <c r="D341">
        <v>41</v>
      </c>
      <c r="E341">
        <v>5</v>
      </c>
    </row>
    <row r="342" spans="1:5" x14ac:dyDescent="0.35">
      <c r="A342" t="s">
        <v>381</v>
      </c>
      <c r="B342" t="s">
        <v>35</v>
      </c>
      <c r="C342" t="s">
        <v>54</v>
      </c>
      <c r="D342">
        <v>7</v>
      </c>
      <c r="E342">
        <v>17</v>
      </c>
    </row>
    <row r="343" spans="1:5" x14ac:dyDescent="0.35">
      <c r="A343" t="s">
        <v>381</v>
      </c>
      <c r="B343" t="s">
        <v>35</v>
      </c>
      <c r="C343" t="s">
        <v>55</v>
      </c>
      <c r="D343">
        <v>4</v>
      </c>
      <c r="E343">
        <v>10</v>
      </c>
    </row>
    <row r="344" spans="1:5" x14ac:dyDescent="0.35">
      <c r="A344" t="s">
        <v>381</v>
      </c>
      <c r="B344" t="s">
        <v>36</v>
      </c>
      <c r="C344" t="s">
        <v>56</v>
      </c>
      <c r="D344">
        <v>112</v>
      </c>
      <c r="E344">
        <v>99</v>
      </c>
    </row>
    <row r="345" spans="1:5" x14ac:dyDescent="0.35">
      <c r="A345" t="s">
        <v>381</v>
      </c>
      <c r="B345" t="s">
        <v>33</v>
      </c>
      <c r="C345" t="s">
        <v>57</v>
      </c>
      <c r="D345">
        <v>4</v>
      </c>
      <c r="E345">
        <v>7</v>
      </c>
    </row>
    <row r="346" spans="1:5" x14ac:dyDescent="0.35">
      <c r="A346" t="s">
        <v>381</v>
      </c>
      <c r="B346" t="s">
        <v>36</v>
      </c>
      <c r="C346" t="s">
        <v>363</v>
      </c>
      <c r="E346" t="s">
        <v>205</v>
      </c>
    </row>
    <row r="347" spans="1:5" x14ac:dyDescent="0.35">
      <c r="A347" t="s">
        <v>381</v>
      </c>
      <c r="B347" t="s">
        <v>38</v>
      </c>
      <c r="C347" t="s">
        <v>59</v>
      </c>
      <c r="D347">
        <v>61</v>
      </c>
      <c r="E347">
        <v>291</v>
      </c>
    </row>
    <row r="348" spans="1:5" x14ac:dyDescent="0.35">
      <c r="A348" t="s">
        <v>381</v>
      </c>
      <c r="B348" t="s">
        <v>35</v>
      </c>
      <c r="C348" t="s">
        <v>60</v>
      </c>
      <c r="D348">
        <v>28</v>
      </c>
      <c r="E348">
        <v>14</v>
      </c>
    </row>
    <row r="349" spans="1:5" x14ac:dyDescent="0.35">
      <c r="A349" t="s">
        <v>381</v>
      </c>
      <c r="B349" t="s">
        <v>38</v>
      </c>
      <c r="C349" t="s">
        <v>21</v>
      </c>
      <c r="D349">
        <v>563</v>
      </c>
      <c r="E349">
        <v>3654</v>
      </c>
    </row>
    <row r="350" spans="1:5" x14ac:dyDescent="0.35">
      <c r="A350" t="s">
        <v>381</v>
      </c>
      <c r="B350" t="s">
        <v>35</v>
      </c>
      <c r="C350" t="s">
        <v>62</v>
      </c>
      <c r="D350">
        <v>10</v>
      </c>
      <c r="E350">
        <v>54</v>
      </c>
    </row>
    <row r="351" spans="1:5" x14ac:dyDescent="0.35">
      <c r="A351" t="s">
        <v>381</v>
      </c>
      <c r="B351" t="s">
        <v>33</v>
      </c>
      <c r="C351" t="s">
        <v>63</v>
      </c>
      <c r="D351">
        <v>3</v>
      </c>
      <c r="E351">
        <v>14</v>
      </c>
    </row>
    <row r="352" spans="1:5" x14ac:dyDescent="0.35">
      <c r="A352" t="s">
        <v>381</v>
      </c>
      <c r="B352" t="s">
        <v>34</v>
      </c>
      <c r="C352" t="s">
        <v>64</v>
      </c>
      <c r="E352">
        <v>14</v>
      </c>
    </row>
    <row r="353" spans="1:5" x14ac:dyDescent="0.35">
      <c r="A353" t="s">
        <v>381</v>
      </c>
      <c r="B353" t="s">
        <v>33</v>
      </c>
      <c r="C353" t="s">
        <v>66</v>
      </c>
      <c r="D353">
        <v>30</v>
      </c>
      <c r="E353">
        <v>7</v>
      </c>
    </row>
    <row r="354" spans="1:5" x14ac:dyDescent="0.35">
      <c r="A354" t="s">
        <v>381</v>
      </c>
      <c r="B354" t="s">
        <v>34</v>
      </c>
      <c r="C354" t="s">
        <v>67</v>
      </c>
      <c r="D354">
        <v>11</v>
      </c>
      <c r="E354">
        <v>16</v>
      </c>
    </row>
    <row r="355" spans="1:5" x14ac:dyDescent="0.35">
      <c r="A355" t="s">
        <v>381</v>
      </c>
      <c r="B355" t="s">
        <v>33</v>
      </c>
      <c r="C355" t="s">
        <v>68</v>
      </c>
      <c r="D355">
        <v>11</v>
      </c>
      <c r="E355">
        <v>49</v>
      </c>
    </row>
    <row r="356" spans="1:5" x14ac:dyDescent="0.35">
      <c r="A356" t="s">
        <v>381</v>
      </c>
      <c r="B356" t="s">
        <v>36</v>
      </c>
      <c r="C356" t="s">
        <v>69</v>
      </c>
      <c r="D356">
        <v>423</v>
      </c>
      <c r="E356">
        <v>990</v>
      </c>
    </row>
    <row r="357" spans="1:5" x14ac:dyDescent="0.35">
      <c r="A357" t="s">
        <v>381</v>
      </c>
      <c r="B357" t="s">
        <v>33</v>
      </c>
      <c r="C357" t="s">
        <v>71</v>
      </c>
      <c r="D357" t="s">
        <v>205</v>
      </c>
    </row>
    <row r="358" spans="1:5" x14ac:dyDescent="0.35">
      <c r="A358" t="s">
        <v>381</v>
      </c>
      <c r="B358" t="s">
        <v>38</v>
      </c>
      <c r="C358" t="s">
        <v>72</v>
      </c>
      <c r="D358">
        <v>60</v>
      </c>
      <c r="E358">
        <v>185</v>
      </c>
    </row>
    <row r="359" spans="1:5" x14ac:dyDescent="0.35">
      <c r="A359" t="s">
        <v>381</v>
      </c>
      <c r="B359" t="s">
        <v>34</v>
      </c>
      <c r="C359" t="s">
        <v>73</v>
      </c>
      <c r="D359">
        <v>132</v>
      </c>
      <c r="E359">
        <v>1230</v>
      </c>
    </row>
    <row r="360" spans="1:5" x14ac:dyDescent="0.35">
      <c r="A360" t="s">
        <v>381</v>
      </c>
      <c r="B360" t="s">
        <v>38</v>
      </c>
      <c r="C360" t="s">
        <v>20</v>
      </c>
      <c r="D360">
        <v>1307</v>
      </c>
      <c r="E360">
        <v>1481</v>
      </c>
    </row>
    <row r="361" spans="1:5" x14ac:dyDescent="0.35">
      <c r="A361" t="s">
        <v>381</v>
      </c>
      <c r="B361" t="s">
        <v>33</v>
      </c>
      <c r="C361" t="s">
        <v>74</v>
      </c>
      <c r="D361">
        <v>7</v>
      </c>
      <c r="E361">
        <v>16</v>
      </c>
    </row>
    <row r="362" spans="1:5" x14ac:dyDescent="0.35">
      <c r="A362" t="s">
        <v>381</v>
      </c>
      <c r="B362" t="s">
        <v>33</v>
      </c>
      <c r="C362" t="s">
        <v>75</v>
      </c>
      <c r="D362">
        <v>3</v>
      </c>
      <c r="E362">
        <v>23</v>
      </c>
    </row>
    <row r="363" spans="1:5" x14ac:dyDescent="0.35">
      <c r="A363" t="s">
        <v>381</v>
      </c>
      <c r="B363" t="s">
        <v>36</v>
      </c>
      <c r="C363" t="s">
        <v>76</v>
      </c>
      <c r="D363">
        <v>100</v>
      </c>
      <c r="E363">
        <v>695</v>
      </c>
    </row>
    <row r="364" spans="1:5" x14ac:dyDescent="0.35">
      <c r="A364" t="s">
        <v>381</v>
      </c>
      <c r="B364" t="s">
        <v>33</v>
      </c>
      <c r="C364" t="s">
        <v>77</v>
      </c>
      <c r="D364">
        <v>8</v>
      </c>
      <c r="E364">
        <v>33</v>
      </c>
    </row>
    <row r="365" spans="1:5" x14ac:dyDescent="0.35">
      <c r="A365" t="s">
        <v>381</v>
      </c>
      <c r="B365" t="s">
        <v>35</v>
      </c>
      <c r="C365" t="s">
        <v>78</v>
      </c>
      <c r="D365">
        <v>5</v>
      </c>
      <c r="E365">
        <v>10</v>
      </c>
    </row>
    <row r="366" spans="1:5" x14ac:dyDescent="0.35">
      <c r="A366" t="s">
        <v>381</v>
      </c>
      <c r="B366" t="s">
        <v>36</v>
      </c>
      <c r="C366" t="s">
        <v>79</v>
      </c>
      <c r="D366">
        <v>39</v>
      </c>
      <c r="E366">
        <v>85</v>
      </c>
    </row>
    <row r="367" spans="1:5" x14ac:dyDescent="0.35">
      <c r="A367" t="s">
        <v>381</v>
      </c>
      <c r="B367" t="s">
        <v>35</v>
      </c>
      <c r="C367" t="s">
        <v>81</v>
      </c>
      <c r="D367" t="s">
        <v>205</v>
      </c>
      <c r="E367" t="s">
        <v>205</v>
      </c>
    </row>
    <row r="368" spans="1:5" x14ac:dyDescent="0.35">
      <c r="A368" t="s">
        <v>381</v>
      </c>
      <c r="B368" t="s">
        <v>35</v>
      </c>
      <c r="C368" t="s">
        <v>214</v>
      </c>
      <c r="D368">
        <v>16</v>
      </c>
      <c r="E368">
        <v>52</v>
      </c>
    </row>
    <row r="369" spans="1:5" x14ac:dyDescent="0.35">
      <c r="A369" t="s">
        <v>381</v>
      </c>
      <c r="B369" t="s">
        <v>35</v>
      </c>
      <c r="C369" t="s">
        <v>82</v>
      </c>
      <c r="D369" t="s">
        <v>205</v>
      </c>
      <c r="E369" t="s">
        <v>205</v>
      </c>
    </row>
    <row r="370" spans="1:5" x14ac:dyDescent="0.35">
      <c r="A370" t="s">
        <v>381</v>
      </c>
      <c r="B370" t="s">
        <v>36</v>
      </c>
      <c r="C370" t="s">
        <v>84</v>
      </c>
      <c r="D370">
        <v>14</v>
      </c>
      <c r="E370">
        <v>14</v>
      </c>
    </row>
    <row r="371" spans="1:5" x14ac:dyDescent="0.35">
      <c r="A371" t="s">
        <v>381</v>
      </c>
      <c r="B371" t="s">
        <v>36</v>
      </c>
      <c r="C371" t="s">
        <v>85</v>
      </c>
      <c r="D371">
        <v>2206</v>
      </c>
      <c r="E371">
        <v>901</v>
      </c>
    </row>
    <row r="372" spans="1:5" x14ac:dyDescent="0.35">
      <c r="A372" t="s">
        <v>381</v>
      </c>
      <c r="B372" t="s">
        <v>38</v>
      </c>
      <c r="C372" t="s">
        <v>86</v>
      </c>
      <c r="D372">
        <v>470</v>
      </c>
      <c r="E372">
        <v>1280</v>
      </c>
    </row>
    <row r="373" spans="1:5" x14ac:dyDescent="0.35">
      <c r="A373" t="s">
        <v>381</v>
      </c>
      <c r="B373" t="s">
        <v>33</v>
      </c>
      <c r="C373" t="s">
        <v>87</v>
      </c>
      <c r="D373">
        <v>30</v>
      </c>
      <c r="E373">
        <v>142</v>
      </c>
    </row>
    <row r="374" spans="1:5" x14ac:dyDescent="0.35">
      <c r="A374" t="s">
        <v>381</v>
      </c>
      <c r="B374" t="s">
        <v>36</v>
      </c>
      <c r="C374" t="s">
        <v>16</v>
      </c>
      <c r="D374">
        <v>3850</v>
      </c>
      <c r="E374">
        <v>7200</v>
      </c>
    </row>
    <row r="375" spans="1:5" x14ac:dyDescent="0.35">
      <c r="A375" t="s">
        <v>381</v>
      </c>
      <c r="B375" t="s">
        <v>33</v>
      </c>
      <c r="C375" t="s">
        <v>89</v>
      </c>
      <c r="D375">
        <v>3</v>
      </c>
      <c r="E375">
        <v>7</v>
      </c>
    </row>
    <row r="376" spans="1:5" x14ac:dyDescent="0.35">
      <c r="A376" t="s">
        <v>381</v>
      </c>
      <c r="B376" t="s">
        <v>35</v>
      </c>
      <c r="C376" t="s">
        <v>90</v>
      </c>
      <c r="D376">
        <v>4</v>
      </c>
      <c r="E376">
        <v>19</v>
      </c>
    </row>
    <row r="377" spans="1:5" x14ac:dyDescent="0.35">
      <c r="A377" t="s">
        <v>381</v>
      </c>
      <c r="B377" t="s">
        <v>33</v>
      </c>
      <c r="C377" t="s">
        <v>91</v>
      </c>
      <c r="D377">
        <v>48</v>
      </c>
      <c r="E377">
        <v>57</v>
      </c>
    </row>
    <row r="378" spans="1:5" x14ac:dyDescent="0.35">
      <c r="A378" t="s">
        <v>381</v>
      </c>
      <c r="B378" t="s">
        <v>37</v>
      </c>
      <c r="C378" t="s">
        <v>92</v>
      </c>
      <c r="D378">
        <v>19</v>
      </c>
      <c r="E378">
        <v>28</v>
      </c>
    </row>
    <row r="379" spans="1:5" x14ac:dyDescent="0.35">
      <c r="A379" t="s">
        <v>381</v>
      </c>
      <c r="B379" t="s">
        <v>35</v>
      </c>
      <c r="C379" t="s">
        <v>93</v>
      </c>
      <c r="D379" t="s">
        <v>205</v>
      </c>
      <c r="E379" t="s">
        <v>205</v>
      </c>
    </row>
    <row r="380" spans="1:5" x14ac:dyDescent="0.35">
      <c r="A380" t="s">
        <v>381</v>
      </c>
      <c r="B380" t="s">
        <v>35</v>
      </c>
      <c r="C380" t="s">
        <v>94</v>
      </c>
      <c r="D380">
        <v>35</v>
      </c>
      <c r="E380">
        <v>89</v>
      </c>
    </row>
    <row r="381" spans="1:5" x14ac:dyDescent="0.35">
      <c r="A381" t="s">
        <v>381</v>
      </c>
      <c r="B381" t="s">
        <v>33</v>
      </c>
      <c r="C381" t="s">
        <v>95</v>
      </c>
      <c r="D381" t="s">
        <v>205</v>
      </c>
    </row>
    <row r="382" spans="1:5" x14ac:dyDescent="0.35">
      <c r="A382" t="s">
        <v>381</v>
      </c>
      <c r="B382" t="s">
        <v>33</v>
      </c>
      <c r="C382" t="s">
        <v>96</v>
      </c>
      <c r="D382">
        <v>7</v>
      </c>
      <c r="E382">
        <v>36</v>
      </c>
    </row>
    <row r="383" spans="1:5" x14ac:dyDescent="0.35">
      <c r="A383" t="s">
        <v>381</v>
      </c>
      <c r="B383" t="s">
        <v>34</v>
      </c>
      <c r="C383" t="s">
        <v>8</v>
      </c>
      <c r="D383">
        <v>7</v>
      </c>
      <c r="E383">
        <v>35</v>
      </c>
    </row>
    <row r="384" spans="1:5" x14ac:dyDescent="0.35">
      <c r="A384" t="s">
        <v>381</v>
      </c>
      <c r="B384" t="s">
        <v>35</v>
      </c>
      <c r="C384" t="s">
        <v>97</v>
      </c>
      <c r="D384">
        <v>61</v>
      </c>
      <c r="E384">
        <v>97</v>
      </c>
    </row>
    <row r="385" spans="1:5" x14ac:dyDescent="0.35">
      <c r="A385" t="s">
        <v>381</v>
      </c>
      <c r="B385" t="s">
        <v>33</v>
      </c>
      <c r="C385" t="s">
        <v>98</v>
      </c>
      <c r="D385">
        <v>69</v>
      </c>
      <c r="E385">
        <v>118</v>
      </c>
    </row>
    <row r="386" spans="1:5" x14ac:dyDescent="0.35">
      <c r="A386" t="s">
        <v>381</v>
      </c>
      <c r="B386" t="s">
        <v>35</v>
      </c>
      <c r="C386" t="s">
        <v>99</v>
      </c>
      <c r="D386">
        <v>19</v>
      </c>
      <c r="E386">
        <v>16</v>
      </c>
    </row>
    <row r="387" spans="1:5" x14ac:dyDescent="0.35">
      <c r="A387" t="s">
        <v>381</v>
      </c>
      <c r="B387" t="s">
        <v>36</v>
      </c>
      <c r="C387" t="s">
        <v>100</v>
      </c>
      <c r="D387">
        <v>20</v>
      </c>
      <c r="E387">
        <v>7</v>
      </c>
    </row>
    <row r="388" spans="1:5" x14ac:dyDescent="0.35">
      <c r="A388" t="s">
        <v>381</v>
      </c>
      <c r="B388" t="s">
        <v>36</v>
      </c>
      <c r="C388" t="s">
        <v>15</v>
      </c>
      <c r="D388">
        <v>3850</v>
      </c>
      <c r="E388">
        <v>16677</v>
      </c>
    </row>
    <row r="389" spans="1:5" x14ac:dyDescent="0.35">
      <c r="A389" t="s">
        <v>381</v>
      </c>
      <c r="B389" t="s">
        <v>33</v>
      </c>
      <c r="C389" t="s">
        <v>101</v>
      </c>
      <c r="D389">
        <v>18</v>
      </c>
      <c r="E389">
        <v>60</v>
      </c>
    </row>
    <row r="390" spans="1:5" x14ac:dyDescent="0.35">
      <c r="A390" t="s">
        <v>381</v>
      </c>
      <c r="B390" t="s">
        <v>38</v>
      </c>
      <c r="C390" t="s">
        <v>103</v>
      </c>
      <c r="D390">
        <v>174</v>
      </c>
      <c r="E390">
        <v>115</v>
      </c>
    </row>
    <row r="391" spans="1:5" x14ac:dyDescent="0.35">
      <c r="A391" t="s">
        <v>381</v>
      </c>
      <c r="B391" t="s">
        <v>36</v>
      </c>
      <c r="C391" t="s">
        <v>104</v>
      </c>
      <c r="D391">
        <v>290</v>
      </c>
      <c r="E391">
        <v>617</v>
      </c>
    </row>
    <row r="392" spans="1:5" x14ac:dyDescent="0.35">
      <c r="A392" t="s">
        <v>381</v>
      </c>
      <c r="B392" t="s">
        <v>36</v>
      </c>
      <c r="C392" t="s">
        <v>17</v>
      </c>
      <c r="D392">
        <v>5752</v>
      </c>
      <c r="E392">
        <v>21308</v>
      </c>
    </row>
    <row r="393" spans="1:5" x14ac:dyDescent="0.35">
      <c r="A393" t="s">
        <v>381</v>
      </c>
      <c r="B393" t="s">
        <v>34</v>
      </c>
      <c r="C393" t="s">
        <v>368</v>
      </c>
      <c r="D393">
        <v>8</v>
      </c>
      <c r="E393">
        <v>7</v>
      </c>
    </row>
    <row r="394" spans="1:5" x14ac:dyDescent="0.35">
      <c r="A394" t="s">
        <v>381</v>
      </c>
      <c r="B394" t="s">
        <v>35</v>
      </c>
      <c r="C394" t="s">
        <v>105</v>
      </c>
      <c r="D394">
        <v>14</v>
      </c>
      <c r="E394">
        <v>61</v>
      </c>
    </row>
    <row r="395" spans="1:5" x14ac:dyDescent="0.35">
      <c r="A395" t="s">
        <v>381</v>
      </c>
      <c r="B395" t="s">
        <v>34</v>
      </c>
      <c r="C395" t="s">
        <v>22</v>
      </c>
      <c r="D395">
        <v>150</v>
      </c>
      <c r="E395">
        <v>898</v>
      </c>
    </row>
    <row r="396" spans="1:5" x14ac:dyDescent="0.35">
      <c r="A396" t="s">
        <v>381</v>
      </c>
      <c r="B396" t="s">
        <v>34</v>
      </c>
      <c r="C396" t="s">
        <v>107</v>
      </c>
      <c r="D396">
        <v>22</v>
      </c>
      <c r="E396">
        <v>366</v>
      </c>
    </row>
    <row r="397" spans="1:5" x14ac:dyDescent="0.35">
      <c r="A397" t="s">
        <v>381</v>
      </c>
      <c r="B397" t="s">
        <v>34</v>
      </c>
      <c r="C397" t="s">
        <v>108</v>
      </c>
      <c r="D397">
        <v>16</v>
      </c>
      <c r="E397">
        <v>43</v>
      </c>
    </row>
    <row r="398" spans="1:5" x14ac:dyDescent="0.35">
      <c r="A398" t="s">
        <v>381</v>
      </c>
      <c r="B398" t="s">
        <v>34</v>
      </c>
      <c r="C398" t="s">
        <v>109</v>
      </c>
      <c r="D398">
        <v>4</v>
      </c>
      <c r="E398">
        <v>17</v>
      </c>
    </row>
    <row r="399" spans="1:5" x14ac:dyDescent="0.35">
      <c r="A399" t="s">
        <v>381</v>
      </c>
      <c r="B399" t="s">
        <v>35</v>
      </c>
      <c r="C399" t="s">
        <v>110</v>
      </c>
      <c r="D399">
        <v>11</v>
      </c>
      <c r="E399">
        <v>43</v>
      </c>
    </row>
    <row r="400" spans="1:5" x14ac:dyDescent="0.35">
      <c r="A400" t="s">
        <v>381</v>
      </c>
      <c r="B400" t="s">
        <v>34</v>
      </c>
      <c r="C400" t="s">
        <v>111</v>
      </c>
      <c r="D400">
        <v>53</v>
      </c>
      <c r="E400">
        <v>144</v>
      </c>
    </row>
    <row r="401" spans="1:5" x14ac:dyDescent="0.35">
      <c r="A401" t="s">
        <v>381</v>
      </c>
      <c r="B401" t="s">
        <v>35</v>
      </c>
      <c r="C401" t="s">
        <v>112</v>
      </c>
      <c r="D401">
        <v>78</v>
      </c>
      <c r="E401">
        <v>66</v>
      </c>
    </row>
    <row r="402" spans="1:5" x14ac:dyDescent="0.35">
      <c r="A402" t="s">
        <v>381</v>
      </c>
      <c r="B402" t="s">
        <v>36</v>
      </c>
      <c r="C402" t="s">
        <v>113</v>
      </c>
      <c r="D402">
        <v>1234</v>
      </c>
      <c r="E402">
        <v>428</v>
      </c>
    </row>
    <row r="403" spans="1:5" x14ac:dyDescent="0.35">
      <c r="A403" t="s">
        <v>381</v>
      </c>
      <c r="B403" t="s">
        <v>34</v>
      </c>
      <c r="C403" t="s">
        <v>114</v>
      </c>
      <c r="D403">
        <v>10</v>
      </c>
      <c r="E403">
        <v>43</v>
      </c>
    </row>
    <row r="404" spans="1:5" x14ac:dyDescent="0.35">
      <c r="A404" t="s">
        <v>381</v>
      </c>
      <c r="B404" t="s">
        <v>34</v>
      </c>
      <c r="C404" t="s">
        <v>115</v>
      </c>
      <c r="D404">
        <v>75</v>
      </c>
      <c r="E404">
        <v>115</v>
      </c>
    </row>
    <row r="405" spans="1:5" x14ac:dyDescent="0.35">
      <c r="A405" t="s">
        <v>381</v>
      </c>
      <c r="B405" t="s">
        <v>34</v>
      </c>
      <c r="C405" t="s">
        <v>116</v>
      </c>
      <c r="D405">
        <v>3</v>
      </c>
      <c r="E405">
        <v>12</v>
      </c>
    </row>
    <row r="406" spans="1:5" x14ac:dyDescent="0.35">
      <c r="A406" t="s">
        <v>381</v>
      </c>
      <c r="B406" t="s">
        <v>33</v>
      </c>
      <c r="C406" t="s">
        <v>117</v>
      </c>
      <c r="D406">
        <v>36</v>
      </c>
      <c r="E406">
        <v>61</v>
      </c>
    </row>
    <row r="407" spans="1:5" x14ac:dyDescent="0.35">
      <c r="A407" t="s">
        <v>381</v>
      </c>
      <c r="B407" t="s">
        <v>34</v>
      </c>
      <c r="C407" t="s">
        <v>118</v>
      </c>
      <c r="D407">
        <v>115</v>
      </c>
      <c r="E407">
        <v>336</v>
      </c>
    </row>
    <row r="408" spans="1:5" x14ac:dyDescent="0.35">
      <c r="A408" t="s">
        <v>381</v>
      </c>
      <c r="B408" t="s">
        <v>35</v>
      </c>
      <c r="C408" t="s">
        <v>119</v>
      </c>
      <c r="D408" t="s">
        <v>206</v>
      </c>
      <c r="E408" t="s">
        <v>206</v>
      </c>
    </row>
    <row r="409" spans="1:5" x14ac:dyDescent="0.35">
      <c r="A409" t="s">
        <v>381</v>
      </c>
      <c r="B409" t="s">
        <v>34</v>
      </c>
      <c r="C409" t="s">
        <v>120</v>
      </c>
      <c r="D409" t="s">
        <v>205</v>
      </c>
      <c r="E409" t="s">
        <v>205</v>
      </c>
    </row>
    <row r="410" spans="1:5" x14ac:dyDescent="0.35">
      <c r="A410" t="s">
        <v>381</v>
      </c>
      <c r="B410" t="s">
        <v>34</v>
      </c>
      <c r="C410" t="s">
        <v>121</v>
      </c>
      <c r="D410" t="s">
        <v>205</v>
      </c>
      <c r="E410" t="s">
        <v>205</v>
      </c>
    </row>
    <row r="411" spans="1:5" x14ac:dyDescent="0.35">
      <c r="A411" t="s">
        <v>381</v>
      </c>
      <c r="B411" t="s">
        <v>34</v>
      </c>
      <c r="C411" t="s">
        <v>122</v>
      </c>
      <c r="D411" t="s">
        <v>205</v>
      </c>
      <c r="E411" t="s">
        <v>205</v>
      </c>
    </row>
    <row r="412" spans="1:5" x14ac:dyDescent="0.35">
      <c r="A412" t="s">
        <v>381</v>
      </c>
      <c r="B412" t="s">
        <v>35</v>
      </c>
      <c r="C412" t="s">
        <v>123</v>
      </c>
      <c r="D412">
        <v>4</v>
      </c>
      <c r="E412">
        <v>15</v>
      </c>
    </row>
    <row r="413" spans="1:5" x14ac:dyDescent="0.35">
      <c r="A413" t="s">
        <v>381</v>
      </c>
      <c r="B413" t="s">
        <v>34</v>
      </c>
      <c r="C413" t="s">
        <v>124</v>
      </c>
      <c r="D413">
        <v>36</v>
      </c>
      <c r="E413">
        <v>118</v>
      </c>
    </row>
    <row r="414" spans="1:5" x14ac:dyDescent="0.35">
      <c r="A414" t="s">
        <v>381</v>
      </c>
      <c r="B414" t="s">
        <v>33</v>
      </c>
      <c r="C414" t="s">
        <v>125</v>
      </c>
      <c r="D414">
        <v>39</v>
      </c>
      <c r="E414">
        <v>25</v>
      </c>
    </row>
    <row r="415" spans="1:5" x14ac:dyDescent="0.35">
      <c r="A415" t="s">
        <v>381</v>
      </c>
      <c r="B415" t="s">
        <v>35</v>
      </c>
      <c r="C415" t="s">
        <v>127</v>
      </c>
      <c r="D415">
        <v>15</v>
      </c>
      <c r="E415">
        <v>48</v>
      </c>
    </row>
    <row r="416" spans="1:5" x14ac:dyDescent="0.35">
      <c r="A416" t="s">
        <v>381</v>
      </c>
      <c r="B416" t="s">
        <v>33</v>
      </c>
      <c r="C416" t="s">
        <v>130</v>
      </c>
      <c r="E416" t="s">
        <v>205</v>
      </c>
    </row>
    <row r="417" spans="1:5" x14ac:dyDescent="0.35">
      <c r="A417" t="s">
        <v>381</v>
      </c>
      <c r="B417" t="s">
        <v>34</v>
      </c>
      <c r="C417" t="s">
        <v>131</v>
      </c>
      <c r="D417">
        <v>8</v>
      </c>
      <c r="E417">
        <v>58</v>
      </c>
    </row>
    <row r="418" spans="1:5" x14ac:dyDescent="0.35">
      <c r="A418" t="s">
        <v>381</v>
      </c>
      <c r="B418" t="s">
        <v>33</v>
      </c>
      <c r="C418" t="s">
        <v>132</v>
      </c>
      <c r="D418">
        <v>3</v>
      </c>
      <c r="E418">
        <v>21</v>
      </c>
    </row>
    <row r="419" spans="1:5" x14ac:dyDescent="0.35">
      <c r="A419" t="s">
        <v>381</v>
      </c>
      <c r="B419" t="s">
        <v>37</v>
      </c>
      <c r="C419" t="s">
        <v>134</v>
      </c>
      <c r="D419" t="s">
        <v>205</v>
      </c>
    </row>
    <row r="420" spans="1:5" x14ac:dyDescent="0.35">
      <c r="A420" t="s">
        <v>381</v>
      </c>
      <c r="B420" t="s">
        <v>33</v>
      </c>
      <c r="C420" t="s">
        <v>135</v>
      </c>
      <c r="D420">
        <v>3</v>
      </c>
      <c r="E420">
        <v>43</v>
      </c>
    </row>
    <row r="421" spans="1:5" x14ac:dyDescent="0.35">
      <c r="A421" t="s">
        <v>381</v>
      </c>
      <c r="B421" t="s">
        <v>36</v>
      </c>
      <c r="C421" t="s">
        <v>14</v>
      </c>
      <c r="D421">
        <v>73171</v>
      </c>
      <c r="E421">
        <v>113555</v>
      </c>
    </row>
    <row r="422" spans="1:5" x14ac:dyDescent="0.35">
      <c r="A422" t="s">
        <v>381</v>
      </c>
      <c r="B422" t="s">
        <v>37</v>
      </c>
      <c r="C422" t="s">
        <v>137</v>
      </c>
      <c r="D422">
        <v>23</v>
      </c>
      <c r="E422">
        <v>7</v>
      </c>
    </row>
    <row r="423" spans="1:5" x14ac:dyDescent="0.35">
      <c r="A423" t="s">
        <v>381</v>
      </c>
      <c r="B423" t="s">
        <v>35</v>
      </c>
      <c r="C423" t="s">
        <v>138</v>
      </c>
      <c r="D423">
        <v>6</v>
      </c>
      <c r="E423">
        <v>6</v>
      </c>
    </row>
    <row r="424" spans="1:5" x14ac:dyDescent="0.35">
      <c r="A424" t="s">
        <v>381</v>
      </c>
      <c r="B424" t="s">
        <v>34</v>
      </c>
      <c r="C424" t="s">
        <v>139</v>
      </c>
      <c r="D424">
        <v>4</v>
      </c>
      <c r="E424">
        <v>44</v>
      </c>
    </row>
    <row r="425" spans="1:5" x14ac:dyDescent="0.35">
      <c r="A425" t="s">
        <v>381</v>
      </c>
      <c r="B425" t="s">
        <v>35</v>
      </c>
      <c r="C425" t="s">
        <v>140</v>
      </c>
      <c r="D425" t="s">
        <v>206</v>
      </c>
      <c r="E425" t="s">
        <v>206</v>
      </c>
    </row>
    <row r="426" spans="1:5" x14ac:dyDescent="0.35">
      <c r="A426" t="s">
        <v>381</v>
      </c>
      <c r="B426" t="s">
        <v>33</v>
      </c>
      <c r="C426" t="s">
        <v>141</v>
      </c>
      <c r="D426">
        <v>26</v>
      </c>
      <c r="E426">
        <v>64</v>
      </c>
    </row>
    <row r="427" spans="1:5" x14ac:dyDescent="0.35">
      <c r="A427" t="s">
        <v>381</v>
      </c>
      <c r="B427" t="s">
        <v>34</v>
      </c>
      <c r="C427" t="s">
        <v>144</v>
      </c>
      <c r="D427">
        <v>8</v>
      </c>
      <c r="E427">
        <v>22</v>
      </c>
    </row>
    <row r="428" spans="1:5" x14ac:dyDescent="0.35">
      <c r="A428" t="s">
        <v>381</v>
      </c>
      <c r="B428" t="s">
        <v>35</v>
      </c>
      <c r="C428" t="s">
        <v>145</v>
      </c>
      <c r="D428">
        <v>47</v>
      </c>
      <c r="E428">
        <v>42</v>
      </c>
    </row>
    <row r="429" spans="1:5" x14ac:dyDescent="0.35">
      <c r="A429" t="s">
        <v>381</v>
      </c>
      <c r="B429" t="s">
        <v>37</v>
      </c>
      <c r="C429" t="s">
        <v>146</v>
      </c>
      <c r="D429">
        <v>11</v>
      </c>
      <c r="E429">
        <v>21</v>
      </c>
    </row>
    <row r="430" spans="1:5" x14ac:dyDescent="0.35">
      <c r="A430" t="s">
        <v>381</v>
      </c>
      <c r="B430" t="s">
        <v>36</v>
      </c>
      <c r="C430" t="s">
        <v>147</v>
      </c>
      <c r="D430">
        <v>592</v>
      </c>
      <c r="E430">
        <v>1854</v>
      </c>
    </row>
    <row r="431" spans="1:5" x14ac:dyDescent="0.35">
      <c r="A431" t="s">
        <v>381</v>
      </c>
      <c r="B431" t="s">
        <v>33</v>
      </c>
      <c r="C431" t="s">
        <v>148</v>
      </c>
      <c r="D431">
        <v>8</v>
      </c>
      <c r="E431">
        <v>22</v>
      </c>
    </row>
    <row r="432" spans="1:5" x14ac:dyDescent="0.35">
      <c r="A432" t="s">
        <v>381</v>
      </c>
      <c r="B432" t="s">
        <v>33</v>
      </c>
      <c r="C432" t="s">
        <v>149</v>
      </c>
      <c r="D432">
        <v>202</v>
      </c>
      <c r="E432">
        <v>216</v>
      </c>
    </row>
    <row r="433" spans="1:5" x14ac:dyDescent="0.35">
      <c r="A433" t="s">
        <v>381</v>
      </c>
      <c r="B433" t="s">
        <v>35</v>
      </c>
      <c r="C433" t="s">
        <v>322</v>
      </c>
      <c r="D433">
        <v>7</v>
      </c>
      <c r="E433">
        <v>31</v>
      </c>
    </row>
    <row r="434" spans="1:5" x14ac:dyDescent="0.35">
      <c r="A434" t="s">
        <v>381</v>
      </c>
      <c r="B434" t="s">
        <v>35</v>
      </c>
      <c r="C434" t="s">
        <v>150</v>
      </c>
      <c r="D434">
        <v>5</v>
      </c>
      <c r="E434">
        <v>10</v>
      </c>
    </row>
    <row r="435" spans="1:5" x14ac:dyDescent="0.35">
      <c r="A435" t="s">
        <v>381</v>
      </c>
      <c r="B435" t="s">
        <v>34</v>
      </c>
      <c r="C435" t="s">
        <v>152</v>
      </c>
      <c r="D435">
        <v>94</v>
      </c>
      <c r="E435">
        <v>473</v>
      </c>
    </row>
    <row r="436" spans="1:5" x14ac:dyDescent="0.35">
      <c r="A436" t="s">
        <v>381</v>
      </c>
      <c r="B436" t="s">
        <v>37</v>
      </c>
      <c r="C436" t="s">
        <v>153</v>
      </c>
      <c r="D436">
        <v>11</v>
      </c>
    </row>
    <row r="437" spans="1:5" x14ac:dyDescent="0.35">
      <c r="A437" t="s">
        <v>381</v>
      </c>
      <c r="B437" t="s">
        <v>36</v>
      </c>
      <c r="C437" t="s">
        <v>154</v>
      </c>
      <c r="D437">
        <v>114</v>
      </c>
      <c r="E437">
        <v>95</v>
      </c>
    </row>
    <row r="438" spans="1:5" x14ac:dyDescent="0.35">
      <c r="A438" t="s">
        <v>381</v>
      </c>
      <c r="B438" t="s">
        <v>38</v>
      </c>
      <c r="C438" t="s">
        <v>155</v>
      </c>
      <c r="D438">
        <v>6</v>
      </c>
      <c r="E438">
        <v>53</v>
      </c>
    </row>
    <row r="439" spans="1:5" x14ac:dyDescent="0.35">
      <c r="A439" t="s">
        <v>381</v>
      </c>
      <c r="B439" t="s">
        <v>38</v>
      </c>
      <c r="C439" t="s">
        <v>156</v>
      </c>
      <c r="D439">
        <v>314</v>
      </c>
      <c r="E439">
        <v>1024</v>
      </c>
    </row>
    <row r="440" spans="1:5" x14ac:dyDescent="0.35">
      <c r="A440" t="s">
        <v>381</v>
      </c>
      <c r="B440" t="s">
        <v>34</v>
      </c>
      <c r="C440" t="s">
        <v>18</v>
      </c>
      <c r="D440">
        <v>260</v>
      </c>
      <c r="E440">
        <v>398</v>
      </c>
    </row>
    <row r="441" spans="1:5" x14ac:dyDescent="0.35">
      <c r="A441" t="s">
        <v>381</v>
      </c>
      <c r="B441" t="s">
        <v>35</v>
      </c>
      <c r="C441" t="s">
        <v>157</v>
      </c>
      <c r="D441">
        <v>116</v>
      </c>
      <c r="E441">
        <v>334</v>
      </c>
    </row>
    <row r="442" spans="1:5" x14ac:dyDescent="0.35">
      <c r="A442" t="s">
        <v>381</v>
      </c>
      <c r="B442" t="s">
        <v>35</v>
      </c>
      <c r="C442" t="s">
        <v>158</v>
      </c>
      <c r="D442">
        <v>93</v>
      </c>
      <c r="E442">
        <v>53</v>
      </c>
    </row>
    <row r="443" spans="1:5" x14ac:dyDescent="0.35">
      <c r="A443" t="s">
        <v>381</v>
      </c>
      <c r="B443" t="s">
        <v>35</v>
      </c>
      <c r="C443" t="s">
        <v>160</v>
      </c>
      <c r="D443">
        <v>53</v>
      </c>
      <c r="E443">
        <v>135</v>
      </c>
    </row>
    <row r="444" spans="1:5" x14ac:dyDescent="0.35">
      <c r="A444" t="s">
        <v>381</v>
      </c>
      <c r="B444" t="s">
        <v>35</v>
      </c>
      <c r="C444" t="s">
        <v>161</v>
      </c>
      <c r="D444">
        <v>44</v>
      </c>
      <c r="E444">
        <v>125</v>
      </c>
    </row>
    <row r="445" spans="1:5" x14ac:dyDescent="0.35">
      <c r="A445" t="s">
        <v>381</v>
      </c>
      <c r="B445" t="s">
        <v>33</v>
      </c>
      <c r="C445" t="s">
        <v>162</v>
      </c>
      <c r="D445" t="s">
        <v>205</v>
      </c>
      <c r="E445" t="s">
        <v>205</v>
      </c>
    </row>
    <row r="446" spans="1:5" x14ac:dyDescent="0.35">
      <c r="A446" t="s">
        <v>381</v>
      </c>
      <c r="B446" t="s">
        <v>36</v>
      </c>
      <c r="C446" t="s">
        <v>163</v>
      </c>
      <c r="D446">
        <v>22</v>
      </c>
      <c r="E446">
        <v>3</v>
      </c>
    </row>
    <row r="447" spans="1:5" x14ac:dyDescent="0.35">
      <c r="A447" t="s">
        <v>381</v>
      </c>
      <c r="B447" t="s">
        <v>36</v>
      </c>
      <c r="C447" t="s">
        <v>164</v>
      </c>
      <c r="D447">
        <v>13</v>
      </c>
      <c r="E447">
        <v>22</v>
      </c>
    </row>
    <row r="448" spans="1:5" x14ac:dyDescent="0.35">
      <c r="A448" t="s">
        <v>381</v>
      </c>
      <c r="B448" t="s">
        <v>36</v>
      </c>
      <c r="C448" t="s">
        <v>165</v>
      </c>
      <c r="D448">
        <v>14</v>
      </c>
      <c r="E448">
        <v>7</v>
      </c>
    </row>
    <row r="449" spans="1:5" x14ac:dyDescent="0.35">
      <c r="A449" t="s">
        <v>381</v>
      </c>
      <c r="B449" t="s">
        <v>37</v>
      </c>
      <c r="C449" t="s">
        <v>166</v>
      </c>
      <c r="D449">
        <v>3</v>
      </c>
      <c r="E449">
        <v>4</v>
      </c>
    </row>
    <row r="450" spans="1:5" x14ac:dyDescent="0.35">
      <c r="A450" t="s">
        <v>381</v>
      </c>
      <c r="B450" t="s">
        <v>34</v>
      </c>
      <c r="C450" t="s">
        <v>167</v>
      </c>
      <c r="D450">
        <v>4</v>
      </c>
      <c r="E450">
        <v>19</v>
      </c>
    </row>
    <row r="451" spans="1:5" x14ac:dyDescent="0.35">
      <c r="A451" t="s">
        <v>381</v>
      </c>
      <c r="B451" t="s">
        <v>33</v>
      </c>
      <c r="C451" t="s">
        <v>168</v>
      </c>
      <c r="D451">
        <v>23</v>
      </c>
      <c r="E451">
        <v>101</v>
      </c>
    </row>
    <row r="452" spans="1:5" x14ac:dyDescent="0.35">
      <c r="A452" t="s">
        <v>381</v>
      </c>
      <c r="B452" t="s">
        <v>35</v>
      </c>
      <c r="C452" t="s">
        <v>169</v>
      </c>
      <c r="D452" t="s">
        <v>206</v>
      </c>
      <c r="E452" t="s">
        <v>206</v>
      </c>
    </row>
    <row r="453" spans="1:5" x14ac:dyDescent="0.35">
      <c r="A453" t="s">
        <v>381</v>
      </c>
      <c r="B453" t="s">
        <v>35</v>
      </c>
      <c r="C453" t="s">
        <v>215</v>
      </c>
      <c r="D453">
        <v>29</v>
      </c>
      <c r="E453">
        <v>76</v>
      </c>
    </row>
    <row r="454" spans="1:5" x14ac:dyDescent="0.35">
      <c r="A454" t="s">
        <v>381</v>
      </c>
      <c r="B454" t="s">
        <v>33</v>
      </c>
      <c r="C454" t="s">
        <v>170</v>
      </c>
      <c r="D454">
        <v>15</v>
      </c>
      <c r="E454">
        <v>20</v>
      </c>
    </row>
    <row r="455" spans="1:5" x14ac:dyDescent="0.35">
      <c r="A455" t="s">
        <v>381</v>
      </c>
      <c r="B455" t="s">
        <v>34</v>
      </c>
      <c r="C455" t="s">
        <v>171</v>
      </c>
      <c r="D455">
        <v>3</v>
      </c>
      <c r="E455">
        <v>13</v>
      </c>
    </row>
    <row r="456" spans="1:5" x14ac:dyDescent="0.35">
      <c r="A456" t="s">
        <v>381</v>
      </c>
      <c r="B456" t="s">
        <v>35</v>
      </c>
      <c r="C456" t="s">
        <v>172</v>
      </c>
      <c r="D456">
        <v>5</v>
      </c>
      <c r="E456">
        <v>30</v>
      </c>
    </row>
    <row r="457" spans="1:5" x14ac:dyDescent="0.35">
      <c r="A457" t="s">
        <v>381</v>
      </c>
      <c r="B457" t="s">
        <v>35</v>
      </c>
      <c r="C457" t="s">
        <v>173</v>
      </c>
      <c r="D457" t="s">
        <v>205</v>
      </c>
      <c r="E457" t="s">
        <v>205</v>
      </c>
    </row>
    <row r="458" spans="1:5" x14ac:dyDescent="0.35">
      <c r="A458" t="s">
        <v>381</v>
      </c>
      <c r="B458" t="s">
        <v>33</v>
      </c>
      <c r="C458" t="s">
        <v>174</v>
      </c>
      <c r="D458">
        <v>5</v>
      </c>
      <c r="E458">
        <v>34</v>
      </c>
    </row>
    <row r="459" spans="1:5" x14ac:dyDescent="0.35">
      <c r="A459" t="s">
        <v>381</v>
      </c>
      <c r="B459" t="s">
        <v>33</v>
      </c>
      <c r="C459" t="s">
        <v>175</v>
      </c>
      <c r="D459">
        <v>24</v>
      </c>
      <c r="E459">
        <v>45</v>
      </c>
    </row>
    <row r="460" spans="1:5" x14ac:dyDescent="0.35">
      <c r="A460" t="s">
        <v>381</v>
      </c>
      <c r="B460" t="s">
        <v>33</v>
      </c>
      <c r="C460" t="s">
        <v>176</v>
      </c>
      <c r="D460" t="s">
        <v>206</v>
      </c>
      <c r="E460" t="s">
        <v>206</v>
      </c>
    </row>
    <row r="461" spans="1:5" x14ac:dyDescent="0.35">
      <c r="A461" t="s">
        <v>381</v>
      </c>
      <c r="B461" t="s">
        <v>35</v>
      </c>
      <c r="C461" t="s">
        <v>216</v>
      </c>
      <c r="D461">
        <v>5</v>
      </c>
      <c r="E461">
        <v>3</v>
      </c>
    </row>
    <row r="462" spans="1:5" x14ac:dyDescent="0.35">
      <c r="A462" t="s">
        <v>381</v>
      </c>
      <c r="B462" t="s">
        <v>35</v>
      </c>
      <c r="C462" t="s">
        <v>177</v>
      </c>
      <c r="D462">
        <v>25</v>
      </c>
      <c r="E462">
        <v>34</v>
      </c>
    </row>
    <row r="463" spans="1:5" x14ac:dyDescent="0.35">
      <c r="A463" t="s">
        <v>381</v>
      </c>
      <c r="B463" t="s">
        <v>34</v>
      </c>
      <c r="C463" t="s">
        <v>178</v>
      </c>
      <c r="D463">
        <v>6</v>
      </c>
      <c r="E463">
        <v>76</v>
      </c>
    </row>
    <row r="464" spans="1:5" x14ac:dyDescent="0.35">
      <c r="A464" t="s">
        <v>381</v>
      </c>
      <c r="B464" t="s">
        <v>33</v>
      </c>
      <c r="C464" t="s">
        <v>179</v>
      </c>
      <c r="D464">
        <v>5</v>
      </c>
      <c r="E464">
        <v>17</v>
      </c>
    </row>
    <row r="465" spans="1:5" x14ac:dyDescent="0.35">
      <c r="A465" t="s">
        <v>381</v>
      </c>
      <c r="B465" t="s">
        <v>38</v>
      </c>
      <c r="C465" t="s">
        <v>180</v>
      </c>
      <c r="D465">
        <v>7</v>
      </c>
      <c r="E465">
        <v>14</v>
      </c>
    </row>
    <row r="466" spans="1:5" x14ac:dyDescent="0.35">
      <c r="A466" t="s">
        <v>381</v>
      </c>
      <c r="B466" t="s">
        <v>35</v>
      </c>
      <c r="C466" t="s">
        <v>182</v>
      </c>
      <c r="D466">
        <v>8</v>
      </c>
      <c r="E466">
        <v>17</v>
      </c>
    </row>
    <row r="467" spans="1:5" x14ac:dyDescent="0.35">
      <c r="A467" t="s">
        <v>381</v>
      </c>
      <c r="B467" t="s">
        <v>35</v>
      </c>
      <c r="C467" t="s">
        <v>183</v>
      </c>
      <c r="D467">
        <v>10</v>
      </c>
      <c r="E467">
        <v>5</v>
      </c>
    </row>
    <row r="468" spans="1:5" x14ac:dyDescent="0.35">
      <c r="A468" t="s">
        <v>381</v>
      </c>
      <c r="B468" t="s">
        <v>34</v>
      </c>
      <c r="C468" t="s">
        <v>184</v>
      </c>
      <c r="D468">
        <v>21</v>
      </c>
      <c r="E468">
        <v>49</v>
      </c>
    </row>
    <row r="469" spans="1:5" x14ac:dyDescent="0.35">
      <c r="A469" t="s">
        <v>381</v>
      </c>
      <c r="B469" t="s">
        <v>34</v>
      </c>
      <c r="C469" t="s">
        <v>185</v>
      </c>
      <c r="D469">
        <v>9</v>
      </c>
      <c r="E469">
        <v>77</v>
      </c>
    </row>
    <row r="470" spans="1:5" x14ac:dyDescent="0.35">
      <c r="A470" t="s">
        <v>381</v>
      </c>
      <c r="B470" t="s">
        <v>34</v>
      </c>
      <c r="C470" t="s">
        <v>186</v>
      </c>
      <c r="E470" t="s">
        <v>205</v>
      </c>
    </row>
    <row r="471" spans="1:5" x14ac:dyDescent="0.35">
      <c r="A471" t="s">
        <v>381</v>
      </c>
      <c r="B471" t="s">
        <v>33</v>
      </c>
      <c r="C471" t="s">
        <v>187</v>
      </c>
      <c r="D471">
        <v>5</v>
      </c>
      <c r="E471">
        <v>15</v>
      </c>
    </row>
    <row r="472" spans="1:5" x14ac:dyDescent="0.35">
      <c r="A472" t="s">
        <v>381</v>
      </c>
      <c r="B472" t="s">
        <v>34</v>
      </c>
      <c r="C472" t="s">
        <v>188</v>
      </c>
      <c r="D472">
        <v>16</v>
      </c>
      <c r="E472">
        <v>57</v>
      </c>
    </row>
    <row r="473" spans="1:5" x14ac:dyDescent="0.35">
      <c r="A473" t="s">
        <v>381</v>
      </c>
      <c r="B473" t="s">
        <v>33</v>
      </c>
      <c r="C473" t="s">
        <v>189</v>
      </c>
      <c r="D473">
        <v>7</v>
      </c>
      <c r="E473">
        <v>16</v>
      </c>
    </row>
    <row r="474" spans="1:5" x14ac:dyDescent="0.35">
      <c r="A474" t="s">
        <v>381</v>
      </c>
      <c r="B474" t="s">
        <v>37</v>
      </c>
      <c r="C474" t="s">
        <v>190</v>
      </c>
      <c r="D474">
        <v>23</v>
      </c>
      <c r="E474">
        <v>9</v>
      </c>
    </row>
    <row r="475" spans="1:5" x14ac:dyDescent="0.35">
      <c r="A475" t="s">
        <v>381</v>
      </c>
      <c r="B475" t="s">
        <v>36</v>
      </c>
      <c r="C475" t="s">
        <v>191</v>
      </c>
      <c r="D475">
        <v>248</v>
      </c>
      <c r="E475">
        <v>150</v>
      </c>
    </row>
    <row r="476" spans="1:5" x14ac:dyDescent="0.35">
      <c r="A476" t="s">
        <v>381</v>
      </c>
      <c r="B476" t="s">
        <v>33</v>
      </c>
      <c r="C476" t="s">
        <v>192</v>
      </c>
      <c r="D476">
        <v>8</v>
      </c>
      <c r="E476">
        <v>25</v>
      </c>
    </row>
    <row r="477" spans="1:5" x14ac:dyDescent="0.35">
      <c r="A477" t="s">
        <v>381</v>
      </c>
      <c r="B477" t="s">
        <v>34</v>
      </c>
      <c r="C477" t="s">
        <v>193</v>
      </c>
      <c r="D477">
        <v>25</v>
      </c>
      <c r="E477">
        <v>133</v>
      </c>
    </row>
    <row r="478" spans="1:5" x14ac:dyDescent="0.35">
      <c r="A478" t="s">
        <v>381</v>
      </c>
      <c r="B478" t="s">
        <v>36</v>
      </c>
      <c r="C478" t="s">
        <v>372</v>
      </c>
    </row>
    <row r="479" spans="1:5" x14ac:dyDescent="0.35">
      <c r="A479" t="s">
        <v>381</v>
      </c>
      <c r="B479" t="s">
        <v>33</v>
      </c>
      <c r="C479" t="s">
        <v>195</v>
      </c>
      <c r="D479">
        <v>7</v>
      </c>
      <c r="E479">
        <v>19</v>
      </c>
    </row>
    <row r="480" spans="1:5" x14ac:dyDescent="0.35">
      <c r="A480" t="s">
        <v>381</v>
      </c>
      <c r="B480" t="s">
        <v>35</v>
      </c>
      <c r="C480" t="s">
        <v>196</v>
      </c>
      <c r="D480">
        <v>48</v>
      </c>
      <c r="E480">
        <v>126</v>
      </c>
    </row>
    <row r="481" spans="1:5" x14ac:dyDescent="0.35">
      <c r="A481" t="s">
        <v>381</v>
      </c>
      <c r="B481" t="s">
        <v>34</v>
      </c>
      <c r="C481" t="s">
        <v>197</v>
      </c>
      <c r="E481">
        <v>10</v>
      </c>
    </row>
    <row r="482" spans="1:5" x14ac:dyDescent="0.35">
      <c r="A482" t="s">
        <v>381</v>
      </c>
      <c r="B482" t="s">
        <v>35</v>
      </c>
      <c r="C482" t="s">
        <v>198</v>
      </c>
      <c r="D482">
        <v>195</v>
      </c>
      <c r="E482">
        <v>190</v>
      </c>
    </row>
    <row r="483" spans="1:5" x14ac:dyDescent="0.35">
      <c r="A483" t="s">
        <v>381</v>
      </c>
      <c r="B483" t="s">
        <v>39</v>
      </c>
      <c r="C483" t="s">
        <v>39</v>
      </c>
      <c r="D483">
        <v>8</v>
      </c>
      <c r="E483">
        <v>68</v>
      </c>
    </row>
    <row r="484" spans="1:5" x14ac:dyDescent="0.35">
      <c r="A484" t="s">
        <v>381</v>
      </c>
      <c r="B484" t="s">
        <v>38</v>
      </c>
      <c r="C484" t="s">
        <v>199</v>
      </c>
      <c r="D484">
        <v>19</v>
      </c>
      <c r="E484">
        <v>123</v>
      </c>
    </row>
    <row r="485" spans="1:5" x14ac:dyDescent="0.35">
      <c r="A485" t="s">
        <v>381</v>
      </c>
      <c r="B485" t="s">
        <v>34</v>
      </c>
      <c r="C485" t="s">
        <v>200</v>
      </c>
      <c r="D485">
        <v>5</v>
      </c>
      <c r="E485">
        <v>43</v>
      </c>
    </row>
    <row r="486" spans="1:5" x14ac:dyDescent="0.35">
      <c r="A486" t="s">
        <v>381</v>
      </c>
      <c r="B486" t="s">
        <v>38</v>
      </c>
      <c r="C486" t="s">
        <v>19</v>
      </c>
      <c r="D486">
        <v>130</v>
      </c>
      <c r="E486">
        <v>314</v>
      </c>
    </row>
    <row r="487" spans="1:5" x14ac:dyDescent="0.35">
      <c r="A487" t="s">
        <v>381</v>
      </c>
      <c r="B487" t="s">
        <v>34</v>
      </c>
      <c r="C487" t="s">
        <v>201</v>
      </c>
      <c r="D487">
        <v>19</v>
      </c>
      <c r="E487">
        <v>22</v>
      </c>
    </row>
    <row r="488" spans="1:5" x14ac:dyDescent="0.35">
      <c r="A488" t="s">
        <v>381</v>
      </c>
      <c r="B488" t="s">
        <v>34</v>
      </c>
      <c r="C488" t="s">
        <v>202</v>
      </c>
      <c r="D488">
        <v>16</v>
      </c>
      <c r="E488">
        <v>31</v>
      </c>
    </row>
    <row r="489" spans="1:5" x14ac:dyDescent="0.35">
      <c r="A489" t="s">
        <v>381</v>
      </c>
      <c r="B489" t="s">
        <v>33</v>
      </c>
      <c r="C489" t="s">
        <v>203</v>
      </c>
      <c r="D489">
        <v>7</v>
      </c>
      <c r="E489">
        <v>7</v>
      </c>
    </row>
    <row r="490" spans="1:5" x14ac:dyDescent="0.35">
      <c r="A490" t="s">
        <v>381</v>
      </c>
      <c r="B490" t="s">
        <v>33</v>
      </c>
      <c r="C490" t="s">
        <v>204</v>
      </c>
      <c r="D490">
        <v>12</v>
      </c>
      <c r="E490">
        <v>14</v>
      </c>
    </row>
    <row r="491" spans="1:5" x14ac:dyDescent="0.35">
      <c r="A491" t="s">
        <v>382</v>
      </c>
      <c r="B491" t="s">
        <v>34</v>
      </c>
      <c r="C491" t="s">
        <v>40</v>
      </c>
      <c r="D491">
        <v>11</v>
      </c>
      <c r="E491">
        <v>16</v>
      </c>
    </row>
    <row r="492" spans="1:5" x14ac:dyDescent="0.35">
      <c r="A492" t="s">
        <v>382</v>
      </c>
      <c r="B492" t="s">
        <v>35</v>
      </c>
      <c r="C492" t="s">
        <v>41</v>
      </c>
      <c r="D492">
        <v>23</v>
      </c>
      <c r="E492">
        <v>223</v>
      </c>
    </row>
    <row r="493" spans="1:5" x14ac:dyDescent="0.35">
      <c r="A493" t="s">
        <v>382</v>
      </c>
      <c r="B493" t="s">
        <v>33</v>
      </c>
      <c r="C493" t="s">
        <v>42</v>
      </c>
      <c r="D493">
        <v>6</v>
      </c>
      <c r="E493">
        <v>21</v>
      </c>
    </row>
    <row r="494" spans="1:5" x14ac:dyDescent="0.35">
      <c r="A494" t="s">
        <v>382</v>
      </c>
      <c r="C494" t="s">
        <v>373</v>
      </c>
      <c r="D494">
        <v>10</v>
      </c>
      <c r="E494">
        <v>39</v>
      </c>
    </row>
    <row r="495" spans="1:5" x14ac:dyDescent="0.35">
      <c r="A495" t="s">
        <v>382</v>
      </c>
      <c r="B495" t="s">
        <v>33</v>
      </c>
      <c r="C495" t="s">
        <v>43</v>
      </c>
      <c r="D495">
        <v>3</v>
      </c>
      <c r="E495">
        <v>14</v>
      </c>
    </row>
    <row r="496" spans="1:5" x14ac:dyDescent="0.35">
      <c r="A496" t="s">
        <v>382</v>
      </c>
      <c r="B496" t="s">
        <v>36</v>
      </c>
      <c r="C496" t="s">
        <v>44</v>
      </c>
      <c r="D496">
        <v>37</v>
      </c>
      <c r="E496">
        <v>8</v>
      </c>
    </row>
    <row r="497" spans="1:5" x14ac:dyDescent="0.35">
      <c r="A497" t="s">
        <v>382</v>
      </c>
      <c r="B497" t="s">
        <v>38</v>
      </c>
      <c r="C497" t="s">
        <v>45</v>
      </c>
      <c r="D497">
        <v>76</v>
      </c>
      <c r="E497">
        <v>319</v>
      </c>
    </row>
    <row r="498" spans="1:5" x14ac:dyDescent="0.35">
      <c r="A498" t="s">
        <v>382</v>
      </c>
      <c r="B498" t="s">
        <v>34</v>
      </c>
      <c r="C498" t="s">
        <v>46</v>
      </c>
      <c r="D498">
        <v>34</v>
      </c>
      <c r="E498">
        <v>40</v>
      </c>
    </row>
    <row r="499" spans="1:5" x14ac:dyDescent="0.35">
      <c r="A499" t="s">
        <v>382</v>
      </c>
      <c r="B499" t="s">
        <v>37</v>
      </c>
      <c r="C499" t="s">
        <v>47</v>
      </c>
      <c r="D499">
        <v>21</v>
      </c>
      <c r="E499">
        <v>31</v>
      </c>
    </row>
    <row r="500" spans="1:5" x14ac:dyDescent="0.35">
      <c r="A500" t="s">
        <v>382</v>
      </c>
      <c r="B500" t="s">
        <v>35</v>
      </c>
      <c r="C500" t="s">
        <v>48</v>
      </c>
      <c r="D500">
        <v>8</v>
      </c>
      <c r="E500">
        <v>5</v>
      </c>
    </row>
    <row r="501" spans="1:5" x14ac:dyDescent="0.35">
      <c r="A501" t="s">
        <v>382</v>
      </c>
      <c r="B501" t="s">
        <v>34</v>
      </c>
      <c r="C501" t="s">
        <v>49</v>
      </c>
      <c r="D501" t="s">
        <v>205</v>
      </c>
      <c r="E501" t="s">
        <v>205</v>
      </c>
    </row>
    <row r="502" spans="1:5" x14ac:dyDescent="0.35">
      <c r="A502" t="s">
        <v>382</v>
      </c>
      <c r="B502" t="s">
        <v>36</v>
      </c>
      <c r="C502" t="s">
        <v>50</v>
      </c>
      <c r="D502">
        <v>72</v>
      </c>
      <c r="E502">
        <v>25</v>
      </c>
    </row>
    <row r="503" spans="1:5" x14ac:dyDescent="0.35">
      <c r="A503" t="s">
        <v>382</v>
      </c>
      <c r="B503" t="s">
        <v>34</v>
      </c>
      <c r="C503" t="s">
        <v>52</v>
      </c>
      <c r="D503">
        <v>25</v>
      </c>
      <c r="E503">
        <v>113</v>
      </c>
    </row>
    <row r="504" spans="1:5" x14ac:dyDescent="0.35">
      <c r="A504" t="s">
        <v>382</v>
      </c>
      <c r="B504" t="s">
        <v>36</v>
      </c>
      <c r="C504" t="s">
        <v>53</v>
      </c>
      <c r="D504">
        <v>33</v>
      </c>
      <c r="E504">
        <v>7</v>
      </c>
    </row>
    <row r="505" spans="1:5" x14ac:dyDescent="0.35">
      <c r="A505" t="s">
        <v>382</v>
      </c>
      <c r="B505" t="s">
        <v>35</v>
      </c>
      <c r="C505" t="s">
        <v>54</v>
      </c>
      <c r="D505">
        <v>4</v>
      </c>
      <c r="E505">
        <v>17</v>
      </c>
    </row>
    <row r="506" spans="1:5" x14ac:dyDescent="0.35">
      <c r="A506" t="s">
        <v>382</v>
      </c>
      <c r="B506" t="s">
        <v>35</v>
      </c>
      <c r="C506" t="s">
        <v>55</v>
      </c>
      <c r="D506">
        <v>4</v>
      </c>
      <c r="E506">
        <v>13</v>
      </c>
    </row>
    <row r="507" spans="1:5" x14ac:dyDescent="0.35">
      <c r="A507" t="s">
        <v>382</v>
      </c>
      <c r="B507" t="s">
        <v>36</v>
      </c>
      <c r="C507" t="s">
        <v>56</v>
      </c>
      <c r="D507">
        <v>116</v>
      </c>
      <c r="E507">
        <v>117</v>
      </c>
    </row>
    <row r="508" spans="1:5" x14ac:dyDescent="0.35">
      <c r="A508" t="s">
        <v>382</v>
      </c>
      <c r="B508" t="s">
        <v>33</v>
      </c>
      <c r="C508" t="s">
        <v>57</v>
      </c>
      <c r="D508">
        <v>3</v>
      </c>
      <c r="E508">
        <v>4</v>
      </c>
    </row>
    <row r="509" spans="1:5" x14ac:dyDescent="0.35">
      <c r="A509" t="s">
        <v>382</v>
      </c>
      <c r="B509" t="s">
        <v>36</v>
      </c>
      <c r="C509" t="s">
        <v>363</v>
      </c>
      <c r="E509" t="s">
        <v>205</v>
      </c>
    </row>
    <row r="510" spans="1:5" x14ac:dyDescent="0.35">
      <c r="A510" t="s">
        <v>382</v>
      </c>
      <c r="B510" t="s">
        <v>38</v>
      </c>
      <c r="C510" t="s">
        <v>59</v>
      </c>
      <c r="D510">
        <v>37</v>
      </c>
      <c r="E510">
        <v>345</v>
      </c>
    </row>
    <row r="511" spans="1:5" x14ac:dyDescent="0.35">
      <c r="A511" t="s">
        <v>382</v>
      </c>
      <c r="B511" t="s">
        <v>35</v>
      </c>
      <c r="C511" t="s">
        <v>60</v>
      </c>
      <c r="D511">
        <v>29</v>
      </c>
      <c r="E511">
        <v>13</v>
      </c>
    </row>
    <row r="512" spans="1:5" x14ac:dyDescent="0.35">
      <c r="A512" t="s">
        <v>382</v>
      </c>
      <c r="B512" t="s">
        <v>38</v>
      </c>
      <c r="C512" t="s">
        <v>21</v>
      </c>
      <c r="D512">
        <v>352</v>
      </c>
      <c r="E512">
        <v>3858</v>
      </c>
    </row>
    <row r="513" spans="1:5" x14ac:dyDescent="0.35">
      <c r="A513" t="s">
        <v>382</v>
      </c>
      <c r="B513" t="s">
        <v>35</v>
      </c>
      <c r="C513" t="s">
        <v>62</v>
      </c>
      <c r="D513">
        <v>23</v>
      </c>
      <c r="E513">
        <v>57</v>
      </c>
    </row>
    <row r="514" spans="1:5" x14ac:dyDescent="0.35">
      <c r="A514" t="s">
        <v>382</v>
      </c>
      <c r="B514" t="s">
        <v>33</v>
      </c>
      <c r="C514" t="s">
        <v>63</v>
      </c>
      <c r="D514">
        <v>4</v>
      </c>
      <c r="E514">
        <v>9</v>
      </c>
    </row>
    <row r="515" spans="1:5" x14ac:dyDescent="0.35">
      <c r="A515" t="s">
        <v>382</v>
      </c>
      <c r="B515" t="s">
        <v>34</v>
      </c>
      <c r="C515" t="s">
        <v>64</v>
      </c>
      <c r="D515" t="s">
        <v>205</v>
      </c>
      <c r="E515" t="s">
        <v>205</v>
      </c>
    </row>
    <row r="516" spans="1:5" x14ac:dyDescent="0.35">
      <c r="A516" t="s">
        <v>382</v>
      </c>
      <c r="B516" t="s">
        <v>33</v>
      </c>
      <c r="C516" t="s">
        <v>66</v>
      </c>
      <c r="D516">
        <v>50</v>
      </c>
      <c r="E516">
        <v>11</v>
      </c>
    </row>
    <row r="517" spans="1:5" x14ac:dyDescent="0.35">
      <c r="A517" t="s">
        <v>382</v>
      </c>
      <c r="B517" t="s">
        <v>34</v>
      </c>
      <c r="C517" t="s">
        <v>67</v>
      </c>
      <c r="D517">
        <v>17</v>
      </c>
      <c r="E517">
        <v>12</v>
      </c>
    </row>
    <row r="518" spans="1:5" x14ac:dyDescent="0.35">
      <c r="A518" t="s">
        <v>382</v>
      </c>
      <c r="B518" t="s">
        <v>33</v>
      </c>
      <c r="C518" t="s">
        <v>68</v>
      </c>
      <c r="D518">
        <v>10</v>
      </c>
      <c r="E518">
        <v>53</v>
      </c>
    </row>
    <row r="519" spans="1:5" x14ac:dyDescent="0.35">
      <c r="A519" t="s">
        <v>382</v>
      </c>
      <c r="B519" t="s">
        <v>36</v>
      </c>
      <c r="C519" t="s">
        <v>69</v>
      </c>
      <c r="D519">
        <v>411</v>
      </c>
      <c r="E519">
        <v>852</v>
      </c>
    </row>
    <row r="520" spans="1:5" x14ac:dyDescent="0.35">
      <c r="A520" t="s">
        <v>382</v>
      </c>
      <c r="B520" t="s">
        <v>33</v>
      </c>
      <c r="C520" t="s">
        <v>71</v>
      </c>
      <c r="D520" t="s">
        <v>205</v>
      </c>
      <c r="E520" t="s">
        <v>205</v>
      </c>
    </row>
    <row r="521" spans="1:5" x14ac:dyDescent="0.35">
      <c r="A521" t="s">
        <v>382</v>
      </c>
      <c r="B521" t="s">
        <v>38</v>
      </c>
      <c r="C521" t="s">
        <v>72</v>
      </c>
      <c r="D521">
        <v>73</v>
      </c>
      <c r="E521">
        <v>164</v>
      </c>
    </row>
    <row r="522" spans="1:5" x14ac:dyDescent="0.35">
      <c r="A522" t="s">
        <v>382</v>
      </c>
      <c r="B522" t="s">
        <v>34</v>
      </c>
      <c r="C522" t="s">
        <v>73</v>
      </c>
      <c r="D522">
        <v>97</v>
      </c>
      <c r="E522">
        <v>767</v>
      </c>
    </row>
    <row r="523" spans="1:5" x14ac:dyDescent="0.35">
      <c r="A523" t="s">
        <v>382</v>
      </c>
      <c r="B523" t="s">
        <v>38</v>
      </c>
      <c r="C523" t="s">
        <v>20</v>
      </c>
      <c r="D523">
        <v>1191</v>
      </c>
      <c r="E523">
        <v>1802</v>
      </c>
    </row>
    <row r="524" spans="1:5" x14ac:dyDescent="0.35">
      <c r="A524" t="s">
        <v>382</v>
      </c>
      <c r="B524" t="s">
        <v>33</v>
      </c>
      <c r="C524" t="s">
        <v>74</v>
      </c>
      <c r="D524">
        <v>4</v>
      </c>
      <c r="E524">
        <v>13</v>
      </c>
    </row>
    <row r="525" spans="1:5" x14ac:dyDescent="0.35">
      <c r="A525" t="s">
        <v>382</v>
      </c>
      <c r="B525" t="s">
        <v>33</v>
      </c>
      <c r="C525" t="s">
        <v>75</v>
      </c>
      <c r="D525">
        <v>5</v>
      </c>
      <c r="E525">
        <v>12</v>
      </c>
    </row>
    <row r="526" spans="1:5" x14ac:dyDescent="0.35">
      <c r="A526" t="s">
        <v>382</v>
      </c>
      <c r="B526" t="s">
        <v>36</v>
      </c>
      <c r="C526" t="s">
        <v>76</v>
      </c>
      <c r="D526">
        <v>88</v>
      </c>
      <c r="E526">
        <v>567</v>
      </c>
    </row>
    <row r="527" spans="1:5" x14ac:dyDescent="0.35">
      <c r="A527" t="s">
        <v>382</v>
      </c>
      <c r="B527" t="s">
        <v>33</v>
      </c>
      <c r="C527" t="s">
        <v>77</v>
      </c>
      <c r="D527">
        <v>4</v>
      </c>
      <c r="E527">
        <v>26</v>
      </c>
    </row>
    <row r="528" spans="1:5" x14ac:dyDescent="0.35">
      <c r="A528" t="s">
        <v>382</v>
      </c>
      <c r="B528" t="s">
        <v>35</v>
      </c>
      <c r="C528" t="s">
        <v>78</v>
      </c>
      <c r="D528">
        <v>6</v>
      </c>
      <c r="E528">
        <v>7</v>
      </c>
    </row>
    <row r="529" spans="1:5" x14ac:dyDescent="0.35">
      <c r="A529" t="s">
        <v>382</v>
      </c>
      <c r="B529" t="s">
        <v>36</v>
      </c>
      <c r="C529" t="s">
        <v>79</v>
      </c>
      <c r="D529">
        <v>26</v>
      </c>
      <c r="E529">
        <v>50</v>
      </c>
    </row>
    <row r="530" spans="1:5" x14ac:dyDescent="0.35">
      <c r="A530" t="s">
        <v>382</v>
      </c>
      <c r="B530" t="s">
        <v>35</v>
      </c>
      <c r="C530" t="s">
        <v>81</v>
      </c>
      <c r="D530">
        <v>8</v>
      </c>
      <c r="E530">
        <v>33</v>
      </c>
    </row>
    <row r="531" spans="1:5" x14ac:dyDescent="0.35">
      <c r="A531" t="s">
        <v>382</v>
      </c>
      <c r="B531" t="s">
        <v>35</v>
      </c>
      <c r="C531" t="s">
        <v>214</v>
      </c>
      <c r="D531">
        <v>12</v>
      </c>
      <c r="E531">
        <v>40</v>
      </c>
    </row>
    <row r="532" spans="1:5" x14ac:dyDescent="0.35">
      <c r="A532" t="s">
        <v>382</v>
      </c>
      <c r="B532" t="s">
        <v>35</v>
      </c>
      <c r="C532" t="s">
        <v>82</v>
      </c>
      <c r="D532">
        <v>3</v>
      </c>
      <c r="E532">
        <v>11</v>
      </c>
    </row>
    <row r="533" spans="1:5" x14ac:dyDescent="0.35">
      <c r="A533" t="s">
        <v>382</v>
      </c>
      <c r="B533" t="s">
        <v>36</v>
      </c>
      <c r="C533" t="s">
        <v>84</v>
      </c>
      <c r="D533">
        <v>29</v>
      </c>
      <c r="E533">
        <v>20</v>
      </c>
    </row>
    <row r="534" spans="1:5" x14ac:dyDescent="0.35">
      <c r="A534" t="s">
        <v>382</v>
      </c>
      <c r="B534" t="s">
        <v>36</v>
      </c>
      <c r="C534" t="s">
        <v>85</v>
      </c>
      <c r="D534">
        <v>2044</v>
      </c>
      <c r="E534">
        <v>946</v>
      </c>
    </row>
    <row r="535" spans="1:5" x14ac:dyDescent="0.35">
      <c r="A535" t="s">
        <v>382</v>
      </c>
      <c r="B535" t="s">
        <v>38</v>
      </c>
      <c r="C535" t="s">
        <v>86</v>
      </c>
      <c r="D535">
        <v>392</v>
      </c>
      <c r="E535">
        <v>1172</v>
      </c>
    </row>
    <row r="536" spans="1:5" x14ac:dyDescent="0.35">
      <c r="A536" t="s">
        <v>382</v>
      </c>
      <c r="B536" t="s">
        <v>33</v>
      </c>
      <c r="C536" t="s">
        <v>87</v>
      </c>
      <c r="D536">
        <v>29</v>
      </c>
      <c r="E536">
        <v>116</v>
      </c>
    </row>
    <row r="537" spans="1:5" x14ac:dyDescent="0.35">
      <c r="A537" t="s">
        <v>382</v>
      </c>
      <c r="B537" t="s">
        <v>36</v>
      </c>
      <c r="C537" t="s">
        <v>16</v>
      </c>
      <c r="D537">
        <v>4949</v>
      </c>
      <c r="E537">
        <v>15096</v>
      </c>
    </row>
    <row r="538" spans="1:5" x14ac:dyDescent="0.35">
      <c r="A538" t="s">
        <v>382</v>
      </c>
      <c r="B538" t="s">
        <v>33</v>
      </c>
      <c r="C538" t="s">
        <v>89</v>
      </c>
      <c r="D538">
        <v>6</v>
      </c>
      <c r="E538">
        <v>5</v>
      </c>
    </row>
    <row r="539" spans="1:5" x14ac:dyDescent="0.35">
      <c r="A539" t="s">
        <v>382</v>
      </c>
      <c r="B539" t="s">
        <v>35</v>
      </c>
      <c r="C539" t="s">
        <v>90</v>
      </c>
      <c r="D539">
        <v>8</v>
      </c>
      <c r="E539">
        <v>13</v>
      </c>
    </row>
    <row r="540" spans="1:5" x14ac:dyDescent="0.35">
      <c r="A540" t="s">
        <v>382</v>
      </c>
      <c r="B540" t="s">
        <v>33</v>
      </c>
      <c r="C540" t="s">
        <v>91</v>
      </c>
      <c r="D540">
        <v>78</v>
      </c>
      <c r="E540">
        <v>72</v>
      </c>
    </row>
    <row r="541" spans="1:5" x14ac:dyDescent="0.35">
      <c r="A541" t="s">
        <v>382</v>
      </c>
      <c r="B541" t="s">
        <v>37</v>
      </c>
      <c r="C541" t="s">
        <v>92</v>
      </c>
      <c r="D541">
        <v>21</v>
      </c>
      <c r="E541">
        <v>24</v>
      </c>
    </row>
    <row r="542" spans="1:5" x14ac:dyDescent="0.35">
      <c r="A542" t="s">
        <v>382</v>
      </c>
      <c r="B542" t="s">
        <v>35</v>
      </c>
      <c r="C542" t="s">
        <v>93</v>
      </c>
      <c r="E542" t="s">
        <v>205</v>
      </c>
    </row>
    <row r="543" spans="1:5" x14ac:dyDescent="0.35">
      <c r="A543" t="s">
        <v>382</v>
      </c>
      <c r="B543" t="s">
        <v>35</v>
      </c>
      <c r="C543" t="s">
        <v>94</v>
      </c>
      <c r="D543">
        <v>22</v>
      </c>
      <c r="E543">
        <v>78</v>
      </c>
    </row>
    <row r="544" spans="1:5" x14ac:dyDescent="0.35">
      <c r="A544" t="s">
        <v>382</v>
      </c>
      <c r="B544" t="s">
        <v>33</v>
      </c>
      <c r="C544" t="s">
        <v>95</v>
      </c>
      <c r="D544" t="s">
        <v>205</v>
      </c>
      <c r="E544" t="s">
        <v>205</v>
      </c>
    </row>
    <row r="545" spans="1:5" x14ac:dyDescent="0.35">
      <c r="A545" t="s">
        <v>382</v>
      </c>
      <c r="B545" t="s">
        <v>33</v>
      </c>
      <c r="C545" t="s">
        <v>96</v>
      </c>
      <c r="D545">
        <v>10</v>
      </c>
      <c r="E545">
        <v>25</v>
      </c>
    </row>
    <row r="546" spans="1:5" x14ac:dyDescent="0.35">
      <c r="A546" t="s">
        <v>382</v>
      </c>
      <c r="B546" t="s">
        <v>34</v>
      </c>
      <c r="C546" t="s">
        <v>8</v>
      </c>
      <c r="D546">
        <v>17</v>
      </c>
      <c r="E546">
        <v>36</v>
      </c>
    </row>
    <row r="547" spans="1:5" x14ac:dyDescent="0.35">
      <c r="A547" t="s">
        <v>382</v>
      </c>
      <c r="B547" t="s">
        <v>35</v>
      </c>
      <c r="C547" t="s">
        <v>97</v>
      </c>
      <c r="D547">
        <v>60</v>
      </c>
      <c r="E547">
        <v>105</v>
      </c>
    </row>
    <row r="548" spans="1:5" x14ac:dyDescent="0.35">
      <c r="A548" t="s">
        <v>382</v>
      </c>
      <c r="B548" t="s">
        <v>33</v>
      </c>
      <c r="C548" t="s">
        <v>98</v>
      </c>
      <c r="D548">
        <v>88</v>
      </c>
      <c r="E548">
        <v>143</v>
      </c>
    </row>
    <row r="549" spans="1:5" x14ac:dyDescent="0.35">
      <c r="A549" t="s">
        <v>382</v>
      </c>
      <c r="B549" t="s">
        <v>35</v>
      </c>
      <c r="C549" t="s">
        <v>99</v>
      </c>
      <c r="D549">
        <v>13</v>
      </c>
      <c r="E549">
        <v>17</v>
      </c>
    </row>
    <row r="550" spans="1:5" x14ac:dyDescent="0.35">
      <c r="A550" t="s">
        <v>382</v>
      </c>
      <c r="B550" t="s">
        <v>36</v>
      </c>
      <c r="C550" t="s">
        <v>100</v>
      </c>
      <c r="D550">
        <v>19</v>
      </c>
      <c r="E550">
        <v>9</v>
      </c>
    </row>
    <row r="551" spans="1:5" x14ac:dyDescent="0.35">
      <c r="A551" t="s">
        <v>382</v>
      </c>
      <c r="B551" t="s">
        <v>36</v>
      </c>
      <c r="C551" t="s">
        <v>15</v>
      </c>
      <c r="D551">
        <v>3917</v>
      </c>
      <c r="E551">
        <v>21981</v>
      </c>
    </row>
    <row r="552" spans="1:5" x14ac:dyDescent="0.35">
      <c r="A552" t="s">
        <v>382</v>
      </c>
      <c r="B552" t="s">
        <v>33</v>
      </c>
      <c r="C552" t="s">
        <v>101</v>
      </c>
      <c r="D552">
        <v>20</v>
      </c>
      <c r="E552">
        <v>46</v>
      </c>
    </row>
    <row r="553" spans="1:5" x14ac:dyDescent="0.35">
      <c r="A553" t="s">
        <v>382</v>
      </c>
      <c r="B553" t="s">
        <v>38</v>
      </c>
      <c r="C553" t="s">
        <v>103</v>
      </c>
      <c r="D553">
        <v>191</v>
      </c>
      <c r="E553">
        <v>102</v>
      </c>
    </row>
    <row r="554" spans="1:5" x14ac:dyDescent="0.35">
      <c r="A554" t="s">
        <v>382</v>
      </c>
      <c r="B554" t="s">
        <v>36</v>
      </c>
      <c r="C554" t="s">
        <v>104</v>
      </c>
      <c r="D554">
        <v>519</v>
      </c>
      <c r="E554">
        <v>973</v>
      </c>
    </row>
    <row r="555" spans="1:5" x14ac:dyDescent="0.35">
      <c r="A555" t="s">
        <v>382</v>
      </c>
      <c r="B555" t="s">
        <v>36</v>
      </c>
      <c r="C555" t="s">
        <v>17</v>
      </c>
      <c r="D555">
        <v>5236</v>
      </c>
      <c r="E555">
        <v>24501</v>
      </c>
    </row>
    <row r="556" spans="1:5" x14ac:dyDescent="0.35">
      <c r="A556" t="s">
        <v>382</v>
      </c>
      <c r="B556" t="s">
        <v>34</v>
      </c>
      <c r="C556" t="s">
        <v>368</v>
      </c>
      <c r="D556">
        <v>4</v>
      </c>
      <c r="E556">
        <v>24</v>
      </c>
    </row>
    <row r="557" spans="1:5" x14ac:dyDescent="0.35">
      <c r="A557" t="s">
        <v>382</v>
      </c>
      <c r="B557" t="s">
        <v>35</v>
      </c>
      <c r="C557" t="s">
        <v>105</v>
      </c>
      <c r="D557">
        <v>10</v>
      </c>
      <c r="E557">
        <v>75</v>
      </c>
    </row>
    <row r="558" spans="1:5" x14ac:dyDescent="0.35">
      <c r="A558" t="s">
        <v>382</v>
      </c>
      <c r="B558" t="s">
        <v>34</v>
      </c>
      <c r="C558" t="s">
        <v>22</v>
      </c>
      <c r="D558">
        <v>125</v>
      </c>
      <c r="E558">
        <v>707</v>
      </c>
    </row>
    <row r="559" spans="1:5" x14ac:dyDescent="0.35">
      <c r="A559" t="s">
        <v>382</v>
      </c>
      <c r="B559" t="s">
        <v>34</v>
      </c>
      <c r="C559" t="s">
        <v>107</v>
      </c>
      <c r="D559">
        <v>39</v>
      </c>
      <c r="E559">
        <v>395</v>
      </c>
    </row>
    <row r="560" spans="1:5" x14ac:dyDescent="0.35">
      <c r="A560" t="s">
        <v>382</v>
      </c>
      <c r="B560" t="s">
        <v>34</v>
      </c>
      <c r="C560" t="s">
        <v>108</v>
      </c>
      <c r="D560">
        <v>9</v>
      </c>
      <c r="E560">
        <v>39</v>
      </c>
    </row>
    <row r="561" spans="1:5" x14ac:dyDescent="0.35">
      <c r="A561" t="s">
        <v>382</v>
      </c>
      <c r="B561" t="s">
        <v>34</v>
      </c>
      <c r="C561" t="s">
        <v>109</v>
      </c>
      <c r="D561">
        <v>3</v>
      </c>
      <c r="E561">
        <v>24</v>
      </c>
    </row>
    <row r="562" spans="1:5" x14ac:dyDescent="0.35">
      <c r="A562" t="s">
        <v>382</v>
      </c>
      <c r="B562" t="s">
        <v>35</v>
      </c>
      <c r="C562" t="s">
        <v>110</v>
      </c>
      <c r="D562">
        <v>20</v>
      </c>
      <c r="E562">
        <v>37</v>
      </c>
    </row>
    <row r="563" spans="1:5" x14ac:dyDescent="0.35">
      <c r="A563" t="s">
        <v>382</v>
      </c>
      <c r="B563" t="s">
        <v>34</v>
      </c>
      <c r="C563" t="s">
        <v>111</v>
      </c>
      <c r="D563">
        <v>53</v>
      </c>
      <c r="E563">
        <v>193</v>
      </c>
    </row>
    <row r="564" spans="1:5" x14ac:dyDescent="0.35">
      <c r="A564" t="s">
        <v>382</v>
      </c>
      <c r="B564" t="s">
        <v>35</v>
      </c>
      <c r="C564" t="s">
        <v>112</v>
      </c>
      <c r="D564">
        <v>69</v>
      </c>
      <c r="E564">
        <v>89</v>
      </c>
    </row>
    <row r="565" spans="1:5" x14ac:dyDescent="0.35">
      <c r="A565" t="s">
        <v>382</v>
      </c>
      <c r="B565" t="s">
        <v>36</v>
      </c>
      <c r="C565" t="s">
        <v>113</v>
      </c>
      <c r="D565">
        <v>1139</v>
      </c>
      <c r="E565">
        <v>351</v>
      </c>
    </row>
    <row r="566" spans="1:5" x14ac:dyDescent="0.35">
      <c r="A566" t="s">
        <v>382</v>
      </c>
      <c r="B566" t="s">
        <v>34</v>
      </c>
      <c r="C566" t="s">
        <v>114</v>
      </c>
      <c r="D566">
        <v>11</v>
      </c>
      <c r="E566">
        <v>27</v>
      </c>
    </row>
    <row r="567" spans="1:5" x14ac:dyDescent="0.35">
      <c r="A567" t="s">
        <v>382</v>
      </c>
      <c r="B567" t="s">
        <v>34</v>
      </c>
      <c r="C567" t="s">
        <v>115</v>
      </c>
      <c r="D567">
        <v>65</v>
      </c>
      <c r="E567">
        <v>147</v>
      </c>
    </row>
    <row r="568" spans="1:5" x14ac:dyDescent="0.35">
      <c r="A568" t="s">
        <v>382</v>
      </c>
      <c r="B568" t="s">
        <v>34</v>
      </c>
      <c r="C568" t="s">
        <v>116</v>
      </c>
      <c r="D568" t="s">
        <v>205</v>
      </c>
      <c r="E568" t="s">
        <v>205</v>
      </c>
    </row>
    <row r="569" spans="1:5" x14ac:dyDescent="0.35">
      <c r="A569" t="s">
        <v>382</v>
      </c>
      <c r="B569" t="s">
        <v>33</v>
      </c>
      <c r="C569" t="s">
        <v>117</v>
      </c>
      <c r="D569">
        <v>43</v>
      </c>
      <c r="E569">
        <v>83</v>
      </c>
    </row>
    <row r="570" spans="1:5" x14ac:dyDescent="0.35">
      <c r="A570" t="s">
        <v>382</v>
      </c>
      <c r="B570" t="s">
        <v>34</v>
      </c>
      <c r="C570" t="s">
        <v>118</v>
      </c>
      <c r="D570">
        <v>123</v>
      </c>
      <c r="E570">
        <v>294</v>
      </c>
    </row>
    <row r="571" spans="1:5" x14ac:dyDescent="0.35">
      <c r="A571" t="s">
        <v>382</v>
      </c>
      <c r="B571" t="s">
        <v>35</v>
      </c>
      <c r="C571" t="s">
        <v>119</v>
      </c>
      <c r="D571" t="s">
        <v>206</v>
      </c>
      <c r="E571" t="s">
        <v>206</v>
      </c>
    </row>
    <row r="572" spans="1:5" x14ac:dyDescent="0.35">
      <c r="A572" t="s">
        <v>382</v>
      </c>
      <c r="B572" t="s">
        <v>34</v>
      </c>
      <c r="C572" t="s">
        <v>120</v>
      </c>
      <c r="E572">
        <v>7</v>
      </c>
    </row>
    <row r="573" spans="1:5" x14ac:dyDescent="0.35">
      <c r="A573" t="s">
        <v>382</v>
      </c>
      <c r="B573" t="s">
        <v>34</v>
      </c>
      <c r="C573" t="s">
        <v>121</v>
      </c>
      <c r="D573" t="s">
        <v>205</v>
      </c>
      <c r="E573" t="s">
        <v>205</v>
      </c>
    </row>
    <row r="574" spans="1:5" x14ac:dyDescent="0.35">
      <c r="A574" t="s">
        <v>382</v>
      </c>
      <c r="B574" t="s">
        <v>34</v>
      </c>
      <c r="C574" t="s">
        <v>122</v>
      </c>
      <c r="D574" t="s">
        <v>205</v>
      </c>
      <c r="E574" t="s">
        <v>205</v>
      </c>
    </row>
    <row r="575" spans="1:5" x14ac:dyDescent="0.35">
      <c r="A575" t="s">
        <v>382</v>
      </c>
      <c r="B575" t="s">
        <v>35</v>
      </c>
      <c r="C575" t="s">
        <v>123</v>
      </c>
      <c r="D575">
        <v>3</v>
      </c>
      <c r="E575">
        <v>16</v>
      </c>
    </row>
    <row r="576" spans="1:5" x14ac:dyDescent="0.35">
      <c r="A576" t="s">
        <v>382</v>
      </c>
      <c r="B576" t="s">
        <v>34</v>
      </c>
      <c r="C576" t="s">
        <v>124</v>
      </c>
      <c r="D576">
        <v>33</v>
      </c>
      <c r="E576">
        <v>95</v>
      </c>
    </row>
    <row r="577" spans="1:5" x14ac:dyDescent="0.35">
      <c r="A577" t="s">
        <v>382</v>
      </c>
      <c r="B577" t="s">
        <v>33</v>
      </c>
      <c r="C577" t="s">
        <v>125</v>
      </c>
      <c r="D577">
        <v>43</v>
      </c>
      <c r="E577">
        <v>26</v>
      </c>
    </row>
    <row r="578" spans="1:5" x14ac:dyDescent="0.35">
      <c r="A578" t="s">
        <v>382</v>
      </c>
      <c r="B578" t="s">
        <v>35</v>
      </c>
      <c r="C578" t="s">
        <v>127</v>
      </c>
      <c r="D578">
        <v>14</v>
      </c>
      <c r="E578">
        <v>63</v>
      </c>
    </row>
    <row r="579" spans="1:5" x14ac:dyDescent="0.35">
      <c r="A579" t="s">
        <v>382</v>
      </c>
      <c r="B579" t="s">
        <v>33</v>
      </c>
      <c r="C579" t="s">
        <v>130</v>
      </c>
      <c r="D579" t="s">
        <v>205</v>
      </c>
      <c r="E579" t="s">
        <v>205</v>
      </c>
    </row>
    <row r="580" spans="1:5" x14ac:dyDescent="0.35">
      <c r="A580" t="s">
        <v>382</v>
      </c>
      <c r="B580" t="s">
        <v>34</v>
      </c>
      <c r="C580" t="s">
        <v>131</v>
      </c>
      <c r="D580">
        <v>21</v>
      </c>
      <c r="E580">
        <v>44</v>
      </c>
    </row>
    <row r="581" spans="1:5" x14ac:dyDescent="0.35">
      <c r="A581" t="s">
        <v>382</v>
      </c>
      <c r="B581" t="s">
        <v>33</v>
      </c>
      <c r="C581" t="s">
        <v>132</v>
      </c>
      <c r="D581">
        <v>4</v>
      </c>
      <c r="E581">
        <v>31</v>
      </c>
    </row>
    <row r="582" spans="1:5" x14ac:dyDescent="0.35">
      <c r="A582" t="s">
        <v>382</v>
      </c>
      <c r="B582" t="s">
        <v>37</v>
      </c>
      <c r="C582" t="s">
        <v>134</v>
      </c>
      <c r="D582">
        <v>10</v>
      </c>
    </row>
    <row r="583" spans="1:5" x14ac:dyDescent="0.35">
      <c r="A583" t="s">
        <v>382</v>
      </c>
      <c r="B583" t="s">
        <v>33</v>
      </c>
      <c r="C583" t="s">
        <v>135</v>
      </c>
      <c r="D583">
        <v>4</v>
      </c>
      <c r="E583">
        <v>17</v>
      </c>
    </row>
    <row r="584" spans="1:5" x14ac:dyDescent="0.35">
      <c r="A584" t="s">
        <v>382</v>
      </c>
      <c r="B584" t="s">
        <v>36</v>
      </c>
      <c r="C584" t="s">
        <v>14</v>
      </c>
      <c r="D584">
        <v>76967</v>
      </c>
      <c r="E584">
        <v>132029</v>
      </c>
    </row>
    <row r="585" spans="1:5" x14ac:dyDescent="0.35">
      <c r="A585" t="s">
        <v>382</v>
      </c>
      <c r="B585" t="s">
        <v>37</v>
      </c>
      <c r="C585" t="s">
        <v>137</v>
      </c>
      <c r="D585">
        <v>35</v>
      </c>
      <c r="E585">
        <v>8</v>
      </c>
    </row>
    <row r="586" spans="1:5" x14ac:dyDescent="0.35">
      <c r="A586" t="s">
        <v>382</v>
      </c>
      <c r="B586" t="s">
        <v>35</v>
      </c>
      <c r="C586" t="s">
        <v>138</v>
      </c>
      <c r="D586">
        <v>6</v>
      </c>
      <c r="E586">
        <v>10</v>
      </c>
    </row>
    <row r="587" spans="1:5" x14ac:dyDescent="0.35">
      <c r="A587" t="s">
        <v>382</v>
      </c>
      <c r="B587" t="s">
        <v>34</v>
      </c>
      <c r="C587" t="s">
        <v>139</v>
      </c>
      <c r="D587">
        <v>6</v>
      </c>
      <c r="E587">
        <v>40</v>
      </c>
    </row>
    <row r="588" spans="1:5" x14ac:dyDescent="0.35">
      <c r="A588" t="s">
        <v>382</v>
      </c>
      <c r="B588" t="s">
        <v>35</v>
      </c>
      <c r="C588" t="s">
        <v>140</v>
      </c>
    </row>
    <row r="589" spans="1:5" x14ac:dyDescent="0.35">
      <c r="A589" t="s">
        <v>382</v>
      </c>
      <c r="B589" t="s">
        <v>33</v>
      </c>
      <c r="C589" t="s">
        <v>141</v>
      </c>
      <c r="D589">
        <v>27</v>
      </c>
      <c r="E589">
        <v>61</v>
      </c>
    </row>
    <row r="590" spans="1:5" x14ac:dyDescent="0.35">
      <c r="A590" t="s">
        <v>382</v>
      </c>
      <c r="B590" t="s">
        <v>34</v>
      </c>
      <c r="C590" t="s">
        <v>144</v>
      </c>
      <c r="D590">
        <v>5</v>
      </c>
      <c r="E590">
        <v>38</v>
      </c>
    </row>
    <row r="591" spans="1:5" x14ac:dyDescent="0.35">
      <c r="A591" t="s">
        <v>382</v>
      </c>
      <c r="B591" t="s">
        <v>35</v>
      </c>
      <c r="C591" t="s">
        <v>145</v>
      </c>
      <c r="D591">
        <v>36</v>
      </c>
      <c r="E591">
        <v>39</v>
      </c>
    </row>
    <row r="592" spans="1:5" x14ac:dyDescent="0.35">
      <c r="A592" t="s">
        <v>382</v>
      </c>
      <c r="B592" t="s">
        <v>37</v>
      </c>
      <c r="C592" t="s">
        <v>146</v>
      </c>
      <c r="D592">
        <v>13</v>
      </c>
      <c r="E592">
        <v>22</v>
      </c>
    </row>
    <row r="593" spans="1:5" x14ac:dyDescent="0.35">
      <c r="A593" t="s">
        <v>382</v>
      </c>
      <c r="B593" t="s">
        <v>36</v>
      </c>
      <c r="C593" t="s">
        <v>147</v>
      </c>
      <c r="D593">
        <v>508</v>
      </c>
      <c r="E593">
        <v>1799</v>
      </c>
    </row>
    <row r="594" spans="1:5" x14ac:dyDescent="0.35">
      <c r="A594" t="s">
        <v>382</v>
      </c>
      <c r="B594" t="s">
        <v>33</v>
      </c>
      <c r="C594" t="s">
        <v>148</v>
      </c>
      <c r="D594">
        <v>20</v>
      </c>
      <c r="E594">
        <v>20</v>
      </c>
    </row>
    <row r="595" spans="1:5" x14ac:dyDescent="0.35">
      <c r="A595" t="s">
        <v>382</v>
      </c>
      <c r="B595" t="s">
        <v>33</v>
      </c>
      <c r="C595" t="s">
        <v>149</v>
      </c>
      <c r="D595">
        <v>241</v>
      </c>
      <c r="E595">
        <v>194</v>
      </c>
    </row>
    <row r="596" spans="1:5" x14ac:dyDescent="0.35">
      <c r="A596" t="s">
        <v>382</v>
      </c>
      <c r="B596" t="s">
        <v>35</v>
      </c>
      <c r="C596" t="s">
        <v>322</v>
      </c>
      <c r="D596">
        <v>8</v>
      </c>
      <c r="E596">
        <v>26</v>
      </c>
    </row>
    <row r="597" spans="1:5" x14ac:dyDescent="0.35">
      <c r="A597" t="s">
        <v>382</v>
      </c>
      <c r="B597" t="s">
        <v>35</v>
      </c>
      <c r="C597" t="s">
        <v>150</v>
      </c>
      <c r="D597">
        <v>4</v>
      </c>
      <c r="E597">
        <v>5</v>
      </c>
    </row>
    <row r="598" spans="1:5" x14ac:dyDescent="0.35">
      <c r="A598" t="s">
        <v>382</v>
      </c>
      <c r="B598" t="s">
        <v>34</v>
      </c>
      <c r="C598" t="s">
        <v>152</v>
      </c>
      <c r="D598">
        <v>112</v>
      </c>
      <c r="E598">
        <v>433</v>
      </c>
    </row>
    <row r="599" spans="1:5" x14ac:dyDescent="0.35">
      <c r="A599" t="s">
        <v>382</v>
      </c>
      <c r="B599" t="s">
        <v>37</v>
      </c>
      <c r="C599" t="s">
        <v>153</v>
      </c>
      <c r="D599">
        <v>6</v>
      </c>
    </row>
    <row r="600" spans="1:5" x14ac:dyDescent="0.35">
      <c r="A600" t="s">
        <v>382</v>
      </c>
      <c r="B600" t="s">
        <v>36</v>
      </c>
      <c r="C600" t="s">
        <v>154</v>
      </c>
      <c r="D600">
        <v>99</v>
      </c>
      <c r="E600">
        <v>86</v>
      </c>
    </row>
    <row r="601" spans="1:5" x14ac:dyDescent="0.35">
      <c r="A601" t="s">
        <v>382</v>
      </c>
      <c r="B601" t="s">
        <v>38</v>
      </c>
      <c r="C601" t="s">
        <v>155</v>
      </c>
      <c r="D601">
        <v>6</v>
      </c>
      <c r="E601">
        <v>43</v>
      </c>
    </row>
    <row r="602" spans="1:5" x14ac:dyDescent="0.35">
      <c r="A602" t="s">
        <v>382</v>
      </c>
      <c r="B602" t="s">
        <v>38</v>
      </c>
      <c r="C602" t="s">
        <v>156</v>
      </c>
      <c r="D602">
        <v>295</v>
      </c>
      <c r="E602">
        <v>913</v>
      </c>
    </row>
    <row r="603" spans="1:5" x14ac:dyDescent="0.35">
      <c r="A603" t="s">
        <v>382</v>
      </c>
      <c r="B603" t="s">
        <v>34</v>
      </c>
      <c r="C603" t="s">
        <v>18</v>
      </c>
      <c r="D603">
        <v>278</v>
      </c>
      <c r="E603">
        <v>419</v>
      </c>
    </row>
    <row r="604" spans="1:5" x14ac:dyDescent="0.35">
      <c r="A604" t="s">
        <v>382</v>
      </c>
      <c r="B604" t="s">
        <v>35</v>
      </c>
      <c r="C604" t="s">
        <v>157</v>
      </c>
      <c r="D604">
        <v>112</v>
      </c>
      <c r="E604">
        <v>298</v>
      </c>
    </row>
    <row r="605" spans="1:5" x14ac:dyDescent="0.35">
      <c r="A605" t="s">
        <v>382</v>
      </c>
      <c r="B605" t="s">
        <v>35</v>
      </c>
      <c r="C605" t="s">
        <v>158</v>
      </c>
      <c r="D605">
        <v>80</v>
      </c>
      <c r="E605">
        <v>44</v>
      </c>
    </row>
    <row r="606" spans="1:5" x14ac:dyDescent="0.35">
      <c r="A606" t="s">
        <v>382</v>
      </c>
      <c r="B606" t="s">
        <v>35</v>
      </c>
      <c r="C606" t="s">
        <v>160</v>
      </c>
      <c r="D606">
        <v>39</v>
      </c>
      <c r="E606">
        <v>161</v>
      </c>
    </row>
    <row r="607" spans="1:5" x14ac:dyDescent="0.35">
      <c r="A607" t="s">
        <v>382</v>
      </c>
      <c r="B607" t="s">
        <v>35</v>
      </c>
      <c r="C607" t="s">
        <v>161</v>
      </c>
      <c r="D607">
        <v>49</v>
      </c>
      <c r="E607">
        <v>139</v>
      </c>
    </row>
    <row r="608" spans="1:5" x14ac:dyDescent="0.35">
      <c r="A608" t="s">
        <v>382</v>
      </c>
      <c r="B608" t="s">
        <v>33</v>
      </c>
      <c r="C608" t="s">
        <v>162</v>
      </c>
      <c r="D608" t="s">
        <v>205</v>
      </c>
      <c r="E608" t="s">
        <v>205</v>
      </c>
    </row>
    <row r="609" spans="1:5" x14ac:dyDescent="0.35">
      <c r="A609" t="s">
        <v>382</v>
      </c>
      <c r="B609" t="s">
        <v>36</v>
      </c>
      <c r="C609" t="s">
        <v>163</v>
      </c>
      <c r="D609" t="s">
        <v>205</v>
      </c>
      <c r="E609" t="s">
        <v>205</v>
      </c>
    </row>
    <row r="610" spans="1:5" x14ac:dyDescent="0.35">
      <c r="A610" t="s">
        <v>382</v>
      </c>
      <c r="B610" t="s">
        <v>36</v>
      </c>
      <c r="C610" t="s">
        <v>164</v>
      </c>
      <c r="D610">
        <v>27</v>
      </c>
      <c r="E610">
        <v>19</v>
      </c>
    </row>
    <row r="611" spans="1:5" x14ac:dyDescent="0.35">
      <c r="A611" t="s">
        <v>382</v>
      </c>
      <c r="B611" t="s">
        <v>36</v>
      </c>
      <c r="C611" t="s">
        <v>165</v>
      </c>
      <c r="D611">
        <v>15</v>
      </c>
      <c r="E611">
        <v>11</v>
      </c>
    </row>
    <row r="612" spans="1:5" x14ac:dyDescent="0.35">
      <c r="A612" t="s">
        <v>382</v>
      </c>
      <c r="B612" t="s">
        <v>37</v>
      </c>
      <c r="C612" t="s">
        <v>166</v>
      </c>
      <c r="D612">
        <v>12</v>
      </c>
      <c r="E612">
        <v>11</v>
      </c>
    </row>
    <row r="613" spans="1:5" x14ac:dyDescent="0.35">
      <c r="A613" t="s">
        <v>382</v>
      </c>
      <c r="B613" t="s">
        <v>34</v>
      </c>
      <c r="C613" t="s">
        <v>167</v>
      </c>
      <c r="D613">
        <v>5</v>
      </c>
      <c r="E613">
        <v>26</v>
      </c>
    </row>
    <row r="614" spans="1:5" x14ac:dyDescent="0.35">
      <c r="A614" t="s">
        <v>382</v>
      </c>
      <c r="B614" t="s">
        <v>33</v>
      </c>
      <c r="C614" t="s">
        <v>168</v>
      </c>
      <c r="D614">
        <v>15</v>
      </c>
      <c r="E614">
        <v>64</v>
      </c>
    </row>
    <row r="615" spans="1:5" x14ac:dyDescent="0.35">
      <c r="A615" t="s">
        <v>382</v>
      </c>
      <c r="B615" t="s">
        <v>35</v>
      </c>
      <c r="C615" t="s">
        <v>169</v>
      </c>
    </row>
    <row r="616" spans="1:5" x14ac:dyDescent="0.35">
      <c r="A616" t="s">
        <v>382</v>
      </c>
      <c r="B616" t="s">
        <v>35</v>
      </c>
      <c r="C616" t="s">
        <v>215</v>
      </c>
      <c r="D616">
        <v>32</v>
      </c>
      <c r="E616">
        <v>105</v>
      </c>
    </row>
    <row r="617" spans="1:5" x14ac:dyDescent="0.35">
      <c r="A617" t="s">
        <v>382</v>
      </c>
      <c r="B617" t="s">
        <v>33</v>
      </c>
      <c r="C617" t="s">
        <v>170</v>
      </c>
      <c r="D617">
        <v>16</v>
      </c>
      <c r="E617">
        <v>35</v>
      </c>
    </row>
    <row r="618" spans="1:5" x14ac:dyDescent="0.35">
      <c r="A618" t="s">
        <v>382</v>
      </c>
      <c r="B618" t="s">
        <v>34</v>
      </c>
      <c r="C618" t="s">
        <v>171</v>
      </c>
      <c r="D618">
        <v>5</v>
      </c>
      <c r="E618">
        <v>11</v>
      </c>
    </row>
    <row r="619" spans="1:5" x14ac:dyDescent="0.35">
      <c r="A619" t="s">
        <v>382</v>
      </c>
      <c r="B619" t="s">
        <v>35</v>
      </c>
      <c r="C619" t="s">
        <v>172</v>
      </c>
      <c r="D619">
        <v>6</v>
      </c>
      <c r="E619">
        <v>38</v>
      </c>
    </row>
    <row r="620" spans="1:5" x14ac:dyDescent="0.35">
      <c r="A620" t="s">
        <v>382</v>
      </c>
      <c r="B620" t="s">
        <v>35</v>
      </c>
      <c r="C620" t="s">
        <v>173</v>
      </c>
      <c r="D620" t="s">
        <v>205</v>
      </c>
      <c r="E620" t="s">
        <v>205</v>
      </c>
    </row>
    <row r="621" spans="1:5" x14ac:dyDescent="0.35">
      <c r="A621" t="s">
        <v>382</v>
      </c>
      <c r="B621" t="s">
        <v>33</v>
      </c>
      <c r="C621" t="s">
        <v>174</v>
      </c>
      <c r="D621">
        <v>3</v>
      </c>
      <c r="E621">
        <v>16</v>
      </c>
    </row>
    <row r="622" spans="1:5" x14ac:dyDescent="0.35">
      <c r="A622" t="s">
        <v>382</v>
      </c>
      <c r="B622" t="s">
        <v>33</v>
      </c>
      <c r="C622" t="s">
        <v>175</v>
      </c>
      <c r="D622">
        <v>13</v>
      </c>
      <c r="E622">
        <v>32</v>
      </c>
    </row>
    <row r="623" spans="1:5" x14ac:dyDescent="0.35">
      <c r="A623" t="s">
        <v>382</v>
      </c>
      <c r="B623" t="s">
        <v>33</v>
      </c>
      <c r="C623" t="s">
        <v>176</v>
      </c>
      <c r="D623" t="s">
        <v>206</v>
      </c>
      <c r="E623" t="s">
        <v>206</v>
      </c>
    </row>
    <row r="624" spans="1:5" x14ac:dyDescent="0.35">
      <c r="A624" t="s">
        <v>382</v>
      </c>
      <c r="B624" t="s">
        <v>35</v>
      </c>
      <c r="C624" t="s">
        <v>216</v>
      </c>
      <c r="D624" t="s">
        <v>205</v>
      </c>
      <c r="E624" t="s">
        <v>205</v>
      </c>
    </row>
    <row r="625" spans="1:5" x14ac:dyDescent="0.35">
      <c r="A625" t="s">
        <v>382</v>
      </c>
      <c r="B625" t="s">
        <v>35</v>
      </c>
      <c r="C625" t="s">
        <v>177</v>
      </c>
      <c r="D625">
        <v>25</v>
      </c>
      <c r="E625">
        <v>40</v>
      </c>
    </row>
    <row r="626" spans="1:5" x14ac:dyDescent="0.35">
      <c r="A626" t="s">
        <v>382</v>
      </c>
      <c r="B626" t="s">
        <v>34</v>
      </c>
      <c r="C626" t="s">
        <v>178</v>
      </c>
      <c r="D626">
        <v>6</v>
      </c>
      <c r="E626">
        <v>54</v>
      </c>
    </row>
    <row r="627" spans="1:5" x14ac:dyDescent="0.35">
      <c r="A627" t="s">
        <v>382</v>
      </c>
      <c r="B627" t="s">
        <v>33</v>
      </c>
      <c r="C627" t="s">
        <v>179</v>
      </c>
      <c r="D627">
        <v>5</v>
      </c>
      <c r="E627">
        <v>8</v>
      </c>
    </row>
    <row r="628" spans="1:5" x14ac:dyDescent="0.35">
      <c r="A628" t="s">
        <v>382</v>
      </c>
      <c r="B628" t="s">
        <v>38</v>
      </c>
      <c r="C628" t="s">
        <v>180</v>
      </c>
      <c r="D628">
        <v>6</v>
      </c>
      <c r="E628">
        <v>6</v>
      </c>
    </row>
    <row r="629" spans="1:5" x14ac:dyDescent="0.35">
      <c r="A629" t="s">
        <v>382</v>
      </c>
      <c r="B629" t="s">
        <v>35</v>
      </c>
      <c r="C629" t="s">
        <v>182</v>
      </c>
      <c r="D629">
        <v>10</v>
      </c>
      <c r="E629">
        <v>25</v>
      </c>
    </row>
    <row r="630" spans="1:5" x14ac:dyDescent="0.35">
      <c r="A630" t="s">
        <v>382</v>
      </c>
      <c r="B630" t="s">
        <v>35</v>
      </c>
      <c r="C630" t="s">
        <v>183</v>
      </c>
      <c r="D630">
        <v>4</v>
      </c>
      <c r="E630">
        <v>12</v>
      </c>
    </row>
    <row r="631" spans="1:5" x14ac:dyDescent="0.35">
      <c r="A631" t="s">
        <v>382</v>
      </c>
      <c r="B631" t="s">
        <v>34</v>
      </c>
      <c r="C631" t="s">
        <v>184</v>
      </c>
      <c r="D631">
        <v>7</v>
      </c>
      <c r="E631">
        <v>33</v>
      </c>
    </row>
    <row r="632" spans="1:5" x14ac:dyDescent="0.35">
      <c r="A632" t="s">
        <v>382</v>
      </c>
      <c r="B632" t="s">
        <v>34</v>
      </c>
      <c r="C632" t="s">
        <v>185</v>
      </c>
      <c r="D632">
        <v>15</v>
      </c>
      <c r="E632">
        <v>111</v>
      </c>
    </row>
    <row r="633" spans="1:5" x14ac:dyDescent="0.35">
      <c r="A633" t="s">
        <v>382</v>
      </c>
      <c r="B633" t="s">
        <v>34</v>
      </c>
      <c r="C633" t="s">
        <v>186</v>
      </c>
      <c r="E633" t="s">
        <v>205</v>
      </c>
    </row>
    <row r="634" spans="1:5" x14ac:dyDescent="0.35">
      <c r="A634" t="s">
        <v>382</v>
      </c>
      <c r="B634" t="s">
        <v>33</v>
      </c>
      <c r="C634" t="s">
        <v>187</v>
      </c>
      <c r="D634">
        <v>8</v>
      </c>
      <c r="E634">
        <v>15</v>
      </c>
    </row>
    <row r="635" spans="1:5" x14ac:dyDescent="0.35">
      <c r="A635" t="s">
        <v>382</v>
      </c>
      <c r="B635" t="s">
        <v>34</v>
      </c>
      <c r="C635" t="s">
        <v>188</v>
      </c>
      <c r="D635">
        <v>13</v>
      </c>
      <c r="E635">
        <v>78</v>
      </c>
    </row>
    <row r="636" spans="1:5" x14ac:dyDescent="0.35">
      <c r="A636" t="s">
        <v>382</v>
      </c>
      <c r="B636" t="s">
        <v>33</v>
      </c>
      <c r="C636" t="s">
        <v>189</v>
      </c>
      <c r="D636">
        <v>7</v>
      </c>
      <c r="E636">
        <v>16</v>
      </c>
    </row>
    <row r="637" spans="1:5" x14ac:dyDescent="0.35">
      <c r="A637" t="s">
        <v>382</v>
      </c>
      <c r="B637" t="s">
        <v>37</v>
      </c>
      <c r="C637" t="s">
        <v>190</v>
      </c>
      <c r="D637">
        <v>23</v>
      </c>
      <c r="E637">
        <v>9</v>
      </c>
    </row>
    <row r="638" spans="1:5" x14ac:dyDescent="0.35">
      <c r="A638" t="s">
        <v>382</v>
      </c>
      <c r="B638" t="s">
        <v>36</v>
      </c>
      <c r="C638" t="s">
        <v>191</v>
      </c>
      <c r="D638">
        <v>234</v>
      </c>
      <c r="E638">
        <v>129</v>
      </c>
    </row>
    <row r="639" spans="1:5" x14ac:dyDescent="0.35">
      <c r="A639" t="s">
        <v>382</v>
      </c>
      <c r="B639" t="s">
        <v>33</v>
      </c>
      <c r="C639" t="s">
        <v>192</v>
      </c>
      <c r="D639">
        <v>5</v>
      </c>
      <c r="E639">
        <v>18</v>
      </c>
    </row>
    <row r="640" spans="1:5" x14ac:dyDescent="0.35">
      <c r="A640" t="s">
        <v>382</v>
      </c>
      <c r="B640" t="s">
        <v>34</v>
      </c>
      <c r="C640" t="s">
        <v>193</v>
      </c>
      <c r="D640">
        <v>35</v>
      </c>
      <c r="E640">
        <v>120</v>
      </c>
    </row>
    <row r="641" spans="1:5" x14ac:dyDescent="0.35">
      <c r="A641" t="s">
        <v>382</v>
      </c>
      <c r="B641" t="s">
        <v>36</v>
      </c>
      <c r="C641" t="s">
        <v>372</v>
      </c>
      <c r="E641">
        <v>3</v>
      </c>
    </row>
    <row r="642" spans="1:5" x14ac:dyDescent="0.35">
      <c r="A642" t="s">
        <v>382</v>
      </c>
      <c r="B642" t="s">
        <v>33</v>
      </c>
      <c r="C642" t="s">
        <v>195</v>
      </c>
      <c r="D642">
        <v>7</v>
      </c>
      <c r="E642">
        <v>24</v>
      </c>
    </row>
    <row r="643" spans="1:5" x14ac:dyDescent="0.35">
      <c r="A643" t="s">
        <v>382</v>
      </c>
      <c r="B643" t="s">
        <v>35</v>
      </c>
      <c r="C643" t="s">
        <v>196</v>
      </c>
      <c r="D643">
        <v>36</v>
      </c>
      <c r="E643">
        <v>126</v>
      </c>
    </row>
    <row r="644" spans="1:5" x14ac:dyDescent="0.35">
      <c r="A644" t="s">
        <v>382</v>
      </c>
      <c r="B644" t="s">
        <v>34</v>
      </c>
      <c r="C644" t="s">
        <v>197</v>
      </c>
      <c r="E644">
        <v>5</v>
      </c>
    </row>
    <row r="645" spans="1:5" x14ac:dyDescent="0.35">
      <c r="A645" t="s">
        <v>382</v>
      </c>
      <c r="B645" t="s">
        <v>35</v>
      </c>
      <c r="C645" t="s">
        <v>198</v>
      </c>
      <c r="D645">
        <v>162</v>
      </c>
      <c r="E645">
        <v>216</v>
      </c>
    </row>
    <row r="646" spans="1:5" x14ac:dyDescent="0.35">
      <c r="A646" t="s">
        <v>382</v>
      </c>
      <c r="B646" t="s">
        <v>39</v>
      </c>
      <c r="C646" t="s">
        <v>39</v>
      </c>
      <c r="D646">
        <v>4</v>
      </c>
      <c r="E646">
        <v>39</v>
      </c>
    </row>
    <row r="647" spans="1:5" x14ac:dyDescent="0.35">
      <c r="A647" t="s">
        <v>382</v>
      </c>
      <c r="B647" t="s">
        <v>38</v>
      </c>
      <c r="C647" t="s">
        <v>199</v>
      </c>
      <c r="D647">
        <v>31</v>
      </c>
      <c r="E647">
        <v>132</v>
      </c>
    </row>
    <row r="648" spans="1:5" x14ac:dyDescent="0.35">
      <c r="A648" t="s">
        <v>382</v>
      </c>
      <c r="B648" t="s">
        <v>34</v>
      </c>
      <c r="C648" t="s">
        <v>200</v>
      </c>
      <c r="D648">
        <v>7</v>
      </c>
      <c r="E648">
        <v>39</v>
      </c>
    </row>
    <row r="649" spans="1:5" x14ac:dyDescent="0.35">
      <c r="A649" t="s">
        <v>382</v>
      </c>
      <c r="B649" t="s">
        <v>38</v>
      </c>
      <c r="C649" t="s">
        <v>19</v>
      </c>
      <c r="D649">
        <v>124</v>
      </c>
      <c r="E649">
        <v>358</v>
      </c>
    </row>
    <row r="650" spans="1:5" x14ac:dyDescent="0.35">
      <c r="A650" t="s">
        <v>382</v>
      </c>
      <c r="B650" t="s">
        <v>34</v>
      </c>
      <c r="C650" t="s">
        <v>201</v>
      </c>
      <c r="D650">
        <v>9</v>
      </c>
      <c r="E650">
        <v>18</v>
      </c>
    </row>
    <row r="651" spans="1:5" x14ac:dyDescent="0.35">
      <c r="A651" t="s">
        <v>382</v>
      </c>
      <c r="B651" t="s">
        <v>34</v>
      </c>
      <c r="C651" t="s">
        <v>202</v>
      </c>
      <c r="D651">
        <v>17</v>
      </c>
      <c r="E651">
        <v>47</v>
      </c>
    </row>
    <row r="652" spans="1:5" x14ac:dyDescent="0.35">
      <c r="A652" t="s">
        <v>382</v>
      </c>
      <c r="B652" t="s">
        <v>33</v>
      </c>
      <c r="C652" t="s">
        <v>203</v>
      </c>
      <c r="D652">
        <v>13</v>
      </c>
      <c r="E652">
        <v>12</v>
      </c>
    </row>
    <row r="653" spans="1:5" x14ac:dyDescent="0.35">
      <c r="A653" t="s">
        <v>382</v>
      </c>
      <c r="B653" t="s">
        <v>33</v>
      </c>
      <c r="C653" t="s">
        <v>204</v>
      </c>
      <c r="D653" t="s">
        <v>205</v>
      </c>
      <c r="E653" t="s">
        <v>205</v>
      </c>
    </row>
    <row r="654" spans="1:5" x14ac:dyDescent="0.35">
      <c r="A654" t="s">
        <v>394</v>
      </c>
      <c r="B654" t="s">
        <v>34</v>
      </c>
      <c r="C654" t="s">
        <v>40</v>
      </c>
      <c r="D654">
        <v>11</v>
      </c>
      <c r="E654">
        <v>20</v>
      </c>
    </row>
    <row r="655" spans="1:5" x14ac:dyDescent="0.35">
      <c r="A655" t="s">
        <v>394</v>
      </c>
      <c r="B655" t="s">
        <v>35</v>
      </c>
      <c r="C655" t="s">
        <v>41</v>
      </c>
      <c r="D655">
        <v>34</v>
      </c>
      <c r="E655">
        <v>297</v>
      </c>
    </row>
    <row r="656" spans="1:5" x14ac:dyDescent="0.35">
      <c r="A656" t="s">
        <v>394</v>
      </c>
      <c r="B656" t="s">
        <v>33</v>
      </c>
      <c r="C656" t="s">
        <v>42</v>
      </c>
      <c r="D656">
        <v>4</v>
      </c>
      <c r="E656">
        <v>17</v>
      </c>
    </row>
    <row r="657" spans="1:5" x14ac:dyDescent="0.35">
      <c r="A657" t="s">
        <v>394</v>
      </c>
      <c r="C657" t="s">
        <v>373</v>
      </c>
      <c r="D657">
        <v>23</v>
      </c>
      <c r="E657">
        <v>49</v>
      </c>
    </row>
    <row r="658" spans="1:5" x14ac:dyDescent="0.35">
      <c r="A658" t="s">
        <v>394</v>
      </c>
      <c r="B658" t="s">
        <v>33</v>
      </c>
      <c r="C658" t="s">
        <v>43</v>
      </c>
      <c r="D658" t="s">
        <v>205</v>
      </c>
      <c r="E658" t="s">
        <v>205</v>
      </c>
    </row>
    <row r="659" spans="1:5" x14ac:dyDescent="0.35">
      <c r="A659" t="s">
        <v>394</v>
      </c>
      <c r="B659" t="s">
        <v>36</v>
      </c>
      <c r="C659" t="s">
        <v>44</v>
      </c>
      <c r="D659">
        <v>23</v>
      </c>
      <c r="E659">
        <v>5</v>
      </c>
    </row>
    <row r="660" spans="1:5" x14ac:dyDescent="0.35">
      <c r="A660" t="s">
        <v>394</v>
      </c>
      <c r="B660" t="s">
        <v>38</v>
      </c>
      <c r="C660" t="s">
        <v>45</v>
      </c>
      <c r="D660">
        <v>84</v>
      </c>
      <c r="E660">
        <v>306</v>
      </c>
    </row>
    <row r="661" spans="1:5" x14ac:dyDescent="0.35">
      <c r="A661" t="s">
        <v>394</v>
      </c>
      <c r="B661" t="s">
        <v>34</v>
      </c>
      <c r="C661" t="s">
        <v>46</v>
      </c>
      <c r="D661">
        <v>43</v>
      </c>
      <c r="E661">
        <v>43</v>
      </c>
    </row>
    <row r="662" spans="1:5" x14ac:dyDescent="0.35">
      <c r="A662" t="s">
        <v>394</v>
      </c>
      <c r="B662" t="s">
        <v>37</v>
      </c>
      <c r="C662" t="s">
        <v>47</v>
      </c>
      <c r="D662">
        <v>14</v>
      </c>
      <c r="E662">
        <v>33</v>
      </c>
    </row>
    <row r="663" spans="1:5" x14ac:dyDescent="0.35">
      <c r="A663" t="s">
        <v>394</v>
      </c>
      <c r="B663" t="s">
        <v>35</v>
      </c>
      <c r="C663" t="s">
        <v>48</v>
      </c>
      <c r="D663">
        <v>3</v>
      </c>
      <c r="E663">
        <v>15</v>
      </c>
    </row>
    <row r="664" spans="1:5" x14ac:dyDescent="0.35">
      <c r="A664" t="s">
        <v>394</v>
      </c>
      <c r="B664" t="s">
        <v>34</v>
      </c>
      <c r="C664" t="s">
        <v>49</v>
      </c>
      <c r="D664" t="s">
        <v>205</v>
      </c>
      <c r="E664" t="s">
        <v>205</v>
      </c>
    </row>
    <row r="665" spans="1:5" x14ac:dyDescent="0.35">
      <c r="A665" t="s">
        <v>394</v>
      </c>
      <c r="B665" t="s">
        <v>36</v>
      </c>
      <c r="C665" t="s">
        <v>50</v>
      </c>
      <c r="D665">
        <v>82</v>
      </c>
      <c r="E665">
        <v>23</v>
      </c>
    </row>
    <row r="666" spans="1:5" x14ac:dyDescent="0.35">
      <c r="A666" t="s">
        <v>394</v>
      </c>
      <c r="B666" t="s">
        <v>34</v>
      </c>
      <c r="C666" t="s">
        <v>52</v>
      </c>
      <c r="D666">
        <v>17</v>
      </c>
      <c r="E666">
        <v>98</v>
      </c>
    </row>
    <row r="667" spans="1:5" x14ac:dyDescent="0.35">
      <c r="A667" t="s">
        <v>394</v>
      </c>
      <c r="B667" t="s">
        <v>36</v>
      </c>
      <c r="C667" t="s">
        <v>53</v>
      </c>
      <c r="D667">
        <v>39</v>
      </c>
      <c r="E667">
        <v>5</v>
      </c>
    </row>
    <row r="668" spans="1:5" x14ac:dyDescent="0.35">
      <c r="A668" t="s">
        <v>394</v>
      </c>
      <c r="B668" t="s">
        <v>35</v>
      </c>
      <c r="C668" t="s">
        <v>54</v>
      </c>
      <c r="D668">
        <v>9</v>
      </c>
      <c r="E668">
        <v>16</v>
      </c>
    </row>
    <row r="669" spans="1:5" x14ac:dyDescent="0.35">
      <c r="A669" t="s">
        <v>394</v>
      </c>
      <c r="B669" t="s">
        <v>35</v>
      </c>
      <c r="C669" t="s">
        <v>55</v>
      </c>
      <c r="D669" t="s">
        <v>205</v>
      </c>
      <c r="E669" t="s">
        <v>205</v>
      </c>
    </row>
    <row r="670" spans="1:5" x14ac:dyDescent="0.35">
      <c r="A670" t="s">
        <v>394</v>
      </c>
      <c r="B670" t="s">
        <v>36</v>
      </c>
      <c r="C670" t="s">
        <v>56</v>
      </c>
      <c r="D670">
        <v>109</v>
      </c>
      <c r="E670">
        <v>104</v>
      </c>
    </row>
    <row r="671" spans="1:5" x14ac:dyDescent="0.35">
      <c r="A671" t="s">
        <v>394</v>
      </c>
      <c r="B671" t="s">
        <v>33</v>
      </c>
      <c r="C671" t="s">
        <v>57</v>
      </c>
      <c r="D671">
        <v>3</v>
      </c>
      <c r="E671">
        <v>11</v>
      </c>
    </row>
    <row r="672" spans="1:5" x14ac:dyDescent="0.35">
      <c r="A672" t="s">
        <v>394</v>
      </c>
      <c r="B672" t="s">
        <v>36</v>
      </c>
      <c r="C672" t="s">
        <v>363</v>
      </c>
      <c r="D672">
        <v>3</v>
      </c>
      <c r="E672">
        <v>6</v>
      </c>
    </row>
    <row r="673" spans="1:5" x14ac:dyDescent="0.35">
      <c r="A673" t="s">
        <v>394</v>
      </c>
      <c r="B673" t="s">
        <v>38</v>
      </c>
      <c r="C673" t="s">
        <v>59</v>
      </c>
      <c r="D673">
        <v>54</v>
      </c>
      <c r="E673">
        <v>222</v>
      </c>
    </row>
    <row r="674" spans="1:5" x14ac:dyDescent="0.35">
      <c r="A674" t="s">
        <v>394</v>
      </c>
      <c r="B674" t="s">
        <v>35</v>
      </c>
      <c r="C674" t="s">
        <v>60</v>
      </c>
      <c r="D674">
        <v>31</v>
      </c>
      <c r="E674">
        <v>14</v>
      </c>
    </row>
    <row r="675" spans="1:5" x14ac:dyDescent="0.35">
      <c r="A675" t="s">
        <v>394</v>
      </c>
      <c r="B675" t="s">
        <v>38</v>
      </c>
      <c r="C675" t="s">
        <v>21</v>
      </c>
      <c r="D675">
        <v>368</v>
      </c>
      <c r="E675">
        <v>3468</v>
      </c>
    </row>
    <row r="676" spans="1:5" x14ac:dyDescent="0.35">
      <c r="A676" t="s">
        <v>394</v>
      </c>
      <c r="B676" t="s">
        <v>35</v>
      </c>
      <c r="C676" t="s">
        <v>62</v>
      </c>
      <c r="D676">
        <v>11</v>
      </c>
      <c r="E676">
        <v>66</v>
      </c>
    </row>
    <row r="677" spans="1:5" x14ac:dyDescent="0.35">
      <c r="A677" t="s">
        <v>394</v>
      </c>
      <c r="B677" t="s">
        <v>33</v>
      </c>
      <c r="C677" t="s">
        <v>63</v>
      </c>
      <c r="D677">
        <v>6</v>
      </c>
      <c r="E677">
        <v>12</v>
      </c>
    </row>
    <row r="678" spans="1:5" x14ac:dyDescent="0.35">
      <c r="A678" t="s">
        <v>394</v>
      </c>
      <c r="B678" t="s">
        <v>34</v>
      </c>
      <c r="C678" t="s">
        <v>64</v>
      </c>
      <c r="D678" t="s">
        <v>205</v>
      </c>
      <c r="E678" t="s">
        <v>205</v>
      </c>
    </row>
    <row r="679" spans="1:5" x14ac:dyDescent="0.35">
      <c r="A679" t="s">
        <v>394</v>
      </c>
      <c r="B679" t="s">
        <v>33</v>
      </c>
      <c r="C679" t="s">
        <v>66</v>
      </c>
      <c r="D679">
        <v>26</v>
      </c>
      <c r="E679">
        <v>9</v>
      </c>
    </row>
    <row r="680" spans="1:5" x14ac:dyDescent="0.35">
      <c r="A680" t="s">
        <v>394</v>
      </c>
      <c r="B680" t="s">
        <v>34</v>
      </c>
      <c r="C680" t="s">
        <v>67</v>
      </c>
      <c r="D680">
        <v>22</v>
      </c>
      <c r="E680">
        <v>18</v>
      </c>
    </row>
    <row r="681" spans="1:5" x14ac:dyDescent="0.35">
      <c r="A681" t="s">
        <v>394</v>
      </c>
      <c r="B681" t="s">
        <v>33</v>
      </c>
      <c r="C681" t="s">
        <v>68</v>
      </c>
      <c r="D681">
        <v>12</v>
      </c>
      <c r="E681">
        <v>54</v>
      </c>
    </row>
    <row r="682" spans="1:5" x14ac:dyDescent="0.35">
      <c r="A682" t="s">
        <v>394</v>
      </c>
      <c r="B682" t="s">
        <v>36</v>
      </c>
      <c r="C682" t="s">
        <v>69</v>
      </c>
      <c r="D682">
        <v>347</v>
      </c>
      <c r="E682">
        <v>955</v>
      </c>
    </row>
    <row r="683" spans="1:5" x14ac:dyDescent="0.35">
      <c r="A683" t="s">
        <v>394</v>
      </c>
      <c r="B683" t="s">
        <v>33</v>
      </c>
      <c r="C683" t="s">
        <v>71</v>
      </c>
      <c r="E683">
        <v>7</v>
      </c>
    </row>
    <row r="684" spans="1:5" x14ac:dyDescent="0.35">
      <c r="A684" t="s">
        <v>394</v>
      </c>
      <c r="B684" t="s">
        <v>38</v>
      </c>
      <c r="C684" t="s">
        <v>72</v>
      </c>
      <c r="D684">
        <v>68</v>
      </c>
      <c r="E684">
        <v>143</v>
      </c>
    </row>
    <row r="685" spans="1:5" x14ac:dyDescent="0.35">
      <c r="A685" t="s">
        <v>394</v>
      </c>
      <c r="B685" t="s">
        <v>34</v>
      </c>
      <c r="C685" t="s">
        <v>73</v>
      </c>
      <c r="D685">
        <v>188</v>
      </c>
      <c r="E685">
        <v>689</v>
      </c>
    </row>
    <row r="686" spans="1:5" x14ac:dyDescent="0.35">
      <c r="A686" t="s">
        <v>394</v>
      </c>
      <c r="B686" t="s">
        <v>38</v>
      </c>
      <c r="C686" t="s">
        <v>20</v>
      </c>
      <c r="D686">
        <v>1081</v>
      </c>
      <c r="E686">
        <v>1509</v>
      </c>
    </row>
    <row r="687" spans="1:5" x14ac:dyDescent="0.35">
      <c r="A687" t="s">
        <v>394</v>
      </c>
      <c r="B687" t="s">
        <v>33</v>
      </c>
      <c r="C687" t="s">
        <v>74</v>
      </c>
      <c r="D687">
        <v>5</v>
      </c>
      <c r="E687">
        <v>27</v>
      </c>
    </row>
    <row r="688" spans="1:5" x14ac:dyDescent="0.35">
      <c r="A688" t="s">
        <v>394</v>
      </c>
      <c r="B688" t="s">
        <v>33</v>
      </c>
      <c r="C688" t="s">
        <v>75</v>
      </c>
      <c r="D688">
        <v>5</v>
      </c>
      <c r="E688">
        <v>17</v>
      </c>
    </row>
    <row r="689" spans="1:5" x14ac:dyDescent="0.35">
      <c r="A689" t="s">
        <v>394</v>
      </c>
      <c r="B689" t="s">
        <v>36</v>
      </c>
      <c r="C689" t="s">
        <v>76</v>
      </c>
      <c r="D689">
        <v>132</v>
      </c>
      <c r="E689">
        <v>560</v>
      </c>
    </row>
    <row r="690" spans="1:5" x14ac:dyDescent="0.35">
      <c r="A690" t="s">
        <v>394</v>
      </c>
      <c r="B690" t="s">
        <v>33</v>
      </c>
      <c r="C690" t="s">
        <v>77</v>
      </c>
      <c r="D690">
        <v>10</v>
      </c>
      <c r="E690">
        <v>33</v>
      </c>
    </row>
    <row r="691" spans="1:5" x14ac:dyDescent="0.35">
      <c r="A691" t="s">
        <v>394</v>
      </c>
      <c r="B691" t="s">
        <v>35</v>
      </c>
      <c r="C691" t="s">
        <v>78</v>
      </c>
      <c r="D691">
        <v>9</v>
      </c>
      <c r="E691">
        <v>15</v>
      </c>
    </row>
    <row r="692" spans="1:5" x14ac:dyDescent="0.35">
      <c r="A692" t="s">
        <v>394</v>
      </c>
      <c r="B692" t="s">
        <v>36</v>
      </c>
      <c r="C692" t="s">
        <v>79</v>
      </c>
      <c r="D692">
        <v>32</v>
      </c>
      <c r="E692">
        <v>33</v>
      </c>
    </row>
    <row r="693" spans="1:5" x14ac:dyDescent="0.35">
      <c r="A693" t="s">
        <v>394</v>
      </c>
      <c r="B693" t="s">
        <v>35</v>
      </c>
      <c r="C693" t="s">
        <v>81</v>
      </c>
      <c r="D693">
        <v>13</v>
      </c>
      <c r="E693">
        <v>39</v>
      </c>
    </row>
    <row r="694" spans="1:5" x14ac:dyDescent="0.35">
      <c r="A694" t="s">
        <v>394</v>
      </c>
      <c r="B694" t="s">
        <v>35</v>
      </c>
      <c r="C694" t="s">
        <v>214</v>
      </c>
      <c r="D694">
        <v>12</v>
      </c>
      <c r="E694">
        <v>43</v>
      </c>
    </row>
    <row r="695" spans="1:5" x14ac:dyDescent="0.35">
      <c r="A695" t="s">
        <v>394</v>
      </c>
      <c r="B695" t="s">
        <v>35</v>
      </c>
      <c r="C695" t="s">
        <v>82</v>
      </c>
      <c r="D695" t="s">
        <v>205</v>
      </c>
      <c r="E695" t="s">
        <v>205</v>
      </c>
    </row>
    <row r="696" spans="1:5" x14ac:dyDescent="0.35">
      <c r="A696" t="s">
        <v>394</v>
      </c>
      <c r="B696" t="s">
        <v>36</v>
      </c>
      <c r="C696" t="s">
        <v>84</v>
      </c>
      <c r="D696">
        <v>22</v>
      </c>
      <c r="E696">
        <v>13</v>
      </c>
    </row>
    <row r="697" spans="1:5" x14ac:dyDescent="0.35">
      <c r="A697" t="s">
        <v>394</v>
      </c>
      <c r="B697" t="s">
        <v>36</v>
      </c>
      <c r="C697" t="s">
        <v>85</v>
      </c>
      <c r="D697">
        <v>2046</v>
      </c>
      <c r="E697">
        <v>1186</v>
      </c>
    </row>
    <row r="698" spans="1:5" x14ac:dyDescent="0.35">
      <c r="A698" t="s">
        <v>394</v>
      </c>
      <c r="B698" t="s">
        <v>38</v>
      </c>
      <c r="C698" t="s">
        <v>86</v>
      </c>
      <c r="D698">
        <v>532</v>
      </c>
      <c r="E698">
        <v>1798</v>
      </c>
    </row>
    <row r="699" spans="1:5" x14ac:dyDescent="0.35">
      <c r="A699" t="s">
        <v>394</v>
      </c>
      <c r="B699" t="s">
        <v>33</v>
      </c>
      <c r="C699" t="s">
        <v>87</v>
      </c>
      <c r="D699">
        <v>37</v>
      </c>
      <c r="E699">
        <v>129</v>
      </c>
    </row>
    <row r="700" spans="1:5" x14ac:dyDescent="0.35">
      <c r="A700" t="s">
        <v>394</v>
      </c>
      <c r="B700" t="s">
        <v>36</v>
      </c>
      <c r="C700" t="s">
        <v>16</v>
      </c>
      <c r="D700">
        <v>5558</v>
      </c>
      <c r="E700">
        <v>14492</v>
      </c>
    </row>
    <row r="701" spans="1:5" x14ac:dyDescent="0.35">
      <c r="A701" t="s">
        <v>394</v>
      </c>
      <c r="B701" t="s">
        <v>33</v>
      </c>
      <c r="C701" t="s">
        <v>89</v>
      </c>
      <c r="D701">
        <v>4</v>
      </c>
      <c r="E701">
        <v>6</v>
      </c>
    </row>
    <row r="702" spans="1:5" x14ac:dyDescent="0.35">
      <c r="A702" t="s">
        <v>394</v>
      </c>
      <c r="B702" t="s">
        <v>35</v>
      </c>
      <c r="C702" t="s">
        <v>90</v>
      </c>
      <c r="D702">
        <v>5</v>
      </c>
      <c r="E702">
        <v>20</v>
      </c>
    </row>
    <row r="703" spans="1:5" x14ac:dyDescent="0.35">
      <c r="A703" t="s">
        <v>394</v>
      </c>
      <c r="B703" t="s">
        <v>33</v>
      </c>
      <c r="C703" t="s">
        <v>91</v>
      </c>
      <c r="D703">
        <v>32</v>
      </c>
      <c r="E703">
        <v>55</v>
      </c>
    </row>
    <row r="704" spans="1:5" x14ac:dyDescent="0.35">
      <c r="A704" t="s">
        <v>394</v>
      </c>
      <c r="B704" t="s">
        <v>37</v>
      </c>
      <c r="C704" t="s">
        <v>92</v>
      </c>
      <c r="D704">
        <v>26</v>
      </c>
      <c r="E704">
        <v>45</v>
      </c>
    </row>
    <row r="705" spans="1:5" x14ac:dyDescent="0.35">
      <c r="A705" t="s">
        <v>394</v>
      </c>
      <c r="B705" t="s">
        <v>35</v>
      </c>
      <c r="C705" t="s">
        <v>93</v>
      </c>
      <c r="D705">
        <v>4</v>
      </c>
      <c r="E705">
        <v>7</v>
      </c>
    </row>
    <row r="706" spans="1:5" x14ac:dyDescent="0.35">
      <c r="A706" t="s">
        <v>394</v>
      </c>
      <c r="B706" t="s">
        <v>35</v>
      </c>
      <c r="C706" t="s">
        <v>94</v>
      </c>
      <c r="D706">
        <v>29</v>
      </c>
      <c r="E706">
        <v>124</v>
      </c>
    </row>
    <row r="707" spans="1:5" x14ac:dyDescent="0.35">
      <c r="A707" t="s">
        <v>394</v>
      </c>
      <c r="B707" t="s">
        <v>33</v>
      </c>
      <c r="C707" t="s">
        <v>95</v>
      </c>
      <c r="D707" t="s">
        <v>205</v>
      </c>
      <c r="E707" t="s">
        <v>205</v>
      </c>
    </row>
    <row r="708" spans="1:5" x14ac:dyDescent="0.35">
      <c r="A708" t="s">
        <v>394</v>
      </c>
      <c r="B708" t="s">
        <v>33</v>
      </c>
      <c r="C708" t="s">
        <v>96</v>
      </c>
      <c r="D708">
        <v>7</v>
      </c>
      <c r="E708">
        <v>19</v>
      </c>
    </row>
    <row r="709" spans="1:5" x14ac:dyDescent="0.35">
      <c r="A709" t="s">
        <v>394</v>
      </c>
      <c r="B709" t="s">
        <v>34</v>
      </c>
      <c r="C709" t="s">
        <v>8</v>
      </c>
      <c r="D709">
        <v>15</v>
      </c>
      <c r="E709">
        <v>40</v>
      </c>
    </row>
    <row r="710" spans="1:5" x14ac:dyDescent="0.35">
      <c r="A710" t="s">
        <v>394</v>
      </c>
      <c r="B710" t="s">
        <v>35</v>
      </c>
      <c r="C710" t="s">
        <v>97</v>
      </c>
      <c r="D710">
        <v>63</v>
      </c>
      <c r="E710">
        <v>115</v>
      </c>
    </row>
    <row r="711" spans="1:5" x14ac:dyDescent="0.35">
      <c r="A711" t="s">
        <v>394</v>
      </c>
      <c r="B711" t="s">
        <v>33</v>
      </c>
      <c r="C711" t="s">
        <v>98</v>
      </c>
      <c r="D711">
        <v>61</v>
      </c>
      <c r="E711">
        <v>141</v>
      </c>
    </row>
    <row r="712" spans="1:5" x14ac:dyDescent="0.35">
      <c r="A712" t="s">
        <v>394</v>
      </c>
      <c r="B712" t="s">
        <v>35</v>
      </c>
      <c r="C712" t="s">
        <v>99</v>
      </c>
      <c r="D712">
        <v>23</v>
      </c>
      <c r="E712">
        <v>27</v>
      </c>
    </row>
    <row r="713" spans="1:5" x14ac:dyDescent="0.35">
      <c r="A713" t="s">
        <v>394</v>
      </c>
      <c r="B713" t="s">
        <v>36</v>
      </c>
      <c r="C713" t="s">
        <v>100</v>
      </c>
      <c r="D713">
        <v>17</v>
      </c>
      <c r="E713">
        <v>11</v>
      </c>
    </row>
    <row r="714" spans="1:5" x14ac:dyDescent="0.35">
      <c r="A714" t="s">
        <v>394</v>
      </c>
      <c r="B714" t="s">
        <v>36</v>
      </c>
      <c r="C714" t="s">
        <v>15</v>
      </c>
      <c r="D714">
        <v>5138</v>
      </c>
      <c r="E714">
        <v>22389</v>
      </c>
    </row>
    <row r="715" spans="1:5" x14ac:dyDescent="0.35">
      <c r="A715" t="s">
        <v>394</v>
      </c>
      <c r="B715" t="s">
        <v>33</v>
      </c>
      <c r="C715" t="s">
        <v>101</v>
      </c>
      <c r="D715">
        <v>16</v>
      </c>
      <c r="E715">
        <v>58</v>
      </c>
    </row>
    <row r="716" spans="1:5" x14ac:dyDescent="0.35">
      <c r="A716" t="s">
        <v>394</v>
      </c>
      <c r="B716" t="s">
        <v>38</v>
      </c>
      <c r="C716" t="s">
        <v>103</v>
      </c>
      <c r="D716">
        <v>188</v>
      </c>
      <c r="E716">
        <v>96</v>
      </c>
    </row>
    <row r="717" spans="1:5" x14ac:dyDescent="0.35">
      <c r="A717" t="s">
        <v>394</v>
      </c>
      <c r="B717" t="s">
        <v>36</v>
      </c>
      <c r="C717" t="s">
        <v>104</v>
      </c>
      <c r="D717">
        <v>416</v>
      </c>
      <c r="E717">
        <v>1168</v>
      </c>
    </row>
    <row r="718" spans="1:5" x14ac:dyDescent="0.35">
      <c r="A718" t="s">
        <v>394</v>
      </c>
      <c r="B718" t="s">
        <v>36</v>
      </c>
      <c r="C718" t="s">
        <v>17</v>
      </c>
      <c r="D718">
        <v>5476</v>
      </c>
      <c r="E718">
        <v>23409</v>
      </c>
    </row>
    <row r="719" spans="1:5" x14ac:dyDescent="0.35">
      <c r="A719" t="s">
        <v>394</v>
      </c>
      <c r="B719" t="s">
        <v>34</v>
      </c>
      <c r="C719" t="s">
        <v>368</v>
      </c>
      <c r="D719">
        <v>6</v>
      </c>
      <c r="E719">
        <v>17</v>
      </c>
    </row>
    <row r="720" spans="1:5" x14ac:dyDescent="0.35">
      <c r="A720" t="s">
        <v>394</v>
      </c>
      <c r="B720" t="s">
        <v>35</v>
      </c>
      <c r="C720" t="s">
        <v>105</v>
      </c>
      <c r="D720">
        <v>19</v>
      </c>
      <c r="E720">
        <v>76</v>
      </c>
    </row>
    <row r="721" spans="1:5" x14ac:dyDescent="0.35">
      <c r="A721" t="s">
        <v>394</v>
      </c>
      <c r="B721" t="s">
        <v>34</v>
      </c>
      <c r="C721" t="s">
        <v>22</v>
      </c>
      <c r="D721">
        <v>164</v>
      </c>
      <c r="E721">
        <v>768</v>
      </c>
    </row>
    <row r="722" spans="1:5" x14ac:dyDescent="0.35">
      <c r="A722" t="s">
        <v>394</v>
      </c>
      <c r="B722" t="s">
        <v>34</v>
      </c>
      <c r="C722" t="s">
        <v>107</v>
      </c>
      <c r="D722">
        <v>68</v>
      </c>
      <c r="E722">
        <v>421</v>
      </c>
    </row>
    <row r="723" spans="1:5" x14ac:dyDescent="0.35">
      <c r="A723" t="s">
        <v>394</v>
      </c>
      <c r="B723" t="s">
        <v>34</v>
      </c>
      <c r="C723" t="s">
        <v>108</v>
      </c>
      <c r="D723">
        <v>11</v>
      </c>
      <c r="E723">
        <v>29</v>
      </c>
    </row>
    <row r="724" spans="1:5" x14ac:dyDescent="0.35">
      <c r="A724" t="s">
        <v>394</v>
      </c>
      <c r="B724" t="s">
        <v>34</v>
      </c>
      <c r="C724" t="s">
        <v>109</v>
      </c>
      <c r="D724">
        <v>7</v>
      </c>
      <c r="E724">
        <v>30</v>
      </c>
    </row>
    <row r="725" spans="1:5" x14ac:dyDescent="0.35">
      <c r="A725" t="s">
        <v>394</v>
      </c>
      <c r="B725" t="s">
        <v>35</v>
      </c>
      <c r="C725" t="s">
        <v>110</v>
      </c>
      <c r="D725">
        <v>19</v>
      </c>
      <c r="E725">
        <v>60</v>
      </c>
    </row>
    <row r="726" spans="1:5" x14ac:dyDescent="0.35">
      <c r="A726" t="s">
        <v>394</v>
      </c>
      <c r="B726" t="s">
        <v>34</v>
      </c>
      <c r="C726" t="s">
        <v>111</v>
      </c>
      <c r="D726">
        <v>41</v>
      </c>
      <c r="E726">
        <v>217</v>
      </c>
    </row>
    <row r="727" spans="1:5" x14ac:dyDescent="0.35">
      <c r="A727" t="s">
        <v>394</v>
      </c>
      <c r="B727" t="s">
        <v>35</v>
      </c>
      <c r="C727" t="s">
        <v>112</v>
      </c>
      <c r="D727">
        <v>74</v>
      </c>
      <c r="E727">
        <v>141</v>
      </c>
    </row>
    <row r="728" spans="1:5" x14ac:dyDescent="0.35">
      <c r="A728" t="s">
        <v>394</v>
      </c>
      <c r="B728" t="s">
        <v>36</v>
      </c>
      <c r="C728" t="s">
        <v>113</v>
      </c>
      <c r="D728">
        <v>1214</v>
      </c>
      <c r="E728">
        <v>414</v>
      </c>
    </row>
    <row r="729" spans="1:5" x14ac:dyDescent="0.35">
      <c r="A729" t="s">
        <v>394</v>
      </c>
      <c r="B729" t="s">
        <v>34</v>
      </c>
      <c r="C729" t="s">
        <v>114</v>
      </c>
      <c r="D729">
        <v>17</v>
      </c>
      <c r="E729">
        <v>71</v>
      </c>
    </row>
    <row r="730" spans="1:5" x14ac:dyDescent="0.35">
      <c r="A730" t="s">
        <v>394</v>
      </c>
      <c r="B730" t="s">
        <v>34</v>
      </c>
      <c r="C730" t="s">
        <v>115</v>
      </c>
      <c r="D730">
        <v>45</v>
      </c>
      <c r="E730">
        <v>116</v>
      </c>
    </row>
    <row r="731" spans="1:5" x14ac:dyDescent="0.35">
      <c r="A731" t="s">
        <v>394</v>
      </c>
      <c r="B731" t="s">
        <v>34</v>
      </c>
      <c r="C731" t="s">
        <v>116</v>
      </c>
      <c r="D731">
        <v>7</v>
      </c>
      <c r="E731">
        <v>18</v>
      </c>
    </row>
    <row r="732" spans="1:5" x14ac:dyDescent="0.35">
      <c r="A732" t="s">
        <v>394</v>
      </c>
      <c r="B732" t="s">
        <v>33</v>
      </c>
      <c r="C732" t="s">
        <v>117</v>
      </c>
      <c r="D732">
        <v>44</v>
      </c>
      <c r="E732">
        <v>96</v>
      </c>
    </row>
    <row r="733" spans="1:5" x14ac:dyDescent="0.35">
      <c r="A733" t="s">
        <v>394</v>
      </c>
      <c r="B733" t="s">
        <v>34</v>
      </c>
      <c r="C733" t="s">
        <v>118</v>
      </c>
      <c r="D733">
        <v>116</v>
      </c>
      <c r="E733">
        <v>303</v>
      </c>
    </row>
    <row r="734" spans="1:5" x14ac:dyDescent="0.35">
      <c r="A734" t="s">
        <v>394</v>
      </c>
      <c r="B734" t="s">
        <v>35</v>
      </c>
      <c r="C734" t="s">
        <v>119</v>
      </c>
    </row>
    <row r="735" spans="1:5" x14ac:dyDescent="0.35">
      <c r="A735" t="s">
        <v>394</v>
      </c>
      <c r="B735" t="s">
        <v>34</v>
      </c>
      <c r="C735" t="s">
        <v>120</v>
      </c>
      <c r="E735">
        <v>10</v>
      </c>
    </row>
    <row r="736" spans="1:5" x14ac:dyDescent="0.35">
      <c r="A736" t="s">
        <v>394</v>
      </c>
      <c r="B736" t="s">
        <v>34</v>
      </c>
      <c r="C736" t="s">
        <v>121</v>
      </c>
      <c r="D736">
        <v>3</v>
      </c>
      <c r="E736">
        <v>7</v>
      </c>
    </row>
    <row r="737" spans="1:5" x14ac:dyDescent="0.35">
      <c r="A737" t="s">
        <v>394</v>
      </c>
      <c r="B737" t="s">
        <v>34</v>
      </c>
      <c r="C737" t="s">
        <v>122</v>
      </c>
      <c r="D737">
        <v>5</v>
      </c>
      <c r="E737">
        <v>15</v>
      </c>
    </row>
    <row r="738" spans="1:5" x14ac:dyDescent="0.35">
      <c r="A738" t="s">
        <v>394</v>
      </c>
      <c r="B738" t="s">
        <v>35</v>
      </c>
      <c r="C738" t="s">
        <v>123</v>
      </c>
      <c r="D738">
        <v>7</v>
      </c>
      <c r="E738">
        <v>16</v>
      </c>
    </row>
    <row r="739" spans="1:5" x14ac:dyDescent="0.35">
      <c r="A739" t="s">
        <v>394</v>
      </c>
      <c r="B739" t="s">
        <v>34</v>
      </c>
      <c r="C739" t="s">
        <v>124</v>
      </c>
      <c r="D739">
        <v>24</v>
      </c>
      <c r="E739">
        <v>84</v>
      </c>
    </row>
    <row r="740" spans="1:5" x14ac:dyDescent="0.35">
      <c r="A740" t="s">
        <v>394</v>
      </c>
      <c r="B740" t="s">
        <v>33</v>
      </c>
      <c r="C740" t="s">
        <v>125</v>
      </c>
      <c r="D740">
        <v>10</v>
      </c>
      <c r="E740">
        <v>16</v>
      </c>
    </row>
    <row r="741" spans="1:5" x14ac:dyDescent="0.35">
      <c r="A741" t="s">
        <v>394</v>
      </c>
      <c r="B741" t="s">
        <v>35</v>
      </c>
      <c r="C741" t="s">
        <v>127</v>
      </c>
      <c r="D741">
        <v>13</v>
      </c>
      <c r="E741">
        <v>56</v>
      </c>
    </row>
    <row r="742" spans="1:5" x14ac:dyDescent="0.35">
      <c r="A742" t="s">
        <v>394</v>
      </c>
      <c r="B742" t="s">
        <v>33</v>
      </c>
      <c r="C742" t="s">
        <v>130</v>
      </c>
      <c r="D742" t="s">
        <v>205</v>
      </c>
      <c r="E742" t="s">
        <v>205</v>
      </c>
    </row>
    <row r="743" spans="1:5" x14ac:dyDescent="0.35">
      <c r="A743" t="s">
        <v>394</v>
      </c>
      <c r="B743" t="s">
        <v>34</v>
      </c>
      <c r="C743" t="s">
        <v>131</v>
      </c>
      <c r="D743">
        <v>11</v>
      </c>
      <c r="E743">
        <v>41</v>
      </c>
    </row>
    <row r="744" spans="1:5" x14ac:dyDescent="0.35">
      <c r="A744" t="s">
        <v>394</v>
      </c>
      <c r="B744" t="s">
        <v>33</v>
      </c>
      <c r="C744" t="s">
        <v>132</v>
      </c>
      <c r="D744">
        <v>7</v>
      </c>
      <c r="E744">
        <v>26</v>
      </c>
    </row>
    <row r="745" spans="1:5" x14ac:dyDescent="0.35">
      <c r="A745" t="s">
        <v>394</v>
      </c>
      <c r="B745" t="s">
        <v>37</v>
      </c>
      <c r="C745" t="s">
        <v>134</v>
      </c>
      <c r="D745">
        <v>11</v>
      </c>
      <c r="E745">
        <v>4</v>
      </c>
    </row>
    <row r="746" spans="1:5" x14ac:dyDescent="0.35">
      <c r="A746" t="s">
        <v>394</v>
      </c>
      <c r="B746" t="s">
        <v>33</v>
      </c>
      <c r="C746" t="s">
        <v>135</v>
      </c>
      <c r="D746" t="s">
        <v>205</v>
      </c>
      <c r="E746" t="s">
        <v>205</v>
      </c>
    </row>
    <row r="747" spans="1:5" x14ac:dyDescent="0.35">
      <c r="A747" t="s">
        <v>394</v>
      </c>
      <c r="B747" t="s">
        <v>36</v>
      </c>
      <c r="C747" t="s">
        <v>14</v>
      </c>
      <c r="D747">
        <v>77531</v>
      </c>
      <c r="E747">
        <v>169732</v>
      </c>
    </row>
    <row r="748" spans="1:5" x14ac:dyDescent="0.35">
      <c r="A748" t="s">
        <v>394</v>
      </c>
      <c r="B748" t="s">
        <v>37</v>
      </c>
      <c r="C748" t="s">
        <v>137</v>
      </c>
      <c r="D748">
        <v>56</v>
      </c>
      <c r="E748">
        <v>8</v>
      </c>
    </row>
    <row r="749" spans="1:5" x14ac:dyDescent="0.35">
      <c r="A749" t="s">
        <v>394</v>
      </c>
      <c r="B749" t="s">
        <v>35</v>
      </c>
      <c r="C749" t="s">
        <v>138</v>
      </c>
      <c r="D749">
        <v>9</v>
      </c>
      <c r="E749">
        <v>36</v>
      </c>
    </row>
    <row r="750" spans="1:5" x14ac:dyDescent="0.35">
      <c r="A750" t="s">
        <v>394</v>
      </c>
      <c r="B750" t="s">
        <v>34</v>
      </c>
      <c r="C750" t="s">
        <v>139</v>
      </c>
      <c r="D750">
        <v>10</v>
      </c>
      <c r="E750">
        <v>40</v>
      </c>
    </row>
    <row r="751" spans="1:5" x14ac:dyDescent="0.35">
      <c r="A751" t="s">
        <v>394</v>
      </c>
      <c r="B751" t="s">
        <v>35</v>
      </c>
      <c r="C751" t="s">
        <v>140</v>
      </c>
    </row>
    <row r="752" spans="1:5" x14ac:dyDescent="0.35">
      <c r="A752" t="s">
        <v>394</v>
      </c>
      <c r="B752" t="s">
        <v>33</v>
      </c>
      <c r="C752" t="s">
        <v>141</v>
      </c>
      <c r="D752">
        <v>31</v>
      </c>
      <c r="E752">
        <v>30</v>
      </c>
    </row>
    <row r="753" spans="1:5" x14ac:dyDescent="0.35">
      <c r="A753" t="s">
        <v>394</v>
      </c>
      <c r="B753" t="s">
        <v>34</v>
      </c>
      <c r="C753" t="s">
        <v>144</v>
      </c>
      <c r="D753">
        <v>8</v>
      </c>
      <c r="E753">
        <v>38</v>
      </c>
    </row>
    <row r="754" spans="1:5" x14ac:dyDescent="0.35">
      <c r="A754" t="s">
        <v>394</v>
      </c>
      <c r="B754" t="s">
        <v>35</v>
      </c>
      <c r="C754" t="s">
        <v>145</v>
      </c>
      <c r="D754">
        <v>29</v>
      </c>
      <c r="E754">
        <v>64</v>
      </c>
    </row>
    <row r="755" spans="1:5" x14ac:dyDescent="0.35">
      <c r="A755" t="s">
        <v>394</v>
      </c>
      <c r="B755" t="s">
        <v>37</v>
      </c>
      <c r="C755" t="s">
        <v>146</v>
      </c>
      <c r="D755">
        <v>13</v>
      </c>
      <c r="E755">
        <v>26</v>
      </c>
    </row>
    <row r="756" spans="1:5" x14ac:dyDescent="0.35">
      <c r="A756" t="s">
        <v>394</v>
      </c>
      <c r="B756" t="s">
        <v>36</v>
      </c>
      <c r="C756" t="s">
        <v>147</v>
      </c>
      <c r="D756">
        <v>533</v>
      </c>
      <c r="E756">
        <v>1724</v>
      </c>
    </row>
    <row r="757" spans="1:5" x14ac:dyDescent="0.35">
      <c r="A757" t="s">
        <v>394</v>
      </c>
      <c r="B757" t="s">
        <v>33</v>
      </c>
      <c r="C757" t="s">
        <v>148</v>
      </c>
      <c r="D757">
        <v>7</v>
      </c>
      <c r="E757">
        <v>32</v>
      </c>
    </row>
    <row r="758" spans="1:5" x14ac:dyDescent="0.35">
      <c r="A758" t="s">
        <v>394</v>
      </c>
      <c r="B758" t="s">
        <v>33</v>
      </c>
      <c r="C758" t="s">
        <v>149</v>
      </c>
      <c r="D758">
        <v>209</v>
      </c>
      <c r="E758">
        <v>226</v>
      </c>
    </row>
    <row r="759" spans="1:5" x14ac:dyDescent="0.35">
      <c r="A759" t="s">
        <v>394</v>
      </c>
      <c r="B759" t="s">
        <v>35</v>
      </c>
      <c r="C759" t="s">
        <v>322</v>
      </c>
      <c r="D759">
        <v>8</v>
      </c>
      <c r="E759">
        <v>52</v>
      </c>
    </row>
    <row r="760" spans="1:5" x14ac:dyDescent="0.35">
      <c r="A760" t="s">
        <v>394</v>
      </c>
      <c r="B760" t="s">
        <v>35</v>
      </c>
      <c r="C760" t="s">
        <v>150</v>
      </c>
      <c r="D760">
        <v>4</v>
      </c>
      <c r="E760">
        <v>16</v>
      </c>
    </row>
    <row r="761" spans="1:5" x14ac:dyDescent="0.35">
      <c r="A761" t="s">
        <v>394</v>
      </c>
      <c r="B761" t="s">
        <v>34</v>
      </c>
      <c r="C761" t="s">
        <v>152</v>
      </c>
      <c r="D761">
        <v>74</v>
      </c>
      <c r="E761">
        <v>309</v>
      </c>
    </row>
    <row r="762" spans="1:5" x14ac:dyDescent="0.35">
      <c r="A762" t="s">
        <v>394</v>
      </c>
      <c r="B762" t="s">
        <v>37</v>
      </c>
      <c r="C762" t="s">
        <v>153</v>
      </c>
      <c r="D762">
        <v>6</v>
      </c>
      <c r="E762">
        <v>4</v>
      </c>
    </row>
    <row r="763" spans="1:5" x14ac:dyDescent="0.35">
      <c r="A763" t="s">
        <v>394</v>
      </c>
      <c r="B763" t="s">
        <v>36</v>
      </c>
      <c r="C763" t="s">
        <v>154</v>
      </c>
      <c r="D763">
        <v>99</v>
      </c>
      <c r="E763">
        <v>91</v>
      </c>
    </row>
    <row r="764" spans="1:5" x14ac:dyDescent="0.35">
      <c r="A764" t="s">
        <v>394</v>
      </c>
      <c r="B764" t="s">
        <v>38</v>
      </c>
      <c r="C764" t="s">
        <v>155</v>
      </c>
      <c r="D764">
        <v>5</v>
      </c>
      <c r="E764">
        <v>35</v>
      </c>
    </row>
    <row r="765" spans="1:5" x14ac:dyDescent="0.35">
      <c r="A765" t="s">
        <v>394</v>
      </c>
      <c r="B765" t="s">
        <v>38</v>
      </c>
      <c r="C765" t="s">
        <v>156</v>
      </c>
      <c r="D765">
        <v>337</v>
      </c>
      <c r="E765">
        <v>938</v>
      </c>
    </row>
    <row r="766" spans="1:5" x14ac:dyDescent="0.35">
      <c r="A766" t="s">
        <v>394</v>
      </c>
      <c r="B766" t="s">
        <v>34</v>
      </c>
      <c r="C766" t="s">
        <v>18</v>
      </c>
      <c r="D766">
        <v>280</v>
      </c>
      <c r="E766">
        <v>409</v>
      </c>
    </row>
    <row r="767" spans="1:5" x14ac:dyDescent="0.35">
      <c r="A767" t="s">
        <v>394</v>
      </c>
      <c r="B767" t="s">
        <v>35</v>
      </c>
      <c r="C767" t="s">
        <v>157</v>
      </c>
      <c r="D767">
        <v>115</v>
      </c>
      <c r="E767">
        <v>383</v>
      </c>
    </row>
    <row r="768" spans="1:5" x14ac:dyDescent="0.35">
      <c r="A768" t="s">
        <v>394</v>
      </c>
      <c r="B768" t="s">
        <v>35</v>
      </c>
      <c r="C768" t="s">
        <v>158</v>
      </c>
      <c r="D768">
        <v>87</v>
      </c>
      <c r="E768">
        <v>71</v>
      </c>
    </row>
    <row r="769" spans="1:5" x14ac:dyDescent="0.35">
      <c r="A769" t="s">
        <v>394</v>
      </c>
      <c r="B769" t="s">
        <v>35</v>
      </c>
      <c r="C769" t="s">
        <v>160</v>
      </c>
      <c r="D769">
        <v>50</v>
      </c>
      <c r="E769">
        <v>166</v>
      </c>
    </row>
    <row r="770" spans="1:5" x14ac:dyDescent="0.35">
      <c r="A770" t="s">
        <v>394</v>
      </c>
      <c r="B770" t="s">
        <v>35</v>
      </c>
      <c r="C770" t="s">
        <v>161</v>
      </c>
      <c r="D770">
        <v>68</v>
      </c>
      <c r="E770">
        <v>170</v>
      </c>
    </row>
    <row r="771" spans="1:5" x14ac:dyDescent="0.35">
      <c r="A771" t="s">
        <v>394</v>
      </c>
      <c r="B771" t="s">
        <v>33</v>
      </c>
      <c r="C771" t="s">
        <v>162</v>
      </c>
      <c r="D771">
        <v>3</v>
      </c>
      <c r="E771">
        <v>4</v>
      </c>
    </row>
    <row r="772" spans="1:5" x14ac:dyDescent="0.35">
      <c r="A772" t="s">
        <v>394</v>
      </c>
      <c r="B772" t="s">
        <v>36</v>
      </c>
      <c r="C772" t="s">
        <v>163</v>
      </c>
      <c r="D772">
        <v>8</v>
      </c>
      <c r="E772">
        <v>6</v>
      </c>
    </row>
    <row r="773" spans="1:5" x14ac:dyDescent="0.35">
      <c r="A773" t="s">
        <v>394</v>
      </c>
      <c r="B773" t="s">
        <v>36</v>
      </c>
      <c r="C773" t="s">
        <v>164</v>
      </c>
      <c r="D773">
        <v>16</v>
      </c>
      <c r="E773">
        <v>14</v>
      </c>
    </row>
    <row r="774" spans="1:5" x14ac:dyDescent="0.35">
      <c r="A774" t="s">
        <v>394</v>
      </c>
      <c r="B774" t="s">
        <v>36</v>
      </c>
      <c r="C774" t="s">
        <v>165</v>
      </c>
      <c r="D774">
        <v>12</v>
      </c>
      <c r="E774">
        <v>11</v>
      </c>
    </row>
    <row r="775" spans="1:5" x14ac:dyDescent="0.35">
      <c r="A775" t="s">
        <v>394</v>
      </c>
      <c r="B775" t="s">
        <v>37</v>
      </c>
      <c r="C775" t="s">
        <v>166</v>
      </c>
      <c r="D775">
        <v>12</v>
      </c>
      <c r="E775">
        <v>8</v>
      </c>
    </row>
    <row r="776" spans="1:5" x14ac:dyDescent="0.35">
      <c r="A776" t="s">
        <v>394</v>
      </c>
      <c r="B776" t="s">
        <v>34</v>
      </c>
      <c r="C776" t="s">
        <v>167</v>
      </c>
      <c r="D776">
        <v>11</v>
      </c>
      <c r="E776">
        <v>21</v>
      </c>
    </row>
    <row r="777" spans="1:5" x14ac:dyDescent="0.35">
      <c r="A777" t="s">
        <v>394</v>
      </c>
      <c r="B777" t="s">
        <v>33</v>
      </c>
      <c r="C777" t="s">
        <v>168</v>
      </c>
      <c r="D777">
        <v>20</v>
      </c>
      <c r="E777">
        <v>67</v>
      </c>
    </row>
    <row r="778" spans="1:5" x14ac:dyDescent="0.35">
      <c r="A778" t="s">
        <v>394</v>
      </c>
      <c r="B778" t="s">
        <v>35</v>
      </c>
      <c r="C778" t="s">
        <v>169</v>
      </c>
    </row>
    <row r="779" spans="1:5" x14ac:dyDescent="0.35">
      <c r="A779" t="s">
        <v>394</v>
      </c>
      <c r="B779" t="s">
        <v>35</v>
      </c>
      <c r="C779" t="s">
        <v>215</v>
      </c>
      <c r="D779">
        <v>30</v>
      </c>
      <c r="E779">
        <v>135</v>
      </c>
    </row>
    <row r="780" spans="1:5" x14ac:dyDescent="0.35">
      <c r="A780" t="s">
        <v>394</v>
      </c>
      <c r="B780" t="s">
        <v>33</v>
      </c>
      <c r="C780" t="s">
        <v>170</v>
      </c>
      <c r="D780">
        <v>7</v>
      </c>
      <c r="E780">
        <v>20</v>
      </c>
    </row>
    <row r="781" spans="1:5" x14ac:dyDescent="0.35">
      <c r="A781" t="s">
        <v>394</v>
      </c>
      <c r="B781" t="s">
        <v>34</v>
      </c>
      <c r="C781" t="s">
        <v>171</v>
      </c>
      <c r="D781">
        <v>3</v>
      </c>
      <c r="E781">
        <v>18</v>
      </c>
    </row>
    <row r="782" spans="1:5" x14ac:dyDescent="0.35">
      <c r="A782" t="s">
        <v>394</v>
      </c>
      <c r="B782" t="s">
        <v>35</v>
      </c>
      <c r="C782" t="s">
        <v>172</v>
      </c>
      <c r="D782">
        <v>6</v>
      </c>
      <c r="E782">
        <v>29</v>
      </c>
    </row>
    <row r="783" spans="1:5" x14ac:dyDescent="0.35">
      <c r="A783" t="s">
        <v>394</v>
      </c>
      <c r="B783" t="s">
        <v>35</v>
      </c>
      <c r="C783" t="s">
        <v>173</v>
      </c>
      <c r="E783">
        <v>4</v>
      </c>
    </row>
    <row r="784" spans="1:5" x14ac:dyDescent="0.35">
      <c r="A784" t="s">
        <v>394</v>
      </c>
      <c r="B784" t="s">
        <v>33</v>
      </c>
      <c r="C784" t="s">
        <v>174</v>
      </c>
      <c r="D784" t="s">
        <v>205</v>
      </c>
      <c r="E784" t="s">
        <v>205</v>
      </c>
    </row>
    <row r="785" spans="1:5" x14ac:dyDescent="0.35">
      <c r="A785" t="s">
        <v>394</v>
      </c>
      <c r="B785" t="s">
        <v>33</v>
      </c>
      <c r="C785" t="s">
        <v>175</v>
      </c>
      <c r="D785">
        <v>18</v>
      </c>
      <c r="E785">
        <v>41</v>
      </c>
    </row>
    <row r="786" spans="1:5" x14ac:dyDescent="0.35">
      <c r="A786" t="s">
        <v>394</v>
      </c>
      <c r="B786" t="s">
        <v>33</v>
      </c>
      <c r="C786" t="s">
        <v>176</v>
      </c>
      <c r="D786" t="s">
        <v>206</v>
      </c>
      <c r="E786" t="s">
        <v>206</v>
      </c>
    </row>
    <row r="787" spans="1:5" x14ac:dyDescent="0.35">
      <c r="A787" t="s">
        <v>394</v>
      </c>
      <c r="B787" t="s">
        <v>35</v>
      </c>
      <c r="C787" t="s">
        <v>216</v>
      </c>
      <c r="D787">
        <v>6</v>
      </c>
      <c r="E787">
        <v>8</v>
      </c>
    </row>
    <row r="788" spans="1:5" x14ac:dyDescent="0.35">
      <c r="A788" t="s">
        <v>394</v>
      </c>
      <c r="B788" t="s">
        <v>35</v>
      </c>
      <c r="C788" t="s">
        <v>177</v>
      </c>
      <c r="D788">
        <v>27</v>
      </c>
      <c r="E788">
        <v>67</v>
      </c>
    </row>
    <row r="789" spans="1:5" x14ac:dyDescent="0.35">
      <c r="A789" t="s">
        <v>394</v>
      </c>
      <c r="B789" t="s">
        <v>34</v>
      </c>
      <c r="C789" t="s">
        <v>178</v>
      </c>
      <c r="D789">
        <v>9</v>
      </c>
      <c r="E789">
        <v>104</v>
      </c>
    </row>
    <row r="790" spans="1:5" x14ac:dyDescent="0.35">
      <c r="A790" t="s">
        <v>394</v>
      </c>
      <c r="B790" t="s">
        <v>33</v>
      </c>
      <c r="C790" t="s">
        <v>179</v>
      </c>
      <c r="D790">
        <v>4</v>
      </c>
      <c r="E790">
        <v>11</v>
      </c>
    </row>
    <row r="791" spans="1:5" x14ac:dyDescent="0.35">
      <c r="A791" t="s">
        <v>394</v>
      </c>
      <c r="B791" t="s">
        <v>38</v>
      </c>
      <c r="C791" t="s">
        <v>180</v>
      </c>
      <c r="D791">
        <v>4</v>
      </c>
      <c r="E791">
        <v>10</v>
      </c>
    </row>
    <row r="792" spans="1:5" x14ac:dyDescent="0.35">
      <c r="A792" t="s">
        <v>394</v>
      </c>
      <c r="B792" t="s">
        <v>35</v>
      </c>
      <c r="C792" t="s">
        <v>182</v>
      </c>
      <c r="D792">
        <v>7</v>
      </c>
      <c r="E792">
        <v>31</v>
      </c>
    </row>
    <row r="793" spans="1:5" x14ac:dyDescent="0.35">
      <c r="A793" t="s">
        <v>394</v>
      </c>
      <c r="B793" t="s">
        <v>35</v>
      </c>
      <c r="C793" t="s">
        <v>183</v>
      </c>
      <c r="D793">
        <v>5</v>
      </c>
      <c r="E793">
        <v>15</v>
      </c>
    </row>
    <row r="794" spans="1:5" x14ac:dyDescent="0.35">
      <c r="A794" t="s">
        <v>394</v>
      </c>
      <c r="B794" t="s">
        <v>34</v>
      </c>
      <c r="C794" t="s">
        <v>184</v>
      </c>
      <c r="D794">
        <v>9</v>
      </c>
      <c r="E794">
        <v>37</v>
      </c>
    </row>
    <row r="795" spans="1:5" x14ac:dyDescent="0.35">
      <c r="A795" t="s">
        <v>394</v>
      </c>
      <c r="B795" t="s">
        <v>34</v>
      </c>
      <c r="C795" t="s">
        <v>185</v>
      </c>
      <c r="D795">
        <v>24</v>
      </c>
      <c r="E795">
        <v>57</v>
      </c>
    </row>
    <row r="796" spans="1:5" x14ac:dyDescent="0.35">
      <c r="A796" t="s">
        <v>394</v>
      </c>
      <c r="B796" t="s">
        <v>34</v>
      </c>
      <c r="C796" t="s">
        <v>186</v>
      </c>
      <c r="D796">
        <v>3</v>
      </c>
      <c r="E796">
        <v>7</v>
      </c>
    </row>
    <row r="797" spans="1:5" x14ac:dyDescent="0.35">
      <c r="A797" t="s">
        <v>394</v>
      </c>
      <c r="B797" t="s">
        <v>33</v>
      </c>
      <c r="C797" t="s">
        <v>187</v>
      </c>
      <c r="D797">
        <v>12</v>
      </c>
      <c r="E797">
        <v>29</v>
      </c>
    </row>
    <row r="798" spans="1:5" x14ac:dyDescent="0.35">
      <c r="A798" t="s">
        <v>394</v>
      </c>
      <c r="B798" t="s">
        <v>34</v>
      </c>
      <c r="C798" t="s">
        <v>188</v>
      </c>
      <c r="D798">
        <v>20</v>
      </c>
      <c r="E798">
        <v>82</v>
      </c>
    </row>
    <row r="799" spans="1:5" x14ac:dyDescent="0.35">
      <c r="A799" t="s">
        <v>394</v>
      </c>
      <c r="B799" t="s">
        <v>33</v>
      </c>
      <c r="C799" t="s">
        <v>189</v>
      </c>
      <c r="D799">
        <v>4</v>
      </c>
      <c r="E799">
        <v>26</v>
      </c>
    </row>
    <row r="800" spans="1:5" x14ac:dyDescent="0.35">
      <c r="A800" t="s">
        <v>394</v>
      </c>
      <c r="B800" t="s">
        <v>37</v>
      </c>
      <c r="C800" t="s">
        <v>190</v>
      </c>
      <c r="D800">
        <v>27</v>
      </c>
      <c r="E800">
        <v>11</v>
      </c>
    </row>
    <row r="801" spans="1:5" x14ac:dyDescent="0.35">
      <c r="A801" t="s">
        <v>394</v>
      </c>
      <c r="B801" t="s">
        <v>36</v>
      </c>
      <c r="C801" t="s">
        <v>191</v>
      </c>
      <c r="D801">
        <v>273</v>
      </c>
      <c r="E801">
        <v>205</v>
      </c>
    </row>
    <row r="802" spans="1:5" x14ac:dyDescent="0.35">
      <c r="A802" t="s">
        <v>394</v>
      </c>
      <c r="B802" t="s">
        <v>33</v>
      </c>
      <c r="C802" t="s">
        <v>192</v>
      </c>
      <c r="D802">
        <v>9</v>
      </c>
      <c r="E802">
        <v>29</v>
      </c>
    </row>
    <row r="803" spans="1:5" x14ac:dyDescent="0.35">
      <c r="A803" t="s">
        <v>394</v>
      </c>
      <c r="B803" t="s">
        <v>34</v>
      </c>
      <c r="C803" t="s">
        <v>193</v>
      </c>
      <c r="D803">
        <v>33</v>
      </c>
      <c r="E803">
        <v>150</v>
      </c>
    </row>
    <row r="804" spans="1:5" x14ac:dyDescent="0.35">
      <c r="A804" t="s">
        <v>394</v>
      </c>
      <c r="B804" t="s">
        <v>36</v>
      </c>
      <c r="C804" t="s">
        <v>372</v>
      </c>
      <c r="D804">
        <v>5</v>
      </c>
      <c r="E804">
        <v>5</v>
      </c>
    </row>
    <row r="805" spans="1:5" x14ac:dyDescent="0.35">
      <c r="A805" t="s">
        <v>394</v>
      </c>
      <c r="B805" t="s">
        <v>33</v>
      </c>
      <c r="C805" t="s">
        <v>195</v>
      </c>
      <c r="D805">
        <v>10</v>
      </c>
      <c r="E805">
        <v>18</v>
      </c>
    </row>
    <row r="806" spans="1:5" x14ac:dyDescent="0.35">
      <c r="A806" t="s">
        <v>394</v>
      </c>
      <c r="B806" t="s">
        <v>35</v>
      </c>
      <c r="C806" t="s">
        <v>196</v>
      </c>
      <c r="D806">
        <v>62</v>
      </c>
      <c r="E806">
        <v>120</v>
      </c>
    </row>
    <row r="807" spans="1:5" x14ac:dyDescent="0.35">
      <c r="A807" t="s">
        <v>394</v>
      </c>
      <c r="B807" t="s">
        <v>34</v>
      </c>
      <c r="C807" t="s">
        <v>197</v>
      </c>
      <c r="E807">
        <v>5</v>
      </c>
    </row>
    <row r="808" spans="1:5" x14ac:dyDescent="0.35">
      <c r="A808" t="s">
        <v>394</v>
      </c>
      <c r="B808" t="s">
        <v>35</v>
      </c>
      <c r="C808" t="s">
        <v>198</v>
      </c>
      <c r="D808">
        <v>179</v>
      </c>
      <c r="E808">
        <v>300</v>
      </c>
    </row>
    <row r="809" spans="1:5" x14ac:dyDescent="0.35">
      <c r="A809" t="s">
        <v>394</v>
      </c>
      <c r="B809" t="s">
        <v>39</v>
      </c>
      <c r="C809" t="s">
        <v>39</v>
      </c>
      <c r="D809">
        <v>10</v>
      </c>
      <c r="E809">
        <v>150</v>
      </c>
    </row>
    <row r="810" spans="1:5" x14ac:dyDescent="0.35">
      <c r="A810" t="s">
        <v>394</v>
      </c>
      <c r="B810" t="s">
        <v>38</v>
      </c>
      <c r="C810" t="s">
        <v>199</v>
      </c>
      <c r="D810">
        <v>49</v>
      </c>
      <c r="E810">
        <v>124</v>
      </c>
    </row>
    <row r="811" spans="1:5" x14ac:dyDescent="0.35">
      <c r="A811" t="s">
        <v>394</v>
      </c>
      <c r="B811" t="s">
        <v>34</v>
      </c>
      <c r="C811" t="s">
        <v>200</v>
      </c>
      <c r="D811">
        <v>9</v>
      </c>
      <c r="E811">
        <v>47</v>
      </c>
    </row>
    <row r="812" spans="1:5" x14ac:dyDescent="0.35">
      <c r="A812" t="s">
        <v>394</v>
      </c>
      <c r="B812" t="s">
        <v>38</v>
      </c>
      <c r="C812" t="s">
        <v>19</v>
      </c>
      <c r="D812">
        <v>120</v>
      </c>
      <c r="E812">
        <v>292</v>
      </c>
    </row>
    <row r="813" spans="1:5" x14ac:dyDescent="0.35">
      <c r="A813" t="s">
        <v>394</v>
      </c>
      <c r="B813" t="s">
        <v>34</v>
      </c>
      <c r="C813" t="s">
        <v>201</v>
      </c>
      <c r="D813">
        <v>8</v>
      </c>
      <c r="E813">
        <v>22</v>
      </c>
    </row>
    <row r="814" spans="1:5" x14ac:dyDescent="0.35">
      <c r="A814" t="s">
        <v>394</v>
      </c>
      <c r="B814" t="s">
        <v>34</v>
      </c>
      <c r="C814" t="s">
        <v>202</v>
      </c>
      <c r="D814">
        <v>10</v>
      </c>
      <c r="E814">
        <v>34</v>
      </c>
    </row>
    <row r="815" spans="1:5" x14ac:dyDescent="0.35">
      <c r="A815" t="s">
        <v>394</v>
      </c>
      <c r="B815" t="s">
        <v>33</v>
      </c>
      <c r="C815" t="s">
        <v>203</v>
      </c>
      <c r="D815">
        <v>7</v>
      </c>
      <c r="E815">
        <v>13</v>
      </c>
    </row>
    <row r="816" spans="1:5" x14ac:dyDescent="0.35">
      <c r="A816" t="s">
        <v>394</v>
      </c>
      <c r="B816" t="s">
        <v>33</v>
      </c>
      <c r="C816" t="s">
        <v>204</v>
      </c>
      <c r="D816">
        <v>3</v>
      </c>
      <c r="E816">
        <v>40</v>
      </c>
    </row>
    <row r="817" spans="1:5" x14ac:dyDescent="0.35">
      <c r="A817" t="s">
        <v>395</v>
      </c>
      <c r="B817" t="s">
        <v>34</v>
      </c>
      <c r="C817" t="s">
        <v>40</v>
      </c>
      <c r="D817">
        <v>6</v>
      </c>
      <c r="E817">
        <v>12</v>
      </c>
    </row>
    <row r="818" spans="1:5" x14ac:dyDescent="0.35">
      <c r="A818" t="s">
        <v>395</v>
      </c>
      <c r="B818" t="s">
        <v>35</v>
      </c>
      <c r="C818" t="s">
        <v>41</v>
      </c>
      <c r="D818">
        <v>42</v>
      </c>
      <c r="E818">
        <v>254</v>
      </c>
    </row>
    <row r="819" spans="1:5" x14ac:dyDescent="0.35">
      <c r="A819" t="s">
        <v>395</v>
      </c>
      <c r="B819" t="s">
        <v>33</v>
      </c>
      <c r="C819" t="s">
        <v>42</v>
      </c>
      <c r="D819">
        <v>3</v>
      </c>
      <c r="E819">
        <v>24</v>
      </c>
    </row>
    <row r="820" spans="1:5" x14ac:dyDescent="0.35">
      <c r="A820" t="s">
        <v>395</v>
      </c>
      <c r="C820" t="s">
        <v>373</v>
      </c>
      <c r="D820">
        <v>34</v>
      </c>
      <c r="E820">
        <v>51</v>
      </c>
    </row>
    <row r="821" spans="1:5" x14ac:dyDescent="0.35">
      <c r="A821" t="s">
        <v>395</v>
      </c>
      <c r="B821" t="s">
        <v>33</v>
      </c>
      <c r="C821" t="s">
        <v>43</v>
      </c>
      <c r="D821" t="s">
        <v>205</v>
      </c>
      <c r="E821" t="s">
        <v>205</v>
      </c>
    </row>
    <row r="822" spans="1:5" x14ac:dyDescent="0.35">
      <c r="A822" t="s">
        <v>395</v>
      </c>
      <c r="B822" t="s">
        <v>36</v>
      </c>
      <c r="C822" t="s">
        <v>44</v>
      </c>
      <c r="D822">
        <v>28</v>
      </c>
      <c r="E822">
        <v>15</v>
      </c>
    </row>
    <row r="823" spans="1:5" x14ac:dyDescent="0.35">
      <c r="A823" t="s">
        <v>395</v>
      </c>
      <c r="B823" t="s">
        <v>38</v>
      </c>
      <c r="C823" t="s">
        <v>45</v>
      </c>
      <c r="D823">
        <v>106</v>
      </c>
      <c r="E823">
        <v>342</v>
      </c>
    </row>
    <row r="824" spans="1:5" x14ac:dyDescent="0.35">
      <c r="A824" t="s">
        <v>395</v>
      </c>
      <c r="B824" t="s">
        <v>34</v>
      </c>
      <c r="C824" t="s">
        <v>46</v>
      </c>
      <c r="D824">
        <v>29</v>
      </c>
      <c r="E824">
        <v>66</v>
      </c>
    </row>
    <row r="825" spans="1:5" x14ac:dyDescent="0.35">
      <c r="A825" t="s">
        <v>395</v>
      </c>
      <c r="B825" t="s">
        <v>37</v>
      </c>
      <c r="C825" t="s">
        <v>47</v>
      </c>
      <c r="D825">
        <v>19</v>
      </c>
      <c r="E825">
        <v>64</v>
      </c>
    </row>
    <row r="826" spans="1:5" x14ac:dyDescent="0.35">
      <c r="A826" t="s">
        <v>395</v>
      </c>
      <c r="B826" t="s">
        <v>35</v>
      </c>
      <c r="C826" t="s">
        <v>48</v>
      </c>
      <c r="D826" t="s">
        <v>205</v>
      </c>
      <c r="E826" t="s">
        <v>205</v>
      </c>
    </row>
    <row r="827" spans="1:5" x14ac:dyDescent="0.35">
      <c r="A827" t="s">
        <v>395</v>
      </c>
      <c r="B827" t="s">
        <v>34</v>
      </c>
      <c r="C827" t="s">
        <v>49</v>
      </c>
      <c r="D827" t="s">
        <v>205</v>
      </c>
      <c r="E827" t="s">
        <v>205</v>
      </c>
    </row>
    <row r="828" spans="1:5" x14ac:dyDescent="0.35">
      <c r="A828" t="s">
        <v>395</v>
      </c>
      <c r="B828" t="s">
        <v>36</v>
      </c>
      <c r="C828" t="s">
        <v>50</v>
      </c>
      <c r="D828">
        <v>99</v>
      </c>
      <c r="E828">
        <v>44</v>
      </c>
    </row>
    <row r="829" spans="1:5" x14ac:dyDescent="0.35">
      <c r="A829" t="s">
        <v>395</v>
      </c>
      <c r="B829" t="s">
        <v>34</v>
      </c>
      <c r="C829" t="s">
        <v>52</v>
      </c>
      <c r="D829">
        <v>17</v>
      </c>
      <c r="E829">
        <v>87</v>
      </c>
    </row>
    <row r="830" spans="1:5" x14ac:dyDescent="0.35">
      <c r="A830" t="s">
        <v>395</v>
      </c>
      <c r="B830" t="s">
        <v>36</v>
      </c>
      <c r="C830" t="s">
        <v>53</v>
      </c>
      <c r="D830">
        <v>36</v>
      </c>
      <c r="E830">
        <v>12</v>
      </c>
    </row>
    <row r="831" spans="1:5" x14ac:dyDescent="0.35">
      <c r="A831" t="s">
        <v>395</v>
      </c>
      <c r="B831" t="s">
        <v>35</v>
      </c>
      <c r="C831" t="s">
        <v>54</v>
      </c>
      <c r="D831">
        <v>11</v>
      </c>
      <c r="E831">
        <v>25</v>
      </c>
    </row>
    <row r="832" spans="1:5" x14ac:dyDescent="0.35">
      <c r="A832" t="s">
        <v>395</v>
      </c>
      <c r="B832" t="s">
        <v>35</v>
      </c>
      <c r="C832" t="s">
        <v>55</v>
      </c>
      <c r="D832">
        <v>3</v>
      </c>
      <c r="E832">
        <v>24</v>
      </c>
    </row>
    <row r="833" spans="1:5" x14ac:dyDescent="0.35">
      <c r="A833" t="s">
        <v>395</v>
      </c>
      <c r="B833" t="s">
        <v>36</v>
      </c>
      <c r="C833" t="s">
        <v>56</v>
      </c>
      <c r="D833">
        <v>126</v>
      </c>
      <c r="E833">
        <v>116</v>
      </c>
    </row>
    <row r="834" spans="1:5" x14ac:dyDescent="0.35">
      <c r="A834" t="s">
        <v>395</v>
      </c>
      <c r="B834" t="s">
        <v>33</v>
      </c>
      <c r="C834" t="s">
        <v>57</v>
      </c>
      <c r="D834">
        <v>4</v>
      </c>
      <c r="E834">
        <v>5</v>
      </c>
    </row>
    <row r="835" spans="1:5" x14ac:dyDescent="0.35">
      <c r="A835" t="s">
        <v>395</v>
      </c>
      <c r="B835" t="s">
        <v>36</v>
      </c>
      <c r="C835" t="s">
        <v>363</v>
      </c>
      <c r="D835">
        <v>9</v>
      </c>
      <c r="E835">
        <v>6</v>
      </c>
    </row>
    <row r="836" spans="1:5" x14ac:dyDescent="0.35">
      <c r="A836" t="s">
        <v>395</v>
      </c>
      <c r="B836" t="s">
        <v>38</v>
      </c>
      <c r="C836" t="s">
        <v>59</v>
      </c>
      <c r="D836">
        <v>54</v>
      </c>
      <c r="E836">
        <v>224</v>
      </c>
    </row>
    <row r="837" spans="1:5" x14ac:dyDescent="0.35">
      <c r="A837" t="s">
        <v>395</v>
      </c>
      <c r="B837" t="s">
        <v>35</v>
      </c>
      <c r="C837" t="s">
        <v>60</v>
      </c>
      <c r="D837">
        <v>49</v>
      </c>
      <c r="E837">
        <v>8</v>
      </c>
    </row>
    <row r="838" spans="1:5" x14ac:dyDescent="0.35">
      <c r="A838" t="s">
        <v>395</v>
      </c>
      <c r="B838" t="s">
        <v>38</v>
      </c>
      <c r="C838" t="s">
        <v>21</v>
      </c>
      <c r="D838">
        <v>388</v>
      </c>
      <c r="E838">
        <v>3336</v>
      </c>
    </row>
    <row r="839" spans="1:5" x14ac:dyDescent="0.35">
      <c r="A839" t="s">
        <v>395</v>
      </c>
      <c r="B839" t="s">
        <v>35</v>
      </c>
      <c r="C839" t="s">
        <v>62</v>
      </c>
      <c r="D839">
        <v>14</v>
      </c>
      <c r="E839">
        <v>68</v>
      </c>
    </row>
    <row r="840" spans="1:5" x14ac:dyDescent="0.35">
      <c r="A840" t="s">
        <v>395</v>
      </c>
      <c r="B840" t="s">
        <v>33</v>
      </c>
      <c r="C840" t="s">
        <v>63</v>
      </c>
      <c r="D840">
        <v>5</v>
      </c>
      <c r="E840">
        <v>6</v>
      </c>
    </row>
    <row r="841" spans="1:5" x14ac:dyDescent="0.35">
      <c r="A841" t="s">
        <v>395</v>
      </c>
      <c r="B841" t="s">
        <v>34</v>
      </c>
      <c r="C841" t="s">
        <v>64</v>
      </c>
      <c r="D841" t="s">
        <v>205</v>
      </c>
      <c r="E841" t="s">
        <v>205</v>
      </c>
    </row>
    <row r="842" spans="1:5" x14ac:dyDescent="0.35">
      <c r="A842" t="s">
        <v>395</v>
      </c>
      <c r="B842" t="s">
        <v>33</v>
      </c>
      <c r="C842" t="s">
        <v>66</v>
      </c>
      <c r="D842">
        <v>42</v>
      </c>
      <c r="E842">
        <v>7</v>
      </c>
    </row>
    <row r="843" spans="1:5" x14ac:dyDescent="0.35">
      <c r="A843" t="s">
        <v>395</v>
      </c>
      <c r="B843" t="s">
        <v>34</v>
      </c>
      <c r="C843" t="s">
        <v>67</v>
      </c>
      <c r="D843">
        <v>28</v>
      </c>
      <c r="E843">
        <v>18</v>
      </c>
    </row>
    <row r="844" spans="1:5" x14ac:dyDescent="0.35">
      <c r="A844" t="s">
        <v>395</v>
      </c>
      <c r="B844" t="s">
        <v>33</v>
      </c>
      <c r="C844" t="s">
        <v>68</v>
      </c>
      <c r="D844">
        <v>10</v>
      </c>
      <c r="E844">
        <v>45</v>
      </c>
    </row>
    <row r="845" spans="1:5" x14ac:dyDescent="0.35">
      <c r="A845" t="s">
        <v>395</v>
      </c>
      <c r="B845" t="s">
        <v>36</v>
      </c>
      <c r="C845" t="s">
        <v>69</v>
      </c>
      <c r="D845">
        <v>418</v>
      </c>
      <c r="E845">
        <v>908</v>
      </c>
    </row>
    <row r="846" spans="1:5" x14ac:dyDescent="0.35">
      <c r="A846" t="s">
        <v>395</v>
      </c>
      <c r="B846" t="s">
        <v>33</v>
      </c>
      <c r="C846" t="s">
        <v>71</v>
      </c>
      <c r="E846">
        <v>6</v>
      </c>
    </row>
    <row r="847" spans="1:5" x14ac:dyDescent="0.35">
      <c r="A847" t="s">
        <v>395</v>
      </c>
      <c r="B847" t="s">
        <v>38</v>
      </c>
      <c r="C847" t="s">
        <v>72</v>
      </c>
      <c r="D847">
        <v>70</v>
      </c>
      <c r="E847">
        <v>135</v>
      </c>
    </row>
    <row r="848" spans="1:5" x14ac:dyDescent="0.35">
      <c r="A848" t="s">
        <v>395</v>
      </c>
      <c r="B848" t="s">
        <v>34</v>
      </c>
      <c r="C848" t="s">
        <v>73</v>
      </c>
      <c r="D848">
        <v>135</v>
      </c>
      <c r="E848">
        <v>831</v>
      </c>
    </row>
    <row r="849" spans="1:5" x14ac:dyDescent="0.35">
      <c r="A849" t="s">
        <v>395</v>
      </c>
      <c r="B849" t="s">
        <v>38</v>
      </c>
      <c r="C849" t="s">
        <v>20</v>
      </c>
      <c r="D849">
        <v>1124</v>
      </c>
      <c r="E849">
        <v>1590</v>
      </c>
    </row>
    <row r="850" spans="1:5" x14ac:dyDescent="0.35">
      <c r="A850" t="s">
        <v>395</v>
      </c>
      <c r="B850" t="s">
        <v>33</v>
      </c>
      <c r="C850" t="s">
        <v>74</v>
      </c>
      <c r="D850">
        <v>6</v>
      </c>
      <c r="E850">
        <v>11</v>
      </c>
    </row>
    <row r="851" spans="1:5" x14ac:dyDescent="0.35">
      <c r="A851" t="s">
        <v>395</v>
      </c>
      <c r="B851" t="s">
        <v>33</v>
      </c>
      <c r="C851" t="s">
        <v>75</v>
      </c>
      <c r="D851">
        <v>4</v>
      </c>
      <c r="E851">
        <v>17</v>
      </c>
    </row>
    <row r="852" spans="1:5" x14ac:dyDescent="0.35">
      <c r="A852" t="s">
        <v>395</v>
      </c>
      <c r="B852" t="s">
        <v>36</v>
      </c>
      <c r="C852" t="s">
        <v>76</v>
      </c>
      <c r="D852">
        <v>123</v>
      </c>
      <c r="E852">
        <v>572</v>
      </c>
    </row>
    <row r="853" spans="1:5" x14ac:dyDescent="0.35">
      <c r="A853" t="s">
        <v>395</v>
      </c>
      <c r="B853" t="s">
        <v>33</v>
      </c>
      <c r="C853" t="s">
        <v>77</v>
      </c>
      <c r="D853">
        <v>4</v>
      </c>
      <c r="E853">
        <v>20</v>
      </c>
    </row>
    <row r="854" spans="1:5" x14ac:dyDescent="0.35">
      <c r="A854" t="s">
        <v>395</v>
      </c>
      <c r="B854" t="s">
        <v>35</v>
      </c>
      <c r="C854" t="s">
        <v>78</v>
      </c>
      <c r="D854">
        <v>7</v>
      </c>
      <c r="E854">
        <v>16</v>
      </c>
    </row>
    <row r="855" spans="1:5" x14ac:dyDescent="0.35">
      <c r="A855" t="s">
        <v>395</v>
      </c>
      <c r="B855" t="s">
        <v>36</v>
      </c>
      <c r="C855" t="s">
        <v>79</v>
      </c>
      <c r="D855">
        <v>86</v>
      </c>
      <c r="E855">
        <v>44</v>
      </c>
    </row>
    <row r="856" spans="1:5" x14ac:dyDescent="0.35">
      <c r="A856" t="s">
        <v>395</v>
      </c>
      <c r="B856" t="s">
        <v>35</v>
      </c>
      <c r="C856" t="s">
        <v>81</v>
      </c>
      <c r="D856">
        <v>17</v>
      </c>
      <c r="E856">
        <v>49</v>
      </c>
    </row>
    <row r="857" spans="1:5" x14ac:dyDescent="0.35">
      <c r="A857" t="s">
        <v>395</v>
      </c>
      <c r="B857" t="s">
        <v>35</v>
      </c>
      <c r="C857" t="s">
        <v>214</v>
      </c>
      <c r="D857">
        <v>5</v>
      </c>
      <c r="E857">
        <v>43</v>
      </c>
    </row>
    <row r="858" spans="1:5" x14ac:dyDescent="0.35">
      <c r="A858" t="s">
        <v>395</v>
      </c>
      <c r="B858" t="s">
        <v>35</v>
      </c>
      <c r="C858" t="s">
        <v>82</v>
      </c>
      <c r="D858">
        <v>5</v>
      </c>
      <c r="E858">
        <v>26</v>
      </c>
    </row>
    <row r="859" spans="1:5" x14ac:dyDescent="0.35">
      <c r="A859" t="s">
        <v>395</v>
      </c>
      <c r="B859" t="s">
        <v>36</v>
      </c>
      <c r="C859" t="s">
        <v>84</v>
      </c>
      <c r="D859">
        <v>18</v>
      </c>
      <c r="E859">
        <v>17</v>
      </c>
    </row>
    <row r="860" spans="1:5" x14ac:dyDescent="0.35">
      <c r="A860" t="s">
        <v>395</v>
      </c>
      <c r="B860" t="s">
        <v>36</v>
      </c>
      <c r="C860" t="s">
        <v>85</v>
      </c>
      <c r="D860">
        <v>2207</v>
      </c>
      <c r="E860">
        <v>1369</v>
      </c>
    </row>
    <row r="861" spans="1:5" x14ac:dyDescent="0.35">
      <c r="A861" t="s">
        <v>395</v>
      </c>
      <c r="B861" t="s">
        <v>38</v>
      </c>
      <c r="C861" t="s">
        <v>86</v>
      </c>
      <c r="D861">
        <v>602</v>
      </c>
      <c r="E861">
        <v>1781</v>
      </c>
    </row>
    <row r="862" spans="1:5" x14ac:dyDescent="0.35">
      <c r="A862" t="s">
        <v>395</v>
      </c>
      <c r="B862" t="s">
        <v>33</v>
      </c>
      <c r="C862" t="s">
        <v>87</v>
      </c>
      <c r="D862">
        <v>36</v>
      </c>
      <c r="E862">
        <v>121</v>
      </c>
    </row>
    <row r="863" spans="1:5" x14ac:dyDescent="0.35">
      <c r="A863" t="s">
        <v>395</v>
      </c>
      <c r="B863" t="s">
        <v>36</v>
      </c>
      <c r="C863" t="s">
        <v>16</v>
      </c>
      <c r="D863">
        <v>6344</v>
      </c>
      <c r="E863">
        <v>14500</v>
      </c>
    </row>
    <row r="864" spans="1:5" x14ac:dyDescent="0.35">
      <c r="A864" t="s">
        <v>395</v>
      </c>
      <c r="B864" t="s">
        <v>33</v>
      </c>
      <c r="C864" t="s">
        <v>89</v>
      </c>
      <c r="D864" t="s">
        <v>205</v>
      </c>
      <c r="E864" t="s">
        <v>205</v>
      </c>
    </row>
    <row r="865" spans="1:5" x14ac:dyDescent="0.35">
      <c r="A865" t="s">
        <v>395</v>
      </c>
      <c r="B865" t="s">
        <v>35</v>
      </c>
      <c r="C865" t="s">
        <v>90</v>
      </c>
      <c r="D865">
        <v>8</v>
      </c>
      <c r="E865">
        <v>18</v>
      </c>
    </row>
    <row r="866" spans="1:5" x14ac:dyDescent="0.35">
      <c r="A866" t="s">
        <v>395</v>
      </c>
      <c r="B866" t="s">
        <v>33</v>
      </c>
      <c r="C866" t="s">
        <v>91</v>
      </c>
      <c r="D866">
        <v>18</v>
      </c>
      <c r="E866">
        <v>58</v>
      </c>
    </row>
    <row r="867" spans="1:5" x14ac:dyDescent="0.35">
      <c r="A867" t="s">
        <v>395</v>
      </c>
      <c r="B867" t="s">
        <v>37</v>
      </c>
      <c r="C867" t="s">
        <v>92</v>
      </c>
      <c r="D867">
        <v>24</v>
      </c>
      <c r="E867">
        <v>30</v>
      </c>
    </row>
    <row r="868" spans="1:5" x14ac:dyDescent="0.35">
      <c r="A868" t="s">
        <v>395</v>
      </c>
      <c r="B868" t="s">
        <v>35</v>
      </c>
      <c r="C868" t="s">
        <v>93</v>
      </c>
      <c r="E868">
        <v>10</v>
      </c>
    </row>
    <row r="869" spans="1:5" x14ac:dyDescent="0.35">
      <c r="A869" t="s">
        <v>395</v>
      </c>
      <c r="B869" t="s">
        <v>35</v>
      </c>
      <c r="C869" t="s">
        <v>94</v>
      </c>
      <c r="D869">
        <v>24</v>
      </c>
      <c r="E869">
        <v>212</v>
      </c>
    </row>
    <row r="870" spans="1:5" x14ac:dyDescent="0.35">
      <c r="A870" t="s">
        <v>395</v>
      </c>
      <c r="B870" t="s">
        <v>33</v>
      </c>
      <c r="C870" t="s">
        <v>95</v>
      </c>
      <c r="D870" t="s">
        <v>205</v>
      </c>
      <c r="E870" t="s">
        <v>205</v>
      </c>
    </row>
    <row r="871" spans="1:5" x14ac:dyDescent="0.35">
      <c r="A871" t="s">
        <v>395</v>
      </c>
      <c r="B871" t="s">
        <v>33</v>
      </c>
      <c r="C871" t="s">
        <v>96</v>
      </c>
      <c r="D871">
        <v>7</v>
      </c>
      <c r="E871">
        <v>20</v>
      </c>
    </row>
    <row r="872" spans="1:5" x14ac:dyDescent="0.35">
      <c r="A872" t="s">
        <v>395</v>
      </c>
      <c r="B872" t="s">
        <v>34</v>
      </c>
      <c r="C872" t="s">
        <v>8</v>
      </c>
      <c r="D872">
        <v>23</v>
      </c>
      <c r="E872">
        <v>48</v>
      </c>
    </row>
    <row r="873" spans="1:5" x14ac:dyDescent="0.35">
      <c r="A873" t="s">
        <v>395</v>
      </c>
      <c r="B873" t="s">
        <v>35</v>
      </c>
      <c r="C873" t="s">
        <v>97</v>
      </c>
      <c r="D873">
        <v>53</v>
      </c>
      <c r="E873">
        <v>151</v>
      </c>
    </row>
    <row r="874" spans="1:5" x14ac:dyDescent="0.35">
      <c r="A874" t="s">
        <v>395</v>
      </c>
      <c r="B874" t="s">
        <v>33</v>
      </c>
      <c r="C874" t="s">
        <v>98</v>
      </c>
      <c r="D874">
        <v>60</v>
      </c>
      <c r="E874">
        <v>169</v>
      </c>
    </row>
    <row r="875" spans="1:5" x14ac:dyDescent="0.35">
      <c r="A875" t="s">
        <v>395</v>
      </c>
      <c r="B875" t="s">
        <v>35</v>
      </c>
      <c r="C875" t="s">
        <v>99</v>
      </c>
      <c r="D875">
        <v>18</v>
      </c>
      <c r="E875">
        <v>30</v>
      </c>
    </row>
    <row r="876" spans="1:5" x14ac:dyDescent="0.35">
      <c r="A876" t="s">
        <v>395</v>
      </c>
      <c r="B876" t="s">
        <v>36</v>
      </c>
      <c r="C876" t="s">
        <v>100</v>
      </c>
      <c r="D876">
        <v>21</v>
      </c>
      <c r="E876">
        <v>8</v>
      </c>
    </row>
    <row r="877" spans="1:5" x14ac:dyDescent="0.35">
      <c r="A877" t="s">
        <v>395</v>
      </c>
      <c r="B877" t="s">
        <v>36</v>
      </c>
      <c r="C877" t="s">
        <v>15</v>
      </c>
      <c r="D877">
        <v>6547</v>
      </c>
      <c r="E877">
        <v>23094</v>
      </c>
    </row>
    <row r="878" spans="1:5" x14ac:dyDescent="0.35">
      <c r="A878" t="s">
        <v>395</v>
      </c>
      <c r="B878" t="s">
        <v>33</v>
      </c>
      <c r="C878" t="s">
        <v>101</v>
      </c>
      <c r="D878">
        <v>14</v>
      </c>
      <c r="E878">
        <v>47</v>
      </c>
    </row>
    <row r="879" spans="1:5" x14ac:dyDescent="0.35">
      <c r="A879" t="s">
        <v>395</v>
      </c>
      <c r="B879" t="s">
        <v>38</v>
      </c>
      <c r="C879" t="s">
        <v>103</v>
      </c>
      <c r="D879">
        <v>216</v>
      </c>
      <c r="E879">
        <v>86</v>
      </c>
    </row>
    <row r="880" spans="1:5" x14ac:dyDescent="0.35">
      <c r="A880" t="s">
        <v>395</v>
      </c>
      <c r="B880" t="s">
        <v>36</v>
      </c>
      <c r="C880" t="s">
        <v>104</v>
      </c>
      <c r="D880">
        <v>473</v>
      </c>
      <c r="E880">
        <v>257</v>
      </c>
    </row>
    <row r="881" spans="1:5" x14ac:dyDescent="0.35">
      <c r="A881" t="s">
        <v>395</v>
      </c>
      <c r="B881" t="s">
        <v>36</v>
      </c>
      <c r="C881" t="s">
        <v>17</v>
      </c>
      <c r="D881">
        <v>6998</v>
      </c>
      <c r="E881">
        <v>20285</v>
      </c>
    </row>
    <row r="882" spans="1:5" x14ac:dyDescent="0.35">
      <c r="A882" t="s">
        <v>395</v>
      </c>
      <c r="B882" t="s">
        <v>34</v>
      </c>
      <c r="C882" t="s">
        <v>368</v>
      </c>
      <c r="D882">
        <v>9</v>
      </c>
      <c r="E882">
        <v>16</v>
      </c>
    </row>
    <row r="883" spans="1:5" x14ac:dyDescent="0.35">
      <c r="A883" t="s">
        <v>395</v>
      </c>
      <c r="B883" t="s">
        <v>35</v>
      </c>
      <c r="C883" t="s">
        <v>105</v>
      </c>
      <c r="D883">
        <v>19</v>
      </c>
      <c r="E883">
        <v>112</v>
      </c>
    </row>
    <row r="884" spans="1:5" x14ac:dyDescent="0.35">
      <c r="A884" t="s">
        <v>395</v>
      </c>
      <c r="B884" t="s">
        <v>34</v>
      </c>
      <c r="C884" t="s">
        <v>22</v>
      </c>
      <c r="D884">
        <v>186</v>
      </c>
      <c r="E884">
        <v>860</v>
      </c>
    </row>
    <row r="885" spans="1:5" x14ac:dyDescent="0.35">
      <c r="A885" t="s">
        <v>395</v>
      </c>
      <c r="B885" t="s">
        <v>34</v>
      </c>
      <c r="C885" t="s">
        <v>107</v>
      </c>
      <c r="D885">
        <v>42</v>
      </c>
      <c r="E885">
        <v>389</v>
      </c>
    </row>
    <row r="886" spans="1:5" x14ac:dyDescent="0.35">
      <c r="A886" t="s">
        <v>395</v>
      </c>
      <c r="B886" t="s">
        <v>34</v>
      </c>
      <c r="C886" t="s">
        <v>108</v>
      </c>
      <c r="D886">
        <v>15</v>
      </c>
      <c r="E886">
        <v>40</v>
      </c>
    </row>
    <row r="887" spans="1:5" x14ac:dyDescent="0.35">
      <c r="A887" t="s">
        <v>395</v>
      </c>
      <c r="B887" t="s">
        <v>34</v>
      </c>
      <c r="C887" t="s">
        <v>109</v>
      </c>
      <c r="D887">
        <v>16</v>
      </c>
      <c r="E887">
        <v>17</v>
      </c>
    </row>
    <row r="888" spans="1:5" x14ac:dyDescent="0.35">
      <c r="A888" t="s">
        <v>395</v>
      </c>
      <c r="B888" t="s">
        <v>35</v>
      </c>
      <c r="C888" t="s">
        <v>110</v>
      </c>
      <c r="D888">
        <v>19</v>
      </c>
      <c r="E888">
        <v>110</v>
      </c>
    </row>
    <row r="889" spans="1:5" x14ac:dyDescent="0.35">
      <c r="A889" t="s">
        <v>395</v>
      </c>
      <c r="B889" t="s">
        <v>34</v>
      </c>
      <c r="C889" t="s">
        <v>111</v>
      </c>
      <c r="D889">
        <v>50</v>
      </c>
      <c r="E889">
        <v>363</v>
      </c>
    </row>
    <row r="890" spans="1:5" x14ac:dyDescent="0.35">
      <c r="A890" t="s">
        <v>395</v>
      </c>
      <c r="B890" t="s">
        <v>35</v>
      </c>
      <c r="C890" t="s">
        <v>112</v>
      </c>
      <c r="D890">
        <v>61</v>
      </c>
      <c r="E890">
        <v>183</v>
      </c>
    </row>
    <row r="891" spans="1:5" x14ac:dyDescent="0.35">
      <c r="A891" t="s">
        <v>395</v>
      </c>
      <c r="B891" t="s">
        <v>36</v>
      </c>
      <c r="C891" t="s">
        <v>113</v>
      </c>
      <c r="D891">
        <v>1246</v>
      </c>
      <c r="E891">
        <v>416</v>
      </c>
    </row>
    <row r="892" spans="1:5" x14ac:dyDescent="0.35">
      <c r="A892" t="s">
        <v>395</v>
      </c>
      <c r="B892" t="s">
        <v>34</v>
      </c>
      <c r="C892" t="s">
        <v>114</v>
      </c>
      <c r="D892">
        <v>12</v>
      </c>
      <c r="E892">
        <v>75</v>
      </c>
    </row>
    <row r="893" spans="1:5" x14ac:dyDescent="0.35">
      <c r="A893" t="s">
        <v>395</v>
      </c>
      <c r="B893" t="s">
        <v>34</v>
      </c>
      <c r="C893" t="s">
        <v>115</v>
      </c>
      <c r="D893">
        <v>66</v>
      </c>
      <c r="E893">
        <v>148</v>
      </c>
    </row>
    <row r="894" spans="1:5" x14ac:dyDescent="0.35">
      <c r="A894" t="s">
        <v>395</v>
      </c>
      <c r="B894" t="s">
        <v>34</v>
      </c>
      <c r="C894" t="s">
        <v>116</v>
      </c>
      <c r="D894">
        <v>9</v>
      </c>
      <c r="E894">
        <v>25</v>
      </c>
    </row>
    <row r="895" spans="1:5" x14ac:dyDescent="0.35">
      <c r="A895" t="s">
        <v>395</v>
      </c>
      <c r="B895" t="s">
        <v>33</v>
      </c>
      <c r="C895" t="s">
        <v>117</v>
      </c>
      <c r="D895">
        <v>70</v>
      </c>
      <c r="E895">
        <v>105</v>
      </c>
    </row>
    <row r="896" spans="1:5" x14ac:dyDescent="0.35">
      <c r="A896" t="s">
        <v>395</v>
      </c>
      <c r="B896" t="s">
        <v>34</v>
      </c>
      <c r="C896" t="s">
        <v>118</v>
      </c>
      <c r="D896">
        <v>129</v>
      </c>
      <c r="E896">
        <v>265</v>
      </c>
    </row>
    <row r="897" spans="1:5" x14ac:dyDescent="0.35">
      <c r="A897" t="s">
        <v>395</v>
      </c>
      <c r="B897" t="s">
        <v>35</v>
      </c>
      <c r="C897" t="s">
        <v>119</v>
      </c>
      <c r="D897">
        <v>4</v>
      </c>
      <c r="E897">
        <v>10</v>
      </c>
    </row>
    <row r="898" spans="1:5" x14ac:dyDescent="0.35">
      <c r="A898" t="s">
        <v>395</v>
      </c>
      <c r="B898" t="s">
        <v>34</v>
      </c>
      <c r="C898" t="s">
        <v>120</v>
      </c>
      <c r="D898" t="s">
        <v>205</v>
      </c>
      <c r="E898" t="s">
        <v>205</v>
      </c>
    </row>
    <row r="899" spans="1:5" x14ac:dyDescent="0.35">
      <c r="A899" t="s">
        <v>395</v>
      </c>
      <c r="B899" t="s">
        <v>34</v>
      </c>
      <c r="C899" t="s">
        <v>121</v>
      </c>
      <c r="D899" t="s">
        <v>205</v>
      </c>
      <c r="E899" t="s">
        <v>205</v>
      </c>
    </row>
    <row r="900" spans="1:5" x14ac:dyDescent="0.35">
      <c r="A900" t="s">
        <v>395</v>
      </c>
      <c r="B900" t="s">
        <v>34</v>
      </c>
      <c r="C900" t="s">
        <v>122</v>
      </c>
      <c r="D900" t="s">
        <v>205</v>
      </c>
      <c r="E900" t="s">
        <v>205</v>
      </c>
    </row>
    <row r="901" spans="1:5" x14ac:dyDescent="0.35">
      <c r="A901" t="s">
        <v>395</v>
      </c>
      <c r="B901" t="s">
        <v>35</v>
      </c>
      <c r="C901" t="s">
        <v>123</v>
      </c>
      <c r="D901">
        <v>4</v>
      </c>
      <c r="E901">
        <v>26</v>
      </c>
    </row>
    <row r="902" spans="1:5" x14ac:dyDescent="0.35">
      <c r="A902" t="s">
        <v>395</v>
      </c>
      <c r="B902" t="s">
        <v>34</v>
      </c>
      <c r="C902" t="s">
        <v>124</v>
      </c>
      <c r="D902">
        <v>35</v>
      </c>
      <c r="E902">
        <v>109</v>
      </c>
    </row>
    <row r="903" spans="1:5" x14ac:dyDescent="0.35">
      <c r="A903" t="s">
        <v>395</v>
      </c>
      <c r="B903" t="s">
        <v>33</v>
      </c>
      <c r="C903" t="s">
        <v>125</v>
      </c>
      <c r="D903">
        <v>22</v>
      </c>
      <c r="E903">
        <v>29</v>
      </c>
    </row>
    <row r="904" spans="1:5" x14ac:dyDescent="0.35">
      <c r="A904" t="s">
        <v>395</v>
      </c>
      <c r="B904" t="s">
        <v>35</v>
      </c>
      <c r="C904" t="s">
        <v>127</v>
      </c>
      <c r="D904">
        <v>14</v>
      </c>
      <c r="E904">
        <v>58</v>
      </c>
    </row>
    <row r="905" spans="1:5" x14ac:dyDescent="0.35">
      <c r="A905" t="s">
        <v>395</v>
      </c>
      <c r="B905" t="s">
        <v>33</v>
      </c>
      <c r="C905" t="s">
        <v>130</v>
      </c>
      <c r="D905" t="s">
        <v>205</v>
      </c>
      <c r="E905" t="s">
        <v>205</v>
      </c>
    </row>
    <row r="906" spans="1:5" x14ac:dyDescent="0.35">
      <c r="A906" t="s">
        <v>395</v>
      </c>
      <c r="B906" t="s">
        <v>34</v>
      </c>
      <c r="C906" t="s">
        <v>131</v>
      </c>
      <c r="D906">
        <v>15</v>
      </c>
      <c r="E906">
        <v>44</v>
      </c>
    </row>
    <row r="907" spans="1:5" x14ac:dyDescent="0.35">
      <c r="A907" t="s">
        <v>395</v>
      </c>
      <c r="B907" t="s">
        <v>33</v>
      </c>
      <c r="C907" t="s">
        <v>132</v>
      </c>
      <c r="D907">
        <v>3</v>
      </c>
      <c r="E907">
        <v>20</v>
      </c>
    </row>
    <row r="908" spans="1:5" x14ac:dyDescent="0.35">
      <c r="A908" t="s">
        <v>395</v>
      </c>
      <c r="B908" t="s">
        <v>37</v>
      </c>
      <c r="C908" t="s">
        <v>134</v>
      </c>
      <c r="D908" t="s">
        <v>205</v>
      </c>
      <c r="E908" t="s">
        <v>205</v>
      </c>
    </row>
    <row r="909" spans="1:5" x14ac:dyDescent="0.35">
      <c r="A909" t="s">
        <v>395</v>
      </c>
      <c r="B909" t="s">
        <v>33</v>
      </c>
      <c r="C909" t="s">
        <v>135</v>
      </c>
      <c r="D909" t="s">
        <v>205</v>
      </c>
      <c r="E909" t="s">
        <v>205</v>
      </c>
    </row>
    <row r="910" spans="1:5" x14ac:dyDescent="0.35">
      <c r="A910" t="s">
        <v>395</v>
      </c>
      <c r="B910" t="s">
        <v>36</v>
      </c>
      <c r="C910" t="s">
        <v>14</v>
      </c>
      <c r="D910">
        <v>99616</v>
      </c>
      <c r="E910">
        <v>177234</v>
      </c>
    </row>
    <row r="911" spans="1:5" x14ac:dyDescent="0.35">
      <c r="A911" t="s">
        <v>395</v>
      </c>
      <c r="B911" t="s">
        <v>37</v>
      </c>
      <c r="C911" t="s">
        <v>137</v>
      </c>
      <c r="D911">
        <v>52</v>
      </c>
      <c r="E911">
        <v>14</v>
      </c>
    </row>
    <row r="912" spans="1:5" x14ac:dyDescent="0.35">
      <c r="A912" t="s">
        <v>395</v>
      </c>
      <c r="B912" t="s">
        <v>35</v>
      </c>
      <c r="C912" t="s">
        <v>138</v>
      </c>
      <c r="D912">
        <v>14</v>
      </c>
      <c r="E912">
        <v>30</v>
      </c>
    </row>
    <row r="913" spans="1:5" x14ac:dyDescent="0.35">
      <c r="A913" t="s">
        <v>395</v>
      </c>
      <c r="B913" t="s">
        <v>34</v>
      </c>
      <c r="C913" t="s">
        <v>139</v>
      </c>
      <c r="D913">
        <v>9</v>
      </c>
      <c r="E913">
        <v>39</v>
      </c>
    </row>
    <row r="914" spans="1:5" x14ac:dyDescent="0.35">
      <c r="A914" t="s">
        <v>395</v>
      </c>
      <c r="B914" t="s">
        <v>35</v>
      </c>
      <c r="C914" t="s">
        <v>140</v>
      </c>
    </row>
    <row r="915" spans="1:5" x14ac:dyDescent="0.35">
      <c r="A915" t="s">
        <v>395</v>
      </c>
      <c r="B915" t="s">
        <v>33</v>
      </c>
      <c r="C915" t="s">
        <v>141</v>
      </c>
      <c r="D915">
        <v>48</v>
      </c>
      <c r="E915">
        <v>47</v>
      </c>
    </row>
    <row r="916" spans="1:5" x14ac:dyDescent="0.35">
      <c r="A916" t="s">
        <v>395</v>
      </c>
      <c r="B916" t="s">
        <v>34</v>
      </c>
      <c r="C916" t="s">
        <v>144</v>
      </c>
      <c r="D916">
        <v>11</v>
      </c>
      <c r="E916">
        <v>44</v>
      </c>
    </row>
    <row r="917" spans="1:5" x14ac:dyDescent="0.35">
      <c r="A917" t="s">
        <v>395</v>
      </c>
      <c r="B917" t="s">
        <v>35</v>
      </c>
      <c r="C917" t="s">
        <v>145</v>
      </c>
      <c r="D917">
        <v>29</v>
      </c>
      <c r="E917">
        <v>100</v>
      </c>
    </row>
    <row r="918" spans="1:5" x14ac:dyDescent="0.35">
      <c r="A918" t="s">
        <v>395</v>
      </c>
      <c r="B918" t="s">
        <v>37</v>
      </c>
      <c r="C918" t="s">
        <v>146</v>
      </c>
      <c r="D918">
        <v>6</v>
      </c>
      <c r="E918">
        <v>29</v>
      </c>
    </row>
    <row r="919" spans="1:5" x14ac:dyDescent="0.35">
      <c r="A919" t="s">
        <v>395</v>
      </c>
      <c r="B919" t="s">
        <v>36</v>
      </c>
      <c r="C919" t="s">
        <v>147</v>
      </c>
      <c r="D919">
        <v>620</v>
      </c>
      <c r="E919">
        <v>1552</v>
      </c>
    </row>
    <row r="920" spans="1:5" x14ac:dyDescent="0.35">
      <c r="A920" t="s">
        <v>395</v>
      </c>
      <c r="B920" t="s">
        <v>33</v>
      </c>
      <c r="C920" t="s">
        <v>148</v>
      </c>
      <c r="D920">
        <v>9</v>
      </c>
      <c r="E920">
        <v>22</v>
      </c>
    </row>
    <row r="921" spans="1:5" x14ac:dyDescent="0.35">
      <c r="A921" t="s">
        <v>395</v>
      </c>
      <c r="B921" t="s">
        <v>33</v>
      </c>
      <c r="C921" t="s">
        <v>149</v>
      </c>
      <c r="D921">
        <v>222</v>
      </c>
      <c r="E921">
        <v>202</v>
      </c>
    </row>
    <row r="922" spans="1:5" x14ac:dyDescent="0.35">
      <c r="A922" t="s">
        <v>395</v>
      </c>
      <c r="B922" t="s">
        <v>35</v>
      </c>
      <c r="C922" t="s">
        <v>322</v>
      </c>
      <c r="D922">
        <v>11</v>
      </c>
      <c r="E922">
        <v>38</v>
      </c>
    </row>
    <row r="923" spans="1:5" x14ac:dyDescent="0.35">
      <c r="A923" t="s">
        <v>395</v>
      </c>
      <c r="B923" t="s">
        <v>35</v>
      </c>
      <c r="C923" t="s">
        <v>150</v>
      </c>
      <c r="D923" t="s">
        <v>205</v>
      </c>
      <c r="E923" t="s">
        <v>205</v>
      </c>
    </row>
    <row r="924" spans="1:5" x14ac:dyDescent="0.35">
      <c r="A924" t="s">
        <v>395</v>
      </c>
      <c r="B924" t="s">
        <v>34</v>
      </c>
      <c r="C924" t="s">
        <v>152</v>
      </c>
      <c r="D924">
        <v>73</v>
      </c>
      <c r="E924">
        <v>285</v>
      </c>
    </row>
    <row r="925" spans="1:5" x14ac:dyDescent="0.35">
      <c r="A925" t="s">
        <v>395</v>
      </c>
      <c r="B925" t="s">
        <v>37</v>
      </c>
      <c r="C925" t="s">
        <v>153</v>
      </c>
      <c r="D925">
        <v>10</v>
      </c>
      <c r="E925">
        <v>4</v>
      </c>
    </row>
    <row r="926" spans="1:5" x14ac:dyDescent="0.35">
      <c r="A926" t="s">
        <v>395</v>
      </c>
      <c r="B926" t="s">
        <v>36</v>
      </c>
      <c r="C926" t="s">
        <v>154</v>
      </c>
      <c r="D926">
        <v>81</v>
      </c>
      <c r="E926">
        <v>118</v>
      </c>
    </row>
    <row r="927" spans="1:5" x14ac:dyDescent="0.35">
      <c r="A927" t="s">
        <v>395</v>
      </c>
      <c r="B927" t="s">
        <v>38</v>
      </c>
      <c r="C927" t="s">
        <v>155</v>
      </c>
      <c r="D927">
        <v>4</v>
      </c>
      <c r="E927">
        <v>43</v>
      </c>
    </row>
    <row r="928" spans="1:5" x14ac:dyDescent="0.35">
      <c r="A928" t="s">
        <v>395</v>
      </c>
      <c r="B928" t="s">
        <v>38</v>
      </c>
      <c r="C928" t="s">
        <v>156</v>
      </c>
      <c r="D928">
        <v>365</v>
      </c>
      <c r="E928">
        <v>917</v>
      </c>
    </row>
    <row r="929" spans="1:5" x14ac:dyDescent="0.35">
      <c r="A929" t="s">
        <v>395</v>
      </c>
      <c r="B929" t="s">
        <v>34</v>
      </c>
      <c r="C929" t="s">
        <v>18</v>
      </c>
      <c r="D929">
        <v>269</v>
      </c>
      <c r="E929">
        <v>478</v>
      </c>
    </row>
    <row r="930" spans="1:5" x14ac:dyDescent="0.35">
      <c r="A930" t="s">
        <v>395</v>
      </c>
      <c r="B930" t="s">
        <v>35</v>
      </c>
      <c r="C930" t="s">
        <v>157</v>
      </c>
      <c r="D930">
        <v>135</v>
      </c>
      <c r="E930">
        <v>460</v>
      </c>
    </row>
    <row r="931" spans="1:5" x14ac:dyDescent="0.35">
      <c r="A931" t="s">
        <v>395</v>
      </c>
      <c r="B931" t="s">
        <v>35</v>
      </c>
      <c r="C931" t="s">
        <v>158</v>
      </c>
      <c r="D931">
        <v>92</v>
      </c>
      <c r="E931">
        <v>114</v>
      </c>
    </row>
    <row r="932" spans="1:5" x14ac:dyDescent="0.35">
      <c r="A932" t="s">
        <v>395</v>
      </c>
      <c r="B932" t="s">
        <v>35</v>
      </c>
      <c r="C932" t="s">
        <v>160</v>
      </c>
      <c r="D932">
        <v>34</v>
      </c>
      <c r="E932">
        <v>119</v>
      </c>
    </row>
    <row r="933" spans="1:5" x14ac:dyDescent="0.35">
      <c r="A933" t="s">
        <v>395</v>
      </c>
      <c r="B933" t="s">
        <v>35</v>
      </c>
      <c r="C933" t="s">
        <v>161</v>
      </c>
      <c r="D933">
        <v>61</v>
      </c>
      <c r="E933">
        <v>202</v>
      </c>
    </row>
    <row r="934" spans="1:5" x14ac:dyDescent="0.35">
      <c r="A934" t="s">
        <v>395</v>
      </c>
      <c r="B934" t="s">
        <v>33</v>
      </c>
      <c r="C934" t="s">
        <v>162</v>
      </c>
      <c r="D934" t="s">
        <v>205</v>
      </c>
      <c r="E934" t="s">
        <v>205</v>
      </c>
    </row>
    <row r="935" spans="1:5" x14ac:dyDescent="0.35">
      <c r="A935" t="s">
        <v>395</v>
      </c>
      <c r="B935" t="s">
        <v>36</v>
      </c>
      <c r="C935" t="s">
        <v>163</v>
      </c>
      <c r="D935">
        <v>8</v>
      </c>
      <c r="E935">
        <v>4</v>
      </c>
    </row>
    <row r="936" spans="1:5" x14ac:dyDescent="0.35">
      <c r="A936" t="s">
        <v>395</v>
      </c>
      <c r="B936" t="s">
        <v>36</v>
      </c>
      <c r="C936" t="s">
        <v>164</v>
      </c>
      <c r="D936">
        <v>20</v>
      </c>
      <c r="E936">
        <v>17</v>
      </c>
    </row>
    <row r="937" spans="1:5" x14ac:dyDescent="0.35">
      <c r="A937" t="s">
        <v>395</v>
      </c>
      <c r="B937" t="s">
        <v>36</v>
      </c>
      <c r="C937" t="s">
        <v>165</v>
      </c>
      <c r="D937">
        <v>16</v>
      </c>
      <c r="E937">
        <v>16</v>
      </c>
    </row>
    <row r="938" spans="1:5" x14ac:dyDescent="0.35">
      <c r="A938" t="s">
        <v>395</v>
      </c>
      <c r="B938" t="s">
        <v>37</v>
      </c>
      <c r="C938" t="s">
        <v>166</v>
      </c>
      <c r="D938">
        <v>13</v>
      </c>
      <c r="E938">
        <v>6</v>
      </c>
    </row>
    <row r="939" spans="1:5" x14ac:dyDescent="0.35">
      <c r="A939" t="s">
        <v>395</v>
      </c>
      <c r="B939" t="s">
        <v>34</v>
      </c>
      <c r="C939" t="s">
        <v>167</v>
      </c>
      <c r="D939">
        <v>6</v>
      </c>
      <c r="E939">
        <v>12</v>
      </c>
    </row>
    <row r="940" spans="1:5" x14ac:dyDescent="0.35">
      <c r="A940" t="s">
        <v>395</v>
      </c>
      <c r="B940" t="s">
        <v>33</v>
      </c>
      <c r="C940" t="s">
        <v>168</v>
      </c>
      <c r="D940">
        <v>24</v>
      </c>
      <c r="E940">
        <v>64</v>
      </c>
    </row>
    <row r="941" spans="1:5" x14ac:dyDescent="0.35">
      <c r="A941" t="s">
        <v>395</v>
      </c>
      <c r="B941" t="s">
        <v>35</v>
      </c>
      <c r="C941" t="s">
        <v>169</v>
      </c>
    </row>
    <row r="942" spans="1:5" x14ac:dyDescent="0.35">
      <c r="A942" t="s">
        <v>395</v>
      </c>
      <c r="B942" t="s">
        <v>35</v>
      </c>
      <c r="C942" t="s">
        <v>215</v>
      </c>
      <c r="D942">
        <v>24</v>
      </c>
      <c r="E942">
        <v>77</v>
      </c>
    </row>
    <row r="943" spans="1:5" x14ac:dyDescent="0.35">
      <c r="A943" t="s">
        <v>395</v>
      </c>
      <c r="B943" t="s">
        <v>33</v>
      </c>
      <c r="C943" t="s">
        <v>170</v>
      </c>
      <c r="D943">
        <v>4</v>
      </c>
      <c r="E943">
        <v>13</v>
      </c>
    </row>
    <row r="944" spans="1:5" x14ac:dyDescent="0.35">
      <c r="A944" t="s">
        <v>395</v>
      </c>
      <c r="B944" t="s">
        <v>34</v>
      </c>
      <c r="C944" t="s">
        <v>171</v>
      </c>
      <c r="D944">
        <v>8</v>
      </c>
      <c r="E944">
        <v>15</v>
      </c>
    </row>
    <row r="945" spans="1:5" x14ac:dyDescent="0.35">
      <c r="A945" t="s">
        <v>395</v>
      </c>
      <c r="B945" t="s">
        <v>35</v>
      </c>
      <c r="C945" t="s">
        <v>172</v>
      </c>
      <c r="D945">
        <v>7</v>
      </c>
      <c r="E945">
        <v>35</v>
      </c>
    </row>
    <row r="946" spans="1:5" x14ac:dyDescent="0.35">
      <c r="A946" t="s">
        <v>395</v>
      </c>
      <c r="B946" t="s">
        <v>35</v>
      </c>
      <c r="C946" t="s">
        <v>173</v>
      </c>
      <c r="D946" t="s">
        <v>205</v>
      </c>
      <c r="E946" t="s">
        <v>205</v>
      </c>
    </row>
    <row r="947" spans="1:5" x14ac:dyDescent="0.35">
      <c r="A947" t="s">
        <v>395</v>
      </c>
      <c r="B947" t="s">
        <v>33</v>
      </c>
      <c r="C947" t="s">
        <v>174</v>
      </c>
      <c r="D947">
        <v>6</v>
      </c>
      <c r="E947">
        <v>20</v>
      </c>
    </row>
    <row r="948" spans="1:5" x14ac:dyDescent="0.35">
      <c r="A948" t="s">
        <v>395</v>
      </c>
      <c r="B948" t="s">
        <v>33</v>
      </c>
      <c r="C948" t="s">
        <v>175</v>
      </c>
      <c r="D948">
        <v>15</v>
      </c>
      <c r="E948">
        <v>36</v>
      </c>
    </row>
    <row r="949" spans="1:5" x14ac:dyDescent="0.35">
      <c r="A949" t="s">
        <v>395</v>
      </c>
      <c r="B949" t="s">
        <v>33</v>
      </c>
      <c r="C949" t="s">
        <v>176</v>
      </c>
      <c r="D949" t="s">
        <v>206</v>
      </c>
      <c r="E949" t="s">
        <v>206</v>
      </c>
    </row>
    <row r="950" spans="1:5" x14ac:dyDescent="0.35">
      <c r="A950" t="s">
        <v>395</v>
      </c>
      <c r="B950" t="s">
        <v>35</v>
      </c>
      <c r="C950" t="s">
        <v>216</v>
      </c>
      <c r="D950" t="s">
        <v>205</v>
      </c>
      <c r="E950" t="s">
        <v>205</v>
      </c>
    </row>
    <row r="951" spans="1:5" x14ac:dyDescent="0.35">
      <c r="A951" t="s">
        <v>395</v>
      </c>
      <c r="B951" t="s">
        <v>35</v>
      </c>
      <c r="C951" t="s">
        <v>177</v>
      </c>
      <c r="D951">
        <v>21</v>
      </c>
      <c r="E951">
        <v>135</v>
      </c>
    </row>
    <row r="952" spans="1:5" x14ac:dyDescent="0.35">
      <c r="A952" t="s">
        <v>395</v>
      </c>
      <c r="B952" t="s">
        <v>34</v>
      </c>
      <c r="C952" t="s">
        <v>178</v>
      </c>
      <c r="D952">
        <v>4</v>
      </c>
      <c r="E952">
        <v>96</v>
      </c>
    </row>
    <row r="953" spans="1:5" x14ac:dyDescent="0.35">
      <c r="A953" t="s">
        <v>395</v>
      </c>
      <c r="B953" t="s">
        <v>33</v>
      </c>
      <c r="C953" t="s">
        <v>179</v>
      </c>
      <c r="D953">
        <v>10</v>
      </c>
      <c r="E953">
        <v>9</v>
      </c>
    </row>
    <row r="954" spans="1:5" x14ac:dyDescent="0.35">
      <c r="A954" t="s">
        <v>395</v>
      </c>
      <c r="B954" t="s">
        <v>38</v>
      </c>
      <c r="C954" t="s">
        <v>180</v>
      </c>
      <c r="D954">
        <v>7</v>
      </c>
      <c r="E954">
        <v>10</v>
      </c>
    </row>
    <row r="955" spans="1:5" x14ac:dyDescent="0.35">
      <c r="A955" t="s">
        <v>395</v>
      </c>
      <c r="B955" t="s">
        <v>35</v>
      </c>
      <c r="C955" t="s">
        <v>182</v>
      </c>
      <c r="D955">
        <v>8</v>
      </c>
      <c r="E955">
        <v>56</v>
      </c>
    </row>
    <row r="956" spans="1:5" x14ac:dyDescent="0.35">
      <c r="A956" t="s">
        <v>395</v>
      </c>
      <c r="B956" t="s">
        <v>35</v>
      </c>
      <c r="C956" t="s">
        <v>183</v>
      </c>
      <c r="D956" t="s">
        <v>205</v>
      </c>
      <c r="E956" t="s">
        <v>205</v>
      </c>
    </row>
    <row r="957" spans="1:5" x14ac:dyDescent="0.35">
      <c r="A957" t="s">
        <v>395</v>
      </c>
      <c r="B957" t="s">
        <v>34</v>
      </c>
      <c r="C957" t="s">
        <v>184</v>
      </c>
      <c r="D957">
        <v>12</v>
      </c>
      <c r="E957">
        <v>22</v>
      </c>
    </row>
    <row r="958" spans="1:5" x14ac:dyDescent="0.35">
      <c r="A958" t="s">
        <v>395</v>
      </c>
      <c r="B958" t="s">
        <v>34</v>
      </c>
      <c r="C958" t="s">
        <v>185</v>
      </c>
      <c r="D958">
        <v>14</v>
      </c>
      <c r="E958">
        <v>71</v>
      </c>
    </row>
    <row r="959" spans="1:5" x14ac:dyDescent="0.35">
      <c r="A959" t="s">
        <v>395</v>
      </c>
      <c r="B959" t="s">
        <v>34</v>
      </c>
      <c r="C959" t="s">
        <v>186</v>
      </c>
      <c r="D959" t="s">
        <v>205</v>
      </c>
      <c r="E959" t="s">
        <v>205</v>
      </c>
    </row>
    <row r="960" spans="1:5" x14ac:dyDescent="0.35">
      <c r="A960" t="s">
        <v>395</v>
      </c>
      <c r="B960" t="s">
        <v>33</v>
      </c>
      <c r="C960" t="s">
        <v>187</v>
      </c>
      <c r="D960">
        <v>15</v>
      </c>
      <c r="E960">
        <v>27</v>
      </c>
    </row>
    <row r="961" spans="1:5" x14ac:dyDescent="0.35">
      <c r="A961" t="s">
        <v>395</v>
      </c>
      <c r="B961" t="s">
        <v>34</v>
      </c>
      <c r="C961" t="s">
        <v>188</v>
      </c>
      <c r="D961">
        <v>25</v>
      </c>
      <c r="E961">
        <v>80</v>
      </c>
    </row>
    <row r="962" spans="1:5" x14ac:dyDescent="0.35">
      <c r="A962" t="s">
        <v>395</v>
      </c>
      <c r="B962" t="s">
        <v>33</v>
      </c>
      <c r="C962" t="s">
        <v>189</v>
      </c>
      <c r="D962">
        <v>14</v>
      </c>
      <c r="E962">
        <v>14</v>
      </c>
    </row>
    <row r="963" spans="1:5" x14ac:dyDescent="0.35">
      <c r="A963" t="s">
        <v>395</v>
      </c>
      <c r="B963" t="s">
        <v>37</v>
      </c>
      <c r="C963" t="s">
        <v>190</v>
      </c>
      <c r="D963">
        <v>23</v>
      </c>
      <c r="E963">
        <v>8</v>
      </c>
    </row>
    <row r="964" spans="1:5" x14ac:dyDescent="0.35">
      <c r="A964" t="s">
        <v>395</v>
      </c>
      <c r="B964" t="s">
        <v>36</v>
      </c>
      <c r="C964" t="s">
        <v>191</v>
      </c>
      <c r="D964">
        <v>258</v>
      </c>
      <c r="E964">
        <v>226</v>
      </c>
    </row>
    <row r="965" spans="1:5" x14ac:dyDescent="0.35">
      <c r="A965" t="s">
        <v>395</v>
      </c>
      <c r="B965" t="s">
        <v>33</v>
      </c>
      <c r="C965" t="s">
        <v>192</v>
      </c>
      <c r="D965">
        <v>3</v>
      </c>
      <c r="E965">
        <v>12</v>
      </c>
    </row>
    <row r="966" spans="1:5" x14ac:dyDescent="0.35">
      <c r="A966" t="s">
        <v>395</v>
      </c>
      <c r="B966" t="s">
        <v>34</v>
      </c>
      <c r="C966" t="s">
        <v>193</v>
      </c>
      <c r="D966">
        <v>18</v>
      </c>
      <c r="E966">
        <v>131</v>
      </c>
    </row>
    <row r="967" spans="1:5" x14ac:dyDescent="0.35">
      <c r="A967" t="s">
        <v>395</v>
      </c>
      <c r="B967" t="s">
        <v>36</v>
      </c>
      <c r="C967" t="s">
        <v>372</v>
      </c>
      <c r="D967">
        <v>4</v>
      </c>
      <c r="E967">
        <v>7</v>
      </c>
    </row>
    <row r="968" spans="1:5" x14ac:dyDescent="0.35">
      <c r="A968" t="s">
        <v>395</v>
      </c>
      <c r="B968" t="s">
        <v>33</v>
      </c>
      <c r="C968" t="s">
        <v>195</v>
      </c>
      <c r="D968">
        <v>13</v>
      </c>
      <c r="E968">
        <v>18</v>
      </c>
    </row>
    <row r="969" spans="1:5" x14ac:dyDescent="0.35">
      <c r="A969" t="s">
        <v>395</v>
      </c>
      <c r="B969" t="s">
        <v>35</v>
      </c>
      <c r="C969" t="s">
        <v>196</v>
      </c>
      <c r="D969">
        <v>55</v>
      </c>
      <c r="E969">
        <v>137</v>
      </c>
    </row>
    <row r="970" spans="1:5" x14ac:dyDescent="0.35">
      <c r="A970" t="s">
        <v>395</v>
      </c>
      <c r="B970" t="s">
        <v>34</v>
      </c>
      <c r="C970" t="s">
        <v>197</v>
      </c>
      <c r="E970" t="s">
        <v>205</v>
      </c>
    </row>
    <row r="971" spans="1:5" x14ac:dyDescent="0.35">
      <c r="A971" t="s">
        <v>395</v>
      </c>
      <c r="B971" t="s">
        <v>35</v>
      </c>
      <c r="C971" t="s">
        <v>198</v>
      </c>
      <c r="D971">
        <v>201</v>
      </c>
      <c r="E971">
        <v>518</v>
      </c>
    </row>
    <row r="972" spans="1:5" x14ac:dyDescent="0.35">
      <c r="A972" t="s">
        <v>395</v>
      </c>
      <c r="B972" t="s">
        <v>39</v>
      </c>
      <c r="C972" t="s">
        <v>39</v>
      </c>
      <c r="D972">
        <v>13</v>
      </c>
      <c r="E972">
        <v>60</v>
      </c>
    </row>
    <row r="973" spans="1:5" x14ac:dyDescent="0.35">
      <c r="A973" t="s">
        <v>395</v>
      </c>
      <c r="B973" t="s">
        <v>38</v>
      </c>
      <c r="C973" t="s">
        <v>199</v>
      </c>
      <c r="D973">
        <v>52</v>
      </c>
      <c r="E973">
        <v>118</v>
      </c>
    </row>
    <row r="974" spans="1:5" x14ac:dyDescent="0.35">
      <c r="A974" t="s">
        <v>395</v>
      </c>
      <c r="B974" t="s">
        <v>34</v>
      </c>
      <c r="C974" t="s">
        <v>200</v>
      </c>
      <c r="D974">
        <v>5</v>
      </c>
      <c r="E974">
        <v>84</v>
      </c>
    </row>
    <row r="975" spans="1:5" x14ac:dyDescent="0.35">
      <c r="A975" t="s">
        <v>395</v>
      </c>
      <c r="B975" t="s">
        <v>38</v>
      </c>
      <c r="C975" t="s">
        <v>19</v>
      </c>
      <c r="D975">
        <v>130</v>
      </c>
      <c r="E975">
        <v>369</v>
      </c>
    </row>
    <row r="976" spans="1:5" x14ac:dyDescent="0.35">
      <c r="A976" t="s">
        <v>395</v>
      </c>
      <c r="B976" t="s">
        <v>34</v>
      </c>
      <c r="C976" t="s">
        <v>201</v>
      </c>
      <c r="D976">
        <v>29</v>
      </c>
      <c r="E976">
        <v>23</v>
      </c>
    </row>
    <row r="977" spans="1:5" x14ac:dyDescent="0.35">
      <c r="A977" t="s">
        <v>395</v>
      </c>
      <c r="B977" t="s">
        <v>34</v>
      </c>
      <c r="C977" t="s">
        <v>202</v>
      </c>
      <c r="D977">
        <v>14</v>
      </c>
      <c r="E977">
        <v>39</v>
      </c>
    </row>
    <row r="978" spans="1:5" x14ac:dyDescent="0.35">
      <c r="A978" t="s">
        <v>395</v>
      </c>
      <c r="B978" t="s">
        <v>33</v>
      </c>
      <c r="C978" t="s">
        <v>203</v>
      </c>
      <c r="D978">
        <v>7</v>
      </c>
      <c r="E978">
        <v>9</v>
      </c>
    </row>
    <row r="979" spans="1:5" x14ac:dyDescent="0.35">
      <c r="A979" t="s">
        <v>395</v>
      </c>
      <c r="B979" t="s">
        <v>33</v>
      </c>
      <c r="C979" t="s">
        <v>204</v>
      </c>
      <c r="D979">
        <v>3</v>
      </c>
      <c r="E979">
        <v>24</v>
      </c>
    </row>
    <row r="980" spans="1:5" x14ac:dyDescent="0.35">
      <c r="A980" t="s">
        <v>383</v>
      </c>
      <c r="B980" t="s">
        <v>34</v>
      </c>
      <c r="C980" t="s">
        <v>40</v>
      </c>
      <c r="D980">
        <v>5</v>
      </c>
      <c r="E980">
        <v>12</v>
      </c>
    </row>
    <row r="981" spans="1:5" x14ac:dyDescent="0.35">
      <c r="A981" t="s">
        <v>383</v>
      </c>
      <c r="B981" t="s">
        <v>35</v>
      </c>
      <c r="C981" t="s">
        <v>41</v>
      </c>
      <c r="D981">
        <v>51</v>
      </c>
      <c r="E981">
        <v>187</v>
      </c>
    </row>
    <row r="982" spans="1:5" x14ac:dyDescent="0.35">
      <c r="A982" t="s">
        <v>383</v>
      </c>
      <c r="B982" t="s">
        <v>33</v>
      </c>
      <c r="C982" t="s">
        <v>42</v>
      </c>
      <c r="D982" t="s">
        <v>205</v>
      </c>
      <c r="E982" t="s">
        <v>205</v>
      </c>
    </row>
    <row r="983" spans="1:5" x14ac:dyDescent="0.35">
      <c r="A983" t="s">
        <v>383</v>
      </c>
      <c r="C983" t="s">
        <v>373</v>
      </c>
      <c r="D983">
        <v>38</v>
      </c>
      <c r="E983">
        <v>57</v>
      </c>
    </row>
    <row r="984" spans="1:5" x14ac:dyDescent="0.35">
      <c r="A984" t="s">
        <v>383</v>
      </c>
      <c r="B984" t="s">
        <v>33</v>
      </c>
      <c r="C984" t="s">
        <v>43</v>
      </c>
      <c r="D984" t="s">
        <v>205</v>
      </c>
      <c r="E984" t="s">
        <v>205</v>
      </c>
    </row>
    <row r="985" spans="1:5" x14ac:dyDescent="0.35">
      <c r="A985" t="s">
        <v>383</v>
      </c>
      <c r="B985" t="s">
        <v>36</v>
      </c>
      <c r="C985" t="s">
        <v>44</v>
      </c>
      <c r="D985">
        <v>18</v>
      </c>
      <c r="E985">
        <v>6</v>
      </c>
    </row>
    <row r="986" spans="1:5" x14ac:dyDescent="0.35">
      <c r="A986" t="s">
        <v>383</v>
      </c>
      <c r="B986" t="s">
        <v>38</v>
      </c>
      <c r="C986" t="s">
        <v>45</v>
      </c>
      <c r="D986">
        <v>121</v>
      </c>
      <c r="E986">
        <v>230</v>
      </c>
    </row>
    <row r="987" spans="1:5" x14ac:dyDescent="0.35">
      <c r="A987" t="s">
        <v>383</v>
      </c>
      <c r="B987" t="s">
        <v>34</v>
      </c>
      <c r="C987" t="s">
        <v>46</v>
      </c>
      <c r="D987">
        <v>31</v>
      </c>
      <c r="E987">
        <v>52</v>
      </c>
    </row>
    <row r="988" spans="1:5" x14ac:dyDescent="0.35">
      <c r="A988" t="s">
        <v>383</v>
      </c>
      <c r="B988" t="s">
        <v>37</v>
      </c>
      <c r="C988" t="s">
        <v>47</v>
      </c>
      <c r="D988">
        <v>30</v>
      </c>
      <c r="E988">
        <v>39</v>
      </c>
    </row>
    <row r="989" spans="1:5" x14ac:dyDescent="0.35">
      <c r="A989" t="s">
        <v>383</v>
      </c>
      <c r="B989" t="s">
        <v>35</v>
      </c>
      <c r="C989" t="s">
        <v>48</v>
      </c>
      <c r="D989">
        <v>7</v>
      </c>
      <c r="E989">
        <v>12</v>
      </c>
    </row>
    <row r="990" spans="1:5" x14ac:dyDescent="0.35">
      <c r="A990" t="s">
        <v>383</v>
      </c>
      <c r="B990" t="s">
        <v>34</v>
      </c>
      <c r="C990" t="s">
        <v>49</v>
      </c>
      <c r="D990" t="s">
        <v>205</v>
      </c>
      <c r="E990" t="s">
        <v>205</v>
      </c>
    </row>
    <row r="991" spans="1:5" x14ac:dyDescent="0.35">
      <c r="A991" t="s">
        <v>383</v>
      </c>
      <c r="B991" t="s">
        <v>36</v>
      </c>
      <c r="C991" t="s">
        <v>50</v>
      </c>
      <c r="D991">
        <v>89</v>
      </c>
      <c r="E991">
        <v>17</v>
      </c>
    </row>
    <row r="992" spans="1:5" x14ac:dyDescent="0.35">
      <c r="A992" t="s">
        <v>383</v>
      </c>
      <c r="B992" t="s">
        <v>34</v>
      </c>
      <c r="C992" t="s">
        <v>52</v>
      </c>
      <c r="D992">
        <v>24</v>
      </c>
      <c r="E992">
        <v>72</v>
      </c>
    </row>
    <row r="993" spans="1:5" x14ac:dyDescent="0.35">
      <c r="A993" t="s">
        <v>383</v>
      </c>
      <c r="B993" t="s">
        <v>36</v>
      </c>
      <c r="C993" t="s">
        <v>53</v>
      </c>
      <c r="D993">
        <v>34</v>
      </c>
      <c r="E993">
        <v>10</v>
      </c>
    </row>
    <row r="994" spans="1:5" x14ac:dyDescent="0.35">
      <c r="A994" t="s">
        <v>383</v>
      </c>
      <c r="B994" t="s">
        <v>35</v>
      </c>
      <c r="C994" t="s">
        <v>54</v>
      </c>
      <c r="D994">
        <v>10</v>
      </c>
      <c r="E994">
        <v>16</v>
      </c>
    </row>
    <row r="995" spans="1:5" x14ac:dyDescent="0.35">
      <c r="A995" t="s">
        <v>383</v>
      </c>
      <c r="B995" t="s">
        <v>35</v>
      </c>
      <c r="C995" t="s">
        <v>55</v>
      </c>
      <c r="D995">
        <v>7</v>
      </c>
      <c r="E995">
        <v>24</v>
      </c>
    </row>
    <row r="996" spans="1:5" x14ac:dyDescent="0.35">
      <c r="A996" t="s">
        <v>383</v>
      </c>
      <c r="B996" t="s">
        <v>36</v>
      </c>
      <c r="C996" t="s">
        <v>56</v>
      </c>
      <c r="D996">
        <v>157</v>
      </c>
      <c r="E996">
        <v>96</v>
      </c>
    </row>
    <row r="997" spans="1:5" x14ac:dyDescent="0.35">
      <c r="A997" t="s">
        <v>383</v>
      </c>
      <c r="B997" t="s">
        <v>33</v>
      </c>
      <c r="C997" t="s">
        <v>57</v>
      </c>
      <c r="D997">
        <v>4</v>
      </c>
      <c r="E997">
        <v>4</v>
      </c>
    </row>
    <row r="998" spans="1:5" x14ac:dyDescent="0.35">
      <c r="A998" t="s">
        <v>383</v>
      </c>
      <c r="B998" t="s">
        <v>36</v>
      </c>
      <c r="C998" t="s">
        <v>363</v>
      </c>
      <c r="D998">
        <v>8</v>
      </c>
      <c r="E998">
        <v>5</v>
      </c>
    </row>
    <row r="999" spans="1:5" x14ac:dyDescent="0.35">
      <c r="A999" t="s">
        <v>383</v>
      </c>
      <c r="B999" t="s">
        <v>38</v>
      </c>
      <c r="C999" t="s">
        <v>59</v>
      </c>
      <c r="D999">
        <v>67</v>
      </c>
      <c r="E999">
        <v>148</v>
      </c>
    </row>
    <row r="1000" spans="1:5" x14ac:dyDescent="0.35">
      <c r="A1000" t="s">
        <v>383</v>
      </c>
      <c r="B1000" t="s">
        <v>35</v>
      </c>
      <c r="C1000" t="s">
        <v>60</v>
      </c>
      <c r="D1000">
        <v>50</v>
      </c>
      <c r="E1000">
        <v>11</v>
      </c>
    </row>
    <row r="1001" spans="1:5" x14ac:dyDescent="0.35">
      <c r="A1001" t="s">
        <v>383</v>
      </c>
      <c r="B1001" t="s">
        <v>38</v>
      </c>
      <c r="C1001" t="s">
        <v>21</v>
      </c>
      <c r="D1001">
        <v>487</v>
      </c>
      <c r="E1001">
        <v>3046</v>
      </c>
    </row>
    <row r="1002" spans="1:5" x14ac:dyDescent="0.35">
      <c r="A1002" t="s">
        <v>383</v>
      </c>
      <c r="B1002" t="s">
        <v>35</v>
      </c>
      <c r="C1002" t="s">
        <v>62</v>
      </c>
      <c r="D1002">
        <v>17</v>
      </c>
      <c r="E1002">
        <v>56</v>
      </c>
    </row>
    <row r="1003" spans="1:5" x14ac:dyDescent="0.35">
      <c r="A1003" t="s">
        <v>383</v>
      </c>
      <c r="B1003" t="s">
        <v>33</v>
      </c>
      <c r="C1003" t="s">
        <v>63</v>
      </c>
      <c r="D1003">
        <v>3</v>
      </c>
      <c r="E1003">
        <v>5</v>
      </c>
    </row>
    <row r="1004" spans="1:5" x14ac:dyDescent="0.35">
      <c r="A1004" t="s">
        <v>383</v>
      </c>
      <c r="B1004" t="s">
        <v>34</v>
      </c>
      <c r="C1004" t="s">
        <v>64</v>
      </c>
      <c r="D1004" t="s">
        <v>205</v>
      </c>
      <c r="E1004" t="s">
        <v>205</v>
      </c>
    </row>
    <row r="1005" spans="1:5" x14ac:dyDescent="0.35">
      <c r="A1005" t="s">
        <v>383</v>
      </c>
      <c r="B1005" t="s">
        <v>33</v>
      </c>
      <c r="C1005" t="s">
        <v>66</v>
      </c>
      <c r="D1005">
        <v>36</v>
      </c>
      <c r="E1005">
        <v>11</v>
      </c>
    </row>
    <row r="1006" spans="1:5" x14ac:dyDescent="0.35">
      <c r="A1006" t="s">
        <v>383</v>
      </c>
      <c r="B1006" t="s">
        <v>34</v>
      </c>
      <c r="C1006" t="s">
        <v>67</v>
      </c>
      <c r="D1006">
        <v>25</v>
      </c>
      <c r="E1006">
        <v>18</v>
      </c>
    </row>
    <row r="1007" spans="1:5" x14ac:dyDescent="0.35">
      <c r="A1007" t="s">
        <v>383</v>
      </c>
      <c r="B1007" t="s">
        <v>33</v>
      </c>
      <c r="C1007" t="s">
        <v>68</v>
      </c>
      <c r="D1007">
        <v>19</v>
      </c>
      <c r="E1007">
        <v>52</v>
      </c>
    </row>
    <row r="1008" spans="1:5" x14ac:dyDescent="0.35">
      <c r="A1008" t="s">
        <v>383</v>
      </c>
      <c r="B1008" t="s">
        <v>36</v>
      </c>
      <c r="C1008" t="s">
        <v>69</v>
      </c>
      <c r="D1008">
        <v>457</v>
      </c>
      <c r="E1008">
        <v>884</v>
      </c>
    </row>
    <row r="1009" spans="1:5" x14ac:dyDescent="0.35">
      <c r="A1009" t="s">
        <v>383</v>
      </c>
      <c r="B1009" t="s">
        <v>33</v>
      </c>
      <c r="C1009" t="s">
        <v>71</v>
      </c>
      <c r="D1009" t="s">
        <v>205</v>
      </c>
      <c r="E1009" t="s">
        <v>205</v>
      </c>
    </row>
    <row r="1010" spans="1:5" x14ac:dyDescent="0.35">
      <c r="A1010" t="s">
        <v>383</v>
      </c>
      <c r="B1010" t="s">
        <v>38</v>
      </c>
      <c r="C1010" t="s">
        <v>72</v>
      </c>
      <c r="D1010">
        <v>95</v>
      </c>
      <c r="E1010">
        <v>90</v>
      </c>
    </row>
    <row r="1011" spans="1:5" x14ac:dyDescent="0.35">
      <c r="A1011" t="s">
        <v>383</v>
      </c>
      <c r="B1011" t="s">
        <v>34</v>
      </c>
      <c r="C1011" t="s">
        <v>73</v>
      </c>
      <c r="D1011">
        <v>166</v>
      </c>
      <c r="E1011">
        <v>894</v>
      </c>
    </row>
    <row r="1012" spans="1:5" x14ac:dyDescent="0.35">
      <c r="A1012" t="s">
        <v>383</v>
      </c>
      <c r="B1012" t="s">
        <v>38</v>
      </c>
      <c r="C1012" t="s">
        <v>20</v>
      </c>
      <c r="D1012">
        <v>1241</v>
      </c>
      <c r="E1012">
        <v>1162</v>
      </c>
    </row>
    <row r="1013" spans="1:5" x14ac:dyDescent="0.35">
      <c r="A1013" t="s">
        <v>383</v>
      </c>
      <c r="B1013" t="s">
        <v>33</v>
      </c>
      <c r="C1013" t="s">
        <v>74</v>
      </c>
      <c r="D1013">
        <v>4</v>
      </c>
      <c r="E1013">
        <v>7</v>
      </c>
    </row>
    <row r="1014" spans="1:5" x14ac:dyDescent="0.35">
      <c r="A1014" t="s">
        <v>383</v>
      </c>
      <c r="B1014" t="s">
        <v>33</v>
      </c>
      <c r="C1014" t="s">
        <v>75</v>
      </c>
      <c r="D1014" t="s">
        <v>205</v>
      </c>
      <c r="E1014" t="s">
        <v>205</v>
      </c>
    </row>
    <row r="1015" spans="1:5" x14ac:dyDescent="0.35">
      <c r="A1015" t="s">
        <v>383</v>
      </c>
      <c r="B1015" t="s">
        <v>36</v>
      </c>
      <c r="C1015" t="s">
        <v>76</v>
      </c>
      <c r="D1015">
        <v>157</v>
      </c>
      <c r="E1015">
        <v>396</v>
      </c>
    </row>
    <row r="1016" spans="1:5" x14ac:dyDescent="0.35">
      <c r="A1016" t="s">
        <v>383</v>
      </c>
      <c r="B1016" t="s">
        <v>33</v>
      </c>
      <c r="C1016" t="s">
        <v>77</v>
      </c>
      <c r="D1016">
        <v>4</v>
      </c>
      <c r="E1016">
        <v>26</v>
      </c>
    </row>
    <row r="1017" spans="1:5" x14ac:dyDescent="0.35">
      <c r="A1017" t="s">
        <v>383</v>
      </c>
      <c r="B1017" t="s">
        <v>35</v>
      </c>
      <c r="C1017" t="s">
        <v>78</v>
      </c>
      <c r="D1017">
        <v>7</v>
      </c>
      <c r="E1017">
        <v>16</v>
      </c>
    </row>
    <row r="1018" spans="1:5" x14ac:dyDescent="0.35">
      <c r="A1018" t="s">
        <v>383</v>
      </c>
      <c r="B1018" t="s">
        <v>36</v>
      </c>
      <c r="C1018" t="s">
        <v>79</v>
      </c>
      <c r="D1018">
        <v>73</v>
      </c>
      <c r="E1018">
        <v>33</v>
      </c>
    </row>
    <row r="1019" spans="1:5" x14ac:dyDescent="0.35">
      <c r="A1019" t="s">
        <v>383</v>
      </c>
      <c r="B1019" t="s">
        <v>35</v>
      </c>
      <c r="C1019" t="s">
        <v>81</v>
      </c>
      <c r="D1019">
        <v>19</v>
      </c>
      <c r="E1019">
        <v>59</v>
      </c>
    </row>
    <row r="1020" spans="1:5" x14ac:dyDescent="0.35">
      <c r="A1020" t="s">
        <v>383</v>
      </c>
      <c r="B1020" t="s">
        <v>35</v>
      </c>
      <c r="C1020" t="s">
        <v>214</v>
      </c>
      <c r="D1020">
        <v>6</v>
      </c>
      <c r="E1020">
        <v>23</v>
      </c>
    </row>
    <row r="1021" spans="1:5" x14ac:dyDescent="0.35">
      <c r="A1021" t="s">
        <v>383</v>
      </c>
      <c r="B1021" t="s">
        <v>35</v>
      </c>
      <c r="C1021" t="s">
        <v>82</v>
      </c>
      <c r="D1021">
        <v>4</v>
      </c>
      <c r="E1021">
        <v>23</v>
      </c>
    </row>
    <row r="1022" spans="1:5" x14ac:dyDescent="0.35">
      <c r="A1022" t="s">
        <v>383</v>
      </c>
      <c r="B1022" t="s">
        <v>36</v>
      </c>
      <c r="C1022" t="s">
        <v>84</v>
      </c>
      <c r="D1022">
        <v>23</v>
      </c>
      <c r="E1022">
        <v>15</v>
      </c>
    </row>
    <row r="1023" spans="1:5" x14ac:dyDescent="0.35">
      <c r="A1023" t="s">
        <v>383</v>
      </c>
      <c r="B1023" t="s">
        <v>36</v>
      </c>
      <c r="C1023" t="s">
        <v>85</v>
      </c>
      <c r="D1023">
        <v>2241</v>
      </c>
      <c r="E1023">
        <v>1130</v>
      </c>
    </row>
    <row r="1024" spans="1:5" x14ac:dyDescent="0.35">
      <c r="A1024" t="s">
        <v>383</v>
      </c>
      <c r="B1024" t="s">
        <v>38</v>
      </c>
      <c r="C1024" t="s">
        <v>86</v>
      </c>
      <c r="D1024">
        <v>692</v>
      </c>
      <c r="E1024">
        <v>1693</v>
      </c>
    </row>
    <row r="1025" spans="1:5" x14ac:dyDescent="0.35">
      <c r="A1025" t="s">
        <v>383</v>
      </c>
      <c r="B1025" t="s">
        <v>33</v>
      </c>
      <c r="C1025" t="s">
        <v>87</v>
      </c>
      <c r="D1025">
        <v>40</v>
      </c>
      <c r="E1025">
        <v>83</v>
      </c>
    </row>
    <row r="1026" spans="1:5" x14ac:dyDescent="0.35">
      <c r="A1026" t="s">
        <v>383</v>
      </c>
      <c r="B1026" t="s">
        <v>36</v>
      </c>
      <c r="C1026" t="s">
        <v>16</v>
      </c>
      <c r="D1026">
        <v>8368</v>
      </c>
      <c r="E1026">
        <v>11979</v>
      </c>
    </row>
    <row r="1027" spans="1:5" x14ac:dyDescent="0.35">
      <c r="A1027" t="s">
        <v>383</v>
      </c>
      <c r="B1027" t="s">
        <v>33</v>
      </c>
      <c r="C1027" t="s">
        <v>89</v>
      </c>
      <c r="E1027">
        <v>7</v>
      </c>
    </row>
    <row r="1028" spans="1:5" x14ac:dyDescent="0.35">
      <c r="A1028" t="s">
        <v>383</v>
      </c>
      <c r="B1028" t="s">
        <v>35</v>
      </c>
      <c r="C1028" t="s">
        <v>90</v>
      </c>
      <c r="D1028">
        <v>3</v>
      </c>
      <c r="E1028">
        <v>21</v>
      </c>
    </row>
    <row r="1029" spans="1:5" x14ac:dyDescent="0.35">
      <c r="A1029" t="s">
        <v>383</v>
      </c>
      <c r="B1029" t="s">
        <v>33</v>
      </c>
      <c r="C1029" t="s">
        <v>91</v>
      </c>
      <c r="D1029">
        <v>30</v>
      </c>
      <c r="E1029">
        <v>49</v>
      </c>
    </row>
    <row r="1030" spans="1:5" x14ac:dyDescent="0.35">
      <c r="A1030" t="s">
        <v>383</v>
      </c>
      <c r="B1030" t="s">
        <v>37</v>
      </c>
      <c r="C1030" t="s">
        <v>92</v>
      </c>
      <c r="D1030">
        <v>29</v>
      </c>
      <c r="E1030">
        <v>34</v>
      </c>
    </row>
    <row r="1031" spans="1:5" x14ac:dyDescent="0.35">
      <c r="A1031" t="s">
        <v>383</v>
      </c>
      <c r="B1031" t="s">
        <v>35</v>
      </c>
      <c r="C1031" t="s">
        <v>93</v>
      </c>
      <c r="D1031" t="s">
        <v>205</v>
      </c>
      <c r="E1031" t="s">
        <v>205</v>
      </c>
    </row>
    <row r="1032" spans="1:5" x14ac:dyDescent="0.35">
      <c r="A1032" t="s">
        <v>383</v>
      </c>
      <c r="B1032" t="s">
        <v>35</v>
      </c>
      <c r="C1032" t="s">
        <v>94</v>
      </c>
      <c r="D1032">
        <v>41</v>
      </c>
      <c r="E1032">
        <v>153</v>
      </c>
    </row>
    <row r="1033" spans="1:5" x14ac:dyDescent="0.35">
      <c r="A1033" t="s">
        <v>383</v>
      </c>
      <c r="B1033" t="s">
        <v>33</v>
      </c>
      <c r="C1033" t="s">
        <v>95</v>
      </c>
      <c r="D1033" t="s">
        <v>205</v>
      </c>
      <c r="E1033" t="s">
        <v>205</v>
      </c>
    </row>
    <row r="1034" spans="1:5" x14ac:dyDescent="0.35">
      <c r="A1034" t="s">
        <v>383</v>
      </c>
      <c r="B1034" t="s">
        <v>33</v>
      </c>
      <c r="C1034" t="s">
        <v>96</v>
      </c>
      <c r="D1034">
        <v>8</v>
      </c>
      <c r="E1034">
        <v>19</v>
      </c>
    </row>
    <row r="1035" spans="1:5" x14ac:dyDescent="0.35">
      <c r="A1035" t="s">
        <v>383</v>
      </c>
      <c r="B1035" t="s">
        <v>34</v>
      </c>
      <c r="C1035" t="s">
        <v>8</v>
      </c>
      <c r="D1035">
        <v>21</v>
      </c>
      <c r="E1035">
        <v>38</v>
      </c>
    </row>
    <row r="1036" spans="1:5" x14ac:dyDescent="0.35">
      <c r="A1036" t="s">
        <v>383</v>
      </c>
      <c r="B1036" t="s">
        <v>35</v>
      </c>
      <c r="C1036" t="s">
        <v>97</v>
      </c>
      <c r="D1036">
        <v>84</v>
      </c>
      <c r="E1036">
        <v>117</v>
      </c>
    </row>
    <row r="1037" spans="1:5" x14ac:dyDescent="0.35">
      <c r="A1037" t="s">
        <v>383</v>
      </c>
      <c r="B1037" t="s">
        <v>33</v>
      </c>
      <c r="C1037" t="s">
        <v>98</v>
      </c>
      <c r="D1037">
        <v>65</v>
      </c>
      <c r="E1037">
        <v>134</v>
      </c>
    </row>
    <row r="1038" spans="1:5" x14ac:dyDescent="0.35">
      <c r="A1038" t="s">
        <v>383</v>
      </c>
      <c r="B1038" t="s">
        <v>35</v>
      </c>
      <c r="C1038" t="s">
        <v>99</v>
      </c>
      <c r="D1038">
        <v>22</v>
      </c>
      <c r="E1038">
        <v>19</v>
      </c>
    </row>
    <row r="1039" spans="1:5" x14ac:dyDescent="0.35">
      <c r="A1039" t="s">
        <v>383</v>
      </c>
      <c r="B1039" t="s">
        <v>36</v>
      </c>
      <c r="C1039" t="s">
        <v>100</v>
      </c>
      <c r="D1039">
        <v>29</v>
      </c>
      <c r="E1039">
        <v>18</v>
      </c>
    </row>
    <row r="1040" spans="1:5" x14ac:dyDescent="0.35">
      <c r="A1040" t="s">
        <v>383</v>
      </c>
      <c r="B1040" t="s">
        <v>36</v>
      </c>
      <c r="C1040" t="s">
        <v>15</v>
      </c>
      <c r="D1040">
        <v>9432</v>
      </c>
      <c r="E1040">
        <v>20277</v>
      </c>
    </row>
    <row r="1041" spans="1:5" x14ac:dyDescent="0.35">
      <c r="A1041" t="s">
        <v>383</v>
      </c>
      <c r="B1041" t="s">
        <v>33</v>
      </c>
      <c r="C1041" t="s">
        <v>101</v>
      </c>
      <c r="D1041">
        <v>6</v>
      </c>
      <c r="E1041">
        <v>20</v>
      </c>
    </row>
    <row r="1042" spans="1:5" x14ac:dyDescent="0.35">
      <c r="A1042" t="s">
        <v>383</v>
      </c>
      <c r="B1042" t="s">
        <v>38</v>
      </c>
      <c r="C1042" t="s">
        <v>103</v>
      </c>
      <c r="D1042">
        <v>167</v>
      </c>
      <c r="E1042">
        <v>54</v>
      </c>
    </row>
    <row r="1043" spans="1:5" x14ac:dyDescent="0.35">
      <c r="A1043" t="s">
        <v>383</v>
      </c>
      <c r="B1043" t="s">
        <v>36</v>
      </c>
      <c r="C1043" t="s">
        <v>104</v>
      </c>
      <c r="D1043">
        <v>126</v>
      </c>
      <c r="E1043">
        <v>351</v>
      </c>
    </row>
    <row r="1044" spans="1:5" x14ac:dyDescent="0.35">
      <c r="A1044" t="s">
        <v>383</v>
      </c>
      <c r="B1044" t="s">
        <v>36</v>
      </c>
      <c r="C1044" t="s">
        <v>17</v>
      </c>
      <c r="D1044">
        <v>10420</v>
      </c>
      <c r="E1044">
        <v>14701</v>
      </c>
    </row>
    <row r="1045" spans="1:5" x14ac:dyDescent="0.35">
      <c r="A1045" t="s">
        <v>383</v>
      </c>
      <c r="B1045" t="s">
        <v>34</v>
      </c>
      <c r="C1045" t="s">
        <v>368</v>
      </c>
      <c r="D1045">
        <v>12</v>
      </c>
      <c r="E1045">
        <v>21</v>
      </c>
    </row>
    <row r="1046" spans="1:5" x14ac:dyDescent="0.35">
      <c r="A1046" t="s">
        <v>383</v>
      </c>
      <c r="B1046" t="s">
        <v>35</v>
      </c>
      <c r="C1046" t="s">
        <v>105</v>
      </c>
      <c r="D1046">
        <v>10</v>
      </c>
      <c r="E1046">
        <v>79</v>
      </c>
    </row>
    <row r="1047" spans="1:5" x14ac:dyDescent="0.35">
      <c r="A1047" t="s">
        <v>383</v>
      </c>
      <c r="B1047" t="s">
        <v>34</v>
      </c>
      <c r="C1047" t="s">
        <v>22</v>
      </c>
      <c r="D1047">
        <v>177</v>
      </c>
      <c r="E1047">
        <v>782</v>
      </c>
    </row>
    <row r="1048" spans="1:5" x14ac:dyDescent="0.35">
      <c r="A1048" t="s">
        <v>383</v>
      </c>
      <c r="B1048" t="s">
        <v>34</v>
      </c>
      <c r="C1048" t="s">
        <v>107</v>
      </c>
      <c r="D1048">
        <v>43</v>
      </c>
      <c r="E1048">
        <v>318</v>
      </c>
    </row>
    <row r="1049" spans="1:5" x14ac:dyDescent="0.35">
      <c r="A1049" t="s">
        <v>383</v>
      </c>
      <c r="B1049" t="s">
        <v>34</v>
      </c>
      <c r="C1049" t="s">
        <v>108</v>
      </c>
      <c r="D1049">
        <v>15</v>
      </c>
      <c r="E1049">
        <v>59</v>
      </c>
    </row>
    <row r="1050" spans="1:5" x14ac:dyDescent="0.35">
      <c r="A1050" t="s">
        <v>383</v>
      </c>
      <c r="B1050" t="s">
        <v>34</v>
      </c>
      <c r="C1050" t="s">
        <v>109</v>
      </c>
      <c r="D1050">
        <v>35</v>
      </c>
      <c r="E1050">
        <v>24</v>
      </c>
    </row>
    <row r="1051" spans="1:5" x14ac:dyDescent="0.35">
      <c r="A1051" t="s">
        <v>383</v>
      </c>
      <c r="B1051" t="s">
        <v>35</v>
      </c>
      <c r="C1051" t="s">
        <v>110</v>
      </c>
      <c r="D1051">
        <v>21</v>
      </c>
      <c r="E1051">
        <v>86</v>
      </c>
    </row>
    <row r="1052" spans="1:5" x14ac:dyDescent="0.35">
      <c r="A1052" t="s">
        <v>383</v>
      </c>
      <c r="B1052" t="s">
        <v>34</v>
      </c>
      <c r="C1052" t="s">
        <v>111</v>
      </c>
      <c r="D1052">
        <v>55</v>
      </c>
      <c r="E1052">
        <v>272</v>
      </c>
    </row>
    <row r="1053" spans="1:5" x14ac:dyDescent="0.35">
      <c r="A1053" t="s">
        <v>383</v>
      </c>
      <c r="B1053" t="s">
        <v>35</v>
      </c>
      <c r="C1053" t="s">
        <v>112</v>
      </c>
      <c r="D1053">
        <v>62</v>
      </c>
      <c r="E1053">
        <v>139</v>
      </c>
    </row>
    <row r="1054" spans="1:5" x14ac:dyDescent="0.35">
      <c r="A1054" t="s">
        <v>383</v>
      </c>
      <c r="B1054" t="s">
        <v>36</v>
      </c>
      <c r="C1054" t="s">
        <v>113</v>
      </c>
      <c r="D1054">
        <v>1169</v>
      </c>
      <c r="E1054">
        <v>314</v>
      </c>
    </row>
    <row r="1055" spans="1:5" x14ac:dyDescent="0.35">
      <c r="A1055" t="s">
        <v>383</v>
      </c>
      <c r="B1055" t="s">
        <v>34</v>
      </c>
      <c r="C1055" t="s">
        <v>114</v>
      </c>
      <c r="D1055">
        <v>16</v>
      </c>
      <c r="E1055">
        <v>30</v>
      </c>
    </row>
    <row r="1056" spans="1:5" x14ac:dyDescent="0.35">
      <c r="A1056" t="s">
        <v>383</v>
      </c>
      <c r="B1056" t="s">
        <v>34</v>
      </c>
      <c r="C1056" t="s">
        <v>115</v>
      </c>
      <c r="D1056">
        <v>58</v>
      </c>
      <c r="E1056">
        <v>79</v>
      </c>
    </row>
    <row r="1057" spans="1:5" x14ac:dyDescent="0.35">
      <c r="A1057" t="s">
        <v>383</v>
      </c>
      <c r="B1057" t="s">
        <v>34</v>
      </c>
      <c r="C1057" t="s">
        <v>116</v>
      </c>
      <c r="D1057">
        <v>6</v>
      </c>
      <c r="E1057">
        <v>35</v>
      </c>
    </row>
    <row r="1058" spans="1:5" x14ac:dyDescent="0.35">
      <c r="A1058" t="s">
        <v>383</v>
      </c>
      <c r="B1058" t="s">
        <v>33</v>
      </c>
      <c r="C1058" t="s">
        <v>117</v>
      </c>
      <c r="D1058">
        <v>56</v>
      </c>
      <c r="E1058">
        <v>115</v>
      </c>
    </row>
    <row r="1059" spans="1:5" x14ac:dyDescent="0.35">
      <c r="A1059" t="s">
        <v>383</v>
      </c>
      <c r="B1059" t="s">
        <v>34</v>
      </c>
      <c r="C1059" t="s">
        <v>118</v>
      </c>
      <c r="D1059">
        <v>156</v>
      </c>
      <c r="E1059">
        <v>200</v>
      </c>
    </row>
    <row r="1060" spans="1:5" x14ac:dyDescent="0.35">
      <c r="A1060" t="s">
        <v>383</v>
      </c>
      <c r="B1060" t="s">
        <v>35</v>
      </c>
      <c r="C1060" t="s">
        <v>119</v>
      </c>
      <c r="D1060">
        <v>8</v>
      </c>
      <c r="E1060">
        <v>14</v>
      </c>
    </row>
    <row r="1061" spans="1:5" x14ac:dyDescent="0.35">
      <c r="A1061" t="s">
        <v>383</v>
      </c>
      <c r="B1061" t="s">
        <v>34</v>
      </c>
      <c r="C1061" t="s">
        <v>120</v>
      </c>
      <c r="D1061" t="s">
        <v>205</v>
      </c>
      <c r="E1061" t="s">
        <v>205</v>
      </c>
    </row>
    <row r="1062" spans="1:5" x14ac:dyDescent="0.35">
      <c r="A1062" t="s">
        <v>383</v>
      </c>
      <c r="B1062" t="s">
        <v>34</v>
      </c>
      <c r="C1062" t="s">
        <v>121</v>
      </c>
      <c r="D1062">
        <v>4</v>
      </c>
      <c r="E1062">
        <v>9</v>
      </c>
    </row>
    <row r="1063" spans="1:5" x14ac:dyDescent="0.35">
      <c r="A1063" t="s">
        <v>383</v>
      </c>
      <c r="B1063" t="s">
        <v>34</v>
      </c>
      <c r="C1063" t="s">
        <v>122</v>
      </c>
      <c r="D1063" t="s">
        <v>205</v>
      </c>
      <c r="E1063" t="s">
        <v>205</v>
      </c>
    </row>
    <row r="1064" spans="1:5" x14ac:dyDescent="0.35">
      <c r="A1064" t="s">
        <v>383</v>
      </c>
      <c r="B1064" t="s">
        <v>35</v>
      </c>
      <c r="C1064" t="s">
        <v>123</v>
      </c>
      <c r="D1064">
        <v>5</v>
      </c>
      <c r="E1064">
        <v>28</v>
      </c>
    </row>
    <row r="1065" spans="1:5" x14ac:dyDescent="0.35">
      <c r="A1065" t="s">
        <v>383</v>
      </c>
      <c r="B1065" t="s">
        <v>34</v>
      </c>
      <c r="C1065" t="s">
        <v>124</v>
      </c>
      <c r="D1065">
        <v>60</v>
      </c>
      <c r="E1065">
        <v>107</v>
      </c>
    </row>
    <row r="1066" spans="1:5" x14ac:dyDescent="0.35">
      <c r="A1066" t="s">
        <v>383</v>
      </c>
      <c r="B1066" t="s">
        <v>33</v>
      </c>
      <c r="C1066" t="s">
        <v>125</v>
      </c>
      <c r="D1066">
        <v>26</v>
      </c>
      <c r="E1066">
        <v>21</v>
      </c>
    </row>
    <row r="1067" spans="1:5" x14ac:dyDescent="0.35">
      <c r="A1067" t="s">
        <v>383</v>
      </c>
      <c r="B1067" t="s">
        <v>35</v>
      </c>
      <c r="C1067" t="s">
        <v>127</v>
      </c>
      <c r="D1067">
        <v>17</v>
      </c>
      <c r="E1067">
        <v>49</v>
      </c>
    </row>
    <row r="1068" spans="1:5" x14ac:dyDescent="0.35">
      <c r="A1068" t="s">
        <v>383</v>
      </c>
      <c r="B1068" t="s">
        <v>33</v>
      </c>
      <c r="C1068" t="s">
        <v>130</v>
      </c>
      <c r="E1068">
        <v>5</v>
      </c>
    </row>
    <row r="1069" spans="1:5" x14ac:dyDescent="0.35">
      <c r="A1069" t="s">
        <v>383</v>
      </c>
      <c r="B1069" t="s">
        <v>34</v>
      </c>
      <c r="C1069" t="s">
        <v>131</v>
      </c>
      <c r="D1069">
        <v>18</v>
      </c>
      <c r="E1069">
        <v>35</v>
      </c>
    </row>
    <row r="1070" spans="1:5" x14ac:dyDescent="0.35">
      <c r="A1070" t="s">
        <v>383</v>
      </c>
      <c r="B1070" t="s">
        <v>33</v>
      </c>
      <c r="C1070" t="s">
        <v>132</v>
      </c>
      <c r="D1070">
        <v>4</v>
      </c>
      <c r="E1070">
        <v>31</v>
      </c>
    </row>
    <row r="1071" spans="1:5" x14ac:dyDescent="0.35">
      <c r="A1071" t="s">
        <v>383</v>
      </c>
      <c r="B1071" t="s">
        <v>37</v>
      </c>
      <c r="C1071" t="s">
        <v>134</v>
      </c>
      <c r="D1071">
        <v>16</v>
      </c>
    </row>
    <row r="1072" spans="1:5" x14ac:dyDescent="0.35">
      <c r="A1072" t="s">
        <v>383</v>
      </c>
      <c r="B1072" t="s">
        <v>33</v>
      </c>
      <c r="C1072" t="s">
        <v>135</v>
      </c>
      <c r="E1072">
        <v>19</v>
      </c>
    </row>
    <row r="1073" spans="1:5" x14ac:dyDescent="0.35">
      <c r="A1073" t="s">
        <v>383</v>
      </c>
      <c r="B1073" t="s">
        <v>36</v>
      </c>
      <c r="C1073" t="s">
        <v>14</v>
      </c>
      <c r="D1073">
        <v>128396</v>
      </c>
      <c r="E1073">
        <v>144754</v>
      </c>
    </row>
    <row r="1074" spans="1:5" x14ac:dyDescent="0.35">
      <c r="A1074" t="s">
        <v>383</v>
      </c>
      <c r="B1074" t="s">
        <v>37</v>
      </c>
      <c r="C1074" t="s">
        <v>137</v>
      </c>
      <c r="D1074">
        <v>60</v>
      </c>
      <c r="E1074">
        <v>4</v>
      </c>
    </row>
    <row r="1075" spans="1:5" x14ac:dyDescent="0.35">
      <c r="A1075" t="s">
        <v>383</v>
      </c>
      <c r="B1075" t="s">
        <v>35</v>
      </c>
      <c r="C1075" t="s">
        <v>138</v>
      </c>
      <c r="D1075">
        <v>9</v>
      </c>
      <c r="E1075">
        <v>35</v>
      </c>
    </row>
    <row r="1076" spans="1:5" x14ac:dyDescent="0.35">
      <c r="A1076" t="s">
        <v>383</v>
      </c>
      <c r="B1076" t="s">
        <v>34</v>
      </c>
      <c r="C1076" t="s">
        <v>139</v>
      </c>
      <c r="D1076">
        <v>17</v>
      </c>
      <c r="E1076">
        <v>36</v>
      </c>
    </row>
    <row r="1077" spans="1:5" x14ac:dyDescent="0.35">
      <c r="A1077" t="s">
        <v>383</v>
      </c>
      <c r="B1077" t="s">
        <v>35</v>
      </c>
      <c r="C1077" t="s">
        <v>140</v>
      </c>
    </row>
    <row r="1078" spans="1:5" x14ac:dyDescent="0.35">
      <c r="A1078" t="s">
        <v>383</v>
      </c>
      <c r="B1078" t="s">
        <v>33</v>
      </c>
      <c r="C1078" t="s">
        <v>141</v>
      </c>
      <c r="D1078">
        <v>41</v>
      </c>
      <c r="E1078">
        <v>36</v>
      </c>
    </row>
    <row r="1079" spans="1:5" x14ac:dyDescent="0.35">
      <c r="A1079" t="s">
        <v>383</v>
      </c>
      <c r="B1079" t="s">
        <v>34</v>
      </c>
      <c r="C1079" t="s">
        <v>144</v>
      </c>
      <c r="D1079">
        <v>8</v>
      </c>
      <c r="E1079">
        <v>49</v>
      </c>
    </row>
    <row r="1080" spans="1:5" x14ac:dyDescent="0.35">
      <c r="A1080" t="s">
        <v>383</v>
      </c>
      <c r="B1080" t="s">
        <v>35</v>
      </c>
      <c r="C1080" t="s">
        <v>145</v>
      </c>
      <c r="D1080">
        <v>27</v>
      </c>
      <c r="E1080">
        <v>68</v>
      </c>
    </row>
    <row r="1081" spans="1:5" x14ac:dyDescent="0.35">
      <c r="A1081" t="s">
        <v>383</v>
      </c>
      <c r="B1081" t="s">
        <v>37</v>
      </c>
      <c r="C1081" t="s">
        <v>146</v>
      </c>
      <c r="D1081">
        <v>17</v>
      </c>
      <c r="E1081">
        <v>18</v>
      </c>
    </row>
    <row r="1082" spans="1:5" x14ac:dyDescent="0.35">
      <c r="A1082" t="s">
        <v>383</v>
      </c>
      <c r="B1082" t="s">
        <v>36</v>
      </c>
      <c r="C1082" t="s">
        <v>147</v>
      </c>
      <c r="D1082">
        <v>804</v>
      </c>
      <c r="E1082">
        <v>1099</v>
      </c>
    </row>
    <row r="1083" spans="1:5" x14ac:dyDescent="0.35">
      <c r="A1083" t="s">
        <v>383</v>
      </c>
      <c r="B1083" t="s">
        <v>33</v>
      </c>
      <c r="C1083" t="s">
        <v>148</v>
      </c>
      <c r="D1083">
        <v>6</v>
      </c>
      <c r="E1083">
        <v>18</v>
      </c>
    </row>
    <row r="1084" spans="1:5" x14ac:dyDescent="0.35">
      <c r="A1084" t="s">
        <v>383</v>
      </c>
      <c r="B1084" t="s">
        <v>33</v>
      </c>
      <c r="C1084" t="s">
        <v>149</v>
      </c>
      <c r="D1084">
        <v>184</v>
      </c>
      <c r="E1084">
        <v>186</v>
      </c>
    </row>
    <row r="1085" spans="1:5" x14ac:dyDescent="0.35">
      <c r="A1085" t="s">
        <v>383</v>
      </c>
      <c r="B1085" t="s">
        <v>35</v>
      </c>
      <c r="C1085" t="s">
        <v>322</v>
      </c>
      <c r="D1085">
        <v>13</v>
      </c>
      <c r="E1085">
        <v>32</v>
      </c>
    </row>
    <row r="1086" spans="1:5" x14ac:dyDescent="0.35">
      <c r="A1086" t="s">
        <v>383</v>
      </c>
      <c r="B1086" t="s">
        <v>35</v>
      </c>
      <c r="C1086" t="s">
        <v>150</v>
      </c>
      <c r="D1086">
        <v>4</v>
      </c>
      <c r="E1086">
        <v>11</v>
      </c>
    </row>
    <row r="1087" spans="1:5" x14ac:dyDescent="0.35">
      <c r="A1087" t="s">
        <v>383</v>
      </c>
      <c r="B1087" t="s">
        <v>34</v>
      </c>
      <c r="C1087" t="s">
        <v>152</v>
      </c>
      <c r="D1087">
        <v>78</v>
      </c>
      <c r="E1087">
        <v>253</v>
      </c>
    </row>
    <row r="1088" spans="1:5" x14ac:dyDescent="0.35">
      <c r="A1088" t="s">
        <v>383</v>
      </c>
      <c r="B1088" t="s">
        <v>37</v>
      </c>
      <c r="C1088" t="s">
        <v>153</v>
      </c>
      <c r="D1088">
        <v>11</v>
      </c>
    </row>
    <row r="1089" spans="1:5" x14ac:dyDescent="0.35">
      <c r="A1089" t="s">
        <v>383</v>
      </c>
      <c r="B1089" t="s">
        <v>36</v>
      </c>
      <c r="C1089" t="s">
        <v>154</v>
      </c>
      <c r="D1089">
        <v>123</v>
      </c>
      <c r="E1089">
        <v>65</v>
      </c>
    </row>
    <row r="1090" spans="1:5" x14ac:dyDescent="0.35">
      <c r="A1090" t="s">
        <v>383</v>
      </c>
      <c r="B1090" t="s">
        <v>38</v>
      </c>
      <c r="C1090" t="s">
        <v>155</v>
      </c>
      <c r="D1090">
        <v>8</v>
      </c>
      <c r="E1090">
        <v>32</v>
      </c>
    </row>
    <row r="1091" spans="1:5" x14ac:dyDescent="0.35">
      <c r="A1091" t="s">
        <v>383</v>
      </c>
      <c r="B1091" t="s">
        <v>38</v>
      </c>
      <c r="C1091" t="s">
        <v>156</v>
      </c>
      <c r="D1091">
        <v>419</v>
      </c>
      <c r="E1091">
        <v>689</v>
      </c>
    </row>
    <row r="1092" spans="1:5" x14ac:dyDescent="0.35">
      <c r="A1092" t="s">
        <v>383</v>
      </c>
      <c r="B1092" t="s">
        <v>34</v>
      </c>
      <c r="C1092" t="s">
        <v>18</v>
      </c>
      <c r="D1092">
        <v>326</v>
      </c>
      <c r="E1092">
        <v>421</v>
      </c>
    </row>
    <row r="1093" spans="1:5" x14ac:dyDescent="0.35">
      <c r="A1093" t="s">
        <v>383</v>
      </c>
      <c r="B1093" t="s">
        <v>35</v>
      </c>
      <c r="C1093" t="s">
        <v>157</v>
      </c>
      <c r="D1093">
        <v>169</v>
      </c>
      <c r="E1093">
        <v>381</v>
      </c>
    </row>
    <row r="1094" spans="1:5" x14ac:dyDescent="0.35">
      <c r="A1094" t="s">
        <v>383</v>
      </c>
      <c r="B1094" t="s">
        <v>35</v>
      </c>
      <c r="C1094" t="s">
        <v>158</v>
      </c>
      <c r="D1094">
        <v>84</v>
      </c>
      <c r="E1094">
        <v>100</v>
      </c>
    </row>
    <row r="1095" spans="1:5" x14ac:dyDescent="0.35">
      <c r="A1095" t="s">
        <v>383</v>
      </c>
      <c r="B1095" t="s">
        <v>35</v>
      </c>
      <c r="C1095" t="s">
        <v>160</v>
      </c>
      <c r="D1095">
        <v>56</v>
      </c>
      <c r="E1095">
        <v>112</v>
      </c>
    </row>
    <row r="1096" spans="1:5" x14ac:dyDescent="0.35">
      <c r="A1096" t="s">
        <v>383</v>
      </c>
      <c r="B1096" t="s">
        <v>35</v>
      </c>
      <c r="C1096" t="s">
        <v>161</v>
      </c>
      <c r="D1096">
        <v>89</v>
      </c>
      <c r="E1096">
        <v>148</v>
      </c>
    </row>
    <row r="1097" spans="1:5" x14ac:dyDescent="0.35">
      <c r="A1097" t="s">
        <v>383</v>
      </c>
      <c r="B1097" t="s">
        <v>33</v>
      </c>
      <c r="C1097" t="s">
        <v>162</v>
      </c>
      <c r="D1097" t="s">
        <v>205</v>
      </c>
      <c r="E1097" t="s">
        <v>205</v>
      </c>
    </row>
    <row r="1098" spans="1:5" x14ac:dyDescent="0.35">
      <c r="A1098" t="s">
        <v>383</v>
      </c>
      <c r="B1098" t="s">
        <v>36</v>
      </c>
      <c r="C1098" t="s">
        <v>163</v>
      </c>
      <c r="D1098">
        <v>7</v>
      </c>
      <c r="E1098">
        <v>8</v>
      </c>
    </row>
    <row r="1099" spans="1:5" x14ac:dyDescent="0.35">
      <c r="A1099" t="s">
        <v>383</v>
      </c>
      <c r="B1099" t="s">
        <v>36</v>
      </c>
      <c r="C1099" t="s">
        <v>164</v>
      </c>
      <c r="D1099">
        <v>13</v>
      </c>
      <c r="E1099">
        <v>22</v>
      </c>
    </row>
    <row r="1100" spans="1:5" x14ac:dyDescent="0.35">
      <c r="A1100" t="s">
        <v>383</v>
      </c>
      <c r="B1100" t="s">
        <v>36</v>
      </c>
      <c r="C1100" t="s">
        <v>165</v>
      </c>
      <c r="D1100">
        <v>18</v>
      </c>
      <c r="E1100">
        <v>8</v>
      </c>
    </row>
    <row r="1101" spans="1:5" x14ac:dyDescent="0.35">
      <c r="A1101" t="s">
        <v>383</v>
      </c>
      <c r="B1101" t="s">
        <v>37</v>
      </c>
      <c r="C1101" t="s">
        <v>166</v>
      </c>
      <c r="D1101" t="s">
        <v>205</v>
      </c>
      <c r="E1101" t="s">
        <v>205</v>
      </c>
    </row>
    <row r="1102" spans="1:5" x14ac:dyDescent="0.35">
      <c r="A1102" t="s">
        <v>383</v>
      </c>
      <c r="B1102" t="s">
        <v>34</v>
      </c>
      <c r="C1102" t="s">
        <v>167</v>
      </c>
      <c r="D1102">
        <v>11</v>
      </c>
      <c r="E1102">
        <v>27</v>
      </c>
    </row>
    <row r="1103" spans="1:5" x14ac:dyDescent="0.35">
      <c r="A1103" t="s">
        <v>383</v>
      </c>
      <c r="B1103" t="s">
        <v>33</v>
      </c>
      <c r="C1103" t="s">
        <v>168</v>
      </c>
      <c r="D1103">
        <v>13</v>
      </c>
      <c r="E1103">
        <v>52</v>
      </c>
    </row>
    <row r="1104" spans="1:5" x14ac:dyDescent="0.35">
      <c r="A1104" t="s">
        <v>383</v>
      </c>
      <c r="B1104" t="s">
        <v>35</v>
      </c>
      <c r="C1104" t="s">
        <v>169</v>
      </c>
    </row>
    <row r="1105" spans="1:5" x14ac:dyDescent="0.35">
      <c r="A1105" t="s">
        <v>383</v>
      </c>
      <c r="B1105" t="s">
        <v>35</v>
      </c>
      <c r="C1105" t="s">
        <v>215</v>
      </c>
      <c r="D1105">
        <v>27</v>
      </c>
      <c r="E1105">
        <v>82</v>
      </c>
    </row>
    <row r="1106" spans="1:5" x14ac:dyDescent="0.35">
      <c r="A1106" t="s">
        <v>383</v>
      </c>
      <c r="B1106" t="s">
        <v>33</v>
      </c>
      <c r="C1106" t="s">
        <v>170</v>
      </c>
      <c r="D1106">
        <v>11</v>
      </c>
      <c r="E1106">
        <v>25</v>
      </c>
    </row>
    <row r="1107" spans="1:5" x14ac:dyDescent="0.35">
      <c r="A1107" t="s">
        <v>383</v>
      </c>
      <c r="B1107" t="s">
        <v>34</v>
      </c>
      <c r="C1107" t="s">
        <v>171</v>
      </c>
      <c r="D1107">
        <v>8</v>
      </c>
      <c r="E1107">
        <v>9</v>
      </c>
    </row>
    <row r="1108" spans="1:5" x14ac:dyDescent="0.35">
      <c r="A1108" t="s">
        <v>383</v>
      </c>
      <c r="B1108" t="s">
        <v>35</v>
      </c>
      <c r="C1108" t="s">
        <v>172</v>
      </c>
      <c r="D1108">
        <v>19</v>
      </c>
      <c r="E1108">
        <v>48</v>
      </c>
    </row>
    <row r="1109" spans="1:5" x14ac:dyDescent="0.35">
      <c r="A1109" t="s">
        <v>383</v>
      </c>
      <c r="B1109" t="s">
        <v>35</v>
      </c>
      <c r="C1109" t="s">
        <v>173</v>
      </c>
      <c r="D1109">
        <v>3</v>
      </c>
      <c r="E1109">
        <v>7</v>
      </c>
    </row>
    <row r="1110" spans="1:5" x14ac:dyDescent="0.35">
      <c r="A1110" t="s">
        <v>383</v>
      </c>
      <c r="B1110" t="s">
        <v>33</v>
      </c>
      <c r="C1110" t="s">
        <v>174</v>
      </c>
      <c r="D1110">
        <v>9</v>
      </c>
      <c r="E1110">
        <v>30</v>
      </c>
    </row>
    <row r="1111" spans="1:5" x14ac:dyDescent="0.35">
      <c r="A1111" t="s">
        <v>383</v>
      </c>
      <c r="B1111" t="s">
        <v>33</v>
      </c>
      <c r="C1111" t="s">
        <v>175</v>
      </c>
      <c r="D1111">
        <v>12</v>
      </c>
      <c r="E1111">
        <v>49</v>
      </c>
    </row>
    <row r="1112" spans="1:5" x14ac:dyDescent="0.35">
      <c r="A1112" t="s">
        <v>383</v>
      </c>
      <c r="B1112" t="s">
        <v>33</v>
      </c>
      <c r="C1112" t="s">
        <v>176</v>
      </c>
      <c r="D1112" t="s">
        <v>206</v>
      </c>
      <c r="E1112" t="s">
        <v>206</v>
      </c>
    </row>
    <row r="1113" spans="1:5" x14ac:dyDescent="0.35">
      <c r="A1113" t="s">
        <v>383</v>
      </c>
      <c r="B1113" t="s">
        <v>35</v>
      </c>
      <c r="C1113" t="s">
        <v>216</v>
      </c>
      <c r="D1113" t="s">
        <v>205</v>
      </c>
      <c r="E1113" t="s">
        <v>205</v>
      </c>
    </row>
    <row r="1114" spans="1:5" x14ac:dyDescent="0.35">
      <c r="A1114" t="s">
        <v>383</v>
      </c>
      <c r="B1114" t="s">
        <v>35</v>
      </c>
      <c r="C1114" t="s">
        <v>177</v>
      </c>
      <c r="D1114">
        <v>30</v>
      </c>
      <c r="E1114">
        <v>107</v>
      </c>
    </row>
    <row r="1115" spans="1:5" x14ac:dyDescent="0.35">
      <c r="A1115" t="s">
        <v>383</v>
      </c>
      <c r="B1115" t="s">
        <v>34</v>
      </c>
      <c r="C1115" t="s">
        <v>178</v>
      </c>
      <c r="D1115">
        <v>19</v>
      </c>
      <c r="E1115">
        <v>336</v>
      </c>
    </row>
    <row r="1116" spans="1:5" x14ac:dyDescent="0.35">
      <c r="A1116" t="s">
        <v>383</v>
      </c>
      <c r="B1116" t="s">
        <v>33</v>
      </c>
      <c r="C1116" t="s">
        <v>179</v>
      </c>
      <c r="D1116">
        <v>16</v>
      </c>
      <c r="E1116">
        <v>11</v>
      </c>
    </row>
    <row r="1117" spans="1:5" x14ac:dyDescent="0.35">
      <c r="A1117" t="s">
        <v>383</v>
      </c>
      <c r="B1117" t="s">
        <v>38</v>
      </c>
      <c r="C1117" t="s">
        <v>180</v>
      </c>
      <c r="D1117">
        <v>5</v>
      </c>
      <c r="E1117">
        <v>6</v>
      </c>
    </row>
    <row r="1118" spans="1:5" x14ac:dyDescent="0.35">
      <c r="A1118" t="s">
        <v>383</v>
      </c>
      <c r="B1118" t="s">
        <v>35</v>
      </c>
      <c r="C1118" t="s">
        <v>182</v>
      </c>
      <c r="D1118">
        <v>8</v>
      </c>
      <c r="E1118">
        <v>40</v>
      </c>
    </row>
    <row r="1119" spans="1:5" x14ac:dyDescent="0.35">
      <c r="A1119" t="s">
        <v>383</v>
      </c>
      <c r="B1119" t="s">
        <v>35</v>
      </c>
      <c r="C1119" t="s">
        <v>183</v>
      </c>
      <c r="D1119" t="s">
        <v>205</v>
      </c>
      <c r="E1119" t="s">
        <v>205</v>
      </c>
    </row>
    <row r="1120" spans="1:5" x14ac:dyDescent="0.35">
      <c r="A1120" t="s">
        <v>383</v>
      </c>
      <c r="B1120" t="s">
        <v>34</v>
      </c>
      <c r="C1120" t="s">
        <v>184</v>
      </c>
      <c r="D1120">
        <v>17</v>
      </c>
      <c r="E1120">
        <v>37</v>
      </c>
    </row>
    <row r="1121" spans="1:5" x14ac:dyDescent="0.35">
      <c r="A1121" t="s">
        <v>383</v>
      </c>
      <c r="B1121" t="s">
        <v>34</v>
      </c>
      <c r="C1121" t="s">
        <v>185</v>
      </c>
      <c r="D1121">
        <v>18</v>
      </c>
      <c r="E1121">
        <v>44</v>
      </c>
    </row>
    <row r="1122" spans="1:5" x14ac:dyDescent="0.35">
      <c r="A1122" t="s">
        <v>383</v>
      </c>
      <c r="B1122" t="s">
        <v>34</v>
      </c>
      <c r="C1122" t="s">
        <v>186</v>
      </c>
      <c r="D1122" t="s">
        <v>205</v>
      </c>
      <c r="E1122" t="s">
        <v>205</v>
      </c>
    </row>
    <row r="1123" spans="1:5" x14ac:dyDescent="0.35">
      <c r="A1123" t="s">
        <v>383</v>
      </c>
      <c r="B1123" t="s">
        <v>33</v>
      </c>
      <c r="C1123" t="s">
        <v>187</v>
      </c>
      <c r="D1123">
        <v>14</v>
      </c>
      <c r="E1123">
        <v>17</v>
      </c>
    </row>
    <row r="1124" spans="1:5" x14ac:dyDescent="0.35">
      <c r="A1124" t="s">
        <v>383</v>
      </c>
      <c r="B1124" t="s">
        <v>34</v>
      </c>
      <c r="C1124" t="s">
        <v>188</v>
      </c>
      <c r="D1124">
        <v>26</v>
      </c>
      <c r="E1124">
        <v>89</v>
      </c>
    </row>
    <row r="1125" spans="1:5" x14ac:dyDescent="0.35">
      <c r="A1125" t="s">
        <v>383</v>
      </c>
      <c r="B1125" t="s">
        <v>33</v>
      </c>
      <c r="C1125" t="s">
        <v>189</v>
      </c>
      <c r="D1125">
        <v>6</v>
      </c>
      <c r="E1125">
        <v>12</v>
      </c>
    </row>
    <row r="1126" spans="1:5" x14ac:dyDescent="0.35">
      <c r="A1126" t="s">
        <v>383</v>
      </c>
      <c r="B1126" t="s">
        <v>37</v>
      </c>
      <c r="C1126" t="s">
        <v>190</v>
      </c>
      <c r="D1126">
        <v>22</v>
      </c>
      <c r="E1126">
        <v>12</v>
      </c>
    </row>
    <row r="1127" spans="1:5" x14ac:dyDescent="0.35">
      <c r="A1127" t="s">
        <v>383</v>
      </c>
      <c r="B1127" t="s">
        <v>36</v>
      </c>
      <c r="C1127" t="s">
        <v>191</v>
      </c>
      <c r="D1127">
        <v>264</v>
      </c>
      <c r="E1127">
        <v>116</v>
      </c>
    </row>
    <row r="1128" spans="1:5" x14ac:dyDescent="0.35">
      <c r="A1128" t="s">
        <v>383</v>
      </c>
      <c r="B1128" t="s">
        <v>33</v>
      </c>
      <c r="C1128" t="s">
        <v>192</v>
      </c>
      <c r="D1128">
        <v>10</v>
      </c>
      <c r="E1128">
        <v>20</v>
      </c>
    </row>
    <row r="1129" spans="1:5" x14ac:dyDescent="0.35">
      <c r="A1129" t="s">
        <v>383</v>
      </c>
      <c r="B1129" t="s">
        <v>34</v>
      </c>
      <c r="C1129" t="s">
        <v>193</v>
      </c>
      <c r="D1129">
        <v>51</v>
      </c>
      <c r="E1129">
        <v>127</v>
      </c>
    </row>
    <row r="1130" spans="1:5" x14ac:dyDescent="0.35">
      <c r="A1130" t="s">
        <v>383</v>
      </c>
      <c r="B1130" t="s">
        <v>36</v>
      </c>
      <c r="C1130" t="s">
        <v>372</v>
      </c>
      <c r="D1130">
        <v>6</v>
      </c>
      <c r="E1130">
        <v>5</v>
      </c>
    </row>
    <row r="1131" spans="1:5" x14ac:dyDescent="0.35">
      <c r="A1131" t="s">
        <v>383</v>
      </c>
      <c r="B1131" t="s">
        <v>33</v>
      </c>
      <c r="C1131" t="s">
        <v>195</v>
      </c>
      <c r="D1131">
        <v>10</v>
      </c>
      <c r="E1131">
        <v>18</v>
      </c>
    </row>
    <row r="1132" spans="1:5" x14ac:dyDescent="0.35">
      <c r="A1132" t="s">
        <v>383</v>
      </c>
      <c r="B1132" t="s">
        <v>35</v>
      </c>
      <c r="C1132" t="s">
        <v>196</v>
      </c>
      <c r="D1132">
        <v>61</v>
      </c>
      <c r="E1132">
        <v>111</v>
      </c>
    </row>
    <row r="1133" spans="1:5" x14ac:dyDescent="0.35">
      <c r="A1133" t="s">
        <v>383</v>
      </c>
      <c r="B1133" t="s">
        <v>34</v>
      </c>
      <c r="C1133" t="s">
        <v>197</v>
      </c>
      <c r="D1133" t="s">
        <v>205</v>
      </c>
      <c r="E1133" t="s">
        <v>205</v>
      </c>
    </row>
    <row r="1134" spans="1:5" x14ac:dyDescent="0.35">
      <c r="A1134" t="s">
        <v>383</v>
      </c>
      <c r="B1134" t="s">
        <v>35</v>
      </c>
      <c r="C1134" t="s">
        <v>198</v>
      </c>
      <c r="D1134">
        <v>207</v>
      </c>
      <c r="E1134">
        <v>294</v>
      </c>
    </row>
    <row r="1135" spans="1:5" x14ac:dyDescent="0.35">
      <c r="A1135" t="s">
        <v>383</v>
      </c>
      <c r="B1135" t="s">
        <v>39</v>
      </c>
      <c r="C1135" t="s">
        <v>39</v>
      </c>
      <c r="D1135">
        <v>19</v>
      </c>
      <c r="E1135">
        <v>40</v>
      </c>
    </row>
    <row r="1136" spans="1:5" x14ac:dyDescent="0.35">
      <c r="A1136" t="s">
        <v>383</v>
      </c>
      <c r="B1136" t="s">
        <v>38</v>
      </c>
      <c r="C1136" t="s">
        <v>199</v>
      </c>
      <c r="D1136">
        <v>65</v>
      </c>
      <c r="E1136">
        <v>104</v>
      </c>
    </row>
    <row r="1137" spans="1:5" x14ac:dyDescent="0.35">
      <c r="A1137" t="s">
        <v>383</v>
      </c>
      <c r="B1137" t="s">
        <v>34</v>
      </c>
      <c r="C1137" t="s">
        <v>200</v>
      </c>
      <c r="D1137">
        <v>17</v>
      </c>
      <c r="E1137">
        <v>64</v>
      </c>
    </row>
    <row r="1138" spans="1:5" x14ac:dyDescent="0.35">
      <c r="A1138" t="s">
        <v>383</v>
      </c>
      <c r="B1138" t="s">
        <v>38</v>
      </c>
      <c r="C1138" t="s">
        <v>19</v>
      </c>
      <c r="D1138">
        <v>133</v>
      </c>
      <c r="E1138">
        <v>258</v>
      </c>
    </row>
    <row r="1139" spans="1:5" x14ac:dyDescent="0.35">
      <c r="A1139" t="s">
        <v>383</v>
      </c>
      <c r="B1139" t="s">
        <v>34</v>
      </c>
      <c r="C1139" t="s">
        <v>201</v>
      </c>
      <c r="D1139">
        <v>9</v>
      </c>
      <c r="E1139">
        <v>29</v>
      </c>
    </row>
    <row r="1140" spans="1:5" x14ac:dyDescent="0.35">
      <c r="A1140" t="s">
        <v>383</v>
      </c>
      <c r="B1140" t="s">
        <v>34</v>
      </c>
      <c r="C1140" t="s">
        <v>202</v>
      </c>
      <c r="D1140">
        <v>10</v>
      </c>
      <c r="E1140">
        <v>30</v>
      </c>
    </row>
    <row r="1141" spans="1:5" x14ac:dyDescent="0.35">
      <c r="A1141" t="s">
        <v>383</v>
      </c>
      <c r="B1141" t="s">
        <v>33</v>
      </c>
      <c r="C1141" t="s">
        <v>203</v>
      </c>
      <c r="D1141">
        <v>5</v>
      </c>
      <c r="E1141">
        <v>18</v>
      </c>
    </row>
    <row r="1142" spans="1:5" x14ac:dyDescent="0.35">
      <c r="A1142" t="s">
        <v>383</v>
      </c>
      <c r="B1142" t="s">
        <v>33</v>
      </c>
      <c r="C1142" t="s">
        <v>204</v>
      </c>
      <c r="D1142">
        <v>6</v>
      </c>
      <c r="E1142">
        <v>27</v>
      </c>
    </row>
    <row r="1143" spans="1:5" x14ac:dyDescent="0.35">
      <c r="A1143" t="s">
        <v>384</v>
      </c>
      <c r="B1143" t="s">
        <v>34</v>
      </c>
      <c r="C1143" t="s">
        <v>40</v>
      </c>
      <c r="D1143">
        <v>9</v>
      </c>
      <c r="E1143">
        <v>8</v>
      </c>
    </row>
    <row r="1144" spans="1:5" x14ac:dyDescent="0.35">
      <c r="A1144" t="s">
        <v>384</v>
      </c>
      <c r="B1144" t="s">
        <v>35</v>
      </c>
      <c r="C1144" t="s">
        <v>41</v>
      </c>
      <c r="D1144">
        <v>37</v>
      </c>
      <c r="E1144">
        <v>134</v>
      </c>
    </row>
    <row r="1145" spans="1:5" x14ac:dyDescent="0.35">
      <c r="A1145" t="s">
        <v>384</v>
      </c>
      <c r="B1145" t="s">
        <v>33</v>
      </c>
      <c r="C1145" t="s">
        <v>42</v>
      </c>
      <c r="D1145">
        <v>4</v>
      </c>
      <c r="E1145">
        <v>9</v>
      </c>
    </row>
    <row r="1146" spans="1:5" x14ac:dyDescent="0.35">
      <c r="A1146" t="s">
        <v>384</v>
      </c>
      <c r="C1146" t="s">
        <v>373</v>
      </c>
      <c r="D1146">
        <v>30</v>
      </c>
      <c r="E1146">
        <v>37</v>
      </c>
    </row>
    <row r="1147" spans="1:5" x14ac:dyDescent="0.35">
      <c r="A1147" t="s">
        <v>384</v>
      </c>
      <c r="B1147" t="s">
        <v>33</v>
      </c>
      <c r="C1147" t="s">
        <v>43</v>
      </c>
      <c r="D1147">
        <v>4</v>
      </c>
      <c r="E1147">
        <v>9</v>
      </c>
    </row>
    <row r="1148" spans="1:5" x14ac:dyDescent="0.35">
      <c r="A1148" t="s">
        <v>384</v>
      </c>
      <c r="B1148" t="s">
        <v>36</v>
      </c>
      <c r="C1148" t="s">
        <v>44</v>
      </c>
      <c r="D1148">
        <v>12</v>
      </c>
      <c r="E1148">
        <v>7</v>
      </c>
    </row>
    <row r="1149" spans="1:5" x14ac:dyDescent="0.35">
      <c r="A1149" t="s">
        <v>384</v>
      </c>
      <c r="B1149" t="s">
        <v>38</v>
      </c>
      <c r="C1149" t="s">
        <v>45</v>
      </c>
      <c r="D1149">
        <v>114</v>
      </c>
      <c r="E1149">
        <v>172</v>
      </c>
    </row>
    <row r="1150" spans="1:5" x14ac:dyDescent="0.35">
      <c r="A1150" t="s">
        <v>384</v>
      </c>
      <c r="B1150" t="s">
        <v>34</v>
      </c>
      <c r="C1150" t="s">
        <v>46</v>
      </c>
      <c r="D1150">
        <v>31</v>
      </c>
      <c r="E1150">
        <v>27</v>
      </c>
    </row>
    <row r="1151" spans="1:5" x14ac:dyDescent="0.35">
      <c r="A1151" t="s">
        <v>384</v>
      </c>
      <c r="B1151" t="s">
        <v>37</v>
      </c>
      <c r="C1151" t="s">
        <v>47</v>
      </c>
      <c r="D1151">
        <v>21</v>
      </c>
      <c r="E1151">
        <v>31</v>
      </c>
    </row>
    <row r="1152" spans="1:5" x14ac:dyDescent="0.35">
      <c r="A1152" t="s">
        <v>384</v>
      </c>
      <c r="B1152" t="s">
        <v>35</v>
      </c>
      <c r="C1152" t="s">
        <v>48</v>
      </c>
      <c r="D1152">
        <v>5</v>
      </c>
      <c r="E1152">
        <v>20</v>
      </c>
    </row>
    <row r="1153" spans="1:5" x14ac:dyDescent="0.35">
      <c r="A1153" t="s">
        <v>384</v>
      </c>
      <c r="B1153" t="s">
        <v>34</v>
      </c>
      <c r="C1153" t="s">
        <v>49</v>
      </c>
      <c r="D1153" t="s">
        <v>205</v>
      </c>
      <c r="E1153" t="s">
        <v>205</v>
      </c>
    </row>
    <row r="1154" spans="1:5" x14ac:dyDescent="0.35">
      <c r="A1154" t="s">
        <v>384</v>
      </c>
      <c r="B1154" t="s">
        <v>36</v>
      </c>
      <c r="C1154" t="s">
        <v>50</v>
      </c>
      <c r="D1154">
        <v>110</v>
      </c>
      <c r="E1154">
        <v>24</v>
      </c>
    </row>
    <row r="1155" spans="1:5" x14ac:dyDescent="0.35">
      <c r="A1155" t="s">
        <v>384</v>
      </c>
      <c r="B1155" t="s">
        <v>34</v>
      </c>
      <c r="C1155" t="s">
        <v>52</v>
      </c>
      <c r="D1155">
        <v>28</v>
      </c>
      <c r="E1155">
        <v>60</v>
      </c>
    </row>
    <row r="1156" spans="1:5" x14ac:dyDescent="0.35">
      <c r="A1156" t="s">
        <v>384</v>
      </c>
      <c r="B1156" t="s">
        <v>36</v>
      </c>
      <c r="C1156" t="s">
        <v>53</v>
      </c>
      <c r="D1156">
        <v>32</v>
      </c>
      <c r="E1156">
        <v>9</v>
      </c>
    </row>
    <row r="1157" spans="1:5" x14ac:dyDescent="0.35">
      <c r="A1157" t="s">
        <v>384</v>
      </c>
      <c r="B1157" t="s">
        <v>35</v>
      </c>
      <c r="C1157" t="s">
        <v>54</v>
      </c>
      <c r="D1157">
        <v>11</v>
      </c>
      <c r="E1157">
        <v>11</v>
      </c>
    </row>
    <row r="1158" spans="1:5" x14ac:dyDescent="0.35">
      <c r="A1158" t="s">
        <v>384</v>
      </c>
      <c r="B1158" t="s">
        <v>35</v>
      </c>
      <c r="C1158" t="s">
        <v>55</v>
      </c>
      <c r="D1158">
        <v>7</v>
      </c>
      <c r="E1158">
        <v>10</v>
      </c>
    </row>
    <row r="1159" spans="1:5" x14ac:dyDescent="0.35">
      <c r="A1159" t="s">
        <v>384</v>
      </c>
      <c r="B1159" t="s">
        <v>36</v>
      </c>
      <c r="C1159" t="s">
        <v>56</v>
      </c>
      <c r="D1159">
        <v>155</v>
      </c>
      <c r="E1159">
        <v>60</v>
      </c>
    </row>
    <row r="1160" spans="1:5" x14ac:dyDescent="0.35">
      <c r="A1160" t="s">
        <v>384</v>
      </c>
      <c r="B1160" t="s">
        <v>33</v>
      </c>
      <c r="C1160" t="s">
        <v>57</v>
      </c>
      <c r="D1160" t="s">
        <v>205</v>
      </c>
      <c r="E1160" t="s">
        <v>205</v>
      </c>
    </row>
    <row r="1161" spans="1:5" x14ac:dyDescent="0.35">
      <c r="A1161" t="s">
        <v>384</v>
      </c>
      <c r="B1161" t="s">
        <v>36</v>
      </c>
      <c r="C1161" t="s">
        <v>363</v>
      </c>
      <c r="D1161">
        <v>12</v>
      </c>
      <c r="E1161">
        <v>3</v>
      </c>
    </row>
    <row r="1162" spans="1:5" x14ac:dyDescent="0.35">
      <c r="A1162" t="s">
        <v>384</v>
      </c>
      <c r="B1162" t="s">
        <v>38</v>
      </c>
      <c r="C1162" t="s">
        <v>59</v>
      </c>
      <c r="D1162">
        <v>93</v>
      </c>
      <c r="E1162">
        <v>102</v>
      </c>
    </row>
    <row r="1163" spans="1:5" x14ac:dyDescent="0.35">
      <c r="A1163" t="s">
        <v>384</v>
      </c>
      <c r="B1163" t="s">
        <v>35</v>
      </c>
      <c r="C1163" t="s">
        <v>60</v>
      </c>
      <c r="D1163">
        <v>53</v>
      </c>
      <c r="E1163">
        <v>10</v>
      </c>
    </row>
    <row r="1164" spans="1:5" x14ac:dyDescent="0.35">
      <c r="A1164" t="s">
        <v>384</v>
      </c>
      <c r="B1164" t="s">
        <v>38</v>
      </c>
      <c r="C1164" t="s">
        <v>21</v>
      </c>
      <c r="D1164">
        <v>550</v>
      </c>
      <c r="E1164">
        <v>2800</v>
      </c>
    </row>
    <row r="1165" spans="1:5" x14ac:dyDescent="0.35">
      <c r="A1165" t="s">
        <v>384</v>
      </c>
      <c r="B1165" t="s">
        <v>35</v>
      </c>
      <c r="C1165" t="s">
        <v>62</v>
      </c>
      <c r="D1165">
        <v>17</v>
      </c>
      <c r="E1165">
        <v>51</v>
      </c>
    </row>
    <row r="1166" spans="1:5" x14ac:dyDescent="0.35">
      <c r="A1166" t="s">
        <v>384</v>
      </c>
      <c r="B1166" t="s">
        <v>33</v>
      </c>
      <c r="C1166" t="s">
        <v>63</v>
      </c>
      <c r="E1166">
        <v>4</v>
      </c>
    </row>
    <row r="1167" spans="1:5" x14ac:dyDescent="0.35">
      <c r="A1167" t="s">
        <v>384</v>
      </c>
      <c r="B1167" t="s">
        <v>34</v>
      </c>
      <c r="C1167" t="s">
        <v>64</v>
      </c>
      <c r="D1167" t="s">
        <v>205</v>
      </c>
      <c r="E1167" t="s">
        <v>205</v>
      </c>
    </row>
    <row r="1168" spans="1:5" x14ac:dyDescent="0.35">
      <c r="A1168" t="s">
        <v>384</v>
      </c>
      <c r="B1168" t="s">
        <v>33</v>
      </c>
      <c r="C1168" t="s">
        <v>66</v>
      </c>
      <c r="D1168">
        <v>10</v>
      </c>
      <c r="E1168">
        <v>17</v>
      </c>
    </row>
    <row r="1169" spans="1:5" x14ac:dyDescent="0.35">
      <c r="A1169" t="s">
        <v>384</v>
      </c>
      <c r="B1169" t="s">
        <v>34</v>
      </c>
      <c r="C1169" t="s">
        <v>67</v>
      </c>
      <c r="D1169">
        <v>74</v>
      </c>
      <c r="E1169">
        <v>15</v>
      </c>
    </row>
    <row r="1170" spans="1:5" x14ac:dyDescent="0.35">
      <c r="A1170" t="s">
        <v>384</v>
      </c>
      <c r="B1170" t="s">
        <v>33</v>
      </c>
      <c r="C1170" t="s">
        <v>68</v>
      </c>
      <c r="D1170">
        <v>15</v>
      </c>
      <c r="E1170">
        <v>60</v>
      </c>
    </row>
    <row r="1171" spans="1:5" x14ac:dyDescent="0.35">
      <c r="A1171" t="s">
        <v>384</v>
      </c>
      <c r="B1171" t="s">
        <v>36</v>
      </c>
      <c r="C1171" t="s">
        <v>69</v>
      </c>
      <c r="D1171">
        <v>417</v>
      </c>
      <c r="E1171">
        <v>874</v>
      </c>
    </row>
    <row r="1172" spans="1:5" x14ac:dyDescent="0.35">
      <c r="A1172" t="s">
        <v>384</v>
      </c>
      <c r="B1172" t="s">
        <v>33</v>
      </c>
      <c r="C1172" t="s">
        <v>71</v>
      </c>
      <c r="D1172" t="s">
        <v>205</v>
      </c>
      <c r="E1172" t="s">
        <v>205</v>
      </c>
    </row>
    <row r="1173" spans="1:5" x14ac:dyDescent="0.35">
      <c r="A1173" t="s">
        <v>384</v>
      </c>
      <c r="B1173" t="s">
        <v>38</v>
      </c>
      <c r="C1173" t="s">
        <v>72</v>
      </c>
      <c r="D1173">
        <v>87</v>
      </c>
      <c r="E1173">
        <v>68</v>
      </c>
    </row>
    <row r="1174" spans="1:5" x14ac:dyDescent="0.35">
      <c r="A1174" t="s">
        <v>384</v>
      </c>
      <c r="B1174" t="s">
        <v>34</v>
      </c>
      <c r="C1174" t="s">
        <v>73</v>
      </c>
      <c r="D1174">
        <v>217</v>
      </c>
      <c r="E1174">
        <v>808</v>
      </c>
    </row>
    <row r="1175" spans="1:5" x14ac:dyDescent="0.35">
      <c r="A1175" t="s">
        <v>384</v>
      </c>
      <c r="B1175" t="s">
        <v>38</v>
      </c>
      <c r="C1175" t="s">
        <v>20</v>
      </c>
      <c r="D1175">
        <v>1048</v>
      </c>
      <c r="E1175">
        <v>851</v>
      </c>
    </row>
    <row r="1176" spans="1:5" x14ac:dyDescent="0.35">
      <c r="A1176" t="s">
        <v>384</v>
      </c>
      <c r="B1176" t="s">
        <v>33</v>
      </c>
      <c r="C1176" t="s">
        <v>74</v>
      </c>
      <c r="D1176" t="s">
        <v>205</v>
      </c>
      <c r="E1176" t="s">
        <v>205</v>
      </c>
    </row>
    <row r="1177" spans="1:5" x14ac:dyDescent="0.35">
      <c r="A1177" t="s">
        <v>384</v>
      </c>
      <c r="B1177" t="s">
        <v>33</v>
      </c>
      <c r="C1177" t="s">
        <v>75</v>
      </c>
      <c r="D1177">
        <v>6</v>
      </c>
      <c r="E1177">
        <v>15</v>
      </c>
    </row>
    <row r="1178" spans="1:5" x14ac:dyDescent="0.35">
      <c r="A1178" t="s">
        <v>384</v>
      </c>
      <c r="B1178" t="s">
        <v>36</v>
      </c>
      <c r="C1178" t="s">
        <v>76</v>
      </c>
      <c r="D1178">
        <v>157</v>
      </c>
      <c r="E1178">
        <v>221</v>
      </c>
    </row>
    <row r="1179" spans="1:5" x14ac:dyDescent="0.35">
      <c r="A1179" t="s">
        <v>384</v>
      </c>
      <c r="B1179" t="s">
        <v>33</v>
      </c>
      <c r="C1179" t="s">
        <v>77</v>
      </c>
      <c r="D1179">
        <v>11</v>
      </c>
      <c r="E1179">
        <v>15</v>
      </c>
    </row>
    <row r="1180" spans="1:5" x14ac:dyDescent="0.35">
      <c r="A1180" t="s">
        <v>384</v>
      </c>
      <c r="B1180" t="s">
        <v>35</v>
      </c>
      <c r="C1180" t="s">
        <v>78</v>
      </c>
      <c r="D1180">
        <v>8</v>
      </c>
      <c r="E1180">
        <v>10</v>
      </c>
    </row>
    <row r="1181" spans="1:5" x14ac:dyDescent="0.35">
      <c r="A1181" t="s">
        <v>384</v>
      </c>
      <c r="B1181" t="s">
        <v>36</v>
      </c>
      <c r="C1181" t="s">
        <v>79</v>
      </c>
      <c r="D1181">
        <v>56</v>
      </c>
      <c r="E1181">
        <v>23</v>
      </c>
    </row>
    <row r="1182" spans="1:5" x14ac:dyDescent="0.35">
      <c r="A1182" t="s">
        <v>384</v>
      </c>
      <c r="B1182" t="s">
        <v>35</v>
      </c>
      <c r="C1182" t="s">
        <v>81</v>
      </c>
      <c r="D1182">
        <v>18</v>
      </c>
      <c r="E1182">
        <v>28</v>
      </c>
    </row>
    <row r="1183" spans="1:5" x14ac:dyDescent="0.35">
      <c r="A1183" t="s">
        <v>384</v>
      </c>
      <c r="B1183" t="s">
        <v>35</v>
      </c>
      <c r="C1183" t="s">
        <v>214</v>
      </c>
      <c r="D1183" t="s">
        <v>205</v>
      </c>
      <c r="E1183" t="s">
        <v>205</v>
      </c>
    </row>
    <row r="1184" spans="1:5" x14ac:dyDescent="0.35">
      <c r="A1184" t="s">
        <v>384</v>
      </c>
      <c r="B1184" t="s">
        <v>35</v>
      </c>
      <c r="C1184" t="s">
        <v>82</v>
      </c>
      <c r="D1184">
        <v>5</v>
      </c>
      <c r="E1184">
        <v>4</v>
      </c>
    </row>
    <row r="1185" spans="1:5" x14ac:dyDescent="0.35">
      <c r="A1185" t="s">
        <v>384</v>
      </c>
      <c r="B1185" t="s">
        <v>36</v>
      </c>
      <c r="C1185" t="s">
        <v>84</v>
      </c>
      <c r="D1185">
        <v>21</v>
      </c>
      <c r="E1185">
        <v>13</v>
      </c>
    </row>
    <row r="1186" spans="1:5" x14ac:dyDescent="0.35">
      <c r="A1186" t="s">
        <v>384</v>
      </c>
      <c r="B1186" t="s">
        <v>36</v>
      </c>
      <c r="C1186" t="s">
        <v>85</v>
      </c>
      <c r="D1186">
        <v>2142</v>
      </c>
      <c r="E1186">
        <v>751</v>
      </c>
    </row>
    <row r="1187" spans="1:5" x14ac:dyDescent="0.35">
      <c r="A1187" t="s">
        <v>384</v>
      </c>
      <c r="B1187" t="s">
        <v>38</v>
      </c>
      <c r="C1187" t="s">
        <v>86</v>
      </c>
      <c r="D1187">
        <v>704</v>
      </c>
      <c r="E1187">
        <v>1012</v>
      </c>
    </row>
    <row r="1188" spans="1:5" x14ac:dyDescent="0.35">
      <c r="A1188" t="s">
        <v>384</v>
      </c>
      <c r="B1188" t="s">
        <v>33</v>
      </c>
      <c r="C1188" t="s">
        <v>87</v>
      </c>
      <c r="D1188">
        <v>29</v>
      </c>
      <c r="E1188">
        <v>80</v>
      </c>
    </row>
    <row r="1189" spans="1:5" x14ac:dyDescent="0.35">
      <c r="A1189" t="s">
        <v>384</v>
      </c>
      <c r="B1189" t="s">
        <v>36</v>
      </c>
      <c r="C1189" t="s">
        <v>16</v>
      </c>
      <c r="D1189">
        <v>8507</v>
      </c>
      <c r="E1189">
        <v>8874</v>
      </c>
    </row>
    <row r="1190" spans="1:5" x14ac:dyDescent="0.35">
      <c r="A1190" t="s">
        <v>384</v>
      </c>
      <c r="B1190" t="s">
        <v>33</v>
      </c>
      <c r="C1190" t="s">
        <v>89</v>
      </c>
      <c r="D1190">
        <v>3</v>
      </c>
      <c r="E1190">
        <v>6</v>
      </c>
    </row>
    <row r="1191" spans="1:5" x14ac:dyDescent="0.35">
      <c r="A1191" t="s">
        <v>384</v>
      </c>
      <c r="B1191" t="s">
        <v>35</v>
      </c>
      <c r="C1191" t="s">
        <v>90</v>
      </c>
      <c r="D1191">
        <v>12</v>
      </c>
      <c r="E1191">
        <v>16</v>
      </c>
    </row>
    <row r="1192" spans="1:5" x14ac:dyDescent="0.35">
      <c r="A1192" t="s">
        <v>384</v>
      </c>
      <c r="B1192" t="s">
        <v>33</v>
      </c>
      <c r="C1192" t="s">
        <v>91</v>
      </c>
      <c r="D1192">
        <v>28</v>
      </c>
      <c r="E1192">
        <v>25</v>
      </c>
    </row>
    <row r="1193" spans="1:5" x14ac:dyDescent="0.35">
      <c r="A1193" t="s">
        <v>384</v>
      </c>
      <c r="B1193" t="s">
        <v>37</v>
      </c>
      <c r="C1193" t="s">
        <v>92</v>
      </c>
      <c r="D1193">
        <v>34</v>
      </c>
      <c r="E1193">
        <v>27</v>
      </c>
    </row>
    <row r="1194" spans="1:5" x14ac:dyDescent="0.35">
      <c r="A1194" t="s">
        <v>384</v>
      </c>
      <c r="B1194" t="s">
        <v>35</v>
      </c>
      <c r="C1194" t="s">
        <v>93</v>
      </c>
      <c r="D1194">
        <v>3</v>
      </c>
      <c r="E1194">
        <v>4</v>
      </c>
    </row>
    <row r="1195" spans="1:5" x14ac:dyDescent="0.35">
      <c r="A1195" t="s">
        <v>384</v>
      </c>
      <c r="B1195" t="s">
        <v>35</v>
      </c>
      <c r="C1195" t="s">
        <v>94</v>
      </c>
      <c r="D1195">
        <v>44</v>
      </c>
      <c r="E1195">
        <v>83</v>
      </c>
    </row>
    <row r="1196" spans="1:5" x14ac:dyDescent="0.35">
      <c r="A1196" t="s">
        <v>384</v>
      </c>
      <c r="B1196" t="s">
        <v>33</v>
      </c>
      <c r="C1196" t="s">
        <v>95</v>
      </c>
      <c r="D1196">
        <v>3</v>
      </c>
      <c r="E1196">
        <v>11</v>
      </c>
    </row>
    <row r="1197" spans="1:5" x14ac:dyDescent="0.35">
      <c r="A1197" t="s">
        <v>384</v>
      </c>
      <c r="B1197" t="s">
        <v>33</v>
      </c>
      <c r="C1197" t="s">
        <v>96</v>
      </c>
      <c r="D1197">
        <v>5</v>
      </c>
      <c r="E1197">
        <v>21</v>
      </c>
    </row>
    <row r="1198" spans="1:5" x14ac:dyDescent="0.35">
      <c r="A1198" t="s">
        <v>384</v>
      </c>
      <c r="B1198" t="s">
        <v>34</v>
      </c>
      <c r="C1198" t="s">
        <v>8</v>
      </c>
      <c r="D1198">
        <v>24</v>
      </c>
      <c r="E1198">
        <v>21</v>
      </c>
    </row>
    <row r="1199" spans="1:5" x14ac:dyDescent="0.35">
      <c r="A1199" t="s">
        <v>384</v>
      </c>
      <c r="B1199" t="s">
        <v>35</v>
      </c>
      <c r="C1199" t="s">
        <v>97</v>
      </c>
      <c r="D1199">
        <v>65</v>
      </c>
      <c r="E1199">
        <v>89</v>
      </c>
    </row>
    <row r="1200" spans="1:5" x14ac:dyDescent="0.35">
      <c r="A1200" t="s">
        <v>384</v>
      </c>
      <c r="B1200" t="s">
        <v>33</v>
      </c>
      <c r="C1200" t="s">
        <v>98</v>
      </c>
      <c r="D1200">
        <v>76</v>
      </c>
      <c r="E1200">
        <v>112</v>
      </c>
    </row>
    <row r="1201" spans="1:5" x14ac:dyDescent="0.35">
      <c r="A1201" t="s">
        <v>384</v>
      </c>
      <c r="B1201" t="s">
        <v>35</v>
      </c>
      <c r="C1201" t="s">
        <v>99</v>
      </c>
      <c r="D1201">
        <v>23</v>
      </c>
      <c r="E1201">
        <v>23</v>
      </c>
    </row>
    <row r="1202" spans="1:5" x14ac:dyDescent="0.35">
      <c r="A1202" t="s">
        <v>384</v>
      </c>
      <c r="B1202" t="s">
        <v>36</v>
      </c>
      <c r="C1202" t="s">
        <v>100</v>
      </c>
      <c r="D1202">
        <v>26</v>
      </c>
      <c r="E1202">
        <v>20</v>
      </c>
    </row>
    <row r="1203" spans="1:5" x14ac:dyDescent="0.35">
      <c r="A1203" t="s">
        <v>384</v>
      </c>
      <c r="B1203" t="s">
        <v>36</v>
      </c>
      <c r="C1203" t="s">
        <v>15</v>
      </c>
      <c r="D1203">
        <v>11718</v>
      </c>
      <c r="E1203">
        <v>18625</v>
      </c>
    </row>
    <row r="1204" spans="1:5" x14ac:dyDescent="0.35">
      <c r="A1204" t="s">
        <v>384</v>
      </c>
      <c r="B1204" t="s">
        <v>33</v>
      </c>
      <c r="C1204" t="s">
        <v>101</v>
      </c>
      <c r="D1204">
        <v>11</v>
      </c>
      <c r="E1204">
        <v>24</v>
      </c>
    </row>
    <row r="1205" spans="1:5" x14ac:dyDescent="0.35">
      <c r="A1205" t="s">
        <v>384</v>
      </c>
      <c r="B1205" t="s">
        <v>38</v>
      </c>
      <c r="C1205" t="s">
        <v>103</v>
      </c>
      <c r="D1205">
        <v>139</v>
      </c>
      <c r="E1205">
        <v>48</v>
      </c>
    </row>
    <row r="1206" spans="1:5" x14ac:dyDescent="0.35">
      <c r="A1206" t="s">
        <v>384</v>
      </c>
      <c r="B1206" t="s">
        <v>36</v>
      </c>
      <c r="C1206" t="s">
        <v>104</v>
      </c>
      <c r="D1206">
        <v>251</v>
      </c>
      <c r="E1206">
        <v>478</v>
      </c>
    </row>
    <row r="1207" spans="1:5" x14ac:dyDescent="0.35">
      <c r="A1207" t="s">
        <v>384</v>
      </c>
      <c r="B1207" t="s">
        <v>36</v>
      </c>
      <c r="C1207" t="s">
        <v>17</v>
      </c>
      <c r="D1207">
        <v>10825</v>
      </c>
      <c r="E1207">
        <v>11202</v>
      </c>
    </row>
    <row r="1208" spans="1:5" x14ac:dyDescent="0.35">
      <c r="A1208" t="s">
        <v>384</v>
      </c>
      <c r="B1208" t="s">
        <v>34</v>
      </c>
      <c r="C1208" t="s">
        <v>368</v>
      </c>
      <c r="D1208">
        <v>12</v>
      </c>
      <c r="E1208">
        <v>9</v>
      </c>
    </row>
    <row r="1209" spans="1:5" x14ac:dyDescent="0.35">
      <c r="A1209" t="s">
        <v>384</v>
      </c>
      <c r="B1209" t="s">
        <v>35</v>
      </c>
      <c r="C1209" t="s">
        <v>105</v>
      </c>
      <c r="D1209">
        <v>19</v>
      </c>
      <c r="E1209">
        <v>65</v>
      </c>
    </row>
    <row r="1210" spans="1:5" x14ac:dyDescent="0.35">
      <c r="A1210" t="s">
        <v>384</v>
      </c>
      <c r="B1210" t="s">
        <v>34</v>
      </c>
      <c r="C1210" t="s">
        <v>22</v>
      </c>
      <c r="D1210">
        <v>161</v>
      </c>
      <c r="E1210">
        <v>562</v>
      </c>
    </row>
    <row r="1211" spans="1:5" x14ac:dyDescent="0.35">
      <c r="A1211" t="s">
        <v>384</v>
      </c>
      <c r="B1211" t="s">
        <v>34</v>
      </c>
      <c r="C1211" t="s">
        <v>107</v>
      </c>
      <c r="D1211">
        <v>31</v>
      </c>
      <c r="E1211">
        <v>293</v>
      </c>
    </row>
    <row r="1212" spans="1:5" x14ac:dyDescent="0.35">
      <c r="A1212" t="s">
        <v>384</v>
      </c>
      <c r="B1212" t="s">
        <v>34</v>
      </c>
      <c r="C1212" t="s">
        <v>108</v>
      </c>
      <c r="D1212">
        <v>14</v>
      </c>
      <c r="E1212">
        <v>43</v>
      </c>
    </row>
    <row r="1213" spans="1:5" x14ac:dyDescent="0.35">
      <c r="A1213" t="s">
        <v>384</v>
      </c>
      <c r="B1213" t="s">
        <v>34</v>
      </c>
      <c r="C1213" t="s">
        <v>109</v>
      </c>
      <c r="D1213">
        <v>18</v>
      </c>
      <c r="E1213">
        <v>8</v>
      </c>
    </row>
    <row r="1214" spans="1:5" x14ac:dyDescent="0.35">
      <c r="A1214" t="s">
        <v>384</v>
      </c>
      <c r="B1214" t="s">
        <v>35</v>
      </c>
      <c r="C1214" t="s">
        <v>110</v>
      </c>
      <c r="D1214">
        <v>28</v>
      </c>
      <c r="E1214">
        <v>31</v>
      </c>
    </row>
    <row r="1215" spans="1:5" x14ac:dyDescent="0.35">
      <c r="A1215" t="s">
        <v>384</v>
      </c>
      <c r="B1215" t="s">
        <v>34</v>
      </c>
      <c r="C1215" t="s">
        <v>111</v>
      </c>
      <c r="D1215">
        <v>38</v>
      </c>
      <c r="E1215">
        <v>167</v>
      </c>
    </row>
    <row r="1216" spans="1:5" x14ac:dyDescent="0.35">
      <c r="A1216" t="s">
        <v>384</v>
      </c>
      <c r="B1216" t="s">
        <v>35</v>
      </c>
      <c r="C1216" t="s">
        <v>112</v>
      </c>
      <c r="D1216">
        <v>44</v>
      </c>
      <c r="E1216">
        <v>80</v>
      </c>
    </row>
    <row r="1217" spans="1:5" x14ac:dyDescent="0.35">
      <c r="A1217" t="s">
        <v>384</v>
      </c>
      <c r="B1217" t="s">
        <v>36</v>
      </c>
      <c r="C1217" t="s">
        <v>113</v>
      </c>
      <c r="D1217">
        <v>1225</v>
      </c>
      <c r="E1217">
        <v>249</v>
      </c>
    </row>
    <row r="1218" spans="1:5" x14ac:dyDescent="0.35">
      <c r="A1218" t="s">
        <v>384</v>
      </c>
      <c r="B1218" t="s">
        <v>34</v>
      </c>
      <c r="C1218" t="s">
        <v>114</v>
      </c>
      <c r="D1218">
        <v>14</v>
      </c>
      <c r="E1218">
        <v>23</v>
      </c>
    </row>
    <row r="1219" spans="1:5" x14ac:dyDescent="0.35">
      <c r="A1219" t="s">
        <v>384</v>
      </c>
      <c r="B1219" t="s">
        <v>34</v>
      </c>
      <c r="C1219" t="s">
        <v>115</v>
      </c>
      <c r="D1219">
        <v>52</v>
      </c>
      <c r="E1219">
        <v>60</v>
      </c>
    </row>
    <row r="1220" spans="1:5" x14ac:dyDescent="0.35">
      <c r="A1220" t="s">
        <v>384</v>
      </c>
      <c r="B1220" t="s">
        <v>34</v>
      </c>
      <c r="C1220" t="s">
        <v>116</v>
      </c>
      <c r="D1220">
        <v>8</v>
      </c>
      <c r="E1220">
        <v>23</v>
      </c>
    </row>
    <row r="1221" spans="1:5" x14ac:dyDescent="0.35">
      <c r="A1221" t="s">
        <v>384</v>
      </c>
      <c r="B1221" t="s">
        <v>33</v>
      </c>
      <c r="C1221" t="s">
        <v>117</v>
      </c>
      <c r="D1221">
        <v>56</v>
      </c>
      <c r="E1221">
        <v>83</v>
      </c>
    </row>
    <row r="1222" spans="1:5" x14ac:dyDescent="0.35">
      <c r="A1222" t="s">
        <v>384</v>
      </c>
      <c r="B1222" t="s">
        <v>34</v>
      </c>
      <c r="C1222" t="s">
        <v>118</v>
      </c>
      <c r="D1222">
        <v>156</v>
      </c>
      <c r="E1222">
        <v>268</v>
      </c>
    </row>
    <row r="1223" spans="1:5" x14ac:dyDescent="0.35">
      <c r="A1223" t="s">
        <v>384</v>
      </c>
      <c r="B1223" t="s">
        <v>35</v>
      </c>
      <c r="C1223" t="s">
        <v>119</v>
      </c>
      <c r="D1223">
        <v>14</v>
      </c>
      <c r="E1223">
        <v>14</v>
      </c>
    </row>
    <row r="1224" spans="1:5" x14ac:dyDescent="0.35">
      <c r="A1224" t="s">
        <v>384</v>
      </c>
      <c r="B1224" t="s">
        <v>34</v>
      </c>
      <c r="C1224" t="s">
        <v>120</v>
      </c>
      <c r="D1224">
        <v>4</v>
      </c>
      <c r="E1224">
        <v>3</v>
      </c>
    </row>
    <row r="1225" spans="1:5" x14ac:dyDescent="0.35">
      <c r="A1225" t="s">
        <v>384</v>
      </c>
      <c r="B1225" t="s">
        <v>34</v>
      </c>
      <c r="C1225" t="s">
        <v>121</v>
      </c>
      <c r="D1225" t="s">
        <v>205</v>
      </c>
      <c r="E1225" t="s">
        <v>205</v>
      </c>
    </row>
    <row r="1226" spans="1:5" x14ac:dyDescent="0.35">
      <c r="A1226" t="s">
        <v>384</v>
      </c>
      <c r="B1226" t="s">
        <v>34</v>
      </c>
      <c r="C1226" t="s">
        <v>122</v>
      </c>
      <c r="D1226">
        <v>4</v>
      </c>
      <c r="E1226">
        <v>13</v>
      </c>
    </row>
    <row r="1227" spans="1:5" x14ac:dyDescent="0.35">
      <c r="A1227" t="s">
        <v>384</v>
      </c>
      <c r="B1227" t="s">
        <v>35</v>
      </c>
      <c r="C1227" t="s">
        <v>123</v>
      </c>
      <c r="D1227">
        <v>14</v>
      </c>
      <c r="E1227">
        <v>27</v>
      </c>
    </row>
    <row r="1228" spans="1:5" x14ac:dyDescent="0.35">
      <c r="A1228" t="s">
        <v>384</v>
      </c>
      <c r="B1228" t="s">
        <v>34</v>
      </c>
      <c r="C1228" t="s">
        <v>124</v>
      </c>
      <c r="D1228">
        <v>37</v>
      </c>
      <c r="E1228">
        <v>56</v>
      </c>
    </row>
    <row r="1229" spans="1:5" x14ac:dyDescent="0.35">
      <c r="A1229" t="s">
        <v>384</v>
      </c>
      <c r="B1229" t="s">
        <v>33</v>
      </c>
      <c r="C1229" t="s">
        <v>125</v>
      </c>
      <c r="D1229">
        <v>28</v>
      </c>
      <c r="E1229">
        <v>12</v>
      </c>
    </row>
    <row r="1230" spans="1:5" x14ac:dyDescent="0.35">
      <c r="A1230" t="s">
        <v>384</v>
      </c>
      <c r="B1230" t="s">
        <v>35</v>
      </c>
      <c r="C1230" t="s">
        <v>127</v>
      </c>
      <c r="D1230">
        <v>20</v>
      </c>
      <c r="E1230">
        <v>27</v>
      </c>
    </row>
    <row r="1231" spans="1:5" x14ac:dyDescent="0.35">
      <c r="A1231" t="s">
        <v>384</v>
      </c>
      <c r="B1231" t="s">
        <v>33</v>
      </c>
      <c r="C1231" t="s">
        <v>130</v>
      </c>
      <c r="D1231" t="s">
        <v>205</v>
      </c>
      <c r="E1231" t="s">
        <v>205</v>
      </c>
    </row>
    <row r="1232" spans="1:5" x14ac:dyDescent="0.35">
      <c r="A1232" t="s">
        <v>384</v>
      </c>
      <c r="B1232" t="s">
        <v>34</v>
      </c>
      <c r="C1232" t="s">
        <v>131</v>
      </c>
      <c r="D1232">
        <v>9</v>
      </c>
      <c r="E1232">
        <v>29</v>
      </c>
    </row>
    <row r="1233" spans="1:5" x14ac:dyDescent="0.35">
      <c r="A1233" t="s">
        <v>384</v>
      </c>
      <c r="B1233" t="s">
        <v>33</v>
      </c>
      <c r="C1233" t="s">
        <v>132</v>
      </c>
      <c r="D1233">
        <v>4</v>
      </c>
      <c r="E1233">
        <v>19</v>
      </c>
    </row>
    <row r="1234" spans="1:5" x14ac:dyDescent="0.35">
      <c r="A1234" t="s">
        <v>384</v>
      </c>
      <c r="B1234" t="s">
        <v>37</v>
      </c>
      <c r="C1234" t="s">
        <v>134</v>
      </c>
      <c r="D1234" t="s">
        <v>205</v>
      </c>
      <c r="E1234" t="s">
        <v>205</v>
      </c>
    </row>
    <row r="1235" spans="1:5" x14ac:dyDescent="0.35">
      <c r="A1235" t="s">
        <v>384</v>
      </c>
      <c r="B1235" t="s">
        <v>33</v>
      </c>
      <c r="C1235" t="s">
        <v>135</v>
      </c>
      <c r="D1235" t="s">
        <v>205</v>
      </c>
      <c r="E1235" t="s">
        <v>205</v>
      </c>
    </row>
    <row r="1236" spans="1:5" x14ac:dyDescent="0.35">
      <c r="A1236" t="s">
        <v>384</v>
      </c>
      <c r="B1236" t="s">
        <v>36</v>
      </c>
      <c r="C1236" t="s">
        <v>14</v>
      </c>
      <c r="D1236">
        <v>145133</v>
      </c>
      <c r="E1236">
        <v>142945</v>
      </c>
    </row>
    <row r="1237" spans="1:5" x14ac:dyDescent="0.35">
      <c r="A1237" t="s">
        <v>384</v>
      </c>
      <c r="B1237" t="s">
        <v>37</v>
      </c>
      <c r="C1237" t="s">
        <v>137</v>
      </c>
      <c r="D1237" t="s">
        <v>205</v>
      </c>
      <c r="E1237" t="s">
        <v>205</v>
      </c>
    </row>
    <row r="1238" spans="1:5" x14ac:dyDescent="0.35">
      <c r="A1238" t="s">
        <v>384</v>
      </c>
      <c r="B1238" t="s">
        <v>35</v>
      </c>
      <c r="C1238" t="s">
        <v>138</v>
      </c>
      <c r="D1238">
        <v>19</v>
      </c>
      <c r="E1238">
        <v>42</v>
      </c>
    </row>
    <row r="1239" spans="1:5" x14ac:dyDescent="0.35">
      <c r="A1239" t="s">
        <v>384</v>
      </c>
      <c r="B1239" t="s">
        <v>34</v>
      </c>
      <c r="C1239" t="s">
        <v>139</v>
      </c>
      <c r="D1239">
        <v>26</v>
      </c>
      <c r="E1239">
        <v>51</v>
      </c>
    </row>
    <row r="1240" spans="1:5" x14ac:dyDescent="0.35">
      <c r="A1240" t="s">
        <v>384</v>
      </c>
      <c r="B1240" t="s">
        <v>35</v>
      </c>
      <c r="C1240" t="s">
        <v>140</v>
      </c>
      <c r="D1240">
        <v>5</v>
      </c>
      <c r="E1240">
        <v>5</v>
      </c>
    </row>
    <row r="1241" spans="1:5" x14ac:dyDescent="0.35">
      <c r="A1241" t="s">
        <v>384</v>
      </c>
      <c r="B1241" t="s">
        <v>33</v>
      </c>
      <c r="C1241" t="s">
        <v>141</v>
      </c>
      <c r="D1241">
        <v>37</v>
      </c>
      <c r="E1241">
        <v>26</v>
      </c>
    </row>
    <row r="1242" spans="1:5" x14ac:dyDescent="0.35">
      <c r="A1242" t="s">
        <v>384</v>
      </c>
      <c r="B1242" t="s">
        <v>34</v>
      </c>
      <c r="C1242" t="s">
        <v>144</v>
      </c>
      <c r="D1242">
        <v>9</v>
      </c>
      <c r="E1242">
        <v>41</v>
      </c>
    </row>
    <row r="1243" spans="1:5" x14ac:dyDescent="0.35">
      <c r="A1243" t="s">
        <v>384</v>
      </c>
      <c r="B1243" t="s">
        <v>35</v>
      </c>
      <c r="C1243" t="s">
        <v>145</v>
      </c>
      <c r="D1243">
        <v>24</v>
      </c>
      <c r="E1243">
        <v>41</v>
      </c>
    </row>
    <row r="1244" spans="1:5" x14ac:dyDescent="0.35">
      <c r="A1244" t="s">
        <v>384</v>
      </c>
      <c r="B1244" t="s">
        <v>37</v>
      </c>
      <c r="C1244" t="s">
        <v>146</v>
      </c>
      <c r="D1244">
        <v>20</v>
      </c>
      <c r="E1244">
        <v>24</v>
      </c>
    </row>
    <row r="1245" spans="1:5" x14ac:dyDescent="0.35">
      <c r="A1245" t="s">
        <v>384</v>
      </c>
      <c r="B1245" t="s">
        <v>36</v>
      </c>
      <c r="C1245" t="s">
        <v>147</v>
      </c>
      <c r="D1245">
        <v>696</v>
      </c>
      <c r="E1245">
        <v>806</v>
      </c>
    </row>
    <row r="1246" spans="1:5" x14ac:dyDescent="0.35">
      <c r="A1246" t="s">
        <v>384</v>
      </c>
      <c r="B1246" t="s">
        <v>33</v>
      </c>
      <c r="C1246" t="s">
        <v>148</v>
      </c>
      <c r="D1246">
        <v>3</v>
      </c>
      <c r="E1246">
        <v>8</v>
      </c>
    </row>
    <row r="1247" spans="1:5" x14ac:dyDescent="0.35">
      <c r="A1247" t="s">
        <v>384</v>
      </c>
      <c r="B1247" t="s">
        <v>33</v>
      </c>
      <c r="C1247" t="s">
        <v>149</v>
      </c>
      <c r="D1247">
        <v>167</v>
      </c>
      <c r="E1247">
        <v>194</v>
      </c>
    </row>
    <row r="1248" spans="1:5" x14ac:dyDescent="0.35">
      <c r="A1248" t="s">
        <v>384</v>
      </c>
      <c r="B1248" t="s">
        <v>35</v>
      </c>
      <c r="C1248" t="s">
        <v>322</v>
      </c>
      <c r="D1248">
        <v>11</v>
      </c>
      <c r="E1248">
        <v>22</v>
      </c>
    </row>
    <row r="1249" spans="1:5" x14ac:dyDescent="0.35">
      <c r="A1249" t="s">
        <v>384</v>
      </c>
      <c r="B1249" t="s">
        <v>35</v>
      </c>
      <c r="C1249" t="s">
        <v>150</v>
      </c>
      <c r="D1249" t="s">
        <v>205</v>
      </c>
      <c r="E1249" t="s">
        <v>205</v>
      </c>
    </row>
    <row r="1250" spans="1:5" x14ac:dyDescent="0.35">
      <c r="A1250" t="s">
        <v>384</v>
      </c>
      <c r="B1250" t="s">
        <v>34</v>
      </c>
      <c r="C1250" t="s">
        <v>152</v>
      </c>
      <c r="D1250">
        <v>75</v>
      </c>
      <c r="E1250">
        <v>154</v>
      </c>
    </row>
    <row r="1251" spans="1:5" x14ac:dyDescent="0.35">
      <c r="A1251" t="s">
        <v>384</v>
      </c>
      <c r="B1251" t="s">
        <v>37</v>
      </c>
      <c r="C1251" t="s">
        <v>153</v>
      </c>
      <c r="D1251">
        <v>13</v>
      </c>
    </row>
    <row r="1252" spans="1:5" x14ac:dyDescent="0.35">
      <c r="A1252" t="s">
        <v>384</v>
      </c>
      <c r="B1252" t="s">
        <v>36</v>
      </c>
      <c r="C1252" t="s">
        <v>154</v>
      </c>
      <c r="D1252">
        <v>99</v>
      </c>
      <c r="E1252">
        <v>50</v>
      </c>
    </row>
    <row r="1253" spans="1:5" x14ac:dyDescent="0.35">
      <c r="A1253" t="s">
        <v>384</v>
      </c>
      <c r="B1253" t="s">
        <v>38</v>
      </c>
      <c r="C1253" t="s">
        <v>155</v>
      </c>
      <c r="D1253">
        <v>8</v>
      </c>
      <c r="E1253">
        <v>17</v>
      </c>
    </row>
    <row r="1254" spans="1:5" x14ac:dyDescent="0.35">
      <c r="A1254" t="s">
        <v>384</v>
      </c>
      <c r="B1254" t="s">
        <v>38</v>
      </c>
      <c r="C1254" t="s">
        <v>156</v>
      </c>
      <c r="D1254">
        <v>459</v>
      </c>
      <c r="E1254">
        <v>523</v>
      </c>
    </row>
    <row r="1255" spans="1:5" x14ac:dyDescent="0.35">
      <c r="A1255" t="s">
        <v>384</v>
      </c>
      <c r="B1255" t="s">
        <v>34</v>
      </c>
      <c r="C1255" t="s">
        <v>18</v>
      </c>
      <c r="D1255">
        <v>340</v>
      </c>
      <c r="E1255">
        <v>355</v>
      </c>
    </row>
    <row r="1256" spans="1:5" x14ac:dyDescent="0.35">
      <c r="A1256" t="s">
        <v>384</v>
      </c>
      <c r="B1256" t="s">
        <v>35</v>
      </c>
      <c r="C1256" t="s">
        <v>157</v>
      </c>
      <c r="D1256">
        <v>140</v>
      </c>
      <c r="E1256">
        <v>286</v>
      </c>
    </row>
    <row r="1257" spans="1:5" x14ac:dyDescent="0.35">
      <c r="A1257" t="s">
        <v>384</v>
      </c>
      <c r="B1257" t="s">
        <v>35</v>
      </c>
      <c r="C1257" t="s">
        <v>158</v>
      </c>
      <c r="D1257">
        <v>76</v>
      </c>
      <c r="E1257">
        <v>72</v>
      </c>
    </row>
    <row r="1258" spans="1:5" x14ac:dyDescent="0.35">
      <c r="A1258" t="s">
        <v>384</v>
      </c>
      <c r="B1258" t="s">
        <v>35</v>
      </c>
      <c r="C1258" t="s">
        <v>160</v>
      </c>
      <c r="D1258">
        <v>78</v>
      </c>
      <c r="E1258">
        <v>126</v>
      </c>
    </row>
    <row r="1259" spans="1:5" x14ac:dyDescent="0.35">
      <c r="A1259" t="s">
        <v>384</v>
      </c>
      <c r="B1259" t="s">
        <v>35</v>
      </c>
      <c r="C1259" t="s">
        <v>161</v>
      </c>
      <c r="D1259">
        <v>100</v>
      </c>
      <c r="E1259">
        <v>142</v>
      </c>
    </row>
    <row r="1260" spans="1:5" x14ac:dyDescent="0.35">
      <c r="A1260" t="s">
        <v>384</v>
      </c>
      <c r="B1260" t="s">
        <v>33</v>
      </c>
      <c r="C1260" t="s">
        <v>162</v>
      </c>
      <c r="D1260">
        <v>3</v>
      </c>
      <c r="E1260">
        <v>5</v>
      </c>
    </row>
    <row r="1261" spans="1:5" x14ac:dyDescent="0.35">
      <c r="A1261" t="s">
        <v>384</v>
      </c>
      <c r="B1261" t="s">
        <v>36</v>
      </c>
      <c r="C1261" t="s">
        <v>163</v>
      </c>
      <c r="D1261">
        <v>11</v>
      </c>
      <c r="E1261">
        <v>9</v>
      </c>
    </row>
    <row r="1262" spans="1:5" x14ac:dyDescent="0.35">
      <c r="A1262" t="s">
        <v>384</v>
      </c>
      <c r="B1262" t="s">
        <v>36</v>
      </c>
      <c r="C1262" t="s">
        <v>164</v>
      </c>
      <c r="D1262">
        <v>10</v>
      </c>
      <c r="E1262">
        <v>13</v>
      </c>
    </row>
    <row r="1263" spans="1:5" x14ac:dyDescent="0.35">
      <c r="A1263" t="s">
        <v>384</v>
      </c>
      <c r="B1263" t="s">
        <v>36</v>
      </c>
      <c r="C1263" t="s">
        <v>165</v>
      </c>
      <c r="D1263">
        <v>17</v>
      </c>
      <c r="E1263">
        <v>3</v>
      </c>
    </row>
    <row r="1264" spans="1:5" x14ac:dyDescent="0.35">
      <c r="A1264" t="s">
        <v>384</v>
      </c>
      <c r="B1264" t="s">
        <v>37</v>
      </c>
      <c r="C1264" t="s">
        <v>166</v>
      </c>
      <c r="D1264">
        <v>5</v>
      </c>
      <c r="E1264">
        <v>4</v>
      </c>
    </row>
    <row r="1265" spans="1:5" x14ac:dyDescent="0.35">
      <c r="A1265" t="s">
        <v>384</v>
      </c>
      <c r="B1265" t="s">
        <v>34</v>
      </c>
      <c r="C1265" t="s">
        <v>167</v>
      </c>
      <c r="D1265">
        <v>4</v>
      </c>
      <c r="E1265">
        <v>12</v>
      </c>
    </row>
    <row r="1266" spans="1:5" x14ac:dyDescent="0.35">
      <c r="A1266" t="s">
        <v>384</v>
      </c>
      <c r="B1266" t="s">
        <v>33</v>
      </c>
      <c r="C1266" t="s">
        <v>168</v>
      </c>
      <c r="D1266">
        <v>21</v>
      </c>
      <c r="E1266">
        <v>30</v>
      </c>
    </row>
    <row r="1267" spans="1:5" x14ac:dyDescent="0.35">
      <c r="A1267" t="s">
        <v>384</v>
      </c>
      <c r="B1267" t="s">
        <v>35</v>
      </c>
      <c r="C1267" t="s">
        <v>169</v>
      </c>
      <c r="D1267">
        <v>3</v>
      </c>
      <c r="E1267">
        <v>8</v>
      </c>
    </row>
    <row r="1268" spans="1:5" x14ac:dyDescent="0.35">
      <c r="A1268" t="s">
        <v>384</v>
      </c>
      <c r="B1268" t="s">
        <v>35</v>
      </c>
      <c r="C1268" t="s">
        <v>215</v>
      </c>
      <c r="D1268">
        <v>18</v>
      </c>
      <c r="E1268">
        <v>61</v>
      </c>
    </row>
    <row r="1269" spans="1:5" x14ac:dyDescent="0.35">
      <c r="A1269" t="s">
        <v>384</v>
      </c>
      <c r="B1269" t="s">
        <v>33</v>
      </c>
      <c r="C1269" t="s">
        <v>170</v>
      </c>
      <c r="D1269">
        <v>25</v>
      </c>
      <c r="E1269">
        <v>19</v>
      </c>
    </row>
    <row r="1270" spans="1:5" x14ac:dyDescent="0.35">
      <c r="A1270" t="s">
        <v>384</v>
      </c>
      <c r="B1270" t="s">
        <v>34</v>
      </c>
      <c r="C1270" t="s">
        <v>171</v>
      </c>
      <c r="D1270">
        <v>6</v>
      </c>
      <c r="E1270">
        <v>8</v>
      </c>
    </row>
    <row r="1271" spans="1:5" x14ac:dyDescent="0.35">
      <c r="A1271" t="s">
        <v>384</v>
      </c>
      <c r="B1271" t="s">
        <v>35</v>
      </c>
      <c r="C1271" t="s">
        <v>172</v>
      </c>
      <c r="D1271">
        <v>10</v>
      </c>
      <c r="E1271">
        <v>27</v>
      </c>
    </row>
    <row r="1272" spans="1:5" x14ac:dyDescent="0.35">
      <c r="A1272" t="s">
        <v>384</v>
      </c>
      <c r="B1272" t="s">
        <v>35</v>
      </c>
      <c r="C1272" t="s">
        <v>173</v>
      </c>
      <c r="D1272">
        <v>3</v>
      </c>
      <c r="E1272">
        <v>4</v>
      </c>
    </row>
    <row r="1273" spans="1:5" x14ac:dyDescent="0.35">
      <c r="A1273" t="s">
        <v>384</v>
      </c>
      <c r="B1273" t="s">
        <v>33</v>
      </c>
      <c r="C1273" t="s">
        <v>174</v>
      </c>
      <c r="D1273">
        <v>5</v>
      </c>
      <c r="E1273">
        <v>26</v>
      </c>
    </row>
    <row r="1274" spans="1:5" x14ac:dyDescent="0.35">
      <c r="A1274" t="s">
        <v>384</v>
      </c>
      <c r="B1274" t="s">
        <v>33</v>
      </c>
      <c r="C1274" t="s">
        <v>175</v>
      </c>
      <c r="D1274">
        <v>23</v>
      </c>
      <c r="E1274">
        <v>29</v>
      </c>
    </row>
    <row r="1275" spans="1:5" x14ac:dyDescent="0.35">
      <c r="A1275" t="s">
        <v>384</v>
      </c>
      <c r="B1275" t="s">
        <v>33</v>
      </c>
      <c r="C1275" t="s">
        <v>176</v>
      </c>
    </row>
    <row r="1276" spans="1:5" x14ac:dyDescent="0.35">
      <c r="A1276" t="s">
        <v>384</v>
      </c>
      <c r="B1276" t="s">
        <v>35</v>
      </c>
      <c r="C1276" t="s">
        <v>216</v>
      </c>
      <c r="D1276" t="s">
        <v>205</v>
      </c>
      <c r="E1276" t="s">
        <v>205</v>
      </c>
    </row>
    <row r="1277" spans="1:5" x14ac:dyDescent="0.35">
      <c r="A1277" t="s">
        <v>384</v>
      </c>
      <c r="B1277" t="s">
        <v>35</v>
      </c>
      <c r="C1277" t="s">
        <v>177</v>
      </c>
      <c r="D1277">
        <v>38</v>
      </c>
      <c r="E1277">
        <v>84</v>
      </c>
    </row>
    <row r="1278" spans="1:5" x14ac:dyDescent="0.35">
      <c r="A1278" t="s">
        <v>384</v>
      </c>
      <c r="B1278" t="s">
        <v>34</v>
      </c>
      <c r="C1278" t="s">
        <v>178</v>
      </c>
      <c r="D1278">
        <v>15</v>
      </c>
      <c r="E1278">
        <v>221</v>
      </c>
    </row>
    <row r="1279" spans="1:5" x14ac:dyDescent="0.35">
      <c r="A1279" t="s">
        <v>384</v>
      </c>
      <c r="B1279" t="s">
        <v>33</v>
      </c>
      <c r="C1279" t="s">
        <v>179</v>
      </c>
      <c r="D1279">
        <v>9</v>
      </c>
      <c r="E1279">
        <v>8</v>
      </c>
    </row>
    <row r="1280" spans="1:5" x14ac:dyDescent="0.35">
      <c r="A1280" t="s">
        <v>384</v>
      </c>
      <c r="B1280" t="s">
        <v>38</v>
      </c>
      <c r="C1280" t="s">
        <v>180</v>
      </c>
      <c r="D1280">
        <v>7</v>
      </c>
      <c r="E1280">
        <v>6</v>
      </c>
    </row>
    <row r="1281" spans="1:5" x14ac:dyDescent="0.35">
      <c r="A1281" t="s">
        <v>384</v>
      </c>
      <c r="B1281" t="s">
        <v>35</v>
      </c>
      <c r="C1281" t="s">
        <v>182</v>
      </c>
      <c r="D1281">
        <v>7</v>
      </c>
      <c r="E1281">
        <v>22</v>
      </c>
    </row>
    <row r="1282" spans="1:5" x14ac:dyDescent="0.35">
      <c r="A1282" t="s">
        <v>384</v>
      </c>
      <c r="B1282" t="s">
        <v>35</v>
      </c>
      <c r="C1282" t="s">
        <v>183</v>
      </c>
      <c r="D1282">
        <v>6</v>
      </c>
      <c r="E1282">
        <v>6</v>
      </c>
    </row>
    <row r="1283" spans="1:5" x14ac:dyDescent="0.35">
      <c r="A1283" t="s">
        <v>384</v>
      </c>
      <c r="B1283" t="s">
        <v>34</v>
      </c>
      <c r="C1283" t="s">
        <v>184</v>
      </c>
      <c r="D1283">
        <v>12</v>
      </c>
      <c r="E1283">
        <v>24</v>
      </c>
    </row>
    <row r="1284" spans="1:5" x14ac:dyDescent="0.35">
      <c r="A1284" t="s">
        <v>384</v>
      </c>
      <c r="B1284" t="s">
        <v>34</v>
      </c>
      <c r="C1284" t="s">
        <v>185</v>
      </c>
      <c r="D1284">
        <v>14</v>
      </c>
      <c r="E1284">
        <v>55</v>
      </c>
    </row>
    <row r="1285" spans="1:5" x14ac:dyDescent="0.35">
      <c r="A1285" t="s">
        <v>384</v>
      </c>
      <c r="B1285" t="s">
        <v>34</v>
      </c>
      <c r="C1285" t="s">
        <v>186</v>
      </c>
      <c r="D1285">
        <v>10</v>
      </c>
      <c r="E1285">
        <v>23</v>
      </c>
    </row>
    <row r="1286" spans="1:5" x14ac:dyDescent="0.35">
      <c r="A1286" t="s">
        <v>384</v>
      </c>
      <c r="B1286" t="s">
        <v>33</v>
      </c>
      <c r="C1286" t="s">
        <v>187</v>
      </c>
      <c r="D1286">
        <v>9</v>
      </c>
      <c r="E1286">
        <v>18</v>
      </c>
    </row>
    <row r="1287" spans="1:5" x14ac:dyDescent="0.35">
      <c r="A1287" t="s">
        <v>384</v>
      </c>
      <c r="B1287" t="s">
        <v>34</v>
      </c>
      <c r="C1287" t="s">
        <v>188</v>
      </c>
      <c r="D1287">
        <v>15</v>
      </c>
      <c r="E1287">
        <v>72</v>
      </c>
    </row>
    <row r="1288" spans="1:5" x14ac:dyDescent="0.35">
      <c r="A1288" t="s">
        <v>384</v>
      </c>
      <c r="B1288" t="s">
        <v>33</v>
      </c>
      <c r="C1288" t="s">
        <v>189</v>
      </c>
      <c r="D1288">
        <v>5</v>
      </c>
      <c r="E1288">
        <v>11</v>
      </c>
    </row>
    <row r="1289" spans="1:5" x14ac:dyDescent="0.35">
      <c r="A1289" t="s">
        <v>384</v>
      </c>
      <c r="B1289" t="s">
        <v>37</v>
      </c>
      <c r="C1289" t="s">
        <v>190</v>
      </c>
      <c r="D1289">
        <v>37</v>
      </c>
      <c r="E1289">
        <v>8</v>
      </c>
    </row>
    <row r="1290" spans="1:5" x14ac:dyDescent="0.35">
      <c r="A1290" t="s">
        <v>384</v>
      </c>
      <c r="B1290" t="s">
        <v>36</v>
      </c>
      <c r="C1290" t="s">
        <v>191</v>
      </c>
      <c r="D1290">
        <v>236</v>
      </c>
      <c r="E1290">
        <v>90</v>
      </c>
    </row>
    <row r="1291" spans="1:5" x14ac:dyDescent="0.35">
      <c r="A1291" t="s">
        <v>384</v>
      </c>
      <c r="B1291" t="s">
        <v>33</v>
      </c>
      <c r="C1291" t="s">
        <v>192</v>
      </c>
      <c r="D1291">
        <v>6</v>
      </c>
      <c r="E1291">
        <v>8</v>
      </c>
    </row>
    <row r="1292" spans="1:5" x14ac:dyDescent="0.35">
      <c r="A1292" t="s">
        <v>384</v>
      </c>
      <c r="B1292" t="s">
        <v>34</v>
      </c>
      <c r="C1292" t="s">
        <v>193</v>
      </c>
      <c r="D1292">
        <v>41</v>
      </c>
      <c r="E1292">
        <v>85</v>
      </c>
    </row>
    <row r="1293" spans="1:5" x14ac:dyDescent="0.35">
      <c r="A1293" t="s">
        <v>384</v>
      </c>
      <c r="B1293" t="s">
        <v>36</v>
      </c>
      <c r="C1293" t="s">
        <v>372</v>
      </c>
      <c r="D1293">
        <v>3</v>
      </c>
      <c r="E1293">
        <v>9</v>
      </c>
    </row>
    <row r="1294" spans="1:5" x14ac:dyDescent="0.35">
      <c r="A1294" t="s">
        <v>384</v>
      </c>
      <c r="B1294" t="s">
        <v>33</v>
      </c>
      <c r="C1294" t="s">
        <v>195</v>
      </c>
      <c r="D1294">
        <v>6</v>
      </c>
      <c r="E1294">
        <v>22</v>
      </c>
    </row>
    <row r="1295" spans="1:5" x14ac:dyDescent="0.35">
      <c r="A1295" t="s">
        <v>384</v>
      </c>
      <c r="B1295" t="s">
        <v>35</v>
      </c>
      <c r="C1295" t="s">
        <v>196</v>
      </c>
      <c r="D1295">
        <v>81</v>
      </c>
      <c r="E1295">
        <v>127</v>
      </c>
    </row>
    <row r="1296" spans="1:5" x14ac:dyDescent="0.35">
      <c r="A1296" t="s">
        <v>384</v>
      </c>
      <c r="B1296" t="s">
        <v>34</v>
      </c>
      <c r="C1296" t="s">
        <v>197</v>
      </c>
      <c r="E1296">
        <v>4</v>
      </c>
    </row>
    <row r="1297" spans="1:5" x14ac:dyDescent="0.35">
      <c r="A1297" t="s">
        <v>384</v>
      </c>
      <c r="B1297" t="s">
        <v>35</v>
      </c>
      <c r="C1297" t="s">
        <v>198</v>
      </c>
      <c r="D1297">
        <v>164</v>
      </c>
      <c r="E1297">
        <v>163</v>
      </c>
    </row>
    <row r="1298" spans="1:5" x14ac:dyDescent="0.35">
      <c r="A1298" t="s">
        <v>384</v>
      </c>
      <c r="B1298" t="s">
        <v>39</v>
      </c>
      <c r="C1298" t="s">
        <v>39</v>
      </c>
      <c r="D1298">
        <v>13</v>
      </c>
      <c r="E1298">
        <v>65</v>
      </c>
    </row>
    <row r="1299" spans="1:5" x14ac:dyDescent="0.35">
      <c r="A1299" t="s">
        <v>384</v>
      </c>
      <c r="B1299" t="s">
        <v>38</v>
      </c>
      <c r="C1299" t="s">
        <v>199</v>
      </c>
      <c r="D1299">
        <v>69</v>
      </c>
      <c r="E1299">
        <v>103</v>
      </c>
    </row>
    <row r="1300" spans="1:5" x14ac:dyDescent="0.35">
      <c r="A1300" t="s">
        <v>384</v>
      </c>
      <c r="B1300" t="s">
        <v>34</v>
      </c>
      <c r="C1300" t="s">
        <v>200</v>
      </c>
      <c r="D1300">
        <v>12</v>
      </c>
      <c r="E1300">
        <v>50</v>
      </c>
    </row>
    <row r="1301" spans="1:5" x14ac:dyDescent="0.35">
      <c r="A1301" t="s">
        <v>384</v>
      </c>
      <c r="B1301" t="s">
        <v>38</v>
      </c>
      <c r="C1301" t="s">
        <v>19</v>
      </c>
      <c r="D1301">
        <v>118</v>
      </c>
      <c r="E1301">
        <v>190</v>
      </c>
    </row>
    <row r="1302" spans="1:5" x14ac:dyDescent="0.35">
      <c r="A1302" t="s">
        <v>384</v>
      </c>
      <c r="B1302" t="s">
        <v>34</v>
      </c>
      <c r="C1302" t="s">
        <v>201</v>
      </c>
      <c r="D1302">
        <v>26</v>
      </c>
      <c r="E1302">
        <v>27</v>
      </c>
    </row>
    <row r="1303" spans="1:5" x14ac:dyDescent="0.35">
      <c r="A1303" t="s">
        <v>384</v>
      </c>
      <c r="B1303" t="s">
        <v>34</v>
      </c>
      <c r="C1303" t="s">
        <v>202</v>
      </c>
      <c r="D1303">
        <v>14</v>
      </c>
      <c r="E1303">
        <v>25</v>
      </c>
    </row>
    <row r="1304" spans="1:5" x14ac:dyDescent="0.35">
      <c r="A1304" t="s">
        <v>384</v>
      </c>
      <c r="B1304" t="s">
        <v>33</v>
      </c>
      <c r="C1304" t="s">
        <v>203</v>
      </c>
      <c r="D1304" t="s">
        <v>205</v>
      </c>
      <c r="E1304" t="s">
        <v>205</v>
      </c>
    </row>
    <row r="1305" spans="1:5" x14ac:dyDescent="0.35">
      <c r="A1305" t="s">
        <v>384</v>
      </c>
      <c r="B1305" t="s">
        <v>33</v>
      </c>
      <c r="C1305" t="s">
        <v>204</v>
      </c>
      <c r="D1305">
        <v>16</v>
      </c>
      <c r="E1305">
        <v>18</v>
      </c>
    </row>
    <row r="1306" spans="1:5" x14ac:dyDescent="0.35">
      <c r="A1306" t="s">
        <v>385</v>
      </c>
      <c r="B1306" t="s">
        <v>34</v>
      </c>
      <c r="C1306" t="s">
        <v>40</v>
      </c>
      <c r="D1306" t="s">
        <v>205</v>
      </c>
      <c r="E1306" t="s">
        <v>205</v>
      </c>
    </row>
    <row r="1307" spans="1:5" x14ac:dyDescent="0.35">
      <c r="A1307" t="s">
        <v>385</v>
      </c>
      <c r="B1307" t="s">
        <v>35</v>
      </c>
      <c r="C1307" t="s">
        <v>41</v>
      </c>
      <c r="D1307">
        <v>37</v>
      </c>
      <c r="E1307">
        <v>75</v>
      </c>
    </row>
    <row r="1308" spans="1:5" x14ac:dyDescent="0.35">
      <c r="A1308" t="s">
        <v>385</v>
      </c>
      <c r="B1308" t="s">
        <v>33</v>
      </c>
      <c r="C1308" t="s">
        <v>42</v>
      </c>
      <c r="D1308">
        <v>9</v>
      </c>
      <c r="E1308">
        <v>10</v>
      </c>
    </row>
    <row r="1309" spans="1:5" x14ac:dyDescent="0.35">
      <c r="A1309" t="s">
        <v>385</v>
      </c>
      <c r="C1309" t="s">
        <v>373</v>
      </c>
      <c r="D1309">
        <v>27</v>
      </c>
      <c r="E1309">
        <v>33</v>
      </c>
    </row>
    <row r="1310" spans="1:5" x14ac:dyDescent="0.35">
      <c r="A1310" t="s">
        <v>385</v>
      </c>
      <c r="B1310" t="s">
        <v>33</v>
      </c>
      <c r="C1310" t="s">
        <v>43</v>
      </c>
      <c r="D1310" t="s">
        <v>205</v>
      </c>
      <c r="E1310" t="s">
        <v>205</v>
      </c>
    </row>
    <row r="1311" spans="1:5" x14ac:dyDescent="0.35">
      <c r="A1311" t="s">
        <v>385</v>
      </c>
      <c r="B1311" t="s">
        <v>36</v>
      </c>
      <c r="C1311" t="s">
        <v>44</v>
      </c>
      <c r="D1311">
        <v>24</v>
      </c>
      <c r="E1311">
        <v>15</v>
      </c>
    </row>
    <row r="1312" spans="1:5" x14ac:dyDescent="0.35">
      <c r="A1312" t="s">
        <v>385</v>
      </c>
      <c r="B1312" t="s">
        <v>38</v>
      </c>
      <c r="C1312" t="s">
        <v>45</v>
      </c>
      <c r="D1312">
        <v>110</v>
      </c>
      <c r="E1312">
        <v>107</v>
      </c>
    </row>
    <row r="1313" spans="1:5" x14ac:dyDescent="0.35">
      <c r="A1313" t="s">
        <v>385</v>
      </c>
      <c r="B1313" t="s">
        <v>34</v>
      </c>
      <c r="C1313" t="s">
        <v>46</v>
      </c>
      <c r="D1313">
        <v>37</v>
      </c>
      <c r="E1313">
        <v>19</v>
      </c>
    </row>
    <row r="1314" spans="1:5" x14ac:dyDescent="0.35">
      <c r="A1314" t="s">
        <v>385</v>
      </c>
      <c r="B1314" t="s">
        <v>37</v>
      </c>
      <c r="C1314" t="s">
        <v>47</v>
      </c>
      <c r="D1314">
        <v>14</v>
      </c>
      <c r="E1314">
        <v>23</v>
      </c>
    </row>
    <row r="1315" spans="1:5" x14ac:dyDescent="0.35">
      <c r="A1315" t="s">
        <v>385</v>
      </c>
      <c r="B1315" t="s">
        <v>35</v>
      </c>
      <c r="C1315" t="s">
        <v>48</v>
      </c>
      <c r="D1315">
        <v>4</v>
      </c>
      <c r="E1315">
        <v>4</v>
      </c>
    </row>
    <row r="1316" spans="1:5" x14ac:dyDescent="0.35">
      <c r="A1316" t="s">
        <v>385</v>
      </c>
      <c r="B1316" t="s">
        <v>34</v>
      </c>
      <c r="C1316" t="s">
        <v>49</v>
      </c>
      <c r="E1316">
        <v>7</v>
      </c>
    </row>
    <row r="1317" spans="1:5" x14ac:dyDescent="0.35">
      <c r="A1317" t="s">
        <v>385</v>
      </c>
      <c r="B1317" t="s">
        <v>36</v>
      </c>
      <c r="C1317" t="s">
        <v>50</v>
      </c>
      <c r="D1317">
        <v>90</v>
      </c>
      <c r="E1317">
        <v>18</v>
      </c>
    </row>
    <row r="1318" spans="1:5" x14ac:dyDescent="0.35">
      <c r="A1318" t="s">
        <v>385</v>
      </c>
      <c r="B1318" t="s">
        <v>34</v>
      </c>
      <c r="C1318" t="s">
        <v>52</v>
      </c>
      <c r="D1318">
        <v>20</v>
      </c>
      <c r="E1318">
        <v>53</v>
      </c>
    </row>
    <row r="1319" spans="1:5" x14ac:dyDescent="0.35">
      <c r="A1319" t="s">
        <v>385</v>
      </c>
      <c r="B1319" t="s">
        <v>36</v>
      </c>
      <c r="C1319" t="s">
        <v>53</v>
      </c>
      <c r="D1319">
        <v>42</v>
      </c>
      <c r="E1319">
        <v>8</v>
      </c>
    </row>
    <row r="1320" spans="1:5" x14ac:dyDescent="0.35">
      <c r="A1320" t="s">
        <v>385</v>
      </c>
      <c r="B1320" t="s">
        <v>35</v>
      </c>
      <c r="C1320" t="s">
        <v>54</v>
      </c>
      <c r="D1320">
        <v>12</v>
      </c>
      <c r="E1320">
        <v>17</v>
      </c>
    </row>
    <row r="1321" spans="1:5" x14ac:dyDescent="0.35">
      <c r="A1321" t="s">
        <v>385</v>
      </c>
      <c r="B1321" t="s">
        <v>35</v>
      </c>
      <c r="C1321" t="s">
        <v>55</v>
      </c>
      <c r="D1321">
        <v>9</v>
      </c>
      <c r="E1321">
        <v>6</v>
      </c>
    </row>
    <row r="1322" spans="1:5" x14ac:dyDescent="0.35">
      <c r="A1322" t="s">
        <v>385</v>
      </c>
      <c r="B1322" t="s">
        <v>36</v>
      </c>
      <c r="C1322" t="s">
        <v>56</v>
      </c>
      <c r="D1322">
        <v>148</v>
      </c>
      <c r="E1322">
        <v>61</v>
      </c>
    </row>
    <row r="1323" spans="1:5" x14ac:dyDescent="0.35">
      <c r="A1323" t="s">
        <v>385</v>
      </c>
      <c r="B1323" t="s">
        <v>33</v>
      </c>
      <c r="C1323" t="s">
        <v>57</v>
      </c>
      <c r="D1323">
        <v>4</v>
      </c>
      <c r="E1323">
        <v>4</v>
      </c>
    </row>
    <row r="1324" spans="1:5" x14ac:dyDescent="0.35">
      <c r="A1324" t="s">
        <v>385</v>
      </c>
      <c r="B1324" t="s">
        <v>36</v>
      </c>
      <c r="C1324" t="s">
        <v>363</v>
      </c>
      <c r="D1324">
        <v>4</v>
      </c>
      <c r="E1324">
        <v>4</v>
      </c>
    </row>
    <row r="1325" spans="1:5" x14ac:dyDescent="0.35">
      <c r="A1325" t="s">
        <v>385</v>
      </c>
      <c r="B1325" t="s">
        <v>38</v>
      </c>
      <c r="C1325" t="s">
        <v>59</v>
      </c>
      <c r="D1325">
        <v>94</v>
      </c>
      <c r="E1325">
        <v>57</v>
      </c>
    </row>
    <row r="1326" spans="1:5" x14ac:dyDescent="0.35">
      <c r="A1326" t="s">
        <v>385</v>
      </c>
      <c r="B1326" t="s">
        <v>35</v>
      </c>
      <c r="C1326" t="s">
        <v>60</v>
      </c>
      <c r="D1326">
        <v>49</v>
      </c>
      <c r="E1326">
        <v>4</v>
      </c>
    </row>
    <row r="1327" spans="1:5" x14ac:dyDescent="0.35">
      <c r="A1327" t="s">
        <v>385</v>
      </c>
      <c r="B1327" t="s">
        <v>38</v>
      </c>
      <c r="C1327" t="s">
        <v>21</v>
      </c>
      <c r="D1327">
        <v>424</v>
      </c>
      <c r="E1327">
        <v>1973</v>
      </c>
    </row>
    <row r="1328" spans="1:5" x14ac:dyDescent="0.35">
      <c r="A1328" t="s">
        <v>385</v>
      </c>
      <c r="B1328" t="s">
        <v>35</v>
      </c>
      <c r="C1328" t="s">
        <v>62</v>
      </c>
      <c r="D1328">
        <v>23</v>
      </c>
      <c r="E1328">
        <v>29</v>
      </c>
    </row>
    <row r="1329" spans="1:5" x14ac:dyDescent="0.35">
      <c r="A1329" t="s">
        <v>385</v>
      </c>
      <c r="B1329" t="s">
        <v>33</v>
      </c>
      <c r="C1329" t="s">
        <v>63</v>
      </c>
      <c r="D1329">
        <v>3</v>
      </c>
      <c r="E1329">
        <v>6</v>
      </c>
    </row>
    <row r="1330" spans="1:5" x14ac:dyDescent="0.35">
      <c r="A1330" t="s">
        <v>385</v>
      </c>
      <c r="B1330" t="s">
        <v>34</v>
      </c>
      <c r="C1330" t="s">
        <v>64</v>
      </c>
      <c r="D1330" t="s">
        <v>205</v>
      </c>
      <c r="E1330" t="s">
        <v>205</v>
      </c>
    </row>
    <row r="1331" spans="1:5" x14ac:dyDescent="0.35">
      <c r="A1331" t="s">
        <v>385</v>
      </c>
      <c r="B1331" t="s">
        <v>33</v>
      </c>
      <c r="C1331" t="s">
        <v>66</v>
      </c>
      <c r="D1331">
        <v>4</v>
      </c>
      <c r="E1331">
        <v>6</v>
      </c>
    </row>
    <row r="1332" spans="1:5" x14ac:dyDescent="0.35">
      <c r="A1332" t="s">
        <v>385</v>
      </c>
      <c r="B1332" t="s">
        <v>34</v>
      </c>
      <c r="C1332" t="s">
        <v>67</v>
      </c>
      <c r="D1332">
        <v>81</v>
      </c>
      <c r="E1332">
        <v>8</v>
      </c>
    </row>
    <row r="1333" spans="1:5" x14ac:dyDescent="0.35">
      <c r="A1333" t="s">
        <v>385</v>
      </c>
      <c r="B1333" t="s">
        <v>33</v>
      </c>
      <c r="C1333" t="s">
        <v>68</v>
      </c>
      <c r="D1333">
        <v>25</v>
      </c>
      <c r="E1333">
        <v>22</v>
      </c>
    </row>
    <row r="1334" spans="1:5" x14ac:dyDescent="0.35">
      <c r="A1334" t="s">
        <v>385</v>
      </c>
      <c r="B1334" t="s">
        <v>36</v>
      </c>
      <c r="C1334" t="s">
        <v>69</v>
      </c>
      <c r="D1334">
        <v>383</v>
      </c>
      <c r="E1334">
        <v>582</v>
      </c>
    </row>
    <row r="1335" spans="1:5" x14ac:dyDescent="0.35">
      <c r="A1335" t="s">
        <v>385</v>
      </c>
      <c r="B1335" t="s">
        <v>33</v>
      </c>
      <c r="C1335" t="s">
        <v>71</v>
      </c>
      <c r="D1335" t="s">
        <v>205</v>
      </c>
      <c r="E1335" t="s">
        <v>205</v>
      </c>
    </row>
    <row r="1336" spans="1:5" x14ac:dyDescent="0.35">
      <c r="A1336" t="s">
        <v>385</v>
      </c>
      <c r="B1336" t="s">
        <v>38</v>
      </c>
      <c r="C1336" t="s">
        <v>72</v>
      </c>
      <c r="D1336">
        <v>62</v>
      </c>
      <c r="E1336">
        <v>43</v>
      </c>
    </row>
    <row r="1337" spans="1:5" x14ac:dyDescent="0.35">
      <c r="A1337" t="s">
        <v>385</v>
      </c>
      <c r="B1337" t="s">
        <v>34</v>
      </c>
      <c r="C1337" t="s">
        <v>73</v>
      </c>
      <c r="D1337">
        <v>208</v>
      </c>
      <c r="E1337">
        <v>831</v>
      </c>
    </row>
    <row r="1338" spans="1:5" x14ac:dyDescent="0.35">
      <c r="A1338" t="s">
        <v>385</v>
      </c>
      <c r="B1338" t="s">
        <v>38</v>
      </c>
      <c r="C1338" t="s">
        <v>20</v>
      </c>
      <c r="D1338">
        <v>1055</v>
      </c>
      <c r="E1338">
        <v>536</v>
      </c>
    </row>
    <row r="1339" spans="1:5" x14ac:dyDescent="0.35">
      <c r="A1339" t="s">
        <v>385</v>
      </c>
      <c r="B1339" t="s">
        <v>33</v>
      </c>
      <c r="C1339" t="s">
        <v>74</v>
      </c>
      <c r="D1339">
        <v>4</v>
      </c>
      <c r="E1339">
        <v>9</v>
      </c>
    </row>
    <row r="1340" spans="1:5" x14ac:dyDescent="0.35">
      <c r="A1340" t="s">
        <v>385</v>
      </c>
      <c r="B1340" t="s">
        <v>33</v>
      </c>
      <c r="C1340" t="s">
        <v>75</v>
      </c>
      <c r="D1340">
        <v>4</v>
      </c>
      <c r="E1340">
        <v>6</v>
      </c>
    </row>
    <row r="1341" spans="1:5" x14ac:dyDescent="0.35">
      <c r="A1341" t="s">
        <v>385</v>
      </c>
      <c r="B1341" t="s">
        <v>36</v>
      </c>
      <c r="C1341" t="s">
        <v>76</v>
      </c>
      <c r="D1341">
        <v>132</v>
      </c>
      <c r="E1341">
        <v>268</v>
      </c>
    </row>
    <row r="1342" spans="1:5" x14ac:dyDescent="0.35">
      <c r="A1342" t="s">
        <v>385</v>
      </c>
      <c r="B1342" t="s">
        <v>33</v>
      </c>
      <c r="C1342" t="s">
        <v>77</v>
      </c>
      <c r="D1342">
        <v>8</v>
      </c>
      <c r="E1342">
        <v>18</v>
      </c>
    </row>
    <row r="1343" spans="1:5" x14ac:dyDescent="0.35">
      <c r="A1343" t="s">
        <v>385</v>
      </c>
      <c r="B1343" t="s">
        <v>35</v>
      </c>
      <c r="C1343" t="s">
        <v>78</v>
      </c>
      <c r="D1343">
        <v>11</v>
      </c>
      <c r="E1343">
        <v>7</v>
      </c>
    </row>
    <row r="1344" spans="1:5" x14ac:dyDescent="0.35">
      <c r="A1344" t="s">
        <v>385</v>
      </c>
      <c r="B1344" t="s">
        <v>36</v>
      </c>
      <c r="C1344" t="s">
        <v>79</v>
      </c>
      <c r="D1344">
        <v>54</v>
      </c>
      <c r="E1344">
        <v>8</v>
      </c>
    </row>
    <row r="1345" spans="1:5" x14ac:dyDescent="0.35">
      <c r="A1345" t="s">
        <v>385</v>
      </c>
      <c r="B1345" t="s">
        <v>35</v>
      </c>
      <c r="C1345" t="s">
        <v>81</v>
      </c>
      <c r="D1345">
        <v>20</v>
      </c>
      <c r="E1345">
        <v>28</v>
      </c>
    </row>
    <row r="1346" spans="1:5" x14ac:dyDescent="0.35">
      <c r="A1346" t="s">
        <v>385</v>
      </c>
      <c r="B1346" t="s">
        <v>35</v>
      </c>
      <c r="C1346" t="s">
        <v>214</v>
      </c>
      <c r="D1346">
        <v>6</v>
      </c>
      <c r="E1346">
        <v>13</v>
      </c>
    </row>
    <row r="1347" spans="1:5" x14ac:dyDescent="0.35">
      <c r="A1347" t="s">
        <v>385</v>
      </c>
      <c r="B1347" t="s">
        <v>35</v>
      </c>
      <c r="C1347" t="s">
        <v>82</v>
      </c>
      <c r="D1347">
        <v>3</v>
      </c>
      <c r="E1347">
        <v>12</v>
      </c>
    </row>
    <row r="1348" spans="1:5" x14ac:dyDescent="0.35">
      <c r="A1348" t="s">
        <v>385</v>
      </c>
      <c r="B1348" t="s">
        <v>36</v>
      </c>
      <c r="C1348" t="s">
        <v>84</v>
      </c>
      <c r="D1348">
        <v>17</v>
      </c>
      <c r="E1348">
        <v>5</v>
      </c>
    </row>
    <row r="1349" spans="1:5" x14ac:dyDescent="0.35">
      <c r="A1349" t="s">
        <v>385</v>
      </c>
      <c r="B1349" t="s">
        <v>36</v>
      </c>
      <c r="C1349" t="s">
        <v>85</v>
      </c>
      <c r="D1349">
        <v>2182</v>
      </c>
      <c r="E1349">
        <v>686</v>
      </c>
    </row>
    <row r="1350" spans="1:5" x14ac:dyDescent="0.35">
      <c r="A1350" t="s">
        <v>385</v>
      </c>
      <c r="B1350" t="s">
        <v>38</v>
      </c>
      <c r="C1350" t="s">
        <v>86</v>
      </c>
      <c r="D1350">
        <v>706</v>
      </c>
      <c r="E1350">
        <v>1057</v>
      </c>
    </row>
    <row r="1351" spans="1:5" x14ac:dyDescent="0.35">
      <c r="A1351" t="s">
        <v>385</v>
      </c>
      <c r="B1351" t="s">
        <v>33</v>
      </c>
      <c r="C1351" t="s">
        <v>87</v>
      </c>
      <c r="D1351">
        <v>28</v>
      </c>
      <c r="E1351">
        <v>72</v>
      </c>
    </row>
    <row r="1352" spans="1:5" x14ac:dyDescent="0.35">
      <c r="A1352" t="s">
        <v>385</v>
      </c>
      <c r="B1352" t="s">
        <v>36</v>
      </c>
      <c r="C1352" t="s">
        <v>16</v>
      </c>
      <c r="D1352">
        <v>8674</v>
      </c>
      <c r="E1352">
        <v>10319</v>
      </c>
    </row>
    <row r="1353" spans="1:5" x14ac:dyDescent="0.35">
      <c r="A1353" t="s">
        <v>385</v>
      </c>
      <c r="B1353" t="s">
        <v>33</v>
      </c>
      <c r="C1353" t="s">
        <v>89</v>
      </c>
      <c r="E1353">
        <v>10</v>
      </c>
    </row>
    <row r="1354" spans="1:5" x14ac:dyDescent="0.35">
      <c r="A1354" t="s">
        <v>385</v>
      </c>
      <c r="B1354" t="s">
        <v>35</v>
      </c>
      <c r="C1354" t="s">
        <v>90</v>
      </c>
      <c r="D1354">
        <v>8</v>
      </c>
      <c r="E1354">
        <v>8</v>
      </c>
    </row>
    <row r="1355" spans="1:5" x14ac:dyDescent="0.35">
      <c r="A1355" t="s">
        <v>385</v>
      </c>
      <c r="B1355" t="s">
        <v>33</v>
      </c>
      <c r="C1355" t="s">
        <v>91</v>
      </c>
      <c r="D1355">
        <v>30</v>
      </c>
      <c r="E1355">
        <v>28</v>
      </c>
    </row>
    <row r="1356" spans="1:5" x14ac:dyDescent="0.35">
      <c r="A1356" t="s">
        <v>385</v>
      </c>
      <c r="B1356" t="s">
        <v>37</v>
      </c>
      <c r="C1356" t="s">
        <v>92</v>
      </c>
      <c r="D1356">
        <v>15</v>
      </c>
      <c r="E1356">
        <v>15</v>
      </c>
    </row>
    <row r="1357" spans="1:5" x14ac:dyDescent="0.35">
      <c r="A1357" t="s">
        <v>385</v>
      </c>
      <c r="B1357" t="s">
        <v>35</v>
      </c>
      <c r="C1357" t="s">
        <v>93</v>
      </c>
      <c r="D1357" t="s">
        <v>205</v>
      </c>
      <c r="E1357" t="s">
        <v>205</v>
      </c>
    </row>
    <row r="1358" spans="1:5" x14ac:dyDescent="0.35">
      <c r="A1358" t="s">
        <v>385</v>
      </c>
      <c r="B1358" t="s">
        <v>35</v>
      </c>
      <c r="C1358" t="s">
        <v>94</v>
      </c>
      <c r="D1358">
        <v>42</v>
      </c>
      <c r="E1358">
        <v>65</v>
      </c>
    </row>
    <row r="1359" spans="1:5" x14ac:dyDescent="0.35">
      <c r="A1359" t="s">
        <v>385</v>
      </c>
      <c r="B1359" t="s">
        <v>33</v>
      </c>
      <c r="C1359" t="s">
        <v>95</v>
      </c>
      <c r="E1359">
        <v>7</v>
      </c>
    </row>
    <row r="1360" spans="1:5" x14ac:dyDescent="0.35">
      <c r="A1360" t="s">
        <v>385</v>
      </c>
      <c r="B1360" t="s">
        <v>33</v>
      </c>
      <c r="C1360" t="s">
        <v>96</v>
      </c>
      <c r="D1360">
        <v>4</v>
      </c>
      <c r="E1360">
        <v>17</v>
      </c>
    </row>
    <row r="1361" spans="1:5" x14ac:dyDescent="0.35">
      <c r="A1361" t="s">
        <v>385</v>
      </c>
      <c r="B1361" t="s">
        <v>34</v>
      </c>
      <c r="C1361" t="s">
        <v>8</v>
      </c>
      <c r="D1361">
        <v>15</v>
      </c>
      <c r="E1361">
        <v>13</v>
      </c>
    </row>
    <row r="1362" spans="1:5" x14ac:dyDescent="0.35">
      <c r="A1362" t="s">
        <v>385</v>
      </c>
      <c r="B1362" t="s">
        <v>35</v>
      </c>
      <c r="C1362" t="s">
        <v>97</v>
      </c>
      <c r="D1362">
        <v>58</v>
      </c>
      <c r="E1362">
        <v>55</v>
      </c>
    </row>
    <row r="1363" spans="1:5" x14ac:dyDescent="0.35">
      <c r="A1363" t="s">
        <v>385</v>
      </c>
      <c r="B1363" t="s">
        <v>33</v>
      </c>
      <c r="C1363" t="s">
        <v>98</v>
      </c>
      <c r="D1363">
        <v>79</v>
      </c>
      <c r="E1363">
        <v>100</v>
      </c>
    </row>
    <row r="1364" spans="1:5" x14ac:dyDescent="0.35">
      <c r="A1364" t="s">
        <v>385</v>
      </c>
      <c r="B1364" t="s">
        <v>35</v>
      </c>
      <c r="C1364" t="s">
        <v>99</v>
      </c>
      <c r="D1364">
        <v>14</v>
      </c>
      <c r="E1364">
        <v>13</v>
      </c>
    </row>
    <row r="1365" spans="1:5" x14ac:dyDescent="0.35">
      <c r="A1365" t="s">
        <v>385</v>
      </c>
      <c r="B1365" t="s">
        <v>36</v>
      </c>
      <c r="C1365" t="s">
        <v>100</v>
      </c>
      <c r="D1365">
        <v>15</v>
      </c>
      <c r="E1365">
        <v>13</v>
      </c>
    </row>
    <row r="1366" spans="1:5" x14ac:dyDescent="0.35">
      <c r="A1366" t="s">
        <v>385</v>
      </c>
      <c r="B1366" t="s">
        <v>36</v>
      </c>
      <c r="C1366" t="s">
        <v>15</v>
      </c>
      <c r="D1366">
        <v>13494</v>
      </c>
      <c r="E1366">
        <v>25406</v>
      </c>
    </row>
    <row r="1367" spans="1:5" x14ac:dyDescent="0.35">
      <c r="A1367" t="s">
        <v>385</v>
      </c>
      <c r="B1367" t="s">
        <v>33</v>
      </c>
      <c r="C1367" t="s">
        <v>101</v>
      </c>
      <c r="D1367">
        <v>4</v>
      </c>
      <c r="E1367">
        <v>23</v>
      </c>
    </row>
    <row r="1368" spans="1:5" x14ac:dyDescent="0.35">
      <c r="A1368" t="s">
        <v>385</v>
      </c>
      <c r="B1368" t="s">
        <v>38</v>
      </c>
      <c r="C1368" t="s">
        <v>103</v>
      </c>
      <c r="D1368">
        <v>147</v>
      </c>
      <c r="E1368">
        <v>28</v>
      </c>
    </row>
    <row r="1369" spans="1:5" x14ac:dyDescent="0.35">
      <c r="A1369" t="s">
        <v>385</v>
      </c>
      <c r="B1369" t="s">
        <v>36</v>
      </c>
      <c r="C1369" t="s">
        <v>104</v>
      </c>
      <c r="D1369">
        <v>568</v>
      </c>
      <c r="E1369">
        <v>135</v>
      </c>
    </row>
    <row r="1370" spans="1:5" x14ac:dyDescent="0.35">
      <c r="A1370" t="s">
        <v>385</v>
      </c>
      <c r="B1370" t="s">
        <v>36</v>
      </c>
      <c r="C1370" t="s">
        <v>17</v>
      </c>
      <c r="D1370">
        <v>13815</v>
      </c>
      <c r="E1370">
        <v>17925</v>
      </c>
    </row>
    <row r="1371" spans="1:5" x14ac:dyDescent="0.35">
      <c r="A1371" t="s">
        <v>385</v>
      </c>
      <c r="B1371" t="s">
        <v>34</v>
      </c>
      <c r="C1371" t="s">
        <v>368</v>
      </c>
      <c r="D1371">
        <v>15</v>
      </c>
      <c r="E1371">
        <v>10</v>
      </c>
    </row>
    <row r="1372" spans="1:5" x14ac:dyDescent="0.35">
      <c r="A1372" t="s">
        <v>385</v>
      </c>
      <c r="B1372" t="s">
        <v>35</v>
      </c>
      <c r="C1372" t="s">
        <v>105</v>
      </c>
      <c r="D1372">
        <v>24</v>
      </c>
      <c r="E1372">
        <v>48</v>
      </c>
    </row>
    <row r="1373" spans="1:5" x14ac:dyDescent="0.35">
      <c r="A1373" t="s">
        <v>385</v>
      </c>
      <c r="B1373" t="s">
        <v>34</v>
      </c>
      <c r="C1373" t="s">
        <v>22</v>
      </c>
      <c r="D1373">
        <v>160</v>
      </c>
      <c r="E1373">
        <v>417</v>
      </c>
    </row>
    <row r="1374" spans="1:5" x14ac:dyDescent="0.35">
      <c r="A1374" t="s">
        <v>385</v>
      </c>
      <c r="B1374" t="s">
        <v>34</v>
      </c>
      <c r="C1374" t="s">
        <v>107</v>
      </c>
      <c r="D1374">
        <v>20</v>
      </c>
      <c r="E1374">
        <v>204</v>
      </c>
    </row>
    <row r="1375" spans="1:5" x14ac:dyDescent="0.35">
      <c r="A1375" t="s">
        <v>385</v>
      </c>
      <c r="B1375" t="s">
        <v>34</v>
      </c>
      <c r="C1375" t="s">
        <v>108</v>
      </c>
      <c r="D1375">
        <v>13</v>
      </c>
      <c r="E1375">
        <v>23</v>
      </c>
    </row>
    <row r="1376" spans="1:5" x14ac:dyDescent="0.35">
      <c r="A1376" t="s">
        <v>385</v>
      </c>
      <c r="B1376" t="s">
        <v>34</v>
      </c>
      <c r="C1376" t="s">
        <v>109</v>
      </c>
      <c r="D1376">
        <v>15</v>
      </c>
      <c r="E1376">
        <v>11</v>
      </c>
    </row>
    <row r="1377" spans="1:5" x14ac:dyDescent="0.35">
      <c r="A1377" t="s">
        <v>385</v>
      </c>
      <c r="B1377" t="s">
        <v>35</v>
      </c>
      <c r="C1377" t="s">
        <v>110</v>
      </c>
      <c r="D1377">
        <v>24</v>
      </c>
      <c r="E1377">
        <v>21</v>
      </c>
    </row>
    <row r="1378" spans="1:5" x14ac:dyDescent="0.35">
      <c r="A1378" t="s">
        <v>385</v>
      </c>
      <c r="B1378" t="s">
        <v>34</v>
      </c>
      <c r="C1378" t="s">
        <v>111</v>
      </c>
      <c r="D1378">
        <v>43</v>
      </c>
      <c r="E1378">
        <v>148</v>
      </c>
    </row>
    <row r="1379" spans="1:5" x14ac:dyDescent="0.35">
      <c r="A1379" t="s">
        <v>385</v>
      </c>
      <c r="B1379" t="s">
        <v>35</v>
      </c>
      <c r="C1379" t="s">
        <v>112</v>
      </c>
      <c r="D1379">
        <v>49</v>
      </c>
      <c r="E1379">
        <v>70</v>
      </c>
    </row>
    <row r="1380" spans="1:5" x14ac:dyDescent="0.35">
      <c r="A1380" t="s">
        <v>385</v>
      </c>
      <c r="B1380" t="s">
        <v>36</v>
      </c>
      <c r="C1380" t="s">
        <v>113</v>
      </c>
      <c r="D1380">
        <v>1150</v>
      </c>
      <c r="E1380">
        <v>169</v>
      </c>
    </row>
    <row r="1381" spans="1:5" x14ac:dyDescent="0.35">
      <c r="A1381" t="s">
        <v>385</v>
      </c>
      <c r="B1381" t="s">
        <v>34</v>
      </c>
      <c r="C1381" t="s">
        <v>114</v>
      </c>
      <c r="D1381">
        <v>17</v>
      </c>
      <c r="E1381">
        <v>22</v>
      </c>
    </row>
    <row r="1382" spans="1:5" x14ac:dyDescent="0.35">
      <c r="A1382" t="s">
        <v>385</v>
      </c>
      <c r="B1382" t="s">
        <v>34</v>
      </c>
      <c r="C1382" t="s">
        <v>115</v>
      </c>
      <c r="D1382">
        <v>37</v>
      </c>
      <c r="E1382">
        <v>58</v>
      </c>
    </row>
    <row r="1383" spans="1:5" x14ac:dyDescent="0.35">
      <c r="A1383" t="s">
        <v>385</v>
      </c>
      <c r="B1383" t="s">
        <v>34</v>
      </c>
      <c r="C1383" t="s">
        <v>116</v>
      </c>
      <c r="D1383">
        <v>13</v>
      </c>
      <c r="E1383">
        <v>25</v>
      </c>
    </row>
    <row r="1384" spans="1:5" x14ac:dyDescent="0.35">
      <c r="A1384" t="s">
        <v>385</v>
      </c>
      <c r="B1384" t="s">
        <v>33</v>
      </c>
      <c r="C1384" t="s">
        <v>117</v>
      </c>
      <c r="D1384">
        <v>94</v>
      </c>
      <c r="E1384">
        <v>51</v>
      </c>
    </row>
    <row r="1385" spans="1:5" x14ac:dyDescent="0.35">
      <c r="A1385" t="s">
        <v>385</v>
      </c>
      <c r="B1385" t="s">
        <v>34</v>
      </c>
      <c r="C1385" t="s">
        <v>118</v>
      </c>
      <c r="D1385">
        <v>181</v>
      </c>
      <c r="E1385">
        <v>162</v>
      </c>
    </row>
    <row r="1386" spans="1:5" x14ac:dyDescent="0.35">
      <c r="A1386" t="s">
        <v>385</v>
      </c>
      <c r="B1386" t="s">
        <v>35</v>
      </c>
      <c r="C1386" t="s">
        <v>119</v>
      </c>
      <c r="D1386">
        <v>15</v>
      </c>
      <c r="E1386">
        <v>10</v>
      </c>
    </row>
    <row r="1387" spans="1:5" x14ac:dyDescent="0.35">
      <c r="A1387" t="s">
        <v>385</v>
      </c>
      <c r="B1387" t="s">
        <v>34</v>
      </c>
      <c r="C1387" t="s">
        <v>120</v>
      </c>
      <c r="E1387">
        <v>5</v>
      </c>
    </row>
    <row r="1388" spans="1:5" x14ac:dyDescent="0.35">
      <c r="A1388" t="s">
        <v>385</v>
      </c>
      <c r="B1388" t="s">
        <v>34</v>
      </c>
      <c r="C1388" t="s">
        <v>121</v>
      </c>
      <c r="D1388" t="s">
        <v>205</v>
      </c>
      <c r="E1388" t="s">
        <v>205</v>
      </c>
    </row>
    <row r="1389" spans="1:5" x14ac:dyDescent="0.35">
      <c r="A1389" t="s">
        <v>385</v>
      </c>
      <c r="B1389" t="s">
        <v>34</v>
      </c>
      <c r="C1389" t="s">
        <v>122</v>
      </c>
      <c r="D1389">
        <v>3</v>
      </c>
      <c r="E1389">
        <v>8</v>
      </c>
    </row>
    <row r="1390" spans="1:5" x14ac:dyDescent="0.35">
      <c r="A1390" t="s">
        <v>385</v>
      </c>
      <c r="B1390" t="s">
        <v>35</v>
      </c>
      <c r="C1390" t="s">
        <v>123</v>
      </c>
      <c r="D1390">
        <v>11</v>
      </c>
      <c r="E1390">
        <v>10</v>
      </c>
    </row>
    <row r="1391" spans="1:5" x14ac:dyDescent="0.35">
      <c r="A1391" t="s">
        <v>385</v>
      </c>
      <c r="B1391" t="s">
        <v>34</v>
      </c>
      <c r="C1391" t="s">
        <v>124</v>
      </c>
      <c r="D1391">
        <v>29</v>
      </c>
      <c r="E1391">
        <v>37</v>
      </c>
    </row>
    <row r="1392" spans="1:5" x14ac:dyDescent="0.35">
      <c r="A1392" t="s">
        <v>385</v>
      </c>
      <c r="B1392" t="s">
        <v>33</v>
      </c>
      <c r="C1392" t="s">
        <v>125</v>
      </c>
      <c r="D1392">
        <v>10</v>
      </c>
      <c r="E1392">
        <v>16</v>
      </c>
    </row>
    <row r="1393" spans="1:5" x14ac:dyDescent="0.35">
      <c r="A1393" t="s">
        <v>385</v>
      </c>
      <c r="B1393" t="s">
        <v>35</v>
      </c>
      <c r="C1393" t="s">
        <v>127</v>
      </c>
      <c r="D1393">
        <v>23</v>
      </c>
      <c r="E1393">
        <v>17</v>
      </c>
    </row>
    <row r="1394" spans="1:5" x14ac:dyDescent="0.35">
      <c r="A1394" t="s">
        <v>385</v>
      </c>
      <c r="B1394" t="s">
        <v>33</v>
      </c>
      <c r="C1394" t="s">
        <v>130</v>
      </c>
      <c r="D1394" t="s">
        <v>205</v>
      </c>
      <c r="E1394" t="s">
        <v>205</v>
      </c>
    </row>
    <row r="1395" spans="1:5" x14ac:dyDescent="0.35">
      <c r="A1395" t="s">
        <v>385</v>
      </c>
      <c r="B1395" t="s">
        <v>34</v>
      </c>
      <c r="C1395" t="s">
        <v>131</v>
      </c>
      <c r="D1395">
        <v>12</v>
      </c>
      <c r="E1395">
        <v>18</v>
      </c>
    </row>
    <row r="1396" spans="1:5" x14ac:dyDescent="0.35">
      <c r="A1396" t="s">
        <v>385</v>
      </c>
      <c r="B1396" t="s">
        <v>33</v>
      </c>
      <c r="C1396" t="s">
        <v>132</v>
      </c>
      <c r="D1396">
        <v>5</v>
      </c>
      <c r="E1396">
        <v>9</v>
      </c>
    </row>
    <row r="1397" spans="1:5" x14ac:dyDescent="0.35">
      <c r="A1397" t="s">
        <v>385</v>
      </c>
      <c r="B1397" t="s">
        <v>37</v>
      </c>
      <c r="C1397" t="s">
        <v>134</v>
      </c>
      <c r="D1397" t="s">
        <v>205</v>
      </c>
      <c r="E1397" t="s">
        <v>205</v>
      </c>
    </row>
    <row r="1398" spans="1:5" x14ac:dyDescent="0.35">
      <c r="A1398" t="s">
        <v>385</v>
      </c>
      <c r="B1398" t="s">
        <v>33</v>
      </c>
      <c r="C1398" t="s">
        <v>135</v>
      </c>
      <c r="D1398" t="s">
        <v>205</v>
      </c>
      <c r="E1398" t="s">
        <v>205</v>
      </c>
    </row>
    <row r="1399" spans="1:5" x14ac:dyDescent="0.35">
      <c r="A1399" t="s">
        <v>385</v>
      </c>
      <c r="B1399" t="s">
        <v>36</v>
      </c>
      <c r="C1399" t="s">
        <v>14</v>
      </c>
      <c r="D1399">
        <v>151444</v>
      </c>
      <c r="E1399">
        <v>152301</v>
      </c>
    </row>
    <row r="1400" spans="1:5" x14ac:dyDescent="0.35">
      <c r="A1400" t="s">
        <v>385</v>
      </c>
      <c r="B1400" t="s">
        <v>37</v>
      </c>
      <c r="C1400" t="s">
        <v>137</v>
      </c>
      <c r="D1400" t="s">
        <v>205</v>
      </c>
      <c r="E1400" t="s">
        <v>205</v>
      </c>
    </row>
    <row r="1401" spans="1:5" x14ac:dyDescent="0.35">
      <c r="A1401" t="s">
        <v>385</v>
      </c>
      <c r="B1401" t="s">
        <v>35</v>
      </c>
      <c r="C1401" t="s">
        <v>138</v>
      </c>
      <c r="D1401">
        <v>24</v>
      </c>
      <c r="E1401">
        <v>34</v>
      </c>
    </row>
    <row r="1402" spans="1:5" x14ac:dyDescent="0.35">
      <c r="A1402" t="s">
        <v>385</v>
      </c>
      <c r="B1402" t="s">
        <v>34</v>
      </c>
      <c r="C1402" t="s">
        <v>139</v>
      </c>
      <c r="D1402">
        <v>22</v>
      </c>
      <c r="E1402">
        <v>33</v>
      </c>
    </row>
    <row r="1403" spans="1:5" x14ac:dyDescent="0.35">
      <c r="A1403" t="s">
        <v>385</v>
      </c>
      <c r="B1403" t="s">
        <v>35</v>
      </c>
      <c r="C1403" t="s">
        <v>140</v>
      </c>
      <c r="D1403">
        <v>8</v>
      </c>
      <c r="E1403">
        <v>4</v>
      </c>
    </row>
    <row r="1404" spans="1:5" x14ac:dyDescent="0.35">
      <c r="A1404" t="s">
        <v>385</v>
      </c>
      <c r="B1404" t="s">
        <v>33</v>
      </c>
      <c r="C1404" t="s">
        <v>141</v>
      </c>
      <c r="D1404">
        <v>37</v>
      </c>
      <c r="E1404">
        <v>21</v>
      </c>
    </row>
    <row r="1405" spans="1:5" x14ac:dyDescent="0.35">
      <c r="A1405" t="s">
        <v>385</v>
      </c>
      <c r="B1405" t="s">
        <v>34</v>
      </c>
      <c r="C1405" t="s">
        <v>144</v>
      </c>
      <c r="D1405">
        <v>9</v>
      </c>
      <c r="E1405">
        <v>29</v>
      </c>
    </row>
    <row r="1406" spans="1:5" x14ac:dyDescent="0.35">
      <c r="A1406" t="s">
        <v>385</v>
      </c>
      <c r="B1406" t="s">
        <v>35</v>
      </c>
      <c r="C1406" t="s">
        <v>145</v>
      </c>
      <c r="D1406">
        <v>27</v>
      </c>
      <c r="E1406">
        <v>15</v>
      </c>
    </row>
    <row r="1407" spans="1:5" x14ac:dyDescent="0.35">
      <c r="A1407" t="s">
        <v>385</v>
      </c>
      <c r="B1407" t="s">
        <v>37</v>
      </c>
      <c r="C1407" t="s">
        <v>146</v>
      </c>
      <c r="D1407">
        <v>17</v>
      </c>
      <c r="E1407">
        <v>17</v>
      </c>
    </row>
    <row r="1408" spans="1:5" x14ac:dyDescent="0.35">
      <c r="A1408" t="s">
        <v>385</v>
      </c>
      <c r="B1408" t="s">
        <v>36</v>
      </c>
      <c r="C1408" t="s">
        <v>147</v>
      </c>
      <c r="D1408">
        <v>731</v>
      </c>
      <c r="E1408">
        <v>669</v>
      </c>
    </row>
    <row r="1409" spans="1:5" x14ac:dyDescent="0.35">
      <c r="A1409" t="s">
        <v>385</v>
      </c>
      <c r="B1409" t="s">
        <v>33</v>
      </c>
      <c r="C1409" t="s">
        <v>148</v>
      </c>
      <c r="D1409">
        <v>7</v>
      </c>
      <c r="E1409">
        <v>9</v>
      </c>
    </row>
    <row r="1410" spans="1:5" x14ac:dyDescent="0.35">
      <c r="A1410" t="s">
        <v>385</v>
      </c>
      <c r="B1410" t="s">
        <v>33</v>
      </c>
      <c r="C1410" t="s">
        <v>149</v>
      </c>
      <c r="D1410">
        <v>162</v>
      </c>
      <c r="E1410">
        <v>141</v>
      </c>
    </row>
    <row r="1411" spans="1:5" x14ac:dyDescent="0.35">
      <c r="A1411" t="s">
        <v>385</v>
      </c>
      <c r="B1411" t="s">
        <v>35</v>
      </c>
      <c r="C1411" t="s">
        <v>322</v>
      </c>
      <c r="D1411">
        <v>9</v>
      </c>
      <c r="E1411">
        <v>21</v>
      </c>
    </row>
    <row r="1412" spans="1:5" x14ac:dyDescent="0.35">
      <c r="A1412" t="s">
        <v>385</v>
      </c>
      <c r="B1412" t="s">
        <v>35</v>
      </c>
      <c r="C1412" t="s">
        <v>150</v>
      </c>
      <c r="D1412" t="s">
        <v>205</v>
      </c>
      <c r="E1412" t="s">
        <v>205</v>
      </c>
    </row>
    <row r="1413" spans="1:5" x14ac:dyDescent="0.35">
      <c r="A1413" t="s">
        <v>385</v>
      </c>
      <c r="B1413" t="s">
        <v>34</v>
      </c>
      <c r="C1413" t="s">
        <v>152</v>
      </c>
      <c r="D1413">
        <v>61</v>
      </c>
      <c r="E1413">
        <v>112</v>
      </c>
    </row>
    <row r="1414" spans="1:5" x14ac:dyDescent="0.35">
      <c r="A1414" t="s">
        <v>385</v>
      </c>
      <c r="B1414" t="s">
        <v>37</v>
      </c>
      <c r="C1414" t="s">
        <v>153</v>
      </c>
      <c r="D1414">
        <v>15</v>
      </c>
    </row>
    <row r="1415" spans="1:5" x14ac:dyDescent="0.35">
      <c r="A1415" t="s">
        <v>385</v>
      </c>
      <c r="B1415" t="s">
        <v>36</v>
      </c>
      <c r="C1415" t="s">
        <v>154</v>
      </c>
      <c r="D1415">
        <v>92</v>
      </c>
      <c r="E1415">
        <v>27</v>
      </c>
    </row>
    <row r="1416" spans="1:5" x14ac:dyDescent="0.35">
      <c r="A1416" t="s">
        <v>385</v>
      </c>
      <c r="B1416" t="s">
        <v>38</v>
      </c>
      <c r="C1416" t="s">
        <v>155</v>
      </c>
      <c r="D1416">
        <v>6</v>
      </c>
      <c r="E1416">
        <v>13</v>
      </c>
    </row>
    <row r="1417" spans="1:5" x14ac:dyDescent="0.35">
      <c r="A1417" t="s">
        <v>385</v>
      </c>
      <c r="B1417" t="s">
        <v>38</v>
      </c>
      <c r="C1417" t="s">
        <v>156</v>
      </c>
      <c r="D1417">
        <v>414</v>
      </c>
      <c r="E1417">
        <v>358</v>
      </c>
    </row>
    <row r="1418" spans="1:5" x14ac:dyDescent="0.35">
      <c r="A1418" t="s">
        <v>385</v>
      </c>
      <c r="B1418" t="s">
        <v>34</v>
      </c>
      <c r="C1418" t="s">
        <v>18</v>
      </c>
      <c r="D1418">
        <v>292</v>
      </c>
      <c r="E1418">
        <v>188</v>
      </c>
    </row>
    <row r="1419" spans="1:5" x14ac:dyDescent="0.35">
      <c r="A1419" t="s">
        <v>385</v>
      </c>
      <c r="B1419" t="s">
        <v>35</v>
      </c>
      <c r="C1419" t="s">
        <v>157</v>
      </c>
      <c r="D1419">
        <v>162</v>
      </c>
      <c r="E1419">
        <v>251</v>
      </c>
    </row>
    <row r="1420" spans="1:5" x14ac:dyDescent="0.35">
      <c r="A1420" t="s">
        <v>385</v>
      </c>
      <c r="B1420" t="s">
        <v>35</v>
      </c>
      <c r="C1420" t="s">
        <v>158</v>
      </c>
      <c r="D1420">
        <v>86</v>
      </c>
      <c r="E1420">
        <v>50</v>
      </c>
    </row>
    <row r="1421" spans="1:5" x14ac:dyDescent="0.35">
      <c r="A1421" t="s">
        <v>385</v>
      </c>
      <c r="B1421" t="s">
        <v>35</v>
      </c>
      <c r="C1421" t="s">
        <v>160</v>
      </c>
      <c r="D1421">
        <v>85</v>
      </c>
      <c r="E1421">
        <v>112</v>
      </c>
    </row>
    <row r="1422" spans="1:5" x14ac:dyDescent="0.35">
      <c r="A1422" t="s">
        <v>385</v>
      </c>
      <c r="B1422" t="s">
        <v>35</v>
      </c>
      <c r="C1422" t="s">
        <v>161</v>
      </c>
      <c r="D1422">
        <v>81</v>
      </c>
      <c r="E1422">
        <v>96</v>
      </c>
    </row>
    <row r="1423" spans="1:5" x14ac:dyDescent="0.35">
      <c r="A1423" t="s">
        <v>385</v>
      </c>
      <c r="B1423" t="s">
        <v>33</v>
      </c>
      <c r="C1423" t="s">
        <v>162</v>
      </c>
      <c r="D1423" t="s">
        <v>205</v>
      </c>
      <c r="E1423" t="s">
        <v>205</v>
      </c>
    </row>
    <row r="1424" spans="1:5" x14ac:dyDescent="0.35">
      <c r="A1424" t="s">
        <v>385</v>
      </c>
      <c r="B1424" t="s">
        <v>36</v>
      </c>
      <c r="C1424" t="s">
        <v>163</v>
      </c>
      <c r="D1424">
        <v>33</v>
      </c>
      <c r="E1424">
        <v>4</v>
      </c>
    </row>
    <row r="1425" spans="1:5" x14ac:dyDescent="0.35">
      <c r="A1425" t="s">
        <v>385</v>
      </c>
      <c r="B1425" t="s">
        <v>36</v>
      </c>
      <c r="C1425" t="s">
        <v>164</v>
      </c>
      <c r="D1425">
        <v>12</v>
      </c>
      <c r="E1425">
        <v>11</v>
      </c>
    </row>
    <row r="1426" spans="1:5" x14ac:dyDescent="0.35">
      <c r="A1426" t="s">
        <v>385</v>
      </c>
      <c r="B1426" t="s">
        <v>36</v>
      </c>
      <c r="C1426" t="s">
        <v>165</v>
      </c>
      <c r="D1426">
        <v>25</v>
      </c>
      <c r="E1426">
        <v>3</v>
      </c>
    </row>
    <row r="1427" spans="1:5" x14ac:dyDescent="0.35">
      <c r="A1427" t="s">
        <v>385</v>
      </c>
      <c r="B1427" t="s">
        <v>37</v>
      </c>
      <c r="C1427" t="s">
        <v>166</v>
      </c>
      <c r="D1427" t="s">
        <v>205</v>
      </c>
      <c r="E1427" t="s">
        <v>205</v>
      </c>
    </row>
    <row r="1428" spans="1:5" x14ac:dyDescent="0.35">
      <c r="A1428" t="s">
        <v>385</v>
      </c>
      <c r="B1428" t="s">
        <v>34</v>
      </c>
      <c r="C1428" t="s">
        <v>167</v>
      </c>
      <c r="D1428">
        <v>17</v>
      </c>
      <c r="E1428">
        <v>19</v>
      </c>
    </row>
    <row r="1429" spans="1:5" x14ac:dyDescent="0.35">
      <c r="A1429" t="s">
        <v>385</v>
      </c>
      <c r="B1429" t="s">
        <v>33</v>
      </c>
      <c r="C1429" t="s">
        <v>168</v>
      </c>
      <c r="D1429">
        <v>9</v>
      </c>
      <c r="E1429">
        <v>25</v>
      </c>
    </row>
    <row r="1430" spans="1:5" x14ac:dyDescent="0.35">
      <c r="A1430" t="s">
        <v>385</v>
      </c>
      <c r="B1430" t="s">
        <v>35</v>
      </c>
      <c r="C1430" t="s">
        <v>169</v>
      </c>
      <c r="D1430">
        <v>12</v>
      </c>
      <c r="E1430">
        <v>5</v>
      </c>
    </row>
    <row r="1431" spans="1:5" x14ac:dyDescent="0.35">
      <c r="A1431" t="s">
        <v>385</v>
      </c>
      <c r="B1431" t="s">
        <v>35</v>
      </c>
      <c r="C1431" t="s">
        <v>215</v>
      </c>
      <c r="D1431">
        <v>4</v>
      </c>
      <c r="E1431">
        <v>19</v>
      </c>
    </row>
    <row r="1432" spans="1:5" x14ac:dyDescent="0.35">
      <c r="A1432" t="s">
        <v>385</v>
      </c>
      <c r="B1432" t="s">
        <v>33</v>
      </c>
      <c r="C1432" t="s">
        <v>170</v>
      </c>
      <c r="D1432">
        <v>28</v>
      </c>
      <c r="E1432">
        <v>7</v>
      </c>
    </row>
    <row r="1433" spans="1:5" x14ac:dyDescent="0.35">
      <c r="A1433" t="s">
        <v>385</v>
      </c>
      <c r="B1433" t="s">
        <v>34</v>
      </c>
      <c r="C1433" t="s">
        <v>171</v>
      </c>
      <c r="D1433" t="s">
        <v>205</v>
      </c>
    </row>
    <row r="1434" spans="1:5" x14ac:dyDescent="0.35">
      <c r="A1434" t="s">
        <v>385</v>
      </c>
      <c r="B1434" t="s">
        <v>35</v>
      </c>
      <c r="C1434" t="s">
        <v>172</v>
      </c>
      <c r="D1434">
        <v>7</v>
      </c>
      <c r="E1434">
        <v>19</v>
      </c>
    </row>
    <row r="1435" spans="1:5" x14ac:dyDescent="0.35">
      <c r="A1435" t="s">
        <v>385</v>
      </c>
      <c r="B1435" t="s">
        <v>35</v>
      </c>
      <c r="C1435" t="s">
        <v>173</v>
      </c>
      <c r="E1435">
        <v>4</v>
      </c>
    </row>
    <row r="1436" spans="1:5" x14ac:dyDescent="0.35">
      <c r="A1436" t="s">
        <v>385</v>
      </c>
      <c r="B1436" t="s">
        <v>33</v>
      </c>
      <c r="C1436" t="s">
        <v>174</v>
      </c>
      <c r="D1436">
        <v>5</v>
      </c>
      <c r="E1436">
        <v>36</v>
      </c>
    </row>
    <row r="1437" spans="1:5" x14ac:dyDescent="0.35">
      <c r="A1437" t="s">
        <v>385</v>
      </c>
      <c r="B1437" t="s">
        <v>33</v>
      </c>
      <c r="C1437" t="s">
        <v>175</v>
      </c>
      <c r="D1437">
        <v>25</v>
      </c>
      <c r="E1437">
        <v>18</v>
      </c>
    </row>
    <row r="1438" spans="1:5" x14ac:dyDescent="0.35">
      <c r="A1438" t="s">
        <v>385</v>
      </c>
      <c r="B1438" t="s">
        <v>33</v>
      </c>
      <c r="C1438" t="s">
        <v>176</v>
      </c>
    </row>
    <row r="1439" spans="1:5" x14ac:dyDescent="0.35">
      <c r="A1439" t="s">
        <v>385</v>
      </c>
      <c r="B1439" t="s">
        <v>35</v>
      </c>
      <c r="C1439" t="s">
        <v>216</v>
      </c>
      <c r="D1439" t="s">
        <v>205</v>
      </c>
    </row>
    <row r="1440" spans="1:5" x14ac:dyDescent="0.35">
      <c r="A1440" t="s">
        <v>385</v>
      </c>
      <c r="B1440" t="s">
        <v>35</v>
      </c>
      <c r="C1440" t="s">
        <v>177</v>
      </c>
      <c r="D1440">
        <v>37</v>
      </c>
      <c r="E1440">
        <v>56</v>
      </c>
    </row>
    <row r="1441" spans="1:5" x14ac:dyDescent="0.35">
      <c r="A1441" t="s">
        <v>385</v>
      </c>
      <c r="B1441" t="s">
        <v>34</v>
      </c>
      <c r="C1441" t="s">
        <v>178</v>
      </c>
      <c r="D1441">
        <v>10</v>
      </c>
      <c r="E1441">
        <v>90</v>
      </c>
    </row>
    <row r="1442" spans="1:5" x14ac:dyDescent="0.35">
      <c r="A1442" t="s">
        <v>385</v>
      </c>
      <c r="B1442" t="s">
        <v>33</v>
      </c>
      <c r="C1442" t="s">
        <v>179</v>
      </c>
      <c r="D1442">
        <v>18</v>
      </c>
      <c r="E1442">
        <v>11</v>
      </c>
    </row>
    <row r="1443" spans="1:5" x14ac:dyDescent="0.35">
      <c r="A1443" t="s">
        <v>385</v>
      </c>
      <c r="B1443" t="s">
        <v>38</v>
      </c>
      <c r="C1443" t="s">
        <v>180</v>
      </c>
      <c r="D1443">
        <v>5</v>
      </c>
    </row>
    <row r="1444" spans="1:5" x14ac:dyDescent="0.35">
      <c r="A1444" t="s">
        <v>385</v>
      </c>
      <c r="B1444" t="s">
        <v>35</v>
      </c>
      <c r="C1444" t="s">
        <v>182</v>
      </c>
      <c r="D1444">
        <v>16</v>
      </c>
      <c r="E1444">
        <v>17</v>
      </c>
    </row>
    <row r="1445" spans="1:5" x14ac:dyDescent="0.35">
      <c r="A1445" t="s">
        <v>385</v>
      </c>
      <c r="B1445" t="s">
        <v>35</v>
      </c>
      <c r="C1445" t="s">
        <v>183</v>
      </c>
      <c r="D1445">
        <v>4</v>
      </c>
      <c r="E1445">
        <v>9</v>
      </c>
    </row>
    <row r="1446" spans="1:5" x14ac:dyDescent="0.35">
      <c r="A1446" t="s">
        <v>385</v>
      </c>
      <c r="B1446" t="s">
        <v>34</v>
      </c>
      <c r="C1446" t="s">
        <v>184</v>
      </c>
      <c r="D1446" t="s">
        <v>205</v>
      </c>
      <c r="E1446" t="s">
        <v>205</v>
      </c>
    </row>
    <row r="1447" spans="1:5" x14ac:dyDescent="0.35">
      <c r="A1447" t="s">
        <v>385</v>
      </c>
      <c r="B1447" t="s">
        <v>34</v>
      </c>
      <c r="C1447" t="s">
        <v>185</v>
      </c>
      <c r="D1447">
        <v>15</v>
      </c>
      <c r="E1447">
        <v>32</v>
      </c>
    </row>
    <row r="1448" spans="1:5" x14ac:dyDescent="0.35">
      <c r="A1448" t="s">
        <v>385</v>
      </c>
      <c r="B1448" t="s">
        <v>34</v>
      </c>
      <c r="C1448" t="s">
        <v>186</v>
      </c>
      <c r="D1448">
        <v>6</v>
      </c>
      <c r="E1448">
        <v>10</v>
      </c>
    </row>
    <row r="1449" spans="1:5" x14ac:dyDescent="0.35">
      <c r="A1449" t="s">
        <v>385</v>
      </c>
      <c r="B1449" t="s">
        <v>33</v>
      </c>
      <c r="C1449" t="s">
        <v>187</v>
      </c>
      <c r="D1449">
        <v>9</v>
      </c>
      <c r="E1449">
        <v>6</v>
      </c>
    </row>
    <row r="1450" spans="1:5" x14ac:dyDescent="0.35">
      <c r="A1450" t="s">
        <v>385</v>
      </c>
      <c r="B1450" t="s">
        <v>34</v>
      </c>
      <c r="C1450" t="s">
        <v>188</v>
      </c>
      <c r="D1450">
        <v>25</v>
      </c>
      <c r="E1450">
        <v>45</v>
      </c>
    </row>
    <row r="1451" spans="1:5" x14ac:dyDescent="0.35">
      <c r="A1451" t="s">
        <v>385</v>
      </c>
      <c r="B1451" t="s">
        <v>33</v>
      </c>
      <c r="C1451" t="s">
        <v>189</v>
      </c>
      <c r="D1451">
        <v>7</v>
      </c>
      <c r="E1451">
        <v>9</v>
      </c>
    </row>
    <row r="1452" spans="1:5" x14ac:dyDescent="0.35">
      <c r="A1452" t="s">
        <v>385</v>
      </c>
      <c r="B1452" t="s">
        <v>37</v>
      </c>
      <c r="C1452" t="s">
        <v>190</v>
      </c>
      <c r="D1452">
        <v>27</v>
      </c>
      <c r="E1452">
        <v>6</v>
      </c>
    </row>
    <row r="1453" spans="1:5" x14ac:dyDescent="0.35">
      <c r="A1453" t="s">
        <v>385</v>
      </c>
      <c r="B1453" t="s">
        <v>36</v>
      </c>
      <c r="C1453" t="s">
        <v>191</v>
      </c>
      <c r="D1453">
        <v>177</v>
      </c>
      <c r="E1453">
        <v>56</v>
      </c>
    </row>
    <row r="1454" spans="1:5" x14ac:dyDescent="0.35">
      <c r="A1454" t="s">
        <v>385</v>
      </c>
      <c r="B1454" t="s">
        <v>33</v>
      </c>
      <c r="C1454" t="s">
        <v>192</v>
      </c>
      <c r="D1454">
        <v>12</v>
      </c>
      <c r="E1454">
        <v>5</v>
      </c>
    </row>
    <row r="1455" spans="1:5" x14ac:dyDescent="0.35">
      <c r="A1455" t="s">
        <v>385</v>
      </c>
      <c r="B1455" t="s">
        <v>34</v>
      </c>
      <c r="C1455" t="s">
        <v>193</v>
      </c>
      <c r="D1455">
        <v>33</v>
      </c>
      <c r="E1455">
        <v>88</v>
      </c>
    </row>
    <row r="1456" spans="1:5" x14ac:dyDescent="0.35">
      <c r="A1456" t="s">
        <v>385</v>
      </c>
      <c r="B1456" t="s">
        <v>36</v>
      </c>
      <c r="C1456" t="s">
        <v>372</v>
      </c>
      <c r="D1456">
        <v>5</v>
      </c>
      <c r="E1456">
        <v>5</v>
      </c>
    </row>
    <row r="1457" spans="1:5" x14ac:dyDescent="0.35">
      <c r="A1457" t="s">
        <v>385</v>
      </c>
      <c r="B1457" t="s">
        <v>33</v>
      </c>
      <c r="C1457" t="s">
        <v>195</v>
      </c>
      <c r="D1457">
        <v>3</v>
      </c>
      <c r="E1457">
        <v>7</v>
      </c>
    </row>
    <row r="1458" spans="1:5" x14ac:dyDescent="0.35">
      <c r="A1458" t="s">
        <v>385</v>
      </c>
      <c r="B1458" t="s">
        <v>35</v>
      </c>
      <c r="C1458" t="s">
        <v>196</v>
      </c>
      <c r="D1458">
        <v>84</v>
      </c>
      <c r="E1458">
        <v>85</v>
      </c>
    </row>
    <row r="1459" spans="1:5" x14ac:dyDescent="0.35">
      <c r="A1459" t="s">
        <v>385</v>
      </c>
      <c r="B1459" t="s">
        <v>34</v>
      </c>
      <c r="C1459" t="s">
        <v>197</v>
      </c>
      <c r="E1459" t="s">
        <v>205</v>
      </c>
    </row>
    <row r="1460" spans="1:5" x14ac:dyDescent="0.35">
      <c r="A1460" t="s">
        <v>385</v>
      </c>
      <c r="B1460" t="s">
        <v>35</v>
      </c>
      <c r="C1460" t="s">
        <v>198</v>
      </c>
      <c r="D1460">
        <v>183</v>
      </c>
      <c r="E1460">
        <v>140</v>
      </c>
    </row>
    <row r="1461" spans="1:5" x14ac:dyDescent="0.35">
      <c r="A1461" t="s">
        <v>385</v>
      </c>
      <c r="B1461" t="s">
        <v>39</v>
      </c>
      <c r="C1461" t="s">
        <v>39</v>
      </c>
      <c r="D1461">
        <v>13</v>
      </c>
      <c r="E1461">
        <v>21</v>
      </c>
    </row>
    <row r="1462" spans="1:5" x14ac:dyDescent="0.35">
      <c r="A1462" t="s">
        <v>385</v>
      </c>
      <c r="B1462" t="s">
        <v>38</v>
      </c>
      <c r="C1462" t="s">
        <v>199</v>
      </c>
      <c r="D1462">
        <v>59</v>
      </c>
      <c r="E1462">
        <v>52</v>
      </c>
    </row>
    <row r="1463" spans="1:5" x14ac:dyDescent="0.35">
      <c r="A1463" t="s">
        <v>385</v>
      </c>
      <c r="B1463" t="s">
        <v>34</v>
      </c>
      <c r="C1463" t="s">
        <v>200</v>
      </c>
      <c r="D1463">
        <v>8</v>
      </c>
      <c r="E1463">
        <v>18</v>
      </c>
    </row>
    <row r="1464" spans="1:5" x14ac:dyDescent="0.35">
      <c r="A1464" t="s">
        <v>385</v>
      </c>
      <c r="B1464" t="s">
        <v>38</v>
      </c>
      <c r="C1464" t="s">
        <v>19</v>
      </c>
      <c r="D1464">
        <v>122</v>
      </c>
      <c r="E1464">
        <v>149</v>
      </c>
    </row>
    <row r="1465" spans="1:5" x14ac:dyDescent="0.35">
      <c r="A1465" t="s">
        <v>385</v>
      </c>
      <c r="B1465" t="s">
        <v>34</v>
      </c>
      <c r="C1465" t="s">
        <v>201</v>
      </c>
      <c r="D1465">
        <v>28</v>
      </c>
      <c r="E1465">
        <v>34</v>
      </c>
    </row>
    <row r="1466" spans="1:5" x14ac:dyDescent="0.35">
      <c r="A1466" t="s">
        <v>385</v>
      </c>
      <c r="B1466" t="s">
        <v>34</v>
      </c>
      <c r="C1466" t="s">
        <v>202</v>
      </c>
      <c r="D1466">
        <v>11</v>
      </c>
      <c r="E1466">
        <v>26</v>
      </c>
    </row>
    <row r="1467" spans="1:5" x14ac:dyDescent="0.35">
      <c r="A1467" t="s">
        <v>385</v>
      </c>
      <c r="B1467" t="s">
        <v>33</v>
      </c>
      <c r="C1467" t="s">
        <v>203</v>
      </c>
      <c r="D1467">
        <v>13</v>
      </c>
      <c r="E1467">
        <v>7</v>
      </c>
    </row>
    <row r="1468" spans="1:5" x14ac:dyDescent="0.35">
      <c r="A1468" t="s">
        <v>385</v>
      </c>
      <c r="B1468" t="s">
        <v>33</v>
      </c>
      <c r="C1468" t="s">
        <v>204</v>
      </c>
      <c r="D1468">
        <v>5</v>
      </c>
      <c r="E1468">
        <v>7</v>
      </c>
    </row>
    <row r="1469" spans="1:5" x14ac:dyDescent="0.35">
      <c r="A1469" t="s">
        <v>292</v>
      </c>
      <c r="B1469" t="s">
        <v>34</v>
      </c>
      <c r="C1469" t="s">
        <v>40</v>
      </c>
      <c r="D1469">
        <v>5</v>
      </c>
      <c r="E1469">
        <v>5</v>
      </c>
    </row>
    <row r="1470" spans="1:5" x14ac:dyDescent="0.35">
      <c r="A1470" t="s">
        <v>292</v>
      </c>
      <c r="B1470" t="s">
        <v>35</v>
      </c>
      <c r="C1470" t="s">
        <v>41</v>
      </c>
      <c r="D1470">
        <v>30</v>
      </c>
      <c r="E1470">
        <v>26</v>
      </c>
    </row>
    <row r="1471" spans="1:5" x14ac:dyDescent="0.35">
      <c r="A1471" t="s">
        <v>292</v>
      </c>
      <c r="B1471" t="s">
        <v>33</v>
      </c>
      <c r="C1471" t="s">
        <v>42</v>
      </c>
      <c r="D1471" t="s">
        <v>205</v>
      </c>
      <c r="E1471" t="s">
        <v>205</v>
      </c>
    </row>
    <row r="1472" spans="1:5" x14ac:dyDescent="0.35">
      <c r="A1472" t="s">
        <v>292</v>
      </c>
      <c r="C1472" t="s">
        <v>373</v>
      </c>
      <c r="D1472">
        <v>23</v>
      </c>
      <c r="E1472">
        <v>23</v>
      </c>
    </row>
    <row r="1473" spans="1:5" x14ac:dyDescent="0.35">
      <c r="A1473" t="s">
        <v>292</v>
      </c>
      <c r="B1473" t="s">
        <v>33</v>
      </c>
      <c r="C1473" t="s">
        <v>43</v>
      </c>
      <c r="D1473" t="s">
        <v>205</v>
      </c>
      <c r="E1473" t="s">
        <v>205</v>
      </c>
    </row>
    <row r="1474" spans="1:5" x14ac:dyDescent="0.35">
      <c r="A1474" t="s">
        <v>292</v>
      </c>
      <c r="B1474" t="s">
        <v>36</v>
      </c>
      <c r="C1474" t="s">
        <v>44</v>
      </c>
      <c r="D1474">
        <v>16</v>
      </c>
      <c r="E1474">
        <v>5</v>
      </c>
    </row>
    <row r="1475" spans="1:5" x14ac:dyDescent="0.35">
      <c r="A1475" t="s">
        <v>292</v>
      </c>
      <c r="B1475" t="s">
        <v>38</v>
      </c>
      <c r="C1475" t="s">
        <v>45</v>
      </c>
      <c r="D1475">
        <v>83</v>
      </c>
      <c r="E1475">
        <v>63</v>
      </c>
    </row>
    <row r="1476" spans="1:5" x14ac:dyDescent="0.35">
      <c r="A1476" t="s">
        <v>292</v>
      </c>
      <c r="B1476" t="s">
        <v>34</v>
      </c>
      <c r="C1476" t="s">
        <v>46</v>
      </c>
      <c r="D1476">
        <v>27</v>
      </c>
      <c r="E1476">
        <v>3</v>
      </c>
    </row>
    <row r="1477" spans="1:5" x14ac:dyDescent="0.35">
      <c r="A1477" t="s">
        <v>292</v>
      </c>
      <c r="B1477" t="s">
        <v>37</v>
      </c>
      <c r="C1477" t="s">
        <v>47</v>
      </c>
      <c r="D1477">
        <v>24</v>
      </c>
      <c r="E1477">
        <v>22</v>
      </c>
    </row>
    <row r="1478" spans="1:5" x14ac:dyDescent="0.35">
      <c r="A1478" t="s">
        <v>292</v>
      </c>
      <c r="B1478" t="s">
        <v>35</v>
      </c>
      <c r="C1478" t="s">
        <v>48</v>
      </c>
      <c r="D1478">
        <v>5</v>
      </c>
      <c r="E1478">
        <v>9</v>
      </c>
    </row>
    <row r="1479" spans="1:5" x14ac:dyDescent="0.35">
      <c r="A1479" t="s">
        <v>292</v>
      </c>
      <c r="B1479" t="s">
        <v>34</v>
      </c>
      <c r="C1479" t="s">
        <v>49</v>
      </c>
      <c r="D1479" t="s">
        <v>205</v>
      </c>
      <c r="E1479" t="s">
        <v>205</v>
      </c>
    </row>
    <row r="1480" spans="1:5" x14ac:dyDescent="0.35">
      <c r="A1480" t="s">
        <v>292</v>
      </c>
      <c r="B1480" t="s">
        <v>36</v>
      </c>
      <c r="C1480" t="s">
        <v>50</v>
      </c>
      <c r="D1480">
        <v>79</v>
      </c>
      <c r="E1480">
        <v>17</v>
      </c>
    </row>
    <row r="1481" spans="1:5" x14ac:dyDescent="0.35">
      <c r="A1481" t="s">
        <v>292</v>
      </c>
      <c r="B1481" t="s">
        <v>34</v>
      </c>
      <c r="C1481" t="s">
        <v>52</v>
      </c>
      <c r="D1481">
        <v>11</v>
      </c>
      <c r="E1481">
        <v>41</v>
      </c>
    </row>
    <row r="1482" spans="1:5" x14ac:dyDescent="0.35">
      <c r="A1482" t="s">
        <v>292</v>
      </c>
      <c r="B1482" t="s">
        <v>36</v>
      </c>
      <c r="C1482" t="s">
        <v>53</v>
      </c>
      <c r="D1482">
        <v>23</v>
      </c>
      <c r="E1482">
        <v>3</v>
      </c>
    </row>
    <row r="1483" spans="1:5" x14ac:dyDescent="0.35">
      <c r="A1483" t="s">
        <v>292</v>
      </c>
      <c r="B1483" t="s">
        <v>35</v>
      </c>
      <c r="C1483" t="s">
        <v>54</v>
      </c>
      <c r="D1483">
        <v>10</v>
      </c>
      <c r="E1483">
        <v>3</v>
      </c>
    </row>
    <row r="1484" spans="1:5" x14ac:dyDescent="0.35">
      <c r="A1484" t="s">
        <v>292</v>
      </c>
      <c r="B1484" t="s">
        <v>35</v>
      </c>
      <c r="C1484" t="s">
        <v>55</v>
      </c>
      <c r="D1484">
        <v>6</v>
      </c>
      <c r="E1484">
        <v>7</v>
      </c>
    </row>
    <row r="1485" spans="1:5" x14ac:dyDescent="0.35">
      <c r="A1485" t="s">
        <v>292</v>
      </c>
      <c r="B1485" t="s">
        <v>36</v>
      </c>
      <c r="C1485" t="s">
        <v>56</v>
      </c>
      <c r="D1485">
        <v>118</v>
      </c>
      <c r="E1485">
        <v>59</v>
      </c>
    </row>
    <row r="1486" spans="1:5" x14ac:dyDescent="0.35">
      <c r="A1486" t="s">
        <v>292</v>
      </c>
      <c r="B1486" t="s">
        <v>33</v>
      </c>
      <c r="C1486" t="s">
        <v>57</v>
      </c>
      <c r="D1486" t="s">
        <v>205</v>
      </c>
      <c r="E1486" t="s">
        <v>205</v>
      </c>
    </row>
    <row r="1487" spans="1:5" x14ac:dyDescent="0.35">
      <c r="A1487" t="s">
        <v>292</v>
      </c>
      <c r="B1487" t="s">
        <v>36</v>
      </c>
      <c r="C1487" t="s">
        <v>363</v>
      </c>
      <c r="D1487">
        <v>10</v>
      </c>
    </row>
    <row r="1488" spans="1:5" x14ac:dyDescent="0.35">
      <c r="A1488" t="s">
        <v>292</v>
      </c>
      <c r="B1488" t="s">
        <v>38</v>
      </c>
      <c r="C1488" t="s">
        <v>59</v>
      </c>
      <c r="D1488">
        <v>64</v>
      </c>
      <c r="E1488">
        <v>53</v>
      </c>
    </row>
    <row r="1489" spans="1:5" x14ac:dyDescent="0.35">
      <c r="A1489" t="s">
        <v>292</v>
      </c>
      <c r="B1489" t="s">
        <v>35</v>
      </c>
      <c r="C1489" t="s">
        <v>60</v>
      </c>
      <c r="D1489">
        <v>67</v>
      </c>
      <c r="E1489">
        <v>6</v>
      </c>
    </row>
    <row r="1490" spans="1:5" x14ac:dyDescent="0.35">
      <c r="A1490" t="s">
        <v>292</v>
      </c>
      <c r="B1490" t="s">
        <v>38</v>
      </c>
      <c r="C1490" t="s">
        <v>21</v>
      </c>
      <c r="D1490">
        <v>366</v>
      </c>
      <c r="E1490">
        <v>1045</v>
      </c>
    </row>
    <row r="1491" spans="1:5" x14ac:dyDescent="0.35">
      <c r="A1491" t="s">
        <v>292</v>
      </c>
      <c r="B1491" t="s">
        <v>35</v>
      </c>
      <c r="C1491" t="s">
        <v>62</v>
      </c>
      <c r="D1491">
        <v>24</v>
      </c>
      <c r="E1491">
        <v>12</v>
      </c>
    </row>
    <row r="1492" spans="1:5" x14ac:dyDescent="0.35">
      <c r="A1492" t="s">
        <v>292</v>
      </c>
      <c r="B1492" t="s">
        <v>33</v>
      </c>
      <c r="C1492" t="s">
        <v>63</v>
      </c>
      <c r="D1492" t="s">
        <v>205</v>
      </c>
      <c r="E1492" t="s">
        <v>205</v>
      </c>
    </row>
    <row r="1493" spans="1:5" x14ac:dyDescent="0.35">
      <c r="A1493" t="s">
        <v>292</v>
      </c>
      <c r="B1493" t="s">
        <v>34</v>
      </c>
      <c r="C1493" t="s">
        <v>64</v>
      </c>
      <c r="D1493" t="s">
        <v>205</v>
      </c>
      <c r="E1493" t="s">
        <v>205</v>
      </c>
    </row>
    <row r="1494" spans="1:5" x14ac:dyDescent="0.35">
      <c r="A1494" t="s">
        <v>292</v>
      </c>
      <c r="B1494" t="s">
        <v>33</v>
      </c>
      <c r="C1494" t="s">
        <v>66</v>
      </c>
      <c r="D1494" t="s">
        <v>205</v>
      </c>
      <c r="E1494" t="s">
        <v>205</v>
      </c>
    </row>
    <row r="1495" spans="1:5" x14ac:dyDescent="0.35">
      <c r="A1495" t="s">
        <v>292</v>
      </c>
      <c r="B1495" t="s">
        <v>34</v>
      </c>
      <c r="C1495" t="s">
        <v>67</v>
      </c>
      <c r="D1495">
        <v>10</v>
      </c>
      <c r="E1495">
        <v>6</v>
      </c>
    </row>
    <row r="1496" spans="1:5" x14ac:dyDescent="0.35">
      <c r="A1496" t="s">
        <v>292</v>
      </c>
      <c r="B1496" t="s">
        <v>33</v>
      </c>
      <c r="C1496" t="s">
        <v>68</v>
      </c>
      <c r="D1496">
        <v>17</v>
      </c>
      <c r="E1496">
        <v>12</v>
      </c>
    </row>
    <row r="1497" spans="1:5" x14ac:dyDescent="0.35">
      <c r="A1497" t="s">
        <v>292</v>
      </c>
      <c r="B1497" t="s">
        <v>36</v>
      </c>
      <c r="C1497" t="s">
        <v>69</v>
      </c>
      <c r="D1497">
        <v>376</v>
      </c>
      <c r="E1497">
        <v>417</v>
      </c>
    </row>
    <row r="1498" spans="1:5" x14ac:dyDescent="0.35">
      <c r="A1498" t="s">
        <v>292</v>
      </c>
      <c r="B1498" t="s">
        <v>33</v>
      </c>
      <c r="C1498" t="s">
        <v>71</v>
      </c>
      <c r="E1498" t="s">
        <v>205</v>
      </c>
    </row>
    <row r="1499" spans="1:5" x14ac:dyDescent="0.35">
      <c r="A1499" t="s">
        <v>292</v>
      </c>
      <c r="B1499" t="s">
        <v>38</v>
      </c>
      <c r="C1499" t="s">
        <v>72</v>
      </c>
      <c r="D1499">
        <v>57</v>
      </c>
      <c r="E1499">
        <v>39</v>
      </c>
    </row>
    <row r="1500" spans="1:5" x14ac:dyDescent="0.35">
      <c r="A1500" t="s">
        <v>292</v>
      </c>
      <c r="B1500" t="s">
        <v>34</v>
      </c>
      <c r="C1500" t="s">
        <v>73</v>
      </c>
      <c r="D1500">
        <v>167</v>
      </c>
      <c r="E1500">
        <v>524</v>
      </c>
    </row>
    <row r="1501" spans="1:5" x14ac:dyDescent="0.35">
      <c r="A1501" t="s">
        <v>292</v>
      </c>
      <c r="B1501" t="s">
        <v>38</v>
      </c>
      <c r="C1501" t="s">
        <v>20</v>
      </c>
      <c r="D1501">
        <v>956</v>
      </c>
      <c r="E1501">
        <v>465</v>
      </c>
    </row>
    <row r="1502" spans="1:5" x14ac:dyDescent="0.35">
      <c r="A1502" t="s">
        <v>292</v>
      </c>
      <c r="B1502" t="s">
        <v>33</v>
      </c>
      <c r="C1502" t="s">
        <v>74</v>
      </c>
      <c r="E1502" t="s">
        <v>205</v>
      </c>
    </row>
    <row r="1503" spans="1:5" x14ac:dyDescent="0.35">
      <c r="A1503" t="s">
        <v>292</v>
      </c>
      <c r="B1503" t="s">
        <v>33</v>
      </c>
      <c r="C1503" t="s">
        <v>75</v>
      </c>
      <c r="D1503" t="s">
        <v>205</v>
      </c>
      <c r="E1503" t="s">
        <v>205</v>
      </c>
    </row>
    <row r="1504" spans="1:5" x14ac:dyDescent="0.35">
      <c r="A1504" t="s">
        <v>292</v>
      </c>
      <c r="B1504" t="s">
        <v>36</v>
      </c>
      <c r="C1504" t="s">
        <v>76</v>
      </c>
      <c r="D1504">
        <v>125</v>
      </c>
      <c r="E1504">
        <v>194</v>
      </c>
    </row>
    <row r="1505" spans="1:5" x14ac:dyDescent="0.35">
      <c r="A1505" t="s">
        <v>292</v>
      </c>
      <c r="B1505" t="s">
        <v>33</v>
      </c>
      <c r="C1505" t="s">
        <v>77</v>
      </c>
      <c r="D1505">
        <v>9</v>
      </c>
      <c r="E1505">
        <v>8</v>
      </c>
    </row>
    <row r="1506" spans="1:5" x14ac:dyDescent="0.35">
      <c r="A1506" t="s">
        <v>292</v>
      </c>
      <c r="B1506" t="s">
        <v>35</v>
      </c>
      <c r="C1506" t="s">
        <v>78</v>
      </c>
      <c r="D1506">
        <v>6</v>
      </c>
      <c r="E1506">
        <v>3</v>
      </c>
    </row>
    <row r="1507" spans="1:5" x14ac:dyDescent="0.35">
      <c r="A1507" t="s">
        <v>292</v>
      </c>
      <c r="B1507" t="s">
        <v>36</v>
      </c>
      <c r="C1507" t="s">
        <v>79</v>
      </c>
      <c r="D1507">
        <v>26</v>
      </c>
      <c r="E1507">
        <v>11</v>
      </c>
    </row>
    <row r="1508" spans="1:5" x14ac:dyDescent="0.35">
      <c r="A1508" t="s">
        <v>292</v>
      </c>
      <c r="B1508" t="s">
        <v>35</v>
      </c>
      <c r="C1508" t="s">
        <v>81</v>
      </c>
      <c r="E1508">
        <v>6</v>
      </c>
    </row>
    <row r="1509" spans="1:5" x14ac:dyDescent="0.35">
      <c r="A1509" t="s">
        <v>292</v>
      </c>
      <c r="B1509" t="s">
        <v>35</v>
      </c>
      <c r="C1509" t="s">
        <v>214</v>
      </c>
      <c r="D1509">
        <v>18</v>
      </c>
      <c r="E1509">
        <v>19</v>
      </c>
    </row>
    <row r="1510" spans="1:5" x14ac:dyDescent="0.35">
      <c r="A1510" t="s">
        <v>292</v>
      </c>
      <c r="B1510" t="s">
        <v>35</v>
      </c>
      <c r="C1510" t="s">
        <v>82</v>
      </c>
      <c r="D1510" t="s">
        <v>205</v>
      </c>
    </row>
    <row r="1511" spans="1:5" x14ac:dyDescent="0.35">
      <c r="A1511" t="s">
        <v>292</v>
      </c>
      <c r="B1511" t="s">
        <v>36</v>
      </c>
      <c r="C1511" t="s">
        <v>84</v>
      </c>
      <c r="D1511">
        <v>9</v>
      </c>
      <c r="E1511">
        <v>8</v>
      </c>
    </row>
    <row r="1512" spans="1:5" x14ac:dyDescent="0.35">
      <c r="A1512" t="s">
        <v>292</v>
      </c>
      <c r="B1512" t="s">
        <v>36</v>
      </c>
      <c r="C1512" t="s">
        <v>85</v>
      </c>
      <c r="D1512">
        <v>1805</v>
      </c>
      <c r="E1512">
        <v>473</v>
      </c>
    </row>
    <row r="1513" spans="1:5" x14ac:dyDescent="0.35">
      <c r="A1513" t="s">
        <v>292</v>
      </c>
      <c r="B1513" t="s">
        <v>38</v>
      </c>
      <c r="C1513" t="s">
        <v>86</v>
      </c>
      <c r="D1513">
        <v>580</v>
      </c>
      <c r="E1513">
        <v>911</v>
      </c>
    </row>
    <row r="1514" spans="1:5" x14ac:dyDescent="0.35">
      <c r="A1514" t="s">
        <v>292</v>
      </c>
      <c r="B1514" t="s">
        <v>33</v>
      </c>
      <c r="C1514" t="s">
        <v>87</v>
      </c>
      <c r="D1514">
        <v>23</v>
      </c>
      <c r="E1514">
        <v>40</v>
      </c>
    </row>
    <row r="1515" spans="1:5" x14ac:dyDescent="0.35">
      <c r="A1515" t="s">
        <v>292</v>
      </c>
      <c r="B1515" t="s">
        <v>36</v>
      </c>
      <c r="C1515" t="s">
        <v>16</v>
      </c>
      <c r="D1515">
        <v>9440</v>
      </c>
      <c r="E1515">
        <v>11422</v>
      </c>
    </row>
    <row r="1516" spans="1:5" x14ac:dyDescent="0.35">
      <c r="A1516" t="s">
        <v>292</v>
      </c>
      <c r="B1516" t="s">
        <v>33</v>
      </c>
      <c r="C1516" t="s">
        <v>89</v>
      </c>
      <c r="E1516" t="s">
        <v>205</v>
      </c>
    </row>
    <row r="1517" spans="1:5" x14ac:dyDescent="0.35">
      <c r="A1517" t="s">
        <v>292</v>
      </c>
      <c r="B1517" t="s">
        <v>35</v>
      </c>
      <c r="C1517" t="s">
        <v>90</v>
      </c>
      <c r="D1517">
        <v>9</v>
      </c>
      <c r="E1517">
        <v>7</v>
      </c>
    </row>
    <row r="1518" spans="1:5" x14ac:dyDescent="0.35">
      <c r="A1518" t="s">
        <v>292</v>
      </c>
      <c r="B1518" t="s">
        <v>33</v>
      </c>
      <c r="C1518" t="s">
        <v>91</v>
      </c>
      <c r="D1518">
        <v>23</v>
      </c>
      <c r="E1518">
        <v>16</v>
      </c>
    </row>
    <row r="1519" spans="1:5" x14ac:dyDescent="0.35">
      <c r="A1519" t="s">
        <v>292</v>
      </c>
      <c r="B1519" t="s">
        <v>37</v>
      </c>
      <c r="C1519" t="s">
        <v>92</v>
      </c>
      <c r="D1519">
        <v>16</v>
      </c>
      <c r="E1519">
        <v>6</v>
      </c>
    </row>
    <row r="1520" spans="1:5" x14ac:dyDescent="0.35">
      <c r="A1520" t="s">
        <v>292</v>
      </c>
      <c r="B1520" t="s">
        <v>35</v>
      </c>
      <c r="C1520" t="s">
        <v>93</v>
      </c>
      <c r="D1520">
        <v>3</v>
      </c>
      <c r="E1520">
        <v>6</v>
      </c>
    </row>
    <row r="1521" spans="1:5" x14ac:dyDescent="0.35">
      <c r="A1521" t="s">
        <v>292</v>
      </c>
      <c r="B1521" t="s">
        <v>35</v>
      </c>
      <c r="C1521" t="s">
        <v>94</v>
      </c>
      <c r="D1521">
        <v>32</v>
      </c>
      <c r="E1521">
        <v>46</v>
      </c>
    </row>
    <row r="1522" spans="1:5" x14ac:dyDescent="0.35">
      <c r="A1522" t="s">
        <v>292</v>
      </c>
      <c r="B1522" t="s">
        <v>33</v>
      </c>
      <c r="C1522" t="s">
        <v>95</v>
      </c>
      <c r="D1522" t="s">
        <v>205</v>
      </c>
      <c r="E1522" t="s">
        <v>205</v>
      </c>
    </row>
    <row r="1523" spans="1:5" x14ac:dyDescent="0.35">
      <c r="A1523" t="s">
        <v>292</v>
      </c>
      <c r="B1523" t="s">
        <v>33</v>
      </c>
      <c r="C1523" t="s">
        <v>96</v>
      </c>
      <c r="D1523">
        <v>5</v>
      </c>
      <c r="E1523">
        <v>7</v>
      </c>
    </row>
    <row r="1524" spans="1:5" x14ac:dyDescent="0.35">
      <c r="A1524" t="s">
        <v>292</v>
      </c>
      <c r="B1524" t="s">
        <v>34</v>
      </c>
      <c r="C1524" t="s">
        <v>8</v>
      </c>
      <c r="D1524">
        <v>15</v>
      </c>
      <c r="E1524">
        <v>16</v>
      </c>
    </row>
    <row r="1525" spans="1:5" x14ac:dyDescent="0.35">
      <c r="A1525" t="s">
        <v>292</v>
      </c>
      <c r="B1525" t="s">
        <v>35</v>
      </c>
      <c r="C1525" t="s">
        <v>97</v>
      </c>
      <c r="D1525">
        <v>48</v>
      </c>
      <c r="E1525">
        <v>33</v>
      </c>
    </row>
    <row r="1526" spans="1:5" x14ac:dyDescent="0.35">
      <c r="A1526" t="s">
        <v>292</v>
      </c>
      <c r="B1526" t="s">
        <v>33</v>
      </c>
      <c r="C1526" t="s">
        <v>98</v>
      </c>
      <c r="D1526">
        <v>53</v>
      </c>
      <c r="E1526">
        <v>47</v>
      </c>
    </row>
    <row r="1527" spans="1:5" x14ac:dyDescent="0.35">
      <c r="A1527" t="s">
        <v>292</v>
      </c>
      <c r="B1527" t="s">
        <v>35</v>
      </c>
      <c r="C1527" t="s">
        <v>99</v>
      </c>
      <c r="D1527">
        <v>13</v>
      </c>
      <c r="E1527">
        <v>12</v>
      </c>
    </row>
    <row r="1528" spans="1:5" x14ac:dyDescent="0.35">
      <c r="A1528" t="s">
        <v>292</v>
      </c>
      <c r="B1528" t="s">
        <v>36</v>
      </c>
      <c r="C1528" t="s">
        <v>100</v>
      </c>
      <c r="D1528">
        <v>5</v>
      </c>
      <c r="E1528">
        <v>6</v>
      </c>
    </row>
    <row r="1529" spans="1:5" x14ac:dyDescent="0.35">
      <c r="A1529" t="s">
        <v>292</v>
      </c>
      <c r="B1529" t="s">
        <v>36</v>
      </c>
      <c r="C1529" t="s">
        <v>15</v>
      </c>
      <c r="D1529">
        <v>15365</v>
      </c>
      <c r="E1529">
        <v>31501</v>
      </c>
    </row>
    <row r="1530" spans="1:5" x14ac:dyDescent="0.35">
      <c r="A1530" t="s">
        <v>292</v>
      </c>
      <c r="B1530" t="s">
        <v>33</v>
      </c>
      <c r="C1530" t="s">
        <v>101</v>
      </c>
      <c r="D1530" t="s">
        <v>205</v>
      </c>
      <c r="E1530" t="s">
        <v>205</v>
      </c>
    </row>
    <row r="1531" spans="1:5" x14ac:dyDescent="0.35">
      <c r="A1531" t="s">
        <v>292</v>
      </c>
      <c r="B1531" t="s">
        <v>38</v>
      </c>
      <c r="C1531" t="s">
        <v>103</v>
      </c>
      <c r="D1531">
        <v>134</v>
      </c>
      <c r="E1531">
        <v>16</v>
      </c>
    </row>
    <row r="1532" spans="1:5" x14ac:dyDescent="0.35">
      <c r="A1532" t="s">
        <v>292</v>
      </c>
      <c r="B1532" t="s">
        <v>36</v>
      </c>
      <c r="C1532" t="s">
        <v>104</v>
      </c>
      <c r="D1532">
        <v>448</v>
      </c>
      <c r="E1532">
        <v>60</v>
      </c>
    </row>
    <row r="1533" spans="1:5" x14ac:dyDescent="0.35">
      <c r="A1533" t="s">
        <v>292</v>
      </c>
      <c r="B1533" t="s">
        <v>36</v>
      </c>
      <c r="C1533" t="s">
        <v>17</v>
      </c>
      <c r="D1533">
        <v>16609</v>
      </c>
      <c r="E1533">
        <v>19917</v>
      </c>
    </row>
    <row r="1534" spans="1:5" x14ac:dyDescent="0.35">
      <c r="A1534" t="s">
        <v>292</v>
      </c>
      <c r="B1534" t="s">
        <v>34</v>
      </c>
      <c r="C1534" t="s">
        <v>368</v>
      </c>
      <c r="D1534">
        <v>8</v>
      </c>
      <c r="E1534">
        <v>8</v>
      </c>
    </row>
    <row r="1535" spans="1:5" x14ac:dyDescent="0.35">
      <c r="A1535" t="s">
        <v>292</v>
      </c>
      <c r="B1535" t="s">
        <v>35</v>
      </c>
      <c r="C1535" t="s">
        <v>105</v>
      </c>
      <c r="D1535">
        <v>29</v>
      </c>
      <c r="E1535">
        <v>36</v>
      </c>
    </row>
    <row r="1536" spans="1:5" x14ac:dyDescent="0.35">
      <c r="A1536" t="s">
        <v>292</v>
      </c>
      <c r="B1536" t="s">
        <v>34</v>
      </c>
      <c r="C1536" t="s">
        <v>22</v>
      </c>
      <c r="D1536">
        <v>129</v>
      </c>
      <c r="E1536">
        <v>274</v>
      </c>
    </row>
    <row r="1537" spans="1:5" x14ac:dyDescent="0.35">
      <c r="A1537" t="s">
        <v>292</v>
      </c>
      <c r="B1537" t="s">
        <v>34</v>
      </c>
      <c r="C1537" t="s">
        <v>107</v>
      </c>
      <c r="D1537">
        <v>21</v>
      </c>
      <c r="E1537">
        <v>60</v>
      </c>
    </row>
    <row r="1538" spans="1:5" x14ac:dyDescent="0.35">
      <c r="A1538" t="s">
        <v>292</v>
      </c>
      <c r="B1538" t="s">
        <v>34</v>
      </c>
      <c r="C1538" t="s">
        <v>108</v>
      </c>
      <c r="D1538">
        <v>10</v>
      </c>
      <c r="E1538">
        <v>18</v>
      </c>
    </row>
    <row r="1539" spans="1:5" x14ac:dyDescent="0.35">
      <c r="A1539" t="s">
        <v>292</v>
      </c>
      <c r="B1539" t="s">
        <v>34</v>
      </c>
      <c r="C1539" t="s">
        <v>109</v>
      </c>
      <c r="D1539">
        <v>14</v>
      </c>
      <c r="E1539">
        <v>13</v>
      </c>
    </row>
    <row r="1540" spans="1:5" x14ac:dyDescent="0.35">
      <c r="A1540" t="s">
        <v>292</v>
      </c>
      <c r="B1540" t="s">
        <v>35</v>
      </c>
      <c r="C1540" t="s">
        <v>110</v>
      </c>
      <c r="D1540">
        <v>20</v>
      </c>
      <c r="E1540">
        <v>27</v>
      </c>
    </row>
    <row r="1541" spans="1:5" x14ac:dyDescent="0.35">
      <c r="A1541" t="s">
        <v>292</v>
      </c>
      <c r="B1541" t="s">
        <v>34</v>
      </c>
      <c r="C1541" t="s">
        <v>111</v>
      </c>
      <c r="D1541">
        <v>33</v>
      </c>
      <c r="E1541">
        <v>91</v>
      </c>
    </row>
    <row r="1542" spans="1:5" x14ac:dyDescent="0.35">
      <c r="A1542" t="s">
        <v>292</v>
      </c>
      <c r="B1542" t="s">
        <v>35</v>
      </c>
      <c r="C1542" t="s">
        <v>112</v>
      </c>
      <c r="D1542">
        <v>50</v>
      </c>
      <c r="E1542">
        <v>63</v>
      </c>
    </row>
    <row r="1543" spans="1:5" x14ac:dyDescent="0.35">
      <c r="A1543" t="s">
        <v>292</v>
      </c>
      <c r="B1543" t="s">
        <v>36</v>
      </c>
      <c r="C1543" t="s">
        <v>113</v>
      </c>
      <c r="D1543">
        <v>993</v>
      </c>
      <c r="E1543">
        <v>108</v>
      </c>
    </row>
    <row r="1544" spans="1:5" x14ac:dyDescent="0.35">
      <c r="A1544" t="s">
        <v>292</v>
      </c>
      <c r="B1544" t="s">
        <v>34</v>
      </c>
      <c r="C1544" t="s">
        <v>114</v>
      </c>
      <c r="D1544">
        <v>16</v>
      </c>
      <c r="E1544">
        <v>29</v>
      </c>
    </row>
    <row r="1545" spans="1:5" x14ac:dyDescent="0.35">
      <c r="A1545" t="s">
        <v>292</v>
      </c>
      <c r="B1545" t="s">
        <v>34</v>
      </c>
      <c r="C1545" t="s">
        <v>115</v>
      </c>
      <c r="D1545">
        <v>31</v>
      </c>
      <c r="E1545">
        <v>27</v>
      </c>
    </row>
    <row r="1546" spans="1:5" x14ac:dyDescent="0.35">
      <c r="A1546" t="s">
        <v>292</v>
      </c>
      <c r="B1546" t="s">
        <v>34</v>
      </c>
      <c r="C1546" t="s">
        <v>116</v>
      </c>
      <c r="D1546">
        <v>8</v>
      </c>
      <c r="E1546">
        <v>13</v>
      </c>
    </row>
    <row r="1547" spans="1:5" x14ac:dyDescent="0.35">
      <c r="A1547" t="s">
        <v>292</v>
      </c>
      <c r="B1547" t="s">
        <v>33</v>
      </c>
      <c r="C1547" t="s">
        <v>117</v>
      </c>
      <c r="D1547">
        <v>64</v>
      </c>
      <c r="E1547">
        <v>29</v>
      </c>
    </row>
    <row r="1548" spans="1:5" x14ac:dyDescent="0.35">
      <c r="A1548" t="s">
        <v>292</v>
      </c>
      <c r="B1548" t="s">
        <v>34</v>
      </c>
      <c r="C1548" t="s">
        <v>118</v>
      </c>
      <c r="D1548">
        <v>131</v>
      </c>
      <c r="E1548">
        <v>116</v>
      </c>
    </row>
    <row r="1549" spans="1:5" x14ac:dyDescent="0.35">
      <c r="A1549" t="s">
        <v>292</v>
      </c>
      <c r="B1549" t="s">
        <v>35</v>
      </c>
      <c r="C1549" t="s">
        <v>119</v>
      </c>
      <c r="D1549">
        <v>13</v>
      </c>
      <c r="E1549">
        <v>8</v>
      </c>
    </row>
    <row r="1550" spans="1:5" x14ac:dyDescent="0.35">
      <c r="A1550" t="s">
        <v>292</v>
      </c>
      <c r="B1550" t="s">
        <v>34</v>
      </c>
      <c r="C1550" t="s">
        <v>120</v>
      </c>
      <c r="D1550" t="s">
        <v>205</v>
      </c>
      <c r="E1550" t="s">
        <v>205</v>
      </c>
    </row>
    <row r="1551" spans="1:5" x14ac:dyDescent="0.35">
      <c r="A1551" t="s">
        <v>292</v>
      </c>
      <c r="B1551" t="s">
        <v>34</v>
      </c>
      <c r="C1551" t="s">
        <v>121</v>
      </c>
      <c r="D1551">
        <v>3</v>
      </c>
      <c r="E1551">
        <v>5</v>
      </c>
    </row>
    <row r="1552" spans="1:5" x14ac:dyDescent="0.35">
      <c r="A1552" t="s">
        <v>292</v>
      </c>
      <c r="B1552" t="s">
        <v>34</v>
      </c>
      <c r="C1552" t="s">
        <v>122</v>
      </c>
      <c r="D1552">
        <v>3</v>
      </c>
      <c r="E1552">
        <v>6</v>
      </c>
    </row>
    <row r="1553" spans="1:5" x14ac:dyDescent="0.35">
      <c r="A1553" t="s">
        <v>292</v>
      </c>
      <c r="B1553" t="s">
        <v>35</v>
      </c>
      <c r="C1553" t="s">
        <v>123</v>
      </c>
      <c r="D1553">
        <v>10</v>
      </c>
      <c r="E1553">
        <v>29</v>
      </c>
    </row>
    <row r="1554" spans="1:5" x14ac:dyDescent="0.35">
      <c r="A1554" t="s">
        <v>292</v>
      </c>
      <c r="B1554" t="s">
        <v>34</v>
      </c>
      <c r="C1554" t="s">
        <v>124</v>
      </c>
      <c r="D1554">
        <v>18</v>
      </c>
      <c r="E1554">
        <v>20</v>
      </c>
    </row>
    <row r="1555" spans="1:5" x14ac:dyDescent="0.35">
      <c r="A1555" t="s">
        <v>292</v>
      </c>
      <c r="B1555" t="s">
        <v>33</v>
      </c>
      <c r="C1555" t="s">
        <v>125</v>
      </c>
      <c r="D1555">
        <v>36</v>
      </c>
      <c r="E1555">
        <v>4</v>
      </c>
    </row>
    <row r="1556" spans="1:5" x14ac:dyDescent="0.35">
      <c r="A1556" t="s">
        <v>292</v>
      </c>
      <c r="B1556" t="s">
        <v>35</v>
      </c>
      <c r="C1556" t="s">
        <v>127</v>
      </c>
      <c r="D1556">
        <v>26</v>
      </c>
      <c r="E1556">
        <v>14</v>
      </c>
    </row>
    <row r="1557" spans="1:5" x14ac:dyDescent="0.35">
      <c r="A1557" t="s">
        <v>292</v>
      </c>
      <c r="B1557" t="s">
        <v>33</v>
      </c>
      <c r="C1557" t="s">
        <v>130</v>
      </c>
      <c r="D1557" t="s">
        <v>205</v>
      </c>
      <c r="E1557" t="s">
        <v>205</v>
      </c>
    </row>
    <row r="1558" spans="1:5" x14ac:dyDescent="0.35">
      <c r="A1558" t="s">
        <v>292</v>
      </c>
      <c r="B1558" t="s">
        <v>34</v>
      </c>
      <c r="C1558" t="s">
        <v>131</v>
      </c>
      <c r="D1558">
        <v>10</v>
      </c>
      <c r="E1558">
        <v>12</v>
      </c>
    </row>
    <row r="1559" spans="1:5" x14ac:dyDescent="0.35">
      <c r="A1559" t="s">
        <v>292</v>
      </c>
      <c r="B1559" t="s">
        <v>33</v>
      </c>
      <c r="C1559" t="s">
        <v>132</v>
      </c>
      <c r="D1559">
        <v>3</v>
      </c>
      <c r="E1559">
        <v>7</v>
      </c>
    </row>
    <row r="1560" spans="1:5" x14ac:dyDescent="0.35">
      <c r="A1560" t="s">
        <v>292</v>
      </c>
      <c r="B1560" t="s">
        <v>37</v>
      </c>
      <c r="C1560" t="s">
        <v>134</v>
      </c>
      <c r="D1560">
        <v>24</v>
      </c>
    </row>
    <row r="1561" spans="1:5" x14ac:dyDescent="0.35">
      <c r="A1561" t="s">
        <v>292</v>
      </c>
      <c r="B1561" t="s">
        <v>33</v>
      </c>
      <c r="C1561" t="s">
        <v>135</v>
      </c>
      <c r="D1561" t="s">
        <v>205</v>
      </c>
      <c r="E1561" t="s">
        <v>205</v>
      </c>
    </row>
    <row r="1562" spans="1:5" x14ac:dyDescent="0.35">
      <c r="A1562" t="s">
        <v>292</v>
      </c>
      <c r="B1562" t="s">
        <v>36</v>
      </c>
      <c r="C1562" t="s">
        <v>14</v>
      </c>
      <c r="D1562">
        <v>146298</v>
      </c>
      <c r="E1562">
        <v>168606</v>
      </c>
    </row>
    <row r="1563" spans="1:5" x14ac:dyDescent="0.35">
      <c r="A1563" t="s">
        <v>292</v>
      </c>
      <c r="B1563" t="s">
        <v>37</v>
      </c>
      <c r="C1563" t="s">
        <v>137</v>
      </c>
      <c r="D1563" t="s">
        <v>205</v>
      </c>
      <c r="E1563" t="s">
        <v>205</v>
      </c>
    </row>
    <row r="1564" spans="1:5" x14ac:dyDescent="0.35">
      <c r="A1564" t="s">
        <v>292</v>
      </c>
      <c r="B1564" t="s">
        <v>35</v>
      </c>
      <c r="C1564" t="s">
        <v>138</v>
      </c>
      <c r="D1564">
        <v>19</v>
      </c>
      <c r="E1564">
        <v>13</v>
      </c>
    </row>
    <row r="1565" spans="1:5" x14ac:dyDescent="0.35">
      <c r="A1565" t="s">
        <v>292</v>
      </c>
      <c r="B1565" t="s">
        <v>34</v>
      </c>
      <c r="C1565" t="s">
        <v>139</v>
      </c>
      <c r="D1565">
        <v>14</v>
      </c>
      <c r="E1565">
        <v>8</v>
      </c>
    </row>
    <row r="1566" spans="1:5" x14ac:dyDescent="0.35">
      <c r="A1566" t="s">
        <v>292</v>
      </c>
      <c r="B1566" t="s">
        <v>35</v>
      </c>
      <c r="C1566" t="s">
        <v>140</v>
      </c>
      <c r="D1566">
        <v>9</v>
      </c>
      <c r="E1566">
        <v>9</v>
      </c>
    </row>
    <row r="1567" spans="1:5" x14ac:dyDescent="0.35">
      <c r="A1567" t="s">
        <v>292</v>
      </c>
      <c r="B1567" t="s">
        <v>33</v>
      </c>
      <c r="C1567" t="s">
        <v>141</v>
      </c>
      <c r="D1567">
        <v>30</v>
      </c>
      <c r="E1567">
        <v>14</v>
      </c>
    </row>
    <row r="1568" spans="1:5" x14ac:dyDescent="0.35">
      <c r="A1568" t="s">
        <v>292</v>
      </c>
      <c r="B1568" t="s">
        <v>34</v>
      </c>
      <c r="C1568" t="s">
        <v>144</v>
      </c>
      <c r="D1568">
        <v>12</v>
      </c>
      <c r="E1568">
        <v>27</v>
      </c>
    </row>
    <row r="1569" spans="1:5" x14ac:dyDescent="0.35">
      <c r="A1569" t="s">
        <v>292</v>
      </c>
      <c r="B1569" t="s">
        <v>35</v>
      </c>
      <c r="C1569" t="s">
        <v>145</v>
      </c>
      <c r="D1569">
        <v>22</v>
      </c>
      <c r="E1569">
        <v>19</v>
      </c>
    </row>
    <row r="1570" spans="1:5" x14ac:dyDescent="0.35">
      <c r="A1570" t="s">
        <v>292</v>
      </c>
      <c r="B1570" t="s">
        <v>37</v>
      </c>
      <c r="C1570" t="s">
        <v>146</v>
      </c>
      <c r="D1570">
        <v>7</v>
      </c>
      <c r="E1570">
        <v>9</v>
      </c>
    </row>
    <row r="1571" spans="1:5" x14ac:dyDescent="0.35">
      <c r="A1571" t="s">
        <v>292</v>
      </c>
      <c r="B1571" t="s">
        <v>36</v>
      </c>
      <c r="C1571" t="s">
        <v>147</v>
      </c>
      <c r="D1571">
        <v>691</v>
      </c>
      <c r="E1571">
        <v>646</v>
      </c>
    </row>
    <row r="1572" spans="1:5" x14ac:dyDescent="0.35">
      <c r="A1572" t="s">
        <v>292</v>
      </c>
      <c r="B1572" t="s">
        <v>33</v>
      </c>
      <c r="C1572" t="s">
        <v>148</v>
      </c>
      <c r="D1572" t="s">
        <v>205</v>
      </c>
      <c r="E1572" t="s">
        <v>205</v>
      </c>
    </row>
    <row r="1573" spans="1:5" x14ac:dyDescent="0.35">
      <c r="A1573" t="s">
        <v>292</v>
      </c>
      <c r="B1573" t="s">
        <v>33</v>
      </c>
      <c r="C1573" t="s">
        <v>149</v>
      </c>
      <c r="D1573">
        <v>137</v>
      </c>
      <c r="E1573">
        <v>209</v>
      </c>
    </row>
    <row r="1574" spans="1:5" x14ac:dyDescent="0.35">
      <c r="A1574" t="s">
        <v>292</v>
      </c>
      <c r="B1574" t="s">
        <v>35</v>
      </c>
      <c r="C1574" t="s">
        <v>322</v>
      </c>
      <c r="D1574">
        <v>7</v>
      </c>
      <c r="E1574">
        <v>8</v>
      </c>
    </row>
    <row r="1575" spans="1:5" x14ac:dyDescent="0.35">
      <c r="A1575" t="s">
        <v>292</v>
      </c>
      <c r="B1575" t="s">
        <v>35</v>
      </c>
      <c r="C1575" t="s">
        <v>150</v>
      </c>
      <c r="E1575">
        <v>5</v>
      </c>
    </row>
    <row r="1576" spans="1:5" x14ac:dyDescent="0.35">
      <c r="A1576" t="s">
        <v>292</v>
      </c>
      <c r="B1576" t="s">
        <v>34</v>
      </c>
      <c r="C1576" t="s">
        <v>152</v>
      </c>
      <c r="D1576">
        <v>38</v>
      </c>
      <c r="E1576">
        <v>83</v>
      </c>
    </row>
    <row r="1577" spans="1:5" x14ac:dyDescent="0.35">
      <c r="A1577" t="s">
        <v>292</v>
      </c>
      <c r="B1577" t="s">
        <v>37</v>
      </c>
      <c r="C1577" t="s">
        <v>153</v>
      </c>
      <c r="D1577">
        <v>16</v>
      </c>
    </row>
    <row r="1578" spans="1:5" x14ac:dyDescent="0.35">
      <c r="A1578" t="s">
        <v>292</v>
      </c>
      <c r="B1578" t="s">
        <v>36</v>
      </c>
      <c r="C1578" t="s">
        <v>154</v>
      </c>
      <c r="D1578">
        <v>81</v>
      </c>
      <c r="E1578">
        <v>43</v>
      </c>
    </row>
    <row r="1579" spans="1:5" x14ac:dyDescent="0.35">
      <c r="A1579" t="s">
        <v>292</v>
      </c>
      <c r="B1579" t="s">
        <v>38</v>
      </c>
      <c r="C1579" t="s">
        <v>155</v>
      </c>
      <c r="D1579">
        <v>6</v>
      </c>
      <c r="E1579">
        <v>15</v>
      </c>
    </row>
    <row r="1580" spans="1:5" x14ac:dyDescent="0.35">
      <c r="A1580" t="s">
        <v>292</v>
      </c>
      <c r="B1580" t="s">
        <v>38</v>
      </c>
      <c r="C1580" t="s">
        <v>156</v>
      </c>
      <c r="D1580">
        <v>318</v>
      </c>
      <c r="E1580">
        <v>316</v>
      </c>
    </row>
    <row r="1581" spans="1:5" x14ac:dyDescent="0.35">
      <c r="A1581" t="s">
        <v>292</v>
      </c>
      <c r="B1581" t="s">
        <v>34</v>
      </c>
      <c r="C1581" t="s">
        <v>18</v>
      </c>
      <c r="D1581">
        <v>217</v>
      </c>
      <c r="E1581">
        <v>132</v>
      </c>
    </row>
    <row r="1582" spans="1:5" x14ac:dyDescent="0.35">
      <c r="A1582" t="s">
        <v>292</v>
      </c>
      <c r="B1582" t="s">
        <v>35</v>
      </c>
      <c r="C1582" t="s">
        <v>157</v>
      </c>
      <c r="D1582">
        <v>107</v>
      </c>
      <c r="E1582">
        <v>110</v>
      </c>
    </row>
    <row r="1583" spans="1:5" x14ac:dyDescent="0.35">
      <c r="A1583" t="s">
        <v>292</v>
      </c>
      <c r="B1583" t="s">
        <v>35</v>
      </c>
      <c r="C1583" t="s">
        <v>158</v>
      </c>
      <c r="D1583">
        <v>56</v>
      </c>
      <c r="E1583">
        <v>25</v>
      </c>
    </row>
    <row r="1584" spans="1:5" x14ac:dyDescent="0.35">
      <c r="A1584" t="s">
        <v>292</v>
      </c>
      <c r="B1584" t="s">
        <v>35</v>
      </c>
      <c r="C1584" t="s">
        <v>160</v>
      </c>
      <c r="D1584">
        <v>87</v>
      </c>
      <c r="E1584">
        <v>99</v>
      </c>
    </row>
    <row r="1585" spans="1:5" x14ac:dyDescent="0.35">
      <c r="A1585" t="s">
        <v>292</v>
      </c>
      <c r="B1585" t="s">
        <v>35</v>
      </c>
      <c r="C1585" t="s">
        <v>161</v>
      </c>
      <c r="D1585">
        <v>64</v>
      </c>
      <c r="E1585">
        <v>51</v>
      </c>
    </row>
    <row r="1586" spans="1:5" x14ac:dyDescent="0.35">
      <c r="A1586" t="s">
        <v>292</v>
      </c>
      <c r="B1586" t="s">
        <v>33</v>
      </c>
      <c r="C1586" t="s">
        <v>162</v>
      </c>
      <c r="E1586">
        <v>4</v>
      </c>
    </row>
    <row r="1587" spans="1:5" x14ac:dyDescent="0.35">
      <c r="A1587" t="s">
        <v>292</v>
      </c>
      <c r="B1587" t="s">
        <v>36</v>
      </c>
      <c r="C1587" t="s">
        <v>163</v>
      </c>
      <c r="D1587">
        <v>10</v>
      </c>
      <c r="E1587">
        <v>4</v>
      </c>
    </row>
    <row r="1588" spans="1:5" x14ac:dyDescent="0.35">
      <c r="A1588" t="s">
        <v>292</v>
      </c>
      <c r="B1588" t="s">
        <v>36</v>
      </c>
      <c r="C1588" t="s">
        <v>164</v>
      </c>
      <c r="D1588">
        <v>10</v>
      </c>
      <c r="E1588">
        <v>16</v>
      </c>
    </row>
    <row r="1589" spans="1:5" x14ac:dyDescent="0.35">
      <c r="A1589" t="s">
        <v>292</v>
      </c>
      <c r="B1589" t="s">
        <v>36</v>
      </c>
      <c r="C1589" t="s">
        <v>165</v>
      </c>
      <c r="D1589">
        <v>17</v>
      </c>
      <c r="E1589">
        <v>5</v>
      </c>
    </row>
    <row r="1590" spans="1:5" x14ac:dyDescent="0.35">
      <c r="A1590" t="s">
        <v>292</v>
      </c>
      <c r="B1590" t="s">
        <v>37</v>
      </c>
      <c r="C1590" t="s">
        <v>166</v>
      </c>
      <c r="D1590">
        <v>6</v>
      </c>
      <c r="E1590">
        <v>4</v>
      </c>
    </row>
    <row r="1591" spans="1:5" x14ac:dyDescent="0.35">
      <c r="A1591" t="s">
        <v>292</v>
      </c>
      <c r="B1591" t="s">
        <v>34</v>
      </c>
      <c r="C1591" t="s">
        <v>167</v>
      </c>
      <c r="D1591">
        <v>17</v>
      </c>
      <c r="E1591">
        <v>30</v>
      </c>
    </row>
    <row r="1592" spans="1:5" x14ac:dyDescent="0.35">
      <c r="A1592" t="s">
        <v>292</v>
      </c>
      <c r="B1592" t="s">
        <v>33</v>
      </c>
      <c r="C1592" t="s">
        <v>168</v>
      </c>
      <c r="D1592">
        <v>16</v>
      </c>
      <c r="E1592">
        <v>24</v>
      </c>
    </row>
    <row r="1593" spans="1:5" x14ac:dyDescent="0.35">
      <c r="A1593" t="s">
        <v>292</v>
      </c>
      <c r="B1593" t="s">
        <v>35</v>
      </c>
      <c r="C1593" t="s">
        <v>169</v>
      </c>
      <c r="E1593" t="s">
        <v>205</v>
      </c>
    </row>
    <row r="1594" spans="1:5" x14ac:dyDescent="0.35">
      <c r="A1594" t="s">
        <v>292</v>
      </c>
      <c r="B1594" t="s">
        <v>35</v>
      </c>
      <c r="C1594" t="s">
        <v>215</v>
      </c>
      <c r="D1594">
        <v>7</v>
      </c>
      <c r="E1594">
        <v>12</v>
      </c>
    </row>
    <row r="1595" spans="1:5" x14ac:dyDescent="0.35">
      <c r="A1595" t="s">
        <v>292</v>
      </c>
      <c r="B1595" t="s">
        <v>33</v>
      </c>
      <c r="C1595" t="s">
        <v>170</v>
      </c>
      <c r="D1595">
        <v>10</v>
      </c>
      <c r="E1595">
        <v>6</v>
      </c>
    </row>
    <row r="1596" spans="1:5" x14ac:dyDescent="0.35">
      <c r="A1596" t="s">
        <v>292</v>
      </c>
      <c r="B1596" t="s">
        <v>34</v>
      </c>
      <c r="C1596" t="s">
        <v>171</v>
      </c>
      <c r="D1596" t="s">
        <v>205</v>
      </c>
      <c r="E1596" t="s">
        <v>205</v>
      </c>
    </row>
    <row r="1597" spans="1:5" x14ac:dyDescent="0.35">
      <c r="A1597" t="s">
        <v>292</v>
      </c>
      <c r="B1597" t="s">
        <v>35</v>
      </c>
      <c r="C1597" t="s">
        <v>172</v>
      </c>
      <c r="D1597">
        <v>8</v>
      </c>
      <c r="E1597">
        <v>15</v>
      </c>
    </row>
    <row r="1598" spans="1:5" x14ac:dyDescent="0.35">
      <c r="A1598" t="s">
        <v>292</v>
      </c>
      <c r="B1598" t="s">
        <v>35</v>
      </c>
      <c r="C1598" t="s">
        <v>173</v>
      </c>
      <c r="D1598" t="s">
        <v>205</v>
      </c>
      <c r="E1598" t="s">
        <v>205</v>
      </c>
    </row>
    <row r="1599" spans="1:5" x14ac:dyDescent="0.35">
      <c r="A1599" t="s">
        <v>292</v>
      </c>
      <c r="B1599" t="s">
        <v>33</v>
      </c>
      <c r="C1599" t="s">
        <v>174</v>
      </c>
      <c r="D1599">
        <v>32</v>
      </c>
      <c r="E1599">
        <v>20</v>
      </c>
    </row>
    <row r="1600" spans="1:5" x14ac:dyDescent="0.35">
      <c r="A1600" t="s">
        <v>292</v>
      </c>
      <c r="B1600" t="s">
        <v>33</v>
      </c>
      <c r="C1600" t="s">
        <v>175</v>
      </c>
      <c r="D1600">
        <v>17</v>
      </c>
      <c r="E1600">
        <v>16</v>
      </c>
    </row>
    <row r="1601" spans="1:5" x14ac:dyDescent="0.35">
      <c r="A1601" t="s">
        <v>292</v>
      </c>
      <c r="B1601" t="s">
        <v>33</v>
      </c>
      <c r="C1601" t="s">
        <v>176</v>
      </c>
      <c r="D1601">
        <v>38</v>
      </c>
    </row>
    <row r="1602" spans="1:5" x14ac:dyDescent="0.35">
      <c r="A1602" t="s">
        <v>292</v>
      </c>
      <c r="B1602" t="s">
        <v>35</v>
      </c>
      <c r="C1602" t="s">
        <v>216</v>
      </c>
      <c r="D1602" t="s">
        <v>205</v>
      </c>
      <c r="E1602" t="s">
        <v>205</v>
      </c>
    </row>
    <row r="1603" spans="1:5" x14ac:dyDescent="0.35">
      <c r="A1603" t="s">
        <v>292</v>
      </c>
      <c r="B1603" t="s">
        <v>35</v>
      </c>
      <c r="C1603" t="s">
        <v>177</v>
      </c>
      <c r="D1603">
        <v>30</v>
      </c>
      <c r="E1603">
        <v>62</v>
      </c>
    </row>
    <row r="1604" spans="1:5" x14ac:dyDescent="0.35">
      <c r="A1604" t="s">
        <v>292</v>
      </c>
      <c r="B1604" t="s">
        <v>34</v>
      </c>
      <c r="C1604" t="s">
        <v>178</v>
      </c>
      <c r="D1604">
        <v>5</v>
      </c>
      <c r="E1604">
        <v>42</v>
      </c>
    </row>
    <row r="1605" spans="1:5" x14ac:dyDescent="0.35">
      <c r="A1605" t="s">
        <v>292</v>
      </c>
      <c r="B1605" t="s">
        <v>33</v>
      </c>
      <c r="C1605" t="s">
        <v>179</v>
      </c>
      <c r="D1605">
        <v>11</v>
      </c>
      <c r="E1605">
        <v>5</v>
      </c>
    </row>
    <row r="1606" spans="1:5" x14ac:dyDescent="0.35">
      <c r="A1606" t="s">
        <v>292</v>
      </c>
      <c r="B1606" t="s">
        <v>38</v>
      </c>
      <c r="C1606" t="s">
        <v>180</v>
      </c>
      <c r="D1606">
        <v>10</v>
      </c>
      <c r="E1606">
        <v>3</v>
      </c>
    </row>
    <row r="1607" spans="1:5" x14ac:dyDescent="0.35">
      <c r="A1607" t="s">
        <v>292</v>
      </c>
      <c r="B1607" t="s">
        <v>35</v>
      </c>
      <c r="C1607" t="s">
        <v>182</v>
      </c>
      <c r="D1607">
        <v>13</v>
      </c>
      <c r="E1607">
        <v>9</v>
      </c>
    </row>
    <row r="1608" spans="1:5" x14ac:dyDescent="0.35">
      <c r="A1608" t="s">
        <v>292</v>
      </c>
      <c r="B1608" t="s">
        <v>35</v>
      </c>
      <c r="C1608" t="s">
        <v>183</v>
      </c>
      <c r="D1608">
        <v>4</v>
      </c>
      <c r="E1608">
        <v>4</v>
      </c>
    </row>
    <row r="1609" spans="1:5" x14ac:dyDescent="0.35">
      <c r="A1609" t="s">
        <v>292</v>
      </c>
      <c r="B1609" t="s">
        <v>34</v>
      </c>
      <c r="C1609" t="s">
        <v>184</v>
      </c>
      <c r="D1609">
        <v>3</v>
      </c>
      <c r="E1609">
        <v>13</v>
      </c>
    </row>
    <row r="1610" spans="1:5" x14ac:dyDescent="0.35">
      <c r="A1610" t="s">
        <v>292</v>
      </c>
      <c r="B1610" t="s">
        <v>34</v>
      </c>
      <c r="C1610" t="s">
        <v>185</v>
      </c>
      <c r="D1610">
        <v>14</v>
      </c>
      <c r="E1610">
        <v>32</v>
      </c>
    </row>
    <row r="1611" spans="1:5" x14ac:dyDescent="0.35">
      <c r="A1611" t="s">
        <v>292</v>
      </c>
      <c r="B1611" t="s">
        <v>34</v>
      </c>
      <c r="C1611" t="s">
        <v>186</v>
      </c>
      <c r="D1611">
        <v>4</v>
      </c>
      <c r="E1611">
        <v>5</v>
      </c>
    </row>
    <row r="1612" spans="1:5" x14ac:dyDescent="0.35">
      <c r="A1612" t="s">
        <v>292</v>
      </c>
      <c r="B1612" t="s">
        <v>33</v>
      </c>
      <c r="C1612" t="s">
        <v>187</v>
      </c>
      <c r="D1612">
        <v>15</v>
      </c>
      <c r="E1612">
        <v>10</v>
      </c>
    </row>
    <row r="1613" spans="1:5" x14ac:dyDescent="0.35">
      <c r="A1613" t="s">
        <v>292</v>
      </c>
      <c r="B1613" t="s">
        <v>34</v>
      </c>
      <c r="C1613" t="s">
        <v>188</v>
      </c>
      <c r="D1613">
        <v>18</v>
      </c>
      <c r="E1613">
        <v>38</v>
      </c>
    </row>
    <row r="1614" spans="1:5" x14ac:dyDescent="0.35">
      <c r="A1614" t="s">
        <v>292</v>
      </c>
      <c r="B1614" t="s">
        <v>33</v>
      </c>
      <c r="C1614" t="s">
        <v>189</v>
      </c>
      <c r="D1614" t="s">
        <v>205</v>
      </c>
      <c r="E1614" t="s">
        <v>205</v>
      </c>
    </row>
    <row r="1615" spans="1:5" x14ac:dyDescent="0.35">
      <c r="A1615" t="s">
        <v>292</v>
      </c>
      <c r="B1615" t="s">
        <v>37</v>
      </c>
      <c r="C1615" t="s">
        <v>190</v>
      </c>
      <c r="D1615" t="s">
        <v>205</v>
      </c>
      <c r="E1615" t="s">
        <v>205</v>
      </c>
    </row>
    <row r="1616" spans="1:5" x14ac:dyDescent="0.35">
      <c r="A1616" t="s">
        <v>292</v>
      </c>
      <c r="B1616" t="s">
        <v>36</v>
      </c>
      <c r="C1616" t="s">
        <v>191</v>
      </c>
      <c r="D1616">
        <v>134</v>
      </c>
      <c r="E1616">
        <v>35</v>
      </c>
    </row>
    <row r="1617" spans="1:5" x14ac:dyDescent="0.35">
      <c r="A1617" t="s">
        <v>292</v>
      </c>
      <c r="B1617" t="s">
        <v>33</v>
      </c>
      <c r="C1617" t="s">
        <v>192</v>
      </c>
      <c r="D1617">
        <v>7</v>
      </c>
      <c r="E1617">
        <v>5</v>
      </c>
    </row>
    <row r="1618" spans="1:5" x14ac:dyDescent="0.35">
      <c r="A1618" t="s">
        <v>292</v>
      </c>
      <c r="B1618" t="s">
        <v>34</v>
      </c>
      <c r="C1618" t="s">
        <v>193</v>
      </c>
      <c r="D1618">
        <v>29</v>
      </c>
      <c r="E1618">
        <v>54</v>
      </c>
    </row>
    <row r="1619" spans="1:5" x14ac:dyDescent="0.35">
      <c r="A1619" t="s">
        <v>292</v>
      </c>
      <c r="B1619" t="s">
        <v>36</v>
      </c>
      <c r="C1619" t="s">
        <v>372</v>
      </c>
      <c r="D1619">
        <v>3</v>
      </c>
      <c r="E1619">
        <v>6</v>
      </c>
    </row>
    <row r="1620" spans="1:5" x14ac:dyDescent="0.35">
      <c r="A1620" t="s">
        <v>292</v>
      </c>
      <c r="B1620" t="s">
        <v>33</v>
      </c>
      <c r="C1620" t="s">
        <v>195</v>
      </c>
      <c r="D1620">
        <v>9</v>
      </c>
      <c r="E1620">
        <v>10</v>
      </c>
    </row>
    <row r="1621" spans="1:5" x14ac:dyDescent="0.35">
      <c r="A1621" t="s">
        <v>292</v>
      </c>
      <c r="B1621" t="s">
        <v>35</v>
      </c>
      <c r="C1621" t="s">
        <v>196</v>
      </c>
      <c r="D1621">
        <v>71</v>
      </c>
      <c r="E1621">
        <v>38</v>
      </c>
    </row>
    <row r="1622" spans="1:5" x14ac:dyDescent="0.35">
      <c r="A1622" t="s">
        <v>292</v>
      </c>
      <c r="B1622" t="s">
        <v>34</v>
      </c>
      <c r="C1622" t="s">
        <v>197</v>
      </c>
      <c r="D1622" t="s">
        <v>205</v>
      </c>
      <c r="E1622" t="s">
        <v>205</v>
      </c>
    </row>
    <row r="1623" spans="1:5" x14ac:dyDescent="0.35">
      <c r="A1623" t="s">
        <v>292</v>
      </c>
      <c r="B1623" t="s">
        <v>35</v>
      </c>
      <c r="C1623" t="s">
        <v>198</v>
      </c>
      <c r="D1623">
        <v>144</v>
      </c>
      <c r="E1623">
        <v>75</v>
      </c>
    </row>
    <row r="1624" spans="1:5" x14ac:dyDescent="0.35">
      <c r="A1624" t="s">
        <v>292</v>
      </c>
      <c r="B1624" t="s">
        <v>39</v>
      </c>
      <c r="C1624" t="s">
        <v>39</v>
      </c>
      <c r="D1624">
        <v>16</v>
      </c>
      <c r="E1624">
        <v>17</v>
      </c>
    </row>
    <row r="1625" spans="1:5" x14ac:dyDescent="0.35">
      <c r="A1625" t="s">
        <v>292</v>
      </c>
      <c r="B1625" t="s">
        <v>38</v>
      </c>
      <c r="C1625" t="s">
        <v>199</v>
      </c>
      <c r="D1625">
        <v>45</v>
      </c>
      <c r="E1625">
        <v>34</v>
      </c>
    </row>
    <row r="1626" spans="1:5" x14ac:dyDescent="0.35">
      <c r="A1626" t="s">
        <v>292</v>
      </c>
      <c r="B1626" t="s">
        <v>34</v>
      </c>
      <c r="C1626" t="s">
        <v>200</v>
      </c>
      <c r="D1626">
        <v>9</v>
      </c>
      <c r="E1626">
        <v>18</v>
      </c>
    </row>
    <row r="1627" spans="1:5" x14ac:dyDescent="0.35">
      <c r="A1627" t="s">
        <v>292</v>
      </c>
      <c r="B1627" t="s">
        <v>38</v>
      </c>
      <c r="C1627" t="s">
        <v>19</v>
      </c>
      <c r="D1627">
        <v>86</v>
      </c>
      <c r="E1627">
        <v>110</v>
      </c>
    </row>
    <row r="1628" spans="1:5" x14ac:dyDescent="0.35">
      <c r="A1628" t="s">
        <v>292</v>
      </c>
      <c r="B1628" t="s">
        <v>34</v>
      </c>
      <c r="C1628" t="s">
        <v>201</v>
      </c>
      <c r="D1628">
        <v>38</v>
      </c>
      <c r="E1628">
        <v>25</v>
      </c>
    </row>
    <row r="1629" spans="1:5" x14ac:dyDescent="0.35">
      <c r="A1629" t="s">
        <v>292</v>
      </c>
      <c r="B1629" t="s">
        <v>34</v>
      </c>
      <c r="C1629" t="s">
        <v>202</v>
      </c>
      <c r="D1629">
        <v>9</v>
      </c>
      <c r="E1629">
        <v>7</v>
      </c>
    </row>
    <row r="1630" spans="1:5" x14ac:dyDescent="0.35">
      <c r="A1630" t="s">
        <v>292</v>
      </c>
      <c r="B1630" t="s">
        <v>33</v>
      </c>
      <c r="C1630" t="s">
        <v>203</v>
      </c>
      <c r="D1630" t="s">
        <v>205</v>
      </c>
      <c r="E1630" t="s">
        <v>205</v>
      </c>
    </row>
    <row r="1631" spans="1:5" x14ac:dyDescent="0.35">
      <c r="A1631" t="s">
        <v>292</v>
      </c>
      <c r="B1631" t="s">
        <v>33</v>
      </c>
      <c r="C1631" t="s">
        <v>204</v>
      </c>
      <c r="D1631">
        <v>9</v>
      </c>
      <c r="E1631">
        <v>4</v>
      </c>
    </row>
    <row r="1632" spans="1:5" x14ac:dyDescent="0.35">
      <c r="B1632" t="s">
        <v>37</v>
      </c>
      <c r="C1632" t="s">
        <v>386</v>
      </c>
    </row>
    <row r="1633" spans="2:3" x14ac:dyDescent="0.35">
      <c r="B1633" t="s">
        <v>36</v>
      </c>
      <c r="C1633" t="s">
        <v>392</v>
      </c>
    </row>
    <row r="1634" spans="2:3" x14ac:dyDescent="0.35">
      <c r="B1634" t="s">
        <v>34</v>
      </c>
      <c r="C1634" t="s">
        <v>51</v>
      </c>
    </row>
    <row r="1635" spans="2:3" x14ac:dyDescent="0.35">
      <c r="B1635" t="s">
        <v>34</v>
      </c>
      <c r="C1635" t="s">
        <v>58</v>
      </c>
    </row>
    <row r="1636" spans="2:3" x14ac:dyDescent="0.35">
      <c r="B1636" t="s">
        <v>33</v>
      </c>
      <c r="C1636" t="s">
        <v>61</v>
      </c>
    </row>
    <row r="1637" spans="2:3" x14ac:dyDescent="0.35">
      <c r="B1637" t="s">
        <v>36</v>
      </c>
      <c r="C1637" t="s">
        <v>364</v>
      </c>
    </row>
    <row r="1638" spans="2:3" x14ac:dyDescent="0.35">
      <c r="B1638" t="s">
        <v>33</v>
      </c>
      <c r="C1638" t="s">
        <v>65</v>
      </c>
    </row>
    <row r="1639" spans="2:3" x14ac:dyDescent="0.35">
      <c r="B1639" t="s">
        <v>36</v>
      </c>
      <c r="C1639" t="s">
        <v>365</v>
      </c>
    </row>
    <row r="1640" spans="2:3" x14ac:dyDescent="0.35">
      <c r="B1640" t="s">
        <v>33</v>
      </c>
      <c r="C1640" t="s">
        <v>70</v>
      </c>
    </row>
    <row r="1641" spans="2:3" x14ac:dyDescent="0.35">
      <c r="B1641" t="s">
        <v>34</v>
      </c>
      <c r="C1641" t="s">
        <v>80</v>
      </c>
    </row>
    <row r="1642" spans="2:3" x14ac:dyDescent="0.35">
      <c r="B1642" t="s">
        <v>33</v>
      </c>
      <c r="C1642" t="s">
        <v>83</v>
      </c>
    </row>
    <row r="1643" spans="2:3" x14ac:dyDescent="0.35">
      <c r="B1643" t="s">
        <v>33</v>
      </c>
      <c r="C1643" t="s">
        <v>88</v>
      </c>
    </row>
    <row r="1644" spans="2:3" x14ac:dyDescent="0.35">
      <c r="B1644" t="s">
        <v>37</v>
      </c>
      <c r="C1644" t="s">
        <v>391</v>
      </c>
    </row>
    <row r="1645" spans="2:3" x14ac:dyDescent="0.35">
      <c r="B1645" t="s">
        <v>37</v>
      </c>
      <c r="C1645" t="s">
        <v>367</v>
      </c>
    </row>
    <row r="1646" spans="2:3" x14ac:dyDescent="0.35">
      <c r="B1646" t="s">
        <v>33</v>
      </c>
      <c r="C1646" t="s">
        <v>102</v>
      </c>
    </row>
    <row r="1647" spans="2:3" x14ac:dyDescent="0.35">
      <c r="B1647" t="s">
        <v>35</v>
      </c>
      <c r="C1647" t="s">
        <v>106</v>
      </c>
    </row>
    <row r="1648" spans="2:3" x14ac:dyDescent="0.35">
      <c r="B1648" t="s">
        <v>37</v>
      </c>
      <c r="C1648" t="s">
        <v>390</v>
      </c>
    </row>
    <row r="1649" spans="2:3" x14ac:dyDescent="0.35">
      <c r="B1649" t="s">
        <v>33</v>
      </c>
      <c r="C1649" t="s">
        <v>126</v>
      </c>
    </row>
    <row r="1650" spans="2:3" x14ac:dyDescent="0.35">
      <c r="B1650" t="s">
        <v>35</v>
      </c>
      <c r="C1650" t="s">
        <v>128</v>
      </c>
    </row>
    <row r="1651" spans="2:3" x14ac:dyDescent="0.35">
      <c r="B1651" t="s">
        <v>34</v>
      </c>
      <c r="C1651" t="s">
        <v>369</v>
      </c>
    </row>
    <row r="1652" spans="2:3" x14ac:dyDescent="0.35">
      <c r="B1652" t="s">
        <v>33</v>
      </c>
      <c r="C1652" t="s">
        <v>129</v>
      </c>
    </row>
    <row r="1653" spans="2:3" x14ac:dyDescent="0.35">
      <c r="B1653" t="s">
        <v>34</v>
      </c>
      <c r="C1653" t="s">
        <v>389</v>
      </c>
    </row>
    <row r="1654" spans="2:3" x14ac:dyDescent="0.35">
      <c r="B1654" t="s">
        <v>35</v>
      </c>
      <c r="C1654" t="s">
        <v>133</v>
      </c>
    </row>
    <row r="1655" spans="2:3" x14ac:dyDescent="0.35">
      <c r="B1655" t="s">
        <v>33</v>
      </c>
      <c r="C1655" t="s">
        <v>136</v>
      </c>
    </row>
    <row r="1656" spans="2:3" x14ac:dyDescent="0.35">
      <c r="B1656" t="s">
        <v>36</v>
      </c>
      <c r="C1656" t="s">
        <v>370</v>
      </c>
    </row>
    <row r="1657" spans="2:3" x14ac:dyDescent="0.35">
      <c r="B1657" t="s">
        <v>33</v>
      </c>
      <c r="C1657" t="s">
        <v>142</v>
      </c>
    </row>
    <row r="1658" spans="2:3" x14ac:dyDescent="0.35">
      <c r="B1658" t="s">
        <v>33</v>
      </c>
      <c r="C1658" t="s">
        <v>143</v>
      </c>
    </row>
    <row r="1659" spans="2:3" x14ac:dyDescent="0.35">
      <c r="B1659" t="s">
        <v>36</v>
      </c>
      <c r="C1659" t="s">
        <v>371</v>
      </c>
    </row>
    <row r="1660" spans="2:3" x14ac:dyDescent="0.35">
      <c r="B1660" t="s">
        <v>34</v>
      </c>
      <c r="C1660" t="s">
        <v>151</v>
      </c>
    </row>
    <row r="1661" spans="2:3" x14ac:dyDescent="0.35">
      <c r="B1661" t="s">
        <v>34</v>
      </c>
      <c r="C1661" t="s">
        <v>159</v>
      </c>
    </row>
    <row r="1662" spans="2:3" x14ac:dyDescent="0.35">
      <c r="B1662" t="s">
        <v>37</v>
      </c>
      <c r="C1662" t="s">
        <v>388</v>
      </c>
    </row>
    <row r="1663" spans="2:3" x14ac:dyDescent="0.35">
      <c r="B1663" t="s">
        <v>33</v>
      </c>
      <c r="C1663" t="s">
        <v>181</v>
      </c>
    </row>
    <row r="1664" spans="2:3" x14ac:dyDescent="0.35">
      <c r="B1664" t="s">
        <v>34</v>
      </c>
      <c r="C1664" t="s">
        <v>194</v>
      </c>
    </row>
    <row r="1665" spans="1:3" x14ac:dyDescent="0.35">
      <c r="B1665" t="s">
        <v>37</v>
      </c>
      <c r="C1665" t="s">
        <v>387</v>
      </c>
    </row>
    <row r="1666" spans="1:3" x14ac:dyDescent="0.35">
      <c r="B1666" t="s">
        <v>37</v>
      </c>
      <c r="C1666" t="s">
        <v>393</v>
      </c>
    </row>
    <row r="1669" spans="1:3" x14ac:dyDescent="0.35">
      <c r="A1669" s="56" t="s">
        <v>207</v>
      </c>
    </row>
    <row r="1670" spans="1:3" x14ac:dyDescent="0.35">
      <c r="A1670" s="83" t="s">
        <v>420</v>
      </c>
    </row>
    <row r="1671" spans="1:3" x14ac:dyDescent="0.35">
      <c r="A1671" s="56" t="s">
        <v>457</v>
      </c>
    </row>
    <row r="1672" spans="1:3" x14ac:dyDescent="0.35">
      <c r="A1672" s="56" t="s">
        <v>435</v>
      </c>
    </row>
    <row r="1673" spans="1:3" x14ac:dyDescent="0.35">
      <c r="A1673" s="56" t="s">
        <v>436</v>
      </c>
    </row>
    <row r="1674" spans="1:3" x14ac:dyDescent="0.35">
      <c r="A1674" s="50"/>
    </row>
    <row r="1675" spans="1:3" x14ac:dyDescent="0.35">
      <c r="A1675" s="54" t="s">
        <v>320</v>
      </c>
    </row>
    <row r="1676" spans="1:3" x14ac:dyDescent="0.35">
      <c r="A1676" s="54" t="s">
        <v>434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09B03-8830-4EE8-A214-5C3EBDEB6518}">
  <dimension ref="A1:N114"/>
  <sheetViews>
    <sheetView workbookViewId="0">
      <selection activeCell="B19" sqref="B19"/>
    </sheetView>
  </sheetViews>
  <sheetFormatPr defaultRowHeight="14.5" x14ac:dyDescent="0.35"/>
  <cols>
    <col min="1" max="1" width="25.453125" customWidth="1"/>
    <col min="2" max="2" width="18.81640625" customWidth="1"/>
    <col min="3" max="4" width="21.453125" customWidth="1"/>
  </cols>
  <sheetData>
    <row r="1" spans="1:14" s="1" customFormat="1" ht="15.5" x14ac:dyDescent="0.35">
      <c r="A1" s="1" t="s">
        <v>279</v>
      </c>
      <c r="B1" s="1" t="s">
        <v>280</v>
      </c>
      <c r="C1" s="21" t="s">
        <v>282</v>
      </c>
      <c r="D1" s="21" t="s">
        <v>300</v>
      </c>
      <c r="E1" s="27" t="s">
        <v>292</v>
      </c>
      <c r="F1" s="27" t="s">
        <v>293</v>
      </c>
      <c r="G1" s="27" t="s">
        <v>294</v>
      </c>
      <c r="H1" s="27" t="s">
        <v>284</v>
      </c>
      <c r="I1" s="27" t="s">
        <v>295</v>
      </c>
      <c r="J1" s="27" t="s">
        <v>296</v>
      </c>
      <c r="K1" s="27" t="s">
        <v>297</v>
      </c>
      <c r="L1" s="27" t="s">
        <v>285</v>
      </c>
      <c r="M1" s="27" t="s">
        <v>286</v>
      </c>
      <c r="N1" s="27" t="s">
        <v>287</v>
      </c>
    </row>
    <row r="2" spans="1:14" s="1" customFormat="1" x14ac:dyDescent="0.35">
      <c r="A2" s="19" t="s">
        <v>288</v>
      </c>
      <c r="B2" s="21" t="s">
        <v>222</v>
      </c>
      <c r="C2" s="19" t="s">
        <v>223</v>
      </c>
      <c r="D2" s="19" t="s">
        <v>299</v>
      </c>
      <c r="E2" s="72">
        <v>3684</v>
      </c>
      <c r="F2" s="72">
        <v>4096</v>
      </c>
      <c r="G2" s="72">
        <v>5031</v>
      </c>
      <c r="H2" s="72">
        <v>6366</v>
      </c>
      <c r="I2" s="72">
        <v>6002</v>
      </c>
      <c r="J2" s="72">
        <v>8045</v>
      </c>
      <c r="K2" s="72">
        <v>9637</v>
      </c>
      <c r="L2" s="72">
        <v>8627</v>
      </c>
      <c r="M2" s="72">
        <v>37266</v>
      </c>
      <c r="N2" s="72">
        <v>31948</v>
      </c>
    </row>
    <row r="3" spans="1:14" x14ac:dyDescent="0.35">
      <c r="A3" s="3" t="s">
        <v>288</v>
      </c>
      <c r="B3" s="4" t="s">
        <v>222</v>
      </c>
      <c r="C3" s="3" t="s">
        <v>224</v>
      </c>
      <c r="D3" s="3" t="s">
        <v>299</v>
      </c>
      <c r="E3" s="7">
        <v>23510</v>
      </c>
      <c r="F3" s="7">
        <v>24255</v>
      </c>
      <c r="G3" s="7">
        <v>19013</v>
      </c>
      <c r="H3" s="7">
        <v>23078</v>
      </c>
      <c r="I3" s="7">
        <v>13476</v>
      </c>
      <c r="J3" s="7">
        <v>15833</v>
      </c>
      <c r="K3" s="7">
        <v>57269</v>
      </c>
      <c r="L3" s="7">
        <v>40342</v>
      </c>
      <c r="M3" s="7">
        <v>259294</v>
      </c>
      <c r="N3" s="7">
        <v>480932</v>
      </c>
    </row>
    <row r="4" spans="1:14" x14ac:dyDescent="0.35">
      <c r="A4" s="3" t="s">
        <v>288</v>
      </c>
      <c r="B4" s="4" t="s">
        <v>222</v>
      </c>
      <c r="C4" s="3" t="s">
        <v>225</v>
      </c>
      <c r="D4" s="3" t="s">
        <v>299</v>
      </c>
      <c r="E4" s="7">
        <v>16306</v>
      </c>
      <c r="F4" s="7">
        <v>14511</v>
      </c>
      <c r="G4" s="7">
        <v>12820</v>
      </c>
      <c r="H4" s="7">
        <v>19448</v>
      </c>
      <c r="I4" s="7">
        <v>18633</v>
      </c>
      <c r="J4" s="7">
        <v>29230</v>
      </c>
      <c r="K4" s="7">
        <v>35138</v>
      </c>
      <c r="L4" s="7">
        <v>27487</v>
      </c>
      <c r="M4" s="7">
        <v>59231</v>
      </c>
      <c r="N4" s="7">
        <v>72378</v>
      </c>
    </row>
    <row r="5" spans="1:14" x14ac:dyDescent="0.35">
      <c r="A5" s="3" t="s">
        <v>288</v>
      </c>
      <c r="B5" s="4" t="s">
        <v>222</v>
      </c>
      <c r="C5" s="3" t="s">
        <v>226</v>
      </c>
      <c r="D5" s="3" t="s">
        <v>299</v>
      </c>
      <c r="E5" s="7">
        <v>11154</v>
      </c>
      <c r="F5" s="7">
        <v>12339</v>
      </c>
      <c r="G5" s="7">
        <v>14495</v>
      </c>
      <c r="H5" s="7">
        <v>25634</v>
      </c>
      <c r="I5" s="7">
        <v>25193</v>
      </c>
      <c r="J5" s="7">
        <v>31561</v>
      </c>
      <c r="K5" s="7">
        <v>182143</v>
      </c>
      <c r="L5" s="7">
        <v>54396</v>
      </c>
      <c r="M5" s="7">
        <v>193918</v>
      </c>
      <c r="N5" s="7">
        <v>307844</v>
      </c>
    </row>
    <row r="6" spans="1:14" x14ac:dyDescent="0.35">
      <c r="A6" s="3" t="s">
        <v>288</v>
      </c>
      <c r="B6" s="4" t="s">
        <v>222</v>
      </c>
      <c r="C6" s="3" t="s">
        <v>227</v>
      </c>
      <c r="D6" s="3" t="s">
        <v>299</v>
      </c>
      <c r="E6" s="7">
        <v>50749</v>
      </c>
      <c r="F6" s="7">
        <v>44049</v>
      </c>
      <c r="G6" s="7">
        <v>35888</v>
      </c>
      <c r="H6" s="7">
        <v>36562</v>
      </c>
      <c r="I6" s="7">
        <v>25460</v>
      </c>
      <c r="J6" s="7">
        <v>32641</v>
      </c>
      <c r="K6" s="7">
        <v>38378</v>
      </c>
      <c r="L6" s="7">
        <v>51425</v>
      </c>
      <c r="M6" s="7">
        <v>112241</v>
      </c>
      <c r="N6" s="7">
        <v>106843</v>
      </c>
    </row>
    <row r="7" spans="1:14" x14ac:dyDescent="0.35">
      <c r="A7" s="3" t="s">
        <v>288</v>
      </c>
      <c r="B7" s="4" t="s">
        <v>222</v>
      </c>
      <c r="C7" s="3" t="s">
        <v>228</v>
      </c>
      <c r="D7" s="3" t="s">
        <v>299</v>
      </c>
      <c r="E7" s="7">
        <v>154453</v>
      </c>
      <c r="F7" s="7">
        <v>256393</v>
      </c>
      <c r="G7" s="7">
        <v>147257</v>
      </c>
      <c r="H7" s="7">
        <v>186830</v>
      </c>
      <c r="I7" s="7">
        <v>137562</v>
      </c>
      <c r="J7" s="7">
        <v>162262</v>
      </c>
      <c r="K7" s="7">
        <v>339135</v>
      </c>
      <c r="L7" s="7">
        <v>90203</v>
      </c>
      <c r="M7" s="7">
        <v>549077</v>
      </c>
      <c r="N7" s="7">
        <v>468124</v>
      </c>
    </row>
    <row r="8" spans="1:14" x14ac:dyDescent="0.35">
      <c r="A8" s="3" t="s">
        <v>288</v>
      </c>
      <c r="B8" s="4" t="s">
        <v>222</v>
      </c>
      <c r="C8" s="3" t="s">
        <v>229</v>
      </c>
      <c r="D8" s="3" t="s">
        <v>299</v>
      </c>
      <c r="E8" s="7">
        <v>27496</v>
      </c>
      <c r="F8" s="7">
        <v>29911</v>
      </c>
      <c r="G8" s="7">
        <v>26290</v>
      </c>
      <c r="H8" s="7">
        <v>31891</v>
      </c>
      <c r="I8" s="7">
        <v>26086</v>
      </c>
      <c r="J8" s="7">
        <v>38591</v>
      </c>
      <c r="K8" s="7">
        <v>58049</v>
      </c>
      <c r="L8" s="7">
        <v>53277</v>
      </c>
      <c r="M8" s="7">
        <v>142459</v>
      </c>
      <c r="N8" s="7">
        <v>176290</v>
      </c>
    </row>
    <row r="9" spans="1:14" x14ac:dyDescent="0.35">
      <c r="A9" s="3" t="s">
        <v>288</v>
      </c>
      <c r="B9" s="4" t="s">
        <v>222</v>
      </c>
      <c r="C9" s="3" t="s">
        <v>230</v>
      </c>
      <c r="D9" s="3" t="s">
        <v>299</v>
      </c>
      <c r="E9" s="7">
        <v>120939</v>
      </c>
      <c r="F9" s="7">
        <v>87915</v>
      </c>
      <c r="G9" s="7">
        <v>63397</v>
      </c>
      <c r="H9" s="7">
        <v>64891</v>
      </c>
      <c r="I9" s="7">
        <v>38657</v>
      </c>
      <c r="J9" s="7">
        <v>52172</v>
      </c>
      <c r="K9" s="7">
        <v>63490</v>
      </c>
      <c r="L9" s="7">
        <v>66074</v>
      </c>
      <c r="M9" s="7">
        <v>191232</v>
      </c>
      <c r="N9" s="7">
        <v>251984</v>
      </c>
    </row>
    <row r="10" spans="1:14" x14ac:dyDescent="0.35">
      <c r="A10" s="3" t="s">
        <v>288</v>
      </c>
      <c r="B10" s="4" t="s">
        <v>222</v>
      </c>
      <c r="C10" s="3" t="s">
        <v>231</v>
      </c>
      <c r="D10" s="3" t="s">
        <v>299</v>
      </c>
      <c r="E10" s="7">
        <v>6106</v>
      </c>
      <c r="F10" s="7">
        <v>5902</v>
      </c>
      <c r="G10" s="7">
        <v>7142</v>
      </c>
      <c r="H10" s="7">
        <v>14170</v>
      </c>
      <c r="I10" s="7">
        <v>12847</v>
      </c>
      <c r="J10" s="7">
        <v>26244</v>
      </c>
      <c r="K10" s="7">
        <v>68269</v>
      </c>
      <c r="L10" s="7">
        <v>8804</v>
      </c>
      <c r="M10" s="7">
        <v>114488</v>
      </c>
      <c r="N10" s="7">
        <v>310094</v>
      </c>
    </row>
    <row r="11" spans="1:14" s="1" customFormat="1" x14ac:dyDescent="0.35">
      <c r="A11" s="19" t="s">
        <v>288</v>
      </c>
      <c r="B11" s="21" t="s">
        <v>232</v>
      </c>
      <c r="C11" s="19" t="s">
        <v>233</v>
      </c>
      <c r="D11" s="19" t="s">
        <v>299</v>
      </c>
      <c r="E11" s="72">
        <v>360</v>
      </c>
      <c r="F11" s="72">
        <v>272</v>
      </c>
      <c r="G11" s="72">
        <v>282</v>
      </c>
      <c r="H11" s="72">
        <v>271</v>
      </c>
      <c r="I11" s="72">
        <v>288</v>
      </c>
      <c r="J11" s="72">
        <v>359</v>
      </c>
      <c r="K11" s="72">
        <v>524</v>
      </c>
      <c r="L11" s="72">
        <v>227</v>
      </c>
      <c r="M11" s="72">
        <v>112</v>
      </c>
      <c r="N11" s="72">
        <v>407</v>
      </c>
    </row>
    <row r="12" spans="1:14" x14ac:dyDescent="0.35">
      <c r="A12" s="3" t="s">
        <v>288</v>
      </c>
      <c r="B12" s="4" t="s">
        <v>232</v>
      </c>
      <c r="C12" s="3" t="s">
        <v>234</v>
      </c>
      <c r="D12" s="3" t="s">
        <v>299</v>
      </c>
      <c r="E12" s="7">
        <v>796</v>
      </c>
      <c r="F12" s="7">
        <v>741</v>
      </c>
      <c r="G12" s="7">
        <v>291</v>
      </c>
      <c r="H12" s="7">
        <v>226</v>
      </c>
      <c r="I12" s="7">
        <v>447</v>
      </c>
      <c r="J12" s="7">
        <v>384</v>
      </c>
      <c r="K12" s="7">
        <v>537</v>
      </c>
      <c r="L12" s="7">
        <v>302</v>
      </c>
      <c r="M12" s="7">
        <v>143</v>
      </c>
      <c r="N12" s="7">
        <v>90</v>
      </c>
    </row>
    <row r="13" spans="1:14" x14ac:dyDescent="0.35">
      <c r="A13" s="3" t="s">
        <v>288</v>
      </c>
      <c r="B13" s="4" t="s">
        <v>232</v>
      </c>
      <c r="C13" s="3" t="s">
        <v>235</v>
      </c>
      <c r="D13" s="3" t="s">
        <v>299</v>
      </c>
      <c r="E13" s="7">
        <v>650</v>
      </c>
      <c r="F13" s="7">
        <v>647</v>
      </c>
      <c r="G13" s="7">
        <v>637</v>
      </c>
      <c r="H13" s="7">
        <v>716</v>
      </c>
      <c r="I13" s="7">
        <v>1070</v>
      </c>
      <c r="J13" s="7">
        <v>1930</v>
      </c>
      <c r="K13" s="7">
        <v>1322</v>
      </c>
      <c r="L13" s="7">
        <v>455</v>
      </c>
      <c r="M13" s="7">
        <v>32</v>
      </c>
      <c r="N13" s="7">
        <v>125</v>
      </c>
    </row>
    <row r="14" spans="1:14" x14ac:dyDescent="0.35">
      <c r="A14" s="3" t="s">
        <v>288</v>
      </c>
      <c r="B14" s="4" t="s">
        <v>232</v>
      </c>
      <c r="C14" s="3" t="s">
        <v>236</v>
      </c>
      <c r="D14" s="3" t="s">
        <v>299</v>
      </c>
      <c r="E14" s="7">
        <v>469</v>
      </c>
      <c r="F14" s="7">
        <v>767</v>
      </c>
      <c r="G14" s="7">
        <v>789</v>
      </c>
      <c r="H14" s="7">
        <v>505</v>
      </c>
      <c r="I14" s="7">
        <v>496</v>
      </c>
      <c r="J14" s="7">
        <v>461</v>
      </c>
      <c r="K14" s="7">
        <v>412</v>
      </c>
      <c r="L14" s="7">
        <v>227</v>
      </c>
      <c r="M14" s="7">
        <v>90</v>
      </c>
      <c r="N14" s="7">
        <v>81</v>
      </c>
    </row>
    <row r="15" spans="1:14" x14ac:dyDescent="0.35">
      <c r="A15" s="3" t="s">
        <v>288</v>
      </c>
      <c r="B15" s="4" t="s">
        <v>232</v>
      </c>
      <c r="C15" s="3" t="s">
        <v>237</v>
      </c>
      <c r="D15" s="3" t="s">
        <v>299</v>
      </c>
      <c r="E15" s="7">
        <v>88</v>
      </c>
      <c r="F15" s="7">
        <v>91</v>
      </c>
      <c r="G15" s="7">
        <v>64</v>
      </c>
      <c r="H15" s="7">
        <v>43</v>
      </c>
      <c r="I15" s="7">
        <v>39</v>
      </c>
      <c r="J15" s="7">
        <v>47</v>
      </c>
      <c r="K15" s="7">
        <v>77</v>
      </c>
      <c r="L15" s="7">
        <v>30</v>
      </c>
      <c r="M15" s="7">
        <v>63</v>
      </c>
      <c r="N15" s="7">
        <v>80</v>
      </c>
    </row>
    <row r="16" spans="1:14" x14ac:dyDescent="0.35">
      <c r="A16" s="3" t="s">
        <v>288</v>
      </c>
      <c r="B16" s="4" t="s">
        <v>232</v>
      </c>
      <c r="C16" s="3" t="s">
        <v>238</v>
      </c>
      <c r="D16" s="3" t="s">
        <v>299</v>
      </c>
      <c r="E16" s="7">
        <v>37</v>
      </c>
      <c r="F16" s="7">
        <v>45</v>
      </c>
      <c r="G16" s="7">
        <v>32</v>
      </c>
      <c r="H16" s="7">
        <v>25</v>
      </c>
      <c r="I16" s="7">
        <v>30</v>
      </c>
      <c r="J16" s="7">
        <v>52</v>
      </c>
      <c r="K16" s="7">
        <v>52</v>
      </c>
      <c r="L16" s="7">
        <v>104</v>
      </c>
      <c r="M16" s="7">
        <v>57</v>
      </c>
      <c r="N16" s="7">
        <v>303</v>
      </c>
    </row>
    <row r="17" spans="1:14" x14ac:dyDescent="0.35">
      <c r="A17" s="3" t="s">
        <v>288</v>
      </c>
      <c r="B17" s="4" t="s">
        <v>232</v>
      </c>
      <c r="C17" s="3" t="s">
        <v>239</v>
      </c>
      <c r="D17" s="3" t="s">
        <v>299</v>
      </c>
      <c r="E17" s="7">
        <v>1738</v>
      </c>
      <c r="F17" s="7">
        <v>2034</v>
      </c>
      <c r="G17" s="7">
        <v>1752</v>
      </c>
      <c r="H17" s="7">
        <v>3205</v>
      </c>
      <c r="I17" s="7">
        <v>2280</v>
      </c>
      <c r="J17" s="7">
        <v>2169</v>
      </c>
      <c r="K17" s="7">
        <v>1891</v>
      </c>
      <c r="L17" s="7">
        <v>1302</v>
      </c>
      <c r="M17" s="7">
        <v>1031</v>
      </c>
      <c r="N17" s="7">
        <v>4009</v>
      </c>
    </row>
    <row r="18" spans="1:14" x14ac:dyDescent="0.35">
      <c r="A18" s="3" t="s">
        <v>288</v>
      </c>
      <c r="B18" s="4" t="s">
        <v>232</v>
      </c>
      <c r="C18" s="3" t="s">
        <v>240</v>
      </c>
      <c r="D18" s="3" t="s">
        <v>299</v>
      </c>
      <c r="E18" s="7">
        <v>500</v>
      </c>
      <c r="F18" s="7">
        <v>950</v>
      </c>
      <c r="G18" s="7">
        <v>849</v>
      </c>
      <c r="H18" s="7">
        <v>764</v>
      </c>
      <c r="I18" s="7">
        <v>920</v>
      </c>
      <c r="J18" s="7">
        <v>798</v>
      </c>
      <c r="K18" s="7">
        <v>1132</v>
      </c>
      <c r="L18" s="7">
        <v>572</v>
      </c>
      <c r="M18" s="7">
        <v>344</v>
      </c>
      <c r="N18" s="7">
        <v>329</v>
      </c>
    </row>
    <row r="19" spans="1:14" x14ac:dyDescent="0.35">
      <c r="A19" s="3" t="s">
        <v>288</v>
      </c>
      <c r="B19" s="4" t="s">
        <v>232</v>
      </c>
      <c r="C19" s="3" t="s">
        <v>241</v>
      </c>
      <c r="D19" s="3" t="s">
        <v>299</v>
      </c>
      <c r="E19" s="7">
        <v>924</v>
      </c>
      <c r="F19" s="7">
        <v>958</v>
      </c>
      <c r="G19" s="7">
        <v>557</v>
      </c>
      <c r="H19" s="7">
        <v>694</v>
      </c>
      <c r="I19" s="7">
        <v>388</v>
      </c>
      <c r="J19" s="7">
        <v>280</v>
      </c>
      <c r="K19" s="7">
        <v>562</v>
      </c>
      <c r="L19" s="7">
        <v>356</v>
      </c>
      <c r="M19" s="7">
        <v>670</v>
      </c>
      <c r="N19" s="7">
        <v>1640</v>
      </c>
    </row>
    <row r="20" spans="1:14" x14ac:dyDescent="0.35">
      <c r="A20" s="3" t="s">
        <v>288</v>
      </c>
      <c r="B20" s="4" t="s">
        <v>232</v>
      </c>
      <c r="C20" s="3" t="s">
        <v>242</v>
      </c>
      <c r="D20" s="3" t="s">
        <v>299</v>
      </c>
      <c r="E20" s="7">
        <v>299</v>
      </c>
      <c r="F20" s="7">
        <v>269</v>
      </c>
      <c r="G20" s="7">
        <v>190</v>
      </c>
      <c r="H20" s="7">
        <v>206</v>
      </c>
      <c r="I20" s="7">
        <v>208</v>
      </c>
      <c r="J20" s="7">
        <v>347</v>
      </c>
      <c r="K20" s="7">
        <v>428</v>
      </c>
      <c r="L20" s="7">
        <v>236</v>
      </c>
      <c r="M20" s="7">
        <v>54</v>
      </c>
      <c r="N20" s="7">
        <v>87</v>
      </c>
    </row>
    <row r="21" spans="1:14" x14ac:dyDescent="0.35">
      <c r="A21" s="3" t="s">
        <v>288</v>
      </c>
      <c r="B21" s="4" t="s">
        <v>232</v>
      </c>
      <c r="C21" s="3" t="s">
        <v>243</v>
      </c>
      <c r="D21" s="3" t="s">
        <v>299</v>
      </c>
      <c r="E21" s="7">
        <v>531</v>
      </c>
      <c r="F21" s="7">
        <v>506</v>
      </c>
      <c r="G21" s="7">
        <v>341</v>
      </c>
      <c r="H21" s="7">
        <v>291</v>
      </c>
      <c r="I21" s="7">
        <v>449</v>
      </c>
      <c r="J21" s="7">
        <v>736</v>
      </c>
      <c r="K21" s="7">
        <v>1056</v>
      </c>
      <c r="L21" s="7">
        <v>574</v>
      </c>
      <c r="M21" s="7">
        <v>365</v>
      </c>
      <c r="N21" s="7">
        <v>1065</v>
      </c>
    </row>
    <row r="22" spans="1:14" s="1" customFormat="1" x14ac:dyDescent="0.35">
      <c r="A22" s="19" t="s">
        <v>289</v>
      </c>
      <c r="B22" s="21" t="s">
        <v>281</v>
      </c>
      <c r="C22" s="19" t="s">
        <v>226</v>
      </c>
      <c r="D22" s="19" t="s">
        <v>301</v>
      </c>
      <c r="E22" s="72">
        <v>5815</v>
      </c>
      <c r="F22" s="72">
        <v>8260</v>
      </c>
      <c r="G22" s="72">
        <v>9655</v>
      </c>
      <c r="H22" s="72">
        <v>16731</v>
      </c>
      <c r="I22" s="72">
        <v>15689</v>
      </c>
      <c r="J22" s="72">
        <v>22185</v>
      </c>
      <c r="K22" s="72">
        <v>25372</v>
      </c>
      <c r="L22" s="72">
        <v>8973</v>
      </c>
      <c r="M22" s="72">
        <v>8804</v>
      </c>
      <c r="N22" s="72">
        <v>13111</v>
      </c>
    </row>
    <row r="23" spans="1:14" x14ac:dyDescent="0.35">
      <c r="A23" s="3" t="s">
        <v>289</v>
      </c>
      <c r="B23" s="4" t="s">
        <v>281</v>
      </c>
      <c r="C23" s="3" t="s">
        <v>227</v>
      </c>
      <c r="D23" s="3" t="s">
        <v>301</v>
      </c>
      <c r="E23" s="7">
        <v>26005</v>
      </c>
      <c r="F23" s="7">
        <v>20546</v>
      </c>
      <c r="G23" s="7">
        <v>18093</v>
      </c>
      <c r="H23" s="7">
        <v>24595</v>
      </c>
      <c r="I23" s="7">
        <v>25009</v>
      </c>
      <c r="J23" s="7">
        <v>32860</v>
      </c>
      <c r="K23" s="7">
        <v>36908</v>
      </c>
      <c r="L23" s="7">
        <v>16750</v>
      </c>
      <c r="M23" s="7">
        <v>19947</v>
      </c>
      <c r="N23" s="7">
        <v>61938</v>
      </c>
    </row>
    <row r="24" spans="1:14" x14ac:dyDescent="0.35">
      <c r="A24" s="3" t="s">
        <v>289</v>
      </c>
      <c r="B24" s="4" t="s">
        <v>281</v>
      </c>
      <c r="C24" s="3" t="s">
        <v>229</v>
      </c>
      <c r="D24" s="3" t="s">
        <v>301</v>
      </c>
      <c r="E24" s="7">
        <v>22750</v>
      </c>
      <c r="F24" s="7">
        <v>28969</v>
      </c>
      <c r="G24" s="7">
        <v>36775</v>
      </c>
      <c r="H24" s="7">
        <v>44792</v>
      </c>
      <c r="I24" s="7">
        <v>29063</v>
      </c>
      <c r="J24" s="7">
        <v>32065</v>
      </c>
      <c r="K24" s="7">
        <v>29811</v>
      </c>
      <c r="L24" s="7">
        <v>16842</v>
      </c>
      <c r="M24" s="7">
        <v>33596</v>
      </c>
      <c r="N24" s="7">
        <v>52863</v>
      </c>
    </row>
    <row r="25" spans="1:14" x14ac:dyDescent="0.35">
      <c r="A25" s="3" t="s">
        <v>289</v>
      </c>
      <c r="B25" s="4" t="s">
        <v>281</v>
      </c>
      <c r="C25" s="3" t="s">
        <v>230</v>
      </c>
      <c r="D25" s="3" t="s">
        <v>301</v>
      </c>
      <c r="E25" s="7">
        <v>8492</v>
      </c>
      <c r="F25" s="7">
        <v>7522</v>
      </c>
      <c r="G25" s="7">
        <v>7617</v>
      </c>
      <c r="H25" s="7">
        <v>10098</v>
      </c>
      <c r="I25" s="7">
        <v>11515</v>
      </c>
      <c r="J25" s="7">
        <v>14695</v>
      </c>
      <c r="K25" s="7">
        <v>13810</v>
      </c>
      <c r="L25" s="7">
        <v>6017</v>
      </c>
      <c r="M25" s="7">
        <v>5394</v>
      </c>
      <c r="N25" s="7">
        <v>7150</v>
      </c>
    </row>
    <row r="26" spans="1:14" s="1" customFormat="1" x14ac:dyDescent="0.35">
      <c r="A26" s="19" t="s">
        <v>289</v>
      </c>
      <c r="B26" s="21" t="s">
        <v>283</v>
      </c>
      <c r="C26" s="19" t="s">
        <v>244</v>
      </c>
      <c r="D26" s="19" t="s">
        <v>301</v>
      </c>
      <c r="E26" s="72">
        <v>2042</v>
      </c>
      <c r="F26" s="72">
        <v>2940</v>
      </c>
      <c r="G26" s="72">
        <v>3026</v>
      </c>
      <c r="H26" s="72">
        <v>2669</v>
      </c>
      <c r="I26" s="72">
        <v>2267</v>
      </c>
      <c r="J26" s="72">
        <v>1895</v>
      </c>
      <c r="K26" s="72">
        <v>2179</v>
      </c>
      <c r="L26" s="72">
        <v>1474</v>
      </c>
      <c r="M26" s="72">
        <v>2254</v>
      </c>
      <c r="N26" s="72">
        <v>1814</v>
      </c>
    </row>
    <row r="27" spans="1:14" x14ac:dyDescent="0.35">
      <c r="A27" s="3" t="s">
        <v>289</v>
      </c>
      <c r="B27" s="4" t="s">
        <v>283</v>
      </c>
      <c r="C27" s="3" t="s">
        <v>245</v>
      </c>
      <c r="D27" s="3" t="s">
        <v>301</v>
      </c>
      <c r="E27" s="7">
        <v>2094</v>
      </c>
      <c r="F27" s="7">
        <v>1998</v>
      </c>
      <c r="G27" s="7">
        <v>1808</v>
      </c>
      <c r="H27" s="7">
        <v>870</v>
      </c>
      <c r="I27" s="7">
        <v>1055</v>
      </c>
      <c r="J27" s="7">
        <v>950</v>
      </c>
      <c r="K27" s="7">
        <v>840</v>
      </c>
      <c r="L27" s="7">
        <v>596</v>
      </c>
      <c r="M27" s="7">
        <v>592</v>
      </c>
      <c r="N27" s="7">
        <v>792</v>
      </c>
    </row>
    <row r="28" spans="1:14" x14ac:dyDescent="0.35">
      <c r="A28" s="3" t="s">
        <v>289</v>
      </c>
      <c r="B28" s="4" t="s">
        <v>283</v>
      </c>
      <c r="C28" s="3" t="s">
        <v>246</v>
      </c>
      <c r="D28" s="3" t="s">
        <v>301</v>
      </c>
      <c r="E28" s="7">
        <v>2675</v>
      </c>
      <c r="F28" s="7">
        <v>2931</v>
      </c>
      <c r="G28" s="7">
        <v>2871</v>
      </c>
      <c r="H28" s="7">
        <v>2042</v>
      </c>
      <c r="I28" s="7">
        <v>2574</v>
      </c>
      <c r="J28" s="7">
        <v>5995</v>
      </c>
      <c r="K28" s="7">
        <v>3128</v>
      </c>
      <c r="L28" s="7">
        <v>2134</v>
      </c>
      <c r="M28" s="7">
        <v>2693</v>
      </c>
      <c r="N28" s="7">
        <v>4196</v>
      </c>
    </row>
    <row r="29" spans="1:14" x14ac:dyDescent="0.35">
      <c r="A29" s="3" t="s">
        <v>289</v>
      </c>
      <c r="B29" s="4" t="s">
        <v>283</v>
      </c>
      <c r="C29" s="3" t="s">
        <v>234</v>
      </c>
      <c r="D29" s="3" t="s">
        <v>301</v>
      </c>
      <c r="E29" s="7">
        <v>10697</v>
      </c>
      <c r="F29" s="7">
        <v>9697</v>
      </c>
      <c r="G29" s="7">
        <v>9023</v>
      </c>
      <c r="H29" s="7">
        <v>9812</v>
      </c>
      <c r="I29" s="7">
        <v>10124</v>
      </c>
      <c r="J29" s="7">
        <v>8688</v>
      </c>
      <c r="K29" s="7">
        <v>6335</v>
      </c>
      <c r="L29" s="7">
        <v>4550</v>
      </c>
      <c r="M29" s="7">
        <v>5780</v>
      </c>
      <c r="N29" s="7">
        <v>28576</v>
      </c>
    </row>
    <row r="30" spans="1:14" x14ac:dyDescent="0.35">
      <c r="A30" s="3" t="s">
        <v>289</v>
      </c>
      <c r="B30" s="4" t="s">
        <v>283</v>
      </c>
      <c r="C30" s="3" t="s">
        <v>247</v>
      </c>
      <c r="D30" s="3" t="s">
        <v>301</v>
      </c>
      <c r="E30" s="7">
        <v>2050</v>
      </c>
      <c r="F30" s="7">
        <v>2122</v>
      </c>
      <c r="G30" s="7">
        <v>3895</v>
      </c>
      <c r="H30" s="7">
        <v>2819</v>
      </c>
      <c r="I30" s="7">
        <v>5200</v>
      </c>
      <c r="J30" s="7">
        <v>4577</v>
      </c>
      <c r="K30" s="7">
        <v>4047</v>
      </c>
      <c r="L30" s="7">
        <v>2777</v>
      </c>
      <c r="M30" s="7">
        <v>3598</v>
      </c>
      <c r="N30" s="7">
        <v>3878</v>
      </c>
    </row>
    <row r="31" spans="1:14" x14ac:dyDescent="0.35">
      <c r="A31" s="3" t="s">
        <v>289</v>
      </c>
      <c r="B31" s="4" t="s">
        <v>283</v>
      </c>
      <c r="C31" s="3" t="s">
        <v>235</v>
      </c>
      <c r="D31" s="3" t="s">
        <v>301</v>
      </c>
      <c r="E31" s="7">
        <v>6001</v>
      </c>
      <c r="F31" s="7">
        <v>5645</v>
      </c>
      <c r="G31" s="7">
        <v>5699</v>
      </c>
      <c r="H31" s="7">
        <v>4901</v>
      </c>
      <c r="I31" s="7">
        <v>5273</v>
      </c>
      <c r="J31" s="7">
        <v>4244</v>
      </c>
      <c r="K31" s="7">
        <v>2111</v>
      </c>
      <c r="L31" s="7">
        <v>1571</v>
      </c>
      <c r="M31" s="7">
        <v>1349</v>
      </c>
      <c r="N31" s="7">
        <v>2657</v>
      </c>
    </row>
    <row r="32" spans="1:14" x14ac:dyDescent="0.35">
      <c r="A32" s="3" t="s">
        <v>289</v>
      </c>
      <c r="B32" s="4" t="s">
        <v>283</v>
      </c>
      <c r="C32" s="3" t="s">
        <v>226</v>
      </c>
      <c r="D32" s="3" t="s">
        <v>301</v>
      </c>
      <c r="E32" s="7">
        <v>3</v>
      </c>
      <c r="F32" s="7">
        <v>4</v>
      </c>
      <c r="G32" s="7">
        <v>9</v>
      </c>
      <c r="H32" s="7">
        <v>3</v>
      </c>
      <c r="I32" s="7">
        <v>125</v>
      </c>
      <c r="J32" s="7">
        <v>299</v>
      </c>
      <c r="K32" s="7">
        <v>13</v>
      </c>
      <c r="L32" s="7">
        <v>0</v>
      </c>
      <c r="M32" s="7">
        <v>0</v>
      </c>
      <c r="N32" s="7">
        <v>0</v>
      </c>
    </row>
    <row r="33" spans="1:14" x14ac:dyDescent="0.35">
      <c r="A33" s="3" t="s">
        <v>289</v>
      </c>
      <c r="B33" s="4" t="s">
        <v>283</v>
      </c>
      <c r="C33" s="3" t="s">
        <v>248</v>
      </c>
      <c r="D33" s="3" t="s">
        <v>301</v>
      </c>
      <c r="E33" s="7">
        <v>2972</v>
      </c>
      <c r="F33" s="7">
        <v>3442</v>
      </c>
      <c r="G33" s="7">
        <v>4182</v>
      </c>
      <c r="H33" s="7">
        <v>4672</v>
      </c>
      <c r="I33" s="7">
        <v>4481</v>
      </c>
      <c r="J33" s="7">
        <v>4678</v>
      </c>
      <c r="K33" s="7">
        <v>4262</v>
      </c>
      <c r="L33" s="7">
        <v>3842</v>
      </c>
      <c r="M33" s="7">
        <v>7037</v>
      </c>
      <c r="N33" s="7">
        <v>6161</v>
      </c>
    </row>
    <row r="34" spans="1:14" x14ac:dyDescent="0.35">
      <c r="A34" s="3" t="s">
        <v>289</v>
      </c>
      <c r="B34" s="4" t="s">
        <v>283</v>
      </c>
      <c r="C34" s="3" t="s">
        <v>227</v>
      </c>
      <c r="D34" s="3" t="s">
        <v>301</v>
      </c>
      <c r="E34" s="7">
        <v>48</v>
      </c>
      <c r="F34" s="7">
        <v>23</v>
      </c>
      <c r="G34" s="7">
        <v>24</v>
      </c>
      <c r="H34" s="7">
        <v>22</v>
      </c>
      <c r="I34" s="7">
        <v>24</v>
      </c>
      <c r="J34" s="7">
        <v>269</v>
      </c>
      <c r="K34" s="7">
        <v>54</v>
      </c>
      <c r="L34" s="7">
        <v>24</v>
      </c>
      <c r="M34" s="7">
        <v>93</v>
      </c>
      <c r="N34" s="7">
        <v>22</v>
      </c>
    </row>
    <row r="35" spans="1:14" x14ac:dyDescent="0.35">
      <c r="A35" s="3" t="s">
        <v>289</v>
      </c>
      <c r="B35" s="4" t="s">
        <v>283</v>
      </c>
      <c r="C35" s="3" t="s">
        <v>249</v>
      </c>
      <c r="D35" s="3" t="s">
        <v>301</v>
      </c>
      <c r="E35" s="7">
        <v>2773</v>
      </c>
      <c r="F35" s="7">
        <v>3331</v>
      </c>
      <c r="G35" s="7">
        <v>4349</v>
      </c>
      <c r="H35" s="7">
        <v>4141</v>
      </c>
      <c r="I35" s="7">
        <v>5147</v>
      </c>
      <c r="J35" s="7">
        <v>4424</v>
      </c>
      <c r="K35" s="7">
        <v>5135</v>
      </c>
      <c r="L35" s="7">
        <v>4883</v>
      </c>
      <c r="M35" s="7">
        <v>7174</v>
      </c>
      <c r="N35" s="7">
        <v>6631</v>
      </c>
    </row>
    <row r="36" spans="1:14" x14ac:dyDescent="0.35">
      <c r="A36" s="3" t="s">
        <v>289</v>
      </c>
      <c r="B36" s="4" t="s">
        <v>283</v>
      </c>
      <c r="C36" s="3" t="s">
        <v>239</v>
      </c>
      <c r="D36" s="3" t="s">
        <v>301</v>
      </c>
      <c r="E36" s="7">
        <v>5295</v>
      </c>
      <c r="F36" s="7">
        <v>3869</v>
      </c>
      <c r="G36" s="7">
        <v>3926</v>
      </c>
      <c r="H36" s="7">
        <v>4377</v>
      </c>
      <c r="I36" s="7">
        <v>4869</v>
      </c>
      <c r="J36" s="7">
        <v>5819</v>
      </c>
      <c r="K36" s="7">
        <v>6327</v>
      </c>
      <c r="L36" s="7">
        <v>4664</v>
      </c>
      <c r="M36" s="7">
        <v>5483</v>
      </c>
      <c r="N36" s="7">
        <v>5222</v>
      </c>
    </row>
    <row r="37" spans="1:14" x14ac:dyDescent="0.35">
      <c r="A37" s="3" t="s">
        <v>289</v>
      </c>
      <c r="B37" s="4" t="s">
        <v>283</v>
      </c>
      <c r="C37" s="3" t="s">
        <v>240</v>
      </c>
      <c r="D37" s="3" t="s">
        <v>301</v>
      </c>
      <c r="E37" s="7">
        <v>49</v>
      </c>
      <c r="F37" s="7">
        <v>44</v>
      </c>
      <c r="G37" s="7">
        <v>25</v>
      </c>
      <c r="H37" s="7">
        <v>37</v>
      </c>
      <c r="I37" s="7">
        <v>29</v>
      </c>
      <c r="J37" s="7">
        <v>68</v>
      </c>
      <c r="K37" s="7">
        <v>85</v>
      </c>
      <c r="L37" s="7">
        <v>64</v>
      </c>
      <c r="M37" s="7">
        <v>10</v>
      </c>
      <c r="N37" s="7">
        <v>85</v>
      </c>
    </row>
    <row r="38" spans="1:14" x14ac:dyDescent="0.35">
      <c r="A38" s="3" t="s">
        <v>289</v>
      </c>
      <c r="B38" s="4" t="s">
        <v>283</v>
      </c>
      <c r="C38" s="3" t="s">
        <v>250</v>
      </c>
      <c r="D38" s="3" t="s">
        <v>301</v>
      </c>
      <c r="E38" s="7">
        <v>4464</v>
      </c>
      <c r="F38" s="7">
        <v>4370</v>
      </c>
      <c r="G38" s="7">
        <v>3921</v>
      </c>
      <c r="H38" s="7">
        <v>4063</v>
      </c>
      <c r="I38" s="7">
        <v>3992</v>
      </c>
      <c r="J38" s="7">
        <v>4224</v>
      </c>
      <c r="K38" s="7">
        <v>4970</v>
      </c>
      <c r="L38" s="7">
        <v>3193</v>
      </c>
      <c r="M38" s="7">
        <v>2692</v>
      </c>
      <c r="N38" s="7">
        <v>3190</v>
      </c>
    </row>
    <row r="39" spans="1:14" x14ac:dyDescent="0.35">
      <c r="A39" s="3" t="s">
        <v>289</v>
      </c>
      <c r="B39" s="4" t="s">
        <v>283</v>
      </c>
      <c r="C39" s="3" t="s">
        <v>251</v>
      </c>
      <c r="D39" s="3" t="s">
        <v>301</v>
      </c>
      <c r="E39" s="7">
        <v>211</v>
      </c>
      <c r="F39" s="7">
        <v>136</v>
      </c>
      <c r="G39" s="7">
        <v>235</v>
      </c>
      <c r="H39" s="7">
        <v>361</v>
      </c>
      <c r="I39" s="7">
        <v>379</v>
      </c>
      <c r="J39" s="7">
        <v>350</v>
      </c>
      <c r="K39" s="7">
        <v>209</v>
      </c>
      <c r="L39" s="7">
        <v>152</v>
      </c>
      <c r="M39" s="7">
        <v>356</v>
      </c>
      <c r="N39" s="7">
        <v>351</v>
      </c>
    </row>
    <row r="40" spans="1:14" x14ac:dyDescent="0.35">
      <c r="A40" s="3" t="s">
        <v>289</v>
      </c>
      <c r="B40" s="4" t="s">
        <v>283</v>
      </c>
      <c r="C40" s="3" t="s">
        <v>229</v>
      </c>
      <c r="D40" s="3" t="s">
        <v>301</v>
      </c>
      <c r="E40" s="7">
        <v>45</v>
      </c>
      <c r="F40" s="7">
        <v>66</v>
      </c>
      <c r="G40" s="7">
        <v>72</v>
      </c>
      <c r="H40" s="7">
        <v>49</v>
      </c>
      <c r="I40" s="7">
        <v>94</v>
      </c>
      <c r="J40" s="7">
        <v>353</v>
      </c>
      <c r="K40" s="7">
        <v>66</v>
      </c>
      <c r="L40" s="7">
        <v>39</v>
      </c>
      <c r="M40" s="7">
        <v>12</v>
      </c>
      <c r="N40" s="7">
        <v>30</v>
      </c>
    </row>
    <row r="41" spans="1:14" x14ac:dyDescent="0.35">
      <c r="A41" s="3" t="s">
        <v>289</v>
      </c>
      <c r="B41" s="4" t="s">
        <v>283</v>
      </c>
      <c r="C41" s="3" t="s">
        <v>252</v>
      </c>
      <c r="D41" s="3" t="s">
        <v>301</v>
      </c>
      <c r="E41" s="7">
        <v>1469</v>
      </c>
      <c r="F41" s="7">
        <v>1427</v>
      </c>
      <c r="G41" s="7">
        <v>1526</v>
      </c>
      <c r="H41" s="7">
        <v>2064</v>
      </c>
      <c r="I41" s="7">
        <v>4221</v>
      </c>
      <c r="J41" s="7">
        <v>3377</v>
      </c>
      <c r="K41" s="7">
        <v>4104</v>
      </c>
      <c r="L41" s="7">
        <v>3192</v>
      </c>
      <c r="M41" s="7">
        <v>3174</v>
      </c>
      <c r="N41" s="7">
        <v>2689</v>
      </c>
    </row>
    <row r="42" spans="1:14" x14ac:dyDescent="0.35">
      <c r="A42" s="3" t="s">
        <v>289</v>
      </c>
      <c r="B42" s="4" t="s">
        <v>283</v>
      </c>
      <c r="C42" s="3" t="s">
        <v>253</v>
      </c>
      <c r="D42" s="3" t="s">
        <v>301</v>
      </c>
      <c r="E42" s="7">
        <v>756</v>
      </c>
      <c r="F42" s="7">
        <v>614</v>
      </c>
      <c r="G42" s="7">
        <v>651</v>
      </c>
      <c r="H42" s="7">
        <v>737</v>
      </c>
      <c r="I42" s="7">
        <v>752</v>
      </c>
      <c r="J42" s="7">
        <v>743</v>
      </c>
      <c r="K42" s="7">
        <v>978</v>
      </c>
      <c r="L42" s="7">
        <v>847</v>
      </c>
      <c r="M42" s="7">
        <v>1380</v>
      </c>
      <c r="N42" s="7">
        <v>1768</v>
      </c>
    </row>
    <row r="43" spans="1:14" x14ac:dyDescent="0.35">
      <c r="A43" s="3" t="s">
        <v>289</v>
      </c>
      <c r="B43" s="4" t="s">
        <v>283</v>
      </c>
      <c r="C43" s="3" t="s">
        <v>254</v>
      </c>
      <c r="D43" s="3" t="s">
        <v>301</v>
      </c>
      <c r="E43" s="7">
        <v>7844</v>
      </c>
      <c r="F43" s="7">
        <v>7599</v>
      </c>
      <c r="G43" s="7">
        <v>6804</v>
      </c>
      <c r="H43" s="7">
        <v>6268</v>
      </c>
      <c r="I43" s="7">
        <v>6419</v>
      </c>
      <c r="J43" s="7">
        <v>5219</v>
      </c>
      <c r="K43" s="7">
        <v>4424</v>
      </c>
      <c r="L43" s="7">
        <v>3236</v>
      </c>
      <c r="M43" s="7">
        <v>4638</v>
      </c>
      <c r="N43" s="7">
        <v>9819</v>
      </c>
    </row>
    <row r="44" spans="1:14" x14ac:dyDescent="0.35">
      <c r="A44" s="3" t="s">
        <v>289</v>
      </c>
      <c r="B44" s="4" t="s">
        <v>283</v>
      </c>
      <c r="C44" s="3" t="s">
        <v>255</v>
      </c>
      <c r="D44" s="3" t="s">
        <v>301</v>
      </c>
      <c r="E44" s="7">
        <v>462</v>
      </c>
      <c r="F44" s="7">
        <v>407</v>
      </c>
      <c r="G44" s="7">
        <v>470</v>
      </c>
      <c r="H44" s="7">
        <v>832</v>
      </c>
      <c r="I44" s="7">
        <v>1042</v>
      </c>
      <c r="J44" s="7">
        <v>827</v>
      </c>
      <c r="K44" s="7">
        <v>988</v>
      </c>
      <c r="L44" s="7">
        <v>235</v>
      </c>
      <c r="M44" s="7">
        <v>180</v>
      </c>
      <c r="N44" s="7">
        <v>522</v>
      </c>
    </row>
    <row r="45" spans="1:14" x14ac:dyDescent="0.35">
      <c r="A45" s="3" t="s">
        <v>289</v>
      </c>
      <c r="B45" s="4" t="s">
        <v>283</v>
      </c>
      <c r="C45" s="3" t="s">
        <v>230</v>
      </c>
      <c r="D45" s="3" t="s">
        <v>301</v>
      </c>
      <c r="E45" s="7">
        <v>66</v>
      </c>
      <c r="F45" s="7">
        <v>56</v>
      </c>
      <c r="G45" s="7">
        <v>68</v>
      </c>
      <c r="H45" s="7">
        <v>38</v>
      </c>
      <c r="I45" s="7">
        <v>48</v>
      </c>
      <c r="J45" s="7">
        <v>124</v>
      </c>
      <c r="K45" s="7">
        <v>55</v>
      </c>
      <c r="L45" s="7">
        <v>40</v>
      </c>
      <c r="M45" s="7">
        <v>110</v>
      </c>
      <c r="N45" s="7">
        <v>37</v>
      </c>
    </row>
    <row r="46" spans="1:14" ht="15.5" x14ac:dyDescent="0.35">
      <c r="A46" s="3" t="s">
        <v>289</v>
      </c>
      <c r="B46" s="4" t="s">
        <v>283</v>
      </c>
      <c r="C46" s="3" t="s">
        <v>256</v>
      </c>
      <c r="D46" s="3" t="s">
        <v>301</v>
      </c>
      <c r="E46" s="7">
        <v>8538</v>
      </c>
      <c r="F46" s="7">
        <v>9262</v>
      </c>
      <c r="G46" s="7">
        <v>9363</v>
      </c>
      <c r="H46" s="7">
        <v>6494</v>
      </c>
      <c r="I46" s="7">
        <v>6695</v>
      </c>
      <c r="J46" s="7">
        <v>7986</v>
      </c>
      <c r="K46" s="7">
        <v>6091</v>
      </c>
      <c r="L46" s="7">
        <v>4573</v>
      </c>
      <c r="M46" s="7">
        <v>5231</v>
      </c>
      <c r="N46" s="7">
        <v>7949</v>
      </c>
    </row>
    <row r="47" spans="1:14" x14ac:dyDescent="0.35">
      <c r="A47" s="3" t="s">
        <v>289</v>
      </c>
      <c r="B47" s="4" t="s">
        <v>283</v>
      </c>
      <c r="C47" s="3" t="s">
        <v>257</v>
      </c>
      <c r="D47" s="3" t="s">
        <v>301</v>
      </c>
      <c r="E47" s="7">
        <v>124</v>
      </c>
      <c r="F47" s="7">
        <v>58</v>
      </c>
      <c r="G47" s="7">
        <v>85</v>
      </c>
      <c r="H47" s="7">
        <v>45</v>
      </c>
      <c r="I47" s="7">
        <v>51</v>
      </c>
      <c r="J47" s="7">
        <v>6</v>
      </c>
      <c r="K47" s="7">
        <v>0</v>
      </c>
      <c r="L47" s="7">
        <v>0</v>
      </c>
      <c r="M47" s="7">
        <v>0</v>
      </c>
      <c r="N47" s="7">
        <v>0</v>
      </c>
    </row>
    <row r="48" spans="1:14" s="1" customFormat="1" x14ac:dyDescent="0.35">
      <c r="A48" s="19" t="s">
        <v>290</v>
      </c>
      <c r="B48" s="21" t="s">
        <v>425</v>
      </c>
      <c r="C48" s="21" t="s">
        <v>244</v>
      </c>
      <c r="D48" s="21" t="s">
        <v>302</v>
      </c>
      <c r="E48" s="71">
        <v>337</v>
      </c>
      <c r="F48" s="71">
        <v>224</v>
      </c>
      <c r="G48" s="71">
        <v>166</v>
      </c>
      <c r="H48" s="71">
        <v>75</v>
      </c>
      <c r="I48" s="71">
        <v>226</v>
      </c>
      <c r="J48" s="71">
        <v>284</v>
      </c>
      <c r="K48" s="71">
        <v>232</v>
      </c>
      <c r="L48" s="71">
        <v>278</v>
      </c>
      <c r="M48" s="71">
        <v>60</v>
      </c>
      <c r="N48" s="71">
        <v>27</v>
      </c>
    </row>
    <row r="49" spans="1:14" x14ac:dyDescent="0.35">
      <c r="A49" s="3" t="s">
        <v>290</v>
      </c>
      <c r="B49" s="4" t="s">
        <v>425</v>
      </c>
      <c r="C49" s="4" t="s">
        <v>245</v>
      </c>
      <c r="D49" s="4" t="s">
        <v>302</v>
      </c>
      <c r="E49" s="6">
        <v>75</v>
      </c>
      <c r="F49" s="6">
        <v>133</v>
      </c>
      <c r="G49" s="6">
        <v>130</v>
      </c>
      <c r="H49" s="6">
        <v>34</v>
      </c>
      <c r="I49" s="6">
        <v>132</v>
      </c>
      <c r="J49" s="6">
        <v>155</v>
      </c>
      <c r="K49" s="6">
        <v>91</v>
      </c>
      <c r="L49" s="6">
        <v>94</v>
      </c>
      <c r="M49" s="6">
        <v>32</v>
      </c>
      <c r="N49" s="6">
        <v>5</v>
      </c>
    </row>
    <row r="50" spans="1:14" x14ac:dyDescent="0.35">
      <c r="A50" s="3" t="s">
        <v>290</v>
      </c>
      <c r="B50" s="4" t="s">
        <v>425</v>
      </c>
      <c r="C50" s="4" t="s">
        <v>246</v>
      </c>
      <c r="D50" s="4" t="s">
        <v>302</v>
      </c>
      <c r="E50" s="6">
        <v>225</v>
      </c>
      <c r="F50" s="6">
        <v>173</v>
      </c>
      <c r="G50" s="6">
        <v>157</v>
      </c>
      <c r="H50" s="6">
        <v>91</v>
      </c>
      <c r="I50" s="6">
        <v>137</v>
      </c>
      <c r="J50" s="6">
        <v>166</v>
      </c>
      <c r="K50" s="6">
        <v>171</v>
      </c>
      <c r="L50" s="6">
        <v>131</v>
      </c>
      <c r="M50" s="6">
        <v>65</v>
      </c>
      <c r="N50" s="6">
        <v>72</v>
      </c>
    </row>
    <row r="51" spans="1:14" x14ac:dyDescent="0.35">
      <c r="A51" s="3" t="s">
        <v>290</v>
      </c>
      <c r="B51" s="4" t="s">
        <v>425</v>
      </c>
      <c r="C51" s="4" t="s">
        <v>234</v>
      </c>
      <c r="D51" s="4" t="s">
        <v>302</v>
      </c>
      <c r="E51" s="6">
        <v>153</v>
      </c>
      <c r="F51" s="6">
        <v>118</v>
      </c>
      <c r="G51" s="6">
        <v>87</v>
      </c>
      <c r="H51" s="6">
        <v>42</v>
      </c>
      <c r="I51" s="6">
        <v>126</v>
      </c>
      <c r="J51" s="6">
        <v>121</v>
      </c>
      <c r="K51" s="6">
        <v>68</v>
      </c>
      <c r="L51" s="6">
        <v>61</v>
      </c>
      <c r="M51" s="6">
        <v>17</v>
      </c>
      <c r="N51" s="6">
        <v>42</v>
      </c>
    </row>
    <row r="52" spans="1:14" x14ac:dyDescent="0.35">
      <c r="A52" s="3" t="s">
        <v>290</v>
      </c>
      <c r="B52" s="4" t="s">
        <v>425</v>
      </c>
      <c r="C52" s="4" t="s">
        <v>258</v>
      </c>
      <c r="D52" s="4" t="s">
        <v>302</v>
      </c>
      <c r="E52" s="6"/>
      <c r="F52" s="6"/>
      <c r="G52" s="6"/>
      <c r="H52" s="6"/>
      <c r="I52" s="6"/>
      <c r="J52" s="6"/>
      <c r="K52" s="6">
        <v>86</v>
      </c>
      <c r="L52" s="6">
        <v>101</v>
      </c>
      <c r="M52" s="6">
        <v>18</v>
      </c>
      <c r="N52" s="6">
        <v>11</v>
      </c>
    </row>
    <row r="53" spans="1:14" x14ac:dyDescent="0.35">
      <c r="A53" s="3" t="s">
        <v>290</v>
      </c>
      <c r="B53" s="4" t="s">
        <v>425</v>
      </c>
      <c r="C53" s="4" t="s">
        <v>247</v>
      </c>
      <c r="D53" s="4" t="s">
        <v>302</v>
      </c>
      <c r="E53" s="6">
        <v>1239</v>
      </c>
      <c r="F53" s="6">
        <v>909</v>
      </c>
      <c r="G53" s="6">
        <v>750</v>
      </c>
      <c r="H53" s="6">
        <v>379</v>
      </c>
      <c r="I53" s="6">
        <v>848</v>
      </c>
      <c r="J53" s="6">
        <v>776</v>
      </c>
      <c r="K53" s="6">
        <v>581</v>
      </c>
      <c r="L53" s="6">
        <v>363</v>
      </c>
      <c r="M53" s="6">
        <v>221</v>
      </c>
      <c r="N53" s="6">
        <v>76</v>
      </c>
    </row>
    <row r="54" spans="1:14" x14ac:dyDescent="0.35">
      <c r="A54" s="3" t="s">
        <v>290</v>
      </c>
      <c r="B54" s="4" t="s">
        <v>425</v>
      </c>
      <c r="C54" s="4" t="s">
        <v>259</v>
      </c>
      <c r="D54" s="4" t="s">
        <v>302</v>
      </c>
      <c r="E54" s="6">
        <v>256</v>
      </c>
      <c r="F54" s="6">
        <v>328</v>
      </c>
      <c r="G54" s="6">
        <v>215</v>
      </c>
      <c r="H54" s="6">
        <v>131</v>
      </c>
      <c r="I54" s="6">
        <v>224</v>
      </c>
      <c r="J54" s="6">
        <v>637</v>
      </c>
      <c r="K54" s="6">
        <v>647</v>
      </c>
      <c r="L54" s="6">
        <v>470</v>
      </c>
      <c r="M54" s="6">
        <v>195</v>
      </c>
      <c r="N54" s="6">
        <v>41</v>
      </c>
    </row>
    <row r="55" spans="1:14" x14ac:dyDescent="0.35">
      <c r="A55" s="3" t="s">
        <v>290</v>
      </c>
      <c r="B55" s="4" t="s">
        <v>425</v>
      </c>
      <c r="C55" s="4" t="s">
        <v>260</v>
      </c>
      <c r="D55" s="4" t="s">
        <v>302</v>
      </c>
      <c r="E55" s="6">
        <v>226</v>
      </c>
      <c r="F55" s="6">
        <v>128</v>
      </c>
      <c r="G55" s="6">
        <v>74</v>
      </c>
      <c r="H55" s="6">
        <v>90</v>
      </c>
      <c r="I55" s="6">
        <v>129</v>
      </c>
      <c r="J55" s="6">
        <v>258</v>
      </c>
      <c r="K55" s="6">
        <v>265</v>
      </c>
      <c r="L55" s="6">
        <v>232</v>
      </c>
      <c r="M55" s="6">
        <v>90</v>
      </c>
      <c r="N55" s="6">
        <v>17</v>
      </c>
    </row>
    <row r="56" spans="1:14" x14ac:dyDescent="0.35">
      <c r="A56" s="3" t="s">
        <v>290</v>
      </c>
      <c r="B56" s="4" t="s">
        <v>425</v>
      </c>
      <c r="C56" s="4" t="s">
        <v>235</v>
      </c>
      <c r="D56" s="4" t="s">
        <v>302</v>
      </c>
      <c r="E56" s="6">
        <v>176</v>
      </c>
      <c r="F56" s="6">
        <v>229</v>
      </c>
      <c r="G56" s="6">
        <v>231</v>
      </c>
      <c r="H56" s="6">
        <v>98</v>
      </c>
      <c r="I56" s="6">
        <v>173</v>
      </c>
      <c r="J56" s="6">
        <v>232</v>
      </c>
      <c r="K56" s="6">
        <v>192</v>
      </c>
      <c r="L56" s="6">
        <v>166</v>
      </c>
      <c r="M56" s="6">
        <v>49</v>
      </c>
      <c r="N56" s="6">
        <v>57</v>
      </c>
    </row>
    <row r="57" spans="1:14" x14ac:dyDescent="0.35">
      <c r="A57" s="3" t="s">
        <v>290</v>
      </c>
      <c r="B57" s="4" t="s">
        <v>425</v>
      </c>
      <c r="C57" s="4" t="s">
        <v>226</v>
      </c>
      <c r="D57" s="4" t="s">
        <v>302</v>
      </c>
      <c r="E57" s="6">
        <v>367</v>
      </c>
      <c r="F57" s="6">
        <v>447</v>
      </c>
      <c r="G57" s="6">
        <v>394</v>
      </c>
      <c r="H57" s="6">
        <v>343</v>
      </c>
      <c r="I57" s="6">
        <v>723</v>
      </c>
      <c r="J57" s="6">
        <v>996</v>
      </c>
      <c r="K57" s="6">
        <v>1499</v>
      </c>
      <c r="L57" s="6">
        <v>2211</v>
      </c>
      <c r="M57" s="6">
        <v>4053</v>
      </c>
      <c r="N57" s="6">
        <v>2759</v>
      </c>
    </row>
    <row r="58" spans="1:14" x14ac:dyDescent="0.35">
      <c r="A58" s="3" t="s">
        <v>290</v>
      </c>
      <c r="B58" s="4" t="s">
        <v>425</v>
      </c>
      <c r="C58" s="4" t="s">
        <v>261</v>
      </c>
      <c r="D58" s="4" t="s">
        <v>302</v>
      </c>
      <c r="E58" s="6">
        <v>95</v>
      </c>
      <c r="F58" s="6">
        <v>72</v>
      </c>
      <c r="G58" s="6">
        <v>75</v>
      </c>
      <c r="H58" s="6">
        <v>60</v>
      </c>
      <c r="I58" s="6">
        <v>260</v>
      </c>
      <c r="J58" s="6">
        <v>174</v>
      </c>
      <c r="K58" s="6">
        <v>147</v>
      </c>
      <c r="L58" s="6">
        <v>115</v>
      </c>
      <c r="M58" s="6">
        <v>45</v>
      </c>
      <c r="N58" s="6">
        <v>0</v>
      </c>
    </row>
    <row r="59" spans="1:14" x14ac:dyDescent="0.35">
      <c r="A59" s="3" t="s">
        <v>290</v>
      </c>
      <c r="B59" s="4" t="s">
        <v>425</v>
      </c>
      <c r="C59" s="4" t="s">
        <v>248</v>
      </c>
      <c r="D59" s="4" t="s">
        <v>302</v>
      </c>
      <c r="E59" s="6">
        <v>1071</v>
      </c>
      <c r="F59" s="6">
        <v>924</v>
      </c>
      <c r="G59" s="6">
        <v>355</v>
      </c>
      <c r="H59" s="6">
        <v>251</v>
      </c>
      <c r="I59" s="6">
        <v>399</v>
      </c>
      <c r="J59" s="6">
        <v>451</v>
      </c>
      <c r="K59" s="6">
        <v>496</v>
      </c>
      <c r="L59" s="6">
        <v>221</v>
      </c>
      <c r="M59" s="6">
        <v>257</v>
      </c>
      <c r="N59" s="6">
        <v>162</v>
      </c>
    </row>
    <row r="60" spans="1:14" x14ac:dyDescent="0.35">
      <c r="A60" s="3" t="s">
        <v>290</v>
      </c>
      <c r="B60" s="4" t="s">
        <v>425</v>
      </c>
      <c r="C60" s="4" t="s">
        <v>262</v>
      </c>
      <c r="D60" s="4" t="s">
        <v>302</v>
      </c>
      <c r="E60" s="6"/>
      <c r="F60" s="6"/>
      <c r="G60" s="6"/>
      <c r="H60" s="6"/>
      <c r="I60" s="6"/>
      <c r="J60" s="6"/>
      <c r="K60" s="6">
        <v>227</v>
      </c>
      <c r="L60" s="6">
        <v>159</v>
      </c>
      <c r="M60" s="6">
        <v>20</v>
      </c>
      <c r="N60" s="6">
        <v>4</v>
      </c>
    </row>
    <row r="61" spans="1:14" x14ac:dyDescent="0.35">
      <c r="A61" s="3" t="s">
        <v>290</v>
      </c>
      <c r="B61" s="4" t="s">
        <v>425</v>
      </c>
      <c r="C61" s="4" t="s">
        <v>263</v>
      </c>
      <c r="D61" s="4" t="s">
        <v>302</v>
      </c>
      <c r="E61" s="6"/>
      <c r="F61" s="6"/>
      <c r="G61" s="6"/>
      <c r="H61" s="6"/>
      <c r="I61" s="6"/>
      <c r="J61" s="6"/>
      <c r="K61" s="6">
        <v>79</v>
      </c>
      <c r="L61" s="6">
        <v>112</v>
      </c>
      <c r="M61" s="6">
        <v>126</v>
      </c>
      <c r="N61" s="6">
        <v>236</v>
      </c>
    </row>
    <row r="62" spans="1:14" x14ac:dyDescent="0.35">
      <c r="A62" s="3" t="s">
        <v>290</v>
      </c>
      <c r="B62" s="4" t="s">
        <v>425</v>
      </c>
      <c r="C62" s="4" t="s">
        <v>249</v>
      </c>
      <c r="D62" s="4" t="s">
        <v>302</v>
      </c>
      <c r="E62" s="6">
        <v>507</v>
      </c>
      <c r="F62" s="6">
        <v>401</v>
      </c>
      <c r="G62" s="6">
        <v>493</v>
      </c>
      <c r="H62" s="6">
        <v>210</v>
      </c>
      <c r="I62" s="6">
        <v>229</v>
      </c>
      <c r="J62" s="6">
        <v>545</v>
      </c>
      <c r="K62" s="6">
        <v>313</v>
      </c>
      <c r="L62" s="6">
        <v>272</v>
      </c>
      <c r="M62" s="6">
        <v>200</v>
      </c>
      <c r="N62" s="6">
        <v>169</v>
      </c>
    </row>
    <row r="63" spans="1:14" x14ac:dyDescent="0.35">
      <c r="A63" s="3" t="s">
        <v>290</v>
      </c>
      <c r="B63" s="4" t="s">
        <v>425</v>
      </c>
      <c r="C63" s="4" t="s">
        <v>239</v>
      </c>
      <c r="D63" s="4" t="s">
        <v>302</v>
      </c>
      <c r="E63" s="6">
        <v>881</v>
      </c>
      <c r="F63" s="6">
        <v>984</v>
      </c>
      <c r="G63" s="6">
        <v>794</v>
      </c>
      <c r="H63" s="6">
        <v>397</v>
      </c>
      <c r="I63" s="6">
        <v>310</v>
      </c>
      <c r="J63" s="6">
        <v>381</v>
      </c>
      <c r="K63" s="6">
        <v>473</v>
      </c>
      <c r="L63" s="6">
        <v>407</v>
      </c>
      <c r="M63" s="6">
        <v>86</v>
      </c>
      <c r="N63" s="6">
        <v>24</v>
      </c>
    </row>
    <row r="64" spans="1:14" x14ac:dyDescent="0.35">
      <c r="A64" s="3" t="s">
        <v>290</v>
      </c>
      <c r="B64" s="4" t="s">
        <v>425</v>
      </c>
      <c r="C64" s="4" t="s">
        <v>264</v>
      </c>
      <c r="D64" s="4" t="s">
        <v>302</v>
      </c>
      <c r="E64" s="6"/>
      <c r="F64" s="6"/>
      <c r="G64" s="6"/>
      <c r="H64" s="6"/>
      <c r="I64" s="6"/>
      <c r="J64" s="6"/>
      <c r="K64" s="6">
        <v>258</v>
      </c>
      <c r="L64" s="6">
        <v>112</v>
      </c>
      <c r="M64" s="6">
        <v>46</v>
      </c>
      <c r="N64" s="6">
        <v>63</v>
      </c>
    </row>
    <row r="65" spans="1:14" x14ac:dyDescent="0.35">
      <c r="A65" s="3" t="s">
        <v>290</v>
      </c>
      <c r="B65" s="4" t="s">
        <v>425</v>
      </c>
      <c r="C65" s="4" t="s">
        <v>240</v>
      </c>
      <c r="D65" s="4" t="s">
        <v>302</v>
      </c>
      <c r="E65" s="6">
        <v>508</v>
      </c>
      <c r="F65" s="6">
        <v>415</v>
      </c>
      <c r="G65" s="6">
        <v>293</v>
      </c>
      <c r="H65" s="6">
        <v>224</v>
      </c>
      <c r="I65" s="6">
        <v>751</v>
      </c>
      <c r="J65" s="6">
        <v>1005</v>
      </c>
      <c r="K65" s="6">
        <v>281</v>
      </c>
      <c r="L65" s="6">
        <v>219</v>
      </c>
      <c r="M65" s="6">
        <v>104</v>
      </c>
      <c r="N65" s="6">
        <v>135</v>
      </c>
    </row>
    <row r="66" spans="1:14" x14ac:dyDescent="0.35">
      <c r="A66" s="3" t="s">
        <v>290</v>
      </c>
      <c r="B66" s="4" t="s">
        <v>425</v>
      </c>
      <c r="C66" s="4" t="s">
        <v>250</v>
      </c>
      <c r="D66" s="4" t="s">
        <v>302</v>
      </c>
      <c r="E66" s="6">
        <v>219</v>
      </c>
      <c r="F66" s="6">
        <v>245</v>
      </c>
      <c r="G66" s="6">
        <v>171</v>
      </c>
      <c r="H66" s="6">
        <v>155</v>
      </c>
      <c r="I66" s="6">
        <v>345</v>
      </c>
      <c r="J66" s="6">
        <v>309</v>
      </c>
      <c r="K66" s="6">
        <v>223</v>
      </c>
      <c r="L66" s="6">
        <v>297</v>
      </c>
      <c r="M66" s="6">
        <v>38</v>
      </c>
      <c r="N66" s="6">
        <v>39</v>
      </c>
    </row>
    <row r="67" spans="1:14" x14ac:dyDescent="0.35">
      <c r="A67" s="3" t="s">
        <v>290</v>
      </c>
      <c r="B67" s="4" t="s">
        <v>425</v>
      </c>
      <c r="C67" s="4" t="s">
        <v>265</v>
      </c>
      <c r="D67" s="4" t="s">
        <v>302</v>
      </c>
      <c r="E67" s="6">
        <v>118</v>
      </c>
      <c r="F67" s="6">
        <v>185</v>
      </c>
      <c r="G67" s="6">
        <v>157</v>
      </c>
      <c r="H67" s="6">
        <v>108</v>
      </c>
      <c r="I67" s="6">
        <v>308</v>
      </c>
      <c r="J67" s="6">
        <v>360</v>
      </c>
      <c r="K67" s="6">
        <v>396</v>
      </c>
      <c r="L67" s="6">
        <v>276</v>
      </c>
      <c r="M67" s="6">
        <v>91</v>
      </c>
      <c r="N67" s="6">
        <v>79</v>
      </c>
    </row>
    <row r="68" spans="1:14" x14ac:dyDescent="0.35">
      <c r="A68" s="3" t="s">
        <v>290</v>
      </c>
      <c r="B68" s="4" t="s">
        <v>425</v>
      </c>
      <c r="C68" s="4" t="s">
        <v>266</v>
      </c>
      <c r="D68" s="4" t="s">
        <v>302</v>
      </c>
      <c r="E68" s="6">
        <v>178</v>
      </c>
      <c r="F68" s="6">
        <v>233</v>
      </c>
      <c r="G68" s="6">
        <v>158</v>
      </c>
      <c r="H68" s="6">
        <v>87</v>
      </c>
      <c r="I68" s="6">
        <v>182</v>
      </c>
      <c r="J68" s="6">
        <v>254</v>
      </c>
      <c r="K68" s="6">
        <v>256</v>
      </c>
      <c r="L68" s="6">
        <v>83</v>
      </c>
      <c r="M68" s="6">
        <v>45</v>
      </c>
      <c r="N68" s="6">
        <v>18</v>
      </c>
    </row>
    <row r="69" spans="1:14" x14ac:dyDescent="0.35">
      <c r="A69" s="3" t="s">
        <v>290</v>
      </c>
      <c r="B69" s="4" t="s">
        <v>425</v>
      </c>
      <c r="C69" s="4" t="s">
        <v>267</v>
      </c>
      <c r="D69" s="4" t="s">
        <v>302</v>
      </c>
      <c r="E69" s="6">
        <v>457</v>
      </c>
      <c r="F69" s="6">
        <v>258</v>
      </c>
      <c r="G69" s="6">
        <v>207</v>
      </c>
      <c r="H69" s="6">
        <v>337</v>
      </c>
      <c r="I69" s="6">
        <v>348</v>
      </c>
      <c r="J69" s="6">
        <v>394</v>
      </c>
      <c r="K69" s="6">
        <v>728</v>
      </c>
      <c r="L69" s="6">
        <v>332</v>
      </c>
      <c r="M69" s="6">
        <v>376</v>
      </c>
      <c r="N69" s="6">
        <v>780</v>
      </c>
    </row>
    <row r="70" spans="1:14" x14ac:dyDescent="0.35">
      <c r="A70" s="3" t="s">
        <v>290</v>
      </c>
      <c r="B70" s="4" t="s">
        <v>425</v>
      </c>
      <c r="C70" s="4" t="s">
        <v>268</v>
      </c>
      <c r="D70" s="4" t="s">
        <v>302</v>
      </c>
      <c r="E70" s="6">
        <v>174</v>
      </c>
      <c r="F70" s="6">
        <v>180</v>
      </c>
      <c r="G70" s="6">
        <v>94</v>
      </c>
      <c r="H70" s="6">
        <v>50</v>
      </c>
      <c r="I70" s="6">
        <v>110</v>
      </c>
      <c r="J70" s="6">
        <v>317</v>
      </c>
      <c r="K70" s="6">
        <v>97</v>
      </c>
      <c r="L70" s="6">
        <v>29</v>
      </c>
      <c r="M70" s="6" t="s">
        <v>205</v>
      </c>
      <c r="N70" s="6">
        <v>22</v>
      </c>
    </row>
    <row r="71" spans="1:14" x14ac:dyDescent="0.35">
      <c r="A71" s="3" t="s">
        <v>290</v>
      </c>
      <c r="B71" s="4" t="s">
        <v>425</v>
      </c>
      <c r="C71" s="4" t="s">
        <v>269</v>
      </c>
      <c r="D71" s="4" t="s">
        <v>302</v>
      </c>
      <c r="E71" s="6">
        <v>2945</v>
      </c>
      <c r="F71" s="6">
        <v>3677</v>
      </c>
      <c r="G71" s="6">
        <v>1438</v>
      </c>
      <c r="H71" s="6">
        <v>662</v>
      </c>
      <c r="I71" s="6">
        <v>693</v>
      </c>
      <c r="J71" s="6">
        <v>955</v>
      </c>
      <c r="K71" s="6">
        <v>2154</v>
      </c>
      <c r="L71" s="6">
        <v>1523</v>
      </c>
      <c r="M71" s="6">
        <v>1016</v>
      </c>
      <c r="N71" s="6">
        <v>121</v>
      </c>
    </row>
    <row r="72" spans="1:14" x14ac:dyDescent="0.35">
      <c r="A72" s="3" t="s">
        <v>290</v>
      </c>
      <c r="B72" s="4" t="s">
        <v>425</v>
      </c>
      <c r="C72" s="4" t="s">
        <v>229</v>
      </c>
      <c r="D72" s="4" t="s">
        <v>302</v>
      </c>
      <c r="E72" s="6">
        <v>398</v>
      </c>
      <c r="F72" s="6">
        <v>311</v>
      </c>
      <c r="G72" s="6">
        <v>211</v>
      </c>
      <c r="H72" s="6">
        <v>145</v>
      </c>
      <c r="I72" s="6">
        <v>86</v>
      </c>
      <c r="J72" s="6">
        <v>56</v>
      </c>
      <c r="K72" s="6">
        <v>95</v>
      </c>
      <c r="L72" s="6">
        <v>1045</v>
      </c>
      <c r="M72" s="6">
        <v>20</v>
      </c>
      <c r="N72" s="6">
        <v>10</v>
      </c>
    </row>
    <row r="73" spans="1:14" x14ac:dyDescent="0.35">
      <c r="A73" s="3" t="s">
        <v>290</v>
      </c>
      <c r="B73" s="4" t="s">
        <v>425</v>
      </c>
      <c r="C73" s="4" t="s">
        <v>252</v>
      </c>
      <c r="D73" s="4" t="s">
        <v>302</v>
      </c>
      <c r="E73" s="6">
        <v>252</v>
      </c>
      <c r="F73" s="6">
        <v>176</v>
      </c>
      <c r="G73" s="6">
        <v>96</v>
      </c>
      <c r="H73" s="6">
        <v>61</v>
      </c>
      <c r="I73" s="6">
        <v>203</v>
      </c>
      <c r="J73" s="6">
        <v>230</v>
      </c>
      <c r="K73" s="6">
        <v>210</v>
      </c>
      <c r="L73" s="6">
        <v>119</v>
      </c>
      <c r="M73" s="6">
        <v>72</v>
      </c>
      <c r="N73" s="6">
        <v>64</v>
      </c>
    </row>
    <row r="74" spans="1:14" x14ac:dyDescent="0.35">
      <c r="A74" s="3" t="s">
        <v>290</v>
      </c>
      <c r="B74" s="4" t="s">
        <v>425</v>
      </c>
      <c r="C74" s="4" t="s">
        <v>253</v>
      </c>
      <c r="D74" s="4" t="s">
        <v>302</v>
      </c>
      <c r="E74" s="6">
        <v>242</v>
      </c>
      <c r="F74" s="6">
        <v>65</v>
      </c>
      <c r="G74" s="6">
        <v>41</v>
      </c>
      <c r="H74" s="6">
        <v>15</v>
      </c>
      <c r="I74" s="6">
        <v>90</v>
      </c>
      <c r="J74" s="6">
        <v>108</v>
      </c>
      <c r="K74" s="6">
        <v>95</v>
      </c>
      <c r="L74" s="6">
        <v>67</v>
      </c>
      <c r="M74" s="6">
        <v>63</v>
      </c>
      <c r="N74" s="6">
        <v>105</v>
      </c>
    </row>
    <row r="75" spans="1:14" x14ac:dyDescent="0.35">
      <c r="A75" s="3" t="s">
        <v>290</v>
      </c>
      <c r="B75" s="4" t="s">
        <v>425</v>
      </c>
      <c r="C75" s="4" t="s">
        <v>254</v>
      </c>
      <c r="D75" s="4" t="s">
        <v>302</v>
      </c>
      <c r="E75" s="6">
        <v>376</v>
      </c>
      <c r="F75" s="6">
        <v>259</v>
      </c>
      <c r="G75" s="6">
        <v>209</v>
      </c>
      <c r="H75" s="6">
        <v>117</v>
      </c>
      <c r="I75" s="6">
        <v>161</v>
      </c>
      <c r="J75" s="6">
        <v>109</v>
      </c>
      <c r="K75" s="6">
        <v>138</v>
      </c>
      <c r="L75" s="6">
        <v>156</v>
      </c>
      <c r="M75" s="6">
        <v>63</v>
      </c>
      <c r="N75" s="6">
        <v>43</v>
      </c>
    </row>
    <row r="76" spans="1:14" x14ac:dyDescent="0.35">
      <c r="A76" s="3" t="s">
        <v>290</v>
      </c>
      <c r="B76" s="4" t="s">
        <v>425</v>
      </c>
      <c r="C76" s="4" t="s">
        <v>255</v>
      </c>
      <c r="D76" s="4" t="s">
        <v>302</v>
      </c>
      <c r="E76" s="6">
        <v>168</v>
      </c>
      <c r="F76" s="6">
        <v>181</v>
      </c>
      <c r="G76" s="6">
        <v>138</v>
      </c>
      <c r="H76" s="6">
        <v>45</v>
      </c>
      <c r="I76" s="6">
        <v>167</v>
      </c>
      <c r="J76" s="6">
        <v>328</v>
      </c>
      <c r="K76" s="6">
        <v>224</v>
      </c>
      <c r="L76" s="6">
        <v>217</v>
      </c>
      <c r="M76" s="6">
        <v>42</v>
      </c>
      <c r="N76" s="6">
        <v>17</v>
      </c>
    </row>
    <row r="77" spans="1:14" x14ac:dyDescent="0.35">
      <c r="A77" s="3" t="s">
        <v>290</v>
      </c>
      <c r="B77" s="4" t="s">
        <v>425</v>
      </c>
      <c r="C77" s="4" t="s">
        <v>270</v>
      </c>
      <c r="D77" s="4" t="s">
        <v>302</v>
      </c>
      <c r="E77" s="6">
        <v>303</v>
      </c>
      <c r="F77" s="6">
        <v>299</v>
      </c>
      <c r="G77" s="6">
        <v>136</v>
      </c>
      <c r="H77" s="6">
        <v>73</v>
      </c>
      <c r="I77" s="6">
        <v>143</v>
      </c>
      <c r="J77" s="6">
        <v>93</v>
      </c>
      <c r="K77" s="6">
        <v>113</v>
      </c>
      <c r="L77" s="6">
        <v>59</v>
      </c>
      <c r="M77" s="6">
        <v>27</v>
      </c>
      <c r="N77" s="6">
        <v>36</v>
      </c>
    </row>
    <row r="78" spans="1:14" s="1" customFormat="1" x14ac:dyDescent="0.35">
      <c r="A78" s="19" t="s">
        <v>290</v>
      </c>
      <c r="B78" s="1" t="s">
        <v>426</v>
      </c>
      <c r="C78" s="21" t="s">
        <v>271</v>
      </c>
      <c r="D78" s="21" t="s">
        <v>302</v>
      </c>
      <c r="E78" s="71">
        <v>50</v>
      </c>
      <c r="F78" s="71">
        <v>72</v>
      </c>
      <c r="G78" s="71">
        <v>18</v>
      </c>
      <c r="H78" s="71">
        <v>50</v>
      </c>
      <c r="I78" s="71">
        <v>36</v>
      </c>
      <c r="J78" s="71">
        <v>149</v>
      </c>
      <c r="K78" s="71">
        <v>104</v>
      </c>
      <c r="L78" s="71">
        <v>47</v>
      </c>
      <c r="M78" s="71" t="s">
        <v>205</v>
      </c>
      <c r="N78" s="71">
        <v>132</v>
      </c>
    </row>
    <row r="79" spans="1:14" s="1" customFormat="1" x14ac:dyDescent="0.35">
      <c r="A79" s="21" t="s">
        <v>291</v>
      </c>
      <c r="B79" s="21" t="s">
        <v>425</v>
      </c>
      <c r="C79" s="21" t="s">
        <v>244</v>
      </c>
      <c r="D79" s="21" t="s">
        <v>302</v>
      </c>
      <c r="E79" s="71">
        <v>17480</v>
      </c>
      <c r="F79" s="71">
        <v>14208</v>
      </c>
      <c r="G79" s="71">
        <v>10042</v>
      </c>
      <c r="H79" s="71">
        <v>8866</v>
      </c>
      <c r="I79" s="71">
        <v>13551</v>
      </c>
      <c r="J79" s="71">
        <v>15189</v>
      </c>
      <c r="K79" s="71">
        <v>13247</v>
      </c>
      <c r="L79" s="71">
        <v>10146</v>
      </c>
      <c r="M79" s="71">
        <v>5607</v>
      </c>
      <c r="N79" s="71">
        <v>8183</v>
      </c>
    </row>
    <row r="80" spans="1:14" x14ac:dyDescent="0.35">
      <c r="A80" s="4" t="s">
        <v>291</v>
      </c>
      <c r="B80" s="4" t="s">
        <v>425</v>
      </c>
      <c r="C80" s="4" t="s">
        <v>245</v>
      </c>
      <c r="D80" s="4" t="s">
        <v>302</v>
      </c>
      <c r="E80" s="6">
        <v>2562</v>
      </c>
      <c r="F80" s="6">
        <v>2114</v>
      </c>
      <c r="G80" s="6">
        <v>1100</v>
      </c>
      <c r="H80" s="6">
        <v>1239</v>
      </c>
      <c r="I80" s="6">
        <v>1666</v>
      </c>
      <c r="J80" s="6">
        <v>1703</v>
      </c>
      <c r="K80" s="6">
        <v>1450</v>
      </c>
      <c r="L80" s="6" t="s">
        <v>205</v>
      </c>
      <c r="M80" s="6">
        <v>562</v>
      </c>
      <c r="N80" s="6">
        <v>1995</v>
      </c>
    </row>
    <row r="81" spans="1:14" x14ac:dyDescent="0.35">
      <c r="A81" s="4" t="s">
        <v>291</v>
      </c>
      <c r="B81" s="4" t="s">
        <v>425</v>
      </c>
      <c r="C81" s="4" t="s">
        <v>246</v>
      </c>
      <c r="D81" s="4" t="s">
        <v>302</v>
      </c>
      <c r="E81" s="6">
        <v>3908</v>
      </c>
      <c r="F81" s="6">
        <v>2795</v>
      </c>
      <c r="G81" s="6">
        <v>1749</v>
      </c>
      <c r="H81" s="6">
        <v>1858</v>
      </c>
      <c r="I81" s="6">
        <v>2834</v>
      </c>
      <c r="J81" s="6">
        <v>2908</v>
      </c>
      <c r="K81" s="6">
        <v>2469</v>
      </c>
      <c r="L81" s="6">
        <v>1604</v>
      </c>
      <c r="M81" s="6">
        <v>1782</v>
      </c>
      <c r="N81" s="6">
        <v>6971</v>
      </c>
    </row>
    <row r="82" spans="1:14" x14ac:dyDescent="0.35">
      <c r="A82" s="4" t="s">
        <v>291</v>
      </c>
      <c r="B82" s="4" t="s">
        <v>425</v>
      </c>
      <c r="C82" s="4" t="s">
        <v>234</v>
      </c>
      <c r="D82" s="4" t="s">
        <v>302</v>
      </c>
      <c r="E82" s="6">
        <v>1668</v>
      </c>
      <c r="F82" s="6">
        <v>1510</v>
      </c>
      <c r="G82" s="6">
        <v>1171</v>
      </c>
      <c r="H82" s="6">
        <v>1173</v>
      </c>
      <c r="I82" s="6">
        <v>1494</v>
      </c>
      <c r="J82" s="6">
        <v>1582</v>
      </c>
      <c r="K82" s="6">
        <v>1287</v>
      </c>
      <c r="L82" s="6">
        <v>930</v>
      </c>
      <c r="M82" s="6">
        <v>692</v>
      </c>
      <c r="N82" s="6">
        <v>1240</v>
      </c>
    </row>
    <row r="83" spans="1:14" x14ac:dyDescent="0.35">
      <c r="A83" s="4" t="s">
        <v>291</v>
      </c>
      <c r="B83" s="4" t="s">
        <v>425</v>
      </c>
      <c r="C83" s="4" t="s">
        <v>247</v>
      </c>
      <c r="D83" s="4" t="s">
        <v>302</v>
      </c>
      <c r="E83" s="6">
        <v>11817</v>
      </c>
      <c r="F83" s="6">
        <v>9951</v>
      </c>
      <c r="G83" s="6">
        <v>6899</v>
      </c>
      <c r="H83" s="6">
        <v>7055</v>
      </c>
      <c r="I83" s="6">
        <v>8604</v>
      </c>
      <c r="J83" s="6">
        <v>9241</v>
      </c>
      <c r="K83" s="6">
        <v>8427</v>
      </c>
      <c r="L83" s="6">
        <v>6211</v>
      </c>
      <c r="M83" s="6">
        <v>5192</v>
      </c>
      <c r="N83" s="6">
        <v>8554</v>
      </c>
    </row>
    <row r="84" spans="1:14" x14ac:dyDescent="0.35">
      <c r="A84" s="4" t="s">
        <v>291</v>
      </c>
      <c r="B84" s="4" t="s">
        <v>425</v>
      </c>
      <c r="C84" s="4" t="s">
        <v>259</v>
      </c>
      <c r="D84" s="4" t="s">
        <v>302</v>
      </c>
      <c r="E84" s="6">
        <v>15882</v>
      </c>
      <c r="F84" s="6">
        <v>13026</v>
      </c>
      <c r="G84" s="6">
        <v>8177</v>
      </c>
      <c r="H84" s="6">
        <v>9634</v>
      </c>
      <c r="I84" s="6">
        <v>16520</v>
      </c>
      <c r="J84" s="6">
        <v>17644</v>
      </c>
      <c r="K84" s="6">
        <v>16900</v>
      </c>
      <c r="L84" s="6">
        <v>14630</v>
      </c>
      <c r="M84" s="6">
        <v>8907</v>
      </c>
      <c r="N84" s="6">
        <v>13004</v>
      </c>
    </row>
    <row r="85" spans="1:14" x14ac:dyDescent="0.35">
      <c r="A85" s="4" t="s">
        <v>291</v>
      </c>
      <c r="B85" s="4" t="s">
        <v>425</v>
      </c>
      <c r="C85" s="4" t="s">
        <v>260</v>
      </c>
      <c r="D85" s="4" t="s">
        <v>302</v>
      </c>
      <c r="E85" s="6">
        <v>4819</v>
      </c>
      <c r="F85" s="6">
        <v>3272</v>
      </c>
      <c r="G85" s="6">
        <v>2336</v>
      </c>
      <c r="H85" s="6">
        <v>2284</v>
      </c>
      <c r="I85" s="6">
        <v>2746</v>
      </c>
      <c r="J85" s="6">
        <v>2755</v>
      </c>
      <c r="K85" s="6">
        <v>2408</v>
      </c>
      <c r="L85" s="6">
        <v>1433</v>
      </c>
      <c r="M85" s="6">
        <v>1382</v>
      </c>
      <c r="N85" s="6">
        <v>2991</v>
      </c>
    </row>
    <row r="86" spans="1:14" x14ac:dyDescent="0.35">
      <c r="A86" s="4" t="s">
        <v>291</v>
      </c>
      <c r="B86" s="4" t="s">
        <v>425</v>
      </c>
      <c r="C86" s="4" t="s">
        <v>235</v>
      </c>
      <c r="D86" s="4" t="s">
        <v>302</v>
      </c>
      <c r="E86" s="6">
        <v>5374</v>
      </c>
      <c r="F86" s="6">
        <v>4549</v>
      </c>
      <c r="G86" s="6">
        <v>2546</v>
      </c>
      <c r="H86" s="6">
        <v>2241</v>
      </c>
      <c r="I86" s="6">
        <v>3409</v>
      </c>
      <c r="J86" s="6">
        <v>3604</v>
      </c>
      <c r="K86" s="6">
        <v>3318</v>
      </c>
      <c r="L86" s="6">
        <v>2508</v>
      </c>
      <c r="M86" s="6">
        <v>2031</v>
      </c>
      <c r="N86" s="6">
        <v>3560</v>
      </c>
    </row>
    <row r="87" spans="1:14" x14ac:dyDescent="0.35">
      <c r="A87" s="4" t="s">
        <v>291</v>
      </c>
      <c r="B87" s="4" t="s">
        <v>425</v>
      </c>
      <c r="C87" s="4" t="s">
        <v>226</v>
      </c>
      <c r="D87" s="4" t="s">
        <v>302</v>
      </c>
      <c r="E87" s="6">
        <v>3244</v>
      </c>
      <c r="F87" s="6">
        <v>2636</v>
      </c>
      <c r="G87" s="6">
        <v>1830</v>
      </c>
      <c r="H87" s="6">
        <v>1611</v>
      </c>
      <c r="I87" s="6">
        <v>1892</v>
      </c>
      <c r="J87" s="6">
        <v>2159</v>
      </c>
      <c r="K87" s="6">
        <v>2270</v>
      </c>
      <c r="L87" s="6">
        <v>1674</v>
      </c>
      <c r="M87" s="6">
        <v>1810</v>
      </c>
      <c r="N87" s="6">
        <v>1919</v>
      </c>
    </row>
    <row r="88" spans="1:14" x14ac:dyDescent="0.35">
      <c r="A88" s="4" t="s">
        <v>291</v>
      </c>
      <c r="B88" s="4" t="s">
        <v>425</v>
      </c>
      <c r="C88" s="4" t="s">
        <v>248</v>
      </c>
      <c r="D88" s="4" t="s">
        <v>302</v>
      </c>
      <c r="E88" s="6">
        <v>13866</v>
      </c>
      <c r="F88" s="6">
        <v>16112</v>
      </c>
      <c r="G88" s="6">
        <v>13886</v>
      </c>
      <c r="H88" s="6">
        <v>12896</v>
      </c>
      <c r="I88" s="6">
        <v>13565</v>
      </c>
      <c r="J88" s="6">
        <v>14333</v>
      </c>
      <c r="K88" s="6">
        <v>11584</v>
      </c>
      <c r="L88" s="6">
        <v>10172</v>
      </c>
      <c r="M88" s="6">
        <v>6191</v>
      </c>
      <c r="N88" s="6">
        <v>8799</v>
      </c>
    </row>
    <row r="89" spans="1:14" x14ac:dyDescent="0.35">
      <c r="A89" s="4" t="s">
        <v>291</v>
      </c>
      <c r="B89" s="4" t="s">
        <v>425</v>
      </c>
      <c r="C89" s="4" t="s">
        <v>249</v>
      </c>
      <c r="D89" s="4" t="s">
        <v>302</v>
      </c>
      <c r="E89" s="6">
        <v>24582</v>
      </c>
      <c r="F89" s="6">
        <v>18347</v>
      </c>
      <c r="G89" s="6">
        <v>8365</v>
      </c>
      <c r="H89" s="6">
        <v>7651</v>
      </c>
      <c r="I89" s="6">
        <v>8419</v>
      </c>
      <c r="J89" s="6">
        <v>7854</v>
      </c>
      <c r="K89" s="6">
        <v>6657</v>
      </c>
      <c r="L89" s="6">
        <v>4383</v>
      </c>
      <c r="M89" s="6">
        <v>3222</v>
      </c>
      <c r="N89" s="6">
        <v>6601</v>
      </c>
    </row>
    <row r="90" spans="1:14" x14ac:dyDescent="0.35">
      <c r="A90" s="4" t="s">
        <v>291</v>
      </c>
      <c r="B90" s="4" t="s">
        <v>425</v>
      </c>
      <c r="C90" s="4" t="s">
        <v>239</v>
      </c>
      <c r="D90" s="4" t="s">
        <v>302</v>
      </c>
      <c r="E90" s="6">
        <v>11147</v>
      </c>
      <c r="F90" s="6">
        <v>8411</v>
      </c>
      <c r="G90" s="6">
        <v>4764</v>
      </c>
      <c r="H90" s="6">
        <v>3524</v>
      </c>
      <c r="I90" s="6">
        <v>6192</v>
      </c>
      <c r="J90" s="6">
        <v>8474</v>
      </c>
      <c r="K90" s="6">
        <v>9512</v>
      </c>
      <c r="L90" s="6">
        <v>7397</v>
      </c>
      <c r="M90" s="6">
        <v>4476</v>
      </c>
      <c r="N90" s="6">
        <v>9621</v>
      </c>
    </row>
    <row r="91" spans="1:14" x14ac:dyDescent="0.35">
      <c r="A91" s="4" t="s">
        <v>291</v>
      </c>
      <c r="B91" s="4" t="s">
        <v>425</v>
      </c>
      <c r="C91" s="4" t="s">
        <v>240</v>
      </c>
      <c r="D91" s="4" t="s">
        <v>302</v>
      </c>
      <c r="E91" s="6">
        <v>8972</v>
      </c>
      <c r="F91" s="6">
        <v>7331</v>
      </c>
      <c r="G91" s="6">
        <v>5187</v>
      </c>
      <c r="H91" s="6">
        <v>5174</v>
      </c>
      <c r="I91" s="6">
        <v>7968</v>
      </c>
      <c r="J91" s="6">
        <v>10270</v>
      </c>
      <c r="K91" s="6">
        <v>9831</v>
      </c>
      <c r="L91" s="6">
        <v>6342</v>
      </c>
      <c r="M91" s="6">
        <v>3595</v>
      </c>
      <c r="N91" s="6">
        <v>8637</v>
      </c>
    </row>
    <row r="92" spans="1:14" x14ac:dyDescent="0.35">
      <c r="A92" s="4" t="s">
        <v>291</v>
      </c>
      <c r="B92" s="4" t="s">
        <v>425</v>
      </c>
      <c r="C92" s="4" t="s">
        <v>250</v>
      </c>
      <c r="D92" s="4" t="s">
        <v>302</v>
      </c>
      <c r="E92" s="6">
        <v>5560</v>
      </c>
      <c r="F92" s="6">
        <v>4859</v>
      </c>
      <c r="G92" s="6">
        <v>2275</v>
      </c>
      <c r="H92" s="6">
        <v>1847</v>
      </c>
      <c r="I92" s="6">
        <v>2576</v>
      </c>
      <c r="J92" s="6">
        <v>3476</v>
      </c>
      <c r="K92" s="6">
        <v>2477</v>
      </c>
      <c r="L92" s="6">
        <v>1517</v>
      </c>
      <c r="M92" s="6">
        <v>3857</v>
      </c>
      <c r="N92" s="6">
        <v>10674</v>
      </c>
    </row>
    <row r="93" spans="1:14" x14ac:dyDescent="0.35">
      <c r="A93" s="4" t="s">
        <v>291</v>
      </c>
      <c r="B93" s="4" t="s">
        <v>425</v>
      </c>
      <c r="C93" s="4" t="s">
        <v>265</v>
      </c>
      <c r="D93" s="4" t="s">
        <v>302</v>
      </c>
      <c r="E93" s="6">
        <v>4380</v>
      </c>
      <c r="F93" s="6">
        <v>3763</v>
      </c>
      <c r="G93" s="6">
        <v>2478</v>
      </c>
      <c r="H93" s="6">
        <v>2247</v>
      </c>
      <c r="I93" s="6">
        <v>3189</v>
      </c>
      <c r="J93" s="6">
        <v>3409</v>
      </c>
      <c r="K93" s="6">
        <v>2903</v>
      </c>
      <c r="L93" s="6">
        <v>2099</v>
      </c>
      <c r="M93" s="6">
        <v>4002</v>
      </c>
      <c r="N93" s="6">
        <v>12137</v>
      </c>
    </row>
    <row r="94" spans="1:14" x14ac:dyDescent="0.35">
      <c r="A94" s="4" t="s">
        <v>291</v>
      </c>
      <c r="B94" s="4" t="s">
        <v>425</v>
      </c>
      <c r="C94" s="4" t="s">
        <v>266</v>
      </c>
      <c r="D94" s="4" t="s">
        <v>302</v>
      </c>
      <c r="E94" s="6">
        <v>4980</v>
      </c>
      <c r="F94" s="6">
        <v>4857</v>
      </c>
      <c r="G94" s="6">
        <v>3995</v>
      </c>
      <c r="H94" s="6">
        <v>3672</v>
      </c>
      <c r="I94" s="6">
        <v>4938</v>
      </c>
      <c r="J94" s="6">
        <v>5143</v>
      </c>
      <c r="K94" s="6">
        <v>4096</v>
      </c>
      <c r="L94" s="6">
        <v>2826</v>
      </c>
      <c r="M94" s="6">
        <v>1886</v>
      </c>
      <c r="N94" s="6">
        <v>2847</v>
      </c>
    </row>
    <row r="95" spans="1:14" x14ac:dyDescent="0.35">
      <c r="A95" s="4" t="s">
        <v>291</v>
      </c>
      <c r="B95" s="4" t="s">
        <v>425</v>
      </c>
      <c r="C95" s="4" t="s">
        <v>267</v>
      </c>
      <c r="D95" s="4" t="s">
        <v>302</v>
      </c>
      <c r="E95" s="6">
        <v>10941</v>
      </c>
      <c r="F95" s="6">
        <v>8416</v>
      </c>
      <c r="G95" s="6">
        <v>7118</v>
      </c>
      <c r="H95" s="6">
        <v>5370</v>
      </c>
      <c r="I95" s="6">
        <v>6457</v>
      </c>
      <c r="J95" s="6">
        <v>7162</v>
      </c>
      <c r="K95" s="6">
        <v>5904</v>
      </c>
      <c r="L95" s="6">
        <v>4262</v>
      </c>
      <c r="M95" s="6">
        <v>2381</v>
      </c>
      <c r="N95" s="6">
        <v>4286</v>
      </c>
    </row>
    <row r="96" spans="1:14" x14ac:dyDescent="0.35">
      <c r="A96" s="4" t="s">
        <v>291</v>
      </c>
      <c r="B96" s="4" t="s">
        <v>425</v>
      </c>
      <c r="C96" s="4" t="s">
        <v>268</v>
      </c>
      <c r="D96" s="4" t="s">
        <v>302</v>
      </c>
      <c r="E96" s="6">
        <v>5505</v>
      </c>
      <c r="F96" s="6">
        <v>3654</v>
      </c>
      <c r="G96" s="6">
        <v>2362</v>
      </c>
      <c r="H96" s="6">
        <v>2500</v>
      </c>
      <c r="I96" s="6">
        <v>4175</v>
      </c>
      <c r="J96" s="6">
        <v>4658</v>
      </c>
      <c r="K96" s="6">
        <v>4340</v>
      </c>
      <c r="L96" s="6">
        <v>3138</v>
      </c>
      <c r="M96" s="6">
        <v>1851</v>
      </c>
      <c r="N96" s="6">
        <v>3046</v>
      </c>
    </row>
    <row r="97" spans="1:14" x14ac:dyDescent="0.35">
      <c r="A97" s="4" t="s">
        <v>291</v>
      </c>
      <c r="B97" s="4" t="s">
        <v>425</v>
      </c>
      <c r="C97" s="4" t="s">
        <v>272</v>
      </c>
      <c r="D97" s="4" t="s">
        <v>302</v>
      </c>
      <c r="E97" s="6">
        <v>6182</v>
      </c>
      <c r="F97" s="6">
        <v>5078</v>
      </c>
      <c r="G97" s="6">
        <v>4384</v>
      </c>
      <c r="H97" s="6">
        <v>4638</v>
      </c>
      <c r="I97" s="6">
        <v>5177</v>
      </c>
      <c r="J97" s="6">
        <v>5754</v>
      </c>
      <c r="K97" s="6">
        <v>5382</v>
      </c>
      <c r="L97" s="6">
        <v>3473</v>
      </c>
      <c r="M97" s="6">
        <v>1944</v>
      </c>
      <c r="N97" s="6">
        <v>4321</v>
      </c>
    </row>
    <row r="98" spans="1:14" x14ac:dyDescent="0.35">
      <c r="A98" s="4" t="s">
        <v>291</v>
      </c>
      <c r="B98" s="4" t="s">
        <v>425</v>
      </c>
      <c r="C98" s="4" t="s">
        <v>269</v>
      </c>
      <c r="D98" s="4" t="s">
        <v>302</v>
      </c>
      <c r="E98" s="6">
        <v>25658</v>
      </c>
      <c r="F98" s="6">
        <v>18680</v>
      </c>
      <c r="G98" s="6">
        <v>11268</v>
      </c>
      <c r="H98" s="6">
        <v>8425</v>
      </c>
      <c r="I98" s="6">
        <v>8510</v>
      </c>
      <c r="J98" s="6">
        <v>10749</v>
      </c>
      <c r="K98" s="6">
        <v>11780</v>
      </c>
      <c r="L98" s="6">
        <v>7659</v>
      </c>
      <c r="M98" s="6">
        <v>5586</v>
      </c>
      <c r="N98" s="6">
        <v>6432</v>
      </c>
    </row>
    <row r="99" spans="1:14" x14ac:dyDescent="0.35">
      <c r="A99" s="4" t="s">
        <v>291</v>
      </c>
      <c r="B99" s="4" t="s">
        <v>425</v>
      </c>
      <c r="C99" s="4" t="s">
        <v>229</v>
      </c>
      <c r="D99" s="4" t="s">
        <v>302</v>
      </c>
      <c r="E99" s="6">
        <v>6521</v>
      </c>
      <c r="F99" s="6">
        <v>6336</v>
      </c>
      <c r="G99" s="6">
        <v>3717</v>
      </c>
      <c r="H99" s="6">
        <v>3683</v>
      </c>
      <c r="I99" s="6">
        <v>4551</v>
      </c>
      <c r="J99" s="6">
        <v>6000</v>
      </c>
      <c r="K99" s="6">
        <v>2280</v>
      </c>
      <c r="L99" s="6">
        <v>1309</v>
      </c>
      <c r="M99" s="6">
        <v>574</v>
      </c>
      <c r="N99" s="6">
        <v>1108</v>
      </c>
    </row>
    <row r="100" spans="1:14" x14ac:dyDescent="0.35">
      <c r="A100" s="4" t="s">
        <v>291</v>
      </c>
      <c r="B100" s="4" t="s">
        <v>425</v>
      </c>
      <c r="C100" s="4" t="s">
        <v>252</v>
      </c>
      <c r="D100" s="4" t="s">
        <v>302</v>
      </c>
      <c r="E100" s="6">
        <v>20441</v>
      </c>
      <c r="F100" s="6">
        <v>10602</v>
      </c>
      <c r="G100" s="6">
        <v>6009</v>
      </c>
      <c r="H100" s="6">
        <v>6651</v>
      </c>
      <c r="I100" s="6">
        <v>7231</v>
      </c>
      <c r="J100" s="6">
        <v>6210</v>
      </c>
      <c r="K100" s="6">
        <v>5098</v>
      </c>
      <c r="L100" s="6">
        <v>3457</v>
      </c>
      <c r="M100" s="6">
        <v>2291</v>
      </c>
      <c r="N100" s="6">
        <v>2850</v>
      </c>
    </row>
    <row r="101" spans="1:14" x14ac:dyDescent="0.35">
      <c r="A101" s="4" t="s">
        <v>291</v>
      </c>
      <c r="B101" s="4" t="s">
        <v>425</v>
      </c>
      <c r="C101" s="4" t="s">
        <v>254</v>
      </c>
      <c r="D101" s="4" t="s">
        <v>302</v>
      </c>
      <c r="E101" s="6">
        <v>7156</v>
      </c>
      <c r="F101" s="6">
        <v>4703</v>
      </c>
      <c r="G101" s="6">
        <v>2960</v>
      </c>
      <c r="H101" s="6">
        <v>2698</v>
      </c>
      <c r="I101" s="6">
        <v>3376</v>
      </c>
      <c r="J101" s="6">
        <v>3067</v>
      </c>
      <c r="K101" s="6">
        <v>2550</v>
      </c>
      <c r="L101" s="6">
        <v>1525</v>
      </c>
      <c r="M101" s="6">
        <v>2008</v>
      </c>
      <c r="N101" s="6">
        <v>2450</v>
      </c>
    </row>
    <row r="102" spans="1:14" x14ac:dyDescent="0.35">
      <c r="A102" s="4" t="s">
        <v>291</v>
      </c>
      <c r="B102" s="4" t="s">
        <v>425</v>
      </c>
      <c r="C102" s="4" t="s">
        <v>270</v>
      </c>
      <c r="D102" s="4" t="s">
        <v>302</v>
      </c>
      <c r="E102" s="6">
        <v>5557</v>
      </c>
      <c r="F102" s="6">
        <v>4361</v>
      </c>
      <c r="G102" s="6">
        <v>3089</v>
      </c>
      <c r="H102" s="6">
        <v>2883</v>
      </c>
      <c r="I102" s="6">
        <v>4163</v>
      </c>
      <c r="J102" s="6">
        <v>4359</v>
      </c>
      <c r="K102" s="6">
        <v>4276</v>
      </c>
      <c r="L102" s="6">
        <v>2885</v>
      </c>
      <c r="M102" s="6">
        <v>1155</v>
      </c>
      <c r="N102" s="6">
        <v>1667</v>
      </c>
    </row>
    <row r="103" spans="1:14" x14ac:dyDescent="0.35">
      <c r="A103" s="4" t="s">
        <v>291</v>
      </c>
      <c r="B103" s="4" t="s">
        <v>425</v>
      </c>
      <c r="C103" s="4" t="s">
        <v>273</v>
      </c>
      <c r="D103" s="4" t="s">
        <v>302</v>
      </c>
      <c r="E103" s="6">
        <v>12</v>
      </c>
      <c r="F103" s="6">
        <v>11</v>
      </c>
      <c r="G103" s="6">
        <v>4</v>
      </c>
      <c r="H103" s="6">
        <v>12</v>
      </c>
      <c r="I103" s="6">
        <v>20</v>
      </c>
      <c r="J103" s="6">
        <v>5</v>
      </c>
      <c r="K103" s="6">
        <v>4</v>
      </c>
      <c r="L103" s="6" t="s">
        <v>205</v>
      </c>
      <c r="M103" s="6">
        <v>4</v>
      </c>
      <c r="N103" s="6">
        <v>0</v>
      </c>
    </row>
    <row r="104" spans="1:14" x14ac:dyDescent="0.35">
      <c r="A104" s="4" t="s">
        <v>291</v>
      </c>
      <c r="B104" s="4" t="s">
        <v>425</v>
      </c>
      <c r="C104" s="4" t="s">
        <v>39</v>
      </c>
      <c r="D104" s="4" t="s">
        <v>302</v>
      </c>
      <c r="E104" s="6">
        <v>1484</v>
      </c>
      <c r="F104" s="6">
        <v>2137</v>
      </c>
      <c r="G104" s="6">
        <v>272</v>
      </c>
      <c r="H104" s="6">
        <v>272</v>
      </c>
      <c r="I104" s="6">
        <v>247</v>
      </c>
      <c r="J104" s="6">
        <v>873</v>
      </c>
      <c r="K104" s="6">
        <v>2649</v>
      </c>
      <c r="L104" s="6">
        <v>1119</v>
      </c>
      <c r="M104" s="6">
        <v>1094</v>
      </c>
      <c r="N104" s="6">
        <v>8857</v>
      </c>
    </row>
    <row r="105" spans="1:14" x14ac:dyDescent="0.35">
      <c r="E105" s="2"/>
      <c r="F105" s="2"/>
      <c r="G105" s="2"/>
      <c r="H105" s="2"/>
      <c r="I105" s="2"/>
      <c r="J105" s="2"/>
      <c r="K105" s="2"/>
      <c r="L105" s="2"/>
      <c r="M105" s="2"/>
      <c r="N105" s="2"/>
    </row>
    <row r="106" spans="1:14" x14ac:dyDescent="0.35">
      <c r="E106" s="2"/>
      <c r="F106" s="2"/>
      <c r="G106" s="2"/>
      <c r="H106" s="2"/>
      <c r="I106" s="2"/>
      <c r="J106" s="2"/>
      <c r="K106" s="2"/>
      <c r="L106" s="2"/>
      <c r="M106" s="2"/>
      <c r="N106" s="2"/>
    </row>
    <row r="107" spans="1:14" x14ac:dyDescent="0.35">
      <c r="A107" s="24" t="s">
        <v>208</v>
      </c>
      <c r="E107" s="2"/>
      <c r="F107" s="2"/>
      <c r="G107" s="2"/>
      <c r="H107" s="2"/>
      <c r="I107" s="2"/>
      <c r="J107" s="2"/>
      <c r="K107" s="2"/>
      <c r="L107" s="2"/>
      <c r="M107" s="2"/>
      <c r="N107" s="2"/>
    </row>
    <row r="108" spans="1:14" x14ac:dyDescent="0.35">
      <c r="A108" s="25" t="s">
        <v>207</v>
      </c>
      <c r="E108" s="26"/>
      <c r="F108" s="26"/>
      <c r="G108" s="26"/>
      <c r="H108" s="26"/>
      <c r="I108" s="26"/>
      <c r="J108" s="26"/>
      <c r="K108" s="26"/>
      <c r="L108" s="26"/>
      <c r="M108" s="26"/>
      <c r="N108" s="26"/>
    </row>
    <row r="109" spans="1:14" x14ac:dyDescent="0.35">
      <c r="A109" s="2" t="s">
        <v>274</v>
      </c>
      <c r="E109" s="16"/>
      <c r="F109" s="16"/>
      <c r="G109" s="16"/>
      <c r="H109" s="16"/>
      <c r="I109" s="16"/>
      <c r="J109" s="16"/>
      <c r="K109" s="16"/>
      <c r="L109" s="16"/>
      <c r="M109" s="16"/>
      <c r="N109" s="16"/>
    </row>
    <row r="110" spans="1:14" x14ac:dyDescent="0.35">
      <c r="A110" s="26" t="s">
        <v>275</v>
      </c>
      <c r="E110" s="16"/>
      <c r="F110" s="16"/>
      <c r="G110" s="16"/>
      <c r="H110" s="16"/>
      <c r="I110" s="16"/>
      <c r="J110" s="16"/>
      <c r="K110" s="16"/>
      <c r="L110" s="16"/>
      <c r="M110" s="16"/>
      <c r="N110" s="16"/>
    </row>
    <row r="111" spans="1:14" x14ac:dyDescent="0.35">
      <c r="A111" s="16" t="s">
        <v>276</v>
      </c>
      <c r="E111" s="2"/>
      <c r="F111" s="2"/>
      <c r="G111" s="2"/>
      <c r="H111" s="2"/>
      <c r="I111" s="2"/>
      <c r="J111" s="2"/>
      <c r="K111" s="2"/>
      <c r="L111" s="2"/>
      <c r="M111" s="2"/>
      <c r="N111" s="2"/>
    </row>
    <row r="112" spans="1:14" x14ac:dyDescent="0.35">
      <c r="A112" s="16" t="s">
        <v>277</v>
      </c>
      <c r="E112" s="2"/>
      <c r="F112" s="2"/>
      <c r="G112" s="2"/>
      <c r="H112" s="2"/>
      <c r="I112" s="2"/>
      <c r="J112" s="2"/>
      <c r="K112" s="2"/>
      <c r="L112" s="2"/>
      <c r="M112" s="2"/>
      <c r="N112" s="2"/>
    </row>
    <row r="113" spans="1:1" x14ac:dyDescent="0.35">
      <c r="A113" s="2" t="s">
        <v>278</v>
      </c>
    </row>
    <row r="114" spans="1:1" x14ac:dyDescent="0.35">
      <c r="A114" s="2" t="s">
        <v>32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77379-FA89-49F4-8B68-0841F26467A8}">
  <dimension ref="A1:U983"/>
  <sheetViews>
    <sheetView topLeftCell="F1" workbookViewId="0">
      <selection activeCell="I21" sqref="I21"/>
    </sheetView>
  </sheetViews>
  <sheetFormatPr defaultRowHeight="14.5" x14ac:dyDescent="0.35"/>
  <cols>
    <col min="1" max="1" width="31.453125" customWidth="1"/>
    <col min="2" max="21" width="12.26953125" customWidth="1"/>
  </cols>
  <sheetData>
    <row r="1" spans="1:21" x14ac:dyDescent="0.35">
      <c r="A1" s="43" t="s">
        <v>220</v>
      </c>
      <c r="B1" s="44" t="s">
        <v>335</v>
      </c>
      <c r="C1" s="45" t="s">
        <v>336</v>
      </c>
      <c r="D1" s="44" t="s">
        <v>337</v>
      </c>
      <c r="E1" s="45" t="s">
        <v>338</v>
      </c>
      <c r="F1" s="44" t="s">
        <v>339</v>
      </c>
      <c r="G1" s="45" t="s">
        <v>340</v>
      </c>
      <c r="H1" s="44" t="s">
        <v>341</v>
      </c>
      <c r="I1" s="45" t="s">
        <v>342</v>
      </c>
      <c r="J1" s="44" t="s">
        <v>343</v>
      </c>
      <c r="K1" s="45" t="s">
        <v>344</v>
      </c>
      <c r="L1" s="44" t="s">
        <v>345</v>
      </c>
      <c r="M1" s="45" t="s">
        <v>346</v>
      </c>
      <c r="N1" s="44" t="s">
        <v>347</v>
      </c>
      <c r="O1" s="45" t="s">
        <v>348</v>
      </c>
      <c r="P1" s="44" t="s">
        <v>349</v>
      </c>
      <c r="Q1" s="45" t="s">
        <v>350</v>
      </c>
      <c r="R1" s="44" t="s">
        <v>351</v>
      </c>
      <c r="S1" s="45" t="s">
        <v>352</v>
      </c>
      <c r="T1" s="44" t="s">
        <v>353</v>
      </c>
      <c r="U1" s="45" t="s">
        <v>354</v>
      </c>
    </row>
    <row r="2" spans="1:21" x14ac:dyDescent="0.35">
      <c r="A2" s="41" t="s">
        <v>40</v>
      </c>
      <c r="B2" s="6">
        <v>5</v>
      </c>
      <c r="C2" s="35">
        <v>6</v>
      </c>
      <c r="D2" s="6">
        <v>10</v>
      </c>
      <c r="E2" s="35">
        <v>11</v>
      </c>
      <c r="F2" s="6" t="s">
        <v>205</v>
      </c>
      <c r="G2" s="35" t="s">
        <v>205</v>
      </c>
      <c r="H2" s="6" t="s">
        <v>205</v>
      </c>
      <c r="I2" s="35" t="s">
        <v>205</v>
      </c>
      <c r="J2" s="6">
        <v>20</v>
      </c>
      <c r="K2" s="35">
        <v>26</v>
      </c>
      <c r="L2" s="6">
        <v>14</v>
      </c>
      <c r="M2" s="35">
        <v>14</v>
      </c>
      <c r="N2" s="6">
        <v>19</v>
      </c>
      <c r="O2" s="35">
        <v>11</v>
      </c>
      <c r="P2" s="6">
        <v>12</v>
      </c>
      <c r="Q2" s="35">
        <v>14</v>
      </c>
      <c r="R2" s="6" t="s">
        <v>205</v>
      </c>
      <c r="S2" s="35" t="s">
        <v>205</v>
      </c>
      <c r="T2" s="6">
        <v>6</v>
      </c>
      <c r="U2" s="35">
        <v>3</v>
      </c>
    </row>
    <row r="3" spans="1:21" x14ac:dyDescent="0.35">
      <c r="A3" s="41" t="s">
        <v>41</v>
      </c>
      <c r="B3" s="6">
        <v>31</v>
      </c>
      <c r="C3" s="35">
        <v>33</v>
      </c>
      <c r="D3" s="6">
        <v>23</v>
      </c>
      <c r="E3" s="35">
        <v>26</v>
      </c>
      <c r="F3" s="6">
        <v>21</v>
      </c>
      <c r="G3" s="35">
        <v>22</v>
      </c>
      <c r="H3" s="6">
        <v>10</v>
      </c>
      <c r="I3" s="35">
        <v>25</v>
      </c>
      <c r="J3" s="6">
        <v>25</v>
      </c>
      <c r="K3" s="35">
        <v>29</v>
      </c>
      <c r="L3" s="6">
        <v>38</v>
      </c>
      <c r="M3" s="35">
        <v>59</v>
      </c>
      <c r="N3" s="6">
        <v>34</v>
      </c>
      <c r="O3" s="35">
        <v>50</v>
      </c>
      <c r="P3" s="6">
        <v>20</v>
      </c>
      <c r="Q3" s="35">
        <v>37</v>
      </c>
      <c r="R3" s="6">
        <v>11</v>
      </c>
      <c r="S3" s="35">
        <v>6</v>
      </c>
      <c r="T3" s="6">
        <v>11</v>
      </c>
      <c r="U3" s="35">
        <v>8</v>
      </c>
    </row>
    <row r="4" spans="1:21" x14ac:dyDescent="0.35">
      <c r="A4" s="41" t="s">
        <v>42</v>
      </c>
      <c r="B4" s="6" t="s">
        <v>205</v>
      </c>
      <c r="C4" s="35" t="s">
        <v>205</v>
      </c>
      <c r="D4" s="6">
        <v>3</v>
      </c>
      <c r="E4" s="35">
        <v>4</v>
      </c>
      <c r="F4" s="6" t="s">
        <v>205</v>
      </c>
      <c r="G4" s="35" t="s">
        <v>205</v>
      </c>
      <c r="H4" s="6">
        <v>3</v>
      </c>
      <c r="I4" s="35">
        <v>14</v>
      </c>
      <c r="J4" s="6">
        <v>23</v>
      </c>
      <c r="K4" s="35">
        <v>18</v>
      </c>
      <c r="L4" s="6">
        <v>21</v>
      </c>
      <c r="M4" s="35">
        <v>5</v>
      </c>
      <c r="N4" s="6">
        <v>14</v>
      </c>
      <c r="O4" s="35">
        <v>13</v>
      </c>
      <c r="P4" s="6" t="s">
        <v>205</v>
      </c>
      <c r="Q4" s="35" t="s">
        <v>205</v>
      </c>
      <c r="R4" s="6">
        <v>5</v>
      </c>
      <c r="S4" s="35">
        <v>0</v>
      </c>
      <c r="T4" s="6" t="s">
        <v>205</v>
      </c>
      <c r="U4" s="35" t="s">
        <v>205</v>
      </c>
    </row>
    <row r="5" spans="1:21" x14ac:dyDescent="0.35">
      <c r="A5" s="41" t="s">
        <v>43</v>
      </c>
      <c r="B5" s="6" t="s">
        <v>205</v>
      </c>
      <c r="C5" s="35" t="s">
        <v>205</v>
      </c>
      <c r="D5" s="6">
        <v>3</v>
      </c>
      <c r="E5" s="35">
        <v>12</v>
      </c>
      <c r="F5" s="6">
        <v>3</v>
      </c>
      <c r="G5" s="35">
        <v>7</v>
      </c>
      <c r="H5" s="6" t="s">
        <v>205</v>
      </c>
      <c r="I5" s="35" t="s">
        <v>205</v>
      </c>
      <c r="J5" s="6">
        <v>0</v>
      </c>
      <c r="K5" s="35">
        <v>11</v>
      </c>
      <c r="L5" s="6">
        <v>13</v>
      </c>
      <c r="M5" s="35">
        <v>24</v>
      </c>
      <c r="N5" s="6">
        <v>14</v>
      </c>
      <c r="O5" s="35">
        <v>30</v>
      </c>
      <c r="P5" s="6" t="s">
        <v>205</v>
      </c>
      <c r="Q5" s="35" t="s">
        <v>205</v>
      </c>
      <c r="R5" s="6">
        <v>0</v>
      </c>
      <c r="S5" s="35">
        <v>8</v>
      </c>
      <c r="T5" s="6">
        <v>6</v>
      </c>
      <c r="U5" s="35">
        <v>11</v>
      </c>
    </row>
    <row r="6" spans="1:21" x14ac:dyDescent="0.35">
      <c r="A6" s="41" t="s">
        <v>44</v>
      </c>
      <c r="B6" s="6">
        <v>17</v>
      </c>
      <c r="C6" s="35">
        <v>8</v>
      </c>
      <c r="D6" s="6">
        <v>13</v>
      </c>
      <c r="E6" s="35">
        <v>0</v>
      </c>
      <c r="F6" s="6">
        <v>11</v>
      </c>
      <c r="G6" s="35">
        <v>5</v>
      </c>
      <c r="H6" s="6" t="s">
        <v>205</v>
      </c>
      <c r="I6" s="35" t="s">
        <v>205</v>
      </c>
      <c r="J6" s="6" t="s">
        <v>205</v>
      </c>
      <c r="K6" s="35" t="s">
        <v>205</v>
      </c>
      <c r="L6" s="6" t="s">
        <v>205</v>
      </c>
      <c r="M6" s="35" t="s">
        <v>205</v>
      </c>
      <c r="N6" s="6">
        <v>12</v>
      </c>
      <c r="O6" s="35">
        <v>0</v>
      </c>
      <c r="P6" s="6" t="s">
        <v>205</v>
      </c>
      <c r="Q6" s="35" t="s">
        <v>205</v>
      </c>
      <c r="R6" s="6">
        <v>8</v>
      </c>
      <c r="S6" s="35">
        <v>0</v>
      </c>
      <c r="T6" s="6">
        <v>12</v>
      </c>
      <c r="U6" s="35">
        <v>0</v>
      </c>
    </row>
    <row r="7" spans="1:21" x14ac:dyDescent="0.35">
      <c r="A7" s="41" t="s">
        <v>45</v>
      </c>
      <c r="B7" s="6">
        <v>88</v>
      </c>
      <c r="C7" s="35">
        <v>71</v>
      </c>
      <c r="D7" s="6">
        <v>64</v>
      </c>
      <c r="E7" s="35">
        <v>65</v>
      </c>
      <c r="F7" s="6">
        <v>58</v>
      </c>
      <c r="G7" s="35">
        <v>77</v>
      </c>
      <c r="H7" s="6">
        <v>52</v>
      </c>
      <c r="I7" s="35">
        <v>104</v>
      </c>
      <c r="J7" s="6">
        <v>48</v>
      </c>
      <c r="K7" s="35">
        <v>133</v>
      </c>
      <c r="L7" s="6">
        <v>201</v>
      </c>
      <c r="M7" s="35">
        <v>32</v>
      </c>
      <c r="N7" s="6">
        <v>287</v>
      </c>
      <c r="O7" s="35">
        <v>37</v>
      </c>
      <c r="P7" s="6">
        <v>265</v>
      </c>
      <c r="Q7" s="35">
        <v>33</v>
      </c>
      <c r="R7" s="6">
        <v>431</v>
      </c>
      <c r="S7" s="35">
        <v>49</v>
      </c>
      <c r="T7" s="6">
        <v>435</v>
      </c>
      <c r="U7" s="35">
        <v>26</v>
      </c>
    </row>
    <row r="8" spans="1:21" x14ac:dyDescent="0.35">
      <c r="A8" s="41" t="s">
        <v>46</v>
      </c>
      <c r="B8" s="6">
        <v>29</v>
      </c>
      <c r="C8" s="35">
        <v>7</v>
      </c>
      <c r="D8" s="6" t="s">
        <v>205</v>
      </c>
      <c r="E8" s="35" t="s">
        <v>205</v>
      </c>
      <c r="F8" s="6">
        <v>15</v>
      </c>
      <c r="G8" s="35">
        <v>3</v>
      </c>
      <c r="H8" s="6">
        <v>13</v>
      </c>
      <c r="I8" s="35">
        <v>8</v>
      </c>
      <c r="J8" s="6">
        <v>12</v>
      </c>
      <c r="K8" s="35">
        <v>17</v>
      </c>
      <c r="L8" s="6">
        <v>26</v>
      </c>
      <c r="M8" s="35">
        <v>5</v>
      </c>
      <c r="N8" s="6">
        <v>41</v>
      </c>
      <c r="O8" s="35">
        <v>17</v>
      </c>
      <c r="P8" s="6">
        <v>29</v>
      </c>
      <c r="Q8" s="35">
        <v>15</v>
      </c>
      <c r="R8" s="6">
        <v>57</v>
      </c>
      <c r="S8" s="35">
        <v>10</v>
      </c>
      <c r="T8" s="6">
        <v>37</v>
      </c>
      <c r="U8" s="35">
        <v>5</v>
      </c>
    </row>
    <row r="9" spans="1:21" x14ac:dyDescent="0.35">
      <c r="A9" s="41" t="s">
        <v>47</v>
      </c>
      <c r="B9" s="6">
        <v>23</v>
      </c>
      <c r="C9" s="35">
        <v>22</v>
      </c>
      <c r="D9" s="6">
        <v>19</v>
      </c>
      <c r="E9" s="35">
        <v>26</v>
      </c>
      <c r="F9" s="6">
        <v>16</v>
      </c>
      <c r="G9" s="35">
        <v>17</v>
      </c>
      <c r="H9" s="6">
        <v>13</v>
      </c>
      <c r="I9" s="35">
        <v>28</v>
      </c>
      <c r="J9" s="6">
        <v>6</v>
      </c>
      <c r="K9" s="35">
        <v>24</v>
      </c>
      <c r="L9" s="6">
        <v>34</v>
      </c>
      <c r="M9" s="35">
        <v>16</v>
      </c>
      <c r="N9" s="6">
        <v>28</v>
      </c>
      <c r="O9" s="35">
        <v>13</v>
      </c>
      <c r="P9" s="6">
        <v>27</v>
      </c>
      <c r="Q9" s="35">
        <v>18</v>
      </c>
      <c r="R9" s="6">
        <v>12</v>
      </c>
      <c r="S9" s="35">
        <v>3</v>
      </c>
      <c r="T9" s="6" t="s">
        <v>205</v>
      </c>
      <c r="U9" s="35" t="s">
        <v>205</v>
      </c>
    </row>
    <row r="10" spans="1:21" x14ac:dyDescent="0.35">
      <c r="A10" s="41" t="s">
        <v>48</v>
      </c>
      <c r="B10" s="6">
        <v>5</v>
      </c>
      <c r="C10" s="35">
        <v>9</v>
      </c>
      <c r="D10" s="6">
        <v>0</v>
      </c>
      <c r="E10" s="35">
        <v>4</v>
      </c>
      <c r="F10" s="6">
        <v>3</v>
      </c>
      <c r="G10" s="35">
        <v>4</v>
      </c>
      <c r="H10" s="6">
        <v>3</v>
      </c>
      <c r="I10" s="35">
        <v>5</v>
      </c>
      <c r="J10" s="6">
        <v>3</v>
      </c>
      <c r="K10" s="35">
        <v>3</v>
      </c>
      <c r="L10" s="6">
        <v>4</v>
      </c>
      <c r="M10" s="35">
        <v>5</v>
      </c>
      <c r="N10" s="6" t="s">
        <v>205</v>
      </c>
      <c r="O10" s="35" t="s">
        <v>205</v>
      </c>
      <c r="P10" s="6" t="s">
        <v>205</v>
      </c>
      <c r="Q10" s="35" t="s">
        <v>205</v>
      </c>
      <c r="R10" s="6" t="s">
        <v>205</v>
      </c>
      <c r="S10" s="35" t="s">
        <v>205</v>
      </c>
      <c r="T10" s="6">
        <v>4</v>
      </c>
      <c r="U10" s="35">
        <v>0</v>
      </c>
    </row>
    <row r="11" spans="1:21" x14ac:dyDescent="0.35">
      <c r="A11" s="41" t="s">
        <v>49</v>
      </c>
      <c r="B11" s="6" t="s">
        <v>205</v>
      </c>
      <c r="C11" s="35" t="s">
        <v>205</v>
      </c>
      <c r="D11" s="6" t="s">
        <v>205</v>
      </c>
      <c r="E11" s="35" t="s">
        <v>205</v>
      </c>
      <c r="F11" s="6">
        <v>4</v>
      </c>
      <c r="G11" s="35">
        <v>0</v>
      </c>
      <c r="H11" s="6" t="s">
        <v>205</v>
      </c>
      <c r="I11" s="35" t="s">
        <v>205</v>
      </c>
      <c r="J11" s="6" t="s">
        <v>205</v>
      </c>
      <c r="K11" s="35" t="s">
        <v>205</v>
      </c>
      <c r="L11" s="6">
        <v>14</v>
      </c>
      <c r="M11" s="35">
        <v>4</v>
      </c>
      <c r="N11" s="6" t="s">
        <v>205</v>
      </c>
      <c r="O11" s="35" t="s">
        <v>205</v>
      </c>
      <c r="P11" s="6" t="s">
        <v>205</v>
      </c>
      <c r="Q11" s="35" t="s">
        <v>205</v>
      </c>
      <c r="R11" s="6" t="s">
        <v>205</v>
      </c>
      <c r="S11" s="35" t="s">
        <v>205</v>
      </c>
      <c r="T11" s="6">
        <v>3</v>
      </c>
      <c r="U11" s="35">
        <v>3</v>
      </c>
    </row>
    <row r="12" spans="1:21" x14ac:dyDescent="0.35">
      <c r="A12" s="41" t="s">
        <v>50</v>
      </c>
      <c r="B12" s="6">
        <v>80</v>
      </c>
      <c r="C12" s="35">
        <v>18</v>
      </c>
      <c r="D12" s="6">
        <v>87</v>
      </c>
      <c r="E12" s="35">
        <v>17</v>
      </c>
      <c r="F12" s="6">
        <v>67</v>
      </c>
      <c r="G12" s="35">
        <v>7</v>
      </c>
      <c r="H12" s="6">
        <v>85</v>
      </c>
      <c r="I12" s="35">
        <v>12</v>
      </c>
      <c r="J12" s="6">
        <v>72</v>
      </c>
      <c r="K12" s="35">
        <v>14</v>
      </c>
      <c r="L12" s="6">
        <v>75</v>
      </c>
      <c r="M12" s="35">
        <v>14</v>
      </c>
      <c r="N12" s="6">
        <v>89</v>
      </c>
      <c r="O12" s="35">
        <v>15</v>
      </c>
      <c r="P12" s="6">
        <v>58</v>
      </c>
      <c r="Q12" s="35">
        <v>16</v>
      </c>
      <c r="R12" s="6">
        <v>77</v>
      </c>
      <c r="S12" s="35">
        <v>21</v>
      </c>
      <c r="T12" s="6">
        <v>42</v>
      </c>
      <c r="U12" s="35">
        <v>15</v>
      </c>
    </row>
    <row r="13" spans="1:21" x14ac:dyDescent="0.35">
      <c r="A13" s="41" t="s">
        <v>52</v>
      </c>
      <c r="B13" s="6">
        <v>13</v>
      </c>
      <c r="C13" s="35">
        <v>51</v>
      </c>
      <c r="D13" s="6">
        <v>28</v>
      </c>
      <c r="E13" s="35">
        <v>56</v>
      </c>
      <c r="F13" s="6">
        <v>13</v>
      </c>
      <c r="G13" s="35">
        <v>56</v>
      </c>
      <c r="H13" s="6">
        <v>14</v>
      </c>
      <c r="I13" s="35">
        <v>125</v>
      </c>
      <c r="J13" s="6">
        <v>25</v>
      </c>
      <c r="K13" s="35">
        <v>189</v>
      </c>
      <c r="L13" s="6">
        <v>57</v>
      </c>
      <c r="M13" s="35">
        <v>88</v>
      </c>
      <c r="N13" s="6">
        <v>48</v>
      </c>
      <c r="O13" s="35">
        <v>109</v>
      </c>
      <c r="P13" s="6">
        <v>45</v>
      </c>
      <c r="Q13" s="35">
        <v>261</v>
      </c>
      <c r="R13" s="6">
        <v>13</v>
      </c>
      <c r="S13" s="35">
        <v>15</v>
      </c>
      <c r="T13" s="6">
        <v>23</v>
      </c>
      <c r="U13" s="35">
        <v>56</v>
      </c>
    </row>
    <row r="14" spans="1:21" x14ac:dyDescent="0.35">
      <c r="A14" s="41" t="s">
        <v>53</v>
      </c>
      <c r="B14" s="6">
        <v>24</v>
      </c>
      <c r="C14" s="35">
        <v>3</v>
      </c>
      <c r="D14" s="6">
        <v>12</v>
      </c>
      <c r="E14" s="35">
        <v>4</v>
      </c>
      <c r="F14" s="6">
        <v>12</v>
      </c>
      <c r="G14" s="35">
        <v>0</v>
      </c>
      <c r="H14" s="6" t="s">
        <v>205</v>
      </c>
      <c r="I14" s="35" t="s">
        <v>205</v>
      </c>
      <c r="J14" s="6">
        <v>19</v>
      </c>
      <c r="K14" s="35">
        <v>4</v>
      </c>
      <c r="L14" s="6">
        <v>15</v>
      </c>
      <c r="M14" s="35">
        <v>3</v>
      </c>
      <c r="N14" s="6">
        <v>34</v>
      </c>
      <c r="O14" s="35">
        <v>0</v>
      </c>
      <c r="P14" s="6">
        <v>9</v>
      </c>
      <c r="Q14" s="35">
        <v>0</v>
      </c>
      <c r="R14" s="6" t="s">
        <v>205</v>
      </c>
      <c r="S14" s="35" t="s">
        <v>205</v>
      </c>
      <c r="T14" s="6" t="s">
        <v>205</v>
      </c>
      <c r="U14" s="35" t="s">
        <v>205</v>
      </c>
    </row>
    <row r="15" spans="1:21" x14ac:dyDescent="0.35">
      <c r="A15" s="41" t="s">
        <v>54</v>
      </c>
      <c r="B15" s="6">
        <v>10</v>
      </c>
      <c r="C15" s="35">
        <v>5</v>
      </c>
      <c r="D15" s="6">
        <v>12</v>
      </c>
      <c r="E15" s="35">
        <v>7</v>
      </c>
      <c r="F15" s="6">
        <v>3</v>
      </c>
      <c r="G15" s="35">
        <v>7</v>
      </c>
      <c r="H15" s="6">
        <v>4</v>
      </c>
      <c r="I15" s="35">
        <v>7</v>
      </c>
      <c r="J15" s="6">
        <v>6</v>
      </c>
      <c r="K15" s="35">
        <v>14</v>
      </c>
      <c r="L15" s="6">
        <v>11</v>
      </c>
      <c r="M15" s="35">
        <v>4</v>
      </c>
      <c r="N15" s="6">
        <v>19</v>
      </c>
      <c r="O15" s="35">
        <v>11</v>
      </c>
      <c r="P15" s="6">
        <v>7</v>
      </c>
      <c r="Q15" s="35">
        <v>5</v>
      </c>
      <c r="R15" s="6" t="s">
        <v>205</v>
      </c>
      <c r="S15" s="35" t="s">
        <v>205</v>
      </c>
      <c r="T15" s="6">
        <v>4</v>
      </c>
      <c r="U15" s="35">
        <v>0</v>
      </c>
    </row>
    <row r="16" spans="1:21" x14ac:dyDescent="0.35">
      <c r="A16" s="41" t="s">
        <v>55</v>
      </c>
      <c r="B16" s="6">
        <v>6</v>
      </c>
      <c r="C16" s="35">
        <v>7</v>
      </c>
      <c r="D16" s="6">
        <v>4</v>
      </c>
      <c r="E16" s="35">
        <v>6</v>
      </c>
      <c r="F16" s="6">
        <v>4</v>
      </c>
      <c r="G16" s="35">
        <v>3</v>
      </c>
      <c r="H16" s="6" t="s">
        <v>205</v>
      </c>
      <c r="I16" s="35" t="s">
        <v>205</v>
      </c>
      <c r="J16" s="6">
        <v>3</v>
      </c>
      <c r="K16" s="35">
        <v>7</v>
      </c>
      <c r="L16" s="6">
        <v>12</v>
      </c>
      <c r="M16" s="35">
        <v>9</v>
      </c>
      <c r="N16" s="6">
        <v>6</v>
      </c>
      <c r="O16" s="35">
        <v>3</v>
      </c>
      <c r="P16" s="6">
        <v>10</v>
      </c>
      <c r="Q16" s="35">
        <v>4</v>
      </c>
      <c r="R16" s="6" t="s">
        <v>205</v>
      </c>
      <c r="S16" s="35" t="s">
        <v>205</v>
      </c>
      <c r="T16" s="6">
        <v>3</v>
      </c>
      <c r="U16" s="35">
        <v>3</v>
      </c>
    </row>
    <row r="17" spans="1:21" x14ac:dyDescent="0.35">
      <c r="A17" s="41" t="s">
        <v>56</v>
      </c>
      <c r="B17" s="6">
        <v>121</v>
      </c>
      <c r="C17" s="35">
        <v>55</v>
      </c>
      <c r="D17" s="6">
        <v>79</v>
      </c>
      <c r="E17" s="35">
        <v>57</v>
      </c>
      <c r="F17" s="6">
        <v>81</v>
      </c>
      <c r="G17" s="35">
        <v>51</v>
      </c>
      <c r="H17" s="6">
        <v>88</v>
      </c>
      <c r="I17" s="35">
        <v>60</v>
      </c>
      <c r="J17" s="6">
        <v>57</v>
      </c>
      <c r="K17" s="35">
        <v>66</v>
      </c>
      <c r="L17" s="6">
        <v>111</v>
      </c>
      <c r="M17" s="35">
        <v>22</v>
      </c>
      <c r="N17" s="6">
        <v>80</v>
      </c>
      <c r="O17" s="35">
        <v>29</v>
      </c>
      <c r="P17" s="6">
        <v>67</v>
      </c>
      <c r="Q17" s="35">
        <v>33</v>
      </c>
      <c r="R17" s="6">
        <v>66</v>
      </c>
      <c r="S17" s="35">
        <v>10</v>
      </c>
      <c r="T17" s="6">
        <v>117</v>
      </c>
      <c r="U17" s="35">
        <v>31</v>
      </c>
    </row>
    <row r="18" spans="1:21" x14ac:dyDescent="0.35">
      <c r="A18" s="41" t="s">
        <v>57</v>
      </c>
      <c r="B18" s="6" t="s">
        <v>205</v>
      </c>
      <c r="C18" s="35" t="s">
        <v>205</v>
      </c>
      <c r="D18" s="6" t="s">
        <v>205</v>
      </c>
      <c r="E18" s="35" t="s">
        <v>205</v>
      </c>
      <c r="F18" s="6">
        <v>3</v>
      </c>
      <c r="G18" s="35">
        <v>5</v>
      </c>
      <c r="H18" s="6">
        <v>0</v>
      </c>
      <c r="I18" s="35" t="s">
        <v>205</v>
      </c>
      <c r="J18" s="6">
        <v>5</v>
      </c>
      <c r="K18" s="35">
        <v>4</v>
      </c>
      <c r="L18" s="6">
        <v>6</v>
      </c>
      <c r="M18" s="35">
        <v>8</v>
      </c>
      <c r="N18" s="6">
        <v>7</v>
      </c>
      <c r="O18" s="35">
        <v>5</v>
      </c>
      <c r="P18" s="6" t="s">
        <v>205</v>
      </c>
      <c r="Q18" s="35" t="s">
        <v>205</v>
      </c>
      <c r="R18" s="6" t="s">
        <v>205</v>
      </c>
      <c r="S18" s="35" t="s">
        <v>205</v>
      </c>
      <c r="T18" s="6">
        <v>0</v>
      </c>
      <c r="U18" s="35" t="s">
        <v>205</v>
      </c>
    </row>
    <row r="19" spans="1:21" x14ac:dyDescent="0.35">
      <c r="A19" s="41" t="s">
        <v>59</v>
      </c>
      <c r="B19" s="6">
        <v>65</v>
      </c>
      <c r="C19" s="35">
        <v>57</v>
      </c>
      <c r="D19" s="6">
        <v>47</v>
      </c>
      <c r="E19" s="35">
        <v>41</v>
      </c>
      <c r="F19" s="6">
        <v>39</v>
      </c>
      <c r="G19" s="35">
        <v>32</v>
      </c>
      <c r="H19" s="6">
        <v>28</v>
      </c>
      <c r="I19" s="35">
        <v>63</v>
      </c>
      <c r="J19" s="6">
        <v>43</v>
      </c>
      <c r="K19" s="35">
        <v>83</v>
      </c>
      <c r="L19" s="6">
        <v>90</v>
      </c>
      <c r="M19" s="35">
        <v>30</v>
      </c>
      <c r="N19" s="6">
        <v>89</v>
      </c>
      <c r="O19" s="35">
        <v>20</v>
      </c>
      <c r="P19" s="6">
        <v>61</v>
      </c>
      <c r="Q19" s="35">
        <v>15</v>
      </c>
      <c r="R19" s="6">
        <v>93</v>
      </c>
      <c r="S19" s="35">
        <v>12</v>
      </c>
      <c r="T19" s="6">
        <v>80</v>
      </c>
      <c r="U19" s="35">
        <v>30</v>
      </c>
    </row>
    <row r="20" spans="1:21" x14ac:dyDescent="0.35">
      <c r="A20" s="41" t="s">
        <v>60</v>
      </c>
      <c r="B20" s="6">
        <v>69</v>
      </c>
      <c r="C20" s="35">
        <v>6</v>
      </c>
      <c r="D20" s="6">
        <v>46</v>
      </c>
      <c r="E20" s="35">
        <v>5</v>
      </c>
      <c r="F20" s="6">
        <v>43</v>
      </c>
      <c r="G20" s="35">
        <v>13</v>
      </c>
      <c r="H20" s="6">
        <v>42</v>
      </c>
      <c r="I20" s="35">
        <v>10</v>
      </c>
      <c r="J20" s="6">
        <v>39</v>
      </c>
      <c r="K20" s="35">
        <v>4</v>
      </c>
      <c r="L20" s="6">
        <v>36</v>
      </c>
      <c r="M20" s="35">
        <v>7</v>
      </c>
      <c r="N20" s="6">
        <v>28</v>
      </c>
      <c r="O20" s="35">
        <v>7</v>
      </c>
      <c r="P20" s="6">
        <v>21</v>
      </c>
      <c r="Q20" s="35">
        <v>6</v>
      </c>
      <c r="R20" s="6" t="s">
        <v>205</v>
      </c>
      <c r="S20" s="35" t="s">
        <v>205</v>
      </c>
      <c r="T20" s="6" t="s">
        <v>205</v>
      </c>
      <c r="U20" s="35" t="s">
        <v>205</v>
      </c>
    </row>
    <row r="21" spans="1:21" x14ac:dyDescent="0.35">
      <c r="A21" s="41" t="s">
        <v>21</v>
      </c>
      <c r="B21" s="6">
        <v>375</v>
      </c>
      <c r="C21" s="35">
        <v>1204</v>
      </c>
      <c r="D21" s="6">
        <v>281</v>
      </c>
      <c r="E21" s="35">
        <v>715</v>
      </c>
      <c r="F21" s="6">
        <v>283</v>
      </c>
      <c r="G21" s="35">
        <v>736</v>
      </c>
      <c r="H21" s="6">
        <v>335</v>
      </c>
      <c r="I21" s="35">
        <v>1174</v>
      </c>
      <c r="J21" s="6">
        <v>405</v>
      </c>
      <c r="K21" s="35">
        <v>1313</v>
      </c>
      <c r="L21" s="6">
        <v>1184</v>
      </c>
      <c r="M21" s="35">
        <v>949</v>
      </c>
      <c r="N21" s="6">
        <v>1484</v>
      </c>
      <c r="O21" s="35">
        <v>919</v>
      </c>
      <c r="P21" s="6">
        <v>1330</v>
      </c>
      <c r="Q21" s="35">
        <v>965</v>
      </c>
      <c r="R21" s="6">
        <v>448</v>
      </c>
      <c r="S21" s="35">
        <v>1517</v>
      </c>
      <c r="T21" s="6">
        <v>972</v>
      </c>
      <c r="U21" s="35">
        <v>1535</v>
      </c>
    </row>
    <row r="22" spans="1:21" x14ac:dyDescent="0.35">
      <c r="A22" s="41" t="s">
        <v>62</v>
      </c>
      <c r="B22" s="6">
        <v>24</v>
      </c>
      <c r="C22" s="35">
        <v>18</v>
      </c>
      <c r="D22" s="6">
        <v>16</v>
      </c>
      <c r="E22" s="35">
        <v>19</v>
      </c>
      <c r="F22" s="6">
        <v>17</v>
      </c>
      <c r="G22" s="35">
        <v>19</v>
      </c>
      <c r="H22" s="6">
        <v>8</v>
      </c>
      <c r="I22" s="35">
        <v>19</v>
      </c>
      <c r="J22" s="6">
        <v>14</v>
      </c>
      <c r="K22" s="35">
        <v>12</v>
      </c>
      <c r="L22" s="6">
        <v>20</v>
      </c>
      <c r="M22" s="35">
        <v>17</v>
      </c>
      <c r="N22" s="6">
        <v>18</v>
      </c>
      <c r="O22" s="35">
        <v>9</v>
      </c>
      <c r="P22" s="6">
        <v>18</v>
      </c>
      <c r="Q22" s="35">
        <v>8</v>
      </c>
      <c r="R22" s="6" t="s">
        <v>205</v>
      </c>
      <c r="S22" s="35" t="s">
        <v>205</v>
      </c>
      <c r="T22" s="6" t="s">
        <v>205</v>
      </c>
      <c r="U22" s="35" t="s">
        <v>205</v>
      </c>
    </row>
    <row r="23" spans="1:21" x14ac:dyDescent="0.35">
      <c r="A23" s="41" t="s">
        <v>63</v>
      </c>
      <c r="B23" s="6" t="s">
        <v>205</v>
      </c>
      <c r="C23" s="35" t="s">
        <v>205</v>
      </c>
      <c r="D23" s="6" t="s">
        <v>205</v>
      </c>
      <c r="E23" s="35" t="s">
        <v>205</v>
      </c>
      <c r="F23" s="6" t="s">
        <v>205</v>
      </c>
      <c r="G23" s="35" t="s">
        <v>205</v>
      </c>
      <c r="H23" s="6">
        <v>0</v>
      </c>
      <c r="I23" s="35">
        <v>18</v>
      </c>
      <c r="J23" s="6">
        <v>3</v>
      </c>
      <c r="K23" s="35">
        <v>36</v>
      </c>
      <c r="L23" s="6">
        <v>14</v>
      </c>
      <c r="M23" s="35">
        <v>25</v>
      </c>
      <c r="N23" s="6">
        <v>12</v>
      </c>
      <c r="O23" s="35">
        <v>11</v>
      </c>
      <c r="P23" s="6" t="s">
        <v>205</v>
      </c>
      <c r="Q23" s="35" t="s">
        <v>205</v>
      </c>
      <c r="R23" s="6">
        <v>3</v>
      </c>
      <c r="S23" s="35">
        <v>4</v>
      </c>
      <c r="T23" s="6">
        <v>5</v>
      </c>
      <c r="U23" s="35">
        <v>10</v>
      </c>
    </row>
    <row r="24" spans="1:21" x14ac:dyDescent="0.35">
      <c r="A24" s="41" t="s">
        <v>64</v>
      </c>
      <c r="B24" s="6">
        <v>3</v>
      </c>
      <c r="C24" s="35">
        <v>7</v>
      </c>
      <c r="D24" s="6" t="s">
        <v>205</v>
      </c>
      <c r="E24" s="35" t="s">
        <v>205</v>
      </c>
      <c r="F24" s="6" t="s">
        <v>205</v>
      </c>
      <c r="G24" s="35" t="s">
        <v>205</v>
      </c>
      <c r="H24" s="6" t="s">
        <v>205</v>
      </c>
      <c r="I24" s="35" t="s">
        <v>205</v>
      </c>
      <c r="J24" s="6">
        <v>5</v>
      </c>
      <c r="K24" s="35">
        <v>7</v>
      </c>
      <c r="L24" s="6">
        <v>42</v>
      </c>
      <c r="M24" s="35">
        <v>0</v>
      </c>
      <c r="N24" s="6" t="s">
        <v>205</v>
      </c>
      <c r="O24" s="35" t="s">
        <v>205</v>
      </c>
      <c r="P24" s="6">
        <v>34</v>
      </c>
      <c r="Q24" s="35">
        <v>4</v>
      </c>
      <c r="R24" s="6">
        <v>8</v>
      </c>
      <c r="S24" s="35">
        <v>0</v>
      </c>
      <c r="T24" s="6">
        <v>0</v>
      </c>
      <c r="U24" s="35">
        <v>0</v>
      </c>
    </row>
    <row r="25" spans="1:21" x14ac:dyDescent="0.35">
      <c r="A25" s="41" t="s">
        <v>65</v>
      </c>
      <c r="B25" s="6">
        <v>0</v>
      </c>
      <c r="C25" s="35" t="s">
        <v>205</v>
      </c>
      <c r="D25" s="6" t="s">
        <v>205</v>
      </c>
      <c r="E25" s="35" t="s">
        <v>205</v>
      </c>
      <c r="F25" s="6">
        <v>0</v>
      </c>
      <c r="G25" s="35" t="s">
        <v>205</v>
      </c>
      <c r="H25" s="6">
        <v>0</v>
      </c>
      <c r="I25" s="35">
        <v>3</v>
      </c>
      <c r="J25" s="6">
        <v>3</v>
      </c>
      <c r="K25" s="35">
        <v>4</v>
      </c>
      <c r="L25" s="6">
        <v>8</v>
      </c>
      <c r="M25" s="35">
        <v>6</v>
      </c>
      <c r="N25" s="6" t="s">
        <v>205</v>
      </c>
      <c r="O25" s="35" t="s">
        <v>205</v>
      </c>
      <c r="P25" s="6" t="s">
        <v>205</v>
      </c>
      <c r="Q25" s="35" t="s">
        <v>205</v>
      </c>
      <c r="R25" s="6" t="s">
        <v>205</v>
      </c>
      <c r="S25" s="35" t="s">
        <v>205</v>
      </c>
      <c r="T25" s="6">
        <v>0</v>
      </c>
      <c r="U25" s="35">
        <v>0</v>
      </c>
    </row>
    <row r="26" spans="1:21" x14ac:dyDescent="0.35">
      <c r="A26" s="41" t="s">
        <v>66</v>
      </c>
      <c r="B26" s="6" t="s">
        <v>205</v>
      </c>
      <c r="C26" s="35" t="s">
        <v>205</v>
      </c>
      <c r="D26" s="6">
        <v>7</v>
      </c>
      <c r="E26" s="35">
        <v>6</v>
      </c>
      <c r="F26" s="6">
        <v>4</v>
      </c>
      <c r="G26" s="35">
        <v>4</v>
      </c>
      <c r="H26" s="6">
        <v>11</v>
      </c>
      <c r="I26" s="35">
        <v>5</v>
      </c>
      <c r="J26" s="6">
        <v>25</v>
      </c>
      <c r="K26" s="35">
        <v>9</v>
      </c>
      <c r="L26" s="6">
        <v>60</v>
      </c>
      <c r="M26" s="35">
        <v>9</v>
      </c>
      <c r="N26" s="6">
        <v>49</v>
      </c>
      <c r="O26" s="35">
        <v>5</v>
      </c>
      <c r="P26" s="6">
        <v>14</v>
      </c>
      <c r="Q26" s="35">
        <v>0</v>
      </c>
      <c r="R26" s="6" t="s">
        <v>205</v>
      </c>
      <c r="S26" s="35" t="s">
        <v>205</v>
      </c>
      <c r="T26" s="6">
        <v>7</v>
      </c>
      <c r="U26" s="35">
        <v>0</v>
      </c>
    </row>
    <row r="27" spans="1:21" x14ac:dyDescent="0.35">
      <c r="A27" s="41" t="s">
        <v>67</v>
      </c>
      <c r="B27" s="6">
        <v>11</v>
      </c>
      <c r="C27" s="35">
        <v>5</v>
      </c>
      <c r="D27" s="6">
        <v>65</v>
      </c>
      <c r="E27" s="35">
        <v>6</v>
      </c>
      <c r="F27" s="6" t="s">
        <v>205</v>
      </c>
      <c r="G27" s="35" t="s">
        <v>205</v>
      </c>
      <c r="H27" s="6" t="s">
        <v>205</v>
      </c>
      <c r="I27" s="35" t="s">
        <v>205</v>
      </c>
      <c r="J27" s="6" t="s">
        <v>205</v>
      </c>
      <c r="K27" s="35" t="s">
        <v>205</v>
      </c>
      <c r="L27" s="6">
        <v>105</v>
      </c>
      <c r="M27" s="35">
        <v>6</v>
      </c>
      <c r="N27" s="6">
        <v>71</v>
      </c>
      <c r="O27" s="35">
        <v>10</v>
      </c>
      <c r="P27" s="6" t="s">
        <v>205</v>
      </c>
      <c r="Q27" s="35" t="s">
        <v>205</v>
      </c>
      <c r="R27" s="6" t="s">
        <v>205</v>
      </c>
      <c r="S27" s="35">
        <v>0</v>
      </c>
      <c r="T27" s="6" t="s">
        <v>205</v>
      </c>
      <c r="U27" s="35" t="s">
        <v>205</v>
      </c>
    </row>
    <row r="28" spans="1:21" x14ac:dyDescent="0.35">
      <c r="A28" s="41" t="s">
        <v>68</v>
      </c>
      <c r="B28" s="6">
        <v>16</v>
      </c>
      <c r="C28" s="35">
        <v>16</v>
      </c>
      <c r="D28" s="6">
        <v>16</v>
      </c>
      <c r="E28" s="35">
        <v>18</v>
      </c>
      <c r="F28" s="6">
        <v>11</v>
      </c>
      <c r="G28" s="35">
        <v>20</v>
      </c>
      <c r="H28" s="6">
        <v>14</v>
      </c>
      <c r="I28" s="35">
        <v>23</v>
      </c>
      <c r="J28" s="6">
        <v>10</v>
      </c>
      <c r="K28" s="35">
        <v>58</v>
      </c>
      <c r="L28" s="6">
        <v>23</v>
      </c>
      <c r="M28" s="35">
        <v>51</v>
      </c>
      <c r="N28" s="6">
        <v>20</v>
      </c>
      <c r="O28" s="35">
        <v>57</v>
      </c>
      <c r="P28" s="6">
        <v>15</v>
      </c>
      <c r="Q28" s="35">
        <v>44</v>
      </c>
      <c r="R28" s="6">
        <v>8</v>
      </c>
      <c r="S28" s="35">
        <v>76</v>
      </c>
      <c r="T28" s="6">
        <v>12</v>
      </c>
      <c r="U28" s="35">
        <v>20</v>
      </c>
    </row>
    <row r="29" spans="1:21" x14ac:dyDescent="0.35">
      <c r="A29" s="41" t="s">
        <v>69</v>
      </c>
      <c r="B29" s="6">
        <v>383</v>
      </c>
      <c r="C29" s="35">
        <v>447</v>
      </c>
      <c r="D29" s="6">
        <v>305</v>
      </c>
      <c r="E29" s="35">
        <v>426</v>
      </c>
      <c r="F29" s="6">
        <v>264</v>
      </c>
      <c r="G29" s="35">
        <v>380</v>
      </c>
      <c r="H29" s="6">
        <v>257</v>
      </c>
      <c r="I29" s="35">
        <v>451</v>
      </c>
      <c r="J29" s="6">
        <v>205</v>
      </c>
      <c r="K29" s="35">
        <v>480</v>
      </c>
      <c r="L29" s="6">
        <v>561</v>
      </c>
      <c r="M29" s="35">
        <v>78</v>
      </c>
      <c r="N29" s="6">
        <v>756</v>
      </c>
      <c r="O29" s="35">
        <v>111</v>
      </c>
      <c r="P29" s="6">
        <v>572</v>
      </c>
      <c r="Q29" s="35">
        <v>88</v>
      </c>
      <c r="R29" s="6">
        <v>416</v>
      </c>
      <c r="S29" s="35">
        <v>33</v>
      </c>
      <c r="T29" s="6">
        <v>524</v>
      </c>
      <c r="U29" s="35">
        <v>36</v>
      </c>
    </row>
    <row r="30" spans="1:21" x14ac:dyDescent="0.35">
      <c r="A30" s="41" t="s">
        <v>71</v>
      </c>
      <c r="B30" s="6">
        <v>0</v>
      </c>
      <c r="C30" s="35" t="s">
        <v>205</v>
      </c>
      <c r="D30" s="6" t="s">
        <v>205</v>
      </c>
      <c r="E30" s="35" t="s">
        <v>205</v>
      </c>
      <c r="F30" s="6">
        <v>0</v>
      </c>
      <c r="G30" s="35">
        <v>3</v>
      </c>
      <c r="H30" s="6" t="s">
        <v>205</v>
      </c>
      <c r="I30" s="35" t="s">
        <v>205</v>
      </c>
      <c r="J30" s="6">
        <v>3</v>
      </c>
      <c r="K30" s="35">
        <v>7</v>
      </c>
      <c r="L30" s="6">
        <v>6</v>
      </c>
      <c r="M30" s="35">
        <v>7</v>
      </c>
      <c r="N30" s="6" t="s">
        <v>205</v>
      </c>
      <c r="O30" s="35" t="s">
        <v>205</v>
      </c>
      <c r="P30" s="6" t="s">
        <v>205</v>
      </c>
      <c r="Q30" s="35" t="s">
        <v>205</v>
      </c>
      <c r="R30" s="6">
        <v>0</v>
      </c>
      <c r="S30" s="35">
        <v>0</v>
      </c>
      <c r="T30" s="6" t="s">
        <v>205</v>
      </c>
      <c r="U30" s="35">
        <v>0</v>
      </c>
    </row>
    <row r="31" spans="1:21" x14ac:dyDescent="0.35">
      <c r="A31" s="41" t="s">
        <v>72</v>
      </c>
      <c r="B31" s="6">
        <v>59</v>
      </c>
      <c r="C31" s="35">
        <v>47</v>
      </c>
      <c r="D31" s="6">
        <v>46</v>
      </c>
      <c r="E31" s="35">
        <v>37</v>
      </c>
      <c r="F31" s="6">
        <v>43</v>
      </c>
      <c r="G31" s="35">
        <v>50</v>
      </c>
      <c r="H31" s="6">
        <v>50</v>
      </c>
      <c r="I31" s="35">
        <v>65</v>
      </c>
      <c r="J31" s="6">
        <v>67</v>
      </c>
      <c r="K31" s="35">
        <v>83</v>
      </c>
      <c r="L31" s="6">
        <v>93</v>
      </c>
      <c r="M31" s="35">
        <v>74</v>
      </c>
      <c r="N31" s="6">
        <v>144</v>
      </c>
      <c r="O31" s="35">
        <v>70</v>
      </c>
      <c r="P31" s="6">
        <v>112</v>
      </c>
      <c r="Q31" s="35">
        <v>162</v>
      </c>
      <c r="R31" s="6">
        <v>75</v>
      </c>
      <c r="S31" s="35">
        <v>92</v>
      </c>
      <c r="T31" s="6">
        <v>76</v>
      </c>
      <c r="U31" s="35">
        <v>72</v>
      </c>
    </row>
    <row r="32" spans="1:21" x14ac:dyDescent="0.35">
      <c r="A32" s="41" t="s">
        <v>73</v>
      </c>
      <c r="B32" s="6">
        <v>188</v>
      </c>
      <c r="C32" s="35">
        <v>792</v>
      </c>
      <c r="D32" s="6">
        <v>148</v>
      </c>
      <c r="E32" s="35">
        <v>601</v>
      </c>
      <c r="F32" s="6">
        <v>128</v>
      </c>
      <c r="G32" s="35">
        <v>601</v>
      </c>
      <c r="H32" s="6">
        <v>110</v>
      </c>
      <c r="I32" s="35">
        <v>703</v>
      </c>
      <c r="J32" s="6">
        <v>122</v>
      </c>
      <c r="K32" s="35">
        <v>1748</v>
      </c>
      <c r="L32" s="6">
        <v>593</v>
      </c>
      <c r="M32" s="35">
        <v>443</v>
      </c>
      <c r="N32" s="6">
        <v>956</v>
      </c>
      <c r="O32" s="35">
        <v>409</v>
      </c>
      <c r="P32" s="6">
        <v>405</v>
      </c>
      <c r="Q32" s="35">
        <v>231</v>
      </c>
      <c r="R32" s="6">
        <v>123</v>
      </c>
      <c r="S32" s="35">
        <v>69</v>
      </c>
      <c r="T32" s="6">
        <v>197</v>
      </c>
      <c r="U32" s="35">
        <v>67</v>
      </c>
    </row>
    <row r="33" spans="1:21" x14ac:dyDescent="0.35">
      <c r="A33" s="41" t="s">
        <v>20</v>
      </c>
      <c r="B33" s="6">
        <v>929</v>
      </c>
      <c r="C33" s="35">
        <v>550</v>
      </c>
      <c r="D33" s="6">
        <v>876</v>
      </c>
      <c r="E33" s="35">
        <v>505</v>
      </c>
      <c r="F33" s="6">
        <v>792</v>
      </c>
      <c r="G33" s="35">
        <v>797</v>
      </c>
      <c r="H33" s="6">
        <v>766</v>
      </c>
      <c r="I33" s="35">
        <v>1331</v>
      </c>
      <c r="J33" s="6">
        <v>616</v>
      </c>
      <c r="K33" s="35">
        <v>1413</v>
      </c>
      <c r="L33" s="6">
        <v>2306</v>
      </c>
      <c r="M33" s="35">
        <v>360</v>
      </c>
      <c r="N33" s="6">
        <v>2564</v>
      </c>
      <c r="O33" s="35">
        <v>315</v>
      </c>
      <c r="P33" s="6">
        <v>1601</v>
      </c>
      <c r="Q33" s="35">
        <v>349</v>
      </c>
      <c r="R33" s="6">
        <v>2721</v>
      </c>
      <c r="S33" s="35">
        <v>300</v>
      </c>
      <c r="T33" s="6">
        <v>2702</v>
      </c>
      <c r="U33" s="35">
        <v>3121</v>
      </c>
    </row>
    <row r="34" spans="1:21" x14ac:dyDescent="0.35">
      <c r="A34" s="41" t="s">
        <v>74</v>
      </c>
      <c r="B34" s="6">
        <v>0</v>
      </c>
      <c r="C34" s="35" t="s">
        <v>205</v>
      </c>
      <c r="D34" s="6">
        <v>0</v>
      </c>
      <c r="E34" s="35">
        <v>0</v>
      </c>
      <c r="F34" s="6" t="s">
        <v>205</v>
      </c>
      <c r="G34" s="35" t="s">
        <v>205</v>
      </c>
      <c r="H34" s="6">
        <v>5</v>
      </c>
      <c r="I34" s="35">
        <v>16</v>
      </c>
      <c r="J34" s="6">
        <v>12</v>
      </c>
      <c r="K34" s="35">
        <v>28</v>
      </c>
      <c r="L34" s="6">
        <v>20</v>
      </c>
      <c r="M34" s="35">
        <v>60</v>
      </c>
      <c r="N34" s="6">
        <v>39</v>
      </c>
      <c r="O34" s="35">
        <v>44</v>
      </c>
      <c r="P34" s="6">
        <v>15</v>
      </c>
      <c r="Q34" s="35">
        <v>84</v>
      </c>
      <c r="R34" s="6">
        <v>17</v>
      </c>
      <c r="S34" s="35">
        <v>38</v>
      </c>
      <c r="T34" s="6">
        <v>11</v>
      </c>
      <c r="U34" s="35">
        <v>24</v>
      </c>
    </row>
    <row r="35" spans="1:21" x14ac:dyDescent="0.35">
      <c r="A35" s="41" t="s">
        <v>75</v>
      </c>
      <c r="B35" s="6" t="s">
        <v>205</v>
      </c>
      <c r="C35" s="35" t="s">
        <v>205</v>
      </c>
      <c r="D35" s="6">
        <v>6</v>
      </c>
      <c r="E35" s="35">
        <v>5</v>
      </c>
      <c r="F35" s="6" t="s">
        <v>205</v>
      </c>
      <c r="G35" s="35" t="s">
        <v>205</v>
      </c>
      <c r="H35" s="6">
        <v>0</v>
      </c>
      <c r="I35" s="35" t="s">
        <v>205</v>
      </c>
      <c r="J35" s="6" t="s">
        <v>205</v>
      </c>
      <c r="K35" s="35" t="s">
        <v>205</v>
      </c>
      <c r="L35" s="6">
        <v>8</v>
      </c>
      <c r="M35" s="35">
        <v>11</v>
      </c>
      <c r="N35" s="6">
        <v>3</v>
      </c>
      <c r="O35" s="35">
        <v>12</v>
      </c>
      <c r="P35" s="6">
        <v>6</v>
      </c>
      <c r="Q35" s="35">
        <v>7</v>
      </c>
      <c r="R35" s="6" t="s">
        <v>205</v>
      </c>
      <c r="S35" s="35" t="s">
        <v>205</v>
      </c>
      <c r="T35" s="6" t="s">
        <v>205</v>
      </c>
      <c r="U35" s="35" t="s">
        <v>205</v>
      </c>
    </row>
    <row r="36" spans="1:21" x14ac:dyDescent="0.35">
      <c r="A36" s="41" t="s">
        <v>76</v>
      </c>
      <c r="B36" s="6">
        <v>128</v>
      </c>
      <c r="C36" s="35">
        <v>204</v>
      </c>
      <c r="D36" s="6">
        <v>125</v>
      </c>
      <c r="E36" s="35">
        <v>161</v>
      </c>
      <c r="F36" s="6">
        <v>87</v>
      </c>
      <c r="G36" s="35">
        <v>137</v>
      </c>
      <c r="H36" s="6">
        <v>70</v>
      </c>
      <c r="I36" s="35">
        <v>184</v>
      </c>
      <c r="J36" s="6">
        <v>72</v>
      </c>
      <c r="K36" s="35">
        <v>182</v>
      </c>
      <c r="L36" s="6">
        <v>255</v>
      </c>
      <c r="M36" s="35">
        <v>66</v>
      </c>
      <c r="N36" s="6">
        <v>310</v>
      </c>
      <c r="O36" s="35">
        <v>43</v>
      </c>
      <c r="P36" s="6">
        <v>190</v>
      </c>
      <c r="Q36" s="35">
        <v>61</v>
      </c>
      <c r="R36" s="6">
        <v>260</v>
      </c>
      <c r="S36" s="35">
        <v>42</v>
      </c>
      <c r="T36" s="6">
        <v>358</v>
      </c>
      <c r="U36" s="35">
        <v>62</v>
      </c>
    </row>
    <row r="37" spans="1:21" x14ac:dyDescent="0.35">
      <c r="A37" s="41" t="s">
        <v>77</v>
      </c>
      <c r="B37" s="6">
        <v>9</v>
      </c>
      <c r="C37" s="35">
        <v>16</v>
      </c>
      <c r="D37" s="6" t="s">
        <v>205</v>
      </c>
      <c r="E37" s="35" t="s">
        <v>205</v>
      </c>
      <c r="F37" s="6">
        <v>3</v>
      </c>
      <c r="G37" s="35">
        <v>7</v>
      </c>
      <c r="H37" s="6">
        <v>11</v>
      </c>
      <c r="I37" s="35">
        <v>12</v>
      </c>
      <c r="J37" s="6">
        <v>7</v>
      </c>
      <c r="K37" s="35">
        <v>8</v>
      </c>
      <c r="L37" s="6">
        <v>55</v>
      </c>
      <c r="M37" s="35">
        <v>28</v>
      </c>
      <c r="N37" s="6">
        <v>28</v>
      </c>
      <c r="O37" s="35">
        <v>8</v>
      </c>
      <c r="P37" s="6">
        <v>26</v>
      </c>
      <c r="Q37" s="35">
        <v>15</v>
      </c>
      <c r="R37" s="6">
        <v>6</v>
      </c>
      <c r="S37" s="35">
        <v>5</v>
      </c>
      <c r="T37" s="6">
        <v>8</v>
      </c>
      <c r="U37" s="35">
        <v>3</v>
      </c>
    </row>
    <row r="38" spans="1:21" x14ac:dyDescent="0.35">
      <c r="A38" s="41" t="s">
        <v>78</v>
      </c>
      <c r="B38" s="6">
        <v>6</v>
      </c>
      <c r="C38" s="35">
        <v>3</v>
      </c>
      <c r="D38" s="6" t="s">
        <v>205</v>
      </c>
      <c r="E38" s="35" t="s">
        <v>205</v>
      </c>
      <c r="F38" s="6" t="s">
        <v>205</v>
      </c>
      <c r="G38" s="35" t="s">
        <v>205</v>
      </c>
      <c r="H38" s="6">
        <v>5</v>
      </c>
      <c r="I38" s="35">
        <v>3</v>
      </c>
      <c r="J38" s="6" t="s">
        <v>205</v>
      </c>
      <c r="K38" s="35" t="s">
        <v>205</v>
      </c>
      <c r="L38" s="6" t="s">
        <v>205</v>
      </c>
      <c r="M38" s="35" t="s">
        <v>205</v>
      </c>
      <c r="N38" s="6" t="s">
        <v>205</v>
      </c>
      <c r="O38" s="35" t="s">
        <v>205</v>
      </c>
      <c r="P38" s="6" t="s">
        <v>205</v>
      </c>
      <c r="Q38" s="35" t="s">
        <v>205</v>
      </c>
      <c r="R38" s="6">
        <v>6</v>
      </c>
      <c r="S38" s="35">
        <v>3</v>
      </c>
      <c r="T38" s="6" t="s">
        <v>205</v>
      </c>
      <c r="U38" s="35" t="s">
        <v>205</v>
      </c>
    </row>
    <row r="39" spans="1:21" x14ac:dyDescent="0.35">
      <c r="A39" s="41" t="s">
        <v>79</v>
      </c>
      <c r="B39" s="6">
        <v>30</v>
      </c>
      <c r="C39" s="35">
        <v>14</v>
      </c>
      <c r="D39" s="6">
        <v>16</v>
      </c>
      <c r="E39" s="35">
        <v>19</v>
      </c>
      <c r="F39" s="6">
        <v>18</v>
      </c>
      <c r="G39" s="35">
        <v>31</v>
      </c>
      <c r="H39" s="6">
        <v>32</v>
      </c>
      <c r="I39" s="35">
        <v>19</v>
      </c>
      <c r="J39" s="6">
        <v>73</v>
      </c>
      <c r="K39" s="35">
        <v>121</v>
      </c>
      <c r="L39" s="6">
        <v>200</v>
      </c>
      <c r="M39" s="35">
        <v>281</v>
      </c>
      <c r="N39" s="6">
        <v>163</v>
      </c>
      <c r="O39" s="35">
        <v>958</v>
      </c>
      <c r="P39" s="6">
        <v>246</v>
      </c>
      <c r="Q39" s="35">
        <v>1352</v>
      </c>
      <c r="R39" s="6">
        <v>27</v>
      </c>
      <c r="S39" s="35">
        <v>71</v>
      </c>
      <c r="T39" s="6">
        <v>27</v>
      </c>
      <c r="U39" s="35">
        <v>29</v>
      </c>
    </row>
    <row r="40" spans="1:21" x14ac:dyDescent="0.35">
      <c r="A40" s="41" t="s">
        <v>81</v>
      </c>
      <c r="B40" s="6">
        <v>0</v>
      </c>
      <c r="C40" s="35">
        <v>7</v>
      </c>
      <c r="D40" s="6">
        <v>5</v>
      </c>
      <c r="E40" s="35">
        <v>32</v>
      </c>
      <c r="F40" s="6">
        <v>16</v>
      </c>
      <c r="G40" s="35">
        <v>13</v>
      </c>
      <c r="H40" s="6">
        <v>8</v>
      </c>
      <c r="I40" s="35">
        <v>13</v>
      </c>
      <c r="J40" s="6">
        <v>9</v>
      </c>
      <c r="K40" s="35">
        <v>17</v>
      </c>
      <c r="L40" s="6">
        <v>20</v>
      </c>
      <c r="M40" s="35">
        <v>29</v>
      </c>
      <c r="N40" s="6">
        <v>11</v>
      </c>
      <c r="O40" s="35">
        <v>42</v>
      </c>
      <c r="P40" s="6">
        <v>11</v>
      </c>
      <c r="Q40" s="35">
        <v>13</v>
      </c>
      <c r="R40" s="6">
        <v>7</v>
      </c>
      <c r="S40" s="35">
        <v>7</v>
      </c>
      <c r="T40" s="6">
        <v>3</v>
      </c>
      <c r="U40" s="35">
        <v>3</v>
      </c>
    </row>
    <row r="41" spans="1:21" ht="15.5" x14ac:dyDescent="0.35">
      <c r="A41" s="41" t="s">
        <v>329</v>
      </c>
      <c r="B41" s="6">
        <v>18</v>
      </c>
      <c r="C41" s="35">
        <v>22</v>
      </c>
      <c r="D41" s="6">
        <v>7</v>
      </c>
      <c r="E41" s="35">
        <v>3</v>
      </c>
      <c r="F41" s="6" t="s">
        <v>205</v>
      </c>
      <c r="G41" s="35">
        <v>0</v>
      </c>
      <c r="H41" s="6">
        <v>3</v>
      </c>
      <c r="I41" s="35">
        <v>0</v>
      </c>
      <c r="J41" s="6" t="s">
        <v>205</v>
      </c>
      <c r="K41" s="35" t="s">
        <v>205</v>
      </c>
      <c r="L41" s="6" t="s">
        <v>205</v>
      </c>
      <c r="M41" s="35" t="s">
        <v>205</v>
      </c>
      <c r="N41" s="6" t="s">
        <v>205</v>
      </c>
      <c r="O41" s="35" t="s">
        <v>205</v>
      </c>
      <c r="P41" s="6" t="s">
        <v>205</v>
      </c>
      <c r="Q41" s="35">
        <v>0</v>
      </c>
      <c r="R41" s="6" t="s">
        <v>206</v>
      </c>
      <c r="S41" s="35" t="s">
        <v>206</v>
      </c>
      <c r="T41" s="6" t="s">
        <v>206</v>
      </c>
      <c r="U41" s="35" t="s">
        <v>206</v>
      </c>
    </row>
    <row r="42" spans="1:21" x14ac:dyDescent="0.35">
      <c r="A42" s="41" t="s">
        <v>84</v>
      </c>
      <c r="B42" s="6">
        <v>9</v>
      </c>
      <c r="C42" s="35">
        <v>9</v>
      </c>
      <c r="D42" s="6">
        <v>11</v>
      </c>
      <c r="E42" s="35">
        <v>4</v>
      </c>
      <c r="F42" s="6">
        <v>7</v>
      </c>
      <c r="G42" s="35">
        <v>4</v>
      </c>
      <c r="H42" s="6" t="s">
        <v>205</v>
      </c>
      <c r="I42" s="35" t="s">
        <v>205</v>
      </c>
      <c r="J42" s="6">
        <v>9</v>
      </c>
      <c r="K42" s="35">
        <v>4</v>
      </c>
      <c r="L42" s="6">
        <v>17</v>
      </c>
      <c r="M42" s="35">
        <v>3</v>
      </c>
      <c r="N42" s="6" t="s">
        <v>205</v>
      </c>
      <c r="O42" s="35" t="s">
        <v>205</v>
      </c>
      <c r="P42" s="6" t="s">
        <v>205</v>
      </c>
      <c r="Q42" s="35" t="s">
        <v>205</v>
      </c>
      <c r="R42" s="6" t="s">
        <v>205</v>
      </c>
      <c r="S42" s="35" t="s">
        <v>205</v>
      </c>
      <c r="T42" s="6">
        <v>6</v>
      </c>
      <c r="U42" s="35">
        <v>3</v>
      </c>
    </row>
    <row r="43" spans="1:21" x14ac:dyDescent="0.35">
      <c r="A43" s="41" t="s">
        <v>85</v>
      </c>
      <c r="B43" s="6">
        <v>1821</v>
      </c>
      <c r="C43" s="35">
        <v>504</v>
      </c>
      <c r="D43" s="6">
        <v>1642</v>
      </c>
      <c r="E43" s="35">
        <v>438</v>
      </c>
      <c r="F43" s="6">
        <v>1519</v>
      </c>
      <c r="G43" s="35">
        <v>366</v>
      </c>
      <c r="H43" s="6">
        <v>1487</v>
      </c>
      <c r="I43" s="35">
        <v>500</v>
      </c>
      <c r="J43" s="6">
        <v>1509</v>
      </c>
      <c r="K43" s="35">
        <v>512</v>
      </c>
      <c r="L43" s="6">
        <v>1504</v>
      </c>
      <c r="M43" s="35">
        <v>376</v>
      </c>
      <c r="N43" s="6">
        <v>1619</v>
      </c>
      <c r="O43" s="35">
        <v>584</v>
      </c>
      <c r="P43" s="6">
        <v>1490</v>
      </c>
      <c r="Q43" s="35">
        <v>433</v>
      </c>
      <c r="R43" s="6">
        <v>1368</v>
      </c>
      <c r="S43" s="35">
        <v>360</v>
      </c>
      <c r="T43" s="6">
        <v>1100</v>
      </c>
      <c r="U43" s="35">
        <v>622</v>
      </c>
    </row>
    <row r="44" spans="1:21" x14ac:dyDescent="0.35">
      <c r="A44" s="41" t="s">
        <v>86</v>
      </c>
      <c r="B44" s="6">
        <v>579</v>
      </c>
      <c r="C44" s="35">
        <v>933</v>
      </c>
      <c r="D44" s="6">
        <v>571</v>
      </c>
      <c r="E44" s="35">
        <v>1015</v>
      </c>
      <c r="F44" s="6">
        <v>487</v>
      </c>
      <c r="G44" s="35">
        <v>943</v>
      </c>
      <c r="H44" s="6">
        <v>466</v>
      </c>
      <c r="I44" s="35">
        <v>966</v>
      </c>
      <c r="J44" s="6">
        <v>499</v>
      </c>
      <c r="K44" s="35">
        <v>877</v>
      </c>
      <c r="L44" s="6">
        <v>898</v>
      </c>
      <c r="M44" s="35">
        <v>539</v>
      </c>
      <c r="N44" s="6">
        <v>1479</v>
      </c>
      <c r="O44" s="35">
        <v>1006</v>
      </c>
      <c r="P44" s="6">
        <v>1507</v>
      </c>
      <c r="Q44" s="35">
        <v>1612</v>
      </c>
      <c r="R44" s="6">
        <v>784</v>
      </c>
      <c r="S44" s="35">
        <v>1070</v>
      </c>
      <c r="T44" s="6">
        <v>674</v>
      </c>
      <c r="U44" s="35">
        <v>1147</v>
      </c>
    </row>
    <row r="45" spans="1:21" x14ac:dyDescent="0.35">
      <c r="A45" s="41" t="s">
        <v>87</v>
      </c>
      <c r="B45" s="6">
        <v>22</v>
      </c>
      <c r="C45" s="35">
        <v>51</v>
      </c>
      <c r="D45" s="6">
        <v>21</v>
      </c>
      <c r="E45" s="35">
        <v>48</v>
      </c>
      <c r="F45" s="6">
        <v>21</v>
      </c>
      <c r="G45" s="35">
        <v>42</v>
      </c>
      <c r="H45" s="6">
        <v>15</v>
      </c>
      <c r="I45" s="35">
        <v>38</v>
      </c>
      <c r="J45" s="6">
        <v>21</v>
      </c>
      <c r="K45" s="35">
        <v>44</v>
      </c>
      <c r="L45" s="6">
        <v>56</v>
      </c>
      <c r="M45" s="35">
        <v>37</v>
      </c>
      <c r="N45" s="6">
        <v>60</v>
      </c>
      <c r="O45" s="35">
        <v>22</v>
      </c>
      <c r="P45" s="6">
        <v>53</v>
      </c>
      <c r="Q45" s="35">
        <v>48</v>
      </c>
      <c r="R45" s="6">
        <v>35</v>
      </c>
      <c r="S45" s="35">
        <v>28</v>
      </c>
      <c r="T45" s="6">
        <v>27</v>
      </c>
      <c r="U45" s="35">
        <v>13</v>
      </c>
    </row>
    <row r="46" spans="1:21" x14ac:dyDescent="0.35">
      <c r="A46" s="41" t="s">
        <v>16</v>
      </c>
      <c r="B46" s="6">
        <v>9472</v>
      </c>
      <c r="C46" s="35">
        <v>11660</v>
      </c>
      <c r="D46" s="6">
        <v>8952</v>
      </c>
      <c r="E46" s="35">
        <v>17726</v>
      </c>
      <c r="F46" s="6">
        <v>7186</v>
      </c>
      <c r="G46" s="35">
        <v>14637</v>
      </c>
      <c r="H46" s="6">
        <v>6754</v>
      </c>
      <c r="I46" s="35">
        <v>13592</v>
      </c>
      <c r="J46" s="6">
        <v>6418</v>
      </c>
      <c r="K46" s="35">
        <v>11921</v>
      </c>
      <c r="L46" s="6">
        <v>7054</v>
      </c>
      <c r="M46" s="35">
        <v>7877</v>
      </c>
      <c r="N46" s="6">
        <v>8798</v>
      </c>
      <c r="O46" s="35">
        <v>9240</v>
      </c>
      <c r="P46" s="6">
        <v>5041</v>
      </c>
      <c r="Q46" s="35">
        <v>7126</v>
      </c>
      <c r="R46" s="6">
        <v>2035</v>
      </c>
      <c r="S46" s="35">
        <v>755</v>
      </c>
      <c r="T46" s="6">
        <v>2012</v>
      </c>
      <c r="U46" s="35">
        <v>5313</v>
      </c>
    </row>
    <row r="47" spans="1:21" x14ac:dyDescent="0.35">
      <c r="A47" s="41" t="s">
        <v>88</v>
      </c>
      <c r="B47" s="6">
        <v>0</v>
      </c>
      <c r="C47" s="35" t="s">
        <v>205</v>
      </c>
      <c r="D47" s="6" t="s">
        <v>205</v>
      </c>
      <c r="E47" s="35" t="s">
        <v>205</v>
      </c>
      <c r="F47" s="6">
        <v>0</v>
      </c>
      <c r="G47" s="35">
        <v>0</v>
      </c>
      <c r="H47" s="6">
        <v>3</v>
      </c>
      <c r="I47" s="35">
        <v>3</v>
      </c>
      <c r="J47" s="6">
        <v>0</v>
      </c>
      <c r="K47" s="35">
        <v>3</v>
      </c>
      <c r="L47" s="6" t="s">
        <v>205</v>
      </c>
      <c r="M47" s="35" t="s">
        <v>205</v>
      </c>
      <c r="N47" s="6" t="s">
        <v>205</v>
      </c>
      <c r="O47" s="35" t="s">
        <v>205</v>
      </c>
      <c r="P47" s="6">
        <v>7</v>
      </c>
      <c r="Q47" s="35">
        <v>4</v>
      </c>
      <c r="R47" s="6" t="s">
        <v>205</v>
      </c>
      <c r="S47" s="35" t="s">
        <v>205</v>
      </c>
      <c r="T47" s="6" t="s">
        <v>205</v>
      </c>
      <c r="U47" s="35" t="s">
        <v>205</v>
      </c>
    </row>
    <row r="48" spans="1:21" x14ac:dyDescent="0.35">
      <c r="A48" s="41" t="s">
        <v>89</v>
      </c>
      <c r="B48" s="6">
        <v>0</v>
      </c>
      <c r="C48" s="35">
        <v>4</v>
      </c>
      <c r="D48" s="6">
        <v>0</v>
      </c>
      <c r="E48" s="35" t="s">
        <v>205</v>
      </c>
      <c r="F48" s="6">
        <v>0</v>
      </c>
      <c r="G48" s="35">
        <v>6</v>
      </c>
      <c r="H48" s="6">
        <v>0</v>
      </c>
      <c r="I48" s="35">
        <v>12</v>
      </c>
      <c r="J48" s="6" t="s">
        <v>205</v>
      </c>
      <c r="K48" s="35" t="s">
        <v>205</v>
      </c>
      <c r="L48" s="6" t="s">
        <v>205</v>
      </c>
      <c r="M48" s="35" t="s">
        <v>205</v>
      </c>
      <c r="N48" s="6">
        <v>5</v>
      </c>
      <c r="O48" s="35">
        <v>43</v>
      </c>
      <c r="P48" s="6">
        <v>6</v>
      </c>
      <c r="Q48" s="35">
        <v>31</v>
      </c>
      <c r="R48" s="6" t="s">
        <v>205</v>
      </c>
      <c r="S48" s="35" t="s">
        <v>205</v>
      </c>
      <c r="T48" s="6">
        <v>5</v>
      </c>
      <c r="U48" s="35">
        <v>15</v>
      </c>
    </row>
    <row r="49" spans="1:21" x14ac:dyDescent="0.35">
      <c r="A49" s="41" t="s">
        <v>90</v>
      </c>
      <c r="B49" s="6">
        <v>9</v>
      </c>
      <c r="C49" s="35">
        <v>9</v>
      </c>
      <c r="D49" s="6">
        <v>6</v>
      </c>
      <c r="E49" s="35">
        <v>5</v>
      </c>
      <c r="F49" s="6">
        <v>4</v>
      </c>
      <c r="G49" s="35">
        <v>3</v>
      </c>
      <c r="H49" s="6" t="s">
        <v>205</v>
      </c>
      <c r="I49" s="35" t="s">
        <v>205</v>
      </c>
      <c r="J49" s="6">
        <v>3</v>
      </c>
      <c r="K49" s="35">
        <v>8</v>
      </c>
      <c r="L49" s="6">
        <v>5</v>
      </c>
      <c r="M49" s="35">
        <v>7</v>
      </c>
      <c r="N49" s="6">
        <v>5</v>
      </c>
      <c r="O49" s="35">
        <v>5</v>
      </c>
      <c r="P49" s="6" t="s">
        <v>205</v>
      </c>
      <c r="Q49" s="35" t="s">
        <v>205</v>
      </c>
      <c r="R49" s="6">
        <v>5</v>
      </c>
      <c r="S49" s="35">
        <v>0</v>
      </c>
      <c r="T49" s="6" t="s">
        <v>205</v>
      </c>
      <c r="U49" s="35" t="s">
        <v>205</v>
      </c>
    </row>
    <row r="50" spans="1:21" x14ac:dyDescent="0.35">
      <c r="A50" s="41" t="s">
        <v>91</v>
      </c>
      <c r="B50" s="6">
        <v>25</v>
      </c>
      <c r="C50" s="35">
        <v>24</v>
      </c>
      <c r="D50" s="6">
        <v>20</v>
      </c>
      <c r="E50" s="35">
        <v>13</v>
      </c>
      <c r="F50" s="6">
        <v>13</v>
      </c>
      <c r="G50" s="35">
        <v>22</v>
      </c>
      <c r="H50" s="6">
        <v>16</v>
      </c>
      <c r="I50" s="35">
        <v>27</v>
      </c>
      <c r="J50" s="6">
        <v>10</v>
      </c>
      <c r="K50" s="35">
        <v>36</v>
      </c>
      <c r="L50" s="6">
        <v>17</v>
      </c>
      <c r="M50" s="35">
        <v>21</v>
      </c>
      <c r="N50" s="6">
        <v>27</v>
      </c>
      <c r="O50" s="35">
        <v>18</v>
      </c>
      <c r="P50" s="6">
        <v>29</v>
      </c>
      <c r="Q50" s="35">
        <v>18</v>
      </c>
      <c r="R50" s="6">
        <v>32</v>
      </c>
      <c r="S50" s="35">
        <v>7</v>
      </c>
      <c r="T50" s="6">
        <v>8</v>
      </c>
      <c r="U50" s="35">
        <v>3</v>
      </c>
    </row>
    <row r="51" spans="1:21" x14ac:dyDescent="0.35">
      <c r="A51" s="41" t="s">
        <v>92</v>
      </c>
      <c r="B51" s="6">
        <v>16</v>
      </c>
      <c r="C51" s="35">
        <v>7</v>
      </c>
      <c r="D51" s="6">
        <v>13</v>
      </c>
      <c r="E51" s="35">
        <v>6</v>
      </c>
      <c r="F51" s="6">
        <v>8</v>
      </c>
      <c r="G51" s="35">
        <v>7</v>
      </c>
      <c r="H51" s="6">
        <v>10</v>
      </c>
      <c r="I51" s="35">
        <v>28</v>
      </c>
      <c r="J51" s="6">
        <v>8</v>
      </c>
      <c r="K51" s="35">
        <v>29</v>
      </c>
      <c r="L51" s="6">
        <v>37</v>
      </c>
      <c r="M51" s="35">
        <v>6</v>
      </c>
      <c r="N51" s="6" t="s">
        <v>205</v>
      </c>
      <c r="O51" s="35" t="s">
        <v>205</v>
      </c>
      <c r="P51" s="6" t="s">
        <v>205</v>
      </c>
      <c r="Q51" s="35" t="s">
        <v>205</v>
      </c>
      <c r="R51" s="6">
        <v>4</v>
      </c>
      <c r="S51" s="35">
        <v>0</v>
      </c>
      <c r="T51" s="6" t="s">
        <v>205</v>
      </c>
      <c r="U51" s="35" t="s">
        <v>205</v>
      </c>
    </row>
    <row r="52" spans="1:21" x14ac:dyDescent="0.35">
      <c r="A52" s="41" t="s">
        <v>94</v>
      </c>
      <c r="B52" s="6">
        <v>32</v>
      </c>
      <c r="C52" s="35">
        <v>44</v>
      </c>
      <c r="D52" s="6">
        <v>25</v>
      </c>
      <c r="E52" s="35">
        <v>44</v>
      </c>
      <c r="F52" s="6">
        <v>20</v>
      </c>
      <c r="G52" s="35">
        <v>22</v>
      </c>
      <c r="H52" s="6">
        <v>20</v>
      </c>
      <c r="I52" s="35">
        <v>29</v>
      </c>
      <c r="J52" s="6">
        <v>21</v>
      </c>
      <c r="K52" s="35">
        <v>50</v>
      </c>
      <c r="L52" s="6">
        <v>54</v>
      </c>
      <c r="M52" s="35">
        <v>34</v>
      </c>
      <c r="N52" s="6">
        <v>44</v>
      </c>
      <c r="O52" s="35">
        <v>39</v>
      </c>
      <c r="P52" s="6">
        <v>35</v>
      </c>
      <c r="Q52" s="35">
        <v>47</v>
      </c>
      <c r="R52" s="6">
        <v>7</v>
      </c>
      <c r="S52" s="35">
        <v>14</v>
      </c>
      <c r="T52" s="6">
        <v>16</v>
      </c>
      <c r="U52" s="35">
        <v>21</v>
      </c>
    </row>
    <row r="53" spans="1:21" x14ac:dyDescent="0.35">
      <c r="A53" s="41" t="s">
        <v>95</v>
      </c>
      <c r="B53" s="6" t="s">
        <v>205</v>
      </c>
      <c r="C53" s="35">
        <v>0</v>
      </c>
      <c r="D53" s="6" t="s">
        <v>205</v>
      </c>
      <c r="E53" s="35" t="s">
        <v>205</v>
      </c>
      <c r="F53" s="6" t="s">
        <v>205</v>
      </c>
      <c r="G53" s="35" t="s">
        <v>205</v>
      </c>
      <c r="H53" s="6">
        <v>0</v>
      </c>
      <c r="I53" s="35">
        <v>3</v>
      </c>
      <c r="J53" s="6" t="s">
        <v>205</v>
      </c>
      <c r="K53" s="35" t="s">
        <v>205</v>
      </c>
      <c r="L53" s="6" t="s">
        <v>205</v>
      </c>
      <c r="M53" s="35" t="s">
        <v>205</v>
      </c>
      <c r="N53" s="6">
        <v>5</v>
      </c>
      <c r="O53" s="35">
        <v>3</v>
      </c>
      <c r="P53" s="6">
        <v>5</v>
      </c>
      <c r="Q53" s="35">
        <v>3</v>
      </c>
      <c r="R53" s="6" t="s">
        <v>205</v>
      </c>
      <c r="S53" s="35" t="s">
        <v>205</v>
      </c>
      <c r="T53" s="6" t="s">
        <v>205</v>
      </c>
      <c r="U53" s="35" t="s">
        <v>205</v>
      </c>
    </row>
    <row r="54" spans="1:21" x14ac:dyDescent="0.35">
      <c r="A54" s="41" t="s">
        <v>96</v>
      </c>
      <c r="B54" s="6">
        <v>5</v>
      </c>
      <c r="C54" s="35">
        <v>12</v>
      </c>
      <c r="D54" s="6">
        <v>3</v>
      </c>
      <c r="E54" s="35">
        <v>4</v>
      </c>
      <c r="F54" s="6" t="s">
        <v>205</v>
      </c>
      <c r="G54" s="35" t="s">
        <v>205</v>
      </c>
      <c r="H54" s="6" t="s">
        <v>205</v>
      </c>
      <c r="I54" s="35" t="s">
        <v>205</v>
      </c>
      <c r="J54" s="6">
        <v>23</v>
      </c>
      <c r="K54" s="35">
        <v>32</v>
      </c>
      <c r="L54" s="6">
        <v>65</v>
      </c>
      <c r="M54" s="35">
        <v>43</v>
      </c>
      <c r="N54" s="6">
        <v>70</v>
      </c>
      <c r="O54" s="35">
        <v>58</v>
      </c>
      <c r="P54" s="6">
        <v>27</v>
      </c>
      <c r="Q54" s="35">
        <v>17</v>
      </c>
      <c r="R54" s="6">
        <v>12</v>
      </c>
      <c r="S54" s="35">
        <v>4</v>
      </c>
      <c r="T54" s="6" t="s">
        <v>205</v>
      </c>
      <c r="U54" s="35" t="s">
        <v>205</v>
      </c>
    </row>
    <row r="55" spans="1:21" x14ac:dyDescent="0.35">
      <c r="A55" s="41" t="s">
        <v>8</v>
      </c>
      <c r="B55" s="6">
        <v>15</v>
      </c>
      <c r="C55" s="35">
        <v>22</v>
      </c>
      <c r="D55" s="6">
        <v>9</v>
      </c>
      <c r="E55" s="35">
        <v>10</v>
      </c>
      <c r="F55" s="6">
        <v>6</v>
      </c>
      <c r="G55" s="35">
        <v>10</v>
      </c>
      <c r="H55" s="6">
        <v>9</v>
      </c>
      <c r="I55" s="35">
        <v>15</v>
      </c>
      <c r="J55" s="6">
        <v>8</v>
      </c>
      <c r="K55" s="35">
        <v>16</v>
      </c>
      <c r="L55" s="6">
        <v>19</v>
      </c>
      <c r="M55" s="35">
        <v>7</v>
      </c>
      <c r="N55" s="6">
        <v>25</v>
      </c>
      <c r="O55" s="35">
        <v>19</v>
      </c>
      <c r="P55" s="6">
        <v>20</v>
      </c>
      <c r="Q55" s="35">
        <v>32</v>
      </c>
      <c r="R55" s="6">
        <v>15</v>
      </c>
      <c r="S55" s="35">
        <v>3</v>
      </c>
      <c r="T55" s="6">
        <v>12</v>
      </c>
      <c r="U55" s="35">
        <v>7</v>
      </c>
    </row>
    <row r="56" spans="1:21" x14ac:dyDescent="0.35">
      <c r="A56" s="41" t="s">
        <v>97</v>
      </c>
      <c r="B56" s="6">
        <v>52</v>
      </c>
      <c r="C56" s="35">
        <v>36</v>
      </c>
      <c r="D56" s="6">
        <v>49</v>
      </c>
      <c r="E56" s="35">
        <v>29</v>
      </c>
      <c r="F56" s="6">
        <v>35</v>
      </c>
      <c r="G56" s="35">
        <v>17</v>
      </c>
      <c r="H56" s="6">
        <v>49</v>
      </c>
      <c r="I56" s="35">
        <v>19</v>
      </c>
      <c r="J56" s="6">
        <v>43</v>
      </c>
      <c r="K56" s="35">
        <v>25</v>
      </c>
      <c r="L56" s="6">
        <v>52</v>
      </c>
      <c r="M56" s="35">
        <v>31</v>
      </c>
      <c r="N56" s="6">
        <v>44</v>
      </c>
      <c r="O56" s="35">
        <v>28</v>
      </c>
      <c r="P56" s="6">
        <v>33</v>
      </c>
      <c r="Q56" s="35">
        <v>23</v>
      </c>
      <c r="R56" s="6">
        <v>19</v>
      </c>
      <c r="S56" s="35">
        <v>9</v>
      </c>
      <c r="T56" s="6">
        <v>28</v>
      </c>
      <c r="U56" s="35">
        <v>18</v>
      </c>
    </row>
    <row r="57" spans="1:21" x14ac:dyDescent="0.35">
      <c r="A57" s="41" t="s">
        <v>98</v>
      </c>
      <c r="B57" s="6">
        <v>54</v>
      </c>
      <c r="C57" s="35">
        <v>57</v>
      </c>
      <c r="D57" s="6">
        <v>48</v>
      </c>
      <c r="E57" s="35">
        <v>66</v>
      </c>
      <c r="F57" s="6">
        <v>33</v>
      </c>
      <c r="G57" s="35">
        <v>42</v>
      </c>
      <c r="H57" s="6">
        <v>32</v>
      </c>
      <c r="I57" s="35">
        <v>73</v>
      </c>
      <c r="J57" s="6">
        <v>62</v>
      </c>
      <c r="K57" s="35">
        <v>253</v>
      </c>
      <c r="L57" s="6">
        <v>122</v>
      </c>
      <c r="M57" s="35">
        <v>160</v>
      </c>
      <c r="N57" s="6">
        <v>188</v>
      </c>
      <c r="O57" s="35">
        <v>100</v>
      </c>
      <c r="P57" s="6">
        <v>104</v>
      </c>
      <c r="Q57" s="35">
        <v>53</v>
      </c>
      <c r="R57" s="6">
        <v>58</v>
      </c>
      <c r="S57" s="35">
        <v>27</v>
      </c>
      <c r="T57" s="6">
        <v>57</v>
      </c>
      <c r="U57" s="35">
        <v>34</v>
      </c>
    </row>
    <row r="58" spans="1:21" x14ac:dyDescent="0.35">
      <c r="A58" s="41" t="s">
        <v>99</v>
      </c>
      <c r="B58" s="6">
        <v>13</v>
      </c>
      <c r="C58" s="35">
        <v>15</v>
      </c>
      <c r="D58" s="6">
        <v>13</v>
      </c>
      <c r="E58" s="35">
        <v>17</v>
      </c>
      <c r="F58" s="6">
        <v>4</v>
      </c>
      <c r="G58" s="35">
        <v>10</v>
      </c>
      <c r="H58" s="6">
        <v>6</v>
      </c>
      <c r="I58" s="35">
        <v>9</v>
      </c>
      <c r="J58" s="6">
        <v>6</v>
      </c>
      <c r="K58" s="35">
        <v>14</v>
      </c>
      <c r="L58" s="6">
        <v>10</v>
      </c>
      <c r="M58" s="35">
        <v>9</v>
      </c>
      <c r="N58" s="6">
        <v>14</v>
      </c>
      <c r="O58" s="35">
        <v>20</v>
      </c>
      <c r="P58" s="6">
        <v>7</v>
      </c>
      <c r="Q58" s="35">
        <v>7</v>
      </c>
      <c r="R58" s="6">
        <v>4</v>
      </c>
      <c r="S58" s="35">
        <v>4</v>
      </c>
      <c r="T58" s="6">
        <v>6</v>
      </c>
      <c r="U58" s="35">
        <v>9</v>
      </c>
    </row>
    <row r="59" spans="1:21" x14ac:dyDescent="0.35">
      <c r="A59" s="41" t="s">
        <v>100</v>
      </c>
      <c r="B59" s="6">
        <v>5</v>
      </c>
      <c r="C59" s="35">
        <v>6</v>
      </c>
      <c r="D59" s="6">
        <v>10</v>
      </c>
      <c r="E59" s="35">
        <v>4</v>
      </c>
      <c r="F59" s="6">
        <v>8</v>
      </c>
      <c r="G59" s="35">
        <v>5</v>
      </c>
      <c r="H59" s="6">
        <v>8</v>
      </c>
      <c r="I59" s="35">
        <v>7</v>
      </c>
      <c r="J59" s="6" t="s">
        <v>205</v>
      </c>
      <c r="K59" s="35" t="s">
        <v>205</v>
      </c>
      <c r="L59" s="6" t="s">
        <v>205</v>
      </c>
      <c r="M59" s="35" t="s">
        <v>205</v>
      </c>
      <c r="N59" s="6">
        <v>16</v>
      </c>
      <c r="O59" s="35">
        <v>0</v>
      </c>
      <c r="P59" s="6">
        <v>7</v>
      </c>
      <c r="Q59" s="35">
        <v>0</v>
      </c>
      <c r="R59" s="6">
        <v>3</v>
      </c>
      <c r="S59" s="35">
        <v>0</v>
      </c>
      <c r="T59" s="6" t="s">
        <v>205</v>
      </c>
      <c r="U59" s="35" t="s">
        <v>205</v>
      </c>
    </row>
    <row r="60" spans="1:21" x14ac:dyDescent="0.35">
      <c r="A60" s="41" t="s">
        <v>15</v>
      </c>
      <c r="B60" s="6">
        <v>15426</v>
      </c>
      <c r="C60" s="35">
        <v>31595</v>
      </c>
      <c r="D60" s="6">
        <v>13722</v>
      </c>
      <c r="E60" s="35">
        <v>40684</v>
      </c>
      <c r="F60" s="6">
        <v>10483</v>
      </c>
      <c r="G60" s="35">
        <v>22867</v>
      </c>
      <c r="H60" s="6">
        <v>10599</v>
      </c>
      <c r="I60" s="35">
        <v>23270</v>
      </c>
      <c r="J60" s="6">
        <v>11034</v>
      </c>
      <c r="K60" s="35">
        <v>21816</v>
      </c>
      <c r="L60" s="6">
        <v>19812</v>
      </c>
      <c r="M60" s="35">
        <v>29344</v>
      </c>
      <c r="N60" s="6">
        <v>23125</v>
      </c>
      <c r="O60" s="35">
        <v>30221</v>
      </c>
      <c r="P60" s="6">
        <v>10290</v>
      </c>
      <c r="Q60" s="35">
        <v>18077</v>
      </c>
      <c r="R60" s="6">
        <v>4406</v>
      </c>
      <c r="S60" s="35">
        <v>3317</v>
      </c>
      <c r="T60" s="6">
        <v>3511</v>
      </c>
      <c r="U60" s="35">
        <v>3291</v>
      </c>
    </row>
    <row r="61" spans="1:21" x14ac:dyDescent="0.35">
      <c r="A61" s="41" t="s">
        <v>101</v>
      </c>
      <c r="B61" s="6" t="s">
        <v>205</v>
      </c>
      <c r="C61" s="35" t="s">
        <v>205</v>
      </c>
      <c r="D61" s="6">
        <v>6</v>
      </c>
      <c r="E61" s="35">
        <v>9</v>
      </c>
      <c r="F61" s="6">
        <v>3</v>
      </c>
      <c r="G61" s="35">
        <v>7</v>
      </c>
      <c r="H61" s="6">
        <v>10</v>
      </c>
      <c r="I61" s="35">
        <v>8</v>
      </c>
      <c r="J61" s="6">
        <v>29</v>
      </c>
      <c r="K61" s="35">
        <v>61</v>
      </c>
      <c r="L61" s="6">
        <v>85</v>
      </c>
      <c r="M61" s="35">
        <v>135</v>
      </c>
      <c r="N61" s="6">
        <v>57</v>
      </c>
      <c r="O61" s="35">
        <v>45</v>
      </c>
      <c r="P61" s="6">
        <v>23</v>
      </c>
      <c r="Q61" s="35">
        <v>18</v>
      </c>
      <c r="R61" s="6">
        <v>16</v>
      </c>
      <c r="S61" s="35">
        <v>10</v>
      </c>
      <c r="T61" s="6">
        <v>10</v>
      </c>
      <c r="U61" s="35">
        <v>5</v>
      </c>
    </row>
    <row r="62" spans="1:21" x14ac:dyDescent="0.35">
      <c r="A62" s="41" t="s">
        <v>103</v>
      </c>
      <c r="B62" s="6">
        <v>135</v>
      </c>
      <c r="C62" s="35">
        <v>19</v>
      </c>
      <c r="D62" s="6">
        <v>119</v>
      </c>
      <c r="E62" s="35">
        <v>19</v>
      </c>
      <c r="F62" s="6">
        <v>94</v>
      </c>
      <c r="G62" s="35">
        <v>19</v>
      </c>
      <c r="H62" s="6">
        <v>87</v>
      </c>
      <c r="I62" s="35">
        <v>31</v>
      </c>
      <c r="J62" s="6">
        <v>98</v>
      </c>
      <c r="K62" s="35">
        <v>83</v>
      </c>
      <c r="L62" s="6">
        <v>194</v>
      </c>
      <c r="M62" s="35">
        <v>51</v>
      </c>
      <c r="N62" s="6">
        <v>309</v>
      </c>
      <c r="O62" s="35">
        <v>40</v>
      </c>
      <c r="P62" s="6">
        <v>155</v>
      </c>
      <c r="Q62" s="35">
        <v>26</v>
      </c>
      <c r="R62" s="6">
        <v>137</v>
      </c>
      <c r="S62" s="35">
        <v>30</v>
      </c>
      <c r="T62" s="6">
        <v>99</v>
      </c>
      <c r="U62" s="35">
        <v>24</v>
      </c>
    </row>
    <row r="63" spans="1:21" x14ac:dyDescent="0.35">
      <c r="A63" s="41" t="s">
        <v>104</v>
      </c>
      <c r="B63" s="6">
        <v>458</v>
      </c>
      <c r="C63" s="35">
        <v>76</v>
      </c>
      <c r="D63" s="6">
        <v>352</v>
      </c>
      <c r="E63" s="35">
        <v>47</v>
      </c>
      <c r="F63" s="6">
        <v>268</v>
      </c>
      <c r="G63" s="35">
        <v>198</v>
      </c>
      <c r="H63" s="6">
        <v>264</v>
      </c>
      <c r="I63" s="35">
        <v>118</v>
      </c>
      <c r="J63" s="6">
        <v>338</v>
      </c>
      <c r="K63" s="35">
        <v>5385</v>
      </c>
      <c r="L63" s="6">
        <v>462</v>
      </c>
      <c r="M63" s="35">
        <v>564</v>
      </c>
      <c r="N63" s="6">
        <v>429</v>
      </c>
      <c r="O63" s="35">
        <v>299</v>
      </c>
      <c r="P63" s="6">
        <v>391</v>
      </c>
      <c r="Q63" s="35">
        <v>524</v>
      </c>
      <c r="R63" s="6">
        <v>203</v>
      </c>
      <c r="S63" s="35">
        <v>195</v>
      </c>
      <c r="T63" s="6">
        <v>123</v>
      </c>
      <c r="U63" s="35">
        <v>1420</v>
      </c>
    </row>
    <row r="64" spans="1:21" x14ac:dyDescent="0.35">
      <c r="A64" s="41" t="s">
        <v>17</v>
      </c>
      <c r="B64" s="6">
        <v>16598</v>
      </c>
      <c r="C64" s="35">
        <v>20042</v>
      </c>
      <c r="D64" s="6">
        <v>14064</v>
      </c>
      <c r="E64" s="35">
        <v>26817</v>
      </c>
      <c r="F64" s="6">
        <v>8519</v>
      </c>
      <c r="G64" s="35">
        <v>11724</v>
      </c>
      <c r="H64" s="6">
        <v>8629</v>
      </c>
      <c r="I64" s="35">
        <v>13444</v>
      </c>
      <c r="J64" s="6">
        <v>9229</v>
      </c>
      <c r="K64" s="35">
        <v>12841</v>
      </c>
      <c r="L64" s="6">
        <v>12693</v>
      </c>
      <c r="M64" s="35">
        <v>15704</v>
      </c>
      <c r="N64" s="6">
        <v>17995</v>
      </c>
      <c r="O64" s="35">
        <v>22656</v>
      </c>
      <c r="P64" s="6">
        <v>9605</v>
      </c>
      <c r="Q64" s="35">
        <v>10968</v>
      </c>
      <c r="R64" s="6">
        <v>3197</v>
      </c>
      <c r="S64" s="35">
        <v>1856</v>
      </c>
      <c r="T64" s="6">
        <v>3714</v>
      </c>
      <c r="U64" s="35">
        <v>2831</v>
      </c>
    </row>
    <row r="65" spans="1:21" x14ac:dyDescent="0.35">
      <c r="A65" s="41" t="s">
        <v>105</v>
      </c>
      <c r="B65" s="6">
        <v>29</v>
      </c>
      <c r="C65" s="35">
        <v>37</v>
      </c>
      <c r="D65" s="6">
        <v>25</v>
      </c>
      <c r="E65" s="35">
        <v>35</v>
      </c>
      <c r="F65" s="6">
        <v>11</v>
      </c>
      <c r="G65" s="35">
        <v>18</v>
      </c>
      <c r="H65" s="6">
        <v>17</v>
      </c>
      <c r="I65" s="35">
        <v>13</v>
      </c>
      <c r="J65" s="6">
        <v>12</v>
      </c>
      <c r="K65" s="35">
        <v>101</v>
      </c>
      <c r="L65" s="6">
        <v>25</v>
      </c>
      <c r="M65" s="35">
        <v>59</v>
      </c>
      <c r="N65" s="6">
        <v>23</v>
      </c>
      <c r="O65" s="35">
        <v>42</v>
      </c>
      <c r="P65" s="6">
        <v>15</v>
      </c>
      <c r="Q65" s="35">
        <v>30</v>
      </c>
      <c r="R65" s="6">
        <v>13</v>
      </c>
      <c r="S65" s="35">
        <v>7</v>
      </c>
      <c r="T65" s="6">
        <v>3</v>
      </c>
      <c r="U65" s="35">
        <v>12</v>
      </c>
    </row>
    <row r="66" spans="1:21" x14ac:dyDescent="0.35">
      <c r="A66" s="41" t="s">
        <v>22</v>
      </c>
      <c r="B66" s="6">
        <v>135</v>
      </c>
      <c r="C66" s="35">
        <v>328</v>
      </c>
      <c r="D66" s="6">
        <v>107</v>
      </c>
      <c r="E66" s="35">
        <v>341</v>
      </c>
      <c r="F66" s="6">
        <v>134</v>
      </c>
      <c r="G66" s="35">
        <v>393</v>
      </c>
      <c r="H66" s="6">
        <v>103</v>
      </c>
      <c r="I66" s="35">
        <v>611</v>
      </c>
      <c r="J66" s="6">
        <v>158</v>
      </c>
      <c r="K66" s="35">
        <v>538</v>
      </c>
      <c r="L66" s="6">
        <v>463</v>
      </c>
      <c r="M66" s="35">
        <v>380</v>
      </c>
      <c r="N66" s="6">
        <v>629</v>
      </c>
      <c r="O66" s="35">
        <v>1182</v>
      </c>
      <c r="P66" s="6">
        <v>549</v>
      </c>
      <c r="Q66" s="35">
        <v>1997</v>
      </c>
      <c r="R66" s="6">
        <v>534</v>
      </c>
      <c r="S66" s="35">
        <v>178</v>
      </c>
      <c r="T66" s="6">
        <v>544</v>
      </c>
      <c r="U66" s="35">
        <v>189</v>
      </c>
    </row>
    <row r="67" spans="1:21" x14ac:dyDescent="0.35">
      <c r="A67" s="41" t="s">
        <v>107</v>
      </c>
      <c r="B67" s="6">
        <v>21</v>
      </c>
      <c r="C67" s="35">
        <v>100</v>
      </c>
      <c r="D67" s="6">
        <v>11</v>
      </c>
      <c r="E67" s="35">
        <v>56</v>
      </c>
      <c r="F67" s="6">
        <v>9</v>
      </c>
      <c r="G67" s="35">
        <v>36</v>
      </c>
      <c r="H67" s="6">
        <v>9</v>
      </c>
      <c r="I67" s="35">
        <v>26</v>
      </c>
      <c r="J67" s="6">
        <v>16</v>
      </c>
      <c r="K67" s="35">
        <v>63</v>
      </c>
      <c r="L67" s="6">
        <v>29</v>
      </c>
      <c r="M67" s="35">
        <v>87</v>
      </c>
      <c r="N67" s="6">
        <v>41</v>
      </c>
      <c r="O67" s="35">
        <v>49</v>
      </c>
      <c r="P67" s="6">
        <v>33</v>
      </c>
      <c r="Q67" s="35">
        <v>46</v>
      </c>
      <c r="R67" s="6">
        <v>32</v>
      </c>
      <c r="S67" s="35">
        <v>17</v>
      </c>
      <c r="T67" s="6">
        <v>62</v>
      </c>
      <c r="U67" s="35">
        <v>5</v>
      </c>
    </row>
    <row r="68" spans="1:21" x14ac:dyDescent="0.35">
      <c r="A68" s="41" t="s">
        <v>108</v>
      </c>
      <c r="B68" s="6">
        <v>10</v>
      </c>
      <c r="C68" s="35">
        <v>23</v>
      </c>
      <c r="D68" s="6">
        <v>7</v>
      </c>
      <c r="E68" s="35">
        <v>13</v>
      </c>
      <c r="F68" s="6">
        <v>12</v>
      </c>
      <c r="G68" s="35">
        <v>11</v>
      </c>
      <c r="H68" s="6">
        <v>12</v>
      </c>
      <c r="I68" s="35">
        <v>9</v>
      </c>
      <c r="J68" s="6">
        <v>8</v>
      </c>
      <c r="K68" s="35">
        <v>11</v>
      </c>
      <c r="L68" s="6">
        <v>13</v>
      </c>
      <c r="M68" s="35">
        <v>8</v>
      </c>
      <c r="N68" s="6">
        <v>16</v>
      </c>
      <c r="O68" s="35">
        <v>10</v>
      </c>
      <c r="P68" s="6">
        <v>15</v>
      </c>
      <c r="Q68" s="35">
        <v>5</v>
      </c>
      <c r="R68" s="6" t="s">
        <v>205</v>
      </c>
      <c r="S68" s="35" t="s">
        <v>205</v>
      </c>
      <c r="T68" s="6">
        <v>13</v>
      </c>
      <c r="U68" s="35">
        <v>8</v>
      </c>
    </row>
    <row r="69" spans="1:21" x14ac:dyDescent="0.35">
      <c r="A69" s="41" t="s">
        <v>109</v>
      </c>
      <c r="B69" s="6">
        <v>15</v>
      </c>
      <c r="C69" s="35">
        <v>14</v>
      </c>
      <c r="D69" s="6">
        <v>16</v>
      </c>
      <c r="E69" s="35">
        <v>12</v>
      </c>
      <c r="F69" s="6">
        <v>13</v>
      </c>
      <c r="G69" s="35">
        <v>21</v>
      </c>
      <c r="H69" s="6">
        <v>9</v>
      </c>
      <c r="I69" s="35">
        <v>39</v>
      </c>
      <c r="J69" s="6">
        <v>22</v>
      </c>
      <c r="K69" s="35">
        <v>36</v>
      </c>
      <c r="L69" s="6">
        <v>38</v>
      </c>
      <c r="M69" s="35">
        <v>10</v>
      </c>
      <c r="N69" s="6">
        <v>66</v>
      </c>
      <c r="O69" s="35">
        <v>15</v>
      </c>
      <c r="P69" s="6">
        <v>22</v>
      </c>
      <c r="Q69" s="35">
        <v>14</v>
      </c>
      <c r="R69" s="6">
        <v>22</v>
      </c>
      <c r="S69" s="35">
        <v>10</v>
      </c>
      <c r="T69" s="6">
        <v>12</v>
      </c>
      <c r="U69" s="35">
        <v>3</v>
      </c>
    </row>
    <row r="70" spans="1:21" x14ac:dyDescent="0.35">
      <c r="A70" s="41" t="s">
        <v>110</v>
      </c>
      <c r="B70" s="6">
        <v>22</v>
      </c>
      <c r="C70" s="35">
        <v>29</v>
      </c>
      <c r="D70" s="6">
        <v>14</v>
      </c>
      <c r="E70" s="35">
        <v>17</v>
      </c>
      <c r="F70" s="6">
        <v>13</v>
      </c>
      <c r="G70" s="35">
        <v>9</v>
      </c>
      <c r="H70" s="6">
        <v>15</v>
      </c>
      <c r="I70" s="35">
        <v>10</v>
      </c>
      <c r="J70" s="6">
        <v>15</v>
      </c>
      <c r="K70" s="35">
        <v>17</v>
      </c>
      <c r="L70" s="6">
        <v>23</v>
      </c>
      <c r="M70" s="35">
        <v>18</v>
      </c>
      <c r="N70" s="6">
        <v>14</v>
      </c>
      <c r="O70" s="35">
        <v>19</v>
      </c>
      <c r="P70" s="6">
        <v>10</v>
      </c>
      <c r="Q70" s="35">
        <v>7</v>
      </c>
      <c r="R70" s="6">
        <v>5</v>
      </c>
      <c r="S70" s="35">
        <v>5</v>
      </c>
      <c r="T70" s="6">
        <v>4</v>
      </c>
      <c r="U70" s="35">
        <v>9</v>
      </c>
    </row>
    <row r="71" spans="1:21" x14ac:dyDescent="0.35">
      <c r="A71" s="41" t="s">
        <v>111</v>
      </c>
      <c r="B71" s="6">
        <v>34</v>
      </c>
      <c r="C71" s="35">
        <v>95</v>
      </c>
      <c r="D71" s="6">
        <v>31</v>
      </c>
      <c r="E71" s="35">
        <v>78</v>
      </c>
      <c r="F71" s="6">
        <v>23</v>
      </c>
      <c r="G71" s="35">
        <v>80</v>
      </c>
      <c r="H71" s="6">
        <v>16</v>
      </c>
      <c r="I71" s="35">
        <v>65</v>
      </c>
      <c r="J71" s="6">
        <v>35</v>
      </c>
      <c r="K71" s="35">
        <v>81</v>
      </c>
      <c r="L71" s="6">
        <v>105</v>
      </c>
      <c r="M71" s="35">
        <v>32</v>
      </c>
      <c r="N71" s="6">
        <v>132</v>
      </c>
      <c r="O71" s="35">
        <v>22</v>
      </c>
      <c r="P71" s="6">
        <v>113</v>
      </c>
      <c r="Q71" s="35">
        <v>15</v>
      </c>
      <c r="R71" s="6">
        <v>113</v>
      </c>
      <c r="S71" s="35">
        <v>10</v>
      </c>
      <c r="T71" s="6">
        <v>78</v>
      </c>
      <c r="U71" s="35">
        <v>4</v>
      </c>
    </row>
    <row r="72" spans="1:21" x14ac:dyDescent="0.35">
      <c r="A72" s="41" t="s">
        <v>112</v>
      </c>
      <c r="B72" s="6">
        <v>51</v>
      </c>
      <c r="C72" s="35">
        <v>70</v>
      </c>
      <c r="D72" s="6">
        <v>43</v>
      </c>
      <c r="E72" s="35">
        <v>48</v>
      </c>
      <c r="F72" s="6">
        <v>38</v>
      </c>
      <c r="G72" s="35">
        <v>33</v>
      </c>
      <c r="H72" s="6">
        <v>20</v>
      </c>
      <c r="I72" s="35">
        <v>29</v>
      </c>
      <c r="J72" s="6">
        <v>35</v>
      </c>
      <c r="K72" s="35">
        <v>72</v>
      </c>
      <c r="L72" s="6">
        <v>52</v>
      </c>
      <c r="M72" s="35">
        <v>78</v>
      </c>
      <c r="N72" s="6">
        <v>55</v>
      </c>
      <c r="O72" s="35">
        <v>69</v>
      </c>
      <c r="P72" s="6">
        <v>26</v>
      </c>
      <c r="Q72" s="35">
        <v>90</v>
      </c>
      <c r="R72" s="6">
        <v>21</v>
      </c>
      <c r="S72" s="35">
        <v>26</v>
      </c>
      <c r="T72" s="6">
        <v>22</v>
      </c>
      <c r="U72" s="35">
        <v>28</v>
      </c>
    </row>
    <row r="73" spans="1:21" x14ac:dyDescent="0.35">
      <c r="A73" s="41" t="s">
        <v>113</v>
      </c>
      <c r="B73" s="6">
        <v>999</v>
      </c>
      <c r="C73" s="35">
        <v>113</v>
      </c>
      <c r="D73" s="6">
        <v>834</v>
      </c>
      <c r="E73" s="35">
        <v>210</v>
      </c>
      <c r="F73" s="6">
        <v>638</v>
      </c>
      <c r="G73" s="35">
        <v>228</v>
      </c>
      <c r="H73" s="6">
        <v>623</v>
      </c>
      <c r="I73" s="35">
        <v>461</v>
      </c>
      <c r="J73" s="6">
        <v>666</v>
      </c>
      <c r="K73" s="35">
        <v>430</v>
      </c>
      <c r="L73" s="6">
        <v>992</v>
      </c>
      <c r="M73" s="35">
        <v>93</v>
      </c>
      <c r="N73" s="6">
        <v>1241</v>
      </c>
      <c r="O73" s="35">
        <v>99</v>
      </c>
      <c r="P73" s="6">
        <v>1171</v>
      </c>
      <c r="Q73" s="35">
        <v>72</v>
      </c>
      <c r="R73" s="6">
        <v>1221</v>
      </c>
      <c r="S73" s="35">
        <v>73</v>
      </c>
      <c r="T73" s="6">
        <v>914</v>
      </c>
      <c r="U73" s="35">
        <v>65</v>
      </c>
    </row>
    <row r="74" spans="1:21" x14ac:dyDescent="0.35">
      <c r="A74" s="41" t="s">
        <v>114</v>
      </c>
      <c r="B74" s="6">
        <v>18</v>
      </c>
      <c r="C74" s="35">
        <v>31</v>
      </c>
      <c r="D74" s="6">
        <v>11</v>
      </c>
      <c r="E74" s="35">
        <v>27</v>
      </c>
      <c r="F74" s="6">
        <v>12</v>
      </c>
      <c r="G74" s="35">
        <v>22</v>
      </c>
      <c r="H74" s="6">
        <v>6</v>
      </c>
      <c r="I74" s="35">
        <v>23</v>
      </c>
      <c r="J74" s="6">
        <v>10</v>
      </c>
      <c r="K74" s="35">
        <v>20</v>
      </c>
      <c r="L74" s="6">
        <v>24</v>
      </c>
      <c r="M74" s="35">
        <v>16</v>
      </c>
      <c r="N74" s="6">
        <v>23</v>
      </c>
      <c r="O74" s="35">
        <v>6</v>
      </c>
      <c r="P74" s="6">
        <v>11</v>
      </c>
      <c r="Q74" s="35">
        <v>15</v>
      </c>
      <c r="R74" s="6">
        <v>9</v>
      </c>
      <c r="S74" s="35">
        <v>4</v>
      </c>
      <c r="T74" s="6">
        <v>18</v>
      </c>
      <c r="U74" s="35">
        <v>5</v>
      </c>
    </row>
    <row r="75" spans="1:21" x14ac:dyDescent="0.35">
      <c r="A75" s="41" t="s">
        <v>115</v>
      </c>
      <c r="B75" s="6">
        <v>32</v>
      </c>
      <c r="C75" s="35">
        <v>34</v>
      </c>
      <c r="D75" s="6">
        <v>33</v>
      </c>
      <c r="E75" s="35">
        <v>41</v>
      </c>
      <c r="F75" s="6">
        <v>25</v>
      </c>
      <c r="G75" s="35">
        <v>70</v>
      </c>
      <c r="H75" s="6">
        <v>39</v>
      </c>
      <c r="I75" s="35">
        <v>87</v>
      </c>
      <c r="J75" s="6">
        <v>39</v>
      </c>
      <c r="K75" s="35">
        <v>102</v>
      </c>
      <c r="L75" s="6">
        <v>96</v>
      </c>
      <c r="M75" s="35">
        <v>28</v>
      </c>
      <c r="N75" s="6">
        <v>98</v>
      </c>
      <c r="O75" s="35">
        <v>40</v>
      </c>
      <c r="P75" s="6">
        <v>68</v>
      </c>
      <c r="Q75" s="35">
        <v>24</v>
      </c>
      <c r="R75" s="6">
        <v>65</v>
      </c>
      <c r="S75" s="35">
        <v>20</v>
      </c>
      <c r="T75" s="6">
        <v>55</v>
      </c>
      <c r="U75" s="35">
        <v>7</v>
      </c>
    </row>
    <row r="76" spans="1:21" x14ac:dyDescent="0.35">
      <c r="A76" s="41" t="s">
        <v>116</v>
      </c>
      <c r="B76" s="6">
        <v>8</v>
      </c>
      <c r="C76" s="35">
        <v>15</v>
      </c>
      <c r="D76" s="6">
        <v>5</v>
      </c>
      <c r="E76" s="35">
        <v>13</v>
      </c>
      <c r="F76" s="6">
        <v>4</v>
      </c>
      <c r="G76" s="35">
        <v>11</v>
      </c>
      <c r="H76" s="6">
        <v>5</v>
      </c>
      <c r="I76" s="35">
        <v>17</v>
      </c>
      <c r="J76" s="6">
        <v>6</v>
      </c>
      <c r="K76" s="35">
        <v>20</v>
      </c>
      <c r="L76" s="6">
        <v>26</v>
      </c>
      <c r="M76" s="35">
        <v>9</v>
      </c>
      <c r="N76" s="6">
        <v>50</v>
      </c>
      <c r="O76" s="35">
        <v>13</v>
      </c>
      <c r="P76" s="6">
        <v>34</v>
      </c>
      <c r="Q76" s="35">
        <v>19</v>
      </c>
      <c r="R76" s="6">
        <v>21</v>
      </c>
      <c r="S76" s="35">
        <v>9</v>
      </c>
      <c r="T76" s="6">
        <v>23</v>
      </c>
      <c r="U76" s="35">
        <v>6</v>
      </c>
    </row>
    <row r="77" spans="1:21" x14ac:dyDescent="0.35">
      <c r="A77" s="41" t="s">
        <v>117</v>
      </c>
      <c r="B77" s="6">
        <v>68</v>
      </c>
      <c r="C77" s="35">
        <v>42</v>
      </c>
      <c r="D77" s="6">
        <v>61</v>
      </c>
      <c r="E77" s="35">
        <v>28</v>
      </c>
      <c r="F77" s="6">
        <v>55</v>
      </c>
      <c r="G77" s="35">
        <v>25</v>
      </c>
      <c r="H77" s="6">
        <v>33</v>
      </c>
      <c r="I77" s="35">
        <v>41</v>
      </c>
      <c r="J77" s="6">
        <v>51</v>
      </c>
      <c r="K77" s="35">
        <v>57</v>
      </c>
      <c r="L77" s="6">
        <v>110</v>
      </c>
      <c r="M77" s="35">
        <v>45</v>
      </c>
      <c r="N77" s="6">
        <v>129</v>
      </c>
      <c r="O77" s="35">
        <v>30</v>
      </c>
      <c r="P77" s="6">
        <v>94</v>
      </c>
      <c r="Q77" s="35">
        <v>31</v>
      </c>
      <c r="R77" s="6">
        <v>94</v>
      </c>
      <c r="S77" s="35">
        <v>11</v>
      </c>
      <c r="T77" s="6">
        <v>90</v>
      </c>
      <c r="U77" s="35">
        <v>10</v>
      </c>
    </row>
    <row r="78" spans="1:21" x14ac:dyDescent="0.35">
      <c r="A78" s="41" t="s">
        <v>118</v>
      </c>
      <c r="B78" s="6">
        <v>134</v>
      </c>
      <c r="C78" s="35">
        <v>127</v>
      </c>
      <c r="D78" s="6">
        <v>129</v>
      </c>
      <c r="E78" s="35">
        <v>99</v>
      </c>
      <c r="F78" s="6">
        <v>67</v>
      </c>
      <c r="G78" s="35">
        <v>80</v>
      </c>
      <c r="H78" s="6">
        <v>89</v>
      </c>
      <c r="I78" s="35">
        <v>62</v>
      </c>
      <c r="J78" s="6">
        <v>79</v>
      </c>
      <c r="K78" s="35">
        <v>88</v>
      </c>
      <c r="L78" s="6">
        <v>93</v>
      </c>
      <c r="M78" s="35">
        <v>66</v>
      </c>
      <c r="N78" s="6">
        <v>109</v>
      </c>
      <c r="O78" s="35">
        <v>75</v>
      </c>
      <c r="P78" s="6">
        <v>70</v>
      </c>
      <c r="Q78" s="35">
        <v>87</v>
      </c>
      <c r="R78" s="6">
        <v>46</v>
      </c>
      <c r="S78" s="35">
        <v>36</v>
      </c>
      <c r="T78" s="6">
        <v>41</v>
      </c>
      <c r="U78" s="35">
        <v>9</v>
      </c>
    </row>
    <row r="79" spans="1:21" x14ac:dyDescent="0.35">
      <c r="A79" s="41" t="s">
        <v>119</v>
      </c>
      <c r="B79" s="6">
        <v>13</v>
      </c>
      <c r="C79" s="35">
        <v>9</v>
      </c>
      <c r="D79" s="6">
        <v>7</v>
      </c>
      <c r="E79" s="35">
        <v>3</v>
      </c>
      <c r="F79" s="6">
        <v>9</v>
      </c>
      <c r="G79" s="35">
        <v>3</v>
      </c>
      <c r="H79" s="6">
        <v>6</v>
      </c>
      <c r="I79" s="35">
        <v>5</v>
      </c>
      <c r="J79" s="6">
        <v>4</v>
      </c>
      <c r="K79" s="35">
        <v>7</v>
      </c>
      <c r="L79" s="6">
        <v>5</v>
      </c>
      <c r="M79" s="35">
        <v>8</v>
      </c>
      <c r="N79" s="6">
        <v>10</v>
      </c>
      <c r="O79" s="35">
        <v>8</v>
      </c>
      <c r="P79" s="6">
        <v>13</v>
      </c>
      <c r="Q79" s="35">
        <v>6</v>
      </c>
      <c r="R79" s="6">
        <v>9</v>
      </c>
      <c r="S79" s="35">
        <v>5</v>
      </c>
      <c r="T79" s="6">
        <v>5</v>
      </c>
      <c r="U79" s="35">
        <v>0</v>
      </c>
    </row>
    <row r="80" spans="1:21" x14ac:dyDescent="0.35">
      <c r="A80" s="41" t="s">
        <v>120</v>
      </c>
      <c r="B80" s="6" t="s">
        <v>205</v>
      </c>
      <c r="C80" s="35" t="s">
        <v>205</v>
      </c>
      <c r="D80" s="6">
        <v>0</v>
      </c>
      <c r="E80" s="35">
        <v>4</v>
      </c>
      <c r="F80" s="6" t="s">
        <v>205</v>
      </c>
      <c r="G80" s="35" t="s">
        <v>205</v>
      </c>
      <c r="H80" s="6" t="s">
        <v>205</v>
      </c>
      <c r="I80" s="35" t="s">
        <v>205</v>
      </c>
      <c r="J80" s="6">
        <v>3</v>
      </c>
      <c r="K80" s="35">
        <v>18</v>
      </c>
      <c r="L80" s="6">
        <v>14</v>
      </c>
      <c r="M80" s="35">
        <v>6</v>
      </c>
      <c r="N80" s="6">
        <v>17</v>
      </c>
      <c r="O80" s="35">
        <v>5</v>
      </c>
      <c r="P80" s="6">
        <v>11</v>
      </c>
      <c r="Q80" s="35">
        <v>4</v>
      </c>
      <c r="R80" s="6">
        <v>6</v>
      </c>
      <c r="S80" s="35">
        <v>0</v>
      </c>
      <c r="T80" s="6" t="s">
        <v>205</v>
      </c>
      <c r="U80" s="35" t="s">
        <v>205</v>
      </c>
    </row>
    <row r="81" spans="1:21" x14ac:dyDescent="0.35">
      <c r="A81" s="41" t="s">
        <v>121</v>
      </c>
      <c r="B81" s="6" t="s">
        <v>205</v>
      </c>
      <c r="C81" s="35" t="s">
        <v>205</v>
      </c>
      <c r="D81" s="6" t="s">
        <v>205</v>
      </c>
      <c r="E81" s="35" t="s">
        <v>205</v>
      </c>
      <c r="F81" s="6" t="s">
        <v>205</v>
      </c>
      <c r="G81" s="35" t="s">
        <v>205</v>
      </c>
      <c r="H81" s="6" t="s">
        <v>205</v>
      </c>
      <c r="I81" s="35" t="s">
        <v>205</v>
      </c>
      <c r="J81" s="6">
        <v>3</v>
      </c>
      <c r="K81" s="35">
        <v>9</v>
      </c>
      <c r="L81" s="6">
        <v>4</v>
      </c>
      <c r="M81" s="35">
        <v>6</v>
      </c>
      <c r="N81" s="6">
        <v>4</v>
      </c>
      <c r="O81" s="35">
        <v>15</v>
      </c>
      <c r="P81" s="6" t="s">
        <v>205</v>
      </c>
      <c r="Q81" s="35" t="s">
        <v>205</v>
      </c>
      <c r="R81" s="6">
        <v>10</v>
      </c>
      <c r="S81" s="35">
        <v>5</v>
      </c>
      <c r="T81" s="6" t="s">
        <v>205</v>
      </c>
      <c r="U81" s="35" t="s">
        <v>205</v>
      </c>
    </row>
    <row r="82" spans="1:21" x14ac:dyDescent="0.35">
      <c r="A82" s="41" t="s">
        <v>122</v>
      </c>
      <c r="B82" s="6">
        <v>5</v>
      </c>
      <c r="C82" s="35">
        <v>5</v>
      </c>
      <c r="D82" s="6">
        <v>0</v>
      </c>
      <c r="E82" s="35">
        <v>3</v>
      </c>
      <c r="F82" s="6" t="s">
        <v>205</v>
      </c>
      <c r="G82" s="35" t="s">
        <v>205</v>
      </c>
      <c r="H82" s="6">
        <v>0</v>
      </c>
      <c r="I82" s="35">
        <v>0</v>
      </c>
      <c r="J82" s="6" t="s">
        <v>205</v>
      </c>
      <c r="K82" s="35" t="s">
        <v>205</v>
      </c>
      <c r="L82" s="6">
        <v>4</v>
      </c>
      <c r="M82" s="35">
        <v>5</v>
      </c>
      <c r="N82" s="6" t="s">
        <v>205</v>
      </c>
      <c r="O82" s="35" t="s">
        <v>205</v>
      </c>
      <c r="P82" s="6" t="s">
        <v>205</v>
      </c>
      <c r="Q82" s="35" t="s">
        <v>205</v>
      </c>
      <c r="R82" s="6">
        <v>0</v>
      </c>
      <c r="S82" s="35">
        <v>0</v>
      </c>
      <c r="T82" s="6">
        <v>7</v>
      </c>
      <c r="U82" s="35">
        <v>0</v>
      </c>
    </row>
    <row r="83" spans="1:21" x14ac:dyDescent="0.35">
      <c r="A83" s="41" t="s">
        <v>123</v>
      </c>
      <c r="B83" s="6">
        <v>10</v>
      </c>
      <c r="C83" s="35">
        <v>31</v>
      </c>
      <c r="D83" s="6">
        <v>21</v>
      </c>
      <c r="E83" s="35">
        <v>9</v>
      </c>
      <c r="F83" s="6">
        <v>22</v>
      </c>
      <c r="G83" s="35">
        <v>10</v>
      </c>
      <c r="H83" s="6" t="s">
        <v>205</v>
      </c>
      <c r="I83" s="35" t="s">
        <v>205</v>
      </c>
      <c r="J83" s="6">
        <v>7</v>
      </c>
      <c r="K83" s="35">
        <v>13</v>
      </c>
      <c r="L83" s="6">
        <v>8</v>
      </c>
      <c r="M83" s="35">
        <v>9</v>
      </c>
      <c r="N83" s="6">
        <v>9</v>
      </c>
      <c r="O83" s="35">
        <v>7</v>
      </c>
      <c r="P83" s="6">
        <v>11</v>
      </c>
      <c r="Q83" s="35">
        <v>7</v>
      </c>
      <c r="R83" s="6">
        <v>9</v>
      </c>
      <c r="S83" s="35">
        <v>3</v>
      </c>
      <c r="T83" s="6">
        <v>5</v>
      </c>
      <c r="U83" s="35">
        <v>3</v>
      </c>
    </row>
    <row r="84" spans="1:21" x14ac:dyDescent="0.35">
      <c r="A84" s="41" t="s">
        <v>124</v>
      </c>
      <c r="B84" s="6">
        <v>19</v>
      </c>
      <c r="C84" s="35">
        <v>24</v>
      </c>
      <c r="D84" s="6">
        <v>30</v>
      </c>
      <c r="E84" s="35">
        <v>27</v>
      </c>
      <c r="F84" s="6">
        <v>19</v>
      </c>
      <c r="G84" s="35">
        <v>25</v>
      </c>
      <c r="H84" s="6">
        <v>19</v>
      </c>
      <c r="I84" s="35">
        <v>23</v>
      </c>
      <c r="J84" s="6">
        <v>12</v>
      </c>
      <c r="K84" s="35">
        <v>27</v>
      </c>
      <c r="L84" s="6">
        <v>38</v>
      </c>
      <c r="M84" s="35">
        <v>23</v>
      </c>
      <c r="N84" s="6">
        <v>35</v>
      </c>
      <c r="O84" s="35">
        <v>17</v>
      </c>
      <c r="P84" s="6">
        <v>33</v>
      </c>
      <c r="Q84" s="35">
        <v>18</v>
      </c>
      <c r="R84" s="6" t="s">
        <v>205</v>
      </c>
      <c r="S84" s="35" t="s">
        <v>205</v>
      </c>
      <c r="T84" s="6">
        <v>28</v>
      </c>
      <c r="U84" s="35">
        <v>3</v>
      </c>
    </row>
    <row r="85" spans="1:21" x14ac:dyDescent="0.35">
      <c r="A85" s="41" t="s">
        <v>125</v>
      </c>
      <c r="B85" s="6">
        <v>37</v>
      </c>
      <c r="C85" s="35">
        <v>5</v>
      </c>
      <c r="D85" s="6">
        <v>13</v>
      </c>
      <c r="E85" s="35">
        <v>6</v>
      </c>
      <c r="F85" s="6">
        <v>4</v>
      </c>
      <c r="G85" s="35">
        <v>6</v>
      </c>
      <c r="H85" s="6">
        <v>22</v>
      </c>
      <c r="I85" s="35">
        <v>6</v>
      </c>
      <c r="J85" s="6">
        <v>101</v>
      </c>
      <c r="K85" s="35">
        <v>7</v>
      </c>
      <c r="L85" s="6">
        <v>109</v>
      </c>
      <c r="M85" s="35">
        <v>9</v>
      </c>
      <c r="N85" s="6">
        <v>109</v>
      </c>
      <c r="O85" s="35">
        <v>7</v>
      </c>
      <c r="P85" s="6">
        <v>111</v>
      </c>
      <c r="Q85" s="35">
        <v>6</v>
      </c>
      <c r="R85" s="6">
        <v>39</v>
      </c>
      <c r="S85" s="35">
        <v>4</v>
      </c>
      <c r="T85" s="6" t="s">
        <v>205</v>
      </c>
      <c r="U85" s="35" t="s">
        <v>205</v>
      </c>
    </row>
    <row r="86" spans="1:21" x14ac:dyDescent="0.35">
      <c r="A86" s="41" t="s">
        <v>127</v>
      </c>
      <c r="B86" s="6">
        <v>27</v>
      </c>
      <c r="C86" s="35">
        <v>13</v>
      </c>
      <c r="D86" s="6">
        <v>17</v>
      </c>
      <c r="E86" s="35">
        <v>12</v>
      </c>
      <c r="F86" s="6">
        <v>11</v>
      </c>
      <c r="G86" s="35">
        <v>8</v>
      </c>
      <c r="H86" s="6">
        <v>9</v>
      </c>
      <c r="I86" s="35">
        <v>8</v>
      </c>
      <c r="J86" s="6">
        <v>16</v>
      </c>
      <c r="K86" s="35">
        <v>9</v>
      </c>
      <c r="L86" s="6">
        <v>22</v>
      </c>
      <c r="M86" s="35">
        <v>24</v>
      </c>
      <c r="N86" s="6">
        <v>19</v>
      </c>
      <c r="O86" s="35">
        <v>17</v>
      </c>
      <c r="P86" s="6">
        <v>13</v>
      </c>
      <c r="Q86" s="35">
        <v>10</v>
      </c>
      <c r="R86" s="6">
        <v>4</v>
      </c>
      <c r="S86" s="35">
        <v>4</v>
      </c>
      <c r="T86" s="6" t="s">
        <v>205</v>
      </c>
      <c r="U86" s="35" t="s">
        <v>205</v>
      </c>
    </row>
    <row r="87" spans="1:21" x14ac:dyDescent="0.35">
      <c r="A87" s="41" t="s">
        <v>131</v>
      </c>
      <c r="B87" s="6">
        <v>10</v>
      </c>
      <c r="C87" s="35">
        <v>10</v>
      </c>
      <c r="D87" s="6">
        <v>12</v>
      </c>
      <c r="E87" s="35">
        <v>11</v>
      </c>
      <c r="F87" s="6">
        <v>9</v>
      </c>
      <c r="G87" s="35">
        <v>8</v>
      </c>
      <c r="H87" s="6">
        <v>9</v>
      </c>
      <c r="I87" s="35">
        <v>10</v>
      </c>
      <c r="J87" s="6">
        <v>5</v>
      </c>
      <c r="K87" s="35">
        <v>10</v>
      </c>
      <c r="L87" s="6" t="s">
        <v>205</v>
      </c>
      <c r="M87" s="35" t="s">
        <v>205</v>
      </c>
      <c r="N87" s="6" t="s">
        <v>205</v>
      </c>
      <c r="O87" s="35" t="s">
        <v>205</v>
      </c>
      <c r="P87" s="6">
        <v>19</v>
      </c>
      <c r="Q87" s="35">
        <v>4</v>
      </c>
      <c r="R87" s="6" t="s">
        <v>205</v>
      </c>
      <c r="S87" s="35" t="s">
        <v>205</v>
      </c>
      <c r="T87" s="6" t="s">
        <v>205</v>
      </c>
      <c r="U87" s="35" t="s">
        <v>205</v>
      </c>
    </row>
    <row r="88" spans="1:21" x14ac:dyDescent="0.35">
      <c r="A88" s="41" t="s">
        <v>132</v>
      </c>
      <c r="B88" s="6" t="s">
        <v>205</v>
      </c>
      <c r="C88" s="35" t="s">
        <v>205</v>
      </c>
      <c r="D88" s="6">
        <v>9</v>
      </c>
      <c r="E88" s="35">
        <v>12</v>
      </c>
      <c r="F88" s="6" t="s">
        <v>205</v>
      </c>
      <c r="G88" s="35" t="s">
        <v>205</v>
      </c>
      <c r="H88" s="6" t="s">
        <v>205</v>
      </c>
      <c r="I88" s="35" t="s">
        <v>205</v>
      </c>
      <c r="J88" s="6">
        <v>9</v>
      </c>
      <c r="K88" s="35">
        <v>27</v>
      </c>
      <c r="L88" s="6">
        <v>29</v>
      </c>
      <c r="M88" s="35">
        <v>33</v>
      </c>
      <c r="N88" s="6">
        <v>36</v>
      </c>
      <c r="O88" s="35">
        <v>21</v>
      </c>
      <c r="P88" s="6">
        <v>7</v>
      </c>
      <c r="Q88" s="35">
        <v>8</v>
      </c>
      <c r="R88" s="6">
        <v>5</v>
      </c>
      <c r="S88" s="35">
        <v>6</v>
      </c>
      <c r="T88" s="6">
        <v>5</v>
      </c>
      <c r="U88" s="35">
        <v>5</v>
      </c>
    </row>
    <row r="89" spans="1:21" x14ac:dyDescent="0.35">
      <c r="A89" s="41" t="s">
        <v>134</v>
      </c>
      <c r="B89" s="6">
        <v>23</v>
      </c>
      <c r="C89" s="35">
        <v>0</v>
      </c>
      <c r="D89" s="6">
        <v>32</v>
      </c>
      <c r="E89" s="35">
        <v>0</v>
      </c>
      <c r="F89" s="6">
        <v>21</v>
      </c>
      <c r="G89" s="35">
        <v>0</v>
      </c>
      <c r="H89" s="6" t="s">
        <v>205</v>
      </c>
      <c r="I89" s="35" t="s">
        <v>205</v>
      </c>
      <c r="J89" s="6">
        <v>19</v>
      </c>
      <c r="K89" s="35">
        <v>0</v>
      </c>
      <c r="L89" s="6">
        <v>38</v>
      </c>
      <c r="M89" s="35">
        <v>0</v>
      </c>
      <c r="N89" s="6">
        <v>31</v>
      </c>
      <c r="O89" s="35">
        <v>0</v>
      </c>
      <c r="P89" s="6">
        <v>17</v>
      </c>
      <c r="Q89" s="35">
        <v>0</v>
      </c>
      <c r="R89" s="6">
        <v>0</v>
      </c>
      <c r="S89" s="35">
        <v>0</v>
      </c>
      <c r="T89" s="6">
        <v>0</v>
      </c>
      <c r="U89" s="35">
        <v>0</v>
      </c>
    </row>
    <row r="90" spans="1:21" x14ac:dyDescent="0.35">
      <c r="A90" s="41" t="s">
        <v>135</v>
      </c>
      <c r="B90" s="6" t="s">
        <v>205</v>
      </c>
      <c r="C90" s="35" t="s">
        <v>205</v>
      </c>
      <c r="D90" s="6" t="s">
        <v>205</v>
      </c>
      <c r="E90" s="35" t="s">
        <v>205</v>
      </c>
      <c r="F90" s="6" t="s">
        <v>205</v>
      </c>
      <c r="G90" s="35" t="s">
        <v>205</v>
      </c>
      <c r="H90" s="6">
        <v>3</v>
      </c>
      <c r="I90" s="35">
        <v>6</v>
      </c>
      <c r="J90" s="6">
        <v>3</v>
      </c>
      <c r="K90" s="35">
        <v>3</v>
      </c>
      <c r="L90" s="6">
        <v>38</v>
      </c>
      <c r="M90" s="35">
        <v>61</v>
      </c>
      <c r="N90" s="6">
        <v>11</v>
      </c>
      <c r="O90" s="35">
        <v>30</v>
      </c>
      <c r="P90" s="6">
        <v>6</v>
      </c>
      <c r="Q90" s="35">
        <v>19</v>
      </c>
      <c r="R90" s="6" t="s">
        <v>205</v>
      </c>
      <c r="S90" s="35" t="s">
        <v>205</v>
      </c>
      <c r="T90" s="6">
        <v>0</v>
      </c>
      <c r="U90" s="35">
        <v>4</v>
      </c>
    </row>
    <row r="91" spans="1:21" x14ac:dyDescent="0.35">
      <c r="A91" s="41" t="s">
        <v>14</v>
      </c>
      <c r="B91" s="6">
        <v>146170</v>
      </c>
      <c r="C91" s="35">
        <v>160731</v>
      </c>
      <c r="D91" s="6">
        <v>126138</v>
      </c>
      <c r="E91" s="35">
        <v>138901</v>
      </c>
      <c r="F91" s="6">
        <v>88863</v>
      </c>
      <c r="G91" s="35">
        <v>143572</v>
      </c>
      <c r="H91" s="6">
        <v>83087</v>
      </c>
      <c r="I91" s="35">
        <v>153522</v>
      </c>
      <c r="J91" s="6">
        <v>73328</v>
      </c>
      <c r="K91" s="35">
        <v>108634</v>
      </c>
      <c r="L91" s="6">
        <v>90180</v>
      </c>
      <c r="M91" s="35">
        <v>117883</v>
      </c>
      <c r="N91" s="6">
        <v>98329</v>
      </c>
      <c r="O91" s="35">
        <v>104258</v>
      </c>
      <c r="P91" s="6">
        <v>78438</v>
      </c>
      <c r="Q91" s="35">
        <v>70268</v>
      </c>
      <c r="R91" s="6">
        <v>37978</v>
      </c>
      <c r="S91" s="35">
        <v>12672</v>
      </c>
      <c r="T91" s="6">
        <v>40781</v>
      </c>
      <c r="U91" s="35">
        <v>21266</v>
      </c>
    </row>
    <row r="92" spans="1:21" x14ac:dyDescent="0.35">
      <c r="A92" s="41" t="s">
        <v>137</v>
      </c>
      <c r="B92" s="6" t="s">
        <v>205</v>
      </c>
      <c r="C92" s="35" t="s">
        <v>205</v>
      </c>
      <c r="D92" s="6" t="s">
        <v>205</v>
      </c>
      <c r="E92" s="35" t="s">
        <v>205</v>
      </c>
      <c r="F92" s="6" t="s">
        <v>205</v>
      </c>
      <c r="G92" s="35" t="s">
        <v>205</v>
      </c>
      <c r="H92" s="6">
        <v>62</v>
      </c>
      <c r="I92" s="35">
        <v>0</v>
      </c>
      <c r="J92" s="6">
        <v>108</v>
      </c>
      <c r="K92" s="35">
        <v>0</v>
      </c>
      <c r="L92" s="6">
        <v>97</v>
      </c>
      <c r="M92" s="35">
        <v>0</v>
      </c>
      <c r="N92" s="6" t="s">
        <v>205</v>
      </c>
      <c r="O92" s="35" t="s">
        <v>205</v>
      </c>
      <c r="P92" s="6">
        <v>24</v>
      </c>
      <c r="Q92" s="35">
        <v>0</v>
      </c>
      <c r="R92" s="6">
        <v>0</v>
      </c>
      <c r="S92" s="35">
        <v>0</v>
      </c>
      <c r="T92" s="6">
        <v>7</v>
      </c>
      <c r="U92" s="35">
        <v>0</v>
      </c>
    </row>
    <row r="93" spans="1:21" x14ac:dyDescent="0.35">
      <c r="A93" s="41" t="s">
        <v>138</v>
      </c>
      <c r="B93" s="6">
        <v>20</v>
      </c>
      <c r="C93" s="35">
        <v>19</v>
      </c>
      <c r="D93" s="6">
        <v>12</v>
      </c>
      <c r="E93" s="35">
        <v>24</v>
      </c>
      <c r="F93" s="6">
        <v>7</v>
      </c>
      <c r="G93" s="35">
        <v>10</v>
      </c>
      <c r="H93" s="6">
        <v>12</v>
      </c>
      <c r="I93" s="35">
        <v>9</v>
      </c>
      <c r="J93" s="6">
        <v>20</v>
      </c>
      <c r="K93" s="35">
        <v>17</v>
      </c>
      <c r="L93" s="6">
        <v>29</v>
      </c>
      <c r="M93" s="35">
        <v>14</v>
      </c>
      <c r="N93" s="6">
        <v>21</v>
      </c>
      <c r="O93" s="35">
        <v>15</v>
      </c>
      <c r="P93" s="6">
        <v>21</v>
      </c>
      <c r="Q93" s="35">
        <v>6</v>
      </c>
      <c r="R93" s="6" t="s">
        <v>205</v>
      </c>
      <c r="S93" s="35" t="s">
        <v>205</v>
      </c>
      <c r="T93" s="6">
        <v>5</v>
      </c>
      <c r="U93" s="35">
        <v>3</v>
      </c>
    </row>
    <row r="94" spans="1:21" x14ac:dyDescent="0.35">
      <c r="A94" s="41" t="s">
        <v>139</v>
      </c>
      <c r="B94" s="6">
        <v>14</v>
      </c>
      <c r="C94" s="35">
        <v>15</v>
      </c>
      <c r="D94" s="6">
        <v>9</v>
      </c>
      <c r="E94" s="35">
        <v>14</v>
      </c>
      <c r="F94" s="6">
        <v>8</v>
      </c>
      <c r="G94" s="35">
        <v>16</v>
      </c>
      <c r="H94" s="6">
        <v>3</v>
      </c>
      <c r="I94" s="35">
        <v>22</v>
      </c>
      <c r="J94" s="6">
        <v>13</v>
      </c>
      <c r="K94" s="35">
        <v>33</v>
      </c>
      <c r="L94" s="6">
        <v>35</v>
      </c>
      <c r="M94" s="35">
        <v>10</v>
      </c>
      <c r="N94" s="6">
        <v>45</v>
      </c>
      <c r="O94" s="35">
        <v>10</v>
      </c>
      <c r="P94" s="6">
        <v>31</v>
      </c>
      <c r="Q94" s="35">
        <v>9</v>
      </c>
      <c r="R94" s="6">
        <v>22</v>
      </c>
      <c r="S94" s="35">
        <v>0</v>
      </c>
      <c r="T94" s="6" t="s">
        <v>205</v>
      </c>
      <c r="U94" s="35" t="s">
        <v>205</v>
      </c>
    </row>
    <row r="95" spans="1:21" x14ac:dyDescent="0.35">
      <c r="A95" s="41" t="s">
        <v>140</v>
      </c>
      <c r="B95" s="6">
        <v>9</v>
      </c>
      <c r="C95" s="35">
        <v>9</v>
      </c>
      <c r="D95" s="6">
        <v>4</v>
      </c>
      <c r="E95" s="35">
        <v>5</v>
      </c>
      <c r="F95" s="6" t="s">
        <v>205</v>
      </c>
      <c r="G95" s="35" t="s">
        <v>205</v>
      </c>
      <c r="H95" s="6" t="s">
        <v>205</v>
      </c>
      <c r="I95" s="35" t="s">
        <v>205</v>
      </c>
      <c r="J95" s="6">
        <v>6</v>
      </c>
      <c r="K95" s="35">
        <v>11</v>
      </c>
      <c r="L95" s="6">
        <v>14</v>
      </c>
      <c r="M95" s="35">
        <v>13</v>
      </c>
      <c r="N95" s="6">
        <v>25</v>
      </c>
      <c r="O95" s="35">
        <v>14</v>
      </c>
      <c r="P95" s="6">
        <v>15</v>
      </c>
      <c r="Q95" s="35">
        <v>5</v>
      </c>
      <c r="R95" s="6">
        <v>4</v>
      </c>
      <c r="S95" s="35">
        <v>4</v>
      </c>
      <c r="T95" s="6" t="s">
        <v>205</v>
      </c>
      <c r="U95" s="35">
        <v>0</v>
      </c>
    </row>
    <row r="96" spans="1:21" x14ac:dyDescent="0.35">
      <c r="A96" s="41" t="s">
        <v>141</v>
      </c>
      <c r="B96" s="6">
        <v>33</v>
      </c>
      <c r="C96" s="35">
        <v>13</v>
      </c>
      <c r="D96" s="6">
        <v>21</v>
      </c>
      <c r="E96" s="35">
        <v>22</v>
      </c>
      <c r="F96" s="6">
        <v>15</v>
      </c>
      <c r="G96" s="35">
        <v>14</v>
      </c>
      <c r="H96" s="6">
        <v>13</v>
      </c>
      <c r="I96" s="35">
        <v>17</v>
      </c>
      <c r="J96" s="6">
        <v>36</v>
      </c>
      <c r="K96" s="35">
        <v>32</v>
      </c>
      <c r="L96" s="6">
        <v>44</v>
      </c>
      <c r="M96" s="35">
        <v>11</v>
      </c>
      <c r="N96" s="6">
        <v>20</v>
      </c>
      <c r="O96" s="35">
        <v>13</v>
      </c>
      <c r="P96" s="6">
        <v>19</v>
      </c>
      <c r="Q96" s="35">
        <v>8</v>
      </c>
      <c r="R96" s="6">
        <v>15</v>
      </c>
      <c r="S96" s="35">
        <v>7</v>
      </c>
      <c r="T96" s="6">
        <v>16</v>
      </c>
      <c r="U96" s="35">
        <v>4</v>
      </c>
    </row>
    <row r="97" spans="1:21" x14ac:dyDescent="0.35">
      <c r="A97" s="41" t="s">
        <v>144</v>
      </c>
      <c r="B97" s="6">
        <v>12</v>
      </c>
      <c r="C97" s="35">
        <v>34</v>
      </c>
      <c r="D97" s="6">
        <v>17</v>
      </c>
      <c r="E97" s="35">
        <v>15</v>
      </c>
      <c r="F97" s="6">
        <v>5</v>
      </c>
      <c r="G97" s="35">
        <v>18</v>
      </c>
      <c r="H97" s="6">
        <v>5</v>
      </c>
      <c r="I97" s="35">
        <v>26</v>
      </c>
      <c r="J97" s="6">
        <v>5</v>
      </c>
      <c r="K97" s="35">
        <v>46</v>
      </c>
      <c r="L97" s="6">
        <v>17</v>
      </c>
      <c r="M97" s="35">
        <v>37</v>
      </c>
      <c r="N97" s="6">
        <v>29</v>
      </c>
      <c r="O97" s="35">
        <v>143</v>
      </c>
      <c r="P97" s="6">
        <v>22</v>
      </c>
      <c r="Q97" s="35">
        <v>82</v>
      </c>
      <c r="R97" s="6">
        <v>13</v>
      </c>
      <c r="S97" s="35">
        <v>17</v>
      </c>
      <c r="T97" s="6">
        <v>21</v>
      </c>
      <c r="U97" s="35">
        <v>20</v>
      </c>
    </row>
    <row r="98" spans="1:21" x14ac:dyDescent="0.35">
      <c r="A98" s="41" t="s">
        <v>145</v>
      </c>
      <c r="B98" s="6">
        <v>23</v>
      </c>
      <c r="C98" s="35">
        <v>21</v>
      </c>
      <c r="D98" s="6">
        <v>22</v>
      </c>
      <c r="E98" s="35">
        <v>16</v>
      </c>
      <c r="F98" s="6">
        <v>27</v>
      </c>
      <c r="G98" s="35">
        <v>15</v>
      </c>
      <c r="H98" s="6">
        <v>16</v>
      </c>
      <c r="I98" s="35">
        <v>7</v>
      </c>
      <c r="J98" s="6">
        <v>19</v>
      </c>
      <c r="K98" s="35">
        <v>21</v>
      </c>
      <c r="L98" s="6">
        <v>24</v>
      </c>
      <c r="M98" s="35">
        <v>17</v>
      </c>
      <c r="N98" s="6">
        <v>32</v>
      </c>
      <c r="O98" s="35">
        <v>16</v>
      </c>
      <c r="P98" s="6">
        <v>17</v>
      </c>
      <c r="Q98" s="35">
        <v>17</v>
      </c>
      <c r="R98" s="6">
        <v>10</v>
      </c>
      <c r="S98" s="35">
        <v>3</v>
      </c>
      <c r="T98" s="6">
        <v>9</v>
      </c>
      <c r="U98" s="35">
        <v>10</v>
      </c>
    </row>
    <row r="99" spans="1:21" x14ac:dyDescent="0.35">
      <c r="A99" s="41" t="s">
        <v>146</v>
      </c>
      <c r="B99" s="6">
        <v>8</v>
      </c>
      <c r="C99" s="35">
        <v>10</v>
      </c>
      <c r="D99" s="6">
        <v>11</v>
      </c>
      <c r="E99" s="35">
        <v>7</v>
      </c>
      <c r="F99" s="6">
        <v>14</v>
      </c>
      <c r="G99" s="35">
        <v>4</v>
      </c>
      <c r="H99" s="6">
        <v>11</v>
      </c>
      <c r="I99" s="35">
        <v>7</v>
      </c>
      <c r="J99" s="6">
        <v>8</v>
      </c>
      <c r="K99" s="35">
        <v>16</v>
      </c>
      <c r="L99" s="6">
        <v>19</v>
      </c>
      <c r="M99" s="35">
        <v>8</v>
      </c>
      <c r="N99" s="6">
        <v>17</v>
      </c>
      <c r="O99" s="35">
        <v>9</v>
      </c>
      <c r="P99" s="6" t="s">
        <v>205</v>
      </c>
      <c r="Q99" s="35" t="s">
        <v>205</v>
      </c>
      <c r="R99" s="6">
        <v>9</v>
      </c>
      <c r="S99" s="35">
        <v>0</v>
      </c>
      <c r="T99" s="6" t="s">
        <v>205</v>
      </c>
      <c r="U99" s="35" t="s">
        <v>205</v>
      </c>
    </row>
    <row r="100" spans="1:21" x14ac:dyDescent="0.35">
      <c r="A100" s="41" t="s">
        <v>147</v>
      </c>
      <c r="B100" s="6">
        <v>692</v>
      </c>
      <c r="C100" s="35">
        <v>648</v>
      </c>
      <c r="D100" s="6">
        <v>643</v>
      </c>
      <c r="E100" s="35">
        <v>675</v>
      </c>
      <c r="F100" s="6">
        <v>440</v>
      </c>
      <c r="G100" s="35">
        <v>489</v>
      </c>
      <c r="H100" s="6">
        <v>392</v>
      </c>
      <c r="I100" s="35">
        <v>493</v>
      </c>
      <c r="J100" s="6">
        <v>377</v>
      </c>
      <c r="K100" s="35">
        <v>526</v>
      </c>
      <c r="L100" s="6">
        <v>567</v>
      </c>
      <c r="M100" s="35">
        <v>395</v>
      </c>
      <c r="N100" s="6">
        <v>1056</v>
      </c>
      <c r="O100" s="35">
        <v>1206</v>
      </c>
      <c r="P100" s="6">
        <v>625</v>
      </c>
      <c r="Q100" s="35">
        <v>832</v>
      </c>
      <c r="R100" s="6">
        <v>405</v>
      </c>
      <c r="S100" s="35">
        <v>629</v>
      </c>
      <c r="T100" s="6">
        <v>454</v>
      </c>
      <c r="U100" s="35">
        <v>2226</v>
      </c>
    </row>
    <row r="101" spans="1:21" x14ac:dyDescent="0.35">
      <c r="A101" s="41" t="s">
        <v>148</v>
      </c>
      <c r="B101" s="6" t="s">
        <v>205</v>
      </c>
      <c r="C101" s="35" t="s">
        <v>205</v>
      </c>
      <c r="D101" s="6" t="s">
        <v>205</v>
      </c>
      <c r="E101" s="35" t="s">
        <v>205</v>
      </c>
      <c r="F101" s="6">
        <v>4</v>
      </c>
      <c r="G101" s="35">
        <v>3</v>
      </c>
      <c r="H101" s="6" t="s">
        <v>205</v>
      </c>
      <c r="I101" s="35" t="s">
        <v>205</v>
      </c>
      <c r="J101" s="6">
        <v>13</v>
      </c>
      <c r="K101" s="35">
        <v>7</v>
      </c>
      <c r="L101" s="6" t="s">
        <v>205</v>
      </c>
      <c r="M101" s="35" t="s">
        <v>205</v>
      </c>
      <c r="N101" s="6">
        <v>6</v>
      </c>
      <c r="O101" s="35">
        <v>4</v>
      </c>
      <c r="P101" s="6" t="s">
        <v>205</v>
      </c>
      <c r="Q101" s="35" t="s">
        <v>205</v>
      </c>
      <c r="R101" s="6" t="s">
        <v>205</v>
      </c>
      <c r="S101" s="35" t="s">
        <v>205</v>
      </c>
      <c r="T101" s="6" t="s">
        <v>205</v>
      </c>
      <c r="U101" s="35" t="s">
        <v>205</v>
      </c>
    </row>
    <row r="102" spans="1:21" x14ac:dyDescent="0.35">
      <c r="A102" s="41" t="s">
        <v>149</v>
      </c>
      <c r="B102" s="6">
        <v>135</v>
      </c>
      <c r="C102" s="35">
        <v>212</v>
      </c>
      <c r="D102" s="6">
        <v>126</v>
      </c>
      <c r="E102" s="35">
        <v>339</v>
      </c>
      <c r="F102" s="6">
        <v>107</v>
      </c>
      <c r="G102" s="35">
        <v>479</v>
      </c>
      <c r="H102" s="6">
        <v>112</v>
      </c>
      <c r="I102" s="35">
        <v>491</v>
      </c>
      <c r="J102" s="6">
        <v>111</v>
      </c>
      <c r="K102" s="35">
        <v>591</v>
      </c>
      <c r="L102" s="6">
        <v>607</v>
      </c>
      <c r="M102" s="35">
        <v>188</v>
      </c>
      <c r="N102" s="6">
        <v>349</v>
      </c>
      <c r="O102" s="35">
        <v>104</v>
      </c>
      <c r="P102" s="6">
        <v>175</v>
      </c>
      <c r="Q102" s="35">
        <v>63</v>
      </c>
      <c r="R102" s="6">
        <v>88</v>
      </c>
      <c r="S102" s="35">
        <v>28</v>
      </c>
      <c r="T102" s="6">
        <v>63</v>
      </c>
      <c r="U102" s="35">
        <v>16</v>
      </c>
    </row>
    <row r="103" spans="1:21" x14ac:dyDescent="0.35">
      <c r="A103" s="41" t="s">
        <v>322</v>
      </c>
      <c r="B103" s="6">
        <v>7</v>
      </c>
      <c r="C103" s="35">
        <v>11</v>
      </c>
      <c r="D103" s="6" t="s">
        <v>205</v>
      </c>
      <c r="E103" s="35" t="s">
        <v>205</v>
      </c>
      <c r="F103" s="6" t="s">
        <v>205</v>
      </c>
      <c r="G103" s="35" t="s">
        <v>205</v>
      </c>
      <c r="H103" s="6" t="s">
        <v>205</v>
      </c>
      <c r="I103" s="35" t="s">
        <v>205</v>
      </c>
      <c r="J103" s="6">
        <v>5</v>
      </c>
      <c r="K103" s="35">
        <v>7</v>
      </c>
      <c r="L103" s="6">
        <v>10</v>
      </c>
      <c r="M103" s="35">
        <v>4</v>
      </c>
      <c r="N103" s="6">
        <v>12</v>
      </c>
      <c r="O103" s="35">
        <v>4</v>
      </c>
      <c r="P103" s="6">
        <v>7</v>
      </c>
      <c r="Q103" s="35">
        <v>5</v>
      </c>
      <c r="R103" s="6">
        <v>6</v>
      </c>
      <c r="S103" s="35">
        <v>0</v>
      </c>
      <c r="T103" s="6">
        <v>6</v>
      </c>
      <c r="U103" s="35">
        <v>0</v>
      </c>
    </row>
    <row r="104" spans="1:21" x14ac:dyDescent="0.35">
      <c r="A104" s="41" t="s">
        <v>150</v>
      </c>
      <c r="B104" s="6">
        <v>0</v>
      </c>
      <c r="C104" s="35" t="s">
        <v>205</v>
      </c>
      <c r="D104" s="6" t="s">
        <v>205</v>
      </c>
      <c r="E104" s="35" t="s">
        <v>205</v>
      </c>
      <c r="F104" s="6">
        <v>0</v>
      </c>
      <c r="G104" s="35">
        <v>3</v>
      </c>
      <c r="H104" s="6" t="s">
        <v>205</v>
      </c>
      <c r="I104" s="35" t="s">
        <v>205</v>
      </c>
      <c r="J104" s="6" t="s">
        <v>205</v>
      </c>
      <c r="K104" s="35" t="s">
        <v>205</v>
      </c>
      <c r="L104" s="6">
        <v>5</v>
      </c>
      <c r="M104" s="35">
        <v>3</v>
      </c>
      <c r="N104" s="6">
        <v>3</v>
      </c>
      <c r="O104" s="35">
        <v>7</v>
      </c>
      <c r="P104" s="6" t="s">
        <v>205</v>
      </c>
      <c r="Q104" s="35" t="s">
        <v>205</v>
      </c>
      <c r="R104" s="6" t="s">
        <v>205</v>
      </c>
      <c r="S104" s="35" t="s">
        <v>205</v>
      </c>
      <c r="T104" s="6" t="s">
        <v>205</v>
      </c>
      <c r="U104" s="35" t="s">
        <v>205</v>
      </c>
    </row>
    <row r="105" spans="1:21" x14ac:dyDescent="0.35">
      <c r="A105" s="41" t="s">
        <v>152</v>
      </c>
      <c r="B105" s="6">
        <v>40</v>
      </c>
      <c r="C105" s="35">
        <v>95</v>
      </c>
      <c r="D105" s="6">
        <v>48</v>
      </c>
      <c r="E105" s="35">
        <v>54</v>
      </c>
      <c r="F105" s="6">
        <v>29</v>
      </c>
      <c r="G105" s="35">
        <v>56</v>
      </c>
      <c r="H105" s="6">
        <v>22</v>
      </c>
      <c r="I105" s="35">
        <v>99</v>
      </c>
      <c r="J105" s="6">
        <v>47</v>
      </c>
      <c r="K105" s="35">
        <v>164</v>
      </c>
      <c r="L105" s="6">
        <v>139</v>
      </c>
      <c r="M105" s="35">
        <v>140</v>
      </c>
      <c r="N105" s="6">
        <v>152</v>
      </c>
      <c r="O105" s="35">
        <v>90</v>
      </c>
      <c r="P105" s="6">
        <v>145</v>
      </c>
      <c r="Q105" s="35">
        <v>99</v>
      </c>
      <c r="R105" s="6">
        <v>91</v>
      </c>
      <c r="S105" s="35">
        <v>31</v>
      </c>
      <c r="T105" s="6">
        <v>65</v>
      </c>
      <c r="U105" s="35">
        <v>37</v>
      </c>
    </row>
    <row r="106" spans="1:21" x14ac:dyDescent="0.35">
      <c r="A106" s="41" t="s">
        <v>153</v>
      </c>
      <c r="B106" s="6">
        <v>16</v>
      </c>
      <c r="C106" s="35">
        <v>0</v>
      </c>
      <c r="D106" s="6">
        <v>15</v>
      </c>
      <c r="E106" s="35">
        <v>0</v>
      </c>
      <c r="F106" s="6">
        <v>10</v>
      </c>
      <c r="G106" s="35">
        <v>0</v>
      </c>
      <c r="H106" s="6">
        <v>10</v>
      </c>
      <c r="I106" s="35">
        <v>0</v>
      </c>
      <c r="J106" s="6">
        <v>14</v>
      </c>
      <c r="K106" s="35">
        <v>0</v>
      </c>
      <c r="L106" s="6">
        <v>9</v>
      </c>
      <c r="M106" s="35">
        <v>0</v>
      </c>
      <c r="N106" s="6">
        <v>10</v>
      </c>
      <c r="O106" s="35">
        <v>0</v>
      </c>
      <c r="P106" s="6">
        <v>4</v>
      </c>
      <c r="Q106" s="35">
        <v>0</v>
      </c>
      <c r="R106" s="6">
        <v>5</v>
      </c>
      <c r="S106" s="35">
        <v>0</v>
      </c>
      <c r="T106" s="6">
        <v>3</v>
      </c>
      <c r="U106" s="35">
        <v>0</v>
      </c>
    </row>
    <row r="107" spans="1:21" x14ac:dyDescent="0.35">
      <c r="A107" s="41" t="s">
        <v>154</v>
      </c>
      <c r="B107" s="6">
        <v>82</v>
      </c>
      <c r="C107" s="35">
        <v>41</v>
      </c>
      <c r="D107" s="6">
        <v>56</v>
      </c>
      <c r="E107" s="35">
        <v>36</v>
      </c>
      <c r="F107" s="6">
        <v>57</v>
      </c>
      <c r="G107" s="35">
        <v>45</v>
      </c>
      <c r="H107" s="6">
        <v>54</v>
      </c>
      <c r="I107" s="35">
        <v>29</v>
      </c>
      <c r="J107" s="6">
        <v>52</v>
      </c>
      <c r="K107" s="35">
        <v>42</v>
      </c>
      <c r="L107" s="6">
        <v>86</v>
      </c>
      <c r="M107" s="35">
        <v>5</v>
      </c>
      <c r="N107" s="6">
        <v>95</v>
      </c>
      <c r="O107" s="35">
        <v>7</v>
      </c>
      <c r="P107" s="6">
        <v>57</v>
      </c>
      <c r="Q107" s="35">
        <v>7</v>
      </c>
      <c r="R107" s="6">
        <v>102</v>
      </c>
      <c r="S107" s="35">
        <v>8</v>
      </c>
      <c r="T107" s="6">
        <v>120</v>
      </c>
      <c r="U107" s="35">
        <v>16</v>
      </c>
    </row>
    <row r="108" spans="1:21" x14ac:dyDescent="0.35">
      <c r="A108" s="41" t="s">
        <v>155</v>
      </c>
      <c r="B108" s="6">
        <v>6</v>
      </c>
      <c r="C108" s="35">
        <v>17</v>
      </c>
      <c r="D108" s="6">
        <v>7</v>
      </c>
      <c r="E108" s="35">
        <v>11</v>
      </c>
      <c r="F108" s="6">
        <v>3</v>
      </c>
      <c r="G108" s="35">
        <v>18</v>
      </c>
      <c r="H108" s="6" t="s">
        <v>205</v>
      </c>
      <c r="I108" s="35" t="s">
        <v>205</v>
      </c>
      <c r="J108" s="6" t="s">
        <v>205</v>
      </c>
      <c r="K108" s="35" t="s">
        <v>205</v>
      </c>
      <c r="L108" s="6" t="s">
        <v>205</v>
      </c>
      <c r="M108" s="35" t="s">
        <v>205</v>
      </c>
      <c r="N108" s="6">
        <v>28</v>
      </c>
      <c r="O108" s="35">
        <v>3</v>
      </c>
      <c r="P108" s="6" t="s">
        <v>205</v>
      </c>
      <c r="Q108" s="35" t="s">
        <v>205</v>
      </c>
      <c r="R108" s="6">
        <v>62</v>
      </c>
      <c r="S108" s="35">
        <v>3</v>
      </c>
      <c r="T108" s="6" t="s">
        <v>205</v>
      </c>
      <c r="U108" s="35" t="s">
        <v>205</v>
      </c>
    </row>
    <row r="109" spans="1:21" x14ac:dyDescent="0.35">
      <c r="A109" s="41" t="s">
        <v>156</v>
      </c>
      <c r="B109" s="6">
        <v>327</v>
      </c>
      <c r="C109" s="35">
        <v>352</v>
      </c>
      <c r="D109" s="6">
        <v>325</v>
      </c>
      <c r="E109" s="35">
        <v>367</v>
      </c>
      <c r="F109" s="6">
        <v>210</v>
      </c>
      <c r="G109" s="35">
        <v>316</v>
      </c>
      <c r="H109" s="6">
        <v>207</v>
      </c>
      <c r="I109" s="35">
        <v>385</v>
      </c>
      <c r="J109" s="6">
        <v>177</v>
      </c>
      <c r="K109" s="35">
        <v>430</v>
      </c>
      <c r="L109" s="6">
        <v>499</v>
      </c>
      <c r="M109" s="35">
        <v>227</v>
      </c>
      <c r="N109" s="6">
        <v>523</v>
      </c>
      <c r="O109" s="35">
        <v>236</v>
      </c>
      <c r="P109" s="6">
        <v>328</v>
      </c>
      <c r="Q109" s="35">
        <v>162</v>
      </c>
      <c r="R109" s="6">
        <v>497</v>
      </c>
      <c r="S109" s="35">
        <v>130</v>
      </c>
      <c r="T109" s="6">
        <v>547</v>
      </c>
      <c r="U109" s="35">
        <v>811</v>
      </c>
    </row>
    <row r="110" spans="1:21" x14ac:dyDescent="0.35">
      <c r="A110" s="41" t="s">
        <v>18</v>
      </c>
      <c r="B110" s="6">
        <v>218</v>
      </c>
      <c r="C110" s="35">
        <v>149</v>
      </c>
      <c r="D110" s="6">
        <v>203</v>
      </c>
      <c r="E110" s="35">
        <v>119</v>
      </c>
      <c r="F110" s="6">
        <v>128</v>
      </c>
      <c r="G110" s="35">
        <v>88</v>
      </c>
      <c r="H110" s="6">
        <v>123</v>
      </c>
      <c r="I110" s="35">
        <v>152</v>
      </c>
      <c r="J110" s="6">
        <v>119</v>
      </c>
      <c r="K110" s="35">
        <v>212</v>
      </c>
      <c r="L110" s="6">
        <v>380</v>
      </c>
      <c r="M110" s="35">
        <v>60</v>
      </c>
      <c r="N110" s="6">
        <v>457</v>
      </c>
      <c r="O110" s="35">
        <v>46</v>
      </c>
      <c r="P110" s="6">
        <v>285</v>
      </c>
      <c r="Q110" s="35">
        <v>38</v>
      </c>
      <c r="R110" s="6">
        <v>301</v>
      </c>
      <c r="S110" s="35">
        <v>21</v>
      </c>
      <c r="T110" s="6">
        <v>435</v>
      </c>
      <c r="U110" s="35">
        <v>16</v>
      </c>
    </row>
    <row r="111" spans="1:21" x14ac:dyDescent="0.35">
      <c r="A111" s="41" t="s">
        <v>157</v>
      </c>
      <c r="B111" s="6">
        <v>110</v>
      </c>
      <c r="C111" s="35">
        <v>136</v>
      </c>
      <c r="D111" s="6">
        <v>96</v>
      </c>
      <c r="E111" s="35">
        <v>103</v>
      </c>
      <c r="F111" s="6">
        <v>73</v>
      </c>
      <c r="G111" s="35">
        <v>110</v>
      </c>
      <c r="H111" s="6">
        <v>74</v>
      </c>
      <c r="I111" s="35">
        <v>116</v>
      </c>
      <c r="J111" s="6">
        <v>75</v>
      </c>
      <c r="K111" s="35">
        <v>78</v>
      </c>
      <c r="L111" s="6">
        <v>129</v>
      </c>
      <c r="M111" s="35">
        <v>43</v>
      </c>
      <c r="N111" s="6">
        <v>140</v>
      </c>
      <c r="O111" s="35">
        <v>32</v>
      </c>
      <c r="P111" s="6">
        <v>91</v>
      </c>
      <c r="Q111" s="35">
        <v>51</v>
      </c>
      <c r="R111" s="6">
        <v>46</v>
      </c>
      <c r="S111" s="35">
        <v>4</v>
      </c>
      <c r="T111" s="6">
        <v>45</v>
      </c>
      <c r="U111" s="35">
        <v>19</v>
      </c>
    </row>
    <row r="112" spans="1:21" x14ac:dyDescent="0.35">
      <c r="A112" s="41" t="s">
        <v>158</v>
      </c>
      <c r="B112" s="6">
        <v>57</v>
      </c>
      <c r="C112" s="35">
        <v>24</v>
      </c>
      <c r="D112" s="6">
        <v>47</v>
      </c>
      <c r="E112" s="35">
        <v>15</v>
      </c>
      <c r="F112" s="6">
        <v>25</v>
      </c>
      <c r="G112" s="35">
        <v>18</v>
      </c>
      <c r="H112" s="6">
        <v>27</v>
      </c>
      <c r="I112" s="35">
        <v>17</v>
      </c>
      <c r="J112" s="6">
        <v>34</v>
      </c>
      <c r="K112" s="35">
        <v>30</v>
      </c>
      <c r="L112" s="6">
        <v>35</v>
      </c>
      <c r="M112" s="35">
        <v>59</v>
      </c>
      <c r="N112" s="6">
        <v>43</v>
      </c>
      <c r="O112" s="35">
        <v>54</v>
      </c>
      <c r="P112" s="6">
        <v>12</v>
      </c>
      <c r="Q112" s="35">
        <v>30</v>
      </c>
      <c r="R112" s="6">
        <v>14</v>
      </c>
      <c r="S112" s="35">
        <v>10</v>
      </c>
      <c r="T112" s="6">
        <v>12</v>
      </c>
      <c r="U112" s="35">
        <v>15</v>
      </c>
    </row>
    <row r="113" spans="1:21" x14ac:dyDescent="0.35">
      <c r="A113" s="41" t="s">
        <v>160</v>
      </c>
      <c r="B113" s="6">
        <v>87</v>
      </c>
      <c r="C113" s="35">
        <v>112</v>
      </c>
      <c r="D113" s="6">
        <v>72</v>
      </c>
      <c r="E113" s="35">
        <v>81</v>
      </c>
      <c r="F113" s="6">
        <v>70</v>
      </c>
      <c r="G113" s="35">
        <v>83</v>
      </c>
      <c r="H113" s="6">
        <v>69</v>
      </c>
      <c r="I113" s="35">
        <v>111</v>
      </c>
      <c r="J113" s="6">
        <v>88</v>
      </c>
      <c r="K113" s="35">
        <v>178</v>
      </c>
      <c r="L113" s="6">
        <v>203</v>
      </c>
      <c r="M113" s="35">
        <v>214</v>
      </c>
      <c r="N113" s="6">
        <v>211</v>
      </c>
      <c r="O113" s="35">
        <v>181</v>
      </c>
      <c r="P113" s="6">
        <v>156</v>
      </c>
      <c r="Q113" s="35">
        <v>122</v>
      </c>
      <c r="R113" s="6">
        <v>155</v>
      </c>
      <c r="S113" s="35">
        <v>92</v>
      </c>
      <c r="T113" s="6">
        <v>152</v>
      </c>
      <c r="U113" s="35">
        <v>66</v>
      </c>
    </row>
    <row r="114" spans="1:21" x14ac:dyDescent="0.35">
      <c r="A114" s="41" t="s">
        <v>161</v>
      </c>
      <c r="B114" s="6">
        <v>70</v>
      </c>
      <c r="C114" s="35">
        <v>71</v>
      </c>
      <c r="D114" s="6">
        <v>42</v>
      </c>
      <c r="E114" s="35">
        <v>63</v>
      </c>
      <c r="F114" s="6">
        <v>39</v>
      </c>
      <c r="G114" s="35">
        <v>60</v>
      </c>
      <c r="H114" s="6">
        <v>42</v>
      </c>
      <c r="I114" s="35">
        <v>91</v>
      </c>
      <c r="J114" s="6">
        <v>59</v>
      </c>
      <c r="K114" s="35">
        <v>124</v>
      </c>
      <c r="L114" s="6">
        <v>131</v>
      </c>
      <c r="M114" s="35">
        <v>64</v>
      </c>
      <c r="N114" s="6">
        <v>177</v>
      </c>
      <c r="O114" s="35">
        <v>86</v>
      </c>
      <c r="P114" s="6">
        <v>122</v>
      </c>
      <c r="Q114" s="35">
        <v>72</v>
      </c>
      <c r="R114" s="6">
        <v>94</v>
      </c>
      <c r="S114" s="35">
        <v>39</v>
      </c>
      <c r="T114" s="6">
        <v>73</v>
      </c>
      <c r="U114" s="35">
        <v>50</v>
      </c>
    </row>
    <row r="115" spans="1:21" x14ac:dyDescent="0.35">
      <c r="A115" s="41" t="s">
        <v>162</v>
      </c>
      <c r="B115" s="6">
        <v>0</v>
      </c>
      <c r="C115" s="35">
        <v>5</v>
      </c>
      <c r="D115" s="6" t="s">
        <v>205</v>
      </c>
      <c r="E115" s="35" t="s">
        <v>205</v>
      </c>
      <c r="F115" s="6" t="s">
        <v>205</v>
      </c>
      <c r="G115" s="35" t="s">
        <v>205</v>
      </c>
      <c r="H115" s="6" t="s">
        <v>205</v>
      </c>
      <c r="I115" s="35" t="s">
        <v>205</v>
      </c>
      <c r="J115" s="6">
        <v>3</v>
      </c>
      <c r="K115" s="35">
        <v>6</v>
      </c>
      <c r="L115" s="6" t="s">
        <v>205</v>
      </c>
      <c r="M115" s="35" t="s">
        <v>205</v>
      </c>
      <c r="N115" s="6">
        <v>8</v>
      </c>
      <c r="O115" s="35">
        <v>7</v>
      </c>
      <c r="P115" s="6">
        <v>6</v>
      </c>
      <c r="Q115" s="35">
        <v>3</v>
      </c>
      <c r="R115" s="6">
        <v>4</v>
      </c>
      <c r="S115" s="35">
        <v>3</v>
      </c>
      <c r="T115" s="6" t="s">
        <v>205</v>
      </c>
      <c r="U115" s="35" t="s">
        <v>205</v>
      </c>
    </row>
    <row r="116" spans="1:21" x14ac:dyDescent="0.35">
      <c r="A116" s="41" t="s">
        <v>163</v>
      </c>
      <c r="B116" s="6">
        <v>11</v>
      </c>
      <c r="C116" s="35">
        <v>4</v>
      </c>
      <c r="D116" s="6" t="s">
        <v>205</v>
      </c>
      <c r="E116" s="35" t="s">
        <v>205</v>
      </c>
      <c r="F116" s="6" t="s">
        <v>205</v>
      </c>
      <c r="G116" s="35" t="s">
        <v>205</v>
      </c>
      <c r="H116" s="6">
        <v>8</v>
      </c>
      <c r="I116" s="35">
        <v>3</v>
      </c>
      <c r="J116" s="6">
        <v>13</v>
      </c>
      <c r="K116" s="35">
        <v>4</v>
      </c>
      <c r="L116" s="6">
        <v>17</v>
      </c>
      <c r="M116" s="35">
        <v>0</v>
      </c>
      <c r="N116" s="6" t="s">
        <v>205</v>
      </c>
      <c r="O116" s="35" t="s">
        <v>205</v>
      </c>
      <c r="P116" s="6" t="s">
        <v>205</v>
      </c>
      <c r="Q116" s="35" t="s">
        <v>205</v>
      </c>
      <c r="R116" s="6">
        <v>4</v>
      </c>
      <c r="S116" s="35">
        <v>0</v>
      </c>
      <c r="T116" s="6">
        <v>6</v>
      </c>
      <c r="U116" s="35">
        <v>0</v>
      </c>
    </row>
    <row r="117" spans="1:21" x14ac:dyDescent="0.35">
      <c r="A117" s="41" t="s">
        <v>164</v>
      </c>
      <c r="B117" s="6">
        <v>10</v>
      </c>
      <c r="C117" s="35">
        <v>16</v>
      </c>
      <c r="D117" s="6">
        <v>5</v>
      </c>
      <c r="E117" s="35">
        <v>10</v>
      </c>
      <c r="F117" s="6">
        <v>4</v>
      </c>
      <c r="G117" s="35">
        <v>8</v>
      </c>
      <c r="H117" s="6">
        <v>10</v>
      </c>
      <c r="I117" s="35">
        <v>6</v>
      </c>
      <c r="J117" s="6">
        <v>22</v>
      </c>
      <c r="K117" s="35">
        <v>4</v>
      </c>
      <c r="L117" s="6">
        <v>31</v>
      </c>
      <c r="M117" s="35">
        <v>4</v>
      </c>
      <c r="N117" s="6">
        <v>16</v>
      </c>
      <c r="O117" s="35">
        <v>5</v>
      </c>
      <c r="P117" s="6" t="s">
        <v>205</v>
      </c>
      <c r="Q117" s="35" t="s">
        <v>205</v>
      </c>
      <c r="R117" s="6" t="s">
        <v>205</v>
      </c>
      <c r="S117" s="35" t="s">
        <v>205</v>
      </c>
      <c r="T117" s="6" t="s">
        <v>205</v>
      </c>
      <c r="U117" s="35" t="s">
        <v>205</v>
      </c>
    </row>
    <row r="118" spans="1:21" x14ac:dyDescent="0.35">
      <c r="A118" s="41" t="s">
        <v>165</v>
      </c>
      <c r="B118" s="6">
        <v>17</v>
      </c>
      <c r="C118" s="35">
        <v>5</v>
      </c>
      <c r="D118" s="6">
        <v>17</v>
      </c>
      <c r="E118" s="35">
        <v>4</v>
      </c>
      <c r="F118" s="6">
        <v>8</v>
      </c>
      <c r="G118" s="35">
        <v>3</v>
      </c>
      <c r="H118" s="6">
        <v>10</v>
      </c>
      <c r="I118" s="35">
        <v>4</v>
      </c>
      <c r="J118" s="6">
        <v>9</v>
      </c>
      <c r="K118" s="35">
        <v>3</v>
      </c>
      <c r="L118" s="6" t="s">
        <v>205</v>
      </c>
      <c r="M118" s="35" t="s">
        <v>205</v>
      </c>
      <c r="N118" s="6">
        <v>14</v>
      </c>
      <c r="O118" s="35">
        <v>4</v>
      </c>
      <c r="P118" s="6" t="s">
        <v>205</v>
      </c>
      <c r="Q118" s="35" t="s">
        <v>205</v>
      </c>
      <c r="R118" s="6">
        <v>9</v>
      </c>
      <c r="S118" s="35">
        <v>6</v>
      </c>
      <c r="T118" s="6">
        <v>10</v>
      </c>
      <c r="U118" s="35">
        <v>3</v>
      </c>
    </row>
    <row r="119" spans="1:21" x14ac:dyDescent="0.35">
      <c r="A119" s="41" t="s">
        <v>166</v>
      </c>
      <c r="B119" s="6">
        <v>6</v>
      </c>
      <c r="C119" s="35">
        <v>4</v>
      </c>
      <c r="D119" s="6">
        <v>6</v>
      </c>
      <c r="E119" s="35">
        <v>3</v>
      </c>
      <c r="F119" s="6" t="s">
        <v>205</v>
      </c>
      <c r="G119" s="35">
        <v>0</v>
      </c>
      <c r="H119" s="6" t="s">
        <v>205</v>
      </c>
      <c r="I119" s="35">
        <v>0</v>
      </c>
      <c r="J119" s="6">
        <v>9</v>
      </c>
      <c r="K119" s="35">
        <v>4</v>
      </c>
      <c r="L119" s="6">
        <v>29</v>
      </c>
      <c r="M119" s="35">
        <v>0</v>
      </c>
      <c r="N119" s="6" t="s">
        <v>205</v>
      </c>
      <c r="O119" s="35" t="s">
        <v>205</v>
      </c>
      <c r="P119" s="6">
        <v>6</v>
      </c>
      <c r="Q119" s="35">
        <v>0</v>
      </c>
      <c r="R119" s="6" t="s">
        <v>205</v>
      </c>
      <c r="S119" s="35" t="s">
        <v>205</v>
      </c>
      <c r="T119" s="6">
        <v>0</v>
      </c>
      <c r="U119" s="35">
        <v>0</v>
      </c>
    </row>
    <row r="120" spans="1:21" x14ac:dyDescent="0.35">
      <c r="A120" s="41" t="s">
        <v>167</v>
      </c>
      <c r="B120" s="6">
        <v>17</v>
      </c>
      <c r="C120" s="35">
        <v>31</v>
      </c>
      <c r="D120" s="6">
        <v>21</v>
      </c>
      <c r="E120" s="35">
        <v>50</v>
      </c>
      <c r="F120" s="6">
        <v>20</v>
      </c>
      <c r="G120" s="35">
        <v>49</v>
      </c>
      <c r="H120" s="6">
        <v>24</v>
      </c>
      <c r="I120" s="35">
        <v>119</v>
      </c>
      <c r="J120" s="6">
        <v>28</v>
      </c>
      <c r="K120" s="35">
        <v>94</v>
      </c>
      <c r="L120" s="6">
        <v>86</v>
      </c>
      <c r="M120" s="35">
        <v>30</v>
      </c>
      <c r="N120" s="6">
        <v>66</v>
      </c>
      <c r="O120" s="35">
        <v>18</v>
      </c>
      <c r="P120" s="6">
        <v>29</v>
      </c>
      <c r="Q120" s="35">
        <v>14</v>
      </c>
      <c r="R120" s="6">
        <v>13</v>
      </c>
      <c r="S120" s="35">
        <v>6</v>
      </c>
      <c r="T120" s="6">
        <v>12</v>
      </c>
      <c r="U120" s="35">
        <v>6</v>
      </c>
    </row>
    <row r="121" spans="1:21" x14ac:dyDescent="0.35">
      <c r="A121" s="41" t="s">
        <v>168</v>
      </c>
      <c r="B121" s="6">
        <v>16</v>
      </c>
      <c r="C121" s="35">
        <v>24</v>
      </c>
      <c r="D121" s="6">
        <v>9</v>
      </c>
      <c r="E121" s="35">
        <v>16</v>
      </c>
      <c r="F121" s="6">
        <v>5</v>
      </c>
      <c r="G121" s="35">
        <v>18</v>
      </c>
      <c r="H121" s="6">
        <v>7</v>
      </c>
      <c r="I121" s="35">
        <v>11</v>
      </c>
      <c r="J121" s="6">
        <v>34</v>
      </c>
      <c r="K121" s="35">
        <v>171</v>
      </c>
      <c r="L121" s="6">
        <v>44</v>
      </c>
      <c r="M121" s="35">
        <v>88</v>
      </c>
      <c r="N121" s="6">
        <v>37</v>
      </c>
      <c r="O121" s="35">
        <v>25</v>
      </c>
      <c r="P121" s="6">
        <v>40</v>
      </c>
      <c r="Q121" s="35">
        <v>26</v>
      </c>
      <c r="R121" s="6">
        <v>12</v>
      </c>
      <c r="S121" s="35">
        <v>12</v>
      </c>
      <c r="T121" s="6">
        <v>12</v>
      </c>
      <c r="U121" s="35">
        <v>17</v>
      </c>
    </row>
    <row r="122" spans="1:21" x14ac:dyDescent="0.35">
      <c r="A122" s="41" t="s">
        <v>169</v>
      </c>
      <c r="B122" s="6">
        <v>0</v>
      </c>
      <c r="C122" s="35" t="s">
        <v>205</v>
      </c>
      <c r="D122" s="6" t="s">
        <v>205</v>
      </c>
      <c r="E122" s="35" t="s">
        <v>205</v>
      </c>
      <c r="F122" s="6" t="s">
        <v>205</v>
      </c>
      <c r="G122" s="35" t="s">
        <v>205</v>
      </c>
      <c r="H122" s="6">
        <v>12</v>
      </c>
      <c r="I122" s="35">
        <v>19</v>
      </c>
      <c r="J122" s="6">
        <v>12</v>
      </c>
      <c r="K122" s="35">
        <v>16</v>
      </c>
      <c r="L122" s="6">
        <v>13</v>
      </c>
      <c r="M122" s="35">
        <v>20</v>
      </c>
      <c r="N122" s="6">
        <v>17</v>
      </c>
      <c r="O122" s="35">
        <v>17</v>
      </c>
      <c r="P122" s="6">
        <v>17</v>
      </c>
      <c r="Q122" s="35">
        <v>9</v>
      </c>
      <c r="R122" s="6">
        <v>13</v>
      </c>
      <c r="S122" s="35">
        <v>8</v>
      </c>
      <c r="T122" s="6" t="s">
        <v>205</v>
      </c>
      <c r="U122" s="35" t="s">
        <v>205</v>
      </c>
    </row>
    <row r="123" spans="1:21" ht="15.5" x14ac:dyDescent="0.35">
      <c r="A123" s="41" t="s">
        <v>330</v>
      </c>
      <c r="B123" s="6">
        <v>7</v>
      </c>
      <c r="C123" s="35">
        <v>19</v>
      </c>
      <c r="D123" s="6" t="s">
        <v>205</v>
      </c>
      <c r="E123" s="35" t="s">
        <v>205</v>
      </c>
      <c r="F123" s="6">
        <v>4</v>
      </c>
      <c r="G123" s="35">
        <v>6</v>
      </c>
      <c r="H123" s="6" t="s">
        <v>205</v>
      </c>
      <c r="I123" s="35" t="s">
        <v>205</v>
      </c>
      <c r="J123" s="6" t="s">
        <v>205</v>
      </c>
      <c r="K123" s="35" t="s">
        <v>205</v>
      </c>
      <c r="L123" s="6" t="s">
        <v>205</v>
      </c>
      <c r="M123" s="35" t="s">
        <v>205</v>
      </c>
      <c r="N123" s="6" t="s">
        <v>205</v>
      </c>
      <c r="O123" s="35" t="s">
        <v>205</v>
      </c>
      <c r="P123" s="6" t="s">
        <v>205</v>
      </c>
      <c r="Q123" s="35" t="s">
        <v>205</v>
      </c>
      <c r="R123" s="6" t="s">
        <v>206</v>
      </c>
      <c r="S123" s="35" t="s">
        <v>206</v>
      </c>
      <c r="T123" s="6" t="s">
        <v>206</v>
      </c>
      <c r="U123" s="35" t="s">
        <v>206</v>
      </c>
    </row>
    <row r="124" spans="1:21" x14ac:dyDescent="0.35">
      <c r="A124" s="41" t="s">
        <v>170</v>
      </c>
      <c r="B124" s="6">
        <v>10</v>
      </c>
      <c r="C124" s="35">
        <v>6</v>
      </c>
      <c r="D124" s="6">
        <v>10</v>
      </c>
      <c r="E124" s="35">
        <v>4</v>
      </c>
      <c r="F124" s="6" t="s">
        <v>205</v>
      </c>
      <c r="G124" s="35" t="s">
        <v>205</v>
      </c>
      <c r="H124" s="6">
        <v>18</v>
      </c>
      <c r="I124" s="35">
        <v>4</v>
      </c>
      <c r="J124" s="6">
        <v>27</v>
      </c>
      <c r="K124" s="35">
        <v>13</v>
      </c>
      <c r="L124" s="6">
        <v>54</v>
      </c>
      <c r="M124" s="35">
        <v>27</v>
      </c>
      <c r="N124" s="6">
        <v>69</v>
      </c>
      <c r="O124" s="35">
        <v>18</v>
      </c>
      <c r="P124" s="6">
        <v>12</v>
      </c>
      <c r="Q124" s="35">
        <v>12</v>
      </c>
      <c r="R124" s="6">
        <v>23</v>
      </c>
      <c r="S124" s="35">
        <v>5</v>
      </c>
      <c r="T124" s="6">
        <v>10</v>
      </c>
      <c r="U124" s="35">
        <v>0</v>
      </c>
    </row>
    <row r="125" spans="1:21" x14ac:dyDescent="0.35">
      <c r="A125" s="41" t="s">
        <v>171</v>
      </c>
      <c r="B125" s="6" t="s">
        <v>205</v>
      </c>
      <c r="C125" s="35" t="s">
        <v>205</v>
      </c>
      <c r="D125" s="6">
        <v>4</v>
      </c>
      <c r="E125" s="35">
        <v>7</v>
      </c>
      <c r="F125" s="6" t="s">
        <v>205</v>
      </c>
      <c r="G125" s="35" t="s">
        <v>205</v>
      </c>
      <c r="H125" s="6" t="s">
        <v>205</v>
      </c>
      <c r="I125" s="35" t="s">
        <v>205</v>
      </c>
      <c r="J125" s="6" t="s">
        <v>205</v>
      </c>
      <c r="K125" s="35" t="s">
        <v>205</v>
      </c>
      <c r="L125" s="6" t="s">
        <v>205</v>
      </c>
      <c r="M125" s="35" t="s">
        <v>205</v>
      </c>
      <c r="N125" s="6">
        <v>3</v>
      </c>
      <c r="O125" s="35">
        <v>0</v>
      </c>
      <c r="P125" s="6">
        <v>4</v>
      </c>
      <c r="Q125" s="35">
        <v>3</v>
      </c>
      <c r="R125" s="6">
        <v>3</v>
      </c>
      <c r="S125" s="35">
        <v>0</v>
      </c>
      <c r="T125" s="6" t="s">
        <v>205</v>
      </c>
      <c r="U125" s="35" t="s">
        <v>205</v>
      </c>
    </row>
    <row r="126" spans="1:21" x14ac:dyDescent="0.35">
      <c r="A126" s="41" t="s">
        <v>172</v>
      </c>
      <c r="B126" s="6">
        <v>8</v>
      </c>
      <c r="C126" s="35">
        <v>15</v>
      </c>
      <c r="D126" s="6">
        <v>5</v>
      </c>
      <c r="E126" s="35">
        <v>14</v>
      </c>
      <c r="F126" s="6">
        <v>3</v>
      </c>
      <c r="G126" s="35">
        <v>5</v>
      </c>
      <c r="H126" s="6">
        <v>4</v>
      </c>
      <c r="I126" s="35">
        <v>8</v>
      </c>
      <c r="J126" s="6">
        <v>6</v>
      </c>
      <c r="K126" s="35">
        <v>16</v>
      </c>
      <c r="L126" s="6">
        <v>11</v>
      </c>
      <c r="M126" s="35">
        <v>22</v>
      </c>
      <c r="N126" s="6">
        <v>7</v>
      </c>
      <c r="O126" s="35">
        <v>11</v>
      </c>
      <c r="P126" s="6" t="s">
        <v>205</v>
      </c>
      <c r="Q126" s="35" t="s">
        <v>205</v>
      </c>
      <c r="R126" s="6" t="s">
        <v>205</v>
      </c>
      <c r="S126" s="35" t="s">
        <v>205</v>
      </c>
      <c r="T126" s="6" t="s">
        <v>205</v>
      </c>
      <c r="U126" s="35">
        <v>0</v>
      </c>
    </row>
    <row r="127" spans="1:21" x14ac:dyDescent="0.35">
      <c r="A127" s="41" t="s">
        <v>174</v>
      </c>
      <c r="B127" s="6">
        <v>34</v>
      </c>
      <c r="C127" s="35">
        <v>32</v>
      </c>
      <c r="D127" s="6">
        <v>24</v>
      </c>
      <c r="E127" s="35">
        <v>33</v>
      </c>
      <c r="F127" s="6">
        <v>4</v>
      </c>
      <c r="G127" s="35">
        <v>118</v>
      </c>
      <c r="H127" s="6">
        <v>25</v>
      </c>
      <c r="I127" s="35">
        <v>175</v>
      </c>
      <c r="J127" s="6">
        <v>178</v>
      </c>
      <c r="K127" s="35">
        <v>339</v>
      </c>
      <c r="L127" s="6">
        <v>126</v>
      </c>
      <c r="M127" s="35">
        <v>102</v>
      </c>
      <c r="N127" s="6">
        <v>96</v>
      </c>
      <c r="O127" s="35">
        <v>56</v>
      </c>
      <c r="P127" s="6">
        <v>86</v>
      </c>
      <c r="Q127" s="35">
        <v>26</v>
      </c>
      <c r="R127" s="6" t="s">
        <v>205</v>
      </c>
      <c r="S127" s="35" t="s">
        <v>205</v>
      </c>
      <c r="T127" s="6">
        <v>5</v>
      </c>
      <c r="U127" s="35">
        <v>5</v>
      </c>
    </row>
    <row r="128" spans="1:21" x14ac:dyDescent="0.35">
      <c r="A128" s="41" t="s">
        <v>175</v>
      </c>
      <c r="B128" s="6">
        <v>17</v>
      </c>
      <c r="C128" s="35">
        <v>17</v>
      </c>
      <c r="D128" s="6">
        <v>25</v>
      </c>
      <c r="E128" s="35">
        <v>17</v>
      </c>
      <c r="F128" s="6">
        <v>16</v>
      </c>
      <c r="G128" s="35">
        <v>33</v>
      </c>
      <c r="H128" s="6">
        <v>9</v>
      </c>
      <c r="I128" s="35">
        <v>28</v>
      </c>
      <c r="J128" s="6">
        <v>14</v>
      </c>
      <c r="K128" s="35">
        <v>42</v>
      </c>
      <c r="L128" s="6">
        <v>49</v>
      </c>
      <c r="M128" s="35">
        <v>13</v>
      </c>
      <c r="N128" s="6">
        <v>63</v>
      </c>
      <c r="O128" s="35">
        <v>15</v>
      </c>
      <c r="P128" s="6">
        <v>31</v>
      </c>
      <c r="Q128" s="35">
        <v>8</v>
      </c>
      <c r="R128" s="6">
        <v>31</v>
      </c>
      <c r="S128" s="35">
        <v>8</v>
      </c>
      <c r="T128" s="6" t="s">
        <v>205</v>
      </c>
      <c r="U128" s="35" t="s">
        <v>205</v>
      </c>
    </row>
    <row r="129" spans="1:21" x14ac:dyDescent="0.35">
      <c r="A129" s="41" t="s">
        <v>176</v>
      </c>
      <c r="B129" s="6">
        <v>38</v>
      </c>
      <c r="C129" s="35">
        <v>0</v>
      </c>
      <c r="D129" s="6">
        <v>9</v>
      </c>
      <c r="E129" s="35">
        <v>0</v>
      </c>
      <c r="F129" s="6" t="s">
        <v>205</v>
      </c>
      <c r="G129" s="35">
        <v>0</v>
      </c>
      <c r="H129" s="6">
        <v>0</v>
      </c>
      <c r="I129" s="35" t="s">
        <v>205</v>
      </c>
      <c r="J129" s="6" t="s">
        <v>205</v>
      </c>
      <c r="K129" s="35" t="s">
        <v>205</v>
      </c>
      <c r="L129" s="6">
        <v>61</v>
      </c>
      <c r="M129" s="35">
        <v>0</v>
      </c>
      <c r="N129" s="6" t="s">
        <v>205</v>
      </c>
      <c r="O129" s="35" t="s">
        <v>205</v>
      </c>
      <c r="P129" s="6">
        <v>41</v>
      </c>
      <c r="Q129" s="35">
        <v>0</v>
      </c>
      <c r="R129" s="6">
        <v>22</v>
      </c>
      <c r="S129" s="35">
        <v>0</v>
      </c>
      <c r="T129" s="6">
        <v>3</v>
      </c>
      <c r="U129" s="35">
        <v>0</v>
      </c>
    </row>
    <row r="130" spans="1:21" x14ac:dyDescent="0.35">
      <c r="A130" s="41" t="s">
        <v>177</v>
      </c>
      <c r="B130" s="6">
        <v>29</v>
      </c>
      <c r="C130" s="35">
        <v>67</v>
      </c>
      <c r="D130" s="6">
        <v>35</v>
      </c>
      <c r="E130" s="35">
        <v>74</v>
      </c>
      <c r="F130" s="6">
        <v>31</v>
      </c>
      <c r="G130" s="35">
        <v>74</v>
      </c>
      <c r="H130" s="6">
        <v>32</v>
      </c>
      <c r="I130" s="35">
        <v>45</v>
      </c>
      <c r="J130" s="6">
        <v>51</v>
      </c>
      <c r="K130" s="35">
        <v>102</v>
      </c>
      <c r="L130" s="6">
        <v>78</v>
      </c>
      <c r="M130" s="35">
        <v>131</v>
      </c>
      <c r="N130" s="6">
        <v>66</v>
      </c>
      <c r="O130" s="35">
        <v>151</v>
      </c>
      <c r="P130" s="6">
        <v>62</v>
      </c>
      <c r="Q130" s="35">
        <v>130</v>
      </c>
      <c r="R130" s="6">
        <v>20</v>
      </c>
      <c r="S130" s="35">
        <v>67</v>
      </c>
      <c r="T130" s="6">
        <v>23</v>
      </c>
      <c r="U130" s="35">
        <v>77</v>
      </c>
    </row>
    <row r="131" spans="1:21" x14ac:dyDescent="0.35">
      <c r="A131" s="41" t="s">
        <v>178</v>
      </c>
      <c r="B131" s="6">
        <v>6</v>
      </c>
      <c r="C131" s="35">
        <v>72</v>
      </c>
      <c r="D131" s="6">
        <v>7</v>
      </c>
      <c r="E131" s="35">
        <v>26</v>
      </c>
      <c r="F131" s="6">
        <v>3</v>
      </c>
      <c r="G131" s="35">
        <v>23</v>
      </c>
      <c r="H131" s="6">
        <v>3</v>
      </c>
      <c r="I131" s="35">
        <v>29</v>
      </c>
      <c r="J131" s="6">
        <v>7</v>
      </c>
      <c r="K131" s="35">
        <v>47</v>
      </c>
      <c r="L131" s="6">
        <v>20</v>
      </c>
      <c r="M131" s="35">
        <v>25</v>
      </c>
      <c r="N131" s="6">
        <v>11</v>
      </c>
      <c r="O131" s="35">
        <v>97</v>
      </c>
      <c r="P131" s="6">
        <v>12</v>
      </c>
      <c r="Q131" s="35">
        <v>110</v>
      </c>
      <c r="R131" s="6">
        <v>7</v>
      </c>
      <c r="S131" s="35">
        <v>64</v>
      </c>
      <c r="T131" s="6">
        <v>17</v>
      </c>
      <c r="U131" s="35">
        <v>42</v>
      </c>
    </row>
    <row r="132" spans="1:21" x14ac:dyDescent="0.35">
      <c r="A132" s="41" t="s">
        <v>179</v>
      </c>
      <c r="B132" s="6">
        <v>13</v>
      </c>
      <c r="C132" s="35">
        <v>12</v>
      </c>
      <c r="D132" s="6" t="s">
        <v>205</v>
      </c>
      <c r="E132" s="35" t="s">
        <v>205</v>
      </c>
      <c r="F132" s="6">
        <v>6</v>
      </c>
      <c r="G132" s="35">
        <v>5</v>
      </c>
      <c r="H132" s="6" t="s">
        <v>205</v>
      </c>
      <c r="I132" s="35" t="s">
        <v>205</v>
      </c>
      <c r="J132" s="6">
        <v>11</v>
      </c>
      <c r="K132" s="35">
        <v>11</v>
      </c>
      <c r="L132" s="6">
        <v>38</v>
      </c>
      <c r="M132" s="35">
        <v>11</v>
      </c>
      <c r="N132" s="6" t="s">
        <v>205</v>
      </c>
      <c r="O132" s="35" t="s">
        <v>205</v>
      </c>
      <c r="P132" s="6" t="s">
        <v>205</v>
      </c>
      <c r="Q132" s="35" t="s">
        <v>205</v>
      </c>
      <c r="R132" s="6" t="s">
        <v>205</v>
      </c>
      <c r="S132" s="35" t="s">
        <v>205</v>
      </c>
      <c r="T132" s="6">
        <v>6</v>
      </c>
      <c r="U132" s="35">
        <v>0</v>
      </c>
    </row>
    <row r="133" spans="1:21" x14ac:dyDescent="0.35">
      <c r="A133" s="41" t="s">
        <v>180</v>
      </c>
      <c r="B133" s="6">
        <v>10</v>
      </c>
      <c r="C133" s="35">
        <v>3</v>
      </c>
      <c r="D133" s="6" t="s">
        <v>205</v>
      </c>
      <c r="E133" s="35" t="s">
        <v>205</v>
      </c>
      <c r="F133" s="6" t="s">
        <v>205</v>
      </c>
      <c r="G133" s="35" t="s">
        <v>205</v>
      </c>
      <c r="H133" s="6" t="s">
        <v>205</v>
      </c>
      <c r="I133" s="35">
        <v>0</v>
      </c>
      <c r="J133" s="6">
        <v>6</v>
      </c>
      <c r="K133" s="35">
        <v>3</v>
      </c>
      <c r="L133" s="6">
        <v>17</v>
      </c>
      <c r="M133" s="35">
        <v>3</v>
      </c>
      <c r="N133" s="6" t="s">
        <v>205</v>
      </c>
      <c r="O133" s="35" t="s">
        <v>205</v>
      </c>
      <c r="P133" s="6">
        <v>0</v>
      </c>
      <c r="Q133" s="35" t="s">
        <v>205</v>
      </c>
      <c r="R133" s="6" t="s">
        <v>205</v>
      </c>
      <c r="S133" s="35" t="s">
        <v>205</v>
      </c>
      <c r="T133" s="6">
        <v>8</v>
      </c>
      <c r="U133" s="35">
        <v>0</v>
      </c>
    </row>
    <row r="134" spans="1:21" x14ac:dyDescent="0.35">
      <c r="A134" s="41" t="s">
        <v>182</v>
      </c>
      <c r="B134" s="6">
        <v>13</v>
      </c>
      <c r="C134" s="35">
        <v>10</v>
      </c>
      <c r="D134" s="6">
        <v>10</v>
      </c>
      <c r="E134" s="35">
        <v>7</v>
      </c>
      <c r="F134" s="6">
        <v>6</v>
      </c>
      <c r="G134" s="35">
        <v>11</v>
      </c>
      <c r="H134" s="6">
        <v>6</v>
      </c>
      <c r="I134" s="35">
        <v>8</v>
      </c>
      <c r="J134" s="6">
        <v>7</v>
      </c>
      <c r="K134" s="35">
        <v>13</v>
      </c>
      <c r="L134" s="6">
        <v>10</v>
      </c>
      <c r="M134" s="35">
        <v>11</v>
      </c>
      <c r="N134" s="6">
        <v>9</v>
      </c>
      <c r="O134" s="35">
        <v>11</v>
      </c>
      <c r="P134" s="6">
        <v>5</v>
      </c>
      <c r="Q134" s="35">
        <v>5</v>
      </c>
      <c r="R134" s="6" t="s">
        <v>205</v>
      </c>
      <c r="S134" s="35" t="s">
        <v>205</v>
      </c>
      <c r="T134" s="6" t="s">
        <v>205</v>
      </c>
      <c r="U134" s="35" t="s">
        <v>205</v>
      </c>
    </row>
    <row r="135" spans="1:21" x14ac:dyDescent="0.35">
      <c r="A135" s="41" t="s">
        <v>184</v>
      </c>
      <c r="B135" s="6">
        <v>3</v>
      </c>
      <c r="C135" s="35">
        <v>13</v>
      </c>
      <c r="D135" s="6">
        <v>0</v>
      </c>
      <c r="E135" s="35">
        <v>10</v>
      </c>
      <c r="F135" s="6">
        <v>0</v>
      </c>
      <c r="G135" s="35">
        <v>4</v>
      </c>
      <c r="H135" s="6" t="s">
        <v>205</v>
      </c>
      <c r="I135" s="35" t="s">
        <v>205</v>
      </c>
      <c r="J135" s="6">
        <v>0</v>
      </c>
      <c r="K135" s="35">
        <v>7</v>
      </c>
      <c r="L135" s="6">
        <v>4</v>
      </c>
      <c r="M135" s="35">
        <v>4</v>
      </c>
      <c r="N135" s="6">
        <v>0</v>
      </c>
      <c r="O135" s="35">
        <v>7</v>
      </c>
      <c r="P135" s="6" t="s">
        <v>205</v>
      </c>
      <c r="Q135" s="35" t="s">
        <v>205</v>
      </c>
      <c r="R135" s="6" t="s">
        <v>205</v>
      </c>
      <c r="S135" s="35">
        <v>0</v>
      </c>
      <c r="T135" s="6" t="s">
        <v>205</v>
      </c>
      <c r="U135" s="35" t="s">
        <v>205</v>
      </c>
    </row>
    <row r="136" spans="1:21" x14ac:dyDescent="0.35">
      <c r="A136" s="41" t="s">
        <v>185</v>
      </c>
      <c r="B136" s="6">
        <v>14</v>
      </c>
      <c r="C136" s="35">
        <v>29</v>
      </c>
      <c r="D136" s="6">
        <v>9</v>
      </c>
      <c r="E136" s="35">
        <v>37</v>
      </c>
      <c r="F136" s="6">
        <v>9</v>
      </c>
      <c r="G136" s="35">
        <v>24</v>
      </c>
      <c r="H136" s="6">
        <v>13</v>
      </c>
      <c r="I136" s="35">
        <v>27</v>
      </c>
      <c r="J136" s="6">
        <v>9</v>
      </c>
      <c r="K136" s="35">
        <v>30</v>
      </c>
      <c r="L136" s="6">
        <v>23</v>
      </c>
      <c r="M136" s="35">
        <v>10</v>
      </c>
      <c r="N136" s="6">
        <v>36</v>
      </c>
      <c r="O136" s="35">
        <v>20</v>
      </c>
      <c r="P136" s="6">
        <v>29</v>
      </c>
      <c r="Q136" s="35">
        <v>20</v>
      </c>
      <c r="R136" s="6">
        <v>18</v>
      </c>
      <c r="S136" s="35">
        <v>4</v>
      </c>
      <c r="T136" s="6">
        <v>32</v>
      </c>
      <c r="U136" s="35">
        <v>13</v>
      </c>
    </row>
    <row r="137" spans="1:21" x14ac:dyDescent="0.35">
      <c r="A137" s="41" t="s">
        <v>186</v>
      </c>
      <c r="B137" s="6">
        <v>4</v>
      </c>
      <c r="C137" s="35">
        <v>7</v>
      </c>
      <c r="D137" s="6" t="s">
        <v>205</v>
      </c>
      <c r="E137" s="35" t="s">
        <v>205</v>
      </c>
      <c r="F137" s="6" t="s">
        <v>205</v>
      </c>
      <c r="G137" s="35" t="s">
        <v>205</v>
      </c>
      <c r="H137" s="6" t="s">
        <v>205</v>
      </c>
      <c r="I137" s="35" t="s">
        <v>205</v>
      </c>
      <c r="J137" s="6" t="s">
        <v>205</v>
      </c>
      <c r="K137" s="35" t="s">
        <v>205</v>
      </c>
      <c r="L137" s="6">
        <v>3</v>
      </c>
      <c r="M137" s="35">
        <v>4</v>
      </c>
      <c r="N137" s="6">
        <v>3</v>
      </c>
      <c r="O137" s="35">
        <v>3</v>
      </c>
      <c r="P137" s="6" t="s">
        <v>205</v>
      </c>
      <c r="Q137" s="35" t="s">
        <v>205</v>
      </c>
      <c r="R137" s="6">
        <v>3</v>
      </c>
      <c r="S137" s="35">
        <v>0</v>
      </c>
      <c r="T137" s="6" t="s">
        <v>205</v>
      </c>
      <c r="U137" s="35" t="s">
        <v>205</v>
      </c>
    </row>
    <row r="138" spans="1:21" x14ac:dyDescent="0.35">
      <c r="A138" s="41" t="s">
        <v>187</v>
      </c>
      <c r="B138" s="6">
        <v>16</v>
      </c>
      <c r="C138" s="35">
        <v>10</v>
      </c>
      <c r="D138" s="6">
        <v>13</v>
      </c>
      <c r="E138" s="35">
        <v>14</v>
      </c>
      <c r="F138" s="6">
        <v>11</v>
      </c>
      <c r="G138" s="35">
        <v>10</v>
      </c>
      <c r="H138" s="6">
        <v>10</v>
      </c>
      <c r="I138" s="35">
        <v>5</v>
      </c>
      <c r="J138" s="6">
        <v>5</v>
      </c>
      <c r="K138" s="35">
        <v>7</v>
      </c>
      <c r="L138" s="6">
        <v>18</v>
      </c>
      <c r="M138" s="35">
        <v>3</v>
      </c>
      <c r="N138" s="6">
        <v>16</v>
      </c>
      <c r="O138" s="35">
        <v>6</v>
      </c>
      <c r="P138" s="6" t="s">
        <v>205</v>
      </c>
      <c r="Q138" s="35" t="s">
        <v>205</v>
      </c>
      <c r="R138" s="6">
        <v>7</v>
      </c>
      <c r="S138" s="35">
        <v>3</v>
      </c>
      <c r="T138" s="6" t="s">
        <v>205</v>
      </c>
      <c r="U138" s="35" t="s">
        <v>205</v>
      </c>
    </row>
    <row r="139" spans="1:21" x14ac:dyDescent="0.35">
      <c r="A139" s="41" t="s">
        <v>188</v>
      </c>
      <c r="B139" s="6">
        <v>19</v>
      </c>
      <c r="C139" s="35">
        <v>42</v>
      </c>
      <c r="D139" s="6">
        <v>18</v>
      </c>
      <c r="E139" s="35">
        <v>41</v>
      </c>
      <c r="F139" s="6">
        <v>15</v>
      </c>
      <c r="G139" s="35">
        <v>39</v>
      </c>
      <c r="H139" s="6">
        <v>11</v>
      </c>
      <c r="I139" s="35">
        <v>55</v>
      </c>
      <c r="J139" s="6">
        <v>13</v>
      </c>
      <c r="K139" s="35">
        <v>73</v>
      </c>
      <c r="L139" s="6">
        <v>100</v>
      </c>
      <c r="M139" s="35">
        <v>25</v>
      </c>
      <c r="N139" s="6">
        <v>188</v>
      </c>
      <c r="O139" s="35">
        <v>11</v>
      </c>
      <c r="P139" s="6">
        <v>96</v>
      </c>
      <c r="Q139" s="35">
        <v>8</v>
      </c>
      <c r="R139" s="6">
        <v>125</v>
      </c>
      <c r="S139" s="35">
        <v>8</v>
      </c>
      <c r="T139" s="6">
        <v>106</v>
      </c>
      <c r="U139" s="35">
        <v>4</v>
      </c>
    </row>
    <row r="140" spans="1:21" x14ac:dyDescent="0.35">
      <c r="A140" s="41" t="s">
        <v>189</v>
      </c>
      <c r="B140" s="6" t="s">
        <v>205</v>
      </c>
      <c r="C140" s="35" t="s">
        <v>205</v>
      </c>
      <c r="D140" s="6" t="s">
        <v>205</v>
      </c>
      <c r="E140" s="35" t="s">
        <v>205</v>
      </c>
      <c r="F140" s="6">
        <v>3</v>
      </c>
      <c r="G140" s="35">
        <v>8</v>
      </c>
      <c r="H140" s="6" t="s">
        <v>205</v>
      </c>
      <c r="I140" s="35" t="s">
        <v>205</v>
      </c>
      <c r="J140" s="6">
        <v>3</v>
      </c>
      <c r="K140" s="35">
        <v>16</v>
      </c>
      <c r="L140" s="6">
        <v>8</v>
      </c>
      <c r="M140" s="35">
        <v>14</v>
      </c>
      <c r="N140" s="6">
        <v>11</v>
      </c>
      <c r="O140" s="35">
        <v>8</v>
      </c>
      <c r="P140" s="6">
        <v>7</v>
      </c>
      <c r="Q140" s="35">
        <v>7</v>
      </c>
      <c r="R140" s="6">
        <v>6</v>
      </c>
      <c r="S140" s="35">
        <v>5</v>
      </c>
      <c r="T140" s="6" t="s">
        <v>205</v>
      </c>
      <c r="U140" s="35" t="s">
        <v>205</v>
      </c>
    </row>
    <row r="141" spans="1:21" x14ac:dyDescent="0.35">
      <c r="A141" s="41" t="s">
        <v>190</v>
      </c>
      <c r="B141" s="6">
        <v>19</v>
      </c>
      <c r="C141" s="35">
        <v>3</v>
      </c>
      <c r="D141" s="6" t="s">
        <v>205</v>
      </c>
      <c r="E141" s="35" t="s">
        <v>205</v>
      </c>
      <c r="F141" s="6">
        <v>13</v>
      </c>
      <c r="G141" s="35">
        <v>7</v>
      </c>
      <c r="H141" s="6">
        <v>21</v>
      </c>
      <c r="I141" s="35">
        <v>9</v>
      </c>
      <c r="J141" s="6">
        <v>11</v>
      </c>
      <c r="K141" s="35">
        <v>16</v>
      </c>
      <c r="L141" s="6">
        <v>26</v>
      </c>
      <c r="M141" s="35">
        <v>4</v>
      </c>
      <c r="N141" s="6" t="s">
        <v>205</v>
      </c>
      <c r="O141" s="35" t="s">
        <v>205</v>
      </c>
      <c r="P141" s="6">
        <v>32</v>
      </c>
      <c r="Q141" s="35">
        <v>3</v>
      </c>
      <c r="R141" s="6">
        <v>0</v>
      </c>
      <c r="S141" s="35">
        <v>0</v>
      </c>
      <c r="T141" s="6">
        <v>4</v>
      </c>
      <c r="U141" s="35">
        <v>0</v>
      </c>
    </row>
    <row r="142" spans="1:21" x14ac:dyDescent="0.35">
      <c r="A142" s="41" t="s">
        <v>191</v>
      </c>
      <c r="B142" s="6">
        <v>136</v>
      </c>
      <c r="C142" s="35">
        <v>43</v>
      </c>
      <c r="D142" s="6">
        <v>136</v>
      </c>
      <c r="E142" s="35">
        <v>27</v>
      </c>
      <c r="F142" s="6">
        <v>102</v>
      </c>
      <c r="G142" s="35">
        <v>27</v>
      </c>
      <c r="H142" s="6">
        <v>109</v>
      </c>
      <c r="I142" s="35">
        <v>18</v>
      </c>
      <c r="J142" s="6">
        <v>110</v>
      </c>
      <c r="K142" s="35">
        <v>31</v>
      </c>
      <c r="L142" s="6">
        <v>105</v>
      </c>
      <c r="M142" s="35">
        <v>14</v>
      </c>
      <c r="N142" s="6">
        <v>117</v>
      </c>
      <c r="O142" s="35">
        <v>13</v>
      </c>
      <c r="P142" s="6">
        <v>77</v>
      </c>
      <c r="Q142" s="35">
        <v>8</v>
      </c>
      <c r="R142" s="6">
        <v>52</v>
      </c>
      <c r="S142" s="35">
        <v>4</v>
      </c>
      <c r="T142" s="6">
        <v>75</v>
      </c>
      <c r="U142" s="35">
        <v>6</v>
      </c>
    </row>
    <row r="143" spans="1:21" x14ac:dyDescent="0.35">
      <c r="A143" s="41" t="s">
        <v>192</v>
      </c>
      <c r="B143" s="6">
        <v>7</v>
      </c>
      <c r="C143" s="35">
        <v>7</v>
      </c>
      <c r="D143" s="6">
        <v>6</v>
      </c>
      <c r="E143" s="35">
        <v>4</v>
      </c>
      <c r="F143" s="6">
        <v>7</v>
      </c>
      <c r="G143" s="35">
        <v>9</v>
      </c>
      <c r="H143" s="6" t="s">
        <v>205</v>
      </c>
      <c r="I143" s="35" t="s">
        <v>205</v>
      </c>
      <c r="J143" s="6" t="s">
        <v>205</v>
      </c>
      <c r="K143" s="35" t="s">
        <v>205</v>
      </c>
      <c r="L143" s="6">
        <v>11</v>
      </c>
      <c r="M143" s="35">
        <v>4</v>
      </c>
      <c r="N143" s="6">
        <v>22</v>
      </c>
      <c r="O143" s="35">
        <v>4</v>
      </c>
      <c r="P143" s="6">
        <v>11</v>
      </c>
      <c r="Q143" s="35">
        <v>3</v>
      </c>
      <c r="R143" s="6" t="s">
        <v>205</v>
      </c>
      <c r="S143" s="35" t="s">
        <v>205</v>
      </c>
      <c r="T143" s="6">
        <v>5</v>
      </c>
      <c r="U143" s="35">
        <v>0</v>
      </c>
    </row>
    <row r="144" spans="1:21" x14ac:dyDescent="0.35">
      <c r="A144" s="41" t="s">
        <v>193</v>
      </c>
      <c r="B144" s="6">
        <v>29</v>
      </c>
      <c r="C144" s="35">
        <v>64</v>
      </c>
      <c r="D144" s="6">
        <v>19</v>
      </c>
      <c r="E144" s="35">
        <v>38</v>
      </c>
      <c r="F144" s="6">
        <v>16</v>
      </c>
      <c r="G144" s="35">
        <v>43</v>
      </c>
      <c r="H144" s="6">
        <v>17</v>
      </c>
      <c r="I144" s="35">
        <v>51</v>
      </c>
      <c r="J144" s="6">
        <v>15</v>
      </c>
      <c r="K144" s="35">
        <v>100</v>
      </c>
      <c r="L144" s="6">
        <v>68</v>
      </c>
      <c r="M144" s="35">
        <v>48</v>
      </c>
      <c r="N144" s="6">
        <v>116</v>
      </c>
      <c r="O144" s="35">
        <v>53</v>
      </c>
      <c r="P144" s="6">
        <v>86</v>
      </c>
      <c r="Q144" s="35">
        <v>30</v>
      </c>
      <c r="R144" s="6">
        <v>82</v>
      </c>
      <c r="S144" s="35">
        <v>16</v>
      </c>
      <c r="T144" s="6">
        <v>78</v>
      </c>
      <c r="U144" s="35">
        <v>136</v>
      </c>
    </row>
    <row r="145" spans="1:21" x14ac:dyDescent="0.35">
      <c r="A145" s="41" t="s">
        <v>194</v>
      </c>
      <c r="B145" s="6" t="s">
        <v>205</v>
      </c>
      <c r="C145" s="35" t="s">
        <v>205</v>
      </c>
      <c r="D145" s="6">
        <v>0</v>
      </c>
      <c r="E145" s="35" t="s">
        <v>205</v>
      </c>
      <c r="F145" s="6" t="s">
        <v>205</v>
      </c>
      <c r="G145" s="35" t="s">
        <v>205</v>
      </c>
      <c r="H145" s="6">
        <v>0</v>
      </c>
      <c r="I145" s="35">
        <v>12</v>
      </c>
      <c r="J145" s="6">
        <v>0</v>
      </c>
      <c r="K145" s="35">
        <v>17</v>
      </c>
      <c r="L145" s="6" t="s">
        <v>205</v>
      </c>
      <c r="M145" s="35" t="s">
        <v>205</v>
      </c>
      <c r="N145" s="6">
        <v>12</v>
      </c>
      <c r="O145" s="35">
        <v>3</v>
      </c>
      <c r="P145" s="6">
        <v>0</v>
      </c>
      <c r="Q145" s="35">
        <v>0</v>
      </c>
      <c r="R145" s="6">
        <v>0</v>
      </c>
      <c r="S145" s="35">
        <v>0</v>
      </c>
      <c r="T145" s="6">
        <v>0</v>
      </c>
      <c r="U145" s="35" t="s">
        <v>205</v>
      </c>
    </row>
    <row r="146" spans="1:21" x14ac:dyDescent="0.35">
      <c r="A146" s="41" t="s">
        <v>195</v>
      </c>
      <c r="B146" s="6">
        <v>9</v>
      </c>
      <c r="C146" s="35">
        <v>10</v>
      </c>
      <c r="D146" s="6">
        <v>13</v>
      </c>
      <c r="E146" s="35">
        <v>12</v>
      </c>
      <c r="F146" s="6">
        <v>4</v>
      </c>
      <c r="G146" s="35">
        <v>6</v>
      </c>
      <c r="H146" s="6" t="s">
        <v>205</v>
      </c>
      <c r="I146" s="35" t="s">
        <v>205</v>
      </c>
      <c r="J146" s="6">
        <v>3</v>
      </c>
      <c r="K146" s="35">
        <v>13</v>
      </c>
      <c r="L146" s="6">
        <v>20</v>
      </c>
      <c r="M146" s="35">
        <v>6</v>
      </c>
      <c r="N146" s="6">
        <v>27</v>
      </c>
      <c r="O146" s="35">
        <v>11</v>
      </c>
      <c r="P146" s="6">
        <v>11</v>
      </c>
      <c r="Q146" s="35">
        <v>17</v>
      </c>
      <c r="R146" s="6">
        <v>8</v>
      </c>
      <c r="S146" s="35">
        <v>3</v>
      </c>
      <c r="T146" s="6" t="s">
        <v>205</v>
      </c>
      <c r="U146" s="35" t="s">
        <v>205</v>
      </c>
    </row>
    <row r="147" spans="1:21" x14ac:dyDescent="0.35">
      <c r="A147" s="41" t="s">
        <v>196</v>
      </c>
      <c r="B147" s="6">
        <v>75</v>
      </c>
      <c r="C147" s="35">
        <v>47</v>
      </c>
      <c r="D147" s="6">
        <v>49</v>
      </c>
      <c r="E147" s="35">
        <v>44</v>
      </c>
      <c r="F147" s="6">
        <v>39</v>
      </c>
      <c r="G147" s="35">
        <v>53</v>
      </c>
      <c r="H147" s="6">
        <v>26</v>
      </c>
      <c r="I147" s="35">
        <v>94</v>
      </c>
      <c r="J147" s="6">
        <v>39</v>
      </c>
      <c r="K147" s="35">
        <v>99</v>
      </c>
      <c r="L147" s="6">
        <v>95</v>
      </c>
      <c r="M147" s="35">
        <v>44</v>
      </c>
      <c r="N147" s="6">
        <v>123</v>
      </c>
      <c r="O147" s="35">
        <v>50</v>
      </c>
      <c r="P147" s="6">
        <v>86</v>
      </c>
      <c r="Q147" s="35">
        <v>50</v>
      </c>
      <c r="R147" s="6">
        <v>69</v>
      </c>
      <c r="S147" s="35">
        <v>14</v>
      </c>
      <c r="T147" s="6">
        <v>27</v>
      </c>
      <c r="U147" s="35">
        <v>15</v>
      </c>
    </row>
    <row r="148" spans="1:21" x14ac:dyDescent="0.35">
      <c r="A148" s="41" t="s">
        <v>198</v>
      </c>
      <c r="B148" s="6">
        <v>171</v>
      </c>
      <c r="C148" s="35">
        <v>100</v>
      </c>
      <c r="D148" s="6">
        <v>150</v>
      </c>
      <c r="E148" s="35">
        <v>80</v>
      </c>
      <c r="F148" s="6">
        <v>111</v>
      </c>
      <c r="G148" s="35">
        <v>66</v>
      </c>
      <c r="H148" s="6">
        <v>107</v>
      </c>
      <c r="I148" s="35">
        <v>73</v>
      </c>
      <c r="J148" s="6">
        <v>99</v>
      </c>
      <c r="K148" s="35">
        <v>76</v>
      </c>
      <c r="L148" s="6">
        <v>158</v>
      </c>
      <c r="M148" s="35">
        <v>66</v>
      </c>
      <c r="N148" s="6">
        <v>147</v>
      </c>
      <c r="O148" s="35">
        <v>66</v>
      </c>
      <c r="P148" s="6">
        <v>96</v>
      </c>
      <c r="Q148" s="35">
        <v>77</v>
      </c>
      <c r="R148" s="6">
        <v>74</v>
      </c>
      <c r="S148" s="35">
        <v>15</v>
      </c>
      <c r="T148" s="6">
        <v>65</v>
      </c>
      <c r="U148" s="35">
        <v>29</v>
      </c>
    </row>
    <row r="149" spans="1:21" x14ac:dyDescent="0.35">
      <c r="A149" s="41" t="s">
        <v>199</v>
      </c>
      <c r="B149" s="6">
        <v>45</v>
      </c>
      <c r="C149" s="35">
        <v>36</v>
      </c>
      <c r="D149" s="6">
        <v>31</v>
      </c>
      <c r="E149" s="35">
        <v>22</v>
      </c>
      <c r="F149" s="6">
        <v>16</v>
      </c>
      <c r="G149" s="35">
        <v>19</v>
      </c>
      <c r="H149" s="6">
        <v>17</v>
      </c>
      <c r="I149" s="35">
        <v>30</v>
      </c>
      <c r="J149" s="6">
        <v>22</v>
      </c>
      <c r="K149" s="35">
        <v>41</v>
      </c>
      <c r="L149" s="6">
        <v>47</v>
      </c>
      <c r="M149" s="35">
        <v>12</v>
      </c>
      <c r="N149" s="6">
        <v>55</v>
      </c>
      <c r="O149" s="35">
        <v>16</v>
      </c>
      <c r="P149" s="6">
        <v>23</v>
      </c>
      <c r="Q149" s="35">
        <v>6</v>
      </c>
      <c r="R149" s="6">
        <v>37</v>
      </c>
      <c r="S149" s="35">
        <v>7</v>
      </c>
      <c r="T149" s="6">
        <v>22</v>
      </c>
      <c r="U149" s="35">
        <v>5</v>
      </c>
    </row>
    <row r="150" spans="1:21" x14ac:dyDescent="0.35">
      <c r="A150" s="41" t="s">
        <v>200</v>
      </c>
      <c r="B150" s="6">
        <v>9</v>
      </c>
      <c r="C150" s="35">
        <v>22</v>
      </c>
      <c r="D150" s="6">
        <v>9</v>
      </c>
      <c r="E150" s="35">
        <v>26</v>
      </c>
      <c r="F150" s="6">
        <v>10</v>
      </c>
      <c r="G150" s="35">
        <v>7</v>
      </c>
      <c r="H150" s="6">
        <v>5</v>
      </c>
      <c r="I150" s="35">
        <v>12</v>
      </c>
      <c r="J150" s="6">
        <v>6</v>
      </c>
      <c r="K150" s="35">
        <v>21</v>
      </c>
      <c r="L150" s="6">
        <v>13</v>
      </c>
      <c r="M150" s="35">
        <v>23</v>
      </c>
      <c r="N150" s="6">
        <v>19</v>
      </c>
      <c r="O150" s="35">
        <v>27</v>
      </c>
      <c r="P150" s="6">
        <v>5</v>
      </c>
      <c r="Q150" s="35">
        <v>40</v>
      </c>
      <c r="R150" s="6">
        <v>6</v>
      </c>
      <c r="S150" s="35">
        <v>13</v>
      </c>
      <c r="T150" s="6">
        <v>5</v>
      </c>
      <c r="U150" s="35">
        <v>47</v>
      </c>
    </row>
    <row r="151" spans="1:21" x14ac:dyDescent="0.35">
      <c r="A151" s="41" t="s">
        <v>19</v>
      </c>
      <c r="B151" s="6">
        <v>87</v>
      </c>
      <c r="C151" s="35">
        <v>130</v>
      </c>
      <c r="D151" s="6">
        <v>79</v>
      </c>
      <c r="E151" s="35">
        <v>98</v>
      </c>
      <c r="F151" s="6">
        <v>60</v>
      </c>
      <c r="G151" s="35">
        <v>146</v>
      </c>
      <c r="H151" s="6">
        <v>56</v>
      </c>
      <c r="I151" s="35">
        <v>646</v>
      </c>
      <c r="J151" s="6">
        <v>81</v>
      </c>
      <c r="K151" s="35">
        <v>1005</v>
      </c>
      <c r="L151" s="6">
        <v>1300</v>
      </c>
      <c r="M151" s="35">
        <v>171</v>
      </c>
      <c r="N151" s="6">
        <v>1455</v>
      </c>
      <c r="O151" s="35">
        <v>167</v>
      </c>
      <c r="P151" s="6">
        <v>707</v>
      </c>
      <c r="Q151" s="35">
        <v>101</v>
      </c>
      <c r="R151" s="6">
        <v>684</v>
      </c>
      <c r="S151" s="35">
        <v>85</v>
      </c>
      <c r="T151" s="6">
        <v>381</v>
      </c>
      <c r="U151" s="35">
        <v>107</v>
      </c>
    </row>
    <row r="152" spans="1:21" x14ac:dyDescent="0.35">
      <c r="A152" s="41" t="s">
        <v>201</v>
      </c>
      <c r="B152" s="6">
        <v>40</v>
      </c>
      <c r="C152" s="35">
        <v>27</v>
      </c>
      <c r="D152" s="6">
        <v>32</v>
      </c>
      <c r="E152" s="35">
        <v>14</v>
      </c>
      <c r="F152" s="6">
        <v>19</v>
      </c>
      <c r="G152" s="35">
        <v>28</v>
      </c>
      <c r="H152" s="6">
        <v>20</v>
      </c>
      <c r="I152" s="35">
        <v>25</v>
      </c>
      <c r="J152" s="6">
        <v>60</v>
      </c>
      <c r="K152" s="35">
        <v>25</v>
      </c>
      <c r="L152" s="6">
        <v>102</v>
      </c>
      <c r="M152" s="35">
        <v>14</v>
      </c>
      <c r="N152" s="6">
        <v>73</v>
      </c>
      <c r="O152" s="35">
        <v>17</v>
      </c>
      <c r="P152" s="6">
        <v>80</v>
      </c>
      <c r="Q152" s="35">
        <v>29</v>
      </c>
      <c r="R152" s="6">
        <v>30</v>
      </c>
      <c r="S152" s="35">
        <v>12</v>
      </c>
      <c r="T152" s="6">
        <v>26</v>
      </c>
      <c r="U152" s="35">
        <v>5</v>
      </c>
    </row>
    <row r="153" spans="1:21" x14ac:dyDescent="0.35">
      <c r="A153" s="41" t="s">
        <v>202</v>
      </c>
      <c r="B153" s="6">
        <v>9</v>
      </c>
      <c r="C153" s="35">
        <v>10</v>
      </c>
      <c r="D153" s="6">
        <v>6</v>
      </c>
      <c r="E153" s="35">
        <v>9</v>
      </c>
      <c r="F153" s="6">
        <v>9</v>
      </c>
      <c r="G153" s="35">
        <v>9</v>
      </c>
      <c r="H153" s="6" t="s">
        <v>205</v>
      </c>
      <c r="I153" s="35" t="s">
        <v>205</v>
      </c>
      <c r="J153" s="6" t="s">
        <v>205</v>
      </c>
      <c r="K153" s="35" t="s">
        <v>205</v>
      </c>
      <c r="L153" s="6">
        <v>19</v>
      </c>
      <c r="M153" s="35">
        <v>4</v>
      </c>
      <c r="N153" s="6">
        <v>25</v>
      </c>
      <c r="O153" s="35">
        <v>20</v>
      </c>
      <c r="P153" s="6">
        <v>7</v>
      </c>
      <c r="Q153" s="35">
        <v>9</v>
      </c>
      <c r="R153" s="6" t="s">
        <v>205</v>
      </c>
      <c r="S153" s="35" t="s">
        <v>205</v>
      </c>
      <c r="T153" s="6">
        <v>9</v>
      </c>
      <c r="U153" s="35">
        <v>9</v>
      </c>
    </row>
    <row r="154" spans="1:21" x14ac:dyDescent="0.35">
      <c r="A154" s="41" t="s">
        <v>203</v>
      </c>
      <c r="B154" s="6" t="s">
        <v>205</v>
      </c>
      <c r="C154" s="35" t="s">
        <v>205</v>
      </c>
      <c r="D154" s="6">
        <v>7</v>
      </c>
      <c r="E154" s="35">
        <v>5</v>
      </c>
      <c r="F154" s="6" t="s">
        <v>205</v>
      </c>
      <c r="G154" s="35" t="s">
        <v>205</v>
      </c>
      <c r="H154" s="6">
        <v>5</v>
      </c>
      <c r="I154" s="35">
        <v>7</v>
      </c>
      <c r="J154" s="6">
        <v>8</v>
      </c>
      <c r="K154" s="35">
        <v>7</v>
      </c>
      <c r="L154" s="6">
        <v>9</v>
      </c>
      <c r="M154" s="35">
        <v>5</v>
      </c>
      <c r="N154" s="6">
        <v>15</v>
      </c>
      <c r="O154" s="35">
        <v>3</v>
      </c>
      <c r="P154" s="6">
        <v>11</v>
      </c>
      <c r="Q154" s="35">
        <v>5</v>
      </c>
      <c r="R154" s="6" t="s">
        <v>205</v>
      </c>
      <c r="S154" s="35" t="s">
        <v>205</v>
      </c>
      <c r="T154" s="6">
        <v>11</v>
      </c>
      <c r="U154" s="35">
        <v>0</v>
      </c>
    </row>
    <row r="155" spans="1:21" x14ac:dyDescent="0.35">
      <c r="A155" s="41" t="s">
        <v>204</v>
      </c>
      <c r="B155" s="6">
        <v>8</v>
      </c>
      <c r="C155" s="35">
        <v>6</v>
      </c>
      <c r="D155" s="6">
        <v>6</v>
      </c>
      <c r="E155" s="35">
        <v>3</v>
      </c>
      <c r="F155" s="6">
        <v>6</v>
      </c>
      <c r="G155" s="35">
        <v>5</v>
      </c>
      <c r="H155" s="6" t="s">
        <v>205</v>
      </c>
      <c r="I155" s="35" t="s">
        <v>205</v>
      </c>
      <c r="J155" s="6">
        <v>8</v>
      </c>
      <c r="K155" s="35">
        <v>6</v>
      </c>
      <c r="L155" s="6">
        <v>11</v>
      </c>
      <c r="M155" s="35">
        <v>9</v>
      </c>
      <c r="N155" s="6">
        <v>13</v>
      </c>
      <c r="O155" s="35">
        <v>6</v>
      </c>
      <c r="P155" s="6">
        <v>14</v>
      </c>
      <c r="Q155" s="35">
        <v>4</v>
      </c>
      <c r="R155" s="6">
        <v>3</v>
      </c>
      <c r="S155" s="35">
        <v>0</v>
      </c>
      <c r="T155" s="6">
        <v>11</v>
      </c>
      <c r="U155" s="35">
        <v>0</v>
      </c>
    </row>
    <row r="156" spans="1:21" ht="15.5" x14ac:dyDescent="0.35">
      <c r="A156" s="41" t="s">
        <v>331</v>
      </c>
      <c r="B156" s="6">
        <v>24</v>
      </c>
      <c r="C156" s="35">
        <v>38</v>
      </c>
      <c r="D156" s="6">
        <v>30</v>
      </c>
      <c r="E156" s="35">
        <v>34</v>
      </c>
      <c r="F156" s="6">
        <v>10</v>
      </c>
      <c r="G156" s="35">
        <v>27</v>
      </c>
      <c r="H156" s="6">
        <v>20</v>
      </c>
      <c r="I156" s="35">
        <v>43</v>
      </c>
      <c r="J156" s="6">
        <v>22</v>
      </c>
      <c r="K156" s="35">
        <v>56</v>
      </c>
      <c r="L156" s="6">
        <v>38</v>
      </c>
      <c r="M156" s="35">
        <v>22</v>
      </c>
      <c r="N156" s="6">
        <v>57</v>
      </c>
      <c r="O156" s="35">
        <v>25</v>
      </c>
      <c r="P156" s="6">
        <v>25</v>
      </c>
      <c r="Q156" s="35">
        <v>18</v>
      </c>
      <c r="R156" s="6">
        <v>23</v>
      </c>
      <c r="S156" s="35">
        <v>10</v>
      </c>
      <c r="T156" s="6">
        <v>36</v>
      </c>
      <c r="U156" s="35">
        <v>13</v>
      </c>
    </row>
    <row r="157" spans="1:21" x14ac:dyDescent="0.35">
      <c r="A157" s="42" t="s">
        <v>39</v>
      </c>
      <c r="B157" s="23">
        <v>17</v>
      </c>
      <c r="C157" s="37">
        <v>20</v>
      </c>
      <c r="D157" s="23">
        <v>9</v>
      </c>
      <c r="E157" s="37">
        <v>15</v>
      </c>
      <c r="F157" s="23">
        <v>12</v>
      </c>
      <c r="G157" s="37">
        <v>26</v>
      </c>
      <c r="H157" s="23">
        <v>7</v>
      </c>
      <c r="I157" s="37">
        <v>28</v>
      </c>
      <c r="J157" s="23">
        <v>4</v>
      </c>
      <c r="K157" s="37">
        <v>32</v>
      </c>
      <c r="L157" s="23">
        <v>35</v>
      </c>
      <c r="M157" s="37">
        <v>22</v>
      </c>
      <c r="N157" s="23">
        <v>31</v>
      </c>
      <c r="O157" s="37">
        <v>12</v>
      </c>
      <c r="P157" s="23">
        <v>14</v>
      </c>
      <c r="Q157" s="37">
        <v>20</v>
      </c>
      <c r="R157" s="23">
        <v>9</v>
      </c>
      <c r="S157" s="37">
        <v>6</v>
      </c>
      <c r="T157" s="23">
        <v>12</v>
      </c>
      <c r="U157" s="37">
        <v>4</v>
      </c>
    </row>
    <row r="158" spans="1:21" x14ac:dyDescent="0.35">
      <c r="A158" s="16" t="s">
        <v>207</v>
      </c>
      <c r="B158" s="18"/>
      <c r="C158" s="18"/>
      <c r="D158" s="18"/>
      <c r="E158" s="18"/>
      <c r="F158" s="18"/>
      <c r="G158" s="18"/>
      <c r="H158" s="18"/>
      <c r="I158" s="18"/>
      <c r="J158" s="18"/>
      <c r="K158" s="18"/>
      <c r="L158" s="18"/>
      <c r="M158" s="18"/>
      <c r="N158" s="18"/>
      <c r="O158" s="18"/>
      <c r="P158" s="18"/>
      <c r="Q158" s="18"/>
      <c r="R158" s="18"/>
      <c r="S158" s="18"/>
      <c r="T158" s="18"/>
      <c r="U158" s="18"/>
    </row>
    <row r="159" spans="1:21" x14ac:dyDescent="0.35">
      <c r="A159" s="16" t="s">
        <v>332</v>
      </c>
      <c r="B159" s="18"/>
      <c r="C159" s="18"/>
      <c r="D159" s="18"/>
      <c r="E159" s="18"/>
      <c r="F159" s="18"/>
      <c r="G159" s="18"/>
      <c r="H159" s="18"/>
      <c r="I159" s="18"/>
      <c r="J159" s="18"/>
      <c r="K159" s="18"/>
      <c r="L159" s="18"/>
      <c r="M159" s="18"/>
      <c r="N159" s="18"/>
      <c r="O159" s="18"/>
      <c r="P159" s="18"/>
      <c r="Q159" s="18"/>
      <c r="R159" s="18"/>
      <c r="S159" s="18"/>
      <c r="T159" s="18"/>
      <c r="U159" s="18"/>
    </row>
    <row r="160" spans="1:21" x14ac:dyDescent="0.35">
      <c r="A160" s="16" t="s">
        <v>333</v>
      </c>
      <c r="B160" s="18"/>
      <c r="C160" s="18"/>
      <c r="D160" s="18"/>
      <c r="E160" s="18"/>
      <c r="F160" s="18"/>
      <c r="G160" s="18"/>
      <c r="H160" s="18"/>
      <c r="I160" s="18"/>
      <c r="J160" s="18"/>
      <c r="K160" s="18"/>
      <c r="L160" s="18"/>
      <c r="M160" s="18"/>
      <c r="N160" s="18"/>
      <c r="O160" s="18"/>
      <c r="P160" s="18"/>
      <c r="Q160" s="18"/>
      <c r="R160" s="18"/>
      <c r="S160" s="18"/>
      <c r="T160" s="18"/>
      <c r="U160" s="18"/>
    </row>
    <row r="161" spans="1:21" x14ac:dyDescent="0.35">
      <c r="A161" s="16" t="s">
        <v>334</v>
      </c>
      <c r="B161" s="16"/>
      <c r="C161" s="16"/>
      <c r="D161" s="16"/>
      <c r="E161" s="16"/>
      <c r="F161" s="16"/>
      <c r="G161" s="16"/>
      <c r="H161" s="20"/>
      <c r="I161" s="20"/>
      <c r="J161" s="20"/>
      <c r="K161" s="20"/>
      <c r="L161" s="20"/>
      <c r="M161" s="20"/>
      <c r="N161" s="20"/>
      <c r="O161" s="7"/>
      <c r="P161" s="7"/>
      <c r="Q161" s="7"/>
      <c r="R161" s="7"/>
      <c r="S161" s="7"/>
      <c r="T161" s="7"/>
      <c r="U161" s="7"/>
    </row>
    <row r="162" spans="1:21" x14ac:dyDescent="0.35">
      <c r="A162" s="17" t="s">
        <v>32</v>
      </c>
      <c r="B162" s="18"/>
      <c r="C162" s="18"/>
      <c r="D162" s="18"/>
      <c r="E162" s="18"/>
      <c r="F162" s="18"/>
      <c r="G162" s="18"/>
      <c r="H162" s="18"/>
      <c r="I162" s="18"/>
      <c r="J162" s="18"/>
      <c r="K162" s="18"/>
      <c r="L162" s="18"/>
      <c r="M162" s="18"/>
      <c r="N162" s="18"/>
      <c r="O162" s="18"/>
      <c r="P162" s="18"/>
      <c r="Q162" s="18"/>
      <c r="R162" s="18"/>
      <c r="S162" s="18"/>
      <c r="T162" s="18"/>
      <c r="U162" s="18"/>
    </row>
    <row r="163" spans="1:21" x14ac:dyDescent="0.35">
      <c r="A163" s="21" t="s">
        <v>326</v>
      </c>
      <c r="B163" s="18"/>
      <c r="C163" s="18"/>
      <c r="D163" s="18"/>
      <c r="E163" s="18"/>
      <c r="F163" s="18"/>
      <c r="G163" s="18"/>
      <c r="H163" s="18"/>
      <c r="I163" s="18"/>
      <c r="J163" s="18"/>
      <c r="K163" s="18"/>
      <c r="L163" s="18"/>
      <c r="M163" s="18"/>
      <c r="N163" s="18"/>
      <c r="O163" s="18"/>
      <c r="P163" s="18"/>
      <c r="Q163" s="18"/>
      <c r="R163" s="18"/>
      <c r="S163" s="18"/>
      <c r="T163" s="18"/>
      <c r="U163" s="18"/>
    </row>
    <row r="164" spans="1:21" x14ac:dyDescent="0.35">
      <c r="A164" s="21" t="s">
        <v>327</v>
      </c>
      <c r="B164" s="18"/>
      <c r="C164" s="18"/>
      <c r="D164" s="18"/>
      <c r="E164" s="18"/>
      <c r="F164" s="18"/>
      <c r="G164" s="18"/>
      <c r="H164" s="18"/>
      <c r="I164" s="18"/>
      <c r="J164" s="18"/>
      <c r="K164" s="18"/>
      <c r="L164" s="18"/>
      <c r="M164" s="18"/>
      <c r="N164" s="18"/>
      <c r="O164" s="18"/>
      <c r="P164" s="18"/>
      <c r="Q164" s="18"/>
      <c r="R164" s="18"/>
      <c r="S164" s="18"/>
      <c r="T164" s="18"/>
      <c r="U164" s="18"/>
    </row>
    <row r="165" spans="1:21" x14ac:dyDescent="0.35">
      <c r="A165" s="18"/>
      <c r="B165" s="18"/>
      <c r="C165" s="18"/>
      <c r="D165" s="18"/>
      <c r="E165" s="18"/>
      <c r="F165" s="18"/>
      <c r="G165" s="18"/>
      <c r="H165" s="18"/>
      <c r="I165" s="18"/>
      <c r="J165" s="18"/>
      <c r="K165" s="18"/>
      <c r="L165" s="18"/>
      <c r="M165" s="18"/>
      <c r="N165" s="18"/>
      <c r="O165" s="18"/>
      <c r="P165" s="18"/>
      <c r="Q165" s="18"/>
      <c r="R165" s="18"/>
      <c r="S165" s="18"/>
      <c r="T165" s="18"/>
      <c r="U165" s="18"/>
    </row>
    <row r="166" spans="1:21" x14ac:dyDescent="0.35">
      <c r="A166" s="18"/>
      <c r="B166" s="18"/>
      <c r="C166" s="18"/>
      <c r="D166" s="18"/>
      <c r="E166" s="18"/>
      <c r="F166" s="18"/>
      <c r="G166" s="18"/>
      <c r="H166" s="18"/>
      <c r="I166" s="18"/>
      <c r="J166" s="18"/>
      <c r="K166" s="18"/>
      <c r="L166" s="18"/>
      <c r="M166" s="18"/>
      <c r="N166" s="18"/>
      <c r="O166" s="18"/>
      <c r="P166" s="18"/>
      <c r="Q166" s="18"/>
      <c r="R166" s="18"/>
      <c r="S166" s="18"/>
      <c r="T166" s="18"/>
      <c r="U166" s="18"/>
    </row>
    <row r="167" spans="1:21" x14ac:dyDescent="0.35">
      <c r="A167" s="18"/>
      <c r="B167" s="18"/>
      <c r="C167" s="18"/>
      <c r="D167" s="18"/>
      <c r="E167" s="18"/>
      <c r="F167" s="18"/>
      <c r="G167" s="18"/>
      <c r="H167" s="18"/>
      <c r="I167" s="18"/>
      <c r="J167" s="18"/>
      <c r="K167" s="18"/>
      <c r="L167" s="18"/>
      <c r="M167" s="18"/>
      <c r="N167" s="18"/>
      <c r="O167" s="18"/>
      <c r="P167" s="18"/>
      <c r="Q167" s="18"/>
      <c r="R167" s="18"/>
      <c r="S167" s="18"/>
      <c r="T167" s="18"/>
      <c r="U167" s="18"/>
    </row>
    <row r="168" spans="1:21" x14ac:dyDescent="0.35">
      <c r="A168" s="18"/>
      <c r="B168" s="18"/>
      <c r="C168" s="18"/>
      <c r="D168" s="18"/>
      <c r="E168" s="18"/>
      <c r="F168" s="18"/>
      <c r="G168" s="18"/>
      <c r="H168" s="18"/>
      <c r="I168" s="18"/>
      <c r="J168" s="18"/>
      <c r="K168" s="18"/>
      <c r="L168" s="18"/>
      <c r="M168" s="18"/>
      <c r="N168" s="18"/>
      <c r="O168" s="18"/>
      <c r="P168" s="18"/>
      <c r="Q168" s="18"/>
      <c r="R168" s="18"/>
      <c r="S168" s="18"/>
      <c r="T168" s="18"/>
      <c r="U168" s="18"/>
    </row>
    <row r="169" spans="1:21" x14ac:dyDescent="0.35">
      <c r="A169" s="18"/>
      <c r="B169" s="18"/>
      <c r="C169" s="18"/>
      <c r="D169" s="18"/>
      <c r="E169" s="18"/>
      <c r="F169" s="18"/>
      <c r="G169" s="18"/>
      <c r="H169" s="18"/>
      <c r="I169" s="18"/>
      <c r="J169" s="18"/>
      <c r="K169" s="18"/>
      <c r="L169" s="18"/>
      <c r="M169" s="18"/>
      <c r="N169" s="18"/>
      <c r="O169" s="18"/>
      <c r="P169" s="18"/>
      <c r="Q169" s="18"/>
      <c r="R169" s="18"/>
      <c r="S169" s="18"/>
      <c r="T169" s="18"/>
      <c r="U169" s="18"/>
    </row>
    <row r="170" spans="1:21" x14ac:dyDescent="0.35">
      <c r="A170" s="18"/>
      <c r="B170" s="18"/>
      <c r="C170" s="18"/>
      <c r="D170" s="18"/>
      <c r="E170" s="18"/>
      <c r="F170" s="18"/>
      <c r="G170" s="18"/>
      <c r="H170" s="18"/>
      <c r="I170" s="18"/>
      <c r="J170" s="18"/>
      <c r="K170" s="18"/>
      <c r="L170" s="18"/>
      <c r="M170" s="18"/>
      <c r="N170" s="18"/>
      <c r="O170" s="18"/>
      <c r="P170" s="18"/>
      <c r="Q170" s="18"/>
      <c r="R170" s="18"/>
      <c r="S170" s="18"/>
      <c r="T170" s="18"/>
      <c r="U170" s="18"/>
    </row>
    <row r="171" spans="1:21" x14ac:dyDescent="0.35">
      <c r="A171" s="18"/>
      <c r="B171" s="18"/>
      <c r="C171" s="18"/>
      <c r="D171" s="18"/>
      <c r="E171" s="18"/>
      <c r="F171" s="18"/>
      <c r="G171" s="18"/>
      <c r="H171" s="18"/>
      <c r="I171" s="18"/>
      <c r="J171" s="18"/>
      <c r="K171" s="18"/>
      <c r="L171" s="18"/>
      <c r="M171" s="18"/>
      <c r="N171" s="18"/>
      <c r="O171" s="18"/>
      <c r="P171" s="18"/>
      <c r="Q171" s="18"/>
      <c r="R171" s="18"/>
      <c r="S171" s="18"/>
      <c r="T171" s="18"/>
      <c r="U171" s="18"/>
    </row>
    <row r="172" spans="1:21" x14ac:dyDescent="0.35">
      <c r="A172" s="18"/>
      <c r="B172" s="18"/>
      <c r="C172" s="18"/>
      <c r="D172" s="18"/>
      <c r="E172" s="18"/>
      <c r="F172" s="18"/>
      <c r="G172" s="18"/>
      <c r="H172" s="18"/>
      <c r="I172" s="18"/>
      <c r="J172" s="18"/>
      <c r="K172" s="18"/>
      <c r="L172" s="18"/>
      <c r="M172" s="18"/>
      <c r="N172" s="18"/>
      <c r="O172" s="18"/>
      <c r="P172" s="18"/>
      <c r="Q172" s="18"/>
      <c r="R172" s="18"/>
      <c r="S172" s="18"/>
      <c r="T172" s="18"/>
      <c r="U172" s="18"/>
    </row>
    <row r="173" spans="1:21" x14ac:dyDescent="0.35">
      <c r="A173" s="18"/>
      <c r="B173" s="18"/>
      <c r="C173" s="18"/>
      <c r="D173" s="18"/>
      <c r="E173" s="18"/>
      <c r="F173" s="18"/>
      <c r="G173" s="18"/>
      <c r="H173" s="18"/>
      <c r="I173" s="18"/>
      <c r="J173" s="18"/>
      <c r="K173" s="18"/>
      <c r="L173" s="18"/>
      <c r="M173" s="18"/>
      <c r="N173" s="18"/>
      <c r="O173" s="18"/>
      <c r="P173" s="18"/>
      <c r="Q173" s="18"/>
      <c r="R173" s="18"/>
      <c r="S173" s="18"/>
      <c r="T173" s="18"/>
      <c r="U173" s="18"/>
    </row>
    <row r="174" spans="1:21" x14ac:dyDescent="0.35">
      <c r="A174" s="18"/>
      <c r="B174" s="18"/>
      <c r="C174" s="18"/>
      <c r="D174" s="18"/>
      <c r="E174" s="18"/>
      <c r="F174" s="18"/>
      <c r="G174" s="18"/>
      <c r="H174" s="18"/>
      <c r="I174" s="18"/>
      <c r="J174" s="18"/>
      <c r="K174" s="18"/>
      <c r="L174" s="18"/>
      <c r="M174" s="18"/>
      <c r="N174" s="18"/>
      <c r="O174" s="18"/>
      <c r="P174" s="18"/>
      <c r="Q174" s="18"/>
      <c r="R174" s="18"/>
      <c r="S174" s="18"/>
      <c r="T174" s="18"/>
      <c r="U174" s="18"/>
    </row>
    <row r="175" spans="1:21" x14ac:dyDescent="0.35">
      <c r="A175" s="18"/>
      <c r="B175" s="18"/>
      <c r="C175" s="18"/>
      <c r="D175" s="18"/>
      <c r="E175" s="18"/>
      <c r="F175" s="18"/>
      <c r="G175" s="18"/>
      <c r="H175" s="18"/>
      <c r="I175" s="18"/>
      <c r="J175" s="18"/>
      <c r="K175" s="18"/>
      <c r="L175" s="18"/>
      <c r="M175" s="18"/>
      <c r="N175" s="18"/>
      <c r="O175" s="18"/>
      <c r="P175" s="18"/>
      <c r="Q175" s="18"/>
      <c r="R175" s="18"/>
      <c r="S175" s="18"/>
      <c r="T175" s="18"/>
      <c r="U175" s="18"/>
    </row>
    <row r="176" spans="1:21" x14ac:dyDescent="0.35">
      <c r="A176" s="18"/>
      <c r="B176" s="18"/>
      <c r="C176" s="18"/>
      <c r="D176" s="18"/>
      <c r="E176" s="18"/>
      <c r="F176" s="18"/>
      <c r="G176" s="18"/>
      <c r="H176" s="18"/>
      <c r="I176" s="18"/>
      <c r="J176" s="18"/>
      <c r="K176" s="18"/>
      <c r="L176" s="18"/>
      <c r="M176" s="18"/>
      <c r="N176" s="18"/>
      <c r="O176" s="18"/>
      <c r="P176" s="18"/>
      <c r="Q176" s="18"/>
      <c r="R176" s="18"/>
      <c r="S176" s="18"/>
      <c r="T176" s="18"/>
      <c r="U176" s="18"/>
    </row>
    <row r="177" spans="1:21" x14ac:dyDescent="0.35">
      <c r="A177" s="18"/>
      <c r="B177" s="18"/>
      <c r="C177" s="18"/>
      <c r="D177" s="18"/>
      <c r="E177" s="18"/>
      <c r="F177" s="18"/>
      <c r="G177" s="18"/>
      <c r="H177" s="18"/>
      <c r="I177" s="18"/>
      <c r="J177" s="18"/>
      <c r="K177" s="18"/>
      <c r="L177" s="18"/>
      <c r="M177" s="18"/>
      <c r="N177" s="18"/>
      <c r="O177" s="18"/>
      <c r="P177" s="18"/>
      <c r="Q177" s="18"/>
      <c r="R177" s="18"/>
      <c r="S177" s="18"/>
      <c r="T177" s="18"/>
      <c r="U177" s="18"/>
    </row>
    <row r="178" spans="1:21" x14ac:dyDescent="0.35">
      <c r="A178" s="18"/>
      <c r="B178" s="18"/>
      <c r="C178" s="18"/>
      <c r="D178" s="18"/>
      <c r="E178" s="18"/>
      <c r="F178" s="18"/>
      <c r="G178" s="18"/>
      <c r="H178" s="18"/>
      <c r="I178" s="18"/>
      <c r="J178" s="18"/>
      <c r="K178" s="18"/>
      <c r="L178" s="18"/>
      <c r="M178" s="18"/>
      <c r="N178" s="18"/>
      <c r="O178" s="18"/>
      <c r="P178" s="18"/>
      <c r="Q178" s="18"/>
      <c r="R178" s="18"/>
      <c r="S178" s="18"/>
      <c r="T178" s="18"/>
      <c r="U178" s="18"/>
    </row>
    <row r="179" spans="1:21" x14ac:dyDescent="0.35">
      <c r="A179" s="18"/>
      <c r="B179" s="18"/>
      <c r="C179" s="18"/>
      <c r="D179" s="18"/>
      <c r="E179" s="18"/>
      <c r="F179" s="18"/>
      <c r="G179" s="18"/>
      <c r="H179" s="18"/>
      <c r="I179" s="18"/>
      <c r="J179" s="18"/>
      <c r="K179" s="18"/>
      <c r="L179" s="18"/>
      <c r="M179" s="18"/>
      <c r="N179" s="18"/>
      <c r="O179" s="18"/>
      <c r="P179" s="18"/>
      <c r="Q179" s="18"/>
      <c r="R179" s="18"/>
      <c r="S179" s="18"/>
      <c r="T179" s="18"/>
      <c r="U179" s="18"/>
    </row>
    <row r="180" spans="1:21" x14ac:dyDescent="0.35">
      <c r="A180" s="18"/>
      <c r="B180" s="18"/>
      <c r="C180" s="18"/>
      <c r="D180" s="18"/>
      <c r="E180" s="18"/>
      <c r="F180" s="18"/>
      <c r="G180" s="18"/>
      <c r="H180" s="18"/>
      <c r="I180" s="18"/>
      <c r="J180" s="18"/>
      <c r="K180" s="18"/>
      <c r="L180" s="18"/>
      <c r="M180" s="18"/>
      <c r="N180" s="18"/>
      <c r="O180" s="18"/>
      <c r="P180" s="18"/>
      <c r="Q180" s="18"/>
      <c r="R180" s="18"/>
      <c r="S180" s="18"/>
      <c r="T180" s="18"/>
      <c r="U180" s="18"/>
    </row>
    <row r="181" spans="1:21" x14ac:dyDescent="0.35">
      <c r="A181" s="18"/>
      <c r="B181" s="18"/>
      <c r="C181" s="18"/>
      <c r="D181" s="18"/>
      <c r="E181" s="18"/>
      <c r="F181" s="18"/>
      <c r="G181" s="18"/>
      <c r="H181" s="18"/>
      <c r="I181" s="18"/>
      <c r="J181" s="18"/>
      <c r="K181" s="18"/>
      <c r="L181" s="18"/>
      <c r="M181" s="18"/>
      <c r="N181" s="18"/>
      <c r="O181" s="18"/>
      <c r="P181" s="18"/>
      <c r="Q181" s="18"/>
      <c r="R181" s="18"/>
      <c r="S181" s="18"/>
      <c r="T181" s="18"/>
      <c r="U181" s="18"/>
    </row>
    <row r="182" spans="1:21" x14ac:dyDescent="0.35">
      <c r="A182" s="18"/>
      <c r="B182" s="18"/>
      <c r="C182" s="18"/>
      <c r="D182" s="18"/>
      <c r="E182" s="18"/>
      <c r="F182" s="18"/>
      <c r="G182" s="18"/>
      <c r="H182" s="18"/>
      <c r="I182" s="18"/>
      <c r="J182" s="18"/>
      <c r="K182" s="18"/>
      <c r="L182" s="18"/>
      <c r="M182" s="18"/>
      <c r="N182" s="18"/>
      <c r="O182" s="18"/>
      <c r="P182" s="18"/>
      <c r="Q182" s="18"/>
      <c r="R182" s="18"/>
      <c r="S182" s="18"/>
      <c r="T182" s="18"/>
      <c r="U182" s="18"/>
    </row>
    <row r="183" spans="1:21" x14ac:dyDescent="0.35">
      <c r="A183" s="18"/>
      <c r="B183" s="18"/>
      <c r="C183" s="18"/>
      <c r="D183" s="18"/>
      <c r="E183" s="18"/>
      <c r="F183" s="18"/>
      <c r="G183" s="18"/>
      <c r="H183" s="18"/>
      <c r="I183" s="18"/>
      <c r="J183" s="18"/>
      <c r="K183" s="18"/>
      <c r="L183" s="18"/>
      <c r="M183" s="18"/>
      <c r="N183" s="18"/>
      <c r="O183" s="18"/>
      <c r="P183" s="18"/>
      <c r="Q183" s="18"/>
      <c r="R183" s="18"/>
      <c r="S183" s="18"/>
      <c r="T183" s="18"/>
      <c r="U183" s="18"/>
    </row>
    <row r="184" spans="1:21" x14ac:dyDescent="0.35">
      <c r="A184" s="18"/>
      <c r="B184" s="18"/>
      <c r="C184" s="18"/>
      <c r="D184" s="18"/>
      <c r="E184" s="18"/>
      <c r="F184" s="18"/>
      <c r="G184" s="18"/>
      <c r="H184" s="18"/>
      <c r="I184" s="18"/>
      <c r="J184" s="18"/>
      <c r="K184" s="18"/>
      <c r="L184" s="18"/>
      <c r="M184" s="18"/>
      <c r="N184" s="18"/>
      <c r="O184" s="18"/>
      <c r="P184" s="18"/>
      <c r="Q184" s="18"/>
      <c r="R184" s="18"/>
      <c r="S184" s="18"/>
      <c r="T184" s="18"/>
      <c r="U184" s="18"/>
    </row>
    <row r="185" spans="1:21" x14ac:dyDescent="0.35">
      <c r="A185" s="18"/>
      <c r="B185" s="18"/>
      <c r="C185" s="18"/>
      <c r="D185" s="18"/>
      <c r="E185" s="18"/>
      <c r="F185" s="18"/>
      <c r="G185" s="18"/>
      <c r="H185" s="18"/>
      <c r="I185" s="18"/>
      <c r="J185" s="18"/>
      <c r="K185" s="18"/>
      <c r="L185" s="18"/>
      <c r="M185" s="18"/>
      <c r="N185" s="18"/>
      <c r="O185" s="18"/>
      <c r="P185" s="18"/>
      <c r="Q185" s="18"/>
      <c r="R185" s="18"/>
      <c r="S185" s="18"/>
      <c r="T185" s="18"/>
      <c r="U185" s="18"/>
    </row>
    <row r="186" spans="1:21" x14ac:dyDescent="0.35">
      <c r="A186" s="18"/>
      <c r="B186" s="18"/>
      <c r="C186" s="18"/>
      <c r="D186" s="18"/>
      <c r="E186" s="18"/>
      <c r="F186" s="18"/>
      <c r="G186" s="18"/>
      <c r="H186" s="18"/>
      <c r="I186" s="18"/>
      <c r="J186" s="18"/>
      <c r="K186" s="18"/>
      <c r="L186" s="18"/>
      <c r="M186" s="18"/>
      <c r="N186" s="18"/>
      <c r="O186" s="18"/>
      <c r="P186" s="18"/>
      <c r="Q186" s="18"/>
      <c r="R186" s="18"/>
      <c r="S186" s="18"/>
      <c r="T186" s="18"/>
      <c r="U186" s="18"/>
    </row>
    <row r="187" spans="1:21" x14ac:dyDescent="0.35">
      <c r="A187" s="18"/>
      <c r="B187" s="18"/>
      <c r="C187" s="18"/>
      <c r="D187" s="18"/>
      <c r="E187" s="18"/>
      <c r="F187" s="18"/>
      <c r="G187" s="18"/>
      <c r="H187" s="18"/>
      <c r="I187" s="18"/>
      <c r="J187" s="18"/>
      <c r="K187" s="18"/>
      <c r="L187" s="18"/>
      <c r="M187" s="18"/>
      <c r="N187" s="18"/>
      <c r="O187" s="18"/>
      <c r="P187" s="18"/>
      <c r="Q187" s="18"/>
      <c r="R187" s="18"/>
      <c r="S187" s="18"/>
      <c r="T187" s="18"/>
      <c r="U187" s="18"/>
    </row>
    <row r="188" spans="1:21" x14ac:dyDescent="0.35">
      <c r="A188" s="18"/>
      <c r="B188" s="18"/>
      <c r="C188" s="18"/>
      <c r="D188" s="18"/>
      <c r="E188" s="18"/>
      <c r="F188" s="18"/>
      <c r="G188" s="18"/>
      <c r="H188" s="18"/>
      <c r="I188" s="18"/>
      <c r="J188" s="18"/>
      <c r="K188" s="18"/>
      <c r="L188" s="18"/>
      <c r="M188" s="18"/>
      <c r="N188" s="18"/>
      <c r="O188" s="18"/>
      <c r="P188" s="18"/>
      <c r="Q188" s="18"/>
      <c r="R188" s="18"/>
      <c r="S188" s="18"/>
      <c r="T188" s="18"/>
      <c r="U188" s="18"/>
    </row>
    <row r="189" spans="1:21" x14ac:dyDescent="0.35">
      <c r="A189" s="18"/>
      <c r="B189" s="18"/>
      <c r="C189" s="18"/>
      <c r="D189" s="18"/>
      <c r="E189" s="18"/>
      <c r="F189" s="18"/>
      <c r="G189" s="18"/>
      <c r="H189" s="18"/>
      <c r="I189" s="18"/>
      <c r="J189" s="18"/>
      <c r="K189" s="18"/>
      <c r="L189" s="18"/>
      <c r="M189" s="18"/>
      <c r="N189" s="18"/>
      <c r="O189" s="18"/>
      <c r="P189" s="18"/>
      <c r="Q189" s="18"/>
      <c r="R189" s="18"/>
      <c r="S189" s="18"/>
      <c r="T189" s="18"/>
      <c r="U189" s="18"/>
    </row>
    <row r="190" spans="1:21" x14ac:dyDescent="0.35">
      <c r="A190" s="18"/>
      <c r="B190" s="18"/>
      <c r="C190" s="18"/>
      <c r="D190" s="18"/>
      <c r="E190" s="18"/>
      <c r="F190" s="18"/>
      <c r="G190" s="18"/>
      <c r="H190" s="18"/>
      <c r="I190" s="18"/>
      <c r="J190" s="18"/>
      <c r="K190" s="18"/>
      <c r="L190" s="18"/>
      <c r="M190" s="18"/>
      <c r="N190" s="18"/>
      <c r="O190" s="18"/>
      <c r="P190" s="18"/>
      <c r="Q190" s="18"/>
      <c r="R190" s="18"/>
      <c r="S190" s="18"/>
      <c r="T190" s="18"/>
      <c r="U190" s="18"/>
    </row>
    <row r="191" spans="1:21" x14ac:dyDescent="0.35">
      <c r="A191" s="18"/>
      <c r="B191" s="18"/>
      <c r="C191" s="18"/>
      <c r="D191" s="18"/>
      <c r="E191" s="18"/>
      <c r="F191" s="18"/>
      <c r="G191" s="18"/>
      <c r="H191" s="18"/>
      <c r="I191" s="18"/>
      <c r="J191" s="18"/>
      <c r="K191" s="18"/>
      <c r="L191" s="18"/>
      <c r="M191" s="18"/>
      <c r="N191" s="18"/>
      <c r="O191" s="18"/>
      <c r="P191" s="18"/>
      <c r="Q191" s="18"/>
      <c r="R191" s="18"/>
      <c r="S191" s="18"/>
      <c r="T191" s="18"/>
      <c r="U191" s="18"/>
    </row>
    <row r="192" spans="1:21" x14ac:dyDescent="0.35">
      <c r="A192" s="18"/>
      <c r="B192" s="18"/>
      <c r="C192" s="18"/>
      <c r="D192" s="18"/>
      <c r="E192" s="18"/>
      <c r="F192" s="18"/>
      <c r="G192" s="18"/>
      <c r="H192" s="18"/>
      <c r="I192" s="18"/>
      <c r="J192" s="18"/>
      <c r="K192" s="18"/>
      <c r="L192" s="18"/>
      <c r="M192" s="18"/>
      <c r="N192" s="18"/>
      <c r="O192" s="18"/>
      <c r="P192" s="18"/>
      <c r="Q192" s="18"/>
      <c r="R192" s="18"/>
      <c r="S192" s="18"/>
      <c r="T192" s="18"/>
      <c r="U192" s="18"/>
    </row>
    <row r="193" spans="1:21" x14ac:dyDescent="0.35">
      <c r="A193" s="18"/>
      <c r="B193" s="18"/>
      <c r="C193" s="18"/>
      <c r="D193" s="18"/>
      <c r="E193" s="18"/>
      <c r="F193" s="18"/>
      <c r="G193" s="18"/>
      <c r="H193" s="18"/>
      <c r="I193" s="18"/>
      <c r="J193" s="18"/>
      <c r="K193" s="18"/>
      <c r="L193" s="18"/>
      <c r="M193" s="18"/>
      <c r="N193" s="18"/>
      <c r="O193" s="18"/>
      <c r="P193" s="18"/>
      <c r="Q193" s="18"/>
      <c r="R193" s="18"/>
      <c r="S193" s="18"/>
      <c r="T193" s="18"/>
      <c r="U193" s="18"/>
    </row>
    <row r="194" spans="1:21" x14ac:dyDescent="0.35">
      <c r="A194" s="18"/>
      <c r="B194" s="18"/>
      <c r="C194" s="18"/>
      <c r="D194" s="18"/>
      <c r="E194" s="18"/>
      <c r="F194" s="18"/>
      <c r="G194" s="18"/>
      <c r="H194" s="18"/>
      <c r="I194" s="18"/>
      <c r="J194" s="18"/>
      <c r="K194" s="18"/>
      <c r="L194" s="18"/>
      <c r="M194" s="18"/>
      <c r="N194" s="18"/>
      <c r="O194" s="18"/>
      <c r="P194" s="18"/>
      <c r="Q194" s="18"/>
      <c r="R194" s="18"/>
      <c r="S194" s="18"/>
      <c r="T194" s="18"/>
      <c r="U194" s="18"/>
    </row>
    <row r="195" spans="1:21" x14ac:dyDescent="0.35">
      <c r="A195" s="18"/>
      <c r="B195" s="18"/>
      <c r="C195" s="18"/>
      <c r="D195" s="18"/>
      <c r="E195" s="18"/>
      <c r="F195" s="18"/>
      <c r="G195" s="18"/>
      <c r="H195" s="18"/>
      <c r="I195" s="18"/>
      <c r="J195" s="18"/>
      <c r="K195" s="18"/>
      <c r="L195" s="18"/>
      <c r="M195" s="18"/>
      <c r="N195" s="18"/>
      <c r="O195" s="18"/>
      <c r="P195" s="18"/>
      <c r="Q195" s="18"/>
      <c r="R195" s="18"/>
      <c r="S195" s="18"/>
      <c r="T195" s="18"/>
      <c r="U195" s="18"/>
    </row>
    <row r="196" spans="1:21" x14ac:dyDescent="0.35">
      <c r="A196" s="18"/>
      <c r="B196" s="18"/>
      <c r="C196" s="18"/>
      <c r="D196" s="18"/>
      <c r="E196" s="18"/>
      <c r="F196" s="18"/>
      <c r="G196" s="18"/>
      <c r="H196" s="18"/>
      <c r="I196" s="18"/>
      <c r="J196" s="18"/>
      <c r="K196" s="18"/>
      <c r="L196" s="18"/>
      <c r="M196" s="18"/>
      <c r="N196" s="18"/>
      <c r="O196" s="18"/>
      <c r="P196" s="18"/>
      <c r="Q196" s="18"/>
      <c r="R196" s="18"/>
      <c r="S196" s="18"/>
      <c r="T196" s="18"/>
      <c r="U196" s="18"/>
    </row>
    <row r="197" spans="1:21" x14ac:dyDescent="0.35">
      <c r="A197" s="18"/>
      <c r="B197" s="18"/>
      <c r="C197" s="18"/>
      <c r="D197" s="18"/>
      <c r="E197" s="18"/>
      <c r="F197" s="18"/>
      <c r="G197" s="18"/>
      <c r="H197" s="18"/>
      <c r="I197" s="18"/>
      <c r="J197" s="18"/>
      <c r="K197" s="18"/>
      <c r="L197" s="18"/>
      <c r="M197" s="18"/>
      <c r="N197" s="18"/>
      <c r="O197" s="18"/>
      <c r="P197" s="18"/>
      <c r="Q197" s="18"/>
      <c r="R197" s="18"/>
      <c r="S197" s="18"/>
      <c r="T197" s="18"/>
      <c r="U197" s="18"/>
    </row>
    <row r="198" spans="1:21" x14ac:dyDescent="0.35">
      <c r="A198" s="18"/>
      <c r="B198" s="18"/>
      <c r="C198" s="18"/>
      <c r="D198" s="18"/>
      <c r="E198" s="18"/>
      <c r="F198" s="18"/>
      <c r="G198" s="18"/>
      <c r="H198" s="18"/>
      <c r="I198" s="18"/>
      <c r="J198" s="18"/>
      <c r="K198" s="18"/>
      <c r="L198" s="18"/>
      <c r="M198" s="18"/>
      <c r="N198" s="18"/>
      <c r="O198" s="18"/>
      <c r="P198" s="18"/>
      <c r="Q198" s="18"/>
      <c r="R198" s="18"/>
      <c r="S198" s="18"/>
      <c r="T198" s="18"/>
      <c r="U198" s="18"/>
    </row>
    <row r="199" spans="1:21" x14ac:dyDescent="0.35">
      <c r="A199" s="18"/>
      <c r="B199" s="18"/>
      <c r="C199" s="18"/>
      <c r="D199" s="18"/>
      <c r="E199" s="18"/>
      <c r="F199" s="18"/>
      <c r="G199" s="18"/>
      <c r="H199" s="18"/>
      <c r="I199" s="18"/>
      <c r="J199" s="18"/>
      <c r="K199" s="18"/>
      <c r="L199" s="18"/>
      <c r="M199" s="18"/>
      <c r="N199" s="18"/>
      <c r="O199" s="18"/>
      <c r="P199" s="18"/>
      <c r="Q199" s="18"/>
      <c r="R199" s="18"/>
      <c r="S199" s="18"/>
      <c r="T199" s="18"/>
      <c r="U199" s="18"/>
    </row>
    <row r="200" spans="1:21" x14ac:dyDescent="0.35">
      <c r="A200" s="18"/>
      <c r="B200" s="18"/>
      <c r="C200" s="18"/>
      <c r="D200" s="18"/>
      <c r="E200" s="18"/>
      <c r="F200" s="18"/>
      <c r="G200" s="18"/>
      <c r="H200" s="18"/>
      <c r="I200" s="18"/>
      <c r="J200" s="18"/>
      <c r="K200" s="18"/>
      <c r="L200" s="18"/>
      <c r="M200" s="18"/>
      <c r="N200" s="18"/>
      <c r="O200" s="18"/>
      <c r="P200" s="18"/>
      <c r="Q200" s="18"/>
      <c r="R200" s="18"/>
      <c r="S200" s="18"/>
      <c r="T200" s="18"/>
      <c r="U200" s="18"/>
    </row>
    <row r="201" spans="1:21" x14ac:dyDescent="0.35">
      <c r="A201" s="18"/>
      <c r="B201" s="18"/>
      <c r="C201" s="18"/>
      <c r="D201" s="18"/>
      <c r="E201" s="18"/>
      <c r="F201" s="18"/>
      <c r="G201" s="18"/>
      <c r="H201" s="18"/>
      <c r="I201" s="18"/>
      <c r="J201" s="18"/>
      <c r="K201" s="18"/>
      <c r="L201" s="18"/>
      <c r="M201" s="18"/>
      <c r="N201" s="18"/>
      <c r="O201" s="18"/>
      <c r="P201" s="18"/>
      <c r="Q201" s="18"/>
      <c r="R201" s="18"/>
      <c r="S201" s="18"/>
      <c r="T201" s="18"/>
      <c r="U201" s="18"/>
    </row>
    <row r="202" spans="1:21" x14ac:dyDescent="0.35">
      <c r="A202" s="18"/>
      <c r="B202" s="18"/>
      <c r="C202" s="18"/>
      <c r="D202" s="18"/>
      <c r="E202" s="18"/>
      <c r="F202" s="18"/>
      <c r="G202" s="18"/>
      <c r="H202" s="18"/>
      <c r="I202" s="18"/>
      <c r="J202" s="18"/>
      <c r="K202" s="18"/>
      <c r="L202" s="18"/>
      <c r="M202" s="18"/>
      <c r="N202" s="18"/>
      <c r="O202" s="18"/>
      <c r="P202" s="18"/>
      <c r="Q202" s="18"/>
      <c r="R202" s="18"/>
      <c r="S202" s="18"/>
      <c r="T202" s="18"/>
      <c r="U202" s="18"/>
    </row>
    <row r="203" spans="1:21" x14ac:dyDescent="0.35">
      <c r="A203" s="18"/>
      <c r="B203" s="18"/>
      <c r="C203" s="18"/>
      <c r="D203" s="18"/>
      <c r="E203" s="18"/>
      <c r="F203" s="18"/>
      <c r="G203" s="18"/>
      <c r="H203" s="18"/>
      <c r="I203" s="18"/>
      <c r="J203" s="18"/>
      <c r="K203" s="18"/>
      <c r="L203" s="18"/>
      <c r="M203" s="18"/>
      <c r="N203" s="18"/>
      <c r="O203" s="18"/>
      <c r="P203" s="18"/>
      <c r="Q203" s="18"/>
      <c r="R203" s="18"/>
      <c r="S203" s="18"/>
      <c r="T203" s="18"/>
      <c r="U203" s="18"/>
    </row>
    <row r="204" spans="1:21" x14ac:dyDescent="0.35">
      <c r="A204" s="18"/>
      <c r="B204" s="18"/>
      <c r="C204" s="18"/>
      <c r="D204" s="18"/>
      <c r="E204" s="18"/>
      <c r="F204" s="18"/>
      <c r="G204" s="18"/>
      <c r="H204" s="18"/>
      <c r="I204" s="18"/>
      <c r="J204" s="18"/>
      <c r="K204" s="18"/>
      <c r="L204" s="18"/>
      <c r="M204" s="18"/>
      <c r="N204" s="18"/>
      <c r="O204" s="18"/>
      <c r="P204" s="18"/>
      <c r="Q204" s="18"/>
      <c r="R204" s="18"/>
      <c r="S204" s="18"/>
      <c r="T204" s="18"/>
      <c r="U204" s="18"/>
    </row>
    <row r="205" spans="1:21" x14ac:dyDescent="0.35">
      <c r="A205" s="18"/>
      <c r="B205" s="18"/>
      <c r="C205" s="18"/>
      <c r="D205" s="18"/>
      <c r="E205" s="18"/>
      <c r="F205" s="18"/>
      <c r="G205" s="18"/>
      <c r="H205" s="18"/>
      <c r="I205" s="18"/>
      <c r="J205" s="18"/>
      <c r="K205" s="18"/>
      <c r="L205" s="18"/>
      <c r="M205" s="18"/>
      <c r="N205" s="18"/>
      <c r="O205" s="18"/>
      <c r="P205" s="18"/>
      <c r="Q205" s="18"/>
      <c r="R205" s="18"/>
      <c r="S205" s="18"/>
      <c r="T205" s="18"/>
      <c r="U205" s="18"/>
    </row>
    <row r="206" spans="1:21" x14ac:dyDescent="0.35">
      <c r="A206" s="18"/>
      <c r="B206" s="18"/>
      <c r="C206" s="18"/>
      <c r="D206" s="18"/>
      <c r="E206" s="18"/>
      <c r="F206" s="18"/>
      <c r="G206" s="18"/>
      <c r="H206" s="18"/>
      <c r="I206" s="18"/>
      <c r="J206" s="18"/>
      <c r="K206" s="18"/>
      <c r="L206" s="18"/>
      <c r="M206" s="18"/>
      <c r="N206" s="18"/>
      <c r="O206" s="18"/>
      <c r="P206" s="18"/>
      <c r="Q206" s="18"/>
      <c r="R206" s="18"/>
      <c r="S206" s="18"/>
      <c r="T206" s="18"/>
      <c r="U206" s="18"/>
    </row>
    <row r="207" spans="1:21" x14ac:dyDescent="0.35">
      <c r="A207" s="18"/>
      <c r="B207" s="18"/>
      <c r="C207" s="18"/>
      <c r="D207" s="18"/>
      <c r="E207" s="18"/>
      <c r="F207" s="18"/>
      <c r="G207" s="18"/>
      <c r="H207" s="18"/>
      <c r="I207" s="18"/>
      <c r="J207" s="18"/>
      <c r="K207" s="18"/>
      <c r="L207" s="18"/>
      <c r="M207" s="18"/>
      <c r="N207" s="18"/>
      <c r="O207" s="18"/>
      <c r="P207" s="18"/>
      <c r="Q207" s="18"/>
      <c r="R207" s="18"/>
      <c r="S207" s="18"/>
      <c r="T207" s="18"/>
      <c r="U207" s="18"/>
    </row>
    <row r="208" spans="1:21" x14ac:dyDescent="0.35">
      <c r="A208" s="18"/>
      <c r="B208" s="18"/>
      <c r="C208" s="18"/>
      <c r="D208" s="18"/>
      <c r="E208" s="18"/>
      <c r="F208" s="18"/>
      <c r="G208" s="18"/>
      <c r="H208" s="18"/>
      <c r="I208" s="18"/>
      <c r="J208" s="18"/>
      <c r="K208" s="18"/>
      <c r="L208" s="18"/>
      <c r="M208" s="18"/>
      <c r="N208" s="18"/>
      <c r="O208" s="18"/>
      <c r="P208" s="18"/>
      <c r="Q208" s="18"/>
      <c r="R208" s="18"/>
      <c r="S208" s="18"/>
      <c r="T208" s="18"/>
      <c r="U208" s="18"/>
    </row>
    <row r="209" spans="1:21" x14ac:dyDescent="0.35">
      <c r="A209" s="18"/>
      <c r="B209" s="18"/>
      <c r="C209" s="18"/>
      <c r="D209" s="18"/>
      <c r="E209" s="18"/>
      <c r="F209" s="18"/>
      <c r="G209" s="18"/>
      <c r="H209" s="18"/>
      <c r="I209" s="18"/>
      <c r="J209" s="18"/>
      <c r="K209" s="18"/>
      <c r="L209" s="18"/>
      <c r="M209" s="18"/>
      <c r="N209" s="18"/>
      <c r="O209" s="18"/>
      <c r="P209" s="18"/>
      <c r="Q209" s="18"/>
      <c r="R209" s="18"/>
      <c r="S209" s="18"/>
      <c r="T209" s="18"/>
      <c r="U209" s="18"/>
    </row>
    <row r="210" spans="1:21" x14ac:dyDescent="0.35">
      <c r="A210" s="18"/>
      <c r="B210" s="18"/>
      <c r="C210" s="18"/>
      <c r="D210" s="18"/>
      <c r="E210" s="18"/>
      <c r="F210" s="18"/>
      <c r="G210" s="18"/>
      <c r="H210" s="18"/>
      <c r="I210" s="18"/>
      <c r="J210" s="18"/>
      <c r="K210" s="18"/>
      <c r="L210" s="18"/>
      <c r="M210" s="18"/>
      <c r="N210" s="18"/>
      <c r="O210" s="18"/>
      <c r="P210" s="18"/>
      <c r="Q210" s="18"/>
      <c r="R210" s="18"/>
      <c r="S210" s="18"/>
      <c r="T210" s="18"/>
      <c r="U210" s="18"/>
    </row>
    <row r="211" spans="1:21" x14ac:dyDescent="0.35">
      <c r="A211" s="18"/>
      <c r="B211" s="18"/>
      <c r="C211" s="18"/>
      <c r="D211" s="18"/>
      <c r="E211" s="18"/>
      <c r="F211" s="18"/>
      <c r="G211" s="18"/>
      <c r="H211" s="18"/>
      <c r="I211" s="18"/>
      <c r="J211" s="18"/>
      <c r="K211" s="18"/>
      <c r="L211" s="18"/>
      <c r="M211" s="18"/>
      <c r="N211" s="18"/>
      <c r="O211" s="18"/>
      <c r="P211" s="18"/>
      <c r="Q211" s="18"/>
      <c r="R211" s="18"/>
      <c r="S211" s="18"/>
      <c r="T211" s="18"/>
      <c r="U211" s="18"/>
    </row>
    <row r="212" spans="1:21" x14ac:dyDescent="0.35">
      <c r="A212" s="18"/>
      <c r="B212" s="18"/>
      <c r="C212" s="18"/>
      <c r="D212" s="18"/>
      <c r="E212" s="18"/>
      <c r="F212" s="18"/>
      <c r="G212" s="18"/>
      <c r="H212" s="18"/>
      <c r="I212" s="18"/>
      <c r="J212" s="18"/>
      <c r="K212" s="18"/>
      <c r="L212" s="18"/>
      <c r="M212" s="18"/>
      <c r="N212" s="18"/>
      <c r="O212" s="18"/>
      <c r="P212" s="18"/>
      <c r="Q212" s="18"/>
      <c r="R212" s="18"/>
      <c r="S212" s="18"/>
      <c r="T212" s="18"/>
      <c r="U212" s="18"/>
    </row>
    <row r="213" spans="1:21" x14ac:dyDescent="0.35">
      <c r="A213" s="18"/>
      <c r="B213" s="18"/>
      <c r="C213" s="18"/>
      <c r="D213" s="18"/>
      <c r="E213" s="18"/>
      <c r="F213" s="18"/>
      <c r="G213" s="18"/>
      <c r="H213" s="18"/>
      <c r="I213" s="18"/>
      <c r="J213" s="18"/>
      <c r="K213" s="18"/>
      <c r="L213" s="18"/>
      <c r="M213" s="18"/>
      <c r="N213" s="18"/>
      <c r="O213" s="18"/>
      <c r="P213" s="18"/>
      <c r="Q213" s="18"/>
      <c r="R213" s="18"/>
      <c r="S213" s="18"/>
      <c r="T213" s="18"/>
      <c r="U213" s="18"/>
    </row>
    <row r="214" spans="1:21" x14ac:dyDescent="0.35">
      <c r="A214" s="18"/>
      <c r="B214" s="18"/>
      <c r="C214" s="18"/>
      <c r="D214" s="18"/>
      <c r="E214" s="18"/>
      <c r="F214" s="18"/>
      <c r="G214" s="18"/>
      <c r="H214" s="18"/>
      <c r="I214" s="18"/>
      <c r="J214" s="18"/>
      <c r="K214" s="18"/>
      <c r="L214" s="18"/>
      <c r="M214" s="18"/>
      <c r="N214" s="18"/>
      <c r="O214" s="18"/>
      <c r="P214" s="18"/>
      <c r="Q214" s="18"/>
      <c r="R214" s="18"/>
      <c r="S214" s="18"/>
      <c r="T214" s="18"/>
      <c r="U214" s="18"/>
    </row>
    <row r="215" spans="1:21" x14ac:dyDescent="0.35">
      <c r="A215" s="18"/>
      <c r="B215" s="18"/>
      <c r="C215" s="18"/>
      <c r="D215" s="18"/>
      <c r="E215" s="18"/>
      <c r="F215" s="18"/>
      <c r="G215" s="18"/>
      <c r="H215" s="18"/>
      <c r="I215" s="18"/>
      <c r="J215" s="18"/>
      <c r="K215" s="18"/>
      <c r="L215" s="18"/>
      <c r="M215" s="18"/>
      <c r="N215" s="18"/>
      <c r="O215" s="18"/>
      <c r="P215" s="18"/>
      <c r="Q215" s="18"/>
      <c r="R215" s="18"/>
      <c r="S215" s="18"/>
      <c r="T215" s="18"/>
      <c r="U215" s="18"/>
    </row>
    <row r="216" spans="1:21" x14ac:dyDescent="0.35">
      <c r="A216" s="18"/>
      <c r="B216" s="18"/>
      <c r="C216" s="18"/>
      <c r="D216" s="18"/>
      <c r="E216" s="18"/>
      <c r="F216" s="18"/>
      <c r="G216" s="18"/>
      <c r="H216" s="18"/>
      <c r="I216" s="18"/>
      <c r="J216" s="18"/>
      <c r="K216" s="18"/>
      <c r="L216" s="18"/>
      <c r="M216" s="18"/>
      <c r="N216" s="18"/>
      <c r="O216" s="18"/>
      <c r="P216" s="18"/>
      <c r="Q216" s="18"/>
      <c r="R216" s="18"/>
      <c r="S216" s="18"/>
      <c r="T216" s="18"/>
      <c r="U216" s="18"/>
    </row>
    <row r="217" spans="1:21" x14ac:dyDescent="0.35">
      <c r="A217" s="18"/>
      <c r="B217" s="18"/>
      <c r="C217" s="18"/>
      <c r="D217" s="18"/>
      <c r="E217" s="18"/>
      <c r="F217" s="18"/>
      <c r="G217" s="18"/>
      <c r="H217" s="18"/>
      <c r="I217" s="18"/>
      <c r="J217" s="18"/>
      <c r="K217" s="18"/>
      <c r="L217" s="18"/>
      <c r="M217" s="18"/>
      <c r="N217" s="18"/>
      <c r="O217" s="18"/>
      <c r="P217" s="18"/>
      <c r="Q217" s="18"/>
      <c r="R217" s="18"/>
      <c r="S217" s="18"/>
      <c r="T217" s="18"/>
      <c r="U217" s="18"/>
    </row>
    <row r="218" spans="1:21" x14ac:dyDescent="0.35">
      <c r="A218" s="18"/>
      <c r="B218" s="18"/>
      <c r="C218" s="18"/>
      <c r="D218" s="18"/>
      <c r="E218" s="18"/>
      <c r="F218" s="18"/>
      <c r="G218" s="18"/>
      <c r="H218" s="18"/>
      <c r="I218" s="18"/>
      <c r="J218" s="18"/>
      <c r="K218" s="18"/>
      <c r="L218" s="18"/>
      <c r="M218" s="18"/>
      <c r="N218" s="18"/>
      <c r="O218" s="18"/>
      <c r="P218" s="18"/>
      <c r="Q218" s="18"/>
      <c r="R218" s="18"/>
      <c r="S218" s="18"/>
      <c r="T218" s="18"/>
      <c r="U218" s="18"/>
    </row>
    <row r="219" spans="1:21" x14ac:dyDescent="0.35">
      <c r="A219" s="18"/>
      <c r="B219" s="18"/>
      <c r="C219" s="18"/>
      <c r="D219" s="18"/>
      <c r="E219" s="18"/>
      <c r="F219" s="18"/>
      <c r="G219" s="18"/>
      <c r="H219" s="18"/>
      <c r="I219" s="18"/>
      <c r="J219" s="18"/>
      <c r="K219" s="18"/>
      <c r="L219" s="18"/>
      <c r="M219" s="18"/>
      <c r="N219" s="18"/>
      <c r="O219" s="18"/>
      <c r="P219" s="18"/>
      <c r="Q219" s="18"/>
      <c r="R219" s="18"/>
      <c r="S219" s="18"/>
      <c r="T219" s="18"/>
      <c r="U219" s="18"/>
    </row>
    <row r="220" spans="1:21" x14ac:dyDescent="0.35">
      <c r="A220" s="18"/>
      <c r="B220" s="18"/>
      <c r="C220" s="18"/>
      <c r="D220" s="18"/>
      <c r="E220" s="18"/>
      <c r="F220" s="18"/>
      <c r="G220" s="18"/>
      <c r="H220" s="18"/>
      <c r="I220" s="18"/>
      <c r="J220" s="18"/>
      <c r="K220" s="18"/>
      <c r="L220" s="18"/>
      <c r="M220" s="18"/>
      <c r="N220" s="18"/>
      <c r="O220" s="18"/>
      <c r="P220" s="18"/>
      <c r="Q220" s="18"/>
      <c r="R220" s="18"/>
      <c r="S220" s="18"/>
      <c r="T220" s="18"/>
      <c r="U220" s="18"/>
    </row>
    <row r="221" spans="1:21" x14ac:dyDescent="0.35">
      <c r="A221" s="18"/>
      <c r="B221" s="18"/>
      <c r="C221" s="18"/>
      <c r="D221" s="18"/>
      <c r="E221" s="18"/>
      <c r="F221" s="18"/>
      <c r="G221" s="18"/>
      <c r="H221" s="18"/>
      <c r="I221" s="18"/>
      <c r="J221" s="18"/>
      <c r="K221" s="18"/>
      <c r="L221" s="18"/>
      <c r="M221" s="18"/>
      <c r="N221" s="18"/>
      <c r="O221" s="18"/>
      <c r="P221" s="18"/>
      <c r="Q221" s="18"/>
      <c r="R221" s="18"/>
      <c r="S221" s="18"/>
      <c r="T221" s="18"/>
      <c r="U221" s="18"/>
    </row>
    <row r="222" spans="1:21" x14ac:dyDescent="0.35">
      <c r="A222" s="18"/>
      <c r="B222" s="18"/>
      <c r="C222" s="18"/>
      <c r="D222" s="18"/>
      <c r="E222" s="18"/>
      <c r="F222" s="18"/>
      <c r="G222" s="18"/>
      <c r="H222" s="18"/>
      <c r="I222" s="18"/>
      <c r="J222" s="18"/>
      <c r="K222" s="18"/>
      <c r="L222" s="18"/>
      <c r="M222" s="18"/>
      <c r="N222" s="18"/>
      <c r="O222" s="18"/>
      <c r="P222" s="18"/>
      <c r="Q222" s="18"/>
      <c r="R222" s="18"/>
      <c r="S222" s="18"/>
      <c r="T222" s="18"/>
      <c r="U222" s="18"/>
    </row>
    <row r="223" spans="1:21" x14ac:dyDescent="0.35">
      <c r="A223" s="18"/>
      <c r="B223" s="18"/>
      <c r="C223" s="18"/>
      <c r="D223" s="18"/>
      <c r="E223" s="18"/>
      <c r="F223" s="18"/>
      <c r="G223" s="18"/>
      <c r="H223" s="18"/>
      <c r="I223" s="18"/>
      <c r="J223" s="18"/>
      <c r="K223" s="18"/>
      <c r="L223" s="18"/>
      <c r="M223" s="18"/>
      <c r="N223" s="18"/>
      <c r="O223" s="18"/>
      <c r="P223" s="18"/>
      <c r="Q223" s="18"/>
      <c r="R223" s="18"/>
      <c r="S223" s="18"/>
      <c r="T223" s="18"/>
      <c r="U223" s="18"/>
    </row>
    <row r="224" spans="1:21" x14ac:dyDescent="0.35">
      <c r="A224" s="18"/>
      <c r="B224" s="18"/>
      <c r="C224" s="18"/>
      <c r="D224" s="18"/>
      <c r="E224" s="18"/>
      <c r="F224" s="18"/>
      <c r="G224" s="18"/>
      <c r="H224" s="18"/>
      <c r="I224" s="18"/>
      <c r="J224" s="18"/>
      <c r="K224" s="18"/>
      <c r="L224" s="18"/>
      <c r="M224" s="18"/>
      <c r="N224" s="18"/>
      <c r="O224" s="18"/>
      <c r="P224" s="18"/>
      <c r="Q224" s="18"/>
      <c r="R224" s="18"/>
      <c r="S224" s="18"/>
      <c r="T224" s="18"/>
      <c r="U224" s="18"/>
    </row>
    <row r="225" spans="1:21" x14ac:dyDescent="0.35">
      <c r="A225" s="18"/>
      <c r="B225" s="18"/>
      <c r="C225" s="18"/>
      <c r="D225" s="18"/>
      <c r="E225" s="18"/>
      <c r="F225" s="18"/>
      <c r="G225" s="18"/>
      <c r="H225" s="18"/>
      <c r="I225" s="18"/>
      <c r="J225" s="18"/>
      <c r="K225" s="18"/>
      <c r="L225" s="18"/>
      <c r="M225" s="18"/>
      <c r="N225" s="18"/>
      <c r="O225" s="18"/>
      <c r="P225" s="18"/>
      <c r="Q225" s="18"/>
      <c r="R225" s="18"/>
      <c r="S225" s="18"/>
      <c r="T225" s="18"/>
      <c r="U225" s="18"/>
    </row>
    <row r="226" spans="1:21" x14ac:dyDescent="0.35">
      <c r="A226" s="18"/>
      <c r="B226" s="18"/>
      <c r="C226" s="18"/>
      <c r="D226" s="18"/>
      <c r="E226" s="18"/>
      <c r="F226" s="18"/>
      <c r="G226" s="18"/>
      <c r="H226" s="18"/>
      <c r="I226" s="18"/>
      <c r="J226" s="18"/>
      <c r="K226" s="18"/>
      <c r="L226" s="18"/>
      <c r="M226" s="18"/>
      <c r="N226" s="18"/>
      <c r="O226" s="18"/>
      <c r="P226" s="18"/>
      <c r="Q226" s="18"/>
      <c r="R226" s="18"/>
      <c r="S226" s="18"/>
      <c r="T226" s="18"/>
      <c r="U226" s="18"/>
    </row>
    <row r="227" spans="1:21" x14ac:dyDescent="0.35">
      <c r="A227" s="18"/>
      <c r="B227" s="18"/>
      <c r="C227" s="18"/>
      <c r="D227" s="18"/>
      <c r="E227" s="18"/>
      <c r="F227" s="18"/>
      <c r="G227" s="18"/>
      <c r="H227" s="18"/>
      <c r="I227" s="18"/>
      <c r="J227" s="18"/>
      <c r="K227" s="18"/>
      <c r="L227" s="18"/>
      <c r="M227" s="18"/>
      <c r="N227" s="18"/>
      <c r="O227" s="18"/>
      <c r="P227" s="18"/>
      <c r="Q227" s="18"/>
      <c r="R227" s="18"/>
      <c r="S227" s="18"/>
      <c r="T227" s="18"/>
      <c r="U227" s="18"/>
    </row>
    <row r="228" spans="1:21" x14ac:dyDescent="0.35">
      <c r="A228" s="18"/>
      <c r="B228" s="18"/>
      <c r="C228" s="18"/>
      <c r="D228" s="18"/>
      <c r="E228" s="18"/>
      <c r="F228" s="18"/>
      <c r="G228" s="18"/>
      <c r="H228" s="18"/>
      <c r="I228" s="18"/>
      <c r="J228" s="18"/>
      <c r="K228" s="18"/>
      <c r="L228" s="18"/>
      <c r="M228" s="18"/>
      <c r="N228" s="18"/>
      <c r="O228" s="18"/>
      <c r="P228" s="18"/>
      <c r="Q228" s="18"/>
      <c r="R228" s="18"/>
      <c r="S228" s="18"/>
      <c r="T228" s="18"/>
      <c r="U228" s="18"/>
    </row>
    <row r="229" spans="1:21" x14ac:dyDescent="0.35">
      <c r="A229" s="18"/>
      <c r="B229" s="18"/>
      <c r="C229" s="18"/>
      <c r="D229" s="18"/>
      <c r="E229" s="18"/>
      <c r="F229" s="18"/>
      <c r="G229" s="18"/>
      <c r="H229" s="18"/>
      <c r="I229" s="18"/>
      <c r="J229" s="18"/>
      <c r="K229" s="18"/>
      <c r="L229" s="18"/>
      <c r="M229" s="18"/>
      <c r="N229" s="18"/>
      <c r="O229" s="18"/>
      <c r="P229" s="18"/>
      <c r="Q229" s="18"/>
      <c r="R229" s="18"/>
      <c r="S229" s="18"/>
      <c r="T229" s="18"/>
      <c r="U229" s="18"/>
    </row>
    <row r="230" spans="1:21" x14ac:dyDescent="0.35">
      <c r="A230" s="18"/>
      <c r="B230" s="18"/>
      <c r="C230" s="18"/>
      <c r="D230" s="18"/>
      <c r="E230" s="18"/>
      <c r="F230" s="18"/>
      <c r="G230" s="18"/>
      <c r="H230" s="18"/>
      <c r="I230" s="18"/>
      <c r="J230" s="18"/>
      <c r="K230" s="18"/>
      <c r="L230" s="18"/>
      <c r="M230" s="18"/>
      <c r="N230" s="18"/>
      <c r="O230" s="18"/>
      <c r="P230" s="18"/>
      <c r="Q230" s="18"/>
      <c r="R230" s="18"/>
      <c r="S230" s="18"/>
      <c r="T230" s="18"/>
      <c r="U230" s="18"/>
    </row>
    <row r="231" spans="1:21" x14ac:dyDescent="0.35">
      <c r="A231" s="18"/>
      <c r="B231" s="18"/>
      <c r="C231" s="18"/>
      <c r="D231" s="18"/>
      <c r="E231" s="18"/>
      <c r="F231" s="18"/>
      <c r="G231" s="18"/>
      <c r="H231" s="18"/>
      <c r="I231" s="18"/>
      <c r="J231" s="18"/>
      <c r="K231" s="18"/>
      <c r="L231" s="18"/>
      <c r="M231" s="18"/>
      <c r="N231" s="18"/>
      <c r="O231" s="18"/>
      <c r="P231" s="18"/>
      <c r="Q231" s="18"/>
      <c r="R231" s="18"/>
      <c r="S231" s="18"/>
      <c r="T231" s="18"/>
      <c r="U231" s="18"/>
    </row>
    <row r="232" spans="1:21" x14ac:dyDescent="0.35">
      <c r="A232" s="18"/>
      <c r="B232" s="18"/>
      <c r="C232" s="18"/>
      <c r="D232" s="18"/>
      <c r="E232" s="18"/>
      <c r="F232" s="18"/>
      <c r="G232" s="18"/>
      <c r="H232" s="18"/>
      <c r="I232" s="18"/>
      <c r="J232" s="18"/>
      <c r="K232" s="18"/>
      <c r="L232" s="18"/>
      <c r="M232" s="18"/>
      <c r="N232" s="18"/>
      <c r="O232" s="18"/>
      <c r="P232" s="18"/>
      <c r="Q232" s="18"/>
      <c r="R232" s="18"/>
      <c r="S232" s="18"/>
      <c r="T232" s="18"/>
      <c r="U232" s="18"/>
    </row>
    <row r="233" spans="1:21" x14ac:dyDescent="0.35">
      <c r="A233" s="18"/>
      <c r="B233" s="18"/>
      <c r="C233" s="18"/>
      <c r="D233" s="18"/>
      <c r="E233" s="18"/>
      <c r="F233" s="18"/>
      <c r="G233" s="18"/>
      <c r="H233" s="18"/>
      <c r="I233" s="18"/>
      <c r="J233" s="18"/>
      <c r="K233" s="18"/>
      <c r="L233" s="18"/>
      <c r="M233" s="18"/>
      <c r="N233" s="18"/>
      <c r="O233" s="18"/>
      <c r="P233" s="18"/>
      <c r="Q233" s="18"/>
      <c r="R233" s="18"/>
      <c r="S233" s="18"/>
      <c r="T233" s="18"/>
      <c r="U233" s="18"/>
    </row>
    <row r="234" spans="1:21" x14ac:dyDescent="0.35">
      <c r="A234" s="18"/>
      <c r="B234" s="18"/>
      <c r="C234" s="18"/>
      <c r="D234" s="18"/>
      <c r="E234" s="18"/>
      <c r="F234" s="18"/>
      <c r="G234" s="18"/>
      <c r="H234" s="18"/>
      <c r="I234" s="18"/>
      <c r="J234" s="18"/>
      <c r="K234" s="18"/>
      <c r="L234" s="18"/>
      <c r="M234" s="18"/>
      <c r="N234" s="18"/>
      <c r="O234" s="18"/>
      <c r="P234" s="18"/>
      <c r="Q234" s="18"/>
      <c r="R234" s="18"/>
      <c r="S234" s="18"/>
      <c r="T234" s="18"/>
      <c r="U234" s="18"/>
    </row>
    <row r="235" spans="1:21" x14ac:dyDescent="0.35">
      <c r="A235" s="18"/>
      <c r="B235" s="18"/>
      <c r="C235" s="18"/>
      <c r="D235" s="18"/>
      <c r="E235" s="18"/>
      <c r="F235" s="18"/>
      <c r="G235" s="18"/>
      <c r="H235" s="18"/>
      <c r="I235" s="18"/>
      <c r="J235" s="18"/>
      <c r="K235" s="18"/>
      <c r="L235" s="18"/>
      <c r="M235" s="18"/>
      <c r="N235" s="18"/>
      <c r="O235" s="18"/>
      <c r="P235" s="18"/>
      <c r="Q235" s="18"/>
      <c r="R235" s="18"/>
      <c r="S235" s="18"/>
      <c r="T235" s="18"/>
      <c r="U235" s="18"/>
    </row>
    <row r="236" spans="1:21" x14ac:dyDescent="0.35">
      <c r="A236" s="18"/>
      <c r="B236" s="18"/>
      <c r="C236" s="18"/>
      <c r="D236" s="18"/>
      <c r="E236" s="18"/>
      <c r="F236" s="18"/>
      <c r="G236" s="18"/>
      <c r="H236" s="18"/>
      <c r="I236" s="18"/>
      <c r="J236" s="18"/>
      <c r="K236" s="18"/>
      <c r="L236" s="18"/>
      <c r="M236" s="18"/>
      <c r="N236" s="18"/>
      <c r="O236" s="18"/>
      <c r="P236" s="18"/>
      <c r="Q236" s="18"/>
      <c r="R236" s="18"/>
      <c r="S236" s="18"/>
      <c r="T236" s="18"/>
      <c r="U236" s="18"/>
    </row>
    <row r="237" spans="1:21" x14ac:dyDescent="0.35">
      <c r="A237" s="18"/>
      <c r="B237" s="18"/>
      <c r="C237" s="18"/>
      <c r="D237" s="18"/>
      <c r="E237" s="18"/>
      <c r="F237" s="18"/>
      <c r="G237" s="18"/>
      <c r="H237" s="18"/>
      <c r="I237" s="18"/>
      <c r="J237" s="18"/>
      <c r="K237" s="18"/>
      <c r="L237" s="18"/>
      <c r="M237" s="18"/>
      <c r="N237" s="18"/>
      <c r="O237" s="18"/>
      <c r="P237" s="18"/>
      <c r="Q237" s="18"/>
      <c r="R237" s="18"/>
      <c r="S237" s="18"/>
      <c r="T237" s="18"/>
      <c r="U237" s="18"/>
    </row>
    <row r="238" spans="1:21" x14ac:dyDescent="0.35">
      <c r="A238" s="18"/>
      <c r="B238" s="18"/>
      <c r="C238" s="18"/>
      <c r="D238" s="18"/>
      <c r="E238" s="18"/>
      <c r="F238" s="18"/>
      <c r="G238" s="18"/>
      <c r="H238" s="18"/>
      <c r="I238" s="18"/>
      <c r="J238" s="18"/>
      <c r="K238" s="18"/>
      <c r="L238" s="18"/>
      <c r="M238" s="18"/>
      <c r="N238" s="18"/>
      <c r="O238" s="18"/>
      <c r="P238" s="18"/>
      <c r="Q238" s="18"/>
      <c r="R238" s="18"/>
      <c r="S238" s="18"/>
      <c r="T238" s="18"/>
      <c r="U238" s="18"/>
    </row>
    <row r="239" spans="1:21" x14ac:dyDescent="0.35">
      <c r="A239" s="18"/>
      <c r="B239" s="18"/>
      <c r="C239" s="18"/>
      <c r="D239" s="18"/>
      <c r="E239" s="18"/>
      <c r="F239" s="18"/>
      <c r="G239" s="18"/>
      <c r="H239" s="18"/>
      <c r="I239" s="18"/>
      <c r="J239" s="18"/>
      <c r="K239" s="18"/>
      <c r="L239" s="18"/>
      <c r="M239" s="18"/>
      <c r="N239" s="18"/>
      <c r="O239" s="18"/>
      <c r="P239" s="18"/>
      <c r="Q239" s="18"/>
      <c r="R239" s="18"/>
      <c r="S239" s="18"/>
      <c r="T239" s="18"/>
      <c r="U239" s="18"/>
    </row>
    <row r="240" spans="1:21" x14ac:dyDescent="0.35">
      <c r="A240" s="18"/>
      <c r="B240" s="18"/>
      <c r="C240" s="18"/>
      <c r="D240" s="18"/>
      <c r="E240" s="18"/>
      <c r="F240" s="18"/>
      <c r="G240" s="18"/>
      <c r="H240" s="18"/>
      <c r="I240" s="18"/>
      <c r="J240" s="18"/>
      <c r="K240" s="18"/>
      <c r="L240" s="18"/>
      <c r="M240" s="18"/>
      <c r="N240" s="18"/>
      <c r="O240" s="18"/>
      <c r="P240" s="18"/>
      <c r="Q240" s="18"/>
      <c r="R240" s="18"/>
      <c r="S240" s="18"/>
      <c r="T240" s="18"/>
      <c r="U240" s="18"/>
    </row>
    <row r="241" spans="1:21" x14ac:dyDescent="0.35">
      <c r="A241" s="18"/>
      <c r="B241" s="18"/>
      <c r="C241" s="18"/>
      <c r="D241" s="18"/>
      <c r="E241" s="18"/>
      <c r="F241" s="18"/>
      <c r="G241" s="18"/>
      <c r="H241" s="18"/>
      <c r="I241" s="18"/>
      <c r="J241" s="18"/>
      <c r="K241" s="18"/>
      <c r="L241" s="18"/>
      <c r="M241" s="18"/>
      <c r="N241" s="18"/>
      <c r="O241" s="18"/>
      <c r="P241" s="18"/>
      <c r="Q241" s="18"/>
      <c r="R241" s="18"/>
      <c r="S241" s="18"/>
      <c r="T241" s="18"/>
      <c r="U241" s="18"/>
    </row>
    <row r="242" spans="1:21" x14ac:dyDescent="0.35">
      <c r="A242" s="18"/>
      <c r="B242" s="18"/>
      <c r="C242" s="18"/>
      <c r="D242" s="18"/>
      <c r="E242" s="18"/>
      <c r="F242" s="18"/>
      <c r="G242" s="18"/>
      <c r="H242" s="18"/>
      <c r="I242" s="18"/>
      <c r="J242" s="18"/>
      <c r="K242" s="18"/>
      <c r="L242" s="18"/>
      <c r="M242" s="18"/>
      <c r="N242" s="18"/>
      <c r="O242" s="18"/>
      <c r="P242" s="18"/>
      <c r="Q242" s="18"/>
      <c r="R242" s="18"/>
      <c r="S242" s="18"/>
      <c r="T242" s="18"/>
      <c r="U242" s="18"/>
    </row>
    <row r="243" spans="1:21" x14ac:dyDescent="0.35">
      <c r="A243" s="18"/>
      <c r="B243" s="18"/>
      <c r="C243" s="18"/>
      <c r="D243" s="18"/>
      <c r="E243" s="18"/>
      <c r="F243" s="18"/>
      <c r="G243" s="18"/>
      <c r="H243" s="18"/>
      <c r="I243" s="18"/>
      <c r="J243" s="18"/>
      <c r="K243" s="18"/>
      <c r="L243" s="18"/>
      <c r="M243" s="18"/>
      <c r="N243" s="18"/>
      <c r="O243" s="18"/>
      <c r="P243" s="18"/>
      <c r="Q243" s="18"/>
      <c r="R243" s="18"/>
      <c r="S243" s="18"/>
      <c r="T243" s="18"/>
      <c r="U243" s="18"/>
    </row>
    <row r="244" spans="1:21" x14ac:dyDescent="0.35">
      <c r="A244" s="18"/>
      <c r="B244" s="18"/>
      <c r="C244" s="18"/>
      <c r="D244" s="18"/>
      <c r="E244" s="18"/>
      <c r="F244" s="18"/>
      <c r="G244" s="18"/>
      <c r="H244" s="18"/>
      <c r="I244" s="18"/>
      <c r="J244" s="18"/>
      <c r="K244" s="18"/>
      <c r="L244" s="18"/>
      <c r="M244" s="18"/>
      <c r="N244" s="18"/>
      <c r="O244" s="18"/>
      <c r="P244" s="18"/>
      <c r="Q244" s="18"/>
      <c r="R244" s="18"/>
      <c r="S244" s="18"/>
      <c r="T244" s="18"/>
      <c r="U244" s="18"/>
    </row>
    <row r="245" spans="1:21" x14ac:dyDescent="0.35">
      <c r="A245" s="18"/>
      <c r="B245" s="18"/>
      <c r="C245" s="18"/>
      <c r="D245" s="18"/>
      <c r="E245" s="18"/>
      <c r="F245" s="18"/>
      <c r="G245" s="18"/>
      <c r="H245" s="18"/>
      <c r="I245" s="18"/>
      <c r="J245" s="18"/>
      <c r="K245" s="18"/>
      <c r="L245" s="18"/>
      <c r="M245" s="18"/>
      <c r="N245" s="18"/>
      <c r="O245" s="18"/>
      <c r="P245" s="18"/>
      <c r="Q245" s="18"/>
      <c r="R245" s="18"/>
      <c r="S245" s="18"/>
      <c r="T245" s="18"/>
      <c r="U245" s="18"/>
    </row>
    <row r="246" spans="1:21" x14ac:dyDescent="0.35">
      <c r="A246" s="18"/>
      <c r="B246" s="18"/>
      <c r="C246" s="18"/>
      <c r="D246" s="18"/>
      <c r="E246" s="18"/>
      <c r="F246" s="18"/>
      <c r="G246" s="18"/>
      <c r="H246" s="18"/>
      <c r="I246" s="18"/>
      <c r="J246" s="18"/>
      <c r="K246" s="18"/>
      <c r="L246" s="18"/>
      <c r="M246" s="18"/>
      <c r="N246" s="18"/>
      <c r="O246" s="18"/>
      <c r="P246" s="18"/>
      <c r="Q246" s="18"/>
      <c r="R246" s="18"/>
      <c r="S246" s="18"/>
      <c r="T246" s="18"/>
      <c r="U246" s="18"/>
    </row>
    <row r="247" spans="1:21" x14ac:dyDescent="0.35">
      <c r="A247" s="18"/>
      <c r="B247" s="18"/>
      <c r="C247" s="18"/>
      <c r="D247" s="18"/>
      <c r="E247" s="18"/>
      <c r="F247" s="18"/>
      <c r="G247" s="18"/>
      <c r="H247" s="18"/>
      <c r="I247" s="18"/>
      <c r="J247" s="18"/>
      <c r="K247" s="18"/>
      <c r="L247" s="18"/>
      <c r="M247" s="18"/>
      <c r="N247" s="18"/>
      <c r="O247" s="18"/>
      <c r="P247" s="18"/>
      <c r="Q247" s="18"/>
      <c r="R247" s="18"/>
      <c r="S247" s="18"/>
      <c r="T247" s="18"/>
      <c r="U247" s="18"/>
    </row>
    <row r="248" spans="1:21" x14ac:dyDescent="0.35">
      <c r="A248" s="18"/>
      <c r="B248" s="18"/>
      <c r="C248" s="18"/>
      <c r="D248" s="18"/>
      <c r="E248" s="18"/>
      <c r="F248" s="18"/>
      <c r="G248" s="18"/>
      <c r="H248" s="18"/>
      <c r="I248" s="18"/>
      <c r="J248" s="18"/>
      <c r="K248" s="18"/>
      <c r="L248" s="18"/>
      <c r="M248" s="18"/>
      <c r="N248" s="18"/>
      <c r="O248" s="18"/>
      <c r="P248" s="18"/>
      <c r="Q248" s="18"/>
      <c r="R248" s="18"/>
      <c r="S248" s="18"/>
      <c r="T248" s="18"/>
      <c r="U248" s="18"/>
    </row>
    <row r="249" spans="1:21" x14ac:dyDescent="0.35">
      <c r="A249" s="18"/>
      <c r="B249" s="18"/>
      <c r="C249" s="18"/>
      <c r="D249" s="18"/>
      <c r="E249" s="18"/>
      <c r="F249" s="18"/>
      <c r="G249" s="18"/>
      <c r="H249" s="18"/>
      <c r="I249" s="18"/>
      <c r="J249" s="18"/>
      <c r="K249" s="18"/>
      <c r="L249" s="18"/>
      <c r="M249" s="18"/>
      <c r="N249" s="18"/>
      <c r="O249" s="18"/>
      <c r="P249" s="18"/>
      <c r="Q249" s="18"/>
      <c r="R249" s="18"/>
      <c r="S249" s="18"/>
      <c r="T249" s="18"/>
      <c r="U249" s="18"/>
    </row>
    <row r="250" spans="1:21" x14ac:dyDescent="0.35">
      <c r="A250" s="18"/>
      <c r="B250" s="18"/>
      <c r="C250" s="18"/>
      <c r="D250" s="18"/>
      <c r="E250" s="18"/>
      <c r="F250" s="18"/>
      <c r="G250" s="18"/>
      <c r="H250" s="18"/>
      <c r="I250" s="18"/>
      <c r="J250" s="18"/>
      <c r="K250" s="18"/>
      <c r="L250" s="18"/>
      <c r="M250" s="18"/>
      <c r="N250" s="18"/>
      <c r="O250" s="18"/>
      <c r="P250" s="18"/>
      <c r="Q250" s="18"/>
      <c r="R250" s="18"/>
      <c r="S250" s="18"/>
      <c r="T250" s="18"/>
      <c r="U250" s="18"/>
    </row>
    <row r="251" spans="1:21" x14ac:dyDescent="0.35">
      <c r="A251" s="18"/>
      <c r="B251" s="18"/>
      <c r="C251" s="18"/>
      <c r="D251" s="18"/>
      <c r="E251" s="18"/>
      <c r="F251" s="18"/>
      <c r="G251" s="18"/>
      <c r="H251" s="18"/>
      <c r="I251" s="18"/>
      <c r="J251" s="18"/>
      <c r="K251" s="18"/>
      <c r="L251" s="18"/>
      <c r="M251" s="18"/>
      <c r="N251" s="18"/>
      <c r="O251" s="18"/>
      <c r="P251" s="18"/>
      <c r="Q251" s="18"/>
      <c r="R251" s="18"/>
      <c r="S251" s="18"/>
      <c r="T251" s="18"/>
      <c r="U251" s="18"/>
    </row>
    <row r="252" spans="1:21" x14ac:dyDescent="0.35">
      <c r="A252" s="18"/>
      <c r="B252" s="18"/>
      <c r="C252" s="18"/>
      <c r="D252" s="18"/>
      <c r="E252" s="18"/>
      <c r="F252" s="18"/>
      <c r="G252" s="18"/>
      <c r="H252" s="18"/>
      <c r="I252" s="18"/>
      <c r="J252" s="18"/>
      <c r="K252" s="18"/>
      <c r="L252" s="18"/>
      <c r="M252" s="18"/>
      <c r="N252" s="18"/>
      <c r="O252" s="18"/>
      <c r="P252" s="18"/>
      <c r="Q252" s="18"/>
      <c r="R252" s="18"/>
      <c r="S252" s="18"/>
      <c r="T252" s="18"/>
      <c r="U252" s="18"/>
    </row>
    <row r="253" spans="1:21" x14ac:dyDescent="0.35">
      <c r="A253" s="18"/>
      <c r="B253" s="18"/>
      <c r="C253" s="18"/>
      <c r="D253" s="18"/>
      <c r="E253" s="18"/>
      <c r="F253" s="18"/>
      <c r="G253" s="18"/>
      <c r="H253" s="18"/>
      <c r="I253" s="18"/>
      <c r="J253" s="18"/>
      <c r="K253" s="18"/>
      <c r="L253" s="18"/>
      <c r="M253" s="18"/>
      <c r="N253" s="18"/>
      <c r="O253" s="18"/>
      <c r="P253" s="18"/>
      <c r="Q253" s="18"/>
      <c r="R253" s="18"/>
      <c r="S253" s="18"/>
      <c r="T253" s="18"/>
      <c r="U253" s="18"/>
    </row>
    <row r="254" spans="1:21" x14ac:dyDescent="0.35">
      <c r="A254" s="18"/>
      <c r="B254" s="18"/>
      <c r="C254" s="18"/>
      <c r="D254" s="18"/>
      <c r="E254" s="18"/>
      <c r="F254" s="18"/>
      <c r="G254" s="18"/>
      <c r="H254" s="18"/>
      <c r="I254" s="18"/>
      <c r="J254" s="18"/>
      <c r="K254" s="18"/>
      <c r="L254" s="18"/>
      <c r="M254" s="18"/>
      <c r="N254" s="18"/>
      <c r="O254" s="18"/>
      <c r="P254" s="18"/>
      <c r="Q254" s="18"/>
      <c r="R254" s="18"/>
      <c r="S254" s="18"/>
      <c r="T254" s="18"/>
      <c r="U254" s="18"/>
    </row>
    <row r="255" spans="1:21" x14ac:dyDescent="0.35">
      <c r="A255" s="18"/>
      <c r="B255" s="18"/>
      <c r="C255" s="18"/>
      <c r="D255" s="18"/>
      <c r="E255" s="18"/>
      <c r="F255" s="18"/>
      <c r="G255" s="18"/>
      <c r="H255" s="18"/>
      <c r="I255" s="18"/>
      <c r="J255" s="18"/>
      <c r="K255" s="18"/>
      <c r="L255" s="18"/>
      <c r="M255" s="18"/>
      <c r="N255" s="18"/>
      <c r="O255" s="18"/>
      <c r="P255" s="18"/>
      <c r="Q255" s="18"/>
      <c r="R255" s="18"/>
      <c r="S255" s="18"/>
      <c r="T255" s="18"/>
      <c r="U255" s="18"/>
    </row>
    <row r="256" spans="1:21" x14ac:dyDescent="0.35">
      <c r="A256" s="18"/>
      <c r="B256" s="18"/>
      <c r="C256" s="18"/>
      <c r="D256" s="18"/>
      <c r="E256" s="18"/>
      <c r="F256" s="18"/>
      <c r="G256" s="18"/>
      <c r="H256" s="18"/>
      <c r="I256" s="18"/>
      <c r="J256" s="18"/>
      <c r="K256" s="18"/>
      <c r="L256" s="18"/>
      <c r="M256" s="18"/>
      <c r="N256" s="18"/>
      <c r="O256" s="18"/>
      <c r="P256" s="18"/>
      <c r="Q256" s="18"/>
      <c r="R256" s="18"/>
      <c r="S256" s="18"/>
      <c r="T256" s="18"/>
      <c r="U256" s="18"/>
    </row>
    <row r="257" spans="1:21" x14ac:dyDescent="0.35">
      <c r="A257" s="18"/>
      <c r="B257" s="18"/>
      <c r="C257" s="18"/>
      <c r="D257" s="18"/>
      <c r="E257" s="18"/>
      <c r="F257" s="18"/>
      <c r="G257" s="18"/>
      <c r="H257" s="18"/>
      <c r="I257" s="18"/>
      <c r="J257" s="18"/>
      <c r="K257" s="18"/>
      <c r="L257" s="18"/>
      <c r="M257" s="18"/>
      <c r="N257" s="18"/>
      <c r="O257" s="18"/>
      <c r="P257" s="18"/>
      <c r="Q257" s="18"/>
      <c r="R257" s="18"/>
      <c r="S257" s="18"/>
      <c r="T257" s="18"/>
      <c r="U257" s="18"/>
    </row>
    <row r="258" spans="1:21" x14ac:dyDescent="0.35">
      <c r="A258" s="18"/>
      <c r="B258" s="18"/>
      <c r="C258" s="18"/>
      <c r="D258" s="18"/>
      <c r="E258" s="18"/>
      <c r="F258" s="18"/>
      <c r="G258" s="18"/>
      <c r="H258" s="18"/>
      <c r="I258" s="18"/>
      <c r="J258" s="18"/>
      <c r="K258" s="18"/>
      <c r="L258" s="18"/>
      <c r="M258" s="18"/>
      <c r="N258" s="18"/>
      <c r="O258" s="18"/>
      <c r="P258" s="18"/>
      <c r="Q258" s="18"/>
      <c r="R258" s="18"/>
      <c r="S258" s="18"/>
      <c r="T258" s="18"/>
      <c r="U258" s="18"/>
    </row>
    <row r="259" spans="1:21" x14ac:dyDescent="0.35">
      <c r="A259" s="18"/>
      <c r="B259" s="18"/>
      <c r="C259" s="18"/>
      <c r="D259" s="18"/>
      <c r="E259" s="18"/>
      <c r="F259" s="18"/>
      <c r="G259" s="18"/>
      <c r="H259" s="18"/>
      <c r="I259" s="18"/>
      <c r="J259" s="18"/>
      <c r="K259" s="18"/>
      <c r="L259" s="18"/>
      <c r="M259" s="18"/>
      <c r="N259" s="18"/>
      <c r="O259" s="18"/>
      <c r="P259" s="18"/>
      <c r="Q259" s="18"/>
      <c r="R259" s="18"/>
      <c r="S259" s="18"/>
      <c r="T259" s="18"/>
      <c r="U259" s="18"/>
    </row>
    <row r="260" spans="1:21" x14ac:dyDescent="0.35">
      <c r="A260" s="18"/>
      <c r="B260" s="18"/>
      <c r="C260" s="18"/>
      <c r="D260" s="18"/>
      <c r="E260" s="18"/>
      <c r="F260" s="18"/>
      <c r="G260" s="18"/>
      <c r="H260" s="18"/>
      <c r="I260" s="18"/>
      <c r="J260" s="18"/>
      <c r="K260" s="18"/>
      <c r="L260" s="18"/>
      <c r="M260" s="18"/>
      <c r="N260" s="18"/>
      <c r="O260" s="18"/>
      <c r="P260" s="18"/>
      <c r="Q260" s="18"/>
      <c r="R260" s="18"/>
      <c r="S260" s="18"/>
      <c r="T260" s="18"/>
      <c r="U260" s="18"/>
    </row>
    <row r="261" spans="1:21" x14ac:dyDescent="0.35">
      <c r="A261" s="18"/>
      <c r="B261" s="18"/>
      <c r="C261" s="18"/>
      <c r="D261" s="18"/>
      <c r="E261" s="18"/>
      <c r="F261" s="18"/>
      <c r="G261" s="18"/>
      <c r="H261" s="18"/>
      <c r="I261" s="18"/>
      <c r="J261" s="18"/>
      <c r="K261" s="18"/>
      <c r="L261" s="18"/>
      <c r="M261" s="18"/>
      <c r="N261" s="18"/>
      <c r="O261" s="18"/>
      <c r="P261" s="18"/>
      <c r="Q261" s="18"/>
      <c r="R261" s="18"/>
      <c r="S261" s="18"/>
      <c r="T261" s="18"/>
      <c r="U261" s="18"/>
    </row>
    <row r="262" spans="1:21" x14ac:dyDescent="0.35">
      <c r="A262" s="18"/>
      <c r="B262" s="18"/>
      <c r="C262" s="18"/>
      <c r="D262" s="18"/>
      <c r="E262" s="18"/>
      <c r="F262" s="18"/>
      <c r="G262" s="18"/>
      <c r="H262" s="18"/>
      <c r="I262" s="18"/>
      <c r="J262" s="18"/>
      <c r="K262" s="18"/>
      <c r="L262" s="18"/>
      <c r="M262" s="18"/>
      <c r="N262" s="18"/>
      <c r="O262" s="18"/>
      <c r="P262" s="18"/>
      <c r="Q262" s="18"/>
      <c r="R262" s="18"/>
      <c r="S262" s="18"/>
      <c r="T262" s="18"/>
      <c r="U262" s="18"/>
    </row>
    <row r="263" spans="1:21" x14ac:dyDescent="0.35">
      <c r="A263" s="18"/>
      <c r="B263" s="18"/>
      <c r="C263" s="18"/>
      <c r="D263" s="18"/>
      <c r="E263" s="18"/>
      <c r="F263" s="18"/>
      <c r="G263" s="18"/>
      <c r="H263" s="18"/>
      <c r="I263" s="18"/>
      <c r="J263" s="18"/>
      <c r="K263" s="18"/>
      <c r="L263" s="18"/>
      <c r="M263" s="18"/>
      <c r="N263" s="18"/>
      <c r="O263" s="18"/>
      <c r="P263" s="18"/>
      <c r="Q263" s="18"/>
      <c r="R263" s="18"/>
      <c r="S263" s="18"/>
      <c r="T263" s="18"/>
      <c r="U263" s="18"/>
    </row>
    <row r="264" spans="1:21" x14ac:dyDescent="0.35">
      <c r="A264" s="18"/>
      <c r="B264" s="18"/>
      <c r="C264" s="18"/>
      <c r="D264" s="18"/>
      <c r="E264" s="18"/>
      <c r="F264" s="18"/>
      <c r="G264" s="18"/>
      <c r="H264" s="18"/>
      <c r="I264" s="18"/>
      <c r="J264" s="18"/>
      <c r="K264" s="18"/>
      <c r="L264" s="18"/>
      <c r="M264" s="18"/>
      <c r="N264" s="18"/>
      <c r="O264" s="18"/>
      <c r="P264" s="18"/>
      <c r="Q264" s="18"/>
      <c r="R264" s="18"/>
      <c r="S264" s="18"/>
      <c r="T264" s="18"/>
      <c r="U264" s="18"/>
    </row>
    <row r="265" spans="1:21" x14ac:dyDescent="0.35">
      <c r="A265" s="18"/>
      <c r="B265" s="18"/>
      <c r="C265" s="18"/>
      <c r="D265" s="18"/>
      <c r="E265" s="18"/>
      <c r="F265" s="18"/>
      <c r="G265" s="18"/>
      <c r="H265" s="18"/>
      <c r="I265" s="18"/>
      <c r="J265" s="18"/>
      <c r="K265" s="18"/>
      <c r="L265" s="18"/>
      <c r="M265" s="18"/>
      <c r="N265" s="18"/>
      <c r="O265" s="18"/>
      <c r="P265" s="18"/>
      <c r="Q265" s="18"/>
      <c r="R265" s="18"/>
      <c r="S265" s="18"/>
      <c r="T265" s="18"/>
      <c r="U265" s="18"/>
    </row>
    <row r="266" spans="1:21" x14ac:dyDescent="0.35">
      <c r="A266" s="18"/>
      <c r="B266" s="18"/>
      <c r="C266" s="18"/>
      <c r="D266" s="18"/>
      <c r="E266" s="18"/>
      <c r="F266" s="18"/>
      <c r="G266" s="18"/>
      <c r="H266" s="18"/>
      <c r="I266" s="18"/>
      <c r="J266" s="18"/>
      <c r="K266" s="18"/>
      <c r="L266" s="18"/>
      <c r="M266" s="18"/>
      <c r="N266" s="18"/>
      <c r="O266" s="18"/>
      <c r="P266" s="18"/>
      <c r="Q266" s="18"/>
      <c r="R266" s="18"/>
      <c r="S266" s="18"/>
      <c r="T266" s="18"/>
      <c r="U266" s="18"/>
    </row>
    <row r="267" spans="1:21" x14ac:dyDescent="0.35">
      <c r="A267" s="18"/>
      <c r="B267" s="18"/>
      <c r="C267" s="18"/>
      <c r="D267" s="18"/>
      <c r="E267" s="18"/>
      <c r="F267" s="18"/>
      <c r="G267" s="18"/>
      <c r="H267" s="18"/>
      <c r="I267" s="18"/>
      <c r="J267" s="18"/>
      <c r="K267" s="18"/>
      <c r="L267" s="18"/>
      <c r="M267" s="18"/>
      <c r="N267" s="18"/>
      <c r="O267" s="18"/>
      <c r="P267" s="18"/>
      <c r="Q267" s="18"/>
      <c r="R267" s="18"/>
      <c r="S267" s="18"/>
      <c r="T267" s="18"/>
      <c r="U267" s="18"/>
    </row>
    <row r="268" spans="1:21" x14ac:dyDescent="0.35">
      <c r="A268" s="18"/>
      <c r="B268" s="18"/>
      <c r="C268" s="18"/>
      <c r="D268" s="18"/>
      <c r="E268" s="18"/>
      <c r="F268" s="18"/>
      <c r="G268" s="18"/>
      <c r="H268" s="18"/>
      <c r="I268" s="18"/>
      <c r="J268" s="18"/>
      <c r="K268" s="18"/>
      <c r="L268" s="18"/>
      <c r="M268" s="18"/>
      <c r="N268" s="18"/>
      <c r="O268" s="18"/>
      <c r="P268" s="18"/>
      <c r="Q268" s="18"/>
      <c r="R268" s="18"/>
      <c r="S268" s="18"/>
      <c r="T268" s="18"/>
      <c r="U268" s="18"/>
    </row>
    <row r="269" spans="1:21" x14ac:dyDescent="0.35">
      <c r="A269" s="18"/>
      <c r="B269" s="18"/>
      <c r="C269" s="18"/>
      <c r="D269" s="18"/>
      <c r="E269" s="18"/>
      <c r="F269" s="18"/>
      <c r="G269" s="18"/>
      <c r="H269" s="18"/>
      <c r="I269" s="18"/>
      <c r="J269" s="18"/>
      <c r="K269" s="18"/>
      <c r="L269" s="18"/>
      <c r="M269" s="18"/>
      <c r="N269" s="18"/>
      <c r="O269" s="18"/>
      <c r="P269" s="18"/>
      <c r="Q269" s="18"/>
      <c r="R269" s="18"/>
      <c r="S269" s="18"/>
      <c r="T269" s="18"/>
      <c r="U269" s="18"/>
    </row>
    <row r="270" spans="1:21" x14ac:dyDescent="0.35">
      <c r="A270" s="18"/>
      <c r="B270" s="18"/>
      <c r="C270" s="18"/>
      <c r="D270" s="18"/>
      <c r="E270" s="18"/>
      <c r="F270" s="18"/>
      <c r="G270" s="18"/>
      <c r="H270" s="18"/>
      <c r="I270" s="18"/>
      <c r="J270" s="18"/>
      <c r="K270" s="18"/>
      <c r="L270" s="18"/>
      <c r="M270" s="18"/>
      <c r="N270" s="18"/>
      <c r="O270" s="18"/>
      <c r="P270" s="18"/>
      <c r="Q270" s="18"/>
      <c r="R270" s="18"/>
      <c r="S270" s="18"/>
      <c r="T270" s="18"/>
      <c r="U270" s="18"/>
    </row>
    <row r="271" spans="1:21" x14ac:dyDescent="0.35">
      <c r="A271" s="18"/>
      <c r="B271" s="18"/>
      <c r="C271" s="18"/>
      <c r="D271" s="18"/>
      <c r="E271" s="18"/>
      <c r="F271" s="18"/>
      <c r="G271" s="18"/>
      <c r="H271" s="18"/>
      <c r="I271" s="18"/>
      <c r="J271" s="18"/>
      <c r="K271" s="18"/>
      <c r="L271" s="18"/>
      <c r="M271" s="18"/>
      <c r="N271" s="18"/>
      <c r="O271" s="18"/>
      <c r="P271" s="18"/>
      <c r="Q271" s="18"/>
      <c r="R271" s="18"/>
      <c r="S271" s="18"/>
      <c r="T271" s="18"/>
      <c r="U271" s="18"/>
    </row>
    <row r="272" spans="1:21" x14ac:dyDescent="0.35">
      <c r="A272" s="18"/>
      <c r="B272" s="18"/>
      <c r="C272" s="18"/>
      <c r="D272" s="18"/>
      <c r="E272" s="18"/>
      <c r="F272" s="18"/>
      <c r="G272" s="18"/>
      <c r="H272" s="18"/>
      <c r="I272" s="18"/>
      <c r="J272" s="18"/>
      <c r="K272" s="18"/>
      <c r="L272" s="18"/>
      <c r="M272" s="18"/>
      <c r="N272" s="18"/>
      <c r="O272" s="18"/>
      <c r="P272" s="18"/>
      <c r="Q272" s="18"/>
      <c r="R272" s="18"/>
      <c r="S272" s="18"/>
      <c r="T272" s="18"/>
      <c r="U272" s="18"/>
    </row>
    <row r="273" spans="1:21" x14ac:dyDescent="0.35">
      <c r="A273" s="18"/>
      <c r="B273" s="18"/>
      <c r="C273" s="18"/>
      <c r="D273" s="18"/>
      <c r="E273" s="18"/>
      <c r="F273" s="18"/>
      <c r="G273" s="18"/>
      <c r="H273" s="18"/>
      <c r="I273" s="18"/>
      <c r="J273" s="18"/>
      <c r="K273" s="18"/>
      <c r="L273" s="18"/>
      <c r="M273" s="18"/>
      <c r="N273" s="18"/>
      <c r="O273" s="18"/>
      <c r="P273" s="18"/>
      <c r="Q273" s="18"/>
      <c r="R273" s="18"/>
      <c r="S273" s="18"/>
      <c r="T273" s="18"/>
      <c r="U273" s="18"/>
    </row>
    <row r="274" spans="1:21" x14ac:dyDescent="0.35">
      <c r="A274" s="18"/>
      <c r="B274" s="18"/>
      <c r="C274" s="18"/>
      <c r="D274" s="18"/>
      <c r="E274" s="18"/>
      <c r="F274" s="18"/>
      <c r="G274" s="18"/>
      <c r="H274" s="18"/>
      <c r="I274" s="18"/>
      <c r="J274" s="18"/>
      <c r="K274" s="18"/>
      <c r="L274" s="18"/>
      <c r="M274" s="18"/>
      <c r="N274" s="18"/>
      <c r="O274" s="18"/>
      <c r="P274" s="18"/>
      <c r="Q274" s="18"/>
      <c r="R274" s="18"/>
      <c r="S274" s="18"/>
      <c r="T274" s="18"/>
      <c r="U274" s="18"/>
    </row>
    <row r="275" spans="1:21" x14ac:dyDescent="0.35">
      <c r="A275" s="18"/>
      <c r="B275" s="18"/>
      <c r="C275" s="18"/>
      <c r="D275" s="18"/>
      <c r="E275" s="18"/>
      <c r="F275" s="18"/>
      <c r="G275" s="18"/>
      <c r="H275" s="18"/>
      <c r="I275" s="18"/>
      <c r="J275" s="18"/>
      <c r="K275" s="18"/>
      <c r="L275" s="18"/>
      <c r="M275" s="18"/>
      <c r="N275" s="18"/>
      <c r="O275" s="18"/>
      <c r="P275" s="18"/>
      <c r="Q275" s="18"/>
      <c r="R275" s="18"/>
      <c r="S275" s="18"/>
      <c r="T275" s="18"/>
      <c r="U275" s="18"/>
    </row>
    <row r="276" spans="1:21" x14ac:dyDescent="0.35">
      <c r="A276" s="18"/>
      <c r="B276" s="18"/>
      <c r="C276" s="18"/>
      <c r="D276" s="18"/>
      <c r="E276" s="18"/>
      <c r="F276" s="18"/>
      <c r="G276" s="18"/>
      <c r="H276" s="18"/>
      <c r="I276" s="18"/>
      <c r="J276" s="18"/>
      <c r="K276" s="18"/>
      <c r="L276" s="18"/>
      <c r="M276" s="18"/>
      <c r="N276" s="18"/>
      <c r="O276" s="18"/>
      <c r="P276" s="18"/>
      <c r="Q276" s="18"/>
      <c r="R276" s="18"/>
      <c r="S276" s="18"/>
      <c r="T276" s="18"/>
      <c r="U276" s="18"/>
    </row>
    <row r="277" spans="1:21" x14ac:dyDescent="0.35">
      <c r="A277" s="18"/>
      <c r="B277" s="18"/>
      <c r="C277" s="18"/>
      <c r="D277" s="18"/>
      <c r="E277" s="18"/>
      <c r="F277" s="18"/>
      <c r="G277" s="18"/>
      <c r="H277" s="18"/>
      <c r="I277" s="18"/>
      <c r="J277" s="18"/>
      <c r="K277" s="18"/>
      <c r="L277" s="18"/>
      <c r="M277" s="18"/>
      <c r="N277" s="18"/>
      <c r="O277" s="18"/>
      <c r="P277" s="18"/>
      <c r="Q277" s="18"/>
      <c r="R277" s="18"/>
      <c r="S277" s="18"/>
      <c r="T277" s="18"/>
      <c r="U277" s="18"/>
    </row>
    <row r="278" spans="1:21" x14ac:dyDescent="0.35">
      <c r="A278" s="18"/>
      <c r="B278" s="18"/>
      <c r="C278" s="18"/>
      <c r="D278" s="18"/>
      <c r="E278" s="18"/>
      <c r="F278" s="18"/>
      <c r="G278" s="18"/>
      <c r="H278" s="18"/>
      <c r="I278" s="18"/>
      <c r="J278" s="18"/>
      <c r="K278" s="18"/>
      <c r="L278" s="18"/>
      <c r="M278" s="18"/>
      <c r="N278" s="18"/>
      <c r="O278" s="18"/>
      <c r="P278" s="18"/>
      <c r="Q278" s="18"/>
      <c r="R278" s="18"/>
      <c r="S278" s="18"/>
      <c r="T278" s="18"/>
      <c r="U278" s="18"/>
    </row>
    <row r="279" spans="1:21" x14ac:dyDescent="0.35">
      <c r="A279" s="18"/>
      <c r="B279" s="18"/>
      <c r="C279" s="18"/>
      <c r="D279" s="18"/>
      <c r="E279" s="18"/>
      <c r="F279" s="18"/>
      <c r="G279" s="18"/>
      <c r="H279" s="18"/>
      <c r="I279" s="18"/>
      <c r="J279" s="18"/>
      <c r="K279" s="18"/>
      <c r="L279" s="18"/>
      <c r="M279" s="18"/>
      <c r="N279" s="18"/>
      <c r="O279" s="18"/>
      <c r="P279" s="18"/>
      <c r="Q279" s="18"/>
      <c r="R279" s="18"/>
      <c r="S279" s="18"/>
      <c r="T279" s="18"/>
      <c r="U279" s="18"/>
    </row>
    <row r="280" spans="1:21" x14ac:dyDescent="0.35">
      <c r="A280" s="18"/>
      <c r="B280" s="18"/>
      <c r="C280" s="18"/>
      <c r="D280" s="18"/>
      <c r="E280" s="18"/>
      <c r="F280" s="18"/>
      <c r="G280" s="18"/>
      <c r="H280" s="18"/>
      <c r="I280" s="18"/>
      <c r="J280" s="18"/>
      <c r="K280" s="18"/>
      <c r="L280" s="18"/>
      <c r="M280" s="18"/>
      <c r="N280" s="18"/>
      <c r="O280" s="18"/>
      <c r="P280" s="18"/>
      <c r="Q280" s="18"/>
      <c r="R280" s="18"/>
      <c r="S280" s="18"/>
      <c r="T280" s="18"/>
      <c r="U280" s="18"/>
    </row>
    <row r="281" spans="1:21" x14ac:dyDescent="0.35">
      <c r="A281" s="18"/>
      <c r="B281" s="18"/>
      <c r="C281" s="18"/>
      <c r="D281" s="18"/>
      <c r="E281" s="18"/>
      <c r="F281" s="18"/>
      <c r="G281" s="18"/>
      <c r="H281" s="18"/>
      <c r="I281" s="18"/>
      <c r="J281" s="18"/>
      <c r="K281" s="18"/>
      <c r="L281" s="18"/>
      <c r="M281" s="18"/>
      <c r="N281" s="18"/>
      <c r="O281" s="18"/>
      <c r="P281" s="18"/>
      <c r="Q281" s="18"/>
      <c r="R281" s="18"/>
      <c r="S281" s="18"/>
      <c r="T281" s="18"/>
      <c r="U281" s="18"/>
    </row>
    <row r="282" spans="1:21" x14ac:dyDescent="0.35">
      <c r="A282" s="18"/>
      <c r="B282" s="18"/>
      <c r="C282" s="18"/>
      <c r="D282" s="18"/>
      <c r="E282" s="18"/>
      <c r="F282" s="18"/>
      <c r="G282" s="18"/>
      <c r="H282" s="18"/>
      <c r="I282" s="18"/>
      <c r="J282" s="18"/>
      <c r="K282" s="18"/>
      <c r="L282" s="18"/>
      <c r="M282" s="18"/>
      <c r="N282" s="18"/>
      <c r="O282" s="18"/>
      <c r="P282" s="18"/>
      <c r="Q282" s="18"/>
      <c r="R282" s="18"/>
      <c r="S282" s="18"/>
      <c r="T282" s="18"/>
      <c r="U282" s="18"/>
    </row>
    <row r="283" spans="1:21" x14ac:dyDescent="0.35">
      <c r="A283" s="18"/>
      <c r="B283" s="18"/>
      <c r="C283" s="18"/>
      <c r="D283" s="18"/>
      <c r="E283" s="18"/>
      <c r="F283" s="18"/>
      <c r="G283" s="18"/>
      <c r="H283" s="18"/>
      <c r="I283" s="18"/>
      <c r="J283" s="18"/>
      <c r="K283" s="18"/>
      <c r="L283" s="18"/>
      <c r="M283" s="18"/>
      <c r="N283" s="18"/>
      <c r="O283" s="18"/>
      <c r="P283" s="18"/>
      <c r="Q283" s="18"/>
      <c r="R283" s="18"/>
      <c r="S283" s="18"/>
      <c r="T283" s="18"/>
      <c r="U283" s="18"/>
    </row>
    <row r="284" spans="1:21" x14ac:dyDescent="0.35">
      <c r="A284" s="18"/>
      <c r="B284" s="18"/>
      <c r="C284" s="18"/>
      <c r="D284" s="18"/>
      <c r="E284" s="18"/>
      <c r="F284" s="18"/>
      <c r="G284" s="18"/>
      <c r="H284" s="18"/>
      <c r="I284" s="18"/>
      <c r="J284" s="18"/>
      <c r="K284" s="18"/>
      <c r="L284" s="18"/>
      <c r="M284" s="18"/>
      <c r="N284" s="18"/>
      <c r="O284" s="18"/>
      <c r="P284" s="18"/>
      <c r="Q284" s="18"/>
      <c r="R284" s="18"/>
      <c r="S284" s="18"/>
      <c r="T284" s="18"/>
      <c r="U284" s="18"/>
    </row>
    <row r="285" spans="1:21" x14ac:dyDescent="0.35">
      <c r="A285" s="18"/>
      <c r="B285" s="18"/>
      <c r="C285" s="18"/>
      <c r="D285" s="18"/>
      <c r="E285" s="18"/>
      <c r="F285" s="18"/>
      <c r="G285" s="18"/>
      <c r="H285" s="18"/>
      <c r="I285" s="18"/>
      <c r="J285" s="18"/>
      <c r="K285" s="18"/>
      <c r="L285" s="18"/>
      <c r="M285" s="18"/>
      <c r="N285" s="18"/>
      <c r="O285" s="18"/>
      <c r="P285" s="18"/>
      <c r="Q285" s="18"/>
      <c r="R285" s="18"/>
      <c r="S285" s="18"/>
      <c r="T285" s="18"/>
      <c r="U285" s="18"/>
    </row>
    <row r="286" spans="1:21" x14ac:dyDescent="0.35">
      <c r="A286" s="18"/>
      <c r="B286" s="18"/>
      <c r="C286" s="18"/>
      <c r="D286" s="18"/>
      <c r="E286" s="18"/>
      <c r="F286" s="18"/>
      <c r="G286" s="18"/>
      <c r="H286" s="18"/>
      <c r="I286" s="18"/>
      <c r="J286" s="18"/>
      <c r="K286" s="18"/>
      <c r="L286" s="18"/>
      <c r="M286" s="18"/>
      <c r="N286" s="18"/>
      <c r="O286" s="18"/>
      <c r="P286" s="18"/>
      <c r="Q286" s="18"/>
      <c r="R286" s="18"/>
      <c r="S286" s="18"/>
      <c r="T286" s="18"/>
      <c r="U286" s="18"/>
    </row>
    <row r="287" spans="1:21" x14ac:dyDescent="0.35">
      <c r="A287" s="18"/>
      <c r="B287" s="18"/>
      <c r="C287" s="18"/>
      <c r="D287" s="18"/>
      <c r="E287" s="18"/>
      <c r="F287" s="18"/>
      <c r="G287" s="18"/>
      <c r="H287" s="18"/>
      <c r="I287" s="18"/>
      <c r="J287" s="18"/>
      <c r="K287" s="18"/>
      <c r="L287" s="18"/>
      <c r="M287" s="18"/>
      <c r="N287" s="18"/>
      <c r="O287" s="18"/>
      <c r="P287" s="18"/>
      <c r="Q287" s="18"/>
      <c r="R287" s="18"/>
      <c r="S287" s="18"/>
      <c r="T287" s="18"/>
      <c r="U287" s="18"/>
    </row>
    <row r="288" spans="1:21" x14ac:dyDescent="0.35">
      <c r="A288" s="18"/>
      <c r="B288" s="18"/>
      <c r="C288" s="18"/>
      <c r="D288" s="18"/>
      <c r="E288" s="18"/>
      <c r="F288" s="18"/>
      <c r="G288" s="18"/>
      <c r="H288" s="18"/>
      <c r="I288" s="18"/>
      <c r="J288" s="18"/>
      <c r="K288" s="18"/>
      <c r="L288" s="18"/>
      <c r="M288" s="18"/>
      <c r="N288" s="18"/>
      <c r="O288" s="18"/>
      <c r="P288" s="18"/>
      <c r="Q288" s="18"/>
      <c r="R288" s="18"/>
      <c r="S288" s="18"/>
      <c r="T288" s="18"/>
      <c r="U288" s="18"/>
    </row>
    <row r="289" spans="1:21" x14ac:dyDescent="0.35">
      <c r="A289" s="18"/>
      <c r="B289" s="18"/>
      <c r="C289" s="18"/>
      <c r="D289" s="18"/>
      <c r="E289" s="18"/>
      <c r="F289" s="18"/>
      <c r="G289" s="18"/>
      <c r="H289" s="18"/>
      <c r="I289" s="18"/>
      <c r="J289" s="18"/>
      <c r="K289" s="18"/>
      <c r="L289" s="18"/>
      <c r="M289" s="18"/>
      <c r="N289" s="18"/>
      <c r="O289" s="18"/>
      <c r="P289" s="18"/>
      <c r="Q289" s="18"/>
      <c r="R289" s="18"/>
      <c r="S289" s="18"/>
      <c r="T289" s="18"/>
      <c r="U289" s="18"/>
    </row>
    <row r="290" spans="1:21" x14ac:dyDescent="0.35">
      <c r="A290" s="18"/>
      <c r="B290" s="18"/>
      <c r="C290" s="18"/>
      <c r="D290" s="18"/>
      <c r="E290" s="18"/>
      <c r="F290" s="18"/>
      <c r="G290" s="18"/>
      <c r="H290" s="18"/>
      <c r="I290" s="18"/>
      <c r="J290" s="18"/>
      <c r="K290" s="18"/>
      <c r="L290" s="18"/>
      <c r="M290" s="18"/>
      <c r="N290" s="18"/>
      <c r="O290" s="18"/>
      <c r="P290" s="18"/>
      <c r="Q290" s="18"/>
      <c r="R290" s="18"/>
      <c r="S290" s="18"/>
      <c r="T290" s="18"/>
      <c r="U290" s="18"/>
    </row>
    <row r="291" spans="1:21" x14ac:dyDescent="0.35">
      <c r="A291" s="18"/>
      <c r="B291" s="18"/>
      <c r="C291" s="18"/>
      <c r="D291" s="18"/>
      <c r="E291" s="18"/>
      <c r="F291" s="18"/>
      <c r="G291" s="18"/>
      <c r="H291" s="18"/>
      <c r="I291" s="18"/>
      <c r="J291" s="18"/>
      <c r="K291" s="18"/>
      <c r="L291" s="18"/>
      <c r="M291" s="18"/>
      <c r="N291" s="18"/>
      <c r="O291" s="18"/>
      <c r="P291" s="18"/>
      <c r="Q291" s="18"/>
      <c r="R291" s="18"/>
      <c r="S291" s="18"/>
      <c r="T291" s="18"/>
      <c r="U291" s="18"/>
    </row>
    <row r="292" spans="1:21" x14ac:dyDescent="0.35">
      <c r="A292" s="18"/>
      <c r="B292" s="18"/>
      <c r="C292" s="18"/>
      <c r="D292" s="18"/>
      <c r="E292" s="18"/>
      <c r="F292" s="18"/>
      <c r="G292" s="18"/>
      <c r="H292" s="18"/>
      <c r="I292" s="18"/>
      <c r="J292" s="18"/>
      <c r="K292" s="18"/>
      <c r="L292" s="18"/>
      <c r="M292" s="18"/>
      <c r="N292" s="18"/>
      <c r="O292" s="18"/>
      <c r="P292" s="18"/>
      <c r="Q292" s="18"/>
      <c r="R292" s="18"/>
      <c r="S292" s="18"/>
      <c r="T292" s="18"/>
      <c r="U292" s="18"/>
    </row>
    <row r="293" spans="1:21" x14ac:dyDescent="0.35">
      <c r="A293" s="18"/>
      <c r="B293" s="18"/>
      <c r="C293" s="18"/>
      <c r="D293" s="18"/>
      <c r="E293" s="18"/>
      <c r="F293" s="18"/>
      <c r="G293" s="18"/>
      <c r="H293" s="18"/>
      <c r="I293" s="18"/>
      <c r="J293" s="18"/>
      <c r="K293" s="18"/>
      <c r="L293" s="18"/>
      <c r="M293" s="18"/>
      <c r="N293" s="18"/>
      <c r="O293" s="18"/>
      <c r="P293" s="18"/>
      <c r="Q293" s="18"/>
      <c r="R293" s="18"/>
      <c r="S293" s="18"/>
      <c r="T293" s="18"/>
      <c r="U293" s="18"/>
    </row>
    <row r="294" spans="1:21" x14ac:dyDescent="0.35">
      <c r="A294" s="18"/>
      <c r="B294" s="18"/>
      <c r="C294" s="18"/>
      <c r="D294" s="18"/>
      <c r="E294" s="18"/>
      <c r="F294" s="18"/>
      <c r="G294" s="18"/>
      <c r="H294" s="18"/>
      <c r="I294" s="18"/>
      <c r="J294" s="18"/>
      <c r="K294" s="18"/>
      <c r="L294" s="18"/>
      <c r="M294" s="18"/>
      <c r="N294" s="18"/>
      <c r="O294" s="18"/>
      <c r="P294" s="18"/>
      <c r="Q294" s="18"/>
      <c r="R294" s="18"/>
      <c r="S294" s="18"/>
      <c r="T294" s="18"/>
      <c r="U294" s="18"/>
    </row>
    <row r="295" spans="1:21" x14ac:dyDescent="0.35">
      <c r="A295" s="18"/>
      <c r="B295" s="18"/>
      <c r="C295" s="18"/>
      <c r="D295" s="18"/>
      <c r="E295" s="18"/>
      <c r="F295" s="18"/>
      <c r="G295" s="18"/>
      <c r="H295" s="18"/>
      <c r="I295" s="18"/>
      <c r="J295" s="18"/>
      <c r="K295" s="18"/>
      <c r="L295" s="18"/>
      <c r="M295" s="18"/>
      <c r="N295" s="18"/>
      <c r="O295" s="18"/>
      <c r="P295" s="18"/>
      <c r="Q295" s="18"/>
      <c r="R295" s="18"/>
      <c r="S295" s="18"/>
      <c r="T295" s="18"/>
      <c r="U295" s="18"/>
    </row>
    <row r="296" spans="1:21" x14ac:dyDescent="0.35">
      <c r="A296" s="18"/>
      <c r="B296" s="18"/>
      <c r="C296" s="18"/>
      <c r="D296" s="18"/>
      <c r="E296" s="18"/>
      <c r="F296" s="18"/>
      <c r="G296" s="18"/>
      <c r="H296" s="18"/>
      <c r="I296" s="18"/>
      <c r="J296" s="18"/>
      <c r="K296" s="18"/>
      <c r="L296" s="18"/>
      <c r="M296" s="18"/>
      <c r="N296" s="18"/>
      <c r="O296" s="18"/>
      <c r="P296" s="18"/>
      <c r="Q296" s="18"/>
      <c r="R296" s="18"/>
      <c r="S296" s="18"/>
      <c r="T296" s="18"/>
      <c r="U296" s="18"/>
    </row>
    <row r="297" spans="1:21" x14ac:dyDescent="0.35">
      <c r="A297" s="18"/>
      <c r="B297" s="18"/>
      <c r="C297" s="18"/>
      <c r="D297" s="18"/>
      <c r="E297" s="18"/>
      <c r="F297" s="18"/>
      <c r="G297" s="18"/>
      <c r="H297" s="18"/>
      <c r="I297" s="18"/>
      <c r="J297" s="18"/>
      <c r="K297" s="18"/>
      <c r="L297" s="18"/>
      <c r="M297" s="18"/>
      <c r="N297" s="18"/>
      <c r="O297" s="18"/>
      <c r="P297" s="18"/>
      <c r="Q297" s="18"/>
      <c r="R297" s="18"/>
      <c r="S297" s="18"/>
      <c r="T297" s="18"/>
      <c r="U297" s="18"/>
    </row>
    <row r="298" spans="1:21" x14ac:dyDescent="0.35">
      <c r="A298" s="18"/>
      <c r="B298" s="18"/>
      <c r="C298" s="18"/>
      <c r="D298" s="18"/>
      <c r="E298" s="18"/>
      <c r="F298" s="18"/>
      <c r="G298" s="18"/>
      <c r="H298" s="18"/>
      <c r="I298" s="18"/>
      <c r="J298" s="18"/>
      <c r="K298" s="18"/>
      <c r="L298" s="18"/>
      <c r="M298" s="18"/>
      <c r="N298" s="18"/>
      <c r="O298" s="18"/>
      <c r="P298" s="18"/>
      <c r="Q298" s="18"/>
      <c r="R298" s="18"/>
      <c r="S298" s="18"/>
      <c r="T298" s="18"/>
      <c r="U298" s="18"/>
    </row>
    <row r="299" spans="1:21" x14ac:dyDescent="0.35">
      <c r="A299" s="18"/>
      <c r="B299" s="18"/>
      <c r="C299" s="18"/>
      <c r="D299" s="18"/>
      <c r="E299" s="18"/>
      <c r="F299" s="18"/>
      <c r="G299" s="18"/>
      <c r="H299" s="18"/>
      <c r="I299" s="18"/>
      <c r="J299" s="18"/>
      <c r="K299" s="18"/>
      <c r="L299" s="18"/>
      <c r="M299" s="18"/>
      <c r="N299" s="18"/>
      <c r="O299" s="18"/>
      <c r="P299" s="18"/>
      <c r="Q299" s="18"/>
      <c r="R299" s="18"/>
      <c r="S299" s="18"/>
      <c r="T299" s="18"/>
      <c r="U299" s="18"/>
    </row>
    <row r="300" spans="1:21" x14ac:dyDescent="0.35">
      <c r="A300" s="18"/>
      <c r="B300" s="18"/>
      <c r="C300" s="18"/>
      <c r="D300" s="18"/>
      <c r="E300" s="18"/>
      <c r="F300" s="18"/>
      <c r="G300" s="18"/>
      <c r="H300" s="18"/>
      <c r="I300" s="18"/>
      <c r="J300" s="18"/>
      <c r="K300" s="18"/>
      <c r="L300" s="18"/>
      <c r="M300" s="18"/>
      <c r="N300" s="18"/>
      <c r="O300" s="18"/>
      <c r="P300" s="18"/>
      <c r="Q300" s="18"/>
      <c r="R300" s="18"/>
      <c r="S300" s="18"/>
      <c r="T300" s="18"/>
      <c r="U300" s="18"/>
    </row>
    <row r="301" spans="1:21" x14ac:dyDescent="0.35">
      <c r="A301" s="18"/>
      <c r="B301" s="18"/>
      <c r="C301" s="18"/>
      <c r="D301" s="18"/>
      <c r="E301" s="18"/>
      <c r="F301" s="18"/>
      <c r="G301" s="18"/>
      <c r="H301" s="18"/>
      <c r="I301" s="18"/>
      <c r="J301" s="18"/>
      <c r="K301" s="18"/>
      <c r="L301" s="18"/>
      <c r="M301" s="18"/>
      <c r="N301" s="18"/>
      <c r="O301" s="18"/>
      <c r="P301" s="18"/>
      <c r="Q301" s="18"/>
      <c r="R301" s="18"/>
      <c r="S301" s="18"/>
      <c r="T301" s="18"/>
      <c r="U301" s="18"/>
    </row>
    <row r="302" spans="1:21" x14ac:dyDescent="0.35">
      <c r="A302" s="18"/>
      <c r="B302" s="18"/>
      <c r="C302" s="18"/>
      <c r="D302" s="18"/>
      <c r="E302" s="18"/>
      <c r="F302" s="18"/>
      <c r="G302" s="18"/>
      <c r="H302" s="18"/>
      <c r="I302" s="18"/>
      <c r="J302" s="18"/>
      <c r="K302" s="18"/>
      <c r="L302" s="18"/>
      <c r="M302" s="18"/>
      <c r="N302" s="18"/>
      <c r="O302" s="18"/>
      <c r="P302" s="18"/>
      <c r="Q302" s="18"/>
      <c r="R302" s="18"/>
      <c r="S302" s="18"/>
      <c r="T302" s="18"/>
      <c r="U302" s="18"/>
    </row>
    <row r="303" spans="1:21" x14ac:dyDescent="0.35">
      <c r="A303" s="18"/>
      <c r="B303" s="18"/>
      <c r="C303" s="18"/>
      <c r="D303" s="18"/>
      <c r="E303" s="18"/>
      <c r="F303" s="18"/>
      <c r="G303" s="18"/>
      <c r="H303" s="18"/>
      <c r="I303" s="18"/>
      <c r="J303" s="18"/>
      <c r="K303" s="18"/>
      <c r="L303" s="18"/>
      <c r="M303" s="18"/>
      <c r="N303" s="18"/>
      <c r="O303" s="18"/>
      <c r="P303" s="18"/>
      <c r="Q303" s="18"/>
      <c r="R303" s="18"/>
      <c r="S303" s="18"/>
      <c r="T303" s="18"/>
      <c r="U303" s="18"/>
    </row>
    <row r="304" spans="1:21" x14ac:dyDescent="0.35">
      <c r="A304" s="18"/>
      <c r="B304" s="18"/>
      <c r="C304" s="18"/>
      <c r="D304" s="18"/>
      <c r="E304" s="18"/>
      <c r="F304" s="18"/>
      <c r="G304" s="18"/>
      <c r="H304" s="18"/>
      <c r="I304" s="18"/>
      <c r="J304" s="18"/>
      <c r="K304" s="18"/>
      <c r="L304" s="18"/>
      <c r="M304" s="18"/>
      <c r="N304" s="18"/>
      <c r="O304" s="18"/>
      <c r="P304" s="18"/>
      <c r="Q304" s="18"/>
      <c r="R304" s="18"/>
      <c r="S304" s="18"/>
      <c r="T304" s="18"/>
      <c r="U304" s="18"/>
    </row>
    <row r="305" spans="1:21" x14ac:dyDescent="0.35">
      <c r="A305" s="18"/>
      <c r="B305" s="18"/>
      <c r="C305" s="18"/>
      <c r="D305" s="18"/>
      <c r="E305" s="18"/>
      <c r="F305" s="18"/>
      <c r="G305" s="18"/>
      <c r="H305" s="18"/>
      <c r="I305" s="18"/>
      <c r="J305" s="18"/>
      <c r="K305" s="18"/>
      <c r="L305" s="18"/>
      <c r="M305" s="18"/>
      <c r="N305" s="18"/>
      <c r="O305" s="18"/>
      <c r="P305" s="18"/>
      <c r="Q305" s="18"/>
      <c r="R305" s="18"/>
      <c r="S305" s="18"/>
      <c r="T305" s="18"/>
      <c r="U305" s="18"/>
    </row>
    <row r="306" spans="1:21" x14ac:dyDescent="0.35">
      <c r="A306" s="18"/>
      <c r="B306" s="18"/>
      <c r="C306" s="18"/>
      <c r="D306" s="18"/>
      <c r="E306" s="18"/>
      <c r="F306" s="18"/>
      <c r="G306" s="18"/>
      <c r="H306" s="18"/>
      <c r="I306" s="18"/>
      <c r="J306" s="18"/>
      <c r="K306" s="18"/>
      <c r="L306" s="18"/>
      <c r="M306" s="18"/>
      <c r="N306" s="18"/>
      <c r="O306" s="18"/>
      <c r="P306" s="18"/>
      <c r="Q306" s="18"/>
      <c r="R306" s="18"/>
      <c r="S306" s="18"/>
      <c r="T306" s="18"/>
      <c r="U306" s="18"/>
    </row>
    <row r="307" spans="1:21" x14ac:dyDescent="0.35">
      <c r="A307" s="18"/>
      <c r="B307" s="18"/>
      <c r="C307" s="18"/>
      <c r="D307" s="18"/>
      <c r="E307" s="18"/>
      <c r="F307" s="18"/>
      <c r="G307" s="18"/>
      <c r="H307" s="18"/>
      <c r="I307" s="18"/>
      <c r="J307" s="18"/>
      <c r="K307" s="18"/>
      <c r="L307" s="18"/>
      <c r="M307" s="18"/>
      <c r="N307" s="18"/>
      <c r="O307" s="18"/>
      <c r="P307" s="18"/>
      <c r="Q307" s="18"/>
      <c r="R307" s="18"/>
      <c r="S307" s="18"/>
      <c r="T307" s="18"/>
      <c r="U307" s="18"/>
    </row>
    <row r="308" spans="1:21" x14ac:dyDescent="0.35">
      <c r="A308" s="18"/>
      <c r="B308" s="18"/>
      <c r="C308" s="18"/>
      <c r="D308" s="18"/>
      <c r="E308" s="18"/>
      <c r="F308" s="18"/>
      <c r="G308" s="18"/>
      <c r="H308" s="18"/>
      <c r="I308" s="18"/>
      <c r="J308" s="18"/>
      <c r="K308" s="18"/>
      <c r="L308" s="18"/>
      <c r="M308" s="18"/>
      <c r="N308" s="18"/>
      <c r="O308" s="18"/>
      <c r="P308" s="18"/>
      <c r="Q308" s="18"/>
      <c r="R308" s="18"/>
      <c r="S308" s="18"/>
      <c r="T308" s="18"/>
      <c r="U308" s="18"/>
    </row>
    <row r="309" spans="1:21" x14ac:dyDescent="0.35">
      <c r="A309" s="18"/>
      <c r="B309" s="18"/>
      <c r="C309" s="18"/>
      <c r="D309" s="18"/>
      <c r="E309" s="18"/>
      <c r="F309" s="18"/>
      <c r="G309" s="18"/>
      <c r="H309" s="18"/>
      <c r="I309" s="18"/>
      <c r="J309" s="18"/>
      <c r="K309" s="18"/>
      <c r="L309" s="18"/>
      <c r="M309" s="18"/>
      <c r="N309" s="18"/>
      <c r="O309" s="18"/>
      <c r="P309" s="18"/>
      <c r="Q309" s="18"/>
      <c r="R309" s="18"/>
      <c r="S309" s="18"/>
      <c r="T309" s="18"/>
      <c r="U309" s="18"/>
    </row>
    <row r="310" spans="1:21" x14ac:dyDescent="0.35">
      <c r="A310" s="18"/>
      <c r="B310" s="18"/>
      <c r="C310" s="18"/>
      <c r="D310" s="18"/>
      <c r="E310" s="18"/>
      <c r="F310" s="18"/>
      <c r="G310" s="18"/>
      <c r="H310" s="18"/>
      <c r="I310" s="18"/>
      <c r="J310" s="18"/>
      <c r="K310" s="18"/>
      <c r="L310" s="18"/>
      <c r="M310" s="18"/>
      <c r="N310" s="18"/>
      <c r="O310" s="18"/>
      <c r="P310" s="18"/>
      <c r="Q310" s="18"/>
      <c r="R310" s="18"/>
      <c r="S310" s="18"/>
      <c r="T310" s="18"/>
      <c r="U310" s="18"/>
    </row>
    <row r="311" spans="1:21" x14ac:dyDescent="0.35">
      <c r="A311" s="18"/>
      <c r="B311" s="18"/>
      <c r="C311" s="18"/>
      <c r="D311" s="18"/>
      <c r="E311" s="18"/>
      <c r="F311" s="18"/>
      <c r="G311" s="18"/>
      <c r="H311" s="18"/>
      <c r="I311" s="18"/>
      <c r="J311" s="18"/>
      <c r="K311" s="18"/>
      <c r="L311" s="18"/>
      <c r="M311" s="18"/>
      <c r="N311" s="18"/>
      <c r="O311" s="18"/>
      <c r="P311" s="18"/>
      <c r="Q311" s="18"/>
      <c r="R311" s="18"/>
      <c r="S311" s="18"/>
      <c r="T311" s="18"/>
      <c r="U311" s="18"/>
    </row>
    <row r="312" spans="1:21" x14ac:dyDescent="0.35">
      <c r="A312" s="18"/>
      <c r="B312" s="18"/>
      <c r="C312" s="18"/>
      <c r="D312" s="18"/>
      <c r="E312" s="18"/>
      <c r="F312" s="18"/>
      <c r="G312" s="18"/>
      <c r="H312" s="18"/>
      <c r="I312" s="18"/>
      <c r="J312" s="18"/>
      <c r="K312" s="18"/>
      <c r="L312" s="18"/>
      <c r="M312" s="18"/>
      <c r="N312" s="18"/>
      <c r="O312" s="18"/>
      <c r="P312" s="18"/>
      <c r="Q312" s="18"/>
      <c r="R312" s="18"/>
      <c r="S312" s="18"/>
      <c r="T312" s="18"/>
      <c r="U312" s="18"/>
    </row>
    <row r="313" spans="1:21" x14ac:dyDescent="0.35">
      <c r="A313" s="18"/>
      <c r="B313" s="18"/>
      <c r="C313" s="18"/>
      <c r="D313" s="18"/>
      <c r="E313" s="18"/>
      <c r="F313" s="18"/>
      <c r="G313" s="18"/>
      <c r="H313" s="18"/>
      <c r="I313" s="18"/>
      <c r="J313" s="18"/>
      <c r="K313" s="18"/>
      <c r="L313" s="18"/>
      <c r="M313" s="18"/>
      <c r="N313" s="18"/>
      <c r="O313" s="18"/>
      <c r="P313" s="18"/>
      <c r="Q313" s="18"/>
      <c r="R313" s="18"/>
      <c r="S313" s="18"/>
      <c r="T313" s="18"/>
      <c r="U313" s="18"/>
    </row>
    <row r="314" spans="1:21" x14ac:dyDescent="0.35">
      <c r="A314" s="18"/>
      <c r="B314" s="18"/>
      <c r="C314" s="18"/>
      <c r="D314" s="18"/>
      <c r="E314" s="18"/>
      <c r="F314" s="18"/>
      <c r="G314" s="18"/>
      <c r="H314" s="18"/>
      <c r="I314" s="18"/>
      <c r="J314" s="18"/>
      <c r="K314" s="18"/>
      <c r="L314" s="18"/>
      <c r="M314" s="18"/>
      <c r="N314" s="18"/>
      <c r="O314" s="18"/>
      <c r="P314" s="18"/>
      <c r="Q314" s="18"/>
      <c r="R314" s="18"/>
      <c r="S314" s="18"/>
      <c r="T314" s="18"/>
      <c r="U314" s="18"/>
    </row>
    <row r="315" spans="1:21" x14ac:dyDescent="0.35">
      <c r="A315" s="18"/>
      <c r="B315" s="18"/>
      <c r="C315" s="18"/>
      <c r="D315" s="18"/>
      <c r="E315" s="18"/>
      <c r="F315" s="18"/>
      <c r="G315" s="18"/>
      <c r="H315" s="18"/>
      <c r="I315" s="18"/>
      <c r="J315" s="18"/>
      <c r="K315" s="18"/>
      <c r="L315" s="18"/>
      <c r="M315" s="18"/>
      <c r="N315" s="18"/>
      <c r="O315" s="18"/>
      <c r="P315" s="18"/>
      <c r="Q315" s="18"/>
      <c r="R315" s="18"/>
      <c r="S315" s="18"/>
      <c r="T315" s="18"/>
      <c r="U315" s="18"/>
    </row>
    <row r="316" spans="1:21" x14ac:dyDescent="0.35">
      <c r="A316" s="18"/>
      <c r="B316" s="18"/>
      <c r="C316" s="18"/>
      <c r="D316" s="18"/>
      <c r="E316" s="18"/>
      <c r="F316" s="18"/>
      <c r="G316" s="18"/>
      <c r="H316" s="18"/>
      <c r="I316" s="18"/>
      <c r="J316" s="18"/>
      <c r="K316" s="18"/>
      <c r="L316" s="18"/>
      <c r="M316" s="18"/>
      <c r="N316" s="18"/>
      <c r="O316" s="18"/>
      <c r="P316" s="18"/>
      <c r="Q316" s="18"/>
      <c r="R316" s="18"/>
      <c r="S316" s="18"/>
      <c r="T316" s="18"/>
      <c r="U316" s="18"/>
    </row>
    <row r="317" spans="1:21" x14ac:dyDescent="0.35">
      <c r="A317" s="18"/>
      <c r="B317" s="18"/>
      <c r="C317" s="18"/>
      <c r="D317" s="18"/>
      <c r="E317" s="18"/>
      <c r="F317" s="18"/>
      <c r="G317" s="18"/>
      <c r="H317" s="18"/>
      <c r="I317" s="18"/>
      <c r="J317" s="18"/>
      <c r="K317" s="18"/>
      <c r="L317" s="18"/>
      <c r="M317" s="18"/>
      <c r="N317" s="18"/>
      <c r="O317" s="18"/>
      <c r="P317" s="18"/>
      <c r="Q317" s="18"/>
      <c r="R317" s="18"/>
      <c r="S317" s="18"/>
      <c r="T317" s="18"/>
      <c r="U317" s="18"/>
    </row>
    <row r="318" spans="1:21" x14ac:dyDescent="0.35">
      <c r="A318" s="18"/>
      <c r="B318" s="18"/>
      <c r="C318" s="18"/>
      <c r="D318" s="18"/>
      <c r="E318" s="18"/>
      <c r="F318" s="18"/>
      <c r="G318" s="18"/>
      <c r="H318" s="18"/>
      <c r="I318" s="18"/>
      <c r="J318" s="18"/>
      <c r="K318" s="18"/>
      <c r="L318" s="18"/>
      <c r="M318" s="18"/>
      <c r="N318" s="18"/>
      <c r="O318" s="18"/>
      <c r="P318" s="18"/>
      <c r="Q318" s="18"/>
      <c r="R318" s="18"/>
      <c r="S318" s="18"/>
      <c r="T318" s="18"/>
      <c r="U318" s="18"/>
    </row>
    <row r="319" spans="1:21" x14ac:dyDescent="0.35">
      <c r="A319" s="18"/>
      <c r="B319" s="18"/>
      <c r="C319" s="18"/>
      <c r="D319" s="18"/>
      <c r="E319" s="18"/>
      <c r="F319" s="18"/>
      <c r="G319" s="18"/>
      <c r="H319" s="18"/>
      <c r="I319" s="18"/>
      <c r="J319" s="18"/>
      <c r="K319" s="18"/>
      <c r="L319" s="18"/>
      <c r="M319" s="18"/>
      <c r="N319" s="18"/>
      <c r="O319" s="18"/>
      <c r="P319" s="18"/>
      <c r="Q319" s="18"/>
      <c r="R319" s="18"/>
      <c r="S319" s="18"/>
      <c r="T319" s="18"/>
      <c r="U319" s="18"/>
    </row>
    <row r="320" spans="1:21" x14ac:dyDescent="0.35">
      <c r="A320" s="18"/>
      <c r="B320" s="18"/>
      <c r="C320" s="18"/>
      <c r="D320" s="18"/>
      <c r="E320" s="18"/>
      <c r="F320" s="18"/>
      <c r="G320" s="18"/>
      <c r="H320" s="18"/>
      <c r="I320" s="18"/>
      <c r="J320" s="18"/>
      <c r="K320" s="18"/>
      <c r="L320" s="18"/>
      <c r="M320" s="18"/>
      <c r="N320" s="18"/>
      <c r="O320" s="18"/>
      <c r="P320" s="18"/>
      <c r="Q320" s="18"/>
      <c r="R320" s="18"/>
      <c r="S320" s="18"/>
      <c r="T320" s="18"/>
      <c r="U320" s="18"/>
    </row>
    <row r="321" spans="1:21" x14ac:dyDescent="0.35">
      <c r="A321" s="18"/>
      <c r="B321" s="18"/>
      <c r="C321" s="18"/>
      <c r="D321" s="18"/>
      <c r="E321" s="18"/>
      <c r="F321" s="18"/>
      <c r="G321" s="18"/>
      <c r="H321" s="18"/>
      <c r="I321" s="18"/>
      <c r="J321" s="18"/>
      <c r="K321" s="18"/>
      <c r="L321" s="18"/>
      <c r="M321" s="18"/>
      <c r="N321" s="18"/>
      <c r="O321" s="18"/>
      <c r="P321" s="18"/>
      <c r="Q321" s="18"/>
      <c r="R321" s="18"/>
      <c r="S321" s="18"/>
      <c r="T321" s="18"/>
      <c r="U321" s="18"/>
    </row>
    <row r="322" spans="1:21" x14ac:dyDescent="0.35">
      <c r="A322" s="18"/>
      <c r="B322" s="18"/>
      <c r="C322" s="18"/>
      <c r="D322" s="18"/>
      <c r="E322" s="18"/>
      <c r="F322" s="18"/>
      <c r="G322" s="18"/>
      <c r="H322" s="18"/>
      <c r="I322" s="18"/>
      <c r="J322" s="18"/>
      <c r="K322" s="18"/>
      <c r="L322" s="18"/>
      <c r="M322" s="18"/>
      <c r="N322" s="18"/>
      <c r="O322" s="18"/>
      <c r="P322" s="18"/>
      <c r="Q322" s="18"/>
      <c r="R322" s="18"/>
      <c r="S322" s="18"/>
      <c r="T322" s="18"/>
      <c r="U322" s="18"/>
    </row>
    <row r="323" spans="1:21" x14ac:dyDescent="0.35">
      <c r="A323" s="18"/>
      <c r="B323" s="18"/>
      <c r="C323" s="18"/>
      <c r="D323" s="18"/>
      <c r="E323" s="18"/>
      <c r="F323" s="18"/>
      <c r="G323" s="18"/>
      <c r="H323" s="18"/>
      <c r="I323" s="18"/>
      <c r="J323" s="18"/>
      <c r="K323" s="18"/>
      <c r="L323" s="18"/>
      <c r="M323" s="18"/>
      <c r="N323" s="18"/>
      <c r="O323" s="18"/>
      <c r="P323" s="18"/>
      <c r="Q323" s="18"/>
      <c r="R323" s="18"/>
      <c r="S323" s="18"/>
      <c r="T323" s="18"/>
      <c r="U323" s="18"/>
    </row>
    <row r="324" spans="1:21" x14ac:dyDescent="0.35">
      <c r="A324" s="18"/>
      <c r="B324" s="18"/>
      <c r="C324" s="18"/>
      <c r="D324" s="18"/>
      <c r="E324" s="18"/>
      <c r="F324" s="18"/>
      <c r="G324" s="18"/>
      <c r="H324" s="18"/>
      <c r="I324" s="18"/>
      <c r="J324" s="18"/>
      <c r="K324" s="18"/>
      <c r="L324" s="18"/>
      <c r="M324" s="18"/>
      <c r="N324" s="18"/>
      <c r="O324" s="18"/>
      <c r="P324" s="18"/>
      <c r="Q324" s="18"/>
      <c r="R324" s="18"/>
      <c r="S324" s="18"/>
      <c r="T324" s="18"/>
      <c r="U324" s="18"/>
    </row>
    <row r="325" spans="1:21" x14ac:dyDescent="0.35">
      <c r="A325" s="18"/>
      <c r="B325" s="18"/>
      <c r="C325" s="18"/>
      <c r="D325" s="18"/>
      <c r="E325" s="18"/>
      <c r="F325" s="18"/>
      <c r="G325" s="18"/>
      <c r="H325" s="18"/>
      <c r="I325" s="18"/>
      <c r="J325" s="18"/>
      <c r="K325" s="18"/>
      <c r="L325" s="18"/>
      <c r="M325" s="18"/>
      <c r="N325" s="18"/>
      <c r="O325" s="18"/>
      <c r="P325" s="18"/>
      <c r="Q325" s="18"/>
      <c r="R325" s="18"/>
      <c r="S325" s="18"/>
      <c r="T325" s="18"/>
      <c r="U325" s="18"/>
    </row>
    <row r="326" spans="1:21" x14ac:dyDescent="0.35">
      <c r="A326" s="18"/>
      <c r="B326" s="18"/>
      <c r="C326" s="18"/>
      <c r="D326" s="18"/>
      <c r="E326" s="18"/>
      <c r="F326" s="18"/>
      <c r="G326" s="18"/>
      <c r="H326" s="18"/>
      <c r="I326" s="18"/>
      <c r="J326" s="18"/>
      <c r="K326" s="18"/>
      <c r="L326" s="18"/>
      <c r="M326" s="18"/>
      <c r="N326" s="18"/>
      <c r="O326" s="18"/>
      <c r="P326" s="18"/>
      <c r="Q326" s="18"/>
      <c r="R326" s="18"/>
      <c r="S326" s="18"/>
      <c r="T326" s="18"/>
      <c r="U326" s="18"/>
    </row>
    <row r="327" spans="1:21" x14ac:dyDescent="0.35">
      <c r="A327" s="18"/>
      <c r="B327" s="18"/>
      <c r="C327" s="18"/>
      <c r="D327" s="18"/>
      <c r="E327" s="18"/>
      <c r="F327" s="18"/>
      <c r="G327" s="18"/>
      <c r="H327" s="18"/>
      <c r="I327" s="18"/>
      <c r="J327" s="18"/>
      <c r="K327" s="18"/>
      <c r="L327" s="18"/>
      <c r="M327" s="18"/>
      <c r="N327" s="18"/>
      <c r="O327" s="18"/>
      <c r="P327" s="18"/>
      <c r="Q327" s="18"/>
      <c r="R327" s="18"/>
      <c r="S327" s="18"/>
      <c r="T327" s="18"/>
      <c r="U327" s="18"/>
    </row>
    <row r="328" spans="1:21" x14ac:dyDescent="0.35">
      <c r="A328" s="18"/>
      <c r="B328" s="18"/>
      <c r="C328" s="18"/>
      <c r="D328" s="18"/>
      <c r="E328" s="18"/>
      <c r="F328" s="18"/>
      <c r="G328" s="18"/>
      <c r="H328" s="18"/>
      <c r="I328" s="18"/>
      <c r="J328" s="18"/>
      <c r="K328" s="18"/>
      <c r="L328" s="18"/>
      <c r="M328" s="18"/>
      <c r="N328" s="18"/>
      <c r="O328" s="18"/>
      <c r="P328" s="18"/>
      <c r="Q328" s="18"/>
      <c r="R328" s="18"/>
      <c r="S328" s="18"/>
      <c r="T328" s="18"/>
      <c r="U328" s="18"/>
    </row>
    <row r="329" spans="1:21" x14ac:dyDescent="0.35">
      <c r="A329" s="18"/>
      <c r="B329" s="18"/>
      <c r="C329" s="18"/>
      <c r="D329" s="18"/>
      <c r="E329" s="18"/>
      <c r="F329" s="18"/>
      <c r="G329" s="18"/>
      <c r="H329" s="18"/>
      <c r="I329" s="18"/>
      <c r="J329" s="18"/>
      <c r="K329" s="18"/>
      <c r="L329" s="18"/>
      <c r="M329" s="18"/>
      <c r="N329" s="18"/>
      <c r="O329" s="18"/>
      <c r="P329" s="18"/>
      <c r="Q329" s="18"/>
      <c r="R329" s="18"/>
      <c r="S329" s="18"/>
      <c r="T329" s="18"/>
      <c r="U329" s="18"/>
    </row>
    <row r="330" spans="1:21" x14ac:dyDescent="0.35">
      <c r="A330" s="18"/>
      <c r="B330" s="18"/>
      <c r="C330" s="18"/>
      <c r="D330" s="18"/>
      <c r="E330" s="18"/>
      <c r="F330" s="18"/>
      <c r="G330" s="18"/>
      <c r="H330" s="18"/>
      <c r="I330" s="18"/>
      <c r="J330" s="18"/>
      <c r="K330" s="18"/>
      <c r="L330" s="18"/>
      <c r="M330" s="18"/>
      <c r="N330" s="18"/>
      <c r="O330" s="18"/>
      <c r="P330" s="18"/>
      <c r="Q330" s="18"/>
      <c r="R330" s="18"/>
      <c r="S330" s="18"/>
      <c r="T330" s="18"/>
      <c r="U330" s="18"/>
    </row>
    <row r="331" spans="1:21" x14ac:dyDescent="0.35">
      <c r="A331" s="18"/>
      <c r="B331" s="18"/>
      <c r="C331" s="18"/>
      <c r="D331" s="18"/>
      <c r="E331" s="18"/>
      <c r="F331" s="18"/>
      <c r="G331" s="18"/>
      <c r="H331" s="18"/>
      <c r="I331" s="18"/>
      <c r="J331" s="18"/>
      <c r="K331" s="18"/>
      <c r="L331" s="18"/>
      <c r="M331" s="18"/>
      <c r="N331" s="18"/>
      <c r="O331" s="18"/>
      <c r="P331" s="18"/>
      <c r="Q331" s="18"/>
      <c r="R331" s="18"/>
      <c r="S331" s="18"/>
      <c r="T331" s="18"/>
      <c r="U331" s="18"/>
    </row>
    <row r="332" spans="1:21" x14ac:dyDescent="0.35">
      <c r="A332" s="18"/>
      <c r="B332" s="18"/>
      <c r="C332" s="18"/>
      <c r="D332" s="18"/>
      <c r="E332" s="18"/>
      <c r="F332" s="18"/>
      <c r="G332" s="18"/>
      <c r="H332" s="18"/>
      <c r="I332" s="18"/>
      <c r="J332" s="18"/>
      <c r="K332" s="18"/>
      <c r="L332" s="18"/>
      <c r="M332" s="18"/>
      <c r="N332" s="18"/>
      <c r="O332" s="18"/>
      <c r="P332" s="18"/>
      <c r="Q332" s="18"/>
      <c r="R332" s="18"/>
      <c r="S332" s="18"/>
      <c r="T332" s="18"/>
      <c r="U332" s="18"/>
    </row>
    <row r="333" spans="1:21" x14ac:dyDescent="0.35">
      <c r="A333" s="18"/>
      <c r="B333" s="18"/>
      <c r="C333" s="18"/>
      <c r="D333" s="18"/>
      <c r="E333" s="18"/>
      <c r="F333" s="18"/>
      <c r="G333" s="18"/>
      <c r="H333" s="18"/>
      <c r="I333" s="18"/>
      <c r="J333" s="18"/>
      <c r="K333" s="18"/>
      <c r="L333" s="18"/>
      <c r="M333" s="18"/>
      <c r="N333" s="18"/>
      <c r="O333" s="18"/>
      <c r="P333" s="18"/>
      <c r="Q333" s="18"/>
      <c r="R333" s="18"/>
      <c r="S333" s="18"/>
      <c r="T333" s="18"/>
      <c r="U333" s="18"/>
    </row>
    <row r="334" spans="1:21" x14ac:dyDescent="0.35">
      <c r="A334" s="18"/>
      <c r="B334" s="18"/>
      <c r="C334" s="18"/>
      <c r="D334" s="18"/>
      <c r="E334" s="18"/>
      <c r="F334" s="18"/>
      <c r="G334" s="18"/>
      <c r="H334" s="18"/>
      <c r="I334" s="18"/>
      <c r="J334" s="18"/>
      <c r="K334" s="18"/>
      <c r="L334" s="18"/>
      <c r="M334" s="18"/>
      <c r="N334" s="18"/>
      <c r="O334" s="18"/>
      <c r="P334" s="18"/>
      <c r="Q334" s="18"/>
      <c r="R334" s="18"/>
      <c r="S334" s="18"/>
      <c r="T334" s="18"/>
      <c r="U334" s="18"/>
    </row>
    <row r="335" spans="1:21" x14ac:dyDescent="0.35">
      <c r="A335" s="18"/>
      <c r="B335" s="18"/>
      <c r="C335" s="18"/>
      <c r="D335" s="18"/>
      <c r="E335" s="18"/>
      <c r="F335" s="18"/>
      <c r="G335" s="18"/>
      <c r="H335" s="18"/>
      <c r="I335" s="18"/>
      <c r="J335" s="18"/>
      <c r="K335" s="18"/>
      <c r="L335" s="18"/>
      <c r="M335" s="18"/>
      <c r="N335" s="18"/>
      <c r="O335" s="18"/>
      <c r="P335" s="18"/>
      <c r="Q335" s="18"/>
      <c r="R335" s="18"/>
      <c r="S335" s="18"/>
      <c r="T335" s="18"/>
      <c r="U335" s="18"/>
    </row>
    <row r="336" spans="1:21" x14ac:dyDescent="0.35">
      <c r="A336" s="18"/>
      <c r="B336" s="18"/>
      <c r="C336" s="18"/>
      <c r="D336" s="18"/>
      <c r="E336" s="18"/>
      <c r="F336" s="18"/>
      <c r="G336" s="18"/>
      <c r="H336" s="18"/>
      <c r="I336" s="18"/>
      <c r="J336" s="18"/>
      <c r="K336" s="18"/>
      <c r="L336" s="18"/>
      <c r="M336" s="18"/>
      <c r="N336" s="18"/>
      <c r="O336" s="18"/>
      <c r="P336" s="18"/>
      <c r="Q336" s="18"/>
      <c r="R336" s="18"/>
      <c r="S336" s="18"/>
      <c r="T336" s="18"/>
      <c r="U336" s="18"/>
    </row>
    <row r="337" spans="1:21" x14ac:dyDescent="0.35">
      <c r="A337" s="18"/>
      <c r="B337" s="18"/>
      <c r="C337" s="18"/>
      <c r="D337" s="18"/>
      <c r="E337" s="18"/>
      <c r="F337" s="18"/>
      <c r="G337" s="18"/>
      <c r="H337" s="18"/>
      <c r="I337" s="18"/>
      <c r="J337" s="18"/>
      <c r="K337" s="18"/>
      <c r="L337" s="18"/>
      <c r="M337" s="18"/>
      <c r="N337" s="18"/>
      <c r="O337" s="18"/>
      <c r="P337" s="18"/>
      <c r="Q337" s="18"/>
      <c r="R337" s="18"/>
      <c r="S337" s="18"/>
      <c r="T337" s="18"/>
      <c r="U337" s="18"/>
    </row>
    <row r="338" spans="1:21" x14ac:dyDescent="0.35">
      <c r="A338" s="18"/>
      <c r="B338" s="18"/>
      <c r="C338" s="18"/>
      <c r="D338" s="18"/>
      <c r="E338" s="18"/>
      <c r="F338" s="18"/>
      <c r="G338" s="18"/>
      <c r="H338" s="18"/>
      <c r="I338" s="18"/>
      <c r="J338" s="18"/>
      <c r="K338" s="18"/>
      <c r="L338" s="18"/>
      <c r="M338" s="18"/>
      <c r="N338" s="18"/>
      <c r="O338" s="18"/>
      <c r="P338" s="18"/>
      <c r="Q338" s="18"/>
      <c r="R338" s="18"/>
      <c r="S338" s="18"/>
      <c r="T338" s="18"/>
      <c r="U338" s="18"/>
    </row>
    <row r="339" spans="1:21" x14ac:dyDescent="0.35">
      <c r="A339" s="18"/>
      <c r="B339" s="18"/>
      <c r="C339" s="18"/>
      <c r="D339" s="18"/>
      <c r="E339" s="18"/>
      <c r="F339" s="18"/>
      <c r="G339" s="18"/>
      <c r="H339" s="18"/>
      <c r="I339" s="18"/>
      <c r="J339" s="18"/>
      <c r="K339" s="18"/>
      <c r="L339" s="18"/>
      <c r="M339" s="18"/>
      <c r="N339" s="18"/>
      <c r="O339" s="18"/>
      <c r="P339" s="18"/>
      <c r="Q339" s="18"/>
      <c r="R339" s="18"/>
      <c r="S339" s="18"/>
      <c r="T339" s="18"/>
      <c r="U339" s="18"/>
    </row>
    <row r="340" spans="1:21" x14ac:dyDescent="0.35">
      <c r="A340" s="18"/>
      <c r="B340" s="18"/>
      <c r="C340" s="18"/>
      <c r="D340" s="18"/>
      <c r="E340" s="18"/>
      <c r="F340" s="18"/>
      <c r="G340" s="18"/>
      <c r="H340" s="18"/>
      <c r="I340" s="18"/>
      <c r="J340" s="18"/>
      <c r="K340" s="18"/>
      <c r="L340" s="18"/>
      <c r="M340" s="18"/>
      <c r="N340" s="18"/>
      <c r="O340" s="18"/>
      <c r="P340" s="18"/>
      <c r="Q340" s="18"/>
      <c r="R340" s="18"/>
      <c r="S340" s="18"/>
      <c r="T340" s="18"/>
      <c r="U340" s="18"/>
    </row>
    <row r="341" spans="1:21" x14ac:dyDescent="0.35">
      <c r="A341" s="18"/>
      <c r="B341" s="18"/>
      <c r="C341" s="18"/>
      <c r="D341" s="18"/>
      <c r="E341" s="18"/>
      <c r="F341" s="18"/>
      <c r="G341" s="18"/>
      <c r="H341" s="18"/>
      <c r="I341" s="18"/>
      <c r="J341" s="18"/>
      <c r="K341" s="18"/>
      <c r="L341" s="18"/>
      <c r="M341" s="18"/>
      <c r="N341" s="18"/>
      <c r="O341" s="18"/>
      <c r="P341" s="18"/>
      <c r="Q341" s="18"/>
      <c r="R341" s="18"/>
      <c r="S341" s="18"/>
      <c r="T341" s="18"/>
      <c r="U341" s="18"/>
    </row>
    <row r="342" spans="1:21" x14ac:dyDescent="0.35">
      <c r="A342" s="18"/>
      <c r="B342" s="18"/>
      <c r="C342" s="18"/>
      <c r="D342" s="18"/>
      <c r="E342" s="18"/>
      <c r="F342" s="18"/>
      <c r="G342" s="18"/>
      <c r="H342" s="18"/>
      <c r="I342" s="18"/>
      <c r="J342" s="18"/>
      <c r="K342" s="18"/>
      <c r="L342" s="18"/>
      <c r="M342" s="18"/>
      <c r="N342" s="18"/>
      <c r="O342" s="18"/>
      <c r="P342" s="18"/>
      <c r="Q342" s="18"/>
      <c r="R342" s="18"/>
      <c r="S342" s="18"/>
      <c r="T342" s="18"/>
      <c r="U342" s="18"/>
    </row>
    <row r="343" spans="1:21" x14ac:dyDescent="0.35">
      <c r="A343" s="18"/>
      <c r="B343" s="18"/>
      <c r="C343" s="18"/>
      <c r="D343" s="18"/>
      <c r="E343" s="18"/>
      <c r="F343" s="18"/>
      <c r="G343" s="18"/>
      <c r="H343" s="18"/>
      <c r="I343" s="18"/>
      <c r="J343" s="18"/>
      <c r="K343" s="18"/>
      <c r="L343" s="18"/>
      <c r="M343" s="18"/>
      <c r="N343" s="18"/>
      <c r="O343" s="18"/>
      <c r="P343" s="18"/>
      <c r="Q343" s="18"/>
      <c r="R343" s="18"/>
      <c r="S343" s="18"/>
      <c r="T343" s="18"/>
      <c r="U343" s="18"/>
    </row>
    <row r="344" spans="1:21" x14ac:dyDescent="0.35">
      <c r="A344" s="18"/>
      <c r="B344" s="18"/>
      <c r="C344" s="18"/>
      <c r="D344" s="18"/>
      <c r="E344" s="18"/>
      <c r="F344" s="18"/>
      <c r="G344" s="18"/>
      <c r="H344" s="18"/>
      <c r="I344" s="18"/>
      <c r="J344" s="18"/>
      <c r="K344" s="18"/>
      <c r="L344" s="18"/>
      <c r="M344" s="18"/>
      <c r="N344" s="18"/>
      <c r="O344" s="18"/>
      <c r="P344" s="18"/>
      <c r="Q344" s="18"/>
      <c r="R344" s="18"/>
      <c r="S344" s="18"/>
      <c r="T344" s="18"/>
      <c r="U344" s="18"/>
    </row>
    <row r="345" spans="1:21" x14ac:dyDescent="0.35">
      <c r="A345" s="18"/>
      <c r="B345" s="18"/>
      <c r="C345" s="18"/>
      <c r="D345" s="18"/>
      <c r="E345" s="18"/>
      <c r="F345" s="18"/>
      <c r="G345" s="18"/>
      <c r="H345" s="18"/>
      <c r="I345" s="18"/>
      <c r="J345" s="18"/>
      <c r="K345" s="18"/>
      <c r="L345" s="18"/>
      <c r="M345" s="18"/>
      <c r="N345" s="18"/>
      <c r="O345" s="18"/>
      <c r="P345" s="18"/>
      <c r="Q345" s="18"/>
      <c r="R345" s="18"/>
      <c r="S345" s="18"/>
      <c r="T345" s="18"/>
      <c r="U345" s="18"/>
    </row>
    <row r="346" spans="1:21" x14ac:dyDescent="0.35">
      <c r="A346" s="18"/>
      <c r="B346" s="18"/>
      <c r="C346" s="18"/>
      <c r="D346" s="18"/>
      <c r="E346" s="18"/>
      <c r="F346" s="18"/>
      <c r="G346" s="18"/>
      <c r="H346" s="18"/>
      <c r="I346" s="18"/>
      <c r="J346" s="18"/>
      <c r="K346" s="18"/>
      <c r="L346" s="18"/>
      <c r="M346" s="18"/>
      <c r="N346" s="18"/>
      <c r="O346" s="18"/>
      <c r="P346" s="18"/>
      <c r="Q346" s="18"/>
      <c r="R346" s="18"/>
      <c r="S346" s="18"/>
      <c r="T346" s="18"/>
      <c r="U346" s="18"/>
    </row>
    <row r="347" spans="1:21" x14ac:dyDescent="0.35">
      <c r="A347" s="18"/>
      <c r="B347" s="18"/>
      <c r="C347" s="18"/>
      <c r="D347" s="18"/>
      <c r="E347" s="18"/>
      <c r="F347" s="18"/>
      <c r="G347" s="18"/>
      <c r="H347" s="18"/>
      <c r="I347" s="18"/>
      <c r="J347" s="18"/>
      <c r="K347" s="18"/>
      <c r="L347" s="18"/>
      <c r="M347" s="18"/>
      <c r="N347" s="18"/>
      <c r="O347" s="18"/>
      <c r="P347" s="18"/>
      <c r="Q347" s="18"/>
      <c r="R347" s="18"/>
      <c r="S347" s="18"/>
      <c r="T347" s="18"/>
      <c r="U347" s="18"/>
    </row>
    <row r="348" spans="1:21" x14ac:dyDescent="0.35">
      <c r="A348" s="18"/>
      <c r="B348" s="18"/>
      <c r="C348" s="18"/>
      <c r="D348" s="18"/>
      <c r="E348" s="18"/>
      <c r="F348" s="18"/>
      <c r="G348" s="18"/>
      <c r="H348" s="18"/>
      <c r="I348" s="18"/>
      <c r="J348" s="18"/>
      <c r="K348" s="18"/>
      <c r="L348" s="18"/>
      <c r="M348" s="18"/>
      <c r="N348" s="18"/>
      <c r="O348" s="18"/>
      <c r="P348" s="18"/>
      <c r="Q348" s="18"/>
      <c r="R348" s="18"/>
      <c r="S348" s="18"/>
      <c r="T348" s="18"/>
      <c r="U348" s="18"/>
    </row>
    <row r="349" spans="1:21" x14ac:dyDescent="0.35">
      <c r="A349" s="18"/>
      <c r="B349" s="18"/>
      <c r="C349" s="18"/>
      <c r="D349" s="18"/>
      <c r="E349" s="18"/>
      <c r="F349" s="18"/>
      <c r="G349" s="18"/>
      <c r="H349" s="18"/>
      <c r="I349" s="18"/>
      <c r="J349" s="18"/>
      <c r="K349" s="18"/>
      <c r="L349" s="18"/>
      <c r="M349" s="18"/>
      <c r="N349" s="18"/>
      <c r="O349" s="18"/>
      <c r="P349" s="18"/>
      <c r="Q349" s="18"/>
      <c r="R349" s="18"/>
      <c r="S349" s="18"/>
      <c r="T349" s="18"/>
      <c r="U349" s="18"/>
    </row>
    <row r="350" spans="1:21" x14ac:dyDescent="0.35">
      <c r="A350" s="18"/>
      <c r="B350" s="18"/>
      <c r="C350" s="18"/>
      <c r="D350" s="18"/>
      <c r="E350" s="18"/>
      <c r="F350" s="18"/>
      <c r="G350" s="18"/>
      <c r="H350" s="18"/>
      <c r="I350" s="18"/>
      <c r="J350" s="18"/>
      <c r="K350" s="18"/>
      <c r="L350" s="18"/>
      <c r="M350" s="18"/>
      <c r="N350" s="18"/>
      <c r="O350" s="18"/>
      <c r="P350" s="18"/>
      <c r="Q350" s="18"/>
      <c r="R350" s="18"/>
      <c r="S350" s="18"/>
      <c r="T350" s="18"/>
      <c r="U350" s="18"/>
    </row>
    <row r="351" spans="1:21" x14ac:dyDescent="0.35">
      <c r="A351" s="18"/>
      <c r="B351" s="18"/>
      <c r="C351" s="18"/>
      <c r="D351" s="18"/>
      <c r="E351" s="18"/>
      <c r="F351" s="18"/>
      <c r="G351" s="18"/>
      <c r="H351" s="18"/>
      <c r="I351" s="18"/>
      <c r="J351" s="18"/>
      <c r="K351" s="18"/>
      <c r="L351" s="18"/>
      <c r="M351" s="18"/>
      <c r="N351" s="18"/>
      <c r="O351" s="18"/>
      <c r="P351" s="18"/>
      <c r="Q351" s="18"/>
      <c r="R351" s="18"/>
      <c r="S351" s="18"/>
      <c r="T351" s="18"/>
      <c r="U351" s="18"/>
    </row>
    <row r="352" spans="1:21" x14ac:dyDescent="0.35">
      <c r="A352" s="18"/>
      <c r="B352" s="18"/>
      <c r="C352" s="18"/>
      <c r="D352" s="18"/>
      <c r="E352" s="18"/>
      <c r="F352" s="18"/>
      <c r="G352" s="18"/>
      <c r="H352" s="18"/>
      <c r="I352" s="18"/>
      <c r="J352" s="18"/>
      <c r="K352" s="18"/>
      <c r="L352" s="18"/>
      <c r="M352" s="18"/>
      <c r="N352" s="18"/>
      <c r="O352" s="18"/>
      <c r="P352" s="18"/>
      <c r="Q352" s="18"/>
      <c r="R352" s="18"/>
      <c r="S352" s="18"/>
      <c r="T352" s="18"/>
      <c r="U352" s="18"/>
    </row>
    <row r="353" spans="1:21" x14ac:dyDescent="0.35">
      <c r="A353" s="18"/>
      <c r="B353" s="18"/>
      <c r="C353" s="18"/>
      <c r="D353" s="18"/>
      <c r="E353" s="18"/>
      <c r="F353" s="18"/>
      <c r="G353" s="18"/>
      <c r="H353" s="18"/>
      <c r="I353" s="18"/>
      <c r="J353" s="18"/>
      <c r="K353" s="18"/>
      <c r="L353" s="18"/>
      <c r="M353" s="18"/>
      <c r="N353" s="18"/>
      <c r="O353" s="18"/>
      <c r="P353" s="18"/>
      <c r="Q353" s="18"/>
      <c r="R353" s="18"/>
      <c r="S353" s="18"/>
      <c r="T353" s="18"/>
      <c r="U353" s="18"/>
    </row>
    <row r="354" spans="1:21" x14ac:dyDescent="0.35">
      <c r="A354" s="18"/>
      <c r="B354" s="18"/>
      <c r="C354" s="18"/>
      <c r="D354" s="18"/>
      <c r="E354" s="18"/>
      <c r="F354" s="18"/>
      <c r="G354" s="18"/>
      <c r="H354" s="18"/>
      <c r="I354" s="18"/>
      <c r="J354" s="18"/>
      <c r="K354" s="18"/>
      <c r="L354" s="18"/>
      <c r="M354" s="18"/>
      <c r="N354" s="18"/>
      <c r="O354" s="18"/>
      <c r="P354" s="18"/>
      <c r="Q354" s="18"/>
      <c r="R354" s="18"/>
      <c r="S354" s="18"/>
      <c r="T354" s="18"/>
      <c r="U354" s="18"/>
    </row>
    <row r="355" spans="1:21" x14ac:dyDescent="0.35">
      <c r="A355" s="18"/>
      <c r="B355" s="18"/>
      <c r="C355" s="18"/>
      <c r="D355" s="18"/>
      <c r="E355" s="18"/>
      <c r="F355" s="18"/>
      <c r="G355" s="18"/>
      <c r="H355" s="18"/>
      <c r="I355" s="18"/>
      <c r="J355" s="18"/>
      <c r="K355" s="18"/>
      <c r="L355" s="18"/>
      <c r="M355" s="18"/>
      <c r="N355" s="18"/>
      <c r="O355" s="18"/>
      <c r="P355" s="18"/>
      <c r="Q355" s="18"/>
      <c r="R355" s="18"/>
      <c r="S355" s="18"/>
      <c r="T355" s="18"/>
      <c r="U355" s="18"/>
    </row>
    <row r="356" spans="1:21" x14ac:dyDescent="0.35">
      <c r="A356" s="18"/>
      <c r="B356" s="18"/>
      <c r="C356" s="18"/>
      <c r="D356" s="18"/>
      <c r="E356" s="18"/>
      <c r="F356" s="18"/>
      <c r="G356" s="18"/>
      <c r="H356" s="18"/>
      <c r="I356" s="18"/>
      <c r="J356" s="18"/>
      <c r="K356" s="18"/>
      <c r="L356" s="18"/>
      <c r="M356" s="18"/>
      <c r="N356" s="18"/>
      <c r="O356" s="18"/>
      <c r="P356" s="18"/>
      <c r="Q356" s="18"/>
      <c r="R356" s="18"/>
      <c r="S356" s="18"/>
      <c r="T356" s="18"/>
      <c r="U356" s="18"/>
    </row>
    <row r="357" spans="1:21" x14ac:dyDescent="0.35">
      <c r="A357" s="18"/>
      <c r="B357" s="18"/>
      <c r="C357" s="18"/>
      <c r="D357" s="18"/>
      <c r="E357" s="18"/>
      <c r="F357" s="18"/>
      <c r="G357" s="18"/>
      <c r="H357" s="18"/>
      <c r="I357" s="18"/>
      <c r="J357" s="18"/>
      <c r="K357" s="18"/>
      <c r="L357" s="18"/>
      <c r="M357" s="18"/>
      <c r="N357" s="18"/>
      <c r="O357" s="18"/>
      <c r="P357" s="18"/>
      <c r="Q357" s="18"/>
      <c r="R357" s="18"/>
      <c r="S357" s="18"/>
      <c r="T357" s="18"/>
      <c r="U357" s="18"/>
    </row>
    <row r="358" spans="1:21" x14ac:dyDescent="0.35">
      <c r="A358" s="18"/>
      <c r="B358" s="18"/>
      <c r="C358" s="18"/>
      <c r="D358" s="18"/>
      <c r="E358" s="18"/>
      <c r="F358" s="18"/>
      <c r="G358" s="18"/>
      <c r="H358" s="18"/>
      <c r="I358" s="18"/>
      <c r="J358" s="18"/>
      <c r="K358" s="18"/>
      <c r="L358" s="18"/>
      <c r="M358" s="18"/>
      <c r="N358" s="18"/>
      <c r="O358" s="18"/>
      <c r="P358" s="18"/>
      <c r="Q358" s="18"/>
      <c r="R358" s="18"/>
      <c r="S358" s="18"/>
      <c r="T358" s="18"/>
      <c r="U358" s="18"/>
    </row>
    <row r="359" spans="1:21" x14ac:dyDescent="0.35">
      <c r="A359" s="18"/>
      <c r="B359" s="18"/>
      <c r="C359" s="18"/>
      <c r="D359" s="18"/>
      <c r="E359" s="18"/>
      <c r="F359" s="18"/>
      <c r="G359" s="18"/>
      <c r="H359" s="18"/>
      <c r="I359" s="18"/>
      <c r="J359" s="18"/>
      <c r="K359" s="18"/>
      <c r="L359" s="18"/>
      <c r="M359" s="18"/>
      <c r="N359" s="18"/>
      <c r="O359" s="18"/>
      <c r="P359" s="18"/>
      <c r="Q359" s="18"/>
      <c r="R359" s="18"/>
      <c r="S359" s="18"/>
      <c r="T359" s="18"/>
      <c r="U359" s="18"/>
    </row>
    <row r="360" spans="1:21" x14ac:dyDescent="0.35">
      <c r="A360" s="18"/>
      <c r="B360" s="18"/>
      <c r="C360" s="18"/>
      <c r="D360" s="18"/>
      <c r="E360" s="18"/>
      <c r="F360" s="18"/>
      <c r="G360" s="18"/>
      <c r="H360" s="18"/>
      <c r="I360" s="18"/>
      <c r="J360" s="18"/>
      <c r="K360" s="18"/>
      <c r="L360" s="18"/>
      <c r="M360" s="18"/>
      <c r="N360" s="18"/>
      <c r="O360" s="18"/>
      <c r="P360" s="18"/>
      <c r="Q360" s="18"/>
      <c r="R360" s="18"/>
      <c r="S360" s="18"/>
      <c r="T360" s="18"/>
      <c r="U360" s="18"/>
    </row>
    <row r="361" spans="1:21" x14ac:dyDescent="0.35">
      <c r="A361" s="18"/>
      <c r="B361" s="18"/>
      <c r="C361" s="18"/>
      <c r="D361" s="18"/>
      <c r="E361" s="18"/>
      <c r="F361" s="18"/>
      <c r="G361" s="18"/>
      <c r="H361" s="18"/>
      <c r="I361" s="18"/>
      <c r="J361" s="18"/>
      <c r="K361" s="18"/>
      <c r="L361" s="18"/>
      <c r="M361" s="18"/>
      <c r="N361" s="18"/>
      <c r="O361" s="18"/>
      <c r="P361" s="18"/>
      <c r="Q361" s="18"/>
      <c r="R361" s="18"/>
      <c r="S361" s="18"/>
      <c r="T361" s="18"/>
      <c r="U361" s="18"/>
    </row>
    <row r="362" spans="1:21" x14ac:dyDescent="0.35">
      <c r="A362" s="18"/>
      <c r="B362" s="18"/>
      <c r="C362" s="18"/>
      <c r="D362" s="18"/>
      <c r="E362" s="18"/>
      <c r="F362" s="18"/>
      <c r="G362" s="18"/>
      <c r="H362" s="18"/>
      <c r="I362" s="18"/>
      <c r="J362" s="18"/>
      <c r="K362" s="18"/>
      <c r="L362" s="18"/>
      <c r="M362" s="18"/>
      <c r="N362" s="18"/>
      <c r="O362" s="18"/>
      <c r="P362" s="18"/>
      <c r="Q362" s="18"/>
      <c r="R362" s="18"/>
      <c r="S362" s="18"/>
      <c r="T362" s="18"/>
      <c r="U362" s="18"/>
    </row>
    <row r="363" spans="1:21" x14ac:dyDescent="0.35">
      <c r="A363" s="18"/>
      <c r="B363" s="18"/>
      <c r="C363" s="18"/>
      <c r="D363" s="18"/>
      <c r="E363" s="18"/>
      <c r="F363" s="18"/>
      <c r="G363" s="18"/>
      <c r="H363" s="18"/>
      <c r="I363" s="18"/>
      <c r="J363" s="18"/>
      <c r="K363" s="18"/>
      <c r="L363" s="18"/>
      <c r="M363" s="18"/>
      <c r="N363" s="18"/>
      <c r="O363" s="18"/>
      <c r="P363" s="18"/>
      <c r="Q363" s="18"/>
      <c r="R363" s="18"/>
      <c r="S363" s="18"/>
      <c r="T363" s="18"/>
      <c r="U363" s="18"/>
    </row>
    <row r="364" spans="1:21" x14ac:dyDescent="0.35">
      <c r="A364" s="18"/>
      <c r="B364" s="18"/>
      <c r="C364" s="18"/>
      <c r="D364" s="18"/>
      <c r="E364" s="18"/>
      <c r="F364" s="18"/>
      <c r="G364" s="18"/>
      <c r="H364" s="18"/>
      <c r="I364" s="18"/>
      <c r="J364" s="18"/>
      <c r="K364" s="18"/>
      <c r="L364" s="18"/>
      <c r="M364" s="18"/>
      <c r="N364" s="18"/>
      <c r="O364" s="18"/>
      <c r="P364" s="18"/>
      <c r="Q364" s="18"/>
      <c r="R364" s="18"/>
      <c r="S364" s="18"/>
      <c r="T364" s="18"/>
      <c r="U364" s="18"/>
    </row>
    <row r="365" spans="1:21" x14ac:dyDescent="0.35">
      <c r="A365" s="18"/>
      <c r="B365" s="18"/>
      <c r="C365" s="18"/>
      <c r="D365" s="18"/>
      <c r="E365" s="18"/>
      <c r="F365" s="18"/>
      <c r="G365" s="18"/>
      <c r="H365" s="18"/>
      <c r="I365" s="18"/>
      <c r="J365" s="18"/>
      <c r="K365" s="18"/>
      <c r="L365" s="18"/>
      <c r="M365" s="18"/>
      <c r="N365" s="18"/>
      <c r="O365" s="18"/>
      <c r="P365" s="18"/>
      <c r="Q365" s="18"/>
      <c r="R365" s="18"/>
      <c r="S365" s="18"/>
      <c r="T365" s="18"/>
      <c r="U365" s="18"/>
    </row>
    <row r="366" spans="1:21" x14ac:dyDescent="0.35">
      <c r="A366" s="18"/>
      <c r="B366" s="18"/>
      <c r="C366" s="18"/>
      <c r="D366" s="18"/>
      <c r="E366" s="18"/>
      <c r="F366" s="18"/>
      <c r="G366" s="18"/>
      <c r="H366" s="18"/>
      <c r="I366" s="18"/>
      <c r="J366" s="18"/>
      <c r="K366" s="18"/>
      <c r="L366" s="18"/>
      <c r="M366" s="18"/>
      <c r="N366" s="18"/>
      <c r="O366" s="18"/>
      <c r="P366" s="18"/>
      <c r="Q366" s="18"/>
      <c r="R366" s="18"/>
      <c r="S366" s="18"/>
      <c r="T366" s="18"/>
      <c r="U366" s="18"/>
    </row>
    <row r="367" spans="1:21" x14ac:dyDescent="0.35">
      <c r="A367" s="18"/>
      <c r="B367" s="18"/>
      <c r="C367" s="18"/>
      <c r="D367" s="18"/>
      <c r="E367" s="18"/>
      <c r="F367" s="18"/>
      <c r="G367" s="18"/>
      <c r="H367" s="18"/>
      <c r="I367" s="18"/>
      <c r="J367" s="18"/>
      <c r="K367" s="18"/>
      <c r="L367" s="18"/>
      <c r="M367" s="18"/>
      <c r="N367" s="18"/>
      <c r="O367" s="18"/>
      <c r="P367" s="18"/>
      <c r="Q367" s="18"/>
      <c r="R367" s="18"/>
      <c r="S367" s="18"/>
      <c r="T367" s="18"/>
      <c r="U367" s="18"/>
    </row>
    <row r="368" spans="1:21" x14ac:dyDescent="0.35">
      <c r="A368" s="18"/>
      <c r="B368" s="18"/>
      <c r="C368" s="18"/>
      <c r="D368" s="18"/>
      <c r="E368" s="18"/>
      <c r="F368" s="18"/>
      <c r="G368" s="18"/>
      <c r="H368" s="18"/>
      <c r="I368" s="18"/>
      <c r="J368" s="18"/>
      <c r="K368" s="18"/>
      <c r="L368" s="18"/>
      <c r="M368" s="18"/>
      <c r="N368" s="18"/>
      <c r="O368" s="18"/>
      <c r="P368" s="18"/>
      <c r="Q368" s="18"/>
      <c r="R368" s="18"/>
      <c r="S368" s="18"/>
      <c r="T368" s="18"/>
      <c r="U368" s="18"/>
    </row>
    <row r="369" spans="1:21" x14ac:dyDescent="0.35">
      <c r="A369" s="18"/>
      <c r="B369" s="18"/>
      <c r="C369" s="18"/>
      <c r="D369" s="18"/>
      <c r="E369" s="18"/>
      <c r="F369" s="18"/>
      <c r="G369" s="18"/>
      <c r="H369" s="18"/>
      <c r="I369" s="18"/>
      <c r="J369" s="18"/>
      <c r="K369" s="18"/>
      <c r="L369" s="18"/>
      <c r="M369" s="18"/>
      <c r="N369" s="18"/>
      <c r="O369" s="18"/>
      <c r="P369" s="18"/>
      <c r="Q369" s="18"/>
      <c r="R369" s="18"/>
      <c r="S369" s="18"/>
      <c r="T369" s="18"/>
      <c r="U369" s="18"/>
    </row>
    <row r="370" spans="1:21" x14ac:dyDescent="0.35">
      <c r="A370" s="18"/>
      <c r="B370" s="18"/>
      <c r="C370" s="18"/>
      <c r="D370" s="18"/>
      <c r="E370" s="18"/>
      <c r="F370" s="18"/>
      <c r="G370" s="18"/>
      <c r="H370" s="18"/>
      <c r="I370" s="18"/>
      <c r="J370" s="18"/>
      <c r="K370" s="18"/>
      <c r="L370" s="18"/>
      <c r="M370" s="18"/>
      <c r="N370" s="18"/>
      <c r="O370" s="18"/>
      <c r="P370" s="18"/>
      <c r="Q370" s="18"/>
      <c r="R370" s="18"/>
      <c r="S370" s="18"/>
      <c r="T370" s="18"/>
      <c r="U370" s="18"/>
    </row>
    <row r="371" spans="1:21" x14ac:dyDescent="0.35">
      <c r="A371" s="18"/>
      <c r="B371" s="18"/>
      <c r="C371" s="18"/>
      <c r="D371" s="18"/>
      <c r="E371" s="18"/>
      <c r="F371" s="18"/>
      <c r="G371" s="18"/>
      <c r="H371" s="18"/>
      <c r="I371" s="18"/>
      <c r="J371" s="18"/>
      <c r="K371" s="18"/>
      <c r="L371" s="18"/>
      <c r="M371" s="18"/>
      <c r="N371" s="18"/>
      <c r="O371" s="18"/>
      <c r="P371" s="18"/>
      <c r="Q371" s="18"/>
      <c r="R371" s="18"/>
      <c r="S371" s="18"/>
      <c r="T371" s="18"/>
      <c r="U371" s="18"/>
    </row>
    <row r="372" spans="1:21" x14ac:dyDescent="0.35">
      <c r="A372" s="18"/>
      <c r="B372" s="18"/>
      <c r="C372" s="18"/>
      <c r="D372" s="18"/>
      <c r="E372" s="18"/>
      <c r="F372" s="18"/>
      <c r="G372" s="18"/>
      <c r="H372" s="18"/>
      <c r="I372" s="18"/>
      <c r="J372" s="18"/>
      <c r="K372" s="18"/>
      <c r="L372" s="18"/>
      <c r="M372" s="18"/>
      <c r="N372" s="18"/>
      <c r="O372" s="18"/>
      <c r="P372" s="18"/>
      <c r="Q372" s="18"/>
      <c r="R372" s="18"/>
      <c r="S372" s="18"/>
      <c r="T372" s="18"/>
      <c r="U372" s="18"/>
    </row>
    <row r="373" spans="1:21" x14ac:dyDescent="0.35">
      <c r="A373" s="18"/>
      <c r="B373" s="18"/>
      <c r="C373" s="18"/>
      <c r="D373" s="18"/>
      <c r="E373" s="18"/>
      <c r="F373" s="18"/>
      <c r="G373" s="18"/>
      <c r="H373" s="18"/>
      <c r="I373" s="18"/>
      <c r="J373" s="18"/>
      <c r="K373" s="18"/>
      <c r="L373" s="18"/>
      <c r="M373" s="18"/>
      <c r="N373" s="18"/>
      <c r="O373" s="18"/>
      <c r="P373" s="18"/>
      <c r="Q373" s="18"/>
      <c r="R373" s="18"/>
      <c r="S373" s="18"/>
      <c r="T373" s="18"/>
      <c r="U373" s="18"/>
    </row>
    <row r="374" spans="1:21" x14ac:dyDescent="0.35">
      <c r="A374" s="18"/>
      <c r="B374" s="18"/>
      <c r="C374" s="18"/>
      <c r="D374" s="18"/>
      <c r="E374" s="18"/>
      <c r="F374" s="18"/>
      <c r="G374" s="18"/>
      <c r="H374" s="18"/>
      <c r="I374" s="18"/>
      <c r="J374" s="18"/>
      <c r="K374" s="18"/>
      <c r="L374" s="18"/>
      <c r="M374" s="18"/>
      <c r="N374" s="18"/>
      <c r="O374" s="18"/>
      <c r="P374" s="18"/>
      <c r="Q374" s="18"/>
      <c r="R374" s="18"/>
      <c r="S374" s="18"/>
      <c r="T374" s="18"/>
      <c r="U374" s="18"/>
    </row>
    <row r="375" spans="1:21" x14ac:dyDescent="0.35">
      <c r="A375" s="18"/>
      <c r="B375" s="18"/>
      <c r="C375" s="18"/>
      <c r="D375" s="18"/>
      <c r="E375" s="18"/>
      <c r="F375" s="18"/>
      <c r="G375" s="18"/>
      <c r="H375" s="18"/>
      <c r="I375" s="18"/>
      <c r="J375" s="18"/>
      <c r="K375" s="18"/>
      <c r="L375" s="18"/>
      <c r="M375" s="18"/>
      <c r="N375" s="18"/>
      <c r="O375" s="18"/>
      <c r="P375" s="18"/>
      <c r="Q375" s="18"/>
      <c r="R375" s="18"/>
      <c r="S375" s="18"/>
      <c r="T375" s="18"/>
      <c r="U375" s="18"/>
    </row>
    <row r="376" spans="1:21" x14ac:dyDescent="0.35">
      <c r="A376" s="18"/>
      <c r="B376" s="18"/>
      <c r="C376" s="18"/>
      <c r="D376" s="18"/>
      <c r="E376" s="18"/>
      <c r="F376" s="18"/>
      <c r="G376" s="18"/>
      <c r="H376" s="18"/>
      <c r="I376" s="18"/>
      <c r="J376" s="18"/>
      <c r="K376" s="18"/>
      <c r="L376" s="18"/>
      <c r="M376" s="18"/>
      <c r="N376" s="18"/>
      <c r="O376" s="18"/>
      <c r="P376" s="18"/>
      <c r="Q376" s="18"/>
      <c r="R376" s="18"/>
      <c r="S376" s="18"/>
      <c r="T376" s="18"/>
      <c r="U376" s="18"/>
    </row>
    <row r="377" spans="1:21" x14ac:dyDescent="0.35">
      <c r="A377" s="18"/>
      <c r="B377" s="18"/>
      <c r="C377" s="18"/>
      <c r="D377" s="18"/>
      <c r="E377" s="18"/>
      <c r="F377" s="18"/>
      <c r="G377" s="18"/>
      <c r="H377" s="18"/>
      <c r="I377" s="18"/>
      <c r="J377" s="18"/>
      <c r="K377" s="18"/>
      <c r="L377" s="18"/>
      <c r="M377" s="18"/>
      <c r="N377" s="18"/>
      <c r="O377" s="18"/>
      <c r="P377" s="18"/>
      <c r="Q377" s="18"/>
      <c r="R377" s="18"/>
      <c r="S377" s="18"/>
      <c r="T377" s="18"/>
      <c r="U377" s="18"/>
    </row>
    <row r="378" spans="1:21" x14ac:dyDescent="0.35">
      <c r="A378" s="18"/>
      <c r="B378" s="18"/>
      <c r="C378" s="18"/>
      <c r="D378" s="18"/>
      <c r="E378" s="18"/>
      <c r="F378" s="18"/>
      <c r="G378" s="18"/>
      <c r="H378" s="18"/>
      <c r="I378" s="18"/>
      <c r="J378" s="18"/>
      <c r="K378" s="18"/>
      <c r="L378" s="18"/>
      <c r="M378" s="18"/>
      <c r="N378" s="18"/>
      <c r="O378" s="18"/>
      <c r="P378" s="18"/>
      <c r="Q378" s="18"/>
      <c r="R378" s="18"/>
      <c r="S378" s="18"/>
      <c r="T378" s="18"/>
      <c r="U378" s="18"/>
    </row>
    <row r="379" spans="1:21" x14ac:dyDescent="0.35">
      <c r="A379" s="18"/>
      <c r="B379" s="18"/>
      <c r="C379" s="18"/>
      <c r="D379" s="18"/>
      <c r="E379" s="18"/>
      <c r="F379" s="18"/>
      <c r="G379" s="18"/>
      <c r="H379" s="18"/>
      <c r="I379" s="18"/>
      <c r="J379" s="18"/>
      <c r="K379" s="18"/>
      <c r="L379" s="18"/>
      <c r="M379" s="18"/>
      <c r="N379" s="18"/>
      <c r="O379" s="18"/>
      <c r="P379" s="18"/>
      <c r="Q379" s="18"/>
      <c r="R379" s="18"/>
      <c r="S379" s="18"/>
      <c r="T379" s="18"/>
      <c r="U379" s="18"/>
    </row>
    <row r="380" spans="1:21" x14ac:dyDescent="0.35">
      <c r="A380" s="18"/>
      <c r="B380" s="18"/>
      <c r="C380" s="18"/>
      <c r="D380" s="18"/>
      <c r="E380" s="18"/>
      <c r="F380" s="18"/>
      <c r="G380" s="18"/>
      <c r="H380" s="18"/>
      <c r="I380" s="18"/>
      <c r="J380" s="18"/>
      <c r="K380" s="18"/>
      <c r="L380" s="18"/>
      <c r="M380" s="18"/>
      <c r="N380" s="18"/>
      <c r="O380" s="18"/>
      <c r="P380" s="18"/>
      <c r="Q380" s="18"/>
      <c r="R380" s="18"/>
      <c r="S380" s="18"/>
      <c r="T380" s="18"/>
      <c r="U380" s="18"/>
    </row>
    <row r="381" spans="1:21" x14ac:dyDescent="0.35">
      <c r="A381" s="18"/>
      <c r="B381" s="18"/>
      <c r="C381" s="18"/>
      <c r="D381" s="18"/>
      <c r="E381" s="18"/>
      <c r="F381" s="18"/>
      <c r="G381" s="18"/>
      <c r="H381" s="18"/>
      <c r="I381" s="18"/>
      <c r="J381" s="18"/>
      <c r="K381" s="18"/>
      <c r="L381" s="18"/>
      <c r="M381" s="18"/>
      <c r="N381" s="18"/>
      <c r="O381" s="18"/>
      <c r="P381" s="18"/>
      <c r="Q381" s="18"/>
      <c r="R381" s="18"/>
      <c r="S381" s="18"/>
      <c r="T381" s="18"/>
      <c r="U381" s="18"/>
    </row>
    <row r="382" spans="1:21" x14ac:dyDescent="0.35">
      <c r="A382" s="18"/>
      <c r="B382" s="18"/>
      <c r="C382" s="18"/>
      <c r="D382" s="18"/>
      <c r="E382" s="18"/>
      <c r="F382" s="18"/>
      <c r="G382" s="18"/>
      <c r="H382" s="18"/>
      <c r="I382" s="18"/>
      <c r="J382" s="18"/>
      <c r="K382" s="18"/>
      <c r="L382" s="18"/>
      <c r="M382" s="18"/>
      <c r="N382" s="18"/>
      <c r="O382" s="18"/>
      <c r="P382" s="18"/>
      <c r="Q382" s="18"/>
      <c r="R382" s="18"/>
      <c r="S382" s="18"/>
      <c r="T382" s="18"/>
      <c r="U382" s="18"/>
    </row>
    <row r="383" spans="1:21" x14ac:dyDescent="0.35">
      <c r="A383" s="18"/>
      <c r="B383" s="18"/>
      <c r="C383" s="18"/>
      <c r="D383" s="18"/>
      <c r="E383" s="18"/>
      <c r="F383" s="18"/>
      <c r="G383" s="18"/>
      <c r="H383" s="18"/>
      <c r="I383" s="18"/>
      <c r="J383" s="18"/>
      <c r="K383" s="18"/>
      <c r="L383" s="18"/>
      <c r="M383" s="18"/>
      <c r="N383" s="18"/>
      <c r="O383" s="18"/>
      <c r="P383" s="18"/>
      <c r="Q383" s="18"/>
      <c r="R383" s="18"/>
      <c r="S383" s="18"/>
      <c r="T383" s="18"/>
      <c r="U383" s="18"/>
    </row>
    <row r="384" spans="1:21" x14ac:dyDescent="0.35">
      <c r="A384" s="18"/>
      <c r="B384" s="18"/>
      <c r="C384" s="18"/>
      <c r="D384" s="18"/>
      <c r="E384" s="18"/>
      <c r="F384" s="18"/>
      <c r="G384" s="18"/>
      <c r="H384" s="18"/>
      <c r="I384" s="18"/>
      <c r="J384" s="18"/>
      <c r="K384" s="18"/>
      <c r="L384" s="18"/>
      <c r="M384" s="18"/>
      <c r="N384" s="18"/>
      <c r="O384" s="18"/>
      <c r="P384" s="18"/>
      <c r="Q384" s="18"/>
      <c r="R384" s="18"/>
      <c r="S384" s="18"/>
      <c r="T384" s="18"/>
      <c r="U384" s="18"/>
    </row>
    <row r="385" spans="1:21" x14ac:dyDescent="0.35">
      <c r="A385" s="18"/>
      <c r="B385" s="18"/>
      <c r="C385" s="18"/>
      <c r="D385" s="18"/>
      <c r="E385" s="18"/>
      <c r="F385" s="18"/>
      <c r="G385" s="18"/>
      <c r="H385" s="18"/>
      <c r="I385" s="18"/>
      <c r="J385" s="18"/>
      <c r="K385" s="18"/>
      <c r="L385" s="18"/>
      <c r="M385" s="18"/>
      <c r="N385" s="18"/>
      <c r="O385" s="18"/>
      <c r="P385" s="18"/>
      <c r="Q385" s="18"/>
      <c r="R385" s="18"/>
      <c r="S385" s="18"/>
      <c r="T385" s="18"/>
      <c r="U385" s="18"/>
    </row>
    <row r="386" spans="1:21" x14ac:dyDescent="0.35">
      <c r="A386" s="18"/>
      <c r="B386" s="18"/>
      <c r="C386" s="18"/>
      <c r="D386" s="18"/>
      <c r="E386" s="18"/>
      <c r="F386" s="18"/>
      <c r="G386" s="18"/>
      <c r="H386" s="18"/>
      <c r="I386" s="18"/>
      <c r="J386" s="18"/>
      <c r="K386" s="18"/>
      <c r="L386" s="18"/>
      <c r="M386" s="18"/>
      <c r="N386" s="18"/>
      <c r="O386" s="18"/>
      <c r="P386" s="18"/>
      <c r="Q386" s="18"/>
      <c r="R386" s="18"/>
      <c r="S386" s="18"/>
      <c r="T386" s="18"/>
      <c r="U386" s="18"/>
    </row>
    <row r="387" spans="1:21" x14ac:dyDescent="0.35">
      <c r="A387" s="18"/>
      <c r="B387" s="18"/>
      <c r="C387" s="18"/>
      <c r="D387" s="18"/>
      <c r="E387" s="18"/>
      <c r="F387" s="18"/>
      <c r="G387" s="18"/>
      <c r="H387" s="18"/>
      <c r="I387" s="18"/>
      <c r="J387" s="18"/>
      <c r="K387" s="18"/>
      <c r="L387" s="18"/>
      <c r="M387" s="18"/>
      <c r="N387" s="18"/>
      <c r="O387" s="18"/>
      <c r="P387" s="18"/>
      <c r="Q387" s="18"/>
      <c r="R387" s="18"/>
      <c r="S387" s="18"/>
      <c r="T387" s="18"/>
      <c r="U387" s="18"/>
    </row>
    <row r="388" spans="1:21" x14ac:dyDescent="0.35">
      <c r="A388" s="18"/>
      <c r="B388" s="18"/>
      <c r="C388" s="18"/>
      <c r="D388" s="18"/>
      <c r="E388" s="18"/>
      <c r="F388" s="18"/>
      <c r="G388" s="18"/>
      <c r="H388" s="18"/>
      <c r="I388" s="18"/>
      <c r="J388" s="18"/>
      <c r="K388" s="18"/>
      <c r="L388" s="18"/>
      <c r="M388" s="18"/>
      <c r="N388" s="18"/>
      <c r="O388" s="18"/>
      <c r="P388" s="18"/>
      <c r="Q388" s="18"/>
      <c r="R388" s="18"/>
      <c r="S388" s="18"/>
      <c r="T388" s="18"/>
      <c r="U388" s="18"/>
    </row>
    <row r="389" spans="1:21" x14ac:dyDescent="0.35">
      <c r="A389" s="18"/>
      <c r="B389" s="18"/>
      <c r="C389" s="18"/>
      <c r="D389" s="18"/>
      <c r="E389" s="18"/>
      <c r="F389" s="18"/>
      <c r="G389" s="18"/>
      <c r="H389" s="18"/>
      <c r="I389" s="18"/>
      <c r="J389" s="18"/>
      <c r="K389" s="18"/>
      <c r="L389" s="18"/>
      <c r="M389" s="18"/>
      <c r="N389" s="18"/>
      <c r="O389" s="18"/>
      <c r="P389" s="18"/>
      <c r="Q389" s="18"/>
      <c r="R389" s="18"/>
      <c r="S389" s="18"/>
      <c r="T389" s="18"/>
      <c r="U389" s="18"/>
    </row>
    <row r="390" spans="1:21" x14ac:dyDescent="0.35">
      <c r="A390" s="18"/>
      <c r="B390" s="18"/>
      <c r="C390" s="18"/>
      <c r="D390" s="18"/>
      <c r="E390" s="18"/>
      <c r="F390" s="18"/>
      <c r="G390" s="18"/>
      <c r="H390" s="18"/>
      <c r="I390" s="18"/>
      <c r="J390" s="18"/>
      <c r="K390" s="18"/>
      <c r="L390" s="18"/>
      <c r="M390" s="18"/>
      <c r="N390" s="18"/>
      <c r="O390" s="18"/>
      <c r="P390" s="18"/>
      <c r="Q390" s="18"/>
      <c r="R390" s="18"/>
      <c r="S390" s="18"/>
      <c r="T390" s="18"/>
      <c r="U390" s="18"/>
    </row>
    <row r="391" spans="1:21" x14ac:dyDescent="0.35">
      <c r="A391" s="18"/>
      <c r="B391" s="18"/>
      <c r="C391" s="18"/>
      <c r="D391" s="18"/>
      <c r="E391" s="18"/>
      <c r="F391" s="18"/>
      <c r="G391" s="18"/>
      <c r="H391" s="18"/>
      <c r="I391" s="18"/>
      <c r="J391" s="18"/>
      <c r="K391" s="18"/>
      <c r="L391" s="18"/>
      <c r="M391" s="18"/>
      <c r="N391" s="18"/>
      <c r="O391" s="18"/>
      <c r="P391" s="18"/>
      <c r="Q391" s="18"/>
      <c r="R391" s="18"/>
      <c r="S391" s="18"/>
      <c r="T391" s="18"/>
      <c r="U391" s="18"/>
    </row>
    <row r="392" spans="1:21" x14ac:dyDescent="0.35">
      <c r="A392" s="18"/>
      <c r="B392" s="18"/>
      <c r="C392" s="18"/>
      <c r="D392" s="18"/>
      <c r="E392" s="18"/>
      <c r="F392" s="18"/>
      <c r="G392" s="18"/>
      <c r="H392" s="18"/>
      <c r="I392" s="18"/>
      <c r="J392" s="18"/>
      <c r="K392" s="18"/>
      <c r="L392" s="18"/>
      <c r="M392" s="18"/>
      <c r="N392" s="18"/>
      <c r="O392" s="18"/>
      <c r="P392" s="18"/>
      <c r="Q392" s="18"/>
      <c r="R392" s="18"/>
      <c r="S392" s="18"/>
      <c r="T392" s="18"/>
      <c r="U392" s="18"/>
    </row>
    <row r="393" spans="1:21" x14ac:dyDescent="0.35">
      <c r="A393" s="18"/>
      <c r="B393" s="18"/>
      <c r="C393" s="18"/>
      <c r="D393" s="18"/>
      <c r="E393" s="18"/>
      <c r="F393" s="18"/>
      <c r="G393" s="18"/>
      <c r="H393" s="18"/>
      <c r="I393" s="18"/>
      <c r="J393" s="18"/>
      <c r="K393" s="18"/>
      <c r="L393" s="18"/>
      <c r="M393" s="18"/>
      <c r="N393" s="18"/>
      <c r="O393" s="18"/>
      <c r="P393" s="18"/>
      <c r="Q393" s="18"/>
      <c r="R393" s="18"/>
      <c r="S393" s="18"/>
      <c r="T393" s="18"/>
      <c r="U393" s="18"/>
    </row>
    <row r="394" spans="1:21" x14ac:dyDescent="0.35">
      <c r="A394" s="18"/>
      <c r="B394" s="18"/>
      <c r="C394" s="18"/>
      <c r="D394" s="18"/>
      <c r="E394" s="18"/>
      <c r="F394" s="18"/>
      <c r="G394" s="18"/>
      <c r="H394" s="18"/>
      <c r="I394" s="18"/>
      <c r="J394" s="18"/>
      <c r="K394" s="18"/>
      <c r="L394" s="18"/>
      <c r="M394" s="18"/>
      <c r="N394" s="18"/>
      <c r="O394" s="18"/>
      <c r="P394" s="18"/>
      <c r="Q394" s="18"/>
      <c r="R394" s="18"/>
      <c r="S394" s="18"/>
      <c r="T394" s="18"/>
      <c r="U394" s="18"/>
    </row>
    <row r="395" spans="1:21" x14ac:dyDescent="0.35">
      <c r="A395" s="18"/>
      <c r="B395" s="18"/>
      <c r="C395" s="18"/>
      <c r="D395" s="18"/>
      <c r="E395" s="18"/>
      <c r="F395" s="18"/>
      <c r="G395" s="18"/>
      <c r="H395" s="18"/>
      <c r="I395" s="18"/>
      <c r="J395" s="18"/>
      <c r="K395" s="18"/>
      <c r="L395" s="18"/>
      <c r="M395" s="18"/>
      <c r="N395" s="18"/>
      <c r="O395" s="18"/>
      <c r="P395" s="18"/>
      <c r="Q395" s="18"/>
      <c r="R395" s="18"/>
      <c r="S395" s="18"/>
      <c r="T395" s="18"/>
      <c r="U395" s="18"/>
    </row>
    <row r="396" spans="1:21" x14ac:dyDescent="0.35">
      <c r="A396" s="18"/>
      <c r="B396" s="18"/>
      <c r="C396" s="18"/>
      <c r="D396" s="18"/>
      <c r="E396" s="18"/>
      <c r="F396" s="18"/>
      <c r="G396" s="18"/>
      <c r="H396" s="18"/>
      <c r="I396" s="18"/>
      <c r="J396" s="18"/>
      <c r="K396" s="18"/>
      <c r="L396" s="18"/>
      <c r="M396" s="18"/>
      <c r="N396" s="18"/>
      <c r="O396" s="18"/>
      <c r="P396" s="18"/>
      <c r="Q396" s="18"/>
      <c r="R396" s="18"/>
      <c r="S396" s="18"/>
      <c r="T396" s="18"/>
      <c r="U396" s="18"/>
    </row>
    <row r="397" spans="1:21" x14ac:dyDescent="0.35">
      <c r="A397" s="18"/>
      <c r="B397" s="18"/>
      <c r="C397" s="18"/>
      <c r="D397" s="18"/>
      <c r="E397" s="18"/>
      <c r="F397" s="18"/>
      <c r="G397" s="18"/>
      <c r="H397" s="18"/>
      <c r="I397" s="18"/>
      <c r="J397" s="18"/>
      <c r="K397" s="18"/>
      <c r="L397" s="18"/>
      <c r="M397" s="18"/>
      <c r="N397" s="18"/>
      <c r="O397" s="18"/>
      <c r="P397" s="18"/>
      <c r="Q397" s="18"/>
      <c r="R397" s="18"/>
      <c r="S397" s="18"/>
      <c r="T397" s="18"/>
      <c r="U397" s="18"/>
    </row>
    <row r="398" spans="1:21" x14ac:dyDescent="0.35">
      <c r="A398" s="18"/>
      <c r="B398" s="18"/>
      <c r="C398" s="18"/>
      <c r="D398" s="18"/>
      <c r="E398" s="18"/>
      <c r="F398" s="18"/>
      <c r="G398" s="18"/>
      <c r="H398" s="18"/>
      <c r="I398" s="18"/>
      <c r="J398" s="18"/>
      <c r="K398" s="18"/>
      <c r="L398" s="18"/>
      <c r="M398" s="18"/>
      <c r="N398" s="18"/>
      <c r="O398" s="18"/>
      <c r="P398" s="18"/>
      <c r="Q398" s="18"/>
      <c r="R398" s="18"/>
      <c r="S398" s="18"/>
      <c r="T398" s="18"/>
      <c r="U398" s="18"/>
    </row>
    <row r="399" spans="1:21" x14ac:dyDescent="0.35">
      <c r="A399" s="18"/>
      <c r="B399" s="18"/>
      <c r="C399" s="18"/>
      <c r="D399" s="18"/>
      <c r="E399" s="18"/>
      <c r="F399" s="18"/>
      <c r="G399" s="18"/>
      <c r="H399" s="18"/>
      <c r="I399" s="18"/>
      <c r="J399" s="18"/>
      <c r="K399" s="18"/>
      <c r="L399" s="18"/>
      <c r="M399" s="18"/>
      <c r="N399" s="18"/>
      <c r="O399" s="18"/>
      <c r="P399" s="18"/>
      <c r="Q399" s="18"/>
      <c r="R399" s="18"/>
      <c r="S399" s="18"/>
      <c r="T399" s="18"/>
      <c r="U399" s="18"/>
    </row>
    <row r="400" spans="1:21" x14ac:dyDescent="0.35">
      <c r="A400" s="18"/>
      <c r="B400" s="18"/>
      <c r="C400" s="18"/>
      <c r="D400" s="18"/>
      <c r="E400" s="18"/>
      <c r="F400" s="18"/>
      <c r="G400" s="18"/>
      <c r="H400" s="18"/>
      <c r="I400" s="18"/>
      <c r="J400" s="18"/>
      <c r="K400" s="18"/>
      <c r="L400" s="18"/>
      <c r="M400" s="18"/>
      <c r="N400" s="18"/>
      <c r="O400" s="18"/>
      <c r="P400" s="18"/>
      <c r="Q400" s="18"/>
      <c r="R400" s="18"/>
      <c r="S400" s="18"/>
      <c r="T400" s="18"/>
      <c r="U400" s="18"/>
    </row>
    <row r="401" spans="1:21" x14ac:dyDescent="0.35">
      <c r="A401" s="18"/>
      <c r="B401" s="18"/>
      <c r="C401" s="18"/>
      <c r="D401" s="18"/>
      <c r="E401" s="18"/>
      <c r="F401" s="18"/>
      <c r="G401" s="18"/>
      <c r="H401" s="18"/>
      <c r="I401" s="18"/>
      <c r="J401" s="18"/>
      <c r="K401" s="18"/>
      <c r="L401" s="18"/>
      <c r="M401" s="18"/>
      <c r="N401" s="18"/>
      <c r="O401" s="18"/>
      <c r="P401" s="18"/>
      <c r="Q401" s="18"/>
      <c r="R401" s="18"/>
      <c r="S401" s="18"/>
      <c r="T401" s="18"/>
      <c r="U401" s="18"/>
    </row>
    <row r="402" spans="1:21" x14ac:dyDescent="0.35">
      <c r="A402" s="18"/>
      <c r="B402" s="18"/>
      <c r="C402" s="18"/>
      <c r="D402" s="18"/>
      <c r="E402" s="18"/>
      <c r="F402" s="18"/>
      <c r="G402" s="18"/>
      <c r="H402" s="18"/>
      <c r="I402" s="18"/>
      <c r="J402" s="18"/>
      <c r="K402" s="18"/>
      <c r="L402" s="18"/>
      <c r="M402" s="18"/>
      <c r="N402" s="18"/>
      <c r="O402" s="18"/>
      <c r="P402" s="18"/>
      <c r="Q402" s="18"/>
      <c r="R402" s="18"/>
      <c r="S402" s="18"/>
      <c r="T402" s="18"/>
      <c r="U402" s="18"/>
    </row>
    <row r="403" spans="1:21" x14ac:dyDescent="0.35">
      <c r="A403" s="18"/>
      <c r="B403" s="18"/>
      <c r="C403" s="18"/>
      <c r="D403" s="18"/>
      <c r="E403" s="18"/>
      <c r="F403" s="18"/>
      <c r="G403" s="18"/>
      <c r="H403" s="18"/>
      <c r="I403" s="18"/>
      <c r="J403" s="18"/>
      <c r="K403" s="18"/>
      <c r="L403" s="18"/>
      <c r="M403" s="18"/>
      <c r="N403" s="18"/>
      <c r="O403" s="18"/>
      <c r="P403" s="18"/>
      <c r="Q403" s="18"/>
      <c r="R403" s="18"/>
      <c r="S403" s="18"/>
      <c r="T403" s="18"/>
      <c r="U403" s="18"/>
    </row>
    <row r="404" spans="1:21" x14ac:dyDescent="0.35">
      <c r="A404" s="18"/>
      <c r="B404" s="18"/>
      <c r="C404" s="18"/>
      <c r="D404" s="18"/>
      <c r="E404" s="18"/>
      <c r="F404" s="18"/>
      <c r="G404" s="18"/>
      <c r="H404" s="18"/>
      <c r="I404" s="18"/>
      <c r="J404" s="18"/>
      <c r="K404" s="18"/>
      <c r="L404" s="18"/>
      <c r="M404" s="18"/>
      <c r="N404" s="18"/>
      <c r="O404" s="18"/>
      <c r="P404" s="18"/>
      <c r="Q404" s="18"/>
      <c r="R404" s="18"/>
      <c r="S404" s="18"/>
      <c r="T404" s="18"/>
      <c r="U404" s="18"/>
    </row>
    <row r="405" spans="1:21" x14ac:dyDescent="0.35">
      <c r="A405" s="18"/>
      <c r="B405" s="18"/>
      <c r="C405" s="18"/>
      <c r="D405" s="18"/>
      <c r="E405" s="18"/>
      <c r="F405" s="18"/>
      <c r="G405" s="18"/>
      <c r="H405" s="18"/>
      <c r="I405" s="18"/>
      <c r="J405" s="18"/>
      <c r="K405" s="18"/>
      <c r="L405" s="18"/>
      <c r="M405" s="18"/>
      <c r="N405" s="18"/>
      <c r="O405" s="18"/>
      <c r="P405" s="18"/>
      <c r="Q405" s="18"/>
      <c r="R405" s="18"/>
      <c r="S405" s="18"/>
      <c r="T405" s="18"/>
      <c r="U405" s="18"/>
    </row>
    <row r="406" spans="1:21" x14ac:dyDescent="0.35">
      <c r="A406" s="18"/>
      <c r="B406" s="18"/>
      <c r="C406" s="18"/>
      <c r="D406" s="18"/>
      <c r="E406" s="18"/>
      <c r="F406" s="18"/>
      <c r="G406" s="18"/>
      <c r="H406" s="18"/>
      <c r="I406" s="18"/>
      <c r="J406" s="18"/>
      <c r="K406" s="18"/>
      <c r="L406" s="18"/>
      <c r="M406" s="18"/>
      <c r="N406" s="18"/>
      <c r="O406" s="18"/>
      <c r="P406" s="18"/>
      <c r="Q406" s="18"/>
      <c r="R406" s="18"/>
      <c r="S406" s="18"/>
      <c r="T406" s="18"/>
      <c r="U406" s="18"/>
    </row>
    <row r="407" spans="1:21" x14ac:dyDescent="0.35">
      <c r="A407" s="18"/>
      <c r="B407" s="18"/>
      <c r="C407" s="18"/>
      <c r="D407" s="18"/>
      <c r="E407" s="18"/>
      <c r="F407" s="18"/>
      <c r="G407" s="18"/>
      <c r="H407" s="18"/>
      <c r="I407" s="18"/>
      <c r="J407" s="18"/>
      <c r="K407" s="18"/>
      <c r="L407" s="18"/>
      <c r="M407" s="18"/>
      <c r="N407" s="18"/>
      <c r="O407" s="18"/>
      <c r="P407" s="18"/>
      <c r="Q407" s="18"/>
      <c r="R407" s="18"/>
      <c r="S407" s="18"/>
      <c r="T407" s="18"/>
      <c r="U407" s="18"/>
    </row>
    <row r="408" spans="1:21" x14ac:dyDescent="0.35">
      <c r="A408" s="18"/>
      <c r="B408" s="18"/>
      <c r="C408" s="18"/>
      <c r="D408" s="18"/>
      <c r="E408" s="18"/>
      <c r="F408" s="18"/>
      <c r="G408" s="18"/>
      <c r="H408" s="18"/>
      <c r="I408" s="18"/>
      <c r="J408" s="18"/>
      <c r="K408" s="18"/>
      <c r="L408" s="18"/>
      <c r="M408" s="18"/>
      <c r="N408" s="18"/>
      <c r="O408" s="18"/>
      <c r="P408" s="18"/>
      <c r="Q408" s="18"/>
      <c r="R408" s="18"/>
      <c r="S408" s="18"/>
      <c r="T408" s="18"/>
      <c r="U408" s="18"/>
    </row>
    <row r="409" spans="1:21" x14ac:dyDescent="0.35">
      <c r="A409" s="18"/>
      <c r="B409" s="18"/>
      <c r="C409" s="18"/>
      <c r="D409" s="18"/>
      <c r="E409" s="18"/>
      <c r="F409" s="18"/>
      <c r="G409" s="18"/>
      <c r="H409" s="18"/>
      <c r="I409" s="18"/>
      <c r="J409" s="18"/>
      <c r="K409" s="18"/>
      <c r="L409" s="18"/>
      <c r="M409" s="18"/>
      <c r="N409" s="18"/>
      <c r="O409" s="18"/>
      <c r="P409" s="18"/>
      <c r="Q409" s="18"/>
      <c r="R409" s="18"/>
      <c r="S409" s="18"/>
      <c r="T409" s="18"/>
      <c r="U409" s="18"/>
    </row>
    <row r="410" spans="1:21" x14ac:dyDescent="0.35">
      <c r="A410" s="18"/>
      <c r="B410" s="18"/>
      <c r="C410" s="18"/>
      <c r="D410" s="18"/>
      <c r="E410" s="18"/>
      <c r="F410" s="18"/>
      <c r="G410" s="18"/>
      <c r="H410" s="18"/>
      <c r="I410" s="18"/>
      <c r="J410" s="18"/>
      <c r="K410" s="18"/>
      <c r="L410" s="18"/>
      <c r="M410" s="18"/>
      <c r="N410" s="18"/>
      <c r="O410" s="18"/>
      <c r="P410" s="18"/>
      <c r="Q410" s="18"/>
      <c r="R410" s="18"/>
      <c r="S410" s="18"/>
      <c r="T410" s="18"/>
      <c r="U410" s="18"/>
    </row>
    <row r="411" spans="1:21" x14ac:dyDescent="0.35">
      <c r="A411" s="18"/>
      <c r="B411" s="18"/>
      <c r="C411" s="18"/>
      <c r="D411" s="18"/>
      <c r="E411" s="18"/>
      <c r="F411" s="18"/>
      <c r="G411" s="18"/>
      <c r="H411" s="18"/>
      <c r="I411" s="18"/>
      <c r="J411" s="18"/>
      <c r="K411" s="18"/>
      <c r="L411" s="18"/>
      <c r="M411" s="18"/>
      <c r="N411" s="18"/>
      <c r="O411" s="18"/>
      <c r="P411" s="18"/>
      <c r="Q411" s="18"/>
      <c r="R411" s="18"/>
      <c r="S411" s="18"/>
      <c r="T411" s="18"/>
      <c r="U411" s="18"/>
    </row>
    <row r="412" spans="1:21" x14ac:dyDescent="0.35">
      <c r="A412" s="18"/>
      <c r="B412" s="18"/>
      <c r="C412" s="18"/>
      <c r="D412" s="18"/>
      <c r="E412" s="18"/>
      <c r="F412" s="18"/>
      <c r="G412" s="18"/>
      <c r="H412" s="18"/>
      <c r="I412" s="18"/>
      <c r="J412" s="18"/>
      <c r="K412" s="18"/>
      <c r="L412" s="18"/>
      <c r="M412" s="18"/>
      <c r="N412" s="18"/>
      <c r="O412" s="18"/>
      <c r="P412" s="18"/>
      <c r="Q412" s="18"/>
      <c r="R412" s="18"/>
      <c r="S412" s="18"/>
      <c r="T412" s="18"/>
      <c r="U412" s="18"/>
    </row>
    <row r="413" spans="1:21" x14ac:dyDescent="0.35">
      <c r="A413" s="18"/>
      <c r="B413" s="18"/>
      <c r="C413" s="18"/>
      <c r="D413" s="18"/>
      <c r="E413" s="18"/>
      <c r="F413" s="18"/>
      <c r="G413" s="18"/>
      <c r="H413" s="18"/>
      <c r="I413" s="18"/>
      <c r="J413" s="18"/>
      <c r="K413" s="18"/>
      <c r="L413" s="18"/>
      <c r="M413" s="18"/>
      <c r="N413" s="18"/>
      <c r="O413" s="18"/>
      <c r="P413" s="18"/>
      <c r="Q413" s="18"/>
      <c r="R413" s="18"/>
      <c r="S413" s="18"/>
      <c r="T413" s="18"/>
      <c r="U413" s="18"/>
    </row>
    <row r="414" spans="1:21" x14ac:dyDescent="0.35">
      <c r="A414" s="18"/>
      <c r="B414" s="18"/>
      <c r="C414" s="18"/>
      <c r="D414" s="18"/>
      <c r="E414" s="18"/>
      <c r="F414" s="18"/>
      <c r="G414" s="18"/>
      <c r="H414" s="18"/>
      <c r="I414" s="18"/>
      <c r="J414" s="18"/>
      <c r="K414" s="18"/>
      <c r="L414" s="18"/>
      <c r="M414" s="18"/>
      <c r="N414" s="18"/>
      <c r="O414" s="18"/>
      <c r="P414" s="18"/>
      <c r="Q414" s="18"/>
      <c r="R414" s="18"/>
      <c r="S414" s="18"/>
      <c r="T414" s="18"/>
      <c r="U414" s="18"/>
    </row>
    <row r="415" spans="1:21" x14ac:dyDescent="0.35">
      <c r="A415" s="18"/>
      <c r="B415" s="18"/>
      <c r="C415" s="18"/>
      <c r="D415" s="18"/>
      <c r="E415" s="18"/>
      <c r="F415" s="18"/>
      <c r="G415" s="18"/>
      <c r="H415" s="18"/>
      <c r="I415" s="18"/>
      <c r="J415" s="18"/>
      <c r="K415" s="18"/>
      <c r="L415" s="18"/>
      <c r="M415" s="18"/>
      <c r="N415" s="18"/>
      <c r="O415" s="18"/>
      <c r="P415" s="18"/>
      <c r="Q415" s="18"/>
      <c r="R415" s="18"/>
      <c r="S415" s="18"/>
      <c r="T415" s="18"/>
      <c r="U415" s="18"/>
    </row>
    <row r="416" spans="1:21" x14ac:dyDescent="0.35">
      <c r="A416" s="18"/>
      <c r="B416" s="18"/>
      <c r="C416" s="18"/>
      <c r="D416" s="18"/>
      <c r="E416" s="18"/>
      <c r="F416" s="18"/>
      <c r="G416" s="18"/>
      <c r="H416" s="18"/>
      <c r="I416" s="18"/>
      <c r="J416" s="18"/>
      <c r="K416" s="18"/>
      <c r="L416" s="18"/>
      <c r="M416" s="18"/>
      <c r="N416" s="18"/>
      <c r="O416" s="18"/>
      <c r="P416" s="18"/>
      <c r="Q416" s="18"/>
      <c r="R416" s="18"/>
      <c r="S416" s="18"/>
      <c r="T416" s="18"/>
      <c r="U416" s="18"/>
    </row>
    <row r="417" spans="1:21" x14ac:dyDescent="0.35">
      <c r="A417" s="18"/>
      <c r="B417" s="18"/>
      <c r="C417" s="18"/>
      <c r="D417" s="18"/>
      <c r="E417" s="18"/>
      <c r="F417" s="18"/>
      <c r="G417" s="18"/>
      <c r="H417" s="18"/>
      <c r="I417" s="18"/>
      <c r="J417" s="18"/>
      <c r="K417" s="18"/>
      <c r="L417" s="18"/>
      <c r="M417" s="18"/>
      <c r="N417" s="18"/>
      <c r="O417" s="18"/>
      <c r="P417" s="18"/>
      <c r="Q417" s="18"/>
      <c r="R417" s="18"/>
      <c r="S417" s="18"/>
      <c r="T417" s="18"/>
      <c r="U417" s="18"/>
    </row>
    <row r="418" spans="1:21" x14ac:dyDescent="0.35">
      <c r="A418" s="18"/>
      <c r="B418" s="18"/>
      <c r="C418" s="18"/>
      <c r="D418" s="18"/>
      <c r="E418" s="18"/>
      <c r="F418" s="18"/>
      <c r="G418" s="18"/>
      <c r="H418" s="18"/>
      <c r="I418" s="18"/>
      <c r="J418" s="18"/>
      <c r="K418" s="18"/>
      <c r="L418" s="18"/>
      <c r="M418" s="18"/>
      <c r="N418" s="18"/>
      <c r="O418" s="18"/>
      <c r="P418" s="18"/>
      <c r="Q418" s="18"/>
      <c r="R418" s="18"/>
      <c r="S418" s="18"/>
      <c r="T418" s="18"/>
      <c r="U418" s="18"/>
    </row>
    <row r="419" spans="1:21" x14ac:dyDescent="0.35">
      <c r="A419" s="18"/>
      <c r="B419" s="18"/>
      <c r="C419" s="18"/>
      <c r="D419" s="18"/>
      <c r="E419" s="18"/>
      <c r="F419" s="18"/>
      <c r="G419" s="18"/>
      <c r="H419" s="18"/>
      <c r="I419" s="18"/>
      <c r="J419" s="18"/>
      <c r="K419" s="18"/>
      <c r="L419" s="18"/>
      <c r="M419" s="18"/>
      <c r="N419" s="18"/>
      <c r="O419" s="18"/>
      <c r="P419" s="18"/>
      <c r="Q419" s="18"/>
      <c r="R419" s="18"/>
      <c r="S419" s="18"/>
      <c r="T419" s="18"/>
      <c r="U419" s="18"/>
    </row>
    <row r="420" spans="1:21" x14ac:dyDescent="0.35">
      <c r="A420" s="18"/>
      <c r="B420" s="18"/>
      <c r="C420" s="18"/>
      <c r="D420" s="18"/>
      <c r="E420" s="18"/>
      <c r="F420" s="18"/>
      <c r="G420" s="18"/>
      <c r="H420" s="18"/>
      <c r="I420" s="18"/>
      <c r="J420" s="18"/>
      <c r="K420" s="18"/>
      <c r="L420" s="18"/>
      <c r="M420" s="18"/>
      <c r="N420" s="18"/>
      <c r="O420" s="18"/>
      <c r="P420" s="18"/>
      <c r="Q420" s="18"/>
      <c r="R420" s="18"/>
      <c r="S420" s="18"/>
      <c r="T420" s="18"/>
      <c r="U420" s="18"/>
    </row>
    <row r="421" spans="1:21" x14ac:dyDescent="0.35">
      <c r="A421" s="18"/>
      <c r="B421" s="18"/>
      <c r="C421" s="18"/>
      <c r="D421" s="18"/>
      <c r="E421" s="18"/>
      <c r="F421" s="18"/>
      <c r="G421" s="18"/>
      <c r="H421" s="18"/>
      <c r="I421" s="18"/>
      <c r="J421" s="18"/>
      <c r="K421" s="18"/>
      <c r="L421" s="18"/>
      <c r="M421" s="18"/>
      <c r="N421" s="18"/>
      <c r="O421" s="18"/>
      <c r="P421" s="18"/>
      <c r="Q421" s="18"/>
      <c r="R421" s="18"/>
      <c r="S421" s="18"/>
      <c r="T421" s="18"/>
      <c r="U421" s="18"/>
    </row>
    <row r="422" spans="1:21" x14ac:dyDescent="0.35">
      <c r="A422" s="18"/>
      <c r="B422" s="18"/>
      <c r="C422" s="18"/>
      <c r="D422" s="18"/>
      <c r="E422" s="18"/>
      <c r="F422" s="18"/>
      <c r="G422" s="18"/>
      <c r="H422" s="18"/>
      <c r="I422" s="18"/>
      <c r="J422" s="18"/>
      <c r="K422" s="18"/>
      <c r="L422" s="18"/>
      <c r="M422" s="18"/>
      <c r="N422" s="18"/>
      <c r="O422" s="18"/>
      <c r="P422" s="18"/>
      <c r="Q422" s="18"/>
      <c r="R422" s="18"/>
      <c r="S422" s="18"/>
      <c r="T422" s="18"/>
      <c r="U422" s="18"/>
    </row>
    <row r="423" spans="1:21" x14ac:dyDescent="0.35">
      <c r="A423" s="18"/>
      <c r="B423" s="18"/>
      <c r="C423" s="18"/>
      <c r="D423" s="18"/>
      <c r="E423" s="18"/>
      <c r="F423" s="18"/>
      <c r="G423" s="18"/>
      <c r="H423" s="18"/>
      <c r="I423" s="18"/>
      <c r="J423" s="18"/>
      <c r="K423" s="18"/>
      <c r="L423" s="18"/>
      <c r="M423" s="18"/>
      <c r="N423" s="18"/>
      <c r="O423" s="18"/>
      <c r="P423" s="18"/>
      <c r="Q423" s="18"/>
      <c r="R423" s="18"/>
      <c r="S423" s="18"/>
      <c r="T423" s="18"/>
      <c r="U423" s="18"/>
    </row>
    <row r="424" spans="1:21" x14ac:dyDescent="0.35">
      <c r="A424" s="18"/>
      <c r="B424" s="18"/>
      <c r="C424" s="18"/>
      <c r="D424" s="18"/>
      <c r="E424" s="18"/>
      <c r="F424" s="18"/>
      <c r="G424" s="18"/>
      <c r="H424" s="18"/>
      <c r="I424" s="18"/>
      <c r="J424" s="18"/>
      <c r="K424" s="18"/>
      <c r="L424" s="18"/>
      <c r="M424" s="18"/>
      <c r="N424" s="18"/>
      <c r="O424" s="18"/>
      <c r="P424" s="18"/>
      <c r="Q424" s="18"/>
      <c r="R424" s="18"/>
      <c r="S424" s="18"/>
      <c r="T424" s="18"/>
      <c r="U424" s="18"/>
    </row>
    <row r="425" spans="1:21" x14ac:dyDescent="0.35">
      <c r="A425" s="18"/>
      <c r="B425" s="18"/>
      <c r="C425" s="18"/>
      <c r="D425" s="18"/>
      <c r="E425" s="18"/>
      <c r="F425" s="18"/>
      <c r="G425" s="18"/>
      <c r="H425" s="18"/>
      <c r="I425" s="18"/>
      <c r="J425" s="18"/>
      <c r="K425" s="18"/>
      <c r="L425" s="18"/>
      <c r="M425" s="18"/>
      <c r="N425" s="18"/>
      <c r="O425" s="18"/>
      <c r="P425" s="18"/>
      <c r="Q425" s="18"/>
      <c r="R425" s="18"/>
      <c r="S425" s="18"/>
      <c r="T425" s="18"/>
      <c r="U425" s="18"/>
    </row>
    <row r="426" spans="1:21" x14ac:dyDescent="0.35">
      <c r="A426" s="18"/>
      <c r="B426" s="18"/>
      <c r="C426" s="18"/>
      <c r="D426" s="18"/>
      <c r="E426" s="18"/>
      <c r="F426" s="18"/>
      <c r="G426" s="18"/>
      <c r="H426" s="18"/>
      <c r="I426" s="18"/>
      <c r="J426" s="18"/>
      <c r="K426" s="18"/>
      <c r="L426" s="18"/>
      <c r="M426" s="18"/>
      <c r="N426" s="18"/>
      <c r="O426" s="18"/>
      <c r="P426" s="18"/>
      <c r="Q426" s="18"/>
      <c r="R426" s="18"/>
      <c r="S426" s="18"/>
      <c r="T426" s="18"/>
      <c r="U426" s="18"/>
    </row>
    <row r="427" spans="1:21" x14ac:dyDescent="0.35">
      <c r="A427" s="18"/>
      <c r="B427" s="18"/>
      <c r="C427" s="18"/>
      <c r="D427" s="18"/>
      <c r="E427" s="18"/>
      <c r="F427" s="18"/>
      <c r="G427" s="18"/>
      <c r="H427" s="18"/>
      <c r="I427" s="18"/>
      <c r="J427" s="18"/>
      <c r="K427" s="18"/>
      <c r="L427" s="18"/>
      <c r="M427" s="18"/>
      <c r="N427" s="18"/>
      <c r="O427" s="18"/>
      <c r="P427" s="18"/>
      <c r="Q427" s="18"/>
      <c r="R427" s="18"/>
      <c r="S427" s="18"/>
      <c r="T427" s="18"/>
      <c r="U427" s="18"/>
    </row>
    <row r="428" spans="1:21" x14ac:dyDescent="0.35">
      <c r="A428" s="18"/>
      <c r="B428" s="18"/>
      <c r="C428" s="18"/>
      <c r="D428" s="18"/>
      <c r="E428" s="18"/>
      <c r="F428" s="18"/>
      <c r="G428" s="18"/>
      <c r="H428" s="18"/>
      <c r="I428" s="18"/>
      <c r="J428" s="18"/>
      <c r="K428" s="18"/>
      <c r="L428" s="18"/>
      <c r="M428" s="18"/>
      <c r="N428" s="18"/>
      <c r="O428" s="18"/>
      <c r="P428" s="18"/>
      <c r="Q428" s="18"/>
      <c r="R428" s="18"/>
      <c r="S428" s="18"/>
      <c r="T428" s="18"/>
      <c r="U428" s="18"/>
    </row>
    <row r="429" spans="1:21" x14ac:dyDescent="0.35">
      <c r="A429" s="18"/>
      <c r="B429" s="18"/>
      <c r="C429" s="18"/>
      <c r="D429" s="18"/>
      <c r="E429" s="18"/>
      <c r="F429" s="18"/>
      <c r="G429" s="18"/>
      <c r="H429" s="18"/>
      <c r="I429" s="18"/>
      <c r="J429" s="18"/>
      <c r="K429" s="18"/>
      <c r="L429" s="18"/>
      <c r="M429" s="18"/>
      <c r="N429" s="18"/>
      <c r="O429" s="18"/>
      <c r="P429" s="18"/>
      <c r="Q429" s="18"/>
      <c r="R429" s="18"/>
      <c r="S429" s="18"/>
      <c r="T429" s="18"/>
      <c r="U429" s="18"/>
    </row>
    <row r="430" spans="1:21" x14ac:dyDescent="0.35">
      <c r="A430" s="18"/>
      <c r="B430" s="18"/>
      <c r="C430" s="18"/>
      <c r="D430" s="18"/>
      <c r="E430" s="18"/>
      <c r="F430" s="18"/>
      <c r="G430" s="18"/>
      <c r="H430" s="18"/>
      <c r="I430" s="18"/>
      <c r="J430" s="18"/>
      <c r="K430" s="18"/>
      <c r="L430" s="18"/>
      <c r="M430" s="18"/>
      <c r="N430" s="18"/>
      <c r="O430" s="18"/>
      <c r="P430" s="18"/>
      <c r="Q430" s="18"/>
      <c r="R430" s="18"/>
      <c r="S430" s="18"/>
      <c r="T430" s="18"/>
      <c r="U430" s="18"/>
    </row>
    <row r="431" spans="1:21" x14ac:dyDescent="0.35">
      <c r="A431" s="18"/>
      <c r="B431" s="18"/>
      <c r="C431" s="18"/>
      <c r="D431" s="18"/>
      <c r="E431" s="18"/>
      <c r="F431" s="18"/>
      <c r="G431" s="18"/>
      <c r="H431" s="18"/>
      <c r="I431" s="18"/>
      <c r="J431" s="18"/>
      <c r="K431" s="18"/>
      <c r="L431" s="18"/>
      <c r="M431" s="18"/>
      <c r="N431" s="18"/>
      <c r="O431" s="18"/>
      <c r="P431" s="18"/>
      <c r="Q431" s="18"/>
      <c r="R431" s="18"/>
      <c r="S431" s="18"/>
      <c r="T431" s="18"/>
      <c r="U431" s="18"/>
    </row>
    <row r="432" spans="1:21" x14ac:dyDescent="0.35">
      <c r="A432" s="18"/>
      <c r="B432" s="18"/>
      <c r="C432" s="18"/>
      <c r="D432" s="18"/>
      <c r="E432" s="18"/>
      <c r="F432" s="18"/>
      <c r="G432" s="18"/>
      <c r="H432" s="18"/>
      <c r="I432" s="18"/>
      <c r="J432" s="18"/>
      <c r="K432" s="18"/>
      <c r="L432" s="18"/>
      <c r="M432" s="18"/>
      <c r="N432" s="18"/>
      <c r="O432" s="18"/>
      <c r="P432" s="18"/>
      <c r="Q432" s="18"/>
      <c r="R432" s="18"/>
      <c r="S432" s="18"/>
      <c r="T432" s="18"/>
      <c r="U432" s="18"/>
    </row>
    <row r="433" spans="1:21" x14ac:dyDescent="0.35">
      <c r="A433" s="18"/>
      <c r="B433" s="18"/>
      <c r="C433" s="18"/>
      <c r="D433" s="18"/>
      <c r="E433" s="18"/>
      <c r="F433" s="18"/>
      <c r="G433" s="18"/>
      <c r="H433" s="18"/>
      <c r="I433" s="18"/>
      <c r="J433" s="18"/>
      <c r="K433" s="18"/>
      <c r="L433" s="18"/>
      <c r="M433" s="18"/>
      <c r="N433" s="18"/>
      <c r="O433" s="18"/>
      <c r="P433" s="18"/>
      <c r="Q433" s="18"/>
      <c r="R433" s="18"/>
      <c r="S433" s="18"/>
      <c r="T433" s="18"/>
      <c r="U433" s="18"/>
    </row>
    <row r="434" spans="1:21" x14ac:dyDescent="0.35">
      <c r="A434" s="18"/>
      <c r="B434" s="18"/>
      <c r="C434" s="18"/>
      <c r="D434" s="18"/>
      <c r="E434" s="18"/>
      <c r="F434" s="18"/>
      <c r="G434" s="18"/>
      <c r="H434" s="18"/>
      <c r="I434" s="18"/>
      <c r="J434" s="18"/>
      <c r="K434" s="18"/>
      <c r="L434" s="18"/>
      <c r="M434" s="18"/>
      <c r="N434" s="18"/>
      <c r="O434" s="18"/>
      <c r="P434" s="18"/>
      <c r="Q434" s="18"/>
      <c r="R434" s="18"/>
      <c r="S434" s="18"/>
      <c r="T434" s="18"/>
      <c r="U434" s="18"/>
    </row>
    <row r="435" spans="1:21" x14ac:dyDescent="0.35">
      <c r="A435" s="18"/>
      <c r="B435" s="18"/>
      <c r="C435" s="18"/>
      <c r="D435" s="18"/>
      <c r="E435" s="18"/>
      <c r="F435" s="18"/>
      <c r="G435" s="18"/>
      <c r="H435" s="18"/>
      <c r="I435" s="18"/>
      <c r="J435" s="18"/>
      <c r="K435" s="18"/>
      <c r="L435" s="18"/>
      <c r="M435" s="18"/>
      <c r="N435" s="18"/>
      <c r="O435" s="18"/>
      <c r="P435" s="18"/>
      <c r="Q435" s="18"/>
      <c r="R435" s="18"/>
      <c r="S435" s="18"/>
      <c r="T435" s="18"/>
      <c r="U435" s="18"/>
    </row>
    <row r="436" spans="1:21" x14ac:dyDescent="0.35">
      <c r="A436" s="18"/>
      <c r="B436" s="18"/>
      <c r="C436" s="18"/>
      <c r="D436" s="18"/>
      <c r="E436" s="18"/>
      <c r="F436" s="18"/>
      <c r="G436" s="18"/>
      <c r="H436" s="18"/>
      <c r="I436" s="18"/>
      <c r="J436" s="18"/>
      <c r="K436" s="18"/>
      <c r="L436" s="18"/>
      <c r="M436" s="18"/>
      <c r="N436" s="18"/>
      <c r="O436" s="18"/>
      <c r="P436" s="18"/>
      <c r="Q436" s="18"/>
      <c r="R436" s="18"/>
      <c r="S436" s="18"/>
      <c r="T436" s="18"/>
      <c r="U436" s="18"/>
    </row>
    <row r="437" spans="1:21" x14ac:dyDescent="0.35">
      <c r="A437" s="18"/>
      <c r="B437" s="18"/>
      <c r="C437" s="18"/>
      <c r="D437" s="18"/>
      <c r="E437" s="18"/>
      <c r="F437" s="18"/>
      <c r="G437" s="18"/>
      <c r="H437" s="18"/>
      <c r="I437" s="18"/>
      <c r="J437" s="18"/>
      <c r="K437" s="18"/>
      <c r="L437" s="18"/>
      <c r="M437" s="18"/>
      <c r="N437" s="18"/>
      <c r="O437" s="18"/>
      <c r="P437" s="18"/>
      <c r="Q437" s="18"/>
      <c r="R437" s="18"/>
      <c r="S437" s="18"/>
      <c r="T437" s="18"/>
      <c r="U437" s="18"/>
    </row>
    <row r="438" spans="1:21" x14ac:dyDescent="0.35">
      <c r="A438" s="18"/>
      <c r="B438" s="18"/>
      <c r="C438" s="18"/>
      <c r="D438" s="18"/>
      <c r="E438" s="18"/>
      <c r="F438" s="18"/>
      <c r="G438" s="18"/>
      <c r="H438" s="18"/>
      <c r="I438" s="18"/>
      <c r="J438" s="18"/>
      <c r="K438" s="18"/>
      <c r="L438" s="18"/>
      <c r="M438" s="18"/>
      <c r="N438" s="18"/>
      <c r="O438" s="18"/>
      <c r="P438" s="18"/>
      <c r="Q438" s="18"/>
      <c r="R438" s="18"/>
      <c r="S438" s="18"/>
      <c r="T438" s="18"/>
      <c r="U438" s="18"/>
    </row>
    <row r="439" spans="1:21" x14ac:dyDescent="0.35">
      <c r="A439" s="18"/>
      <c r="B439" s="18"/>
      <c r="C439" s="18"/>
      <c r="D439" s="18"/>
      <c r="E439" s="18"/>
      <c r="F439" s="18"/>
      <c r="G439" s="18"/>
      <c r="H439" s="18"/>
      <c r="I439" s="18"/>
      <c r="J439" s="18"/>
      <c r="K439" s="18"/>
      <c r="L439" s="18"/>
      <c r="M439" s="18"/>
      <c r="N439" s="18"/>
      <c r="O439" s="18"/>
      <c r="P439" s="18"/>
      <c r="Q439" s="18"/>
      <c r="R439" s="18"/>
      <c r="S439" s="18"/>
      <c r="T439" s="18"/>
      <c r="U439" s="18"/>
    </row>
    <row r="440" spans="1:21" x14ac:dyDescent="0.35">
      <c r="A440" s="18"/>
      <c r="B440" s="18"/>
      <c r="C440" s="18"/>
      <c r="D440" s="18"/>
      <c r="E440" s="18"/>
      <c r="F440" s="18"/>
      <c r="G440" s="18"/>
      <c r="H440" s="18"/>
      <c r="I440" s="18"/>
      <c r="J440" s="18"/>
      <c r="K440" s="18"/>
      <c r="L440" s="18"/>
      <c r="M440" s="18"/>
      <c r="N440" s="18"/>
      <c r="O440" s="18"/>
      <c r="P440" s="18"/>
      <c r="Q440" s="18"/>
      <c r="R440" s="18"/>
      <c r="S440" s="18"/>
      <c r="T440" s="18"/>
      <c r="U440" s="18"/>
    </row>
    <row r="441" spans="1:21" x14ac:dyDescent="0.35">
      <c r="A441" s="18"/>
      <c r="B441" s="18"/>
      <c r="C441" s="18"/>
      <c r="D441" s="18"/>
      <c r="E441" s="18"/>
      <c r="F441" s="18"/>
      <c r="G441" s="18"/>
      <c r="H441" s="18"/>
      <c r="I441" s="18"/>
      <c r="J441" s="18"/>
      <c r="K441" s="18"/>
      <c r="L441" s="18"/>
      <c r="M441" s="18"/>
      <c r="N441" s="18"/>
      <c r="O441" s="18"/>
      <c r="P441" s="18"/>
      <c r="Q441" s="18"/>
      <c r="R441" s="18"/>
      <c r="S441" s="18"/>
      <c r="T441" s="18"/>
      <c r="U441" s="18"/>
    </row>
    <row r="442" spans="1:21" x14ac:dyDescent="0.35">
      <c r="A442" s="18"/>
      <c r="B442" s="18"/>
      <c r="C442" s="18"/>
      <c r="D442" s="18"/>
      <c r="E442" s="18"/>
      <c r="F442" s="18"/>
      <c r="G442" s="18"/>
      <c r="H442" s="18"/>
      <c r="I442" s="18"/>
      <c r="J442" s="18"/>
      <c r="K442" s="18"/>
      <c r="L442" s="18"/>
      <c r="M442" s="18"/>
      <c r="N442" s="18"/>
      <c r="O442" s="18"/>
      <c r="P442" s="18"/>
      <c r="Q442" s="18"/>
      <c r="R442" s="18"/>
      <c r="S442" s="18"/>
      <c r="T442" s="18"/>
      <c r="U442" s="18"/>
    </row>
    <row r="443" spans="1:21" x14ac:dyDescent="0.35">
      <c r="A443" s="18"/>
      <c r="B443" s="18"/>
      <c r="C443" s="18"/>
      <c r="D443" s="18"/>
      <c r="E443" s="18"/>
      <c r="F443" s="18"/>
      <c r="G443" s="18"/>
      <c r="H443" s="18"/>
      <c r="I443" s="18"/>
      <c r="J443" s="18"/>
      <c r="K443" s="18"/>
      <c r="L443" s="18"/>
      <c r="M443" s="18"/>
      <c r="N443" s="18"/>
      <c r="O443" s="18"/>
      <c r="P443" s="18"/>
      <c r="Q443" s="18"/>
      <c r="R443" s="18"/>
      <c r="S443" s="18"/>
      <c r="T443" s="18"/>
      <c r="U443" s="18"/>
    </row>
    <row r="444" spans="1:21" x14ac:dyDescent="0.35">
      <c r="A444" s="18"/>
      <c r="B444" s="18"/>
      <c r="C444" s="18"/>
      <c r="D444" s="18"/>
      <c r="E444" s="18"/>
      <c r="F444" s="18"/>
      <c r="G444" s="18"/>
      <c r="H444" s="18"/>
      <c r="I444" s="18"/>
      <c r="J444" s="18"/>
      <c r="K444" s="18"/>
      <c r="L444" s="18"/>
      <c r="M444" s="18"/>
      <c r="N444" s="18"/>
      <c r="O444" s="18"/>
      <c r="P444" s="18"/>
      <c r="Q444" s="18"/>
      <c r="R444" s="18"/>
      <c r="S444" s="18"/>
      <c r="T444" s="18"/>
      <c r="U444" s="18"/>
    </row>
    <row r="445" spans="1:21" x14ac:dyDescent="0.35">
      <c r="A445" s="18"/>
      <c r="B445" s="18"/>
      <c r="C445" s="18"/>
      <c r="D445" s="18"/>
      <c r="E445" s="18"/>
      <c r="F445" s="18"/>
      <c r="G445" s="18"/>
      <c r="H445" s="18"/>
      <c r="I445" s="18"/>
      <c r="J445" s="18"/>
      <c r="K445" s="18"/>
      <c r="L445" s="18"/>
      <c r="M445" s="18"/>
      <c r="N445" s="18"/>
      <c r="O445" s="18"/>
      <c r="P445" s="18"/>
      <c r="Q445" s="18"/>
      <c r="R445" s="18"/>
      <c r="S445" s="18"/>
      <c r="T445" s="18"/>
      <c r="U445" s="18"/>
    </row>
    <row r="446" spans="1:21" x14ac:dyDescent="0.35">
      <c r="A446" s="18"/>
      <c r="B446" s="18"/>
      <c r="C446" s="18"/>
      <c r="D446" s="18"/>
      <c r="E446" s="18"/>
      <c r="F446" s="18"/>
      <c r="G446" s="18"/>
      <c r="H446" s="18"/>
      <c r="I446" s="18"/>
      <c r="J446" s="18"/>
      <c r="K446" s="18"/>
      <c r="L446" s="18"/>
      <c r="M446" s="18"/>
      <c r="N446" s="18"/>
      <c r="O446" s="18"/>
      <c r="P446" s="18"/>
      <c r="Q446" s="18"/>
      <c r="R446" s="18"/>
      <c r="S446" s="18"/>
      <c r="T446" s="18"/>
      <c r="U446" s="18"/>
    </row>
    <row r="447" spans="1:21" x14ac:dyDescent="0.35">
      <c r="A447" s="18"/>
      <c r="B447" s="18"/>
      <c r="C447" s="18"/>
      <c r="D447" s="18"/>
      <c r="E447" s="18"/>
      <c r="F447" s="18"/>
      <c r="G447" s="18"/>
      <c r="H447" s="18"/>
      <c r="I447" s="18"/>
      <c r="J447" s="18"/>
      <c r="K447" s="18"/>
      <c r="L447" s="18"/>
      <c r="M447" s="18"/>
      <c r="N447" s="18"/>
      <c r="O447" s="18"/>
      <c r="P447" s="18"/>
      <c r="Q447" s="18"/>
      <c r="R447" s="18"/>
      <c r="S447" s="18"/>
      <c r="T447" s="18"/>
      <c r="U447" s="18"/>
    </row>
    <row r="448" spans="1:21" x14ac:dyDescent="0.35">
      <c r="A448" s="18"/>
      <c r="B448" s="18"/>
      <c r="C448" s="18"/>
      <c r="D448" s="18"/>
      <c r="E448" s="18"/>
      <c r="F448" s="18"/>
      <c r="G448" s="18"/>
      <c r="H448" s="18"/>
      <c r="I448" s="18"/>
      <c r="J448" s="18"/>
      <c r="K448" s="18"/>
      <c r="L448" s="18"/>
      <c r="M448" s="18"/>
      <c r="N448" s="18"/>
      <c r="O448" s="18"/>
      <c r="P448" s="18"/>
      <c r="Q448" s="18"/>
      <c r="R448" s="18"/>
      <c r="S448" s="18"/>
      <c r="T448" s="18"/>
      <c r="U448" s="18"/>
    </row>
    <row r="449" spans="1:21" x14ac:dyDescent="0.35">
      <c r="A449" s="18"/>
      <c r="B449" s="18"/>
      <c r="C449" s="18"/>
      <c r="D449" s="18"/>
      <c r="E449" s="18"/>
      <c r="F449" s="18"/>
      <c r="G449" s="18"/>
      <c r="H449" s="18"/>
      <c r="I449" s="18"/>
      <c r="J449" s="18"/>
      <c r="K449" s="18"/>
      <c r="L449" s="18"/>
      <c r="M449" s="18"/>
      <c r="N449" s="18"/>
      <c r="O449" s="18"/>
      <c r="P449" s="18"/>
      <c r="Q449" s="18"/>
      <c r="R449" s="18"/>
      <c r="S449" s="18"/>
      <c r="T449" s="18"/>
      <c r="U449" s="18"/>
    </row>
    <row r="450" spans="1:21" x14ac:dyDescent="0.35">
      <c r="A450" s="18"/>
      <c r="B450" s="18"/>
      <c r="C450" s="18"/>
      <c r="D450" s="18"/>
      <c r="E450" s="18"/>
      <c r="F450" s="18"/>
      <c r="G450" s="18"/>
      <c r="H450" s="18"/>
      <c r="I450" s="18"/>
      <c r="J450" s="18"/>
      <c r="K450" s="18"/>
      <c r="L450" s="18"/>
      <c r="M450" s="18"/>
      <c r="N450" s="18"/>
      <c r="O450" s="18"/>
      <c r="P450" s="18"/>
      <c r="Q450" s="18"/>
      <c r="R450" s="18"/>
      <c r="S450" s="18"/>
      <c r="T450" s="18"/>
      <c r="U450" s="18"/>
    </row>
    <row r="451" spans="1:21" x14ac:dyDescent="0.35">
      <c r="A451" s="18"/>
      <c r="B451" s="18"/>
      <c r="C451" s="18"/>
      <c r="D451" s="18"/>
      <c r="E451" s="18"/>
      <c r="F451" s="18"/>
      <c r="G451" s="18"/>
      <c r="H451" s="18"/>
      <c r="I451" s="18"/>
      <c r="J451" s="18"/>
      <c r="K451" s="18"/>
      <c r="L451" s="18"/>
      <c r="M451" s="18"/>
      <c r="N451" s="18"/>
      <c r="O451" s="18"/>
      <c r="P451" s="18"/>
      <c r="Q451" s="18"/>
      <c r="R451" s="18"/>
      <c r="S451" s="18"/>
      <c r="T451" s="18"/>
      <c r="U451" s="18"/>
    </row>
    <row r="452" spans="1:21" x14ac:dyDescent="0.35">
      <c r="A452" s="18"/>
      <c r="B452" s="18"/>
      <c r="C452" s="18"/>
      <c r="D452" s="18"/>
      <c r="E452" s="18"/>
      <c r="F452" s="18"/>
      <c r="G452" s="18"/>
      <c r="H452" s="18"/>
      <c r="I452" s="18"/>
      <c r="J452" s="18"/>
      <c r="K452" s="18"/>
      <c r="L452" s="18"/>
      <c r="M452" s="18"/>
      <c r="N452" s="18"/>
      <c r="O452" s="18"/>
      <c r="P452" s="18"/>
      <c r="Q452" s="18"/>
      <c r="R452" s="18"/>
      <c r="S452" s="18"/>
      <c r="T452" s="18"/>
      <c r="U452" s="18"/>
    </row>
    <row r="453" spans="1:21" x14ac:dyDescent="0.35">
      <c r="A453" s="18"/>
      <c r="B453" s="18"/>
      <c r="C453" s="18"/>
      <c r="D453" s="18"/>
      <c r="E453" s="18"/>
      <c r="F453" s="18"/>
      <c r="G453" s="18"/>
      <c r="H453" s="18"/>
      <c r="I453" s="18"/>
      <c r="J453" s="18"/>
      <c r="K453" s="18"/>
      <c r="L453" s="18"/>
      <c r="M453" s="18"/>
      <c r="N453" s="18"/>
      <c r="O453" s="18"/>
      <c r="P453" s="18"/>
      <c r="Q453" s="18"/>
      <c r="R453" s="18"/>
      <c r="S453" s="18"/>
      <c r="T453" s="18"/>
      <c r="U453" s="18"/>
    </row>
    <row r="454" spans="1:21" x14ac:dyDescent="0.35">
      <c r="A454" s="18"/>
      <c r="B454" s="18"/>
      <c r="C454" s="18"/>
      <c r="D454" s="18"/>
      <c r="E454" s="18"/>
      <c r="F454" s="18"/>
      <c r="G454" s="18"/>
      <c r="H454" s="18"/>
      <c r="I454" s="18"/>
      <c r="J454" s="18"/>
      <c r="K454" s="18"/>
      <c r="L454" s="18"/>
      <c r="M454" s="18"/>
      <c r="N454" s="18"/>
      <c r="O454" s="18"/>
      <c r="P454" s="18"/>
      <c r="Q454" s="18"/>
      <c r="R454" s="18"/>
      <c r="S454" s="18"/>
      <c r="T454" s="18"/>
      <c r="U454" s="18"/>
    </row>
    <row r="455" spans="1:21" x14ac:dyDescent="0.35">
      <c r="A455" s="18"/>
      <c r="B455" s="18"/>
      <c r="C455" s="18"/>
      <c r="D455" s="18"/>
      <c r="E455" s="18"/>
      <c r="F455" s="18"/>
      <c r="G455" s="18"/>
      <c r="H455" s="18"/>
      <c r="I455" s="18"/>
      <c r="J455" s="18"/>
      <c r="K455" s="18"/>
      <c r="L455" s="18"/>
      <c r="M455" s="18"/>
      <c r="N455" s="18"/>
      <c r="O455" s="18"/>
      <c r="P455" s="18"/>
      <c r="Q455" s="18"/>
      <c r="R455" s="18"/>
      <c r="S455" s="18"/>
      <c r="T455" s="18"/>
      <c r="U455" s="18"/>
    </row>
    <row r="456" spans="1:21" x14ac:dyDescent="0.35">
      <c r="A456" s="18"/>
      <c r="B456" s="18"/>
      <c r="C456" s="18"/>
      <c r="D456" s="18"/>
      <c r="E456" s="18"/>
      <c r="F456" s="18"/>
      <c r="G456" s="18"/>
      <c r="H456" s="18"/>
      <c r="I456" s="18"/>
      <c r="J456" s="18"/>
      <c r="K456" s="18"/>
      <c r="L456" s="18"/>
      <c r="M456" s="18"/>
      <c r="N456" s="18"/>
      <c r="O456" s="18"/>
      <c r="P456" s="18"/>
      <c r="Q456" s="18"/>
      <c r="R456" s="18"/>
      <c r="S456" s="18"/>
      <c r="T456" s="18"/>
      <c r="U456" s="18"/>
    </row>
    <row r="457" spans="1:21" x14ac:dyDescent="0.35">
      <c r="A457" s="18"/>
      <c r="B457" s="18"/>
      <c r="C457" s="18"/>
      <c r="D457" s="18"/>
      <c r="E457" s="18"/>
      <c r="F457" s="18"/>
      <c r="G457" s="18"/>
      <c r="H457" s="18"/>
      <c r="I457" s="18"/>
      <c r="J457" s="18"/>
      <c r="K457" s="18"/>
      <c r="L457" s="18"/>
      <c r="M457" s="18"/>
      <c r="N457" s="18"/>
      <c r="O457" s="18"/>
      <c r="P457" s="18"/>
      <c r="Q457" s="18"/>
      <c r="R457" s="18"/>
      <c r="S457" s="18"/>
      <c r="T457" s="18"/>
      <c r="U457" s="18"/>
    </row>
    <row r="458" spans="1:21" x14ac:dyDescent="0.35">
      <c r="A458" s="18"/>
      <c r="B458" s="18"/>
      <c r="C458" s="18"/>
      <c r="D458" s="18"/>
      <c r="E458" s="18"/>
      <c r="F458" s="18"/>
      <c r="G458" s="18"/>
      <c r="H458" s="18"/>
      <c r="I458" s="18"/>
      <c r="J458" s="18"/>
      <c r="K458" s="18"/>
      <c r="L458" s="18"/>
      <c r="M458" s="18"/>
      <c r="N458" s="18"/>
      <c r="O458" s="18"/>
      <c r="P458" s="18"/>
      <c r="Q458" s="18"/>
      <c r="R458" s="18"/>
      <c r="S458" s="18"/>
      <c r="T458" s="18"/>
      <c r="U458" s="18"/>
    </row>
    <row r="459" spans="1:21" x14ac:dyDescent="0.35">
      <c r="A459" s="18"/>
      <c r="B459" s="18"/>
      <c r="C459" s="18"/>
      <c r="D459" s="18"/>
      <c r="E459" s="18"/>
      <c r="F459" s="18"/>
      <c r="G459" s="18"/>
      <c r="H459" s="18"/>
      <c r="I459" s="18"/>
      <c r="J459" s="18"/>
      <c r="K459" s="18"/>
      <c r="L459" s="18"/>
      <c r="M459" s="18"/>
      <c r="N459" s="18"/>
      <c r="O459" s="18"/>
      <c r="P459" s="18"/>
      <c r="Q459" s="18"/>
      <c r="R459" s="18"/>
      <c r="S459" s="18"/>
      <c r="T459" s="18"/>
      <c r="U459" s="18"/>
    </row>
    <row r="460" spans="1:21" x14ac:dyDescent="0.35">
      <c r="A460" s="18"/>
      <c r="B460" s="18"/>
      <c r="C460" s="18"/>
      <c r="D460" s="18"/>
      <c r="E460" s="18"/>
      <c r="F460" s="18"/>
      <c r="G460" s="18"/>
      <c r="H460" s="18"/>
      <c r="I460" s="18"/>
      <c r="J460" s="18"/>
      <c r="K460" s="18"/>
      <c r="L460" s="18"/>
      <c r="M460" s="18"/>
      <c r="N460" s="18"/>
      <c r="O460" s="18"/>
      <c r="P460" s="18"/>
      <c r="Q460" s="18"/>
      <c r="R460" s="18"/>
      <c r="S460" s="18"/>
      <c r="T460" s="18"/>
      <c r="U460" s="18"/>
    </row>
    <row r="461" spans="1:21" x14ac:dyDescent="0.35">
      <c r="A461" s="18"/>
      <c r="B461" s="18"/>
      <c r="C461" s="18"/>
      <c r="D461" s="18"/>
      <c r="E461" s="18"/>
      <c r="F461" s="18"/>
      <c r="G461" s="18"/>
      <c r="H461" s="18"/>
      <c r="I461" s="18"/>
      <c r="J461" s="18"/>
      <c r="K461" s="18"/>
      <c r="L461" s="18"/>
      <c r="M461" s="18"/>
      <c r="N461" s="18"/>
      <c r="O461" s="18"/>
      <c r="P461" s="18"/>
      <c r="Q461" s="18"/>
      <c r="R461" s="18"/>
      <c r="S461" s="18"/>
      <c r="T461" s="18"/>
      <c r="U461" s="18"/>
    </row>
    <row r="462" spans="1:21" x14ac:dyDescent="0.35">
      <c r="A462" s="18"/>
      <c r="B462" s="18"/>
      <c r="C462" s="18"/>
      <c r="D462" s="18"/>
      <c r="E462" s="18"/>
      <c r="F462" s="18"/>
      <c r="G462" s="18"/>
      <c r="H462" s="18"/>
      <c r="I462" s="18"/>
      <c r="J462" s="18"/>
      <c r="K462" s="18"/>
      <c r="L462" s="18"/>
      <c r="M462" s="18"/>
      <c r="N462" s="18"/>
      <c r="O462" s="18"/>
      <c r="P462" s="18"/>
      <c r="Q462" s="18"/>
      <c r="R462" s="18"/>
      <c r="S462" s="18"/>
      <c r="T462" s="18"/>
      <c r="U462" s="18"/>
    </row>
    <row r="463" spans="1:21" x14ac:dyDescent="0.35">
      <c r="A463" s="18"/>
      <c r="B463" s="18"/>
      <c r="C463" s="18"/>
      <c r="D463" s="18"/>
      <c r="E463" s="18"/>
      <c r="F463" s="18"/>
      <c r="G463" s="18"/>
      <c r="H463" s="18"/>
      <c r="I463" s="18"/>
      <c r="J463" s="18"/>
      <c r="K463" s="18"/>
      <c r="L463" s="18"/>
      <c r="M463" s="18"/>
      <c r="N463" s="18"/>
      <c r="O463" s="18"/>
      <c r="P463" s="18"/>
      <c r="Q463" s="18"/>
      <c r="R463" s="18"/>
      <c r="S463" s="18"/>
      <c r="T463" s="18"/>
      <c r="U463" s="18"/>
    </row>
    <row r="464" spans="1:21" x14ac:dyDescent="0.35">
      <c r="A464" s="18"/>
      <c r="B464" s="18"/>
      <c r="C464" s="18"/>
      <c r="D464" s="18"/>
      <c r="E464" s="18"/>
      <c r="F464" s="18"/>
      <c r="G464" s="18"/>
      <c r="H464" s="18"/>
      <c r="I464" s="18"/>
      <c r="J464" s="18"/>
      <c r="K464" s="18"/>
      <c r="L464" s="18"/>
      <c r="M464" s="18"/>
      <c r="N464" s="18"/>
      <c r="O464" s="18"/>
      <c r="P464" s="18"/>
      <c r="Q464" s="18"/>
      <c r="R464" s="18"/>
      <c r="S464" s="18"/>
      <c r="T464" s="18"/>
      <c r="U464" s="18"/>
    </row>
    <row r="465" spans="1:21" x14ac:dyDescent="0.35">
      <c r="A465" s="18"/>
      <c r="B465" s="18"/>
      <c r="C465" s="18"/>
      <c r="D465" s="18"/>
      <c r="E465" s="18"/>
      <c r="F465" s="18"/>
      <c r="G465" s="18"/>
      <c r="H465" s="18"/>
      <c r="I465" s="18"/>
      <c r="J465" s="18"/>
      <c r="K465" s="18"/>
      <c r="L465" s="18"/>
      <c r="M465" s="18"/>
      <c r="N465" s="18"/>
      <c r="O465" s="18"/>
      <c r="P465" s="18"/>
      <c r="Q465" s="18"/>
      <c r="R465" s="18"/>
      <c r="S465" s="18"/>
      <c r="T465" s="18"/>
      <c r="U465" s="18"/>
    </row>
    <row r="466" spans="1:21" x14ac:dyDescent="0.35">
      <c r="A466" s="18"/>
      <c r="B466" s="18"/>
      <c r="C466" s="18"/>
      <c r="D466" s="18"/>
      <c r="E466" s="18"/>
      <c r="F466" s="18"/>
      <c r="G466" s="18"/>
      <c r="H466" s="18"/>
      <c r="I466" s="18"/>
      <c r="J466" s="18"/>
      <c r="K466" s="18"/>
      <c r="L466" s="18"/>
      <c r="M466" s="18"/>
      <c r="N466" s="18"/>
      <c r="O466" s="18"/>
      <c r="P466" s="18"/>
      <c r="Q466" s="18"/>
      <c r="R466" s="18"/>
      <c r="S466" s="18"/>
      <c r="T466" s="18"/>
      <c r="U466" s="18"/>
    </row>
    <row r="467" spans="1:21" x14ac:dyDescent="0.35">
      <c r="A467" s="18"/>
      <c r="B467" s="18"/>
      <c r="C467" s="18"/>
      <c r="D467" s="18"/>
      <c r="E467" s="18"/>
      <c r="F467" s="18"/>
      <c r="G467" s="18"/>
      <c r="H467" s="18"/>
      <c r="I467" s="18"/>
      <c r="J467" s="18"/>
      <c r="K467" s="18"/>
      <c r="L467" s="18"/>
      <c r="M467" s="18"/>
      <c r="N467" s="18"/>
      <c r="O467" s="18"/>
      <c r="P467" s="18"/>
      <c r="Q467" s="18"/>
      <c r="R467" s="18"/>
      <c r="S467" s="18"/>
      <c r="T467" s="18"/>
      <c r="U467" s="18"/>
    </row>
    <row r="468" spans="1:21" x14ac:dyDescent="0.35">
      <c r="A468" s="18"/>
      <c r="B468" s="18"/>
      <c r="C468" s="18"/>
      <c r="D468" s="18"/>
      <c r="E468" s="18"/>
      <c r="F468" s="18"/>
      <c r="G468" s="18"/>
      <c r="H468" s="18"/>
      <c r="I468" s="18"/>
      <c r="J468" s="18"/>
      <c r="K468" s="18"/>
      <c r="L468" s="18"/>
      <c r="M468" s="18"/>
      <c r="N468" s="18"/>
      <c r="O468" s="18"/>
      <c r="P468" s="18"/>
      <c r="Q468" s="18"/>
      <c r="R468" s="18"/>
      <c r="S468" s="18"/>
      <c r="T468" s="18"/>
      <c r="U468" s="18"/>
    </row>
    <row r="469" spans="1:21" x14ac:dyDescent="0.35">
      <c r="A469" s="18"/>
      <c r="B469" s="18"/>
      <c r="C469" s="18"/>
      <c r="D469" s="18"/>
      <c r="E469" s="18"/>
      <c r="F469" s="18"/>
      <c r="G469" s="18"/>
      <c r="H469" s="18"/>
      <c r="I469" s="18"/>
      <c r="J469" s="18"/>
      <c r="K469" s="18"/>
      <c r="L469" s="18"/>
      <c r="M469" s="18"/>
      <c r="N469" s="18"/>
      <c r="O469" s="18"/>
      <c r="P469" s="18"/>
      <c r="Q469" s="18"/>
      <c r="R469" s="18"/>
      <c r="S469" s="18"/>
      <c r="T469" s="18"/>
      <c r="U469" s="18"/>
    </row>
    <row r="470" spans="1:21" x14ac:dyDescent="0.35">
      <c r="A470" s="18"/>
      <c r="B470" s="18"/>
      <c r="C470" s="18"/>
      <c r="D470" s="18"/>
      <c r="E470" s="18"/>
      <c r="F470" s="18"/>
      <c r="G470" s="18"/>
      <c r="H470" s="18"/>
      <c r="I470" s="18"/>
      <c r="J470" s="18"/>
      <c r="K470" s="18"/>
      <c r="L470" s="18"/>
      <c r="M470" s="18"/>
      <c r="N470" s="18"/>
      <c r="O470" s="18"/>
      <c r="P470" s="18"/>
      <c r="Q470" s="18"/>
      <c r="R470" s="18"/>
      <c r="S470" s="18"/>
      <c r="T470" s="18"/>
      <c r="U470" s="18"/>
    </row>
    <row r="471" spans="1:21" x14ac:dyDescent="0.35">
      <c r="A471" s="18"/>
      <c r="B471" s="18"/>
      <c r="C471" s="18"/>
      <c r="D471" s="18"/>
      <c r="E471" s="18"/>
      <c r="F471" s="18"/>
      <c r="G471" s="18"/>
      <c r="H471" s="18"/>
      <c r="I471" s="18"/>
      <c r="J471" s="18"/>
      <c r="K471" s="18"/>
      <c r="L471" s="18"/>
      <c r="M471" s="18"/>
      <c r="N471" s="18"/>
      <c r="O471" s="18"/>
      <c r="P471" s="18"/>
      <c r="Q471" s="18"/>
      <c r="R471" s="18"/>
      <c r="S471" s="18"/>
      <c r="T471" s="18"/>
      <c r="U471" s="18"/>
    </row>
    <row r="472" spans="1:21" x14ac:dyDescent="0.35">
      <c r="A472" s="18"/>
      <c r="B472" s="18"/>
      <c r="C472" s="18"/>
      <c r="D472" s="18"/>
      <c r="E472" s="18"/>
      <c r="F472" s="18"/>
      <c r="G472" s="18"/>
      <c r="H472" s="18"/>
      <c r="I472" s="18"/>
      <c r="J472" s="18"/>
      <c r="K472" s="18"/>
      <c r="L472" s="18"/>
      <c r="M472" s="18"/>
      <c r="N472" s="18"/>
      <c r="O472" s="18"/>
      <c r="P472" s="18"/>
      <c r="Q472" s="18"/>
      <c r="R472" s="18"/>
      <c r="S472" s="18"/>
      <c r="T472" s="18"/>
      <c r="U472" s="18"/>
    </row>
    <row r="473" spans="1:21" x14ac:dyDescent="0.35">
      <c r="A473" s="18"/>
      <c r="B473" s="18"/>
      <c r="C473" s="18"/>
      <c r="D473" s="18"/>
      <c r="E473" s="18"/>
      <c r="F473" s="18"/>
      <c r="G473" s="18"/>
      <c r="H473" s="18"/>
      <c r="I473" s="18"/>
      <c r="J473" s="18"/>
      <c r="K473" s="18"/>
      <c r="L473" s="18"/>
      <c r="M473" s="18"/>
      <c r="N473" s="18"/>
      <c r="O473" s="18"/>
      <c r="P473" s="18"/>
      <c r="Q473" s="18"/>
      <c r="R473" s="18"/>
      <c r="S473" s="18"/>
      <c r="T473" s="18"/>
      <c r="U473" s="18"/>
    </row>
    <row r="474" spans="1:21" x14ac:dyDescent="0.35">
      <c r="A474" s="18"/>
      <c r="B474" s="18"/>
      <c r="C474" s="18"/>
      <c r="D474" s="18"/>
      <c r="E474" s="18"/>
      <c r="F474" s="18"/>
      <c r="G474" s="18"/>
      <c r="H474" s="18"/>
      <c r="I474" s="18"/>
      <c r="J474" s="18"/>
      <c r="K474" s="18"/>
      <c r="L474" s="18"/>
      <c r="M474" s="18"/>
      <c r="N474" s="18"/>
      <c r="O474" s="18"/>
      <c r="P474" s="18"/>
      <c r="Q474" s="18"/>
      <c r="R474" s="18"/>
      <c r="S474" s="18"/>
      <c r="T474" s="18"/>
      <c r="U474" s="18"/>
    </row>
    <row r="475" spans="1:21" x14ac:dyDescent="0.35">
      <c r="A475" s="18"/>
      <c r="B475" s="18"/>
      <c r="C475" s="18"/>
      <c r="D475" s="18"/>
      <c r="E475" s="18"/>
      <c r="F475" s="18"/>
      <c r="G475" s="18"/>
      <c r="H475" s="18"/>
      <c r="I475" s="18"/>
      <c r="J475" s="18"/>
      <c r="K475" s="18"/>
      <c r="L475" s="18"/>
      <c r="M475" s="18"/>
      <c r="N475" s="18"/>
      <c r="O475" s="18"/>
      <c r="P475" s="18"/>
      <c r="Q475" s="18"/>
      <c r="R475" s="18"/>
      <c r="S475" s="18"/>
      <c r="T475" s="18"/>
      <c r="U475" s="18"/>
    </row>
    <row r="476" spans="1:21" x14ac:dyDescent="0.35">
      <c r="A476" s="18"/>
      <c r="B476" s="18"/>
      <c r="C476" s="18"/>
      <c r="D476" s="18"/>
      <c r="E476" s="18"/>
      <c r="F476" s="18"/>
      <c r="G476" s="18"/>
      <c r="H476" s="18"/>
      <c r="I476" s="18"/>
      <c r="J476" s="18"/>
      <c r="K476" s="18"/>
      <c r="L476" s="18"/>
      <c r="M476" s="18"/>
      <c r="N476" s="18"/>
      <c r="O476" s="18"/>
      <c r="P476" s="18"/>
      <c r="Q476" s="18"/>
      <c r="R476" s="18"/>
      <c r="S476" s="18"/>
      <c r="T476" s="18"/>
      <c r="U476" s="18"/>
    </row>
    <row r="477" spans="1:21" x14ac:dyDescent="0.35">
      <c r="A477" s="18"/>
      <c r="B477" s="18"/>
      <c r="C477" s="18"/>
      <c r="D477" s="18"/>
      <c r="E477" s="18"/>
      <c r="F477" s="18"/>
      <c r="G477" s="18"/>
      <c r="H477" s="18"/>
      <c r="I477" s="18"/>
      <c r="J477" s="18"/>
      <c r="K477" s="18"/>
      <c r="L477" s="18"/>
      <c r="M477" s="18"/>
      <c r="N477" s="18"/>
      <c r="O477" s="18"/>
      <c r="P477" s="18"/>
      <c r="Q477" s="18"/>
      <c r="R477" s="18"/>
      <c r="S477" s="18"/>
      <c r="T477" s="18"/>
      <c r="U477" s="18"/>
    </row>
    <row r="478" spans="1:21" x14ac:dyDescent="0.35">
      <c r="A478" s="18"/>
      <c r="B478" s="18"/>
      <c r="C478" s="18"/>
      <c r="D478" s="18"/>
      <c r="E478" s="18"/>
      <c r="F478" s="18"/>
      <c r="G478" s="18"/>
      <c r="H478" s="18"/>
      <c r="I478" s="18"/>
      <c r="J478" s="18"/>
      <c r="K478" s="18"/>
      <c r="L478" s="18"/>
      <c r="M478" s="18"/>
      <c r="N478" s="18"/>
      <c r="O478" s="18"/>
      <c r="P478" s="18"/>
      <c r="Q478" s="18"/>
      <c r="R478" s="18"/>
      <c r="S478" s="18"/>
      <c r="T478" s="18"/>
      <c r="U478" s="18"/>
    </row>
    <row r="479" spans="1:21" x14ac:dyDescent="0.35">
      <c r="A479" s="18"/>
      <c r="B479" s="18"/>
      <c r="C479" s="18"/>
      <c r="D479" s="18"/>
      <c r="E479" s="18"/>
      <c r="F479" s="18"/>
      <c r="G479" s="18"/>
      <c r="H479" s="18"/>
      <c r="I479" s="18"/>
      <c r="J479" s="18"/>
      <c r="K479" s="18"/>
      <c r="L479" s="18"/>
      <c r="M479" s="18"/>
      <c r="N479" s="18"/>
      <c r="O479" s="18"/>
      <c r="P479" s="18"/>
      <c r="Q479" s="18"/>
      <c r="R479" s="18"/>
      <c r="S479" s="18"/>
      <c r="T479" s="18"/>
      <c r="U479" s="18"/>
    </row>
    <row r="480" spans="1:21" x14ac:dyDescent="0.35">
      <c r="A480" s="18"/>
      <c r="B480" s="18"/>
      <c r="C480" s="18"/>
      <c r="D480" s="18"/>
      <c r="E480" s="18"/>
      <c r="F480" s="18"/>
      <c r="G480" s="18"/>
      <c r="H480" s="18"/>
      <c r="I480" s="18"/>
      <c r="J480" s="18"/>
      <c r="K480" s="18"/>
      <c r="L480" s="18"/>
      <c r="M480" s="18"/>
      <c r="N480" s="18"/>
      <c r="O480" s="18"/>
      <c r="P480" s="18"/>
      <c r="Q480" s="18"/>
      <c r="R480" s="18"/>
      <c r="S480" s="18"/>
      <c r="T480" s="18"/>
      <c r="U480" s="18"/>
    </row>
    <row r="481" spans="1:21" x14ac:dyDescent="0.35">
      <c r="A481" s="18"/>
      <c r="B481" s="18"/>
      <c r="C481" s="18"/>
      <c r="D481" s="18"/>
      <c r="E481" s="18"/>
      <c r="F481" s="18"/>
      <c r="G481" s="18"/>
      <c r="H481" s="18"/>
      <c r="I481" s="18"/>
      <c r="J481" s="18"/>
      <c r="K481" s="18"/>
      <c r="L481" s="18"/>
      <c r="M481" s="18"/>
      <c r="N481" s="18"/>
      <c r="O481" s="18"/>
      <c r="P481" s="18"/>
      <c r="Q481" s="18"/>
      <c r="R481" s="18"/>
      <c r="S481" s="18"/>
      <c r="T481" s="18"/>
      <c r="U481" s="18"/>
    </row>
    <row r="482" spans="1:21" x14ac:dyDescent="0.35">
      <c r="A482" s="18"/>
      <c r="B482" s="18"/>
      <c r="C482" s="18"/>
      <c r="D482" s="18"/>
      <c r="E482" s="18"/>
      <c r="F482" s="18"/>
      <c r="G482" s="18"/>
      <c r="H482" s="18"/>
      <c r="I482" s="18"/>
      <c r="J482" s="18"/>
      <c r="K482" s="18"/>
      <c r="L482" s="18"/>
      <c r="M482" s="18"/>
      <c r="N482" s="18"/>
      <c r="O482" s="18"/>
      <c r="P482" s="18"/>
      <c r="Q482" s="18"/>
      <c r="R482" s="18"/>
      <c r="S482" s="18"/>
      <c r="T482" s="18"/>
      <c r="U482" s="18"/>
    </row>
    <row r="483" spans="1:21" x14ac:dyDescent="0.35">
      <c r="A483" s="18"/>
      <c r="B483" s="18"/>
      <c r="C483" s="18"/>
      <c r="D483" s="18"/>
      <c r="E483" s="18"/>
      <c r="F483" s="18"/>
      <c r="G483" s="18"/>
      <c r="H483" s="18"/>
      <c r="I483" s="18"/>
      <c r="J483" s="18"/>
      <c r="K483" s="18"/>
      <c r="L483" s="18"/>
      <c r="M483" s="18"/>
      <c r="N483" s="18"/>
      <c r="O483" s="18"/>
      <c r="P483" s="18"/>
      <c r="Q483" s="18"/>
      <c r="R483" s="18"/>
      <c r="S483" s="18"/>
      <c r="T483" s="18"/>
      <c r="U483" s="18"/>
    </row>
    <row r="484" spans="1:21" x14ac:dyDescent="0.35">
      <c r="A484" s="18"/>
      <c r="B484" s="18"/>
      <c r="C484" s="18"/>
      <c r="D484" s="18"/>
      <c r="E484" s="18"/>
      <c r="F484" s="18"/>
      <c r="G484" s="18"/>
      <c r="H484" s="18"/>
      <c r="I484" s="18"/>
      <c r="J484" s="18"/>
      <c r="K484" s="18"/>
      <c r="L484" s="18"/>
      <c r="M484" s="18"/>
      <c r="N484" s="18"/>
      <c r="O484" s="18"/>
      <c r="P484" s="18"/>
      <c r="Q484" s="18"/>
      <c r="R484" s="18"/>
      <c r="S484" s="18"/>
      <c r="T484" s="18"/>
      <c r="U484" s="18"/>
    </row>
    <row r="485" spans="1:21" x14ac:dyDescent="0.35">
      <c r="A485" s="18"/>
      <c r="B485" s="18"/>
      <c r="C485" s="18"/>
      <c r="D485" s="18"/>
      <c r="E485" s="18"/>
      <c r="F485" s="18"/>
      <c r="G485" s="18"/>
      <c r="H485" s="18"/>
      <c r="I485" s="18"/>
      <c r="J485" s="18"/>
      <c r="K485" s="18"/>
      <c r="L485" s="18"/>
      <c r="M485" s="18"/>
      <c r="N485" s="18"/>
      <c r="O485" s="18"/>
      <c r="P485" s="18"/>
      <c r="Q485" s="18"/>
      <c r="R485" s="18"/>
      <c r="S485" s="18"/>
      <c r="T485" s="18"/>
      <c r="U485" s="18"/>
    </row>
    <row r="486" spans="1:21" x14ac:dyDescent="0.35">
      <c r="A486" s="18"/>
      <c r="B486" s="18"/>
      <c r="C486" s="18"/>
      <c r="D486" s="18"/>
      <c r="E486" s="18"/>
      <c r="F486" s="18"/>
      <c r="G486" s="18"/>
      <c r="H486" s="18"/>
      <c r="I486" s="18"/>
      <c r="J486" s="18"/>
      <c r="K486" s="18"/>
      <c r="L486" s="18"/>
      <c r="M486" s="18"/>
      <c r="N486" s="18"/>
      <c r="O486" s="18"/>
      <c r="P486" s="18"/>
      <c r="Q486" s="18"/>
      <c r="R486" s="18"/>
      <c r="S486" s="18"/>
      <c r="T486" s="18"/>
      <c r="U486" s="18"/>
    </row>
    <row r="487" spans="1:21" x14ac:dyDescent="0.35">
      <c r="A487" s="18"/>
      <c r="B487" s="18"/>
      <c r="C487" s="18"/>
      <c r="D487" s="18"/>
      <c r="E487" s="18"/>
      <c r="F487" s="18"/>
      <c r="G487" s="18"/>
      <c r="H487" s="18"/>
      <c r="I487" s="18"/>
      <c r="J487" s="18"/>
      <c r="K487" s="18"/>
      <c r="L487" s="18"/>
      <c r="M487" s="18"/>
      <c r="N487" s="18"/>
      <c r="O487" s="18"/>
      <c r="P487" s="18"/>
      <c r="Q487" s="18"/>
      <c r="R487" s="18"/>
      <c r="S487" s="18"/>
      <c r="T487" s="18"/>
      <c r="U487" s="18"/>
    </row>
    <row r="488" spans="1:21" x14ac:dyDescent="0.35">
      <c r="A488" s="18"/>
      <c r="B488" s="18"/>
      <c r="C488" s="18"/>
      <c r="D488" s="18"/>
      <c r="E488" s="18"/>
      <c r="F488" s="18"/>
      <c r="G488" s="18"/>
      <c r="H488" s="18"/>
      <c r="I488" s="18"/>
      <c r="J488" s="18"/>
      <c r="K488" s="18"/>
      <c r="L488" s="18"/>
      <c r="M488" s="18"/>
      <c r="N488" s="18"/>
      <c r="O488" s="18"/>
      <c r="P488" s="18"/>
      <c r="Q488" s="18"/>
      <c r="R488" s="18"/>
      <c r="S488" s="18"/>
      <c r="T488" s="18"/>
      <c r="U488" s="18"/>
    </row>
    <row r="489" spans="1:21" x14ac:dyDescent="0.35">
      <c r="A489" s="18"/>
      <c r="B489" s="18"/>
      <c r="C489" s="18"/>
      <c r="D489" s="18"/>
      <c r="E489" s="18"/>
      <c r="F489" s="18"/>
      <c r="G489" s="18"/>
      <c r="H489" s="18"/>
      <c r="I489" s="18"/>
      <c r="J489" s="18"/>
      <c r="K489" s="18"/>
      <c r="L489" s="18"/>
      <c r="M489" s="18"/>
      <c r="N489" s="18"/>
      <c r="O489" s="18"/>
      <c r="P489" s="18"/>
      <c r="Q489" s="18"/>
      <c r="R489" s="18"/>
      <c r="S489" s="18"/>
      <c r="T489" s="18"/>
      <c r="U489" s="18"/>
    </row>
    <row r="490" spans="1:21" x14ac:dyDescent="0.35">
      <c r="A490" s="18"/>
      <c r="B490" s="18"/>
      <c r="C490" s="18"/>
      <c r="D490" s="18"/>
      <c r="E490" s="18"/>
      <c r="F490" s="18"/>
      <c r="G490" s="18"/>
      <c r="H490" s="18"/>
      <c r="I490" s="18"/>
      <c r="J490" s="18"/>
      <c r="K490" s="18"/>
      <c r="L490" s="18"/>
      <c r="M490" s="18"/>
      <c r="N490" s="18"/>
      <c r="O490" s="18"/>
      <c r="P490" s="18"/>
      <c r="Q490" s="18"/>
      <c r="R490" s="18"/>
      <c r="S490" s="18"/>
      <c r="T490" s="18"/>
      <c r="U490" s="18"/>
    </row>
    <row r="491" spans="1:21" x14ac:dyDescent="0.35">
      <c r="A491" s="18"/>
      <c r="B491" s="18"/>
      <c r="C491" s="18"/>
      <c r="D491" s="18"/>
      <c r="E491" s="18"/>
      <c r="F491" s="18"/>
      <c r="G491" s="18"/>
      <c r="H491" s="18"/>
      <c r="I491" s="18"/>
      <c r="J491" s="18"/>
      <c r="K491" s="18"/>
      <c r="L491" s="18"/>
      <c r="M491" s="18"/>
      <c r="N491" s="18"/>
      <c r="O491" s="18"/>
      <c r="P491" s="18"/>
      <c r="Q491" s="18"/>
      <c r="R491" s="18"/>
      <c r="S491" s="18"/>
      <c r="T491" s="18"/>
      <c r="U491" s="18"/>
    </row>
    <row r="492" spans="1:21" x14ac:dyDescent="0.35">
      <c r="A492" s="18"/>
      <c r="B492" s="18"/>
      <c r="C492" s="18"/>
      <c r="D492" s="18"/>
      <c r="E492" s="18"/>
      <c r="F492" s="18"/>
      <c r="G492" s="18"/>
      <c r="H492" s="18"/>
      <c r="I492" s="18"/>
      <c r="J492" s="18"/>
      <c r="K492" s="18"/>
      <c r="L492" s="18"/>
      <c r="M492" s="18"/>
      <c r="N492" s="18"/>
      <c r="O492" s="18"/>
      <c r="P492" s="18"/>
      <c r="Q492" s="18"/>
      <c r="R492" s="18"/>
      <c r="S492" s="18"/>
      <c r="T492" s="18"/>
      <c r="U492" s="18"/>
    </row>
    <row r="493" spans="1:21" x14ac:dyDescent="0.35">
      <c r="A493" s="18"/>
      <c r="B493" s="18"/>
      <c r="C493" s="18"/>
      <c r="D493" s="18"/>
      <c r="E493" s="18"/>
      <c r="F493" s="18"/>
      <c r="G493" s="18"/>
      <c r="H493" s="18"/>
      <c r="I493" s="18"/>
      <c r="J493" s="18"/>
      <c r="K493" s="18"/>
      <c r="L493" s="18"/>
      <c r="M493" s="18"/>
      <c r="N493" s="18"/>
      <c r="O493" s="18"/>
      <c r="P493" s="18"/>
      <c r="Q493" s="18"/>
      <c r="R493" s="18"/>
      <c r="S493" s="18"/>
      <c r="T493" s="18"/>
      <c r="U493" s="18"/>
    </row>
    <row r="494" spans="1:21" x14ac:dyDescent="0.35">
      <c r="A494" s="18"/>
      <c r="B494" s="18"/>
      <c r="C494" s="18"/>
      <c r="D494" s="18"/>
      <c r="E494" s="18"/>
      <c r="F494" s="18"/>
      <c r="G494" s="18"/>
      <c r="H494" s="18"/>
      <c r="I494" s="18"/>
      <c r="J494" s="18"/>
      <c r="K494" s="18"/>
      <c r="L494" s="18"/>
      <c r="M494" s="18"/>
      <c r="N494" s="18"/>
      <c r="O494" s="18"/>
      <c r="P494" s="18"/>
      <c r="Q494" s="18"/>
      <c r="R494" s="18"/>
      <c r="S494" s="18"/>
      <c r="T494" s="18"/>
      <c r="U494" s="18"/>
    </row>
    <row r="495" spans="1:21" x14ac:dyDescent="0.35">
      <c r="A495" s="18"/>
      <c r="B495" s="18"/>
      <c r="C495" s="18"/>
      <c r="D495" s="18"/>
      <c r="E495" s="18"/>
      <c r="F495" s="18"/>
      <c r="G495" s="18"/>
      <c r="H495" s="18"/>
      <c r="I495" s="18"/>
      <c r="J495" s="18"/>
      <c r="K495" s="18"/>
      <c r="L495" s="18"/>
      <c r="M495" s="18"/>
      <c r="N495" s="18"/>
      <c r="O495" s="18"/>
      <c r="P495" s="18"/>
      <c r="Q495" s="18"/>
      <c r="R495" s="18"/>
      <c r="S495" s="18"/>
      <c r="T495" s="18"/>
      <c r="U495" s="18"/>
    </row>
    <row r="496" spans="1:21" x14ac:dyDescent="0.35">
      <c r="A496" s="18"/>
      <c r="B496" s="18"/>
      <c r="C496" s="18"/>
      <c r="D496" s="18"/>
      <c r="E496" s="18"/>
      <c r="F496" s="18"/>
      <c r="G496" s="18"/>
      <c r="H496" s="18"/>
      <c r="I496" s="18"/>
      <c r="J496" s="18"/>
      <c r="K496" s="18"/>
      <c r="L496" s="18"/>
      <c r="M496" s="18"/>
      <c r="N496" s="18"/>
      <c r="O496" s="18"/>
      <c r="P496" s="18"/>
      <c r="Q496" s="18"/>
      <c r="R496" s="18"/>
      <c r="S496" s="18"/>
      <c r="T496" s="18"/>
      <c r="U496" s="18"/>
    </row>
    <row r="497" spans="1:21" x14ac:dyDescent="0.35">
      <c r="A497" s="18"/>
      <c r="B497" s="18"/>
      <c r="C497" s="18"/>
      <c r="D497" s="18"/>
      <c r="E497" s="18"/>
      <c r="F497" s="18"/>
      <c r="G497" s="18"/>
      <c r="H497" s="18"/>
      <c r="I497" s="18"/>
      <c r="J497" s="18"/>
      <c r="K497" s="18"/>
      <c r="L497" s="18"/>
      <c r="M497" s="18"/>
      <c r="N497" s="18"/>
      <c r="O497" s="18"/>
      <c r="P497" s="18"/>
      <c r="Q497" s="18"/>
      <c r="R497" s="18"/>
      <c r="S497" s="18"/>
      <c r="T497" s="18"/>
      <c r="U497" s="18"/>
    </row>
    <row r="498" spans="1:21" x14ac:dyDescent="0.35">
      <c r="A498" s="18"/>
      <c r="B498" s="18"/>
      <c r="C498" s="18"/>
      <c r="D498" s="18"/>
      <c r="E498" s="18"/>
      <c r="F498" s="18"/>
      <c r="G498" s="18"/>
      <c r="H498" s="18"/>
      <c r="I498" s="18"/>
      <c r="J498" s="18"/>
      <c r="K498" s="18"/>
      <c r="L498" s="18"/>
      <c r="M498" s="18"/>
      <c r="N498" s="18"/>
      <c r="O498" s="18"/>
      <c r="P498" s="18"/>
      <c r="Q498" s="18"/>
      <c r="R498" s="18"/>
      <c r="S498" s="18"/>
      <c r="T498" s="18"/>
      <c r="U498" s="18"/>
    </row>
    <row r="499" spans="1:21" x14ac:dyDescent="0.35">
      <c r="A499" s="18"/>
      <c r="B499" s="18"/>
      <c r="C499" s="18"/>
      <c r="D499" s="18"/>
      <c r="E499" s="18"/>
      <c r="F499" s="18"/>
      <c r="G499" s="18"/>
      <c r="H499" s="18"/>
      <c r="I499" s="18"/>
      <c r="J499" s="18"/>
      <c r="K499" s="18"/>
      <c r="L499" s="18"/>
      <c r="M499" s="18"/>
      <c r="N499" s="18"/>
      <c r="O499" s="18"/>
      <c r="P499" s="18"/>
      <c r="Q499" s="18"/>
      <c r="R499" s="18"/>
      <c r="S499" s="18"/>
      <c r="T499" s="18"/>
      <c r="U499" s="18"/>
    </row>
    <row r="500" spans="1:21" x14ac:dyDescent="0.35">
      <c r="A500" s="18"/>
      <c r="B500" s="18"/>
      <c r="C500" s="18"/>
      <c r="D500" s="18"/>
      <c r="E500" s="18"/>
      <c r="F500" s="18"/>
      <c r="G500" s="18"/>
      <c r="H500" s="18"/>
      <c r="I500" s="18"/>
      <c r="J500" s="18"/>
      <c r="K500" s="18"/>
      <c r="L500" s="18"/>
      <c r="M500" s="18"/>
      <c r="N500" s="18"/>
      <c r="O500" s="18"/>
      <c r="P500" s="18"/>
      <c r="Q500" s="18"/>
      <c r="R500" s="18"/>
      <c r="S500" s="18"/>
      <c r="T500" s="18"/>
      <c r="U500" s="18"/>
    </row>
    <row r="501" spans="1:21" x14ac:dyDescent="0.35">
      <c r="A501" s="18"/>
      <c r="B501" s="18"/>
      <c r="C501" s="18"/>
      <c r="D501" s="18"/>
      <c r="E501" s="18"/>
      <c r="F501" s="18"/>
      <c r="G501" s="18"/>
      <c r="H501" s="18"/>
      <c r="I501" s="18"/>
      <c r="J501" s="18"/>
      <c r="K501" s="18"/>
      <c r="L501" s="18"/>
      <c r="M501" s="18"/>
      <c r="N501" s="18"/>
      <c r="O501" s="18"/>
      <c r="P501" s="18"/>
      <c r="Q501" s="18"/>
      <c r="R501" s="18"/>
      <c r="S501" s="18"/>
      <c r="T501" s="18"/>
      <c r="U501" s="18"/>
    </row>
    <row r="502" spans="1:21" x14ac:dyDescent="0.35">
      <c r="A502" s="18"/>
      <c r="B502" s="18"/>
      <c r="C502" s="18"/>
      <c r="D502" s="18"/>
      <c r="E502" s="18"/>
      <c r="F502" s="18"/>
      <c r="G502" s="18"/>
      <c r="H502" s="18"/>
      <c r="I502" s="18"/>
      <c r="J502" s="18"/>
      <c r="K502" s="18"/>
      <c r="L502" s="18"/>
      <c r="M502" s="18"/>
      <c r="N502" s="18"/>
      <c r="O502" s="18"/>
      <c r="P502" s="18"/>
      <c r="Q502" s="18"/>
      <c r="R502" s="18"/>
      <c r="S502" s="18"/>
      <c r="T502" s="18"/>
      <c r="U502" s="18"/>
    </row>
    <row r="503" spans="1:21" x14ac:dyDescent="0.35">
      <c r="A503" s="18"/>
      <c r="B503" s="18"/>
      <c r="C503" s="18"/>
      <c r="D503" s="18"/>
      <c r="E503" s="18"/>
      <c r="F503" s="18"/>
      <c r="G503" s="18"/>
      <c r="H503" s="18"/>
      <c r="I503" s="18"/>
      <c r="J503" s="18"/>
      <c r="K503" s="18"/>
      <c r="L503" s="18"/>
      <c r="M503" s="18"/>
      <c r="N503" s="18"/>
      <c r="O503" s="18"/>
      <c r="P503" s="18"/>
      <c r="Q503" s="18"/>
      <c r="R503" s="18"/>
      <c r="S503" s="18"/>
      <c r="T503" s="18"/>
      <c r="U503" s="18"/>
    </row>
    <row r="504" spans="1:21" x14ac:dyDescent="0.35">
      <c r="A504" s="18"/>
      <c r="B504" s="18"/>
      <c r="C504" s="18"/>
      <c r="D504" s="18"/>
      <c r="E504" s="18"/>
      <c r="F504" s="18"/>
      <c r="G504" s="18"/>
      <c r="H504" s="18"/>
      <c r="I504" s="18"/>
      <c r="J504" s="18"/>
      <c r="K504" s="18"/>
      <c r="L504" s="18"/>
      <c r="M504" s="18"/>
      <c r="N504" s="18"/>
      <c r="O504" s="18"/>
      <c r="P504" s="18"/>
      <c r="Q504" s="18"/>
      <c r="R504" s="18"/>
      <c r="S504" s="18"/>
      <c r="T504" s="18"/>
      <c r="U504" s="18"/>
    </row>
    <row r="505" spans="1:21" x14ac:dyDescent="0.35">
      <c r="A505" s="18"/>
      <c r="B505" s="18"/>
      <c r="C505" s="18"/>
      <c r="D505" s="18"/>
      <c r="E505" s="18"/>
      <c r="F505" s="18"/>
      <c r="G505" s="18"/>
      <c r="H505" s="18"/>
      <c r="I505" s="18"/>
      <c r="J505" s="18"/>
      <c r="K505" s="18"/>
      <c r="L505" s="18"/>
      <c r="M505" s="18"/>
      <c r="N505" s="18"/>
      <c r="O505" s="18"/>
      <c r="P505" s="18"/>
      <c r="Q505" s="18"/>
      <c r="R505" s="18"/>
      <c r="S505" s="18"/>
      <c r="T505" s="18"/>
      <c r="U505" s="18"/>
    </row>
    <row r="506" spans="1:21" x14ac:dyDescent="0.35">
      <c r="A506" s="18"/>
      <c r="B506" s="18"/>
      <c r="C506" s="18"/>
      <c r="D506" s="18"/>
      <c r="E506" s="18"/>
      <c r="F506" s="18"/>
      <c r="G506" s="18"/>
      <c r="H506" s="18"/>
      <c r="I506" s="18"/>
      <c r="J506" s="18"/>
      <c r="K506" s="18"/>
      <c r="L506" s="18"/>
      <c r="M506" s="18"/>
      <c r="N506" s="18"/>
      <c r="O506" s="18"/>
      <c r="P506" s="18"/>
      <c r="Q506" s="18"/>
      <c r="R506" s="18"/>
      <c r="S506" s="18"/>
      <c r="T506" s="18"/>
      <c r="U506" s="18"/>
    </row>
    <row r="507" spans="1:21" x14ac:dyDescent="0.35">
      <c r="A507" s="18"/>
      <c r="B507" s="18"/>
      <c r="C507" s="18"/>
      <c r="D507" s="18"/>
      <c r="E507" s="18"/>
      <c r="F507" s="18"/>
      <c r="G507" s="18"/>
      <c r="H507" s="18"/>
      <c r="I507" s="18"/>
      <c r="J507" s="18"/>
      <c r="K507" s="18"/>
      <c r="L507" s="18"/>
      <c r="M507" s="18"/>
      <c r="N507" s="18"/>
      <c r="O507" s="18"/>
      <c r="P507" s="18"/>
      <c r="Q507" s="18"/>
      <c r="R507" s="18"/>
      <c r="S507" s="18"/>
      <c r="T507" s="18"/>
      <c r="U507" s="18"/>
    </row>
    <row r="508" spans="1:21" x14ac:dyDescent="0.35">
      <c r="A508" s="18"/>
      <c r="B508" s="18"/>
      <c r="C508" s="18"/>
      <c r="D508" s="18"/>
      <c r="E508" s="18"/>
      <c r="F508" s="18"/>
      <c r="G508" s="18"/>
      <c r="H508" s="18"/>
      <c r="I508" s="18"/>
      <c r="J508" s="18"/>
      <c r="K508" s="18"/>
      <c r="L508" s="18"/>
      <c r="M508" s="18"/>
      <c r="N508" s="18"/>
      <c r="O508" s="18"/>
      <c r="P508" s="18"/>
      <c r="Q508" s="18"/>
      <c r="R508" s="18"/>
      <c r="S508" s="18"/>
      <c r="T508" s="18"/>
      <c r="U508" s="18"/>
    </row>
    <row r="509" spans="1:21" x14ac:dyDescent="0.35">
      <c r="A509" s="18"/>
      <c r="B509" s="18"/>
      <c r="C509" s="18"/>
      <c r="D509" s="18"/>
      <c r="E509" s="18"/>
      <c r="F509" s="18"/>
      <c r="G509" s="18"/>
      <c r="H509" s="18"/>
      <c r="I509" s="18"/>
      <c r="J509" s="18"/>
      <c r="K509" s="18"/>
      <c r="L509" s="18"/>
      <c r="M509" s="18"/>
      <c r="N509" s="18"/>
      <c r="O509" s="18"/>
      <c r="P509" s="18"/>
      <c r="Q509" s="18"/>
      <c r="R509" s="18"/>
      <c r="S509" s="18"/>
      <c r="T509" s="18"/>
      <c r="U509" s="18"/>
    </row>
    <row r="510" spans="1:21" x14ac:dyDescent="0.35">
      <c r="A510" s="18"/>
      <c r="B510" s="18"/>
      <c r="C510" s="18"/>
      <c r="D510" s="18"/>
      <c r="E510" s="18"/>
      <c r="F510" s="18"/>
      <c r="G510" s="18"/>
      <c r="H510" s="18"/>
      <c r="I510" s="18"/>
      <c r="J510" s="18"/>
      <c r="K510" s="18"/>
      <c r="L510" s="18"/>
      <c r="M510" s="18"/>
      <c r="N510" s="18"/>
      <c r="O510" s="18"/>
      <c r="P510" s="18"/>
      <c r="Q510" s="18"/>
      <c r="R510" s="18"/>
      <c r="S510" s="18"/>
      <c r="T510" s="18"/>
      <c r="U510" s="18"/>
    </row>
    <row r="511" spans="1:21" x14ac:dyDescent="0.35">
      <c r="A511" s="18"/>
      <c r="B511" s="18"/>
      <c r="C511" s="18"/>
      <c r="D511" s="18"/>
      <c r="E511" s="18"/>
      <c r="F511" s="18"/>
      <c r="G511" s="18"/>
      <c r="H511" s="18"/>
      <c r="I511" s="18"/>
      <c r="J511" s="18"/>
      <c r="K511" s="18"/>
      <c r="L511" s="18"/>
      <c r="M511" s="18"/>
      <c r="N511" s="18"/>
      <c r="O511" s="18"/>
      <c r="P511" s="18"/>
      <c r="Q511" s="18"/>
      <c r="R511" s="18"/>
      <c r="S511" s="18"/>
      <c r="T511" s="18"/>
      <c r="U511" s="18"/>
    </row>
    <row r="512" spans="1:21" x14ac:dyDescent="0.35">
      <c r="A512" s="18"/>
      <c r="B512" s="18"/>
      <c r="C512" s="18"/>
      <c r="D512" s="18"/>
      <c r="E512" s="18"/>
      <c r="F512" s="18"/>
      <c r="G512" s="18"/>
      <c r="H512" s="18"/>
      <c r="I512" s="18"/>
      <c r="J512" s="18"/>
      <c r="K512" s="18"/>
      <c r="L512" s="18"/>
      <c r="M512" s="18"/>
      <c r="N512" s="18"/>
      <c r="O512" s="18"/>
      <c r="P512" s="18"/>
      <c r="Q512" s="18"/>
      <c r="R512" s="18"/>
      <c r="S512" s="18"/>
      <c r="T512" s="18"/>
      <c r="U512" s="18"/>
    </row>
    <row r="513" spans="1:21" x14ac:dyDescent="0.35">
      <c r="A513" s="18"/>
      <c r="B513" s="18"/>
      <c r="C513" s="18"/>
      <c r="D513" s="18"/>
      <c r="E513" s="18"/>
      <c r="F513" s="18"/>
      <c r="G513" s="18"/>
      <c r="H513" s="18"/>
      <c r="I513" s="18"/>
      <c r="J513" s="18"/>
      <c r="K513" s="18"/>
      <c r="L513" s="18"/>
      <c r="M513" s="18"/>
      <c r="N513" s="18"/>
      <c r="O513" s="18"/>
      <c r="P513" s="18"/>
      <c r="Q513" s="18"/>
      <c r="R513" s="18"/>
      <c r="S513" s="18"/>
      <c r="T513" s="18"/>
      <c r="U513" s="18"/>
    </row>
    <row r="514" spans="1:21" x14ac:dyDescent="0.35">
      <c r="A514" s="18"/>
      <c r="B514" s="18"/>
      <c r="C514" s="18"/>
      <c r="D514" s="18"/>
      <c r="E514" s="18"/>
      <c r="F514" s="18"/>
      <c r="G514" s="18"/>
      <c r="H514" s="18"/>
      <c r="I514" s="18"/>
      <c r="J514" s="18"/>
      <c r="K514" s="18"/>
      <c r="L514" s="18"/>
      <c r="M514" s="18"/>
      <c r="N514" s="18"/>
      <c r="O514" s="18"/>
      <c r="P514" s="18"/>
      <c r="Q514" s="18"/>
      <c r="R514" s="18"/>
      <c r="S514" s="18"/>
      <c r="T514" s="18"/>
      <c r="U514" s="18"/>
    </row>
    <row r="515" spans="1:21" x14ac:dyDescent="0.35">
      <c r="A515" s="18"/>
      <c r="B515" s="18"/>
      <c r="C515" s="18"/>
      <c r="D515" s="18"/>
      <c r="E515" s="18"/>
      <c r="F515" s="18"/>
      <c r="G515" s="18"/>
      <c r="H515" s="18"/>
      <c r="I515" s="18"/>
      <c r="J515" s="18"/>
      <c r="K515" s="18"/>
      <c r="L515" s="18"/>
      <c r="M515" s="18"/>
      <c r="N515" s="18"/>
      <c r="O515" s="18"/>
      <c r="P515" s="18"/>
      <c r="Q515" s="18"/>
      <c r="R515" s="18"/>
      <c r="S515" s="18"/>
      <c r="T515" s="18"/>
      <c r="U515" s="18"/>
    </row>
    <row r="516" spans="1:21" x14ac:dyDescent="0.35">
      <c r="A516" s="18"/>
      <c r="B516" s="18"/>
      <c r="C516" s="18"/>
      <c r="D516" s="18"/>
      <c r="E516" s="18"/>
      <c r="F516" s="18"/>
      <c r="G516" s="18"/>
      <c r="H516" s="18"/>
      <c r="I516" s="18"/>
      <c r="J516" s="18"/>
      <c r="K516" s="18"/>
      <c r="L516" s="18"/>
      <c r="M516" s="18"/>
      <c r="N516" s="18"/>
      <c r="O516" s="18"/>
      <c r="P516" s="18"/>
      <c r="Q516" s="18"/>
      <c r="R516" s="18"/>
      <c r="S516" s="18"/>
      <c r="T516" s="18"/>
      <c r="U516" s="18"/>
    </row>
    <row r="517" spans="1:21" x14ac:dyDescent="0.35">
      <c r="A517" s="18"/>
      <c r="B517" s="18"/>
      <c r="C517" s="18"/>
      <c r="D517" s="18"/>
      <c r="E517" s="18"/>
      <c r="F517" s="18"/>
      <c r="G517" s="18"/>
      <c r="H517" s="18"/>
      <c r="I517" s="18"/>
      <c r="J517" s="18"/>
      <c r="K517" s="18"/>
      <c r="L517" s="18"/>
      <c r="M517" s="18"/>
      <c r="N517" s="18"/>
      <c r="O517" s="18"/>
      <c r="P517" s="18"/>
      <c r="Q517" s="18"/>
      <c r="R517" s="18"/>
      <c r="S517" s="18"/>
      <c r="T517" s="18"/>
      <c r="U517" s="18"/>
    </row>
    <row r="518" spans="1:21" x14ac:dyDescent="0.35">
      <c r="A518" s="18"/>
      <c r="B518" s="18"/>
      <c r="C518" s="18"/>
      <c r="D518" s="18"/>
      <c r="E518" s="18"/>
      <c r="F518" s="18"/>
      <c r="G518" s="18"/>
      <c r="H518" s="18"/>
      <c r="I518" s="18"/>
      <c r="J518" s="18"/>
      <c r="K518" s="18"/>
      <c r="L518" s="18"/>
      <c r="M518" s="18"/>
      <c r="N518" s="18"/>
      <c r="O518" s="18"/>
      <c r="P518" s="18"/>
      <c r="Q518" s="18"/>
      <c r="R518" s="18"/>
      <c r="S518" s="18"/>
      <c r="T518" s="18"/>
      <c r="U518" s="18"/>
    </row>
    <row r="519" spans="1:21" x14ac:dyDescent="0.35">
      <c r="A519" s="18"/>
      <c r="B519" s="18"/>
      <c r="C519" s="18"/>
      <c r="D519" s="18"/>
      <c r="E519" s="18"/>
      <c r="F519" s="18"/>
      <c r="G519" s="18"/>
      <c r="H519" s="18"/>
      <c r="I519" s="18"/>
      <c r="J519" s="18"/>
      <c r="K519" s="18"/>
      <c r="L519" s="18"/>
      <c r="M519" s="18"/>
      <c r="N519" s="18"/>
      <c r="O519" s="18"/>
      <c r="P519" s="18"/>
      <c r="Q519" s="18"/>
      <c r="R519" s="18"/>
      <c r="S519" s="18"/>
      <c r="T519" s="18"/>
      <c r="U519" s="18"/>
    </row>
    <row r="520" spans="1:21" x14ac:dyDescent="0.35">
      <c r="A520" s="18"/>
      <c r="B520" s="18"/>
      <c r="C520" s="18"/>
      <c r="D520" s="18"/>
      <c r="E520" s="18"/>
      <c r="F520" s="18"/>
      <c r="G520" s="18"/>
      <c r="H520" s="18"/>
      <c r="I520" s="18"/>
      <c r="J520" s="18"/>
      <c r="K520" s="18"/>
      <c r="L520" s="18"/>
      <c r="M520" s="18"/>
      <c r="N520" s="18"/>
      <c r="O520" s="18"/>
      <c r="P520" s="18"/>
      <c r="Q520" s="18"/>
      <c r="R520" s="18"/>
      <c r="S520" s="18"/>
      <c r="T520" s="18"/>
      <c r="U520" s="18"/>
    </row>
    <row r="521" spans="1:21" x14ac:dyDescent="0.35">
      <c r="A521" s="18"/>
      <c r="B521" s="18"/>
      <c r="C521" s="18"/>
      <c r="D521" s="18"/>
      <c r="E521" s="18"/>
      <c r="F521" s="18"/>
      <c r="G521" s="18"/>
      <c r="H521" s="18"/>
      <c r="I521" s="18"/>
      <c r="J521" s="18"/>
      <c r="K521" s="18"/>
      <c r="L521" s="18"/>
      <c r="M521" s="18"/>
      <c r="N521" s="18"/>
      <c r="O521" s="18"/>
      <c r="P521" s="18"/>
      <c r="Q521" s="18"/>
      <c r="R521" s="18"/>
      <c r="S521" s="18"/>
      <c r="T521" s="18"/>
      <c r="U521" s="18"/>
    </row>
    <row r="522" spans="1:21" x14ac:dyDescent="0.35">
      <c r="A522" s="18"/>
      <c r="B522" s="18"/>
      <c r="C522" s="18"/>
      <c r="D522" s="18"/>
      <c r="E522" s="18"/>
      <c r="F522" s="18"/>
      <c r="G522" s="18"/>
      <c r="H522" s="18"/>
      <c r="I522" s="18"/>
      <c r="J522" s="18"/>
      <c r="K522" s="18"/>
      <c r="L522" s="18"/>
      <c r="M522" s="18"/>
      <c r="N522" s="18"/>
      <c r="O522" s="18"/>
      <c r="P522" s="18"/>
      <c r="Q522" s="18"/>
      <c r="R522" s="18"/>
      <c r="S522" s="18"/>
      <c r="T522" s="18"/>
      <c r="U522" s="18"/>
    </row>
    <row r="523" spans="1:21" x14ac:dyDescent="0.35">
      <c r="A523" s="18"/>
      <c r="B523" s="18"/>
      <c r="C523" s="18"/>
      <c r="D523" s="18"/>
      <c r="E523" s="18"/>
      <c r="F523" s="18"/>
      <c r="G523" s="18"/>
      <c r="H523" s="18"/>
      <c r="I523" s="18"/>
      <c r="J523" s="18"/>
      <c r="K523" s="18"/>
      <c r="L523" s="18"/>
      <c r="M523" s="18"/>
      <c r="N523" s="18"/>
      <c r="O523" s="18"/>
      <c r="P523" s="18"/>
      <c r="Q523" s="18"/>
      <c r="R523" s="18"/>
      <c r="S523" s="18"/>
      <c r="T523" s="18"/>
      <c r="U523" s="18"/>
    </row>
    <row r="524" spans="1:21" x14ac:dyDescent="0.35">
      <c r="A524" s="18"/>
      <c r="B524" s="18"/>
      <c r="C524" s="18"/>
      <c r="D524" s="18"/>
      <c r="E524" s="18"/>
      <c r="F524" s="18"/>
      <c r="G524" s="18"/>
      <c r="H524" s="18"/>
      <c r="I524" s="18"/>
      <c r="J524" s="18"/>
      <c r="K524" s="18"/>
      <c r="L524" s="18"/>
      <c r="M524" s="18"/>
      <c r="N524" s="18"/>
      <c r="O524" s="18"/>
      <c r="P524" s="18"/>
      <c r="Q524" s="18"/>
      <c r="R524" s="18"/>
      <c r="S524" s="18"/>
      <c r="T524" s="18"/>
      <c r="U524" s="18"/>
    </row>
    <row r="525" spans="1:21" x14ac:dyDescent="0.35">
      <c r="A525" s="18"/>
      <c r="B525" s="18"/>
      <c r="C525" s="18"/>
      <c r="D525" s="18"/>
      <c r="E525" s="18"/>
      <c r="F525" s="18"/>
      <c r="G525" s="18"/>
      <c r="H525" s="18"/>
      <c r="I525" s="18"/>
      <c r="J525" s="18"/>
      <c r="K525" s="18"/>
      <c r="L525" s="18"/>
      <c r="M525" s="18"/>
      <c r="N525" s="18"/>
      <c r="O525" s="18"/>
      <c r="P525" s="18"/>
      <c r="Q525" s="18"/>
      <c r="R525" s="18"/>
      <c r="S525" s="18"/>
      <c r="T525" s="18"/>
      <c r="U525" s="18"/>
    </row>
    <row r="526" spans="1:21" x14ac:dyDescent="0.35">
      <c r="A526" s="18"/>
      <c r="B526" s="18"/>
      <c r="C526" s="18"/>
      <c r="D526" s="18"/>
      <c r="E526" s="18"/>
      <c r="F526" s="18"/>
      <c r="G526" s="18"/>
      <c r="H526" s="18"/>
      <c r="I526" s="18"/>
      <c r="J526" s="18"/>
      <c r="K526" s="18"/>
      <c r="L526" s="18"/>
      <c r="M526" s="18"/>
      <c r="N526" s="18"/>
      <c r="O526" s="18"/>
      <c r="P526" s="18"/>
      <c r="Q526" s="18"/>
      <c r="R526" s="18"/>
      <c r="S526" s="18"/>
      <c r="T526" s="18"/>
      <c r="U526" s="18"/>
    </row>
    <row r="527" spans="1:21" x14ac:dyDescent="0.35">
      <c r="A527" s="18"/>
      <c r="B527" s="18"/>
      <c r="C527" s="18"/>
      <c r="D527" s="18"/>
      <c r="E527" s="18"/>
      <c r="F527" s="18"/>
      <c r="G527" s="18"/>
      <c r="H527" s="18"/>
      <c r="I527" s="18"/>
      <c r="J527" s="18"/>
      <c r="K527" s="18"/>
      <c r="L527" s="18"/>
      <c r="M527" s="18"/>
      <c r="N527" s="18"/>
      <c r="O527" s="18"/>
      <c r="P527" s="18"/>
      <c r="Q527" s="18"/>
      <c r="R527" s="18"/>
      <c r="S527" s="18"/>
      <c r="T527" s="18"/>
      <c r="U527" s="18"/>
    </row>
    <row r="528" spans="1:21" x14ac:dyDescent="0.35">
      <c r="A528" s="18"/>
      <c r="B528" s="18"/>
      <c r="C528" s="18"/>
      <c r="D528" s="18"/>
      <c r="E528" s="18"/>
      <c r="F528" s="18"/>
      <c r="G528" s="18"/>
      <c r="H528" s="18"/>
      <c r="I528" s="18"/>
      <c r="J528" s="18"/>
      <c r="K528" s="18"/>
      <c r="L528" s="18"/>
      <c r="M528" s="18"/>
      <c r="N528" s="18"/>
      <c r="O528" s="18"/>
      <c r="P528" s="18"/>
      <c r="Q528" s="18"/>
      <c r="R528" s="18"/>
      <c r="S528" s="18"/>
      <c r="T528" s="18"/>
      <c r="U528" s="18"/>
    </row>
    <row r="529" spans="1:21" x14ac:dyDescent="0.35">
      <c r="A529" s="18"/>
      <c r="B529" s="18"/>
      <c r="C529" s="18"/>
      <c r="D529" s="18"/>
      <c r="E529" s="18"/>
      <c r="F529" s="18"/>
      <c r="G529" s="18"/>
      <c r="H529" s="18"/>
      <c r="I529" s="18"/>
      <c r="J529" s="18"/>
      <c r="K529" s="18"/>
      <c r="L529" s="18"/>
      <c r="M529" s="18"/>
      <c r="N529" s="18"/>
      <c r="O529" s="18"/>
      <c r="P529" s="18"/>
      <c r="Q529" s="18"/>
      <c r="R529" s="18"/>
      <c r="S529" s="18"/>
      <c r="T529" s="18"/>
      <c r="U529" s="18"/>
    </row>
    <row r="530" spans="1:21" x14ac:dyDescent="0.35">
      <c r="A530" s="18"/>
      <c r="B530" s="18"/>
      <c r="C530" s="18"/>
      <c r="D530" s="18"/>
      <c r="E530" s="18"/>
      <c r="F530" s="18"/>
      <c r="G530" s="18"/>
      <c r="H530" s="18"/>
      <c r="I530" s="18"/>
      <c r="J530" s="18"/>
      <c r="K530" s="18"/>
      <c r="L530" s="18"/>
      <c r="M530" s="18"/>
      <c r="N530" s="18"/>
      <c r="O530" s="18"/>
      <c r="P530" s="18"/>
      <c r="Q530" s="18"/>
      <c r="R530" s="18"/>
      <c r="S530" s="18"/>
      <c r="T530" s="18"/>
      <c r="U530" s="18"/>
    </row>
    <row r="531" spans="1:21" x14ac:dyDescent="0.35">
      <c r="A531" s="18"/>
      <c r="B531" s="18"/>
      <c r="C531" s="18"/>
      <c r="D531" s="18"/>
      <c r="E531" s="18"/>
      <c r="F531" s="18"/>
      <c r="G531" s="18"/>
      <c r="H531" s="18"/>
      <c r="I531" s="18"/>
      <c r="J531" s="18"/>
      <c r="K531" s="18"/>
      <c r="L531" s="18"/>
      <c r="M531" s="18"/>
      <c r="N531" s="18"/>
      <c r="O531" s="18"/>
      <c r="P531" s="18"/>
      <c r="Q531" s="18"/>
      <c r="R531" s="18"/>
      <c r="S531" s="18"/>
      <c r="T531" s="18"/>
      <c r="U531" s="18"/>
    </row>
    <row r="532" spans="1:21" x14ac:dyDescent="0.35">
      <c r="A532" s="18"/>
      <c r="B532" s="18"/>
      <c r="C532" s="18"/>
      <c r="D532" s="18"/>
      <c r="E532" s="18"/>
      <c r="F532" s="18"/>
      <c r="G532" s="18"/>
      <c r="H532" s="18"/>
      <c r="I532" s="18"/>
      <c r="J532" s="18"/>
      <c r="K532" s="18"/>
      <c r="L532" s="18"/>
      <c r="M532" s="18"/>
      <c r="N532" s="18"/>
      <c r="O532" s="18"/>
      <c r="P532" s="18"/>
      <c r="Q532" s="18"/>
      <c r="R532" s="18"/>
      <c r="S532" s="18"/>
      <c r="T532" s="18"/>
      <c r="U532" s="18"/>
    </row>
    <row r="533" spans="1:21" x14ac:dyDescent="0.35">
      <c r="A533" s="18"/>
      <c r="B533" s="18"/>
      <c r="C533" s="18"/>
      <c r="D533" s="18"/>
      <c r="E533" s="18"/>
      <c r="F533" s="18"/>
      <c r="G533" s="18"/>
      <c r="H533" s="18"/>
      <c r="I533" s="18"/>
      <c r="J533" s="18"/>
      <c r="K533" s="18"/>
      <c r="L533" s="18"/>
      <c r="M533" s="18"/>
      <c r="N533" s="18"/>
      <c r="O533" s="18"/>
      <c r="P533" s="18"/>
      <c r="Q533" s="18"/>
      <c r="R533" s="18"/>
      <c r="S533" s="18"/>
      <c r="T533" s="18"/>
      <c r="U533" s="18"/>
    </row>
    <row r="534" spans="1:21" x14ac:dyDescent="0.35">
      <c r="A534" s="18"/>
      <c r="B534" s="18"/>
      <c r="C534" s="18"/>
      <c r="D534" s="18"/>
      <c r="E534" s="18"/>
      <c r="F534" s="18"/>
      <c r="G534" s="18"/>
      <c r="H534" s="18"/>
      <c r="I534" s="18"/>
      <c r="J534" s="18"/>
      <c r="K534" s="18"/>
      <c r="L534" s="18"/>
      <c r="M534" s="18"/>
      <c r="N534" s="18"/>
      <c r="O534" s="18"/>
      <c r="P534" s="18"/>
      <c r="Q534" s="18"/>
      <c r="R534" s="18"/>
      <c r="S534" s="18"/>
      <c r="T534" s="18"/>
      <c r="U534" s="18"/>
    </row>
    <row r="535" spans="1:21" x14ac:dyDescent="0.35">
      <c r="A535" s="18"/>
      <c r="B535" s="18"/>
      <c r="C535" s="18"/>
      <c r="D535" s="18"/>
      <c r="E535" s="18"/>
      <c r="F535" s="18"/>
      <c r="G535" s="18"/>
      <c r="H535" s="18"/>
      <c r="I535" s="18"/>
      <c r="J535" s="18"/>
      <c r="K535" s="18"/>
      <c r="L535" s="18"/>
      <c r="M535" s="18"/>
      <c r="N535" s="18"/>
      <c r="O535" s="18"/>
      <c r="P535" s="18"/>
      <c r="Q535" s="18"/>
      <c r="R535" s="18"/>
      <c r="S535" s="18"/>
      <c r="T535" s="18"/>
      <c r="U535" s="18"/>
    </row>
    <row r="536" spans="1:21" x14ac:dyDescent="0.35">
      <c r="A536" s="18"/>
      <c r="B536" s="18"/>
      <c r="C536" s="18"/>
      <c r="D536" s="18"/>
      <c r="E536" s="18"/>
      <c r="F536" s="18"/>
      <c r="G536" s="18"/>
      <c r="H536" s="18"/>
      <c r="I536" s="18"/>
      <c r="J536" s="18"/>
      <c r="K536" s="18"/>
      <c r="L536" s="18"/>
      <c r="M536" s="18"/>
      <c r="N536" s="18"/>
      <c r="O536" s="18"/>
      <c r="P536" s="18"/>
      <c r="Q536" s="18"/>
      <c r="R536" s="18"/>
      <c r="S536" s="18"/>
      <c r="T536" s="18"/>
      <c r="U536" s="18"/>
    </row>
    <row r="537" spans="1:21" x14ac:dyDescent="0.35">
      <c r="A537" s="18"/>
      <c r="B537" s="18"/>
      <c r="C537" s="18"/>
      <c r="D537" s="18"/>
      <c r="E537" s="18"/>
      <c r="F537" s="18"/>
      <c r="G537" s="18"/>
      <c r="H537" s="18"/>
      <c r="I537" s="18"/>
      <c r="J537" s="18"/>
      <c r="K537" s="18"/>
      <c r="L537" s="18"/>
      <c r="M537" s="18"/>
      <c r="N537" s="18"/>
      <c r="O537" s="18"/>
      <c r="P537" s="18"/>
      <c r="Q537" s="18"/>
      <c r="R537" s="18"/>
      <c r="S537" s="18"/>
      <c r="T537" s="18"/>
      <c r="U537" s="18"/>
    </row>
    <row r="538" spans="1:21" x14ac:dyDescent="0.35">
      <c r="A538" s="18"/>
      <c r="B538" s="18"/>
      <c r="C538" s="18"/>
      <c r="D538" s="18"/>
      <c r="E538" s="18"/>
      <c r="F538" s="18"/>
      <c r="G538" s="18"/>
      <c r="H538" s="18"/>
      <c r="I538" s="18"/>
      <c r="J538" s="18"/>
      <c r="K538" s="18"/>
      <c r="L538" s="18"/>
      <c r="M538" s="18"/>
      <c r="N538" s="18"/>
      <c r="O538" s="18"/>
      <c r="P538" s="18"/>
      <c r="Q538" s="18"/>
      <c r="R538" s="18"/>
      <c r="S538" s="18"/>
      <c r="T538" s="18"/>
      <c r="U538" s="18"/>
    </row>
    <row r="539" spans="1:21" x14ac:dyDescent="0.35">
      <c r="A539" s="18"/>
      <c r="B539" s="18"/>
      <c r="C539" s="18"/>
      <c r="D539" s="18"/>
      <c r="E539" s="18"/>
      <c r="F539" s="18"/>
      <c r="G539" s="18"/>
      <c r="H539" s="18"/>
      <c r="I539" s="18"/>
      <c r="J539" s="18"/>
      <c r="K539" s="18"/>
      <c r="L539" s="18"/>
      <c r="M539" s="18"/>
      <c r="N539" s="18"/>
      <c r="O539" s="18"/>
      <c r="P539" s="18"/>
      <c r="Q539" s="18"/>
      <c r="R539" s="18"/>
      <c r="S539" s="18"/>
      <c r="T539" s="18"/>
      <c r="U539" s="18"/>
    </row>
    <row r="540" spans="1:21" x14ac:dyDescent="0.35">
      <c r="A540" s="18"/>
      <c r="B540" s="18"/>
      <c r="C540" s="18"/>
      <c r="D540" s="18"/>
      <c r="E540" s="18"/>
      <c r="F540" s="18"/>
      <c r="G540" s="18"/>
      <c r="H540" s="18"/>
      <c r="I540" s="18"/>
      <c r="J540" s="18"/>
      <c r="K540" s="18"/>
      <c r="L540" s="18"/>
      <c r="M540" s="18"/>
      <c r="N540" s="18"/>
      <c r="O540" s="18"/>
      <c r="P540" s="18"/>
      <c r="Q540" s="18"/>
      <c r="R540" s="18"/>
      <c r="S540" s="18"/>
      <c r="T540" s="18"/>
      <c r="U540" s="18"/>
    </row>
    <row r="541" spans="1:21" x14ac:dyDescent="0.35">
      <c r="A541" s="18"/>
      <c r="B541" s="18"/>
      <c r="C541" s="18"/>
      <c r="D541" s="18"/>
      <c r="E541" s="18"/>
      <c r="F541" s="18"/>
      <c r="G541" s="18"/>
      <c r="H541" s="18"/>
      <c r="I541" s="18"/>
      <c r="J541" s="18"/>
      <c r="K541" s="18"/>
      <c r="L541" s="18"/>
      <c r="M541" s="18"/>
      <c r="N541" s="18"/>
      <c r="O541" s="18"/>
      <c r="P541" s="18"/>
      <c r="Q541" s="18"/>
      <c r="R541" s="18"/>
      <c r="S541" s="18"/>
      <c r="T541" s="18"/>
      <c r="U541" s="18"/>
    </row>
    <row r="542" spans="1:21" x14ac:dyDescent="0.35">
      <c r="A542" s="18"/>
      <c r="B542" s="18"/>
      <c r="C542" s="18"/>
      <c r="D542" s="18"/>
      <c r="E542" s="18"/>
      <c r="F542" s="18"/>
      <c r="G542" s="18"/>
      <c r="H542" s="18"/>
      <c r="I542" s="18"/>
      <c r="J542" s="18"/>
      <c r="K542" s="18"/>
      <c r="L542" s="18"/>
      <c r="M542" s="18"/>
      <c r="N542" s="18"/>
      <c r="O542" s="18"/>
      <c r="P542" s="18"/>
      <c r="Q542" s="18"/>
      <c r="R542" s="18"/>
      <c r="S542" s="18"/>
      <c r="T542" s="18"/>
      <c r="U542" s="18"/>
    </row>
    <row r="543" spans="1:21" x14ac:dyDescent="0.35">
      <c r="A543" s="18"/>
      <c r="B543" s="18"/>
      <c r="C543" s="18"/>
      <c r="D543" s="18"/>
      <c r="E543" s="18"/>
      <c r="F543" s="18"/>
      <c r="G543" s="18"/>
      <c r="H543" s="18"/>
      <c r="I543" s="18"/>
      <c r="J543" s="18"/>
      <c r="K543" s="18"/>
      <c r="L543" s="18"/>
      <c r="M543" s="18"/>
      <c r="N543" s="18"/>
      <c r="O543" s="18"/>
      <c r="P543" s="18"/>
      <c r="Q543" s="18"/>
      <c r="R543" s="18"/>
      <c r="S543" s="18"/>
      <c r="T543" s="18"/>
      <c r="U543" s="18"/>
    </row>
    <row r="544" spans="1:21" x14ac:dyDescent="0.35">
      <c r="A544" s="18"/>
      <c r="B544" s="18"/>
      <c r="C544" s="18"/>
      <c r="D544" s="18"/>
      <c r="E544" s="18"/>
      <c r="F544" s="18"/>
      <c r="G544" s="18"/>
      <c r="H544" s="18"/>
      <c r="I544" s="18"/>
      <c r="J544" s="18"/>
      <c r="K544" s="18"/>
      <c r="L544" s="18"/>
      <c r="M544" s="18"/>
      <c r="N544" s="18"/>
      <c r="O544" s="18"/>
      <c r="P544" s="18"/>
      <c r="Q544" s="18"/>
      <c r="R544" s="18"/>
      <c r="S544" s="18"/>
      <c r="T544" s="18"/>
      <c r="U544" s="18"/>
    </row>
    <row r="545" spans="1:21" x14ac:dyDescent="0.35">
      <c r="A545" s="18"/>
      <c r="B545" s="18"/>
      <c r="C545" s="18"/>
      <c r="D545" s="18"/>
      <c r="E545" s="18"/>
      <c r="F545" s="18"/>
      <c r="G545" s="18"/>
      <c r="H545" s="18"/>
      <c r="I545" s="18"/>
      <c r="J545" s="18"/>
      <c r="K545" s="18"/>
      <c r="L545" s="18"/>
      <c r="M545" s="18"/>
      <c r="N545" s="18"/>
      <c r="O545" s="18"/>
      <c r="P545" s="18"/>
      <c r="Q545" s="18"/>
      <c r="R545" s="18"/>
      <c r="S545" s="18"/>
      <c r="T545" s="18"/>
      <c r="U545" s="18"/>
    </row>
    <row r="546" spans="1:21" x14ac:dyDescent="0.35">
      <c r="A546" s="18"/>
      <c r="B546" s="18"/>
      <c r="C546" s="18"/>
      <c r="D546" s="18"/>
      <c r="E546" s="18"/>
      <c r="F546" s="18"/>
      <c r="G546" s="18"/>
      <c r="H546" s="18"/>
      <c r="I546" s="18"/>
      <c r="J546" s="18"/>
      <c r="K546" s="18"/>
      <c r="L546" s="18"/>
      <c r="M546" s="18"/>
      <c r="N546" s="18"/>
      <c r="O546" s="18"/>
      <c r="P546" s="18"/>
      <c r="Q546" s="18"/>
      <c r="R546" s="18"/>
      <c r="S546" s="18"/>
      <c r="T546" s="18"/>
      <c r="U546" s="18"/>
    </row>
    <row r="547" spans="1:21" x14ac:dyDescent="0.35">
      <c r="A547" s="18"/>
      <c r="B547" s="18"/>
      <c r="C547" s="18"/>
      <c r="D547" s="18"/>
      <c r="E547" s="18"/>
      <c r="F547" s="18"/>
      <c r="G547" s="18"/>
      <c r="H547" s="18"/>
      <c r="I547" s="18"/>
      <c r="J547" s="18"/>
      <c r="K547" s="18"/>
      <c r="L547" s="18"/>
      <c r="M547" s="18"/>
      <c r="N547" s="18"/>
      <c r="O547" s="18"/>
      <c r="P547" s="18"/>
      <c r="Q547" s="18"/>
      <c r="R547" s="18"/>
      <c r="S547" s="18"/>
      <c r="T547" s="18"/>
      <c r="U547" s="18"/>
    </row>
    <row r="548" spans="1:21" x14ac:dyDescent="0.35">
      <c r="A548" s="18"/>
      <c r="B548" s="18"/>
      <c r="C548" s="18"/>
      <c r="D548" s="18"/>
      <c r="E548" s="18"/>
      <c r="F548" s="18"/>
      <c r="G548" s="18"/>
      <c r="H548" s="18"/>
      <c r="I548" s="18"/>
      <c r="J548" s="18"/>
      <c r="K548" s="18"/>
      <c r="L548" s="18"/>
      <c r="M548" s="18"/>
      <c r="N548" s="18"/>
      <c r="O548" s="18"/>
      <c r="P548" s="18"/>
      <c r="Q548" s="18"/>
      <c r="R548" s="18"/>
      <c r="S548" s="18"/>
      <c r="T548" s="18"/>
      <c r="U548" s="18"/>
    </row>
    <row r="549" spans="1:21" x14ac:dyDescent="0.35">
      <c r="A549" s="18"/>
      <c r="B549" s="18"/>
      <c r="C549" s="18"/>
      <c r="D549" s="18"/>
      <c r="E549" s="18"/>
      <c r="F549" s="18"/>
      <c r="G549" s="18"/>
      <c r="H549" s="18"/>
      <c r="I549" s="18"/>
      <c r="J549" s="18"/>
      <c r="K549" s="18"/>
      <c r="L549" s="18"/>
      <c r="M549" s="18"/>
      <c r="N549" s="18"/>
      <c r="O549" s="18"/>
      <c r="P549" s="18"/>
      <c r="Q549" s="18"/>
      <c r="R549" s="18"/>
      <c r="S549" s="18"/>
      <c r="T549" s="18"/>
      <c r="U549" s="18"/>
    </row>
    <row r="550" spans="1:21" x14ac:dyDescent="0.35">
      <c r="A550" s="18"/>
      <c r="B550" s="18"/>
      <c r="C550" s="18"/>
      <c r="D550" s="18"/>
      <c r="E550" s="18"/>
      <c r="F550" s="18"/>
      <c r="G550" s="18"/>
      <c r="H550" s="18"/>
      <c r="I550" s="18"/>
      <c r="J550" s="18"/>
      <c r="K550" s="18"/>
      <c r="L550" s="18"/>
      <c r="M550" s="18"/>
      <c r="N550" s="18"/>
      <c r="O550" s="18"/>
      <c r="P550" s="18"/>
      <c r="Q550" s="18"/>
      <c r="R550" s="18"/>
      <c r="S550" s="18"/>
      <c r="T550" s="18"/>
      <c r="U550" s="18"/>
    </row>
    <row r="551" spans="1:21" x14ac:dyDescent="0.35">
      <c r="A551" s="18"/>
      <c r="B551" s="18"/>
      <c r="C551" s="18"/>
      <c r="D551" s="18"/>
      <c r="E551" s="18"/>
      <c r="F551" s="18"/>
      <c r="G551" s="18"/>
      <c r="H551" s="18"/>
      <c r="I551" s="18"/>
      <c r="J551" s="18"/>
      <c r="K551" s="18"/>
      <c r="L551" s="18"/>
      <c r="M551" s="18"/>
      <c r="N551" s="18"/>
      <c r="O551" s="18"/>
      <c r="P551" s="18"/>
      <c r="Q551" s="18"/>
      <c r="R551" s="18"/>
      <c r="S551" s="18"/>
      <c r="T551" s="18"/>
      <c r="U551" s="18"/>
    </row>
    <row r="552" spans="1:21" x14ac:dyDescent="0.35">
      <c r="A552" s="18"/>
      <c r="B552" s="18"/>
      <c r="C552" s="18"/>
      <c r="D552" s="18"/>
      <c r="E552" s="18"/>
      <c r="F552" s="18"/>
      <c r="G552" s="18"/>
      <c r="H552" s="18"/>
      <c r="I552" s="18"/>
      <c r="J552" s="18"/>
      <c r="K552" s="18"/>
      <c r="L552" s="18"/>
      <c r="M552" s="18"/>
      <c r="N552" s="18"/>
      <c r="O552" s="18"/>
      <c r="P552" s="18"/>
      <c r="Q552" s="18"/>
      <c r="R552" s="18"/>
      <c r="S552" s="18"/>
      <c r="T552" s="18"/>
      <c r="U552" s="18"/>
    </row>
    <row r="553" spans="1:21" x14ac:dyDescent="0.35">
      <c r="A553" s="18"/>
      <c r="B553" s="18"/>
      <c r="C553" s="18"/>
      <c r="D553" s="18"/>
      <c r="E553" s="18"/>
      <c r="F553" s="18"/>
      <c r="G553" s="18"/>
      <c r="H553" s="18"/>
      <c r="I553" s="18"/>
      <c r="J553" s="18"/>
      <c r="K553" s="18"/>
      <c r="L553" s="18"/>
      <c r="M553" s="18"/>
      <c r="N553" s="18"/>
      <c r="O553" s="18"/>
      <c r="P553" s="18"/>
      <c r="Q553" s="18"/>
      <c r="R553" s="18"/>
      <c r="S553" s="18"/>
      <c r="T553" s="18"/>
      <c r="U553" s="18"/>
    </row>
    <row r="554" spans="1:21" x14ac:dyDescent="0.35">
      <c r="A554" s="18"/>
      <c r="B554" s="18"/>
      <c r="C554" s="18"/>
      <c r="D554" s="18"/>
      <c r="E554" s="18"/>
      <c r="F554" s="18"/>
      <c r="G554" s="18"/>
      <c r="H554" s="18"/>
      <c r="I554" s="18"/>
      <c r="J554" s="18"/>
      <c r="K554" s="18"/>
      <c r="L554" s="18"/>
      <c r="M554" s="18"/>
      <c r="N554" s="18"/>
      <c r="O554" s="18"/>
      <c r="P554" s="18"/>
      <c r="Q554" s="18"/>
      <c r="R554" s="18"/>
      <c r="S554" s="18"/>
      <c r="T554" s="18"/>
      <c r="U554" s="18"/>
    </row>
    <row r="555" spans="1:21" x14ac:dyDescent="0.35">
      <c r="A555" s="18"/>
      <c r="B555" s="18"/>
      <c r="C555" s="18"/>
      <c r="D555" s="18"/>
      <c r="E555" s="18"/>
      <c r="F555" s="18"/>
      <c r="G555" s="18"/>
      <c r="H555" s="18"/>
      <c r="I555" s="18"/>
      <c r="J555" s="18"/>
      <c r="K555" s="18"/>
      <c r="L555" s="18"/>
      <c r="M555" s="18"/>
      <c r="N555" s="18"/>
      <c r="O555" s="18"/>
      <c r="P555" s="18"/>
      <c r="Q555" s="18"/>
      <c r="R555" s="18"/>
      <c r="S555" s="18"/>
      <c r="T555" s="18"/>
      <c r="U555" s="18"/>
    </row>
    <row r="556" spans="1:21" x14ac:dyDescent="0.35">
      <c r="A556" s="18"/>
      <c r="B556" s="18"/>
      <c r="C556" s="18"/>
      <c r="D556" s="18"/>
      <c r="E556" s="18"/>
      <c r="F556" s="18"/>
      <c r="G556" s="18"/>
      <c r="H556" s="18"/>
      <c r="I556" s="18"/>
      <c r="J556" s="18"/>
      <c r="K556" s="18"/>
      <c r="L556" s="18"/>
      <c r="M556" s="18"/>
      <c r="N556" s="18"/>
      <c r="O556" s="18"/>
      <c r="P556" s="18"/>
      <c r="Q556" s="18"/>
      <c r="R556" s="18"/>
      <c r="S556" s="18"/>
      <c r="T556" s="18"/>
      <c r="U556" s="18"/>
    </row>
    <row r="557" spans="1:21" x14ac:dyDescent="0.35">
      <c r="A557" s="18"/>
      <c r="B557" s="18"/>
      <c r="C557" s="18"/>
      <c r="D557" s="18"/>
      <c r="E557" s="18"/>
      <c r="F557" s="18"/>
      <c r="G557" s="18"/>
      <c r="H557" s="18"/>
      <c r="I557" s="18"/>
      <c r="J557" s="18"/>
      <c r="K557" s="18"/>
      <c r="L557" s="18"/>
      <c r="M557" s="18"/>
      <c r="N557" s="18"/>
      <c r="O557" s="18"/>
      <c r="P557" s="18"/>
      <c r="Q557" s="18"/>
      <c r="R557" s="18"/>
      <c r="S557" s="18"/>
      <c r="T557" s="18"/>
      <c r="U557" s="18"/>
    </row>
    <row r="558" spans="1:21" x14ac:dyDescent="0.35">
      <c r="A558" s="18"/>
      <c r="B558" s="18"/>
      <c r="C558" s="18"/>
      <c r="D558" s="18"/>
      <c r="E558" s="18"/>
      <c r="F558" s="18"/>
      <c r="G558" s="18"/>
      <c r="H558" s="18"/>
      <c r="I558" s="18"/>
      <c r="J558" s="18"/>
      <c r="K558" s="18"/>
      <c r="L558" s="18"/>
      <c r="M558" s="18"/>
      <c r="N558" s="18"/>
      <c r="O558" s="18"/>
      <c r="P558" s="18"/>
      <c r="Q558" s="18"/>
      <c r="R558" s="18"/>
      <c r="S558" s="18"/>
      <c r="T558" s="18"/>
      <c r="U558" s="18"/>
    </row>
    <row r="559" spans="1:21" x14ac:dyDescent="0.35">
      <c r="A559" s="18"/>
      <c r="B559" s="18"/>
      <c r="C559" s="18"/>
      <c r="D559" s="18"/>
      <c r="E559" s="18"/>
      <c r="F559" s="18"/>
      <c r="G559" s="18"/>
      <c r="H559" s="18"/>
      <c r="I559" s="18"/>
      <c r="J559" s="18"/>
      <c r="K559" s="18"/>
      <c r="L559" s="18"/>
      <c r="M559" s="18"/>
      <c r="N559" s="18"/>
      <c r="O559" s="18"/>
      <c r="P559" s="18"/>
      <c r="Q559" s="18"/>
      <c r="R559" s="18"/>
      <c r="S559" s="18"/>
      <c r="T559" s="18"/>
      <c r="U559" s="18"/>
    </row>
    <row r="560" spans="1:21" x14ac:dyDescent="0.35">
      <c r="A560" s="18"/>
      <c r="B560" s="18"/>
      <c r="C560" s="18"/>
      <c r="D560" s="18"/>
      <c r="E560" s="18"/>
      <c r="F560" s="18"/>
      <c r="G560" s="18"/>
      <c r="H560" s="18"/>
      <c r="I560" s="18"/>
      <c r="J560" s="18"/>
      <c r="K560" s="18"/>
      <c r="L560" s="18"/>
      <c r="M560" s="18"/>
      <c r="N560" s="18"/>
      <c r="O560" s="18"/>
      <c r="P560" s="18"/>
      <c r="Q560" s="18"/>
      <c r="R560" s="18"/>
      <c r="S560" s="18"/>
      <c r="T560" s="18"/>
      <c r="U560" s="18"/>
    </row>
    <row r="561" spans="1:21" x14ac:dyDescent="0.35">
      <c r="A561" s="18"/>
      <c r="B561" s="18"/>
      <c r="C561" s="18"/>
      <c r="D561" s="18"/>
      <c r="E561" s="18"/>
      <c r="F561" s="18"/>
      <c r="G561" s="18"/>
      <c r="H561" s="18"/>
      <c r="I561" s="18"/>
      <c r="J561" s="18"/>
      <c r="K561" s="18"/>
      <c r="L561" s="18"/>
      <c r="M561" s="18"/>
      <c r="N561" s="18"/>
      <c r="O561" s="18"/>
      <c r="P561" s="18"/>
      <c r="Q561" s="18"/>
      <c r="R561" s="18"/>
      <c r="S561" s="18"/>
      <c r="T561" s="18"/>
      <c r="U561" s="18"/>
    </row>
    <row r="562" spans="1:21" x14ac:dyDescent="0.35">
      <c r="A562" s="18"/>
      <c r="B562" s="18"/>
      <c r="C562" s="18"/>
      <c r="D562" s="18"/>
      <c r="E562" s="18"/>
      <c r="F562" s="18"/>
      <c r="G562" s="18"/>
      <c r="H562" s="18"/>
      <c r="I562" s="18"/>
      <c r="J562" s="18"/>
      <c r="K562" s="18"/>
      <c r="L562" s="18"/>
      <c r="M562" s="18"/>
      <c r="N562" s="18"/>
      <c r="O562" s="18"/>
      <c r="P562" s="18"/>
      <c r="Q562" s="18"/>
      <c r="R562" s="18"/>
      <c r="S562" s="18"/>
      <c r="T562" s="18"/>
      <c r="U562" s="18"/>
    </row>
    <row r="563" spans="1:21" x14ac:dyDescent="0.35">
      <c r="A563" s="18"/>
      <c r="B563" s="18"/>
      <c r="C563" s="18"/>
      <c r="D563" s="18"/>
      <c r="E563" s="18"/>
      <c r="F563" s="18"/>
      <c r="G563" s="18"/>
      <c r="H563" s="18"/>
      <c r="I563" s="18"/>
      <c r="J563" s="18"/>
      <c r="K563" s="18"/>
      <c r="L563" s="18"/>
      <c r="M563" s="18"/>
      <c r="N563" s="18"/>
      <c r="O563" s="18"/>
      <c r="P563" s="18"/>
      <c r="Q563" s="18"/>
      <c r="R563" s="18"/>
      <c r="S563" s="18"/>
      <c r="T563" s="18"/>
      <c r="U563" s="18"/>
    </row>
    <row r="564" spans="1:21" x14ac:dyDescent="0.35">
      <c r="A564" s="18"/>
      <c r="B564" s="18"/>
      <c r="C564" s="18"/>
      <c r="D564" s="18"/>
      <c r="E564" s="18"/>
      <c r="F564" s="18"/>
      <c r="G564" s="18"/>
      <c r="H564" s="18"/>
      <c r="I564" s="18"/>
      <c r="J564" s="18"/>
      <c r="K564" s="18"/>
      <c r="L564" s="18"/>
      <c r="M564" s="18"/>
      <c r="N564" s="18"/>
      <c r="O564" s="18"/>
      <c r="P564" s="18"/>
      <c r="Q564" s="18"/>
      <c r="R564" s="18"/>
      <c r="S564" s="18"/>
      <c r="T564" s="18"/>
      <c r="U564" s="18"/>
    </row>
    <row r="565" spans="1:21" x14ac:dyDescent="0.35">
      <c r="A565" s="18"/>
      <c r="B565" s="18"/>
      <c r="C565" s="18"/>
      <c r="D565" s="18"/>
      <c r="E565" s="18"/>
      <c r="F565" s="18"/>
      <c r="G565" s="18"/>
      <c r="H565" s="18"/>
      <c r="I565" s="18"/>
      <c r="J565" s="18"/>
      <c r="K565" s="18"/>
      <c r="L565" s="18"/>
      <c r="M565" s="18"/>
      <c r="N565" s="18"/>
      <c r="O565" s="18"/>
      <c r="P565" s="18"/>
      <c r="Q565" s="18"/>
      <c r="R565" s="18"/>
      <c r="S565" s="18"/>
      <c r="T565" s="18"/>
      <c r="U565" s="18"/>
    </row>
    <row r="566" spans="1:21" x14ac:dyDescent="0.35">
      <c r="A566" s="18"/>
      <c r="B566" s="18"/>
      <c r="C566" s="18"/>
      <c r="D566" s="18"/>
      <c r="E566" s="18"/>
      <c r="F566" s="18"/>
      <c r="G566" s="18"/>
      <c r="H566" s="18"/>
      <c r="I566" s="18"/>
      <c r="J566" s="18"/>
      <c r="K566" s="18"/>
      <c r="L566" s="18"/>
      <c r="M566" s="18"/>
      <c r="N566" s="18"/>
      <c r="O566" s="18"/>
      <c r="P566" s="18"/>
      <c r="Q566" s="18"/>
      <c r="R566" s="18"/>
      <c r="S566" s="18"/>
      <c r="T566" s="18"/>
      <c r="U566" s="18"/>
    </row>
    <row r="567" spans="1:21" x14ac:dyDescent="0.35">
      <c r="A567" s="18"/>
      <c r="B567" s="18"/>
      <c r="C567" s="18"/>
      <c r="D567" s="18"/>
      <c r="E567" s="18"/>
      <c r="F567" s="18"/>
      <c r="G567" s="18"/>
      <c r="H567" s="18"/>
      <c r="I567" s="18"/>
      <c r="J567" s="18"/>
      <c r="K567" s="18"/>
      <c r="L567" s="18"/>
      <c r="M567" s="18"/>
      <c r="N567" s="18"/>
      <c r="O567" s="18"/>
      <c r="P567" s="18"/>
      <c r="Q567" s="18"/>
      <c r="R567" s="18"/>
      <c r="S567" s="18"/>
      <c r="T567" s="18"/>
      <c r="U567" s="18"/>
    </row>
    <row r="568" spans="1:21" x14ac:dyDescent="0.35">
      <c r="A568" s="18"/>
      <c r="B568" s="18"/>
      <c r="C568" s="18"/>
      <c r="D568" s="18"/>
      <c r="E568" s="18"/>
      <c r="F568" s="18"/>
      <c r="G568" s="18"/>
      <c r="H568" s="18"/>
      <c r="I568" s="18"/>
      <c r="J568" s="18"/>
      <c r="K568" s="18"/>
      <c r="L568" s="18"/>
      <c r="M568" s="18"/>
      <c r="N568" s="18"/>
      <c r="O568" s="18"/>
      <c r="P568" s="18"/>
      <c r="Q568" s="18"/>
      <c r="R568" s="18"/>
      <c r="S568" s="18"/>
      <c r="T568" s="18"/>
      <c r="U568" s="18"/>
    </row>
    <row r="569" spans="1:21" x14ac:dyDescent="0.35">
      <c r="A569" s="18"/>
      <c r="B569" s="18"/>
      <c r="C569" s="18"/>
      <c r="D569" s="18"/>
      <c r="E569" s="18"/>
      <c r="F569" s="18"/>
      <c r="G569" s="18"/>
      <c r="H569" s="18"/>
      <c r="I569" s="18"/>
      <c r="J569" s="18"/>
      <c r="K569" s="18"/>
      <c r="L569" s="18"/>
      <c r="M569" s="18"/>
      <c r="N569" s="18"/>
      <c r="O569" s="18"/>
      <c r="P569" s="18"/>
      <c r="Q569" s="18"/>
      <c r="R569" s="18"/>
      <c r="S569" s="18"/>
      <c r="T569" s="18"/>
      <c r="U569" s="18"/>
    </row>
    <row r="570" spans="1:21" x14ac:dyDescent="0.35">
      <c r="A570" s="18"/>
      <c r="B570" s="18"/>
      <c r="C570" s="18"/>
      <c r="D570" s="18"/>
      <c r="E570" s="18"/>
      <c r="F570" s="18"/>
      <c r="G570" s="18"/>
      <c r="H570" s="18"/>
      <c r="I570" s="18"/>
      <c r="J570" s="18"/>
      <c r="K570" s="18"/>
      <c r="L570" s="18"/>
      <c r="M570" s="18"/>
      <c r="N570" s="18"/>
      <c r="O570" s="18"/>
      <c r="P570" s="18"/>
      <c r="Q570" s="18"/>
      <c r="R570" s="18"/>
      <c r="S570" s="18"/>
      <c r="T570" s="18"/>
      <c r="U570" s="18"/>
    </row>
    <row r="571" spans="1:21" x14ac:dyDescent="0.35">
      <c r="A571" s="18"/>
      <c r="B571" s="18"/>
      <c r="C571" s="18"/>
      <c r="D571" s="18"/>
      <c r="E571" s="18"/>
      <c r="F571" s="18"/>
      <c r="G571" s="18"/>
      <c r="H571" s="18"/>
      <c r="I571" s="18"/>
      <c r="J571" s="18"/>
      <c r="K571" s="18"/>
      <c r="L571" s="18"/>
      <c r="M571" s="18"/>
      <c r="N571" s="18"/>
      <c r="O571" s="18"/>
      <c r="P571" s="18"/>
      <c r="Q571" s="18"/>
      <c r="R571" s="18"/>
      <c r="S571" s="18"/>
      <c r="T571" s="18"/>
      <c r="U571" s="18"/>
    </row>
    <row r="572" spans="1:21" x14ac:dyDescent="0.35">
      <c r="A572" s="18"/>
      <c r="B572" s="18"/>
      <c r="C572" s="18"/>
      <c r="D572" s="18"/>
      <c r="E572" s="18"/>
      <c r="F572" s="18"/>
      <c r="G572" s="18"/>
      <c r="H572" s="18"/>
      <c r="I572" s="18"/>
      <c r="J572" s="18"/>
      <c r="K572" s="18"/>
      <c r="L572" s="18"/>
      <c r="M572" s="18"/>
      <c r="N572" s="18"/>
      <c r="O572" s="18"/>
      <c r="P572" s="18"/>
      <c r="Q572" s="18"/>
      <c r="R572" s="18"/>
      <c r="S572" s="18"/>
      <c r="T572" s="18"/>
      <c r="U572" s="18"/>
    </row>
    <row r="573" spans="1:21" x14ac:dyDescent="0.35">
      <c r="A573" s="18"/>
      <c r="B573" s="18"/>
      <c r="C573" s="18"/>
      <c r="D573" s="18"/>
      <c r="E573" s="18"/>
      <c r="F573" s="18"/>
      <c r="G573" s="18"/>
      <c r="H573" s="18"/>
      <c r="I573" s="18"/>
      <c r="J573" s="18"/>
      <c r="K573" s="18"/>
      <c r="L573" s="18"/>
      <c r="M573" s="18"/>
      <c r="N573" s="18"/>
      <c r="O573" s="18"/>
      <c r="P573" s="18"/>
      <c r="Q573" s="18"/>
      <c r="R573" s="18"/>
      <c r="S573" s="18"/>
      <c r="T573" s="18"/>
      <c r="U573" s="18"/>
    </row>
    <row r="574" spans="1:21" x14ac:dyDescent="0.35">
      <c r="A574" s="18"/>
      <c r="B574" s="18"/>
      <c r="C574" s="18"/>
      <c r="D574" s="18"/>
      <c r="E574" s="18"/>
      <c r="F574" s="18"/>
      <c r="G574" s="18"/>
      <c r="H574" s="18"/>
      <c r="I574" s="18"/>
      <c r="J574" s="18"/>
      <c r="K574" s="18"/>
      <c r="L574" s="18"/>
      <c r="M574" s="18"/>
      <c r="N574" s="18"/>
      <c r="O574" s="18"/>
      <c r="P574" s="18"/>
      <c r="Q574" s="18"/>
      <c r="R574" s="18"/>
      <c r="S574" s="18"/>
      <c r="T574" s="18"/>
      <c r="U574" s="18"/>
    </row>
    <row r="575" spans="1:21" x14ac:dyDescent="0.35">
      <c r="A575" s="18"/>
      <c r="B575" s="18"/>
      <c r="C575" s="18"/>
      <c r="D575" s="18"/>
      <c r="E575" s="18"/>
      <c r="F575" s="18"/>
      <c r="G575" s="18"/>
      <c r="H575" s="18"/>
      <c r="I575" s="18"/>
      <c r="J575" s="18"/>
      <c r="K575" s="18"/>
      <c r="L575" s="18"/>
      <c r="M575" s="18"/>
      <c r="N575" s="18"/>
      <c r="O575" s="18"/>
      <c r="P575" s="18"/>
      <c r="Q575" s="18"/>
      <c r="R575" s="18"/>
      <c r="S575" s="18"/>
      <c r="T575" s="18"/>
      <c r="U575" s="18"/>
    </row>
    <row r="576" spans="1:21" x14ac:dyDescent="0.35">
      <c r="A576" s="18"/>
      <c r="B576" s="18"/>
      <c r="C576" s="18"/>
      <c r="D576" s="18"/>
      <c r="E576" s="18"/>
      <c r="F576" s="18"/>
      <c r="G576" s="18"/>
      <c r="H576" s="18"/>
      <c r="I576" s="18"/>
      <c r="J576" s="18"/>
      <c r="K576" s="18"/>
      <c r="L576" s="18"/>
      <c r="M576" s="18"/>
      <c r="N576" s="18"/>
      <c r="O576" s="18"/>
      <c r="P576" s="18"/>
      <c r="Q576" s="18"/>
      <c r="R576" s="18"/>
      <c r="S576" s="18"/>
      <c r="T576" s="18"/>
      <c r="U576" s="18"/>
    </row>
    <row r="577" spans="1:21" x14ac:dyDescent="0.35">
      <c r="A577" s="18"/>
      <c r="B577" s="18"/>
      <c r="C577" s="18"/>
      <c r="D577" s="18"/>
      <c r="E577" s="18"/>
      <c r="F577" s="18"/>
      <c r="G577" s="18"/>
      <c r="H577" s="18"/>
      <c r="I577" s="18"/>
      <c r="J577" s="18"/>
      <c r="K577" s="18"/>
      <c r="L577" s="18"/>
      <c r="M577" s="18"/>
      <c r="N577" s="18"/>
      <c r="O577" s="18"/>
      <c r="P577" s="18"/>
      <c r="Q577" s="18"/>
      <c r="R577" s="18"/>
      <c r="S577" s="18"/>
      <c r="T577" s="18"/>
      <c r="U577" s="18"/>
    </row>
    <row r="578" spans="1:21" x14ac:dyDescent="0.35">
      <c r="A578" s="18"/>
      <c r="B578" s="18"/>
      <c r="C578" s="18"/>
      <c r="D578" s="18"/>
      <c r="E578" s="18"/>
      <c r="F578" s="18"/>
      <c r="G578" s="18"/>
      <c r="H578" s="18"/>
      <c r="I578" s="18"/>
      <c r="J578" s="18"/>
      <c r="K578" s="18"/>
      <c r="L578" s="18"/>
      <c r="M578" s="18"/>
      <c r="N578" s="18"/>
      <c r="O578" s="18"/>
      <c r="P578" s="18"/>
      <c r="Q578" s="18"/>
      <c r="R578" s="18"/>
      <c r="S578" s="18"/>
      <c r="T578" s="18"/>
      <c r="U578" s="18"/>
    </row>
    <row r="579" spans="1:21" x14ac:dyDescent="0.35">
      <c r="A579" s="18"/>
      <c r="B579" s="18"/>
      <c r="C579" s="18"/>
      <c r="D579" s="18"/>
      <c r="E579" s="18"/>
      <c r="F579" s="18"/>
      <c r="G579" s="18"/>
      <c r="H579" s="18"/>
      <c r="I579" s="18"/>
      <c r="J579" s="18"/>
      <c r="K579" s="18"/>
      <c r="L579" s="18"/>
      <c r="M579" s="18"/>
      <c r="N579" s="18"/>
      <c r="O579" s="18"/>
      <c r="P579" s="18"/>
      <c r="Q579" s="18"/>
      <c r="R579" s="18"/>
      <c r="S579" s="18"/>
      <c r="T579" s="18"/>
      <c r="U579" s="18"/>
    </row>
    <row r="580" spans="1:21" x14ac:dyDescent="0.35">
      <c r="A580" s="18"/>
      <c r="B580" s="18"/>
      <c r="C580" s="18"/>
      <c r="D580" s="18"/>
      <c r="E580" s="18"/>
      <c r="F580" s="18"/>
      <c r="G580" s="18"/>
      <c r="H580" s="18"/>
      <c r="I580" s="18"/>
      <c r="J580" s="18"/>
      <c r="K580" s="18"/>
      <c r="L580" s="18"/>
      <c r="M580" s="18"/>
      <c r="N580" s="18"/>
      <c r="O580" s="18"/>
      <c r="P580" s="18"/>
      <c r="Q580" s="18"/>
      <c r="R580" s="18"/>
      <c r="S580" s="18"/>
      <c r="T580" s="18"/>
      <c r="U580" s="18"/>
    </row>
    <row r="581" spans="1:21" x14ac:dyDescent="0.35">
      <c r="A581" s="18"/>
      <c r="B581" s="18"/>
      <c r="C581" s="18"/>
      <c r="D581" s="18"/>
      <c r="E581" s="18"/>
      <c r="F581" s="18"/>
      <c r="G581" s="18"/>
      <c r="H581" s="18"/>
      <c r="I581" s="18"/>
      <c r="J581" s="18"/>
      <c r="K581" s="18"/>
      <c r="L581" s="18"/>
      <c r="M581" s="18"/>
      <c r="N581" s="18"/>
      <c r="O581" s="18"/>
      <c r="P581" s="18"/>
      <c r="Q581" s="18"/>
      <c r="R581" s="18"/>
      <c r="S581" s="18"/>
      <c r="T581" s="18"/>
      <c r="U581" s="18"/>
    </row>
    <row r="582" spans="1:21" x14ac:dyDescent="0.35">
      <c r="A582" s="18"/>
      <c r="B582" s="18"/>
      <c r="C582" s="18"/>
      <c r="D582" s="18"/>
      <c r="E582" s="18"/>
      <c r="F582" s="18"/>
      <c r="G582" s="18"/>
      <c r="H582" s="18"/>
      <c r="I582" s="18"/>
      <c r="J582" s="18"/>
      <c r="K582" s="18"/>
      <c r="L582" s="18"/>
      <c r="M582" s="18"/>
      <c r="N582" s="18"/>
      <c r="O582" s="18"/>
      <c r="P582" s="18"/>
      <c r="Q582" s="18"/>
      <c r="R582" s="18"/>
      <c r="S582" s="18"/>
      <c r="T582" s="18"/>
      <c r="U582" s="18"/>
    </row>
    <row r="583" spans="1:21" x14ac:dyDescent="0.35">
      <c r="A583" s="18"/>
      <c r="B583" s="18"/>
      <c r="C583" s="18"/>
      <c r="D583" s="18"/>
      <c r="E583" s="18"/>
      <c r="F583" s="18"/>
      <c r="G583" s="18"/>
      <c r="H583" s="18"/>
      <c r="I583" s="18"/>
      <c r="J583" s="18"/>
      <c r="K583" s="18"/>
      <c r="L583" s="18"/>
      <c r="M583" s="18"/>
      <c r="N583" s="18"/>
      <c r="O583" s="18"/>
      <c r="P583" s="18"/>
      <c r="Q583" s="18"/>
      <c r="R583" s="18"/>
      <c r="S583" s="18"/>
      <c r="T583" s="18"/>
      <c r="U583" s="18"/>
    </row>
    <row r="584" spans="1:21" x14ac:dyDescent="0.35">
      <c r="A584" s="18"/>
      <c r="B584" s="18"/>
      <c r="C584" s="18"/>
      <c r="D584" s="18"/>
      <c r="E584" s="18"/>
      <c r="F584" s="18"/>
      <c r="G584" s="18"/>
      <c r="H584" s="18"/>
      <c r="I584" s="18"/>
      <c r="J584" s="18"/>
      <c r="K584" s="18"/>
      <c r="L584" s="18"/>
      <c r="M584" s="18"/>
      <c r="N584" s="18"/>
      <c r="O584" s="18"/>
      <c r="P584" s="18"/>
      <c r="Q584" s="18"/>
      <c r="R584" s="18"/>
      <c r="S584" s="18"/>
      <c r="T584" s="18"/>
      <c r="U584" s="18"/>
    </row>
    <row r="585" spans="1:21" x14ac:dyDescent="0.35">
      <c r="A585" s="18"/>
      <c r="B585" s="18"/>
      <c r="C585" s="18"/>
      <c r="D585" s="18"/>
      <c r="E585" s="18"/>
      <c r="F585" s="18"/>
      <c r="G585" s="18"/>
      <c r="H585" s="18"/>
      <c r="I585" s="18"/>
      <c r="J585" s="18"/>
      <c r="K585" s="18"/>
      <c r="L585" s="18"/>
      <c r="M585" s="18"/>
      <c r="N585" s="18"/>
      <c r="O585" s="18"/>
      <c r="P585" s="18"/>
      <c r="Q585" s="18"/>
      <c r="R585" s="18"/>
      <c r="S585" s="18"/>
      <c r="T585" s="18"/>
      <c r="U585" s="18"/>
    </row>
    <row r="586" spans="1:21" x14ac:dyDescent="0.35">
      <c r="A586" s="18"/>
      <c r="B586" s="18"/>
      <c r="C586" s="18"/>
      <c r="D586" s="18"/>
      <c r="E586" s="18"/>
      <c r="F586" s="18"/>
      <c r="G586" s="18"/>
      <c r="H586" s="18"/>
      <c r="I586" s="18"/>
      <c r="J586" s="18"/>
      <c r="K586" s="18"/>
      <c r="L586" s="18"/>
      <c r="M586" s="18"/>
      <c r="N586" s="18"/>
      <c r="O586" s="18"/>
      <c r="P586" s="18"/>
      <c r="Q586" s="18"/>
      <c r="R586" s="18"/>
      <c r="S586" s="18"/>
      <c r="T586" s="18"/>
      <c r="U586" s="18"/>
    </row>
    <row r="587" spans="1:21" x14ac:dyDescent="0.35">
      <c r="A587" s="18"/>
      <c r="B587" s="18"/>
      <c r="C587" s="18"/>
      <c r="D587" s="18"/>
      <c r="E587" s="18"/>
      <c r="F587" s="18"/>
      <c r="G587" s="18"/>
      <c r="H587" s="18"/>
      <c r="I587" s="18"/>
      <c r="J587" s="18"/>
      <c r="K587" s="18"/>
      <c r="L587" s="18"/>
      <c r="M587" s="18"/>
      <c r="N587" s="18"/>
      <c r="O587" s="18"/>
      <c r="P587" s="18"/>
      <c r="Q587" s="18"/>
      <c r="R587" s="18"/>
      <c r="S587" s="18"/>
      <c r="T587" s="18"/>
      <c r="U587" s="18"/>
    </row>
    <row r="588" spans="1:21" x14ac:dyDescent="0.35">
      <c r="A588" s="18"/>
      <c r="B588" s="18"/>
      <c r="C588" s="18"/>
      <c r="D588" s="18"/>
      <c r="E588" s="18"/>
      <c r="F588" s="18"/>
      <c r="G588" s="18"/>
      <c r="H588" s="18"/>
      <c r="I588" s="18"/>
      <c r="J588" s="18"/>
      <c r="K588" s="18"/>
      <c r="L588" s="18"/>
      <c r="M588" s="18"/>
      <c r="N588" s="18"/>
      <c r="O588" s="18"/>
      <c r="P588" s="18"/>
      <c r="Q588" s="18"/>
      <c r="R588" s="18"/>
      <c r="S588" s="18"/>
      <c r="T588" s="18"/>
      <c r="U588" s="18"/>
    </row>
    <row r="589" spans="1:21" x14ac:dyDescent="0.35">
      <c r="A589" s="18"/>
      <c r="B589" s="18"/>
      <c r="C589" s="18"/>
      <c r="D589" s="18"/>
      <c r="E589" s="18"/>
      <c r="F589" s="18"/>
      <c r="G589" s="18"/>
      <c r="H589" s="18"/>
      <c r="I589" s="18"/>
      <c r="J589" s="18"/>
      <c r="K589" s="18"/>
      <c r="L589" s="18"/>
      <c r="M589" s="18"/>
      <c r="N589" s="18"/>
      <c r="O589" s="18"/>
      <c r="P589" s="18"/>
      <c r="Q589" s="18"/>
      <c r="R589" s="18"/>
      <c r="S589" s="18"/>
      <c r="T589" s="18"/>
      <c r="U589" s="18"/>
    </row>
    <row r="590" spans="1:21" x14ac:dyDescent="0.35">
      <c r="A590" s="18"/>
      <c r="B590" s="18"/>
      <c r="C590" s="18"/>
      <c r="D590" s="18"/>
      <c r="E590" s="18"/>
      <c r="F590" s="18"/>
      <c r="G590" s="18"/>
      <c r="H590" s="18"/>
      <c r="I590" s="18"/>
      <c r="J590" s="18"/>
      <c r="K590" s="18"/>
      <c r="L590" s="18"/>
      <c r="M590" s="18"/>
      <c r="N590" s="18"/>
      <c r="O590" s="18"/>
      <c r="P590" s="18"/>
      <c r="Q590" s="18"/>
      <c r="R590" s="18"/>
      <c r="S590" s="18"/>
      <c r="T590" s="18"/>
      <c r="U590" s="18"/>
    </row>
    <row r="591" spans="1:21" x14ac:dyDescent="0.35">
      <c r="A591" s="18"/>
      <c r="B591" s="18"/>
      <c r="C591" s="18"/>
      <c r="D591" s="18"/>
      <c r="E591" s="18"/>
      <c r="F591" s="18"/>
      <c r="G591" s="18"/>
      <c r="H591" s="18"/>
      <c r="I591" s="18"/>
      <c r="J591" s="18"/>
      <c r="K591" s="18"/>
      <c r="L591" s="18"/>
      <c r="M591" s="18"/>
      <c r="N591" s="18"/>
      <c r="O591" s="18"/>
      <c r="P591" s="18"/>
      <c r="Q591" s="18"/>
      <c r="R591" s="18"/>
      <c r="S591" s="18"/>
      <c r="T591" s="18"/>
      <c r="U591" s="18"/>
    </row>
    <row r="592" spans="1:21" x14ac:dyDescent="0.35">
      <c r="A592" s="18"/>
      <c r="B592" s="18"/>
      <c r="C592" s="18"/>
      <c r="D592" s="18"/>
      <c r="E592" s="18"/>
      <c r="F592" s="18"/>
      <c r="G592" s="18"/>
      <c r="H592" s="18"/>
      <c r="I592" s="18"/>
      <c r="J592" s="18"/>
      <c r="K592" s="18"/>
      <c r="L592" s="18"/>
      <c r="M592" s="18"/>
      <c r="N592" s="18"/>
      <c r="O592" s="18"/>
      <c r="P592" s="18"/>
      <c r="Q592" s="18"/>
      <c r="R592" s="18"/>
      <c r="S592" s="18"/>
      <c r="T592" s="18"/>
      <c r="U592" s="18"/>
    </row>
    <row r="593" spans="1:21" x14ac:dyDescent="0.35">
      <c r="A593" s="18"/>
      <c r="B593" s="18"/>
      <c r="C593" s="18"/>
      <c r="D593" s="18"/>
      <c r="E593" s="18"/>
      <c r="F593" s="18"/>
      <c r="G593" s="18"/>
      <c r="H593" s="18"/>
      <c r="I593" s="18"/>
      <c r="J593" s="18"/>
      <c r="K593" s="18"/>
      <c r="L593" s="18"/>
      <c r="M593" s="18"/>
      <c r="N593" s="18"/>
      <c r="O593" s="18"/>
      <c r="P593" s="18"/>
      <c r="Q593" s="18"/>
      <c r="R593" s="18"/>
      <c r="S593" s="18"/>
      <c r="T593" s="18"/>
      <c r="U593" s="18"/>
    </row>
    <row r="594" spans="1:21" x14ac:dyDescent="0.35">
      <c r="A594" s="18"/>
      <c r="B594" s="18"/>
      <c r="C594" s="18"/>
      <c r="D594" s="18"/>
      <c r="E594" s="18"/>
      <c r="F594" s="18"/>
      <c r="G594" s="18"/>
      <c r="H594" s="18"/>
      <c r="I594" s="18"/>
      <c r="J594" s="18"/>
      <c r="K594" s="18"/>
      <c r="L594" s="18"/>
      <c r="M594" s="18"/>
      <c r="N594" s="18"/>
      <c r="O594" s="18"/>
      <c r="P594" s="18"/>
      <c r="Q594" s="18"/>
      <c r="R594" s="18"/>
      <c r="S594" s="18"/>
      <c r="T594" s="18"/>
      <c r="U594" s="18"/>
    </row>
    <row r="595" spans="1:21" x14ac:dyDescent="0.35">
      <c r="A595" s="18"/>
      <c r="B595" s="18"/>
      <c r="C595" s="18"/>
      <c r="D595" s="18"/>
      <c r="E595" s="18"/>
      <c r="F595" s="18"/>
      <c r="G595" s="18"/>
      <c r="H595" s="18"/>
      <c r="I595" s="18"/>
      <c r="J595" s="18"/>
      <c r="K595" s="18"/>
      <c r="L595" s="18"/>
      <c r="M595" s="18"/>
      <c r="N595" s="18"/>
      <c r="O595" s="18"/>
      <c r="P595" s="18"/>
      <c r="Q595" s="18"/>
      <c r="R595" s="18"/>
      <c r="S595" s="18"/>
      <c r="T595" s="18"/>
      <c r="U595" s="18"/>
    </row>
    <row r="596" spans="1:21" x14ac:dyDescent="0.35">
      <c r="A596" s="18"/>
      <c r="B596" s="18"/>
      <c r="C596" s="18"/>
      <c r="D596" s="18"/>
      <c r="E596" s="18"/>
      <c r="F596" s="18"/>
      <c r="G596" s="18"/>
      <c r="H596" s="18"/>
      <c r="I596" s="18"/>
      <c r="J596" s="18"/>
      <c r="K596" s="18"/>
      <c r="L596" s="18"/>
      <c r="M596" s="18"/>
      <c r="N596" s="18"/>
      <c r="O596" s="18"/>
      <c r="P596" s="18"/>
      <c r="Q596" s="18"/>
      <c r="R596" s="18"/>
      <c r="S596" s="18"/>
      <c r="T596" s="18"/>
      <c r="U596" s="18"/>
    </row>
    <row r="597" spans="1:21" x14ac:dyDescent="0.35">
      <c r="A597" s="18"/>
      <c r="B597" s="18"/>
      <c r="C597" s="18"/>
      <c r="D597" s="18"/>
      <c r="E597" s="18"/>
      <c r="F597" s="18"/>
      <c r="G597" s="18"/>
      <c r="H597" s="18"/>
      <c r="I597" s="18"/>
      <c r="J597" s="18"/>
      <c r="K597" s="18"/>
      <c r="L597" s="18"/>
      <c r="M597" s="18"/>
      <c r="N597" s="18"/>
      <c r="O597" s="18"/>
      <c r="P597" s="18"/>
      <c r="Q597" s="18"/>
      <c r="R597" s="18"/>
      <c r="S597" s="18"/>
      <c r="T597" s="18"/>
      <c r="U597" s="18"/>
    </row>
    <row r="598" spans="1:21" x14ac:dyDescent="0.35">
      <c r="A598" s="18"/>
      <c r="B598" s="18"/>
      <c r="C598" s="18"/>
      <c r="D598" s="18"/>
      <c r="E598" s="18"/>
      <c r="F598" s="18"/>
      <c r="G598" s="18"/>
      <c r="H598" s="18"/>
      <c r="I598" s="18"/>
      <c r="J598" s="18"/>
      <c r="K598" s="18"/>
      <c r="L598" s="18"/>
      <c r="M598" s="18"/>
      <c r="N598" s="18"/>
      <c r="O598" s="18"/>
      <c r="P598" s="18"/>
      <c r="Q598" s="18"/>
      <c r="R598" s="18"/>
      <c r="S598" s="18"/>
      <c r="T598" s="18"/>
      <c r="U598" s="18"/>
    </row>
    <row r="599" spans="1:21" x14ac:dyDescent="0.35">
      <c r="A599" s="18"/>
      <c r="B599" s="18"/>
      <c r="C599" s="18"/>
      <c r="D599" s="18"/>
      <c r="E599" s="18"/>
      <c r="F599" s="18"/>
      <c r="G599" s="18"/>
      <c r="H599" s="18"/>
      <c r="I599" s="18"/>
      <c r="J599" s="18"/>
      <c r="K599" s="18"/>
      <c r="L599" s="18"/>
      <c r="M599" s="18"/>
      <c r="N599" s="18"/>
      <c r="O599" s="18"/>
      <c r="P599" s="18"/>
      <c r="Q599" s="18"/>
      <c r="R599" s="18"/>
      <c r="S599" s="18"/>
      <c r="T599" s="18"/>
      <c r="U599" s="18"/>
    </row>
    <row r="600" spans="1:21" x14ac:dyDescent="0.35">
      <c r="A600" s="18"/>
      <c r="B600" s="18"/>
      <c r="C600" s="18"/>
      <c r="D600" s="18"/>
      <c r="E600" s="18"/>
      <c r="F600" s="18"/>
      <c r="G600" s="18"/>
      <c r="H600" s="18"/>
      <c r="I600" s="18"/>
      <c r="J600" s="18"/>
      <c r="K600" s="18"/>
      <c r="L600" s="18"/>
      <c r="M600" s="18"/>
      <c r="N600" s="18"/>
      <c r="O600" s="18"/>
      <c r="P600" s="18"/>
      <c r="Q600" s="18"/>
      <c r="R600" s="18"/>
      <c r="S600" s="18"/>
      <c r="T600" s="18"/>
      <c r="U600" s="18"/>
    </row>
    <row r="601" spans="1:21" x14ac:dyDescent="0.35">
      <c r="A601" s="18"/>
      <c r="B601" s="18"/>
      <c r="C601" s="18"/>
      <c r="D601" s="18"/>
      <c r="E601" s="18"/>
      <c r="F601" s="18"/>
      <c r="G601" s="18"/>
      <c r="H601" s="18"/>
      <c r="I601" s="18"/>
      <c r="J601" s="18"/>
      <c r="K601" s="18"/>
      <c r="L601" s="18"/>
      <c r="M601" s="18"/>
      <c r="N601" s="18"/>
      <c r="O601" s="18"/>
      <c r="P601" s="18"/>
      <c r="Q601" s="18"/>
      <c r="R601" s="18"/>
      <c r="S601" s="18"/>
      <c r="T601" s="18"/>
      <c r="U601" s="18"/>
    </row>
    <row r="602" spans="1:21" x14ac:dyDescent="0.35">
      <c r="A602" s="18"/>
      <c r="B602" s="18"/>
      <c r="C602" s="18"/>
      <c r="D602" s="18"/>
      <c r="E602" s="18"/>
      <c r="F602" s="18"/>
      <c r="G602" s="18"/>
      <c r="H602" s="18"/>
      <c r="I602" s="18"/>
      <c r="J602" s="18"/>
      <c r="K602" s="18"/>
      <c r="L602" s="18"/>
      <c r="M602" s="18"/>
      <c r="N602" s="18"/>
      <c r="O602" s="18"/>
      <c r="P602" s="18"/>
      <c r="Q602" s="18"/>
      <c r="R602" s="18"/>
      <c r="S602" s="18"/>
      <c r="T602" s="18"/>
      <c r="U602" s="18"/>
    </row>
    <row r="603" spans="1:21" x14ac:dyDescent="0.35">
      <c r="A603" s="18"/>
      <c r="B603" s="18"/>
      <c r="C603" s="18"/>
      <c r="D603" s="18"/>
      <c r="E603" s="18"/>
      <c r="F603" s="18"/>
      <c r="G603" s="18"/>
      <c r="H603" s="18"/>
      <c r="I603" s="18"/>
      <c r="J603" s="18"/>
      <c r="K603" s="18"/>
      <c r="L603" s="18"/>
      <c r="M603" s="18"/>
      <c r="N603" s="18"/>
      <c r="O603" s="18"/>
      <c r="P603" s="18"/>
      <c r="Q603" s="18"/>
      <c r="R603" s="18"/>
      <c r="S603" s="18"/>
      <c r="T603" s="18"/>
      <c r="U603" s="18"/>
    </row>
    <row r="604" spans="1:21" x14ac:dyDescent="0.35">
      <c r="A604" s="18"/>
      <c r="B604" s="18"/>
      <c r="C604" s="18"/>
      <c r="D604" s="18"/>
      <c r="E604" s="18"/>
      <c r="F604" s="18"/>
      <c r="G604" s="18"/>
      <c r="H604" s="18"/>
      <c r="I604" s="18"/>
      <c r="J604" s="18"/>
      <c r="K604" s="18"/>
      <c r="L604" s="18"/>
      <c r="M604" s="18"/>
      <c r="N604" s="18"/>
      <c r="O604" s="18"/>
      <c r="P604" s="18"/>
      <c r="Q604" s="18"/>
      <c r="R604" s="18"/>
      <c r="S604" s="18"/>
      <c r="T604" s="18"/>
      <c r="U604" s="18"/>
    </row>
    <row r="605" spans="1:21" x14ac:dyDescent="0.35">
      <c r="A605" s="18"/>
      <c r="B605" s="18"/>
      <c r="C605" s="18"/>
      <c r="D605" s="18"/>
      <c r="E605" s="18"/>
      <c r="F605" s="18"/>
      <c r="G605" s="18"/>
      <c r="H605" s="18"/>
      <c r="I605" s="18"/>
      <c r="J605" s="18"/>
      <c r="K605" s="18"/>
      <c r="L605" s="18"/>
      <c r="M605" s="18"/>
      <c r="N605" s="18"/>
      <c r="O605" s="18"/>
      <c r="P605" s="18"/>
      <c r="Q605" s="18"/>
      <c r="R605" s="18"/>
      <c r="S605" s="18"/>
      <c r="T605" s="18"/>
      <c r="U605" s="18"/>
    </row>
    <row r="606" spans="1:21" x14ac:dyDescent="0.35">
      <c r="A606" s="18"/>
      <c r="B606" s="18"/>
      <c r="C606" s="18"/>
      <c r="D606" s="18"/>
      <c r="E606" s="18"/>
      <c r="F606" s="18"/>
      <c r="G606" s="18"/>
      <c r="H606" s="18"/>
      <c r="I606" s="18"/>
      <c r="J606" s="18"/>
      <c r="K606" s="18"/>
      <c r="L606" s="18"/>
      <c r="M606" s="18"/>
      <c r="N606" s="18"/>
      <c r="O606" s="18"/>
      <c r="P606" s="18"/>
      <c r="Q606" s="18"/>
      <c r="R606" s="18"/>
      <c r="S606" s="18"/>
      <c r="T606" s="18"/>
      <c r="U606" s="18"/>
    </row>
    <row r="607" spans="1:21" x14ac:dyDescent="0.35">
      <c r="A607" s="18"/>
      <c r="B607" s="18"/>
      <c r="C607" s="18"/>
      <c r="D607" s="18"/>
      <c r="E607" s="18"/>
      <c r="F607" s="18"/>
      <c r="G607" s="18"/>
      <c r="H607" s="18"/>
      <c r="I607" s="18"/>
      <c r="J607" s="18"/>
      <c r="K607" s="18"/>
      <c r="L607" s="18"/>
      <c r="M607" s="18"/>
      <c r="N607" s="18"/>
      <c r="O607" s="18"/>
      <c r="P607" s="18"/>
      <c r="Q607" s="18"/>
      <c r="R607" s="18"/>
      <c r="S607" s="18"/>
      <c r="T607" s="18"/>
      <c r="U607" s="18"/>
    </row>
    <row r="608" spans="1:21" x14ac:dyDescent="0.35">
      <c r="A608" s="18"/>
      <c r="B608" s="18"/>
      <c r="C608" s="18"/>
      <c r="D608" s="18"/>
      <c r="E608" s="18"/>
      <c r="F608" s="18"/>
      <c r="G608" s="18"/>
      <c r="H608" s="18"/>
      <c r="I608" s="18"/>
      <c r="J608" s="18"/>
      <c r="K608" s="18"/>
      <c r="L608" s="18"/>
      <c r="M608" s="18"/>
      <c r="N608" s="18"/>
      <c r="O608" s="18"/>
      <c r="P608" s="18"/>
      <c r="Q608" s="18"/>
      <c r="R608" s="18"/>
      <c r="S608" s="18"/>
      <c r="T608" s="18"/>
      <c r="U608" s="18"/>
    </row>
    <row r="609" spans="1:21" x14ac:dyDescent="0.35">
      <c r="A609" s="18"/>
      <c r="B609" s="18"/>
      <c r="C609" s="18"/>
      <c r="D609" s="18"/>
      <c r="E609" s="18"/>
      <c r="F609" s="18"/>
      <c r="G609" s="18"/>
      <c r="H609" s="18"/>
      <c r="I609" s="18"/>
      <c r="J609" s="18"/>
      <c r="K609" s="18"/>
      <c r="L609" s="18"/>
      <c r="M609" s="18"/>
      <c r="N609" s="18"/>
      <c r="O609" s="18"/>
      <c r="P609" s="18"/>
      <c r="Q609" s="18"/>
      <c r="R609" s="18"/>
      <c r="S609" s="18"/>
      <c r="T609" s="18"/>
      <c r="U609" s="18"/>
    </row>
    <row r="610" spans="1:21" x14ac:dyDescent="0.35">
      <c r="A610" s="18"/>
      <c r="B610" s="18"/>
      <c r="C610" s="18"/>
      <c r="D610" s="18"/>
      <c r="E610" s="18"/>
      <c r="F610" s="18"/>
      <c r="G610" s="18"/>
      <c r="H610" s="18"/>
      <c r="I610" s="18"/>
      <c r="J610" s="18"/>
      <c r="K610" s="18"/>
      <c r="L610" s="18"/>
      <c r="M610" s="18"/>
      <c r="N610" s="18"/>
      <c r="O610" s="18"/>
      <c r="P610" s="18"/>
      <c r="Q610" s="18"/>
      <c r="R610" s="18"/>
      <c r="S610" s="18"/>
      <c r="T610" s="18"/>
      <c r="U610" s="18"/>
    </row>
    <row r="611" spans="1:21" x14ac:dyDescent="0.35">
      <c r="A611" s="18"/>
      <c r="B611" s="18"/>
      <c r="C611" s="18"/>
      <c r="D611" s="18"/>
      <c r="E611" s="18"/>
      <c r="F611" s="18"/>
      <c r="G611" s="18"/>
      <c r="H611" s="18"/>
      <c r="I611" s="18"/>
      <c r="J611" s="18"/>
      <c r="K611" s="18"/>
      <c r="L611" s="18"/>
      <c r="M611" s="18"/>
      <c r="N611" s="18"/>
      <c r="O611" s="18"/>
      <c r="P611" s="18"/>
      <c r="Q611" s="18"/>
      <c r="R611" s="18"/>
      <c r="S611" s="18"/>
      <c r="T611" s="18"/>
      <c r="U611" s="18"/>
    </row>
    <row r="612" spans="1:21" x14ac:dyDescent="0.35">
      <c r="A612" s="18"/>
      <c r="B612" s="18"/>
      <c r="C612" s="18"/>
      <c r="D612" s="18"/>
      <c r="E612" s="18"/>
      <c r="F612" s="18"/>
      <c r="G612" s="18"/>
      <c r="H612" s="18"/>
      <c r="I612" s="18"/>
      <c r="J612" s="18"/>
      <c r="K612" s="18"/>
      <c r="L612" s="18"/>
      <c r="M612" s="18"/>
      <c r="N612" s="18"/>
      <c r="O612" s="18"/>
      <c r="P612" s="18"/>
      <c r="Q612" s="18"/>
      <c r="R612" s="18"/>
      <c r="S612" s="18"/>
      <c r="T612" s="18"/>
      <c r="U612" s="18"/>
    </row>
    <row r="613" spans="1:21" x14ac:dyDescent="0.35">
      <c r="A613" s="18"/>
      <c r="B613" s="18"/>
      <c r="C613" s="18"/>
      <c r="D613" s="18"/>
      <c r="E613" s="18"/>
      <c r="F613" s="18"/>
      <c r="G613" s="18"/>
      <c r="H613" s="18"/>
      <c r="I613" s="18"/>
      <c r="J613" s="18"/>
      <c r="K613" s="18"/>
      <c r="L613" s="18"/>
      <c r="M613" s="18"/>
      <c r="N613" s="18"/>
      <c r="O613" s="18"/>
      <c r="P613" s="18"/>
      <c r="Q613" s="18"/>
      <c r="R613" s="18"/>
      <c r="S613" s="18"/>
      <c r="T613" s="18"/>
      <c r="U613" s="18"/>
    </row>
    <row r="614" spans="1:21" x14ac:dyDescent="0.35">
      <c r="A614" s="18"/>
      <c r="B614" s="18"/>
      <c r="C614" s="18"/>
      <c r="D614" s="18"/>
      <c r="E614" s="18"/>
      <c r="F614" s="18"/>
      <c r="G614" s="18"/>
      <c r="H614" s="18"/>
      <c r="I614" s="18"/>
      <c r="J614" s="18"/>
      <c r="K614" s="18"/>
      <c r="L614" s="18"/>
      <c r="M614" s="18"/>
      <c r="N614" s="18"/>
      <c r="O614" s="18"/>
      <c r="P614" s="18"/>
      <c r="Q614" s="18"/>
      <c r="R614" s="18"/>
      <c r="S614" s="18"/>
      <c r="T614" s="18"/>
      <c r="U614" s="18"/>
    </row>
    <row r="615" spans="1:21" x14ac:dyDescent="0.35">
      <c r="A615" s="18"/>
      <c r="B615" s="18"/>
      <c r="C615" s="18"/>
      <c r="D615" s="18"/>
      <c r="E615" s="18"/>
      <c r="F615" s="18"/>
      <c r="G615" s="18"/>
      <c r="H615" s="18"/>
      <c r="I615" s="18"/>
      <c r="J615" s="18"/>
      <c r="K615" s="18"/>
      <c r="L615" s="18"/>
      <c r="M615" s="18"/>
      <c r="N615" s="18"/>
      <c r="O615" s="18"/>
      <c r="P615" s="18"/>
      <c r="Q615" s="18"/>
      <c r="R615" s="18"/>
      <c r="S615" s="18"/>
      <c r="T615" s="18"/>
      <c r="U615" s="18"/>
    </row>
    <row r="616" spans="1:21" x14ac:dyDescent="0.35">
      <c r="A616" s="18"/>
      <c r="B616" s="18"/>
      <c r="C616" s="18"/>
      <c r="D616" s="18"/>
      <c r="E616" s="18"/>
      <c r="F616" s="18"/>
      <c r="G616" s="18"/>
      <c r="H616" s="18"/>
      <c r="I616" s="18"/>
      <c r="J616" s="18"/>
      <c r="K616" s="18"/>
      <c r="L616" s="18"/>
      <c r="M616" s="18"/>
      <c r="N616" s="18"/>
      <c r="O616" s="18"/>
      <c r="P616" s="18"/>
      <c r="Q616" s="18"/>
      <c r="R616" s="18"/>
      <c r="S616" s="18"/>
      <c r="T616" s="18"/>
      <c r="U616" s="18"/>
    </row>
    <row r="617" spans="1:21" x14ac:dyDescent="0.35">
      <c r="A617" s="18"/>
      <c r="B617" s="18"/>
      <c r="C617" s="18"/>
      <c r="D617" s="18"/>
      <c r="E617" s="18"/>
      <c r="F617" s="18"/>
      <c r="G617" s="18"/>
      <c r="H617" s="18"/>
      <c r="I617" s="18"/>
      <c r="J617" s="18"/>
      <c r="K617" s="18"/>
      <c r="L617" s="18"/>
      <c r="M617" s="18"/>
      <c r="N617" s="18"/>
      <c r="O617" s="18"/>
      <c r="P617" s="18"/>
      <c r="Q617" s="18"/>
      <c r="R617" s="18"/>
      <c r="S617" s="18"/>
      <c r="T617" s="18"/>
      <c r="U617" s="18"/>
    </row>
    <row r="618" spans="1:21" x14ac:dyDescent="0.35">
      <c r="A618" s="18"/>
      <c r="B618" s="18"/>
      <c r="C618" s="18"/>
      <c r="D618" s="18"/>
      <c r="E618" s="18"/>
      <c r="F618" s="18"/>
      <c r="G618" s="18"/>
      <c r="H618" s="18"/>
      <c r="I618" s="18"/>
      <c r="J618" s="18"/>
      <c r="K618" s="18"/>
      <c r="L618" s="18"/>
      <c r="M618" s="18"/>
      <c r="N618" s="18"/>
      <c r="O618" s="18"/>
      <c r="P618" s="18"/>
      <c r="Q618" s="18"/>
      <c r="R618" s="18"/>
      <c r="S618" s="18"/>
      <c r="T618" s="18"/>
      <c r="U618" s="18"/>
    </row>
    <row r="619" spans="1:21" x14ac:dyDescent="0.35">
      <c r="A619" s="18"/>
      <c r="B619" s="18"/>
      <c r="C619" s="18"/>
      <c r="D619" s="18"/>
      <c r="E619" s="18"/>
      <c r="F619" s="18"/>
      <c r="G619" s="18"/>
      <c r="H619" s="18"/>
      <c r="I619" s="18"/>
      <c r="J619" s="18"/>
      <c r="K619" s="18"/>
      <c r="L619" s="18"/>
      <c r="M619" s="18"/>
      <c r="N619" s="18"/>
      <c r="O619" s="18"/>
      <c r="P619" s="18"/>
      <c r="Q619" s="18"/>
      <c r="R619" s="18"/>
      <c r="S619" s="18"/>
      <c r="T619" s="18"/>
      <c r="U619" s="18"/>
    </row>
    <row r="620" spans="1:21" x14ac:dyDescent="0.35">
      <c r="A620" s="18"/>
      <c r="B620" s="18"/>
      <c r="C620" s="18"/>
      <c r="D620" s="18"/>
      <c r="E620" s="18"/>
      <c r="F620" s="18"/>
      <c r="G620" s="18"/>
      <c r="H620" s="18"/>
      <c r="I620" s="18"/>
      <c r="J620" s="18"/>
      <c r="K620" s="18"/>
      <c r="L620" s="18"/>
      <c r="M620" s="18"/>
      <c r="N620" s="18"/>
      <c r="O620" s="18"/>
      <c r="P620" s="18"/>
      <c r="Q620" s="18"/>
      <c r="R620" s="18"/>
      <c r="S620" s="18"/>
      <c r="T620" s="18"/>
      <c r="U620" s="18"/>
    </row>
    <row r="621" spans="1:21" x14ac:dyDescent="0.35">
      <c r="A621" s="18"/>
      <c r="B621" s="18"/>
      <c r="C621" s="18"/>
      <c r="D621" s="18"/>
      <c r="E621" s="18"/>
      <c r="F621" s="18"/>
      <c r="G621" s="18"/>
      <c r="H621" s="18"/>
      <c r="I621" s="18"/>
      <c r="J621" s="18"/>
      <c r="K621" s="18"/>
      <c r="L621" s="18"/>
      <c r="M621" s="18"/>
      <c r="N621" s="18"/>
      <c r="O621" s="18"/>
      <c r="P621" s="18"/>
      <c r="Q621" s="18"/>
      <c r="R621" s="18"/>
      <c r="S621" s="18"/>
      <c r="T621" s="18"/>
      <c r="U621" s="18"/>
    </row>
    <row r="622" spans="1:21" x14ac:dyDescent="0.35">
      <c r="A622" s="18"/>
      <c r="B622" s="18"/>
      <c r="C622" s="18"/>
      <c r="D622" s="18"/>
      <c r="E622" s="18"/>
      <c r="F622" s="18"/>
      <c r="G622" s="18"/>
      <c r="H622" s="18"/>
      <c r="I622" s="18"/>
      <c r="J622" s="18"/>
      <c r="K622" s="18"/>
      <c r="L622" s="18"/>
      <c r="M622" s="18"/>
      <c r="N622" s="18"/>
      <c r="O622" s="18"/>
      <c r="P622" s="18"/>
      <c r="Q622" s="18"/>
      <c r="R622" s="18"/>
      <c r="S622" s="18"/>
      <c r="T622" s="18"/>
      <c r="U622" s="18"/>
    </row>
    <row r="623" spans="1:21" x14ac:dyDescent="0.35">
      <c r="A623" s="18"/>
      <c r="B623" s="18"/>
      <c r="C623" s="18"/>
      <c r="D623" s="18"/>
      <c r="E623" s="18"/>
      <c r="F623" s="18"/>
      <c r="G623" s="18"/>
      <c r="H623" s="18"/>
      <c r="I623" s="18"/>
      <c r="J623" s="18"/>
      <c r="K623" s="18"/>
      <c r="L623" s="18"/>
      <c r="M623" s="18"/>
      <c r="N623" s="18"/>
      <c r="O623" s="18"/>
      <c r="P623" s="18"/>
      <c r="Q623" s="18"/>
      <c r="R623" s="18"/>
      <c r="S623" s="18"/>
      <c r="T623" s="18"/>
      <c r="U623" s="18"/>
    </row>
    <row r="624" spans="1:21" x14ac:dyDescent="0.35">
      <c r="A624" s="18"/>
      <c r="B624" s="18"/>
      <c r="C624" s="18"/>
      <c r="D624" s="18"/>
      <c r="E624" s="18"/>
      <c r="F624" s="18"/>
      <c r="G624" s="18"/>
      <c r="H624" s="18"/>
      <c r="I624" s="18"/>
      <c r="J624" s="18"/>
      <c r="K624" s="18"/>
      <c r="L624" s="18"/>
      <c r="M624" s="18"/>
      <c r="N624" s="18"/>
      <c r="O624" s="18"/>
      <c r="P624" s="18"/>
      <c r="Q624" s="18"/>
      <c r="R624" s="18"/>
      <c r="S624" s="18"/>
      <c r="T624" s="18"/>
      <c r="U624" s="18"/>
    </row>
    <row r="625" spans="1:21" x14ac:dyDescent="0.35">
      <c r="A625" s="18"/>
      <c r="B625" s="18"/>
      <c r="C625" s="18"/>
      <c r="D625" s="18"/>
      <c r="E625" s="18"/>
      <c r="F625" s="18"/>
      <c r="G625" s="18"/>
      <c r="H625" s="18"/>
      <c r="I625" s="18"/>
      <c r="J625" s="18"/>
      <c r="K625" s="18"/>
      <c r="L625" s="18"/>
      <c r="M625" s="18"/>
      <c r="N625" s="18"/>
      <c r="O625" s="18"/>
      <c r="P625" s="18"/>
      <c r="Q625" s="18"/>
      <c r="R625" s="18"/>
      <c r="S625" s="18"/>
      <c r="T625" s="18"/>
      <c r="U625" s="18"/>
    </row>
    <row r="626" spans="1:21" x14ac:dyDescent="0.35">
      <c r="A626" s="18"/>
      <c r="B626" s="18"/>
      <c r="C626" s="18"/>
      <c r="D626" s="18"/>
      <c r="E626" s="18"/>
      <c r="F626" s="18"/>
      <c r="G626" s="18"/>
      <c r="H626" s="18"/>
      <c r="I626" s="18"/>
      <c r="J626" s="18"/>
      <c r="K626" s="18"/>
      <c r="L626" s="18"/>
      <c r="M626" s="18"/>
      <c r="N626" s="18"/>
      <c r="O626" s="18"/>
      <c r="P626" s="18"/>
      <c r="Q626" s="18"/>
      <c r="R626" s="18"/>
      <c r="S626" s="18"/>
      <c r="T626" s="18"/>
      <c r="U626" s="18"/>
    </row>
    <row r="627" spans="1:21" x14ac:dyDescent="0.35">
      <c r="A627" s="18"/>
      <c r="B627" s="18"/>
      <c r="C627" s="18"/>
      <c r="D627" s="18"/>
      <c r="E627" s="18"/>
      <c r="F627" s="18"/>
      <c r="G627" s="18"/>
      <c r="H627" s="18"/>
      <c r="I627" s="18"/>
      <c r="J627" s="18"/>
      <c r="K627" s="18"/>
      <c r="L627" s="18"/>
      <c r="M627" s="18"/>
      <c r="N627" s="18"/>
      <c r="O627" s="18"/>
      <c r="P627" s="18"/>
      <c r="Q627" s="18"/>
      <c r="R627" s="18"/>
      <c r="S627" s="18"/>
      <c r="T627" s="18"/>
      <c r="U627" s="18"/>
    </row>
    <row r="628" spans="1:21" x14ac:dyDescent="0.35">
      <c r="A628" s="18"/>
      <c r="B628" s="18"/>
      <c r="C628" s="18"/>
      <c r="D628" s="18"/>
      <c r="E628" s="18"/>
      <c r="F628" s="18"/>
      <c r="G628" s="18"/>
      <c r="H628" s="18"/>
      <c r="I628" s="18"/>
      <c r="J628" s="18"/>
      <c r="K628" s="18"/>
      <c r="L628" s="18"/>
      <c r="M628" s="18"/>
      <c r="N628" s="18"/>
      <c r="O628" s="18"/>
      <c r="P628" s="18"/>
      <c r="Q628" s="18"/>
      <c r="R628" s="18"/>
      <c r="S628" s="18"/>
      <c r="T628" s="18"/>
      <c r="U628" s="18"/>
    </row>
    <row r="629" spans="1:21" x14ac:dyDescent="0.35">
      <c r="A629" s="18"/>
      <c r="B629" s="18"/>
      <c r="C629" s="18"/>
      <c r="D629" s="18"/>
      <c r="E629" s="18"/>
      <c r="F629" s="18"/>
      <c r="G629" s="18"/>
      <c r="H629" s="18"/>
      <c r="I629" s="18"/>
      <c r="J629" s="18"/>
      <c r="K629" s="18"/>
      <c r="L629" s="18"/>
      <c r="M629" s="18"/>
      <c r="N629" s="18"/>
      <c r="O629" s="18"/>
      <c r="P629" s="18"/>
      <c r="Q629" s="18"/>
      <c r="R629" s="18"/>
      <c r="S629" s="18"/>
      <c r="T629" s="18"/>
      <c r="U629" s="18"/>
    </row>
    <row r="630" spans="1:21" x14ac:dyDescent="0.35">
      <c r="A630" s="18"/>
      <c r="B630" s="18"/>
      <c r="C630" s="18"/>
      <c r="D630" s="18"/>
      <c r="E630" s="18"/>
      <c r="F630" s="18"/>
      <c r="G630" s="18"/>
      <c r="H630" s="18"/>
      <c r="I630" s="18"/>
      <c r="J630" s="18"/>
      <c r="K630" s="18"/>
      <c r="L630" s="18"/>
      <c r="M630" s="18"/>
      <c r="N630" s="18"/>
      <c r="O630" s="18"/>
      <c r="P630" s="18"/>
      <c r="Q630" s="18"/>
      <c r="R630" s="18"/>
      <c r="S630" s="18"/>
      <c r="T630" s="18"/>
      <c r="U630" s="18"/>
    </row>
    <row r="631" spans="1:21" x14ac:dyDescent="0.35">
      <c r="A631" s="18"/>
      <c r="B631" s="18"/>
      <c r="C631" s="18"/>
      <c r="D631" s="18"/>
      <c r="E631" s="18"/>
      <c r="F631" s="18"/>
      <c r="G631" s="18"/>
      <c r="H631" s="18"/>
      <c r="I631" s="18"/>
      <c r="J631" s="18"/>
      <c r="K631" s="18"/>
      <c r="L631" s="18"/>
      <c r="M631" s="18"/>
      <c r="N631" s="18"/>
      <c r="O631" s="18"/>
      <c r="P631" s="18"/>
      <c r="Q631" s="18"/>
      <c r="R631" s="18"/>
      <c r="S631" s="18"/>
      <c r="T631" s="18"/>
      <c r="U631" s="18"/>
    </row>
    <row r="632" spans="1:21" x14ac:dyDescent="0.35">
      <c r="A632" s="18"/>
      <c r="B632" s="18"/>
      <c r="C632" s="18"/>
      <c r="D632" s="18"/>
      <c r="E632" s="18"/>
      <c r="F632" s="18"/>
      <c r="G632" s="18"/>
      <c r="H632" s="18"/>
      <c r="I632" s="18"/>
      <c r="J632" s="18"/>
      <c r="K632" s="18"/>
      <c r="L632" s="18"/>
      <c r="M632" s="18"/>
      <c r="N632" s="18"/>
      <c r="O632" s="18"/>
      <c r="P632" s="18"/>
      <c r="Q632" s="18"/>
      <c r="R632" s="18"/>
      <c r="S632" s="18"/>
      <c r="T632" s="18"/>
      <c r="U632" s="18"/>
    </row>
    <row r="633" spans="1:21" x14ac:dyDescent="0.35">
      <c r="A633" s="18"/>
      <c r="B633" s="18"/>
      <c r="C633" s="18"/>
      <c r="D633" s="18"/>
      <c r="E633" s="18"/>
      <c r="F633" s="18"/>
      <c r="G633" s="18"/>
      <c r="H633" s="18"/>
      <c r="I633" s="18"/>
      <c r="J633" s="18"/>
      <c r="K633" s="18"/>
      <c r="L633" s="18"/>
      <c r="M633" s="18"/>
      <c r="N633" s="18"/>
      <c r="O633" s="18"/>
      <c r="P633" s="18"/>
      <c r="Q633" s="18"/>
      <c r="R633" s="18"/>
      <c r="S633" s="18"/>
      <c r="T633" s="18"/>
      <c r="U633" s="18"/>
    </row>
    <row r="634" spans="1:21" x14ac:dyDescent="0.35">
      <c r="A634" s="18"/>
      <c r="B634" s="18"/>
      <c r="C634" s="18"/>
      <c r="D634" s="18"/>
      <c r="E634" s="18"/>
      <c r="F634" s="18"/>
      <c r="G634" s="18"/>
      <c r="H634" s="18"/>
      <c r="I634" s="18"/>
      <c r="J634" s="18"/>
      <c r="K634" s="18"/>
      <c r="L634" s="18"/>
      <c r="M634" s="18"/>
      <c r="N634" s="18"/>
      <c r="O634" s="18"/>
      <c r="P634" s="18"/>
      <c r="Q634" s="18"/>
      <c r="R634" s="18"/>
      <c r="S634" s="18"/>
      <c r="T634" s="18"/>
      <c r="U634" s="18"/>
    </row>
    <row r="635" spans="1:21" x14ac:dyDescent="0.35">
      <c r="A635" s="18"/>
      <c r="B635" s="18"/>
      <c r="C635" s="18"/>
      <c r="D635" s="18"/>
      <c r="E635" s="18"/>
      <c r="F635" s="18"/>
      <c r="G635" s="18"/>
      <c r="H635" s="18"/>
      <c r="I635" s="18"/>
      <c r="J635" s="18"/>
      <c r="K635" s="18"/>
      <c r="L635" s="18"/>
      <c r="M635" s="18"/>
      <c r="N635" s="18"/>
      <c r="O635" s="18"/>
      <c r="P635" s="18"/>
      <c r="Q635" s="18"/>
      <c r="R635" s="18"/>
      <c r="S635" s="18"/>
      <c r="T635" s="18"/>
      <c r="U635" s="18"/>
    </row>
    <row r="636" spans="1:21" x14ac:dyDescent="0.35">
      <c r="A636" s="18"/>
      <c r="B636" s="18"/>
      <c r="C636" s="18"/>
      <c r="D636" s="18"/>
      <c r="E636" s="18"/>
      <c r="F636" s="18"/>
      <c r="G636" s="18"/>
      <c r="H636" s="18"/>
      <c r="I636" s="18"/>
      <c r="J636" s="18"/>
      <c r="K636" s="18"/>
      <c r="L636" s="18"/>
      <c r="M636" s="18"/>
      <c r="N636" s="18"/>
      <c r="O636" s="18"/>
      <c r="P636" s="18"/>
      <c r="Q636" s="18"/>
      <c r="R636" s="18"/>
      <c r="S636" s="18"/>
      <c r="T636" s="18"/>
      <c r="U636" s="18"/>
    </row>
    <row r="637" spans="1:21" x14ac:dyDescent="0.35">
      <c r="A637" s="18"/>
      <c r="B637" s="18"/>
      <c r="C637" s="18"/>
      <c r="D637" s="18"/>
      <c r="E637" s="18"/>
      <c r="F637" s="18"/>
      <c r="G637" s="18"/>
      <c r="H637" s="18"/>
      <c r="I637" s="18"/>
      <c r="J637" s="18"/>
      <c r="K637" s="18"/>
      <c r="L637" s="18"/>
      <c r="M637" s="18"/>
      <c r="N637" s="18"/>
      <c r="O637" s="18"/>
      <c r="P637" s="18"/>
      <c r="Q637" s="18"/>
      <c r="R637" s="18"/>
      <c r="S637" s="18"/>
      <c r="T637" s="18"/>
      <c r="U637" s="18"/>
    </row>
    <row r="638" spans="1:21" x14ac:dyDescent="0.35">
      <c r="A638" s="18"/>
      <c r="B638" s="18"/>
      <c r="C638" s="18"/>
      <c r="D638" s="18"/>
      <c r="E638" s="18"/>
      <c r="F638" s="18"/>
      <c r="G638" s="18"/>
      <c r="H638" s="18"/>
      <c r="I638" s="18"/>
      <c r="J638" s="18"/>
      <c r="K638" s="18"/>
      <c r="L638" s="18"/>
      <c r="M638" s="18"/>
      <c r="N638" s="18"/>
      <c r="O638" s="18"/>
      <c r="P638" s="18"/>
      <c r="Q638" s="18"/>
      <c r="R638" s="18"/>
      <c r="S638" s="18"/>
      <c r="T638" s="18"/>
      <c r="U638" s="18"/>
    </row>
    <row r="639" spans="1:21" x14ac:dyDescent="0.35">
      <c r="A639" s="18"/>
      <c r="B639" s="18"/>
      <c r="C639" s="18"/>
      <c r="D639" s="18"/>
      <c r="E639" s="18"/>
      <c r="F639" s="18"/>
      <c r="G639" s="18"/>
      <c r="H639" s="18"/>
      <c r="I639" s="18"/>
      <c r="J639" s="18"/>
      <c r="K639" s="18"/>
      <c r="L639" s="18"/>
      <c r="M639" s="18"/>
      <c r="N639" s="18"/>
      <c r="O639" s="18"/>
      <c r="P639" s="18"/>
      <c r="Q639" s="18"/>
      <c r="R639" s="18"/>
      <c r="S639" s="18"/>
      <c r="T639" s="18"/>
      <c r="U639" s="18"/>
    </row>
    <row r="640" spans="1:21" x14ac:dyDescent="0.35">
      <c r="A640" s="18"/>
      <c r="B640" s="18"/>
      <c r="C640" s="18"/>
      <c r="D640" s="18"/>
      <c r="E640" s="18"/>
      <c r="F640" s="18"/>
      <c r="G640" s="18"/>
      <c r="H640" s="18"/>
      <c r="I640" s="18"/>
      <c r="J640" s="18"/>
      <c r="K640" s="18"/>
      <c r="L640" s="18"/>
      <c r="M640" s="18"/>
      <c r="N640" s="18"/>
      <c r="O640" s="18"/>
      <c r="P640" s="18"/>
      <c r="Q640" s="18"/>
      <c r="R640" s="18"/>
      <c r="S640" s="18"/>
      <c r="T640" s="18"/>
      <c r="U640" s="18"/>
    </row>
    <row r="641" spans="1:21" x14ac:dyDescent="0.35">
      <c r="A641" s="18"/>
      <c r="B641" s="18"/>
      <c r="C641" s="18"/>
      <c r="D641" s="18"/>
      <c r="E641" s="18"/>
      <c r="F641" s="18"/>
      <c r="G641" s="18"/>
      <c r="H641" s="18"/>
      <c r="I641" s="18"/>
      <c r="J641" s="18"/>
      <c r="K641" s="18"/>
      <c r="L641" s="18"/>
      <c r="M641" s="18"/>
      <c r="N641" s="18"/>
      <c r="O641" s="18"/>
      <c r="P641" s="18"/>
      <c r="Q641" s="18"/>
      <c r="R641" s="18"/>
      <c r="S641" s="18"/>
      <c r="T641" s="18"/>
      <c r="U641" s="18"/>
    </row>
    <row r="642" spans="1:21" x14ac:dyDescent="0.35">
      <c r="A642" s="18"/>
      <c r="B642" s="18"/>
      <c r="C642" s="18"/>
      <c r="D642" s="18"/>
      <c r="E642" s="18"/>
      <c r="F642" s="18"/>
      <c r="G642" s="18"/>
      <c r="H642" s="18"/>
      <c r="I642" s="18"/>
      <c r="J642" s="18"/>
      <c r="K642" s="18"/>
      <c r="L642" s="18"/>
      <c r="M642" s="18"/>
      <c r="N642" s="18"/>
      <c r="O642" s="18"/>
      <c r="P642" s="18"/>
      <c r="Q642" s="18"/>
      <c r="R642" s="18"/>
      <c r="S642" s="18"/>
      <c r="T642" s="18"/>
      <c r="U642" s="18"/>
    </row>
    <row r="643" spans="1:21" x14ac:dyDescent="0.35">
      <c r="A643" s="18"/>
      <c r="B643" s="18"/>
      <c r="C643" s="18"/>
      <c r="D643" s="18"/>
      <c r="E643" s="18"/>
      <c r="F643" s="18"/>
      <c r="G643" s="18"/>
      <c r="H643" s="18"/>
      <c r="I643" s="18"/>
      <c r="J643" s="18"/>
      <c r="K643" s="18"/>
      <c r="L643" s="18"/>
      <c r="M643" s="18"/>
      <c r="N643" s="18"/>
      <c r="O643" s="18"/>
      <c r="P643" s="18"/>
      <c r="Q643" s="18"/>
      <c r="R643" s="18"/>
      <c r="S643" s="18"/>
      <c r="T643" s="18"/>
      <c r="U643" s="18"/>
    </row>
    <row r="644" spans="1:21" x14ac:dyDescent="0.35">
      <c r="A644" s="18"/>
      <c r="B644" s="18"/>
      <c r="C644" s="18"/>
      <c r="D644" s="18"/>
      <c r="E644" s="18"/>
      <c r="F644" s="18"/>
      <c r="G644" s="18"/>
      <c r="H644" s="18"/>
      <c r="I644" s="18"/>
      <c r="J644" s="18"/>
      <c r="K644" s="18"/>
      <c r="L644" s="18"/>
      <c r="M644" s="18"/>
      <c r="N644" s="18"/>
      <c r="O644" s="18"/>
      <c r="P644" s="18"/>
      <c r="Q644" s="18"/>
      <c r="R644" s="18"/>
      <c r="S644" s="18"/>
      <c r="T644" s="18"/>
      <c r="U644" s="18"/>
    </row>
    <row r="645" spans="1:21" x14ac:dyDescent="0.35">
      <c r="A645" s="18"/>
      <c r="B645" s="18"/>
      <c r="C645" s="18"/>
      <c r="D645" s="18"/>
      <c r="E645" s="18"/>
      <c r="F645" s="18"/>
      <c r="G645" s="18"/>
      <c r="H645" s="18"/>
      <c r="I645" s="18"/>
      <c r="J645" s="18"/>
      <c r="K645" s="18"/>
      <c r="L645" s="18"/>
      <c r="M645" s="18"/>
      <c r="N645" s="18"/>
      <c r="O645" s="18"/>
      <c r="P645" s="18"/>
      <c r="Q645" s="18"/>
      <c r="R645" s="18"/>
      <c r="S645" s="18"/>
      <c r="T645" s="18"/>
      <c r="U645" s="18"/>
    </row>
    <row r="646" spans="1:21" x14ac:dyDescent="0.35">
      <c r="A646" s="18"/>
      <c r="B646" s="18"/>
      <c r="C646" s="18"/>
      <c r="D646" s="18"/>
      <c r="E646" s="18"/>
      <c r="F646" s="18"/>
      <c r="G646" s="18"/>
      <c r="H646" s="18"/>
      <c r="I646" s="18"/>
      <c r="J646" s="18"/>
      <c r="K646" s="18"/>
      <c r="L646" s="18"/>
      <c r="M646" s="18"/>
      <c r="N646" s="18"/>
      <c r="O646" s="18"/>
      <c r="P646" s="18"/>
      <c r="Q646" s="18"/>
      <c r="R646" s="18"/>
      <c r="S646" s="18"/>
      <c r="T646" s="18"/>
      <c r="U646" s="18"/>
    </row>
    <row r="647" spans="1:21" x14ac:dyDescent="0.35">
      <c r="A647" s="18"/>
      <c r="B647" s="18"/>
      <c r="C647" s="18"/>
      <c r="D647" s="18"/>
      <c r="E647" s="18"/>
      <c r="F647" s="18"/>
      <c r="G647" s="18"/>
      <c r="H647" s="18"/>
      <c r="I647" s="18"/>
      <c r="J647" s="18"/>
      <c r="K647" s="18"/>
      <c r="L647" s="18"/>
      <c r="M647" s="18"/>
      <c r="N647" s="18"/>
      <c r="O647" s="18"/>
      <c r="P647" s="18"/>
      <c r="Q647" s="18"/>
      <c r="R647" s="18"/>
      <c r="S647" s="18"/>
      <c r="T647" s="18"/>
      <c r="U647" s="18"/>
    </row>
    <row r="648" spans="1:21" x14ac:dyDescent="0.35">
      <c r="A648" s="18"/>
      <c r="B648" s="18"/>
      <c r="C648" s="18"/>
      <c r="D648" s="18"/>
      <c r="E648" s="18"/>
      <c r="F648" s="18"/>
      <c r="G648" s="18"/>
      <c r="H648" s="18"/>
      <c r="I648" s="18"/>
      <c r="J648" s="18"/>
      <c r="K648" s="18"/>
      <c r="L648" s="18"/>
      <c r="M648" s="18"/>
      <c r="N648" s="18"/>
      <c r="O648" s="18"/>
      <c r="P648" s="18"/>
      <c r="Q648" s="18"/>
      <c r="R648" s="18"/>
      <c r="S648" s="18"/>
      <c r="T648" s="18"/>
      <c r="U648" s="18"/>
    </row>
    <row r="649" spans="1:21" x14ac:dyDescent="0.35">
      <c r="A649" s="18"/>
      <c r="B649" s="18"/>
      <c r="C649" s="18"/>
      <c r="D649" s="18"/>
      <c r="E649" s="18"/>
      <c r="F649" s="18"/>
      <c r="G649" s="18"/>
      <c r="H649" s="18"/>
      <c r="I649" s="18"/>
      <c r="J649" s="18"/>
      <c r="K649" s="18"/>
      <c r="L649" s="18"/>
      <c r="M649" s="18"/>
      <c r="N649" s="18"/>
      <c r="O649" s="18"/>
      <c r="P649" s="18"/>
      <c r="Q649" s="18"/>
      <c r="R649" s="18"/>
      <c r="S649" s="18"/>
      <c r="T649" s="18"/>
      <c r="U649" s="18"/>
    </row>
    <row r="650" spans="1:21" x14ac:dyDescent="0.35">
      <c r="A650" s="18"/>
      <c r="B650" s="18"/>
      <c r="C650" s="18"/>
      <c r="D650" s="18"/>
      <c r="E650" s="18"/>
      <c r="F650" s="18"/>
      <c r="G650" s="18"/>
      <c r="H650" s="18"/>
      <c r="I650" s="18"/>
      <c r="J650" s="18"/>
      <c r="K650" s="18"/>
      <c r="L650" s="18"/>
      <c r="M650" s="18"/>
      <c r="N650" s="18"/>
      <c r="O650" s="18"/>
      <c r="P650" s="18"/>
      <c r="Q650" s="18"/>
      <c r="R650" s="18"/>
      <c r="S650" s="18"/>
      <c r="T650" s="18"/>
      <c r="U650" s="18"/>
    </row>
    <row r="651" spans="1:21" x14ac:dyDescent="0.35">
      <c r="A651" s="18"/>
      <c r="B651" s="18"/>
      <c r="C651" s="18"/>
      <c r="D651" s="18"/>
      <c r="E651" s="18"/>
      <c r="F651" s="18"/>
      <c r="G651" s="18"/>
      <c r="H651" s="18"/>
      <c r="I651" s="18"/>
      <c r="J651" s="18"/>
      <c r="K651" s="18"/>
      <c r="L651" s="18"/>
      <c r="M651" s="18"/>
      <c r="N651" s="18"/>
      <c r="O651" s="18"/>
      <c r="P651" s="18"/>
      <c r="Q651" s="18"/>
      <c r="R651" s="18"/>
      <c r="S651" s="18"/>
      <c r="T651" s="18"/>
      <c r="U651" s="18"/>
    </row>
    <row r="652" spans="1:21" x14ac:dyDescent="0.35">
      <c r="A652" s="18"/>
      <c r="B652" s="18"/>
      <c r="C652" s="18"/>
      <c r="D652" s="18"/>
      <c r="E652" s="18"/>
      <c r="F652" s="18"/>
      <c r="G652" s="18"/>
      <c r="H652" s="18"/>
      <c r="I652" s="18"/>
      <c r="J652" s="18"/>
      <c r="K652" s="18"/>
      <c r="L652" s="18"/>
      <c r="M652" s="18"/>
      <c r="N652" s="18"/>
      <c r="O652" s="18"/>
      <c r="P652" s="18"/>
      <c r="Q652" s="18"/>
      <c r="R652" s="18"/>
      <c r="S652" s="18"/>
      <c r="T652" s="18"/>
      <c r="U652" s="18"/>
    </row>
    <row r="653" spans="1:21" x14ac:dyDescent="0.35">
      <c r="A653" s="18"/>
      <c r="B653" s="18"/>
      <c r="C653" s="18"/>
      <c r="D653" s="18"/>
      <c r="E653" s="18"/>
      <c r="F653" s="18"/>
      <c r="G653" s="18"/>
      <c r="H653" s="18"/>
      <c r="I653" s="18"/>
      <c r="J653" s="18"/>
      <c r="K653" s="18"/>
      <c r="L653" s="18"/>
      <c r="M653" s="18"/>
      <c r="N653" s="18"/>
      <c r="O653" s="18"/>
      <c r="P653" s="18"/>
      <c r="Q653" s="18"/>
      <c r="R653" s="18"/>
      <c r="S653" s="18"/>
      <c r="T653" s="18"/>
      <c r="U653" s="18"/>
    </row>
    <row r="654" spans="1:21" x14ac:dyDescent="0.35">
      <c r="A654" s="18"/>
      <c r="B654" s="18"/>
      <c r="C654" s="18"/>
      <c r="D654" s="18"/>
      <c r="E654" s="18"/>
      <c r="F654" s="18"/>
      <c r="G654" s="18"/>
      <c r="H654" s="18"/>
      <c r="I654" s="18"/>
      <c r="J654" s="18"/>
      <c r="K654" s="18"/>
      <c r="L654" s="18"/>
      <c r="M654" s="18"/>
      <c r="N654" s="18"/>
      <c r="O654" s="18"/>
      <c r="P654" s="18"/>
      <c r="Q654" s="18"/>
      <c r="R654" s="18"/>
      <c r="S654" s="18"/>
      <c r="T654" s="18"/>
      <c r="U654" s="18"/>
    </row>
    <row r="655" spans="1:21" x14ac:dyDescent="0.35">
      <c r="A655" s="18"/>
      <c r="B655" s="18"/>
      <c r="C655" s="18"/>
      <c r="D655" s="18"/>
      <c r="E655" s="18"/>
      <c r="F655" s="18"/>
      <c r="G655" s="18"/>
      <c r="H655" s="18"/>
      <c r="I655" s="18"/>
      <c r="J655" s="18"/>
      <c r="K655" s="18"/>
      <c r="L655" s="18"/>
      <c r="M655" s="18"/>
      <c r="N655" s="18"/>
      <c r="O655" s="18"/>
      <c r="P655" s="18"/>
      <c r="Q655" s="18"/>
      <c r="R655" s="18"/>
      <c r="S655" s="18"/>
      <c r="T655" s="18"/>
      <c r="U655" s="18"/>
    </row>
    <row r="656" spans="1:21" x14ac:dyDescent="0.35">
      <c r="A656" s="18"/>
      <c r="B656" s="18"/>
      <c r="C656" s="18"/>
      <c r="D656" s="18"/>
      <c r="E656" s="18"/>
      <c r="F656" s="18"/>
      <c r="G656" s="18"/>
      <c r="H656" s="18"/>
      <c r="I656" s="18"/>
      <c r="J656" s="18"/>
      <c r="K656" s="18"/>
      <c r="L656" s="18"/>
      <c r="M656" s="18"/>
      <c r="N656" s="18"/>
      <c r="O656" s="18"/>
      <c r="P656" s="18"/>
      <c r="Q656" s="18"/>
      <c r="R656" s="18"/>
      <c r="S656" s="18"/>
      <c r="T656" s="18"/>
      <c r="U656" s="18"/>
    </row>
    <row r="657" spans="1:21" x14ac:dyDescent="0.35">
      <c r="A657" s="18"/>
      <c r="B657" s="18"/>
      <c r="C657" s="18"/>
      <c r="D657" s="18"/>
      <c r="E657" s="18"/>
      <c r="F657" s="18"/>
      <c r="G657" s="18"/>
      <c r="H657" s="18"/>
      <c r="I657" s="18"/>
      <c r="J657" s="18"/>
      <c r="K657" s="18"/>
      <c r="L657" s="18"/>
      <c r="M657" s="18"/>
      <c r="N657" s="18"/>
      <c r="O657" s="18"/>
      <c r="P657" s="18"/>
      <c r="Q657" s="18"/>
      <c r="R657" s="18"/>
      <c r="S657" s="18"/>
      <c r="T657" s="18"/>
      <c r="U657" s="18"/>
    </row>
    <row r="658" spans="1:21" x14ac:dyDescent="0.35">
      <c r="A658" s="18"/>
      <c r="B658" s="18"/>
      <c r="C658" s="18"/>
      <c r="D658" s="18"/>
      <c r="E658" s="18"/>
      <c r="F658" s="18"/>
      <c r="G658" s="18"/>
      <c r="H658" s="18"/>
      <c r="I658" s="18"/>
      <c r="J658" s="18"/>
      <c r="K658" s="18"/>
      <c r="L658" s="18"/>
      <c r="M658" s="18"/>
      <c r="N658" s="18"/>
      <c r="O658" s="18"/>
      <c r="P658" s="18"/>
      <c r="Q658" s="18"/>
      <c r="R658" s="18"/>
      <c r="S658" s="18"/>
      <c r="T658" s="18"/>
      <c r="U658" s="18"/>
    </row>
    <row r="659" spans="1:21" x14ac:dyDescent="0.35">
      <c r="A659" s="18"/>
      <c r="B659" s="18"/>
      <c r="C659" s="18"/>
      <c r="D659" s="18"/>
      <c r="E659" s="18"/>
      <c r="F659" s="18"/>
      <c r="G659" s="18"/>
      <c r="H659" s="18"/>
      <c r="I659" s="18"/>
      <c r="J659" s="18"/>
      <c r="K659" s="18"/>
      <c r="L659" s="18"/>
      <c r="M659" s="18"/>
      <c r="N659" s="18"/>
      <c r="O659" s="18"/>
      <c r="P659" s="18"/>
      <c r="Q659" s="18"/>
      <c r="R659" s="18"/>
      <c r="S659" s="18"/>
      <c r="T659" s="18"/>
      <c r="U659" s="18"/>
    </row>
    <row r="660" spans="1:21" x14ac:dyDescent="0.35">
      <c r="A660" s="18"/>
      <c r="B660" s="18"/>
      <c r="C660" s="18"/>
      <c r="D660" s="18"/>
      <c r="E660" s="18"/>
      <c r="F660" s="18"/>
      <c r="G660" s="18"/>
      <c r="H660" s="18"/>
      <c r="I660" s="18"/>
      <c r="J660" s="18"/>
      <c r="K660" s="18"/>
      <c r="L660" s="18"/>
      <c r="M660" s="18"/>
      <c r="N660" s="18"/>
      <c r="O660" s="18"/>
      <c r="P660" s="18"/>
      <c r="Q660" s="18"/>
      <c r="R660" s="18"/>
      <c r="S660" s="18"/>
      <c r="T660" s="18"/>
      <c r="U660" s="18"/>
    </row>
    <row r="661" spans="1:21" x14ac:dyDescent="0.35">
      <c r="A661" s="18"/>
      <c r="B661" s="18"/>
      <c r="C661" s="18"/>
      <c r="D661" s="18"/>
      <c r="E661" s="18"/>
      <c r="F661" s="18"/>
      <c r="G661" s="18"/>
      <c r="H661" s="18"/>
      <c r="I661" s="18"/>
      <c r="J661" s="18"/>
      <c r="K661" s="18"/>
      <c r="L661" s="18"/>
      <c r="M661" s="18"/>
      <c r="N661" s="18"/>
      <c r="O661" s="18"/>
      <c r="P661" s="18"/>
      <c r="Q661" s="18"/>
      <c r="R661" s="18"/>
      <c r="S661" s="18"/>
      <c r="T661" s="18"/>
      <c r="U661" s="18"/>
    </row>
    <row r="662" spans="1:21" x14ac:dyDescent="0.35">
      <c r="A662" s="18"/>
      <c r="B662" s="18"/>
      <c r="C662" s="18"/>
      <c r="D662" s="18"/>
      <c r="E662" s="18"/>
      <c r="F662" s="18"/>
      <c r="G662" s="18"/>
      <c r="H662" s="18"/>
      <c r="I662" s="18"/>
      <c r="J662" s="18"/>
      <c r="K662" s="18"/>
      <c r="L662" s="18"/>
      <c r="M662" s="18"/>
      <c r="N662" s="18"/>
      <c r="O662" s="18"/>
      <c r="P662" s="18"/>
      <c r="Q662" s="18"/>
      <c r="R662" s="18"/>
      <c r="S662" s="18"/>
      <c r="T662" s="18"/>
      <c r="U662" s="18"/>
    </row>
    <row r="663" spans="1:21" x14ac:dyDescent="0.35">
      <c r="A663" s="18"/>
      <c r="B663" s="18"/>
      <c r="C663" s="18"/>
      <c r="D663" s="18"/>
      <c r="E663" s="18"/>
      <c r="F663" s="18"/>
      <c r="G663" s="18"/>
      <c r="H663" s="18"/>
      <c r="I663" s="18"/>
      <c r="J663" s="18"/>
      <c r="K663" s="18"/>
      <c r="L663" s="18"/>
      <c r="M663" s="18"/>
      <c r="N663" s="18"/>
      <c r="O663" s="18"/>
      <c r="P663" s="18"/>
      <c r="Q663" s="18"/>
      <c r="R663" s="18"/>
      <c r="S663" s="18"/>
      <c r="T663" s="18"/>
      <c r="U663" s="18"/>
    </row>
    <row r="664" spans="1:21" x14ac:dyDescent="0.35">
      <c r="A664" s="18"/>
      <c r="B664" s="18"/>
      <c r="C664" s="18"/>
      <c r="D664" s="18"/>
      <c r="E664" s="18"/>
      <c r="F664" s="18"/>
      <c r="G664" s="18"/>
      <c r="H664" s="18"/>
      <c r="I664" s="18"/>
      <c r="J664" s="18"/>
      <c r="K664" s="18"/>
      <c r="L664" s="18"/>
      <c r="M664" s="18"/>
      <c r="N664" s="18"/>
      <c r="O664" s="18"/>
      <c r="P664" s="18"/>
      <c r="Q664" s="18"/>
      <c r="R664" s="18"/>
      <c r="S664" s="18"/>
      <c r="T664" s="18"/>
      <c r="U664" s="18"/>
    </row>
    <row r="665" spans="1:21" x14ac:dyDescent="0.35">
      <c r="A665" s="18"/>
      <c r="B665" s="18"/>
      <c r="C665" s="18"/>
      <c r="D665" s="18"/>
      <c r="E665" s="18"/>
      <c r="F665" s="18"/>
      <c r="G665" s="18"/>
      <c r="H665" s="18"/>
      <c r="I665" s="18"/>
      <c r="J665" s="18"/>
      <c r="K665" s="18"/>
      <c r="L665" s="18"/>
      <c r="M665" s="18"/>
      <c r="N665" s="18"/>
      <c r="O665" s="18"/>
      <c r="P665" s="18"/>
      <c r="Q665" s="18"/>
      <c r="R665" s="18"/>
      <c r="S665" s="18"/>
      <c r="T665" s="18"/>
      <c r="U665" s="18"/>
    </row>
    <row r="666" spans="1:21" x14ac:dyDescent="0.35">
      <c r="A666" s="18"/>
      <c r="B666" s="18"/>
      <c r="C666" s="18"/>
      <c r="D666" s="18"/>
      <c r="E666" s="18"/>
      <c r="F666" s="18"/>
      <c r="G666" s="18"/>
      <c r="H666" s="18"/>
      <c r="I666" s="18"/>
      <c r="J666" s="18"/>
      <c r="K666" s="18"/>
      <c r="L666" s="18"/>
      <c r="M666" s="18"/>
      <c r="N666" s="18"/>
      <c r="O666" s="18"/>
      <c r="P666" s="18"/>
      <c r="Q666" s="18"/>
      <c r="R666" s="18"/>
      <c r="S666" s="18"/>
      <c r="T666" s="18"/>
      <c r="U666" s="18"/>
    </row>
    <row r="667" spans="1:21" x14ac:dyDescent="0.35">
      <c r="A667" s="18"/>
      <c r="B667" s="18"/>
      <c r="C667" s="18"/>
      <c r="D667" s="18"/>
      <c r="E667" s="18"/>
      <c r="F667" s="18"/>
      <c r="G667" s="18"/>
      <c r="H667" s="18"/>
      <c r="I667" s="18"/>
      <c r="J667" s="18"/>
      <c r="K667" s="18"/>
      <c r="L667" s="18"/>
      <c r="M667" s="18"/>
      <c r="N667" s="18"/>
      <c r="O667" s="18"/>
      <c r="P667" s="18"/>
      <c r="Q667" s="18"/>
      <c r="R667" s="18"/>
      <c r="S667" s="18"/>
      <c r="T667" s="18"/>
      <c r="U667" s="18"/>
    </row>
    <row r="668" spans="1:21" x14ac:dyDescent="0.35">
      <c r="A668" s="18"/>
      <c r="B668" s="18"/>
      <c r="C668" s="18"/>
      <c r="D668" s="18"/>
      <c r="E668" s="18"/>
      <c r="F668" s="18"/>
      <c r="G668" s="18"/>
      <c r="H668" s="18"/>
      <c r="I668" s="18"/>
      <c r="J668" s="18"/>
      <c r="K668" s="18"/>
      <c r="L668" s="18"/>
      <c r="M668" s="18"/>
      <c r="N668" s="18"/>
      <c r="O668" s="18"/>
      <c r="P668" s="18"/>
      <c r="Q668" s="18"/>
      <c r="R668" s="18"/>
      <c r="S668" s="18"/>
      <c r="T668" s="18"/>
      <c r="U668" s="18"/>
    </row>
    <row r="669" spans="1:21" x14ac:dyDescent="0.35">
      <c r="A669" s="18"/>
      <c r="B669" s="18"/>
      <c r="C669" s="18"/>
      <c r="D669" s="18"/>
      <c r="E669" s="18"/>
      <c r="F669" s="18"/>
      <c r="G669" s="18"/>
      <c r="H669" s="18"/>
      <c r="I669" s="18"/>
      <c r="J669" s="18"/>
      <c r="K669" s="18"/>
      <c r="L669" s="18"/>
      <c r="M669" s="18"/>
      <c r="N669" s="18"/>
      <c r="O669" s="18"/>
      <c r="P669" s="18"/>
      <c r="Q669" s="18"/>
      <c r="R669" s="18"/>
      <c r="S669" s="18"/>
      <c r="T669" s="18"/>
      <c r="U669" s="18"/>
    </row>
    <row r="670" spans="1:21" x14ac:dyDescent="0.35">
      <c r="A670" s="18"/>
      <c r="B670" s="18"/>
      <c r="C670" s="18"/>
      <c r="D670" s="18"/>
      <c r="E670" s="18"/>
      <c r="F670" s="18"/>
      <c r="G670" s="18"/>
      <c r="H670" s="18"/>
      <c r="I670" s="18"/>
      <c r="J670" s="18"/>
      <c r="K670" s="18"/>
      <c r="L670" s="18"/>
      <c r="M670" s="18"/>
      <c r="N670" s="18"/>
      <c r="O670" s="18"/>
      <c r="P670" s="18"/>
      <c r="Q670" s="18"/>
      <c r="R670" s="18"/>
      <c r="S670" s="18"/>
      <c r="T670" s="18"/>
      <c r="U670" s="18"/>
    </row>
    <row r="671" spans="1:21" x14ac:dyDescent="0.35">
      <c r="A671" s="18"/>
      <c r="B671" s="18"/>
      <c r="C671" s="18"/>
      <c r="D671" s="18"/>
      <c r="E671" s="18"/>
      <c r="F671" s="18"/>
      <c r="G671" s="18"/>
      <c r="H671" s="18"/>
      <c r="I671" s="18"/>
      <c r="J671" s="18"/>
      <c r="K671" s="18"/>
      <c r="L671" s="18"/>
      <c r="M671" s="18"/>
      <c r="N671" s="18"/>
      <c r="O671" s="18"/>
      <c r="P671" s="18"/>
      <c r="Q671" s="18"/>
      <c r="R671" s="18"/>
      <c r="S671" s="18"/>
      <c r="T671" s="18"/>
      <c r="U671" s="18"/>
    </row>
    <row r="672" spans="1:21" x14ac:dyDescent="0.35">
      <c r="A672" s="18"/>
      <c r="B672" s="18"/>
      <c r="C672" s="18"/>
      <c r="D672" s="18"/>
      <c r="E672" s="18"/>
      <c r="F672" s="18"/>
      <c r="G672" s="18"/>
      <c r="H672" s="18"/>
      <c r="I672" s="18"/>
      <c r="J672" s="18"/>
      <c r="K672" s="18"/>
      <c r="L672" s="18"/>
      <c r="M672" s="18"/>
      <c r="N672" s="18"/>
      <c r="O672" s="18"/>
      <c r="P672" s="18"/>
      <c r="Q672" s="18"/>
      <c r="R672" s="18"/>
      <c r="S672" s="18"/>
      <c r="T672" s="18"/>
      <c r="U672" s="18"/>
    </row>
    <row r="673" spans="1:21" x14ac:dyDescent="0.35">
      <c r="A673" s="18"/>
      <c r="B673" s="18"/>
      <c r="C673" s="18"/>
      <c r="D673" s="18"/>
      <c r="E673" s="18"/>
      <c r="F673" s="18"/>
      <c r="G673" s="18"/>
      <c r="H673" s="18"/>
      <c r="I673" s="18"/>
      <c r="J673" s="18"/>
      <c r="K673" s="18"/>
      <c r="L673" s="18"/>
      <c r="M673" s="18"/>
      <c r="N673" s="18"/>
      <c r="O673" s="18"/>
      <c r="P673" s="18"/>
      <c r="Q673" s="18"/>
      <c r="R673" s="18"/>
      <c r="S673" s="18"/>
      <c r="T673" s="18"/>
      <c r="U673" s="18"/>
    </row>
    <row r="674" spans="1:21" x14ac:dyDescent="0.35">
      <c r="A674" s="18"/>
      <c r="B674" s="18"/>
      <c r="C674" s="18"/>
      <c r="D674" s="18"/>
      <c r="E674" s="18"/>
      <c r="F674" s="18"/>
      <c r="G674" s="18"/>
      <c r="H674" s="18"/>
      <c r="I674" s="18"/>
      <c r="J674" s="18"/>
      <c r="K674" s="18"/>
      <c r="L674" s="18"/>
      <c r="M674" s="18"/>
      <c r="N674" s="18"/>
      <c r="O674" s="18"/>
      <c r="P674" s="18"/>
      <c r="Q674" s="18"/>
      <c r="R674" s="18"/>
      <c r="S674" s="18"/>
      <c r="T674" s="18"/>
      <c r="U674" s="18"/>
    </row>
    <row r="675" spans="1:21" x14ac:dyDescent="0.35">
      <c r="A675" s="18"/>
      <c r="B675" s="18"/>
      <c r="C675" s="18"/>
      <c r="D675" s="18"/>
      <c r="E675" s="18"/>
      <c r="F675" s="18"/>
      <c r="G675" s="18"/>
      <c r="H675" s="18"/>
      <c r="I675" s="18"/>
      <c r="J675" s="18"/>
      <c r="K675" s="18"/>
      <c r="L675" s="18"/>
      <c r="M675" s="18"/>
      <c r="N675" s="18"/>
      <c r="O675" s="18"/>
      <c r="P675" s="18"/>
      <c r="Q675" s="18"/>
      <c r="R675" s="18"/>
      <c r="S675" s="18"/>
      <c r="T675" s="18"/>
      <c r="U675" s="18"/>
    </row>
    <row r="676" spans="1:21" x14ac:dyDescent="0.35">
      <c r="A676" s="18"/>
      <c r="B676" s="18"/>
      <c r="C676" s="18"/>
      <c r="D676" s="18"/>
      <c r="E676" s="18"/>
      <c r="F676" s="18"/>
      <c r="G676" s="18"/>
      <c r="H676" s="18"/>
      <c r="I676" s="18"/>
      <c r="J676" s="18"/>
      <c r="K676" s="18"/>
      <c r="L676" s="18"/>
      <c r="M676" s="18"/>
      <c r="N676" s="18"/>
      <c r="O676" s="18"/>
      <c r="P676" s="18"/>
      <c r="Q676" s="18"/>
      <c r="R676" s="18"/>
      <c r="S676" s="18"/>
      <c r="T676" s="18"/>
      <c r="U676" s="18"/>
    </row>
    <row r="677" spans="1:21" x14ac:dyDescent="0.35">
      <c r="A677" s="18"/>
      <c r="B677" s="18"/>
      <c r="C677" s="18"/>
      <c r="D677" s="18"/>
      <c r="E677" s="18"/>
      <c r="F677" s="18"/>
      <c r="G677" s="18"/>
      <c r="H677" s="18"/>
      <c r="I677" s="18"/>
      <c r="J677" s="18"/>
      <c r="K677" s="18"/>
      <c r="L677" s="18"/>
      <c r="M677" s="18"/>
      <c r="N677" s="18"/>
      <c r="O677" s="18"/>
      <c r="P677" s="18"/>
      <c r="Q677" s="18"/>
      <c r="R677" s="18"/>
      <c r="S677" s="18"/>
      <c r="T677" s="18"/>
      <c r="U677" s="18"/>
    </row>
    <row r="678" spans="1:21" x14ac:dyDescent="0.35">
      <c r="A678" s="18"/>
      <c r="B678" s="18"/>
      <c r="C678" s="18"/>
      <c r="D678" s="18"/>
      <c r="E678" s="18"/>
      <c r="F678" s="18"/>
      <c r="G678" s="18"/>
      <c r="H678" s="18"/>
      <c r="I678" s="18"/>
      <c r="J678" s="18"/>
      <c r="K678" s="18"/>
      <c r="L678" s="18"/>
      <c r="M678" s="18"/>
      <c r="N678" s="18"/>
      <c r="O678" s="18"/>
      <c r="P678" s="18"/>
      <c r="Q678" s="18"/>
      <c r="R678" s="18"/>
      <c r="S678" s="18"/>
      <c r="T678" s="18"/>
      <c r="U678" s="18"/>
    </row>
    <row r="679" spans="1:21" x14ac:dyDescent="0.35">
      <c r="A679" s="18"/>
      <c r="B679" s="18"/>
      <c r="C679" s="18"/>
      <c r="D679" s="18"/>
      <c r="E679" s="18"/>
      <c r="F679" s="18"/>
      <c r="G679" s="18"/>
      <c r="H679" s="18"/>
      <c r="I679" s="18"/>
      <c r="J679" s="18"/>
      <c r="K679" s="18"/>
      <c r="L679" s="18"/>
      <c r="M679" s="18"/>
      <c r="N679" s="18"/>
      <c r="O679" s="18"/>
      <c r="P679" s="18"/>
      <c r="Q679" s="18"/>
      <c r="R679" s="18"/>
      <c r="S679" s="18"/>
      <c r="T679" s="18"/>
      <c r="U679" s="18"/>
    </row>
    <row r="680" spans="1:21" x14ac:dyDescent="0.35">
      <c r="A680" s="18"/>
      <c r="B680" s="18"/>
      <c r="C680" s="18"/>
      <c r="D680" s="18"/>
      <c r="E680" s="18"/>
      <c r="F680" s="18"/>
      <c r="G680" s="18"/>
      <c r="H680" s="18"/>
      <c r="I680" s="18"/>
      <c r="J680" s="18"/>
      <c r="K680" s="18"/>
      <c r="L680" s="18"/>
      <c r="M680" s="18"/>
      <c r="N680" s="18"/>
      <c r="O680" s="18"/>
      <c r="P680" s="18"/>
      <c r="Q680" s="18"/>
      <c r="R680" s="18"/>
      <c r="S680" s="18"/>
      <c r="T680" s="18"/>
      <c r="U680" s="18"/>
    </row>
    <row r="681" spans="1:21" x14ac:dyDescent="0.35">
      <c r="A681" s="18"/>
      <c r="B681" s="18"/>
      <c r="C681" s="18"/>
      <c r="D681" s="18"/>
      <c r="E681" s="18"/>
      <c r="F681" s="18"/>
      <c r="G681" s="18"/>
      <c r="H681" s="18"/>
      <c r="I681" s="18"/>
      <c r="J681" s="18"/>
      <c r="K681" s="18"/>
      <c r="L681" s="18"/>
      <c r="M681" s="18"/>
      <c r="N681" s="18"/>
      <c r="O681" s="18"/>
      <c r="P681" s="18"/>
      <c r="Q681" s="18"/>
      <c r="R681" s="18"/>
      <c r="S681" s="18"/>
      <c r="T681" s="18"/>
      <c r="U681" s="18"/>
    </row>
    <row r="682" spans="1:21" x14ac:dyDescent="0.35">
      <c r="A682" s="18"/>
      <c r="B682" s="18"/>
      <c r="C682" s="18"/>
      <c r="D682" s="18"/>
      <c r="E682" s="18"/>
      <c r="F682" s="18"/>
      <c r="G682" s="18"/>
      <c r="H682" s="18"/>
      <c r="I682" s="18"/>
      <c r="J682" s="18"/>
      <c r="K682" s="18"/>
      <c r="L682" s="18"/>
      <c r="M682" s="18"/>
      <c r="N682" s="18"/>
      <c r="O682" s="18"/>
      <c r="P682" s="18"/>
      <c r="Q682" s="18"/>
      <c r="R682" s="18"/>
      <c r="S682" s="18"/>
      <c r="T682" s="18"/>
      <c r="U682" s="18"/>
    </row>
    <row r="683" spans="1:21" x14ac:dyDescent="0.35">
      <c r="A683" s="18"/>
      <c r="B683" s="18"/>
      <c r="C683" s="18"/>
      <c r="D683" s="18"/>
      <c r="E683" s="18"/>
      <c r="F683" s="18"/>
      <c r="G683" s="18"/>
      <c r="H683" s="18"/>
      <c r="I683" s="18"/>
      <c r="J683" s="18"/>
      <c r="K683" s="18"/>
      <c r="L683" s="18"/>
      <c r="M683" s="18"/>
      <c r="N683" s="18"/>
      <c r="O683" s="18"/>
      <c r="P683" s="18"/>
      <c r="Q683" s="18"/>
      <c r="R683" s="18"/>
      <c r="S683" s="18"/>
      <c r="T683" s="18"/>
      <c r="U683" s="18"/>
    </row>
    <row r="684" spans="1:21" x14ac:dyDescent="0.35">
      <c r="A684" s="18"/>
      <c r="B684" s="18"/>
      <c r="C684" s="18"/>
      <c r="D684" s="18"/>
      <c r="E684" s="18"/>
      <c r="F684" s="18"/>
      <c r="G684" s="18"/>
      <c r="H684" s="18"/>
      <c r="I684" s="18"/>
      <c r="J684" s="18"/>
      <c r="K684" s="18"/>
      <c r="L684" s="18"/>
      <c r="M684" s="18"/>
      <c r="N684" s="18"/>
      <c r="O684" s="18"/>
      <c r="P684" s="18"/>
      <c r="Q684" s="18"/>
      <c r="R684" s="18"/>
      <c r="S684" s="18"/>
      <c r="T684" s="18"/>
      <c r="U684" s="18"/>
    </row>
    <row r="685" spans="1:21" x14ac:dyDescent="0.35">
      <c r="A685" s="18"/>
      <c r="B685" s="18"/>
      <c r="C685" s="18"/>
      <c r="D685" s="18"/>
      <c r="E685" s="18"/>
      <c r="F685" s="18"/>
      <c r="G685" s="18"/>
      <c r="H685" s="18"/>
      <c r="I685" s="18"/>
      <c r="J685" s="18"/>
      <c r="K685" s="18"/>
      <c r="L685" s="18"/>
      <c r="M685" s="18"/>
      <c r="N685" s="18"/>
      <c r="O685" s="18"/>
      <c r="P685" s="18"/>
      <c r="Q685" s="18"/>
      <c r="R685" s="18"/>
      <c r="S685" s="18"/>
      <c r="T685" s="18"/>
      <c r="U685" s="18"/>
    </row>
    <row r="686" spans="1:21" x14ac:dyDescent="0.35">
      <c r="A686" s="18"/>
      <c r="B686" s="18"/>
      <c r="C686" s="18"/>
      <c r="D686" s="18"/>
      <c r="E686" s="18"/>
      <c r="F686" s="18"/>
      <c r="G686" s="18"/>
      <c r="H686" s="18"/>
      <c r="I686" s="18"/>
      <c r="J686" s="18"/>
      <c r="K686" s="18"/>
      <c r="L686" s="18"/>
      <c r="M686" s="18"/>
      <c r="N686" s="18"/>
      <c r="O686" s="18"/>
      <c r="P686" s="18"/>
      <c r="Q686" s="18"/>
      <c r="R686" s="18"/>
      <c r="S686" s="18"/>
      <c r="T686" s="18"/>
      <c r="U686" s="18"/>
    </row>
    <row r="687" spans="1:21" x14ac:dyDescent="0.35">
      <c r="A687" s="18"/>
      <c r="B687" s="18"/>
      <c r="C687" s="18"/>
      <c r="D687" s="18"/>
      <c r="E687" s="18"/>
      <c r="F687" s="18"/>
      <c r="G687" s="18"/>
      <c r="H687" s="18"/>
      <c r="I687" s="18"/>
      <c r="J687" s="18"/>
      <c r="K687" s="18"/>
      <c r="L687" s="18"/>
      <c r="M687" s="18"/>
      <c r="N687" s="18"/>
      <c r="O687" s="18"/>
      <c r="P687" s="18"/>
      <c r="Q687" s="18"/>
      <c r="R687" s="18"/>
      <c r="S687" s="18"/>
      <c r="T687" s="18"/>
      <c r="U687" s="18"/>
    </row>
    <row r="688" spans="1:21" x14ac:dyDescent="0.35">
      <c r="A688" s="18"/>
      <c r="B688" s="18"/>
      <c r="C688" s="18"/>
      <c r="D688" s="18"/>
      <c r="E688" s="18"/>
      <c r="F688" s="18"/>
      <c r="G688" s="18"/>
      <c r="H688" s="18"/>
      <c r="I688" s="18"/>
      <c r="J688" s="18"/>
      <c r="K688" s="18"/>
      <c r="L688" s="18"/>
      <c r="M688" s="18"/>
      <c r="N688" s="18"/>
      <c r="O688" s="18"/>
      <c r="P688" s="18"/>
      <c r="Q688" s="18"/>
      <c r="R688" s="18"/>
      <c r="S688" s="18"/>
      <c r="T688" s="18"/>
      <c r="U688" s="18"/>
    </row>
    <row r="689" spans="1:21" x14ac:dyDescent="0.35">
      <c r="A689" s="18"/>
      <c r="B689" s="18"/>
      <c r="C689" s="18"/>
      <c r="D689" s="18"/>
      <c r="E689" s="18"/>
      <c r="F689" s="18"/>
      <c r="G689" s="18"/>
      <c r="H689" s="18"/>
      <c r="I689" s="18"/>
      <c r="J689" s="18"/>
      <c r="K689" s="18"/>
      <c r="L689" s="18"/>
      <c r="M689" s="18"/>
      <c r="N689" s="18"/>
      <c r="O689" s="18"/>
      <c r="P689" s="18"/>
      <c r="Q689" s="18"/>
      <c r="R689" s="18"/>
      <c r="S689" s="18"/>
      <c r="T689" s="18"/>
      <c r="U689" s="18"/>
    </row>
    <row r="690" spans="1:21" x14ac:dyDescent="0.35">
      <c r="A690" s="18"/>
      <c r="B690" s="18"/>
      <c r="C690" s="18"/>
      <c r="D690" s="18"/>
      <c r="E690" s="18"/>
      <c r="F690" s="18"/>
      <c r="G690" s="18"/>
      <c r="H690" s="18"/>
      <c r="I690" s="18"/>
      <c r="J690" s="18"/>
      <c r="K690" s="18"/>
      <c r="L690" s="18"/>
      <c r="M690" s="18"/>
      <c r="N690" s="18"/>
      <c r="O690" s="18"/>
      <c r="P690" s="18"/>
      <c r="Q690" s="18"/>
      <c r="R690" s="18"/>
      <c r="S690" s="18"/>
      <c r="T690" s="18"/>
      <c r="U690" s="18"/>
    </row>
    <row r="691" spans="1:21" x14ac:dyDescent="0.35">
      <c r="A691" s="18"/>
      <c r="B691" s="18"/>
      <c r="C691" s="18"/>
      <c r="D691" s="18"/>
      <c r="E691" s="18"/>
      <c r="F691" s="18"/>
      <c r="G691" s="18"/>
      <c r="H691" s="18"/>
      <c r="I691" s="18"/>
      <c r="J691" s="18"/>
      <c r="K691" s="18"/>
      <c r="L691" s="18"/>
      <c r="M691" s="18"/>
      <c r="N691" s="18"/>
      <c r="O691" s="18"/>
      <c r="P691" s="18"/>
      <c r="Q691" s="18"/>
      <c r="R691" s="18"/>
      <c r="S691" s="18"/>
      <c r="T691" s="18"/>
      <c r="U691" s="18"/>
    </row>
    <row r="692" spans="1:21" x14ac:dyDescent="0.35">
      <c r="A692" s="18"/>
      <c r="B692" s="18"/>
      <c r="C692" s="18"/>
      <c r="D692" s="18"/>
      <c r="E692" s="18"/>
      <c r="F692" s="18"/>
      <c r="G692" s="18"/>
      <c r="H692" s="18"/>
      <c r="I692" s="18"/>
      <c r="J692" s="18"/>
      <c r="K692" s="18"/>
      <c r="L692" s="18"/>
      <c r="M692" s="18"/>
      <c r="N692" s="18"/>
      <c r="O692" s="18"/>
      <c r="P692" s="18"/>
      <c r="Q692" s="18"/>
      <c r="R692" s="18"/>
      <c r="S692" s="18"/>
      <c r="T692" s="18"/>
      <c r="U692" s="18"/>
    </row>
    <row r="693" spans="1:21" x14ac:dyDescent="0.35">
      <c r="A693" s="18"/>
      <c r="B693" s="18"/>
      <c r="C693" s="18"/>
      <c r="D693" s="18"/>
      <c r="E693" s="18"/>
      <c r="F693" s="18"/>
      <c r="G693" s="18"/>
      <c r="H693" s="18"/>
      <c r="I693" s="18"/>
      <c r="J693" s="18"/>
      <c r="K693" s="18"/>
      <c r="L693" s="18"/>
      <c r="M693" s="18"/>
      <c r="N693" s="18"/>
      <c r="O693" s="18"/>
      <c r="P693" s="18"/>
      <c r="Q693" s="18"/>
      <c r="R693" s="18"/>
      <c r="S693" s="18"/>
      <c r="T693" s="18"/>
      <c r="U693" s="18"/>
    </row>
    <row r="694" spans="1:21" x14ac:dyDescent="0.35">
      <c r="A694" s="18"/>
      <c r="B694" s="18"/>
      <c r="C694" s="18"/>
      <c r="D694" s="18"/>
      <c r="E694" s="18"/>
      <c r="F694" s="18"/>
      <c r="G694" s="18"/>
      <c r="H694" s="18"/>
      <c r="I694" s="18"/>
      <c r="J694" s="18"/>
      <c r="K694" s="18"/>
      <c r="L694" s="18"/>
      <c r="M694" s="18"/>
      <c r="N694" s="18"/>
      <c r="O694" s="18"/>
      <c r="P694" s="18"/>
      <c r="Q694" s="18"/>
      <c r="R694" s="18"/>
      <c r="S694" s="18"/>
      <c r="T694" s="18"/>
      <c r="U694" s="18"/>
    </row>
    <row r="695" spans="1:21" x14ac:dyDescent="0.35">
      <c r="A695" s="18"/>
      <c r="B695" s="18"/>
      <c r="C695" s="18"/>
      <c r="D695" s="18"/>
      <c r="E695" s="18"/>
      <c r="F695" s="18"/>
      <c r="G695" s="18"/>
      <c r="H695" s="18"/>
      <c r="I695" s="18"/>
      <c r="J695" s="18"/>
      <c r="K695" s="18"/>
      <c r="L695" s="18"/>
      <c r="M695" s="18"/>
      <c r="N695" s="18"/>
      <c r="O695" s="18"/>
      <c r="P695" s="18"/>
      <c r="Q695" s="18"/>
      <c r="R695" s="18"/>
      <c r="S695" s="18"/>
      <c r="T695" s="18"/>
      <c r="U695" s="18"/>
    </row>
    <row r="696" spans="1:21" x14ac:dyDescent="0.35">
      <c r="A696" s="18"/>
      <c r="B696" s="18"/>
      <c r="C696" s="18"/>
      <c r="D696" s="18"/>
      <c r="E696" s="18"/>
      <c r="F696" s="18"/>
      <c r="G696" s="18"/>
      <c r="H696" s="18"/>
      <c r="I696" s="18"/>
      <c r="J696" s="18"/>
      <c r="K696" s="18"/>
      <c r="L696" s="18"/>
      <c r="M696" s="18"/>
      <c r="N696" s="18"/>
      <c r="O696" s="18"/>
      <c r="P696" s="18"/>
      <c r="Q696" s="18"/>
      <c r="R696" s="18"/>
      <c r="S696" s="18"/>
      <c r="T696" s="18"/>
      <c r="U696" s="18"/>
    </row>
    <row r="697" spans="1:21" x14ac:dyDescent="0.35">
      <c r="A697" s="18"/>
      <c r="B697" s="18"/>
      <c r="C697" s="18"/>
      <c r="D697" s="18"/>
      <c r="E697" s="18"/>
      <c r="F697" s="18"/>
      <c r="G697" s="18"/>
      <c r="H697" s="18"/>
      <c r="I697" s="18"/>
      <c r="J697" s="18"/>
      <c r="K697" s="18"/>
      <c r="L697" s="18"/>
      <c r="M697" s="18"/>
      <c r="N697" s="18"/>
      <c r="O697" s="18"/>
      <c r="P697" s="18"/>
      <c r="Q697" s="18"/>
      <c r="R697" s="18"/>
      <c r="S697" s="18"/>
      <c r="T697" s="18"/>
      <c r="U697" s="18"/>
    </row>
    <row r="698" spans="1:21" x14ac:dyDescent="0.35">
      <c r="A698" s="18"/>
      <c r="B698" s="18"/>
      <c r="C698" s="18"/>
      <c r="D698" s="18"/>
      <c r="E698" s="18"/>
      <c r="F698" s="18"/>
      <c r="G698" s="18"/>
      <c r="H698" s="18"/>
      <c r="I698" s="18"/>
      <c r="J698" s="18"/>
      <c r="K698" s="18"/>
      <c r="L698" s="18"/>
      <c r="M698" s="18"/>
      <c r="N698" s="18"/>
      <c r="O698" s="18"/>
      <c r="P698" s="18"/>
      <c r="Q698" s="18"/>
      <c r="R698" s="18"/>
      <c r="S698" s="18"/>
      <c r="T698" s="18"/>
      <c r="U698" s="18"/>
    </row>
    <row r="699" spans="1:21" x14ac:dyDescent="0.35">
      <c r="A699" s="18"/>
      <c r="B699" s="18"/>
      <c r="C699" s="18"/>
      <c r="D699" s="18"/>
      <c r="E699" s="18"/>
      <c r="F699" s="18"/>
      <c r="G699" s="18"/>
      <c r="H699" s="18"/>
      <c r="I699" s="18"/>
      <c r="J699" s="18"/>
      <c r="K699" s="18"/>
      <c r="L699" s="18"/>
      <c r="M699" s="18"/>
      <c r="N699" s="18"/>
      <c r="O699" s="18"/>
      <c r="P699" s="18"/>
      <c r="Q699" s="18"/>
      <c r="R699" s="18"/>
      <c r="S699" s="18"/>
      <c r="T699" s="18"/>
      <c r="U699" s="18"/>
    </row>
    <row r="700" spans="1:21" x14ac:dyDescent="0.35">
      <c r="A700" s="18"/>
      <c r="B700" s="18"/>
      <c r="C700" s="18"/>
      <c r="D700" s="18"/>
      <c r="E700" s="18"/>
      <c r="F700" s="18"/>
      <c r="G700" s="18"/>
      <c r="H700" s="18"/>
      <c r="I700" s="18"/>
      <c r="J700" s="18"/>
      <c r="K700" s="18"/>
      <c r="L700" s="18"/>
      <c r="M700" s="18"/>
      <c r="N700" s="18"/>
      <c r="O700" s="18"/>
      <c r="P700" s="18"/>
      <c r="Q700" s="18"/>
      <c r="R700" s="18"/>
      <c r="S700" s="18"/>
      <c r="T700" s="18"/>
      <c r="U700" s="18"/>
    </row>
    <row r="701" spans="1:21" x14ac:dyDescent="0.35">
      <c r="A701" s="18"/>
      <c r="B701" s="18"/>
      <c r="C701" s="18"/>
      <c r="D701" s="18"/>
      <c r="E701" s="18"/>
      <c r="F701" s="18"/>
      <c r="G701" s="18"/>
      <c r="H701" s="18"/>
      <c r="I701" s="18"/>
      <c r="J701" s="18"/>
      <c r="K701" s="18"/>
      <c r="L701" s="18"/>
      <c r="M701" s="18"/>
      <c r="N701" s="18"/>
      <c r="O701" s="18"/>
      <c r="P701" s="18"/>
      <c r="Q701" s="18"/>
      <c r="R701" s="18"/>
      <c r="S701" s="18"/>
      <c r="T701" s="18"/>
      <c r="U701" s="18"/>
    </row>
    <row r="702" spans="1:21" x14ac:dyDescent="0.35">
      <c r="A702" s="18"/>
      <c r="B702" s="18"/>
      <c r="C702" s="18"/>
      <c r="D702" s="18"/>
      <c r="E702" s="18"/>
      <c r="F702" s="18"/>
      <c r="G702" s="18"/>
      <c r="H702" s="18"/>
      <c r="I702" s="18"/>
      <c r="J702" s="18"/>
      <c r="K702" s="18"/>
      <c r="L702" s="18"/>
      <c r="M702" s="18"/>
      <c r="N702" s="18"/>
      <c r="O702" s="18"/>
      <c r="P702" s="18"/>
      <c r="Q702" s="18"/>
      <c r="R702" s="18"/>
      <c r="S702" s="18"/>
      <c r="T702" s="18"/>
      <c r="U702" s="18"/>
    </row>
    <row r="703" spans="1:21" x14ac:dyDescent="0.35">
      <c r="A703" s="18"/>
      <c r="B703" s="18"/>
      <c r="C703" s="18"/>
      <c r="D703" s="18"/>
      <c r="E703" s="18"/>
      <c r="F703" s="18"/>
      <c r="G703" s="18"/>
      <c r="H703" s="18"/>
      <c r="I703" s="18"/>
      <c r="J703" s="18"/>
      <c r="K703" s="18"/>
      <c r="L703" s="18"/>
      <c r="M703" s="18"/>
      <c r="N703" s="18"/>
      <c r="O703" s="18"/>
      <c r="P703" s="18"/>
      <c r="Q703" s="18"/>
      <c r="R703" s="18"/>
      <c r="S703" s="18"/>
      <c r="T703" s="18"/>
      <c r="U703" s="18"/>
    </row>
    <row r="704" spans="1:21" x14ac:dyDescent="0.35">
      <c r="A704" s="18"/>
      <c r="B704" s="18"/>
      <c r="C704" s="18"/>
      <c r="D704" s="18"/>
      <c r="E704" s="18"/>
      <c r="F704" s="18"/>
      <c r="G704" s="18"/>
      <c r="H704" s="18"/>
      <c r="I704" s="18"/>
      <c r="J704" s="18"/>
      <c r="K704" s="18"/>
      <c r="L704" s="18"/>
      <c r="M704" s="18"/>
      <c r="N704" s="18"/>
      <c r="O704" s="18"/>
      <c r="P704" s="18"/>
      <c r="Q704" s="18"/>
      <c r="R704" s="18"/>
      <c r="S704" s="18"/>
      <c r="T704" s="18"/>
      <c r="U704" s="18"/>
    </row>
    <row r="705" spans="1:21" x14ac:dyDescent="0.35">
      <c r="A705" s="18"/>
      <c r="B705" s="18"/>
      <c r="C705" s="18"/>
      <c r="D705" s="18"/>
      <c r="E705" s="18"/>
      <c r="F705" s="18"/>
      <c r="G705" s="18"/>
      <c r="H705" s="18"/>
      <c r="I705" s="18"/>
      <c r="J705" s="18"/>
      <c r="K705" s="18"/>
      <c r="L705" s="18"/>
      <c r="M705" s="18"/>
      <c r="N705" s="18"/>
      <c r="O705" s="18"/>
      <c r="P705" s="18"/>
      <c r="Q705" s="18"/>
      <c r="R705" s="18"/>
      <c r="S705" s="18"/>
      <c r="T705" s="18"/>
      <c r="U705" s="18"/>
    </row>
    <row r="706" spans="1:21" x14ac:dyDescent="0.35">
      <c r="A706" s="18"/>
      <c r="B706" s="18"/>
      <c r="C706" s="18"/>
      <c r="D706" s="18"/>
      <c r="E706" s="18"/>
      <c r="F706" s="18"/>
      <c r="G706" s="18"/>
      <c r="H706" s="18"/>
      <c r="I706" s="18"/>
      <c r="J706" s="18"/>
      <c r="K706" s="18"/>
      <c r="L706" s="18"/>
      <c r="M706" s="18"/>
      <c r="N706" s="18"/>
      <c r="O706" s="18"/>
      <c r="P706" s="18"/>
      <c r="Q706" s="18"/>
      <c r="R706" s="18"/>
      <c r="S706" s="18"/>
      <c r="T706" s="18"/>
      <c r="U706" s="18"/>
    </row>
    <row r="707" spans="1:21" x14ac:dyDescent="0.35">
      <c r="A707" s="18"/>
      <c r="B707" s="18"/>
      <c r="C707" s="18"/>
      <c r="D707" s="18"/>
      <c r="E707" s="18"/>
      <c r="F707" s="18"/>
      <c r="G707" s="18"/>
      <c r="H707" s="18"/>
      <c r="I707" s="18"/>
      <c r="J707" s="18"/>
      <c r="K707" s="18"/>
      <c r="L707" s="18"/>
      <c r="M707" s="18"/>
      <c r="N707" s="18"/>
      <c r="O707" s="18"/>
      <c r="P707" s="18"/>
      <c r="Q707" s="18"/>
      <c r="R707" s="18"/>
      <c r="S707" s="18"/>
      <c r="T707" s="18"/>
      <c r="U707" s="18"/>
    </row>
    <row r="708" spans="1:21" x14ac:dyDescent="0.35">
      <c r="A708" s="18"/>
      <c r="B708" s="18"/>
      <c r="C708" s="18"/>
      <c r="D708" s="18"/>
      <c r="E708" s="18"/>
      <c r="F708" s="18"/>
      <c r="G708" s="18"/>
      <c r="H708" s="18"/>
      <c r="I708" s="18"/>
      <c r="J708" s="18"/>
      <c r="K708" s="18"/>
      <c r="L708" s="18"/>
      <c r="M708" s="18"/>
      <c r="N708" s="18"/>
      <c r="O708" s="18"/>
      <c r="P708" s="18"/>
      <c r="Q708" s="18"/>
      <c r="R708" s="18"/>
      <c r="S708" s="18"/>
      <c r="T708" s="18"/>
      <c r="U708" s="18"/>
    </row>
    <row r="709" spans="1:21" x14ac:dyDescent="0.35">
      <c r="A709" s="18"/>
      <c r="B709" s="18"/>
      <c r="C709" s="18"/>
      <c r="D709" s="18"/>
      <c r="E709" s="18"/>
      <c r="F709" s="18"/>
      <c r="G709" s="18"/>
      <c r="H709" s="18"/>
      <c r="I709" s="18"/>
      <c r="J709" s="18"/>
      <c r="K709" s="18"/>
      <c r="L709" s="18"/>
      <c r="M709" s="18"/>
      <c r="N709" s="18"/>
      <c r="O709" s="18"/>
      <c r="P709" s="18"/>
      <c r="Q709" s="18"/>
      <c r="R709" s="18"/>
      <c r="S709" s="18"/>
      <c r="T709" s="18"/>
      <c r="U709" s="18"/>
    </row>
    <row r="710" spans="1:21" x14ac:dyDescent="0.35">
      <c r="A710" s="18"/>
      <c r="B710" s="18"/>
      <c r="C710" s="18"/>
      <c r="D710" s="18"/>
      <c r="E710" s="18"/>
      <c r="F710" s="18"/>
      <c r="G710" s="18"/>
      <c r="H710" s="18"/>
      <c r="I710" s="18"/>
      <c r="J710" s="18"/>
      <c r="K710" s="18"/>
      <c r="L710" s="18"/>
      <c r="M710" s="18"/>
      <c r="N710" s="18"/>
      <c r="O710" s="18"/>
      <c r="P710" s="18"/>
      <c r="Q710" s="18"/>
      <c r="R710" s="18"/>
      <c r="S710" s="18"/>
      <c r="T710" s="18"/>
      <c r="U710" s="18"/>
    </row>
    <row r="711" spans="1:21" x14ac:dyDescent="0.35">
      <c r="A711" s="18"/>
      <c r="B711" s="18"/>
      <c r="C711" s="18"/>
      <c r="D711" s="18"/>
      <c r="E711" s="18"/>
      <c r="F711" s="18"/>
      <c r="G711" s="18"/>
      <c r="H711" s="18"/>
      <c r="I711" s="18"/>
      <c r="J711" s="18"/>
      <c r="K711" s="18"/>
      <c r="L711" s="18"/>
      <c r="M711" s="18"/>
      <c r="N711" s="18"/>
      <c r="O711" s="18"/>
      <c r="P711" s="18"/>
      <c r="Q711" s="18"/>
      <c r="R711" s="18"/>
      <c r="S711" s="18"/>
      <c r="T711" s="18"/>
      <c r="U711" s="18"/>
    </row>
    <row r="712" spans="1:21" x14ac:dyDescent="0.35">
      <c r="A712" s="18"/>
      <c r="B712" s="18"/>
      <c r="C712" s="18"/>
      <c r="D712" s="18"/>
      <c r="E712" s="18"/>
      <c r="F712" s="18"/>
      <c r="G712" s="18"/>
      <c r="H712" s="18"/>
      <c r="I712" s="18"/>
      <c r="J712" s="18"/>
      <c r="K712" s="18"/>
      <c r="L712" s="18"/>
      <c r="M712" s="18"/>
      <c r="N712" s="18"/>
      <c r="O712" s="18"/>
      <c r="P712" s="18"/>
      <c r="Q712" s="18"/>
      <c r="R712" s="18"/>
      <c r="S712" s="18"/>
      <c r="T712" s="18"/>
      <c r="U712" s="18"/>
    </row>
    <row r="713" spans="1:21" x14ac:dyDescent="0.35">
      <c r="A713" s="18"/>
      <c r="B713" s="18"/>
      <c r="C713" s="18"/>
      <c r="D713" s="18"/>
      <c r="E713" s="18"/>
      <c r="F713" s="18"/>
      <c r="G713" s="18"/>
      <c r="H713" s="18"/>
      <c r="I713" s="18"/>
      <c r="J713" s="18"/>
      <c r="K713" s="18"/>
      <c r="L713" s="18"/>
      <c r="M713" s="18"/>
      <c r="N713" s="18"/>
      <c r="O713" s="18"/>
      <c r="P713" s="18"/>
      <c r="Q713" s="18"/>
      <c r="R713" s="18"/>
      <c r="S713" s="18"/>
      <c r="T713" s="18"/>
      <c r="U713" s="18"/>
    </row>
    <row r="714" spans="1:21" x14ac:dyDescent="0.35">
      <c r="A714" s="18"/>
      <c r="B714" s="18"/>
      <c r="C714" s="18"/>
      <c r="D714" s="18"/>
      <c r="E714" s="18"/>
      <c r="F714" s="18"/>
      <c r="G714" s="18"/>
      <c r="H714" s="18"/>
      <c r="I714" s="18"/>
      <c r="J714" s="18"/>
      <c r="K714" s="18"/>
      <c r="L714" s="18"/>
      <c r="M714" s="18"/>
      <c r="N714" s="18"/>
      <c r="O714" s="18"/>
      <c r="P714" s="18"/>
      <c r="Q714" s="18"/>
      <c r="R714" s="18"/>
      <c r="S714" s="18"/>
      <c r="T714" s="18"/>
      <c r="U714" s="18"/>
    </row>
    <row r="715" spans="1:21" x14ac:dyDescent="0.35">
      <c r="A715" s="18"/>
      <c r="B715" s="18"/>
      <c r="C715" s="18"/>
      <c r="D715" s="18"/>
      <c r="E715" s="18"/>
      <c r="F715" s="18"/>
      <c r="G715" s="18"/>
      <c r="H715" s="18"/>
      <c r="I715" s="18"/>
      <c r="J715" s="18"/>
      <c r="K715" s="18"/>
      <c r="L715" s="18"/>
      <c r="M715" s="18"/>
      <c r="N715" s="18"/>
      <c r="O715" s="18"/>
      <c r="P715" s="18"/>
      <c r="Q715" s="18"/>
      <c r="R715" s="18"/>
      <c r="S715" s="18"/>
      <c r="T715" s="18"/>
      <c r="U715" s="18"/>
    </row>
    <row r="716" spans="1:21" x14ac:dyDescent="0.35">
      <c r="A716" s="18"/>
      <c r="B716" s="18"/>
      <c r="C716" s="18"/>
      <c r="D716" s="18"/>
      <c r="E716" s="18"/>
      <c r="F716" s="18"/>
      <c r="G716" s="18"/>
      <c r="H716" s="18"/>
      <c r="I716" s="18"/>
      <c r="J716" s="18"/>
      <c r="K716" s="18"/>
      <c r="L716" s="18"/>
      <c r="M716" s="18"/>
      <c r="N716" s="18"/>
      <c r="O716" s="18"/>
      <c r="P716" s="18"/>
      <c r="Q716" s="18"/>
      <c r="R716" s="18"/>
      <c r="S716" s="18"/>
      <c r="T716" s="18"/>
      <c r="U716" s="18"/>
    </row>
    <row r="717" spans="1:21" x14ac:dyDescent="0.35">
      <c r="A717" s="18"/>
      <c r="B717" s="18"/>
      <c r="C717" s="18"/>
      <c r="D717" s="18"/>
      <c r="E717" s="18"/>
      <c r="F717" s="18"/>
      <c r="G717" s="18"/>
      <c r="H717" s="18"/>
      <c r="I717" s="18"/>
      <c r="J717" s="18"/>
      <c r="K717" s="18"/>
      <c r="L717" s="18"/>
      <c r="M717" s="18"/>
      <c r="N717" s="18"/>
      <c r="O717" s="18"/>
      <c r="P717" s="18"/>
      <c r="Q717" s="18"/>
      <c r="R717" s="18"/>
      <c r="S717" s="18"/>
      <c r="T717" s="18"/>
      <c r="U717" s="18"/>
    </row>
    <row r="718" spans="1:21" x14ac:dyDescent="0.35">
      <c r="A718" s="18"/>
      <c r="B718" s="18"/>
      <c r="C718" s="18"/>
      <c r="D718" s="18"/>
      <c r="E718" s="18"/>
      <c r="F718" s="18"/>
      <c r="G718" s="18"/>
      <c r="H718" s="18"/>
      <c r="I718" s="18"/>
      <c r="J718" s="18"/>
      <c r="K718" s="18"/>
      <c r="L718" s="18"/>
      <c r="M718" s="18"/>
      <c r="N718" s="18"/>
      <c r="O718" s="18"/>
      <c r="P718" s="18"/>
      <c r="Q718" s="18"/>
      <c r="R718" s="18"/>
      <c r="S718" s="18"/>
      <c r="T718" s="18"/>
      <c r="U718" s="18"/>
    </row>
    <row r="719" spans="1:21" x14ac:dyDescent="0.35">
      <c r="A719" s="18"/>
      <c r="B719" s="18"/>
      <c r="C719" s="18"/>
      <c r="D719" s="18"/>
      <c r="E719" s="18"/>
      <c r="F719" s="18"/>
      <c r="G719" s="18"/>
      <c r="H719" s="18"/>
      <c r="I719" s="18"/>
      <c r="J719" s="18"/>
      <c r="K719" s="18"/>
      <c r="L719" s="18"/>
      <c r="M719" s="18"/>
      <c r="N719" s="18"/>
      <c r="O719" s="18"/>
      <c r="P719" s="18"/>
      <c r="Q719" s="18"/>
      <c r="R719" s="18"/>
      <c r="S719" s="18"/>
      <c r="T719" s="18"/>
      <c r="U719" s="18"/>
    </row>
    <row r="720" spans="1:21" x14ac:dyDescent="0.35">
      <c r="A720" s="18"/>
      <c r="B720" s="18"/>
      <c r="C720" s="18"/>
      <c r="D720" s="18"/>
      <c r="E720" s="18"/>
      <c r="F720" s="18"/>
      <c r="G720" s="18"/>
      <c r="H720" s="18"/>
      <c r="I720" s="18"/>
      <c r="J720" s="18"/>
      <c r="K720" s="18"/>
      <c r="L720" s="18"/>
      <c r="M720" s="18"/>
      <c r="N720" s="18"/>
      <c r="O720" s="18"/>
      <c r="P720" s="18"/>
      <c r="Q720" s="18"/>
      <c r="R720" s="18"/>
      <c r="S720" s="18"/>
      <c r="T720" s="18"/>
      <c r="U720" s="18"/>
    </row>
    <row r="721" spans="1:21" x14ac:dyDescent="0.35">
      <c r="A721" s="18"/>
      <c r="B721" s="18"/>
      <c r="C721" s="18"/>
      <c r="D721" s="18"/>
      <c r="E721" s="18"/>
      <c r="F721" s="18"/>
      <c r="G721" s="18"/>
      <c r="H721" s="18"/>
      <c r="I721" s="18"/>
      <c r="J721" s="18"/>
      <c r="K721" s="18"/>
      <c r="L721" s="18"/>
      <c r="M721" s="18"/>
      <c r="N721" s="18"/>
      <c r="O721" s="18"/>
      <c r="P721" s="18"/>
      <c r="Q721" s="18"/>
      <c r="R721" s="18"/>
      <c r="S721" s="18"/>
      <c r="T721" s="18"/>
      <c r="U721" s="18"/>
    </row>
    <row r="722" spans="1:21" x14ac:dyDescent="0.35">
      <c r="A722" s="18"/>
      <c r="B722" s="18"/>
      <c r="C722" s="18"/>
      <c r="D722" s="18"/>
      <c r="E722" s="18"/>
      <c r="F722" s="18"/>
      <c r="G722" s="18"/>
      <c r="H722" s="18"/>
      <c r="I722" s="18"/>
      <c r="J722" s="18"/>
      <c r="K722" s="18"/>
      <c r="L722" s="18"/>
      <c r="M722" s="18"/>
      <c r="N722" s="18"/>
      <c r="O722" s="18"/>
      <c r="P722" s="18"/>
      <c r="Q722" s="18"/>
      <c r="R722" s="18"/>
      <c r="S722" s="18"/>
      <c r="T722" s="18"/>
      <c r="U722" s="18"/>
    </row>
    <row r="723" spans="1:21" x14ac:dyDescent="0.35">
      <c r="A723" s="18"/>
      <c r="B723" s="18"/>
      <c r="C723" s="18"/>
      <c r="D723" s="18"/>
      <c r="E723" s="18"/>
      <c r="F723" s="18"/>
      <c r="G723" s="18"/>
      <c r="H723" s="18"/>
      <c r="I723" s="18"/>
      <c r="J723" s="18"/>
      <c r="K723" s="18"/>
      <c r="L723" s="18"/>
      <c r="M723" s="18"/>
      <c r="N723" s="18"/>
      <c r="O723" s="18"/>
      <c r="P723" s="18"/>
      <c r="Q723" s="18"/>
      <c r="R723" s="18"/>
      <c r="S723" s="18"/>
      <c r="T723" s="18"/>
      <c r="U723" s="18"/>
    </row>
    <row r="724" spans="1:21" x14ac:dyDescent="0.35">
      <c r="A724" s="18"/>
      <c r="B724" s="18"/>
      <c r="C724" s="18"/>
      <c r="D724" s="18"/>
      <c r="E724" s="18"/>
      <c r="F724" s="18"/>
      <c r="G724" s="18"/>
      <c r="H724" s="18"/>
      <c r="I724" s="18"/>
      <c r="J724" s="18"/>
      <c r="K724" s="18"/>
      <c r="L724" s="18"/>
      <c r="M724" s="18"/>
      <c r="N724" s="18"/>
      <c r="O724" s="18"/>
      <c r="P724" s="18"/>
      <c r="Q724" s="18"/>
      <c r="R724" s="18"/>
      <c r="S724" s="18"/>
      <c r="T724" s="18"/>
      <c r="U724" s="18"/>
    </row>
    <row r="725" spans="1:21" x14ac:dyDescent="0.35">
      <c r="A725" s="18"/>
      <c r="B725" s="18"/>
      <c r="C725" s="18"/>
      <c r="D725" s="18"/>
      <c r="E725" s="18"/>
      <c r="F725" s="18"/>
      <c r="G725" s="18"/>
      <c r="H725" s="18"/>
      <c r="I725" s="18"/>
      <c r="J725" s="18"/>
      <c r="K725" s="18"/>
      <c r="L725" s="18"/>
      <c r="M725" s="18"/>
      <c r="N725" s="18"/>
      <c r="O725" s="18"/>
      <c r="P725" s="18"/>
      <c r="Q725" s="18"/>
      <c r="R725" s="18"/>
      <c r="S725" s="18"/>
      <c r="T725" s="18"/>
      <c r="U725" s="18"/>
    </row>
    <row r="726" spans="1:21" x14ac:dyDescent="0.35">
      <c r="A726" s="18"/>
      <c r="B726" s="18"/>
      <c r="C726" s="18"/>
      <c r="D726" s="18"/>
      <c r="E726" s="18"/>
      <c r="F726" s="18"/>
      <c r="G726" s="18"/>
      <c r="H726" s="18"/>
      <c r="I726" s="18"/>
      <c r="J726" s="18"/>
      <c r="K726" s="18"/>
      <c r="L726" s="18"/>
      <c r="M726" s="18"/>
      <c r="N726" s="18"/>
      <c r="O726" s="18"/>
      <c r="P726" s="18"/>
      <c r="Q726" s="18"/>
      <c r="R726" s="18"/>
      <c r="S726" s="18"/>
      <c r="T726" s="18"/>
      <c r="U726" s="18"/>
    </row>
    <row r="727" spans="1:21" x14ac:dyDescent="0.35">
      <c r="A727" s="18"/>
      <c r="B727" s="18"/>
      <c r="C727" s="18"/>
      <c r="D727" s="18"/>
      <c r="E727" s="18"/>
      <c r="F727" s="18"/>
      <c r="G727" s="18"/>
      <c r="H727" s="18"/>
      <c r="I727" s="18"/>
      <c r="J727" s="18"/>
      <c r="K727" s="18"/>
      <c r="L727" s="18"/>
      <c r="M727" s="18"/>
      <c r="N727" s="18"/>
      <c r="O727" s="18"/>
      <c r="P727" s="18"/>
      <c r="Q727" s="18"/>
      <c r="R727" s="18"/>
      <c r="S727" s="18"/>
      <c r="T727" s="18"/>
      <c r="U727" s="18"/>
    </row>
    <row r="728" spans="1:21" x14ac:dyDescent="0.35">
      <c r="A728" s="18"/>
      <c r="B728" s="18"/>
      <c r="C728" s="18"/>
      <c r="D728" s="18"/>
      <c r="E728" s="18"/>
      <c r="F728" s="18"/>
      <c r="G728" s="18"/>
      <c r="H728" s="18"/>
      <c r="I728" s="18"/>
      <c r="J728" s="18"/>
      <c r="K728" s="18"/>
      <c r="L728" s="18"/>
      <c r="M728" s="18"/>
      <c r="N728" s="18"/>
      <c r="O728" s="18"/>
      <c r="P728" s="18"/>
      <c r="Q728" s="18"/>
      <c r="R728" s="18"/>
      <c r="S728" s="18"/>
      <c r="T728" s="18"/>
      <c r="U728" s="18"/>
    </row>
    <row r="729" spans="1:21" x14ac:dyDescent="0.35">
      <c r="A729" s="18"/>
      <c r="B729" s="18"/>
      <c r="C729" s="18"/>
      <c r="D729" s="18"/>
      <c r="E729" s="18"/>
      <c r="F729" s="18"/>
      <c r="G729" s="18"/>
      <c r="H729" s="18"/>
      <c r="I729" s="18"/>
      <c r="J729" s="18"/>
      <c r="K729" s="18"/>
      <c r="L729" s="18"/>
      <c r="M729" s="18"/>
      <c r="N729" s="18"/>
      <c r="O729" s="18"/>
      <c r="P729" s="18"/>
      <c r="Q729" s="18"/>
      <c r="R729" s="18"/>
      <c r="S729" s="18"/>
      <c r="T729" s="18"/>
      <c r="U729" s="18"/>
    </row>
    <row r="730" spans="1:21" x14ac:dyDescent="0.35">
      <c r="A730" s="18"/>
      <c r="B730" s="18"/>
      <c r="C730" s="18"/>
      <c r="D730" s="18"/>
      <c r="E730" s="18"/>
      <c r="F730" s="18"/>
      <c r="G730" s="18"/>
      <c r="H730" s="18"/>
      <c r="I730" s="18"/>
      <c r="J730" s="18"/>
      <c r="K730" s="18"/>
      <c r="L730" s="18"/>
      <c r="M730" s="18"/>
      <c r="N730" s="18"/>
      <c r="O730" s="18"/>
      <c r="P730" s="18"/>
      <c r="Q730" s="18"/>
      <c r="R730" s="18"/>
      <c r="S730" s="18"/>
      <c r="T730" s="18"/>
      <c r="U730" s="18"/>
    </row>
    <row r="731" spans="1:21" x14ac:dyDescent="0.35">
      <c r="A731" s="18"/>
      <c r="B731" s="18"/>
      <c r="C731" s="18"/>
      <c r="D731" s="18"/>
      <c r="E731" s="18"/>
      <c r="F731" s="18"/>
      <c r="G731" s="18"/>
      <c r="H731" s="18"/>
      <c r="I731" s="18"/>
      <c r="J731" s="18"/>
      <c r="K731" s="18"/>
      <c r="L731" s="18"/>
      <c r="M731" s="18"/>
      <c r="N731" s="18"/>
      <c r="O731" s="18"/>
      <c r="P731" s="18"/>
      <c r="Q731" s="18"/>
      <c r="R731" s="18"/>
      <c r="S731" s="18"/>
      <c r="T731" s="18"/>
      <c r="U731" s="18"/>
    </row>
    <row r="732" spans="1:21" x14ac:dyDescent="0.35">
      <c r="A732" s="18"/>
      <c r="B732" s="18"/>
      <c r="C732" s="18"/>
      <c r="D732" s="18"/>
      <c r="E732" s="18"/>
      <c r="F732" s="18"/>
      <c r="G732" s="18"/>
      <c r="H732" s="18"/>
      <c r="I732" s="18"/>
      <c r="J732" s="18"/>
      <c r="K732" s="18"/>
      <c r="L732" s="18"/>
      <c r="M732" s="18"/>
      <c r="N732" s="18"/>
      <c r="O732" s="18"/>
      <c r="P732" s="18"/>
      <c r="Q732" s="18"/>
      <c r="R732" s="18"/>
      <c r="S732" s="18"/>
      <c r="T732" s="18"/>
      <c r="U732" s="18"/>
    </row>
    <row r="733" spans="1:21" x14ac:dyDescent="0.35">
      <c r="A733" s="18"/>
      <c r="B733" s="18"/>
      <c r="C733" s="18"/>
      <c r="D733" s="18"/>
      <c r="E733" s="18"/>
      <c r="F733" s="18"/>
      <c r="G733" s="18"/>
      <c r="H733" s="18"/>
      <c r="I733" s="18"/>
      <c r="J733" s="18"/>
      <c r="K733" s="18"/>
      <c r="L733" s="18"/>
      <c r="M733" s="18"/>
      <c r="N733" s="18"/>
      <c r="O733" s="18"/>
      <c r="P733" s="18"/>
      <c r="Q733" s="18"/>
      <c r="R733" s="18"/>
      <c r="S733" s="18"/>
      <c r="T733" s="18"/>
      <c r="U733" s="18"/>
    </row>
    <row r="734" spans="1:21" x14ac:dyDescent="0.35">
      <c r="A734" s="18"/>
      <c r="B734" s="18"/>
      <c r="C734" s="18"/>
      <c r="D734" s="18"/>
      <c r="E734" s="18"/>
      <c r="F734" s="18"/>
      <c r="G734" s="18"/>
      <c r="H734" s="18"/>
      <c r="I734" s="18"/>
      <c r="J734" s="18"/>
      <c r="K734" s="18"/>
      <c r="L734" s="18"/>
      <c r="M734" s="18"/>
      <c r="N734" s="18"/>
      <c r="O734" s="18"/>
      <c r="P734" s="18"/>
      <c r="Q734" s="18"/>
      <c r="R734" s="18"/>
      <c r="S734" s="18"/>
      <c r="T734" s="18"/>
      <c r="U734" s="18"/>
    </row>
    <row r="735" spans="1:21" x14ac:dyDescent="0.35">
      <c r="A735" s="18"/>
      <c r="B735" s="18"/>
      <c r="C735" s="18"/>
      <c r="D735" s="18"/>
      <c r="E735" s="18"/>
      <c r="F735" s="18"/>
      <c r="G735" s="18"/>
      <c r="H735" s="18"/>
      <c r="I735" s="18"/>
      <c r="J735" s="18"/>
      <c r="K735" s="18"/>
      <c r="L735" s="18"/>
      <c r="M735" s="18"/>
      <c r="N735" s="18"/>
      <c r="O735" s="18"/>
      <c r="P735" s="18"/>
      <c r="Q735" s="18"/>
      <c r="R735" s="18"/>
      <c r="S735" s="18"/>
      <c r="T735" s="18"/>
      <c r="U735" s="18"/>
    </row>
    <row r="736" spans="1:21" x14ac:dyDescent="0.35">
      <c r="A736" s="18"/>
      <c r="B736" s="18"/>
      <c r="C736" s="18"/>
      <c r="D736" s="18"/>
      <c r="E736" s="18"/>
      <c r="F736" s="18"/>
      <c r="G736" s="18"/>
      <c r="H736" s="18"/>
      <c r="I736" s="18"/>
      <c r="J736" s="18"/>
      <c r="K736" s="18"/>
      <c r="L736" s="18"/>
      <c r="M736" s="18"/>
      <c r="N736" s="18"/>
      <c r="O736" s="18"/>
      <c r="P736" s="18"/>
      <c r="Q736" s="18"/>
      <c r="R736" s="18"/>
      <c r="S736" s="18"/>
      <c r="T736" s="18"/>
      <c r="U736" s="18"/>
    </row>
    <row r="737" spans="1:21" x14ac:dyDescent="0.35">
      <c r="A737" s="18"/>
      <c r="B737" s="18"/>
      <c r="C737" s="18"/>
      <c r="D737" s="18"/>
      <c r="E737" s="18"/>
      <c r="F737" s="18"/>
      <c r="G737" s="18"/>
      <c r="H737" s="18"/>
      <c r="I737" s="18"/>
      <c r="J737" s="18"/>
      <c r="K737" s="18"/>
      <c r="L737" s="18"/>
      <c r="M737" s="18"/>
      <c r="N737" s="18"/>
      <c r="O737" s="18"/>
      <c r="P737" s="18"/>
      <c r="Q737" s="18"/>
      <c r="R737" s="18"/>
      <c r="S737" s="18"/>
      <c r="T737" s="18"/>
      <c r="U737" s="18"/>
    </row>
    <row r="738" spans="1:21" x14ac:dyDescent="0.35">
      <c r="A738" s="18"/>
      <c r="B738" s="18"/>
      <c r="C738" s="18"/>
      <c r="D738" s="18"/>
      <c r="E738" s="18"/>
      <c r="F738" s="18"/>
      <c r="G738" s="18"/>
      <c r="H738" s="18"/>
      <c r="I738" s="18"/>
      <c r="J738" s="18"/>
      <c r="K738" s="18"/>
      <c r="L738" s="18"/>
      <c r="M738" s="18"/>
      <c r="N738" s="18"/>
      <c r="O738" s="18"/>
      <c r="P738" s="18"/>
      <c r="Q738" s="18"/>
      <c r="R738" s="18"/>
      <c r="S738" s="18"/>
      <c r="T738" s="18"/>
      <c r="U738" s="18"/>
    </row>
    <row r="739" spans="1:21" x14ac:dyDescent="0.35">
      <c r="A739" s="18"/>
      <c r="B739" s="18"/>
      <c r="C739" s="18"/>
      <c r="D739" s="18"/>
      <c r="E739" s="18"/>
      <c r="F739" s="18"/>
      <c r="G739" s="18"/>
      <c r="H739" s="18"/>
      <c r="I739" s="18"/>
      <c r="J739" s="18"/>
      <c r="K739" s="18"/>
      <c r="L739" s="18"/>
      <c r="M739" s="18"/>
      <c r="N739" s="18"/>
      <c r="O739" s="18"/>
      <c r="P739" s="18"/>
      <c r="Q739" s="18"/>
      <c r="R739" s="18"/>
      <c r="S739" s="18"/>
      <c r="T739" s="18"/>
      <c r="U739" s="18"/>
    </row>
    <row r="740" spans="1:21" x14ac:dyDescent="0.35">
      <c r="A740" s="18"/>
      <c r="B740" s="18"/>
      <c r="C740" s="18"/>
      <c r="D740" s="18"/>
      <c r="E740" s="18"/>
      <c r="F740" s="18"/>
      <c r="G740" s="18"/>
      <c r="H740" s="18"/>
      <c r="I740" s="18"/>
      <c r="J740" s="18"/>
      <c r="K740" s="18"/>
      <c r="L740" s="18"/>
      <c r="M740" s="18"/>
      <c r="N740" s="18"/>
      <c r="O740" s="18"/>
      <c r="P740" s="18"/>
      <c r="Q740" s="18"/>
      <c r="R740" s="18"/>
      <c r="S740" s="18"/>
      <c r="T740" s="18"/>
      <c r="U740" s="18"/>
    </row>
    <row r="741" spans="1:21" x14ac:dyDescent="0.35">
      <c r="A741" s="18"/>
      <c r="B741" s="18"/>
      <c r="C741" s="18"/>
      <c r="D741" s="18"/>
      <c r="E741" s="18"/>
      <c r="F741" s="18"/>
      <c r="G741" s="18"/>
      <c r="H741" s="18"/>
      <c r="I741" s="18"/>
      <c r="J741" s="18"/>
      <c r="K741" s="18"/>
      <c r="L741" s="18"/>
      <c r="M741" s="18"/>
      <c r="N741" s="18"/>
      <c r="O741" s="18"/>
      <c r="P741" s="18"/>
      <c r="Q741" s="18"/>
      <c r="R741" s="18"/>
      <c r="S741" s="18"/>
      <c r="T741" s="18"/>
      <c r="U741" s="18"/>
    </row>
    <row r="742" spans="1:21" x14ac:dyDescent="0.35">
      <c r="A742" s="18"/>
      <c r="B742" s="18"/>
      <c r="C742" s="18"/>
      <c r="D742" s="18"/>
      <c r="E742" s="18"/>
      <c r="F742" s="18"/>
      <c r="G742" s="18"/>
      <c r="H742" s="18"/>
      <c r="I742" s="18"/>
      <c r="J742" s="18"/>
      <c r="K742" s="18"/>
      <c r="L742" s="18"/>
      <c r="M742" s="18"/>
      <c r="N742" s="18"/>
      <c r="O742" s="18"/>
      <c r="P742" s="18"/>
      <c r="Q742" s="18"/>
      <c r="R742" s="18"/>
      <c r="S742" s="18"/>
      <c r="T742" s="18"/>
      <c r="U742" s="18"/>
    </row>
    <row r="743" spans="1:21" x14ac:dyDescent="0.35">
      <c r="A743" s="18"/>
      <c r="B743" s="18"/>
      <c r="C743" s="18"/>
      <c r="D743" s="18"/>
      <c r="E743" s="18"/>
      <c r="F743" s="18"/>
      <c r="G743" s="18"/>
      <c r="H743" s="18"/>
      <c r="I743" s="18"/>
      <c r="J743" s="18"/>
      <c r="K743" s="18"/>
      <c r="L743" s="18"/>
      <c r="M743" s="18"/>
      <c r="N743" s="18"/>
      <c r="O743" s="18"/>
      <c r="P743" s="18"/>
      <c r="Q743" s="18"/>
      <c r="R743" s="18"/>
      <c r="S743" s="18"/>
      <c r="T743" s="18"/>
      <c r="U743" s="18"/>
    </row>
    <row r="744" spans="1:21" x14ac:dyDescent="0.35">
      <c r="A744" s="18"/>
      <c r="B744" s="18"/>
      <c r="C744" s="18"/>
      <c r="D744" s="18"/>
      <c r="E744" s="18"/>
      <c r="F744" s="18"/>
      <c r="G744" s="18"/>
      <c r="H744" s="18"/>
      <c r="I744" s="18"/>
      <c r="J744" s="18"/>
      <c r="K744" s="18"/>
      <c r="L744" s="18"/>
      <c r="M744" s="18"/>
      <c r="N744" s="18"/>
      <c r="O744" s="18"/>
      <c r="P744" s="18"/>
      <c r="Q744" s="18"/>
      <c r="R744" s="18"/>
      <c r="S744" s="18"/>
      <c r="T744" s="18"/>
      <c r="U744" s="18"/>
    </row>
    <row r="745" spans="1:21" x14ac:dyDescent="0.35">
      <c r="A745" s="18"/>
      <c r="B745" s="18"/>
      <c r="C745" s="18"/>
      <c r="D745" s="18"/>
      <c r="E745" s="18"/>
      <c r="F745" s="18"/>
      <c r="G745" s="18"/>
      <c r="H745" s="18"/>
      <c r="I745" s="18"/>
      <c r="J745" s="18"/>
      <c r="K745" s="18"/>
      <c r="L745" s="18"/>
      <c r="M745" s="18"/>
      <c r="N745" s="18"/>
      <c r="O745" s="18"/>
      <c r="P745" s="18"/>
      <c r="Q745" s="18"/>
      <c r="R745" s="18"/>
      <c r="S745" s="18"/>
      <c r="T745" s="18"/>
      <c r="U745" s="18"/>
    </row>
    <row r="746" spans="1:21" x14ac:dyDescent="0.35">
      <c r="A746" s="18"/>
      <c r="B746" s="18"/>
      <c r="C746" s="18"/>
      <c r="D746" s="18"/>
      <c r="E746" s="18"/>
      <c r="F746" s="18"/>
      <c r="G746" s="18"/>
      <c r="H746" s="18"/>
      <c r="I746" s="18"/>
      <c r="J746" s="18"/>
      <c r="K746" s="18"/>
      <c r="L746" s="18"/>
      <c r="M746" s="18"/>
      <c r="N746" s="18"/>
      <c r="O746" s="18"/>
      <c r="P746" s="18"/>
      <c r="Q746" s="18"/>
      <c r="R746" s="18"/>
      <c r="S746" s="18"/>
      <c r="T746" s="18"/>
      <c r="U746" s="18"/>
    </row>
    <row r="747" spans="1:21" x14ac:dyDescent="0.35">
      <c r="A747" s="18"/>
      <c r="B747" s="18"/>
      <c r="C747" s="18"/>
      <c r="D747" s="18"/>
      <c r="E747" s="18"/>
      <c r="F747" s="18"/>
      <c r="G747" s="18"/>
      <c r="H747" s="18"/>
      <c r="I747" s="18"/>
      <c r="J747" s="18"/>
      <c r="K747" s="18"/>
      <c r="L747" s="18"/>
      <c r="M747" s="18"/>
      <c r="N747" s="18"/>
      <c r="O747" s="18"/>
      <c r="P747" s="18"/>
      <c r="Q747" s="18"/>
      <c r="R747" s="18"/>
      <c r="S747" s="18"/>
      <c r="T747" s="18"/>
      <c r="U747" s="18"/>
    </row>
    <row r="748" spans="1:21" x14ac:dyDescent="0.35">
      <c r="A748" s="18"/>
      <c r="B748" s="18"/>
      <c r="C748" s="18"/>
      <c r="D748" s="18"/>
      <c r="E748" s="18"/>
      <c r="F748" s="18"/>
      <c r="G748" s="18"/>
      <c r="H748" s="18"/>
      <c r="I748" s="18"/>
      <c r="J748" s="18"/>
      <c r="K748" s="18"/>
      <c r="L748" s="18"/>
      <c r="M748" s="18"/>
      <c r="N748" s="18"/>
      <c r="O748" s="18"/>
      <c r="P748" s="18"/>
      <c r="Q748" s="18"/>
      <c r="R748" s="18"/>
      <c r="S748" s="18"/>
      <c r="T748" s="18"/>
      <c r="U748" s="18"/>
    </row>
    <row r="749" spans="1:21" x14ac:dyDescent="0.35">
      <c r="A749" s="18"/>
      <c r="B749" s="18"/>
      <c r="C749" s="18"/>
      <c r="D749" s="18"/>
      <c r="E749" s="18"/>
      <c r="F749" s="18"/>
      <c r="G749" s="18"/>
      <c r="H749" s="18"/>
      <c r="I749" s="18"/>
      <c r="J749" s="18"/>
      <c r="K749" s="18"/>
      <c r="L749" s="18"/>
      <c r="M749" s="18"/>
      <c r="N749" s="18"/>
      <c r="O749" s="18"/>
      <c r="P749" s="18"/>
      <c r="Q749" s="18"/>
      <c r="R749" s="18"/>
      <c r="S749" s="18"/>
      <c r="T749" s="18"/>
      <c r="U749" s="18"/>
    </row>
    <row r="750" spans="1:21" x14ac:dyDescent="0.35">
      <c r="A750" s="18"/>
      <c r="B750" s="18"/>
      <c r="C750" s="18"/>
      <c r="D750" s="18"/>
      <c r="E750" s="18"/>
      <c r="F750" s="18"/>
      <c r="G750" s="18"/>
      <c r="H750" s="18"/>
      <c r="I750" s="18"/>
      <c r="J750" s="18"/>
      <c r="K750" s="18"/>
      <c r="L750" s="18"/>
      <c r="M750" s="18"/>
      <c r="N750" s="18"/>
      <c r="O750" s="18"/>
      <c r="P750" s="18"/>
      <c r="Q750" s="18"/>
      <c r="R750" s="18"/>
      <c r="S750" s="18"/>
      <c r="T750" s="18"/>
      <c r="U750" s="18"/>
    </row>
    <row r="751" spans="1:21" x14ac:dyDescent="0.35">
      <c r="A751" s="18"/>
      <c r="B751" s="18"/>
      <c r="C751" s="18"/>
      <c r="D751" s="18"/>
      <c r="E751" s="18"/>
      <c r="F751" s="18"/>
      <c r="G751" s="18"/>
      <c r="H751" s="18"/>
      <c r="I751" s="18"/>
      <c r="J751" s="18"/>
      <c r="K751" s="18"/>
      <c r="L751" s="18"/>
      <c r="M751" s="18"/>
      <c r="N751" s="18"/>
      <c r="O751" s="18"/>
      <c r="P751" s="18"/>
      <c r="Q751" s="18"/>
      <c r="R751" s="18"/>
      <c r="S751" s="18"/>
      <c r="T751" s="18"/>
      <c r="U751" s="18"/>
    </row>
    <row r="752" spans="1:21" x14ac:dyDescent="0.35">
      <c r="A752" s="18"/>
      <c r="B752" s="18"/>
      <c r="C752" s="18"/>
      <c r="D752" s="18"/>
      <c r="E752" s="18"/>
      <c r="F752" s="18"/>
      <c r="G752" s="18"/>
      <c r="H752" s="18"/>
      <c r="I752" s="18"/>
      <c r="J752" s="18"/>
      <c r="K752" s="18"/>
      <c r="L752" s="18"/>
      <c r="M752" s="18"/>
      <c r="N752" s="18"/>
      <c r="O752" s="18"/>
      <c r="P752" s="18"/>
      <c r="Q752" s="18"/>
      <c r="R752" s="18"/>
      <c r="S752" s="18"/>
      <c r="T752" s="18"/>
      <c r="U752" s="18"/>
    </row>
    <row r="753" spans="1:21" x14ac:dyDescent="0.35">
      <c r="A753" s="18"/>
      <c r="B753" s="18"/>
      <c r="C753" s="18"/>
      <c r="D753" s="18"/>
      <c r="E753" s="18"/>
      <c r="F753" s="18"/>
      <c r="G753" s="18"/>
      <c r="H753" s="18"/>
      <c r="I753" s="18"/>
      <c r="J753" s="18"/>
      <c r="K753" s="18"/>
      <c r="L753" s="18"/>
      <c r="M753" s="18"/>
      <c r="N753" s="18"/>
      <c r="O753" s="18"/>
      <c r="P753" s="18"/>
      <c r="Q753" s="18"/>
      <c r="R753" s="18"/>
      <c r="S753" s="18"/>
      <c r="T753" s="18"/>
      <c r="U753" s="18"/>
    </row>
    <row r="754" spans="1:21" x14ac:dyDescent="0.35">
      <c r="A754" s="18"/>
      <c r="B754" s="18"/>
      <c r="C754" s="18"/>
      <c r="D754" s="18"/>
      <c r="E754" s="18"/>
      <c r="F754" s="18"/>
      <c r="G754" s="18"/>
      <c r="H754" s="18"/>
      <c r="I754" s="18"/>
      <c r="J754" s="18"/>
      <c r="K754" s="18"/>
      <c r="L754" s="18"/>
      <c r="M754" s="18"/>
      <c r="N754" s="18"/>
      <c r="O754" s="18"/>
      <c r="P754" s="18"/>
      <c r="Q754" s="18"/>
      <c r="R754" s="18"/>
      <c r="S754" s="18"/>
      <c r="T754" s="18"/>
      <c r="U754" s="18"/>
    </row>
    <row r="755" spans="1:21" x14ac:dyDescent="0.35">
      <c r="A755" s="18"/>
      <c r="B755" s="18"/>
      <c r="C755" s="18"/>
      <c r="D755" s="18"/>
      <c r="E755" s="18"/>
      <c r="F755" s="18"/>
      <c r="G755" s="18"/>
      <c r="H755" s="18"/>
      <c r="I755" s="18"/>
      <c r="J755" s="18"/>
      <c r="K755" s="18"/>
      <c r="L755" s="18"/>
      <c r="M755" s="18"/>
      <c r="N755" s="18"/>
      <c r="O755" s="18"/>
      <c r="P755" s="18"/>
      <c r="Q755" s="18"/>
      <c r="R755" s="18"/>
      <c r="S755" s="18"/>
      <c r="T755" s="18"/>
      <c r="U755" s="18"/>
    </row>
    <row r="756" spans="1:21" x14ac:dyDescent="0.35">
      <c r="A756" s="18"/>
      <c r="B756" s="18"/>
      <c r="C756" s="18"/>
      <c r="D756" s="18"/>
      <c r="E756" s="18"/>
      <c r="F756" s="18"/>
      <c r="G756" s="18"/>
      <c r="H756" s="18"/>
      <c r="I756" s="18"/>
      <c r="J756" s="18"/>
      <c r="K756" s="18"/>
      <c r="L756" s="18"/>
      <c r="M756" s="18"/>
      <c r="N756" s="18"/>
      <c r="O756" s="18"/>
      <c r="P756" s="18"/>
      <c r="Q756" s="18"/>
      <c r="R756" s="18"/>
      <c r="S756" s="18"/>
      <c r="T756" s="18"/>
      <c r="U756" s="18"/>
    </row>
    <row r="757" spans="1:21" x14ac:dyDescent="0.35">
      <c r="A757" s="18"/>
      <c r="B757" s="18"/>
      <c r="C757" s="18"/>
      <c r="D757" s="18"/>
      <c r="E757" s="18"/>
      <c r="F757" s="18"/>
      <c r="G757" s="18"/>
      <c r="H757" s="18"/>
      <c r="I757" s="18"/>
      <c r="J757" s="18"/>
      <c r="K757" s="18"/>
      <c r="L757" s="18"/>
      <c r="M757" s="18"/>
      <c r="N757" s="18"/>
      <c r="O757" s="18"/>
      <c r="P757" s="18"/>
      <c r="Q757" s="18"/>
      <c r="R757" s="18"/>
      <c r="S757" s="18"/>
      <c r="T757" s="18"/>
      <c r="U757" s="18"/>
    </row>
    <row r="758" spans="1:21" x14ac:dyDescent="0.35">
      <c r="A758" s="18"/>
      <c r="B758" s="18"/>
      <c r="C758" s="18"/>
      <c r="D758" s="18"/>
      <c r="E758" s="18"/>
      <c r="F758" s="18"/>
      <c r="G758" s="18"/>
      <c r="H758" s="18"/>
      <c r="I758" s="18"/>
      <c r="J758" s="18"/>
      <c r="K758" s="18"/>
      <c r="L758" s="18"/>
      <c r="M758" s="18"/>
      <c r="N758" s="18"/>
      <c r="O758" s="18"/>
      <c r="P758" s="18"/>
      <c r="Q758" s="18"/>
      <c r="R758" s="18"/>
      <c r="S758" s="18"/>
      <c r="T758" s="18"/>
      <c r="U758" s="18"/>
    </row>
    <row r="759" spans="1:21" x14ac:dyDescent="0.35">
      <c r="A759" s="18"/>
      <c r="B759" s="18"/>
      <c r="C759" s="18"/>
      <c r="D759" s="18"/>
      <c r="E759" s="18"/>
      <c r="F759" s="18"/>
      <c r="G759" s="18"/>
      <c r="H759" s="18"/>
      <c r="I759" s="18"/>
      <c r="J759" s="18"/>
      <c r="K759" s="18"/>
      <c r="L759" s="18"/>
      <c r="M759" s="18"/>
      <c r="N759" s="18"/>
      <c r="O759" s="18"/>
      <c r="P759" s="18"/>
      <c r="Q759" s="18"/>
      <c r="R759" s="18"/>
      <c r="S759" s="18"/>
      <c r="T759" s="18"/>
      <c r="U759" s="18"/>
    </row>
    <row r="760" spans="1:21" x14ac:dyDescent="0.35">
      <c r="A760" s="18"/>
      <c r="B760" s="18"/>
      <c r="C760" s="18"/>
      <c r="D760" s="18"/>
      <c r="E760" s="18"/>
      <c r="F760" s="18"/>
      <c r="G760" s="18"/>
      <c r="H760" s="18"/>
      <c r="I760" s="18"/>
      <c r="J760" s="18"/>
      <c r="K760" s="18"/>
      <c r="L760" s="18"/>
      <c r="M760" s="18"/>
      <c r="N760" s="18"/>
      <c r="O760" s="18"/>
      <c r="P760" s="18"/>
      <c r="Q760" s="18"/>
      <c r="R760" s="18"/>
      <c r="S760" s="18"/>
      <c r="T760" s="18"/>
      <c r="U760" s="18"/>
    </row>
    <row r="761" spans="1:21" x14ac:dyDescent="0.35">
      <c r="A761" s="18"/>
      <c r="B761" s="18"/>
      <c r="C761" s="18"/>
      <c r="D761" s="18"/>
      <c r="E761" s="18"/>
      <c r="F761" s="18"/>
      <c r="G761" s="18"/>
      <c r="H761" s="18"/>
      <c r="I761" s="18"/>
      <c r="J761" s="18"/>
      <c r="K761" s="18"/>
      <c r="L761" s="18"/>
      <c r="M761" s="18"/>
      <c r="N761" s="18"/>
      <c r="O761" s="18"/>
      <c r="P761" s="18"/>
      <c r="Q761" s="18"/>
      <c r="R761" s="18"/>
      <c r="S761" s="18"/>
      <c r="T761" s="18"/>
      <c r="U761" s="18"/>
    </row>
    <row r="762" spans="1:21" x14ac:dyDescent="0.35">
      <c r="A762" s="18"/>
      <c r="B762" s="18"/>
      <c r="C762" s="18"/>
      <c r="D762" s="18"/>
      <c r="E762" s="18"/>
      <c r="F762" s="18"/>
      <c r="G762" s="18"/>
      <c r="H762" s="18"/>
      <c r="I762" s="18"/>
      <c r="J762" s="18"/>
      <c r="K762" s="18"/>
      <c r="L762" s="18"/>
      <c r="M762" s="18"/>
      <c r="N762" s="18"/>
      <c r="O762" s="18"/>
      <c r="P762" s="18"/>
      <c r="Q762" s="18"/>
      <c r="R762" s="18"/>
      <c r="S762" s="18"/>
      <c r="T762" s="18"/>
      <c r="U762" s="18"/>
    </row>
    <row r="763" spans="1:21" x14ac:dyDescent="0.35">
      <c r="A763" s="18"/>
      <c r="B763" s="18"/>
      <c r="C763" s="18"/>
      <c r="D763" s="18"/>
      <c r="E763" s="18"/>
      <c r="F763" s="18"/>
      <c r="G763" s="18"/>
      <c r="H763" s="18"/>
      <c r="I763" s="18"/>
      <c r="J763" s="18"/>
      <c r="K763" s="18"/>
      <c r="L763" s="18"/>
      <c r="M763" s="18"/>
      <c r="N763" s="18"/>
      <c r="O763" s="18"/>
      <c r="P763" s="18"/>
      <c r="Q763" s="18"/>
      <c r="R763" s="18"/>
      <c r="S763" s="18"/>
      <c r="T763" s="18"/>
      <c r="U763" s="18"/>
    </row>
    <row r="764" spans="1:21" x14ac:dyDescent="0.35">
      <c r="A764" s="18"/>
      <c r="B764" s="18"/>
      <c r="C764" s="18"/>
      <c r="D764" s="18"/>
      <c r="E764" s="18"/>
      <c r="F764" s="18"/>
      <c r="G764" s="18"/>
      <c r="H764" s="18"/>
      <c r="I764" s="18"/>
      <c r="J764" s="18"/>
      <c r="K764" s="18"/>
      <c r="L764" s="18"/>
      <c r="M764" s="18"/>
      <c r="N764" s="18"/>
      <c r="O764" s="18"/>
      <c r="P764" s="18"/>
      <c r="Q764" s="18"/>
      <c r="R764" s="18"/>
      <c r="S764" s="18"/>
      <c r="T764" s="18"/>
      <c r="U764" s="18"/>
    </row>
    <row r="765" spans="1:21" x14ac:dyDescent="0.35">
      <c r="A765" s="18"/>
      <c r="B765" s="18"/>
      <c r="C765" s="18"/>
      <c r="D765" s="18"/>
      <c r="E765" s="18"/>
      <c r="F765" s="18"/>
      <c r="G765" s="18"/>
      <c r="H765" s="18"/>
      <c r="I765" s="18"/>
      <c r="J765" s="18"/>
      <c r="K765" s="18"/>
      <c r="L765" s="18"/>
      <c r="M765" s="18"/>
      <c r="N765" s="18"/>
      <c r="O765" s="18"/>
      <c r="P765" s="18"/>
      <c r="Q765" s="18"/>
      <c r="R765" s="18"/>
      <c r="S765" s="18"/>
      <c r="T765" s="18"/>
      <c r="U765" s="18"/>
    </row>
    <row r="766" spans="1:21" x14ac:dyDescent="0.35">
      <c r="A766" s="18"/>
      <c r="B766" s="18"/>
      <c r="C766" s="18"/>
      <c r="D766" s="18"/>
      <c r="E766" s="18"/>
      <c r="F766" s="18"/>
      <c r="G766" s="18"/>
      <c r="H766" s="18"/>
      <c r="I766" s="18"/>
      <c r="J766" s="18"/>
      <c r="K766" s="18"/>
      <c r="L766" s="18"/>
      <c r="M766" s="18"/>
      <c r="N766" s="18"/>
      <c r="O766" s="18"/>
      <c r="P766" s="18"/>
      <c r="Q766" s="18"/>
      <c r="R766" s="18"/>
      <c r="S766" s="18"/>
      <c r="T766" s="18"/>
      <c r="U766" s="18"/>
    </row>
    <row r="767" spans="1:21" x14ac:dyDescent="0.35">
      <c r="A767" s="18"/>
      <c r="B767" s="18"/>
      <c r="C767" s="18"/>
      <c r="D767" s="18"/>
      <c r="E767" s="18"/>
      <c r="F767" s="18"/>
      <c r="G767" s="18"/>
      <c r="H767" s="18"/>
      <c r="I767" s="18"/>
      <c r="J767" s="18"/>
      <c r="K767" s="18"/>
      <c r="L767" s="18"/>
      <c r="M767" s="18"/>
      <c r="N767" s="18"/>
      <c r="O767" s="18"/>
      <c r="P767" s="18"/>
      <c r="Q767" s="18"/>
      <c r="R767" s="18"/>
      <c r="S767" s="18"/>
      <c r="T767" s="18"/>
      <c r="U767" s="18"/>
    </row>
    <row r="768" spans="1:21" x14ac:dyDescent="0.35">
      <c r="A768" s="18"/>
      <c r="B768" s="18"/>
      <c r="C768" s="18"/>
      <c r="D768" s="18"/>
      <c r="E768" s="18"/>
      <c r="F768" s="18"/>
      <c r="G768" s="18"/>
      <c r="H768" s="18"/>
      <c r="I768" s="18"/>
      <c r="J768" s="18"/>
      <c r="K768" s="18"/>
      <c r="L768" s="18"/>
      <c r="M768" s="18"/>
      <c r="N768" s="18"/>
      <c r="O768" s="18"/>
      <c r="P768" s="18"/>
      <c r="Q768" s="18"/>
      <c r="R768" s="18"/>
      <c r="S768" s="18"/>
      <c r="T768" s="18"/>
      <c r="U768" s="18"/>
    </row>
    <row r="769" spans="1:21" x14ac:dyDescent="0.35">
      <c r="A769" s="18"/>
      <c r="B769" s="18"/>
      <c r="C769" s="18"/>
      <c r="D769" s="18"/>
      <c r="E769" s="18"/>
      <c r="F769" s="18"/>
      <c r="G769" s="18"/>
      <c r="H769" s="18"/>
      <c r="I769" s="18"/>
      <c r="J769" s="18"/>
      <c r="K769" s="18"/>
      <c r="L769" s="18"/>
      <c r="M769" s="18"/>
      <c r="N769" s="18"/>
      <c r="O769" s="18"/>
      <c r="P769" s="18"/>
      <c r="Q769" s="18"/>
      <c r="R769" s="18"/>
      <c r="S769" s="18"/>
      <c r="T769" s="18"/>
      <c r="U769" s="18"/>
    </row>
    <row r="770" spans="1:21" x14ac:dyDescent="0.35">
      <c r="A770" s="18"/>
      <c r="B770" s="18"/>
      <c r="C770" s="18"/>
      <c r="D770" s="18"/>
      <c r="E770" s="18"/>
      <c r="F770" s="18"/>
      <c r="G770" s="18"/>
      <c r="H770" s="18"/>
      <c r="I770" s="18"/>
      <c r="J770" s="18"/>
      <c r="K770" s="18"/>
      <c r="L770" s="18"/>
      <c r="M770" s="18"/>
      <c r="N770" s="18"/>
      <c r="O770" s="18"/>
      <c r="P770" s="18"/>
      <c r="Q770" s="18"/>
      <c r="R770" s="18"/>
      <c r="S770" s="18"/>
      <c r="T770" s="18"/>
      <c r="U770" s="18"/>
    </row>
    <row r="771" spans="1:21" x14ac:dyDescent="0.35">
      <c r="A771" s="18"/>
      <c r="B771" s="18"/>
      <c r="C771" s="18"/>
      <c r="D771" s="18"/>
      <c r="E771" s="18"/>
      <c r="F771" s="18"/>
      <c r="G771" s="18"/>
      <c r="H771" s="18"/>
      <c r="I771" s="18"/>
      <c r="J771" s="18"/>
      <c r="K771" s="18"/>
      <c r="L771" s="18"/>
      <c r="M771" s="18"/>
      <c r="N771" s="18"/>
      <c r="O771" s="18"/>
      <c r="P771" s="18"/>
      <c r="Q771" s="18"/>
      <c r="R771" s="18"/>
      <c r="S771" s="18"/>
      <c r="T771" s="18"/>
      <c r="U771" s="18"/>
    </row>
    <row r="772" spans="1:21" x14ac:dyDescent="0.35">
      <c r="A772" s="18"/>
      <c r="B772" s="18"/>
      <c r="C772" s="18"/>
      <c r="D772" s="18"/>
      <c r="E772" s="18"/>
      <c r="F772" s="18"/>
      <c r="G772" s="18"/>
      <c r="H772" s="18"/>
      <c r="I772" s="18"/>
      <c r="J772" s="18"/>
      <c r="K772" s="18"/>
      <c r="L772" s="18"/>
      <c r="M772" s="18"/>
      <c r="N772" s="18"/>
      <c r="O772" s="18"/>
      <c r="P772" s="18"/>
      <c r="Q772" s="18"/>
      <c r="R772" s="18"/>
      <c r="S772" s="18"/>
      <c r="T772" s="18"/>
      <c r="U772" s="18"/>
    </row>
    <row r="773" spans="1:21" x14ac:dyDescent="0.35">
      <c r="A773" s="18"/>
      <c r="B773" s="18"/>
      <c r="C773" s="18"/>
      <c r="D773" s="18"/>
      <c r="E773" s="18"/>
      <c r="F773" s="18"/>
      <c r="G773" s="18"/>
      <c r="H773" s="18"/>
      <c r="I773" s="18"/>
      <c r="J773" s="18"/>
      <c r="K773" s="18"/>
      <c r="L773" s="18"/>
      <c r="M773" s="18"/>
      <c r="N773" s="18"/>
      <c r="O773" s="18"/>
      <c r="P773" s="18"/>
      <c r="Q773" s="18"/>
      <c r="R773" s="18"/>
      <c r="S773" s="18"/>
      <c r="T773" s="18"/>
      <c r="U773" s="18"/>
    </row>
    <row r="774" spans="1:21" x14ac:dyDescent="0.35">
      <c r="A774" s="18"/>
      <c r="B774" s="18"/>
      <c r="C774" s="18"/>
      <c r="D774" s="18"/>
      <c r="E774" s="18"/>
      <c r="F774" s="18"/>
      <c r="G774" s="18"/>
      <c r="H774" s="18"/>
      <c r="I774" s="18"/>
      <c r="J774" s="18"/>
      <c r="K774" s="18"/>
      <c r="L774" s="18"/>
      <c r="M774" s="18"/>
      <c r="N774" s="18"/>
      <c r="O774" s="18"/>
      <c r="P774" s="18"/>
      <c r="Q774" s="18"/>
      <c r="R774" s="18"/>
      <c r="S774" s="18"/>
      <c r="T774" s="18"/>
      <c r="U774" s="18"/>
    </row>
    <row r="775" spans="1:21" x14ac:dyDescent="0.35">
      <c r="A775" s="18"/>
      <c r="B775" s="18"/>
      <c r="C775" s="18"/>
      <c r="D775" s="18"/>
      <c r="E775" s="18"/>
      <c r="F775" s="18"/>
      <c r="G775" s="18"/>
      <c r="H775" s="18"/>
      <c r="I775" s="18"/>
      <c r="J775" s="18"/>
      <c r="K775" s="18"/>
      <c r="L775" s="18"/>
      <c r="M775" s="18"/>
      <c r="N775" s="18"/>
      <c r="O775" s="18"/>
      <c r="P775" s="18"/>
      <c r="Q775" s="18"/>
      <c r="R775" s="18"/>
      <c r="S775" s="18"/>
      <c r="T775" s="18"/>
      <c r="U775" s="18"/>
    </row>
    <row r="776" spans="1:21" x14ac:dyDescent="0.35">
      <c r="A776" s="18"/>
      <c r="B776" s="18"/>
      <c r="C776" s="18"/>
      <c r="D776" s="18"/>
      <c r="E776" s="18"/>
      <c r="F776" s="18"/>
      <c r="G776" s="18"/>
      <c r="H776" s="18"/>
      <c r="I776" s="18"/>
      <c r="J776" s="18"/>
      <c r="K776" s="18"/>
      <c r="L776" s="18"/>
      <c r="M776" s="18"/>
      <c r="N776" s="18"/>
      <c r="O776" s="18"/>
      <c r="P776" s="18"/>
      <c r="Q776" s="18"/>
      <c r="R776" s="18"/>
      <c r="S776" s="18"/>
      <c r="T776" s="18"/>
      <c r="U776" s="18"/>
    </row>
    <row r="777" spans="1:21" x14ac:dyDescent="0.35">
      <c r="A777" s="18"/>
      <c r="B777" s="18"/>
      <c r="C777" s="18"/>
      <c r="D777" s="18"/>
      <c r="E777" s="18"/>
      <c r="F777" s="18"/>
      <c r="G777" s="18"/>
      <c r="H777" s="18"/>
      <c r="I777" s="18"/>
      <c r="J777" s="18"/>
      <c r="K777" s="18"/>
      <c r="L777" s="18"/>
      <c r="M777" s="18"/>
      <c r="N777" s="18"/>
      <c r="O777" s="18"/>
      <c r="P777" s="18"/>
      <c r="Q777" s="18"/>
      <c r="R777" s="18"/>
      <c r="S777" s="18"/>
      <c r="T777" s="18"/>
      <c r="U777" s="18"/>
    </row>
    <row r="778" spans="1:21" x14ac:dyDescent="0.35">
      <c r="A778" s="18"/>
      <c r="B778" s="18"/>
      <c r="C778" s="18"/>
      <c r="D778" s="18"/>
      <c r="E778" s="18"/>
      <c r="F778" s="18"/>
      <c r="G778" s="18"/>
      <c r="H778" s="18"/>
      <c r="I778" s="18"/>
      <c r="J778" s="18"/>
      <c r="K778" s="18"/>
      <c r="L778" s="18"/>
      <c r="M778" s="18"/>
      <c r="N778" s="18"/>
      <c r="O778" s="18"/>
      <c r="P778" s="18"/>
      <c r="Q778" s="18"/>
      <c r="R778" s="18"/>
      <c r="S778" s="18"/>
      <c r="T778" s="18"/>
      <c r="U778" s="18"/>
    </row>
    <row r="779" spans="1:21" x14ac:dyDescent="0.35">
      <c r="A779" s="18"/>
      <c r="B779" s="18"/>
      <c r="C779" s="18"/>
      <c r="D779" s="18"/>
      <c r="E779" s="18"/>
      <c r="F779" s="18"/>
      <c r="G779" s="18"/>
      <c r="H779" s="18"/>
      <c r="I779" s="18"/>
      <c r="J779" s="18"/>
      <c r="K779" s="18"/>
      <c r="L779" s="18"/>
      <c r="M779" s="18"/>
      <c r="N779" s="18"/>
      <c r="O779" s="18"/>
      <c r="P779" s="18"/>
      <c r="Q779" s="18"/>
      <c r="R779" s="18"/>
      <c r="S779" s="18"/>
      <c r="T779" s="18"/>
      <c r="U779" s="18"/>
    </row>
    <row r="780" spans="1:21" x14ac:dyDescent="0.35">
      <c r="A780" s="18"/>
      <c r="B780" s="18"/>
      <c r="C780" s="18"/>
      <c r="D780" s="18"/>
      <c r="E780" s="18"/>
      <c r="F780" s="18"/>
      <c r="G780" s="18"/>
      <c r="H780" s="18"/>
      <c r="I780" s="18"/>
      <c r="J780" s="18"/>
      <c r="K780" s="18"/>
      <c r="L780" s="18"/>
      <c r="M780" s="18"/>
      <c r="N780" s="18"/>
      <c r="O780" s="18"/>
      <c r="P780" s="18"/>
      <c r="Q780" s="18"/>
      <c r="R780" s="18"/>
      <c r="S780" s="18"/>
      <c r="T780" s="18"/>
      <c r="U780" s="18"/>
    </row>
    <row r="781" spans="1:21" x14ac:dyDescent="0.35">
      <c r="A781" s="18"/>
      <c r="B781" s="18"/>
      <c r="C781" s="18"/>
      <c r="D781" s="18"/>
      <c r="E781" s="18"/>
      <c r="F781" s="18"/>
      <c r="G781" s="18"/>
      <c r="H781" s="18"/>
      <c r="I781" s="18"/>
      <c r="J781" s="18"/>
      <c r="K781" s="18"/>
      <c r="L781" s="18"/>
      <c r="M781" s="18"/>
      <c r="N781" s="18"/>
      <c r="O781" s="18"/>
      <c r="P781" s="18"/>
      <c r="Q781" s="18"/>
      <c r="R781" s="18"/>
      <c r="S781" s="18"/>
      <c r="T781" s="18"/>
      <c r="U781" s="18"/>
    </row>
    <row r="782" spans="1:21" x14ac:dyDescent="0.35">
      <c r="A782" s="18"/>
      <c r="B782" s="18"/>
      <c r="C782" s="18"/>
      <c r="D782" s="18"/>
      <c r="E782" s="18"/>
      <c r="F782" s="18"/>
      <c r="G782" s="18"/>
      <c r="H782" s="18"/>
      <c r="I782" s="18"/>
      <c r="J782" s="18"/>
      <c r="K782" s="18"/>
      <c r="L782" s="18"/>
      <c r="M782" s="18"/>
      <c r="N782" s="18"/>
      <c r="O782" s="18"/>
      <c r="P782" s="18"/>
      <c r="Q782" s="18"/>
      <c r="R782" s="18"/>
      <c r="S782" s="18"/>
      <c r="T782" s="18"/>
      <c r="U782" s="18"/>
    </row>
    <row r="783" spans="1:21" x14ac:dyDescent="0.35">
      <c r="A783" s="18"/>
      <c r="B783" s="18"/>
      <c r="C783" s="18"/>
      <c r="D783" s="18"/>
      <c r="E783" s="18"/>
      <c r="F783" s="18"/>
      <c r="G783" s="18"/>
      <c r="H783" s="18"/>
      <c r="I783" s="18"/>
      <c r="J783" s="18"/>
      <c r="K783" s="18"/>
      <c r="L783" s="18"/>
      <c r="M783" s="18"/>
      <c r="N783" s="18"/>
      <c r="O783" s="18"/>
      <c r="P783" s="18"/>
      <c r="Q783" s="18"/>
      <c r="R783" s="18"/>
      <c r="S783" s="18"/>
      <c r="T783" s="18"/>
      <c r="U783" s="18"/>
    </row>
    <row r="784" spans="1:21" x14ac:dyDescent="0.35">
      <c r="A784" s="18"/>
      <c r="B784" s="18"/>
      <c r="C784" s="18"/>
      <c r="D784" s="18"/>
      <c r="E784" s="18"/>
      <c r="F784" s="18"/>
      <c r="G784" s="18"/>
      <c r="H784" s="18"/>
      <c r="I784" s="18"/>
      <c r="J784" s="18"/>
      <c r="K784" s="18"/>
      <c r="L784" s="18"/>
      <c r="M784" s="18"/>
      <c r="N784" s="18"/>
      <c r="O784" s="18"/>
      <c r="P784" s="18"/>
      <c r="Q784" s="18"/>
      <c r="R784" s="18"/>
      <c r="S784" s="18"/>
      <c r="T784" s="18"/>
      <c r="U784" s="18"/>
    </row>
    <row r="785" spans="1:21" x14ac:dyDescent="0.35">
      <c r="A785" s="18"/>
      <c r="B785" s="18"/>
      <c r="C785" s="18"/>
      <c r="D785" s="18"/>
      <c r="E785" s="18"/>
      <c r="F785" s="18"/>
      <c r="G785" s="18"/>
      <c r="H785" s="18"/>
      <c r="I785" s="18"/>
      <c r="J785" s="18"/>
      <c r="K785" s="18"/>
      <c r="L785" s="18"/>
      <c r="M785" s="18"/>
      <c r="N785" s="18"/>
      <c r="O785" s="18"/>
      <c r="P785" s="18"/>
      <c r="Q785" s="18"/>
      <c r="R785" s="18"/>
      <c r="S785" s="18"/>
      <c r="T785" s="18"/>
      <c r="U785" s="18"/>
    </row>
    <row r="786" spans="1:21" x14ac:dyDescent="0.35">
      <c r="A786" s="18"/>
      <c r="B786" s="18"/>
      <c r="C786" s="18"/>
      <c r="D786" s="18"/>
      <c r="E786" s="18"/>
      <c r="F786" s="18"/>
      <c r="G786" s="18"/>
      <c r="H786" s="18"/>
      <c r="I786" s="18"/>
      <c r="J786" s="18"/>
      <c r="K786" s="18"/>
      <c r="L786" s="18"/>
      <c r="M786" s="18"/>
      <c r="N786" s="18"/>
      <c r="O786" s="18"/>
      <c r="P786" s="18"/>
      <c r="Q786" s="18"/>
      <c r="R786" s="18"/>
      <c r="S786" s="18"/>
      <c r="T786" s="18"/>
      <c r="U786" s="18"/>
    </row>
    <row r="787" spans="1:21" x14ac:dyDescent="0.35">
      <c r="A787" s="18"/>
      <c r="B787" s="18"/>
      <c r="C787" s="18"/>
      <c r="D787" s="18"/>
      <c r="E787" s="18"/>
      <c r="F787" s="18"/>
      <c r="G787" s="18"/>
      <c r="H787" s="18"/>
      <c r="I787" s="18"/>
      <c r="J787" s="18"/>
      <c r="K787" s="18"/>
      <c r="L787" s="18"/>
      <c r="M787" s="18"/>
      <c r="N787" s="18"/>
      <c r="O787" s="18"/>
      <c r="P787" s="18"/>
      <c r="Q787" s="18"/>
      <c r="R787" s="18"/>
      <c r="S787" s="18"/>
      <c r="T787" s="18"/>
      <c r="U787" s="18"/>
    </row>
    <row r="788" spans="1:21" x14ac:dyDescent="0.35">
      <c r="A788" s="18"/>
      <c r="B788" s="18"/>
      <c r="C788" s="18"/>
      <c r="D788" s="18"/>
      <c r="E788" s="18"/>
      <c r="F788" s="18"/>
      <c r="G788" s="18"/>
      <c r="H788" s="18"/>
      <c r="I788" s="18"/>
      <c r="J788" s="18"/>
      <c r="K788" s="18"/>
      <c r="L788" s="18"/>
      <c r="M788" s="18"/>
      <c r="N788" s="18"/>
      <c r="O788" s="18"/>
      <c r="P788" s="18"/>
      <c r="Q788" s="18"/>
      <c r="R788" s="18"/>
      <c r="S788" s="18"/>
      <c r="T788" s="18"/>
      <c r="U788" s="18"/>
    </row>
    <row r="789" spans="1:21" x14ac:dyDescent="0.35">
      <c r="A789" s="18"/>
      <c r="B789" s="18"/>
      <c r="C789" s="18"/>
      <c r="D789" s="18"/>
      <c r="E789" s="18"/>
      <c r="F789" s="18"/>
      <c r="G789" s="18"/>
      <c r="H789" s="18"/>
      <c r="I789" s="18"/>
      <c r="J789" s="18"/>
      <c r="K789" s="18"/>
      <c r="L789" s="18"/>
      <c r="M789" s="18"/>
      <c r="N789" s="18"/>
      <c r="O789" s="18"/>
      <c r="P789" s="18"/>
      <c r="Q789" s="18"/>
      <c r="R789" s="18"/>
      <c r="S789" s="18"/>
      <c r="T789" s="18"/>
      <c r="U789" s="18"/>
    </row>
    <row r="790" spans="1:21" x14ac:dyDescent="0.35">
      <c r="A790" s="18"/>
      <c r="B790" s="18"/>
      <c r="C790" s="18"/>
      <c r="D790" s="18"/>
      <c r="E790" s="18"/>
      <c r="F790" s="18"/>
      <c r="G790" s="18"/>
      <c r="H790" s="18"/>
      <c r="I790" s="18"/>
      <c r="J790" s="18"/>
      <c r="K790" s="18"/>
      <c r="L790" s="18"/>
      <c r="M790" s="18"/>
      <c r="N790" s="18"/>
      <c r="O790" s="18"/>
      <c r="P790" s="18"/>
      <c r="Q790" s="18"/>
      <c r="R790" s="18"/>
      <c r="S790" s="18"/>
      <c r="T790" s="18"/>
      <c r="U790" s="18"/>
    </row>
    <row r="791" spans="1:21" x14ac:dyDescent="0.35">
      <c r="A791" s="18"/>
      <c r="B791" s="18"/>
      <c r="C791" s="18"/>
      <c r="D791" s="18"/>
      <c r="E791" s="18"/>
      <c r="F791" s="18"/>
      <c r="G791" s="18"/>
      <c r="H791" s="18"/>
      <c r="I791" s="18"/>
      <c r="J791" s="18"/>
      <c r="K791" s="18"/>
      <c r="L791" s="18"/>
      <c r="M791" s="18"/>
      <c r="N791" s="18"/>
      <c r="O791" s="18"/>
      <c r="P791" s="18"/>
      <c r="Q791" s="18"/>
      <c r="R791" s="18"/>
      <c r="S791" s="18"/>
      <c r="T791" s="18"/>
      <c r="U791" s="18"/>
    </row>
    <row r="792" spans="1:21" x14ac:dyDescent="0.35">
      <c r="A792" s="18"/>
      <c r="B792" s="18"/>
      <c r="C792" s="18"/>
      <c r="D792" s="18"/>
      <c r="E792" s="18"/>
      <c r="F792" s="18"/>
      <c r="G792" s="18"/>
      <c r="H792" s="18"/>
      <c r="I792" s="18"/>
      <c r="J792" s="18"/>
      <c r="K792" s="18"/>
      <c r="L792" s="18"/>
      <c r="M792" s="18"/>
      <c r="N792" s="18"/>
      <c r="O792" s="18"/>
      <c r="P792" s="18"/>
      <c r="Q792" s="18"/>
      <c r="R792" s="18"/>
      <c r="S792" s="18"/>
      <c r="T792" s="18"/>
      <c r="U792" s="18"/>
    </row>
    <row r="793" spans="1:21" x14ac:dyDescent="0.35">
      <c r="A793" s="18"/>
      <c r="B793" s="18"/>
      <c r="C793" s="18"/>
      <c r="D793" s="18"/>
      <c r="E793" s="18"/>
      <c r="F793" s="18"/>
      <c r="G793" s="18"/>
      <c r="H793" s="18"/>
      <c r="I793" s="18"/>
      <c r="J793" s="18"/>
      <c r="K793" s="18"/>
      <c r="L793" s="18"/>
      <c r="M793" s="18"/>
      <c r="N793" s="18"/>
      <c r="O793" s="18"/>
      <c r="P793" s="18"/>
      <c r="Q793" s="18"/>
      <c r="R793" s="18"/>
      <c r="S793" s="18"/>
      <c r="T793" s="18"/>
      <c r="U793" s="18"/>
    </row>
    <row r="794" spans="1:21" x14ac:dyDescent="0.35">
      <c r="A794" s="18"/>
      <c r="B794" s="18"/>
      <c r="C794" s="18"/>
      <c r="D794" s="18"/>
      <c r="E794" s="18"/>
      <c r="F794" s="18"/>
      <c r="G794" s="18"/>
      <c r="H794" s="18"/>
      <c r="I794" s="18"/>
      <c r="J794" s="18"/>
      <c r="K794" s="18"/>
      <c r="L794" s="18"/>
      <c r="M794" s="18"/>
      <c r="N794" s="18"/>
      <c r="O794" s="18"/>
      <c r="P794" s="18"/>
      <c r="Q794" s="18"/>
      <c r="R794" s="18"/>
      <c r="S794" s="18"/>
      <c r="T794" s="18"/>
      <c r="U794" s="18"/>
    </row>
    <row r="795" spans="1:21" x14ac:dyDescent="0.35">
      <c r="A795" s="18"/>
      <c r="B795" s="18"/>
      <c r="C795" s="18"/>
      <c r="D795" s="18"/>
      <c r="E795" s="18"/>
      <c r="F795" s="18"/>
      <c r="G795" s="18"/>
      <c r="H795" s="18"/>
      <c r="I795" s="18"/>
      <c r="J795" s="18"/>
      <c r="K795" s="18"/>
      <c r="L795" s="18"/>
      <c r="M795" s="18"/>
      <c r="N795" s="18"/>
      <c r="O795" s="18"/>
      <c r="P795" s="18"/>
      <c r="Q795" s="18"/>
      <c r="R795" s="18"/>
      <c r="S795" s="18"/>
      <c r="T795" s="18"/>
      <c r="U795" s="18"/>
    </row>
    <row r="796" spans="1:21" x14ac:dyDescent="0.35">
      <c r="A796" s="18"/>
      <c r="B796" s="18"/>
      <c r="C796" s="18"/>
      <c r="D796" s="18"/>
      <c r="E796" s="18"/>
      <c r="F796" s="18"/>
      <c r="G796" s="18"/>
      <c r="H796" s="18"/>
      <c r="I796" s="18"/>
      <c r="J796" s="18"/>
      <c r="K796" s="18"/>
      <c r="L796" s="18"/>
      <c r="M796" s="18"/>
      <c r="N796" s="18"/>
      <c r="O796" s="18"/>
      <c r="P796" s="18"/>
      <c r="Q796" s="18"/>
      <c r="R796" s="18"/>
      <c r="S796" s="18"/>
      <c r="T796" s="18"/>
      <c r="U796" s="18"/>
    </row>
    <row r="797" spans="1:21" x14ac:dyDescent="0.35">
      <c r="A797" s="18"/>
      <c r="B797" s="18"/>
      <c r="C797" s="18"/>
      <c r="D797" s="18"/>
      <c r="E797" s="18"/>
      <c r="F797" s="18"/>
      <c r="G797" s="18"/>
      <c r="H797" s="18"/>
      <c r="I797" s="18"/>
      <c r="J797" s="18"/>
      <c r="K797" s="18"/>
      <c r="L797" s="18"/>
      <c r="M797" s="18"/>
      <c r="N797" s="18"/>
      <c r="O797" s="18"/>
      <c r="P797" s="18"/>
      <c r="Q797" s="18"/>
      <c r="R797" s="18"/>
      <c r="S797" s="18"/>
      <c r="T797" s="18"/>
      <c r="U797" s="18"/>
    </row>
    <row r="798" spans="1:21" x14ac:dyDescent="0.35">
      <c r="A798" s="18"/>
      <c r="B798" s="18"/>
      <c r="C798" s="18"/>
      <c r="D798" s="18"/>
      <c r="E798" s="18"/>
      <c r="F798" s="18"/>
      <c r="G798" s="18"/>
      <c r="H798" s="18"/>
      <c r="I798" s="18"/>
      <c r="J798" s="18"/>
      <c r="K798" s="18"/>
      <c r="L798" s="18"/>
      <c r="M798" s="18"/>
      <c r="N798" s="18"/>
      <c r="O798" s="18"/>
      <c r="P798" s="18"/>
      <c r="Q798" s="18"/>
      <c r="R798" s="18"/>
      <c r="S798" s="18"/>
      <c r="T798" s="18"/>
      <c r="U798" s="18"/>
    </row>
    <row r="799" spans="1:21" x14ac:dyDescent="0.35">
      <c r="A799" s="18"/>
      <c r="B799" s="18"/>
      <c r="C799" s="18"/>
      <c r="D799" s="18"/>
      <c r="E799" s="18"/>
      <c r="F799" s="18"/>
      <c r="G799" s="18"/>
      <c r="H799" s="18"/>
      <c r="I799" s="18"/>
      <c r="J799" s="18"/>
      <c r="K799" s="18"/>
      <c r="L799" s="18"/>
      <c r="M799" s="18"/>
      <c r="N799" s="18"/>
      <c r="O799" s="18"/>
      <c r="P799" s="18"/>
      <c r="Q799" s="18"/>
      <c r="R799" s="18"/>
      <c r="S799" s="18"/>
      <c r="T799" s="18"/>
      <c r="U799" s="18"/>
    </row>
    <row r="800" spans="1:21" x14ac:dyDescent="0.35">
      <c r="A800" s="18"/>
      <c r="B800" s="18"/>
      <c r="C800" s="18"/>
      <c r="D800" s="18"/>
      <c r="E800" s="18"/>
      <c r="F800" s="18"/>
      <c r="G800" s="18"/>
      <c r="H800" s="18"/>
      <c r="I800" s="18"/>
      <c r="J800" s="18"/>
      <c r="K800" s="18"/>
      <c r="L800" s="18"/>
      <c r="M800" s="18"/>
      <c r="N800" s="18"/>
      <c r="O800" s="18"/>
      <c r="P800" s="18"/>
      <c r="Q800" s="18"/>
      <c r="R800" s="18"/>
      <c r="S800" s="18"/>
      <c r="T800" s="18"/>
      <c r="U800" s="18"/>
    </row>
    <row r="801" spans="1:21" x14ac:dyDescent="0.35">
      <c r="A801" s="18"/>
      <c r="B801" s="18"/>
      <c r="C801" s="18"/>
      <c r="D801" s="18"/>
      <c r="E801" s="18"/>
      <c r="F801" s="18"/>
      <c r="G801" s="18"/>
      <c r="H801" s="18"/>
      <c r="I801" s="18"/>
      <c r="J801" s="18"/>
      <c r="K801" s="18"/>
      <c r="L801" s="18"/>
      <c r="M801" s="18"/>
      <c r="N801" s="18"/>
      <c r="O801" s="18"/>
      <c r="P801" s="18"/>
      <c r="Q801" s="18"/>
      <c r="R801" s="18"/>
      <c r="S801" s="18"/>
      <c r="T801" s="18"/>
      <c r="U801" s="18"/>
    </row>
    <row r="802" spans="1:21" x14ac:dyDescent="0.35">
      <c r="A802" s="18"/>
      <c r="B802" s="18"/>
      <c r="C802" s="18"/>
      <c r="D802" s="18"/>
      <c r="E802" s="18"/>
      <c r="F802" s="18"/>
      <c r="G802" s="18"/>
      <c r="H802" s="18"/>
      <c r="I802" s="18"/>
      <c r="J802" s="18"/>
      <c r="K802" s="18"/>
      <c r="L802" s="18"/>
      <c r="M802" s="18"/>
      <c r="N802" s="18"/>
      <c r="O802" s="18"/>
      <c r="P802" s="18"/>
      <c r="Q802" s="18"/>
      <c r="R802" s="18"/>
      <c r="S802" s="18"/>
      <c r="T802" s="18"/>
      <c r="U802" s="18"/>
    </row>
    <row r="803" spans="1:21" x14ac:dyDescent="0.35">
      <c r="A803" s="18"/>
      <c r="B803" s="18"/>
      <c r="C803" s="18"/>
      <c r="D803" s="18"/>
      <c r="E803" s="18"/>
      <c r="F803" s="18"/>
      <c r="G803" s="18"/>
      <c r="H803" s="18"/>
      <c r="I803" s="18"/>
      <c r="J803" s="18"/>
      <c r="K803" s="18"/>
      <c r="L803" s="18"/>
      <c r="M803" s="18"/>
      <c r="N803" s="18"/>
      <c r="O803" s="18"/>
      <c r="P803" s="18"/>
      <c r="Q803" s="18"/>
      <c r="R803" s="18"/>
      <c r="S803" s="18"/>
      <c r="T803" s="18"/>
      <c r="U803" s="18"/>
    </row>
    <row r="804" spans="1:21" x14ac:dyDescent="0.35">
      <c r="A804" s="18"/>
      <c r="B804" s="18"/>
      <c r="C804" s="18"/>
      <c r="D804" s="18"/>
      <c r="E804" s="18"/>
      <c r="F804" s="18"/>
      <c r="G804" s="18"/>
      <c r="H804" s="18"/>
      <c r="I804" s="18"/>
      <c r="J804" s="18"/>
      <c r="K804" s="18"/>
      <c r="L804" s="18"/>
      <c r="M804" s="18"/>
      <c r="N804" s="18"/>
      <c r="O804" s="18"/>
      <c r="P804" s="18"/>
      <c r="Q804" s="18"/>
      <c r="R804" s="18"/>
      <c r="S804" s="18"/>
      <c r="T804" s="18"/>
      <c r="U804" s="18"/>
    </row>
    <row r="805" spans="1:21" x14ac:dyDescent="0.35">
      <c r="A805" s="18"/>
      <c r="B805" s="18"/>
      <c r="C805" s="18"/>
      <c r="D805" s="18"/>
      <c r="E805" s="18"/>
      <c r="F805" s="18"/>
      <c r="G805" s="18"/>
      <c r="H805" s="18"/>
      <c r="I805" s="18"/>
      <c r="J805" s="18"/>
      <c r="K805" s="18"/>
      <c r="L805" s="18"/>
      <c r="M805" s="18"/>
      <c r="N805" s="18"/>
      <c r="O805" s="18"/>
      <c r="P805" s="18"/>
      <c r="Q805" s="18"/>
      <c r="R805" s="18"/>
      <c r="S805" s="18"/>
      <c r="T805" s="18"/>
      <c r="U805" s="18"/>
    </row>
    <row r="806" spans="1:21" x14ac:dyDescent="0.35">
      <c r="A806" s="18"/>
      <c r="B806" s="18"/>
      <c r="C806" s="18"/>
      <c r="D806" s="18"/>
      <c r="E806" s="18"/>
      <c r="F806" s="18"/>
      <c r="G806" s="18"/>
      <c r="H806" s="18"/>
      <c r="I806" s="18"/>
      <c r="J806" s="18"/>
      <c r="K806" s="18"/>
      <c r="L806" s="18"/>
      <c r="M806" s="18"/>
      <c r="N806" s="18"/>
      <c r="O806" s="18"/>
      <c r="P806" s="18"/>
      <c r="Q806" s="18"/>
      <c r="R806" s="18"/>
      <c r="S806" s="18"/>
      <c r="T806" s="18"/>
      <c r="U806" s="18"/>
    </row>
    <row r="807" spans="1:21" x14ac:dyDescent="0.35">
      <c r="A807" s="18"/>
      <c r="B807" s="18"/>
      <c r="C807" s="18"/>
      <c r="D807" s="18"/>
      <c r="E807" s="18"/>
      <c r="F807" s="18"/>
      <c r="G807" s="18"/>
      <c r="H807" s="18"/>
      <c r="I807" s="18"/>
      <c r="J807" s="18"/>
      <c r="K807" s="18"/>
      <c r="L807" s="18"/>
      <c r="M807" s="18"/>
      <c r="N807" s="18"/>
      <c r="O807" s="18"/>
      <c r="P807" s="18"/>
      <c r="Q807" s="18"/>
      <c r="R807" s="18"/>
      <c r="S807" s="18"/>
      <c r="T807" s="18"/>
      <c r="U807" s="18"/>
    </row>
    <row r="808" spans="1:21" x14ac:dyDescent="0.35">
      <c r="A808" s="18"/>
      <c r="B808" s="18"/>
      <c r="C808" s="18"/>
      <c r="D808" s="18"/>
      <c r="E808" s="18"/>
      <c r="F808" s="18"/>
      <c r="G808" s="18"/>
      <c r="H808" s="18"/>
      <c r="I808" s="18"/>
      <c r="J808" s="18"/>
      <c r="K808" s="18"/>
      <c r="L808" s="18"/>
      <c r="M808" s="18"/>
      <c r="N808" s="18"/>
      <c r="O808" s="18"/>
      <c r="P808" s="18"/>
      <c r="Q808" s="18"/>
      <c r="R808" s="18"/>
      <c r="S808" s="18"/>
      <c r="T808" s="18"/>
      <c r="U808" s="18"/>
    </row>
    <row r="809" spans="1:21" x14ac:dyDescent="0.35">
      <c r="A809" s="18"/>
      <c r="B809" s="18"/>
      <c r="C809" s="18"/>
      <c r="D809" s="18"/>
      <c r="E809" s="18"/>
      <c r="F809" s="18"/>
      <c r="G809" s="18"/>
      <c r="H809" s="18"/>
      <c r="I809" s="18"/>
      <c r="J809" s="18"/>
      <c r="K809" s="18"/>
      <c r="L809" s="18"/>
      <c r="M809" s="18"/>
      <c r="N809" s="18"/>
      <c r="O809" s="18"/>
      <c r="P809" s="18"/>
      <c r="Q809" s="18"/>
      <c r="R809" s="18"/>
      <c r="S809" s="18"/>
      <c r="T809" s="18"/>
      <c r="U809" s="18"/>
    </row>
    <row r="810" spans="1:21" x14ac:dyDescent="0.35">
      <c r="A810" s="18"/>
      <c r="B810" s="18"/>
      <c r="C810" s="18"/>
      <c r="D810" s="18"/>
      <c r="E810" s="18"/>
      <c r="F810" s="18"/>
      <c r="G810" s="18"/>
      <c r="H810" s="18"/>
      <c r="I810" s="18"/>
      <c r="J810" s="18"/>
      <c r="K810" s="18"/>
      <c r="L810" s="18"/>
      <c r="M810" s="18"/>
      <c r="N810" s="18"/>
      <c r="O810" s="18"/>
      <c r="P810" s="18"/>
      <c r="Q810" s="18"/>
      <c r="R810" s="18"/>
      <c r="S810" s="18"/>
      <c r="T810" s="18"/>
      <c r="U810" s="18"/>
    </row>
    <row r="811" spans="1:21" x14ac:dyDescent="0.35">
      <c r="A811" s="18"/>
      <c r="B811" s="18"/>
      <c r="C811" s="18"/>
      <c r="D811" s="18"/>
      <c r="E811" s="18"/>
      <c r="F811" s="18"/>
      <c r="G811" s="18"/>
      <c r="H811" s="18"/>
      <c r="I811" s="18"/>
      <c r="J811" s="18"/>
      <c r="K811" s="18"/>
      <c r="L811" s="18"/>
      <c r="M811" s="18"/>
      <c r="N811" s="18"/>
      <c r="O811" s="18"/>
      <c r="P811" s="18"/>
      <c r="Q811" s="18"/>
      <c r="R811" s="18"/>
      <c r="S811" s="18"/>
      <c r="T811" s="18"/>
      <c r="U811" s="18"/>
    </row>
    <row r="812" spans="1:21" x14ac:dyDescent="0.35">
      <c r="A812" s="18"/>
      <c r="B812" s="18"/>
      <c r="C812" s="18"/>
      <c r="D812" s="18"/>
      <c r="E812" s="18"/>
      <c r="F812" s="18"/>
      <c r="G812" s="18"/>
      <c r="H812" s="18"/>
      <c r="I812" s="18"/>
      <c r="J812" s="18"/>
      <c r="K812" s="18"/>
      <c r="L812" s="18"/>
      <c r="M812" s="18"/>
      <c r="N812" s="18"/>
      <c r="O812" s="18"/>
      <c r="P812" s="18"/>
      <c r="Q812" s="18"/>
      <c r="R812" s="18"/>
      <c r="S812" s="18"/>
      <c r="T812" s="18"/>
      <c r="U812" s="18"/>
    </row>
    <row r="813" spans="1:21" x14ac:dyDescent="0.35">
      <c r="A813" s="18"/>
      <c r="B813" s="18"/>
      <c r="C813" s="18"/>
      <c r="D813" s="18"/>
      <c r="E813" s="18"/>
      <c r="F813" s="18"/>
      <c r="G813" s="18"/>
      <c r="H813" s="18"/>
      <c r="I813" s="18"/>
      <c r="J813" s="18"/>
      <c r="K813" s="18"/>
      <c r="L813" s="18"/>
      <c r="M813" s="18"/>
      <c r="N813" s="18"/>
      <c r="O813" s="18"/>
      <c r="P813" s="18"/>
      <c r="Q813" s="18"/>
      <c r="R813" s="18"/>
      <c r="S813" s="18"/>
      <c r="T813" s="18"/>
      <c r="U813" s="18"/>
    </row>
    <row r="814" spans="1:21" x14ac:dyDescent="0.35">
      <c r="A814" s="18"/>
      <c r="B814" s="18"/>
      <c r="C814" s="18"/>
      <c r="D814" s="18"/>
      <c r="E814" s="18"/>
      <c r="F814" s="18"/>
      <c r="G814" s="18"/>
      <c r="H814" s="18"/>
      <c r="I814" s="18"/>
      <c r="J814" s="18"/>
      <c r="K814" s="18"/>
      <c r="L814" s="18"/>
      <c r="M814" s="18"/>
      <c r="N814" s="18"/>
      <c r="O814" s="18"/>
      <c r="P814" s="18"/>
      <c r="Q814" s="18"/>
      <c r="R814" s="18"/>
      <c r="S814" s="18"/>
      <c r="T814" s="18"/>
      <c r="U814" s="18"/>
    </row>
    <row r="815" spans="1:21" x14ac:dyDescent="0.35">
      <c r="A815" s="18"/>
      <c r="B815" s="18"/>
      <c r="C815" s="18"/>
      <c r="D815" s="18"/>
      <c r="E815" s="18"/>
      <c r="F815" s="18"/>
      <c r="G815" s="18"/>
      <c r="H815" s="18"/>
      <c r="I815" s="18"/>
      <c r="J815" s="18"/>
      <c r="K815" s="18"/>
      <c r="L815" s="18"/>
      <c r="M815" s="18"/>
      <c r="N815" s="18"/>
      <c r="O815" s="18"/>
      <c r="P815" s="18"/>
      <c r="Q815" s="18"/>
      <c r="R815" s="18"/>
      <c r="S815" s="18"/>
      <c r="T815" s="18"/>
      <c r="U815" s="18"/>
    </row>
    <row r="816" spans="1:21" x14ac:dyDescent="0.35">
      <c r="A816" s="18"/>
      <c r="B816" s="18"/>
      <c r="C816" s="18"/>
      <c r="D816" s="18"/>
      <c r="E816" s="18"/>
      <c r="F816" s="18"/>
      <c r="G816" s="18"/>
      <c r="H816" s="18"/>
      <c r="I816" s="18"/>
      <c r="J816" s="18"/>
      <c r="K816" s="18"/>
      <c r="L816" s="18"/>
      <c r="M816" s="18"/>
      <c r="N816" s="18"/>
      <c r="O816" s="18"/>
      <c r="P816" s="18"/>
      <c r="Q816" s="18"/>
      <c r="R816" s="18"/>
      <c r="S816" s="18"/>
      <c r="T816" s="18"/>
      <c r="U816" s="18"/>
    </row>
    <row r="817" spans="1:21" x14ac:dyDescent="0.35">
      <c r="A817" s="18"/>
      <c r="B817" s="18"/>
      <c r="C817" s="18"/>
      <c r="D817" s="18"/>
      <c r="E817" s="18"/>
      <c r="F817" s="18"/>
      <c r="G817" s="18"/>
      <c r="H817" s="18"/>
      <c r="I817" s="18"/>
      <c r="J817" s="18"/>
      <c r="K817" s="18"/>
      <c r="L817" s="18"/>
      <c r="M817" s="18"/>
      <c r="N817" s="18"/>
      <c r="O817" s="18"/>
      <c r="P817" s="18"/>
      <c r="Q817" s="18"/>
      <c r="R817" s="18"/>
      <c r="S817" s="18"/>
      <c r="T817" s="18"/>
      <c r="U817" s="18"/>
    </row>
    <row r="818" spans="1:21" x14ac:dyDescent="0.35">
      <c r="A818" s="18"/>
      <c r="B818" s="18"/>
      <c r="C818" s="18"/>
      <c r="D818" s="18"/>
      <c r="E818" s="18"/>
      <c r="F818" s="18"/>
      <c r="G818" s="18"/>
      <c r="H818" s="18"/>
      <c r="I818" s="18"/>
      <c r="J818" s="18"/>
      <c r="K818" s="18"/>
      <c r="L818" s="18"/>
      <c r="M818" s="18"/>
      <c r="N818" s="18"/>
      <c r="O818" s="18"/>
      <c r="P818" s="18"/>
      <c r="Q818" s="18"/>
      <c r="R818" s="18"/>
      <c r="S818" s="18"/>
      <c r="T818" s="18"/>
      <c r="U818" s="18"/>
    </row>
    <row r="819" spans="1:21" x14ac:dyDescent="0.35">
      <c r="A819" s="18"/>
      <c r="B819" s="18"/>
      <c r="C819" s="18"/>
      <c r="D819" s="18"/>
      <c r="E819" s="18"/>
      <c r="F819" s="18"/>
      <c r="G819" s="18"/>
      <c r="H819" s="18"/>
      <c r="I819" s="18"/>
      <c r="J819" s="18"/>
      <c r="K819" s="18"/>
      <c r="L819" s="18"/>
      <c r="M819" s="18"/>
      <c r="N819" s="18"/>
      <c r="O819" s="18"/>
      <c r="P819" s="18"/>
      <c r="Q819" s="18"/>
      <c r="R819" s="18"/>
      <c r="S819" s="18"/>
      <c r="T819" s="18"/>
      <c r="U819" s="18"/>
    </row>
    <row r="820" spans="1:21" x14ac:dyDescent="0.35">
      <c r="A820" s="18"/>
      <c r="B820" s="18"/>
      <c r="C820" s="18"/>
      <c r="D820" s="18"/>
      <c r="E820" s="18"/>
      <c r="F820" s="18"/>
      <c r="G820" s="18"/>
      <c r="H820" s="18"/>
      <c r="I820" s="18"/>
      <c r="J820" s="18"/>
      <c r="K820" s="18"/>
      <c r="L820" s="18"/>
      <c r="M820" s="18"/>
      <c r="N820" s="18"/>
      <c r="O820" s="18"/>
      <c r="P820" s="18"/>
      <c r="Q820" s="18"/>
      <c r="R820" s="18"/>
      <c r="S820" s="18"/>
      <c r="T820" s="18"/>
      <c r="U820" s="18"/>
    </row>
    <row r="821" spans="1:21" x14ac:dyDescent="0.35">
      <c r="A821" s="18"/>
      <c r="B821" s="18"/>
      <c r="C821" s="18"/>
      <c r="D821" s="18"/>
      <c r="E821" s="18"/>
      <c r="F821" s="18"/>
      <c r="G821" s="18"/>
      <c r="H821" s="18"/>
      <c r="I821" s="18"/>
      <c r="J821" s="18"/>
      <c r="K821" s="18"/>
      <c r="L821" s="18"/>
      <c r="M821" s="18"/>
      <c r="N821" s="18"/>
      <c r="O821" s="18"/>
      <c r="P821" s="18"/>
      <c r="Q821" s="18"/>
      <c r="R821" s="18"/>
      <c r="S821" s="18"/>
      <c r="T821" s="18"/>
      <c r="U821" s="18"/>
    </row>
    <row r="822" spans="1:21" x14ac:dyDescent="0.35">
      <c r="A822" s="18"/>
      <c r="B822" s="18"/>
      <c r="C822" s="18"/>
      <c r="D822" s="18"/>
      <c r="E822" s="18"/>
      <c r="F822" s="18"/>
      <c r="G822" s="18"/>
      <c r="H822" s="18"/>
      <c r="I822" s="18"/>
      <c r="J822" s="18"/>
      <c r="K822" s="18"/>
      <c r="L822" s="18"/>
      <c r="M822" s="18"/>
      <c r="N822" s="18"/>
      <c r="O822" s="18"/>
      <c r="P822" s="18"/>
      <c r="Q822" s="18"/>
      <c r="R822" s="18"/>
      <c r="S822" s="18"/>
      <c r="T822" s="18"/>
      <c r="U822" s="18"/>
    </row>
    <row r="823" spans="1:21" x14ac:dyDescent="0.35">
      <c r="A823" s="18"/>
      <c r="B823" s="18"/>
      <c r="C823" s="18"/>
      <c r="D823" s="18"/>
      <c r="E823" s="18"/>
      <c r="F823" s="18"/>
      <c r="G823" s="18"/>
      <c r="H823" s="18"/>
      <c r="I823" s="18"/>
      <c r="J823" s="18"/>
      <c r="K823" s="18"/>
      <c r="L823" s="18"/>
      <c r="M823" s="18"/>
      <c r="N823" s="18"/>
      <c r="O823" s="18"/>
      <c r="P823" s="18"/>
      <c r="Q823" s="18"/>
      <c r="R823" s="18"/>
      <c r="S823" s="18"/>
      <c r="T823" s="18"/>
      <c r="U823" s="18"/>
    </row>
    <row r="824" spans="1:21" x14ac:dyDescent="0.35">
      <c r="A824" s="18"/>
      <c r="B824" s="18"/>
      <c r="C824" s="18"/>
      <c r="D824" s="18"/>
      <c r="E824" s="18"/>
      <c r="F824" s="18"/>
      <c r="G824" s="18"/>
      <c r="H824" s="18"/>
      <c r="I824" s="18"/>
      <c r="J824" s="18"/>
      <c r="K824" s="18"/>
      <c r="L824" s="18"/>
      <c r="M824" s="18"/>
      <c r="N824" s="18"/>
      <c r="O824" s="18"/>
      <c r="P824" s="18"/>
      <c r="Q824" s="18"/>
      <c r="R824" s="18"/>
      <c r="S824" s="18"/>
      <c r="T824" s="18"/>
      <c r="U824" s="18"/>
    </row>
    <row r="825" spans="1:21" x14ac:dyDescent="0.35">
      <c r="A825" s="18"/>
      <c r="B825" s="18"/>
      <c r="C825" s="18"/>
      <c r="D825" s="18"/>
      <c r="E825" s="18"/>
      <c r="F825" s="18"/>
      <c r="G825" s="18"/>
      <c r="H825" s="18"/>
      <c r="I825" s="18"/>
      <c r="J825" s="18"/>
      <c r="K825" s="18"/>
      <c r="L825" s="18"/>
      <c r="M825" s="18"/>
      <c r="N825" s="18"/>
      <c r="O825" s="18"/>
      <c r="P825" s="18"/>
      <c r="Q825" s="18"/>
      <c r="R825" s="18"/>
      <c r="S825" s="18"/>
      <c r="T825" s="18"/>
      <c r="U825" s="18"/>
    </row>
    <row r="826" spans="1:21" x14ac:dyDescent="0.35">
      <c r="A826" s="18"/>
      <c r="B826" s="18"/>
      <c r="C826" s="18"/>
      <c r="D826" s="18"/>
      <c r="E826" s="18"/>
      <c r="F826" s="18"/>
      <c r="G826" s="18"/>
      <c r="H826" s="18"/>
      <c r="I826" s="18"/>
      <c r="J826" s="18"/>
      <c r="K826" s="18"/>
      <c r="L826" s="18"/>
      <c r="M826" s="18"/>
      <c r="N826" s="18"/>
      <c r="O826" s="18"/>
      <c r="P826" s="18"/>
      <c r="Q826" s="18"/>
      <c r="R826" s="18"/>
      <c r="S826" s="18"/>
      <c r="T826" s="18"/>
      <c r="U826" s="18"/>
    </row>
    <row r="827" spans="1:21" x14ac:dyDescent="0.35">
      <c r="A827" s="18"/>
      <c r="B827" s="18"/>
      <c r="C827" s="18"/>
      <c r="D827" s="18"/>
      <c r="E827" s="18"/>
      <c r="F827" s="18"/>
      <c r="G827" s="18"/>
      <c r="H827" s="18"/>
      <c r="I827" s="18"/>
      <c r="J827" s="18"/>
      <c r="K827" s="18"/>
      <c r="L827" s="18"/>
      <c r="M827" s="18"/>
      <c r="N827" s="18"/>
      <c r="O827" s="18"/>
      <c r="P827" s="18"/>
      <c r="Q827" s="18"/>
      <c r="R827" s="18"/>
      <c r="S827" s="18"/>
      <c r="T827" s="18"/>
      <c r="U827" s="18"/>
    </row>
    <row r="828" spans="1:21" x14ac:dyDescent="0.35">
      <c r="A828" s="18"/>
      <c r="B828" s="18"/>
      <c r="C828" s="18"/>
      <c r="D828" s="18"/>
      <c r="E828" s="18"/>
      <c r="F828" s="18"/>
      <c r="G828" s="18"/>
      <c r="H828" s="18"/>
      <c r="I828" s="18"/>
      <c r="J828" s="18"/>
      <c r="K828" s="18"/>
      <c r="L828" s="18"/>
      <c r="M828" s="18"/>
      <c r="N828" s="18"/>
      <c r="O828" s="18"/>
      <c r="P828" s="18"/>
      <c r="Q828" s="18"/>
      <c r="R828" s="18"/>
      <c r="S828" s="18"/>
      <c r="T828" s="18"/>
      <c r="U828" s="18"/>
    </row>
    <row r="829" spans="1:21" x14ac:dyDescent="0.35">
      <c r="A829" s="18"/>
      <c r="B829" s="18"/>
      <c r="C829" s="18"/>
      <c r="D829" s="18"/>
      <c r="E829" s="18"/>
      <c r="F829" s="18"/>
      <c r="G829" s="18"/>
      <c r="H829" s="18"/>
      <c r="I829" s="18"/>
      <c r="J829" s="18"/>
      <c r="K829" s="18"/>
      <c r="L829" s="18"/>
      <c r="M829" s="18"/>
      <c r="N829" s="18"/>
      <c r="O829" s="18"/>
      <c r="P829" s="18"/>
      <c r="Q829" s="18"/>
      <c r="R829" s="18"/>
      <c r="S829" s="18"/>
      <c r="T829" s="18"/>
      <c r="U829" s="18"/>
    </row>
    <row r="830" spans="1:21" x14ac:dyDescent="0.35">
      <c r="A830" s="18"/>
      <c r="B830" s="18"/>
      <c r="C830" s="18"/>
      <c r="D830" s="18"/>
      <c r="E830" s="18"/>
      <c r="F830" s="18"/>
      <c r="G830" s="18"/>
      <c r="H830" s="18"/>
      <c r="I830" s="18"/>
      <c r="J830" s="18"/>
      <c r="K830" s="18"/>
      <c r="L830" s="18"/>
      <c r="M830" s="18"/>
      <c r="N830" s="18"/>
      <c r="O830" s="18"/>
      <c r="P830" s="18"/>
      <c r="Q830" s="18"/>
      <c r="R830" s="18"/>
      <c r="S830" s="18"/>
      <c r="T830" s="18"/>
      <c r="U830" s="18"/>
    </row>
    <row r="831" spans="1:21" x14ac:dyDescent="0.35">
      <c r="A831" s="18"/>
      <c r="B831" s="18"/>
      <c r="C831" s="18"/>
      <c r="D831" s="18"/>
      <c r="E831" s="18"/>
      <c r="F831" s="18"/>
      <c r="G831" s="18"/>
      <c r="H831" s="18"/>
      <c r="I831" s="18"/>
      <c r="J831" s="18"/>
      <c r="K831" s="18"/>
      <c r="L831" s="18"/>
      <c r="M831" s="18"/>
      <c r="N831" s="18"/>
      <c r="O831" s="18"/>
      <c r="P831" s="18"/>
      <c r="Q831" s="18"/>
      <c r="R831" s="18"/>
      <c r="S831" s="18"/>
      <c r="T831" s="18"/>
      <c r="U831" s="18"/>
    </row>
    <row r="832" spans="1:21" x14ac:dyDescent="0.35">
      <c r="A832" s="18"/>
      <c r="B832" s="18"/>
      <c r="C832" s="18"/>
      <c r="D832" s="18"/>
      <c r="E832" s="18"/>
      <c r="F832" s="18"/>
      <c r="G832" s="18"/>
      <c r="H832" s="18"/>
      <c r="I832" s="18"/>
      <c r="J832" s="18"/>
      <c r="K832" s="18"/>
      <c r="L832" s="18"/>
      <c r="M832" s="18"/>
      <c r="N832" s="18"/>
      <c r="O832" s="18"/>
      <c r="P832" s="18"/>
      <c r="Q832" s="18"/>
      <c r="R832" s="18"/>
      <c r="S832" s="18"/>
      <c r="T832" s="18"/>
      <c r="U832" s="18"/>
    </row>
    <row r="833" spans="1:21" x14ac:dyDescent="0.35">
      <c r="A833" s="18"/>
      <c r="B833" s="18"/>
      <c r="C833" s="18"/>
      <c r="D833" s="18"/>
      <c r="E833" s="18"/>
      <c r="F833" s="18"/>
      <c r="G833" s="18"/>
      <c r="H833" s="18"/>
      <c r="I833" s="18"/>
      <c r="J833" s="18"/>
      <c r="K833" s="18"/>
      <c r="L833" s="18"/>
      <c r="M833" s="18"/>
      <c r="N833" s="18"/>
      <c r="O833" s="18"/>
      <c r="P833" s="18"/>
      <c r="Q833" s="18"/>
      <c r="R833" s="18"/>
      <c r="S833" s="18"/>
      <c r="T833" s="18"/>
      <c r="U833" s="18"/>
    </row>
    <row r="834" spans="1:21" x14ac:dyDescent="0.35">
      <c r="A834" s="18"/>
      <c r="B834" s="18"/>
      <c r="C834" s="18"/>
      <c r="D834" s="18"/>
      <c r="E834" s="18"/>
      <c r="F834" s="18"/>
      <c r="G834" s="18"/>
      <c r="H834" s="18"/>
      <c r="I834" s="18"/>
      <c r="J834" s="18"/>
      <c r="K834" s="18"/>
      <c r="L834" s="18"/>
      <c r="M834" s="18"/>
      <c r="N834" s="18"/>
      <c r="O834" s="18"/>
      <c r="P834" s="18"/>
      <c r="Q834" s="18"/>
      <c r="R834" s="18"/>
      <c r="S834" s="18"/>
      <c r="T834" s="18"/>
      <c r="U834" s="18"/>
    </row>
    <row r="835" spans="1:21" x14ac:dyDescent="0.35">
      <c r="A835" s="18"/>
      <c r="B835" s="18"/>
      <c r="C835" s="18"/>
      <c r="D835" s="18"/>
      <c r="E835" s="18"/>
      <c r="F835" s="18"/>
      <c r="G835" s="18"/>
      <c r="H835" s="18"/>
      <c r="I835" s="18"/>
      <c r="J835" s="18"/>
      <c r="K835" s="18"/>
      <c r="L835" s="18"/>
      <c r="M835" s="18"/>
      <c r="N835" s="18"/>
      <c r="O835" s="18"/>
      <c r="P835" s="18"/>
      <c r="Q835" s="18"/>
      <c r="R835" s="18"/>
      <c r="S835" s="18"/>
      <c r="T835" s="18"/>
      <c r="U835" s="18"/>
    </row>
    <row r="836" spans="1:21" x14ac:dyDescent="0.35">
      <c r="A836" s="18"/>
      <c r="B836" s="18"/>
      <c r="C836" s="18"/>
      <c r="D836" s="18"/>
      <c r="E836" s="18"/>
      <c r="F836" s="18"/>
      <c r="G836" s="18"/>
      <c r="H836" s="18"/>
      <c r="I836" s="18"/>
      <c r="J836" s="18"/>
      <c r="K836" s="18"/>
      <c r="L836" s="18"/>
      <c r="M836" s="18"/>
      <c r="N836" s="18"/>
      <c r="O836" s="18"/>
      <c r="P836" s="18"/>
      <c r="Q836" s="18"/>
      <c r="R836" s="18"/>
      <c r="S836" s="18"/>
      <c r="T836" s="18"/>
      <c r="U836" s="18"/>
    </row>
    <row r="837" spans="1:21" x14ac:dyDescent="0.35">
      <c r="A837" s="18"/>
      <c r="B837" s="18"/>
      <c r="C837" s="18"/>
      <c r="D837" s="18"/>
      <c r="E837" s="18"/>
      <c r="F837" s="18"/>
      <c r="G837" s="18"/>
      <c r="H837" s="18"/>
      <c r="I837" s="18"/>
      <c r="J837" s="18"/>
      <c r="K837" s="18"/>
      <c r="L837" s="18"/>
      <c r="M837" s="18"/>
      <c r="N837" s="18"/>
      <c r="O837" s="18"/>
      <c r="P837" s="18"/>
      <c r="Q837" s="18"/>
      <c r="R837" s="18"/>
      <c r="S837" s="18"/>
      <c r="T837" s="18"/>
      <c r="U837" s="18"/>
    </row>
    <row r="838" spans="1:21" x14ac:dyDescent="0.35">
      <c r="A838" s="18"/>
      <c r="B838" s="18"/>
      <c r="C838" s="18"/>
      <c r="D838" s="18"/>
      <c r="E838" s="18"/>
      <c r="F838" s="18"/>
      <c r="G838" s="18"/>
      <c r="H838" s="18"/>
      <c r="I838" s="18"/>
      <c r="J838" s="18"/>
      <c r="K838" s="18"/>
      <c r="L838" s="18"/>
      <c r="M838" s="18"/>
      <c r="N838" s="18"/>
      <c r="O838" s="18"/>
      <c r="P838" s="18"/>
      <c r="Q838" s="18"/>
      <c r="R838" s="18"/>
      <c r="S838" s="18"/>
      <c r="T838" s="18"/>
      <c r="U838" s="18"/>
    </row>
    <row r="839" spans="1:21" x14ac:dyDescent="0.35">
      <c r="A839" s="18"/>
      <c r="B839" s="18"/>
      <c r="C839" s="18"/>
      <c r="D839" s="18"/>
      <c r="E839" s="18"/>
      <c r="F839" s="18"/>
      <c r="G839" s="18"/>
      <c r="H839" s="18"/>
      <c r="I839" s="18"/>
      <c r="J839" s="18"/>
      <c r="K839" s="18"/>
      <c r="L839" s="18"/>
      <c r="M839" s="18"/>
      <c r="N839" s="18"/>
      <c r="O839" s="18"/>
      <c r="P839" s="18"/>
      <c r="Q839" s="18"/>
      <c r="R839" s="18"/>
      <c r="S839" s="18"/>
      <c r="T839" s="18"/>
      <c r="U839" s="18"/>
    </row>
    <row r="840" spans="1:21" x14ac:dyDescent="0.35">
      <c r="A840" s="18"/>
      <c r="B840" s="18"/>
      <c r="C840" s="18"/>
      <c r="D840" s="18"/>
      <c r="E840" s="18"/>
      <c r="F840" s="18"/>
      <c r="G840" s="18"/>
      <c r="H840" s="18"/>
      <c r="I840" s="18"/>
      <c r="J840" s="18"/>
      <c r="K840" s="18"/>
      <c r="L840" s="18"/>
      <c r="M840" s="18"/>
      <c r="N840" s="18"/>
      <c r="O840" s="18"/>
      <c r="P840" s="18"/>
      <c r="Q840" s="18"/>
      <c r="R840" s="18"/>
      <c r="S840" s="18"/>
      <c r="T840" s="18"/>
      <c r="U840" s="18"/>
    </row>
    <row r="841" spans="1:21" x14ac:dyDescent="0.35">
      <c r="A841" s="18"/>
      <c r="B841" s="18"/>
      <c r="C841" s="18"/>
      <c r="D841" s="18"/>
      <c r="E841" s="18"/>
      <c r="F841" s="18"/>
      <c r="G841" s="18"/>
      <c r="H841" s="18"/>
      <c r="I841" s="18"/>
      <c r="J841" s="18"/>
      <c r="K841" s="18"/>
      <c r="L841" s="18"/>
      <c r="M841" s="18"/>
      <c r="N841" s="18"/>
      <c r="O841" s="18"/>
      <c r="P841" s="18"/>
      <c r="Q841" s="18"/>
      <c r="R841" s="18"/>
      <c r="S841" s="18"/>
      <c r="T841" s="18"/>
      <c r="U841" s="18"/>
    </row>
    <row r="842" spans="1:21" x14ac:dyDescent="0.35">
      <c r="A842" s="18"/>
      <c r="B842" s="18"/>
      <c r="C842" s="18"/>
      <c r="D842" s="18"/>
      <c r="E842" s="18"/>
      <c r="F842" s="18"/>
      <c r="G842" s="18"/>
      <c r="H842" s="18"/>
      <c r="I842" s="18"/>
      <c r="J842" s="18"/>
      <c r="K842" s="18"/>
      <c r="L842" s="18"/>
      <c r="M842" s="18"/>
      <c r="N842" s="18"/>
      <c r="O842" s="18"/>
      <c r="P842" s="18"/>
      <c r="Q842" s="18"/>
      <c r="R842" s="18"/>
      <c r="S842" s="18"/>
      <c r="T842" s="18"/>
      <c r="U842" s="18"/>
    </row>
    <row r="843" spans="1:21" x14ac:dyDescent="0.35">
      <c r="A843" s="18"/>
      <c r="B843" s="18"/>
      <c r="C843" s="18"/>
      <c r="D843" s="18"/>
      <c r="E843" s="18"/>
      <c r="F843" s="18"/>
      <c r="G843" s="18"/>
      <c r="H843" s="18"/>
      <c r="I843" s="18"/>
      <c r="J843" s="18"/>
      <c r="K843" s="18"/>
      <c r="L843" s="18"/>
      <c r="M843" s="18"/>
      <c r="N843" s="18"/>
      <c r="O843" s="18"/>
      <c r="P843" s="18"/>
      <c r="Q843" s="18"/>
      <c r="R843" s="18"/>
      <c r="S843" s="18"/>
      <c r="T843" s="18"/>
      <c r="U843" s="18"/>
    </row>
    <row r="844" spans="1:21" x14ac:dyDescent="0.35">
      <c r="A844" s="18"/>
      <c r="B844" s="18"/>
      <c r="C844" s="18"/>
      <c r="D844" s="18"/>
      <c r="E844" s="18"/>
      <c r="F844" s="18"/>
      <c r="G844" s="18"/>
      <c r="H844" s="18"/>
      <c r="I844" s="18"/>
      <c r="J844" s="18"/>
      <c r="K844" s="18"/>
      <c r="L844" s="18"/>
      <c r="M844" s="18"/>
      <c r="N844" s="18"/>
      <c r="O844" s="18"/>
      <c r="P844" s="18"/>
      <c r="Q844" s="18"/>
      <c r="R844" s="18"/>
      <c r="S844" s="18"/>
      <c r="T844" s="18"/>
      <c r="U844" s="18"/>
    </row>
    <row r="845" spans="1:21" x14ac:dyDescent="0.35">
      <c r="A845" s="18"/>
      <c r="B845" s="18"/>
      <c r="C845" s="18"/>
      <c r="D845" s="18"/>
      <c r="E845" s="18"/>
      <c r="F845" s="18"/>
      <c r="G845" s="18"/>
      <c r="H845" s="18"/>
      <c r="I845" s="18"/>
      <c r="J845" s="18"/>
      <c r="K845" s="18"/>
      <c r="L845" s="18"/>
      <c r="M845" s="18"/>
      <c r="N845" s="18"/>
      <c r="O845" s="18"/>
      <c r="P845" s="18"/>
      <c r="Q845" s="18"/>
      <c r="R845" s="18"/>
      <c r="S845" s="18"/>
      <c r="T845" s="18"/>
      <c r="U845" s="18"/>
    </row>
    <row r="846" spans="1:21" x14ac:dyDescent="0.35">
      <c r="A846" s="18"/>
      <c r="B846" s="18"/>
      <c r="C846" s="18"/>
      <c r="D846" s="18"/>
      <c r="E846" s="18"/>
      <c r="F846" s="18"/>
      <c r="G846" s="18"/>
      <c r="H846" s="18"/>
      <c r="I846" s="18"/>
      <c r="J846" s="18"/>
      <c r="K846" s="18"/>
      <c r="L846" s="18"/>
      <c r="M846" s="18"/>
      <c r="N846" s="18"/>
      <c r="O846" s="18"/>
      <c r="P846" s="18"/>
      <c r="Q846" s="18"/>
      <c r="R846" s="18"/>
      <c r="S846" s="18"/>
      <c r="T846" s="18"/>
      <c r="U846" s="18"/>
    </row>
    <row r="847" spans="1:21" x14ac:dyDescent="0.35">
      <c r="A847" s="18"/>
      <c r="B847" s="18"/>
      <c r="C847" s="18"/>
      <c r="D847" s="18"/>
      <c r="E847" s="18"/>
      <c r="F847" s="18"/>
      <c r="G847" s="18"/>
      <c r="H847" s="18"/>
      <c r="I847" s="18"/>
      <c r="J847" s="18"/>
      <c r="K847" s="18"/>
      <c r="L847" s="18"/>
      <c r="M847" s="18"/>
      <c r="N847" s="18"/>
      <c r="O847" s="18"/>
      <c r="P847" s="18"/>
      <c r="Q847" s="18"/>
      <c r="R847" s="18"/>
      <c r="S847" s="18"/>
      <c r="T847" s="18"/>
      <c r="U847" s="18"/>
    </row>
    <row r="848" spans="1:21" x14ac:dyDescent="0.35">
      <c r="A848" s="18"/>
      <c r="B848" s="18"/>
      <c r="C848" s="18"/>
      <c r="D848" s="18"/>
      <c r="E848" s="18"/>
      <c r="F848" s="18"/>
      <c r="G848" s="18"/>
      <c r="H848" s="18"/>
      <c r="I848" s="18"/>
      <c r="J848" s="18"/>
      <c r="K848" s="18"/>
      <c r="L848" s="18"/>
      <c r="M848" s="18"/>
      <c r="N848" s="18"/>
      <c r="O848" s="18"/>
      <c r="P848" s="18"/>
      <c r="Q848" s="18"/>
      <c r="R848" s="18"/>
      <c r="S848" s="18"/>
      <c r="T848" s="18"/>
      <c r="U848" s="18"/>
    </row>
    <row r="849" spans="1:21" x14ac:dyDescent="0.35">
      <c r="A849" s="18"/>
      <c r="B849" s="18"/>
      <c r="C849" s="18"/>
      <c r="D849" s="18"/>
      <c r="E849" s="18"/>
      <c r="F849" s="18"/>
      <c r="G849" s="18"/>
      <c r="H849" s="18"/>
      <c r="I849" s="18"/>
      <c r="J849" s="18"/>
      <c r="K849" s="18"/>
      <c r="L849" s="18"/>
      <c r="M849" s="18"/>
      <c r="N849" s="18"/>
      <c r="O849" s="18"/>
      <c r="P849" s="18"/>
      <c r="Q849" s="18"/>
      <c r="R849" s="18"/>
      <c r="S849" s="18"/>
      <c r="T849" s="18"/>
      <c r="U849" s="18"/>
    </row>
    <row r="850" spans="1:21" x14ac:dyDescent="0.35">
      <c r="A850" s="18"/>
      <c r="B850" s="18"/>
      <c r="C850" s="18"/>
      <c r="D850" s="18"/>
      <c r="E850" s="18"/>
      <c r="F850" s="18"/>
      <c r="G850" s="18"/>
      <c r="H850" s="18"/>
      <c r="I850" s="18"/>
      <c r="J850" s="18"/>
      <c r="K850" s="18"/>
      <c r="L850" s="18"/>
      <c r="M850" s="18"/>
      <c r="N850" s="18"/>
      <c r="O850" s="18"/>
      <c r="P850" s="18"/>
      <c r="Q850" s="18"/>
      <c r="R850" s="18"/>
      <c r="S850" s="18"/>
      <c r="T850" s="18"/>
      <c r="U850" s="18"/>
    </row>
    <row r="851" spans="1:21" x14ac:dyDescent="0.35">
      <c r="A851" s="18"/>
      <c r="B851" s="18"/>
      <c r="C851" s="18"/>
      <c r="D851" s="18"/>
      <c r="E851" s="18"/>
      <c r="F851" s="18"/>
      <c r="G851" s="18"/>
      <c r="H851" s="18"/>
      <c r="I851" s="18"/>
      <c r="J851" s="18"/>
      <c r="K851" s="18"/>
      <c r="L851" s="18"/>
      <c r="M851" s="18"/>
      <c r="N851" s="18"/>
      <c r="O851" s="18"/>
      <c r="P851" s="18"/>
      <c r="Q851" s="18"/>
      <c r="R851" s="18"/>
      <c r="S851" s="18"/>
      <c r="T851" s="18"/>
      <c r="U851" s="18"/>
    </row>
    <row r="852" spans="1:21" x14ac:dyDescent="0.35">
      <c r="A852" s="18"/>
      <c r="B852" s="18"/>
      <c r="C852" s="18"/>
      <c r="D852" s="18"/>
      <c r="E852" s="18"/>
      <c r="F852" s="18"/>
      <c r="G852" s="18"/>
      <c r="H852" s="18"/>
      <c r="I852" s="18"/>
      <c r="J852" s="18"/>
      <c r="K852" s="18"/>
      <c r="L852" s="18"/>
      <c r="M852" s="18"/>
      <c r="N852" s="18"/>
      <c r="O852" s="18"/>
      <c r="P852" s="18"/>
      <c r="Q852" s="18"/>
      <c r="R852" s="18"/>
      <c r="S852" s="18"/>
      <c r="T852" s="18"/>
      <c r="U852" s="18"/>
    </row>
    <row r="853" spans="1:21" x14ac:dyDescent="0.35">
      <c r="A853" s="18"/>
      <c r="B853" s="18"/>
      <c r="C853" s="18"/>
      <c r="D853" s="18"/>
      <c r="E853" s="18"/>
      <c r="F853" s="18"/>
      <c r="G853" s="18"/>
      <c r="H853" s="18"/>
      <c r="I853" s="18"/>
      <c r="J853" s="18"/>
      <c r="K853" s="18"/>
      <c r="L853" s="18"/>
      <c r="M853" s="18"/>
      <c r="N853" s="18"/>
      <c r="O853" s="18"/>
      <c r="P853" s="18"/>
      <c r="Q853" s="18"/>
      <c r="R853" s="18"/>
      <c r="S853" s="18"/>
      <c r="T853" s="18"/>
      <c r="U853" s="18"/>
    </row>
    <row r="854" spans="1:21" x14ac:dyDescent="0.35">
      <c r="A854" s="18"/>
      <c r="B854" s="18"/>
      <c r="C854" s="18"/>
      <c r="D854" s="18"/>
      <c r="E854" s="18"/>
      <c r="F854" s="18"/>
      <c r="G854" s="18"/>
      <c r="H854" s="18"/>
      <c r="I854" s="18"/>
      <c r="J854" s="18"/>
      <c r="K854" s="18"/>
      <c r="L854" s="18"/>
      <c r="M854" s="18"/>
      <c r="N854" s="18"/>
      <c r="O854" s="18"/>
      <c r="P854" s="18"/>
      <c r="Q854" s="18"/>
      <c r="R854" s="18"/>
      <c r="S854" s="18"/>
      <c r="T854" s="18"/>
      <c r="U854" s="18"/>
    </row>
    <row r="855" spans="1:21" x14ac:dyDescent="0.35">
      <c r="A855" s="18"/>
      <c r="B855" s="18"/>
      <c r="C855" s="18"/>
      <c r="D855" s="18"/>
      <c r="E855" s="18"/>
      <c r="F855" s="18"/>
      <c r="G855" s="18"/>
      <c r="H855" s="18"/>
      <c r="I855" s="18"/>
      <c r="J855" s="18"/>
      <c r="K855" s="18"/>
      <c r="L855" s="18"/>
      <c r="M855" s="18"/>
      <c r="N855" s="18"/>
      <c r="O855" s="18"/>
      <c r="P855" s="18"/>
      <c r="Q855" s="18"/>
      <c r="R855" s="18"/>
      <c r="S855" s="18"/>
      <c r="T855" s="18"/>
      <c r="U855" s="18"/>
    </row>
    <row r="856" spans="1:21" x14ac:dyDescent="0.35">
      <c r="A856" s="18"/>
      <c r="B856" s="18"/>
      <c r="C856" s="18"/>
      <c r="D856" s="18"/>
      <c r="E856" s="18"/>
      <c r="F856" s="18"/>
      <c r="G856" s="18"/>
      <c r="H856" s="18"/>
      <c r="I856" s="18"/>
      <c r="J856" s="18"/>
      <c r="K856" s="18"/>
      <c r="L856" s="18"/>
      <c r="M856" s="18"/>
      <c r="N856" s="18"/>
      <c r="O856" s="18"/>
      <c r="P856" s="18"/>
      <c r="Q856" s="18"/>
      <c r="R856" s="18"/>
      <c r="S856" s="18"/>
      <c r="T856" s="18"/>
      <c r="U856" s="18"/>
    </row>
    <row r="857" spans="1:21" x14ac:dyDescent="0.35">
      <c r="A857" s="18"/>
      <c r="B857" s="18"/>
      <c r="C857" s="18"/>
      <c r="D857" s="18"/>
      <c r="E857" s="18"/>
      <c r="F857" s="18"/>
      <c r="G857" s="18"/>
      <c r="H857" s="18"/>
      <c r="I857" s="18"/>
      <c r="J857" s="18"/>
      <c r="K857" s="18"/>
      <c r="L857" s="18"/>
      <c r="M857" s="18"/>
      <c r="N857" s="18"/>
      <c r="O857" s="18"/>
      <c r="P857" s="18"/>
      <c r="Q857" s="18"/>
      <c r="R857" s="18"/>
      <c r="S857" s="18"/>
      <c r="T857" s="18"/>
      <c r="U857" s="18"/>
    </row>
    <row r="858" spans="1:21" x14ac:dyDescent="0.35">
      <c r="A858" s="18"/>
      <c r="B858" s="18"/>
      <c r="C858" s="18"/>
      <c r="D858" s="18"/>
      <c r="E858" s="18"/>
      <c r="F858" s="18"/>
      <c r="G858" s="18"/>
      <c r="H858" s="18"/>
      <c r="I858" s="18"/>
      <c r="J858" s="18"/>
      <c r="K858" s="18"/>
      <c r="L858" s="18"/>
      <c r="M858" s="18"/>
      <c r="N858" s="18"/>
      <c r="O858" s="18"/>
      <c r="P858" s="18"/>
      <c r="Q858" s="18"/>
      <c r="R858" s="18"/>
      <c r="S858" s="18"/>
      <c r="T858" s="18"/>
      <c r="U858" s="18"/>
    </row>
    <row r="859" spans="1:21" x14ac:dyDescent="0.35">
      <c r="A859" s="18"/>
      <c r="B859" s="18"/>
      <c r="C859" s="18"/>
      <c r="D859" s="18"/>
      <c r="E859" s="18"/>
      <c r="F859" s="18"/>
      <c r="G859" s="18"/>
      <c r="H859" s="18"/>
      <c r="I859" s="18"/>
      <c r="J859" s="18"/>
      <c r="K859" s="18"/>
      <c r="L859" s="18"/>
      <c r="M859" s="18"/>
      <c r="N859" s="18"/>
      <c r="O859" s="18"/>
      <c r="P859" s="18"/>
      <c r="Q859" s="18"/>
      <c r="R859" s="18"/>
      <c r="S859" s="18"/>
      <c r="T859" s="18"/>
      <c r="U859" s="18"/>
    </row>
    <row r="860" spans="1:21" x14ac:dyDescent="0.35">
      <c r="A860" s="18"/>
      <c r="B860" s="18"/>
      <c r="C860" s="18"/>
      <c r="D860" s="18"/>
      <c r="E860" s="18"/>
      <c r="F860" s="18"/>
      <c r="G860" s="18"/>
      <c r="H860" s="18"/>
      <c r="I860" s="18"/>
      <c r="J860" s="18"/>
      <c r="K860" s="18"/>
      <c r="L860" s="18"/>
      <c r="M860" s="18"/>
      <c r="N860" s="18"/>
      <c r="O860" s="18"/>
      <c r="P860" s="18"/>
      <c r="Q860" s="18"/>
      <c r="R860" s="18"/>
      <c r="S860" s="18"/>
      <c r="T860" s="18"/>
      <c r="U860" s="18"/>
    </row>
    <row r="861" spans="1:21" x14ac:dyDescent="0.35">
      <c r="A861" s="18"/>
      <c r="B861" s="18"/>
      <c r="C861" s="18"/>
      <c r="D861" s="18"/>
      <c r="E861" s="18"/>
      <c r="F861" s="18"/>
      <c r="G861" s="18"/>
      <c r="H861" s="18"/>
      <c r="I861" s="18"/>
      <c r="J861" s="18"/>
      <c r="K861" s="18"/>
      <c r="L861" s="18"/>
      <c r="M861" s="18"/>
      <c r="N861" s="18"/>
      <c r="O861" s="18"/>
      <c r="P861" s="18"/>
      <c r="Q861" s="18"/>
      <c r="R861" s="18"/>
      <c r="S861" s="18"/>
      <c r="T861" s="18"/>
      <c r="U861" s="18"/>
    </row>
    <row r="862" spans="1:21" x14ac:dyDescent="0.35">
      <c r="A862" s="18"/>
      <c r="B862" s="18"/>
      <c r="C862" s="18"/>
      <c r="D862" s="18"/>
      <c r="E862" s="18"/>
      <c r="F862" s="18"/>
      <c r="G862" s="18"/>
      <c r="H862" s="18"/>
      <c r="I862" s="18"/>
      <c r="J862" s="18"/>
      <c r="K862" s="18"/>
      <c r="L862" s="18"/>
      <c r="M862" s="18"/>
      <c r="N862" s="18"/>
      <c r="O862" s="18"/>
      <c r="P862" s="18"/>
      <c r="Q862" s="18"/>
      <c r="R862" s="18"/>
      <c r="S862" s="18"/>
      <c r="T862" s="18"/>
      <c r="U862" s="18"/>
    </row>
    <row r="863" spans="1:21" x14ac:dyDescent="0.35">
      <c r="A863" s="18"/>
      <c r="B863" s="18"/>
      <c r="C863" s="18"/>
      <c r="D863" s="18"/>
      <c r="E863" s="18"/>
      <c r="F863" s="18"/>
      <c r="G863" s="18"/>
      <c r="H863" s="18"/>
      <c r="I863" s="18"/>
      <c r="J863" s="18"/>
      <c r="K863" s="18"/>
      <c r="L863" s="18"/>
      <c r="M863" s="18"/>
      <c r="N863" s="18"/>
      <c r="O863" s="18"/>
      <c r="P863" s="18"/>
      <c r="Q863" s="18"/>
      <c r="R863" s="18"/>
      <c r="S863" s="18"/>
      <c r="T863" s="18"/>
      <c r="U863" s="18"/>
    </row>
    <row r="864" spans="1:21" x14ac:dyDescent="0.35">
      <c r="A864" s="18"/>
      <c r="B864" s="18"/>
      <c r="C864" s="18"/>
      <c r="D864" s="18"/>
      <c r="E864" s="18"/>
      <c r="F864" s="18"/>
      <c r="G864" s="18"/>
      <c r="H864" s="18"/>
      <c r="I864" s="18"/>
      <c r="J864" s="18"/>
      <c r="K864" s="18"/>
      <c r="L864" s="18"/>
      <c r="M864" s="18"/>
      <c r="N864" s="18"/>
      <c r="O864" s="18"/>
      <c r="P864" s="18"/>
      <c r="Q864" s="18"/>
      <c r="R864" s="18"/>
      <c r="S864" s="18"/>
      <c r="T864" s="18"/>
      <c r="U864" s="18"/>
    </row>
    <row r="865" spans="1:21" x14ac:dyDescent="0.35">
      <c r="A865" s="18"/>
      <c r="B865" s="18"/>
      <c r="C865" s="18"/>
      <c r="D865" s="18"/>
      <c r="E865" s="18"/>
      <c r="F865" s="18"/>
      <c r="G865" s="18"/>
      <c r="H865" s="18"/>
      <c r="I865" s="18"/>
      <c r="J865" s="18"/>
      <c r="K865" s="18"/>
      <c r="L865" s="18"/>
      <c r="M865" s="18"/>
      <c r="N865" s="18"/>
      <c r="O865" s="18"/>
      <c r="P865" s="18"/>
      <c r="Q865" s="18"/>
      <c r="R865" s="18"/>
      <c r="S865" s="18"/>
      <c r="T865" s="18"/>
      <c r="U865" s="18"/>
    </row>
    <row r="866" spans="1:21" x14ac:dyDescent="0.35">
      <c r="A866" s="18"/>
      <c r="B866" s="18"/>
      <c r="C866" s="18"/>
      <c r="D866" s="18"/>
      <c r="E866" s="18"/>
      <c r="F866" s="18"/>
      <c r="G866" s="18"/>
      <c r="H866" s="18"/>
      <c r="I866" s="18"/>
      <c r="J866" s="18"/>
      <c r="K866" s="18"/>
      <c r="L866" s="18"/>
      <c r="M866" s="18"/>
      <c r="N866" s="18"/>
      <c r="O866" s="18"/>
      <c r="P866" s="18"/>
      <c r="Q866" s="18"/>
      <c r="R866" s="18"/>
      <c r="S866" s="18"/>
      <c r="T866" s="18"/>
      <c r="U866" s="18"/>
    </row>
    <row r="867" spans="1:21" x14ac:dyDescent="0.35">
      <c r="A867" s="18"/>
      <c r="B867" s="18"/>
      <c r="C867" s="18"/>
      <c r="D867" s="18"/>
      <c r="E867" s="18"/>
      <c r="F867" s="18"/>
      <c r="G867" s="18"/>
      <c r="H867" s="18"/>
      <c r="I867" s="18"/>
      <c r="J867" s="18"/>
      <c r="K867" s="18"/>
      <c r="L867" s="18"/>
      <c r="M867" s="18"/>
      <c r="N867" s="18"/>
      <c r="O867" s="18"/>
      <c r="P867" s="18"/>
      <c r="Q867" s="18"/>
      <c r="R867" s="18"/>
      <c r="S867" s="18"/>
      <c r="T867" s="18"/>
      <c r="U867" s="18"/>
    </row>
    <row r="868" spans="1:21" x14ac:dyDescent="0.35">
      <c r="A868" s="18"/>
      <c r="B868" s="18"/>
      <c r="C868" s="18"/>
      <c r="D868" s="18"/>
      <c r="E868" s="18"/>
      <c r="F868" s="18"/>
      <c r="G868" s="18"/>
      <c r="H868" s="18"/>
      <c r="I868" s="18"/>
      <c r="J868" s="18"/>
      <c r="K868" s="18"/>
      <c r="L868" s="18"/>
      <c r="M868" s="18"/>
      <c r="N868" s="18"/>
      <c r="O868" s="18"/>
      <c r="P868" s="18"/>
      <c r="Q868" s="18"/>
      <c r="R868" s="18"/>
      <c r="S868" s="18"/>
      <c r="T868" s="18"/>
      <c r="U868" s="18"/>
    </row>
    <row r="869" spans="1:21" x14ac:dyDescent="0.35">
      <c r="A869" s="18"/>
      <c r="B869" s="18"/>
      <c r="C869" s="18"/>
      <c r="D869" s="18"/>
      <c r="E869" s="18"/>
      <c r="F869" s="18"/>
      <c r="G869" s="18"/>
      <c r="H869" s="18"/>
      <c r="I869" s="18"/>
      <c r="J869" s="18"/>
      <c r="K869" s="18"/>
      <c r="L869" s="18"/>
      <c r="M869" s="18"/>
      <c r="N869" s="18"/>
      <c r="O869" s="18"/>
      <c r="P869" s="18"/>
      <c r="Q869" s="18"/>
      <c r="R869" s="18"/>
      <c r="S869" s="18"/>
      <c r="T869" s="18"/>
      <c r="U869" s="18"/>
    </row>
    <row r="870" spans="1:21" x14ac:dyDescent="0.35">
      <c r="A870" s="18"/>
      <c r="B870" s="18"/>
      <c r="C870" s="18"/>
      <c r="D870" s="18"/>
      <c r="E870" s="18"/>
      <c r="F870" s="18"/>
      <c r="G870" s="18"/>
      <c r="H870" s="18"/>
      <c r="I870" s="18"/>
      <c r="J870" s="18"/>
      <c r="K870" s="18"/>
      <c r="L870" s="18"/>
      <c r="M870" s="18"/>
      <c r="N870" s="18"/>
      <c r="O870" s="18"/>
      <c r="P870" s="18"/>
      <c r="Q870" s="18"/>
      <c r="R870" s="18"/>
      <c r="S870" s="18"/>
      <c r="T870" s="18"/>
      <c r="U870" s="18"/>
    </row>
    <row r="871" spans="1:21" x14ac:dyDescent="0.35">
      <c r="A871" s="18"/>
      <c r="B871" s="18"/>
      <c r="C871" s="18"/>
      <c r="D871" s="18"/>
      <c r="E871" s="18"/>
      <c r="F871" s="18"/>
      <c r="G871" s="18"/>
      <c r="H871" s="18"/>
      <c r="I871" s="18"/>
      <c r="J871" s="18"/>
      <c r="K871" s="18"/>
      <c r="L871" s="18"/>
      <c r="M871" s="18"/>
      <c r="N871" s="18"/>
      <c r="O871" s="18"/>
      <c r="P871" s="18"/>
      <c r="Q871" s="18"/>
      <c r="R871" s="18"/>
      <c r="S871" s="18"/>
      <c r="T871" s="18"/>
      <c r="U871" s="18"/>
    </row>
    <row r="872" spans="1:21" x14ac:dyDescent="0.35">
      <c r="A872" s="18"/>
      <c r="B872" s="18"/>
      <c r="C872" s="18"/>
      <c r="D872" s="18"/>
      <c r="E872" s="18"/>
      <c r="F872" s="18"/>
      <c r="G872" s="18"/>
      <c r="H872" s="18"/>
      <c r="I872" s="18"/>
      <c r="J872" s="18"/>
      <c r="K872" s="18"/>
      <c r="L872" s="18"/>
      <c r="M872" s="18"/>
      <c r="N872" s="18"/>
      <c r="O872" s="18"/>
      <c r="P872" s="18"/>
      <c r="Q872" s="18"/>
      <c r="R872" s="18"/>
      <c r="S872" s="18"/>
      <c r="T872" s="18"/>
      <c r="U872" s="18"/>
    </row>
    <row r="873" spans="1:21" x14ac:dyDescent="0.35">
      <c r="A873" s="18"/>
      <c r="B873" s="18"/>
      <c r="C873" s="18"/>
      <c r="D873" s="18"/>
      <c r="E873" s="18"/>
      <c r="F873" s="18"/>
      <c r="G873" s="18"/>
      <c r="H873" s="18"/>
      <c r="I873" s="18"/>
      <c r="J873" s="18"/>
      <c r="K873" s="18"/>
      <c r="L873" s="18"/>
      <c r="M873" s="18"/>
      <c r="N873" s="18"/>
      <c r="O873" s="18"/>
      <c r="P873" s="18"/>
      <c r="Q873" s="18"/>
      <c r="R873" s="18"/>
      <c r="S873" s="18"/>
      <c r="T873" s="18"/>
      <c r="U873" s="18"/>
    </row>
    <row r="874" spans="1:21" x14ac:dyDescent="0.35">
      <c r="A874" s="18"/>
      <c r="B874" s="18"/>
      <c r="C874" s="18"/>
      <c r="D874" s="18"/>
      <c r="E874" s="18"/>
      <c r="F874" s="18"/>
      <c r="G874" s="18"/>
      <c r="H874" s="18"/>
      <c r="I874" s="18"/>
      <c r="J874" s="18"/>
      <c r="K874" s="18"/>
      <c r="L874" s="18"/>
      <c r="M874" s="18"/>
      <c r="N874" s="18"/>
      <c r="O874" s="18"/>
      <c r="P874" s="18"/>
      <c r="Q874" s="18"/>
      <c r="R874" s="18"/>
      <c r="S874" s="18"/>
      <c r="T874" s="18"/>
      <c r="U874" s="18"/>
    </row>
    <row r="875" spans="1:21" x14ac:dyDescent="0.35">
      <c r="A875" s="18"/>
      <c r="B875" s="18"/>
      <c r="C875" s="18"/>
      <c r="D875" s="18"/>
      <c r="E875" s="18"/>
      <c r="F875" s="18"/>
      <c r="G875" s="18"/>
      <c r="H875" s="18"/>
      <c r="I875" s="18"/>
      <c r="J875" s="18"/>
      <c r="K875" s="18"/>
      <c r="L875" s="18"/>
      <c r="M875" s="18"/>
      <c r="N875" s="18"/>
      <c r="O875" s="18"/>
      <c r="P875" s="18"/>
      <c r="Q875" s="18"/>
      <c r="R875" s="18"/>
      <c r="S875" s="18"/>
      <c r="T875" s="18"/>
      <c r="U875" s="18"/>
    </row>
    <row r="876" spans="1:21" x14ac:dyDescent="0.35">
      <c r="A876" s="18"/>
      <c r="B876" s="18"/>
      <c r="C876" s="18"/>
      <c r="D876" s="18"/>
      <c r="E876" s="18"/>
      <c r="F876" s="18"/>
      <c r="G876" s="18"/>
      <c r="H876" s="18"/>
      <c r="I876" s="18"/>
      <c r="J876" s="18"/>
      <c r="K876" s="18"/>
      <c r="L876" s="18"/>
      <c r="M876" s="18"/>
      <c r="N876" s="18"/>
      <c r="O876" s="18"/>
      <c r="P876" s="18"/>
      <c r="Q876" s="18"/>
      <c r="R876" s="18"/>
      <c r="S876" s="18"/>
      <c r="T876" s="18"/>
      <c r="U876" s="18"/>
    </row>
    <row r="877" spans="1:21" x14ac:dyDescent="0.35">
      <c r="A877" s="18"/>
      <c r="B877" s="18"/>
      <c r="C877" s="18"/>
      <c r="D877" s="18"/>
      <c r="E877" s="18"/>
      <c r="F877" s="18"/>
      <c r="G877" s="18"/>
      <c r="H877" s="18"/>
      <c r="I877" s="18"/>
      <c r="J877" s="18"/>
      <c r="K877" s="18"/>
      <c r="L877" s="18"/>
      <c r="M877" s="18"/>
      <c r="N877" s="18"/>
      <c r="O877" s="18"/>
      <c r="P877" s="18"/>
      <c r="Q877" s="18"/>
      <c r="R877" s="18"/>
      <c r="S877" s="18"/>
      <c r="T877" s="18"/>
      <c r="U877" s="18"/>
    </row>
    <row r="878" spans="1:21" x14ac:dyDescent="0.35">
      <c r="A878" s="18"/>
      <c r="B878" s="18"/>
      <c r="C878" s="18"/>
      <c r="D878" s="18"/>
      <c r="E878" s="18"/>
      <c r="F878" s="18"/>
      <c r="G878" s="18"/>
      <c r="H878" s="18"/>
      <c r="I878" s="18"/>
      <c r="J878" s="18"/>
      <c r="K878" s="18"/>
      <c r="L878" s="18"/>
      <c r="M878" s="18"/>
      <c r="N878" s="18"/>
      <c r="O878" s="18"/>
      <c r="P878" s="18"/>
      <c r="Q878" s="18"/>
      <c r="R878" s="18"/>
      <c r="S878" s="18"/>
      <c r="T878" s="18"/>
      <c r="U878" s="18"/>
    </row>
    <row r="879" spans="1:21" x14ac:dyDescent="0.35">
      <c r="A879" s="18"/>
      <c r="B879" s="18"/>
      <c r="C879" s="18"/>
      <c r="D879" s="18"/>
      <c r="E879" s="18"/>
      <c r="F879" s="18"/>
      <c r="G879" s="18"/>
      <c r="H879" s="18"/>
      <c r="I879" s="18"/>
      <c r="J879" s="18"/>
      <c r="K879" s="18"/>
      <c r="L879" s="18"/>
      <c r="M879" s="18"/>
      <c r="N879" s="18"/>
      <c r="O879" s="18"/>
      <c r="P879" s="18"/>
      <c r="Q879" s="18"/>
      <c r="R879" s="18"/>
      <c r="S879" s="18"/>
      <c r="T879" s="18"/>
      <c r="U879" s="18"/>
    </row>
    <row r="880" spans="1:21" x14ac:dyDescent="0.35">
      <c r="A880" s="18"/>
      <c r="B880" s="18"/>
      <c r="C880" s="18"/>
      <c r="D880" s="18"/>
      <c r="E880" s="18"/>
      <c r="F880" s="18"/>
      <c r="G880" s="18"/>
      <c r="H880" s="18"/>
      <c r="I880" s="18"/>
      <c r="J880" s="18"/>
      <c r="K880" s="18"/>
      <c r="L880" s="18"/>
      <c r="M880" s="18"/>
      <c r="N880" s="18"/>
      <c r="O880" s="18"/>
      <c r="P880" s="18"/>
      <c r="Q880" s="18"/>
      <c r="R880" s="18"/>
      <c r="S880" s="18"/>
      <c r="T880" s="18"/>
      <c r="U880" s="18"/>
    </row>
    <row r="881" spans="1:21" x14ac:dyDescent="0.35">
      <c r="A881" s="18"/>
      <c r="B881" s="18"/>
      <c r="C881" s="18"/>
      <c r="D881" s="18"/>
      <c r="E881" s="18"/>
      <c r="F881" s="18"/>
      <c r="G881" s="18"/>
      <c r="H881" s="18"/>
      <c r="I881" s="18"/>
      <c r="J881" s="18"/>
      <c r="K881" s="18"/>
      <c r="L881" s="18"/>
      <c r="M881" s="18"/>
      <c r="N881" s="18"/>
      <c r="O881" s="18"/>
      <c r="P881" s="18"/>
      <c r="Q881" s="18"/>
      <c r="R881" s="18"/>
      <c r="S881" s="18"/>
      <c r="T881" s="18"/>
      <c r="U881" s="18"/>
    </row>
    <row r="882" spans="1:21" x14ac:dyDescent="0.35">
      <c r="A882" s="18"/>
      <c r="B882" s="18"/>
      <c r="C882" s="18"/>
      <c r="D882" s="18"/>
      <c r="E882" s="18"/>
      <c r="F882" s="18"/>
      <c r="G882" s="18"/>
      <c r="H882" s="18"/>
      <c r="I882" s="18"/>
      <c r="J882" s="18"/>
      <c r="K882" s="18"/>
      <c r="L882" s="18"/>
      <c r="M882" s="18"/>
      <c r="N882" s="18"/>
      <c r="O882" s="18"/>
      <c r="P882" s="18"/>
      <c r="Q882" s="18"/>
      <c r="R882" s="18"/>
      <c r="S882" s="18"/>
      <c r="T882" s="18"/>
      <c r="U882" s="18"/>
    </row>
    <row r="883" spans="1:21" x14ac:dyDescent="0.35">
      <c r="A883" s="18"/>
      <c r="B883" s="18"/>
      <c r="C883" s="18"/>
      <c r="D883" s="18"/>
      <c r="E883" s="18"/>
      <c r="F883" s="18"/>
      <c r="G883" s="18"/>
      <c r="H883" s="18"/>
      <c r="I883" s="18"/>
      <c r="J883" s="18"/>
      <c r="K883" s="18"/>
      <c r="L883" s="18"/>
      <c r="M883" s="18"/>
      <c r="N883" s="18"/>
      <c r="O883" s="18"/>
      <c r="P883" s="18"/>
      <c r="Q883" s="18"/>
      <c r="R883" s="18"/>
      <c r="S883" s="18"/>
      <c r="T883" s="18"/>
      <c r="U883" s="18"/>
    </row>
    <row r="884" spans="1:21" x14ac:dyDescent="0.35">
      <c r="A884" s="18"/>
      <c r="B884" s="18"/>
      <c r="C884" s="18"/>
      <c r="D884" s="18"/>
      <c r="E884" s="18"/>
      <c r="F884" s="18"/>
      <c r="G884" s="18"/>
      <c r="H884" s="18"/>
      <c r="I884" s="18"/>
      <c r="J884" s="18"/>
      <c r="K884" s="18"/>
      <c r="L884" s="18"/>
      <c r="M884" s="18"/>
      <c r="N884" s="18"/>
      <c r="O884" s="18"/>
      <c r="P884" s="18"/>
      <c r="Q884" s="18"/>
      <c r="R884" s="18"/>
      <c r="S884" s="18"/>
      <c r="T884" s="18"/>
      <c r="U884" s="18"/>
    </row>
    <row r="885" spans="1:21" x14ac:dyDescent="0.35">
      <c r="A885" s="18"/>
      <c r="B885" s="18"/>
      <c r="C885" s="18"/>
      <c r="D885" s="18"/>
      <c r="E885" s="18"/>
      <c r="F885" s="18"/>
      <c r="G885" s="18"/>
      <c r="H885" s="18"/>
      <c r="I885" s="18"/>
      <c r="J885" s="18"/>
      <c r="K885" s="18"/>
      <c r="L885" s="18"/>
      <c r="M885" s="18"/>
      <c r="N885" s="18"/>
      <c r="O885" s="18"/>
      <c r="P885" s="18"/>
      <c r="Q885" s="18"/>
      <c r="R885" s="18"/>
      <c r="S885" s="18"/>
      <c r="T885" s="18"/>
      <c r="U885" s="18"/>
    </row>
    <row r="886" spans="1:21" x14ac:dyDescent="0.35">
      <c r="A886" s="18"/>
      <c r="B886" s="18"/>
      <c r="C886" s="18"/>
      <c r="D886" s="18"/>
      <c r="E886" s="18"/>
      <c r="F886" s="18"/>
      <c r="G886" s="18"/>
      <c r="H886" s="18"/>
      <c r="I886" s="18"/>
      <c r="J886" s="18"/>
      <c r="K886" s="18"/>
      <c r="L886" s="18"/>
      <c r="M886" s="18"/>
      <c r="N886" s="18"/>
      <c r="O886" s="18"/>
      <c r="P886" s="18"/>
      <c r="Q886" s="18"/>
      <c r="R886" s="18"/>
      <c r="S886" s="18"/>
      <c r="T886" s="18"/>
      <c r="U886" s="18"/>
    </row>
    <row r="887" spans="1:21" x14ac:dyDescent="0.35">
      <c r="A887" s="18"/>
      <c r="B887" s="18"/>
      <c r="C887" s="18"/>
      <c r="D887" s="18"/>
      <c r="E887" s="18"/>
      <c r="F887" s="18"/>
      <c r="G887" s="18"/>
      <c r="H887" s="18"/>
      <c r="I887" s="18"/>
      <c r="J887" s="18"/>
      <c r="K887" s="18"/>
      <c r="L887" s="18"/>
      <c r="M887" s="18"/>
      <c r="N887" s="18"/>
      <c r="O887" s="18"/>
      <c r="P887" s="18"/>
      <c r="Q887" s="18"/>
      <c r="R887" s="18"/>
      <c r="S887" s="18"/>
      <c r="T887" s="18"/>
      <c r="U887" s="18"/>
    </row>
    <row r="888" spans="1:21" x14ac:dyDescent="0.35">
      <c r="A888" s="18"/>
      <c r="B888" s="18"/>
      <c r="C888" s="18"/>
      <c r="D888" s="18"/>
      <c r="E888" s="18"/>
      <c r="F888" s="18"/>
      <c r="G888" s="18"/>
      <c r="H888" s="18"/>
      <c r="I888" s="18"/>
      <c r="J888" s="18"/>
      <c r="K888" s="18"/>
      <c r="L888" s="18"/>
      <c r="M888" s="18"/>
      <c r="N888" s="18"/>
      <c r="O888" s="18"/>
      <c r="P888" s="18"/>
      <c r="Q888" s="18"/>
      <c r="R888" s="18"/>
      <c r="S888" s="18"/>
      <c r="T888" s="18"/>
      <c r="U888" s="18"/>
    </row>
    <row r="889" spans="1:21" x14ac:dyDescent="0.35">
      <c r="A889" s="18"/>
      <c r="B889" s="18"/>
      <c r="C889" s="18"/>
      <c r="D889" s="18"/>
      <c r="E889" s="18"/>
      <c r="F889" s="18"/>
      <c r="G889" s="18"/>
      <c r="H889" s="18"/>
      <c r="I889" s="18"/>
      <c r="J889" s="18"/>
      <c r="K889" s="18"/>
      <c r="L889" s="18"/>
      <c r="M889" s="18"/>
      <c r="N889" s="18"/>
      <c r="O889" s="18"/>
      <c r="P889" s="18"/>
      <c r="Q889" s="18"/>
      <c r="R889" s="18"/>
      <c r="S889" s="18"/>
      <c r="T889" s="18"/>
      <c r="U889" s="18"/>
    </row>
    <row r="890" spans="1:21" x14ac:dyDescent="0.35">
      <c r="A890" s="18"/>
      <c r="B890" s="18"/>
      <c r="C890" s="18"/>
      <c r="D890" s="18"/>
      <c r="E890" s="18"/>
      <c r="F890" s="18"/>
      <c r="G890" s="18"/>
      <c r="H890" s="18"/>
      <c r="I890" s="18"/>
      <c r="J890" s="18"/>
      <c r="K890" s="18"/>
      <c r="L890" s="18"/>
      <c r="M890" s="18"/>
      <c r="N890" s="18"/>
      <c r="O890" s="18"/>
      <c r="P890" s="18"/>
      <c r="Q890" s="18"/>
      <c r="R890" s="18"/>
      <c r="S890" s="18"/>
      <c r="T890" s="18"/>
      <c r="U890" s="18"/>
    </row>
    <row r="891" spans="1:21" x14ac:dyDescent="0.35">
      <c r="A891" s="18"/>
      <c r="B891" s="18"/>
      <c r="C891" s="18"/>
      <c r="D891" s="18"/>
      <c r="E891" s="18"/>
      <c r="F891" s="18"/>
      <c r="G891" s="18"/>
      <c r="H891" s="18"/>
      <c r="I891" s="18"/>
      <c r="J891" s="18"/>
      <c r="K891" s="18"/>
      <c r="L891" s="18"/>
      <c r="M891" s="18"/>
      <c r="N891" s="18"/>
      <c r="O891" s="18"/>
      <c r="P891" s="18"/>
      <c r="Q891" s="18"/>
      <c r="R891" s="18"/>
      <c r="S891" s="18"/>
      <c r="T891" s="18"/>
      <c r="U891" s="18"/>
    </row>
    <row r="892" spans="1:21" x14ac:dyDescent="0.35">
      <c r="A892" s="18"/>
      <c r="B892" s="18"/>
      <c r="C892" s="18"/>
      <c r="D892" s="18"/>
      <c r="E892" s="18"/>
      <c r="F892" s="18"/>
      <c r="G892" s="18"/>
      <c r="H892" s="18"/>
      <c r="I892" s="18"/>
      <c r="J892" s="18"/>
      <c r="K892" s="18"/>
      <c r="L892" s="18"/>
      <c r="M892" s="18"/>
      <c r="N892" s="18"/>
      <c r="O892" s="18"/>
      <c r="P892" s="18"/>
      <c r="Q892" s="18"/>
      <c r="R892" s="18"/>
      <c r="S892" s="18"/>
      <c r="T892" s="18"/>
      <c r="U892" s="18"/>
    </row>
    <row r="893" spans="1:21" x14ac:dyDescent="0.35">
      <c r="A893" s="18"/>
      <c r="B893" s="18"/>
      <c r="C893" s="18"/>
      <c r="D893" s="18"/>
      <c r="E893" s="18"/>
      <c r="F893" s="18"/>
      <c r="G893" s="18"/>
      <c r="H893" s="18"/>
      <c r="I893" s="18"/>
      <c r="J893" s="18"/>
      <c r="K893" s="18"/>
      <c r="L893" s="18"/>
      <c r="M893" s="18"/>
      <c r="N893" s="18"/>
      <c r="O893" s="18"/>
      <c r="P893" s="18"/>
      <c r="Q893" s="18"/>
      <c r="R893" s="18"/>
      <c r="S893" s="18"/>
      <c r="T893" s="18"/>
      <c r="U893" s="18"/>
    </row>
    <row r="894" spans="1:21" x14ac:dyDescent="0.35">
      <c r="A894" s="18"/>
      <c r="B894" s="18"/>
      <c r="C894" s="18"/>
      <c r="D894" s="18"/>
      <c r="E894" s="18"/>
      <c r="F894" s="18"/>
      <c r="G894" s="18"/>
      <c r="H894" s="18"/>
      <c r="I894" s="18"/>
      <c r="J894" s="18"/>
      <c r="K894" s="18"/>
      <c r="L894" s="18"/>
      <c r="M894" s="18"/>
      <c r="N894" s="18"/>
      <c r="O894" s="18"/>
      <c r="P894" s="18"/>
      <c r="Q894" s="18"/>
      <c r="R894" s="18"/>
      <c r="S894" s="18"/>
      <c r="T894" s="18"/>
      <c r="U894" s="18"/>
    </row>
    <row r="895" spans="1:21" x14ac:dyDescent="0.35">
      <c r="A895" s="18"/>
      <c r="B895" s="18"/>
      <c r="C895" s="18"/>
      <c r="D895" s="18"/>
      <c r="E895" s="18"/>
      <c r="F895" s="18"/>
      <c r="G895" s="18"/>
      <c r="H895" s="18"/>
      <c r="I895" s="18"/>
      <c r="J895" s="18"/>
      <c r="K895" s="18"/>
      <c r="L895" s="18"/>
      <c r="M895" s="18"/>
      <c r="N895" s="18"/>
      <c r="O895" s="18"/>
      <c r="P895" s="18"/>
      <c r="Q895" s="18"/>
      <c r="R895" s="18"/>
      <c r="S895" s="18"/>
      <c r="T895" s="18"/>
      <c r="U895" s="18"/>
    </row>
    <row r="896" spans="1:21" x14ac:dyDescent="0.35">
      <c r="A896" s="18"/>
      <c r="B896" s="18"/>
      <c r="C896" s="18"/>
      <c r="D896" s="18"/>
      <c r="E896" s="18"/>
      <c r="F896" s="18"/>
      <c r="G896" s="18"/>
      <c r="H896" s="18"/>
      <c r="I896" s="18"/>
      <c r="J896" s="18"/>
      <c r="K896" s="18"/>
      <c r="L896" s="18"/>
      <c r="M896" s="18"/>
      <c r="N896" s="18"/>
      <c r="O896" s="18"/>
      <c r="P896" s="18"/>
      <c r="Q896" s="18"/>
      <c r="R896" s="18"/>
      <c r="S896" s="18"/>
      <c r="T896" s="18"/>
      <c r="U896" s="18"/>
    </row>
    <row r="897" spans="1:21" x14ac:dyDescent="0.35">
      <c r="A897" s="18"/>
      <c r="B897" s="18"/>
      <c r="C897" s="18"/>
      <c r="D897" s="18"/>
      <c r="E897" s="18"/>
      <c r="F897" s="18"/>
      <c r="G897" s="18"/>
      <c r="H897" s="18"/>
      <c r="I897" s="18"/>
      <c r="J897" s="18"/>
      <c r="K897" s="18"/>
      <c r="L897" s="18"/>
      <c r="M897" s="18"/>
      <c r="N897" s="18"/>
      <c r="O897" s="18"/>
      <c r="P897" s="18"/>
      <c r="Q897" s="18"/>
      <c r="R897" s="18"/>
      <c r="S897" s="18"/>
      <c r="T897" s="18"/>
      <c r="U897" s="18"/>
    </row>
    <row r="898" spans="1:21" x14ac:dyDescent="0.35">
      <c r="A898" s="18"/>
      <c r="B898" s="18"/>
      <c r="C898" s="18"/>
      <c r="D898" s="18"/>
      <c r="E898" s="18"/>
      <c r="F898" s="18"/>
      <c r="G898" s="18"/>
      <c r="H898" s="18"/>
      <c r="I898" s="18"/>
      <c r="J898" s="18"/>
      <c r="K898" s="18"/>
      <c r="L898" s="18"/>
      <c r="M898" s="18"/>
      <c r="N898" s="18"/>
      <c r="O898" s="18"/>
      <c r="P898" s="18"/>
      <c r="Q898" s="18"/>
      <c r="R898" s="18"/>
      <c r="S898" s="18"/>
      <c r="T898" s="18"/>
      <c r="U898" s="18"/>
    </row>
    <row r="899" spans="1:21" x14ac:dyDescent="0.35">
      <c r="A899" s="18"/>
      <c r="B899" s="18"/>
      <c r="C899" s="18"/>
      <c r="D899" s="18"/>
      <c r="E899" s="18"/>
      <c r="F899" s="18"/>
      <c r="G899" s="18"/>
      <c r="H899" s="18"/>
      <c r="I899" s="18"/>
      <c r="J899" s="18"/>
      <c r="K899" s="18"/>
      <c r="L899" s="18"/>
      <c r="M899" s="18"/>
      <c r="N899" s="18"/>
      <c r="O899" s="18"/>
      <c r="P899" s="18"/>
      <c r="Q899" s="18"/>
      <c r="R899" s="18"/>
      <c r="S899" s="18"/>
      <c r="T899" s="18"/>
      <c r="U899" s="18"/>
    </row>
    <row r="900" spans="1:21" x14ac:dyDescent="0.35">
      <c r="A900" s="18"/>
      <c r="B900" s="18"/>
      <c r="C900" s="18"/>
      <c r="D900" s="18"/>
      <c r="E900" s="18"/>
      <c r="F900" s="18"/>
      <c r="G900" s="18"/>
      <c r="H900" s="18"/>
      <c r="I900" s="18"/>
      <c r="J900" s="18"/>
      <c r="K900" s="18"/>
      <c r="L900" s="18"/>
      <c r="M900" s="18"/>
      <c r="N900" s="18"/>
      <c r="O900" s="18"/>
      <c r="P900" s="18"/>
      <c r="Q900" s="18"/>
      <c r="R900" s="18"/>
      <c r="S900" s="18"/>
      <c r="T900" s="18"/>
      <c r="U900" s="18"/>
    </row>
    <row r="901" spans="1:21" x14ac:dyDescent="0.35">
      <c r="A901" s="18"/>
      <c r="B901" s="18"/>
      <c r="C901" s="18"/>
      <c r="D901" s="18"/>
      <c r="E901" s="18"/>
      <c r="F901" s="18"/>
      <c r="G901" s="18"/>
      <c r="H901" s="18"/>
      <c r="I901" s="18"/>
      <c r="J901" s="18"/>
      <c r="K901" s="18"/>
      <c r="L901" s="18"/>
      <c r="M901" s="18"/>
      <c r="N901" s="18"/>
      <c r="O901" s="18"/>
      <c r="P901" s="18"/>
      <c r="Q901" s="18"/>
      <c r="R901" s="18"/>
      <c r="S901" s="18"/>
      <c r="T901" s="18"/>
      <c r="U901" s="18"/>
    </row>
    <row r="902" spans="1:21" x14ac:dyDescent="0.35">
      <c r="A902" s="18"/>
      <c r="B902" s="18"/>
      <c r="C902" s="18"/>
      <c r="D902" s="18"/>
      <c r="E902" s="18"/>
      <c r="F902" s="18"/>
      <c r="G902" s="18"/>
      <c r="H902" s="18"/>
      <c r="I902" s="18"/>
      <c r="J902" s="18"/>
      <c r="K902" s="18"/>
      <c r="L902" s="18"/>
      <c r="M902" s="18"/>
      <c r="N902" s="18"/>
      <c r="O902" s="18"/>
      <c r="P902" s="18"/>
      <c r="Q902" s="18"/>
      <c r="R902" s="18"/>
      <c r="S902" s="18"/>
      <c r="T902" s="18"/>
      <c r="U902" s="18"/>
    </row>
    <row r="903" spans="1:21" x14ac:dyDescent="0.35">
      <c r="A903" s="18"/>
      <c r="B903" s="18"/>
      <c r="C903" s="18"/>
      <c r="D903" s="18"/>
      <c r="E903" s="18"/>
      <c r="F903" s="18"/>
      <c r="G903" s="18"/>
      <c r="H903" s="18"/>
      <c r="I903" s="18"/>
      <c r="J903" s="18"/>
      <c r="K903" s="18"/>
      <c r="L903" s="18"/>
      <c r="M903" s="18"/>
      <c r="N903" s="18"/>
      <c r="O903" s="18"/>
      <c r="P903" s="18"/>
      <c r="Q903" s="18"/>
      <c r="R903" s="18"/>
      <c r="S903" s="18"/>
      <c r="T903" s="18"/>
      <c r="U903" s="18"/>
    </row>
    <row r="904" spans="1:21" x14ac:dyDescent="0.35">
      <c r="A904" s="18"/>
      <c r="B904" s="18"/>
      <c r="C904" s="18"/>
      <c r="D904" s="18"/>
      <c r="E904" s="18"/>
      <c r="F904" s="18"/>
      <c r="G904" s="18"/>
      <c r="H904" s="18"/>
      <c r="I904" s="18"/>
      <c r="J904" s="18"/>
      <c r="K904" s="18"/>
      <c r="L904" s="18"/>
      <c r="M904" s="18"/>
      <c r="N904" s="18"/>
      <c r="O904" s="18"/>
      <c r="P904" s="18"/>
      <c r="Q904" s="18"/>
      <c r="R904" s="18"/>
      <c r="S904" s="18"/>
      <c r="T904" s="18"/>
      <c r="U904" s="18"/>
    </row>
    <row r="905" spans="1:21" x14ac:dyDescent="0.35">
      <c r="A905" s="18"/>
      <c r="B905" s="18"/>
      <c r="C905" s="18"/>
      <c r="D905" s="18"/>
      <c r="E905" s="18"/>
      <c r="F905" s="18"/>
      <c r="G905" s="18"/>
      <c r="H905" s="18"/>
      <c r="I905" s="18"/>
      <c r="J905" s="18"/>
      <c r="K905" s="18"/>
      <c r="L905" s="18"/>
      <c r="M905" s="18"/>
      <c r="N905" s="18"/>
      <c r="O905" s="18"/>
      <c r="P905" s="18"/>
      <c r="Q905" s="18"/>
      <c r="R905" s="18"/>
      <c r="S905" s="18"/>
      <c r="T905" s="18"/>
      <c r="U905" s="18"/>
    </row>
    <row r="906" spans="1:21" x14ac:dyDescent="0.35">
      <c r="A906" s="18"/>
      <c r="B906" s="18"/>
      <c r="C906" s="18"/>
      <c r="D906" s="18"/>
      <c r="E906" s="18"/>
      <c r="F906" s="18"/>
      <c r="G906" s="18"/>
      <c r="H906" s="18"/>
      <c r="I906" s="18"/>
      <c r="J906" s="18"/>
      <c r="K906" s="18"/>
      <c r="L906" s="18"/>
      <c r="M906" s="18"/>
      <c r="N906" s="18"/>
      <c r="O906" s="18"/>
      <c r="P906" s="18"/>
      <c r="Q906" s="18"/>
      <c r="R906" s="18"/>
      <c r="S906" s="18"/>
      <c r="T906" s="18"/>
      <c r="U906" s="18"/>
    </row>
    <row r="907" spans="1:21" x14ac:dyDescent="0.35">
      <c r="A907" s="18"/>
      <c r="B907" s="18"/>
      <c r="C907" s="18"/>
      <c r="D907" s="18"/>
      <c r="E907" s="18"/>
      <c r="F907" s="18"/>
      <c r="G907" s="18"/>
      <c r="H907" s="18"/>
      <c r="I907" s="18"/>
      <c r="J907" s="18"/>
      <c r="K907" s="18"/>
      <c r="L907" s="18"/>
      <c r="M907" s="18"/>
      <c r="N907" s="18"/>
      <c r="O907" s="18"/>
      <c r="P907" s="18"/>
      <c r="Q907" s="18"/>
      <c r="R907" s="18"/>
      <c r="S907" s="18"/>
      <c r="T907" s="18"/>
      <c r="U907" s="18"/>
    </row>
    <row r="908" spans="1:21" x14ac:dyDescent="0.35">
      <c r="A908" s="18"/>
      <c r="B908" s="18"/>
      <c r="C908" s="18"/>
      <c r="D908" s="18"/>
      <c r="E908" s="18"/>
      <c r="F908" s="18"/>
      <c r="G908" s="18"/>
      <c r="H908" s="18"/>
      <c r="I908" s="18"/>
      <c r="J908" s="18"/>
      <c r="K908" s="18"/>
      <c r="L908" s="18"/>
      <c r="M908" s="18"/>
      <c r="N908" s="18"/>
      <c r="O908" s="18"/>
      <c r="P908" s="18"/>
      <c r="Q908" s="18"/>
      <c r="R908" s="18"/>
      <c r="S908" s="18"/>
      <c r="T908" s="18"/>
      <c r="U908" s="18"/>
    </row>
    <row r="909" spans="1:21" x14ac:dyDescent="0.35">
      <c r="A909" s="18"/>
      <c r="B909" s="18"/>
      <c r="C909" s="18"/>
      <c r="D909" s="18"/>
      <c r="E909" s="18"/>
      <c r="F909" s="18"/>
      <c r="G909" s="18"/>
      <c r="H909" s="18"/>
      <c r="I909" s="18"/>
      <c r="J909" s="18"/>
      <c r="K909" s="18"/>
      <c r="L909" s="18"/>
      <c r="M909" s="18"/>
      <c r="N909" s="18"/>
      <c r="O909" s="18"/>
      <c r="P909" s="18"/>
      <c r="Q909" s="18"/>
      <c r="R909" s="18"/>
      <c r="S909" s="18"/>
      <c r="T909" s="18"/>
      <c r="U909" s="18"/>
    </row>
    <row r="910" spans="1:21" x14ac:dyDescent="0.35">
      <c r="A910" s="18"/>
      <c r="B910" s="18"/>
      <c r="C910" s="18"/>
      <c r="D910" s="18"/>
      <c r="E910" s="18"/>
      <c r="F910" s="18"/>
      <c r="G910" s="18"/>
      <c r="H910" s="18"/>
      <c r="I910" s="18"/>
      <c r="J910" s="18"/>
      <c r="K910" s="18"/>
      <c r="L910" s="18"/>
      <c r="M910" s="18"/>
      <c r="N910" s="18"/>
      <c r="O910" s="18"/>
      <c r="P910" s="18"/>
      <c r="Q910" s="18"/>
      <c r="R910" s="18"/>
      <c r="S910" s="18"/>
      <c r="T910" s="18"/>
      <c r="U910" s="18"/>
    </row>
    <row r="911" spans="1:21" x14ac:dyDescent="0.35">
      <c r="A911" s="18"/>
      <c r="B911" s="18"/>
      <c r="C911" s="18"/>
      <c r="D911" s="18"/>
      <c r="E911" s="18"/>
      <c r="F911" s="18"/>
      <c r="G911" s="18"/>
      <c r="H911" s="18"/>
      <c r="I911" s="18"/>
      <c r="J911" s="18"/>
      <c r="K911" s="18"/>
      <c r="L911" s="18"/>
      <c r="M911" s="18"/>
      <c r="N911" s="18"/>
      <c r="O911" s="18"/>
      <c r="P911" s="18"/>
      <c r="Q911" s="18"/>
      <c r="R911" s="18"/>
      <c r="S911" s="18"/>
      <c r="T911" s="18"/>
      <c r="U911" s="18"/>
    </row>
    <row r="912" spans="1:21" x14ac:dyDescent="0.35">
      <c r="A912" s="18"/>
      <c r="B912" s="18"/>
      <c r="C912" s="18"/>
      <c r="D912" s="18"/>
      <c r="E912" s="18"/>
      <c r="F912" s="18"/>
      <c r="G912" s="18"/>
      <c r="H912" s="18"/>
      <c r="I912" s="18"/>
      <c r="J912" s="18"/>
      <c r="K912" s="18"/>
      <c r="L912" s="18"/>
      <c r="M912" s="18"/>
      <c r="N912" s="18"/>
      <c r="O912" s="18"/>
      <c r="P912" s="18"/>
      <c r="Q912" s="18"/>
      <c r="R912" s="18"/>
      <c r="S912" s="18"/>
      <c r="T912" s="18"/>
      <c r="U912" s="18"/>
    </row>
    <row r="913" spans="1:21" x14ac:dyDescent="0.35">
      <c r="A913" s="18"/>
      <c r="B913" s="18"/>
      <c r="C913" s="18"/>
      <c r="D913" s="18"/>
      <c r="E913" s="18"/>
      <c r="F913" s="18"/>
      <c r="G913" s="18"/>
      <c r="H913" s="18"/>
      <c r="I913" s="18"/>
      <c r="J913" s="18"/>
      <c r="K913" s="18"/>
      <c r="L913" s="18"/>
      <c r="M913" s="18"/>
      <c r="N913" s="18"/>
      <c r="O913" s="18"/>
      <c r="P913" s="18"/>
      <c r="Q913" s="18"/>
      <c r="R913" s="18"/>
      <c r="S913" s="18"/>
      <c r="T913" s="18"/>
      <c r="U913" s="18"/>
    </row>
    <row r="914" spans="1:21" x14ac:dyDescent="0.35">
      <c r="A914" s="18"/>
      <c r="B914" s="18"/>
      <c r="C914" s="18"/>
      <c r="D914" s="18"/>
      <c r="E914" s="18"/>
      <c r="F914" s="18"/>
      <c r="G914" s="18"/>
      <c r="H914" s="18"/>
      <c r="I914" s="18"/>
      <c r="J914" s="18"/>
      <c r="K914" s="18"/>
      <c r="L914" s="18"/>
      <c r="M914" s="18"/>
      <c r="N914" s="18"/>
      <c r="O914" s="18"/>
      <c r="P914" s="18"/>
      <c r="Q914" s="18"/>
      <c r="R914" s="18"/>
      <c r="S914" s="18"/>
      <c r="T914" s="18"/>
      <c r="U914" s="18"/>
    </row>
    <row r="915" spans="1:21" x14ac:dyDescent="0.35">
      <c r="A915" s="18"/>
      <c r="B915" s="18"/>
      <c r="C915" s="18"/>
      <c r="D915" s="18"/>
      <c r="E915" s="18"/>
      <c r="F915" s="18"/>
      <c r="G915" s="18"/>
      <c r="H915" s="18"/>
      <c r="I915" s="18"/>
      <c r="J915" s="18"/>
      <c r="K915" s="18"/>
      <c r="L915" s="18"/>
      <c r="M915" s="18"/>
      <c r="N915" s="18"/>
      <c r="O915" s="18"/>
      <c r="P915" s="18"/>
      <c r="Q915" s="18"/>
      <c r="R915" s="18"/>
      <c r="S915" s="18"/>
      <c r="T915" s="18"/>
      <c r="U915" s="18"/>
    </row>
    <row r="916" spans="1:21" x14ac:dyDescent="0.35">
      <c r="A916" s="18"/>
      <c r="B916" s="18"/>
      <c r="C916" s="18"/>
      <c r="D916" s="18"/>
      <c r="E916" s="18"/>
      <c r="F916" s="18"/>
      <c r="G916" s="18"/>
      <c r="H916" s="18"/>
      <c r="I916" s="18"/>
      <c r="J916" s="18"/>
      <c r="K916" s="18"/>
      <c r="L916" s="18"/>
      <c r="M916" s="18"/>
      <c r="N916" s="18"/>
      <c r="O916" s="18"/>
      <c r="P916" s="18"/>
      <c r="Q916" s="18"/>
      <c r="R916" s="18"/>
      <c r="S916" s="18"/>
      <c r="T916" s="18"/>
      <c r="U916" s="18"/>
    </row>
    <row r="917" spans="1:21" x14ac:dyDescent="0.35">
      <c r="A917" s="18"/>
      <c r="B917" s="18"/>
      <c r="C917" s="18"/>
      <c r="D917" s="18"/>
      <c r="E917" s="18"/>
      <c r="F917" s="18"/>
      <c r="G917" s="18"/>
      <c r="H917" s="18"/>
      <c r="I917" s="18"/>
      <c r="J917" s="18"/>
      <c r="K917" s="18"/>
      <c r="L917" s="18"/>
      <c r="M917" s="18"/>
      <c r="N917" s="18"/>
      <c r="O917" s="18"/>
      <c r="P917" s="18"/>
      <c r="Q917" s="18"/>
      <c r="R917" s="18"/>
      <c r="S917" s="18"/>
      <c r="T917" s="18"/>
      <c r="U917" s="18"/>
    </row>
    <row r="918" spans="1:21" x14ac:dyDescent="0.35">
      <c r="A918" s="18"/>
      <c r="B918" s="18"/>
      <c r="C918" s="18"/>
      <c r="D918" s="18"/>
      <c r="E918" s="18"/>
      <c r="F918" s="18"/>
      <c r="G918" s="18"/>
      <c r="H918" s="18"/>
      <c r="I918" s="18"/>
      <c r="J918" s="18"/>
      <c r="K918" s="18"/>
      <c r="L918" s="18"/>
      <c r="M918" s="18"/>
      <c r="N918" s="18"/>
      <c r="O918" s="18"/>
      <c r="P918" s="18"/>
      <c r="Q918" s="18"/>
      <c r="R918" s="18"/>
      <c r="S918" s="18"/>
      <c r="T918" s="18"/>
      <c r="U918" s="18"/>
    </row>
    <row r="919" spans="1:21" x14ac:dyDescent="0.35">
      <c r="A919" s="18"/>
      <c r="B919" s="18"/>
      <c r="C919" s="18"/>
      <c r="D919" s="18"/>
      <c r="E919" s="18"/>
      <c r="F919" s="18"/>
      <c r="G919" s="18"/>
      <c r="H919" s="18"/>
      <c r="I919" s="18"/>
      <c r="J919" s="18"/>
      <c r="K919" s="18"/>
      <c r="L919" s="18"/>
      <c r="M919" s="18"/>
      <c r="N919" s="18"/>
      <c r="O919" s="18"/>
      <c r="P919" s="18"/>
      <c r="Q919" s="18"/>
      <c r="R919" s="18"/>
      <c r="S919" s="18"/>
      <c r="T919" s="18"/>
      <c r="U919" s="18"/>
    </row>
    <row r="920" spans="1:21" x14ac:dyDescent="0.35">
      <c r="A920" s="18"/>
      <c r="B920" s="18"/>
      <c r="C920" s="18"/>
      <c r="D920" s="18"/>
      <c r="E920" s="18"/>
      <c r="F920" s="18"/>
      <c r="G920" s="18"/>
      <c r="H920" s="18"/>
      <c r="I920" s="18"/>
      <c r="J920" s="18"/>
      <c r="K920" s="18"/>
      <c r="L920" s="18"/>
      <c r="M920" s="18"/>
      <c r="N920" s="18"/>
      <c r="O920" s="18"/>
      <c r="P920" s="18"/>
      <c r="Q920" s="18"/>
      <c r="R920" s="18"/>
      <c r="S920" s="18"/>
      <c r="T920" s="18"/>
      <c r="U920" s="18"/>
    </row>
    <row r="921" spans="1:21" x14ac:dyDescent="0.35">
      <c r="A921" s="18"/>
      <c r="B921" s="18"/>
      <c r="C921" s="18"/>
      <c r="D921" s="18"/>
      <c r="E921" s="18"/>
      <c r="F921" s="18"/>
      <c r="G921" s="18"/>
      <c r="H921" s="18"/>
      <c r="I921" s="18"/>
      <c r="J921" s="18"/>
      <c r="K921" s="18"/>
      <c r="L921" s="18"/>
      <c r="M921" s="18"/>
      <c r="N921" s="18"/>
      <c r="O921" s="18"/>
      <c r="P921" s="18"/>
      <c r="Q921" s="18"/>
      <c r="R921" s="18"/>
      <c r="S921" s="18"/>
      <c r="T921" s="18"/>
      <c r="U921" s="18"/>
    </row>
    <row r="922" spans="1:21" x14ac:dyDescent="0.35">
      <c r="A922" s="18"/>
      <c r="B922" s="18"/>
      <c r="C922" s="18"/>
      <c r="D922" s="18"/>
      <c r="E922" s="18"/>
      <c r="F922" s="18"/>
      <c r="G922" s="18"/>
      <c r="H922" s="18"/>
      <c r="I922" s="18"/>
      <c r="J922" s="18"/>
      <c r="K922" s="18"/>
      <c r="L922" s="18"/>
      <c r="M922" s="18"/>
      <c r="N922" s="18"/>
      <c r="O922" s="18"/>
      <c r="P922" s="18"/>
      <c r="Q922" s="18"/>
      <c r="R922" s="18"/>
      <c r="S922" s="18"/>
      <c r="T922" s="18"/>
      <c r="U922" s="18"/>
    </row>
    <row r="923" spans="1:21" x14ac:dyDescent="0.35">
      <c r="A923" s="18"/>
      <c r="B923" s="18"/>
      <c r="C923" s="18"/>
      <c r="D923" s="18"/>
      <c r="E923" s="18"/>
      <c r="F923" s="18"/>
      <c r="G923" s="18"/>
      <c r="H923" s="18"/>
      <c r="I923" s="18"/>
      <c r="J923" s="18"/>
      <c r="K923" s="18"/>
      <c r="L923" s="18"/>
      <c r="M923" s="18"/>
      <c r="N923" s="18"/>
      <c r="O923" s="18"/>
      <c r="P923" s="18"/>
      <c r="Q923" s="18"/>
      <c r="R923" s="18"/>
      <c r="S923" s="18"/>
      <c r="T923" s="18"/>
      <c r="U923" s="18"/>
    </row>
    <row r="924" spans="1:21" x14ac:dyDescent="0.35">
      <c r="A924" s="18"/>
      <c r="B924" s="18"/>
      <c r="C924" s="18"/>
      <c r="D924" s="18"/>
      <c r="E924" s="18"/>
      <c r="F924" s="18"/>
      <c r="G924" s="18"/>
      <c r="H924" s="18"/>
      <c r="I924" s="18"/>
      <c r="J924" s="18"/>
      <c r="K924" s="18"/>
      <c r="L924" s="18"/>
      <c r="M924" s="18"/>
      <c r="N924" s="18"/>
      <c r="O924" s="18"/>
      <c r="P924" s="18"/>
      <c r="Q924" s="18"/>
      <c r="R924" s="18"/>
      <c r="S924" s="18"/>
      <c r="T924" s="18"/>
      <c r="U924" s="18"/>
    </row>
    <row r="925" spans="1:21" x14ac:dyDescent="0.35">
      <c r="A925" s="18"/>
      <c r="B925" s="18"/>
      <c r="C925" s="18"/>
      <c r="D925" s="18"/>
      <c r="E925" s="18"/>
      <c r="F925" s="18"/>
      <c r="G925" s="18"/>
      <c r="H925" s="18"/>
      <c r="I925" s="18"/>
      <c r="J925" s="18"/>
      <c r="K925" s="18"/>
      <c r="L925" s="18"/>
      <c r="M925" s="18"/>
      <c r="N925" s="18"/>
      <c r="O925" s="18"/>
      <c r="P925" s="18"/>
      <c r="Q925" s="18"/>
      <c r="R925" s="18"/>
      <c r="S925" s="18"/>
      <c r="T925" s="18"/>
      <c r="U925" s="18"/>
    </row>
    <row r="926" spans="1:21" x14ac:dyDescent="0.35">
      <c r="A926" s="18"/>
      <c r="B926" s="18"/>
      <c r="C926" s="18"/>
      <c r="D926" s="18"/>
      <c r="E926" s="18"/>
      <c r="F926" s="18"/>
      <c r="G926" s="18"/>
      <c r="H926" s="18"/>
      <c r="I926" s="18"/>
      <c r="J926" s="18"/>
      <c r="K926" s="18"/>
      <c r="L926" s="18"/>
      <c r="M926" s="18"/>
      <c r="N926" s="18"/>
      <c r="O926" s="18"/>
      <c r="P926" s="18"/>
      <c r="Q926" s="18"/>
      <c r="R926" s="18"/>
      <c r="S926" s="18"/>
      <c r="T926" s="18"/>
      <c r="U926" s="18"/>
    </row>
    <row r="927" spans="1:21" x14ac:dyDescent="0.35">
      <c r="A927" s="18"/>
      <c r="B927" s="18"/>
      <c r="C927" s="18"/>
      <c r="D927" s="18"/>
      <c r="E927" s="18"/>
      <c r="F927" s="18"/>
      <c r="G927" s="18"/>
      <c r="H927" s="18"/>
      <c r="I927" s="18"/>
      <c r="J927" s="18"/>
      <c r="K927" s="18"/>
      <c r="L927" s="18"/>
      <c r="M927" s="18"/>
      <c r="N927" s="18"/>
      <c r="O927" s="18"/>
      <c r="P927" s="18"/>
      <c r="Q927" s="18"/>
      <c r="R927" s="18"/>
      <c r="S927" s="18"/>
      <c r="T927" s="18"/>
      <c r="U927" s="18"/>
    </row>
    <row r="928" spans="1:21" x14ac:dyDescent="0.35">
      <c r="A928" s="18"/>
      <c r="B928" s="18"/>
      <c r="C928" s="18"/>
      <c r="D928" s="18"/>
      <c r="E928" s="18"/>
      <c r="F928" s="18"/>
      <c r="G928" s="18"/>
      <c r="H928" s="18"/>
      <c r="I928" s="18"/>
      <c r="J928" s="18"/>
      <c r="K928" s="18"/>
      <c r="L928" s="18"/>
      <c r="M928" s="18"/>
      <c r="N928" s="18"/>
      <c r="O928" s="18"/>
      <c r="P928" s="18"/>
      <c r="Q928" s="18"/>
      <c r="R928" s="18"/>
      <c r="S928" s="18"/>
      <c r="T928" s="18"/>
      <c r="U928" s="18"/>
    </row>
    <row r="929" spans="1:21" x14ac:dyDescent="0.35">
      <c r="A929" s="18"/>
      <c r="B929" s="18"/>
      <c r="C929" s="18"/>
      <c r="D929" s="18"/>
      <c r="E929" s="18"/>
      <c r="F929" s="18"/>
      <c r="G929" s="18"/>
      <c r="H929" s="18"/>
      <c r="I929" s="18"/>
      <c r="J929" s="18"/>
      <c r="K929" s="18"/>
      <c r="L929" s="18"/>
      <c r="M929" s="18"/>
      <c r="N929" s="18"/>
      <c r="O929" s="18"/>
      <c r="P929" s="18"/>
      <c r="Q929" s="18"/>
      <c r="R929" s="18"/>
      <c r="S929" s="18"/>
      <c r="T929" s="18"/>
      <c r="U929" s="18"/>
    </row>
    <row r="930" spans="1:21" x14ac:dyDescent="0.35">
      <c r="A930" s="18"/>
      <c r="B930" s="18"/>
      <c r="C930" s="18"/>
      <c r="D930" s="18"/>
      <c r="E930" s="18"/>
      <c r="F930" s="18"/>
      <c r="G930" s="18"/>
      <c r="H930" s="18"/>
      <c r="I930" s="18"/>
      <c r="J930" s="18"/>
      <c r="K930" s="18"/>
      <c r="L930" s="18"/>
      <c r="M930" s="18"/>
      <c r="N930" s="18"/>
      <c r="O930" s="18"/>
      <c r="P930" s="18"/>
      <c r="Q930" s="18"/>
      <c r="R930" s="18"/>
      <c r="S930" s="18"/>
      <c r="T930" s="18"/>
      <c r="U930" s="18"/>
    </row>
    <row r="931" spans="1:21" x14ac:dyDescent="0.35">
      <c r="A931" s="18"/>
      <c r="B931" s="18"/>
      <c r="C931" s="18"/>
      <c r="D931" s="18"/>
      <c r="E931" s="18"/>
      <c r="F931" s="18"/>
      <c r="G931" s="18"/>
      <c r="H931" s="18"/>
      <c r="I931" s="18"/>
      <c r="J931" s="18"/>
      <c r="K931" s="18"/>
      <c r="L931" s="18"/>
      <c r="M931" s="18"/>
      <c r="N931" s="18"/>
      <c r="O931" s="18"/>
      <c r="P931" s="18"/>
      <c r="Q931" s="18"/>
      <c r="R931" s="18"/>
      <c r="S931" s="18"/>
      <c r="T931" s="18"/>
      <c r="U931" s="18"/>
    </row>
    <row r="932" spans="1:21" x14ac:dyDescent="0.35">
      <c r="A932" s="18"/>
      <c r="B932" s="18"/>
      <c r="C932" s="18"/>
      <c r="D932" s="18"/>
      <c r="E932" s="18"/>
      <c r="F932" s="18"/>
      <c r="G932" s="18"/>
      <c r="H932" s="18"/>
      <c r="I932" s="18"/>
      <c r="J932" s="18"/>
      <c r="K932" s="18"/>
      <c r="L932" s="18"/>
      <c r="M932" s="18"/>
      <c r="N932" s="18"/>
      <c r="O932" s="18"/>
      <c r="P932" s="18"/>
      <c r="Q932" s="18"/>
      <c r="R932" s="18"/>
      <c r="S932" s="18"/>
      <c r="T932" s="18"/>
      <c r="U932" s="18"/>
    </row>
    <row r="933" spans="1:21" x14ac:dyDescent="0.35">
      <c r="A933" s="18"/>
      <c r="B933" s="18"/>
      <c r="C933" s="18"/>
      <c r="D933" s="18"/>
      <c r="E933" s="18"/>
      <c r="F933" s="18"/>
      <c r="G933" s="18"/>
      <c r="H933" s="18"/>
      <c r="I933" s="18"/>
      <c r="J933" s="18"/>
      <c r="K933" s="18"/>
      <c r="L933" s="18"/>
      <c r="M933" s="18"/>
      <c r="N933" s="18"/>
      <c r="O933" s="18"/>
      <c r="P933" s="18"/>
      <c r="Q933" s="18"/>
      <c r="R933" s="18"/>
      <c r="S933" s="18"/>
      <c r="T933" s="18"/>
      <c r="U933" s="18"/>
    </row>
    <row r="934" spans="1:21" x14ac:dyDescent="0.35">
      <c r="A934" s="18"/>
      <c r="B934" s="18"/>
      <c r="C934" s="18"/>
      <c r="D934" s="18"/>
      <c r="E934" s="18"/>
      <c r="F934" s="18"/>
      <c r="G934" s="18"/>
      <c r="H934" s="18"/>
      <c r="I934" s="18"/>
      <c r="J934" s="18"/>
      <c r="K934" s="18"/>
      <c r="L934" s="18"/>
      <c r="M934" s="18"/>
      <c r="N934" s="18"/>
      <c r="O934" s="18"/>
      <c r="P934" s="18"/>
      <c r="Q934" s="18"/>
      <c r="R934" s="18"/>
      <c r="S934" s="18"/>
      <c r="T934" s="18"/>
      <c r="U934" s="18"/>
    </row>
    <row r="935" spans="1:21" x14ac:dyDescent="0.35">
      <c r="A935" s="18"/>
      <c r="B935" s="18"/>
      <c r="C935" s="18"/>
      <c r="D935" s="18"/>
      <c r="E935" s="18"/>
      <c r="F935" s="18"/>
      <c r="G935" s="18"/>
      <c r="H935" s="18"/>
      <c r="I935" s="18"/>
      <c r="J935" s="18"/>
      <c r="K935" s="18"/>
      <c r="L935" s="18"/>
      <c r="M935" s="18"/>
      <c r="N935" s="18"/>
      <c r="O935" s="18"/>
      <c r="P935" s="18"/>
      <c r="Q935" s="18"/>
      <c r="R935" s="18"/>
      <c r="S935" s="18"/>
      <c r="T935" s="18"/>
      <c r="U935" s="18"/>
    </row>
    <row r="936" spans="1:21" x14ac:dyDescent="0.35">
      <c r="A936" s="18"/>
      <c r="B936" s="18"/>
      <c r="C936" s="18"/>
      <c r="D936" s="18"/>
      <c r="E936" s="18"/>
      <c r="F936" s="18"/>
      <c r="G936" s="18"/>
      <c r="H936" s="18"/>
      <c r="I936" s="18"/>
      <c r="J936" s="18"/>
      <c r="K936" s="18"/>
      <c r="L936" s="18"/>
      <c r="M936" s="18"/>
      <c r="N936" s="18"/>
      <c r="O936" s="18"/>
      <c r="P936" s="18"/>
      <c r="Q936" s="18"/>
      <c r="R936" s="18"/>
      <c r="S936" s="18"/>
      <c r="T936" s="18"/>
      <c r="U936" s="18"/>
    </row>
    <row r="937" spans="1:21" x14ac:dyDescent="0.35">
      <c r="A937" s="18"/>
      <c r="B937" s="18"/>
      <c r="C937" s="18"/>
      <c r="D937" s="18"/>
      <c r="E937" s="18"/>
      <c r="F937" s="18"/>
      <c r="G937" s="18"/>
      <c r="H937" s="18"/>
      <c r="I937" s="18"/>
      <c r="J937" s="18"/>
      <c r="K937" s="18"/>
      <c r="L937" s="18"/>
      <c r="M937" s="18"/>
      <c r="N937" s="18"/>
      <c r="O937" s="18"/>
      <c r="P937" s="18"/>
      <c r="Q937" s="18"/>
      <c r="R937" s="18"/>
      <c r="S937" s="18"/>
      <c r="T937" s="18"/>
      <c r="U937" s="18"/>
    </row>
    <row r="938" spans="1:21" x14ac:dyDescent="0.35">
      <c r="A938" s="18"/>
      <c r="B938" s="18"/>
      <c r="C938" s="18"/>
      <c r="D938" s="18"/>
      <c r="E938" s="18"/>
      <c r="F938" s="18"/>
      <c r="G938" s="18"/>
      <c r="H938" s="18"/>
      <c r="I938" s="18"/>
      <c r="J938" s="18"/>
      <c r="K938" s="18"/>
      <c r="L938" s="18"/>
      <c r="M938" s="18"/>
      <c r="N938" s="18"/>
      <c r="O938" s="18"/>
      <c r="P938" s="18"/>
      <c r="Q938" s="18"/>
      <c r="R938" s="18"/>
      <c r="S938" s="18"/>
      <c r="T938" s="18"/>
      <c r="U938" s="18"/>
    </row>
    <row r="939" spans="1:21" x14ac:dyDescent="0.35">
      <c r="A939" s="18"/>
      <c r="B939" s="18"/>
      <c r="C939" s="18"/>
      <c r="D939" s="18"/>
      <c r="E939" s="18"/>
      <c r="F939" s="18"/>
      <c r="G939" s="18"/>
      <c r="H939" s="18"/>
      <c r="I939" s="18"/>
      <c r="J939" s="18"/>
      <c r="K939" s="18"/>
      <c r="L939" s="18"/>
      <c r="M939" s="18"/>
      <c r="N939" s="18"/>
      <c r="O939" s="18"/>
      <c r="P939" s="18"/>
      <c r="Q939" s="18"/>
      <c r="R939" s="18"/>
      <c r="S939" s="18"/>
      <c r="T939" s="18"/>
      <c r="U939" s="18"/>
    </row>
    <row r="940" spans="1:21" x14ac:dyDescent="0.35">
      <c r="A940" s="18"/>
      <c r="B940" s="18"/>
      <c r="C940" s="18"/>
      <c r="D940" s="18"/>
      <c r="E940" s="18"/>
      <c r="F940" s="18"/>
      <c r="G940" s="18"/>
      <c r="H940" s="18"/>
      <c r="I940" s="18"/>
      <c r="J940" s="18"/>
      <c r="K940" s="18"/>
      <c r="L940" s="18"/>
      <c r="M940" s="18"/>
      <c r="N940" s="18"/>
      <c r="O940" s="18"/>
      <c r="P940" s="18"/>
      <c r="Q940" s="18"/>
      <c r="R940" s="18"/>
      <c r="S940" s="18"/>
      <c r="T940" s="18"/>
      <c r="U940" s="18"/>
    </row>
    <row r="941" spans="1:21" x14ac:dyDescent="0.35">
      <c r="A941" s="18"/>
      <c r="B941" s="18"/>
      <c r="C941" s="18"/>
      <c r="D941" s="18"/>
      <c r="E941" s="18"/>
      <c r="F941" s="18"/>
      <c r="G941" s="18"/>
      <c r="H941" s="18"/>
      <c r="I941" s="18"/>
      <c r="J941" s="18"/>
      <c r="K941" s="18"/>
      <c r="L941" s="18"/>
      <c r="M941" s="18"/>
      <c r="N941" s="18"/>
      <c r="O941" s="18"/>
      <c r="P941" s="18"/>
      <c r="Q941" s="18"/>
      <c r="R941" s="18"/>
      <c r="S941" s="18"/>
      <c r="T941" s="18"/>
      <c r="U941" s="18"/>
    </row>
    <row r="942" spans="1:21" x14ac:dyDescent="0.35">
      <c r="A942" s="18"/>
      <c r="B942" s="18"/>
      <c r="C942" s="18"/>
      <c r="D942" s="18"/>
      <c r="E942" s="18"/>
      <c r="F942" s="18"/>
      <c r="G942" s="18"/>
      <c r="H942" s="18"/>
      <c r="I942" s="18"/>
      <c r="J942" s="18"/>
      <c r="K942" s="18"/>
      <c r="L942" s="18"/>
      <c r="M942" s="18"/>
      <c r="N942" s="18"/>
      <c r="O942" s="18"/>
      <c r="P942" s="18"/>
      <c r="Q942" s="18"/>
      <c r="R942" s="18"/>
      <c r="S942" s="18"/>
      <c r="T942" s="18"/>
      <c r="U942" s="18"/>
    </row>
    <row r="943" spans="1:21" x14ac:dyDescent="0.35">
      <c r="A943" s="18"/>
      <c r="B943" s="18"/>
      <c r="C943" s="18"/>
      <c r="D943" s="18"/>
      <c r="E943" s="18"/>
      <c r="F943" s="18"/>
      <c r="G943" s="18"/>
      <c r="H943" s="18"/>
      <c r="I943" s="18"/>
      <c r="J943" s="18"/>
      <c r="K943" s="18"/>
      <c r="L943" s="18"/>
      <c r="M943" s="18"/>
      <c r="N943" s="18"/>
      <c r="O943" s="18"/>
      <c r="P943" s="18"/>
      <c r="Q943" s="18"/>
      <c r="R943" s="18"/>
      <c r="S943" s="18"/>
      <c r="T943" s="18"/>
      <c r="U943" s="18"/>
    </row>
    <row r="944" spans="1:21" x14ac:dyDescent="0.35">
      <c r="A944" s="18"/>
      <c r="B944" s="18"/>
      <c r="C944" s="18"/>
      <c r="D944" s="18"/>
      <c r="E944" s="18"/>
      <c r="F944" s="18"/>
      <c r="G944" s="18"/>
      <c r="H944" s="18"/>
      <c r="I944" s="18"/>
      <c r="J944" s="18"/>
      <c r="K944" s="18"/>
      <c r="L944" s="18"/>
      <c r="M944" s="18"/>
      <c r="N944" s="18"/>
      <c r="O944" s="18"/>
      <c r="P944" s="18"/>
      <c r="Q944" s="18"/>
      <c r="R944" s="18"/>
      <c r="S944" s="18"/>
      <c r="T944" s="18"/>
      <c r="U944" s="18"/>
    </row>
    <row r="945" spans="1:21" x14ac:dyDescent="0.35">
      <c r="A945" s="18"/>
      <c r="B945" s="18"/>
      <c r="C945" s="18"/>
      <c r="D945" s="18"/>
      <c r="E945" s="18"/>
      <c r="F945" s="18"/>
      <c r="G945" s="18"/>
      <c r="H945" s="18"/>
      <c r="I945" s="18"/>
      <c r="J945" s="18"/>
      <c r="K945" s="18"/>
      <c r="L945" s="18"/>
      <c r="M945" s="18"/>
      <c r="N945" s="18"/>
      <c r="O945" s="18"/>
      <c r="P945" s="18"/>
      <c r="Q945" s="18"/>
      <c r="R945" s="18"/>
      <c r="S945" s="18"/>
      <c r="T945" s="18"/>
      <c r="U945" s="18"/>
    </row>
    <row r="946" spans="1:21" x14ac:dyDescent="0.35">
      <c r="A946" s="18"/>
      <c r="B946" s="18"/>
      <c r="C946" s="18"/>
      <c r="D946" s="18"/>
      <c r="E946" s="18"/>
      <c r="F946" s="18"/>
      <c r="G946" s="18"/>
      <c r="H946" s="18"/>
      <c r="I946" s="18"/>
      <c r="J946" s="18"/>
      <c r="K946" s="18"/>
      <c r="L946" s="18"/>
      <c r="M946" s="18"/>
      <c r="N946" s="18"/>
      <c r="O946" s="18"/>
      <c r="P946" s="18"/>
      <c r="Q946" s="18"/>
      <c r="R946" s="18"/>
      <c r="S946" s="18"/>
      <c r="T946" s="18"/>
      <c r="U946" s="18"/>
    </row>
    <row r="947" spans="1:21" x14ac:dyDescent="0.35">
      <c r="A947" s="18"/>
      <c r="B947" s="18"/>
      <c r="C947" s="18"/>
      <c r="D947" s="18"/>
      <c r="E947" s="18"/>
      <c r="F947" s="18"/>
      <c r="G947" s="18"/>
      <c r="H947" s="18"/>
      <c r="I947" s="18"/>
      <c r="J947" s="18"/>
      <c r="K947" s="18"/>
      <c r="L947" s="18"/>
      <c r="M947" s="18"/>
      <c r="N947" s="18"/>
      <c r="O947" s="18"/>
      <c r="P947" s="18"/>
      <c r="Q947" s="18"/>
      <c r="R947" s="18"/>
      <c r="S947" s="18"/>
      <c r="T947" s="18"/>
      <c r="U947" s="18"/>
    </row>
    <row r="948" spans="1:21" x14ac:dyDescent="0.35">
      <c r="A948" s="18"/>
      <c r="B948" s="18"/>
      <c r="C948" s="18"/>
      <c r="D948" s="18"/>
      <c r="E948" s="18"/>
      <c r="F948" s="18"/>
      <c r="G948" s="18"/>
      <c r="H948" s="18"/>
      <c r="I948" s="18"/>
      <c r="J948" s="18"/>
      <c r="K948" s="18"/>
      <c r="L948" s="18"/>
      <c r="M948" s="18"/>
      <c r="N948" s="18"/>
      <c r="O948" s="18"/>
      <c r="P948" s="18"/>
      <c r="Q948" s="18"/>
      <c r="R948" s="18"/>
      <c r="S948" s="18"/>
      <c r="T948" s="18"/>
      <c r="U948" s="18"/>
    </row>
    <row r="949" spans="1:21" x14ac:dyDescent="0.35">
      <c r="A949" s="18"/>
      <c r="B949" s="18"/>
      <c r="C949" s="18"/>
      <c r="D949" s="18"/>
      <c r="E949" s="18"/>
      <c r="F949" s="18"/>
      <c r="G949" s="18"/>
      <c r="H949" s="18"/>
      <c r="I949" s="18"/>
      <c r="J949" s="18"/>
      <c r="K949" s="18"/>
      <c r="L949" s="18"/>
      <c r="M949" s="18"/>
      <c r="N949" s="18"/>
      <c r="O949" s="18"/>
      <c r="P949" s="18"/>
      <c r="Q949" s="18"/>
      <c r="R949" s="18"/>
      <c r="S949" s="18"/>
      <c r="T949" s="18"/>
      <c r="U949" s="18"/>
    </row>
    <row r="950" spans="1:21" x14ac:dyDescent="0.35">
      <c r="A950" s="18"/>
      <c r="B950" s="18"/>
      <c r="C950" s="18"/>
      <c r="D950" s="18"/>
      <c r="E950" s="18"/>
      <c r="F950" s="18"/>
      <c r="G950" s="18"/>
      <c r="H950" s="18"/>
      <c r="I950" s="18"/>
      <c r="J950" s="18"/>
      <c r="K950" s="18"/>
      <c r="L950" s="18"/>
      <c r="M950" s="18"/>
      <c r="N950" s="18"/>
      <c r="O950" s="18"/>
      <c r="P950" s="18"/>
      <c r="Q950" s="18"/>
      <c r="R950" s="18"/>
      <c r="S950" s="18"/>
      <c r="T950" s="18"/>
      <c r="U950" s="18"/>
    </row>
    <row r="951" spans="1:21" x14ac:dyDescent="0.35">
      <c r="A951" s="18"/>
      <c r="B951" s="18"/>
      <c r="C951" s="18"/>
      <c r="D951" s="18"/>
      <c r="E951" s="18"/>
      <c r="F951" s="18"/>
      <c r="G951" s="18"/>
      <c r="H951" s="18"/>
      <c r="I951" s="18"/>
      <c r="J951" s="18"/>
      <c r="K951" s="18"/>
      <c r="L951" s="18"/>
      <c r="M951" s="18"/>
      <c r="N951" s="18"/>
      <c r="O951" s="18"/>
      <c r="P951" s="18"/>
      <c r="Q951" s="18"/>
      <c r="R951" s="18"/>
      <c r="S951" s="18"/>
      <c r="T951" s="18"/>
      <c r="U951" s="18"/>
    </row>
    <row r="952" spans="1:21" x14ac:dyDescent="0.35">
      <c r="A952" s="18"/>
      <c r="B952" s="18"/>
      <c r="C952" s="18"/>
      <c r="D952" s="18"/>
      <c r="E952" s="18"/>
      <c r="F952" s="18"/>
      <c r="G952" s="18"/>
      <c r="H952" s="18"/>
      <c r="I952" s="18"/>
      <c r="J952" s="18"/>
      <c r="K952" s="18"/>
      <c r="L952" s="18"/>
      <c r="M952" s="18"/>
      <c r="N952" s="18"/>
      <c r="O952" s="18"/>
      <c r="P952" s="18"/>
      <c r="Q952" s="18"/>
      <c r="R952" s="18"/>
      <c r="S952" s="18"/>
      <c r="T952" s="18"/>
      <c r="U952" s="18"/>
    </row>
    <row r="953" spans="1:21" x14ac:dyDescent="0.35">
      <c r="A953" s="18"/>
      <c r="B953" s="18"/>
      <c r="C953" s="18"/>
      <c r="D953" s="18"/>
      <c r="E953" s="18"/>
      <c r="F953" s="18"/>
      <c r="G953" s="18"/>
      <c r="H953" s="18"/>
      <c r="I953" s="18"/>
      <c r="J953" s="18"/>
      <c r="K953" s="18"/>
      <c r="L953" s="18"/>
      <c r="M953" s="18"/>
      <c r="N953" s="18"/>
      <c r="O953" s="18"/>
      <c r="P953" s="18"/>
      <c r="Q953" s="18"/>
      <c r="R953" s="18"/>
      <c r="S953" s="18"/>
      <c r="T953" s="18"/>
      <c r="U953" s="18"/>
    </row>
    <row r="954" spans="1:21" x14ac:dyDescent="0.35">
      <c r="A954" s="18"/>
      <c r="B954" s="18"/>
      <c r="C954" s="18"/>
      <c r="D954" s="18"/>
      <c r="E954" s="18"/>
      <c r="F954" s="18"/>
      <c r="G954" s="18"/>
      <c r="H954" s="18"/>
      <c r="I954" s="18"/>
      <c r="J954" s="18"/>
      <c r="K954" s="18"/>
      <c r="L954" s="18"/>
      <c r="M954" s="18"/>
      <c r="N954" s="18"/>
      <c r="O954" s="18"/>
      <c r="P954" s="18"/>
      <c r="Q954" s="18"/>
      <c r="R954" s="18"/>
      <c r="S954" s="18"/>
      <c r="T954" s="18"/>
      <c r="U954" s="18"/>
    </row>
    <row r="955" spans="1:21" x14ac:dyDescent="0.35">
      <c r="A955" s="18"/>
      <c r="B955" s="18"/>
      <c r="C955" s="18"/>
      <c r="D955" s="18"/>
      <c r="E955" s="18"/>
      <c r="F955" s="18"/>
      <c r="G955" s="18"/>
      <c r="H955" s="18"/>
      <c r="I955" s="18"/>
      <c r="J955" s="18"/>
      <c r="K955" s="18"/>
      <c r="L955" s="18"/>
      <c r="M955" s="18"/>
      <c r="N955" s="18"/>
      <c r="O955" s="18"/>
      <c r="P955" s="18"/>
      <c r="Q955" s="18"/>
      <c r="R955" s="18"/>
      <c r="S955" s="18"/>
      <c r="T955" s="18"/>
      <c r="U955" s="18"/>
    </row>
    <row r="956" spans="1:21" x14ac:dyDescent="0.35">
      <c r="A956" s="18"/>
      <c r="B956" s="18"/>
      <c r="C956" s="18"/>
      <c r="D956" s="18"/>
      <c r="E956" s="18"/>
      <c r="F956" s="18"/>
      <c r="G956" s="18"/>
      <c r="H956" s="18"/>
      <c r="I956" s="18"/>
      <c r="J956" s="18"/>
      <c r="K956" s="18"/>
      <c r="L956" s="18"/>
      <c r="M956" s="18"/>
      <c r="N956" s="18"/>
      <c r="O956" s="18"/>
      <c r="P956" s="18"/>
      <c r="Q956" s="18"/>
      <c r="R956" s="18"/>
      <c r="S956" s="18"/>
      <c r="T956" s="18"/>
      <c r="U956" s="18"/>
    </row>
    <row r="957" spans="1:21" x14ac:dyDescent="0.35">
      <c r="A957" s="18"/>
      <c r="B957" s="18"/>
      <c r="C957" s="18"/>
      <c r="D957" s="18"/>
      <c r="E957" s="18"/>
      <c r="F957" s="18"/>
      <c r="G957" s="18"/>
      <c r="H957" s="18"/>
      <c r="I957" s="18"/>
      <c r="J957" s="18"/>
      <c r="K957" s="18"/>
      <c r="L957" s="18"/>
      <c r="M957" s="18"/>
      <c r="N957" s="18"/>
      <c r="O957" s="18"/>
      <c r="P957" s="18"/>
      <c r="Q957" s="18"/>
      <c r="R957" s="18"/>
      <c r="S957" s="18"/>
      <c r="T957" s="18"/>
      <c r="U957" s="18"/>
    </row>
    <row r="958" spans="1:21" x14ac:dyDescent="0.35">
      <c r="A958" s="18"/>
      <c r="B958" s="18"/>
      <c r="C958" s="18"/>
      <c r="D958" s="18"/>
      <c r="E958" s="18"/>
      <c r="F958" s="18"/>
      <c r="G958" s="18"/>
      <c r="H958" s="18"/>
      <c r="I958" s="18"/>
      <c r="J958" s="18"/>
      <c r="K958" s="18"/>
      <c r="L958" s="18"/>
      <c r="M958" s="18"/>
      <c r="N958" s="18"/>
      <c r="O958" s="18"/>
      <c r="P958" s="18"/>
      <c r="Q958" s="18"/>
      <c r="R958" s="18"/>
      <c r="S958" s="18"/>
      <c r="T958" s="18"/>
      <c r="U958" s="18"/>
    </row>
    <row r="959" spans="1:21" x14ac:dyDescent="0.35">
      <c r="A959" s="18"/>
      <c r="B959" s="18"/>
      <c r="C959" s="18"/>
      <c r="D959" s="18"/>
      <c r="E959" s="18"/>
      <c r="F959" s="18"/>
      <c r="G959" s="18"/>
      <c r="H959" s="18"/>
      <c r="I959" s="18"/>
      <c r="J959" s="18"/>
      <c r="K959" s="18"/>
      <c r="L959" s="18"/>
      <c r="M959" s="18"/>
      <c r="N959" s="18"/>
      <c r="O959" s="18"/>
      <c r="P959" s="18"/>
      <c r="Q959" s="18"/>
      <c r="R959" s="18"/>
      <c r="S959" s="18"/>
      <c r="T959" s="18"/>
      <c r="U959" s="18"/>
    </row>
    <row r="960" spans="1:21" x14ac:dyDescent="0.35">
      <c r="A960" s="18"/>
      <c r="B960" s="18"/>
      <c r="C960" s="18"/>
      <c r="D960" s="18"/>
      <c r="E960" s="18"/>
      <c r="F960" s="18"/>
      <c r="G960" s="18"/>
      <c r="H960" s="18"/>
      <c r="I960" s="18"/>
      <c r="J960" s="18"/>
      <c r="K960" s="18"/>
      <c r="L960" s="18"/>
      <c r="M960" s="18"/>
      <c r="N960" s="18"/>
      <c r="O960" s="18"/>
      <c r="P960" s="18"/>
      <c r="Q960" s="18"/>
      <c r="R960" s="18"/>
      <c r="S960" s="18"/>
      <c r="T960" s="18"/>
      <c r="U960" s="18"/>
    </row>
    <row r="961" spans="1:21" x14ac:dyDescent="0.35">
      <c r="A961" s="18"/>
      <c r="B961" s="18"/>
      <c r="C961" s="18"/>
      <c r="D961" s="18"/>
      <c r="E961" s="18"/>
      <c r="F961" s="18"/>
      <c r="G961" s="18"/>
      <c r="H961" s="18"/>
      <c r="I961" s="18"/>
      <c r="J961" s="18"/>
      <c r="K961" s="18"/>
      <c r="L961" s="18"/>
      <c r="M961" s="18"/>
      <c r="N961" s="18"/>
      <c r="O961" s="18"/>
      <c r="P961" s="18"/>
      <c r="Q961" s="18"/>
      <c r="R961" s="18"/>
      <c r="S961" s="18"/>
      <c r="T961" s="18"/>
      <c r="U961" s="18"/>
    </row>
    <row r="962" spans="1:21" x14ac:dyDescent="0.35">
      <c r="A962" s="18"/>
      <c r="B962" s="18"/>
      <c r="C962" s="18"/>
      <c r="D962" s="18"/>
      <c r="E962" s="18"/>
      <c r="F962" s="18"/>
      <c r="G962" s="18"/>
      <c r="H962" s="18"/>
      <c r="I962" s="18"/>
      <c r="J962" s="18"/>
      <c r="K962" s="18"/>
      <c r="L962" s="18"/>
      <c r="M962" s="18"/>
      <c r="N962" s="18"/>
      <c r="O962" s="18"/>
      <c r="P962" s="18"/>
      <c r="Q962" s="18"/>
      <c r="R962" s="18"/>
      <c r="S962" s="18"/>
      <c r="T962" s="18"/>
      <c r="U962" s="18"/>
    </row>
    <row r="963" spans="1:21" x14ac:dyDescent="0.35">
      <c r="A963" s="18"/>
      <c r="B963" s="18"/>
      <c r="C963" s="18"/>
      <c r="D963" s="18"/>
      <c r="E963" s="18"/>
      <c r="F963" s="18"/>
      <c r="G963" s="18"/>
      <c r="H963" s="18"/>
      <c r="I963" s="18"/>
      <c r="J963" s="18"/>
      <c r="K963" s="18"/>
      <c r="L963" s="18"/>
      <c r="M963" s="18"/>
      <c r="N963" s="18"/>
      <c r="O963" s="18"/>
      <c r="P963" s="18"/>
      <c r="Q963" s="18"/>
      <c r="R963" s="18"/>
      <c r="S963" s="18"/>
      <c r="T963" s="18"/>
      <c r="U963" s="18"/>
    </row>
    <row r="964" spans="1:21" x14ac:dyDescent="0.35">
      <c r="A964" s="18"/>
      <c r="B964" s="18"/>
      <c r="C964" s="18"/>
      <c r="D964" s="18"/>
      <c r="E964" s="18"/>
      <c r="F964" s="18"/>
      <c r="G964" s="18"/>
      <c r="H964" s="18"/>
      <c r="I964" s="18"/>
      <c r="J964" s="18"/>
      <c r="K964" s="18"/>
      <c r="L964" s="18"/>
      <c r="M964" s="18"/>
      <c r="N964" s="18"/>
      <c r="O964" s="18"/>
      <c r="P964" s="18"/>
      <c r="Q964" s="18"/>
      <c r="R964" s="18"/>
      <c r="S964" s="18"/>
      <c r="T964" s="18"/>
      <c r="U964" s="18"/>
    </row>
    <row r="965" spans="1:21" x14ac:dyDescent="0.35">
      <c r="A965" s="18"/>
      <c r="B965" s="18"/>
      <c r="C965" s="18"/>
      <c r="D965" s="18"/>
      <c r="E965" s="18"/>
      <c r="F965" s="18"/>
      <c r="G965" s="18"/>
      <c r="H965" s="18"/>
      <c r="I965" s="18"/>
      <c r="J965" s="18"/>
      <c r="K965" s="18"/>
      <c r="L965" s="18"/>
      <c r="M965" s="18"/>
      <c r="N965" s="18"/>
      <c r="O965" s="18"/>
      <c r="P965" s="18"/>
      <c r="Q965" s="18"/>
      <c r="R965" s="18"/>
      <c r="S965" s="18"/>
      <c r="T965" s="18"/>
      <c r="U965" s="18"/>
    </row>
    <row r="966" spans="1:21" x14ac:dyDescent="0.35">
      <c r="A966" s="18"/>
      <c r="B966" s="18"/>
      <c r="C966" s="18"/>
      <c r="D966" s="18"/>
      <c r="E966" s="18"/>
      <c r="F966" s="18"/>
      <c r="G966" s="18"/>
      <c r="H966" s="18"/>
      <c r="I966" s="18"/>
      <c r="J966" s="18"/>
      <c r="K966" s="18"/>
      <c r="L966" s="18"/>
      <c r="M966" s="18"/>
      <c r="N966" s="18"/>
      <c r="O966" s="18"/>
      <c r="P966" s="18"/>
      <c r="Q966" s="18"/>
      <c r="R966" s="18"/>
      <c r="S966" s="18"/>
      <c r="T966" s="18"/>
      <c r="U966" s="18"/>
    </row>
    <row r="967" spans="1:21" x14ac:dyDescent="0.35">
      <c r="A967" s="18"/>
      <c r="B967" s="18"/>
      <c r="C967" s="18"/>
      <c r="D967" s="18"/>
      <c r="E967" s="18"/>
      <c r="F967" s="18"/>
      <c r="G967" s="18"/>
      <c r="H967" s="18"/>
      <c r="I967" s="18"/>
      <c r="J967" s="18"/>
      <c r="K967" s="18"/>
      <c r="L967" s="18"/>
      <c r="M967" s="18"/>
      <c r="N967" s="18"/>
      <c r="O967" s="18"/>
      <c r="P967" s="18"/>
      <c r="Q967" s="18"/>
      <c r="R967" s="18"/>
      <c r="S967" s="18"/>
      <c r="T967" s="18"/>
      <c r="U967" s="18"/>
    </row>
    <row r="968" spans="1:21" x14ac:dyDescent="0.35">
      <c r="A968" s="18"/>
      <c r="B968" s="18"/>
      <c r="C968" s="18"/>
      <c r="D968" s="18"/>
      <c r="E968" s="18"/>
      <c r="F968" s="18"/>
      <c r="G968" s="18"/>
      <c r="H968" s="18"/>
      <c r="I968" s="18"/>
      <c r="J968" s="18"/>
      <c r="K968" s="18"/>
      <c r="L968" s="18"/>
      <c r="M968" s="18"/>
      <c r="N968" s="18"/>
      <c r="O968" s="18"/>
      <c r="P968" s="18"/>
      <c r="Q968" s="18"/>
      <c r="R968" s="18"/>
      <c r="S968" s="18"/>
      <c r="T968" s="18"/>
      <c r="U968" s="18"/>
    </row>
    <row r="969" spans="1:21" x14ac:dyDescent="0.35">
      <c r="A969" s="18"/>
      <c r="B969" s="18"/>
      <c r="C969" s="18"/>
      <c r="D969" s="18"/>
      <c r="E969" s="18"/>
      <c r="F969" s="18"/>
      <c r="G969" s="18"/>
      <c r="H969" s="18"/>
      <c r="I969" s="18"/>
      <c r="J969" s="18"/>
      <c r="K969" s="18"/>
      <c r="L969" s="18"/>
      <c r="M969" s="18"/>
      <c r="N969" s="18"/>
      <c r="O969" s="18"/>
      <c r="P969" s="18"/>
      <c r="Q969" s="18"/>
      <c r="R969" s="18"/>
      <c r="S969" s="18"/>
      <c r="T969" s="18"/>
      <c r="U969" s="18"/>
    </row>
    <row r="970" spans="1:21" x14ac:dyDescent="0.35">
      <c r="A970" s="18"/>
      <c r="B970" s="18"/>
      <c r="C970" s="18"/>
      <c r="D970" s="18"/>
      <c r="E970" s="18"/>
      <c r="F970" s="18"/>
      <c r="G970" s="18"/>
      <c r="H970" s="18"/>
      <c r="I970" s="18"/>
      <c r="J970" s="18"/>
      <c r="K970" s="18"/>
      <c r="L970" s="18"/>
      <c r="M970" s="18"/>
      <c r="N970" s="18"/>
      <c r="O970" s="18"/>
      <c r="P970" s="18"/>
      <c r="Q970" s="18"/>
      <c r="R970" s="18"/>
      <c r="S970" s="18"/>
      <c r="T970" s="18"/>
      <c r="U970" s="18"/>
    </row>
    <row r="971" spans="1:21" x14ac:dyDescent="0.35">
      <c r="A971" s="18"/>
      <c r="B971" s="18"/>
      <c r="C971" s="18"/>
      <c r="D971" s="18"/>
      <c r="E971" s="18"/>
      <c r="F971" s="18"/>
      <c r="G971" s="18"/>
      <c r="H971" s="18"/>
      <c r="I971" s="18"/>
      <c r="J971" s="18"/>
      <c r="K971" s="18"/>
      <c r="L971" s="18"/>
      <c r="M971" s="18"/>
      <c r="N971" s="18"/>
      <c r="O971" s="18"/>
      <c r="P971" s="18"/>
      <c r="Q971" s="18"/>
      <c r="R971" s="18"/>
      <c r="S971" s="18"/>
      <c r="T971" s="18"/>
      <c r="U971" s="18"/>
    </row>
    <row r="972" spans="1:21" x14ac:dyDescent="0.35">
      <c r="A972" s="18"/>
      <c r="B972" s="18"/>
      <c r="C972" s="18"/>
      <c r="D972" s="18"/>
      <c r="E972" s="18"/>
      <c r="F972" s="18"/>
      <c r="G972" s="18"/>
      <c r="H972" s="18"/>
      <c r="I972" s="18"/>
      <c r="J972" s="18"/>
      <c r="K972" s="18"/>
      <c r="L972" s="18"/>
      <c r="M972" s="18"/>
      <c r="N972" s="18"/>
      <c r="O972" s="18"/>
      <c r="P972" s="18"/>
      <c r="Q972" s="18"/>
      <c r="R972" s="18"/>
      <c r="S972" s="18"/>
      <c r="T972" s="18"/>
      <c r="U972" s="18"/>
    </row>
    <row r="973" spans="1:21" x14ac:dyDescent="0.35">
      <c r="A973" s="18"/>
      <c r="B973" s="18"/>
      <c r="C973" s="18"/>
      <c r="D973" s="18"/>
      <c r="E973" s="18"/>
      <c r="F973" s="18"/>
      <c r="G973" s="18"/>
      <c r="H973" s="18"/>
      <c r="I973" s="18"/>
      <c r="J973" s="18"/>
      <c r="K973" s="18"/>
      <c r="L973" s="18"/>
      <c r="M973" s="18"/>
      <c r="N973" s="18"/>
      <c r="O973" s="18"/>
      <c r="P973" s="18"/>
      <c r="Q973" s="18"/>
      <c r="R973" s="18"/>
      <c r="S973" s="18"/>
      <c r="T973" s="18"/>
      <c r="U973" s="18"/>
    </row>
    <row r="974" spans="1:21" x14ac:dyDescent="0.35">
      <c r="A974" s="18"/>
      <c r="B974" s="18"/>
      <c r="C974" s="18"/>
      <c r="D974" s="18"/>
      <c r="E974" s="18"/>
      <c r="F974" s="18"/>
      <c r="G974" s="18"/>
      <c r="H974" s="18"/>
      <c r="I974" s="18"/>
      <c r="J974" s="18"/>
      <c r="K974" s="18"/>
      <c r="L974" s="18"/>
      <c r="M974" s="18"/>
      <c r="N974" s="18"/>
      <c r="O974" s="18"/>
      <c r="P974" s="18"/>
      <c r="Q974" s="18"/>
      <c r="R974" s="18"/>
      <c r="S974" s="18"/>
      <c r="T974" s="18"/>
      <c r="U974" s="18"/>
    </row>
    <row r="975" spans="1:21" x14ac:dyDescent="0.35">
      <c r="A975" s="18"/>
      <c r="B975" s="18"/>
      <c r="C975" s="18"/>
      <c r="D975" s="18"/>
      <c r="E975" s="18"/>
      <c r="F975" s="18"/>
      <c r="G975" s="18"/>
      <c r="H975" s="18"/>
      <c r="I975" s="18"/>
      <c r="J975" s="18"/>
      <c r="K975" s="18"/>
      <c r="L975" s="18"/>
      <c r="M975" s="18"/>
      <c r="N975" s="18"/>
      <c r="O975" s="18"/>
      <c r="P975" s="18"/>
      <c r="Q975" s="18"/>
      <c r="R975" s="18"/>
      <c r="S975" s="18"/>
      <c r="T975" s="18"/>
      <c r="U975" s="18"/>
    </row>
    <row r="976" spans="1:21" x14ac:dyDescent="0.35">
      <c r="A976" s="18"/>
      <c r="B976" s="18"/>
      <c r="C976" s="18"/>
      <c r="D976" s="18"/>
      <c r="E976" s="18"/>
      <c r="F976" s="18"/>
      <c r="G976" s="18"/>
      <c r="H976" s="18"/>
      <c r="I976" s="18"/>
      <c r="J976" s="18"/>
      <c r="K976" s="18"/>
      <c r="L976" s="18"/>
      <c r="M976" s="18"/>
      <c r="N976" s="18"/>
      <c r="O976" s="18"/>
      <c r="P976" s="18"/>
      <c r="Q976" s="18"/>
      <c r="R976" s="18"/>
      <c r="S976" s="18"/>
      <c r="T976" s="18"/>
      <c r="U976" s="18"/>
    </row>
    <row r="977" spans="1:21" x14ac:dyDescent="0.35">
      <c r="A977" s="18"/>
      <c r="B977" s="18"/>
      <c r="C977" s="18"/>
      <c r="D977" s="18"/>
      <c r="E977" s="18"/>
      <c r="F977" s="18"/>
      <c r="G977" s="18"/>
      <c r="H977" s="18"/>
      <c r="I977" s="18"/>
      <c r="J977" s="18"/>
      <c r="K977" s="18"/>
      <c r="L977" s="18"/>
      <c r="M977" s="18"/>
      <c r="N977" s="18"/>
      <c r="O977" s="18"/>
      <c r="P977" s="18"/>
      <c r="Q977" s="18"/>
      <c r="R977" s="18"/>
      <c r="S977" s="18"/>
      <c r="T977" s="18"/>
      <c r="U977" s="18"/>
    </row>
    <row r="978" spans="1:21" x14ac:dyDescent="0.35">
      <c r="A978" s="18"/>
      <c r="B978" s="18"/>
      <c r="C978" s="18"/>
      <c r="D978" s="18"/>
      <c r="E978" s="18"/>
      <c r="F978" s="18"/>
      <c r="G978" s="18"/>
      <c r="H978" s="18"/>
      <c r="I978" s="18"/>
      <c r="J978" s="18"/>
      <c r="K978" s="18"/>
      <c r="L978" s="18"/>
      <c r="M978" s="18"/>
      <c r="N978" s="18"/>
      <c r="O978" s="18"/>
      <c r="P978" s="18"/>
      <c r="Q978" s="18"/>
      <c r="R978" s="18"/>
      <c r="S978" s="18"/>
      <c r="T978" s="18"/>
      <c r="U978" s="18"/>
    </row>
    <row r="979" spans="1:21" x14ac:dyDescent="0.35">
      <c r="A979" s="18"/>
      <c r="B979" s="18"/>
      <c r="C979" s="18"/>
      <c r="D979" s="18"/>
      <c r="E979" s="18"/>
      <c r="F979" s="18"/>
      <c r="G979" s="18"/>
      <c r="H979" s="18"/>
      <c r="I979" s="18"/>
      <c r="J979" s="18"/>
      <c r="K979" s="18"/>
      <c r="L979" s="18"/>
      <c r="M979" s="18"/>
      <c r="N979" s="18"/>
      <c r="O979" s="18"/>
      <c r="P979" s="18"/>
      <c r="Q979" s="18"/>
      <c r="R979" s="18"/>
      <c r="S979" s="18"/>
      <c r="T979" s="18"/>
      <c r="U979" s="18"/>
    </row>
    <row r="980" spans="1:21" x14ac:dyDescent="0.35">
      <c r="A980" s="18"/>
      <c r="B980" s="18"/>
      <c r="C980" s="18"/>
      <c r="D980" s="18"/>
      <c r="E980" s="18"/>
      <c r="F980" s="18"/>
      <c r="G980" s="18"/>
      <c r="H980" s="18"/>
      <c r="I980" s="18"/>
      <c r="J980" s="18"/>
      <c r="K980" s="18"/>
      <c r="L980" s="18"/>
      <c r="M980" s="18"/>
      <c r="N980" s="18"/>
      <c r="O980" s="18"/>
      <c r="P980" s="18"/>
      <c r="Q980" s="18"/>
      <c r="R980" s="18"/>
      <c r="S980" s="18"/>
      <c r="T980" s="18"/>
      <c r="U980" s="18"/>
    </row>
    <row r="981" spans="1:21" x14ac:dyDescent="0.35">
      <c r="A981" s="18"/>
      <c r="B981" s="18"/>
      <c r="C981" s="18"/>
      <c r="D981" s="18"/>
      <c r="E981" s="18"/>
      <c r="F981" s="18"/>
      <c r="G981" s="18"/>
      <c r="H981" s="18"/>
      <c r="I981" s="18"/>
      <c r="J981" s="18"/>
      <c r="K981" s="18"/>
      <c r="L981" s="18"/>
      <c r="M981" s="18"/>
      <c r="N981" s="18"/>
      <c r="O981" s="18"/>
      <c r="P981" s="18"/>
      <c r="Q981" s="18"/>
      <c r="R981" s="18"/>
      <c r="S981" s="18"/>
      <c r="T981" s="18"/>
      <c r="U981" s="18"/>
    </row>
    <row r="982" spans="1:21" x14ac:dyDescent="0.35">
      <c r="A982" s="18"/>
      <c r="B982" s="18"/>
      <c r="C982" s="18"/>
      <c r="D982" s="18"/>
      <c r="E982" s="18"/>
      <c r="F982" s="18"/>
      <c r="G982" s="18"/>
      <c r="H982" s="18"/>
      <c r="I982" s="18"/>
      <c r="J982" s="18"/>
      <c r="K982" s="18"/>
      <c r="L982" s="18"/>
      <c r="M982" s="18"/>
      <c r="N982" s="18"/>
      <c r="O982" s="18"/>
      <c r="P982" s="18"/>
      <c r="Q982" s="18"/>
      <c r="R982" s="18"/>
      <c r="S982" s="18"/>
      <c r="T982" s="18"/>
      <c r="U982" s="18"/>
    </row>
    <row r="983" spans="1:21" x14ac:dyDescent="0.35">
      <c r="A983" s="18"/>
      <c r="B983" s="18"/>
      <c r="C983" s="18"/>
      <c r="D983" s="18"/>
      <c r="E983" s="18"/>
      <c r="F983" s="18"/>
      <c r="G983" s="18"/>
      <c r="H983" s="18"/>
      <c r="I983" s="18"/>
      <c r="J983" s="18"/>
      <c r="K983" s="18"/>
      <c r="L983" s="18"/>
      <c r="M983" s="18"/>
      <c r="N983" s="18"/>
      <c r="O983" s="18"/>
      <c r="P983" s="18"/>
      <c r="Q983" s="18"/>
      <c r="R983" s="18"/>
      <c r="S983" s="18"/>
      <c r="T983" s="18"/>
      <c r="U983" s="18"/>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95FAC-FBE9-404A-98B8-11B6072E8BE8}">
  <dimension ref="A1:N101"/>
  <sheetViews>
    <sheetView workbookViewId="0"/>
  </sheetViews>
  <sheetFormatPr defaultRowHeight="14.5" x14ac:dyDescent="0.35"/>
  <cols>
    <col min="1" max="1" width="25.453125" customWidth="1"/>
    <col min="2" max="2" width="18.81640625" customWidth="1"/>
    <col min="3" max="4" width="21.453125" customWidth="1"/>
    <col min="5" max="5" width="12.26953125" customWidth="1"/>
    <col min="6" max="7" width="8.90625" bestFit="1" customWidth="1"/>
    <col min="8" max="14" width="8.81640625" bestFit="1" customWidth="1"/>
  </cols>
  <sheetData>
    <row r="1" spans="1:14" s="1" customFormat="1" x14ac:dyDescent="0.35">
      <c r="A1" s="1" t="s">
        <v>279</v>
      </c>
      <c r="B1" s="1" t="s">
        <v>280</v>
      </c>
      <c r="C1" s="21" t="s">
        <v>282</v>
      </c>
      <c r="D1" s="21" t="s">
        <v>300</v>
      </c>
      <c r="E1" s="59" t="s">
        <v>379</v>
      </c>
      <c r="F1" s="59" t="s">
        <v>380</v>
      </c>
      <c r="G1" s="59" t="s">
        <v>381</v>
      </c>
      <c r="H1" s="59" t="s">
        <v>382</v>
      </c>
      <c r="I1" s="59" t="s">
        <v>394</v>
      </c>
      <c r="J1" s="59" t="s">
        <v>395</v>
      </c>
      <c r="K1" s="59" t="s">
        <v>383</v>
      </c>
      <c r="L1" s="59" t="s">
        <v>384</v>
      </c>
      <c r="M1" s="59" t="s">
        <v>385</v>
      </c>
      <c r="N1" s="59" t="s">
        <v>292</v>
      </c>
    </row>
    <row r="2" spans="1:14" s="1" customFormat="1" x14ac:dyDescent="0.35">
      <c r="A2" s="19" t="s">
        <v>288</v>
      </c>
      <c r="B2" s="21" t="s">
        <v>222</v>
      </c>
      <c r="C2" s="54" t="s">
        <v>222</v>
      </c>
      <c r="D2" s="19" t="s">
        <v>299</v>
      </c>
      <c r="E2" s="63">
        <v>1139282</v>
      </c>
      <c r="F2" s="64">
        <v>1171462</v>
      </c>
      <c r="G2" s="64">
        <v>1071979</v>
      </c>
      <c r="H2" s="64">
        <v>858737</v>
      </c>
      <c r="I2" s="64">
        <v>705049</v>
      </c>
      <c r="J2" s="64">
        <v>540851</v>
      </c>
      <c r="K2" s="64">
        <v>447731</v>
      </c>
      <c r="L2" s="64">
        <v>327577</v>
      </c>
      <c r="M2" s="64">
        <v>356873</v>
      </c>
      <c r="N2" s="64">
        <v>414397</v>
      </c>
    </row>
    <row r="3" spans="1:14" ht="15.5" x14ac:dyDescent="0.35">
      <c r="A3" s="3" t="s">
        <v>288</v>
      </c>
      <c r="B3" s="4" t="s">
        <v>222</v>
      </c>
      <c r="C3" s="65" t="s">
        <v>396</v>
      </c>
      <c r="D3" s="3" t="s">
        <v>299</v>
      </c>
      <c r="E3" s="60">
        <v>10530</v>
      </c>
      <c r="F3" s="66">
        <v>10536</v>
      </c>
      <c r="G3" s="66">
        <v>7520</v>
      </c>
      <c r="H3" s="66">
        <v>5537</v>
      </c>
      <c r="I3" s="66">
        <v>5389</v>
      </c>
      <c r="J3" s="48">
        <v>6357</v>
      </c>
      <c r="K3" s="48">
        <v>5288</v>
      </c>
      <c r="L3" s="66">
        <v>4036</v>
      </c>
      <c r="M3" s="66">
        <v>3964</v>
      </c>
      <c r="N3" s="66">
        <v>3684</v>
      </c>
    </row>
    <row r="4" spans="1:14" x14ac:dyDescent="0.35">
      <c r="A4" s="3" t="s">
        <v>288</v>
      </c>
      <c r="B4" s="4" t="s">
        <v>222</v>
      </c>
      <c r="C4" s="65" t="s">
        <v>397</v>
      </c>
      <c r="D4" s="3" t="s">
        <v>299</v>
      </c>
      <c r="E4" s="60">
        <v>53794</v>
      </c>
      <c r="F4" s="66">
        <v>68504</v>
      </c>
      <c r="G4" s="66">
        <v>42630</v>
      </c>
      <c r="H4" s="66">
        <v>22919</v>
      </c>
      <c r="I4" s="66">
        <v>20763</v>
      </c>
      <c r="J4" s="48">
        <v>17082</v>
      </c>
      <c r="K4" s="48">
        <v>14694</v>
      </c>
      <c r="L4" s="66">
        <v>16144</v>
      </c>
      <c r="M4" s="66">
        <v>21720</v>
      </c>
      <c r="N4" s="66">
        <v>23510</v>
      </c>
    </row>
    <row r="5" spans="1:14" x14ac:dyDescent="0.35">
      <c r="A5" s="3" t="s">
        <v>288</v>
      </c>
      <c r="B5" s="4" t="s">
        <v>222</v>
      </c>
      <c r="C5" s="65" t="s">
        <v>398</v>
      </c>
      <c r="D5" s="3" t="s">
        <v>299</v>
      </c>
      <c r="E5" s="60">
        <v>74467</v>
      </c>
      <c r="F5" s="66">
        <v>55790</v>
      </c>
      <c r="G5" s="66">
        <v>61457</v>
      </c>
      <c r="H5" s="66">
        <v>55882</v>
      </c>
      <c r="I5" s="66">
        <v>40964</v>
      </c>
      <c r="J5" s="48">
        <v>33520</v>
      </c>
      <c r="K5" s="48">
        <v>32562</v>
      </c>
      <c r="L5" s="66">
        <v>30191</v>
      </c>
      <c r="M5" s="66">
        <v>23916</v>
      </c>
      <c r="N5" s="66">
        <v>16306</v>
      </c>
    </row>
    <row r="6" spans="1:14" x14ac:dyDescent="0.35">
      <c r="A6" s="3" t="s">
        <v>288</v>
      </c>
      <c r="B6" s="4" t="s">
        <v>222</v>
      </c>
      <c r="C6" s="65" t="s">
        <v>399</v>
      </c>
      <c r="D6" s="3" t="s">
        <v>299</v>
      </c>
      <c r="E6" s="60">
        <v>104399</v>
      </c>
      <c r="F6" s="66">
        <v>122691</v>
      </c>
      <c r="G6" s="66">
        <v>122264</v>
      </c>
      <c r="H6" s="66">
        <v>75464</v>
      </c>
      <c r="I6" s="66">
        <v>30311</v>
      </c>
      <c r="J6" s="48">
        <v>14998</v>
      </c>
      <c r="K6" s="48">
        <v>12251</v>
      </c>
      <c r="L6" s="66">
        <v>10345</v>
      </c>
      <c r="M6" s="66">
        <v>9678</v>
      </c>
      <c r="N6" s="66">
        <v>11154</v>
      </c>
    </row>
    <row r="7" spans="1:14" x14ac:dyDescent="0.35">
      <c r="A7" s="3" t="s">
        <v>288</v>
      </c>
      <c r="B7" s="4" t="s">
        <v>222</v>
      </c>
      <c r="C7" s="65" t="s">
        <v>400</v>
      </c>
      <c r="D7" s="3" t="s">
        <v>299</v>
      </c>
      <c r="E7" s="60">
        <v>74706</v>
      </c>
      <c r="F7" s="66">
        <v>75330</v>
      </c>
      <c r="G7" s="66">
        <v>74845</v>
      </c>
      <c r="H7" s="66">
        <v>56716</v>
      </c>
      <c r="I7" s="66">
        <v>43663</v>
      </c>
      <c r="J7" s="48">
        <v>40571</v>
      </c>
      <c r="K7" s="48">
        <v>35287</v>
      </c>
      <c r="L7" s="66">
        <v>36053</v>
      </c>
      <c r="M7" s="66">
        <v>44872</v>
      </c>
      <c r="N7" s="66">
        <v>50749</v>
      </c>
    </row>
    <row r="8" spans="1:14" x14ac:dyDescent="0.35">
      <c r="A8" s="3" t="s">
        <v>288</v>
      </c>
      <c r="B8" s="4" t="s">
        <v>222</v>
      </c>
      <c r="C8" s="65" t="s">
        <v>401</v>
      </c>
      <c r="D8" s="3" t="s">
        <v>299</v>
      </c>
      <c r="E8" s="60">
        <v>92947</v>
      </c>
      <c r="F8" s="66">
        <v>134161</v>
      </c>
      <c r="G8" s="66">
        <v>110520</v>
      </c>
      <c r="H8" s="66">
        <v>73429</v>
      </c>
      <c r="I8" s="66">
        <v>75484</v>
      </c>
      <c r="J8" s="48">
        <v>60992</v>
      </c>
      <c r="K8" s="48">
        <v>59766</v>
      </c>
      <c r="L8" s="66">
        <v>59243</v>
      </c>
      <c r="M8" s="66">
        <v>97762</v>
      </c>
      <c r="N8" s="66">
        <v>154453</v>
      </c>
    </row>
    <row r="9" spans="1:14" x14ac:dyDescent="0.35">
      <c r="A9" s="3" t="s">
        <v>288</v>
      </c>
      <c r="B9" s="4" t="s">
        <v>222</v>
      </c>
      <c r="C9" s="65" t="s">
        <v>402</v>
      </c>
      <c r="D9" s="3" t="s">
        <v>299</v>
      </c>
      <c r="E9" s="60">
        <v>138608</v>
      </c>
      <c r="F9" s="66">
        <v>126915</v>
      </c>
      <c r="G9" s="66">
        <v>142110</v>
      </c>
      <c r="H9" s="66">
        <v>152464</v>
      </c>
      <c r="I9" s="66">
        <v>162390</v>
      </c>
      <c r="J9" s="48">
        <v>118712</v>
      </c>
      <c r="K9" s="48">
        <v>68565</v>
      </c>
      <c r="L9" s="66">
        <v>42447</v>
      </c>
      <c r="M9" s="66">
        <v>28461</v>
      </c>
      <c r="N9" s="66">
        <v>27496</v>
      </c>
    </row>
    <row r="10" spans="1:14" x14ac:dyDescent="0.35">
      <c r="A10" s="3" t="s">
        <v>288</v>
      </c>
      <c r="B10" s="4" t="s">
        <v>222</v>
      </c>
      <c r="C10" s="65" t="s">
        <v>403</v>
      </c>
      <c r="D10" s="3" t="s">
        <v>299</v>
      </c>
      <c r="E10" s="60">
        <v>491771</v>
      </c>
      <c r="F10" s="66">
        <v>439105</v>
      </c>
      <c r="G10" s="66">
        <v>392101</v>
      </c>
      <c r="H10" s="66">
        <v>378332</v>
      </c>
      <c r="I10" s="66">
        <v>317724</v>
      </c>
      <c r="J10" s="48">
        <v>241667</v>
      </c>
      <c r="K10" s="48">
        <v>212202</v>
      </c>
      <c r="L10" s="66">
        <v>123285</v>
      </c>
      <c r="M10" s="66">
        <v>120000</v>
      </c>
      <c r="N10" s="66">
        <v>120939</v>
      </c>
    </row>
    <row r="11" spans="1:14" x14ac:dyDescent="0.35">
      <c r="A11" s="3" t="s">
        <v>288</v>
      </c>
      <c r="B11" s="4" t="s">
        <v>222</v>
      </c>
      <c r="C11" s="65" t="s">
        <v>404</v>
      </c>
      <c r="D11" s="3" t="s">
        <v>299</v>
      </c>
      <c r="E11" s="60">
        <v>98060</v>
      </c>
      <c r="F11" s="66">
        <v>138430</v>
      </c>
      <c r="G11" s="66">
        <v>118532</v>
      </c>
      <c r="H11" s="66">
        <v>37994</v>
      </c>
      <c r="I11" s="66">
        <v>8361</v>
      </c>
      <c r="J11" s="48">
        <v>6952</v>
      </c>
      <c r="K11" s="48">
        <v>7116</v>
      </c>
      <c r="L11" s="66">
        <v>5833</v>
      </c>
      <c r="M11" s="66">
        <v>6500</v>
      </c>
      <c r="N11" s="66">
        <v>6106</v>
      </c>
    </row>
    <row r="12" spans="1:14" s="1" customFormat="1" x14ac:dyDescent="0.35">
      <c r="A12" s="19" t="s">
        <v>288</v>
      </c>
      <c r="B12" s="21" t="s">
        <v>232</v>
      </c>
      <c r="C12" s="54" t="s">
        <v>232</v>
      </c>
      <c r="D12" s="19" t="s">
        <v>299</v>
      </c>
      <c r="E12" s="63">
        <v>21113</v>
      </c>
      <c r="F12" s="64">
        <v>17569</v>
      </c>
      <c r="G12" s="64">
        <v>17117</v>
      </c>
      <c r="H12" s="64">
        <v>18066</v>
      </c>
      <c r="I12" s="64">
        <v>18816</v>
      </c>
      <c r="J12" s="64">
        <v>15181</v>
      </c>
      <c r="K12" s="64">
        <v>15651</v>
      </c>
      <c r="L12" s="64">
        <v>12675</v>
      </c>
      <c r="M12" s="64">
        <v>7895</v>
      </c>
      <c r="N12" s="64">
        <v>6392</v>
      </c>
    </row>
    <row r="13" spans="1:14" x14ac:dyDescent="0.35">
      <c r="A13" s="3" t="s">
        <v>288</v>
      </c>
      <c r="B13" s="4" t="s">
        <v>232</v>
      </c>
      <c r="C13" s="65" t="s">
        <v>405</v>
      </c>
      <c r="D13" s="3" t="s">
        <v>299</v>
      </c>
      <c r="E13" s="60">
        <v>1354</v>
      </c>
      <c r="F13" s="66">
        <v>1000</v>
      </c>
      <c r="G13" s="66">
        <v>809</v>
      </c>
      <c r="H13" s="66">
        <v>749</v>
      </c>
      <c r="I13" s="66">
        <v>950</v>
      </c>
      <c r="J13" s="48">
        <v>844</v>
      </c>
      <c r="K13" s="48">
        <v>673</v>
      </c>
      <c r="L13" s="66">
        <v>591</v>
      </c>
      <c r="M13" s="66">
        <v>537</v>
      </c>
      <c r="N13" s="66">
        <v>360</v>
      </c>
    </row>
    <row r="14" spans="1:14" x14ac:dyDescent="0.35">
      <c r="A14" s="3" t="s">
        <v>288</v>
      </c>
      <c r="B14" s="4" t="s">
        <v>232</v>
      </c>
      <c r="C14" s="65" t="s">
        <v>406</v>
      </c>
      <c r="D14" s="3" t="s">
        <v>299</v>
      </c>
      <c r="E14" s="60">
        <v>671</v>
      </c>
      <c r="F14" s="66">
        <v>406</v>
      </c>
      <c r="G14" s="66">
        <v>1518</v>
      </c>
      <c r="H14" s="66">
        <v>2190</v>
      </c>
      <c r="I14" s="66">
        <v>3338</v>
      </c>
      <c r="J14" s="48">
        <v>2672</v>
      </c>
      <c r="K14" s="48">
        <v>2422</v>
      </c>
      <c r="L14" s="66">
        <v>2114</v>
      </c>
      <c r="M14" s="66">
        <v>1143</v>
      </c>
      <c r="N14" s="66">
        <v>796</v>
      </c>
    </row>
    <row r="15" spans="1:14" x14ac:dyDescent="0.35">
      <c r="A15" s="3" t="s">
        <v>288</v>
      </c>
      <c r="B15" s="4" t="s">
        <v>232</v>
      </c>
      <c r="C15" s="65" t="s">
        <v>407</v>
      </c>
      <c r="D15" s="3" t="s">
        <v>299</v>
      </c>
      <c r="E15" s="60">
        <v>1912</v>
      </c>
      <c r="F15" s="66">
        <v>1793</v>
      </c>
      <c r="G15" s="66">
        <v>1282</v>
      </c>
      <c r="H15" s="66">
        <v>902</v>
      </c>
      <c r="I15" s="66">
        <v>960</v>
      </c>
      <c r="J15" s="48">
        <v>1157</v>
      </c>
      <c r="K15" s="48">
        <v>1669</v>
      </c>
      <c r="L15" s="66">
        <v>1531</v>
      </c>
      <c r="M15" s="66">
        <v>950</v>
      </c>
      <c r="N15" s="66">
        <v>650</v>
      </c>
    </row>
    <row r="16" spans="1:14" x14ac:dyDescent="0.35">
      <c r="A16" s="3" t="s">
        <v>288</v>
      </c>
      <c r="B16" s="4" t="s">
        <v>232</v>
      </c>
      <c r="C16" s="65" t="s">
        <v>408</v>
      </c>
      <c r="D16" s="3" t="s">
        <v>299</v>
      </c>
      <c r="E16" s="60">
        <v>1225</v>
      </c>
      <c r="F16" s="66">
        <v>754</v>
      </c>
      <c r="G16" s="66">
        <v>517</v>
      </c>
      <c r="H16" s="66">
        <v>500</v>
      </c>
      <c r="I16" s="66">
        <v>542</v>
      </c>
      <c r="J16" s="48">
        <v>472</v>
      </c>
      <c r="K16" s="48">
        <v>543</v>
      </c>
      <c r="L16" s="66">
        <v>468</v>
      </c>
      <c r="M16" s="66">
        <v>418</v>
      </c>
      <c r="N16" s="66">
        <v>469</v>
      </c>
    </row>
    <row r="17" spans="1:14" x14ac:dyDescent="0.35">
      <c r="A17" s="3" t="s">
        <v>288</v>
      </c>
      <c r="B17" s="4" t="s">
        <v>232</v>
      </c>
      <c r="C17" s="65" t="s">
        <v>409</v>
      </c>
      <c r="D17" s="3" t="s">
        <v>299</v>
      </c>
      <c r="E17" s="60">
        <v>986</v>
      </c>
      <c r="F17" s="66">
        <v>948</v>
      </c>
      <c r="G17" s="66">
        <v>567</v>
      </c>
      <c r="H17" s="66">
        <v>486</v>
      </c>
      <c r="I17" s="66">
        <v>426</v>
      </c>
      <c r="J17" s="48">
        <v>283</v>
      </c>
      <c r="K17" s="48">
        <v>290</v>
      </c>
      <c r="L17" s="66">
        <v>270</v>
      </c>
      <c r="M17" s="66">
        <v>102</v>
      </c>
      <c r="N17" s="66">
        <v>88</v>
      </c>
    </row>
    <row r="18" spans="1:14" x14ac:dyDescent="0.35">
      <c r="A18" s="3" t="s">
        <v>288</v>
      </c>
      <c r="B18" s="4" t="s">
        <v>232</v>
      </c>
      <c r="C18" s="65" t="s">
        <v>410</v>
      </c>
      <c r="D18" s="3" t="s">
        <v>299</v>
      </c>
      <c r="E18" s="60">
        <v>263</v>
      </c>
      <c r="F18" s="66">
        <v>233</v>
      </c>
      <c r="G18" s="66">
        <v>175</v>
      </c>
      <c r="H18" s="66">
        <v>95</v>
      </c>
      <c r="I18" s="66">
        <v>81</v>
      </c>
      <c r="J18" s="48">
        <v>60</v>
      </c>
      <c r="K18" s="48">
        <v>56</v>
      </c>
      <c r="L18" s="66">
        <v>41</v>
      </c>
      <c r="M18" s="66">
        <v>41</v>
      </c>
      <c r="N18" s="66">
        <v>37</v>
      </c>
    </row>
    <row r="19" spans="1:14" ht="15.5" x14ac:dyDescent="0.35">
      <c r="A19" s="3" t="s">
        <v>288</v>
      </c>
      <c r="B19" s="4" t="s">
        <v>232</v>
      </c>
      <c r="C19" s="65" t="s">
        <v>411</v>
      </c>
      <c r="D19" s="3" t="s">
        <v>299</v>
      </c>
      <c r="E19" s="60">
        <v>1850</v>
      </c>
      <c r="F19" s="66" t="s">
        <v>206</v>
      </c>
      <c r="G19" s="48" t="s">
        <v>206</v>
      </c>
      <c r="H19" s="48" t="s">
        <v>206</v>
      </c>
      <c r="I19" s="48" t="s">
        <v>206</v>
      </c>
      <c r="J19" s="48" t="s">
        <v>206</v>
      </c>
      <c r="K19" s="48" t="s">
        <v>206</v>
      </c>
      <c r="L19" s="48" t="s">
        <v>206</v>
      </c>
      <c r="M19" s="48" t="s">
        <v>206</v>
      </c>
      <c r="N19" s="48" t="s">
        <v>206</v>
      </c>
    </row>
    <row r="20" spans="1:14" x14ac:dyDescent="0.35">
      <c r="A20" s="3" t="s">
        <v>288</v>
      </c>
      <c r="B20" s="4" t="s">
        <v>232</v>
      </c>
      <c r="C20" s="65" t="s">
        <v>412</v>
      </c>
      <c r="D20" s="3" t="s">
        <v>299</v>
      </c>
      <c r="E20" s="60">
        <v>4602</v>
      </c>
      <c r="F20" s="66">
        <v>7243</v>
      </c>
      <c r="G20" s="66">
        <v>6033</v>
      </c>
      <c r="H20" s="66">
        <v>7121</v>
      </c>
      <c r="I20" s="66">
        <v>6021</v>
      </c>
      <c r="J20" s="48">
        <v>4429</v>
      </c>
      <c r="K20" s="48">
        <v>4651</v>
      </c>
      <c r="L20" s="66">
        <v>4401</v>
      </c>
      <c r="M20" s="66">
        <v>2509</v>
      </c>
      <c r="N20" s="66">
        <v>1738</v>
      </c>
    </row>
    <row r="21" spans="1:14" x14ac:dyDescent="0.35">
      <c r="A21" s="3" t="s">
        <v>288</v>
      </c>
      <c r="B21" s="4" t="s">
        <v>232</v>
      </c>
      <c r="C21" s="65" t="s">
        <v>413</v>
      </c>
      <c r="D21" s="3" t="s">
        <v>299</v>
      </c>
      <c r="E21" s="60">
        <v>2889</v>
      </c>
      <c r="F21" s="66">
        <v>1358</v>
      </c>
      <c r="G21" s="66">
        <v>3053</v>
      </c>
      <c r="H21" s="66">
        <v>4018</v>
      </c>
      <c r="I21" s="66">
        <v>4303</v>
      </c>
      <c r="J21" s="48">
        <v>3527</v>
      </c>
      <c r="K21" s="48">
        <v>3171</v>
      </c>
      <c r="L21" s="66">
        <v>1509</v>
      </c>
      <c r="M21" s="66">
        <v>474</v>
      </c>
      <c r="N21" s="66">
        <v>500</v>
      </c>
    </row>
    <row r="22" spans="1:14" x14ac:dyDescent="0.35">
      <c r="A22" s="3" t="s">
        <v>288</v>
      </c>
      <c r="B22" s="4" t="s">
        <v>232</v>
      </c>
      <c r="C22" s="65" t="s">
        <v>414</v>
      </c>
      <c r="D22" s="3" t="s">
        <v>299</v>
      </c>
      <c r="E22" s="60">
        <v>1813</v>
      </c>
      <c r="F22" s="66">
        <v>1619</v>
      </c>
      <c r="G22" s="66">
        <v>1435</v>
      </c>
      <c r="H22" s="66">
        <v>548</v>
      </c>
      <c r="I22" s="66">
        <v>572</v>
      </c>
      <c r="J22" s="48">
        <v>418</v>
      </c>
      <c r="K22" s="48">
        <v>398</v>
      </c>
      <c r="L22" s="66">
        <v>642</v>
      </c>
      <c r="M22" s="66">
        <v>702</v>
      </c>
      <c r="N22" s="66">
        <v>924</v>
      </c>
    </row>
    <row r="23" spans="1:14" x14ac:dyDescent="0.35">
      <c r="A23" s="3" t="s">
        <v>288</v>
      </c>
      <c r="B23" s="4" t="s">
        <v>232</v>
      </c>
      <c r="C23" s="65" t="s">
        <v>415</v>
      </c>
      <c r="D23" s="3" t="s">
        <v>299</v>
      </c>
      <c r="E23" s="60">
        <v>847</v>
      </c>
      <c r="F23" s="66">
        <v>279</v>
      </c>
      <c r="G23" s="66">
        <v>184</v>
      </c>
      <c r="H23" s="66">
        <v>338</v>
      </c>
      <c r="I23" s="66">
        <v>341</v>
      </c>
      <c r="J23" s="48">
        <v>277</v>
      </c>
      <c r="K23" s="48">
        <v>356</v>
      </c>
      <c r="L23" s="66">
        <v>293</v>
      </c>
      <c r="M23" s="66">
        <v>317</v>
      </c>
      <c r="N23" s="66">
        <v>299</v>
      </c>
    </row>
    <row r="24" spans="1:14" x14ac:dyDescent="0.35">
      <c r="A24" s="3" t="s">
        <v>288</v>
      </c>
      <c r="B24" s="4" t="s">
        <v>232</v>
      </c>
      <c r="C24" s="65" t="s">
        <v>416</v>
      </c>
      <c r="D24" s="3" t="s">
        <v>299</v>
      </c>
      <c r="E24" s="60">
        <v>2701</v>
      </c>
      <c r="F24" s="66">
        <v>1936</v>
      </c>
      <c r="G24" s="66">
        <v>1544</v>
      </c>
      <c r="H24" s="66">
        <v>1119</v>
      </c>
      <c r="I24" s="66">
        <v>1282</v>
      </c>
      <c r="J24" s="48">
        <v>1042</v>
      </c>
      <c r="K24" s="48">
        <v>1422</v>
      </c>
      <c r="L24" s="66">
        <v>815</v>
      </c>
      <c r="M24" s="66">
        <v>702</v>
      </c>
      <c r="N24" s="66">
        <v>531</v>
      </c>
    </row>
    <row r="25" spans="1:14" s="1" customFormat="1" x14ac:dyDescent="0.35">
      <c r="A25" s="19" t="s">
        <v>290</v>
      </c>
      <c r="B25" s="21" t="s">
        <v>425</v>
      </c>
      <c r="C25" s="21" t="s">
        <v>244</v>
      </c>
      <c r="D25" s="19" t="s">
        <v>301</v>
      </c>
      <c r="E25" s="64">
        <v>3237</v>
      </c>
      <c r="F25" s="64">
        <v>3659</v>
      </c>
      <c r="G25" s="64">
        <v>4933</v>
      </c>
      <c r="H25" s="64">
        <v>4659</v>
      </c>
      <c r="I25" s="64">
        <v>1663</v>
      </c>
      <c r="J25" s="64">
        <v>1506</v>
      </c>
      <c r="K25" s="64">
        <v>978</v>
      </c>
      <c r="L25" s="67">
        <v>806</v>
      </c>
      <c r="M25" s="67">
        <v>578</v>
      </c>
      <c r="N25" s="67">
        <v>337</v>
      </c>
    </row>
    <row r="26" spans="1:14" x14ac:dyDescent="0.35">
      <c r="A26" s="3" t="s">
        <v>290</v>
      </c>
      <c r="B26" s="4" t="s">
        <v>425</v>
      </c>
      <c r="C26" s="4" t="s">
        <v>245</v>
      </c>
      <c r="D26" s="3" t="s">
        <v>301</v>
      </c>
      <c r="E26" s="48">
        <v>990</v>
      </c>
      <c r="F26" s="48">
        <v>980</v>
      </c>
      <c r="G26" s="48">
        <v>974</v>
      </c>
      <c r="H26" s="48">
        <v>1156</v>
      </c>
      <c r="I26" s="48">
        <v>511</v>
      </c>
      <c r="J26" s="48">
        <v>403</v>
      </c>
      <c r="K26" s="48">
        <v>394</v>
      </c>
      <c r="L26" s="66">
        <v>316</v>
      </c>
      <c r="M26" s="66">
        <v>135</v>
      </c>
      <c r="N26" s="66">
        <v>75</v>
      </c>
    </row>
    <row r="27" spans="1:14" x14ac:dyDescent="0.35">
      <c r="A27" s="3" t="s">
        <v>290</v>
      </c>
      <c r="B27" s="4" t="s">
        <v>425</v>
      </c>
      <c r="C27" s="4" t="s">
        <v>246</v>
      </c>
      <c r="D27" s="3" t="s">
        <v>301</v>
      </c>
      <c r="E27" s="48">
        <v>3141</v>
      </c>
      <c r="F27" s="48">
        <v>3248</v>
      </c>
      <c r="G27" s="48">
        <v>2560</v>
      </c>
      <c r="H27" s="48">
        <v>1664</v>
      </c>
      <c r="I27" s="48">
        <v>826</v>
      </c>
      <c r="J27" s="48">
        <v>596</v>
      </c>
      <c r="K27" s="48">
        <v>481</v>
      </c>
      <c r="L27" s="66">
        <v>449</v>
      </c>
      <c r="M27" s="66">
        <v>346</v>
      </c>
      <c r="N27" s="66">
        <v>225</v>
      </c>
    </row>
    <row r="28" spans="1:14" x14ac:dyDescent="0.35">
      <c r="A28" s="3" t="s">
        <v>290</v>
      </c>
      <c r="B28" s="4" t="s">
        <v>425</v>
      </c>
      <c r="C28" s="4" t="s">
        <v>234</v>
      </c>
      <c r="D28" s="3" t="s">
        <v>301</v>
      </c>
      <c r="E28" s="48">
        <v>1031</v>
      </c>
      <c r="F28" s="48">
        <v>892</v>
      </c>
      <c r="G28" s="48">
        <v>795</v>
      </c>
      <c r="H28" s="48">
        <v>485</v>
      </c>
      <c r="I28" s="48">
        <v>438</v>
      </c>
      <c r="J28" s="48">
        <v>257</v>
      </c>
      <c r="K28" s="48">
        <v>200</v>
      </c>
      <c r="L28" s="66">
        <v>138</v>
      </c>
      <c r="M28" s="66">
        <v>183</v>
      </c>
      <c r="N28" s="66">
        <v>153</v>
      </c>
    </row>
    <row r="29" spans="1:14" x14ac:dyDescent="0.35">
      <c r="A29" s="3" t="s">
        <v>290</v>
      </c>
      <c r="B29" s="4" t="s">
        <v>425</v>
      </c>
      <c r="C29" s="4" t="s">
        <v>247</v>
      </c>
      <c r="D29" s="3" t="s">
        <v>301</v>
      </c>
      <c r="E29" s="48">
        <v>8113</v>
      </c>
      <c r="F29" s="48">
        <v>7056</v>
      </c>
      <c r="G29" s="48">
        <v>7722</v>
      </c>
      <c r="H29" s="48">
        <v>4770</v>
      </c>
      <c r="I29" s="48">
        <v>2929</v>
      </c>
      <c r="J29" s="48">
        <v>1946</v>
      </c>
      <c r="K29" s="48">
        <v>1709</v>
      </c>
      <c r="L29" s="66">
        <v>1451</v>
      </c>
      <c r="M29" s="66">
        <v>1658</v>
      </c>
      <c r="N29" s="66">
        <v>1239</v>
      </c>
    </row>
    <row r="30" spans="1:14" x14ac:dyDescent="0.35">
      <c r="A30" s="3" t="s">
        <v>290</v>
      </c>
      <c r="B30" s="4" t="s">
        <v>425</v>
      </c>
      <c r="C30" s="4" t="s">
        <v>259</v>
      </c>
      <c r="D30" s="3" t="s">
        <v>301</v>
      </c>
      <c r="E30" s="48">
        <v>5160</v>
      </c>
      <c r="F30" s="48">
        <v>4902</v>
      </c>
      <c r="G30" s="48">
        <v>4336</v>
      </c>
      <c r="H30" s="48">
        <v>3011</v>
      </c>
      <c r="I30" s="48">
        <v>973</v>
      </c>
      <c r="J30" s="48">
        <v>641</v>
      </c>
      <c r="K30" s="48">
        <v>628</v>
      </c>
      <c r="L30" s="66">
        <v>557</v>
      </c>
      <c r="M30" s="66">
        <v>508</v>
      </c>
      <c r="N30" s="66">
        <v>256</v>
      </c>
    </row>
    <row r="31" spans="1:14" x14ac:dyDescent="0.35">
      <c r="A31" s="3" t="s">
        <v>290</v>
      </c>
      <c r="B31" s="4" t="s">
        <v>425</v>
      </c>
      <c r="C31" s="4" t="s">
        <v>260</v>
      </c>
      <c r="D31" s="3" t="s">
        <v>301</v>
      </c>
      <c r="E31" s="48">
        <v>5943</v>
      </c>
      <c r="F31" s="48">
        <v>4440</v>
      </c>
      <c r="G31" s="48">
        <v>5373</v>
      </c>
      <c r="H31" s="48">
        <v>4033</v>
      </c>
      <c r="I31" s="48">
        <v>2063</v>
      </c>
      <c r="J31" s="48">
        <v>1196</v>
      </c>
      <c r="K31" s="48">
        <v>1037</v>
      </c>
      <c r="L31" s="66">
        <v>1180</v>
      </c>
      <c r="M31" s="66">
        <v>643</v>
      </c>
      <c r="N31" s="66">
        <v>226</v>
      </c>
    </row>
    <row r="32" spans="1:14" x14ac:dyDescent="0.35">
      <c r="A32" s="3" t="s">
        <v>290</v>
      </c>
      <c r="B32" s="4" t="s">
        <v>425</v>
      </c>
      <c r="C32" s="4" t="s">
        <v>235</v>
      </c>
      <c r="D32" s="3" t="s">
        <v>301</v>
      </c>
      <c r="E32" s="48">
        <v>2239</v>
      </c>
      <c r="F32" s="48">
        <v>2480</v>
      </c>
      <c r="G32" s="48">
        <v>3133</v>
      </c>
      <c r="H32" s="48">
        <v>2143</v>
      </c>
      <c r="I32" s="48">
        <v>808</v>
      </c>
      <c r="J32" s="48">
        <v>586</v>
      </c>
      <c r="K32" s="48">
        <v>484</v>
      </c>
      <c r="L32" s="66">
        <v>365</v>
      </c>
      <c r="M32" s="66">
        <v>257</v>
      </c>
      <c r="N32" s="66">
        <v>176</v>
      </c>
    </row>
    <row r="33" spans="1:14" x14ac:dyDescent="0.35">
      <c r="A33" s="3" t="s">
        <v>290</v>
      </c>
      <c r="B33" s="4" t="s">
        <v>425</v>
      </c>
      <c r="C33" s="4" t="s">
        <v>417</v>
      </c>
      <c r="D33" s="3" t="s">
        <v>301</v>
      </c>
      <c r="E33" s="48">
        <v>2017</v>
      </c>
      <c r="F33" s="48">
        <v>1624</v>
      </c>
      <c r="G33" s="48">
        <v>1786</v>
      </c>
      <c r="H33" s="48">
        <v>1511</v>
      </c>
      <c r="I33" s="48">
        <v>1103</v>
      </c>
      <c r="J33" s="48">
        <v>499</v>
      </c>
      <c r="K33" s="48">
        <v>508</v>
      </c>
      <c r="L33" s="66">
        <v>513</v>
      </c>
      <c r="M33" s="66">
        <v>446</v>
      </c>
      <c r="N33" s="66">
        <v>367</v>
      </c>
    </row>
    <row r="34" spans="1:14" x14ac:dyDescent="0.35">
      <c r="A34" s="3" t="s">
        <v>290</v>
      </c>
      <c r="B34" s="4" t="s">
        <v>425</v>
      </c>
      <c r="C34" s="4" t="s">
        <v>261</v>
      </c>
      <c r="D34" s="3" t="s">
        <v>301</v>
      </c>
      <c r="E34" s="48">
        <v>425</v>
      </c>
      <c r="F34" s="48">
        <v>251</v>
      </c>
      <c r="G34" s="48">
        <v>381</v>
      </c>
      <c r="H34" s="48">
        <v>234</v>
      </c>
      <c r="I34" s="48">
        <v>368</v>
      </c>
      <c r="J34" s="48">
        <v>215</v>
      </c>
      <c r="K34" s="48">
        <v>124</v>
      </c>
      <c r="L34" s="66">
        <v>167</v>
      </c>
      <c r="M34" s="66">
        <v>197</v>
      </c>
      <c r="N34" s="66">
        <v>95</v>
      </c>
    </row>
    <row r="35" spans="1:14" x14ac:dyDescent="0.35">
      <c r="A35" s="3" t="s">
        <v>290</v>
      </c>
      <c r="B35" s="4" t="s">
        <v>425</v>
      </c>
      <c r="C35" s="4" t="s">
        <v>248</v>
      </c>
      <c r="D35" s="3" t="s">
        <v>301</v>
      </c>
      <c r="E35" s="48">
        <v>4251</v>
      </c>
      <c r="F35" s="48">
        <v>4449</v>
      </c>
      <c r="G35" s="48">
        <v>4760</v>
      </c>
      <c r="H35" s="48">
        <v>2516</v>
      </c>
      <c r="I35" s="48">
        <v>1612</v>
      </c>
      <c r="J35" s="48">
        <v>1139</v>
      </c>
      <c r="K35" s="48">
        <v>967</v>
      </c>
      <c r="L35" s="66">
        <v>743</v>
      </c>
      <c r="M35" s="66">
        <v>1044</v>
      </c>
      <c r="N35" s="66">
        <v>1071</v>
      </c>
    </row>
    <row r="36" spans="1:14" x14ac:dyDescent="0.35">
      <c r="A36" s="3" t="s">
        <v>290</v>
      </c>
      <c r="B36" s="4" t="s">
        <v>425</v>
      </c>
      <c r="C36" s="4" t="s">
        <v>249</v>
      </c>
      <c r="D36" s="3" t="s">
        <v>301</v>
      </c>
      <c r="E36" s="48">
        <v>13253</v>
      </c>
      <c r="F36" s="48">
        <v>11514</v>
      </c>
      <c r="G36" s="48">
        <v>11328</v>
      </c>
      <c r="H36" s="48">
        <v>2034</v>
      </c>
      <c r="I36" s="48">
        <v>1641</v>
      </c>
      <c r="J36" s="48">
        <v>1164</v>
      </c>
      <c r="K36" s="48">
        <v>1012</v>
      </c>
      <c r="L36" s="66">
        <v>640</v>
      </c>
      <c r="M36" s="66">
        <v>536</v>
      </c>
      <c r="N36" s="66">
        <v>507</v>
      </c>
    </row>
    <row r="37" spans="1:14" x14ac:dyDescent="0.35">
      <c r="A37" s="3" t="s">
        <v>290</v>
      </c>
      <c r="B37" s="4" t="s">
        <v>425</v>
      </c>
      <c r="C37" s="4" t="s">
        <v>239</v>
      </c>
      <c r="D37" s="3" t="s">
        <v>301</v>
      </c>
      <c r="E37" s="48">
        <v>1815</v>
      </c>
      <c r="F37" s="48">
        <v>1980</v>
      </c>
      <c r="G37" s="48">
        <v>1361</v>
      </c>
      <c r="H37" s="48">
        <v>961</v>
      </c>
      <c r="I37" s="48">
        <v>763</v>
      </c>
      <c r="J37" s="48">
        <v>763</v>
      </c>
      <c r="K37" s="48">
        <v>936</v>
      </c>
      <c r="L37" s="66">
        <v>1038</v>
      </c>
      <c r="M37" s="66">
        <v>1030</v>
      </c>
      <c r="N37" s="66">
        <v>881</v>
      </c>
    </row>
    <row r="38" spans="1:14" x14ac:dyDescent="0.35">
      <c r="A38" s="3" t="s">
        <v>290</v>
      </c>
      <c r="B38" s="4" t="s">
        <v>425</v>
      </c>
      <c r="C38" s="4" t="s">
        <v>240</v>
      </c>
      <c r="D38" s="3" t="s">
        <v>301</v>
      </c>
      <c r="E38" s="48">
        <v>2357</v>
      </c>
      <c r="F38" s="48">
        <v>2220</v>
      </c>
      <c r="G38" s="48">
        <v>3333</v>
      </c>
      <c r="H38" s="48">
        <v>3094</v>
      </c>
      <c r="I38" s="48">
        <v>3229</v>
      </c>
      <c r="J38" s="48">
        <v>1630</v>
      </c>
      <c r="K38" s="48">
        <v>949</v>
      </c>
      <c r="L38" s="66">
        <v>923</v>
      </c>
      <c r="M38" s="66">
        <v>686</v>
      </c>
      <c r="N38" s="66">
        <v>508</v>
      </c>
    </row>
    <row r="39" spans="1:14" x14ac:dyDescent="0.35">
      <c r="A39" s="3" t="s">
        <v>290</v>
      </c>
      <c r="B39" s="4" t="s">
        <v>425</v>
      </c>
      <c r="C39" s="4" t="s">
        <v>250</v>
      </c>
      <c r="D39" s="3" t="s">
        <v>301</v>
      </c>
      <c r="E39" s="48">
        <v>4019</v>
      </c>
      <c r="F39" s="48">
        <v>4953</v>
      </c>
      <c r="G39" s="48">
        <v>3632</v>
      </c>
      <c r="H39" s="48">
        <v>1732</v>
      </c>
      <c r="I39" s="48">
        <v>725</v>
      </c>
      <c r="J39" s="48">
        <v>572</v>
      </c>
      <c r="K39" s="48">
        <v>681</v>
      </c>
      <c r="L39" s="66">
        <v>600</v>
      </c>
      <c r="M39" s="66">
        <v>461</v>
      </c>
      <c r="N39" s="66">
        <v>219</v>
      </c>
    </row>
    <row r="40" spans="1:14" x14ac:dyDescent="0.35">
      <c r="A40" s="3" t="s">
        <v>290</v>
      </c>
      <c r="B40" s="4" t="s">
        <v>425</v>
      </c>
      <c r="C40" s="4" t="s">
        <v>265</v>
      </c>
      <c r="D40" s="3" t="s">
        <v>301</v>
      </c>
      <c r="E40" s="48">
        <v>1892</v>
      </c>
      <c r="F40" s="48">
        <v>1594</v>
      </c>
      <c r="G40" s="48">
        <v>1584</v>
      </c>
      <c r="H40" s="48">
        <v>512</v>
      </c>
      <c r="I40" s="48">
        <v>273</v>
      </c>
      <c r="J40" s="48">
        <v>365</v>
      </c>
      <c r="K40" s="48">
        <v>239</v>
      </c>
      <c r="L40" s="66">
        <v>372</v>
      </c>
      <c r="M40" s="66">
        <v>194</v>
      </c>
      <c r="N40" s="66">
        <v>118</v>
      </c>
    </row>
    <row r="41" spans="1:14" x14ac:dyDescent="0.35">
      <c r="A41" s="3" t="s">
        <v>290</v>
      </c>
      <c r="B41" s="4" t="s">
        <v>425</v>
      </c>
      <c r="C41" s="4" t="s">
        <v>266</v>
      </c>
      <c r="D41" s="3" t="s">
        <v>301</v>
      </c>
      <c r="E41" s="48">
        <v>2506</v>
      </c>
      <c r="F41" s="48">
        <v>2696</v>
      </c>
      <c r="G41" s="48">
        <v>2935</v>
      </c>
      <c r="H41" s="48">
        <v>2602</v>
      </c>
      <c r="I41" s="48">
        <v>2295</v>
      </c>
      <c r="J41" s="48">
        <v>1057</v>
      </c>
      <c r="K41" s="48">
        <v>884</v>
      </c>
      <c r="L41" s="66">
        <v>578</v>
      </c>
      <c r="M41" s="66">
        <v>373</v>
      </c>
      <c r="N41" s="66">
        <v>178</v>
      </c>
    </row>
    <row r="42" spans="1:14" x14ac:dyDescent="0.35">
      <c r="A42" s="3" t="s">
        <v>290</v>
      </c>
      <c r="B42" s="4" t="s">
        <v>425</v>
      </c>
      <c r="C42" s="4" t="s">
        <v>267</v>
      </c>
      <c r="D42" s="3" t="s">
        <v>301</v>
      </c>
      <c r="E42" s="48">
        <v>12385</v>
      </c>
      <c r="F42" s="48">
        <v>10621</v>
      </c>
      <c r="G42" s="48">
        <v>10526</v>
      </c>
      <c r="H42" s="48">
        <v>1029</v>
      </c>
      <c r="I42" s="48">
        <v>1189</v>
      </c>
      <c r="J42" s="48">
        <v>1044</v>
      </c>
      <c r="K42" s="48">
        <v>654</v>
      </c>
      <c r="L42" s="66">
        <v>401</v>
      </c>
      <c r="M42" s="66">
        <v>403</v>
      </c>
      <c r="N42" s="66">
        <v>457</v>
      </c>
    </row>
    <row r="43" spans="1:14" x14ac:dyDescent="0.35">
      <c r="A43" s="3" t="s">
        <v>290</v>
      </c>
      <c r="B43" s="4" t="s">
        <v>425</v>
      </c>
      <c r="C43" s="4" t="s">
        <v>268</v>
      </c>
      <c r="D43" s="3" t="s">
        <v>301</v>
      </c>
      <c r="E43" s="48">
        <v>2596</v>
      </c>
      <c r="F43" s="48">
        <v>2925</v>
      </c>
      <c r="G43" s="48">
        <v>3149</v>
      </c>
      <c r="H43" s="48">
        <v>2585</v>
      </c>
      <c r="I43" s="48">
        <v>1145</v>
      </c>
      <c r="J43" s="48">
        <v>591</v>
      </c>
      <c r="K43" s="48">
        <v>607</v>
      </c>
      <c r="L43" s="66">
        <v>582</v>
      </c>
      <c r="M43" s="66">
        <v>381</v>
      </c>
      <c r="N43" s="66">
        <v>174</v>
      </c>
    </row>
    <row r="44" spans="1:14" x14ac:dyDescent="0.35">
      <c r="A44" s="3" t="s">
        <v>290</v>
      </c>
      <c r="B44" s="4" t="s">
        <v>425</v>
      </c>
      <c r="C44" s="4" t="s">
        <v>269</v>
      </c>
      <c r="D44" s="3" t="s">
        <v>301</v>
      </c>
      <c r="E44" s="48">
        <v>3943</v>
      </c>
      <c r="F44" s="48">
        <v>3244</v>
      </c>
      <c r="G44" s="48">
        <v>3780</v>
      </c>
      <c r="H44" s="48">
        <v>2307</v>
      </c>
      <c r="I44" s="48">
        <v>1171</v>
      </c>
      <c r="J44" s="48">
        <v>1175</v>
      </c>
      <c r="K44" s="48">
        <v>1492</v>
      </c>
      <c r="L44" s="66">
        <v>1525</v>
      </c>
      <c r="M44" s="66">
        <v>3599</v>
      </c>
      <c r="N44" s="66">
        <v>2945</v>
      </c>
    </row>
    <row r="45" spans="1:14" x14ac:dyDescent="0.35">
      <c r="A45" s="3" t="s">
        <v>290</v>
      </c>
      <c r="B45" s="4" t="s">
        <v>425</v>
      </c>
      <c r="C45" s="4" t="s">
        <v>229</v>
      </c>
      <c r="D45" s="3" t="s">
        <v>301</v>
      </c>
      <c r="E45" s="48">
        <v>5291</v>
      </c>
      <c r="F45" s="48">
        <v>4703</v>
      </c>
      <c r="G45" s="48">
        <v>1695</v>
      </c>
      <c r="H45" s="48">
        <v>789</v>
      </c>
      <c r="I45" s="48">
        <v>725</v>
      </c>
      <c r="J45" s="48">
        <v>567</v>
      </c>
      <c r="K45" s="48">
        <v>516</v>
      </c>
      <c r="L45" s="66">
        <v>304</v>
      </c>
      <c r="M45" s="66">
        <v>506</v>
      </c>
      <c r="N45" s="66">
        <v>398</v>
      </c>
    </row>
    <row r="46" spans="1:14" x14ac:dyDescent="0.35">
      <c r="A46" s="3" t="s">
        <v>290</v>
      </c>
      <c r="B46" s="4" t="s">
        <v>425</v>
      </c>
      <c r="C46" s="4" t="s">
        <v>252</v>
      </c>
      <c r="D46" s="3" t="s">
        <v>301</v>
      </c>
      <c r="E46" s="48">
        <v>9088</v>
      </c>
      <c r="F46" s="48">
        <v>11089</v>
      </c>
      <c r="G46" s="48">
        <v>9893</v>
      </c>
      <c r="H46" s="48">
        <v>1565</v>
      </c>
      <c r="I46" s="48">
        <v>896</v>
      </c>
      <c r="J46" s="48">
        <v>715</v>
      </c>
      <c r="K46" s="48">
        <v>691</v>
      </c>
      <c r="L46" s="66">
        <v>749</v>
      </c>
      <c r="M46" s="66">
        <v>355</v>
      </c>
      <c r="N46" s="66">
        <v>252</v>
      </c>
    </row>
    <row r="47" spans="1:14" x14ac:dyDescent="0.35">
      <c r="A47" s="3" t="s">
        <v>290</v>
      </c>
      <c r="B47" s="4" t="s">
        <v>425</v>
      </c>
      <c r="C47" s="4" t="s">
        <v>253</v>
      </c>
      <c r="D47" s="3" t="s">
        <v>301</v>
      </c>
      <c r="E47" s="48">
        <v>1185</v>
      </c>
      <c r="F47" s="48">
        <v>1691</v>
      </c>
      <c r="G47" s="48">
        <v>1862</v>
      </c>
      <c r="H47" s="48">
        <v>1227</v>
      </c>
      <c r="I47" s="48">
        <v>503</v>
      </c>
      <c r="J47" s="48">
        <v>293</v>
      </c>
      <c r="K47" s="48">
        <v>271</v>
      </c>
      <c r="L47" s="66">
        <v>158</v>
      </c>
      <c r="M47" s="66">
        <v>178</v>
      </c>
      <c r="N47" s="66">
        <v>242</v>
      </c>
    </row>
    <row r="48" spans="1:14" x14ac:dyDescent="0.35">
      <c r="A48" s="3" t="s">
        <v>290</v>
      </c>
      <c r="B48" s="4" t="s">
        <v>425</v>
      </c>
      <c r="C48" s="4" t="s">
        <v>254</v>
      </c>
      <c r="D48" s="3" t="s">
        <v>301</v>
      </c>
      <c r="E48" s="48">
        <v>3254</v>
      </c>
      <c r="F48" s="48">
        <v>4302</v>
      </c>
      <c r="G48" s="48">
        <v>5088</v>
      </c>
      <c r="H48" s="48">
        <v>3517</v>
      </c>
      <c r="I48" s="48">
        <v>1103</v>
      </c>
      <c r="J48" s="48">
        <v>835</v>
      </c>
      <c r="K48" s="48">
        <v>661</v>
      </c>
      <c r="L48" s="66">
        <v>659</v>
      </c>
      <c r="M48" s="66">
        <v>424</v>
      </c>
      <c r="N48" s="66">
        <v>376</v>
      </c>
    </row>
    <row r="49" spans="1:14" x14ac:dyDescent="0.35">
      <c r="A49" s="3" t="s">
        <v>290</v>
      </c>
      <c r="B49" s="4" t="s">
        <v>425</v>
      </c>
      <c r="C49" s="4" t="s">
        <v>255</v>
      </c>
      <c r="D49" s="3" t="s">
        <v>301</v>
      </c>
      <c r="E49" s="48">
        <v>1571</v>
      </c>
      <c r="F49" s="48">
        <v>2226</v>
      </c>
      <c r="G49" s="48">
        <v>2794</v>
      </c>
      <c r="H49" s="48">
        <v>1739</v>
      </c>
      <c r="I49" s="48">
        <v>1001</v>
      </c>
      <c r="J49" s="48">
        <v>661</v>
      </c>
      <c r="K49" s="48">
        <v>615</v>
      </c>
      <c r="L49" s="66">
        <v>488</v>
      </c>
      <c r="M49" s="66">
        <v>421</v>
      </c>
      <c r="N49" s="66">
        <v>168</v>
      </c>
    </row>
    <row r="50" spans="1:14" x14ac:dyDescent="0.35">
      <c r="A50" s="3" t="s">
        <v>290</v>
      </c>
      <c r="B50" s="4" t="s">
        <v>425</v>
      </c>
      <c r="C50" s="4" t="s">
        <v>270</v>
      </c>
      <c r="D50" s="3" t="s">
        <v>301</v>
      </c>
      <c r="E50" s="48">
        <v>2135</v>
      </c>
      <c r="F50" s="48">
        <v>2295</v>
      </c>
      <c r="G50" s="48">
        <v>2141</v>
      </c>
      <c r="H50" s="48">
        <v>1687</v>
      </c>
      <c r="I50" s="48">
        <v>1149</v>
      </c>
      <c r="J50" s="48">
        <v>825</v>
      </c>
      <c r="K50" s="48">
        <v>562</v>
      </c>
      <c r="L50" s="66">
        <v>489</v>
      </c>
      <c r="M50" s="66">
        <v>347</v>
      </c>
      <c r="N50" s="66">
        <v>303</v>
      </c>
    </row>
    <row r="51" spans="1:14" s="1" customFormat="1" x14ac:dyDescent="0.35">
      <c r="A51" s="19" t="s">
        <v>290</v>
      </c>
      <c r="B51" s="21" t="s">
        <v>426</v>
      </c>
      <c r="C51" s="21" t="s">
        <v>418</v>
      </c>
      <c r="D51" s="19" t="s">
        <v>301</v>
      </c>
      <c r="E51" s="64" t="s">
        <v>366</v>
      </c>
      <c r="F51" s="64" t="s">
        <v>366</v>
      </c>
      <c r="G51" s="64" t="s">
        <v>366</v>
      </c>
      <c r="H51" s="64" t="s">
        <v>366</v>
      </c>
      <c r="I51" s="64">
        <v>21</v>
      </c>
      <c r="J51" s="64">
        <v>10</v>
      </c>
      <c r="K51" s="64">
        <v>10</v>
      </c>
      <c r="L51" s="67">
        <v>70</v>
      </c>
      <c r="M51" s="67">
        <v>48</v>
      </c>
      <c r="N51" s="67">
        <v>50</v>
      </c>
    </row>
    <row r="52" spans="1:14" s="1" customFormat="1" x14ac:dyDescent="0.35">
      <c r="A52" s="21" t="s">
        <v>291</v>
      </c>
      <c r="B52" s="21" t="s">
        <v>425</v>
      </c>
      <c r="C52" s="21" t="s">
        <v>244</v>
      </c>
      <c r="D52" s="21" t="s">
        <v>302</v>
      </c>
      <c r="E52" s="64" t="s">
        <v>206</v>
      </c>
      <c r="F52" s="64" t="s">
        <v>206</v>
      </c>
      <c r="G52" s="64">
        <v>513</v>
      </c>
      <c r="H52" s="64">
        <v>2293</v>
      </c>
      <c r="I52" s="64">
        <v>2739</v>
      </c>
      <c r="J52" s="64">
        <v>7121</v>
      </c>
      <c r="K52" s="64">
        <v>21742</v>
      </c>
      <c r="L52" s="67">
        <v>26688</v>
      </c>
      <c r="M52" s="67">
        <v>24312</v>
      </c>
      <c r="N52" s="67">
        <v>17480</v>
      </c>
    </row>
    <row r="53" spans="1:14" x14ac:dyDescent="0.35">
      <c r="A53" s="4" t="s">
        <v>291</v>
      </c>
      <c r="B53" s="4" t="s">
        <v>425</v>
      </c>
      <c r="C53" s="4" t="s">
        <v>245</v>
      </c>
      <c r="D53" s="4" t="s">
        <v>302</v>
      </c>
      <c r="E53" s="48" t="s">
        <v>206</v>
      </c>
      <c r="F53" s="48" t="s">
        <v>206</v>
      </c>
      <c r="G53" s="48">
        <v>591</v>
      </c>
      <c r="H53" s="48">
        <v>925</v>
      </c>
      <c r="I53" s="48">
        <v>1018</v>
      </c>
      <c r="J53" s="48">
        <v>2773</v>
      </c>
      <c r="K53" s="48">
        <v>2973</v>
      </c>
      <c r="L53" s="66">
        <v>3178</v>
      </c>
      <c r="M53" s="66">
        <v>2953</v>
      </c>
      <c r="N53" s="66">
        <v>2562</v>
      </c>
    </row>
    <row r="54" spans="1:14" x14ac:dyDescent="0.35">
      <c r="A54" s="4" t="s">
        <v>291</v>
      </c>
      <c r="B54" s="4" t="s">
        <v>425</v>
      </c>
      <c r="C54" s="4" t="s">
        <v>246</v>
      </c>
      <c r="D54" s="4" t="s">
        <v>302</v>
      </c>
      <c r="E54" s="48" t="s">
        <v>206</v>
      </c>
      <c r="F54" s="48" t="s">
        <v>206</v>
      </c>
      <c r="G54" s="48">
        <v>1040</v>
      </c>
      <c r="H54" s="48">
        <v>1462</v>
      </c>
      <c r="I54" s="48">
        <v>1369</v>
      </c>
      <c r="J54" s="48">
        <v>3979</v>
      </c>
      <c r="K54" s="48">
        <v>5107</v>
      </c>
      <c r="L54" s="66">
        <v>5390</v>
      </c>
      <c r="M54" s="66">
        <v>5268</v>
      </c>
      <c r="N54" s="66">
        <v>3908</v>
      </c>
    </row>
    <row r="55" spans="1:14" x14ac:dyDescent="0.35">
      <c r="A55" s="4" t="s">
        <v>291</v>
      </c>
      <c r="B55" s="4" t="s">
        <v>425</v>
      </c>
      <c r="C55" s="4" t="s">
        <v>234</v>
      </c>
      <c r="D55" s="4" t="s">
        <v>302</v>
      </c>
      <c r="E55" s="48" t="s">
        <v>206</v>
      </c>
      <c r="F55" s="48" t="s">
        <v>206</v>
      </c>
      <c r="G55" s="48">
        <v>369</v>
      </c>
      <c r="H55" s="48">
        <v>503</v>
      </c>
      <c r="I55" s="48">
        <v>390</v>
      </c>
      <c r="J55" s="48">
        <v>659</v>
      </c>
      <c r="K55" s="48">
        <v>1169</v>
      </c>
      <c r="L55" s="66">
        <v>1635</v>
      </c>
      <c r="M55" s="66">
        <v>1666</v>
      </c>
      <c r="N55" s="66">
        <v>1668</v>
      </c>
    </row>
    <row r="56" spans="1:14" x14ac:dyDescent="0.35">
      <c r="A56" s="4" t="s">
        <v>291</v>
      </c>
      <c r="B56" s="4" t="s">
        <v>425</v>
      </c>
      <c r="C56" s="4" t="s">
        <v>247</v>
      </c>
      <c r="D56" s="4" t="s">
        <v>302</v>
      </c>
      <c r="E56" s="48" t="s">
        <v>206</v>
      </c>
      <c r="F56" s="48" t="s">
        <v>206</v>
      </c>
      <c r="G56" s="48">
        <v>525</v>
      </c>
      <c r="H56" s="48">
        <v>1043</v>
      </c>
      <c r="I56" s="48">
        <v>12872</v>
      </c>
      <c r="J56" s="48">
        <v>12669</v>
      </c>
      <c r="K56" s="48">
        <v>19272</v>
      </c>
      <c r="L56" s="66">
        <v>18739</v>
      </c>
      <c r="M56" s="66">
        <v>15455</v>
      </c>
      <c r="N56" s="66">
        <v>11817</v>
      </c>
    </row>
    <row r="57" spans="1:14" x14ac:dyDescent="0.35">
      <c r="A57" s="4" t="s">
        <v>291</v>
      </c>
      <c r="B57" s="4" t="s">
        <v>425</v>
      </c>
      <c r="C57" s="4" t="s">
        <v>259</v>
      </c>
      <c r="D57" s="4" t="s">
        <v>302</v>
      </c>
      <c r="E57" s="48" t="s">
        <v>206</v>
      </c>
      <c r="F57" s="48" t="s">
        <v>206</v>
      </c>
      <c r="G57" s="48">
        <v>611</v>
      </c>
      <c r="H57" s="48">
        <v>1635</v>
      </c>
      <c r="I57" s="48">
        <v>10922</v>
      </c>
      <c r="J57" s="48">
        <v>14626</v>
      </c>
      <c r="K57" s="48">
        <v>16548</v>
      </c>
      <c r="L57" s="66">
        <v>18808</v>
      </c>
      <c r="M57" s="66">
        <v>16515</v>
      </c>
      <c r="N57" s="66">
        <v>15882</v>
      </c>
    </row>
    <row r="58" spans="1:14" x14ac:dyDescent="0.35">
      <c r="A58" s="4" t="s">
        <v>291</v>
      </c>
      <c r="B58" s="4" t="s">
        <v>425</v>
      </c>
      <c r="C58" s="4" t="s">
        <v>260</v>
      </c>
      <c r="D58" s="4" t="s">
        <v>302</v>
      </c>
      <c r="E58" s="48" t="s">
        <v>206</v>
      </c>
      <c r="F58" s="48" t="s">
        <v>206</v>
      </c>
      <c r="G58" s="48">
        <v>345</v>
      </c>
      <c r="H58" s="48">
        <v>391</v>
      </c>
      <c r="I58" s="48">
        <v>3810</v>
      </c>
      <c r="J58" s="48">
        <v>5977</v>
      </c>
      <c r="K58" s="48">
        <v>8073</v>
      </c>
      <c r="L58" s="66">
        <v>7324</v>
      </c>
      <c r="M58" s="66">
        <v>6008</v>
      </c>
      <c r="N58" s="66">
        <v>4819</v>
      </c>
    </row>
    <row r="59" spans="1:14" x14ac:dyDescent="0.35">
      <c r="A59" s="4" t="s">
        <v>291</v>
      </c>
      <c r="B59" s="4" t="s">
        <v>425</v>
      </c>
      <c r="C59" s="4" t="s">
        <v>235</v>
      </c>
      <c r="D59" s="4" t="s">
        <v>302</v>
      </c>
      <c r="E59" s="48" t="s">
        <v>206</v>
      </c>
      <c r="F59" s="48" t="s">
        <v>206</v>
      </c>
      <c r="G59" s="48">
        <v>898</v>
      </c>
      <c r="H59" s="48">
        <v>1816</v>
      </c>
      <c r="I59" s="48">
        <v>5763</v>
      </c>
      <c r="J59" s="48">
        <v>7768</v>
      </c>
      <c r="K59" s="48">
        <v>7781</v>
      </c>
      <c r="L59" s="66">
        <v>7304</v>
      </c>
      <c r="M59" s="66">
        <v>6886</v>
      </c>
      <c r="N59" s="66">
        <v>5374</v>
      </c>
    </row>
    <row r="60" spans="1:14" x14ac:dyDescent="0.35">
      <c r="A60" s="4" t="s">
        <v>291</v>
      </c>
      <c r="B60" s="4" t="s">
        <v>425</v>
      </c>
      <c r="C60" s="4" t="s">
        <v>417</v>
      </c>
      <c r="D60" s="4" t="s">
        <v>302</v>
      </c>
      <c r="E60" s="48" t="s">
        <v>206</v>
      </c>
      <c r="F60" s="48" t="s">
        <v>206</v>
      </c>
      <c r="G60" s="48">
        <v>318</v>
      </c>
      <c r="H60" s="48">
        <v>604</v>
      </c>
      <c r="I60" s="48">
        <v>1261</v>
      </c>
      <c r="J60" s="48">
        <v>3345</v>
      </c>
      <c r="K60" s="48">
        <v>6432</v>
      </c>
      <c r="L60" s="66">
        <v>5046</v>
      </c>
      <c r="M60" s="66">
        <v>4407</v>
      </c>
      <c r="N60" s="66">
        <v>3244</v>
      </c>
    </row>
    <row r="61" spans="1:14" x14ac:dyDescent="0.35">
      <c r="A61" s="4" t="s">
        <v>291</v>
      </c>
      <c r="B61" s="4" t="s">
        <v>425</v>
      </c>
      <c r="C61" s="4" t="s">
        <v>248</v>
      </c>
      <c r="D61" s="4" t="s">
        <v>302</v>
      </c>
      <c r="E61" s="48" t="s">
        <v>206</v>
      </c>
      <c r="F61" s="48" t="s">
        <v>206</v>
      </c>
      <c r="G61" s="48">
        <v>842</v>
      </c>
      <c r="H61" s="48">
        <v>1236</v>
      </c>
      <c r="I61" s="48">
        <v>277</v>
      </c>
      <c r="J61" s="48">
        <v>2688</v>
      </c>
      <c r="K61" s="48">
        <v>19052</v>
      </c>
      <c r="L61" s="66">
        <v>19579</v>
      </c>
      <c r="M61" s="66">
        <v>17126</v>
      </c>
      <c r="N61" s="66">
        <v>13866</v>
      </c>
    </row>
    <row r="62" spans="1:14" x14ac:dyDescent="0.35">
      <c r="A62" s="4" t="s">
        <v>291</v>
      </c>
      <c r="B62" s="4" t="s">
        <v>425</v>
      </c>
      <c r="C62" s="4" t="s">
        <v>249</v>
      </c>
      <c r="D62" s="4" t="s">
        <v>302</v>
      </c>
      <c r="E62" s="48" t="s">
        <v>206</v>
      </c>
      <c r="F62" s="48" t="s">
        <v>206</v>
      </c>
      <c r="G62" s="48">
        <v>1496</v>
      </c>
      <c r="H62" s="48">
        <v>2667</v>
      </c>
      <c r="I62" s="48">
        <v>1562</v>
      </c>
      <c r="J62" s="48">
        <v>6767</v>
      </c>
      <c r="K62" s="48">
        <v>27748</v>
      </c>
      <c r="L62" s="66">
        <v>33728</v>
      </c>
      <c r="M62" s="66">
        <v>31078</v>
      </c>
      <c r="N62" s="66">
        <v>24582</v>
      </c>
    </row>
    <row r="63" spans="1:14" x14ac:dyDescent="0.35">
      <c r="A63" s="4" t="s">
        <v>291</v>
      </c>
      <c r="B63" s="4" t="s">
        <v>425</v>
      </c>
      <c r="C63" s="4" t="s">
        <v>239</v>
      </c>
      <c r="D63" s="4" t="s">
        <v>302</v>
      </c>
      <c r="E63" s="48" t="s">
        <v>206</v>
      </c>
      <c r="F63" s="48" t="s">
        <v>206</v>
      </c>
      <c r="G63" s="48">
        <v>1470</v>
      </c>
      <c r="H63" s="48">
        <v>2579</v>
      </c>
      <c r="I63" s="48">
        <v>7599</v>
      </c>
      <c r="J63" s="48">
        <v>15441</v>
      </c>
      <c r="K63" s="48">
        <v>13656</v>
      </c>
      <c r="L63" s="66">
        <v>15940</v>
      </c>
      <c r="M63" s="66">
        <v>16011</v>
      </c>
      <c r="N63" s="66">
        <v>11147</v>
      </c>
    </row>
    <row r="64" spans="1:14" x14ac:dyDescent="0.35">
      <c r="A64" s="4" t="s">
        <v>291</v>
      </c>
      <c r="B64" s="4" t="s">
        <v>425</v>
      </c>
      <c r="C64" s="4" t="s">
        <v>240</v>
      </c>
      <c r="D64" s="4" t="s">
        <v>302</v>
      </c>
      <c r="E64" s="48" t="s">
        <v>206</v>
      </c>
      <c r="F64" s="48" t="s">
        <v>206</v>
      </c>
      <c r="G64" s="48">
        <v>271</v>
      </c>
      <c r="H64" s="48">
        <v>448</v>
      </c>
      <c r="I64" s="48">
        <v>3245</v>
      </c>
      <c r="J64" s="48">
        <v>5743</v>
      </c>
      <c r="K64" s="48">
        <v>12179</v>
      </c>
      <c r="L64" s="66">
        <v>14258</v>
      </c>
      <c r="M64" s="66">
        <v>12584</v>
      </c>
      <c r="N64" s="66">
        <v>8972</v>
      </c>
    </row>
    <row r="65" spans="1:14" x14ac:dyDescent="0.35">
      <c r="A65" s="4" t="s">
        <v>291</v>
      </c>
      <c r="B65" s="4" t="s">
        <v>425</v>
      </c>
      <c r="C65" s="4" t="s">
        <v>419</v>
      </c>
      <c r="D65" s="4" t="s">
        <v>302</v>
      </c>
      <c r="E65" s="48" t="s">
        <v>206</v>
      </c>
      <c r="F65" s="48" t="s">
        <v>206</v>
      </c>
      <c r="G65" s="48">
        <v>777</v>
      </c>
      <c r="H65" s="48">
        <v>1579</v>
      </c>
      <c r="I65" s="48">
        <v>8352</v>
      </c>
      <c r="J65" s="48">
        <v>8711</v>
      </c>
      <c r="K65" s="48">
        <v>9346</v>
      </c>
      <c r="L65" s="66">
        <v>7245</v>
      </c>
      <c r="M65" s="66">
        <v>6532</v>
      </c>
      <c r="N65" s="66">
        <v>5560</v>
      </c>
    </row>
    <row r="66" spans="1:14" x14ac:dyDescent="0.35">
      <c r="A66" s="4" t="s">
        <v>291</v>
      </c>
      <c r="B66" s="4" t="s">
        <v>425</v>
      </c>
      <c r="C66" s="4" t="s">
        <v>265</v>
      </c>
      <c r="D66" s="4" t="s">
        <v>302</v>
      </c>
      <c r="E66" s="48" t="s">
        <v>206</v>
      </c>
      <c r="F66" s="48" t="s">
        <v>206</v>
      </c>
      <c r="G66" s="48">
        <v>1094</v>
      </c>
      <c r="H66" s="48">
        <v>2079</v>
      </c>
      <c r="I66" s="48">
        <v>1038</v>
      </c>
      <c r="J66" s="48">
        <v>4508</v>
      </c>
      <c r="K66" s="48">
        <v>5585</v>
      </c>
      <c r="L66" s="66">
        <v>5539</v>
      </c>
      <c r="M66" s="66">
        <v>5589</v>
      </c>
      <c r="N66" s="66">
        <v>4380</v>
      </c>
    </row>
    <row r="67" spans="1:14" x14ac:dyDescent="0.35">
      <c r="A67" s="4" t="s">
        <v>291</v>
      </c>
      <c r="B67" s="4" t="s">
        <v>425</v>
      </c>
      <c r="C67" s="4" t="s">
        <v>266</v>
      </c>
      <c r="D67" s="4" t="s">
        <v>302</v>
      </c>
      <c r="E67" s="48" t="s">
        <v>206</v>
      </c>
      <c r="F67" s="48" t="s">
        <v>206</v>
      </c>
      <c r="G67" s="48">
        <v>545</v>
      </c>
      <c r="H67" s="48">
        <v>940</v>
      </c>
      <c r="I67" s="48">
        <v>4127</v>
      </c>
      <c r="J67" s="48">
        <v>4883</v>
      </c>
      <c r="K67" s="48">
        <v>5358</v>
      </c>
      <c r="L67" s="66">
        <v>5668</v>
      </c>
      <c r="M67" s="66">
        <v>5092</v>
      </c>
      <c r="N67" s="66">
        <v>4980</v>
      </c>
    </row>
    <row r="68" spans="1:14" x14ac:dyDescent="0.35">
      <c r="A68" s="4" t="s">
        <v>291</v>
      </c>
      <c r="B68" s="4" t="s">
        <v>425</v>
      </c>
      <c r="C68" s="4" t="s">
        <v>267</v>
      </c>
      <c r="D68" s="4" t="s">
        <v>302</v>
      </c>
      <c r="E68" s="48" t="s">
        <v>206</v>
      </c>
      <c r="F68" s="48" t="s">
        <v>206</v>
      </c>
      <c r="G68" s="48">
        <v>86</v>
      </c>
      <c r="H68" s="48">
        <v>475</v>
      </c>
      <c r="I68" s="48">
        <v>18512</v>
      </c>
      <c r="J68" s="48">
        <v>13031</v>
      </c>
      <c r="K68" s="48">
        <v>17558</v>
      </c>
      <c r="L68" s="66">
        <v>14953</v>
      </c>
      <c r="M68" s="66">
        <v>13113</v>
      </c>
      <c r="N68" s="66">
        <v>10941</v>
      </c>
    </row>
    <row r="69" spans="1:14" x14ac:dyDescent="0.35">
      <c r="A69" s="4" t="s">
        <v>291</v>
      </c>
      <c r="B69" s="4" t="s">
        <v>425</v>
      </c>
      <c r="C69" s="4" t="s">
        <v>268</v>
      </c>
      <c r="D69" s="4" t="s">
        <v>302</v>
      </c>
      <c r="E69" s="48" t="s">
        <v>206</v>
      </c>
      <c r="F69" s="48" t="s">
        <v>206</v>
      </c>
      <c r="G69" s="48">
        <v>661</v>
      </c>
      <c r="H69" s="48">
        <v>914</v>
      </c>
      <c r="I69" s="48">
        <v>3132</v>
      </c>
      <c r="J69" s="62">
        <v>4747</v>
      </c>
      <c r="K69" s="62">
        <v>7371</v>
      </c>
      <c r="L69" s="50">
        <v>7770</v>
      </c>
      <c r="M69" s="50">
        <v>6960</v>
      </c>
      <c r="N69" s="50">
        <v>5505</v>
      </c>
    </row>
    <row r="70" spans="1:14" x14ac:dyDescent="0.35">
      <c r="A70" s="4" t="s">
        <v>291</v>
      </c>
      <c r="B70" s="4" t="s">
        <v>425</v>
      </c>
      <c r="C70" s="4" t="s">
        <v>272</v>
      </c>
      <c r="D70" s="4" t="s">
        <v>302</v>
      </c>
      <c r="E70" s="48" t="s">
        <v>206</v>
      </c>
      <c r="F70" s="48" t="s">
        <v>206</v>
      </c>
      <c r="G70" s="48">
        <v>296</v>
      </c>
      <c r="H70" s="48">
        <v>576</v>
      </c>
      <c r="I70" s="48">
        <v>3690</v>
      </c>
      <c r="J70" s="62">
        <v>5475</v>
      </c>
      <c r="K70" s="62">
        <v>9194</v>
      </c>
      <c r="L70" s="62">
        <v>8730</v>
      </c>
      <c r="M70" s="62">
        <v>7535</v>
      </c>
      <c r="N70" s="62">
        <v>6182</v>
      </c>
    </row>
    <row r="71" spans="1:14" x14ac:dyDescent="0.35">
      <c r="A71" s="4" t="s">
        <v>291</v>
      </c>
      <c r="B71" s="4" t="s">
        <v>425</v>
      </c>
      <c r="C71" s="4" t="s">
        <v>269</v>
      </c>
      <c r="D71" s="4" t="s">
        <v>302</v>
      </c>
      <c r="E71" s="48" t="s">
        <v>206</v>
      </c>
      <c r="F71" s="48" t="s">
        <v>206</v>
      </c>
      <c r="G71" s="48">
        <v>180</v>
      </c>
      <c r="H71" s="48">
        <v>1327</v>
      </c>
      <c r="I71" s="48">
        <v>3948</v>
      </c>
      <c r="J71" s="62">
        <v>17199</v>
      </c>
      <c r="K71" s="62">
        <v>24337</v>
      </c>
      <c r="L71" s="50">
        <v>28292</v>
      </c>
      <c r="M71" s="50">
        <v>28947</v>
      </c>
      <c r="N71" s="50">
        <v>25658</v>
      </c>
    </row>
    <row r="72" spans="1:14" x14ac:dyDescent="0.35">
      <c r="A72" s="4" t="s">
        <v>291</v>
      </c>
      <c r="B72" s="4" t="s">
        <v>425</v>
      </c>
      <c r="C72" s="4" t="s">
        <v>229</v>
      </c>
      <c r="D72" s="4" t="s">
        <v>302</v>
      </c>
      <c r="E72" s="48" t="s">
        <v>206</v>
      </c>
      <c r="F72" s="48" t="s">
        <v>206</v>
      </c>
      <c r="G72" s="48">
        <v>691</v>
      </c>
      <c r="H72" s="48">
        <v>817</v>
      </c>
      <c r="I72" s="48">
        <v>12382</v>
      </c>
      <c r="J72" s="62">
        <v>12031</v>
      </c>
      <c r="K72" s="62">
        <v>10608</v>
      </c>
      <c r="L72" s="50">
        <v>13016</v>
      </c>
      <c r="M72" s="50">
        <v>11196</v>
      </c>
      <c r="N72" s="50">
        <v>6521</v>
      </c>
    </row>
    <row r="73" spans="1:14" x14ac:dyDescent="0.35">
      <c r="A73" s="4" t="s">
        <v>291</v>
      </c>
      <c r="B73" s="4" t="s">
        <v>425</v>
      </c>
      <c r="C73" s="4" t="s">
        <v>252</v>
      </c>
      <c r="D73" s="4" t="s">
        <v>302</v>
      </c>
      <c r="E73" s="48" t="s">
        <v>206</v>
      </c>
      <c r="F73" s="48" t="s">
        <v>206</v>
      </c>
      <c r="G73" s="48">
        <v>974</v>
      </c>
      <c r="H73" s="48">
        <v>1935</v>
      </c>
      <c r="I73" s="48">
        <v>9234</v>
      </c>
      <c r="J73" s="62">
        <v>13680</v>
      </c>
      <c r="K73" s="62">
        <v>28972</v>
      </c>
      <c r="L73" s="50">
        <v>31430</v>
      </c>
      <c r="M73" s="50">
        <v>26386</v>
      </c>
      <c r="N73" s="50">
        <v>20441</v>
      </c>
    </row>
    <row r="74" spans="1:14" x14ac:dyDescent="0.35">
      <c r="A74" s="4" t="s">
        <v>291</v>
      </c>
      <c r="B74" s="4" t="s">
        <v>425</v>
      </c>
      <c r="C74" s="4" t="s">
        <v>254</v>
      </c>
      <c r="D74" s="4" t="s">
        <v>302</v>
      </c>
      <c r="E74" s="48" t="s">
        <v>206</v>
      </c>
      <c r="F74" s="48" t="s">
        <v>206</v>
      </c>
      <c r="G74" s="48">
        <v>624</v>
      </c>
      <c r="H74" s="48">
        <v>889</v>
      </c>
      <c r="I74" s="48">
        <v>2158</v>
      </c>
      <c r="J74" s="62">
        <v>7002</v>
      </c>
      <c r="K74" s="62">
        <v>10246</v>
      </c>
      <c r="L74" s="50">
        <v>9714</v>
      </c>
      <c r="M74" s="50">
        <v>8801</v>
      </c>
      <c r="N74" s="50">
        <v>7156</v>
      </c>
    </row>
    <row r="75" spans="1:14" x14ac:dyDescent="0.35">
      <c r="A75" s="4" t="s">
        <v>291</v>
      </c>
      <c r="B75" s="4" t="s">
        <v>425</v>
      </c>
      <c r="C75" s="4" t="s">
        <v>270</v>
      </c>
      <c r="D75" s="4" t="s">
        <v>302</v>
      </c>
      <c r="E75" s="48" t="s">
        <v>206</v>
      </c>
      <c r="F75" s="48" t="s">
        <v>206</v>
      </c>
      <c r="G75" s="48">
        <v>245</v>
      </c>
      <c r="H75" s="48">
        <v>1274</v>
      </c>
      <c r="I75" s="48">
        <v>1906</v>
      </c>
      <c r="J75" s="48">
        <v>4851</v>
      </c>
      <c r="K75" s="48">
        <v>5069</v>
      </c>
      <c r="L75" s="66">
        <v>8322</v>
      </c>
      <c r="M75" s="66">
        <v>7383</v>
      </c>
      <c r="N75" s="66">
        <v>5557</v>
      </c>
    </row>
    <row r="76" spans="1:14" x14ac:dyDescent="0.35">
      <c r="A76" s="4" t="s">
        <v>291</v>
      </c>
      <c r="B76" s="4" t="s">
        <v>425</v>
      </c>
      <c r="C76" s="4" t="s">
        <v>273</v>
      </c>
      <c r="D76" s="4" t="s">
        <v>302</v>
      </c>
      <c r="E76" s="48" t="s">
        <v>206</v>
      </c>
      <c r="F76" s="48" t="s">
        <v>206</v>
      </c>
      <c r="G76" s="48" t="s">
        <v>366</v>
      </c>
      <c r="H76" s="48" t="s">
        <v>366</v>
      </c>
      <c r="I76" s="48" t="s">
        <v>366</v>
      </c>
      <c r="J76" s="48">
        <v>21</v>
      </c>
      <c r="K76" s="48">
        <v>15</v>
      </c>
      <c r="L76" s="66">
        <v>38</v>
      </c>
      <c r="M76" s="66">
        <v>31</v>
      </c>
      <c r="N76" s="66">
        <v>12</v>
      </c>
    </row>
    <row r="77" spans="1:14" x14ac:dyDescent="0.35">
      <c r="A77" s="4" t="s">
        <v>291</v>
      </c>
      <c r="B77" s="4" t="s">
        <v>425</v>
      </c>
      <c r="C77" s="4" t="s">
        <v>39</v>
      </c>
      <c r="D77" s="4" t="s">
        <v>302</v>
      </c>
      <c r="E77" s="48" t="s">
        <v>206</v>
      </c>
      <c r="F77" s="48" t="s">
        <v>206</v>
      </c>
      <c r="G77" s="48" t="s">
        <v>366</v>
      </c>
      <c r="H77" s="48" t="s">
        <v>366</v>
      </c>
      <c r="I77" s="48">
        <v>167505</v>
      </c>
      <c r="J77" s="48">
        <v>126225</v>
      </c>
      <c r="K77" s="48">
        <v>19524</v>
      </c>
      <c r="L77" s="66">
        <v>3759</v>
      </c>
      <c r="M77" s="66">
        <v>2788</v>
      </c>
      <c r="N77" s="66">
        <v>1484</v>
      </c>
    </row>
    <row r="81" spans="1:14" x14ac:dyDescent="0.35">
      <c r="A81" s="68" t="s">
        <v>208</v>
      </c>
    </row>
    <row r="82" spans="1:14" x14ac:dyDescent="0.35">
      <c r="A82" s="56" t="s">
        <v>420</v>
      </c>
    </row>
    <row r="83" spans="1:14" x14ac:dyDescent="0.35">
      <c r="A83" s="69" t="s">
        <v>421</v>
      </c>
    </row>
    <row r="84" spans="1:14" x14ac:dyDescent="0.35">
      <c r="A84" s="69" t="s">
        <v>422</v>
      </c>
    </row>
    <row r="85" spans="1:14" x14ac:dyDescent="0.35">
      <c r="A85" s="69" t="s">
        <v>423</v>
      </c>
    </row>
    <row r="86" spans="1:14" x14ac:dyDescent="0.35">
      <c r="A86" s="69" t="s">
        <v>424</v>
      </c>
    </row>
    <row r="87" spans="1:14" x14ac:dyDescent="0.35">
      <c r="A87" s="70" t="s">
        <v>378</v>
      </c>
    </row>
    <row r="94" spans="1:14" x14ac:dyDescent="0.35">
      <c r="A94" s="25" t="s">
        <v>208</v>
      </c>
      <c r="E94" s="2"/>
      <c r="F94" s="2"/>
      <c r="G94" s="2"/>
      <c r="H94" s="2"/>
      <c r="I94" s="2"/>
      <c r="J94" s="2"/>
      <c r="K94" s="2"/>
      <c r="L94" s="2"/>
      <c r="M94" s="2"/>
      <c r="N94" s="2"/>
    </row>
    <row r="95" spans="1:14" x14ac:dyDescent="0.35">
      <c r="A95" s="25" t="s">
        <v>207</v>
      </c>
      <c r="E95" s="26"/>
      <c r="F95" s="26"/>
      <c r="G95" s="26"/>
      <c r="H95" s="26"/>
      <c r="I95" s="26"/>
      <c r="J95" s="26"/>
      <c r="K95" s="26"/>
      <c r="L95" s="26"/>
      <c r="M95" s="26"/>
      <c r="N95" s="26"/>
    </row>
    <row r="96" spans="1:14" x14ac:dyDescent="0.35">
      <c r="A96" s="2" t="s">
        <v>274</v>
      </c>
      <c r="E96" s="16"/>
      <c r="F96" s="16"/>
      <c r="G96" s="16"/>
      <c r="H96" s="16"/>
      <c r="I96" s="16"/>
      <c r="J96" s="16"/>
      <c r="K96" s="16"/>
      <c r="L96" s="16"/>
      <c r="M96" s="16"/>
      <c r="N96" s="16"/>
    </row>
    <row r="97" spans="1:14" x14ac:dyDescent="0.35">
      <c r="A97" s="26" t="s">
        <v>275</v>
      </c>
      <c r="E97" s="16"/>
      <c r="F97" s="16"/>
      <c r="G97" s="16"/>
      <c r="H97" s="16"/>
      <c r="I97" s="16"/>
      <c r="J97" s="16"/>
      <c r="K97" s="16"/>
      <c r="L97" s="16"/>
      <c r="M97" s="16"/>
      <c r="N97" s="16"/>
    </row>
    <row r="98" spans="1:14" x14ac:dyDescent="0.35">
      <c r="A98" s="16" t="s">
        <v>276</v>
      </c>
      <c r="E98" s="2"/>
      <c r="F98" s="2"/>
      <c r="G98" s="2"/>
      <c r="H98" s="2"/>
      <c r="I98" s="2"/>
      <c r="J98" s="2"/>
      <c r="K98" s="2"/>
      <c r="L98" s="2"/>
      <c r="M98" s="2"/>
      <c r="N98" s="2"/>
    </row>
    <row r="99" spans="1:14" x14ac:dyDescent="0.35">
      <c r="A99" s="16" t="s">
        <v>277</v>
      </c>
      <c r="E99" s="2"/>
      <c r="F99" s="2"/>
      <c r="G99" s="2"/>
      <c r="H99" s="2"/>
      <c r="I99" s="2"/>
      <c r="J99" s="2"/>
      <c r="K99" s="2"/>
      <c r="L99" s="2"/>
      <c r="M99" s="2"/>
      <c r="N99" s="2"/>
    </row>
    <row r="100" spans="1:14" x14ac:dyDescent="0.35">
      <c r="A100" s="2" t="s">
        <v>278</v>
      </c>
    </row>
    <row r="101" spans="1:14" x14ac:dyDescent="0.35">
      <c r="A101" s="2" t="s">
        <v>32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FC86-0103-4E49-8861-CF35DD683C5F}">
  <dimension ref="A1:F188"/>
  <sheetViews>
    <sheetView workbookViewId="0">
      <selection activeCell="H11" sqref="H11"/>
    </sheetView>
  </sheetViews>
  <sheetFormatPr defaultColWidth="9.1796875" defaultRowHeight="12.5" x14ac:dyDescent="0.25"/>
  <cols>
    <col min="1" max="1" width="30.7265625" style="4" customWidth="1"/>
    <col min="2" max="2" width="13.90625" style="75" customWidth="1"/>
    <col min="3" max="6" width="10" style="75" customWidth="1"/>
    <col min="7" max="235" width="9.1796875" style="4"/>
    <col min="236" max="236" width="36.7265625" style="4" customWidth="1"/>
    <col min="237" max="237" width="9.26953125" style="4" bestFit="1" customWidth="1"/>
    <col min="238" max="16384" width="9.1796875" style="4"/>
  </cols>
  <sheetData>
    <row r="1" spans="1:6" x14ac:dyDescent="0.25">
      <c r="A1" s="4" t="s">
        <v>13</v>
      </c>
      <c r="B1" s="90" t="s">
        <v>395</v>
      </c>
      <c r="C1" s="90" t="s">
        <v>383</v>
      </c>
      <c r="D1" s="90" t="s">
        <v>384</v>
      </c>
      <c r="E1" s="90" t="s">
        <v>385</v>
      </c>
      <c r="F1" s="90" t="s">
        <v>292</v>
      </c>
    </row>
    <row r="2" spans="1:6" ht="14.5" x14ac:dyDescent="0.35">
      <c r="A2" t="s">
        <v>40</v>
      </c>
      <c r="B2" s="77">
        <v>98</v>
      </c>
      <c r="C2" s="77">
        <v>85</v>
      </c>
      <c r="D2" s="77">
        <v>93</v>
      </c>
      <c r="E2" s="77">
        <v>56</v>
      </c>
      <c r="F2" s="77">
        <v>42</v>
      </c>
    </row>
    <row r="3" spans="1:6" ht="14.5" x14ac:dyDescent="0.35">
      <c r="A3" t="s">
        <v>41</v>
      </c>
      <c r="B3" s="77">
        <v>87</v>
      </c>
      <c r="C3" s="77">
        <v>47</v>
      </c>
      <c r="D3" s="77">
        <v>36</v>
      </c>
      <c r="E3" s="77">
        <v>47</v>
      </c>
      <c r="F3" s="77">
        <v>22</v>
      </c>
    </row>
    <row r="4" spans="1:6" ht="14.5" x14ac:dyDescent="0.35">
      <c r="A4" t="s">
        <v>42</v>
      </c>
      <c r="B4" s="77">
        <v>141</v>
      </c>
      <c r="C4" s="77">
        <v>131</v>
      </c>
      <c r="D4" s="77">
        <v>56</v>
      </c>
      <c r="E4" s="77">
        <v>57</v>
      </c>
      <c r="F4" s="77">
        <v>39</v>
      </c>
    </row>
    <row r="5" spans="1:6" ht="14.5" x14ac:dyDescent="0.35">
      <c r="A5" t="s">
        <v>373</v>
      </c>
      <c r="B5" s="77" t="s">
        <v>366</v>
      </c>
      <c r="C5" s="77" t="s">
        <v>366</v>
      </c>
      <c r="D5" s="77">
        <v>4</v>
      </c>
      <c r="E5" s="77">
        <v>11</v>
      </c>
      <c r="F5" s="77">
        <v>8</v>
      </c>
    </row>
    <row r="6" spans="1:6" ht="14.5" x14ac:dyDescent="0.35">
      <c r="A6" t="s">
        <v>386</v>
      </c>
      <c r="B6" s="77">
        <v>13</v>
      </c>
      <c r="C6" s="77">
        <v>7</v>
      </c>
      <c r="D6" s="77">
        <v>11</v>
      </c>
      <c r="E6" s="77">
        <v>20</v>
      </c>
      <c r="F6" s="77">
        <v>21</v>
      </c>
    </row>
    <row r="7" spans="1:6" ht="14.5" x14ac:dyDescent="0.35">
      <c r="A7" t="s">
        <v>43</v>
      </c>
      <c r="B7" s="77">
        <v>11</v>
      </c>
      <c r="C7" s="77">
        <v>18</v>
      </c>
      <c r="D7" s="77">
        <v>9</v>
      </c>
      <c r="E7" s="77">
        <v>14</v>
      </c>
      <c r="F7" s="77">
        <v>8</v>
      </c>
    </row>
    <row r="8" spans="1:6" ht="14.5" x14ac:dyDescent="0.35">
      <c r="A8" t="s">
        <v>44</v>
      </c>
      <c r="B8" s="77">
        <v>120</v>
      </c>
      <c r="C8" s="77">
        <v>98</v>
      </c>
      <c r="D8" s="77">
        <v>89</v>
      </c>
      <c r="E8" s="77">
        <v>62</v>
      </c>
      <c r="F8" s="77">
        <v>70</v>
      </c>
    </row>
    <row r="9" spans="1:6" ht="14.5" x14ac:dyDescent="0.35">
      <c r="A9" t="s">
        <v>45</v>
      </c>
      <c r="B9" s="77">
        <v>18</v>
      </c>
      <c r="C9" s="77">
        <v>15</v>
      </c>
      <c r="D9" s="77">
        <v>6</v>
      </c>
      <c r="E9" s="77">
        <v>12</v>
      </c>
      <c r="F9" s="77">
        <v>5</v>
      </c>
    </row>
    <row r="10" spans="1:6" ht="14.5" x14ac:dyDescent="0.35">
      <c r="A10" t="s">
        <v>46</v>
      </c>
      <c r="B10" s="77">
        <v>423</v>
      </c>
      <c r="C10" s="77">
        <v>431</v>
      </c>
      <c r="D10" s="77">
        <v>351</v>
      </c>
      <c r="E10" s="77">
        <v>335</v>
      </c>
      <c r="F10" s="77">
        <v>396</v>
      </c>
    </row>
    <row r="11" spans="1:6" ht="14.5" x14ac:dyDescent="0.35">
      <c r="A11" t="s">
        <v>47</v>
      </c>
      <c r="B11" s="77">
        <v>82</v>
      </c>
      <c r="C11" s="77">
        <v>76</v>
      </c>
      <c r="D11" s="77">
        <v>57</v>
      </c>
      <c r="E11" s="77">
        <v>53</v>
      </c>
      <c r="F11" s="77">
        <v>46</v>
      </c>
    </row>
    <row r="12" spans="1:6" ht="14.5" x14ac:dyDescent="0.35">
      <c r="A12" t="s">
        <v>48</v>
      </c>
      <c r="B12" s="77">
        <v>40</v>
      </c>
      <c r="C12" s="77">
        <v>33</v>
      </c>
      <c r="D12" s="77">
        <v>52</v>
      </c>
      <c r="E12" s="77">
        <v>14</v>
      </c>
      <c r="F12" s="77">
        <v>27</v>
      </c>
    </row>
    <row r="13" spans="1:6" ht="14.5" x14ac:dyDescent="0.35">
      <c r="A13" t="s">
        <v>49</v>
      </c>
      <c r="B13" s="77">
        <v>314</v>
      </c>
      <c r="C13" s="77">
        <v>474</v>
      </c>
      <c r="D13" s="77">
        <v>433</v>
      </c>
      <c r="E13" s="77">
        <v>416</v>
      </c>
      <c r="F13" s="77">
        <v>485</v>
      </c>
    </row>
    <row r="14" spans="1:6" ht="14.5" x14ac:dyDescent="0.35">
      <c r="A14" t="s">
        <v>50</v>
      </c>
      <c r="B14" s="77" t="s">
        <v>205</v>
      </c>
      <c r="C14" s="77">
        <v>11</v>
      </c>
      <c r="D14" s="77">
        <v>4</v>
      </c>
      <c r="E14" s="77">
        <v>8</v>
      </c>
      <c r="F14" s="77">
        <v>4</v>
      </c>
    </row>
    <row r="15" spans="1:6" ht="14.5" x14ac:dyDescent="0.35">
      <c r="A15" t="s">
        <v>51</v>
      </c>
      <c r="B15" s="77">
        <v>310</v>
      </c>
      <c r="C15" s="77">
        <v>281</v>
      </c>
      <c r="D15" s="77">
        <v>248</v>
      </c>
      <c r="E15" s="77">
        <v>238</v>
      </c>
      <c r="F15" s="77">
        <v>167</v>
      </c>
    </row>
    <row r="16" spans="1:6" ht="14.5" x14ac:dyDescent="0.35">
      <c r="A16" t="s">
        <v>52</v>
      </c>
      <c r="B16" s="77">
        <v>47</v>
      </c>
      <c r="C16" s="77">
        <v>44</v>
      </c>
      <c r="D16" s="77">
        <v>43</v>
      </c>
      <c r="E16" s="77">
        <v>37</v>
      </c>
      <c r="F16" s="77">
        <v>24</v>
      </c>
    </row>
    <row r="17" spans="1:6" ht="14.5" x14ac:dyDescent="0.35">
      <c r="A17" t="s">
        <v>53</v>
      </c>
      <c r="B17" s="77">
        <v>91</v>
      </c>
      <c r="C17" s="77">
        <v>52</v>
      </c>
      <c r="D17" s="77">
        <v>71</v>
      </c>
      <c r="E17" s="77">
        <v>44</v>
      </c>
      <c r="F17" s="77">
        <v>24</v>
      </c>
    </row>
    <row r="18" spans="1:6" ht="14.5" x14ac:dyDescent="0.35">
      <c r="A18" t="s">
        <v>54</v>
      </c>
      <c r="B18" s="77">
        <v>124</v>
      </c>
      <c r="C18" s="77">
        <v>115</v>
      </c>
      <c r="D18" s="77">
        <v>111</v>
      </c>
      <c r="E18" s="77">
        <v>105</v>
      </c>
      <c r="F18" s="77">
        <v>98</v>
      </c>
    </row>
    <row r="19" spans="1:6" ht="14.5" x14ac:dyDescent="0.35">
      <c r="A19" t="s">
        <v>55</v>
      </c>
      <c r="B19" s="77">
        <v>65</v>
      </c>
      <c r="C19" s="77">
        <v>51</v>
      </c>
      <c r="D19" s="77">
        <v>39</v>
      </c>
      <c r="E19" s="77">
        <v>38</v>
      </c>
      <c r="F19" s="77">
        <v>36</v>
      </c>
    </row>
    <row r="20" spans="1:6" ht="14.5" x14ac:dyDescent="0.35">
      <c r="A20" t="s">
        <v>56</v>
      </c>
      <c r="B20" s="77">
        <v>43</v>
      </c>
      <c r="C20" s="77">
        <v>59</v>
      </c>
      <c r="D20" s="77">
        <v>21</v>
      </c>
      <c r="E20" s="77">
        <v>11</v>
      </c>
      <c r="F20" s="77">
        <v>19</v>
      </c>
    </row>
    <row r="21" spans="1:6" ht="14.5" x14ac:dyDescent="0.35">
      <c r="A21" t="s">
        <v>57</v>
      </c>
      <c r="B21" s="77">
        <v>78</v>
      </c>
      <c r="C21" s="77">
        <v>88</v>
      </c>
      <c r="D21" s="77">
        <v>115</v>
      </c>
      <c r="E21" s="77">
        <v>79</v>
      </c>
      <c r="F21" s="77">
        <v>93</v>
      </c>
    </row>
    <row r="22" spans="1:6" ht="14.5" x14ac:dyDescent="0.35">
      <c r="A22" t="s">
        <v>363</v>
      </c>
      <c r="B22" s="77">
        <v>90</v>
      </c>
      <c r="C22" s="77">
        <v>59</v>
      </c>
      <c r="D22" s="77">
        <v>99</v>
      </c>
      <c r="E22" s="77">
        <v>85</v>
      </c>
      <c r="F22" s="77">
        <v>43</v>
      </c>
    </row>
    <row r="23" spans="1:6" ht="14.5" x14ac:dyDescent="0.35">
      <c r="A23" t="s">
        <v>59</v>
      </c>
      <c r="B23" s="77">
        <v>32</v>
      </c>
      <c r="C23" s="77">
        <v>26</v>
      </c>
      <c r="D23" s="77">
        <v>24</v>
      </c>
      <c r="E23" s="77">
        <v>22</v>
      </c>
      <c r="F23" s="77">
        <v>10</v>
      </c>
    </row>
    <row r="24" spans="1:6" ht="14.5" x14ac:dyDescent="0.35">
      <c r="A24" t="s">
        <v>60</v>
      </c>
      <c r="B24" s="77">
        <v>773</v>
      </c>
      <c r="C24" s="77">
        <v>766</v>
      </c>
      <c r="D24" s="77">
        <v>721</v>
      </c>
      <c r="E24" s="77">
        <v>542</v>
      </c>
      <c r="F24" s="77">
        <v>481</v>
      </c>
    </row>
    <row r="25" spans="1:6" ht="14.5" x14ac:dyDescent="0.35">
      <c r="A25" t="s">
        <v>21</v>
      </c>
      <c r="B25" s="77">
        <v>42</v>
      </c>
      <c r="C25" s="77">
        <v>5</v>
      </c>
      <c r="D25" s="77">
        <v>5</v>
      </c>
      <c r="E25" s="77">
        <v>11</v>
      </c>
      <c r="F25" s="77">
        <v>19</v>
      </c>
    </row>
    <row r="26" spans="1:6" ht="14.5" x14ac:dyDescent="0.35">
      <c r="A26" t="s">
        <v>364</v>
      </c>
      <c r="B26" s="77">
        <v>296</v>
      </c>
      <c r="C26" s="77">
        <v>271</v>
      </c>
      <c r="D26" s="77">
        <v>199</v>
      </c>
      <c r="E26" s="77">
        <v>186</v>
      </c>
      <c r="F26" s="77">
        <v>117</v>
      </c>
    </row>
    <row r="27" spans="1:6" ht="14.5" x14ac:dyDescent="0.35">
      <c r="A27" t="s">
        <v>62</v>
      </c>
      <c r="B27" s="77">
        <v>15</v>
      </c>
      <c r="C27" s="77">
        <v>16</v>
      </c>
      <c r="D27" s="77">
        <v>8</v>
      </c>
      <c r="E27" s="77">
        <v>18</v>
      </c>
      <c r="F27" s="77">
        <v>12</v>
      </c>
    </row>
    <row r="28" spans="1:6" ht="14.5" x14ac:dyDescent="0.35">
      <c r="A28" t="s">
        <v>63</v>
      </c>
      <c r="B28" s="77">
        <v>3783</v>
      </c>
      <c r="C28" s="77">
        <v>3951</v>
      </c>
      <c r="D28" s="77">
        <v>2582</v>
      </c>
      <c r="E28" s="77">
        <v>2337</v>
      </c>
      <c r="F28" s="77">
        <v>1920</v>
      </c>
    </row>
    <row r="29" spans="1:6" ht="14.5" x14ac:dyDescent="0.35">
      <c r="A29" t="s">
        <v>64</v>
      </c>
      <c r="B29" s="77">
        <v>9</v>
      </c>
      <c r="C29" s="77">
        <v>19</v>
      </c>
      <c r="D29" s="77">
        <v>11</v>
      </c>
      <c r="E29" s="77">
        <v>12</v>
      </c>
      <c r="F29" s="77">
        <v>12</v>
      </c>
    </row>
    <row r="30" spans="1:6" ht="14.5" x14ac:dyDescent="0.35">
      <c r="A30" t="s">
        <v>65</v>
      </c>
      <c r="B30" s="77">
        <v>21</v>
      </c>
      <c r="C30" s="77">
        <v>28</v>
      </c>
      <c r="D30" s="77">
        <v>15</v>
      </c>
      <c r="E30" s="77">
        <v>16</v>
      </c>
      <c r="F30" s="77">
        <v>13</v>
      </c>
    </row>
    <row r="31" spans="1:6" ht="14.5" x14ac:dyDescent="0.35">
      <c r="A31" t="s">
        <v>67</v>
      </c>
      <c r="B31" s="77">
        <v>54</v>
      </c>
      <c r="C31" s="77">
        <v>55</v>
      </c>
      <c r="D31" s="77">
        <v>66</v>
      </c>
      <c r="E31" s="77">
        <v>49</v>
      </c>
      <c r="F31" s="77">
        <v>47</v>
      </c>
    </row>
    <row r="32" spans="1:6" ht="14.5" x14ac:dyDescent="0.35">
      <c r="A32" t="s">
        <v>68</v>
      </c>
      <c r="B32" s="77">
        <v>25373</v>
      </c>
      <c r="C32" s="77">
        <v>29144</v>
      </c>
      <c r="D32" s="77">
        <v>28274</v>
      </c>
      <c r="E32" s="77">
        <v>27039</v>
      </c>
      <c r="F32" s="77">
        <v>23963</v>
      </c>
    </row>
    <row r="33" spans="1:6" ht="14.5" x14ac:dyDescent="0.35">
      <c r="A33" t="s">
        <v>69</v>
      </c>
      <c r="B33" s="77">
        <v>35</v>
      </c>
      <c r="C33" s="77">
        <v>41</v>
      </c>
      <c r="D33" s="77">
        <v>26</v>
      </c>
      <c r="E33" s="77">
        <v>30</v>
      </c>
      <c r="F33" s="77">
        <v>8</v>
      </c>
    </row>
    <row r="34" spans="1:6" ht="14.5" x14ac:dyDescent="0.35">
      <c r="A34" t="s">
        <v>66</v>
      </c>
      <c r="B34" s="77">
        <v>15</v>
      </c>
      <c r="C34" s="77">
        <v>11</v>
      </c>
      <c r="D34" s="77">
        <v>6</v>
      </c>
      <c r="E34" s="77">
        <v>10</v>
      </c>
      <c r="F34" s="77">
        <v>3</v>
      </c>
    </row>
    <row r="35" spans="1:6" ht="14.5" x14ac:dyDescent="0.35">
      <c r="A35" t="s">
        <v>365</v>
      </c>
      <c r="B35" s="77">
        <v>140</v>
      </c>
      <c r="C35" s="77">
        <v>133</v>
      </c>
      <c r="D35" s="77">
        <v>125</v>
      </c>
      <c r="E35" s="77">
        <v>81</v>
      </c>
      <c r="F35" s="77">
        <v>119</v>
      </c>
    </row>
    <row r="36" spans="1:6" ht="14.5" x14ac:dyDescent="0.35">
      <c r="A36" t="s">
        <v>72</v>
      </c>
      <c r="B36" s="77">
        <v>15155</v>
      </c>
      <c r="C36" s="77">
        <v>16449</v>
      </c>
      <c r="D36" s="77">
        <v>16234</v>
      </c>
      <c r="E36" s="77">
        <v>11780</v>
      </c>
      <c r="F36" s="77">
        <v>11684</v>
      </c>
    </row>
    <row r="37" spans="1:6" ht="14.5" x14ac:dyDescent="0.35">
      <c r="A37" t="s">
        <v>73</v>
      </c>
      <c r="B37" s="77">
        <v>893</v>
      </c>
      <c r="C37" s="77">
        <v>777</v>
      </c>
      <c r="D37" s="77">
        <v>645</v>
      </c>
      <c r="E37" s="77">
        <v>435</v>
      </c>
      <c r="F37" s="77">
        <v>448</v>
      </c>
    </row>
    <row r="38" spans="1:6" ht="14.5" x14ac:dyDescent="0.35">
      <c r="A38" t="s">
        <v>20</v>
      </c>
      <c r="B38" s="77" t="s">
        <v>205</v>
      </c>
      <c r="C38" s="77">
        <v>7</v>
      </c>
      <c r="D38" s="77">
        <v>10</v>
      </c>
      <c r="E38" s="77">
        <v>29</v>
      </c>
      <c r="F38" s="77">
        <v>17</v>
      </c>
    </row>
    <row r="39" spans="1:6" ht="14.5" x14ac:dyDescent="0.35">
      <c r="A39" t="s">
        <v>74</v>
      </c>
      <c r="B39" s="77">
        <v>50</v>
      </c>
      <c r="C39" s="77">
        <v>47</v>
      </c>
      <c r="D39" s="77">
        <v>33</v>
      </c>
      <c r="E39" s="77">
        <v>14</v>
      </c>
      <c r="F39" s="77">
        <v>19</v>
      </c>
    </row>
    <row r="40" spans="1:6" ht="14.5" x14ac:dyDescent="0.35">
      <c r="A40" t="s">
        <v>75</v>
      </c>
      <c r="B40" s="77">
        <v>163</v>
      </c>
      <c r="C40" s="77">
        <v>122</v>
      </c>
      <c r="D40" s="77">
        <v>132</v>
      </c>
      <c r="E40" s="77">
        <v>94</v>
      </c>
      <c r="F40" s="77">
        <v>55</v>
      </c>
    </row>
    <row r="41" spans="1:6" ht="14.5" x14ac:dyDescent="0.35">
      <c r="A41" t="s">
        <v>76</v>
      </c>
      <c r="B41" s="77">
        <v>45</v>
      </c>
      <c r="C41" s="77">
        <v>120</v>
      </c>
      <c r="D41" s="77">
        <v>43</v>
      </c>
      <c r="E41" s="77">
        <v>18</v>
      </c>
      <c r="F41" s="77">
        <v>18</v>
      </c>
    </row>
    <row r="42" spans="1:6" ht="14.5" x14ac:dyDescent="0.35">
      <c r="A42" t="s">
        <v>77</v>
      </c>
      <c r="B42" s="77">
        <v>121</v>
      </c>
      <c r="C42" s="77">
        <v>192</v>
      </c>
      <c r="D42" s="77">
        <v>158</v>
      </c>
      <c r="E42" s="77">
        <v>87</v>
      </c>
      <c r="F42" s="77">
        <v>79</v>
      </c>
    </row>
    <row r="43" spans="1:6" ht="14.5" x14ac:dyDescent="0.35">
      <c r="A43" t="s">
        <v>78</v>
      </c>
      <c r="B43" s="77">
        <v>85</v>
      </c>
      <c r="C43" s="77">
        <v>108</v>
      </c>
      <c r="D43" s="77">
        <v>105</v>
      </c>
      <c r="E43" s="77">
        <v>90</v>
      </c>
      <c r="F43" s="77">
        <v>77</v>
      </c>
    </row>
    <row r="44" spans="1:6" ht="14.5" x14ac:dyDescent="0.35">
      <c r="A44" t="s">
        <v>79</v>
      </c>
      <c r="B44" s="77">
        <v>16</v>
      </c>
      <c r="C44" s="77">
        <v>10</v>
      </c>
      <c r="D44" s="77">
        <v>5</v>
      </c>
      <c r="E44" s="77">
        <v>10</v>
      </c>
      <c r="F44" s="77">
        <v>5</v>
      </c>
    </row>
    <row r="45" spans="1:6" ht="14.5" x14ac:dyDescent="0.35">
      <c r="A45" t="s">
        <v>80</v>
      </c>
      <c r="B45" s="77">
        <v>100</v>
      </c>
      <c r="C45" s="77">
        <v>101</v>
      </c>
      <c r="D45" s="77">
        <v>105</v>
      </c>
      <c r="E45" s="77">
        <v>144</v>
      </c>
      <c r="F45" s="77">
        <v>133</v>
      </c>
    </row>
    <row r="46" spans="1:6" ht="14.5" x14ac:dyDescent="0.35">
      <c r="A46" t="s">
        <v>81</v>
      </c>
      <c r="B46" s="77">
        <v>82</v>
      </c>
      <c r="C46" s="77">
        <v>54</v>
      </c>
      <c r="D46" s="77">
        <v>23</v>
      </c>
      <c r="E46" s="77">
        <v>4</v>
      </c>
      <c r="F46" s="77">
        <v>5</v>
      </c>
    </row>
    <row r="47" spans="1:6" ht="14.5" x14ac:dyDescent="0.35">
      <c r="A47" t="s">
        <v>214</v>
      </c>
      <c r="B47" s="77">
        <v>97</v>
      </c>
      <c r="C47" s="77">
        <v>88</v>
      </c>
      <c r="D47" s="77">
        <v>72</v>
      </c>
      <c r="E47" s="77">
        <v>74</v>
      </c>
      <c r="F47" s="77">
        <v>59</v>
      </c>
    </row>
    <row r="48" spans="1:6" ht="14.5" x14ac:dyDescent="0.35">
      <c r="A48" t="s">
        <v>82</v>
      </c>
      <c r="B48" s="77">
        <v>59</v>
      </c>
      <c r="C48" s="77">
        <v>30</v>
      </c>
      <c r="D48" s="77">
        <v>37</v>
      </c>
      <c r="E48" s="77">
        <v>24</v>
      </c>
      <c r="F48" s="77">
        <v>27</v>
      </c>
    </row>
    <row r="49" spans="1:6" ht="14.5" x14ac:dyDescent="0.35">
      <c r="A49" t="s">
        <v>84</v>
      </c>
      <c r="B49" s="77">
        <v>786</v>
      </c>
      <c r="C49" s="77">
        <v>741</v>
      </c>
      <c r="D49" s="77">
        <v>763</v>
      </c>
      <c r="E49" s="77">
        <v>764</v>
      </c>
      <c r="F49" s="77">
        <v>531</v>
      </c>
    </row>
    <row r="50" spans="1:6" ht="14.5" x14ac:dyDescent="0.35">
      <c r="A50" t="s">
        <v>85</v>
      </c>
      <c r="B50" s="77">
        <v>411</v>
      </c>
      <c r="C50" s="77">
        <v>328</v>
      </c>
      <c r="D50" s="77">
        <v>336</v>
      </c>
      <c r="E50" s="77">
        <v>303</v>
      </c>
      <c r="F50" s="77">
        <v>209</v>
      </c>
    </row>
    <row r="51" spans="1:6" ht="14.5" x14ac:dyDescent="0.35">
      <c r="A51" t="s">
        <v>86</v>
      </c>
      <c r="B51" s="77">
        <v>454</v>
      </c>
      <c r="C51" s="77">
        <v>520</v>
      </c>
      <c r="D51" s="77">
        <v>326</v>
      </c>
      <c r="E51" s="77">
        <v>299</v>
      </c>
      <c r="F51" s="77">
        <v>186</v>
      </c>
    </row>
    <row r="52" spans="1:6" ht="14.5" x14ac:dyDescent="0.35">
      <c r="A52" t="s">
        <v>87</v>
      </c>
      <c r="B52" s="77">
        <v>1072</v>
      </c>
      <c r="C52" s="77">
        <v>949</v>
      </c>
      <c r="D52" s="77">
        <v>1021</v>
      </c>
      <c r="E52" s="77">
        <v>921</v>
      </c>
      <c r="F52" s="77">
        <v>619</v>
      </c>
    </row>
    <row r="53" spans="1:6" ht="14.5" x14ac:dyDescent="0.35">
      <c r="A53" t="s">
        <v>16</v>
      </c>
      <c r="B53" s="77">
        <v>10</v>
      </c>
      <c r="C53" s="77">
        <v>9</v>
      </c>
      <c r="D53" s="77">
        <v>11</v>
      </c>
      <c r="E53" s="77">
        <v>9</v>
      </c>
      <c r="F53" s="77">
        <v>10</v>
      </c>
    </row>
    <row r="54" spans="1:6" ht="14.5" x14ac:dyDescent="0.35">
      <c r="A54" t="s">
        <v>89</v>
      </c>
      <c r="B54" s="77">
        <v>70</v>
      </c>
      <c r="C54" s="77">
        <v>55</v>
      </c>
      <c r="D54" s="77">
        <v>42</v>
      </c>
      <c r="E54" s="77">
        <v>28</v>
      </c>
      <c r="F54" s="77">
        <v>35</v>
      </c>
    </row>
    <row r="55" spans="1:6" ht="14.5" x14ac:dyDescent="0.35">
      <c r="A55" t="s">
        <v>90</v>
      </c>
      <c r="B55" s="77">
        <v>73</v>
      </c>
      <c r="C55" s="77">
        <v>73</v>
      </c>
      <c r="D55" s="77">
        <v>54</v>
      </c>
      <c r="E55" s="77">
        <v>33</v>
      </c>
      <c r="F55" s="77">
        <v>47</v>
      </c>
    </row>
    <row r="56" spans="1:6" ht="14.5" x14ac:dyDescent="0.35">
      <c r="A56" t="s">
        <v>91</v>
      </c>
      <c r="B56" s="77">
        <v>333</v>
      </c>
      <c r="C56" s="77">
        <v>109</v>
      </c>
      <c r="D56" s="77">
        <v>72</v>
      </c>
      <c r="E56" s="77">
        <v>51</v>
      </c>
      <c r="F56" s="77">
        <v>57</v>
      </c>
    </row>
    <row r="57" spans="1:6" ht="14.5" x14ac:dyDescent="0.35">
      <c r="A57" t="s">
        <v>92</v>
      </c>
      <c r="B57" s="77">
        <v>79</v>
      </c>
      <c r="C57" s="77">
        <v>39</v>
      </c>
      <c r="D57" s="77">
        <v>50</v>
      </c>
      <c r="E57" s="77">
        <v>39</v>
      </c>
      <c r="F57" s="77">
        <v>34</v>
      </c>
    </row>
    <row r="58" spans="1:6" ht="14.5" x14ac:dyDescent="0.35">
      <c r="A58" t="s">
        <v>93</v>
      </c>
      <c r="B58" s="77">
        <v>917</v>
      </c>
      <c r="C58" s="77">
        <v>970</v>
      </c>
      <c r="D58" s="77">
        <v>842</v>
      </c>
      <c r="E58" s="77">
        <v>661</v>
      </c>
      <c r="F58" s="77">
        <v>609</v>
      </c>
    </row>
    <row r="59" spans="1:6" ht="14.5" x14ac:dyDescent="0.35">
      <c r="A59" t="s">
        <v>94</v>
      </c>
      <c r="B59" s="77">
        <v>11</v>
      </c>
      <c r="C59" s="77">
        <v>4</v>
      </c>
      <c r="D59" s="77">
        <v>10</v>
      </c>
      <c r="E59" s="77">
        <v>6</v>
      </c>
      <c r="F59" s="77">
        <v>5</v>
      </c>
    </row>
    <row r="60" spans="1:6" ht="14.5" x14ac:dyDescent="0.35">
      <c r="A60" t="s">
        <v>95</v>
      </c>
      <c r="B60" s="77">
        <v>14</v>
      </c>
      <c r="C60" s="77">
        <v>9</v>
      </c>
      <c r="D60" s="77">
        <v>14</v>
      </c>
      <c r="E60" s="77">
        <v>11</v>
      </c>
      <c r="F60" s="77">
        <v>8</v>
      </c>
    </row>
    <row r="61" spans="1:6" ht="14.5" x14ac:dyDescent="0.35">
      <c r="A61" t="s">
        <v>96</v>
      </c>
      <c r="B61" s="77">
        <v>378</v>
      </c>
      <c r="C61" s="77">
        <v>309</v>
      </c>
      <c r="D61" s="77">
        <v>107</v>
      </c>
      <c r="E61" s="77">
        <v>82</v>
      </c>
      <c r="F61" s="77">
        <v>80</v>
      </c>
    </row>
    <row r="62" spans="1:6" ht="14.5" x14ac:dyDescent="0.35">
      <c r="A62" t="s">
        <v>8</v>
      </c>
      <c r="B62" s="77">
        <v>690</v>
      </c>
      <c r="C62" s="77">
        <v>670</v>
      </c>
      <c r="D62" s="77">
        <v>627</v>
      </c>
      <c r="E62" s="77">
        <v>552</v>
      </c>
      <c r="F62" s="77">
        <v>501</v>
      </c>
    </row>
    <row r="63" spans="1:6" ht="14.5" x14ac:dyDescent="0.35">
      <c r="A63" t="s">
        <v>97</v>
      </c>
      <c r="B63" s="77">
        <v>231</v>
      </c>
      <c r="C63" s="77">
        <v>159</v>
      </c>
      <c r="D63" s="77">
        <v>150</v>
      </c>
      <c r="E63" s="77">
        <v>128</v>
      </c>
      <c r="F63" s="77">
        <v>83</v>
      </c>
    </row>
    <row r="64" spans="1:6" ht="14.5" x14ac:dyDescent="0.35">
      <c r="A64" t="s">
        <v>98</v>
      </c>
      <c r="B64" s="77">
        <v>311</v>
      </c>
      <c r="C64" s="77">
        <v>365</v>
      </c>
      <c r="D64" s="77">
        <v>291</v>
      </c>
      <c r="E64" s="77">
        <v>294</v>
      </c>
      <c r="F64" s="77">
        <v>375</v>
      </c>
    </row>
    <row r="65" spans="1:6" ht="14.5" x14ac:dyDescent="0.35">
      <c r="A65" t="s">
        <v>99</v>
      </c>
      <c r="B65" s="77">
        <v>36</v>
      </c>
      <c r="C65" s="77">
        <v>37</v>
      </c>
      <c r="D65" s="77">
        <v>16</v>
      </c>
      <c r="E65" s="77">
        <v>22</v>
      </c>
      <c r="F65" s="77">
        <v>22</v>
      </c>
    </row>
    <row r="66" spans="1:6" ht="14.5" x14ac:dyDescent="0.35">
      <c r="A66" t="s">
        <v>100</v>
      </c>
      <c r="B66" s="77">
        <v>1860</v>
      </c>
      <c r="C66" s="77">
        <v>2314</v>
      </c>
      <c r="D66" s="77">
        <v>3026</v>
      </c>
      <c r="E66" s="77">
        <v>2332</v>
      </c>
      <c r="F66" s="77">
        <v>1347</v>
      </c>
    </row>
    <row r="67" spans="1:6" ht="14.5" x14ac:dyDescent="0.35">
      <c r="A67" t="s">
        <v>15</v>
      </c>
      <c r="B67" s="77">
        <v>29</v>
      </c>
      <c r="C67" s="77">
        <v>17</v>
      </c>
      <c r="D67" s="77">
        <v>25</v>
      </c>
      <c r="E67" s="77">
        <v>16</v>
      </c>
      <c r="F67" s="77">
        <v>5</v>
      </c>
    </row>
    <row r="68" spans="1:6" ht="14.5" x14ac:dyDescent="0.35">
      <c r="A68" t="s">
        <v>101</v>
      </c>
      <c r="B68" s="77">
        <v>192</v>
      </c>
      <c r="C68" s="77">
        <v>183</v>
      </c>
      <c r="D68" s="77">
        <v>167</v>
      </c>
      <c r="E68" s="77">
        <v>88</v>
      </c>
      <c r="F68" s="77">
        <v>80</v>
      </c>
    </row>
    <row r="69" spans="1:6" ht="14.5" x14ac:dyDescent="0.35">
      <c r="A69" t="s">
        <v>103</v>
      </c>
      <c r="B69" s="77">
        <v>272</v>
      </c>
      <c r="C69" s="77">
        <v>297</v>
      </c>
      <c r="D69" s="77">
        <v>210</v>
      </c>
      <c r="E69" s="77">
        <v>163</v>
      </c>
      <c r="F69" s="77">
        <v>156</v>
      </c>
    </row>
    <row r="70" spans="1:6" ht="14.5" x14ac:dyDescent="0.35">
      <c r="A70" t="s">
        <v>104</v>
      </c>
      <c r="B70" s="77">
        <v>1354</v>
      </c>
      <c r="C70" s="77">
        <v>1382</v>
      </c>
      <c r="D70" s="77">
        <v>1553</v>
      </c>
      <c r="E70" s="77">
        <v>1282</v>
      </c>
      <c r="F70" s="77">
        <v>912</v>
      </c>
    </row>
    <row r="71" spans="1:6" ht="14.5" x14ac:dyDescent="0.35">
      <c r="A71" t="s">
        <v>17</v>
      </c>
      <c r="B71" s="77">
        <v>137</v>
      </c>
      <c r="C71" s="77">
        <v>102</v>
      </c>
      <c r="D71" s="77">
        <v>92</v>
      </c>
      <c r="E71" s="77">
        <v>75</v>
      </c>
      <c r="F71" s="77">
        <v>54</v>
      </c>
    </row>
    <row r="72" spans="1:6" ht="14.5" x14ac:dyDescent="0.35">
      <c r="A72" t="s">
        <v>368</v>
      </c>
      <c r="B72" s="77">
        <v>176</v>
      </c>
      <c r="C72" s="77">
        <v>126</v>
      </c>
      <c r="D72" s="77">
        <v>152</v>
      </c>
      <c r="E72" s="77">
        <v>209</v>
      </c>
      <c r="F72" s="77">
        <v>173</v>
      </c>
    </row>
    <row r="73" spans="1:6" ht="14.5" x14ac:dyDescent="0.35">
      <c r="A73" t="s">
        <v>105</v>
      </c>
      <c r="B73" s="77">
        <v>17</v>
      </c>
      <c r="C73" s="77">
        <v>13</v>
      </c>
      <c r="D73" s="77">
        <v>9</v>
      </c>
      <c r="E73" s="77">
        <v>19</v>
      </c>
      <c r="F73" s="77">
        <v>8</v>
      </c>
    </row>
    <row r="74" spans="1:6" ht="14.5" x14ac:dyDescent="0.35">
      <c r="A74" t="s">
        <v>106</v>
      </c>
      <c r="B74" s="77">
        <v>4233</v>
      </c>
      <c r="C74" s="77">
        <v>4695</v>
      </c>
      <c r="D74" s="77">
        <v>4136</v>
      </c>
      <c r="E74" s="77">
        <v>3273</v>
      </c>
      <c r="F74" s="77">
        <v>2462</v>
      </c>
    </row>
    <row r="75" spans="1:6" ht="14.5" x14ac:dyDescent="0.35">
      <c r="A75" t="s">
        <v>22</v>
      </c>
      <c r="B75" s="77">
        <v>2685</v>
      </c>
      <c r="C75" s="77">
        <v>1907</v>
      </c>
      <c r="D75" s="77">
        <v>1587</v>
      </c>
      <c r="E75" s="77">
        <v>1171</v>
      </c>
      <c r="F75" s="77">
        <v>719</v>
      </c>
    </row>
    <row r="76" spans="1:6" ht="14.5" x14ac:dyDescent="0.35">
      <c r="A76" t="s">
        <v>107</v>
      </c>
      <c r="B76" s="77">
        <v>304</v>
      </c>
      <c r="C76" s="77">
        <v>433</v>
      </c>
      <c r="D76" s="77">
        <v>315</v>
      </c>
      <c r="E76" s="77">
        <v>306</v>
      </c>
      <c r="F76" s="77">
        <v>353</v>
      </c>
    </row>
    <row r="77" spans="1:6" ht="14.5" x14ac:dyDescent="0.35">
      <c r="A77" t="s">
        <v>108</v>
      </c>
      <c r="B77" s="77">
        <v>71</v>
      </c>
      <c r="C77" s="77">
        <v>93</v>
      </c>
      <c r="D77" s="77">
        <v>107</v>
      </c>
      <c r="E77" s="77">
        <v>120</v>
      </c>
      <c r="F77" s="77">
        <v>130</v>
      </c>
    </row>
    <row r="78" spans="1:6" ht="14.5" x14ac:dyDescent="0.35">
      <c r="A78" t="s">
        <v>109</v>
      </c>
      <c r="B78" s="77">
        <v>300</v>
      </c>
      <c r="C78" s="77">
        <v>202</v>
      </c>
      <c r="D78" s="77">
        <v>182</v>
      </c>
      <c r="E78" s="77">
        <v>180</v>
      </c>
      <c r="F78" s="77">
        <v>200</v>
      </c>
    </row>
    <row r="79" spans="1:6" ht="14.5" x14ac:dyDescent="0.35">
      <c r="A79" t="s">
        <v>110</v>
      </c>
      <c r="B79" s="77">
        <v>495</v>
      </c>
      <c r="C79" s="77">
        <v>429</v>
      </c>
      <c r="D79" s="77">
        <v>341</v>
      </c>
      <c r="E79" s="77">
        <v>275</v>
      </c>
      <c r="F79" s="77">
        <v>232</v>
      </c>
    </row>
    <row r="80" spans="1:6" ht="14.5" x14ac:dyDescent="0.35">
      <c r="A80" t="s">
        <v>111</v>
      </c>
      <c r="B80" s="77">
        <v>790</v>
      </c>
      <c r="C80" s="77">
        <v>771</v>
      </c>
      <c r="D80" s="77">
        <v>739</v>
      </c>
      <c r="E80" s="77">
        <v>692</v>
      </c>
      <c r="F80" s="77">
        <v>631</v>
      </c>
    </row>
    <row r="81" spans="1:6" ht="14.5" x14ac:dyDescent="0.35">
      <c r="A81" t="s">
        <v>112</v>
      </c>
      <c r="B81" s="77">
        <v>555</v>
      </c>
      <c r="C81" s="77">
        <v>508</v>
      </c>
      <c r="D81" s="77">
        <v>458</v>
      </c>
      <c r="E81" s="77">
        <v>344</v>
      </c>
      <c r="F81" s="77">
        <v>332</v>
      </c>
    </row>
    <row r="82" spans="1:6" ht="14.5" x14ac:dyDescent="0.35">
      <c r="A82" t="s">
        <v>113</v>
      </c>
      <c r="B82" s="77">
        <v>461</v>
      </c>
      <c r="C82" s="77">
        <v>482</v>
      </c>
      <c r="D82" s="77">
        <v>461</v>
      </c>
      <c r="E82" s="77">
        <v>354</v>
      </c>
      <c r="F82" s="77">
        <v>381</v>
      </c>
    </row>
    <row r="83" spans="1:6" ht="14.5" x14ac:dyDescent="0.35">
      <c r="A83" t="s">
        <v>114</v>
      </c>
      <c r="B83" s="77">
        <v>197</v>
      </c>
      <c r="C83" s="77">
        <v>165</v>
      </c>
      <c r="D83" s="77">
        <v>138</v>
      </c>
      <c r="E83" s="77">
        <v>123</v>
      </c>
      <c r="F83" s="77">
        <v>120</v>
      </c>
    </row>
    <row r="84" spans="1:6" ht="14.5" x14ac:dyDescent="0.35">
      <c r="A84" t="s">
        <v>115</v>
      </c>
      <c r="B84" s="77">
        <v>31</v>
      </c>
      <c r="C84" s="77">
        <v>38</v>
      </c>
      <c r="D84" s="77">
        <v>37</v>
      </c>
      <c r="E84" s="77">
        <v>42</v>
      </c>
      <c r="F84" s="77">
        <v>28</v>
      </c>
    </row>
    <row r="85" spans="1:6" ht="14.5" x14ac:dyDescent="0.35">
      <c r="A85" t="s">
        <v>116</v>
      </c>
      <c r="B85" s="77">
        <v>96</v>
      </c>
      <c r="C85" s="77">
        <v>127</v>
      </c>
      <c r="D85" s="77">
        <v>124</v>
      </c>
      <c r="E85" s="77">
        <v>92</v>
      </c>
      <c r="F85" s="77">
        <v>91</v>
      </c>
    </row>
    <row r="86" spans="1:6" ht="14.5" x14ac:dyDescent="0.35">
      <c r="A86" t="s">
        <v>117</v>
      </c>
      <c r="B86" s="77">
        <v>63</v>
      </c>
      <c r="C86" s="77">
        <v>37</v>
      </c>
      <c r="D86" s="77">
        <v>46</v>
      </c>
      <c r="E86" s="77">
        <v>40</v>
      </c>
      <c r="F86" s="77">
        <v>24</v>
      </c>
    </row>
    <row r="87" spans="1:6" ht="14.5" x14ac:dyDescent="0.35">
      <c r="A87" t="s">
        <v>390</v>
      </c>
      <c r="B87" s="77">
        <v>1634</v>
      </c>
      <c r="C87" s="77">
        <v>1561</v>
      </c>
      <c r="D87" s="77">
        <v>1619</v>
      </c>
      <c r="E87" s="77">
        <v>1191</v>
      </c>
      <c r="F87" s="77">
        <v>1259</v>
      </c>
    </row>
    <row r="88" spans="1:6" ht="14.5" x14ac:dyDescent="0.35">
      <c r="A88" t="s">
        <v>118</v>
      </c>
      <c r="B88" s="77">
        <v>8</v>
      </c>
      <c r="C88" s="77" t="s">
        <v>205</v>
      </c>
      <c r="D88" s="77" t="s">
        <v>205</v>
      </c>
      <c r="E88" s="77">
        <v>9</v>
      </c>
      <c r="F88" s="77">
        <v>11</v>
      </c>
    </row>
    <row r="89" spans="1:6" ht="14.5" x14ac:dyDescent="0.35">
      <c r="A89" t="s">
        <v>119</v>
      </c>
      <c r="B89" s="77">
        <v>36</v>
      </c>
      <c r="C89" s="77">
        <v>26</v>
      </c>
      <c r="D89" s="77">
        <v>40</v>
      </c>
      <c r="E89" s="77">
        <v>22</v>
      </c>
      <c r="F89" s="77">
        <v>40</v>
      </c>
    </row>
    <row r="90" spans="1:6" ht="14.5" x14ac:dyDescent="0.35">
      <c r="A90" t="s">
        <v>120</v>
      </c>
      <c r="B90" s="77">
        <v>13</v>
      </c>
      <c r="C90" s="77">
        <v>18</v>
      </c>
      <c r="D90" s="77">
        <v>15</v>
      </c>
      <c r="E90" s="77">
        <v>5</v>
      </c>
      <c r="F90" s="77">
        <v>8</v>
      </c>
    </row>
    <row r="91" spans="1:6" ht="14.5" x14ac:dyDescent="0.35">
      <c r="A91" t="s">
        <v>121</v>
      </c>
      <c r="B91" s="77">
        <v>21</v>
      </c>
      <c r="C91" s="77">
        <v>12</v>
      </c>
      <c r="D91" s="77">
        <v>6</v>
      </c>
      <c r="E91" s="77">
        <v>12</v>
      </c>
      <c r="F91" s="77">
        <v>3</v>
      </c>
    </row>
    <row r="92" spans="1:6" ht="14.5" x14ac:dyDescent="0.35">
      <c r="A92" t="s">
        <v>122</v>
      </c>
      <c r="B92" s="77">
        <v>322</v>
      </c>
      <c r="C92" s="77">
        <v>222</v>
      </c>
      <c r="D92" s="77">
        <v>167</v>
      </c>
      <c r="E92" s="77">
        <v>112</v>
      </c>
      <c r="F92" s="77">
        <v>95</v>
      </c>
    </row>
    <row r="93" spans="1:6" ht="14.5" x14ac:dyDescent="0.35">
      <c r="A93" t="s">
        <v>123</v>
      </c>
      <c r="B93" s="77">
        <v>204</v>
      </c>
      <c r="C93" s="77">
        <v>194</v>
      </c>
      <c r="D93" s="77">
        <v>126</v>
      </c>
      <c r="E93" s="77">
        <v>89</v>
      </c>
      <c r="F93" s="77">
        <v>92</v>
      </c>
    </row>
    <row r="94" spans="1:6" ht="14.5" x14ac:dyDescent="0.35">
      <c r="A94" t="s">
        <v>124</v>
      </c>
      <c r="B94" s="77">
        <v>39</v>
      </c>
      <c r="C94" s="77">
        <v>16</v>
      </c>
      <c r="D94" s="77">
        <v>25</v>
      </c>
      <c r="E94" s="77">
        <v>24</v>
      </c>
      <c r="F94" s="77">
        <v>14</v>
      </c>
    </row>
    <row r="95" spans="1:6" ht="14.5" x14ac:dyDescent="0.35">
      <c r="A95" t="s">
        <v>125</v>
      </c>
      <c r="B95" s="77">
        <v>59</v>
      </c>
      <c r="C95" s="77">
        <v>49</v>
      </c>
      <c r="D95" s="77">
        <v>41</v>
      </c>
      <c r="E95" s="77">
        <v>34</v>
      </c>
      <c r="F95" s="77">
        <v>17</v>
      </c>
    </row>
    <row r="96" spans="1:6" ht="14.5" x14ac:dyDescent="0.35">
      <c r="A96" t="s">
        <v>126</v>
      </c>
      <c r="B96" s="77">
        <v>703</v>
      </c>
      <c r="C96" s="77">
        <v>638</v>
      </c>
      <c r="D96" s="77">
        <v>470</v>
      </c>
      <c r="E96" s="77">
        <v>371</v>
      </c>
      <c r="F96" s="77">
        <v>153</v>
      </c>
    </row>
    <row r="97" spans="1:6" ht="14.5" x14ac:dyDescent="0.35">
      <c r="A97" t="s">
        <v>127</v>
      </c>
      <c r="B97" s="77">
        <v>39</v>
      </c>
      <c r="C97" s="77">
        <v>28</v>
      </c>
      <c r="D97" s="77">
        <v>37</v>
      </c>
      <c r="E97" s="77">
        <v>15</v>
      </c>
      <c r="F97" s="77">
        <v>12</v>
      </c>
    </row>
    <row r="98" spans="1:6" ht="14.5" x14ac:dyDescent="0.35">
      <c r="A98" t="s">
        <v>322</v>
      </c>
      <c r="B98" s="77">
        <v>7</v>
      </c>
      <c r="C98" s="77">
        <v>10</v>
      </c>
      <c r="D98" s="77">
        <v>40</v>
      </c>
      <c r="E98" s="77">
        <v>9</v>
      </c>
      <c r="F98" s="77">
        <v>4</v>
      </c>
    </row>
    <row r="99" spans="1:6" ht="14.5" x14ac:dyDescent="0.35">
      <c r="A99" t="s">
        <v>129</v>
      </c>
      <c r="B99" s="77">
        <v>267</v>
      </c>
      <c r="C99" s="77">
        <v>231</v>
      </c>
      <c r="D99" s="77">
        <v>156</v>
      </c>
      <c r="E99" s="77">
        <v>124</v>
      </c>
      <c r="F99" s="77">
        <v>53</v>
      </c>
    </row>
    <row r="100" spans="1:6" ht="14.5" x14ac:dyDescent="0.35">
      <c r="A100" t="s">
        <v>131</v>
      </c>
      <c r="B100" s="77">
        <v>125</v>
      </c>
      <c r="C100" s="77">
        <v>61</v>
      </c>
      <c r="D100" s="77">
        <v>58</v>
      </c>
      <c r="E100" s="77">
        <v>92</v>
      </c>
      <c r="F100" s="77">
        <v>12</v>
      </c>
    </row>
    <row r="101" spans="1:6" ht="14.5" x14ac:dyDescent="0.35">
      <c r="A101" t="s">
        <v>389</v>
      </c>
      <c r="B101" s="77">
        <v>25</v>
      </c>
      <c r="C101" s="77">
        <v>29</v>
      </c>
      <c r="D101" s="77">
        <v>21</v>
      </c>
      <c r="E101" s="77">
        <v>18</v>
      </c>
      <c r="F101" s="77">
        <v>8</v>
      </c>
    </row>
    <row r="102" spans="1:6" ht="14.5" x14ac:dyDescent="0.35">
      <c r="A102" t="s">
        <v>132</v>
      </c>
      <c r="B102" s="77">
        <v>9</v>
      </c>
      <c r="C102" s="77">
        <v>6</v>
      </c>
      <c r="D102" s="77">
        <v>14</v>
      </c>
      <c r="E102" s="77">
        <v>5</v>
      </c>
      <c r="F102" s="77">
        <v>4</v>
      </c>
    </row>
    <row r="103" spans="1:6" ht="14.5" x14ac:dyDescent="0.35">
      <c r="A103" t="s">
        <v>133</v>
      </c>
      <c r="B103" s="77">
        <v>27</v>
      </c>
      <c r="C103" s="77">
        <v>5</v>
      </c>
      <c r="D103" s="77" t="s">
        <v>205</v>
      </c>
      <c r="E103" s="77" t="s">
        <v>205</v>
      </c>
      <c r="F103" s="77">
        <v>3</v>
      </c>
    </row>
    <row r="104" spans="1:6" ht="14.5" x14ac:dyDescent="0.35">
      <c r="A104" t="s">
        <v>134</v>
      </c>
      <c r="B104" s="77">
        <v>158</v>
      </c>
      <c r="C104" s="77">
        <v>270</v>
      </c>
      <c r="D104" s="77">
        <v>246</v>
      </c>
      <c r="E104" s="77">
        <v>33</v>
      </c>
      <c r="F104" s="77">
        <v>18</v>
      </c>
    </row>
    <row r="105" spans="1:6" ht="14.5" x14ac:dyDescent="0.35">
      <c r="A105" t="s">
        <v>136</v>
      </c>
      <c r="B105" s="77">
        <v>468699</v>
      </c>
      <c r="C105" s="77">
        <v>353850</v>
      </c>
      <c r="D105" s="77">
        <v>205158</v>
      </c>
      <c r="E105" s="77">
        <v>131983</v>
      </c>
      <c r="F105" s="77">
        <v>88042</v>
      </c>
    </row>
    <row r="106" spans="1:6" ht="14.5" x14ac:dyDescent="0.35">
      <c r="A106" t="s">
        <v>14</v>
      </c>
      <c r="B106" s="77">
        <v>13</v>
      </c>
      <c r="C106" s="77">
        <v>10</v>
      </c>
      <c r="D106" s="77">
        <v>6</v>
      </c>
      <c r="E106" s="77">
        <v>9</v>
      </c>
      <c r="F106" s="77">
        <v>3</v>
      </c>
    </row>
    <row r="107" spans="1:6" ht="14.5" x14ac:dyDescent="0.35">
      <c r="A107" t="s">
        <v>137</v>
      </c>
      <c r="B107" s="77">
        <v>53</v>
      </c>
      <c r="C107" s="77">
        <v>56</v>
      </c>
      <c r="D107" s="77">
        <v>64</v>
      </c>
      <c r="E107" s="77">
        <v>41</v>
      </c>
      <c r="F107" s="77">
        <v>42</v>
      </c>
    </row>
    <row r="108" spans="1:6" ht="14.5" x14ac:dyDescent="0.35">
      <c r="A108" t="s">
        <v>138</v>
      </c>
      <c r="B108" s="77">
        <v>39</v>
      </c>
      <c r="C108" s="77">
        <v>36</v>
      </c>
      <c r="D108" s="77">
        <v>54</v>
      </c>
      <c r="E108" s="77">
        <v>35</v>
      </c>
      <c r="F108" s="77">
        <v>39</v>
      </c>
    </row>
    <row r="109" spans="1:6" ht="14.5" x14ac:dyDescent="0.35">
      <c r="A109" t="s">
        <v>139</v>
      </c>
      <c r="B109" s="77" t="s">
        <v>366</v>
      </c>
      <c r="C109" s="77" t="s">
        <v>366</v>
      </c>
      <c r="D109" s="77">
        <v>13</v>
      </c>
      <c r="E109" s="77">
        <v>22</v>
      </c>
      <c r="F109" s="77">
        <v>13</v>
      </c>
    </row>
    <row r="110" spans="1:6" ht="14.5" x14ac:dyDescent="0.35">
      <c r="A110" t="s">
        <v>140</v>
      </c>
      <c r="B110" s="77">
        <v>156</v>
      </c>
      <c r="C110" s="77">
        <v>214</v>
      </c>
      <c r="D110" s="77">
        <v>142</v>
      </c>
      <c r="E110" s="77">
        <v>101</v>
      </c>
      <c r="F110" s="77">
        <v>106</v>
      </c>
    </row>
    <row r="111" spans="1:6" ht="14.5" x14ac:dyDescent="0.35">
      <c r="A111" t="s">
        <v>141</v>
      </c>
      <c r="B111" s="77">
        <v>52</v>
      </c>
      <c r="C111" s="77">
        <v>43</v>
      </c>
      <c r="D111" s="77">
        <v>63</v>
      </c>
      <c r="E111" s="77">
        <v>36</v>
      </c>
      <c r="F111" s="77">
        <v>25</v>
      </c>
    </row>
    <row r="112" spans="1:6" ht="14.5" x14ac:dyDescent="0.35">
      <c r="A112" t="s">
        <v>144</v>
      </c>
      <c r="B112" s="77">
        <v>392</v>
      </c>
      <c r="C112" s="77">
        <v>393</v>
      </c>
      <c r="D112" s="77">
        <v>295</v>
      </c>
      <c r="E112" s="77">
        <v>287</v>
      </c>
      <c r="F112" s="77">
        <v>280</v>
      </c>
    </row>
    <row r="113" spans="1:6" ht="14.5" x14ac:dyDescent="0.35">
      <c r="A113" t="s">
        <v>145</v>
      </c>
      <c r="B113" s="77">
        <v>6</v>
      </c>
      <c r="C113" s="77">
        <v>11</v>
      </c>
      <c r="D113" s="77">
        <v>7</v>
      </c>
      <c r="E113" s="77" t="s">
        <v>366</v>
      </c>
      <c r="F113" s="77" t="s">
        <v>366</v>
      </c>
    </row>
    <row r="114" spans="1:6" ht="14.5" x14ac:dyDescent="0.35">
      <c r="A114" t="s">
        <v>371</v>
      </c>
      <c r="B114" s="77">
        <v>128</v>
      </c>
      <c r="C114" s="77">
        <v>136</v>
      </c>
      <c r="D114" s="77">
        <v>104</v>
      </c>
      <c r="E114" s="77">
        <v>97</v>
      </c>
      <c r="F114" s="77">
        <v>94</v>
      </c>
    </row>
    <row r="115" spans="1:6" ht="14.5" x14ac:dyDescent="0.35">
      <c r="A115" t="s">
        <v>146</v>
      </c>
      <c r="B115" s="77">
        <v>175</v>
      </c>
      <c r="C115" s="77">
        <v>170</v>
      </c>
      <c r="D115" s="77">
        <v>217</v>
      </c>
      <c r="E115" s="77">
        <v>172</v>
      </c>
      <c r="F115" s="77">
        <v>122</v>
      </c>
    </row>
    <row r="116" spans="1:6" ht="14.5" x14ac:dyDescent="0.35">
      <c r="A116" t="s">
        <v>147</v>
      </c>
      <c r="B116" s="77">
        <v>21</v>
      </c>
      <c r="C116" s="77">
        <v>28</v>
      </c>
      <c r="D116" s="77">
        <v>10</v>
      </c>
      <c r="E116" s="77">
        <v>10</v>
      </c>
      <c r="F116" s="77">
        <v>6</v>
      </c>
    </row>
    <row r="117" spans="1:6" ht="14.5" x14ac:dyDescent="0.35">
      <c r="A117" t="s">
        <v>148</v>
      </c>
      <c r="B117" s="77">
        <v>298</v>
      </c>
      <c r="C117" s="77">
        <v>461</v>
      </c>
      <c r="D117" s="77">
        <v>292</v>
      </c>
      <c r="E117" s="77">
        <v>265</v>
      </c>
      <c r="F117" s="77">
        <v>293</v>
      </c>
    </row>
    <row r="118" spans="1:6" ht="14.5" x14ac:dyDescent="0.35">
      <c r="A118" t="s">
        <v>149</v>
      </c>
      <c r="B118" s="77">
        <v>124</v>
      </c>
      <c r="C118" s="77">
        <v>117</v>
      </c>
      <c r="D118" s="77">
        <v>79</v>
      </c>
      <c r="E118" s="77">
        <v>88</v>
      </c>
      <c r="F118" s="77">
        <v>71</v>
      </c>
    </row>
    <row r="119" spans="1:6" ht="14.5" x14ac:dyDescent="0.35">
      <c r="A119" t="s">
        <v>150</v>
      </c>
      <c r="B119" s="77">
        <v>658</v>
      </c>
      <c r="C119" s="77">
        <v>647</v>
      </c>
      <c r="D119" s="77">
        <v>586</v>
      </c>
      <c r="E119" s="77">
        <v>477</v>
      </c>
      <c r="F119" s="77">
        <v>296</v>
      </c>
    </row>
    <row r="120" spans="1:6" ht="14.5" x14ac:dyDescent="0.35">
      <c r="A120" t="s">
        <v>152</v>
      </c>
      <c r="B120" s="77">
        <v>19</v>
      </c>
      <c r="C120" s="77">
        <v>23</v>
      </c>
      <c r="D120" s="77">
        <v>7</v>
      </c>
      <c r="E120" s="77">
        <v>10</v>
      </c>
      <c r="F120" s="77">
        <v>5</v>
      </c>
    </row>
    <row r="121" spans="1:6" ht="14.5" x14ac:dyDescent="0.35">
      <c r="A121" t="s">
        <v>153</v>
      </c>
      <c r="B121" s="77">
        <v>119</v>
      </c>
      <c r="C121" s="77">
        <v>73</v>
      </c>
      <c r="D121" s="77">
        <v>98</v>
      </c>
      <c r="E121" s="77">
        <v>53</v>
      </c>
      <c r="F121" s="77">
        <v>53</v>
      </c>
    </row>
    <row r="122" spans="1:6" ht="14.5" x14ac:dyDescent="0.35">
      <c r="A122" t="s">
        <v>154</v>
      </c>
      <c r="B122" s="77">
        <v>20</v>
      </c>
      <c r="C122" s="77">
        <v>21</v>
      </c>
      <c r="D122" s="77">
        <v>9</v>
      </c>
      <c r="E122" s="77">
        <v>14</v>
      </c>
      <c r="F122" s="77">
        <v>16</v>
      </c>
    </row>
    <row r="123" spans="1:6" ht="14.5" x14ac:dyDescent="0.35">
      <c r="A123" t="s">
        <v>155</v>
      </c>
      <c r="B123" s="77">
        <v>659</v>
      </c>
      <c r="C123" s="77">
        <v>460</v>
      </c>
      <c r="D123" s="77">
        <v>521</v>
      </c>
      <c r="E123" s="77">
        <v>356</v>
      </c>
      <c r="F123" s="77">
        <v>510</v>
      </c>
    </row>
    <row r="124" spans="1:6" ht="14.5" x14ac:dyDescent="0.35">
      <c r="A124" t="s">
        <v>156</v>
      </c>
      <c r="B124" s="77">
        <v>18823</v>
      </c>
      <c r="C124" s="77">
        <v>21413</v>
      </c>
      <c r="D124" s="77">
        <v>23150</v>
      </c>
      <c r="E124" s="77">
        <v>20903</v>
      </c>
      <c r="F124" s="77">
        <v>21523</v>
      </c>
    </row>
    <row r="125" spans="1:6" ht="14.5" x14ac:dyDescent="0.35">
      <c r="A125" t="s">
        <v>18</v>
      </c>
      <c r="B125" s="77">
        <v>920</v>
      </c>
      <c r="C125" s="77">
        <v>846</v>
      </c>
      <c r="D125" s="77">
        <v>888</v>
      </c>
      <c r="E125" s="77">
        <v>516</v>
      </c>
      <c r="F125" s="77">
        <v>559</v>
      </c>
    </row>
    <row r="126" spans="1:6" ht="14.5" x14ac:dyDescent="0.35">
      <c r="A126" t="s">
        <v>157</v>
      </c>
      <c r="B126" s="77">
        <v>211</v>
      </c>
      <c r="C126" s="77">
        <v>169</v>
      </c>
      <c r="D126" s="77">
        <v>205</v>
      </c>
      <c r="E126" s="77">
        <v>294</v>
      </c>
      <c r="F126" s="77">
        <v>266</v>
      </c>
    </row>
    <row r="127" spans="1:6" ht="14.5" x14ac:dyDescent="0.35">
      <c r="A127" t="s">
        <v>158</v>
      </c>
      <c r="B127" s="77">
        <v>5</v>
      </c>
      <c r="C127" s="77">
        <v>7</v>
      </c>
      <c r="D127" s="77">
        <v>3</v>
      </c>
      <c r="E127" s="77">
        <v>6</v>
      </c>
      <c r="F127" s="77">
        <v>13</v>
      </c>
    </row>
    <row r="128" spans="1:6" ht="14.5" x14ac:dyDescent="0.35">
      <c r="A128" t="s">
        <v>159</v>
      </c>
      <c r="B128" s="77">
        <v>893</v>
      </c>
      <c r="C128" s="77">
        <v>1012</v>
      </c>
      <c r="D128" s="77">
        <v>808</v>
      </c>
      <c r="E128" s="77">
        <v>478</v>
      </c>
      <c r="F128" s="77">
        <v>318</v>
      </c>
    </row>
    <row r="129" spans="1:6" ht="14.5" x14ac:dyDescent="0.35">
      <c r="A129" t="s">
        <v>160</v>
      </c>
      <c r="B129" s="77">
        <v>3522</v>
      </c>
      <c r="C129" s="77">
        <v>3189</v>
      </c>
      <c r="D129" s="77">
        <v>3512</v>
      </c>
      <c r="E129" s="77">
        <v>2464</v>
      </c>
      <c r="F129" s="77">
        <v>1991</v>
      </c>
    </row>
    <row r="130" spans="1:6" ht="14.5" x14ac:dyDescent="0.35">
      <c r="A130" t="s">
        <v>161</v>
      </c>
      <c r="B130" s="77">
        <v>27</v>
      </c>
      <c r="C130" s="77">
        <v>15</v>
      </c>
      <c r="D130" s="77">
        <v>18</v>
      </c>
      <c r="E130" s="77">
        <v>13</v>
      </c>
      <c r="F130" s="77">
        <v>14</v>
      </c>
    </row>
    <row r="131" spans="1:6" ht="14.5" x14ac:dyDescent="0.35">
      <c r="A131" t="s">
        <v>162</v>
      </c>
      <c r="B131" s="77">
        <v>12</v>
      </c>
      <c r="C131" s="77">
        <v>13</v>
      </c>
      <c r="D131" s="77">
        <v>22</v>
      </c>
      <c r="E131" s="77">
        <v>6</v>
      </c>
      <c r="F131" s="77">
        <v>18</v>
      </c>
    </row>
    <row r="132" spans="1:6" ht="14.5" x14ac:dyDescent="0.35">
      <c r="A132" t="s">
        <v>163</v>
      </c>
      <c r="B132" s="77">
        <v>41</v>
      </c>
      <c r="C132" s="77">
        <v>31</v>
      </c>
      <c r="D132" s="77">
        <v>39</v>
      </c>
      <c r="E132" s="77">
        <v>21</v>
      </c>
      <c r="F132" s="77">
        <v>27</v>
      </c>
    </row>
    <row r="133" spans="1:6" ht="14.5" x14ac:dyDescent="0.35">
      <c r="A133" t="s">
        <v>164</v>
      </c>
      <c r="B133" s="77">
        <v>52</v>
      </c>
      <c r="C133" s="77">
        <v>53</v>
      </c>
      <c r="D133" s="77">
        <v>44</v>
      </c>
      <c r="E133" s="77">
        <v>39</v>
      </c>
      <c r="F133" s="77">
        <v>31</v>
      </c>
    </row>
    <row r="134" spans="1:6" ht="14.5" x14ac:dyDescent="0.35">
      <c r="A134" t="s">
        <v>165</v>
      </c>
      <c r="B134" s="77">
        <v>24</v>
      </c>
      <c r="C134" s="77">
        <v>20</v>
      </c>
      <c r="D134" s="77">
        <v>10</v>
      </c>
      <c r="E134" s="77">
        <v>9</v>
      </c>
      <c r="F134" s="77" t="s">
        <v>205</v>
      </c>
    </row>
    <row r="135" spans="1:6" ht="14.5" x14ac:dyDescent="0.35">
      <c r="A135" t="s">
        <v>166</v>
      </c>
      <c r="B135" s="77">
        <v>153</v>
      </c>
      <c r="C135" s="77">
        <v>220</v>
      </c>
      <c r="D135" s="77">
        <v>291</v>
      </c>
      <c r="E135" s="77">
        <v>296</v>
      </c>
      <c r="F135" s="77">
        <v>354</v>
      </c>
    </row>
    <row r="136" spans="1:6" ht="14.5" x14ac:dyDescent="0.35">
      <c r="A136" t="s">
        <v>167</v>
      </c>
      <c r="B136" s="77">
        <v>106</v>
      </c>
      <c r="C136" s="77">
        <v>127</v>
      </c>
      <c r="D136" s="77">
        <v>56</v>
      </c>
      <c r="E136" s="77">
        <v>38</v>
      </c>
      <c r="F136" s="77">
        <v>87</v>
      </c>
    </row>
    <row r="137" spans="1:6" ht="14.5" x14ac:dyDescent="0.35">
      <c r="A137" t="s">
        <v>168</v>
      </c>
      <c r="B137" s="77" t="s">
        <v>366</v>
      </c>
      <c r="C137" s="77" t="s">
        <v>366</v>
      </c>
      <c r="D137" s="77">
        <v>33</v>
      </c>
      <c r="E137" s="77" t="s">
        <v>205</v>
      </c>
      <c r="F137" s="77">
        <v>112</v>
      </c>
    </row>
    <row r="138" spans="1:6" ht="14.5" x14ac:dyDescent="0.35">
      <c r="A138" t="s">
        <v>169</v>
      </c>
      <c r="B138" s="77">
        <v>135</v>
      </c>
      <c r="C138" s="77">
        <v>119</v>
      </c>
      <c r="D138" s="77">
        <v>48</v>
      </c>
      <c r="E138" s="77">
        <v>9</v>
      </c>
      <c r="F138" s="77">
        <v>4</v>
      </c>
    </row>
    <row r="139" spans="1:6" ht="14.5" x14ac:dyDescent="0.35">
      <c r="A139" t="s">
        <v>215</v>
      </c>
      <c r="B139" s="77">
        <v>16</v>
      </c>
      <c r="C139" s="77">
        <v>19</v>
      </c>
      <c r="D139" s="77">
        <v>28</v>
      </c>
      <c r="E139" s="77">
        <v>18</v>
      </c>
      <c r="F139" s="77">
        <v>10</v>
      </c>
    </row>
    <row r="140" spans="1:6" ht="14.5" x14ac:dyDescent="0.35">
      <c r="A140" t="s">
        <v>170</v>
      </c>
      <c r="B140" s="77">
        <v>91</v>
      </c>
      <c r="C140" s="77">
        <v>65</v>
      </c>
      <c r="D140" s="77">
        <v>68</v>
      </c>
      <c r="E140" s="77">
        <v>74</v>
      </c>
      <c r="F140" s="77">
        <v>64</v>
      </c>
    </row>
    <row r="141" spans="1:6" ht="14.5" x14ac:dyDescent="0.35">
      <c r="A141" t="s">
        <v>171</v>
      </c>
      <c r="B141" s="77">
        <v>98</v>
      </c>
      <c r="C141" s="77">
        <v>80</v>
      </c>
      <c r="D141" s="77">
        <v>83</v>
      </c>
      <c r="E141" s="77">
        <v>76</v>
      </c>
      <c r="F141" s="77">
        <v>67</v>
      </c>
    </row>
    <row r="142" spans="1:6" ht="14.5" x14ac:dyDescent="0.35">
      <c r="A142" t="s">
        <v>172</v>
      </c>
      <c r="B142" s="77">
        <v>21</v>
      </c>
      <c r="C142" s="77">
        <v>26</v>
      </c>
      <c r="D142" s="77">
        <v>15</v>
      </c>
      <c r="E142" s="77">
        <v>16</v>
      </c>
      <c r="F142" s="77">
        <v>21</v>
      </c>
    </row>
    <row r="143" spans="1:6" ht="14.5" x14ac:dyDescent="0.35">
      <c r="A143" t="s">
        <v>173</v>
      </c>
      <c r="B143" s="77">
        <v>12</v>
      </c>
      <c r="C143" s="77" t="s">
        <v>205</v>
      </c>
      <c r="D143" s="77">
        <v>5</v>
      </c>
      <c r="E143" s="77" t="s">
        <v>366</v>
      </c>
      <c r="F143" s="77">
        <v>5</v>
      </c>
    </row>
    <row r="144" spans="1:6" ht="14.5" x14ac:dyDescent="0.35">
      <c r="A144" t="s">
        <v>388</v>
      </c>
      <c r="B144" s="77">
        <v>23</v>
      </c>
      <c r="C144" s="77">
        <v>25</v>
      </c>
      <c r="D144" s="77">
        <v>10</v>
      </c>
      <c r="E144" s="77">
        <v>5</v>
      </c>
      <c r="F144" s="77">
        <v>10</v>
      </c>
    </row>
    <row r="145" spans="1:6" ht="14.5" x14ac:dyDescent="0.35">
      <c r="A145" t="s">
        <v>174</v>
      </c>
      <c r="B145" s="77">
        <v>223</v>
      </c>
      <c r="C145" s="77">
        <v>160</v>
      </c>
      <c r="D145" s="77">
        <v>101</v>
      </c>
      <c r="E145" s="77">
        <v>119</v>
      </c>
      <c r="F145" s="77">
        <v>107</v>
      </c>
    </row>
    <row r="146" spans="1:6" ht="14.5" x14ac:dyDescent="0.35">
      <c r="A146" t="s">
        <v>175</v>
      </c>
      <c r="B146" s="77">
        <v>94</v>
      </c>
      <c r="C146" s="77">
        <v>150</v>
      </c>
      <c r="D146" s="77">
        <v>61</v>
      </c>
      <c r="E146" s="77" t="s">
        <v>366</v>
      </c>
      <c r="F146" s="77" t="s">
        <v>205</v>
      </c>
    </row>
    <row r="147" spans="1:6" ht="14.5" x14ac:dyDescent="0.35">
      <c r="A147" t="s">
        <v>216</v>
      </c>
      <c r="B147" s="77">
        <v>348</v>
      </c>
      <c r="C147" s="77">
        <v>461</v>
      </c>
      <c r="D147" s="77">
        <v>649</v>
      </c>
      <c r="E147" s="77">
        <v>874</v>
      </c>
      <c r="F147" s="77">
        <v>1139</v>
      </c>
    </row>
    <row r="148" spans="1:6" ht="14.5" x14ac:dyDescent="0.35">
      <c r="A148" t="s">
        <v>177</v>
      </c>
      <c r="B148" s="77">
        <v>342</v>
      </c>
      <c r="C148" s="77">
        <v>254</v>
      </c>
      <c r="D148" s="77">
        <v>182</v>
      </c>
      <c r="E148" s="77">
        <v>151</v>
      </c>
      <c r="F148" s="77">
        <v>125</v>
      </c>
    </row>
    <row r="149" spans="1:6" ht="14.5" x14ac:dyDescent="0.35">
      <c r="A149" t="s">
        <v>178</v>
      </c>
      <c r="B149" s="77">
        <v>23</v>
      </c>
      <c r="C149" s="77">
        <v>21</v>
      </c>
      <c r="D149" s="77">
        <v>33</v>
      </c>
      <c r="E149" s="77">
        <v>29</v>
      </c>
      <c r="F149" s="77">
        <v>14</v>
      </c>
    </row>
    <row r="150" spans="1:6" ht="14.5" x14ac:dyDescent="0.35">
      <c r="A150" t="s">
        <v>179</v>
      </c>
      <c r="B150" s="77">
        <v>157</v>
      </c>
      <c r="C150" s="77">
        <v>152</v>
      </c>
      <c r="D150" s="77">
        <v>145</v>
      </c>
      <c r="E150" s="77">
        <v>119</v>
      </c>
      <c r="F150" s="77">
        <v>142</v>
      </c>
    </row>
    <row r="151" spans="1:6" ht="14.5" x14ac:dyDescent="0.35">
      <c r="A151" t="s">
        <v>182</v>
      </c>
      <c r="B151" s="77">
        <v>94</v>
      </c>
      <c r="C151" s="77">
        <v>108</v>
      </c>
      <c r="D151" s="77">
        <v>87</v>
      </c>
      <c r="E151" s="77">
        <v>104</v>
      </c>
      <c r="F151" s="77">
        <v>85</v>
      </c>
    </row>
    <row r="152" spans="1:6" ht="14.5" x14ac:dyDescent="0.35">
      <c r="A152" t="s">
        <v>183</v>
      </c>
      <c r="B152" s="77">
        <v>56</v>
      </c>
      <c r="C152" s="77">
        <v>89</v>
      </c>
      <c r="D152" s="77">
        <v>71</v>
      </c>
      <c r="E152" s="77">
        <v>72</v>
      </c>
      <c r="F152" s="77">
        <v>79</v>
      </c>
    </row>
    <row r="153" spans="1:6" ht="14.5" x14ac:dyDescent="0.35">
      <c r="A153" t="s">
        <v>184</v>
      </c>
      <c r="B153" s="77">
        <v>325</v>
      </c>
      <c r="C153" s="77">
        <v>293</v>
      </c>
      <c r="D153" s="77">
        <v>286</v>
      </c>
      <c r="E153" s="77">
        <v>374</v>
      </c>
      <c r="F153" s="77">
        <v>473</v>
      </c>
    </row>
    <row r="154" spans="1:6" ht="14.5" x14ac:dyDescent="0.35">
      <c r="A154" t="s">
        <v>185</v>
      </c>
      <c r="B154" s="77">
        <v>27</v>
      </c>
      <c r="C154" s="77">
        <v>14</v>
      </c>
      <c r="D154" s="77">
        <v>22</v>
      </c>
      <c r="E154" s="77">
        <v>17</v>
      </c>
      <c r="F154" s="77">
        <v>4</v>
      </c>
    </row>
    <row r="155" spans="1:6" ht="14.5" x14ac:dyDescent="0.35">
      <c r="A155" t="s">
        <v>186</v>
      </c>
      <c r="B155" s="77">
        <v>351</v>
      </c>
      <c r="C155" s="77">
        <v>320</v>
      </c>
      <c r="D155" s="77">
        <v>149</v>
      </c>
      <c r="E155" s="77">
        <v>38</v>
      </c>
      <c r="F155" s="77">
        <v>34</v>
      </c>
    </row>
    <row r="156" spans="1:6" ht="14.5" x14ac:dyDescent="0.35">
      <c r="A156" t="s">
        <v>187</v>
      </c>
      <c r="B156" s="77">
        <v>394</v>
      </c>
      <c r="C156" s="77">
        <v>463</v>
      </c>
      <c r="D156" s="77">
        <v>530</v>
      </c>
      <c r="E156" s="77">
        <v>231</v>
      </c>
      <c r="F156" s="77">
        <v>202</v>
      </c>
    </row>
    <row r="157" spans="1:6" ht="14.5" x14ac:dyDescent="0.35">
      <c r="A157" t="s">
        <v>188</v>
      </c>
      <c r="B157" s="77">
        <v>40</v>
      </c>
      <c r="C157" s="77">
        <v>75</v>
      </c>
      <c r="D157" s="77">
        <v>19</v>
      </c>
      <c r="E157" s="77">
        <v>11</v>
      </c>
      <c r="F157" s="77">
        <v>13</v>
      </c>
    </row>
    <row r="158" spans="1:6" ht="14.5" x14ac:dyDescent="0.35">
      <c r="A158" t="s">
        <v>189</v>
      </c>
      <c r="B158" s="77">
        <v>16</v>
      </c>
      <c r="C158" s="77">
        <v>9</v>
      </c>
      <c r="D158" s="77">
        <v>12</v>
      </c>
      <c r="E158" s="77">
        <v>7</v>
      </c>
      <c r="F158" s="77">
        <v>5</v>
      </c>
    </row>
    <row r="159" spans="1:6" ht="14.5" x14ac:dyDescent="0.35">
      <c r="A159" t="s">
        <v>190</v>
      </c>
      <c r="B159" s="77">
        <v>267</v>
      </c>
      <c r="C159" s="77">
        <v>199</v>
      </c>
      <c r="D159" s="77">
        <v>130</v>
      </c>
      <c r="E159" s="77">
        <v>117</v>
      </c>
      <c r="F159" s="77">
        <v>67</v>
      </c>
    </row>
    <row r="160" spans="1:6" ht="14.5" x14ac:dyDescent="0.35">
      <c r="A160" t="s">
        <v>191</v>
      </c>
      <c r="B160" s="77">
        <v>37</v>
      </c>
      <c r="C160" s="77">
        <v>57</v>
      </c>
      <c r="D160" s="77">
        <v>35</v>
      </c>
      <c r="E160" s="77">
        <v>21</v>
      </c>
      <c r="F160" s="77">
        <v>22</v>
      </c>
    </row>
    <row r="161" spans="1:6" ht="14.5" x14ac:dyDescent="0.35">
      <c r="A161" t="s">
        <v>192</v>
      </c>
      <c r="B161" s="77">
        <v>1534</v>
      </c>
      <c r="C161" s="77">
        <v>1802</v>
      </c>
      <c r="D161" s="77">
        <v>1879</v>
      </c>
      <c r="E161" s="77">
        <v>1226</v>
      </c>
      <c r="F161" s="77">
        <v>1029</v>
      </c>
    </row>
    <row r="162" spans="1:6" ht="14.5" x14ac:dyDescent="0.35">
      <c r="A162" t="s">
        <v>193</v>
      </c>
      <c r="B162" s="77">
        <v>9</v>
      </c>
      <c r="C162" s="77">
        <v>11</v>
      </c>
      <c r="D162" s="77">
        <v>14</v>
      </c>
      <c r="E162" s="77">
        <v>16</v>
      </c>
      <c r="F162" s="77">
        <v>8</v>
      </c>
    </row>
    <row r="163" spans="1:6" ht="14.5" x14ac:dyDescent="0.35">
      <c r="A163" t="s">
        <v>372</v>
      </c>
      <c r="B163" s="77">
        <v>5</v>
      </c>
      <c r="C163" s="77" t="s">
        <v>366</v>
      </c>
      <c r="D163" s="77">
        <v>5</v>
      </c>
      <c r="E163" s="77">
        <v>20</v>
      </c>
      <c r="F163" s="77" t="s">
        <v>366</v>
      </c>
    </row>
    <row r="164" spans="1:6" ht="14.5" x14ac:dyDescent="0.35">
      <c r="A164" t="s">
        <v>387</v>
      </c>
      <c r="B164" s="77">
        <v>24</v>
      </c>
      <c r="C164" s="77">
        <v>20</v>
      </c>
      <c r="D164" s="77">
        <v>42</v>
      </c>
      <c r="E164" s="77">
        <v>22</v>
      </c>
      <c r="F164" s="77">
        <v>19</v>
      </c>
    </row>
    <row r="165" spans="1:6" ht="14.5" x14ac:dyDescent="0.35">
      <c r="A165" t="s">
        <v>195</v>
      </c>
      <c r="B165" s="77">
        <v>4664</v>
      </c>
      <c r="C165" s="77">
        <v>4415</v>
      </c>
      <c r="D165" s="77">
        <v>4111</v>
      </c>
      <c r="E165" s="77">
        <v>2589</v>
      </c>
      <c r="F165" s="77">
        <v>2604</v>
      </c>
    </row>
    <row r="166" spans="1:6" ht="14.5" x14ac:dyDescent="0.35">
      <c r="A166" t="s">
        <v>196</v>
      </c>
      <c r="B166" s="77">
        <v>10</v>
      </c>
      <c r="C166" s="77">
        <v>18</v>
      </c>
      <c r="D166" s="77">
        <v>8</v>
      </c>
      <c r="E166" s="77">
        <v>13</v>
      </c>
      <c r="F166" s="77">
        <v>13</v>
      </c>
    </row>
    <row r="167" spans="1:6" ht="14.5" x14ac:dyDescent="0.35">
      <c r="A167" t="s">
        <v>197</v>
      </c>
      <c r="B167" s="77">
        <v>1984</v>
      </c>
      <c r="C167" s="77">
        <v>1774</v>
      </c>
      <c r="D167" s="77">
        <v>1604</v>
      </c>
      <c r="E167" s="77">
        <v>1353</v>
      </c>
      <c r="F167" s="77">
        <v>1237</v>
      </c>
    </row>
    <row r="168" spans="1:6" ht="14.5" x14ac:dyDescent="0.35">
      <c r="A168" t="s">
        <v>198</v>
      </c>
      <c r="B168" s="77">
        <v>39</v>
      </c>
      <c r="C168" s="77">
        <v>32</v>
      </c>
      <c r="D168" s="77">
        <v>30</v>
      </c>
      <c r="E168" s="77">
        <v>18</v>
      </c>
      <c r="F168" s="77">
        <v>22</v>
      </c>
    </row>
    <row r="169" spans="1:6" ht="14.5" x14ac:dyDescent="0.35">
      <c r="A169" t="s">
        <v>39</v>
      </c>
      <c r="B169" s="77">
        <v>34</v>
      </c>
      <c r="C169" s="77">
        <v>46</v>
      </c>
      <c r="D169" s="77">
        <v>39</v>
      </c>
      <c r="E169" s="77">
        <v>22</v>
      </c>
      <c r="F169" s="77">
        <v>20</v>
      </c>
    </row>
    <row r="170" spans="1:6" ht="14.5" x14ac:dyDescent="0.35">
      <c r="A170" t="s">
        <v>199</v>
      </c>
      <c r="B170" s="77">
        <v>297</v>
      </c>
      <c r="C170" s="77">
        <v>274</v>
      </c>
      <c r="D170" s="77">
        <v>216</v>
      </c>
      <c r="E170" s="77">
        <v>188</v>
      </c>
      <c r="F170" s="77">
        <v>201</v>
      </c>
    </row>
    <row r="171" spans="1:6" ht="14.5" x14ac:dyDescent="0.35">
      <c r="A171" t="s">
        <v>200</v>
      </c>
      <c r="B171" s="77">
        <v>513</v>
      </c>
      <c r="C171" s="77">
        <v>722</v>
      </c>
      <c r="D171" s="77">
        <v>839</v>
      </c>
      <c r="E171" s="77">
        <v>565</v>
      </c>
      <c r="F171" s="77">
        <v>332</v>
      </c>
    </row>
    <row r="172" spans="1:6" ht="14.5" x14ac:dyDescent="0.35">
      <c r="A172" t="s">
        <v>19</v>
      </c>
      <c r="B172" s="77">
        <v>19</v>
      </c>
      <c r="C172" s="77">
        <v>23</v>
      </c>
      <c r="D172" s="77">
        <v>23</v>
      </c>
      <c r="E172" s="77">
        <v>26</v>
      </c>
      <c r="F172" s="77">
        <v>12</v>
      </c>
    </row>
    <row r="173" spans="1:6" ht="14.5" x14ac:dyDescent="0.35">
      <c r="A173" t="s">
        <v>201</v>
      </c>
      <c r="B173" s="77">
        <v>22</v>
      </c>
      <c r="C173" s="77">
        <v>16</v>
      </c>
      <c r="D173" s="77">
        <v>15</v>
      </c>
      <c r="E173" s="77">
        <v>10</v>
      </c>
      <c r="F173" s="77">
        <v>8</v>
      </c>
    </row>
    <row r="174" spans="1:6" ht="14.5" x14ac:dyDescent="0.35">
      <c r="A174" t="s">
        <v>202</v>
      </c>
      <c r="B174" s="77">
        <v>46</v>
      </c>
      <c r="C174" s="77">
        <v>42</v>
      </c>
      <c r="D174" s="77">
        <v>33</v>
      </c>
      <c r="E174" s="77">
        <v>19</v>
      </c>
      <c r="F174" s="77">
        <v>22</v>
      </c>
    </row>
    <row r="175" spans="1:6" ht="14.5" x14ac:dyDescent="0.35">
      <c r="A175" t="s">
        <v>203</v>
      </c>
      <c r="B175" s="77">
        <v>87</v>
      </c>
      <c r="C175" s="77">
        <v>89</v>
      </c>
      <c r="D175" s="77">
        <v>70</v>
      </c>
      <c r="E175" s="77">
        <v>73</v>
      </c>
      <c r="F175" s="77">
        <v>57</v>
      </c>
    </row>
    <row r="176" spans="1:6" ht="14.5" x14ac:dyDescent="0.35">
      <c r="A176" t="s">
        <v>204</v>
      </c>
      <c r="B176" s="76">
        <v>182</v>
      </c>
      <c r="C176" s="76">
        <v>132</v>
      </c>
      <c r="D176" s="76">
        <v>290</v>
      </c>
      <c r="E176" s="76">
        <v>137</v>
      </c>
      <c r="F176" s="76">
        <v>81</v>
      </c>
    </row>
    <row r="177" spans="1:6" x14ac:dyDescent="0.25">
      <c r="F177" s="73"/>
    </row>
    <row r="178" spans="1:6" x14ac:dyDescent="0.25">
      <c r="A178" s="16"/>
      <c r="B178" s="73"/>
      <c r="C178" s="73"/>
      <c r="D178" s="73"/>
      <c r="E178" s="73"/>
      <c r="F178" s="73"/>
    </row>
    <row r="179" spans="1:6" x14ac:dyDescent="0.25">
      <c r="A179" s="16" t="s">
        <v>207</v>
      </c>
      <c r="B179" s="73"/>
      <c r="C179" s="73"/>
      <c r="D179" s="73"/>
      <c r="E179" s="73"/>
      <c r="F179" s="4"/>
    </row>
    <row r="180" spans="1:6" ht="38.25" customHeight="1" x14ac:dyDescent="0.25">
      <c r="A180" s="16" t="s">
        <v>374</v>
      </c>
      <c r="B180" s="73"/>
      <c r="C180" s="73"/>
      <c r="D180" s="73"/>
      <c r="E180" s="73"/>
    </row>
    <row r="181" spans="1:6" ht="12.5" customHeight="1" x14ac:dyDescent="0.25">
      <c r="A181" s="78" t="s">
        <v>431</v>
      </c>
      <c r="B181" s="74"/>
      <c r="C181" s="74"/>
      <c r="D181" s="74"/>
      <c r="E181" s="74"/>
    </row>
    <row r="182" spans="1:6" ht="13" x14ac:dyDescent="0.3">
      <c r="A182" s="21" t="s">
        <v>432</v>
      </c>
    </row>
    <row r="183" spans="1:6" ht="13" x14ac:dyDescent="0.3">
      <c r="A183" s="21" t="s">
        <v>433</v>
      </c>
    </row>
    <row r="188" spans="1:6" ht="48.75" customHeight="1" x14ac:dyDescent="0.25"/>
  </sheetData>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86ACB-493C-439B-A295-354E9B34AAE3}">
  <dimension ref="A1:U275"/>
  <sheetViews>
    <sheetView zoomScaleNormal="100" workbookViewId="0">
      <selection activeCell="C18" sqref="C18"/>
    </sheetView>
  </sheetViews>
  <sheetFormatPr defaultRowHeight="14.5" x14ac:dyDescent="0.35"/>
  <cols>
    <col min="1" max="1" width="33.54296875" style="7" customWidth="1"/>
    <col min="2" max="2" width="15.54296875" style="6" customWidth="1"/>
    <col min="3" max="3" width="18.453125" style="6" customWidth="1"/>
    <col min="4" max="4" width="15.54296875" style="6" customWidth="1"/>
    <col min="5" max="5" width="18.453125" style="6" customWidth="1"/>
    <col min="6" max="6" width="15.54296875" style="6" customWidth="1"/>
    <col min="7" max="7" width="18.453125" style="6" customWidth="1"/>
    <col min="8" max="8" width="15.54296875" style="6" customWidth="1"/>
    <col min="9" max="9" width="18.453125" style="6" customWidth="1"/>
    <col min="10" max="10" width="15.54296875" style="6" customWidth="1"/>
    <col min="11" max="11" width="18.453125" style="6" customWidth="1"/>
    <col min="12" max="12" width="15.54296875" style="6" customWidth="1"/>
    <col min="13" max="13" width="18.453125" style="6" customWidth="1"/>
    <col min="14" max="14" width="15.54296875" style="6" customWidth="1"/>
    <col min="15" max="15" width="18.453125" style="6" customWidth="1"/>
    <col min="16" max="16" width="15.54296875" style="6" customWidth="1"/>
    <col min="17" max="17" width="18.453125" style="6" customWidth="1"/>
    <col min="18" max="18" width="15.54296875" style="6" customWidth="1"/>
    <col min="19" max="19" width="18.453125" style="6" customWidth="1"/>
    <col min="20" max="20" width="15.54296875" style="6" customWidth="1"/>
    <col min="21" max="21" width="18.453125" style="6" customWidth="1"/>
  </cols>
  <sheetData>
    <row r="1" spans="1:21" s="82" customFormat="1" ht="15.5" x14ac:dyDescent="0.35">
      <c r="A1" s="80" t="s">
        <v>220</v>
      </c>
      <c r="B1" s="81" t="s">
        <v>437</v>
      </c>
      <c r="C1" s="81" t="s">
        <v>438</v>
      </c>
      <c r="D1" s="81" t="s">
        <v>439</v>
      </c>
      <c r="E1" s="81" t="s">
        <v>440</v>
      </c>
      <c r="F1" s="81" t="s">
        <v>441</v>
      </c>
      <c r="G1" s="81" t="s">
        <v>442</v>
      </c>
      <c r="H1" s="81" t="s">
        <v>443</v>
      </c>
      <c r="I1" s="81" t="s">
        <v>444</v>
      </c>
      <c r="J1" s="81" t="s">
        <v>445</v>
      </c>
      <c r="K1" s="81" t="s">
        <v>446</v>
      </c>
      <c r="L1" s="81" t="s">
        <v>447</v>
      </c>
      <c r="M1" s="81" t="s">
        <v>448</v>
      </c>
      <c r="N1" s="81" t="s">
        <v>449</v>
      </c>
      <c r="O1" s="81" t="s">
        <v>450</v>
      </c>
      <c r="P1" s="81" t="s">
        <v>451</v>
      </c>
      <c r="Q1" s="81" t="s">
        <v>452</v>
      </c>
      <c r="R1" s="81" t="s">
        <v>453</v>
      </c>
      <c r="S1" s="81" t="s">
        <v>454</v>
      </c>
      <c r="T1" s="81" t="s">
        <v>455</v>
      </c>
      <c r="U1" s="81" t="s">
        <v>456</v>
      </c>
    </row>
    <row r="2" spans="1:21" x14ac:dyDescent="0.35">
      <c r="A2" s="4" t="s">
        <v>40</v>
      </c>
      <c r="B2" s="79">
        <v>14</v>
      </c>
      <c r="C2" s="79">
        <v>24</v>
      </c>
      <c r="D2" s="79">
        <v>21</v>
      </c>
      <c r="E2" s="79">
        <v>16</v>
      </c>
      <c r="F2" s="79">
        <v>12</v>
      </c>
      <c r="G2" s="79">
        <v>8</v>
      </c>
      <c r="H2" s="79">
        <v>11</v>
      </c>
      <c r="I2" s="79">
        <v>16</v>
      </c>
      <c r="J2" s="79">
        <v>11</v>
      </c>
      <c r="K2" s="79">
        <v>20</v>
      </c>
      <c r="L2" s="79">
        <v>6</v>
      </c>
      <c r="M2" s="79">
        <v>12</v>
      </c>
      <c r="N2" s="79">
        <v>5</v>
      </c>
      <c r="O2" s="79">
        <v>12</v>
      </c>
      <c r="P2" s="79">
        <v>9</v>
      </c>
      <c r="Q2" s="79">
        <v>8</v>
      </c>
      <c r="R2" s="79" t="s">
        <v>205</v>
      </c>
      <c r="S2" s="79" t="s">
        <v>205</v>
      </c>
      <c r="T2" s="79">
        <v>5</v>
      </c>
      <c r="U2" s="79">
        <v>5</v>
      </c>
    </row>
    <row r="3" spans="1:21" x14ac:dyDescent="0.35">
      <c r="A3" s="4" t="s">
        <v>41</v>
      </c>
      <c r="B3" s="79">
        <v>26</v>
      </c>
      <c r="C3" s="79">
        <v>183</v>
      </c>
      <c r="D3" s="79">
        <v>32</v>
      </c>
      <c r="E3" s="79">
        <v>204</v>
      </c>
      <c r="F3" s="79">
        <v>32</v>
      </c>
      <c r="G3" s="79">
        <v>220</v>
      </c>
      <c r="H3" s="79">
        <v>23</v>
      </c>
      <c r="I3" s="79">
        <v>223</v>
      </c>
      <c r="J3" s="79">
        <v>34</v>
      </c>
      <c r="K3" s="79">
        <v>297</v>
      </c>
      <c r="L3" s="79">
        <v>42</v>
      </c>
      <c r="M3" s="79">
        <v>254</v>
      </c>
      <c r="N3" s="79">
        <v>51</v>
      </c>
      <c r="O3" s="79">
        <v>187</v>
      </c>
      <c r="P3" s="79">
        <v>37</v>
      </c>
      <c r="Q3" s="79">
        <v>134</v>
      </c>
      <c r="R3" s="79">
        <v>37</v>
      </c>
      <c r="S3" s="79">
        <v>75</v>
      </c>
      <c r="T3" s="79">
        <v>30</v>
      </c>
      <c r="U3" s="79">
        <v>26</v>
      </c>
    </row>
    <row r="4" spans="1:21" x14ac:dyDescent="0.35">
      <c r="A4" s="4" t="s">
        <v>42</v>
      </c>
      <c r="B4" s="79">
        <v>12</v>
      </c>
      <c r="C4" s="79">
        <v>42</v>
      </c>
      <c r="D4" s="79">
        <v>9</v>
      </c>
      <c r="E4" s="79">
        <v>30</v>
      </c>
      <c r="F4" s="79">
        <v>18</v>
      </c>
      <c r="G4" s="79">
        <v>23</v>
      </c>
      <c r="H4" s="79">
        <v>6</v>
      </c>
      <c r="I4" s="79">
        <v>21</v>
      </c>
      <c r="J4" s="79">
        <v>4</v>
      </c>
      <c r="K4" s="79">
        <v>17</v>
      </c>
      <c r="L4" s="79">
        <v>3</v>
      </c>
      <c r="M4" s="79">
        <v>24</v>
      </c>
      <c r="N4" s="79" t="s">
        <v>205</v>
      </c>
      <c r="O4" s="79" t="s">
        <v>205</v>
      </c>
      <c r="P4" s="79">
        <v>4</v>
      </c>
      <c r="Q4" s="79">
        <v>9</v>
      </c>
      <c r="R4" s="79">
        <v>9</v>
      </c>
      <c r="S4" s="79">
        <v>10</v>
      </c>
      <c r="T4" s="79" t="s">
        <v>205</v>
      </c>
      <c r="U4" s="79" t="s">
        <v>205</v>
      </c>
    </row>
    <row r="5" spans="1:21" x14ac:dyDescent="0.35">
      <c r="A5" s="4" t="s">
        <v>43</v>
      </c>
      <c r="B5" s="79">
        <v>3</v>
      </c>
      <c r="C5" s="79">
        <v>10</v>
      </c>
      <c r="D5" s="79" t="s">
        <v>366</v>
      </c>
      <c r="E5" s="79">
        <v>13</v>
      </c>
      <c r="F5" s="79" t="s">
        <v>205</v>
      </c>
      <c r="G5" s="79" t="s">
        <v>205</v>
      </c>
      <c r="H5" s="79">
        <v>3</v>
      </c>
      <c r="I5" s="79">
        <v>14</v>
      </c>
      <c r="J5" s="79" t="s">
        <v>205</v>
      </c>
      <c r="K5" s="79" t="s">
        <v>205</v>
      </c>
      <c r="L5" s="79" t="s">
        <v>205</v>
      </c>
      <c r="M5" s="79" t="s">
        <v>205</v>
      </c>
      <c r="N5" s="79" t="s">
        <v>205</v>
      </c>
      <c r="O5" s="79" t="s">
        <v>205</v>
      </c>
      <c r="P5" s="79">
        <v>4</v>
      </c>
      <c r="Q5" s="79">
        <v>9</v>
      </c>
      <c r="R5" s="79" t="s">
        <v>205</v>
      </c>
      <c r="S5" s="79" t="s">
        <v>205</v>
      </c>
      <c r="T5" s="79" t="s">
        <v>205</v>
      </c>
      <c r="U5" s="79" t="s">
        <v>205</v>
      </c>
    </row>
    <row r="6" spans="1:21" x14ac:dyDescent="0.35">
      <c r="A6" t="s">
        <v>44</v>
      </c>
      <c r="B6" s="79">
        <v>25</v>
      </c>
      <c r="C6" s="79">
        <v>11</v>
      </c>
      <c r="D6" s="79">
        <v>26</v>
      </c>
      <c r="E6" s="79">
        <v>8</v>
      </c>
      <c r="F6" s="79">
        <v>33</v>
      </c>
      <c r="G6" s="79">
        <v>7</v>
      </c>
      <c r="H6" s="79">
        <v>37</v>
      </c>
      <c r="I6" s="79">
        <v>8</v>
      </c>
      <c r="J6" s="79">
        <v>23</v>
      </c>
      <c r="K6" s="79">
        <v>5</v>
      </c>
      <c r="L6" s="79">
        <v>28</v>
      </c>
      <c r="M6" s="79">
        <v>15</v>
      </c>
      <c r="N6" s="79">
        <v>18</v>
      </c>
      <c r="O6" s="79">
        <v>6</v>
      </c>
      <c r="P6" s="79">
        <v>12</v>
      </c>
      <c r="Q6" s="79">
        <v>7</v>
      </c>
      <c r="R6" s="79">
        <v>24</v>
      </c>
      <c r="S6" s="79">
        <v>15</v>
      </c>
      <c r="T6" s="79">
        <v>16</v>
      </c>
      <c r="U6" s="79">
        <v>5</v>
      </c>
    </row>
    <row r="7" spans="1:21" x14ac:dyDescent="0.35">
      <c r="A7" s="4" t="s">
        <v>45</v>
      </c>
      <c r="B7" s="79">
        <v>71</v>
      </c>
      <c r="C7" s="79">
        <v>577</v>
      </c>
      <c r="D7" s="79">
        <v>95</v>
      </c>
      <c r="E7" s="79">
        <v>479</v>
      </c>
      <c r="F7" s="79">
        <v>88</v>
      </c>
      <c r="G7" s="79">
        <v>369</v>
      </c>
      <c r="H7" s="79">
        <v>76</v>
      </c>
      <c r="I7" s="79">
        <v>319</v>
      </c>
      <c r="J7" s="79">
        <v>84</v>
      </c>
      <c r="K7" s="79">
        <v>306</v>
      </c>
      <c r="L7" s="79">
        <v>106</v>
      </c>
      <c r="M7" s="79">
        <v>342</v>
      </c>
      <c r="N7" s="79">
        <v>121</v>
      </c>
      <c r="O7" s="79">
        <v>230</v>
      </c>
      <c r="P7" s="79">
        <v>114</v>
      </c>
      <c r="Q7" s="79">
        <v>172</v>
      </c>
      <c r="R7" s="79">
        <v>110</v>
      </c>
      <c r="S7" s="79">
        <v>107</v>
      </c>
      <c r="T7" s="79">
        <v>83</v>
      </c>
      <c r="U7" s="79">
        <v>63</v>
      </c>
    </row>
    <row r="8" spans="1:21" x14ac:dyDescent="0.35">
      <c r="A8" s="4" t="s">
        <v>46</v>
      </c>
      <c r="B8" s="79">
        <v>38</v>
      </c>
      <c r="C8" s="79">
        <v>106</v>
      </c>
      <c r="D8" s="79">
        <v>32</v>
      </c>
      <c r="E8" s="79">
        <v>88</v>
      </c>
      <c r="F8" s="79">
        <v>27</v>
      </c>
      <c r="G8" s="79">
        <v>70</v>
      </c>
      <c r="H8" s="79">
        <v>34</v>
      </c>
      <c r="I8" s="79">
        <v>40</v>
      </c>
      <c r="J8" s="79">
        <v>43</v>
      </c>
      <c r="K8" s="79">
        <v>43</v>
      </c>
      <c r="L8" s="79">
        <v>29</v>
      </c>
      <c r="M8" s="79">
        <v>66</v>
      </c>
      <c r="N8" s="79">
        <v>31</v>
      </c>
      <c r="O8" s="79">
        <v>52</v>
      </c>
      <c r="P8" s="79">
        <v>31</v>
      </c>
      <c r="Q8" s="79">
        <v>27</v>
      </c>
      <c r="R8" s="79">
        <v>37</v>
      </c>
      <c r="S8" s="79">
        <v>19</v>
      </c>
      <c r="T8" s="79">
        <v>27</v>
      </c>
      <c r="U8" s="79">
        <v>3</v>
      </c>
    </row>
    <row r="9" spans="1:21" x14ac:dyDescent="0.35">
      <c r="A9" s="4" t="s">
        <v>47</v>
      </c>
      <c r="B9" s="79">
        <v>12</v>
      </c>
      <c r="C9" s="79">
        <v>50</v>
      </c>
      <c r="D9" s="79">
        <v>11</v>
      </c>
      <c r="E9" s="79">
        <v>28</v>
      </c>
      <c r="F9" s="79">
        <v>20</v>
      </c>
      <c r="G9" s="79">
        <v>34</v>
      </c>
      <c r="H9" s="79">
        <v>21</v>
      </c>
      <c r="I9" s="79">
        <v>31</v>
      </c>
      <c r="J9" s="79">
        <v>14</v>
      </c>
      <c r="K9" s="79">
        <v>33</v>
      </c>
      <c r="L9" s="79">
        <v>19</v>
      </c>
      <c r="M9" s="79">
        <v>64</v>
      </c>
      <c r="N9" s="79">
        <v>30</v>
      </c>
      <c r="O9" s="79">
        <v>39</v>
      </c>
      <c r="P9" s="79">
        <v>21</v>
      </c>
      <c r="Q9" s="79">
        <v>31</v>
      </c>
      <c r="R9" s="79">
        <v>14</v>
      </c>
      <c r="S9" s="79">
        <v>23</v>
      </c>
      <c r="T9" s="79">
        <v>24</v>
      </c>
      <c r="U9" s="79">
        <v>22</v>
      </c>
    </row>
    <row r="10" spans="1:21" x14ac:dyDescent="0.35">
      <c r="A10" s="4" t="s">
        <v>48</v>
      </c>
      <c r="B10" s="79">
        <v>8</v>
      </c>
      <c r="C10" s="79">
        <v>8</v>
      </c>
      <c r="D10" s="79" t="s">
        <v>205</v>
      </c>
      <c r="E10" s="79" t="s">
        <v>205</v>
      </c>
      <c r="F10" s="79" t="s">
        <v>205</v>
      </c>
      <c r="G10" s="79" t="s">
        <v>205</v>
      </c>
      <c r="H10" s="79">
        <v>8</v>
      </c>
      <c r="I10" s="79">
        <v>5</v>
      </c>
      <c r="J10" s="79">
        <v>3</v>
      </c>
      <c r="K10" s="79">
        <v>15</v>
      </c>
      <c r="L10" s="79" t="s">
        <v>205</v>
      </c>
      <c r="M10" s="79" t="s">
        <v>205</v>
      </c>
      <c r="N10" s="79">
        <v>7</v>
      </c>
      <c r="O10" s="79">
        <v>12</v>
      </c>
      <c r="P10" s="79">
        <v>5</v>
      </c>
      <c r="Q10" s="79">
        <v>20</v>
      </c>
      <c r="R10" s="79">
        <v>4</v>
      </c>
      <c r="S10" s="79">
        <v>4</v>
      </c>
      <c r="T10" s="79">
        <v>5</v>
      </c>
      <c r="U10" s="79">
        <v>9</v>
      </c>
    </row>
    <row r="11" spans="1:21" x14ac:dyDescent="0.35">
      <c r="A11" s="4" t="s">
        <v>49</v>
      </c>
      <c r="B11" s="79" t="s">
        <v>205</v>
      </c>
      <c r="C11" s="79" t="s">
        <v>205</v>
      </c>
      <c r="D11" s="79" t="s">
        <v>205</v>
      </c>
      <c r="E11" s="79" t="s">
        <v>205</v>
      </c>
      <c r="F11" s="79" t="s">
        <v>205</v>
      </c>
      <c r="G11" s="79" t="s">
        <v>205</v>
      </c>
      <c r="H11" s="79" t="s">
        <v>205</v>
      </c>
      <c r="I11" s="79" t="s">
        <v>205</v>
      </c>
      <c r="J11" s="79" t="s">
        <v>205</v>
      </c>
      <c r="K11" s="79" t="s">
        <v>205</v>
      </c>
      <c r="L11" s="79" t="s">
        <v>205</v>
      </c>
      <c r="M11" s="79" t="s">
        <v>205</v>
      </c>
      <c r="N11" s="79" t="s">
        <v>205</v>
      </c>
      <c r="O11" s="79" t="s">
        <v>205</v>
      </c>
      <c r="P11" s="79" t="s">
        <v>205</v>
      </c>
      <c r="Q11" s="79" t="s">
        <v>205</v>
      </c>
      <c r="R11" s="79" t="s">
        <v>366</v>
      </c>
      <c r="S11" s="79">
        <v>7</v>
      </c>
      <c r="T11" s="79" t="s">
        <v>205</v>
      </c>
      <c r="U11" s="79" t="s">
        <v>205</v>
      </c>
    </row>
    <row r="12" spans="1:21" x14ac:dyDescent="0.35">
      <c r="A12" s="4" t="s">
        <v>50</v>
      </c>
      <c r="B12" s="79">
        <v>95</v>
      </c>
      <c r="C12" s="79">
        <v>37</v>
      </c>
      <c r="D12" s="79">
        <v>120</v>
      </c>
      <c r="E12" s="79">
        <v>33</v>
      </c>
      <c r="F12" s="79">
        <v>68</v>
      </c>
      <c r="G12" s="79">
        <v>23</v>
      </c>
      <c r="H12" s="79">
        <v>72</v>
      </c>
      <c r="I12" s="79">
        <v>25</v>
      </c>
      <c r="J12" s="79">
        <v>82</v>
      </c>
      <c r="K12" s="79">
        <v>23</v>
      </c>
      <c r="L12" s="79">
        <v>99</v>
      </c>
      <c r="M12" s="79">
        <v>44</v>
      </c>
      <c r="N12" s="79">
        <v>89</v>
      </c>
      <c r="O12" s="79">
        <v>17</v>
      </c>
      <c r="P12" s="79">
        <v>110</v>
      </c>
      <c r="Q12" s="79">
        <v>24</v>
      </c>
      <c r="R12" s="79">
        <v>90</v>
      </c>
      <c r="S12" s="79">
        <v>18</v>
      </c>
      <c r="T12" s="79">
        <v>79</v>
      </c>
      <c r="U12" s="79">
        <v>17</v>
      </c>
    </row>
    <row r="13" spans="1:21" x14ac:dyDescent="0.35">
      <c r="A13" s="4" t="s">
        <v>52</v>
      </c>
      <c r="B13" s="79">
        <v>21</v>
      </c>
      <c r="C13" s="79">
        <v>110</v>
      </c>
      <c r="D13" s="79">
        <v>21</v>
      </c>
      <c r="E13" s="79">
        <v>124</v>
      </c>
      <c r="F13" s="79">
        <v>22</v>
      </c>
      <c r="G13" s="79">
        <v>129</v>
      </c>
      <c r="H13" s="79">
        <v>25</v>
      </c>
      <c r="I13" s="79">
        <v>113</v>
      </c>
      <c r="J13" s="79">
        <v>17</v>
      </c>
      <c r="K13" s="79">
        <v>98</v>
      </c>
      <c r="L13" s="79">
        <v>17</v>
      </c>
      <c r="M13" s="79">
        <v>87</v>
      </c>
      <c r="N13" s="79">
        <v>24</v>
      </c>
      <c r="O13" s="79">
        <v>72</v>
      </c>
      <c r="P13" s="79">
        <v>28</v>
      </c>
      <c r="Q13" s="79">
        <v>60</v>
      </c>
      <c r="R13" s="79">
        <v>20</v>
      </c>
      <c r="S13" s="79">
        <v>53</v>
      </c>
      <c r="T13" s="79">
        <v>11</v>
      </c>
      <c r="U13" s="79">
        <v>41</v>
      </c>
    </row>
    <row r="14" spans="1:21" x14ac:dyDescent="0.35">
      <c r="A14" s="4" t="s">
        <v>53</v>
      </c>
      <c r="B14" s="79">
        <v>68</v>
      </c>
      <c r="C14" s="79">
        <v>7</v>
      </c>
      <c r="D14" s="79">
        <v>55</v>
      </c>
      <c r="E14" s="79">
        <v>10</v>
      </c>
      <c r="F14" s="79">
        <v>41</v>
      </c>
      <c r="G14" s="79">
        <v>5</v>
      </c>
      <c r="H14" s="79">
        <v>33</v>
      </c>
      <c r="I14" s="79">
        <v>7</v>
      </c>
      <c r="J14" s="79">
        <v>39</v>
      </c>
      <c r="K14" s="79">
        <v>5</v>
      </c>
      <c r="L14" s="79">
        <v>36</v>
      </c>
      <c r="M14" s="79">
        <v>12</v>
      </c>
      <c r="N14" s="79">
        <v>34</v>
      </c>
      <c r="O14" s="79">
        <v>10</v>
      </c>
      <c r="P14" s="79">
        <v>32</v>
      </c>
      <c r="Q14" s="79">
        <v>9</v>
      </c>
      <c r="R14" s="79">
        <v>42</v>
      </c>
      <c r="S14" s="79">
        <v>8</v>
      </c>
      <c r="T14" s="79">
        <v>23</v>
      </c>
      <c r="U14" s="79">
        <v>3</v>
      </c>
    </row>
    <row r="15" spans="1:21" x14ac:dyDescent="0.35">
      <c r="A15" s="4" t="s">
        <v>54</v>
      </c>
      <c r="B15" s="79">
        <v>11</v>
      </c>
      <c r="C15" s="79">
        <v>9</v>
      </c>
      <c r="D15" s="79">
        <v>6</v>
      </c>
      <c r="E15" s="79">
        <v>19</v>
      </c>
      <c r="F15" s="79">
        <v>7</v>
      </c>
      <c r="G15" s="79">
        <v>17</v>
      </c>
      <c r="H15" s="79">
        <v>4</v>
      </c>
      <c r="I15" s="79">
        <v>17</v>
      </c>
      <c r="J15" s="79">
        <v>9</v>
      </c>
      <c r="K15" s="79">
        <v>16</v>
      </c>
      <c r="L15" s="79">
        <v>11</v>
      </c>
      <c r="M15" s="79">
        <v>25</v>
      </c>
      <c r="N15" s="79">
        <v>10</v>
      </c>
      <c r="O15" s="79">
        <v>16</v>
      </c>
      <c r="P15" s="79">
        <v>11</v>
      </c>
      <c r="Q15" s="79">
        <v>11</v>
      </c>
      <c r="R15" s="79">
        <v>12</v>
      </c>
      <c r="S15" s="79">
        <v>17</v>
      </c>
      <c r="T15" s="79">
        <v>10</v>
      </c>
      <c r="U15" s="79">
        <v>3</v>
      </c>
    </row>
    <row r="16" spans="1:21" x14ac:dyDescent="0.35">
      <c r="A16" s="4" t="s">
        <v>55</v>
      </c>
      <c r="B16" s="79">
        <v>10</v>
      </c>
      <c r="C16" s="79">
        <v>28</v>
      </c>
      <c r="D16" s="79">
        <v>7</v>
      </c>
      <c r="E16" s="79">
        <v>12</v>
      </c>
      <c r="F16" s="79">
        <v>4</v>
      </c>
      <c r="G16" s="79">
        <v>10</v>
      </c>
      <c r="H16" s="79">
        <v>4</v>
      </c>
      <c r="I16" s="79">
        <v>13</v>
      </c>
      <c r="J16" s="79" t="s">
        <v>205</v>
      </c>
      <c r="K16" s="79" t="s">
        <v>205</v>
      </c>
      <c r="L16" s="79">
        <v>3</v>
      </c>
      <c r="M16" s="79">
        <v>24</v>
      </c>
      <c r="N16" s="79">
        <v>7</v>
      </c>
      <c r="O16" s="79">
        <v>24</v>
      </c>
      <c r="P16" s="79">
        <v>7</v>
      </c>
      <c r="Q16" s="79">
        <v>10</v>
      </c>
      <c r="R16" s="79">
        <v>9</v>
      </c>
      <c r="S16" s="79">
        <v>6</v>
      </c>
      <c r="T16" s="79">
        <v>6</v>
      </c>
      <c r="U16" s="79">
        <v>7</v>
      </c>
    </row>
    <row r="17" spans="1:21" x14ac:dyDescent="0.35">
      <c r="A17" s="4" t="s">
        <v>56</v>
      </c>
      <c r="B17" s="79">
        <v>119</v>
      </c>
      <c r="C17" s="79">
        <v>83</v>
      </c>
      <c r="D17" s="79">
        <v>118</v>
      </c>
      <c r="E17" s="79">
        <v>101</v>
      </c>
      <c r="F17" s="79">
        <v>112</v>
      </c>
      <c r="G17" s="79">
        <v>99</v>
      </c>
      <c r="H17" s="79">
        <v>116</v>
      </c>
      <c r="I17" s="79">
        <v>117</v>
      </c>
      <c r="J17" s="79">
        <v>109</v>
      </c>
      <c r="K17" s="79">
        <v>104</v>
      </c>
      <c r="L17" s="79">
        <v>126</v>
      </c>
      <c r="M17" s="79">
        <v>116</v>
      </c>
      <c r="N17" s="79">
        <v>157</v>
      </c>
      <c r="O17" s="79">
        <v>96</v>
      </c>
      <c r="P17" s="79">
        <v>155</v>
      </c>
      <c r="Q17" s="79">
        <v>60</v>
      </c>
      <c r="R17" s="79">
        <v>148</v>
      </c>
      <c r="S17" s="79">
        <v>61</v>
      </c>
      <c r="T17" s="79">
        <v>118</v>
      </c>
      <c r="U17" s="79">
        <v>59</v>
      </c>
    </row>
    <row r="18" spans="1:21" x14ac:dyDescent="0.35">
      <c r="A18" s="4" t="s">
        <v>57</v>
      </c>
      <c r="B18" s="79" t="s">
        <v>366</v>
      </c>
      <c r="C18" s="79" t="s">
        <v>462</v>
      </c>
      <c r="D18" s="79" t="s">
        <v>205</v>
      </c>
      <c r="E18" s="79" t="s">
        <v>205</v>
      </c>
      <c r="F18" s="79">
        <v>4</v>
      </c>
      <c r="G18" s="79">
        <v>7</v>
      </c>
      <c r="H18" s="79">
        <v>3</v>
      </c>
      <c r="I18" s="79">
        <v>4</v>
      </c>
      <c r="J18" s="79">
        <v>3</v>
      </c>
      <c r="K18" s="79">
        <v>11</v>
      </c>
      <c r="L18" s="79">
        <v>4</v>
      </c>
      <c r="M18" s="79">
        <v>5</v>
      </c>
      <c r="N18" s="79">
        <v>4</v>
      </c>
      <c r="O18" s="79">
        <v>4</v>
      </c>
      <c r="P18" s="79" t="s">
        <v>205</v>
      </c>
      <c r="Q18" s="79" t="s">
        <v>205</v>
      </c>
      <c r="R18" s="79">
        <v>4</v>
      </c>
      <c r="S18" s="79">
        <v>4</v>
      </c>
      <c r="T18" s="79" t="s">
        <v>205</v>
      </c>
      <c r="U18" s="79" t="s">
        <v>205</v>
      </c>
    </row>
    <row r="19" spans="1:21" x14ac:dyDescent="0.35">
      <c r="A19" s="4" t="s">
        <v>363</v>
      </c>
      <c r="B19" s="79" t="s">
        <v>366</v>
      </c>
      <c r="C19" s="79">
        <v>3</v>
      </c>
      <c r="D19" s="79" t="s">
        <v>366</v>
      </c>
      <c r="E19" s="79" t="s">
        <v>366</v>
      </c>
      <c r="F19" s="79" t="s">
        <v>366</v>
      </c>
      <c r="G19" s="79" t="s">
        <v>205</v>
      </c>
      <c r="H19" s="79" t="s">
        <v>366</v>
      </c>
      <c r="I19" s="79" t="s">
        <v>205</v>
      </c>
      <c r="J19" s="79">
        <v>3</v>
      </c>
      <c r="K19" s="79">
        <v>6</v>
      </c>
      <c r="L19" s="79">
        <v>9</v>
      </c>
      <c r="M19" s="79">
        <v>6</v>
      </c>
      <c r="N19" s="79">
        <v>8</v>
      </c>
      <c r="O19" s="79">
        <v>5</v>
      </c>
      <c r="P19" s="79">
        <v>12</v>
      </c>
      <c r="Q19" s="79">
        <v>3</v>
      </c>
      <c r="R19" s="79">
        <v>4</v>
      </c>
      <c r="S19" s="79">
        <v>4</v>
      </c>
      <c r="T19" s="79">
        <v>10</v>
      </c>
      <c r="U19" s="79" t="s">
        <v>366</v>
      </c>
    </row>
    <row r="20" spans="1:21" x14ac:dyDescent="0.35">
      <c r="A20" s="4" t="s">
        <v>59</v>
      </c>
      <c r="B20" s="79">
        <v>51</v>
      </c>
      <c r="C20" s="79">
        <v>285</v>
      </c>
      <c r="D20" s="79">
        <v>62</v>
      </c>
      <c r="E20" s="79">
        <v>241</v>
      </c>
      <c r="F20" s="79">
        <v>61</v>
      </c>
      <c r="G20" s="79">
        <v>291</v>
      </c>
      <c r="H20" s="79">
        <v>37</v>
      </c>
      <c r="I20" s="79">
        <v>345</v>
      </c>
      <c r="J20" s="79">
        <v>54</v>
      </c>
      <c r="K20" s="79">
        <v>222</v>
      </c>
      <c r="L20" s="79">
        <v>54</v>
      </c>
      <c r="M20" s="79">
        <v>224</v>
      </c>
      <c r="N20" s="79">
        <v>67</v>
      </c>
      <c r="O20" s="79">
        <v>148</v>
      </c>
      <c r="P20" s="79">
        <v>93</v>
      </c>
      <c r="Q20" s="79">
        <v>102</v>
      </c>
      <c r="R20" s="79">
        <v>94</v>
      </c>
      <c r="S20" s="79">
        <v>57</v>
      </c>
      <c r="T20" s="79">
        <v>64</v>
      </c>
      <c r="U20" s="79">
        <v>53</v>
      </c>
    </row>
    <row r="21" spans="1:21" x14ac:dyDescent="0.35">
      <c r="A21" t="s">
        <v>60</v>
      </c>
      <c r="B21" s="79">
        <v>21</v>
      </c>
      <c r="C21" s="79">
        <v>5</v>
      </c>
      <c r="D21" s="79">
        <v>14</v>
      </c>
      <c r="E21" s="79">
        <v>9</v>
      </c>
      <c r="F21" s="79">
        <v>28</v>
      </c>
      <c r="G21" s="79">
        <v>14</v>
      </c>
      <c r="H21" s="79">
        <v>29</v>
      </c>
      <c r="I21" s="79">
        <v>13</v>
      </c>
      <c r="J21" s="79">
        <v>31</v>
      </c>
      <c r="K21" s="79">
        <v>14</v>
      </c>
      <c r="L21" s="79">
        <v>49</v>
      </c>
      <c r="M21" s="79">
        <v>8</v>
      </c>
      <c r="N21" s="79">
        <v>50</v>
      </c>
      <c r="O21" s="79">
        <v>11</v>
      </c>
      <c r="P21" s="79">
        <v>53</v>
      </c>
      <c r="Q21" s="79">
        <v>10</v>
      </c>
      <c r="R21" s="79">
        <v>49</v>
      </c>
      <c r="S21" s="79">
        <v>4</v>
      </c>
      <c r="T21" s="79">
        <v>67</v>
      </c>
      <c r="U21" s="79">
        <v>6</v>
      </c>
    </row>
    <row r="22" spans="1:21" x14ac:dyDescent="0.35">
      <c r="A22" s="4" t="s">
        <v>21</v>
      </c>
      <c r="B22" s="79">
        <v>761</v>
      </c>
      <c r="C22" s="79">
        <v>5629</v>
      </c>
      <c r="D22" s="79">
        <v>1431</v>
      </c>
      <c r="E22" s="79">
        <v>5666</v>
      </c>
      <c r="F22" s="79">
        <v>563</v>
      </c>
      <c r="G22" s="79">
        <v>3654</v>
      </c>
      <c r="H22" s="79">
        <v>352</v>
      </c>
      <c r="I22" s="79">
        <v>3858</v>
      </c>
      <c r="J22" s="79">
        <v>368</v>
      </c>
      <c r="K22" s="79">
        <v>3468</v>
      </c>
      <c r="L22" s="79">
        <v>388</v>
      </c>
      <c r="M22" s="79">
        <v>3336</v>
      </c>
      <c r="N22" s="79">
        <v>487</v>
      </c>
      <c r="O22" s="79">
        <v>3046</v>
      </c>
      <c r="P22" s="79">
        <v>550</v>
      </c>
      <c r="Q22" s="79">
        <v>2800</v>
      </c>
      <c r="R22" s="79">
        <v>424</v>
      </c>
      <c r="S22" s="79">
        <v>1973</v>
      </c>
      <c r="T22" s="79">
        <v>366</v>
      </c>
      <c r="U22" s="79">
        <v>1045</v>
      </c>
    </row>
    <row r="23" spans="1:21" x14ac:dyDescent="0.35">
      <c r="A23" s="4" t="s">
        <v>62</v>
      </c>
      <c r="B23" s="79">
        <v>12</v>
      </c>
      <c r="C23" s="79">
        <v>72</v>
      </c>
      <c r="D23" s="79">
        <v>15</v>
      </c>
      <c r="E23" s="79">
        <v>67</v>
      </c>
      <c r="F23" s="79">
        <v>10</v>
      </c>
      <c r="G23" s="79">
        <v>54</v>
      </c>
      <c r="H23" s="79">
        <v>23</v>
      </c>
      <c r="I23" s="79">
        <v>57</v>
      </c>
      <c r="J23" s="79">
        <v>11</v>
      </c>
      <c r="K23" s="79">
        <v>66</v>
      </c>
      <c r="L23" s="79">
        <v>14</v>
      </c>
      <c r="M23" s="79">
        <v>68</v>
      </c>
      <c r="N23" s="79">
        <v>17</v>
      </c>
      <c r="O23" s="79">
        <v>56</v>
      </c>
      <c r="P23" s="79">
        <v>17</v>
      </c>
      <c r="Q23" s="79">
        <v>51</v>
      </c>
      <c r="R23" s="79">
        <v>23</v>
      </c>
      <c r="S23" s="79">
        <v>29</v>
      </c>
      <c r="T23" s="79">
        <v>24</v>
      </c>
      <c r="U23" s="79">
        <v>12</v>
      </c>
    </row>
    <row r="24" spans="1:21" x14ac:dyDescent="0.35">
      <c r="A24" s="4" t="s">
        <v>63</v>
      </c>
      <c r="B24" s="79" t="s">
        <v>205</v>
      </c>
      <c r="C24" s="79" t="s">
        <v>205</v>
      </c>
      <c r="D24" s="79">
        <v>3</v>
      </c>
      <c r="E24" s="79">
        <v>8</v>
      </c>
      <c r="F24" s="79">
        <v>3</v>
      </c>
      <c r="G24" s="79">
        <v>14</v>
      </c>
      <c r="H24" s="79">
        <v>4</v>
      </c>
      <c r="I24" s="79">
        <v>9</v>
      </c>
      <c r="J24" s="79">
        <v>6</v>
      </c>
      <c r="K24" s="79">
        <v>12</v>
      </c>
      <c r="L24" s="79">
        <v>5</v>
      </c>
      <c r="M24" s="79">
        <v>6</v>
      </c>
      <c r="N24" s="79">
        <v>3</v>
      </c>
      <c r="O24" s="79">
        <v>5</v>
      </c>
      <c r="P24" s="79" t="s">
        <v>366</v>
      </c>
      <c r="Q24" s="79">
        <v>4</v>
      </c>
      <c r="R24" s="79">
        <v>3</v>
      </c>
      <c r="S24" s="79">
        <v>6</v>
      </c>
      <c r="T24" s="79" t="s">
        <v>205</v>
      </c>
      <c r="U24" s="79" t="s">
        <v>205</v>
      </c>
    </row>
    <row r="25" spans="1:21" x14ac:dyDescent="0.35">
      <c r="A25" s="4" t="s">
        <v>64</v>
      </c>
      <c r="B25" s="79">
        <v>3</v>
      </c>
      <c r="C25" s="79">
        <v>12</v>
      </c>
      <c r="D25" s="79">
        <v>5</v>
      </c>
      <c r="E25" s="79">
        <v>7</v>
      </c>
      <c r="F25" s="79" t="s">
        <v>366</v>
      </c>
      <c r="G25" s="79">
        <v>14</v>
      </c>
      <c r="H25" s="79" t="s">
        <v>205</v>
      </c>
      <c r="I25" s="79" t="s">
        <v>205</v>
      </c>
      <c r="J25" s="79" t="s">
        <v>205</v>
      </c>
      <c r="K25" s="79" t="s">
        <v>205</v>
      </c>
      <c r="L25" s="79" t="s">
        <v>205</v>
      </c>
      <c r="M25" s="79" t="s">
        <v>205</v>
      </c>
      <c r="N25" s="79" t="s">
        <v>205</v>
      </c>
      <c r="O25" s="79" t="s">
        <v>205</v>
      </c>
      <c r="P25" s="79" t="s">
        <v>205</v>
      </c>
      <c r="Q25" s="79" t="s">
        <v>205</v>
      </c>
      <c r="R25" s="79" t="s">
        <v>205</v>
      </c>
      <c r="S25" s="79" t="s">
        <v>205</v>
      </c>
      <c r="T25" s="79" t="s">
        <v>205</v>
      </c>
      <c r="U25" s="79" t="s">
        <v>205</v>
      </c>
    </row>
    <row r="26" spans="1:21" x14ac:dyDescent="0.35">
      <c r="A26" s="4" t="s">
        <v>67</v>
      </c>
      <c r="B26" s="79">
        <v>42</v>
      </c>
      <c r="C26" s="79">
        <v>28</v>
      </c>
      <c r="D26" s="79">
        <v>28</v>
      </c>
      <c r="E26" s="79">
        <v>23</v>
      </c>
      <c r="F26" s="79">
        <v>11</v>
      </c>
      <c r="G26" s="79">
        <v>16</v>
      </c>
      <c r="H26" s="79">
        <v>17</v>
      </c>
      <c r="I26" s="79">
        <v>12</v>
      </c>
      <c r="J26" s="79">
        <v>22</v>
      </c>
      <c r="K26" s="79">
        <v>18</v>
      </c>
      <c r="L26" s="79">
        <v>28</v>
      </c>
      <c r="M26" s="79">
        <v>18</v>
      </c>
      <c r="N26" s="79">
        <v>25</v>
      </c>
      <c r="O26" s="79">
        <v>18</v>
      </c>
      <c r="P26" s="79">
        <v>74</v>
      </c>
      <c r="Q26" s="79">
        <v>15</v>
      </c>
      <c r="R26" s="79">
        <v>81</v>
      </c>
      <c r="S26" s="79">
        <v>8</v>
      </c>
      <c r="T26" s="79">
        <v>10</v>
      </c>
      <c r="U26" s="79">
        <v>6</v>
      </c>
    </row>
    <row r="27" spans="1:21" x14ac:dyDescent="0.35">
      <c r="A27" s="4" t="s">
        <v>68</v>
      </c>
      <c r="B27" s="79">
        <v>17</v>
      </c>
      <c r="C27" s="79">
        <v>63</v>
      </c>
      <c r="D27" s="79">
        <v>8</v>
      </c>
      <c r="E27" s="79">
        <v>53</v>
      </c>
      <c r="F27" s="79">
        <v>11</v>
      </c>
      <c r="G27" s="79">
        <v>49</v>
      </c>
      <c r="H27" s="79">
        <v>10</v>
      </c>
      <c r="I27" s="79">
        <v>53</v>
      </c>
      <c r="J27" s="79">
        <v>12</v>
      </c>
      <c r="K27" s="79">
        <v>54</v>
      </c>
      <c r="L27" s="79">
        <v>10</v>
      </c>
      <c r="M27" s="79">
        <v>45</v>
      </c>
      <c r="N27" s="79">
        <v>19</v>
      </c>
      <c r="O27" s="79">
        <v>52</v>
      </c>
      <c r="P27" s="79">
        <v>15</v>
      </c>
      <c r="Q27" s="79">
        <v>60</v>
      </c>
      <c r="R27" s="79">
        <v>25</v>
      </c>
      <c r="S27" s="79">
        <v>22</v>
      </c>
      <c r="T27" s="79">
        <v>17</v>
      </c>
      <c r="U27" s="79">
        <v>12</v>
      </c>
    </row>
    <row r="28" spans="1:21" x14ac:dyDescent="0.35">
      <c r="A28" s="4" t="s">
        <v>69</v>
      </c>
      <c r="B28" s="79">
        <v>520</v>
      </c>
      <c r="C28" s="79">
        <v>977</v>
      </c>
      <c r="D28" s="79">
        <v>462</v>
      </c>
      <c r="E28" s="79">
        <v>1099</v>
      </c>
      <c r="F28" s="79">
        <v>423</v>
      </c>
      <c r="G28" s="79">
        <v>990</v>
      </c>
      <c r="H28" s="79">
        <v>411</v>
      </c>
      <c r="I28" s="79">
        <v>852</v>
      </c>
      <c r="J28" s="79">
        <v>347</v>
      </c>
      <c r="K28" s="79">
        <v>955</v>
      </c>
      <c r="L28" s="79">
        <v>418</v>
      </c>
      <c r="M28" s="79">
        <v>908</v>
      </c>
      <c r="N28" s="79">
        <v>457</v>
      </c>
      <c r="O28" s="79">
        <v>884</v>
      </c>
      <c r="P28" s="79">
        <v>417</v>
      </c>
      <c r="Q28" s="79">
        <v>874</v>
      </c>
      <c r="R28" s="79">
        <v>383</v>
      </c>
      <c r="S28" s="79">
        <v>582</v>
      </c>
      <c r="T28" s="79">
        <v>376</v>
      </c>
      <c r="U28" s="79">
        <v>417</v>
      </c>
    </row>
    <row r="29" spans="1:21" x14ac:dyDescent="0.35">
      <c r="A29" t="s">
        <v>66</v>
      </c>
      <c r="B29" s="79">
        <v>31</v>
      </c>
      <c r="C29" s="79">
        <v>11</v>
      </c>
      <c r="D29" s="79">
        <v>38</v>
      </c>
      <c r="E29" s="79">
        <v>9</v>
      </c>
      <c r="F29" s="79">
        <v>30</v>
      </c>
      <c r="G29" s="79">
        <v>7</v>
      </c>
      <c r="H29" s="79">
        <v>50</v>
      </c>
      <c r="I29" s="79">
        <v>11</v>
      </c>
      <c r="J29" s="79">
        <v>26</v>
      </c>
      <c r="K29" s="79">
        <v>9</v>
      </c>
      <c r="L29" s="79">
        <v>42</v>
      </c>
      <c r="M29" s="79">
        <v>7</v>
      </c>
      <c r="N29" s="79">
        <v>36</v>
      </c>
      <c r="O29" s="79">
        <v>11</v>
      </c>
      <c r="P29" s="79">
        <v>10</v>
      </c>
      <c r="Q29" s="79">
        <v>17</v>
      </c>
      <c r="R29" s="79">
        <v>4</v>
      </c>
      <c r="S29" s="79">
        <v>6</v>
      </c>
      <c r="T29" s="79" t="s">
        <v>205</v>
      </c>
      <c r="U29" s="79" t="s">
        <v>205</v>
      </c>
    </row>
    <row r="30" spans="1:21" x14ac:dyDescent="0.35">
      <c r="A30" s="4" t="s">
        <v>71</v>
      </c>
      <c r="B30" s="79" t="s">
        <v>366</v>
      </c>
      <c r="C30" s="79">
        <v>7</v>
      </c>
      <c r="D30" s="79" t="s">
        <v>205</v>
      </c>
      <c r="E30" s="79" t="s">
        <v>205</v>
      </c>
      <c r="F30" s="79" t="s">
        <v>205</v>
      </c>
      <c r="G30" s="79" t="s">
        <v>366</v>
      </c>
      <c r="H30" s="79" t="s">
        <v>205</v>
      </c>
      <c r="I30" s="79" t="s">
        <v>205</v>
      </c>
      <c r="J30" s="79" t="s">
        <v>366</v>
      </c>
      <c r="K30" s="79">
        <v>7</v>
      </c>
      <c r="L30" s="79" t="s">
        <v>366</v>
      </c>
      <c r="M30" s="79">
        <v>6</v>
      </c>
      <c r="N30" s="79" t="s">
        <v>205</v>
      </c>
      <c r="O30" s="79" t="s">
        <v>205</v>
      </c>
      <c r="P30" s="79" t="s">
        <v>205</v>
      </c>
      <c r="Q30" s="79" t="s">
        <v>205</v>
      </c>
      <c r="R30" s="79" t="s">
        <v>205</v>
      </c>
      <c r="S30" s="79" t="s">
        <v>205</v>
      </c>
      <c r="T30" s="79" t="s">
        <v>366</v>
      </c>
      <c r="U30" s="79" t="s">
        <v>205</v>
      </c>
    </row>
    <row r="31" spans="1:21" x14ac:dyDescent="0.35">
      <c r="A31" s="4" t="s">
        <v>72</v>
      </c>
      <c r="B31" s="79">
        <v>73</v>
      </c>
      <c r="C31" s="79">
        <v>154</v>
      </c>
      <c r="D31" s="79">
        <v>61</v>
      </c>
      <c r="E31" s="79">
        <v>164</v>
      </c>
      <c r="F31" s="79">
        <v>60</v>
      </c>
      <c r="G31" s="79">
        <v>185</v>
      </c>
      <c r="H31" s="79">
        <v>73</v>
      </c>
      <c r="I31" s="79">
        <v>164</v>
      </c>
      <c r="J31" s="79">
        <v>68</v>
      </c>
      <c r="K31" s="79">
        <v>143</v>
      </c>
      <c r="L31" s="79">
        <v>70</v>
      </c>
      <c r="M31" s="79">
        <v>135</v>
      </c>
      <c r="N31" s="79">
        <v>95</v>
      </c>
      <c r="O31" s="79">
        <v>90</v>
      </c>
      <c r="P31" s="79">
        <v>87</v>
      </c>
      <c r="Q31" s="79">
        <v>68</v>
      </c>
      <c r="R31" s="79">
        <v>62</v>
      </c>
      <c r="S31" s="79">
        <v>43</v>
      </c>
      <c r="T31" s="79">
        <v>57</v>
      </c>
      <c r="U31" s="79">
        <v>39</v>
      </c>
    </row>
    <row r="32" spans="1:21" x14ac:dyDescent="0.35">
      <c r="A32" s="4" t="s">
        <v>73</v>
      </c>
      <c r="B32" s="79">
        <v>144</v>
      </c>
      <c r="C32" s="79">
        <v>1081</v>
      </c>
      <c r="D32" s="79">
        <v>147</v>
      </c>
      <c r="E32" s="79">
        <v>1105</v>
      </c>
      <c r="F32" s="79">
        <v>132</v>
      </c>
      <c r="G32" s="79">
        <v>1230</v>
      </c>
      <c r="H32" s="79">
        <v>97</v>
      </c>
      <c r="I32" s="79">
        <v>767</v>
      </c>
      <c r="J32" s="79">
        <v>188</v>
      </c>
      <c r="K32" s="79">
        <v>689</v>
      </c>
      <c r="L32" s="79">
        <v>135</v>
      </c>
      <c r="M32" s="79">
        <v>831</v>
      </c>
      <c r="N32" s="79">
        <v>166</v>
      </c>
      <c r="O32" s="79">
        <v>894</v>
      </c>
      <c r="P32" s="79">
        <v>217</v>
      </c>
      <c r="Q32" s="79">
        <v>808</v>
      </c>
      <c r="R32" s="79">
        <v>208</v>
      </c>
      <c r="S32" s="79">
        <v>831</v>
      </c>
      <c r="T32" s="79">
        <v>167</v>
      </c>
      <c r="U32" s="79">
        <v>524</v>
      </c>
    </row>
    <row r="33" spans="1:21" x14ac:dyDescent="0.35">
      <c r="A33" s="4" t="s">
        <v>20</v>
      </c>
      <c r="B33" s="79">
        <v>1456</v>
      </c>
      <c r="C33" s="79">
        <v>1269</v>
      </c>
      <c r="D33" s="79">
        <v>1367</v>
      </c>
      <c r="E33" s="79">
        <v>1227</v>
      </c>
      <c r="F33" s="79">
        <v>1307</v>
      </c>
      <c r="G33" s="79">
        <v>1481</v>
      </c>
      <c r="H33" s="79">
        <v>1191</v>
      </c>
      <c r="I33" s="79">
        <v>1802</v>
      </c>
      <c r="J33" s="79">
        <v>1081</v>
      </c>
      <c r="K33" s="79">
        <v>1509</v>
      </c>
      <c r="L33" s="79">
        <v>1124</v>
      </c>
      <c r="M33" s="79">
        <v>1590</v>
      </c>
      <c r="N33" s="79">
        <v>1241</v>
      </c>
      <c r="O33" s="79">
        <v>1162</v>
      </c>
      <c r="P33" s="79">
        <v>1048</v>
      </c>
      <c r="Q33" s="79">
        <v>851</v>
      </c>
      <c r="R33" s="79">
        <v>1055</v>
      </c>
      <c r="S33" s="79">
        <v>536</v>
      </c>
      <c r="T33" s="79">
        <v>956</v>
      </c>
      <c r="U33" s="79">
        <v>465</v>
      </c>
    </row>
    <row r="34" spans="1:21" x14ac:dyDescent="0.35">
      <c r="A34" s="4" t="s">
        <v>74</v>
      </c>
      <c r="B34" s="79" t="s">
        <v>205</v>
      </c>
      <c r="C34" s="79" t="s">
        <v>205</v>
      </c>
      <c r="D34" s="79" t="s">
        <v>205</v>
      </c>
      <c r="E34" s="79" t="s">
        <v>205</v>
      </c>
      <c r="F34" s="79">
        <v>7</v>
      </c>
      <c r="G34" s="79">
        <v>16</v>
      </c>
      <c r="H34" s="79">
        <v>4</v>
      </c>
      <c r="I34" s="79">
        <v>13</v>
      </c>
      <c r="J34" s="79">
        <v>5</v>
      </c>
      <c r="K34" s="79">
        <v>27</v>
      </c>
      <c r="L34" s="79">
        <v>6</v>
      </c>
      <c r="M34" s="79">
        <v>11</v>
      </c>
      <c r="N34" s="79">
        <v>4</v>
      </c>
      <c r="O34" s="79">
        <v>7</v>
      </c>
      <c r="P34" s="79" t="s">
        <v>205</v>
      </c>
      <c r="Q34" s="79" t="s">
        <v>205</v>
      </c>
      <c r="R34" s="79">
        <v>4</v>
      </c>
      <c r="S34" s="79">
        <v>9</v>
      </c>
      <c r="T34" s="79" t="s">
        <v>366</v>
      </c>
      <c r="U34" s="79" t="s">
        <v>205</v>
      </c>
    </row>
    <row r="35" spans="1:21" x14ac:dyDescent="0.35">
      <c r="A35" s="4" t="s">
        <v>75</v>
      </c>
      <c r="B35" s="79">
        <v>7</v>
      </c>
      <c r="C35" s="79">
        <v>17</v>
      </c>
      <c r="D35" s="79">
        <v>3</v>
      </c>
      <c r="E35" s="79">
        <v>27</v>
      </c>
      <c r="F35" s="79">
        <v>3</v>
      </c>
      <c r="G35" s="79">
        <v>23</v>
      </c>
      <c r="H35" s="79">
        <v>5</v>
      </c>
      <c r="I35" s="79">
        <v>12</v>
      </c>
      <c r="J35" s="79">
        <v>5</v>
      </c>
      <c r="K35" s="79">
        <v>17</v>
      </c>
      <c r="L35" s="79">
        <v>4</v>
      </c>
      <c r="M35" s="79">
        <v>17</v>
      </c>
      <c r="N35" s="79" t="s">
        <v>205</v>
      </c>
      <c r="O35" s="79" t="s">
        <v>205</v>
      </c>
      <c r="P35" s="79">
        <v>6</v>
      </c>
      <c r="Q35" s="79">
        <v>15</v>
      </c>
      <c r="R35" s="79">
        <v>4</v>
      </c>
      <c r="S35" s="79">
        <v>6</v>
      </c>
      <c r="T35" s="79" t="s">
        <v>205</v>
      </c>
      <c r="U35" s="79" t="s">
        <v>205</v>
      </c>
    </row>
    <row r="36" spans="1:21" x14ac:dyDescent="0.35">
      <c r="A36" s="4" t="s">
        <v>76</v>
      </c>
      <c r="B36" s="79">
        <v>74</v>
      </c>
      <c r="C36" s="79">
        <v>525</v>
      </c>
      <c r="D36" s="79">
        <v>82</v>
      </c>
      <c r="E36" s="79">
        <v>594</v>
      </c>
      <c r="F36" s="79">
        <v>100</v>
      </c>
      <c r="G36" s="79">
        <v>695</v>
      </c>
      <c r="H36" s="79">
        <v>88</v>
      </c>
      <c r="I36" s="79">
        <v>567</v>
      </c>
      <c r="J36" s="79">
        <v>132</v>
      </c>
      <c r="K36" s="79">
        <v>560</v>
      </c>
      <c r="L36" s="79">
        <v>123</v>
      </c>
      <c r="M36" s="79">
        <v>572</v>
      </c>
      <c r="N36" s="79">
        <v>157</v>
      </c>
      <c r="O36" s="79">
        <v>396</v>
      </c>
      <c r="P36" s="79">
        <v>157</v>
      </c>
      <c r="Q36" s="79">
        <v>221</v>
      </c>
      <c r="R36" s="79">
        <v>132</v>
      </c>
      <c r="S36" s="79">
        <v>268</v>
      </c>
      <c r="T36" s="79">
        <v>125</v>
      </c>
      <c r="U36" s="79">
        <v>194</v>
      </c>
    </row>
    <row r="37" spans="1:21" x14ac:dyDescent="0.35">
      <c r="A37" s="4" t="s">
        <v>77</v>
      </c>
      <c r="B37" s="79">
        <v>8</v>
      </c>
      <c r="C37" s="79">
        <v>27</v>
      </c>
      <c r="D37" s="79">
        <v>6</v>
      </c>
      <c r="E37" s="79">
        <v>28</v>
      </c>
      <c r="F37" s="79">
        <v>8</v>
      </c>
      <c r="G37" s="79">
        <v>33</v>
      </c>
      <c r="H37" s="79">
        <v>4</v>
      </c>
      <c r="I37" s="79">
        <v>26</v>
      </c>
      <c r="J37" s="79">
        <v>10</v>
      </c>
      <c r="K37" s="79">
        <v>33</v>
      </c>
      <c r="L37" s="79">
        <v>4</v>
      </c>
      <c r="M37" s="79">
        <v>20</v>
      </c>
      <c r="N37" s="79">
        <v>4</v>
      </c>
      <c r="O37" s="79">
        <v>26</v>
      </c>
      <c r="P37" s="79">
        <v>11</v>
      </c>
      <c r="Q37" s="79">
        <v>15</v>
      </c>
      <c r="R37" s="79">
        <v>8</v>
      </c>
      <c r="S37" s="79">
        <v>18</v>
      </c>
      <c r="T37" s="79">
        <v>9</v>
      </c>
      <c r="U37" s="79">
        <v>8</v>
      </c>
    </row>
    <row r="38" spans="1:21" x14ac:dyDescent="0.35">
      <c r="A38" s="4" t="s">
        <v>78</v>
      </c>
      <c r="B38" s="79">
        <v>7</v>
      </c>
      <c r="C38" s="79">
        <v>12</v>
      </c>
      <c r="D38" s="79">
        <v>4</v>
      </c>
      <c r="E38" s="79">
        <v>7</v>
      </c>
      <c r="F38" s="79">
        <v>5</v>
      </c>
      <c r="G38" s="79">
        <v>10</v>
      </c>
      <c r="H38" s="79">
        <v>6</v>
      </c>
      <c r="I38" s="79">
        <v>7</v>
      </c>
      <c r="J38" s="79">
        <v>9</v>
      </c>
      <c r="K38" s="79">
        <v>15</v>
      </c>
      <c r="L38" s="79">
        <v>7</v>
      </c>
      <c r="M38" s="79">
        <v>16</v>
      </c>
      <c r="N38" s="79">
        <v>7</v>
      </c>
      <c r="O38" s="79">
        <v>16</v>
      </c>
      <c r="P38" s="79">
        <v>8</v>
      </c>
      <c r="Q38" s="79">
        <v>10</v>
      </c>
      <c r="R38" s="79">
        <v>11</v>
      </c>
      <c r="S38" s="79">
        <v>7</v>
      </c>
      <c r="T38" s="79">
        <v>6</v>
      </c>
      <c r="U38" s="79">
        <v>3</v>
      </c>
    </row>
    <row r="39" spans="1:21" x14ac:dyDescent="0.35">
      <c r="A39" s="4" t="s">
        <v>79</v>
      </c>
      <c r="B39" s="79">
        <v>67</v>
      </c>
      <c r="C39" s="79">
        <v>398</v>
      </c>
      <c r="D39" s="79">
        <v>44</v>
      </c>
      <c r="E39" s="79">
        <v>686</v>
      </c>
      <c r="F39" s="79">
        <v>39</v>
      </c>
      <c r="G39" s="79">
        <v>85</v>
      </c>
      <c r="H39" s="79">
        <v>26</v>
      </c>
      <c r="I39" s="79">
        <v>50</v>
      </c>
      <c r="J39" s="79">
        <v>32</v>
      </c>
      <c r="K39" s="79">
        <v>33</v>
      </c>
      <c r="L39" s="79">
        <v>86</v>
      </c>
      <c r="M39" s="79">
        <v>44</v>
      </c>
      <c r="N39" s="79">
        <v>73</v>
      </c>
      <c r="O39" s="79">
        <v>33</v>
      </c>
      <c r="P39" s="79">
        <v>56</v>
      </c>
      <c r="Q39" s="79">
        <v>23</v>
      </c>
      <c r="R39" s="79">
        <v>54</v>
      </c>
      <c r="S39" s="79">
        <v>8</v>
      </c>
      <c r="T39" s="79">
        <v>26</v>
      </c>
      <c r="U39" s="79">
        <v>11</v>
      </c>
    </row>
    <row r="40" spans="1:21" x14ac:dyDescent="0.35">
      <c r="A40" t="s">
        <v>81</v>
      </c>
      <c r="B40" s="79">
        <v>5</v>
      </c>
      <c r="C40" s="79">
        <v>29</v>
      </c>
      <c r="D40" s="79" t="s">
        <v>205</v>
      </c>
      <c r="E40" s="79" t="s">
        <v>205</v>
      </c>
      <c r="F40" s="79" t="s">
        <v>205</v>
      </c>
      <c r="G40" s="79" t="s">
        <v>205</v>
      </c>
      <c r="H40" s="79">
        <v>8</v>
      </c>
      <c r="I40" s="79">
        <v>33</v>
      </c>
      <c r="J40" s="79">
        <v>13</v>
      </c>
      <c r="K40" s="79">
        <v>39</v>
      </c>
      <c r="L40" s="79">
        <v>17</v>
      </c>
      <c r="M40" s="79">
        <v>49</v>
      </c>
      <c r="N40" s="79">
        <v>19</v>
      </c>
      <c r="O40" s="79">
        <v>59</v>
      </c>
      <c r="P40" s="79">
        <v>18</v>
      </c>
      <c r="Q40" s="79">
        <v>28</v>
      </c>
      <c r="R40" s="79">
        <v>20</v>
      </c>
      <c r="S40" s="79">
        <v>28</v>
      </c>
      <c r="T40" s="79" t="s">
        <v>366</v>
      </c>
      <c r="U40" s="79">
        <v>6</v>
      </c>
    </row>
    <row r="41" spans="1:21" x14ac:dyDescent="0.35">
      <c r="A41" t="s">
        <v>214</v>
      </c>
      <c r="B41" s="79">
        <v>19</v>
      </c>
      <c r="C41" s="79">
        <v>166</v>
      </c>
      <c r="D41" s="79">
        <v>10</v>
      </c>
      <c r="E41" s="79">
        <v>97</v>
      </c>
      <c r="F41" s="79">
        <v>16</v>
      </c>
      <c r="G41" s="79">
        <v>52</v>
      </c>
      <c r="H41" s="79">
        <v>12</v>
      </c>
      <c r="I41" s="79">
        <v>40</v>
      </c>
      <c r="J41" s="79">
        <v>12</v>
      </c>
      <c r="K41" s="79">
        <v>43</v>
      </c>
      <c r="L41" s="79">
        <v>5</v>
      </c>
      <c r="M41" s="79">
        <v>43</v>
      </c>
      <c r="N41" s="79">
        <v>6</v>
      </c>
      <c r="O41" s="79">
        <v>23</v>
      </c>
      <c r="P41" s="79" t="s">
        <v>205</v>
      </c>
      <c r="Q41" s="79" t="s">
        <v>205</v>
      </c>
      <c r="R41" s="79">
        <v>6</v>
      </c>
      <c r="S41" s="79">
        <v>13</v>
      </c>
      <c r="T41" s="79">
        <v>18</v>
      </c>
      <c r="U41" s="79">
        <v>19</v>
      </c>
    </row>
    <row r="42" spans="1:21" x14ac:dyDescent="0.35">
      <c r="A42" s="4" t="s">
        <v>82</v>
      </c>
      <c r="B42" s="79">
        <v>3</v>
      </c>
      <c r="C42" s="79">
        <v>11</v>
      </c>
      <c r="D42" s="79">
        <v>6</v>
      </c>
      <c r="E42" s="79">
        <v>8</v>
      </c>
      <c r="F42" s="79" t="s">
        <v>205</v>
      </c>
      <c r="G42" s="79" t="s">
        <v>205</v>
      </c>
      <c r="H42" s="79">
        <v>3</v>
      </c>
      <c r="I42" s="79">
        <v>11</v>
      </c>
      <c r="J42" s="79" t="s">
        <v>205</v>
      </c>
      <c r="K42" s="79" t="s">
        <v>205</v>
      </c>
      <c r="L42" s="79">
        <v>5</v>
      </c>
      <c r="M42" s="79">
        <v>26</v>
      </c>
      <c r="N42" s="79">
        <v>4</v>
      </c>
      <c r="O42" s="79">
        <v>23</v>
      </c>
      <c r="P42" s="79">
        <v>5</v>
      </c>
      <c r="Q42" s="79">
        <v>4</v>
      </c>
      <c r="R42" s="79">
        <v>3</v>
      </c>
      <c r="S42" s="79">
        <v>12</v>
      </c>
      <c r="T42" s="79" t="s">
        <v>205</v>
      </c>
      <c r="U42" s="79" t="s">
        <v>366</v>
      </c>
    </row>
    <row r="43" spans="1:21" x14ac:dyDescent="0.35">
      <c r="A43" s="4" t="s">
        <v>84</v>
      </c>
      <c r="B43" s="79">
        <v>16</v>
      </c>
      <c r="C43" s="79">
        <v>31</v>
      </c>
      <c r="D43" s="79">
        <v>17</v>
      </c>
      <c r="E43" s="79">
        <v>11</v>
      </c>
      <c r="F43" s="79">
        <v>14</v>
      </c>
      <c r="G43" s="79">
        <v>14</v>
      </c>
      <c r="H43" s="79">
        <v>29</v>
      </c>
      <c r="I43" s="79">
        <v>20</v>
      </c>
      <c r="J43" s="79">
        <v>22</v>
      </c>
      <c r="K43" s="79">
        <v>13</v>
      </c>
      <c r="L43" s="79">
        <v>18</v>
      </c>
      <c r="M43" s="79">
        <v>17</v>
      </c>
      <c r="N43" s="79">
        <v>23</v>
      </c>
      <c r="O43" s="79">
        <v>15</v>
      </c>
      <c r="P43" s="79">
        <v>21</v>
      </c>
      <c r="Q43" s="79">
        <v>13</v>
      </c>
      <c r="R43" s="79">
        <v>17</v>
      </c>
      <c r="S43" s="79">
        <v>5</v>
      </c>
      <c r="T43" s="79">
        <v>9</v>
      </c>
      <c r="U43" s="79">
        <v>8</v>
      </c>
    </row>
    <row r="44" spans="1:21" x14ac:dyDescent="0.35">
      <c r="A44" s="4" t="s">
        <v>85</v>
      </c>
      <c r="B44" s="79">
        <v>2479</v>
      </c>
      <c r="C44" s="79">
        <v>1281</v>
      </c>
      <c r="D44" s="79">
        <v>2308</v>
      </c>
      <c r="E44" s="79">
        <v>902</v>
      </c>
      <c r="F44" s="79">
        <v>2206</v>
      </c>
      <c r="G44" s="79">
        <v>901</v>
      </c>
      <c r="H44" s="79">
        <v>2044</v>
      </c>
      <c r="I44" s="79">
        <v>946</v>
      </c>
      <c r="J44" s="79">
        <v>2046</v>
      </c>
      <c r="K44" s="79">
        <v>1186</v>
      </c>
      <c r="L44" s="79">
        <v>2207</v>
      </c>
      <c r="M44" s="79">
        <v>1369</v>
      </c>
      <c r="N44" s="79">
        <v>2241</v>
      </c>
      <c r="O44" s="79">
        <v>1130</v>
      </c>
      <c r="P44" s="79">
        <v>2142</v>
      </c>
      <c r="Q44" s="79">
        <v>751</v>
      </c>
      <c r="R44" s="79">
        <v>2182</v>
      </c>
      <c r="S44" s="79">
        <v>686</v>
      </c>
      <c r="T44" s="79">
        <v>1805</v>
      </c>
      <c r="U44" s="79">
        <v>473</v>
      </c>
    </row>
    <row r="45" spans="1:21" x14ac:dyDescent="0.35">
      <c r="A45" s="4" t="s">
        <v>86</v>
      </c>
      <c r="B45" s="79">
        <v>307</v>
      </c>
      <c r="C45" s="79">
        <v>809</v>
      </c>
      <c r="D45" s="79">
        <v>393</v>
      </c>
      <c r="E45" s="79">
        <v>1097</v>
      </c>
      <c r="F45" s="79">
        <v>470</v>
      </c>
      <c r="G45" s="79">
        <v>1280</v>
      </c>
      <c r="H45" s="79">
        <v>392</v>
      </c>
      <c r="I45" s="79">
        <v>1172</v>
      </c>
      <c r="J45" s="79">
        <v>532</v>
      </c>
      <c r="K45" s="79">
        <v>1798</v>
      </c>
      <c r="L45" s="79">
        <v>602</v>
      </c>
      <c r="M45" s="79">
        <v>1781</v>
      </c>
      <c r="N45" s="79">
        <v>692</v>
      </c>
      <c r="O45" s="79">
        <v>1693</v>
      </c>
      <c r="P45" s="79">
        <v>704</v>
      </c>
      <c r="Q45" s="79">
        <v>1012</v>
      </c>
      <c r="R45" s="79">
        <v>706</v>
      </c>
      <c r="S45" s="79">
        <v>1057</v>
      </c>
      <c r="T45" s="79">
        <v>580</v>
      </c>
      <c r="U45" s="79">
        <v>911</v>
      </c>
    </row>
    <row r="46" spans="1:21" x14ac:dyDescent="0.35">
      <c r="A46" s="4" t="s">
        <v>87</v>
      </c>
      <c r="B46" s="79">
        <v>59</v>
      </c>
      <c r="C46" s="79">
        <v>197</v>
      </c>
      <c r="D46" s="79">
        <v>47</v>
      </c>
      <c r="E46" s="79">
        <v>186</v>
      </c>
      <c r="F46" s="79">
        <v>30</v>
      </c>
      <c r="G46" s="79">
        <v>142</v>
      </c>
      <c r="H46" s="79">
        <v>29</v>
      </c>
      <c r="I46" s="79">
        <v>116</v>
      </c>
      <c r="J46" s="79">
        <v>37</v>
      </c>
      <c r="K46" s="79">
        <v>129</v>
      </c>
      <c r="L46" s="79">
        <v>36</v>
      </c>
      <c r="M46" s="79">
        <v>121</v>
      </c>
      <c r="N46" s="79">
        <v>40</v>
      </c>
      <c r="O46" s="79">
        <v>83</v>
      </c>
      <c r="P46" s="79">
        <v>29</v>
      </c>
      <c r="Q46" s="79">
        <v>80</v>
      </c>
      <c r="R46" s="79">
        <v>28</v>
      </c>
      <c r="S46" s="79">
        <v>72</v>
      </c>
      <c r="T46" s="79">
        <v>23</v>
      </c>
      <c r="U46" s="79">
        <v>40</v>
      </c>
    </row>
    <row r="47" spans="1:21" x14ac:dyDescent="0.35">
      <c r="A47" s="4" t="s">
        <v>16</v>
      </c>
      <c r="B47" s="79">
        <v>2805</v>
      </c>
      <c r="C47" s="79">
        <v>4464</v>
      </c>
      <c r="D47" s="79">
        <v>2827</v>
      </c>
      <c r="E47" s="79">
        <v>5478</v>
      </c>
      <c r="F47" s="79">
        <v>3850</v>
      </c>
      <c r="G47" s="79">
        <v>7200</v>
      </c>
      <c r="H47" s="79">
        <v>4949</v>
      </c>
      <c r="I47" s="79">
        <v>15096</v>
      </c>
      <c r="J47" s="79">
        <v>5558</v>
      </c>
      <c r="K47" s="79">
        <v>14492</v>
      </c>
      <c r="L47" s="79">
        <v>6344</v>
      </c>
      <c r="M47" s="79">
        <v>14500</v>
      </c>
      <c r="N47" s="79">
        <v>8368</v>
      </c>
      <c r="O47" s="79">
        <v>11979</v>
      </c>
      <c r="P47" s="79">
        <v>8507</v>
      </c>
      <c r="Q47" s="79">
        <v>8874</v>
      </c>
      <c r="R47" s="79">
        <v>8674</v>
      </c>
      <c r="S47" s="79">
        <v>10319</v>
      </c>
      <c r="T47" s="79">
        <v>9440</v>
      </c>
      <c r="U47" s="79">
        <v>11422</v>
      </c>
    </row>
    <row r="48" spans="1:21" x14ac:dyDescent="0.35">
      <c r="A48" s="4" t="s">
        <v>89</v>
      </c>
      <c r="B48" s="79" t="s">
        <v>205</v>
      </c>
      <c r="C48" s="79" t="s">
        <v>205</v>
      </c>
      <c r="D48" s="79" t="s">
        <v>205</v>
      </c>
      <c r="E48" s="79" t="s">
        <v>205</v>
      </c>
      <c r="F48" s="79">
        <v>3</v>
      </c>
      <c r="G48" s="79">
        <v>7</v>
      </c>
      <c r="H48" s="79">
        <v>6</v>
      </c>
      <c r="I48" s="79">
        <v>5</v>
      </c>
      <c r="J48" s="79">
        <v>4</v>
      </c>
      <c r="K48" s="79">
        <v>6</v>
      </c>
      <c r="L48" s="79" t="s">
        <v>205</v>
      </c>
      <c r="M48" s="79" t="s">
        <v>205</v>
      </c>
      <c r="N48" s="79" t="s">
        <v>366</v>
      </c>
      <c r="O48" s="79">
        <v>7</v>
      </c>
      <c r="P48" s="79">
        <v>3</v>
      </c>
      <c r="Q48" s="79">
        <v>6</v>
      </c>
      <c r="R48" s="79" t="s">
        <v>366</v>
      </c>
      <c r="S48" s="79">
        <v>10</v>
      </c>
      <c r="T48" s="79" t="s">
        <v>366</v>
      </c>
      <c r="U48" s="79" t="s">
        <v>205</v>
      </c>
    </row>
    <row r="49" spans="1:21" x14ac:dyDescent="0.35">
      <c r="A49" s="4" t="s">
        <v>90</v>
      </c>
      <c r="B49" s="79">
        <v>4</v>
      </c>
      <c r="C49" s="79">
        <v>10</v>
      </c>
      <c r="D49" s="79">
        <v>4</v>
      </c>
      <c r="E49" s="79">
        <v>18</v>
      </c>
      <c r="F49" s="79">
        <v>4</v>
      </c>
      <c r="G49" s="79">
        <v>19</v>
      </c>
      <c r="H49" s="79">
        <v>8</v>
      </c>
      <c r="I49" s="79">
        <v>13</v>
      </c>
      <c r="J49" s="79">
        <v>5</v>
      </c>
      <c r="K49" s="79">
        <v>20</v>
      </c>
      <c r="L49" s="79">
        <v>8</v>
      </c>
      <c r="M49" s="79">
        <v>18</v>
      </c>
      <c r="N49" s="79">
        <v>3</v>
      </c>
      <c r="O49" s="79">
        <v>21</v>
      </c>
      <c r="P49" s="79">
        <v>12</v>
      </c>
      <c r="Q49" s="79">
        <v>16</v>
      </c>
      <c r="R49" s="79">
        <v>8</v>
      </c>
      <c r="S49" s="79">
        <v>8</v>
      </c>
      <c r="T49" s="79">
        <v>9</v>
      </c>
      <c r="U49" s="79">
        <v>7</v>
      </c>
    </row>
    <row r="50" spans="1:21" x14ac:dyDescent="0.35">
      <c r="A50" s="4" t="s">
        <v>91</v>
      </c>
      <c r="B50" s="79">
        <v>15</v>
      </c>
      <c r="C50" s="79">
        <v>63</v>
      </c>
      <c r="D50" s="79">
        <v>19</v>
      </c>
      <c r="E50" s="79">
        <v>75</v>
      </c>
      <c r="F50" s="79">
        <v>48</v>
      </c>
      <c r="G50" s="79">
        <v>57</v>
      </c>
      <c r="H50" s="79">
        <v>78</v>
      </c>
      <c r="I50" s="79">
        <v>72</v>
      </c>
      <c r="J50" s="79">
        <v>32</v>
      </c>
      <c r="K50" s="79">
        <v>55</v>
      </c>
      <c r="L50" s="79">
        <v>18</v>
      </c>
      <c r="M50" s="79">
        <v>58</v>
      </c>
      <c r="N50" s="79">
        <v>30</v>
      </c>
      <c r="O50" s="79">
        <v>49</v>
      </c>
      <c r="P50" s="79">
        <v>28</v>
      </c>
      <c r="Q50" s="79">
        <v>25</v>
      </c>
      <c r="R50" s="79">
        <v>30</v>
      </c>
      <c r="S50" s="79">
        <v>28</v>
      </c>
      <c r="T50" s="79">
        <v>23</v>
      </c>
      <c r="U50" s="79">
        <v>16</v>
      </c>
    </row>
    <row r="51" spans="1:21" x14ac:dyDescent="0.35">
      <c r="A51" s="4" t="s">
        <v>92</v>
      </c>
      <c r="B51" s="79">
        <v>27</v>
      </c>
      <c r="C51" s="79">
        <v>38</v>
      </c>
      <c r="D51" s="79">
        <v>18</v>
      </c>
      <c r="E51" s="79">
        <v>56</v>
      </c>
      <c r="F51" s="79">
        <v>19</v>
      </c>
      <c r="G51" s="79">
        <v>28</v>
      </c>
      <c r="H51" s="79">
        <v>21</v>
      </c>
      <c r="I51" s="79">
        <v>24</v>
      </c>
      <c r="J51" s="79">
        <v>26</v>
      </c>
      <c r="K51" s="79">
        <v>45</v>
      </c>
      <c r="L51" s="79">
        <v>24</v>
      </c>
      <c r="M51" s="79">
        <v>30</v>
      </c>
      <c r="N51" s="79">
        <v>29</v>
      </c>
      <c r="O51" s="79">
        <v>34</v>
      </c>
      <c r="P51" s="79">
        <v>34</v>
      </c>
      <c r="Q51" s="79">
        <v>27</v>
      </c>
      <c r="R51" s="79">
        <v>15</v>
      </c>
      <c r="S51" s="79">
        <v>15</v>
      </c>
      <c r="T51" s="79">
        <v>16</v>
      </c>
      <c r="U51" s="79">
        <v>6</v>
      </c>
    </row>
    <row r="52" spans="1:21" x14ac:dyDescent="0.35">
      <c r="A52" s="4" t="s">
        <v>93</v>
      </c>
      <c r="B52" s="79" t="s">
        <v>205</v>
      </c>
      <c r="C52" s="79" t="s">
        <v>205</v>
      </c>
      <c r="D52" s="79" t="s">
        <v>366</v>
      </c>
      <c r="E52" s="79">
        <v>8</v>
      </c>
      <c r="F52" s="79" t="s">
        <v>205</v>
      </c>
      <c r="G52" s="79" t="s">
        <v>205</v>
      </c>
      <c r="H52" s="79" t="s">
        <v>366</v>
      </c>
      <c r="I52" s="79" t="s">
        <v>205</v>
      </c>
      <c r="J52" s="79">
        <v>4</v>
      </c>
      <c r="K52" s="79">
        <v>7</v>
      </c>
      <c r="L52" s="79" t="s">
        <v>366</v>
      </c>
      <c r="M52" s="79">
        <v>10</v>
      </c>
      <c r="N52" s="79" t="s">
        <v>205</v>
      </c>
      <c r="O52" s="79" t="s">
        <v>205</v>
      </c>
      <c r="P52" s="79">
        <v>3</v>
      </c>
      <c r="Q52" s="79">
        <v>4</v>
      </c>
      <c r="R52" s="79" t="s">
        <v>205</v>
      </c>
      <c r="S52" s="79" t="s">
        <v>205</v>
      </c>
      <c r="T52" s="79">
        <v>3</v>
      </c>
      <c r="U52" s="79">
        <v>6</v>
      </c>
    </row>
    <row r="53" spans="1:21" x14ac:dyDescent="0.35">
      <c r="A53" s="4" t="s">
        <v>94</v>
      </c>
      <c r="B53" s="79">
        <v>36</v>
      </c>
      <c r="C53" s="79">
        <v>85</v>
      </c>
      <c r="D53" s="79">
        <v>45</v>
      </c>
      <c r="E53" s="79">
        <v>91</v>
      </c>
      <c r="F53" s="79">
        <v>35</v>
      </c>
      <c r="G53" s="79">
        <v>89</v>
      </c>
      <c r="H53" s="79">
        <v>22</v>
      </c>
      <c r="I53" s="79">
        <v>78</v>
      </c>
      <c r="J53" s="79">
        <v>29</v>
      </c>
      <c r="K53" s="79">
        <v>124</v>
      </c>
      <c r="L53" s="79">
        <v>24</v>
      </c>
      <c r="M53" s="79">
        <v>212</v>
      </c>
      <c r="N53" s="79">
        <v>41</v>
      </c>
      <c r="O53" s="79">
        <v>153</v>
      </c>
      <c r="P53" s="79">
        <v>44</v>
      </c>
      <c r="Q53" s="79">
        <v>83</v>
      </c>
      <c r="R53" s="79">
        <v>42</v>
      </c>
      <c r="S53" s="79">
        <v>65</v>
      </c>
      <c r="T53" s="79">
        <v>32</v>
      </c>
      <c r="U53" s="79">
        <v>46</v>
      </c>
    </row>
    <row r="54" spans="1:21" x14ac:dyDescent="0.35">
      <c r="A54" s="4" t="s">
        <v>95</v>
      </c>
      <c r="B54" s="79" t="s">
        <v>366</v>
      </c>
      <c r="C54" s="79">
        <v>4</v>
      </c>
      <c r="D54" s="79" t="s">
        <v>205</v>
      </c>
      <c r="E54" s="79" t="s">
        <v>205</v>
      </c>
      <c r="F54" s="79" t="s">
        <v>205</v>
      </c>
      <c r="G54" s="79" t="s">
        <v>366</v>
      </c>
      <c r="H54" s="79" t="s">
        <v>205</v>
      </c>
      <c r="I54" s="79" t="s">
        <v>205</v>
      </c>
      <c r="J54" s="79" t="s">
        <v>205</v>
      </c>
      <c r="K54" s="79" t="s">
        <v>205</v>
      </c>
      <c r="L54" s="79" t="s">
        <v>205</v>
      </c>
      <c r="M54" s="79" t="s">
        <v>205</v>
      </c>
      <c r="N54" s="79" t="s">
        <v>205</v>
      </c>
      <c r="O54" s="79" t="s">
        <v>205</v>
      </c>
      <c r="P54" s="79">
        <v>3</v>
      </c>
      <c r="Q54" s="79">
        <v>11</v>
      </c>
      <c r="R54" s="79" t="s">
        <v>366</v>
      </c>
      <c r="S54" s="79">
        <v>7</v>
      </c>
      <c r="T54" s="79" t="s">
        <v>205</v>
      </c>
      <c r="U54" s="79" t="s">
        <v>205</v>
      </c>
    </row>
    <row r="55" spans="1:21" x14ac:dyDescent="0.35">
      <c r="A55" s="4" t="s">
        <v>96</v>
      </c>
      <c r="B55" s="79">
        <v>16</v>
      </c>
      <c r="C55" s="79">
        <v>56</v>
      </c>
      <c r="D55" s="79">
        <v>16</v>
      </c>
      <c r="E55" s="79">
        <v>45</v>
      </c>
      <c r="F55" s="79">
        <v>7</v>
      </c>
      <c r="G55" s="79">
        <v>36</v>
      </c>
      <c r="H55" s="79">
        <v>10</v>
      </c>
      <c r="I55" s="79">
        <v>25</v>
      </c>
      <c r="J55" s="79">
        <v>7</v>
      </c>
      <c r="K55" s="79">
        <v>19</v>
      </c>
      <c r="L55" s="79">
        <v>7</v>
      </c>
      <c r="M55" s="79">
        <v>20</v>
      </c>
      <c r="N55" s="79">
        <v>8</v>
      </c>
      <c r="O55" s="79">
        <v>19</v>
      </c>
      <c r="P55" s="79">
        <v>5</v>
      </c>
      <c r="Q55" s="79">
        <v>21</v>
      </c>
      <c r="R55" s="79">
        <v>4</v>
      </c>
      <c r="S55" s="79">
        <v>17</v>
      </c>
      <c r="T55" s="79">
        <v>5</v>
      </c>
      <c r="U55" s="79">
        <v>7</v>
      </c>
    </row>
    <row r="56" spans="1:21" x14ac:dyDescent="0.35">
      <c r="A56" s="4" t="s">
        <v>8</v>
      </c>
      <c r="B56" s="79">
        <v>18</v>
      </c>
      <c r="C56" s="79">
        <v>47</v>
      </c>
      <c r="D56" s="79">
        <v>18</v>
      </c>
      <c r="E56" s="79">
        <v>17</v>
      </c>
      <c r="F56" s="79">
        <v>7</v>
      </c>
      <c r="G56" s="79">
        <v>35</v>
      </c>
      <c r="H56" s="79">
        <v>17</v>
      </c>
      <c r="I56" s="79">
        <v>36</v>
      </c>
      <c r="J56" s="79">
        <v>15</v>
      </c>
      <c r="K56" s="79">
        <v>40</v>
      </c>
      <c r="L56" s="79">
        <v>23</v>
      </c>
      <c r="M56" s="79">
        <v>48</v>
      </c>
      <c r="N56" s="79">
        <v>21</v>
      </c>
      <c r="O56" s="79">
        <v>38</v>
      </c>
      <c r="P56" s="79">
        <v>24</v>
      </c>
      <c r="Q56" s="79">
        <v>21</v>
      </c>
      <c r="R56" s="79">
        <v>15</v>
      </c>
      <c r="S56" s="79">
        <v>13</v>
      </c>
      <c r="T56" s="79">
        <v>15</v>
      </c>
      <c r="U56" s="79">
        <v>16</v>
      </c>
    </row>
    <row r="57" spans="1:21" x14ac:dyDescent="0.35">
      <c r="A57" s="4" t="s">
        <v>97</v>
      </c>
      <c r="B57" s="79">
        <v>100</v>
      </c>
      <c r="C57" s="79">
        <v>71</v>
      </c>
      <c r="D57" s="79">
        <v>79</v>
      </c>
      <c r="E57" s="79">
        <v>90</v>
      </c>
      <c r="F57" s="79">
        <v>61</v>
      </c>
      <c r="G57" s="79">
        <v>97</v>
      </c>
      <c r="H57" s="79">
        <v>60</v>
      </c>
      <c r="I57" s="79">
        <v>105</v>
      </c>
      <c r="J57" s="79">
        <v>63</v>
      </c>
      <c r="K57" s="79">
        <v>115</v>
      </c>
      <c r="L57" s="79">
        <v>53</v>
      </c>
      <c r="M57" s="79">
        <v>151</v>
      </c>
      <c r="N57" s="79">
        <v>84</v>
      </c>
      <c r="O57" s="79">
        <v>117</v>
      </c>
      <c r="P57" s="79">
        <v>65</v>
      </c>
      <c r="Q57" s="79">
        <v>89</v>
      </c>
      <c r="R57" s="79">
        <v>58</v>
      </c>
      <c r="S57" s="79">
        <v>55</v>
      </c>
      <c r="T57" s="79">
        <v>48</v>
      </c>
      <c r="U57" s="79">
        <v>33</v>
      </c>
    </row>
    <row r="58" spans="1:21" x14ac:dyDescent="0.35">
      <c r="A58" s="4" t="s">
        <v>98</v>
      </c>
      <c r="B58" s="79">
        <v>53</v>
      </c>
      <c r="C58" s="79">
        <v>246</v>
      </c>
      <c r="D58" s="79">
        <v>76</v>
      </c>
      <c r="E58" s="79">
        <v>142</v>
      </c>
      <c r="F58" s="79">
        <v>69</v>
      </c>
      <c r="G58" s="79">
        <v>118</v>
      </c>
      <c r="H58" s="79">
        <v>88</v>
      </c>
      <c r="I58" s="79">
        <v>143</v>
      </c>
      <c r="J58" s="79">
        <v>61</v>
      </c>
      <c r="K58" s="79">
        <v>141</v>
      </c>
      <c r="L58" s="79">
        <v>60</v>
      </c>
      <c r="M58" s="79">
        <v>169</v>
      </c>
      <c r="N58" s="79">
        <v>65</v>
      </c>
      <c r="O58" s="79">
        <v>134</v>
      </c>
      <c r="P58" s="79">
        <v>76</v>
      </c>
      <c r="Q58" s="79">
        <v>112</v>
      </c>
      <c r="R58" s="79">
        <v>79</v>
      </c>
      <c r="S58" s="79">
        <v>100</v>
      </c>
      <c r="T58" s="79">
        <v>53</v>
      </c>
      <c r="U58" s="79">
        <v>47</v>
      </c>
    </row>
    <row r="59" spans="1:21" x14ac:dyDescent="0.35">
      <c r="A59" s="4" t="s">
        <v>99</v>
      </c>
      <c r="B59" s="79">
        <v>22</v>
      </c>
      <c r="C59" s="79">
        <v>14</v>
      </c>
      <c r="D59" s="79">
        <v>24</v>
      </c>
      <c r="E59" s="79">
        <v>26</v>
      </c>
      <c r="F59" s="79">
        <v>19</v>
      </c>
      <c r="G59" s="79">
        <v>16</v>
      </c>
      <c r="H59" s="79">
        <v>13</v>
      </c>
      <c r="I59" s="79">
        <v>17</v>
      </c>
      <c r="J59" s="79">
        <v>23</v>
      </c>
      <c r="K59" s="79">
        <v>27</v>
      </c>
      <c r="L59" s="79">
        <v>18</v>
      </c>
      <c r="M59" s="79">
        <v>30</v>
      </c>
      <c r="N59" s="79">
        <v>22</v>
      </c>
      <c r="O59" s="79">
        <v>19</v>
      </c>
      <c r="P59" s="79">
        <v>23</v>
      </c>
      <c r="Q59" s="79">
        <v>23</v>
      </c>
      <c r="R59" s="79">
        <v>14</v>
      </c>
      <c r="S59" s="79">
        <v>13</v>
      </c>
      <c r="T59" s="79">
        <v>13</v>
      </c>
      <c r="U59" s="79">
        <v>12</v>
      </c>
    </row>
    <row r="60" spans="1:21" x14ac:dyDescent="0.35">
      <c r="A60" s="4" t="s">
        <v>100</v>
      </c>
      <c r="B60" s="79">
        <v>19</v>
      </c>
      <c r="C60" s="79">
        <v>9</v>
      </c>
      <c r="D60" s="79">
        <v>27</v>
      </c>
      <c r="E60" s="79">
        <v>11</v>
      </c>
      <c r="F60" s="79">
        <v>20</v>
      </c>
      <c r="G60" s="79">
        <v>7</v>
      </c>
      <c r="H60" s="79">
        <v>19</v>
      </c>
      <c r="I60" s="79">
        <v>9</v>
      </c>
      <c r="J60" s="79">
        <v>17</v>
      </c>
      <c r="K60" s="79">
        <v>11</v>
      </c>
      <c r="L60" s="79">
        <v>21</v>
      </c>
      <c r="M60" s="79">
        <v>8</v>
      </c>
      <c r="N60" s="79">
        <v>29</v>
      </c>
      <c r="O60" s="79">
        <v>18</v>
      </c>
      <c r="P60" s="79">
        <v>26</v>
      </c>
      <c r="Q60" s="79">
        <v>20</v>
      </c>
      <c r="R60" s="79">
        <v>15</v>
      </c>
      <c r="S60" s="79">
        <v>13</v>
      </c>
      <c r="T60" s="79">
        <v>5</v>
      </c>
      <c r="U60" s="79">
        <v>6</v>
      </c>
    </row>
    <row r="61" spans="1:21" x14ac:dyDescent="0.35">
      <c r="A61" s="4" t="s">
        <v>15</v>
      </c>
      <c r="B61" s="79">
        <v>2176</v>
      </c>
      <c r="C61" s="79">
        <v>7553</v>
      </c>
      <c r="D61" s="79">
        <v>2143</v>
      </c>
      <c r="E61" s="79">
        <v>12379</v>
      </c>
      <c r="F61" s="79">
        <v>3850</v>
      </c>
      <c r="G61" s="79">
        <v>16677</v>
      </c>
      <c r="H61" s="79">
        <v>3917</v>
      </c>
      <c r="I61" s="79">
        <v>21981</v>
      </c>
      <c r="J61" s="79">
        <v>5138</v>
      </c>
      <c r="K61" s="79">
        <v>22389</v>
      </c>
      <c r="L61" s="79">
        <v>6547</v>
      </c>
      <c r="M61" s="79">
        <v>23094</v>
      </c>
      <c r="N61" s="79">
        <v>9432</v>
      </c>
      <c r="O61" s="79">
        <v>20277</v>
      </c>
      <c r="P61" s="79">
        <v>11718</v>
      </c>
      <c r="Q61" s="79">
        <v>18625</v>
      </c>
      <c r="R61" s="79">
        <v>13494</v>
      </c>
      <c r="S61" s="79">
        <v>25406</v>
      </c>
      <c r="T61" s="79">
        <v>15365</v>
      </c>
      <c r="U61" s="79">
        <v>31501</v>
      </c>
    </row>
    <row r="62" spans="1:21" x14ac:dyDescent="0.35">
      <c r="A62" s="4" t="s">
        <v>101</v>
      </c>
      <c r="B62" s="79">
        <v>22</v>
      </c>
      <c r="C62" s="79">
        <v>70</v>
      </c>
      <c r="D62" s="79">
        <v>24</v>
      </c>
      <c r="E62" s="79">
        <v>68</v>
      </c>
      <c r="F62" s="79">
        <v>18</v>
      </c>
      <c r="G62" s="79">
        <v>60</v>
      </c>
      <c r="H62" s="79">
        <v>20</v>
      </c>
      <c r="I62" s="79">
        <v>46</v>
      </c>
      <c r="J62" s="79">
        <v>16</v>
      </c>
      <c r="K62" s="79">
        <v>58</v>
      </c>
      <c r="L62" s="79">
        <v>14</v>
      </c>
      <c r="M62" s="79">
        <v>47</v>
      </c>
      <c r="N62" s="79">
        <v>6</v>
      </c>
      <c r="O62" s="79">
        <v>20</v>
      </c>
      <c r="P62" s="79">
        <v>11</v>
      </c>
      <c r="Q62" s="79">
        <v>24</v>
      </c>
      <c r="R62" s="79">
        <v>4</v>
      </c>
      <c r="S62" s="79">
        <v>23</v>
      </c>
      <c r="T62" s="79" t="s">
        <v>205</v>
      </c>
      <c r="U62" s="79" t="s">
        <v>205</v>
      </c>
    </row>
    <row r="63" spans="1:21" x14ac:dyDescent="0.35">
      <c r="A63" s="4" t="s">
        <v>103</v>
      </c>
      <c r="B63" s="79">
        <v>230</v>
      </c>
      <c r="C63" s="79">
        <v>158</v>
      </c>
      <c r="D63" s="79">
        <v>255</v>
      </c>
      <c r="E63" s="79">
        <v>141</v>
      </c>
      <c r="F63" s="79">
        <v>174</v>
      </c>
      <c r="G63" s="79">
        <v>115</v>
      </c>
      <c r="H63" s="79">
        <v>191</v>
      </c>
      <c r="I63" s="79">
        <v>102</v>
      </c>
      <c r="J63" s="79">
        <v>188</v>
      </c>
      <c r="K63" s="79">
        <v>96</v>
      </c>
      <c r="L63" s="79">
        <v>216</v>
      </c>
      <c r="M63" s="79">
        <v>86</v>
      </c>
      <c r="N63" s="79">
        <v>167</v>
      </c>
      <c r="O63" s="79">
        <v>54</v>
      </c>
      <c r="P63" s="79">
        <v>139</v>
      </c>
      <c r="Q63" s="79">
        <v>48</v>
      </c>
      <c r="R63" s="79">
        <v>147</v>
      </c>
      <c r="S63" s="79">
        <v>28</v>
      </c>
      <c r="T63" s="79">
        <v>134</v>
      </c>
      <c r="U63" s="79">
        <v>16</v>
      </c>
    </row>
    <row r="64" spans="1:21" x14ac:dyDescent="0.35">
      <c r="A64" s="4" t="s">
        <v>104</v>
      </c>
      <c r="B64" s="79">
        <v>222</v>
      </c>
      <c r="C64" s="79">
        <v>656</v>
      </c>
      <c r="D64" s="79">
        <v>591</v>
      </c>
      <c r="E64" s="79">
        <v>613</v>
      </c>
      <c r="F64" s="79">
        <v>290</v>
      </c>
      <c r="G64" s="79">
        <v>617</v>
      </c>
      <c r="H64" s="79">
        <v>519</v>
      </c>
      <c r="I64" s="79">
        <v>973</v>
      </c>
      <c r="J64" s="79">
        <v>416</v>
      </c>
      <c r="K64" s="79">
        <v>1168</v>
      </c>
      <c r="L64" s="79">
        <v>473</v>
      </c>
      <c r="M64" s="79">
        <v>257</v>
      </c>
      <c r="N64" s="79">
        <v>126</v>
      </c>
      <c r="O64" s="79">
        <v>351</v>
      </c>
      <c r="P64" s="79">
        <v>251</v>
      </c>
      <c r="Q64" s="79">
        <v>478</v>
      </c>
      <c r="R64" s="79">
        <v>568</v>
      </c>
      <c r="S64" s="79">
        <v>135</v>
      </c>
      <c r="T64" s="79">
        <v>448</v>
      </c>
      <c r="U64" s="79">
        <v>60</v>
      </c>
    </row>
    <row r="65" spans="1:21" x14ac:dyDescent="0.35">
      <c r="A65" s="4" t="s">
        <v>17</v>
      </c>
      <c r="B65" s="79">
        <v>2544</v>
      </c>
      <c r="C65" s="79">
        <v>6208</v>
      </c>
      <c r="D65" s="79">
        <v>2704</v>
      </c>
      <c r="E65" s="79">
        <v>12868</v>
      </c>
      <c r="F65" s="79">
        <v>5752</v>
      </c>
      <c r="G65" s="79">
        <v>21308</v>
      </c>
      <c r="H65" s="79">
        <v>5236</v>
      </c>
      <c r="I65" s="79">
        <v>24501</v>
      </c>
      <c r="J65" s="79">
        <v>5476</v>
      </c>
      <c r="K65" s="79">
        <v>23409</v>
      </c>
      <c r="L65" s="79">
        <v>6998</v>
      </c>
      <c r="M65" s="79">
        <v>20285</v>
      </c>
      <c r="N65" s="79">
        <v>10420</v>
      </c>
      <c r="O65" s="79">
        <v>14701</v>
      </c>
      <c r="P65" s="79">
        <v>10825</v>
      </c>
      <c r="Q65" s="79">
        <v>11202</v>
      </c>
      <c r="R65" s="79">
        <v>13815</v>
      </c>
      <c r="S65" s="79">
        <v>17925</v>
      </c>
      <c r="T65" s="79">
        <v>16609</v>
      </c>
      <c r="U65" s="79">
        <v>19917</v>
      </c>
    </row>
    <row r="66" spans="1:21" x14ac:dyDescent="0.35">
      <c r="A66" s="4" t="s">
        <v>368</v>
      </c>
      <c r="B66" s="79">
        <v>5</v>
      </c>
      <c r="C66" s="79">
        <v>17</v>
      </c>
      <c r="D66" s="79">
        <v>7</v>
      </c>
      <c r="E66" s="79">
        <v>13</v>
      </c>
      <c r="F66" s="79">
        <v>8</v>
      </c>
      <c r="G66" s="79">
        <v>7</v>
      </c>
      <c r="H66" s="79">
        <v>4</v>
      </c>
      <c r="I66" s="79">
        <v>24</v>
      </c>
      <c r="J66" s="79">
        <v>6</v>
      </c>
      <c r="K66" s="79">
        <v>17</v>
      </c>
      <c r="L66" s="79">
        <v>9</v>
      </c>
      <c r="M66" s="79">
        <v>16</v>
      </c>
      <c r="N66" s="79">
        <v>12</v>
      </c>
      <c r="O66" s="79">
        <v>21</v>
      </c>
      <c r="P66" s="79">
        <v>12</v>
      </c>
      <c r="Q66" s="79">
        <v>9</v>
      </c>
      <c r="R66" s="79">
        <v>15</v>
      </c>
      <c r="S66" s="79">
        <v>10</v>
      </c>
      <c r="T66" s="79">
        <v>8</v>
      </c>
      <c r="U66" s="79">
        <v>8</v>
      </c>
    </row>
    <row r="67" spans="1:21" x14ac:dyDescent="0.35">
      <c r="A67" s="4" t="s">
        <v>105</v>
      </c>
      <c r="B67" s="79">
        <v>9</v>
      </c>
      <c r="C67" s="79">
        <v>90</v>
      </c>
      <c r="D67" s="79">
        <v>12</v>
      </c>
      <c r="E67" s="79">
        <v>98</v>
      </c>
      <c r="F67" s="79">
        <v>14</v>
      </c>
      <c r="G67" s="79">
        <v>61</v>
      </c>
      <c r="H67" s="79">
        <v>10</v>
      </c>
      <c r="I67" s="79">
        <v>75</v>
      </c>
      <c r="J67" s="79">
        <v>19</v>
      </c>
      <c r="K67" s="79">
        <v>76</v>
      </c>
      <c r="L67" s="79">
        <v>19</v>
      </c>
      <c r="M67" s="79">
        <v>112</v>
      </c>
      <c r="N67" s="79">
        <v>10</v>
      </c>
      <c r="O67" s="79">
        <v>79</v>
      </c>
      <c r="P67" s="79">
        <v>19</v>
      </c>
      <c r="Q67" s="79">
        <v>65</v>
      </c>
      <c r="R67" s="79">
        <v>24</v>
      </c>
      <c r="S67" s="79">
        <v>48</v>
      </c>
      <c r="T67" s="79">
        <v>29</v>
      </c>
      <c r="U67" s="79">
        <v>36</v>
      </c>
    </row>
    <row r="68" spans="1:21" x14ac:dyDescent="0.35">
      <c r="A68" s="4" t="s">
        <v>22</v>
      </c>
      <c r="B68" s="79">
        <v>131</v>
      </c>
      <c r="C68" s="79">
        <v>797</v>
      </c>
      <c r="D68" s="79">
        <v>139</v>
      </c>
      <c r="E68" s="79">
        <v>728</v>
      </c>
      <c r="F68" s="79">
        <v>150</v>
      </c>
      <c r="G68" s="79">
        <v>898</v>
      </c>
      <c r="H68" s="79">
        <v>125</v>
      </c>
      <c r="I68" s="79">
        <v>707</v>
      </c>
      <c r="J68" s="79">
        <v>164</v>
      </c>
      <c r="K68" s="79">
        <v>768</v>
      </c>
      <c r="L68" s="79">
        <v>186</v>
      </c>
      <c r="M68" s="79">
        <v>860</v>
      </c>
      <c r="N68" s="79">
        <v>177</v>
      </c>
      <c r="O68" s="79">
        <v>782</v>
      </c>
      <c r="P68" s="79">
        <v>161</v>
      </c>
      <c r="Q68" s="79">
        <v>562</v>
      </c>
      <c r="R68" s="79">
        <v>160</v>
      </c>
      <c r="S68" s="79">
        <v>417</v>
      </c>
      <c r="T68" s="79">
        <v>129</v>
      </c>
      <c r="U68" s="79">
        <v>274</v>
      </c>
    </row>
    <row r="69" spans="1:21" x14ac:dyDescent="0.35">
      <c r="A69" s="4" t="s">
        <v>107</v>
      </c>
      <c r="B69" s="79">
        <v>21</v>
      </c>
      <c r="C69" s="79">
        <v>340</v>
      </c>
      <c r="D69" s="79">
        <v>17</v>
      </c>
      <c r="E69" s="79">
        <v>358</v>
      </c>
      <c r="F69" s="79">
        <v>22</v>
      </c>
      <c r="G69" s="79">
        <v>366</v>
      </c>
      <c r="H69" s="79">
        <v>39</v>
      </c>
      <c r="I69" s="79">
        <v>395</v>
      </c>
      <c r="J69" s="79">
        <v>68</v>
      </c>
      <c r="K69" s="79">
        <v>421</v>
      </c>
      <c r="L69" s="79">
        <v>42</v>
      </c>
      <c r="M69" s="79">
        <v>389</v>
      </c>
      <c r="N69" s="79">
        <v>43</v>
      </c>
      <c r="O69" s="79">
        <v>318</v>
      </c>
      <c r="P69" s="79">
        <v>31</v>
      </c>
      <c r="Q69" s="79">
        <v>293</v>
      </c>
      <c r="R69" s="79">
        <v>20</v>
      </c>
      <c r="S69" s="79">
        <v>204</v>
      </c>
      <c r="T69" s="79">
        <v>21</v>
      </c>
      <c r="U69" s="79">
        <v>60</v>
      </c>
    </row>
    <row r="70" spans="1:21" x14ac:dyDescent="0.35">
      <c r="A70" s="4" t="s">
        <v>108</v>
      </c>
      <c r="B70" s="79">
        <v>23</v>
      </c>
      <c r="C70" s="79">
        <v>41</v>
      </c>
      <c r="D70" s="79">
        <v>17</v>
      </c>
      <c r="E70" s="79">
        <v>35</v>
      </c>
      <c r="F70" s="79">
        <v>16</v>
      </c>
      <c r="G70" s="79">
        <v>43</v>
      </c>
      <c r="H70" s="79">
        <v>9</v>
      </c>
      <c r="I70" s="79">
        <v>39</v>
      </c>
      <c r="J70" s="79">
        <v>11</v>
      </c>
      <c r="K70" s="79">
        <v>29</v>
      </c>
      <c r="L70" s="79">
        <v>15</v>
      </c>
      <c r="M70" s="79">
        <v>40</v>
      </c>
      <c r="N70" s="79">
        <v>15</v>
      </c>
      <c r="O70" s="79">
        <v>59</v>
      </c>
      <c r="P70" s="79">
        <v>14</v>
      </c>
      <c r="Q70" s="79">
        <v>43</v>
      </c>
      <c r="R70" s="79">
        <v>13</v>
      </c>
      <c r="S70" s="79">
        <v>23</v>
      </c>
      <c r="T70" s="79">
        <v>10</v>
      </c>
      <c r="U70" s="79">
        <v>18</v>
      </c>
    </row>
    <row r="71" spans="1:21" x14ac:dyDescent="0.35">
      <c r="A71" s="4" t="s">
        <v>109</v>
      </c>
      <c r="B71" s="79">
        <v>3</v>
      </c>
      <c r="C71" s="79">
        <v>23</v>
      </c>
      <c r="D71" s="79">
        <v>8</v>
      </c>
      <c r="E71" s="79">
        <v>16</v>
      </c>
      <c r="F71" s="79">
        <v>4</v>
      </c>
      <c r="G71" s="79">
        <v>17</v>
      </c>
      <c r="H71" s="79">
        <v>3</v>
      </c>
      <c r="I71" s="79">
        <v>24</v>
      </c>
      <c r="J71" s="79">
        <v>7</v>
      </c>
      <c r="K71" s="79">
        <v>30</v>
      </c>
      <c r="L71" s="79">
        <v>16</v>
      </c>
      <c r="M71" s="79">
        <v>17</v>
      </c>
      <c r="N71" s="79">
        <v>35</v>
      </c>
      <c r="O71" s="79">
        <v>24</v>
      </c>
      <c r="P71" s="79">
        <v>18</v>
      </c>
      <c r="Q71" s="79">
        <v>8</v>
      </c>
      <c r="R71" s="79">
        <v>15</v>
      </c>
      <c r="S71" s="79">
        <v>11</v>
      </c>
      <c r="T71" s="79">
        <v>14</v>
      </c>
      <c r="U71" s="79">
        <v>13</v>
      </c>
    </row>
    <row r="72" spans="1:21" x14ac:dyDescent="0.35">
      <c r="A72" s="4" t="s">
        <v>110</v>
      </c>
      <c r="B72" s="79">
        <v>25</v>
      </c>
      <c r="C72" s="79">
        <v>52</v>
      </c>
      <c r="D72" s="79">
        <v>13</v>
      </c>
      <c r="E72" s="79">
        <v>59</v>
      </c>
      <c r="F72" s="79">
        <v>11</v>
      </c>
      <c r="G72" s="79">
        <v>43</v>
      </c>
      <c r="H72" s="79">
        <v>20</v>
      </c>
      <c r="I72" s="79">
        <v>37</v>
      </c>
      <c r="J72" s="79">
        <v>19</v>
      </c>
      <c r="K72" s="79">
        <v>60</v>
      </c>
      <c r="L72" s="79">
        <v>19</v>
      </c>
      <c r="M72" s="79">
        <v>110</v>
      </c>
      <c r="N72" s="79">
        <v>21</v>
      </c>
      <c r="O72" s="79">
        <v>86</v>
      </c>
      <c r="P72" s="79">
        <v>28</v>
      </c>
      <c r="Q72" s="79">
        <v>31</v>
      </c>
      <c r="R72" s="79">
        <v>24</v>
      </c>
      <c r="S72" s="79">
        <v>21</v>
      </c>
      <c r="T72" s="79">
        <v>20</v>
      </c>
      <c r="U72" s="79">
        <v>27</v>
      </c>
    </row>
    <row r="73" spans="1:21" x14ac:dyDescent="0.35">
      <c r="A73" s="4" t="s">
        <v>111</v>
      </c>
      <c r="B73" s="79">
        <v>63</v>
      </c>
      <c r="C73" s="79">
        <v>177</v>
      </c>
      <c r="D73" s="79">
        <v>84</v>
      </c>
      <c r="E73" s="79">
        <v>200</v>
      </c>
      <c r="F73" s="79">
        <v>53</v>
      </c>
      <c r="G73" s="79">
        <v>144</v>
      </c>
      <c r="H73" s="79">
        <v>53</v>
      </c>
      <c r="I73" s="79">
        <v>193</v>
      </c>
      <c r="J73" s="79">
        <v>41</v>
      </c>
      <c r="K73" s="79">
        <v>217</v>
      </c>
      <c r="L73" s="79">
        <v>50</v>
      </c>
      <c r="M73" s="79">
        <v>363</v>
      </c>
      <c r="N73" s="79">
        <v>55</v>
      </c>
      <c r="O73" s="79">
        <v>272</v>
      </c>
      <c r="P73" s="79">
        <v>38</v>
      </c>
      <c r="Q73" s="79">
        <v>167</v>
      </c>
      <c r="R73" s="79">
        <v>43</v>
      </c>
      <c r="S73" s="79">
        <v>148</v>
      </c>
      <c r="T73" s="79">
        <v>33</v>
      </c>
      <c r="U73" s="79">
        <v>91</v>
      </c>
    </row>
    <row r="74" spans="1:21" x14ac:dyDescent="0.35">
      <c r="A74" s="4" t="s">
        <v>112</v>
      </c>
      <c r="B74" s="79">
        <v>100</v>
      </c>
      <c r="C74" s="79">
        <v>61</v>
      </c>
      <c r="D74" s="79">
        <v>73</v>
      </c>
      <c r="E74" s="79">
        <v>71</v>
      </c>
      <c r="F74" s="79">
        <v>78</v>
      </c>
      <c r="G74" s="79">
        <v>66</v>
      </c>
      <c r="H74" s="79">
        <v>69</v>
      </c>
      <c r="I74" s="79">
        <v>89</v>
      </c>
      <c r="J74" s="79">
        <v>74</v>
      </c>
      <c r="K74" s="79">
        <v>141</v>
      </c>
      <c r="L74" s="79">
        <v>61</v>
      </c>
      <c r="M74" s="79">
        <v>183</v>
      </c>
      <c r="N74" s="79">
        <v>62</v>
      </c>
      <c r="O74" s="79">
        <v>139</v>
      </c>
      <c r="P74" s="79">
        <v>44</v>
      </c>
      <c r="Q74" s="79">
        <v>80</v>
      </c>
      <c r="R74" s="79">
        <v>49</v>
      </c>
      <c r="S74" s="79">
        <v>70</v>
      </c>
      <c r="T74" s="79">
        <v>50</v>
      </c>
      <c r="U74" s="79">
        <v>63</v>
      </c>
    </row>
    <row r="75" spans="1:21" x14ac:dyDescent="0.35">
      <c r="A75" s="4" t="s">
        <v>113</v>
      </c>
      <c r="B75" s="79">
        <v>1614</v>
      </c>
      <c r="C75" s="79">
        <v>927</v>
      </c>
      <c r="D75" s="79">
        <v>1475</v>
      </c>
      <c r="E75" s="79">
        <v>548</v>
      </c>
      <c r="F75" s="79">
        <v>1234</v>
      </c>
      <c r="G75" s="79">
        <v>428</v>
      </c>
      <c r="H75" s="79">
        <v>1139</v>
      </c>
      <c r="I75" s="79">
        <v>351</v>
      </c>
      <c r="J75" s="79">
        <v>1214</v>
      </c>
      <c r="K75" s="79">
        <v>414</v>
      </c>
      <c r="L75" s="79">
        <v>1246</v>
      </c>
      <c r="M75" s="79">
        <v>416</v>
      </c>
      <c r="N75" s="79">
        <v>1169</v>
      </c>
      <c r="O75" s="79">
        <v>314</v>
      </c>
      <c r="P75" s="79">
        <v>1225</v>
      </c>
      <c r="Q75" s="79">
        <v>249</v>
      </c>
      <c r="R75" s="79">
        <v>1150</v>
      </c>
      <c r="S75" s="79">
        <v>169</v>
      </c>
      <c r="T75" s="79">
        <v>993</v>
      </c>
      <c r="U75" s="79">
        <v>108</v>
      </c>
    </row>
    <row r="76" spans="1:21" x14ac:dyDescent="0.35">
      <c r="A76" s="4" t="s">
        <v>114</v>
      </c>
      <c r="B76" s="79">
        <v>38</v>
      </c>
      <c r="C76" s="79">
        <v>55</v>
      </c>
      <c r="D76" s="79">
        <v>12</v>
      </c>
      <c r="E76" s="79">
        <v>34</v>
      </c>
      <c r="F76" s="79">
        <v>10</v>
      </c>
      <c r="G76" s="79">
        <v>43</v>
      </c>
      <c r="H76" s="79">
        <v>11</v>
      </c>
      <c r="I76" s="79">
        <v>27</v>
      </c>
      <c r="J76" s="79">
        <v>17</v>
      </c>
      <c r="K76" s="79">
        <v>71</v>
      </c>
      <c r="L76" s="79">
        <v>12</v>
      </c>
      <c r="M76" s="79">
        <v>75</v>
      </c>
      <c r="N76" s="79">
        <v>16</v>
      </c>
      <c r="O76" s="79">
        <v>30</v>
      </c>
      <c r="P76" s="79">
        <v>14</v>
      </c>
      <c r="Q76" s="79">
        <v>23</v>
      </c>
      <c r="R76" s="79">
        <v>17</v>
      </c>
      <c r="S76" s="79">
        <v>22</v>
      </c>
      <c r="T76" s="79">
        <v>16</v>
      </c>
      <c r="U76" s="79">
        <v>29</v>
      </c>
    </row>
    <row r="77" spans="1:21" x14ac:dyDescent="0.35">
      <c r="A77" s="4" t="s">
        <v>115</v>
      </c>
      <c r="B77" s="79">
        <v>74</v>
      </c>
      <c r="C77" s="79">
        <v>133</v>
      </c>
      <c r="D77" s="79">
        <v>81</v>
      </c>
      <c r="E77" s="79">
        <v>142</v>
      </c>
      <c r="F77" s="79">
        <v>75</v>
      </c>
      <c r="G77" s="79">
        <v>115</v>
      </c>
      <c r="H77" s="79">
        <v>65</v>
      </c>
      <c r="I77" s="79">
        <v>147</v>
      </c>
      <c r="J77" s="79">
        <v>45</v>
      </c>
      <c r="K77" s="79">
        <v>116</v>
      </c>
      <c r="L77" s="79">
        <v>66</v>
      </c>
      <c r="M77" s="79">
        <v>148</v>
      </c>
      <c r="N77" s="79">
        <v>58</v>
      </c>
      <c r="O77" s="79">
        <v>79</v>
      </c>
      <c r="P77" s="79">
        <v>52</v>
      </c>
      <c r="Q77" s="79">
        <v>60</v>
      </c>
      <c r="R77" s="79">
        <v>37</v>
      </c>
      <c r="S77" s="79">
        <v>58</v>
      </c>
      <c r="T77" s="79">
        <v>31</v>
      </c>
      <c r="U77" s="79">
        <v>27</v>
      </c>
    </row>
    <row r="78" spans="1:21" x14ac:dyDescent="0.35">
      <c r="A78" s="4" t="s">
        <v>116</v>
      </c>
      <c r="B78" s="79" t="s">
        <v>366</v>
      </c>
      <c r="C78" s="79">
        <v>17</v>
      </c>
      <c r="D78" s="79">
        <v>3</v>
      </c>
      <c r="E78" s="79">
        <v>15</v>
      </c>
      <c r="F78" s="79">
        <v>3</v>
      </c>
      <c r="G78" s="79">
        <v>12</v>
      </c>
      <c r="H78" s="79" t="s">
        <v>205</v>
      </c>
      <c r="I78" s="79" t="s">
        <v>205</v>
      </c>
      <c r="J78" s="79">
        <v>7</v>
      </c>
      <c r="K78" s="79">
        <v>18</v>
      </c>
      <c r="L78" s="79">
        <v>9</v>
      </c>
      <c r="M78" s="79">
        <v>25</v>
      </c>
      <c r="N78" s="79">
        <v>6</v>
      </c>
      <c r="O78" s="79">
        <v>35</v>
      </c>
      <c r="P78" s="79">
        <v>8</v>
      </c>
      <c r="Q78" s="79">
        <v>23</v>
      </c>
      <c r="R78" s="79">
        <v>13</v>
      </c>
      <c r="S78" s="79">
        <v>25</v>
      </c>
      <c r="T78" s="79">
        <v>8</v>
      </c>
      <c r="U78" s="79">
        <v>13</v>
      </c>
    </row>
    <row r="79" spans="1:21" x14ac:dyDescent="0.35">
      <c r="A79" s="4" t="s">
        <v>117</v>
      </c>
      <c r="B79" s="79">
        <v>47</v>
      </c>
      <c r="C79" s="79">
        <v>82</v>
      </c>
      <c r="D79" s="79">
        <v>36</v>
      </c>
      <c r="E79" s="79">
        <v>81</v>
      </c>
      <c r="F79" s="79">
        <v>36</v>
      </c>
      <c r="G79" s="79">
        <v>61</v>
      </c>
      <c r="H79" s="79">
        <v>43</v>
      </c>
      <c r="I79" s="79">
        <v>83</v>
      </c>
      <c r="J79" s="79">
        <v>44</v>
      </c>
      <c r="K79" s="79">
        <v>96</v>
      </c>
      <c r="L79" s="79">
        <v>70</v>
      </c>
      <c r="M79" s="79">
        <v>105</v>
      </c>
      <c r="N79" s="79">
        <v>56</v>
      </c>
      <c r="O79" s="79">
        <v>115</v>
      </c>
      <c r="P79" s="79">
        <v>56</v>
      </c>
      <c r="Q79" s="79">
        <v>83</v>
      </c>
      <c r="R79" s="79">
        <v>94</v>
      </c>
      <c r="S79" s="79">
        <v>51</v>
      </c>
      <c r="T79" s="79">
        <v>64</v>
      </c>
      <c r="U79" s="79">
        <v>29</v>
      </c>
    </row>
    <row r="80" spans="1:21" x14ac:dyDescent="0.35">
      <c r="A80" s="4" t="s">
        <v>118</v>
      </c>
      <c r="B80" s="79">
        <v>156</v>
      </c>
      <c r="C80" s="79">
        <v>278</v>
      </c>
      <c r="D80" s="79">
        <v>113</v>
      </c>
      <c r="E80" s="79">
        <v>288</v>
      </c>
      <c r="F80" s="79">
        <v>115</v>
      </c>
      <c r="G80" s="79">
        <v>336</v>
      </c>
      <c r="H80" s="79">
        <v>123</v>
      </c>
      <c r="I80" s="79">
        <v>294</v>
      </c>
      <c r="J80" s="79">
        <v>116</v>
      </c>
      <c r="K80" s="79">
        <v>303</v>
      </c>
      <c r="L80" s="79">
        <v>129</v>
      </c>
      <c r="M80" s="79">
        <v>265</v>
      </c>
      <c r="N80" s="79">
        <v>156</v>
      </c>
      <c r="O80" s="79">
        <v>200</v>
      </c>
      <c r="P80" s="79">
        <v>156</v>
      </c>
      <c r="Q80" s="79">
        <v>268</v>
      </c>
      <c r="R80" s="79">
        <v>181</v>
      </c>
      <c r="S80" s="79">
        <v>162</v>
      </c>
      <c r="T80" s="79">
        <v>131</v>
      </c>
      <c r="U80" s="79">
        <v>116</v>
      </c>
    </row>
    <row r="81" spans="1:21" x14ac:dyDescent="0.35">
      <c r="A81" s="4" t="s">
        <v>119</v>
      </c>
      <c r="B81" s="6" t="s">
        <v>206</v>
      </c>
      <c r="C81" s="6" t="s">
        <v>206</v>
      </c>
      <c r="D81" s="6" t="s">
        <v>206</v>
      </c>
      <c r="E81" s="6" t="s">
        <v>206</v>
      </c>
      <c r="F81" s="6" t="s">
        <v>206</v>
      </c>
      <c r="G81" s="6" t="s">
        <v>206</v>
      </c>
      <c r="H81" s="6" t="s">
        <v>206</v>
      </c>
      <c r="I81" s="6" t="s">
        <v>206</v>
      </c>
      <c r="J81" s="79" t="s">
        <v>366</v>
      </c>
      <c r="K81" s="79" t="s">
        <v>366</v>
      </c>
      <c r="L81" s="79">
        <v>4</v>
      </c>
      <c r="M81" s="79">
        <v>10</v>
      </c>
      <c r="N81" s="79">
        <v>8</v>
      </c>
      <c r="O81" s="79">
        <v>14</v>
      </c>
      <c r="P81" s="79">
        <v>14</v>
      </c>
      <c r="Q81" s="79">
        <v>14</v>
      </c>
      <c r="R81" s="79">
        <v>15</v>
      </c>
      <c r="S81" s="79">
        <v>10</v>
      </c>
      <c r="T81" s="79">
        <v>13</v>
      </c>
      <c r="U81" s="79">
        <v>8</v>
      </c>
    </row>
    <row r="82" spans="1:21" x14ac:dyDescent="0.35">
      <c r="A82" s="4" t="s">
        <v>120</v>
      </c>
      <c r="B82" s="79">
        <v>4</v>
      </c>
      <c r="C82" s="79">
        <v>9</v>
      </c>
      <c r="D82" s="79">
        <v>5</v>
      </c>
      <c r="E82" s="79">
        <v>8</v>
      </c>
      <c r="F82" s="79" t="s">
        <v>205</v>
      </c>
      <c r="G82" s="79" t="s">
        <v>205</v>
      </c>
      <c r="H82" s="79" t="s">
        <v>366</v>
      </c>
      <c r="I82" s="79">
        <v>7</v>
      </c>
      <c r="J82" s="79" t="s">
        <v>366</v>
      </c>
      <c r="K82" s="79">
        <v>10</v>
      </c>
      <c r="L82" s="79" t="s">
        <v>205</v>
      </c>
      <c r="M82" s="79" t="s">
        <v>205</v>
      </c>
      <c r="N82" s="79" t="s">
        <v>205</v>
      </c>
      <c r="O82" s="79" t="s">
        <v>205</v>
      </c>
      <c r="P82" s="79">
        <v>4</v>
      </c>
      <c r="Q82" s="79">
        <v>3</v>
      </c>
      <c r="R82" s="79" t="s">
        <v>366</v>
      </c>
      <c r="S82" s="79">
        <v>5</v>
      </c>
      <c r="T82" s="79" t="s">
        <v>205</v>
      </c>
      <c r="U82" s="79" t="s">
        <v>205</v>
      </c>
    </row>
    <row r="83" spans="1:21" x14ac:dyDescent="0.35">
      <c r="A83" s="4" t="s">
        <v>121</v>
      </c>
      <c r="B83" s="79" t="s">
        <v>366</v>
      </c>
      <c r="C83" s="79">
        <v>4</v>
      </c>
      <c r="D83" s="79" t="s">
        <v>205</v>
      </c>
      <c r="E83" s="79" t="s">
        <v>205</v>
      </c>
      <c r="F83" s="79" t="s">
        <v>205</v>
      </c>
      <c r="G83" s="79" t="s">
        <v>205</v>
      </c>
      <c r="H83" s="79" t="s">
        <v>205</v>
      </c>
      <c r="I83" s="79" t="s">
        <v>205</v>
      </c>
      <c r="J83" s="79">
        <v>3</v>
      </c>
      <c r="K83" s="79">
        <v>7</v>
      </c>
      <c r="L83" s="79" t="s">
        <v>205</v>
      </c>
      <c r="M83" s="79" t="s">
        <v>205</v>
      </c>
      <c r="N83" s="79">
        <v>4</v>
      </c>
      <c r="O83" s="79">
        <v>9</v>
      </c>
      <c r="P83" s="79" t="s">
        <v>205</v>
      </c>
      <c r="Q83" s="79" t="s">
        <v>205</v>
      </c>
      <c r="R83" s="79" t="s">
        <v>205</v>
      </c>
      <c r="S83" s="79" t="s">
        <v>205</v>
      </c>
      <c r="T83" s="79">
        <v>3</v>
      </c>
      <c r="U83" s="79">
        <v>5</v>
      </c>
    </row>
    <row r="84" spans="1:21" x14ac:dyDescent="0.35">
      <c r="A84" s="4" t="s">
        <v>122</v>
      </c>
      <c r="B84" s="79" t="s">
        <v>205</v>
      </c>
      <c r="C84" s="79" t="s">
        <v>205</v>
      </c>
      <c r="D84" s="79">
        <v>4</v>
      </c>
      <c r="E84" s="79">
        <v>8</v>
      </c>
      <c r="F84" s="79" t="s">
        <v>205</v>
      </c>
      <c r="G84" s="79" t="s">
        <v>205</v>
      </c>
      <c r="H84" s="79" t="s">
        <v>205</v>
      </c>
      <c r="I84" s="79" t="s">
        <v>205</v>
      </c>
      <c r="J84" s="79">
        <v>5</v>
      </c>
      <c r="K84" s="79">
        <v>15</v>
      </c>
      <c r="L84" s="79" t="s">
        <v>205</v>
      </c>
      <c r="M84" s="79" t="s">
        <v>205</v>
      </c>
      <c r="N84" s="79" t="s">
        <v>205</v>
      </c>
      <c r="O84" s="79" t="s">
        <v>205</v>
      </c>
      <c r="P84" s="79">
        <v>4</v>
      </c>
      <c r="Q84" s="79">
        <v>13</v>
      </c>
      <c r="R84" s="79">
        <v>3</v>
      </c>
      <c r="S84" s="79">
        <v>8</v>
      </c>
      <c r="T84" s="79">
        <v>3</v>
      </c>
      <c r="U84" s="79">
        <v>6</v>
      </c>
    </row>
    <row r="85" spans="1:21" x14ac:dyDescent="0.35">
      <c r="A85" s="4" t="s">
        <v>123</v>
      </c>
      <c r="B85" s="79">
        <v>5</v>
      </c>
      <c r="C85" s="79">
        <v>18</v>
      </c>
      <c r="D85" s="79">
        <v>7</v>
      </c>
      <c r="E85" s="79">
        <v>21</v>
      </c>
      <c r="F85" s="79">
        <v>4</v>
      </c>
      <c r="G85" s="79">
        <v>15</v>
      </c>
      <c r="H85" s="79">
        <v>3</v>
      </c>
      <c r="I85" s="79">
        <v>16</v>
      </c>
      <c r="J85" s="79">
        <v>7</v>
      </c>
      <c r="K85" s="79">
        <v>16</v>
      </c>
      <c r="L85" s="79">
        <v>4</v>
      </c>
      <c r="M85" s="79">
        <v>26</v>
      </c>
      <c r="N85" s="79">
        <v>5</v>
      </c>
      <c r="O85" s="79">
        <v>28</v>
      </c>
      <c r="P85" s="79">
        <v>14</v>
      </c>
      <c r="Q85" s="79">
        <v>27</v>
      </c>
      <c r="R85" s="79">
        <v>11</v>
      </c>
      <c r="S85" s="79">
        <v>10</v>
      </c>
      <c r="T85" s="79">
        <v>10</v>
      </c>
      <c r="U85" s="79">
        <v>29</v>
      </c>
    </row>
    <row r="86" spans="1:21" x14ac:dyDescent="0.35">
      <c r="A86" s="4" t="s">
        <v>124</v>
      </c>
      <c r="B86" s="79">
        <v>32</v>
      </c>
      <c r="C86" s="79">
        <v>140</v>
      </c>
      <c r="D86" s="79">
        <v>38</v>
      </c>
      <c r="E86" s="79">
        <v>111</v>
      </c>
      <c r="F86" s="79">
        <v>36</v>
      </c>
      <c r="G86" s="79">
        <v>118</v>
      </c>
      <c r="H86" s="79">
        <v>33</v>
      </c>
      <c r="I86" s="79">
        <v>95</v>
      </c>
      <c r="J86" s="79">
        <v>24</v>
      </c>
      <c r="K86" s="79">
        <v>84</v>
      </c>
      <c r="L86" s="79">
        <v>35</v>
      </c>
      <c r="M86" s="79">
        <v>109</v>
      </c>
      <c r="N86" s="79">
        <v>60</v>
      </c>
      <c r="O86" s="79">
        <v>107</v>
      </c>
      <c r="P86" s="79">
        <v>37</v>
      </c>
      <c r="Q86" s="79">
        <v>56</v>
      </c>
      <c r="R86" s="79">
        <v>29</v>
      </c>
      <c r="S86" s="79">
        <v>37</v>
      </c>
      <c r="T86" s="79">
        <v>18</v>
      </c>
      <c r="U86" s="79">
        <v>20</v>
      </c>
    </row>
    <row r="87" spans="1:21" x14ac:dyDescent="0.35">
      <c r="A87" s="4" t="s">
        <v>125</v>
      </c>
      <c r="B87" s="79">
        <v>40</v>
      </c>
      <c r="C87" s="79">
        <v>27</v>
      </c>
      <c r="D87" s="79">
        <v>70</v>
      </c>
      <c r="E87" s="79">
        <v>28</v>
      </c>
      <c r="F87" s="79">
        <v>39</v>
      </c>
      <c r="G87" s="79">
        <v>25</v>
      </c>
      <c r="H87" s="79">
        <v>43</v>
      </c>
      <c r="I87" s="79">
        <v>26</v>
      </c>
      <c r="J87" s="79">
        <v>10</v>
      </c>
      <c r="K87" s="79">
        <v>16</v>
      </c>
      <c r="L87" s="79">
        <v>22</v>
      </c>
      <c r="M87" s="79">
        <v>29</v>
      </c>
      <c r="N87" s="79">
        <v>26</v>
      </c>
      <c r="O87" s="79">
        <v>21</v>
      </c>
      <c r="P87" s="79">
        <v>28</v>
      </c>
      <c r="Q87" s="79">
        <v>12</v>
      </c>
      <c r="R87" s="79">
        <v>10</v>
      </c>
      <c r="S87" s="79">
        <v>16</v>
      </c>
      <c r="T87" s="79">
        <v>36</v>
      </c>
      <c r="U87" s="79">
        <v>4</v>
      </c>
    </row>
    <row r="88" spans="1:21" x14ac:dyDescent="0.35">
      <c r="A88" s="4" t="s">
        <v>127</v>
      </c>
      <c r="B88" s="79">
        <v>9</v>
      </c>
      <c r="C88" s="79">
        <v>65</v>
      </c>
      <c r="D88" s="79">
        <v>16</v>
      </c>
      <c r="E88" s="79">
        <v>50</v>
      </c>
      <c r="F88" s="79">
        <v>15</v>
      </c>
      <c r="G88" s="79">
        <v>48</v>
      </c>
      <c r="H88" s="79">
        <v>14</v>
      </c>
      <c r="I88" s="79">
        <v>63</v>
      </c>
      <c r="J88" s="79">
        <v>13</v>
      </c>
      <c r="K88" s="79">
        <v>56</v>
      </c>
      <c r="L88" s="79">
        <v>14</v>
      </c>
      <c r="M88" s="79">
        <v>58</v>
      </c>
      <c r="N88" s="79">
        <v>17</v>
      </c>
      <c r="O88" s="79">
        <v>49</v>
      </c>
      <c r="P88" s="79">
        <v>20</v>
      </c>
      <c r="Q88" s="79">
        <v>27</v>
      </c>
      <c r="R88" s="79">
        <v>23</v>
      </c>
      <c r="S88" s="79">
        <v>17</v>
      </c>
      <c r="T88" s="79">
        <v>26</v>
      </c>
      <c r="U88" s="79">
        <v>14</v>
      </c>
    </row>
    <row r="89" spans="1:21" x14ac:dyDescent="0.35">
      <c r="A89" t="s">
        <v>322</v>
      </c>
      <c r="B89" s="79">
        <v>8</v>
      </c>
      <c r="C89" s="79">
        <v>22</v>
      </c>
      <c r="D89" s="79" t="s">
        <v>205</v>
      </c>
      <c r="E89" s="79" t="s">
        <v>205</v>
      </c>
      <c r="F89" s="79">
        <v>7</v>
      </c>
      <c r="G89" s="79">
        <v>31</v>
      </c>
      <c r="H89" s="79">
        <v>8</v>
      </c>
      <c r="I89" s="79">
        <v>26</v>
      </c>
      <c r="J89" s="79">
        <v>8</v>
      </c>
      <c r="K89" s="79">
        <v>52</v>
      </c>
      <c r="L89" s="79">
        <v>11</v>
      </c>
      <c r="M89" s="79">
        <v>38</v>
      </c>
      <c r="N89" s="79">
        <v>13</v>
      </c>
      <c r="O89" s="79">
        <v>32</v>
      </c>
      <c r="P89" s="79">
        <v>11</v>
      </c>
      <c r="Q89" s="79">
        <v>22</v>
      </c>
      <c r="R89" s="79">
        <v>9</v>
      </c>
      <c r="S89" s="79">
        <v>21</v>
      </c>
      <c r="T89" s="79">
        <v>7</v>
      </c>
      <c r="U89" s="79">
        <v>8</v>
      </c>
    </row>
    <row r="90" spans="1:21" x14ac:dyDescent="0.35">
      <c r="A90" s="4" t="s">
        <v>130</v>
      </c>
      <c r="B90" s="79">
        <v>3</v>
      </c>
      <c r="C90" s="79">
        <v>4</v>
      </c>
      <c r="D90" s="79">
        <v>4</v>
      </c>
      <c r="E90" s="79">
        <v>6</v>
      </c>
      <c r="F90" s="79" t="s">
        <v>366</v>
      </c>
      <c r="G90" s="79" t="s">
        <v>205</v>
      </c>
      <c r="H90" s="79" t="s">
        <v>205</v>
      </c>
      <c r="I90" s="79" t="s">
        <v>205</v>
      </c>
      <c r="J90" s="79" t="s">
        <v>205</v>
      </c>
      <c r="K90" s="79" t="s">
        <v>205</v>
      </c>
      <c r="L90" s="79" t="s">
        <v>205</v>
      </c>
      <c r="M90" s="79" t="s">
        <v>205</v>
      </c>
      <c r="N90" s="79" t="s">
        <v>366</v>
      </c>
      <c r="O90" s="79">
        <v>5</v>
      </c>
      <c r="P90" s="79" t="s">
        <v>205</v>
      </c>
      <c r="Q90" s="79" t="s">
        <v>205</v>
      </c>
      <c r="R90" s="79" t="s">
        <v>205</v>
      </c>
      <c r="S90" s="79" t="s">
        <v>205</v>
      </c>
      <c r="T90" s="79" t="s">
        <v>205</v>
      </c>
      <c r="U90" s="79" t="s">
        <v>205</v>
      </c>
    </row>
    <row r="91" spans="1:21" x14ac:dyDescent="0.35">
      <c r="A91" s="4" t="s">
        <v>131</v>
      </c>
      <c r="B91" s="79">
        <v>15</v>
      </c>
      <c r="C91" s="79">
        <v>93</v>
      </c>
      <c r="D91" s="79">
        <v>13</v>
      </c>
      <c r="E91" s="79">
        <v>76</v>
      </c>
      <c r="F91" s="79">
        <v>8</v>
      </c>
      <c r="G91" s="79">
        <v>58</v>
      </c>
      <c r="H91" s="79">
        <v>21</v>
      </c>
      <c r="I91" s="79">
        <v>44</v>
      </c>
      <c r="J91" s="79">
        <v>11</v>
      </c>
      <c r="K91" s="79">
        <v>41</v>
      </c>
      <c r="L91" s="79">
        <v>15</v>
      </c>
      <c r="M91" s="79">
        <v>44</v>
      </c>
      <c r="N91" s="79">
        <v>18</v>
      </c>
      <c r="O91" s="79">
        <v>35</v>
      </c>
      <c r="P91" s="79">
        <v>9</v>
      </c>
      <c r="Q91" s="79">
        <v>29</v>
      </c>
      <c r="R91" s="79">
        <v>12</v>
      </c>
      <c r="S91" s="79">
        <v>18</v>
      </c>
      <c r="T91" s="79">
        <v>10</v>
      </c>
      <c r="U91" s="79">
        <v>12</v>
      </c>
    </row>
    <row r="92" spans="1:21" x14ac:dyDescent="0.35">
      <c r="A92" s="4" t="s">
        <v>132</v>
      </c>
      <c r="B92" s="79">
        <v>6</v>
      </c>
      <c r="C92" s="79">
        <v>41</v>
      </c>
      <c r="D92" s="79">
        <v>4</v>
      </c>
      <c r="E92" s="79">
        <v>30</v>
      </c>
      <c r="F92" s="79">
        <v>3</v>
      </c>
      <c r="G92" s="79">
        <v>21</v>
      </c>
      <c r="H92" s="79">
        <v>4</v>
      </c>
      <c r="I92" s="79">
        <v>31</v>
      </c>
      <c r="J92" s="79">
        <v>7</v>
      </c>
      <c r="K92" s="79">
        <v>26</v>
      </c>
      <c r="L92" s="79">
        <v>3</v>
      </c>
      <c r="M92" s="79">
        <v>20</v>
      </c>
      <c r="N92" s="79">
        <v>4</v>
      </c>
      <c r="O92" s="79">
        <v>31</v>
      </c>
      <c r="P92" s="79">
        <v>4</v>
      </c>
      <c r="Q92" s="79">
        <v>19</v>
      </c>
      <c r="R92" s="79">
        <v>5</v>
      </c>
      <c r="S92" s="79">
        <v>9</v>
      </c>
      <c r="T92" s="79">
        <v>3</v>
      </c>
      <c r="U92" s="79">
        <v>7</v>
      </c>
    </row>
    <row r="93" spans="1:21" x14ac:dyDescent="0.35">
      <c r="A93" s="4" t="s">
        <v>134</v>
      </c>
      <c r="B93" s="79" t="s">
        <v>205</v>
      </c>
      <c r="C93" s="79" t="s">
        <v>205</v>
      </c>
      <c r="D93" s="79" t="s">
        <v>205</v>
      </c>
      <c r="E93" s="79" t="s">
        <v>205</v>
      </c>
      <c r="F93" s="79" t="s">
        <v>205</v>
      </c>
      <c r="G93" s="79" t="s">
        <v>366</v>
      </c>
      <c r="H93" s="79">
        <v>10</v>
      </c>
      <c r="I93" s="79" t="s">
        <v>366</v>
      </c>
      <c r="J93" s="79">
        <v>11</v>
      </c>
      <c r="K93" s="79">
        <v>4</v>
      </c>
      <c r="L93" s="79" t="s">
        <v>205</v>
      </c>
      <c r="M93" s="79" t="s">
        <v>205</v>
      </c>
      <c r="N93" s="79">
        <v>16</v>
      </c>
      <c r="O93" s="79" t="s">
        <v>366</v>
      </c>
      <c r="P93" s="79" t="s">
        <v>205</v>
      </c>
      <c r="Q93" s="79" t="s">
        <v>205</v>
      </c>
      <c r="R93" s="79" t="s">
        <v>205</v>
      </c>
      <c r="S93" s="79" t="s">
        <v>205</v>
      </c>
      <c r="T93" s="79">
        <v>24</v>
      </c>
      <c r="U93" s="79" t="s">
        <v>366</v>
      </c>
    </row>
    <row r="94" spans="1:21" x14ac:dyDescent="0.35">
      <c r="A94" s="4" t="s">
        <v>135</v>
      </c>
      <c r="B94" s="79">
        <v>6</v>
      </c>
      <c r="C94" s="79">
        <v>38</v>
      </c>
      <c r="D94" s="79" t="s">
        <v>366</v>
      </c>
      <c r="E94" s="79">
        <v>32</v>
      </c>
      <c r="F94" s="79">
        <v>3</v>
      </c>
      <c r="G94" s="79">
        <v>43</v>
      </c>
      <c r="H94" s="79">
        <v>4</v>
      </c>
      <c r="I94" s="79">
        <v>17</v>
      </c>
      <c r="J94" s="79" t="s">
        <v>205</v>
      </c>
      <c r="K94" s="79" t="s">
        <v>205</v>
      </c>
      <c r="L94" s="79" t="s">
        <v>205</v>
      </c>
      <c r="M94" s="79" t="s">
        <v>205</v>
      </c>
      <c r="N94" s="79" t="s">
        <v>366</v>
      </c>
      <c r="O94" s="79">
        <v>19</v>
      </c>
      <c r="P94" s="79" t="s">
        <v>205</v>
      </c>
      <c r="Q94" s="79" t="s">
        <v>205</v>
      </c>
      <c r="R94" s="79" t="s">
        <v>205</v>
      </c>
      <c r="S94" s="79" t="s">
        <v>205</v>
      </c>
      <c r="T94" s="79" t="s">
        <v>205</v>
      </c>
      <c r="U94" s="79" t="s">
        <v>205</v>
      </c>
    </row>
    <row r="95" spans="1:21" x14ac:dyDescent="0.35">
      <c r="A95" s="4" t="s">
        <v>14</v>
      </c>
      <c r="B95" s="79">
        <v>71570</v>
      </c>
      <c r="C95" s="79">
        <v>104295</v>
      </c>
      <c r="D95" s="79">
        <v>70779</v>
      </c>
      <c r="E95" s="79">
        <v>98252</v>
      </c>
      <c r="F95" s="79">
        <v>73171</v>
      </c>
      <c r="G95" s="79">
        <v>113555</v>
      </c>
      <c r="H95" s="79">
        <v>76967</v>
      </c>
      <c r="I95" s="79">
        <v>132029</v>
      </c>
      <c r="J95" s="79">
        <v>77531</v>
      </c>
      <c r="K95" s="79">
        <v>169732</v>
      </c>
      <c r="L95" s="79">
        <v>99616</v>
      </c>
      <c r="M95" s="79">
        <v>177234</v>
      </c>
      <c r="N95" s="79">
        <v>128396</v>
      </c>
      <c r="O95" s="79">
        <v>144754</v>
      </c>
      <c r="P95" s="79">
        <v>145133</v>
      </c>
      <c r="Q95" s="79">
        <v>142945</v>
      </c>
      <c r="R95" s="79">
        <v>151444</v>
      </c>
      <c r="S95" s="79">
        <v>152301</v>
      </c>
      <c r="T95" s="79">
        <v>146298</v>
      </c>
      <c r="U95" s="79">
        <v>168606</v>
      </c>
    </row>
    <row r="96" spans="1:21" x14ac:dyDescent="0.35">
      <c r="A96" s="4" t="s">
        <v>137</v>
      </c>
      <c r="B96" s="79" t="s">
        <v>205</v>
      </c>
      <c r="C96" s="79" t="s">
        <v>205</v>
      </c>
      <c r="D96" s="79">
        <v>21</v>
      </c>
      <c r="E96" s="79">
        <v>3</v>
      </c>
      <c r="F96" s="79">
        <v>23</v>
      </c>
      <c r="G96" s="79">
        <v>7</v>
      </c>
      <c r="H96" s="79">
        <v>35</v>
      </c>
      <c r="I96" s="79">
        <v>8</v>
      </c>
      <c r="J96" s="79">
        <v>56</v>
      </c>
      <c r="K96" s="79">
        <v>8</v>
      </c>
      <c r="L96" s="79">
        <v>52</v>
      </c>
      <c r="M96" s="79">
        <v>14</v>
      </c>
      <c r="N96" s="79">
        <v>60</v>
      </c>
      <c r="O96" s="79">
        <v>4</v>
      </c>
      <c r="P96" s="79" t="s">
        <v>205</v>
      </c>
      <c r="Q96" s="79" t="s">
        <v>205</v>
      </c>
      <c r="R96" s="79" t="s">
        <v>205</v>
      </c>
      <c r="S96" s="79" t="s">
        <v>205</v>
      </c>
      <c r="T96" s="79" t="s">
        <v>205</v>
      </c>
      <c r="U96" s="79" t="s">
        <v>205</v>
      </c>
    </row>
    <row r="97" spans="1:21" x14ac:dyDescent="0.35">
      <c r="A97" s="4" t="s">
        <v>138</v>
      </c>
      <c r="B97" s="79">
        <v>4</v>
      </c>
      <c r="C97" s="79">
        <v>8</v>
      </c>
      <c r="D97" s="79">
        <v>4</v>
      </c>
      <c r="E97" s="79">
        <v>8</v>
      </c>
      <c r="F97" s="79">
        <v>6</v>
      </c>
      <c r="G97" s="79">
        <v>6</v>
      </c>
      <c r="H97" s="79">
        <v>6</v>
      </c>
      <c r="I97" s="79">
        <v>10</v>
      </c>
      <c r="J97" s="79">
        <v>9</v>
      </c>
      <c r="K97" s="79">
        <v>36</v>
      </c>
      <c r="L97" s="79">
        <v>14</v>
      </c>
      <c r="M97" s="79">
        <v>30</v>
      </c>
      <c r="N97" s="79">
        <v>9</v>
      </c>
      <c r="O97" s="79">
        <v>35</v>
      </c>
      <c r="P97" s="79">
        <v>19</v>
      </c>
      <c r="Q97" s="79">
        <v>42</v>
      </c>
      <c r="R97" s="79">
        <v>24</v>
      </c>
      <c r="S97" s="79">
        <v>34</v>
      </c>
      <c r="T97" s="79">
        <v>19</v>
      </c>
      <c r="U97" s="79">
        <v>13</v>
      </c>
    </row>
    <row r="98" spans="1:21" x14ac:dyDescent="0.35">
      <c r="A98" s="4" t="s">
        <v>139</v>
      </c>
      <c r="B98" s="79">
        <v>4</v>
      </c>
      <c r="C98" s="79">
        <v>38</v>
      </c>
      <c r="D98" s="79" t="s">
        <v>205</v>
      </c>
      <c r="E98" s="79" t="s">
        <v>205</v>
      </c>
      <c r="F98" s="79">
        <v>4</v>
      </c>
      <c r="G98" s="79">
        <v>44</v>
      </c>
      <c r="H98" s="79">
        <v>6</v>
      </c>
      <c r="I98" s="79">
        <v>40</v>
      </c>
      <c r="J98" s="79">
        <v>10</v>
      </c>
      <c r="K98" s="79">
        <v>40</v>
      </c>
      <c r="L98" s="79">
        <v>9</v>
      </c>
      <c r="M98" s="79">
        <v>39</v>
      </c>
      <c r="N98" s="79">
        <v>17</v>
      </c>
      <c r="O98" s="79">
        <v>36</v>
      </c>
      <c r="P98" s="79">
        <v>26</v>
      </c>
      <c r="Q98" s="79">
        <v>51</v>
      </c>
      <c r="R98" s="79">
        <v>22</v>
      </c>
      <c r="S98" s="79">
        <v>33</v>
      </c>
      <c r="T98" s="79">
        <v>14</v>
      </c>
      <c r="U98" s="79">
        <v>8</v>
      </c>
    </row>
    <row r="99" spans="1:21" x14ac:dyDescent="0.35">
      <c r="A99" s="4" t="s">
        <v>140</v>
      </c>
      <c r="B99" s="6" t="s">
        <v>206</v>
      </c>
      <c r="C99" s="6" t="s">
        <v>206</v>
      </c>
      <c r="D99" s="6" t="s">
        <v>206</v>
      </c>
      <c r="E99" s="6" t="s">
        <v>206</v>
      </c>
      <c r="F99" s="6" t="s">
        <v>206</v>
      </c>
      <c r="G99" s="6" t="s">
        <v>206</v>
      </c>
      <c r="H99" s="79" t="s">
        <v>366</v>
      </c>
      <c r="I99" s="79" t="s">
        <v>366</v>
      </c>
      <c r="J99" s="79" t="s">
        <v>366</v>
      </c>
      <c r="K99" s="79" t="s">
        <v>366</v>
      </c>
      <c r="L99" s="79" t="s">
        <v>366</v>
      </c>
      <c r="M99" s="79" t="s">
        <v>366</v>
      </c>
      <c r="N99" s="79" t="s">
        <v>366</v>
      </c>
      <c r="O99" s="79" t="s">
        <v>366</v>
      </c>
      <c r="P99" s="79">
        <v>5</v>
      </c>
      <c r="Q99" s="79">
        <v>5</v>
      </c>
      <c r="R99" s="79">
        <v>8</v>
      </c>
      <c r="S99" s="79">
        <v>4</v>
      </c>
      <c r="T99" s="79">
        <v>9</v>
      </c>
      <c r="U99" s="79">
        <v>9</v>
      </c>
    </row>
    <row r="100" spans="1:21" x14ac:dyDescent="0.35">
      <c r="A100" s="4" t="s">
        <v>141</v>
      </c>
      <c r="B100" s="79">
        <v>42</v>
      </c>
      <c r="C100" s="79">
        <v>86</v>
      </c>
      <c r="D100" s="79">
        <v>35</v>
      </c>
      <c r="E100" s="79">
        <v>73</v>
      </c>
      <c r="F100" s="79">
        <v>26</v>
      </c>
      <c r="G100" s="79">
        <v>64</v>
      </c>
      <c r="H100" s="79">
        <v>27</v>
      </c>
      <c r="I100" s="79">
        <v>61</v>
      </c>
      <c r="J100" s="79">
        <v>31</v>
      </c>
      <c r="K100" s="79">
        <v>30</v>
      </c>
      <c r="L100" s="79">
        <v>48</v>
      </c>
      <c r="M100" s="79">
        <v>47</v>
      </c>
      <c r="N100" s="79">
        <v>41</v>
      </c>
      <c r="O100" s="79">
        <v>36</v>
      </c>
      <c r="P100" s="79">
        <v>37</v>
      </c>
      <c r="Q100" s="79">
        <v>26</v>
      </c>
      <c r="R100" s="79">
        <v>37</v>
      </c>
      <c r="S100" s="79">
        <v>21</v>
      </c>
      <c r="T100" s="79">
        <v>30</v>
      </c>
      <c r="U100" s="79">
        <v>14</v>
      </c>
    </row>
    <row r="101" spans="1:21" x14ac:dyDescent="0.35">
      <c r="A101" s="4" t="s">
        <v>144</v>
      </c>
      <c r="B101" s="79">
        <v>4</v>
      </c>
      <c r="C101" s="79">
        <v>45</v>
      </c>
      <c r="D101" s="79">
        <v>8</v>
      </c>
      <c r="E101" s="79">
        <v>30</v>
      </c>
      <c r="F101" s="79">
        <v>8</v>
      </c>
      <c r="G101" s="79">
        <v>22</v>
      </c>
      <c r="H101" s="79">
        <v>5</v>
      </c>
      <c r="I101" s="79">
        <v>38</v>
      </c>
      <c r="J101" s="79">
        <v>8</v>
      </c>
      <c r="K101" s="79">
        <v>38</v>
      </c>
      <c r="L101" s="79">
        <v>11</v>
      </c>
      <c r="M101" s="79">
        <v>44</v>
      </c>
      <c r="N101" s="79">
        <v>8</v>
      </c>
      <c r="O101" s="79">
        <v>49</v>
      </c>
      <c r="P101" s="79">
        <v>9</v>
      </c>
      <c r="Q101" s="79">
        <v>41</v>
      </c>
      <c r="R101" s="79">
        <v>9</v>
      </c>
      <c r="S101" s="79">
        <v>29</v>
      </c>
      <c r="T101" s="79">
        <v>12</v>
      </c>
      <c r="U101" s="79">
        <v>27</v>
      </c>
    </row>
    <row r="102" spans="1:21" x14ac:dyDescent="0.35">
      <c r="A102" s="4" t="s">
        <v>145</v>
      </c>
      <c r="B102" s="79">
        <v>53</v>
      </c>
      <c r="C102" s="79">
        <v>35</v>
      </c>
      <c r="D102" s="79">
        <v>65</v>
      </c>
      <c r="E102" s="79">
        <v>38</v>
      </c>
      <c r="F102" s="79">
        <v>47</v>
      </c>
      <c r="G102" s="79">
        <v>42</v>
      </c>
      <c r="H102" s="79">
        <v>36</v>
      </c>
      <c r="I102" s="79">
        <v>39</v>
      </c>
      <c r="J102" s="79">
        <v>29</v>
      </c>
      <c r="K102" s="79">
        <v>64</v>
      </c>
      <c r="L102" s="79">
        <v>29</v>
      </c>
      <c r="M102" s="79">
        <v>100</v>
      </c>
      <c r="N102" s="79">
        <v>27</v>
      </c>
      <c r="O102" s="79">
        <v>68</v>
      </c>
      <c r="P102" s="79">
        <v>24</v>
      </c>
      <c r="Q102" s="79">
        <v>41</v>
      </c>
      <c r="R102" s="79">
        <v>27</v>
      </c>
      <c r="S102" s="79">
        <v>15</v>
      </c>
      <c r="T102" s="79">
        <v>22</v>
      </c>
      <c r="U102" s="79">
        <v>19</v>
      </c>
    </row>
    <row r="103" spans="1:21" x14ac:dyDescent="0.35">
      <c r="A103" s="4" t="s">
        <v>146</v>
      </c>
      <c r="B103" s="79">
        <v>9</v>
      </c>
      <c r="C103" s="79">
        <v>29</v>
      </c>
      <c r="D103" s="79">
        <v>13</v>
      </c>
      <c r="E103" s="79">
        <v>22</v>
      </c>
      <c r="F103" s="79">
        <v>11</v>
      </c>
      <c r="G103" s="79">
        <v>21</v>
      </c>
      <c r="H103" s="79">
        <v>13</v>
      </c>
      <c r="I103" s="79">
        <v>22</v>
      </c>
      <c r="J103" s="79">
        <v>13</v>
      </c>
      <c r="K103" s="79">
        <v>26</v>
      </c>
      <c r="L103" s="79">
        <v>6</v>
      </c>
      <c r="M103" s="79">
        <v>29</v>
      </c>
      <c r="N103" s="79">
        <v>17</v>
      </c>
      <c r="O103" s="79">
        <v>18</v>
      </c>
      <c r="P103" s="79">
        <v>20</v>
      </c>
      <c r="Q103" s="79">
        <v>24</v>
      </c>
      <c r="R103" s="79">
        <v>17</v>
      </c>
      <c r="S103" s="79">
        <v>17</v>
      </c>
      <c r="T103" s="79">
        <v>7</v>
      </c>
      <c r="U103" s="79">
        <v>9</v>
      </c>
    </row>
    <row r="104" spans="1:21" x14ac:dyDescent="0.35">
      <c r="A104" s="4" t="s">
        <v>147</v>
      </c>
      <c r="B104" s="79">
        <v>401</v>
      </c>
      <c r="C104" s="79">
        <v>546</v>
      </c>
      <c r="D104" s="79">
        <v>356</v>
      </c>
      <c r="E104" s="79">
        <v>936</v>
      </c>
      <c r="F104" s="79">
        <v>592</v>
      </c>
      <c r="G104" s="79">
        <v>1854</v>
      </c>
      <c r="H104" s="79">
        <v>508</v>
      </c>
      <c r="I104" s="79">
        <v>1799</v>
      </c>
      <c r="J104" s="79">
        <v>533</v>
      </c>
      <c r="K104" s="79">
        <v>1724</v>
      </c>
      <c r="L104" s="79">
        <v>620</v>
      </c>
      <c r="M104" s="79">
        <v>1552</v>
      </c>
      <c r="N104" s="79">
        <v>804</v>
      </c>
      <c r="O104" s="79">
        <v>1099</v>
      </c>
      <c r="P104" s="79">
        <v>696</v>
      </c>
      <c r="Q104" s="79">
        <v>806</v>
      </c>
      <c r="R104" s="79">
        <v>731</v>
      </c>
      <c r="S104" s="79">
        <v>669</v>
      </c>
      <c r="T104" s="79">
        <v>691</v>
      </c>
      <c r="U104" s="79">
        <v>646</v>
      </c>
    </row>
    <row r="105" spans="1:21" x14ac:dyDescent="0.35">
      <c r="A105" s="4" t="s">
        <v>148</v>
      </c>
      <c r="B105" s="79">
        <v>12</v>
      </c>
      <c r="C105" s="79">
        <v>36</v>
      </c>
      <c r="D105" s="79">
        <v>8</v>
      </c>
      <c r="E105" s="79">
        <v>26</v>
      </c>
      <c r="F105" s="79">
        <v>8</v>
      </c>
      <c r="G105" s="79">
        <v>22</v>
      </c>
      <c r="H105" s="79">
        <v>20</v>
      </c>
      <c r="I105" s="79">
        <v>20</v>
      </c>
      <c r="J105" s="79">
        <v>7</v>
      </c>
      <c r="K105" s="79">
        <v>32</v>
      </c>
      <c r="L105" s="79">
        <v>9</v>
      </c>
      <c r="M105" s="79">
        <v>22</v>
      </c>
      <c r="N105" s="79">
        <v>6</v>
      </c>
      <c r="O105" s="79">
        <v>18</v>
      </c>
      <c r="P105" s="79">
        <v>3</v>
      </c>
      <c r="Q105" s="79">
        <v>8</v>
      </c>
      <c r="R105" s="79">
        <v>7</v>
      </c>
      <c r="S105" s="79">
        <v>9</v>
      </c>
      <c r="T105" s="79" t="s">
        <v>205</v>
      </c>
      <c r="U105" s="79" t="s">
        <v>205</v>
      </c>
    </row>
    <row r="106" spans="1:21" x14ac:dyDescent="0.35">
      <c r="A106" s="4" t="s">
        <v>149</v>
      </c>
      <c r="B106" s="79">
        <v>279</v>
      </c>
      <c r="C106" s="79">
        <v>278</v>
      </c>
      <c r="D106" s="79">
        <v>232</v>
      </c>
      <c r="E106" s="79">
        <v>248</v>
      </c>
      <c r="F106" s="79">
        <v>202</v>
      </c>
      <c r="G106" s="79">
        <v>216</v>
      </c>
      <c r="H106" s="79">
        <v>241</v>
      </c>
      <c r="I106" s="79">
        <v>194</v>
      </c>
      <c r="J106" s="79">
        <v>209</v>
      </c>
      <c r="K106" s="79">
        <v>226</v>
      </c>
      <c r="L106" s="79">
        <v>222</v>
      </c>
      <c r="M106" s="79">
        <v>202</v>
      </c>
      <c r="N106" s="79">
        <v>184</v>
      </c>
      <c r="O106" s="79">
        <v>186</v>
      </c>
      <c r="P106" s="79">
        <v>167</v>
      </c>
      <c r="Q106" s="79">
        <v>194</v>
      </c>
      <c r="R106" s="79">
        <v>162</v>
      </c>
      <c r="S106" s="79">
        <v>141</v>
      </c>
      <c r="T106" s="79">
        <v>137</v>
      </c>
      <c r="U106" s="79">
        <v>209</v>
      </c>
    </row>
    <row r="107" spans="1:21" x14ac:dyDescent="0.35">
      <c r="A107" s="4" t="s">
        <v>150</v>
      </c>
      <c r="B107" s="79">
        <v>6</v>
      </c>
      <c r="C107" s="79">
        <v>13</v>
      </c>
      <c r="D107" s="79">
        <v>3</v>
      </c>
      <c r="E107" s="79">
        <v>5</v>
      </c>
      <c r="F107" s="79">
        <v>5</v>
      </c>
      <c r="G107" s="79">
        <v>10</v>
      </c>
      <c r="H107" s="79">
        <v>4</v>
      </c>
      <c r="I107" s="79">
        <v>5</v>
      </c>
      <c r="J107" s="79">
        <v>4</v>
      </c>
      <c r="K107" s="79">
        <v>16</v>
      </c>
      <c r="L107" s="79" t="s">
        <v>205</v>
      </c>
      <c r="M107" s="79" t="s">
        <v>205</v>
      </c>
      <c r="N107" s="79">
        <v>4</v>
      </c>
      <c r="O107" s="79">
        <v>11</v>
      </c>
      <c r="P107" s="79" t="s">
        <v>205</v>
      </c>
      <c r="Q107" s="79" t="s">
        <v>205</v>
      </c>
      <c r="R107" s="79" t="s">
        <v>205</v>
      </c>
      <c r="S107" s="79" t="s">
        <v>205</v>
      </c>
      <c r="T107" s="79" t="s">
        <v>366</v>
      </c>
      <c r="U107" s="79">
        <v>5</v>
      </c>
    </row>
    <row r="108" spans="1:21" x14ac:dyDescent="0.35">
      <c r="A108" s="4" t="s">
        <v>152</v>
      </c>
      <c r="B108" s="79">
        <v>119</v>
      </c>
      <c r="C108" s="79">
        <v>531</v>
      </c>
      <c r="D108" s="79">
        <v>104</v>
      </c>
      <c r="E108" s="79">
        <v>551</v>
      </c>
      <c r="F108" s="79">
        <v>94</v>
      </c>
      <c r="G108" s="79">
        <v>473</v>
      </c>
      <c r="H108" s="79">
        <v>112</v>
      </c>
      <c r="I108" s="79">
        <v>433</v>
      </c>
      <c r="J108" s="79">
        <v>74</v>
      </c>
      <c r="K108" s="79">
        <v>309</v>
      </c>
      <c r="L108" s="79">
        <v>73</v>
      </c>
      <c r="M108" s="79">
        <v>285</v>
      </c>
      <c r="N108" s="79">
        <v>78</v>
      </c>
      <c r="O108" s="79">
        <v>253</v>
      </c>
      <c r="P108" s="79">
        <v>75</v>
      </c>
      <c r="Q108" s="79">
        <v>154</v>
      </c>
      <c r="R108" s="79">
        <v>61</v>
      </c>
      <c r="S108" s="79">
        <v>112</v>
      </c>
      <c r="T108" s="79">
        <v>38</v>
      </c>
      <c r="U108" s="79">
        <v>83</v>
      </c>
    </row>
    <row r="109" spans="1:21" x14ac:dyDescent="0.35">
      <c r="A109" s="4" t="s">
        <v>153</v>
      </c>
      <c r="B109" s="79">
        <v>7</v>
      </c>
      <c r="C109" s="79" t="s">
        <v>366</v>
      </c>
      <c r="D109" s="79">
        <v>6</v>
      </c>
      <c r="E109" s="79" t="s">
        <v>366</v>
      </c>
      <c r="F109" s="79">
        <v>11</v>
      </c>
      <c r="G109" s="79" t="s">
        <v>366</v>
      </c>
      <c r="H109" s="79">
        <v>6</v>
      </c>
      <c r="I109" s="79" t="s">
        <v>366</v>
      </c>
      <c r="J109" s="79">
        <v>6</v>
      </c>
      <c r="K109" s="79">
        <v>4</v>
      </c>
      <c r="L109" s="79">
        <v>10</v>
      </c>
      <c r="M109" s="79">
        <v>4</v>
      </c>
      <c r="N109" s="79">
        <v>11</v>
      </c>
      <c r="O109" s="79" t="s">
        <v>366</v>
      </c>
      <c r="P109" s="79">
        <v>13</v>
      </c>
      <c r="Q109" s="79" t="s">
        <v>366</v>
      </c>
      <c r="R109" s="79">
        <v>15</v>
      </c>
      <c r="S109" s="79" t="s">
        <v>366</v>
      </c>
      <c r="T109" s="79">
        <v>16</v>
      </c>
      <c r="U109" s="79" t="s">
        <v>366</v>
      </c>
    </row>
    <row r="110" spans="1:21" x14ac:dyDescent="0.35">
      <c r="A110" s="4" t="s">
        <v>154</v>
      </c>
      <c r="B110" s="79">
        <v>122</v>
      </c>
      <c r="C110" s="79">
        <v>66</v>
      </c>
      <c r="D110" s="79">
        <v>122</v>
      </c>
      <c r="E110" s="79">
        <v>65</v>
      </c>
      <c r="F110" s="79">
        <v>114</v>
      </c>
      <c r="G110" s="79">
        <v>95</v>
      </c>
      <c r="H110" s="79">
        <v>99</v>
      </c>
      <c r="I110" s="79">
        <v>86</v>
      </c>
      <c r="J110" s="79">
        <v>99</v>
      </c>
      <c r="K110" s="79">
        <v>91</v>
      </c>
      <c r="L110" s="79">
        <v>81</v>
      </c>
      <c r="M110" s="79">
        <v>118</v>
      </c>
      <c r="N110" s="79">
        <v>123</v>
      </c>
      <c r="O110" s="79">
        <v>65</v>
      </c>
      <c r="P110" s="79">
        <v>99</v>
      </c>
      <c r="Q110" s="79">
        <v>50</v>
      </c>
      <c r="R110" s="79">
        <v>92</v>
      </c>
      <c r="S110" s="79">
        <v>27</v>
      </c>
      <c r="T110" s="79">
        <v>81</v>
      </c>
      <c r="U110" s="79">
        <v>43</v>
      </c>
    </row>
    <row r="111" spans="1:21" x14ac:dyDescent="0.35">
      <c r="A111" s="4" t="s">
        <v>155</v>
      </c>
      <c r="B111" s="79" t="s">
        <v>205</v>
      </c>
      <c r="C111" s="79" t="s">
        <v>205</v>
      </c>
      <c r="D111" s="79">
        <v>11</v>
      </c>
      <c r="E111" s="79">
        <v>46</v>
      </c>
      <c r="F111" s="79">
        <v>6</v>
      </c>
      <c r="G111" s="79">
        <v>53</v>
      </c>
      <c r="H111" s="79">
        <v>6</v>
      </c>
      <c r="I111" s="79">
        <v>43</v>
      </c>
      <c r="J111" s="79">
        <v>5</v>
      </c>
      <c r="K111" s="79">
        <v>35</v>
      </c>
      <c r="L111" s="79">
        <v>4</v>
      </c>
      <c r="M111" s="79">
        <v>43</v>
      </c>
      <c r="N111" s="79">
        <v>8</v>
      </c>
      <c r="O111" s="79">
        <v>32</v>
      </c>
      <c r="P111" s="79">
        <v>8</v>
      </c>
      <c r="Q111" s="79">
        <v>17</v>
      </c>
      <c r="R111" s="79">
        <v>6</v>
      </c>
      <c r="S111" s="79">
        <v>13</v>
      </c>
      <c r="T111" s="79">
        <v>6</v>
      </c>
      <c r="U111" s="79">
        <v>15</v>
      </c>
    </row>
    <row r="112" spans="1:21" x14ac:dyDescent="0.35">
      <c r="A112" s="4" t="s">
        <v>156</v>
      </c>
      <c r="B112" s="79">
        <v>306</v>
      </c>
      <c r="C112" s="79">
        <v>815</v>
      </c>
      <c r="D112" s="79">
        <v>304</v>
      </c>
      <c r="E112" s="79">
        <v>916</v>
      </c>
      <c r="F112" s="79">
        <v>314</v>
      </c>
      <c r="G112" s="79">
        <v>1024</v>
      </c>
      <c r="H112" s="79">
        <v>295</v>
      </c>
      <c r="I112" s="79">
        <v>913</v>
      </c>
      <c r="J112" s="79">
        <v>337</v>
      </c>
      <c r="K112" s="79">
        <v>938</v>
      </c>
      <c r="L112" s="79">
        <v>365</v>
      </c>
      <c r="M112" s="79">
        <v>917</v>
      </c>
      <c r="N112" s="79">
        <v>419</v>
      </c>
      <c r="O112" s="79">
        <v>689</v>
      </c>
      <c r="P112" s="79">
        <v>459</v>
      </c>
      <c r="Q112" s="79">
        <v>523</v>
      </c>
      <c r="R112" s="79">
        <v>414</v>
      </c>
      <c r="S112" s="79">
        <v>358</v>
      </c>
      <c r="T112" s="79">
        <v>318</v>
      </c>
      <c r="U112" s="79">
        <v>316</v>
      </c>
    </row>
    <row r="113" spans="1:21" x14ac:dyDescent="0.35">
      <c r="A113" s="4" t="s">
        <v>18</v>
      </c>
      <c r="B113" s="79">
        <v>364</v>
      </c>
      <c r="C113" s="79">
        <v>572</v>
      </c>
      <c r="D113" s="79">
        <v>357</v>
      </c>
      <c r="E113" s="79">
        <v>398</v>
      </c>
      <c r="F113" s="79">
        <v>260</v>
      </c>
      <c r="G113" s="79">
        <v>398</v>
      </c>
      <c r="H113" s="79">
        <v>278</v>
      </c>
      <c r="I113" s="79">
        <v>419</v>
      </c>
      <c r="J113" s="79">
        <v>280</v>
      </c>
      <c r="K113" s="79">
        <v>409</v>
      </c>
      <c r="L113" s="79">
        <v>269</v>
      </c>
      <c r="M113" s="79">
        <v>478</v>
      </c>
      <c r="N113" s="79">
        <v>326</v>
      </c>
      <c r="O113" s="79">
        <v>421</v>
      </c>
      <c r="P113" s="79">
        <v>340</v>
      </c>
      <c r="Q113" s="79">
        <v>355</v>
      </c>
      <c r="R113" s="79">
        <v>292</v>
      </c>
      <c r="S113" s="79">
        <v>188</v>
      </c>
      <c r="T113" s="79">
        <v>217</v>
      </c>
      <c r="U113" s="79">
        <v>132</v>
      </c>
    </row>
    <row r="114" spans="1:21" x14ac:dyDescent="0.35">
      <c r="A114" s="4" t="s">
        <v>157</v>
      </c>
      <c r="B114" s="79">
        <v>107</v>
      </c>
      <c r="C114" s="79">
        <v>319</v>
      </c>
      <c r="D114" s="79">
        <v>135</v>
      </c>
      <c r="E114" s="79">
        <v>314</v>
      </c>
      <c r="F114" s="79">
        <v>116</v>
      </c>
      <c r="G114" s="79">
        <v>334</v>
      </c>
      <c r="H114" s="79">
        <v>112</v>
      </c>
      <c r="I114" s="79">
        <v>298</v>
      </c>
      <c r="J114" s="79">
        <v>115</v>
      </c>
      <c r="K114" s="79">
        <v>383</v>
      </c>
      <c r="L114" s="79">
        <v>135</v>
      </c>
      <c r="M114" s="79">
        <v>460</v>
      </c>
      <c r="N114" s="79">
        <v>169</v>
      </c>
      <c r="O114" s="79">
        <v>381</v>
      </c>
      <c r="P114" s="79">
        <v>140</v>
      </c>
      <c r="Q114" s="79">
        <v>286</v>
      </c>
      <c r="R114" s="79">
        <v>162</v>
      </c>
      <c r="S114" s="79">
        <v>251</v>
      </c>
      <c r="T114" s="79">
        <v>107</v>
      </c>
      <c r="U114" s="79">
        <v>110</v>
      </c>
    </row>
    <row r="115" spans="1:21" x14ac:dyDescent="0.35">
      <c r="A115" s="4" t="s">
        <v>158</v>
      </c>
      <c r="B115" s="79">
        <v>77</v>
      </c>
      <c r="C115" s="79">
        <v>43</v>
      </c>
      <c r="D115" s="79">
        <v>78</v>
      </c>
      <c r="E115" s="79">
        <v>45</v>
      </c>
      <c r="F115" s="79">
        <v>93</v>
      </c>
      <c r="G115" s="79">
        <v>53</v>
      </c>
      <c r="H115" s="79">
        <v>80</v>
      </c>
      <c r="I115" s="79">
        <v>44</v>
      </c>
      <c r="J115" s="79">
        <v>87</v>
      </c>
      <c r="K115" s="79">
        <v>71</v>
      </c>
      <c r="L115" s="79">
        <v>92</v>
      </c>
      <c r="M115" s="79">
        <v>114</v>
      </c>
      <c r="N115" s="79">
        <v>84</v>
      </c>
      <c r="O115" s="79">
        <v>100</v>
      </c>
      <c r="P115" s="79">
        <v>76</v>
      </c>
      <c r="Q115" s="79">
        <v>72</v>
      </c>
      <c r="R115" s="79">
        <v>86</v>
      </c>
      <c r="S115" s="79">
        <v>50</v>
      </c>
      <c r="T115" s="79">
        <v>56</v>
      </c>
      <c r="U115" s="79">
        <v>25</v>
      </c>
    </row>
    <row r="116" spans="1:21" x14ac:dyDescent="0.35">
      <c r="A116" s="4" t="s">
        <v>160</v>
      </c>
      <c r="B116" s="79">
        <v>34</v>
      </c>
      <c r="C116" s="79">
        <v>110</v>
      </c>
      <c r="D116" s="79">
        <v>27</v>
      </c>
      <c r="E116" s="79">
        <v>106</v>
      </c>
      <c r="F116" s="79">
        <v>53</v>
      </c>
      <c r="G116" s="79">
        <v>135</v>
      </c>
      <c r="H116" s="79">
        <v>39</v>
      </c>
      <c r="I116" s="79">
        <v>161</v>
      </c>
      <c r="J116" s="79">
        <v>50</v>
      </c>
      <c r="K116" s="79">
        <v>166</v>
      </c>
      <c r="L116" s="79">
        <v>34</v>
      </c>
      <c r="M116" s="79">
        <v>119</v>
      </c>
      <c r="N116" s="79">
        <v>56</v>
      </c>
      <c r="O116" s="79">
        <v>112</v>
      </c>
      <c r="P116" s="79">
        <v>78</v>
      </c>
      <c r="Q116" s="79">
        <v>126</v>
      </c>
      <c r="R116" s="79">
        <v>85</v>
      </c>
      <c r="S116" s="79">
        <v>112</v>
      </c>
      <c r="T116" s="79">
        <v>87</v>
      </c>
      <c r="U116" s="79">
        <v>99</v>
      </c>
    </row>
    <row r="117" spans="1:21" x14ac:dyDescent="0.35">
      <c r="A117" s="4" t="s">
        <v>161</v>
      </c>
      <c r="B117" s="79">
        <v>67</v>
      </c>
      <c r="C117" s="79">
        <v>156</v>
      </c>
      <c r="D117" s="79">
        <v>54</v>
      </c>
      <c r="E117" s="79">
        <v>135</v>
      </c>
      <c r="F117" s="79">
        <v>44</v>
      </c>
      <c r="G117" s="79">
        <v>125</v>
      </c>
      <c r="H117" s="79">
        <v>49</v>
      </c>
      <c r="I117" s="79">
        <v>139</v>
      </c>
      <c r="J117" s="79">
        <v>68</v>
      </c>
      <c r="K117" s="79">
        <v>170</v>
      </c>
      <c r="L117" s="79">
        <v>61</v>
      </c>
      <c r="M117" s="79">
        <v>202</v>
      </c>
      <c r="N117" s="79">
        <v>89</v>
      </c>
      <c r="O117" s="79">
        <v>148</v>
      </c>
      <c r="P117" s="79">
        <v>100</v>
      </c>
      <c r="Q117" s="79">
        <v>142</v>
      </c>
      <c r="R117" s="79">
        <v>81</v>
      </c>
      <c r="S117" s="79">
        <v>96</v>
      </c>
      <c r="T117" s="79">
        <v>64</v>
      </c>
      <c r="U117" s="79">
        <v>51</v>
      </c>
    </row>
    <row r="118" spans="1:21" x14ac:dyDescent="0.35">
      <c r="A118" s="4" t="s">
        <v>162</v>
      </c>
      <c r="B118" s="79" t="s">
        <v>366</v>
      </c>
      <c r="C118" s="79">
        <v>7</v>
      </c>
      <c r="D118" s="79" t="s">
        <v>205</v>
      </c>
      <c r="E118" s="79" t="s">
        <v>205</v>
      </c>
      <c r="F118" s="79" t="s">
        <v>205</v>
      </c>
      <c r="G118" s="79" t="s">
        <v>205</v>
      </c>
      <c r="H118" s="79" t="s">
        <v>205</v>
      </c>
      <c r="I118" s="79" t="s">
        <v>205</v>
      </c>
      <c r="J118" s="79">
        <v>3</v>
      </c>
      <c r="K118" s="79">
        <v>4</v>
      </c>
      <c r="L118" s="79" t="s">
        <v>205</v>
      </c>
      <c r="M118" s="79" t="s">
        <v>205</v>
      </c>
      <c r="N118" s="79" t="s">
        <v>205</v>
      </c>
      <c r="O118" s="79" t="s">
        <v>205</v>
      </c>
      <c r="P118" s="79">
        <v>3</v>
      </c>
      <c r="Q118" s="79">
        <v>5</v>
      </c>
      <c r="R118" s="79" t="s">
        <v>205</v>
      </c>
      <c r="S118" s="79" t="s">
        <v>205</v>
      </c>
      <c r="T118" s="79" t="s">
        <v>366</v>
      </c>
      <c r="U118" s="79">
        <v>4</v>
      </c>
    </row>
    <row r="119" spans="1:21" x14ac:dyDescent="0.35">
      <c r="A119" t="s">
        <v>163</v>
      </c>
      <c r="B119" s="79">
        <v>15</v>
      </c>
      <c r="C119" s="79">
        <v>11</v>
      </c>
      <c r="D119" s="79">
        <v>21</v>
      </c>
      <c r="E119" s="79">
        <v>3</v>
      </c>
      <c r="F119" s="79">
        <v>22</v>
      </c>
      <c r="G119" s="79">
        <v>3</v>
      </c>
      <c r="H119" s="79" t="s">
        <v>205</v>
      </c>
      <c r="I119" s="79" t="s">
        <v>205</v>
      </c>
      <c r="J119" s="79">
        <v>8</v>
      </c>
      <c r="K119" s="79">
        <v>6</v>
      </c>
      <c r="L119" s="79">
        <v>8</v>
      </c>
      <c r="M119" s="79">
        <v>4</v>
      </c>
      <c r="N119" s="79">
        <v>7</v>
      </c>
      <c r="O119" s="79">
        <v>8</v>
      </c>
      <c r="P119" s="79">
        <v>11</v>
      </c>
      <c r="Q119" s="79">
        <v>9</v>
      </c>
      <c r="R119" s="79">
        <v>33</v>
      </c>
      <c r="S119" s="79">
        <v>4</v>
      </c>
      <c r="T119" s="79">
        <v>10</v>
      </c>
      <c r="U119" s="79">
        <v>4</v>
      </c>
    </row>
    <row r="120" spans="1:21" x14ac:dyDescent="0.35">
      <c r="A120" s="4" t="s">
        <v>164</v>
      </c>
      <c r="B120" s="79">
        <v>18</v>
      </c>
      <c r="C120" s="79">
        <v>32</v>
      </c>
      <c r="D120" s="79">
        <v>18</v>
      </c>
      <c r="E120" s="79">
        <v>32</v>
      </c>
      <c r="F120" s="79">
        <v>13</v>
      </c>
      <c r="G120" s="79">
        <v>22</v>
      </c>
      <c r="H120" s="79">
        <v>27</v>
      </c>
      <c r="I120" s="79">
        <v>19</v>
      </c>
      <c r="J120" s="79">
        <v>16</v>
      </c>
      <c r="K120" s="79">
        <v>14</v>
      </c>
      <c r="L120" s="79">
        <v>20</v>
      </c>
      <c r="M120" s="79">
        <v>17</v>
      </c>
      <c r="N120" s="79">
        <v>13</v>
      </c>
      <c r="O120" s="79">
        <v>22</v>
      </c>
      <c r="P120" s="79">
        <v>10</v>
      </c>
      <c r="Q120" s="79">
        <v>13</v>
      </c>
      <c r="R120" s="79">
        <v>12</v>
      </c>
      <c r="S120" s="79">
        <v>11</v>
      </c>
      <c r="T120" s="79">
        <v>10</v>
      </c>
      <c r="U120" s="79">
        <v>16</v>
      </c>
    </row>
    <row r="121" spans="1:21" x14ac:dyDescent="0.35">
      <c r="A121" s="4" t="s">
        <v>165</v>
      </c>
      <c r="B121" s="79">
        <v>32</v>
      </c>
      <c r="C121" s="79">
        <v>12</v>
      </c>
      <c r="D121" s="79">
        <v>30</v>
      </c>
      <c r="E121" s="79">
        <v>14</v>
      </c>
      <c r="F121" s="79">
        <v>14</v>
      </c>
      <c r="G121" s="79">
        <v>7</v>
      </c>
      <c r="H121" s="79">
        <v>15</v>
      </c>
      <c r="I121" s="79">
        <v>11</v>
      </c>
      <c r="J121" s="79">
        <v>12</v>
      </c>
      <c r="K121" s="79">
        <v>11</v>
      </c>
      <c r="L121" s="79">
        <v>16</v>
      </c>
      <c r="M121" s="79">
        <v>16</v>
      </c>
      <c r="N121" s="79">
        <v>18</v>
      </c>
      <c r="O121" s="79">
        <v>8</v>
      </c>
      <c r="P121" s="79">
        <v>17</v>
      </c>
      <c r="Q121" s="79">
        <v>3</v>
      </c>
      <c r="R121" s="79">
        <v>25</v>
      </c>
      <c r="S121" s="79">
        <v>3</v>
      </c>
      <c r="T121" s="79">
        <v>17</v>
      </c>
      <c r="U121" s="79">
        <v>5</v>
      </c>
    </row>
    <row r="122" spans="1:21" x14ac:dyDescent="0.35">
      <c r="A122" s="4" t="s">
        <v>166</v>
      </c>
      <c r="B122" s="79">
        <v>14</v>
      </c>
      <c r="C122" s="79">
        <v>13</v>
      </c>
      <c r="D122" s="79">
        <v>15</v>
      </c>
      <c r="E122" s="79">
        <v>6</v>
      </c>
      <c r="F122" s="79">
        <v>3</v>
      </c>
      <c r="G122" s="79">
        <v>4</v>
      </c>
      <c r="H122" s="79">
        <v>12</v>
      </c>
      <c r="I122" s="79">
        <v>11</v>
      </c>
      <c r="J122" s="79">
        <v>12</v>
      </c>
      <c r="K122" s="79">
        <v>8</v>
      </c>
      <c r="L122" s="79">
        <v>13</v>
      </c>
      <c r="M122" s="79">
        <v>6</v>
      </c>
      <c r="N122" s="79" t="s">
        <v>205</v>
      </c>
      <c r="O122" s="79" t="s">
        <v>205</v>
      </c>
      <c r="P122" s="79">
        <v>5</v>
      </c>
      <c r="Q122" s="79">
        <v>4</v>
      </c>
      <c r="R122" s="79" t="s">
        <v>205</v>
      </c>
      <c r="S122" s="79" t="s">
        <v>205</v>
      </c>
      <c r="T122" s="79">
        <v>6</v>
      </c>
      <c r="U122" s="79">
        <v>4</v>
      </c>
    </row>
    <row r="123" spans="1:21" x14ac:dyDescent="0.35">
      <c r="A123" s="4" t="s">
        <v>167</v>
      </c>
      <c r="B123" s="79">
        <v>3</v>
      </c>
      <c r="C123" s="79">
        <v>20</v>
      </c>
      <c r="D123" s="79">
        <v>5</v>
      </c>
      <c r="E123" s="79">
        <v>15</v>
      </c>
      <c r="F123" s="79">
        <v>4</v>
      </c>
      <c r="G123" s="79">
        <v>19</v>
      </c>
      <c r="H123" s="79">
        <v>5</v>
      </c>
      <c r="I123" s="79">
        <v>26</v>
      </c>
      <c r="J123" s="79">
        <v>11</v>
      </c>
      <c r="K123" s="79">
        <v>21</v>
      </c>
      <c r="L123" s="79">
        <v>6</v>
      </c>
      <c r="M123" s="79">
        <v>12</v>
      </c>
      <c r="N123" s="79">
        <v>11</v>
      </c>
      <c r="O123" s="79">
        <v>27</v>
      </c>
      <c r="P123" s="79">
        <v>4</v>
      </c>
      <c r="Q123" s="79">
        <v>12</v>
      </c>
      <c r="R123" s="79">
        <v>17</v>
      </c>
      <c r="S123" s="79">
        <v>19</v>
      </c>
      <c r="T123" s="79">
        <v>17</v>
      </c>
      <c r="U123" s="79">
        <v>30</v>
      </c>
    </row>
    <row r="124" spans="1:21" x14ac:dyDescent="0.35">
      <c r="A124" s="4" t="s">
        <v>168</v>
      </c>
      <c r="B124" s="79">
        <v>23</v>
      </c>
      <c r="C124" s="79">
        <v>98</v>
      </c>
      <c r="D124" s="79">
        <v>22</v>
      </c>
      <c r="E124" s="79">
        <v>69</v>
      </c>
      <c r="F124" s="79">
        <v>23</v>
      </c>
      <c r="G124" s="79">
        <v>101</v>
      </c>
      <c r="H124" s="79">
        <v>15</v>
      </c>
      <c r="I124" s="79">
        <v>64</v>
      </c>
      <c r="J124" s="79">
        <v>20</v>
      </c>
      <c r="K124" s="79">
        <v>67</v>
      </c>
      <c r="L124" s="79">
        <v>24</v>
      </c>
      <c r="M124" s="79">
        <v>64</v>
      </c>
      <c r="N124" s="79">
        <v>13</v>
      </c>
      <c r="O124" s="79">
        <v>52</v>
      </c>
      <c r="P124" s="79">
        <v>21</v>
      </c>
      <c r="Q124" s="79">
        <v>30</v>
      </c>
      <c r="R124" s="79">
        <v>9</v>
      </c>
      <c r="S124" s="79">
        <v>25</v>
      </c>
      <c r="T124" s="79">
        <v>16</v>
      </c>
      <c r="U124" s="79">
        <v>24</v>
      </c>
    </row>
    <row r="125" spans="1:21" x14ac:dyDescent="0.35">
      <c r="A125" s="4" t="s">
        <v>169</v>
      </c>
      <c r="B125" s="6" t="s">
        <v>206</v>
      </c>
      <c r="C125" s="6" t="s">
        <v>206</v>
      </c>
      <c r="D125" s="6" t="s">
        <v>206</v>
      </c>
      <c r="E125" s="6" t="s">
        <v>206</v>
      </c>
      <c r="F125" s="6" t="s">
        <v>206</v>
      </c>
      <c r="G125" s="6" t="s">
        <v>206</v>
      </c>
      <c r="H125" s="79" t="s">
        <v>366</v>
      </c>
      <c r="I125" s="79" t="s">
        <v>366</v>
      </c>
      <c r="J125" s="79" t="s">
        <v>366</v>
      </c>
      <c r="K125" s="79" t="s">
        <v>366</v>
      </c>
      <c r="L125" s="79" t="s">
        <v>366</v>
      </c>
      <c r="M125" s="79" t="s">
        <v>366</v>
      </c>
      <c r="N125" s="79" t="s">
        <v>366</v>
      </c>
      <c r="O125" s="79" t="s">
        <v>366</v>
      </c>
      <c r="P125" s="79">
        <v>3</v>
      </c>
      <c r="Q125" s="79">
        <v>8</v>
      </c>
      <c r="R125" s="79">
        <v>12</v>
      </c>
      <c r="S125" s="79">
        <v>5</v>
      </c>
      <c r="T125" s="79" t="s">
        <v>366</v>
      </c>
      <c r="U125" s="79" t="s">
        <v>205</v>
      </c>
    </row>
    <row r="126" spans="1:21" x14ac:dyDescent="0.35">
      <c r="A126" t="s">
        <v>215</v>
      </c>
      <c r="B126" s="79">
        <v>22</v>
      </c>
      <c r="C126" s="79">
        <v>95</v>
      </c>
      <c r="D126" s="79">
        <v>35</v>
      </c>
      <c r="E126" s="79">
        <v>110</v>
      </c>
      <c r="F126" s="79">
        <v>29</v>
      </c>
      <c r="G126" s="79">
        <v>76</v>
      </c>
      <c r="H126" s="79">
        <v>32</v>
      </c>
      <c r="I126" s="79">
        <v>105</v>
      </c>
      <c r="J126" s="79">
        <v>30</v>
      </c>
      <c r="K126" s="79">
        <v>135</v>
      </c>
      <c r="L126" s="79">
        <v>24</v>
      </c>
      <c r="M126" s="79">
        <v>77</v>
      </c>
      <c r="N126" s="79">
        <v>27</v>
      </c>
      <c r="O126" s="79">
        <v>82</v>
      </c>
      <c r="P126" s="79">
        <v>18</v>
      </c>
      <c r="Q126" s="79">
        <v>61</v>
      </c>
      <c r="R126" s="79">
        <v>4</v>
      </c>
      <c r="S126" s="79">
        <v>19</v>
      </c>
      <c r="T126" s="79">
        <v>7</v>
      </c>
      <c r="U126" s="79">
        <v>12</v>
      </c>
    </row>
    <row r="127" spans="1:21" x14ac:dyDescent="0.35">
      <c r="A127" s="4" t="s">
        <v>170</v>
      </c>
      <c r="B127" s="79">
        <v>22</v>
      </c>
      <c r="C127" s="79">
        <v>40</v>
      </c>
      <c r="D127" s="79">
        <v>16</v>
      </c>
      <c r="E127" s="79">
        <v>44</v>
      </c>
      <c r="F127" s="79">
        <v>15</v>
      </c>
      <c r="G127" s="79">
        <v>20</v>
      </c>
      <c r="H127" s="79">
        <v>16</v>
      </c>
      <c r="I127" s="79">
        <v>35</v>
      </c>
      <c r="J127" s="79">
        <v>7</v>
      </c>
      <c r="K127" s="79">
        <v>20</v>
      </c>
      <c r="L127" s="79">
        <v>4</v>
      </c>
      <c r="M127" s="79">
        <v>13</v>
      </c>
      <c r="N127" s="79">
        <v>11</v>
      </c>
      <c r="O127" s="79">
        <v>25</v>
      </c>
      <c r="P127" s="79">
        <v>25</v>
      </c>
      <c r="Q127" s="79">
        <v>19</v>
      </c>
      <c r="R127" s="79">
        <v>28</v>
      </c>
      <c r="S127" s="79">
        <v>7</v>
      </c>
      <c r="T127" s="79">
        <v>10</v>
      </c>
      <c r="U127" s="79">
        <v>6</v>
      </c>
    </row>
    <row r="128" spans="1:21" x14ac:dyDescent="0.35">
      <c r="A128" s="4" t="s">
        <v>171</v>
      </c>
      <c r="B128" s="79">
        <v>10</v>
      </c>
      <c r="C128" s="79">
        <v>20</v>
      </c>
      <c r="D128" s="79">
        <v>12</v>
      </c>
      <c r="E128" s="79">
        <v>18</v>
      </c>
      <c r="F128" s="79">
        <v>3</v>
      </c>
      <c r="G128" s="79">
        <v>13</v>
      </c>
      <c r="H128" s="79">
        <v>5</v>
      </c>
      <c r="I128" s="79">
        <v>11</v>
      </c>
      <c r="J128" s="79">
        <v>3</v>
      </c>
      <c r="K128" s="79">
        <v>18</v>
      </c>
      <c r="L128" s="79">
        <v>8</v>
      </c>
      <c r="M128" s="79">
        <v>15</v>
      </c>
      <c r="N128" s="79">
        <v>8</v>
      </c>
      <c r="O128" s="79">
        <v>9</v>
      </c>
      <c r="P128" s="79">
        <v>6</v>
      </c>
      <c r="Q128" s="79">
        <v>8</v>
      </c>
      <c r="R128" s="79" t="s">
        <v>205</v>
      </c>
      <c r="S128" s="79" t="s">
        <v>366</v>
      </c>
      <c r="T128" s="79" t="s">
        <v>205</v>
      </c>
      <c r="U128" s="79" t="s">
        <v>205</v>
      </c>
    </row>
    <row r="129" spans="1:21" x14ac:dyDescent="0.35">
      <c r="A129" s="4" t="s">
        <v>172</v>
      </c>
      <c r="B129" s="79">
        <v>7</v>
      </c>
      <c r="C129" s="79">
        <v>40</v>
      </c>
      <c r="D129" s="79">
        <v>5</v>
      </c>
      <c r="E129" s="79">
        <v>32</v>
      </c>
      <c r="F129" s="79">
        <v>5</v>
      </c>
      <c r="G129" s="79">
        <v>30</v>
      </c>
      <c r="H129" s="79">
        <v>6</v>
      </c>
      <c r="I129" s="79">
        <v>38</v>
      </c>
      <c r="J129" s="79">
        <v>6</v>
      </c>
      <c r="K129" s="79">
        <v>29</v>
      </c>
      <c r="L129" s="79">
        <v>7</v>
      </c>
      <c r="M129" s="79">
        <v>35</v>
      </c>
      <c r="N129" s="79">
        <v>19</v>
      </c>
      <c r="O129" s="79">
        <v>48</v>
      </c>
      <c r="P129" s="79">
        <v>10</v>
      </c>
      <c r="Q129" s="79">
        <v>27</v>
      </c>
      <c r="R129" s="79">
        <v>7</v>
      </c>
      <c r="S129" s="79">
        <v>19</v>
      </c>
      <c r="T129" s="79">
        <v>8</v>
      </c>
      <c r="U129" s="79">
        <v>15</v>
      </c>
    </row>
    <row r="130" spans="1:21" x14ac:dyDescent="0.35">
      <c r="A130" s="4" t="s">
        <v>173</v>
      </c>
      <c r="B130" s="79" t="s">
        <v>366</v>
      </c>
      <c r="C130" s="79">
        <v>14</v>
      </c>
      <c r="D130" s="79">
        <v>3</v>
      </c>
      <c r="E130" s="79">
        <v>5</v>
      </c>
      <c r="F130" s="79" t="s">
        <v>205</v>
      </c>
      <c r="G130" s="79" t="s">
        <v>205</v>
      </c>
      <c r="H130" s="79" t="s">
        <v>205</v>
      </c>
      <c r="I130" s="79" t="s">
        <v>205</v>
      </c>
      <c r="J130" s="79" t="s">
        <v>366</v>
      </c>
      <c r="K130" s="79">
        <v>4</v>
      </c>
      <c r="L130" s="79" t="s">
        <v>205</v>
      </c>
      <c r="M130" s="79" t="s">
        <v>205</v>
      </c>
      <c r="N130" s="79">
        <v>3</v>
      </c>
      <c r="O130" s="79">
        <v>7</v>
      </c>
      <c r="P130" s="79">
        <v>3</v>
      </c>
      <c r="Q130" s="79">
        <v>4</v>
      </c>
      <c r="R130" s="79" t="s">
        <v>366</v>
      </c>
      <c r="S130" s="79">
        <v>4</v>
      </c>
      <c r="T130" s="79" t="s">
        <v>205</v>
      </c>
      <c r="U130" s="79" t="s">
        <v>205</v>
      </c>
    </row>
    <row r="131" spans="1:21" x14ac:dyDescent="0.35">
      <c r="A131" s="4" t="s">
        <v>174</v>
      </c>
      <c r="B131" s="79" t="s">
        <v>205</v>
      </c>
      <c r="C131" s="79" t="s">
        <v>205</v>
      </c>
      <c r="D131" s="79">
        <v>5</v>
      </c>
      <c r="E131" s="79">
        <v>35</v>
      </c>
      <c r="F131" s="79">
        <v>5</v>
      </c>
      <c r="G131" s="79">
        <v>34</v>
      </c>
      <c r="H131" s="79">
        <v>3</v>
      </c>
      <c r="I131" s="79">
        <v>16</v>
      </c>
      <c r="J131" s="79" t="s">
        <v>205</v>
      </c>
      <c r="K131" s="79" t="s">
        <v>205</v>
      </c>
      <c r="L131" s="79">
        <v>6</v>
      </c>
      <c r="M131" s="79">
        <v>20</v>
      </c>
      <c r="N131" s="79">
        <v>9</v>
      </c>
      <c r="O131" s="79">
        <v>30</v>
      </c>
      <c r="P131" s="79">
        <v>5</v>
      </c>
      <c r="Q131" s="79">
        <v>26</v>
      </c>
      <c r="R131" s="79">
        <v>5</v>
      </c>
      <c r="S131" s="79">
        <v>36</v>
      </c>
      <c r="T131" s="79">
        <v>32</v>
      </c>
      <c r="U131" s="79">
        <v>20</v>
      </c>
    </row>
    <row r="132" spans="1:21" x14ac:dyDescent="0.35">
      <c r="A132" s="4" t="s">
        <v>175</v>
      </c>
      <c r="B132" s="79">
        <v>30</v>
      </c>
      <c r="C132" s="79">
        <v>42</v>
      </c>
      <c r="D132" s="79">
        <v>23</v>
      </c>
      <c r="E132" s="79">
        <v>50</v>
      </c>
      <c r="F132" s="79">
        <v>24</v>
      </c>
      <c r="G132" s="79">
        <v>45</v>
      </c>
      <c r="H132" s="79">
        <v>13</v>
      </c>
      <c r="I132" s="79">
        <v>32</v>
      </c>
      <c r="J132" s="79">
        <v>18</v>
      </c>
      <c r="K132" s="79">
        <v>41</v>
      </c>
      <c r="L132" s="79">
        <v>15</v>
      </c>
      <c r="M132" s="79">
        <v>36</v>
      </c>
      <c r="N132" s="79">
        <v>12</v>
      </c>
      <c r="O132" s="79">
        <v>49</v>
      </c>
      <c r="P132" s="79">
        <v>23</v>
      </c>
      <c r="Q132" s="79">
        <v>29</v>
      </c>
      <c r="R132" s="79">
        <v>25</v>
      </c>
      <c r="S132" s="79">
        <v>18</v>
      </c>
      <c r="T132" s="79">
        <v>17</v>
      </c>
      <c r="U132" s="79">
        <v>16</v>
      </c>
    </row>
    <row r="133" spans="1:21" x14ac:dyDescent="0.35">
      <c r="A133" s="4" t="s">
        <v>176</v>
      </c>
      <c r="B133" s="55" t="s">
        <v>206</v>
      </c>
      <c r="C133" s="55" t="s">
        <v>206</v>
      </c>
      <c r="D133" s="55" t="s">
        <v>206</v>
      </c>
      <c r="E133" s="55" t="s">
        <v>206</v>
      </c>
      <c r="F133" s="55" t="s">
        <v>206</v>
      </c>
      <c r="G133" s="55" t="s">
        <v>206</v>
      </c>
      <c r="H133" s="55" t="s">
        <v>206</v>
      </c>
      <c r="I133" s="55" t="s">
        <v>206</v>
      </c>
      <c r="J133" s="55" t="s">
        <v>206</v>
      </c>
      <c r="K133" s="55" t="s">
        <v>206</v>
      </c>
      <c r="L133" s="55" t="s">
        <v>206</v>
      </c>
      <c r="M133" s="55" t="s">
        <v>206</v>
      </c>
      <c r="N133" s="55" t="s">
        <v>206</v>
      </c>
      <c r="O133" s="55" t="s">
        <v>206</v>
      </c>
      <c r="P133" s="55" t="s">
        <v>366</v>
      </c>
      <c r="Q133" s="55" t="s">
        <v>366</v>
      </c>
      <c r="R133" s="55" t="s">
        <v>366</v>
      </c>
      <c r="S133" s="55" t="s">
        <v>366</v>
      </c>
      <c r="T133" s="55">
        <v>38</v>
      </c>
      <c r="U133" s="55" t="s">
        <v>366</v>
      </c>
    </row>
    <row r="134" spans="1:21" x14ac:dyDescent="0.35">
      <c r="A134" t="s">
        <v>216</v>
      </c>
      <c r="B134" s="79">
        <v>9</v>
      </c>
      <c r="C134" s="79">
        <v>8</v>
      </c>
      <c r="D134" s="79">
        <v>14</v>
      </c>
      <c r="E134" s="79">
        <v>8</v>
      </c>
      <c r="F134" s="79">
        <v>5</v>
      </c>
      <c r="G134" s="79">
        <v>3</v>
      </c>
      <c r="H134" s="79" t="s">
        <v>205</v>
      </c>
      <c r="I134" s="79" t="s">
        <v>205</v>
      </c>
      <c r="J134" s="79">
        <v>6</v>
      </c>
      <c r="K134" s="79">
        <v>8</v>
      </c>
      <c r="L134" s="79" t="s">
        <v>205</v>
      </c>
      <c r="M134" s="79" t="s">
        <v>205</v>
      </c>
      <c r="N134" s="79" t="s">
        <v>205</v>
      </c>
      <c r="O134" s="79" t="s">
        <v>205</v>
      </c>
      <c r="P134" s="79" t="s">
        <v>205</v>
      </c>
      <c r="Q134" s="79" t="s">
        <v>205</v>
      </c>
      <c r="R134" s="79" t="s">
        <v>205</v>
      </c>
      <c r="S134" s="79" t="s">
        <v>366</v>
      </c>
      <c r="T134" s="79" t="s">
        <v>205</v>
      </c>
      <c r="U134" s="79" t="s">
        <v>205</v>
      </c>
    </row>
    <row r="135" spans="1:21" x14ac:dyDescent="0.35">
      <c r="A135" s="4" t="s">
        <v>177</v>
      </c>
      <c r="B135" s="79">
        <v>56</v>
      </c>
      <c r="C135" s="79">
        <v>53</v>
      </c>
      <c r="D135" s="79">
        <v>29</v>
      </c>
      <c r="E135" s="79">
        <v>37</v>
      </c>
      <c r="F135" s="79">
        <v>25</v>
      </c>
      <c r="G135" s="79">
        <v>34</v>
      </c>
      <c r="H135" s="79">
        <v>25</v>
      </c>
      <c r="I135" s="79">
        <v>40</v>
      </c>
      <c r="J135" s="79">
        <v>27</v>
      </c>
      <c r="K135" s="79">
        <v>67</v>
      </c>
      <c r="L135" s="79">
        <v>21</v>
      </c>
      <c r="M135" s="79">
        <v>135</v>
      </c>
      <c r="N135" s="79">
        <v>30</v>
      </c>
      <c r="O135" s="79">
        <v>107</v>
      </c>
      <c r="P135" s="79">
        <v>38</v>
      </c>
      <c r="Q135" s="79">
        <v>84</v>
      </c>
      <c r="R135" s="79">
        <v>37</v>
      </c>
      <c r="S135" s="79">
        <v>56</v>
      </c>
      <c r="T135" s="79">
        <v>30</v>
      </c>
      <c r="U135" s="79">
        <v>62</v>
      </c>
    </row>
    <row r="136" spans="1:21" x14ac:dyDescent="0.35">
      <c r="A136" s="4" t="s">
        <v>178</v>
      </c>
      <c r="B136" s="79">
        <v>8</v>
      </c>
      <c r="C136" s="79">
        <v>86</v>
      </c>
      <c r="D136" s="79">
        <v>4</v>
      </c>
      <c r="E136" s="79">
        <v>81</v>
      </c>
      <c r="F136" s="79">
        <v>6</v>
      </c>
      <c r="G136" s="79">
        <v>76</v>
      </c>
      <c r="H136" s="79">
        <v>6</v>
      </c>
      <c r="I136" s="79">
        <v>54</v>
      </c>
      <c r="J136" s="79">
        <v>9</v>
      </c>
      <c r="K136" s="79">
        <v>104</v>
      </c>
      <c r="L136" s="79">
        <v>4</v>
      </c>
      <c r="M136" s="79">
        <v>96</v>
      </c>
      <c r="N136" s="79">
        <v>19</v>
      </c>
      <c r="O136" s="79">
        <v>336</v>
      </c>
      <c r="P136" s="79">
        <v>15</v>
      </c>
      <c r="Q136" s="79">
        <v>221</v>
      </c>
      <c r="R136" s="79">
        <v>10</v>
      </c>
      <c r="S136" s="79">
        <v>90</v>
      </c>
      <c r="T136" s="79">
        <v>5</v>
      </c>
      <c r="U136" s="79">
        <v>42</v>
      </c>
    </row>
    <row r="137" spans="1:21" x14ac:dyDescent="0.35">
      <c r="A137" s="4" t="s">
        <v>179</v>
      </c>
      <c r="B137" s="79">
        <v>11</v>
      </c>
      <c r="C137" s="79">
        <v>17</v>
      </c>
      <c r="D137" s="79">
        <v>4</v>
      </c>
      <c r="E137" s="79">
        <v>13</v>
      </c>
      <c r="F137" s="79">
        <v>5</v>
      </c>
      <c r="G137" s="79">
        <v>17</v>
      </c>
      <c r="H137" s="79">
        <v>5</v>
      </c>
      <c r="I137" s="79">
        <v>8</v>
      </c>
      <c r="J137" s="79">
        <v>4</v>
      </c>
      <c r="K137" s="79">
        <v>11</v>
      </c>
      <c r="L137" s="79">
        <v>10</v>
      </c>
      <c r="M137" s="79">
        <v>9</v>
      </c>
      <c r="N137" s="79">
        <v>16</v>
      </c>
      <c r="O137" s="79">
        <v>11</v>
      </c>
      <c r="P137" s="79">
        <v>9</v>
      </c>
      <c r="Q137" s="79">
        <v>8</v>
      </c>
      <c r="R137" s="79">
        <v>18</v>
      </c>
      <c r="S137" s="79">
        <v>11</v>
      </c>
      <c r="T137" s="79">
        <v>11</v>
      </c>
      <c r="U137" s="79">
        <v>5</v>
      </c>
    </row>
    <row r="138" spans="1:21" x14ac:dyDescent="0.35">
      <c r="A138" s="4" t="s">
        <v>180</v>
      </c>
      <c r="B138" s="79">
        <v>7</v>
      </c>
      <c r="C138" s="79">
        <v>17</v>
      </c>
      <c r="D138" s="79">
        <v>6</v>
      </c>
      <c r="E138" s="79">
        <v>18</v>
      </c>
      <c r="F138" s="79">
        <v>7</v>
      </c>
      <c r="G138" s="79">
        <v>14</v>
      </c>
      <c r="H138" s="79">
        <v>6</v>
      </c>
      <c r="I138" s="79">
        <v>6</v>
      </c>
      <c r="J138" s="79">
        <v>4</v>
      </c>
      <c r="K138" s="79">
        <v>10</v>
      </c>
      <c r="L138" s="79">
        <v>7</v>
      </c>
      <c r="M138" s="79">
        <v>10</v>
      </c>
      <c r="N138" s="79">
        <v>5</v>
      </c>
      <c r="O138" s="79">
        <v>6</v>
      </c>
      <c r="P138" s="79">
        <v>7</v>
      </c>
      <c r="Q138" s="79">
        <v>6</v>
      </c>
      <c r="R138" s="79">
        <v>5</v>
      </c>
      <c r="S138" s="79" t="s">
        <v>366</v>
      </c>
      <c r="T138" s="79">
        <v>10</v>
      </c>
      <c r="U138" s="79">
        <v>3</v>
      </c>
    </row>
    <row r="139" spans="1:21" x14ac:dyDescent="0.35">
      <c r="A139" s="4" t="s">
        <v>182</v>
      </c>
      <c r="B139" s="79">
        <v>9</v>
      </c>
      <c r="C139" s="79">
        <v>20</v>
      </c>
      <c r="D139" s="79">
        <v>13</v>
      </c>
      <c r="E139" s="79">
        <v>21</v>
      </c>
      <c r="F139" s="79">
        <v>8</v>
      </c>
      <c r="G139" s="79">
        <v>17</v>
      </c>
      <c r="H139" s="79">
        <v>10</v>
      </c>
      <c r="I139" s="79">
        <v>25</v>
      </c>
      <c r="J139" s="79">
        <v>7</v>
      </c>
      <c r="K139" s="79">
        <v>31</v>
      </c>
      <c r="L139" s="79">
        <v>8</v>
      </c>
      <c r="M139" s="79">
        <v>56</v>
      </c>
      <c r="N139" s="79">
        <v>8</v>
      </c>
      <c r="O139" s="79">
        <v>40</v>
      </c>
      <c r="P139" s="79">
        <v>7</v>
      </c>
      <c r="Q139" s="79">
        <v>22</v>
      </c>
      <c r="R139" s="79">
        <v>16</v>
      </c>
      <c r="S139" s="79">
        <v>17</v>
      </c>
      <c r="T139" s="79">
        <v>13</v>
      </c>
      <c r="U139" s="79">
        <v>9</v>
      </c>
    </row>
    <row r="140" spans="1:21" x14ac:dyDescent="0.35">
      <c r="A140" s="4" t="s">
        <v>183</v>
      </c>
      <c r="B140" s="79">
        <v>3</v>
      </c>
      <c r="C140" s="79">
        <v>10</v>
      </c>
      <c r="D140" s="79">
        <v>5</v>
      </c>
      <c r="E140" s="79">
        <v>12</v>
      </c>
      <c r="F140" s="79">
        <v>10</v>
      </c>
      <c r="G140" s="79">
        <v>5</v>
      </c>
      <c r="H140" s="79">
        <v>4</v>
      </c>
      <c r="I140" s="79">
        <v>12</v>
      </c>
      <c r="J140" s="79">
        <v>5</v>
      </c>
      <c r="K140" s="79">
        <v>15</v>
      </c>
      <c r="L140" s="79" t="s">
        <v>205</v>
      </c>
      <c r="M140" s="79" t="s">
        <v>205</v>
      </c>
      <c r="N140" s="79" t="s">
        <v>205</v>
      </c>
      <c r="O140" s="79" t="s">
        <v>205</v>
      </c>
      <c r="P140" s="79">
        <v>6</v>
      </c>
      <c r="Q140" s="79">
        <v>6</v>
      </c>
      <c r="R140" s="79">
        <v>4</v>
      </c>
      <c r="S140" s="79">
        <v>9</v>
      </c>
      <c r="T140" s="79">
        <v>4</v>
      </c>
      <c r="U140" s="79">
        <v>4</v>
      </c>
    </row>
    <row r="141" spans="1:21" x14ac:dyDescent="0.35">
      <c r="A141" s="4" t="s">
        <v>184</v>
      </c>
      <c r="B141" s="79">
        <v>25</v>
      </c>
      <c r="C141" s="79">
        <v>47</v>
      </c>
      <c r="D141" s="79">
        <v>15</v>
      </c>
      <c r="E141" s="79">
        <v>44</v>
      </c>
      <c r="F141" s="79">
        <v>21</v>
      </c>
      <c r="G141" s="79">
        <v>49</v>
      </c>
      <c r="H141" s="79">
        <v>7</v>
      </c>
      <c r="I141" s="79">
        <v>33</v>
      </c>
      <c r="J141" s="79">
        <v>9</v>
      </c>
      <c r="K141" s="79">
        <v>37</v>
      </c>
      <c r="L141" s="79">
        <v>12</v>
      </c>
      <c r="M141" s="79">
        <v>22</v>
      </c>
      <c r="N141" s="79">
        <v>17</v>
      </c>
      <c r="O141" s="79">
        <v>37</v>
      </c>
      <c r="P141" s="79">
        <v>12</v>
      </c>
      <c r="Q141" s="79">
        <v>24</v>
      </c>
      <c r="R141" s="79" t="s">
        <v>205</v>
      </c>
      <c r="S141" s="79" t="s">
        <v>205</v>
      </c>
      <c r="T141" s="79">
        <v>3</v>
      </c>
      <c r="U141" s="79">
        <v>13</v>
      </c>
    </row>
    <row r="142" spans="1:21" x14ac:dyDescent="0.35">
      <c r="A142" s="4" t="s">
        <v>185</v>
      </c>
      <c r="B142" s="79">
        <v>31</v>
      </c>
      <c r="C142" s="79">
        <v>70</v>
      </c>
      <c r="D142" s="79">
        <v>18</v>
      </c>
      <c r="E142" s="79">
        <v>50</v>
      </c>
      <c r="F142" s="79">
        <v>9</v>
      </c>
      <c r="G142" s="79">
        <v>77</v>
      </c>
      <c r="H142" s="79">
        <v>15</v>
      </c>
      <c r="I142" s="79">
        <v>111</v>
      </c>
      <c r="J142" s="79">
        <v>24</v>
      </c>
      <c r="K142" s="79">
        <v>57</v>
      </c>
      <c r="L142" s="79">
        <v>14</v>
      </c>
      <c r="M142" s="79">
        <v>71</v>
      </c>
      <c r="N142" s="79">
        <v>18</v>
      </c>
      <c r="O142" s="79">
        <v>44</v>
      </c>
      <c r="P142" s="79">
        <v>14</v>
      </c>
      <c r="Q142" s="79">
        <v>55</v>
      </c>
      <c r="R142" s="79">
        <v>15</v>
      </c>
      <c r="S142" s="79">
        <v>32</v>
      </c>
      <c r="T142" s="79">
        <v>14</v>
      </c>
      <c r="U142" s="79">
        <v>32</v>
      </c>
    </row>
    <row r="143" spans="1:21" x14ac:dyDescent="0.35">
      <c r="A143" s="4" t="s">
        <v>186</v>
      </c>
      <c r="B143" s="79" t="s">
        <v>366</v>
      </c>
      <c r="C143" s="79">
        <v>6</v>
      </c>
      <c r="D143" s="79" t="s">
        <v>205</v>
      </c>
      <c r="E143" s="79" t="s">
        <v>205</v>
      </c>
      <c r="F143" s="79" t="s">
        <v>366</v>
      </c>
      <c r="G143" s="79" t="s">
        <v>205</v>
      </c>
      <c r="H143" s="79" t="s">
        <v>366</v>
      </c>
      <c r="I143" s="79" t="s">
        <v>205</v>
      </c>
      <c r="J143" s="79">
        <v>3</v>
      </c>
      <c r="K143" s="79">
        <v>7</v>
      </c>
      <c r="L143" s="79" t="s">
        <v>205</v>
      </c>
      <c r="M143" s="79" t="s">
        <v>205</v>
      </c>
      <c r="N143" s="79" t="s">
        <v>205</v>
      </c>
      <c r="O143" s="79" t="s">
        <v>205</v>
      </c>
      <c r="P143" s="79">
        <v>10</v>
      </c>
      <c r="Q143" s="79">
        <v>23</v>
      </c>
      <c r="R143" s="79">
        <v>6</v>
      </c>
      <c r="S143" s="79">
        <v>10</v>
      </c>
      <c r="T143" s="79">
        <v>4</v>
      </c>
      <c r="U143" s="79">
        <v>5</v>
      </c>
    </row>
    <row r="144" spans="1:21" x14ac:dyDescent="0.35">
      <c r="A144" s="4" t="s">
        <v>187</v>
      </c>
      <c r="B144" s="79">
        <v>9</v>
      </c>
      <c r="C144" s="79">
        <v>18</v>
      </c>
      <c r="D144" s="79">
        <v>5</v>
      </c>
      <c r="E144" s="79">
        <v>13</v>
      </c>
      <c r="F144" s="79">
        <v>5</v>
      </c>
      <c r="G144" s="79">
        <v>15</v>
      </c>
      <c r="H144" s="79">
        <v>8</v>
      </c>
      <c r="I144" s="79">
        <v>15</v>
      </c>
      <c r="J144" s="79">
        <v>12</v>
      </c>
      <c r="K144" s="79">
        <v>29</v>
      </c>
      <c r="L144" s="79">
        <v>15</v>
      </c>
      <c r="M144" s="79">
        <v>27</v>
      </c>
      <c r="N144" s="79">
        <v>14</v>
      </c>
      <c r="O144" s="79">
        <v>17</v>
      </c>
      <c r="P144" s="79">
        <v>9</v>
      </c>
      <c r="Q144" s="79">
        <v>18</v>
      </c>
      <c r="R144" s="79">
        <v>9</v>
      </c>
      <c r="S144" s="79">
        <v>6</v>
      </c>
      <c r="T144" s="79">
        <v>15</v>
      </c>
      <c r="U144" s="79">
        <v>10</v>
      </c>
    </row>
    <row r="145" spans="1:21" x14ac:dyDescent="0.35">
      <c r="A145" s="4" t="s">
        <v>188</v>
      </c>
      <c r="B145" s="79">
        <v>30</v>
      </c>
      <c r="C145" s="79">
        <v>66</v>
      </c>
      <c r="D145" s="79">
        <v>31</v>
      </c>
      <c r="E145" s="79">
        <v>44</v>
      </c>
      <c r="F145" s="79">
        <v>16</v>
      </c>
      <c r="G145" s="79">
        <v>57</v>
      </c>
      <c r="H145" s="79">
        <v>13</v>
      </c>
      <c r="I145" s="79">
        <v>78</v>
      </c>
      <c r="J145" s="79">
        <v>20</v>
      </c>
      <c r="K145" s="79">
        <v>82</v>
      </c>
      <c r="L145" s="79">
        <v>25</v>
      </c>
      <c r="M145" s="79">
        <v>80</v>
      </c>
      <c r="N145" s="79">
        <v>26</v>
      </c>
      <c r="O145" s="79">
        <v>89</v>
      </c>
      <c r="P145" s="79">
        <v>15</v>
      </c>
      <c r="Q145" s="79">
        <v>72</v>
      </c>
      <c r="R145" s="79">
        <v>25</v>
      </c>
      <c r="S145" s="79">
        <v>45</v>
      </c>
      <c r="T145" s="79">
        <v>18</v>
      </c>
      <c r="U145" s="79">
        <v>38</v>
      </c>
    </row>
    <row r="146" spans="1:21" x14ac:dyDescent="0.35">
      <c r="A146" s="4" t="s">
        <v>189</v>
      </c>
      <c r="B146" s="79">
        <v>10</v>
      </c>
      <c r="C146" s="79">
        <v>31</v>
      </c>
      <c r="D146" s="79">
        <v>4</v>
      </c>
      <c r="E146" s="79">
        <v>23</v>
      </c>
      <c r="F146" s="79">
        <v>7</v>
      </c>
      <c r="G146" s="79">
        <v>16</v>
      </c>
      <c r="H146" s="79">
        <v>7</v>
      </c>
      <c r="I146" s="79">
        <v>16</v>
      </c>
      <c r="J146" s="79">
        <v>4</v>
      </c>
      <c r="K146" s="79">
        <v>26</v>
      </c>
      <c r="L146" s="79">
        <v>14</v>
      </c>
      <c r="M146" s="79">
        <v>14</v>
      </c>
      <c r="N146" s="79">
        <v>6</v>
      </c>
      <c r="O146" s="79">
        <v>12</v>
      </c>
      <c r="P146" s="79">
        <v>5</v>
      </c>
      <c r="Q146" s="79">
        <v>11</v>
      </c>
      <c r="R146" s="79">
        <v>7</v>
      </c>
      <c r="S146" s="79">
        <v>9</v>
      </c>
      <c r="T146" s="79" t="s">
        <v>205</v>
      </c>
      <c r="U146" s="79" t="s">
        <v>205</v>
      </c>
    </row>
    <row r="147" spans="1:21" x14ac:dyDescent="0.35">
      <c r="A147" s="4" t="s">
        <v>190</v>
      </c>
      <c r="B147" s="79">
        <v>38</v>
      </c>
      <c r="C147" s="79">
        <v>12</v>
      </c>
      <c r="D147" s="79">
        <v>34</v>
      </c>
      <c r="E147" s="79">
        <v>7</v>
      </c>
      <c r="F147" s="79">
        <v>23</v>
      </c>
      <c r="G147" s="79">
        <v>9</v>
      </c>
      <c r="H147" s="79">
        <v>23</v>
      </c>
      <c r="I147" s="79">
        <v>9</v>
      </c>
      <c r="J147" s="79">
        <v>27</v>
      </c>
      <c r="K147" s="79">
        <v>11</v>
      </c>
      <c r="L147" s="79">
        <v>23</v>
      </c>
      <c r="M147" s="79">
        <v>8</v>
      </c>
      <c r="N147" s="79">
        <v>22</v>
      </c>
      <c r="O147" s="79">
        <v>12</v>
      </c>
      <c r="P147" s="79">
        <v>37</v>
      </c>
      <c r="Q147" s="79">
        <v>8</v>
      </c>
      <c r="R147" s="79">
        <v>27</v>
      </c>
      <c r="S147" s="79">
        <v>6</v>
      </c>
      <c r="T147" s="79" t="s">
        <v>205</v>
      </c>
      <c r="U147" s="79" t="s">
        <v>205</v>
      </c>
    </row>
    <row r="148" spans="1:21" x14ac:dyDescent="0.35">
      <c r="A148" s="4" t="s">
        <v>191</v>
      </c>
      <c r="B148" s="79">
        <v>266</v>
      </c>
      <c r="C148" s="79">
        <v>191</v>
      </c>
      <c r="D148" s="79">
        <v>307</v>
      </c>
      <c r="E148" s="79">
        <v>148</v>
      </c>
      <c r="F148" s="79">
        <v>248</v>
      </c>
      <c r="G148" s="79">
        <v>150</v>
      </c>
      <c r="H148" s="79">
        <v>234</v>
      </c>
      <c r="I148" s="79">
        <v>129</v>
      </c>
      <c r="J148" s="79">
        <v>273</v>
      </c>
      <c r="K148" s="79">
        <v>205</v>
      </c>
      <c r="L148" s="79">
        <v>258</v>
      </c>
      <c r="M148" s="79">
        <v>226</v>
      </c>
      <c r="N148" s="79">
        <v>264</v>
      </c>
      <c r="O148" s="79">
        <v>116</v>
      </c>
      <c r="P148" s="79">
        <v>236</v>
      </c>
      <c r="Q148" s="79">
        <v>90</v>
      </c>
      <c r="R148" s="79">
        <v>177</v>
      </c>
      <c r="S148" s="79">
        <v>56</v>
      </c>
      <c r="T148" s="79">
        <v>134</v>
      </c>
      <c r="U148" s="79">
        <v>35</v>
      </c>
    </row>
    <row r="149" spans="1:21" x14ac:dyDescent="0.35">
      <c r="A149" s="4" t="s">
        <v>192</v>
      </c>
      <c r="B149" s="79">
        <v>12</v>
      </c>
      <c r="C149" s="79">
        <v>27</v>
      </c>
      <c r="D149" s="79">
        <v>12</v>
      </c>
      <c r="E149" s="79">
        <v>27</v>
      </c>
      <c r="F149" s="79">
        <v>8</v>
      </c>
      <c r="G149" s="79">
        <v>25</v>
      </c>
      <c r="H149" s="79">
        <v>5</v>
      </c>
      <c r="I149" s="79">
        <v>18</v>
      </c>
      <c r="J149" s="79">
        <v>9</v>
      </c>
      <c r="K149" s="79">
        <v>29</v>
      </c>
      <c r="L149" s="79">
        <v>3</v>
      </c>
      <c r="M149" s="79">
        <v>12</v>
      </c>
      <c r="N149" s="79">
        <v>10</v>
      </c>
      <c r="O149" s="79">
        <v>20</v>
      </c>
      <c r="P149" s="79">
        <v>6</v>
      </c>
      <c r="Q149" s="79">
        <v>8</v>
      </c>
      <c r="R149" s="79">
        <v>12</v>
      </c>
      <c r="S149" s="79">
        <v>5</v>
      </c>
      <c r="T149" s="79">
        <v>7</v>
      </c>
      <c r="U149" s="79">
        <v>5</v>
      </c>
    </row>
    <row r="150" spans="1:21" x14ac:dyDescent="0.35">
      <c r="A150" s="4" t="s">
        <v>193</v>
      </c>
      <c r="B150" s="79">
        <v>24</v>
      </c>
      <c r="C150" s="79">
        <v>125</v>
      </c>
      <c r="D150" s="79">
        <v>26</v>
      </c>
      <c r="E150" s="79">
        <v>158</v>
      </c>
      <c r="F150" s="79">
        <v>25</v>
      </c>
      <c r="G150" s="79">
        <v>133</v>
      </c>
      <c r="H150" s="79">
        <v>35</v>
      </c>
      <c r="I150" s="79">
        <v>120</v>
      </c>
      <c r="J150" s="79">
        <v>33</v>
      </c>
      <c r="K150" s="79">
        <v>150</v>
      </c>
      <c r="L150" s="79">
        <v>18</v>
      </c>
      <c r="M150" s="79">
        <v>131</v>
      </c>
      <c r="N150" s="79">
        <v>51</v>
      </c>
      <c r="O150" s="79">
        <v>127</v>
      </c>
      <c r="P150" s="79">
        <v>41</v>
      </c>
      <c r="Q150" s="79">
        <v>85</v>
      </c>
      <c r="R150" s="79">
        <v>33</v>
      </c>
      <c r="S150" s="79">
        <v>88</v>
      </c>
      <c r="T150" s="79">
        <v>29</v>
      </c>
      <c r="U150" s="79">
        <v>54</v>
      </c>
    </row>
    <row r="151" spans="1:21" x14ac:dyDescent="0.35">
      <c r="A151" s="4" t="s">
        <v>372</v>
      </c>
      <c r="B151" s="79" t="s">
        <v>366</v>
      </c>
      <c r="C151" s="79" t="s">
        <v>205</v>
      </c>
      <c r="D151" s="79" t="s">
        <v>366</v>
      </c>
      <c r="E151" s="79">
        <v>3</v>
      </c>
      <c r="F151" s="79" t="s">
        <v>366</v>
      </c>
      <c r="G151" s="79" t="s">
        <v>366</v>
      </c>
      <c r="H151" s="79" t="s">
        <v>366</v>
      </c>
      <c r="I151" s="79">
        <v>3</v>
      </c>
      <c r="J151" s="79">
        <v>5</v>
      </c>
      <c r="K151" s="79">
        <v>5</v>
      </c>
      <c r="L151" s="79">
        <v>4</v>
      </c>
      <c r="M151" s="79">
        <v>7</v>
      </c>
      <c r="N151" s="79">
        <v>6</v>
      </c>
      <c r="O151" s="79">
        <v>5</v>
      </c>
      <c r="P151" s="79">
        <v>3</v>
      </c>
      <c r="Q151" s="79">
        <v>9</v>
      </c>
      <c r="R151" s="79">
        <v>5</v>
      </c>
      <c r="S151" s="79">
        <v>5</v>
      </c>
      <c r="T151" s="79">
        <v>3</v>
      </c>
      <c r="U151" s="79">
        <v>6</v>
      </c>
    </row>
    <row r="152" spans="1:21" x14ac:dyDescent="0.35">
      <c r="A152" s="4" t="s">
        <v>195</v>
      </c>
      <c r="B152" s="79">
        <v>8</v>
      </c>
      <c r="C152" s="79">
        <v>22</v>
      </c>
      <c r="D152" s="79">
        <v>5</v>
      </c>
      <c r="E152" s="79">
        <v>19</v>
      </c>
      <c r="F152" s="79">
        <v>7</v>
      </c>
      <c r="G152" s="79">
        <v>19</v>
      </c>
      <c r="H152" s="79">
        <v>7</v>
      </c>
      <c r="I152" s="79">
        <v>24</v>
      </c>
      <c r="J152" s="79">
        <v>10</v>
      </c>
      <c r="K152" s="79">
        <v>18</v>
      </c>
      <c r="L152" s="79">
        <v>13</v>
      </c>
      <c r="M152" s="79">
        <v>18</v>
      </c>
      <c r="N152" s="79">
        <v>10</v>
      </c>
      <c r="O152" s="79">
        <v>18</v>
      </c>
      <c r="P152" s="79">
        <v>6</v>
      </c>
      <c r="Q152" s="79">
        <v>22</v>
      </c>
      <c r="R152" s="79">
        <v>3</v>
      </c>
      <c r="S152" s="79">
        <v>7</v>
      </c>
      <c r="T152" s="79">
        <v>9</v>
      </c>
      <c r="U152" s="79">
        <v>10</v>
      </c>
    </row>
    <row r="153" spans="1:21" x14ac:dyDescent="0.35">
      <c r="A153" s="4" t="s">
        <v>196</v>
      </c>
      <c r="B153" s="79">
        <v>47</v>
      </c>
      <c r="C153" s="79">
        <v>198</v>
      </c>
      <c r="D153" s="79">
        <v>47</v>
      </c>
      <c r="E153" s="79">
        <v>121</v>
      </c>
      <c r="F153" s="79">
        <v>48</v>
      </c>
      <c r="G153" s="79">
        <v>126</v>
      </c>
      <c r="H153" s="79">
        <v>36</v>
      </c>
      <c r="I153" s="79">
        <v>126</v>
      </c>
      <c r="J153" s="79">
        <v>62</v>
      </c>
      <c r="K153" s="79">
        <v>120</v>
      </c>
      <c r="L153" s="79">
        <v>55</v>
      </c>
      <c r="M153" s="79">
        <v>137</v>
      </c>
      <c r="N153" s="79">
        <v>61</v>
      </c>
      <c r="O153" s="79">
        <v>111</v>
      </c>
      <c r="P153" s="79">
        <v>81</v>
      </c>
      <c r="Q153" s="79">
        <v>127</v>
      </c>
      <c r="R153" s="79">
        <v>84</v>
      </c>
      <c r="S153" s="79">
        <v>85</v>
      </c>
      <c r="T153" s="79">
        <v>71</v>
      </c>
      <c r="U153" s="79">
        <v>38</v>
      </c>
    </row>
    <row r="154" spans="1:21" x14ac:dyDescent="0.35">
      <c r="A154" s="4" t="s">
        <v>197</v>
      </c>
      <c r="B154" s="79" t="s">
        <v>205</v>
      </c>
      <c r="C154" s="79" t="s">
        <v>205</v>
      </c>
      <c r="D154" s="79" t="s">
        <v>366</v>
      </c>
      <c r="E154" s="79" t="s">
        <v>205</v>
      </c>
      <c r="F154" s="79" t="s">
        <v>366</v>
      </c>
      <c r="G154" s="79">
        <v>10</v>
      </c>
      <c r="H154" s="79" t="s">
        <v>366</v>
      </c>
      <c r="I154" s="79">
        <v>5</v>
      </c>
      <c r="J154" s="79" t="s">
        <v>366</v>
      </c>
      <c r="K154" s="79">
        <v>5</v>
      </c>
      <c r="L154" s="79" t="s">
        <v>366</v>
      </c>
      <c r="M154" s="79" t="s">
        <v>205</v>
      </c>
      <c r="N154" s="79" t="s">
        <v>205</v>
      </c>
      <c r="O154" s="79" t="s">
        <v>205</v>
      </c>
      <c r="P154" s="79" t="s">
        <v>366</v>
      </c>
      <c r="Q154" s="79">
        <v>4</v>
      </c>
      <c r="R154" s="79" t="s">
        <v>366</v>
      </c>
      <c r="S154" s="79" t="s">
        <v>205</v>
      </c>
      <c r="T154" s="79" t="s">
        <v>205</v>
      </c>
      <c r="U154" s="79" t="s">
        <v>205</v>
      </c>
    </row>
    <row r="155" spans="1:21" x14ac:dyDescent="0.35">
      <c r="A155" s="4" t="s">
        <v>198</v>
      </c>
      <c r="B155" s="79">
        <v>254</v>
      </c>
      <c r="C155" s="79">
        <v>236</v>
      </c>
      <c r="D155" s="79">
        <v>218</v>
      </c>
      <c r="E155" s="79">
        <v>213</v>
      </c>
      <c r="F155" s="79">
        <v>195</v>
      </c>
      <c r="G155" s="79">
        <v>190</v>
      </c>
      <c r="H155" s="79">
        <v>162</v>
      </c>
      <c r="I155" s="79">
        <v>216</v>
      </c>
      <c r="J155" s="79">
        <v>179</v>
      </c>
      <c r="K155" s="79">
        <v>300</v>
      </c>
      <c r="L155" s="79">
        <v>201</v>
      </c>
      <c r="M155" s="79">
        <v>518</v>
      </c>
      <c r="N155" s="79">
        <v>207</v>
      </c>
      <c r="O155" s="79">
        <v>294</v>
      </c>
      <c r="P155" s="79">
        <v>164</v>
      </c>
      <c r="Q155" s="79">
        <v>163</v>
      </c>
      <c r="R155" s="79">
        <v>183</v>
      </c>
      <c r="S155" s="79">
        <v>140</v>
      </c>
      <c r="T155" s="79">
        <v>144</v>
      </c>
      <c r="U155" s="79">
        <v>75</v>
      </c>
    </row>
    <row r="156" spans="1:21" x14ac:dyDescent="0.35">
      <c r="A156" s="4" t="s">
        <v>199</v>
      </c>
      <c r="B156" s="79">
        <v>17</v>
      </c>
      <c r="C156" s="79">
        <v>129</v>
      </c>
      <c r="D156" s="79">
        <v>23</v>
      </c>
      <c r="E156" s="79">
        <v>134</v>
      </c>
      <c r="F156" s="79">
        <v>19</v>
      </c>
      <c r="G156" s="79">
        <v>123</v>
      </c>
      <c r="H156" s="79">
        <v>31</v>
      </c>
      <c r="I156" s="79">
        <v>132</v>
      </c>
      <c r="J156" s="79">
        <v>49</v>
      </c>
      <c r="K156" s="79">
        <v>124</v>
      </c>
      <c r="L156" s="79">
        <v>52</v>
      </c>
      <c r="M156" s="79">
        <v>118</v>
      </c>
      <c r="N156" s="79">
        <v>65</v>
      </c>
      <c r="O156" s="79">
        <v>104</v>
      </c>
      <c r="P156" s="79">
        <v>69</v>
      </c>
      <c r="Q156" s="79">
        <v>103</v>
      </c>
      <c r="R156" s="79">
        <v>59</v>
      </c>
      <c r="S156" s="79">
        <v>52</v>
      </c>
      <c r="T156" s="79">
        <v>45</v>
      </c>
      <c r="U156" s="79">
        <v>34</v>
      </c>
    </row>
    <row r="157" spans="1:21" x14ac:dyDescent="0.35">
      <c r="A157" s="4" t="s">
        <v>200</v>
      </c>
      <c r="B157" s="79">
        <v>10</v>
      </c>
      <c r="C157" s="79">
        <v>63</v>
      </c>
      <c r="D157" s="79">
        <v>8</v>
      </c>
      <c r="E157" s="79">
        <v>48</v>
      </c>
      <c r="F157" s="79">
        <v>5</v>
      </c>
      <c r="G157" s="79">
        <v>43</v>
      </c>
      <c r="H157" s="79">
        <v>7</v>
      </c>
      <c r="I157" s="79">
        <v>39</v>
      </c>
      <c r="J157" s="79">
        <v>9</v>
      </c>
      <c r="K157" s="79">
        <v>47</v>
      </c>
      <c r="L157" s="79">
        <v>5</v>
      </c>
      <c r="M157" s="79">
        <v>84</v>
      </c>
      <c r="N157" s="79">
        <v>17</v>
      </c>
      <c r="O157" s="79">
        <v>64</v>
      </c>
      <c r="P157" s="79">
        <v>12</v>
      </c>
      <c r="Q157" s="79">
        <v>50</v>
      </c>
      <c r="R157" s="79">
        <v>8</v>
      </c>
      <c r="S157" s="79">
        <v>18</v>
      </c>
      <c r="T157" s="79">
        <v>9</v>
      </c>
      <c r="U157" s="79">
        <v>18</v>
      </c>
    </row>
    <row r="158" spans="1:21" x14ac:dyDescent="0.35">
      <c r="A158" s="4" t="s">
        <v>19</v>
      </c>
      <c r="B158" s="79">
        <v>119</v>
      </c>
      <c r="C158" s="79">
        <v>316</v>
      </c>
      <c r="D158" s="79">
        <v>144</v>
      </c>
      <c r="E158" s="79">
        <v>254</v>
      </c>
      <c r="F158" s="79">
        <v>130</v>
      </c>
      <c r="G158" s="79">
        <v>314</v>
      </c>
      <c r="H158" s="79">
        <v>124</v>
      </c>
      <c r="I158" s="79">
        <v>358</v>
      </c>
      <c r="J158" s="79">
        <v>120</v>
      </c>
      <c r="K158" s="79">
        <v>292</v>
      </c>
      <c r="L158" s="79">
        <v>130</v>
      </c>
      <c r="M158" s="79">
        <v>369</v>
      </c>
      <c r="N158" s="79">
        <v>133</v>
      </c>
      <c r="O158" s="79">
        <v>258</v>
      </c>
      <c r="P158" s="79">
        <v>118</v>
      </c>
      <c r="Q158" s="79">
        <v>190</v>
      </c>
      <c r="R158" s="79">
        <v>122</v>
      </c>
      <c r="S158" s="79">
        <v>149</v>
      </c>
      <c r="T158" s="79">
        <v>86</v>
      </c>
      <c r="U158" s="79">
        <v>110</v>
      </c>
    </row>
    <row r="159" spans="1:21" x14ac:dyDescent="0.35">
      <c r="A159" s="4" t="s">
        <v>201</v>
      </c>
      <c r="B159" s="79">
        <v>18</v>
      </c>
      <c r="C159" s="79">
        <v>15</v>
      </c>
      <c r="D159" s="79">
        <v>11</v>
      </c>
      <c r="E159" s="79">
        <v>16</v>
      </c>
      <c r="F159" s="79">
        <v>19</v>
      </c>
      <c r="G159" s="79">
        <v>22</v>
      </c>
      <c r="H159" s="79">
        <v>9</v>
      </c>
      <c r="I159" s="79">
        <v>18</v>
      </c>
      <c r="J159" s="79">
        <v>8</v>
      </c>
      <c r="K159" s="79">
        <v>22</v>
      </c>
      <c r="L159" s="79">
        <v>29</v>
      </c>
      <c r="M159" s="79">
        <v>23</v>
      </c>
      <c r="N159" s="79">
        <v>9</v>
      </c>
      <c r="O159" s="79">
        <v>29</v>
      </c>
      <c r="P159" s="79">
        <v>26</v>
      </c>
      <c r="Q159" s="79">
        <v>27</v>
      </c>
      <c r="R159" s="79">
        <v>28</v>
      </c>
      <c r="S159" s="79">
        <v>34</v>
      </c>
      <c r="T159" s="79">
        <v>38</v>
      </c>
      <c r="U159" s="79">
        <v>25</v>
      </c>
    </row>
    <row r="160" spans="1:21" x14ac:dyDescent="0.35">
      <c r="A160" s="4" t="s">
        <v>202</v>
      </c>
      <c r="B160" s="79">
        <v>12</v>
      </c>
      <c r="C160" s="79">
        <v>40</v>
      </c>
      <c r="D160" s="79">
        <v>23</v>
      </c>
      <c r="E160" s="79">
        <v>53</v>
      </c>
      <c r="F160" s="79">
        <v>16</v>
      </c>
      <c r="G160" s="79">
        <v>31</v>
      </c>
      <c r="H160" s="79">
        <v>17</v>
      </c>
      <c r="I160" s="79">
        <v>47</v>
      </c>
      <c r="J160" s="79">
        <v>10</v>
      </c>
      <c r="K160" s="79">
        <v>34</v>
      </c>
      <c r="L160" s="79">
        <v>14</v>
      </c>
      <c r="M160" s="79">
        <v>39</v>
      </c>
      <c r="N160" s="79">
        <v>10</v>
      </c>
      <c r="O160" s="79">
        <v>30</v>
      </c>
      <c r="P160" s="79">
        <v>14</v>
      </c>
      <c r="Q160" s="79">
        <v>25</v>
      </c>
      <c r="R160" s="79">
        <v>11</v>
      </c>
      <c r="S160" s="79">
        <v>26</v>
      </c>
      <c r="T160" s="79">
        <v>9</v>
      </c>
      <c r="U160" s="79">
        <v>7</v>
      </c>
    </row>
    <row r="161" spans="1:21" x14ac:dyDescent="0.35">
      <c r="A161" s="4" t="s">
        <v>203</v>
      </c>
      <c r="B161" s="79">
        <v>8</v>
      </c>
      <c r="C161" s="79">
        <v>14</v>
      </c>
      <c r="D161" s="79">
        <v>6</v>
      </c>
      <c r="E161" s="79">
        <v>10</v>
      </c>
      <c r="F161" s="79">
        <v>7</v>
      </c>
      <c r="G161" s="79">
        <v>7</v>
      </c>
      <c r="H161" s="79">
        <v>13</v>
      </c>
      <c r="I161" s="79">
        <v>12</v>
      </c>
      <c r="J161" s="79">
        <v>7</v>
      </c>
      <c r="K161" s="79">
        <v>13</v>
      </c>
      <c r="L161" s="79">
        <v>7</v>
      </c>
      <c r="M161" s="79">
        <v>9</v>
      </c>
      <c r="N161" s="79">
        <v>5</v>
      </c>
      <c r="O161" s="79">
        <v>18</v>
      </c>
      <c r="P161" s="79" t="s">
        <v>205</v>
      </c>
      <c r="Q161" s="79" t="s">
        <v>205</v>
      </c>
      <c r="R161" s="79">
        <v>13</v>
      </c>
      <c r="S161" s="79">
        <v>7</v>
      </c>
      <c r="T161" s="79" t="s">
        <v>205</v>
      </c>
      <c r="U161" s="79" t="s">
        <v>205</v>
      </c>
    </row>
    <row r="162" spans="1:21" x14ac:dyDescent="0.35">
      <c r="A162" s="4" t="s">
        <v>204</v>
      </c>
      <c r="B162" s="79">
        <v>11</v>
      </c>
      <c r="C162" s="79">
        <v>12</v>
      </c>
      <c r="D162" s="79">
        <v>5</v>
      </c>
      <c r="E162" s="79">
        <v>29</v>
      </c>
      <c r="F162" s="79">
        <v>12</v>
      </c>
      <c r="G162" s="79">
        <v>14</v>
      </c>
      <c r="H162" s="79" t="s">
        <v>205</v>
      </c>
      <c r="I162" s="79" t="s">
        <v>205</v>
      </c>
      <c r="J162" s="79">
        <v>3</v>
      </c>
      <c r="K162" s="79">
        <v>40</v>
      </c>
      <c r="L162" s="79">
        <v>3</v>
      </c>
      <c r="M162" s="79">
        <v>24</v>
      </c>
      <c r="N162" s="79">
        <v>6</v>
      </c>
      <c r="O162" s="79">
        <v>27</v>
      </c>
      <c r="P162" s="79">
        <v>16</v>
      </c>
      <c r="Q162" s="79">
        <v>18</v>
      </c>
      <c r="R162" s="79">
        <v>5</v>
      </c>
      <c r="S162" s="79">
        <v>7</v>
      </c>
      <c r="T162" s="79">
        <v>9</v>
      </c>
      <c r="U162" s="79">
        <v>4</v>
      </c>
    </row>
    <row r="163" spans="1:21" x14ac:dyDescent="0.35">
      <c r="A163" s="3" t="s">
        <v>373</v>
      </c>
      <c r="B163" s="79">
        <v>16</v>
      </c>
      <c r="C163" s="79">
        <v>41</v>
      </c>
      <c r="D163" s="79">
        <v>11</v>
      </c>
      <c r="E163" s="79">
        <v>42</v>
      </c>
      <c r="F163" s="79">
        <v>10</v>
      </c>
      <c r="G163" s="79">
        <v>46</v>
      </c>
      <c r="H163" s="79">
        <v>10</v>
      </c>
      <c r="I163" s="79">
        <v>39</v>
      </c>
      <c r="J163" s="79">
        <v>23</v>
      </c>
      <c r="K163" s="79">
        <v>49</v>
      </c>
      <c r="L163" s="79">
        <v>34</v>
      </c>
      <c r="M163" s="79">
        <v>51</v>
      </c>
      <c r="N163" s="79">
        <v>38</v>
      </c>
      <c r="O163" s="79">
        <v>57</v>
      </c>
      <c r="P163" s="79">
        <v>30</v>
      </c>
      <c r="Q163" s="79">
        <v>37</v>
      </c>
      <c r="R163" s="79">
        <v>27</v>
      </c>
      <c r="S163" s="79">
        <v>33</v>
      </c>
      <c r="T163" s="79">
        <v>23</v>
      </c>
      <c r="U163" s="79">
        <v>23</v>
      </c>
    </row>
    <row r="164" spans="1:21" x14ac:dyDescent="0.35">
      <c r="A164" s="4" t="s">
        <v>39</v>
      </c>
      <c r="B164" s="79">
        <v>7</v>
      </c>
      <c r="C164" s="79">
        <v>85</v>
      </c>
      <c r="D164" s="79" t="s">
        <v>205</v>
      </c>
      <c r="E164" s="79" t="s">
        <v>205</v>
      </c>
      <c r="F164" s="79">
        <v>8</v>
      </c>
      <c r="G164" s="79">
        <v>68</v>
      </c>
      <c r="H164" s="79">
        <v>4</v>
      </c>
      <c r="I164" s="79">
        <v>39</v>
      </c>
      <c r="J164" s="79">
        <v>10</v>
      </c>
      <c r="K164" s="79">
        <v>150</v>
      </c>
      <c r="L164" s="79">
        <v>13</v>
      </c>
      <c r="M164" s="79">
        <v>60</v>
      </c>
      <c r="N164" s="79">
        <v>19</v>
      </c>
      <c r="O164" s="79">
        <v>40</v>
      </c>
      <c r="P164" s="79">
        <v>13</v>
      </c>
      <c r="Q164" s="79">
        <v>65</v>
      </c>
      <c r="R164" s="79">
        <v>13</v>
      </c>
      <c r="S164" s="79">
        <v>21</v>
      </c>
      <c r="T164" s="79">
        <v>16</v>
      </c>
      <c r="U164" s="79">
        <v>17</v>
      </c>
    </row>
    <row r="165" spans="1:21" x14ac:dyDescent="0.35">
      <c r="B165" s="79"/>
      <c r="C165" s="79"/>
      <c r="D165" s="79"/>
      <c r="E165" s="79"/>
      <c r="F165" s="79"/>
      <c r="G165" s="79"/>
      <c r="H165" s="79"/>
      <c r="I165" s="79"/>
      <c r="J165" s="79"/>
      <c r="K165" s="79"/>
      <c r="L165" s="79"/>
      <c r="M165" s="79"/>
      <c r="N165" s="79"/>
      <c r="O165" s="79"/>
      <c r="P165" s="79"/>
      <c r="Q165" s="79"/>
      <c r="R165" s="79"/>
      <c r="S165" s="79"/>
      <c r="T165" s="79"/>
      <c r="U165" s="79"/>
    </row>
    <row r="166" spans="1:21" x14ac:dyDescent="0.35">
      <c r="A166" s="56" t="s">
        <v>207</v>
      </c>
      <c r="B166" s="60"/>
      <c r="C166" s="60"/>
      <c r="D166" s="60"/>
      <c r="E166" s="60"/>
      <c r="F166" s="60"/>
      <c r="G166" s="60"/>
      <c r="H166" s="60"/>
      <c r="I166" s="60"/>
      <c r="J166" s="79"/>
      <c r="K166" s="79"/>
      <c r="L166" s="79"/>
      <c r="M166" s="79"/>
      <c r="N166" s="79"/>
      <c r="O166" s="79"/>
      <c r="P166" s="79"/>
      <c r="Q166" s="79"/>
      <c r="R166" s="79"/>
      <c r="S166" s="79"/>
      <c r="T166" s="79"/>
      <c r="U166" s="79"/>
    </row>
    <row r="167" spans="1:21" x14ac:dyDescent="0.35">
      <c r="A167" s="83" t="s">
        <v>420</v>
      </c>
      <c r="B167" s="60"/>
      <c r="C167" s="60"/>
      <c r="D167" s="60"/>
      <c r="E167" s="60"/>
      <c r="F167" s="60"/>
      <c r="G167" s="60"/>
      <c r="H167" s="60"/>
      <c r="I167" s="60"/>
      <c r="J167" s="79"/>
      <c r="K167" s="79"/>
      <c r="L167" s="79"/>
      <c r="M167" s="79"/>
      <c r="N167" s="79"/>
      <c r="O167" s="79"/>
      <c r="P167" s="79"/>
      <c r="Q167" s="79"/>
      <c r="R167" s="79"/>
      <c r="S167" s="79"/>
      <c r="T167" s="79"/>
      <c r="U167" s="79"/>
    </row>
    <row r="168" spans="1:21" x14ac:dyDescent="0.35">
      <c r="A168" s="56" t="s">
        <v>457</v>
      </c>
      <c r="B168" s="60"/>
      <c r="C168" s="60"/>
      <c r="D168" s="60"/>
      <c r="E168" s="60"/>
      <c r="F168" s="60"/>
      <c r="G168" s="60"/>
      <c r="H168" s="60"/>
      <c r="I168" s="60"/>
      <c r="J168" s="79"/>
      <c r="K168" s="79"/>
      <c r="L168" s="79"/>
      <c r="M168" s="79"/>
      <c r="N168" s="79"/>
      <c r="O168" s="79"/>
      <c r="P168" s="79"/>
      <c r="Q168" s="79"/>
      <c r="R168" s="79"/>
      <c r="S168" s="79"/>
      <c r="T168" s="79"/>
      <c r="U168" s="79"/>
    </row>
    <row r="169" spans="1:21" x14ac:dyDescent="0.35">
      <c r="A169" s="56" t="s">
        <v>435</v>
      </c>
      <c r="B169" s="60"/>
      <c r="C169" s="60"/>
      <c r="D169" s="60"/>
      <c r="E169" s="60"/>
      <c r="F169" s="60"/>
      <c r="G169" s="60"/>
      <c r="H169" s="60"/>
      <c r="I169" s="60"/>
      <c r="J169" s="79"/>
      <c r="K169" s="79"/>
      <c r="L169" s="79"/>
      <c r="M169" s="79"/>
      <c r="N169" s="79"/>
      <c r="O169" s="79"/>
      <c r="P169" s="79"/>
      <c r="Q169" s="79"/>
      <c r="R169" s="79"/>
      <c r="S169" s="79"/>
      <c r="T169" s="79"/>
      <c r="U169" s="79"/>
    </row>
    <row r="170" spans="1:21" x14ac:dyDescent="0.35">
      <c r="A170" s="56" t="s">
        <v>436</v>
      </c>
      <c r="B170" s="60"/>
      <c r="C170" s="60"/>
      <c r="D170" s="60"/>
      <c r="E170" s="60"/>
      <c r="F170" s="60"/>
      <c r="G170" s="60"/>
      <c r="H170" s="60"/>
      <c r="I170" s="60"/>
      <c r="J170" s="79"/>
      <c r="K170" s="79"/>
      <c r="L170" s="79"/>
      <c r="M170" s="79"/>
      <c r="N170" s="79"/>
      <c r="O170" s="79"/>
      <c r="P170" s="79"/>
      <c r="Q170" s="79"/>
      <c r="R170" s="79"/>
      <c r="S170" s="79"/>
      <c r="T170" s="79"/>
      <c r="U170" s="79"/>
    </row>
    <row r="171" spans="1:21" x14ac:dyDescent="0.35">
      <c r="A171" s="50"/>
      <c r="B171" s="60"/>
      <c r="C171" s="60"/>
      <c r="D171" s="60"/>
      <c r="E171" s="60"/>
      <c r="F171" s="60"/>
      <c r="G171" s="60"/>
      <c r="H171" s="60"/>
      <c r="I171" s="60"/>
      <c r="J171" s="79"/>
      <c r="K171" s="79"/>
      <c r="L171" s="79"/>
      <c r="M171" s="79"/>
      <c r="N171" s="79"/>
      <c r="O171" s="79"/>
      <c r="P171" s="79"/>
      <c r="Q171" s="79"/>
      <c r="R171" s="79"/>
      <c r="S171" s="79"/>
      <c r="T171" s="79"/>
      <c r="U171" s="79"/>
    </row>
    <row r="172" spans="1:21" x14ac:dyDescent="0.35">
      <c r="A172" s="54" t="s">
        <v>320</v>
      </c>
      <c r="B172" s="66"/>
      <c r="C172" s="66"/>
      <c r="D172" s="66"/>
      <c r="E172" s="66"/>
      <c r="F172" s="66"/>
      <c r="G172" s="66"/>
      <c r="H172" s="66"/>
      <c r="I172" s="66"/>
    </row>
    <row r="173" spans="1:21" x14ac:dyDescent="0.35">
      <c r="A173" s="54" t="s">
        <v>434</v>
      </c>
      <c r="B173" s="66"/>
      <c r="C173" s="66"/>
      <c r="D173" s="66"/>
      <c r="E173" s="66"/>
      <c r="F173" s="66"/>
      <c r="G173" s="66"/>
      <c r="H173" s="66"/>
      <c r="I173" s="66"/>
    </row>
    <row r="174" spans="1:21" x14ac:dyDescent="0.35">
      <c r="A174" s="84"/>
      <c r="B174" s="66"/>
      <c r="C174" s="66"/>
      <c r="D174" s="66"/>
      <c r="E174" s="66"/>
      <c r="F174" s="66"/>
      <c r="G174" s="66"/>
      <c r="H174" s="66"/>
      <c r="I174" s="66"/>
    </row>
    <row r="275" spans="2:21" x14ac:dyDescent="0.35">
      <c r="B275" s="7"/>
      <c r="C275" s="7"/>
      <c r="D275" s="7"/>
      <c r="E275" s="7"/>
      <c r="F275" s="7"/>
      <c r="G275" s="7"/>
      <c r="H275" s="7"/>
      <c r="I275" s="7"/>
      <c r="J275" s="7"/>
      <c r="K275" s="7"/>
      <c r="L275" s="7"/>
      <c r="M275" s="7"/>
      <c r="N275" s="7"/>
      <c r="O275" s="7"/>
      <c r="P275" s="7"/>
      <c r="Q275" s="7"/>
      <c r="R275" s="7"/>
      <c r="S275" s="7"/>
      <c r="T275" s="7"/>
      <c r="U275" s="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8C10F5-A281-448B-98C9-4966DC297A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Country-Region(Tall)_2004-2022</vt:lpstr>
      <vt:lpstr>Agency-Sector(Tall)_2004-2022</vt:lpstr>
      <vt:lpstr>Unauth_State</vt:lpstr>
      <vt:lpstr>Unauth_Nationality</vt:lpstr>
      <vt:lpstr>Expul|Apprehen_1925-2022</vt:lpstr>
      <vt:lpstr>Expul|Apprehen_2013_Region</vt:lpstr>
      <vt:lpstr>Expul|Apprehen_2013_Cntry</vt:lpstr>
      <vt:lpstr>Expul|Apprehen_2013_AgencySec</vt:lpstr>
      <vt:lpstr>Removal|Returns_1892</vt:lpstr>
      <vt:lpstr>Returns_Enforcement_2013_Cntry</vt:lpstr>
      <vt:lpstr>Removal_Criminal_2013_Cntry</vt:lpstr>
      <vt:lpstr>Apprehend_2004_Cntry</vt:lpstr>
      <vt:lpstr>Expul|Apprehen_2004_AgencySect</vt:lpstr>
      <vt:lpstr>Return_Enforcement_2009_Cntry</vt:lpstr>
      <vt:lpstr>Removal_Criminal_2004_Cntry</vt:lpstr>
      <vt:lpstr>Agency Prep 2013_Don'tUse</vt:lpstr>
      <vt:lpstr>Removal_Criminal 2013_Prep</vt:lpstr>
      <vt:lpstr>Agency Prep table_2004</vt:lpstr>
      <vt:lpstr>Return 2009_Prep</vt:lpstr>
      <vt:lpstr>Removal_Criminal_2004_Prep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Hota</dc:creator>
  <cp:lastModifiedBy>KAMRA, ASHISH (PGT)</cp:lastModifiedBy>
  <dcterms:created xsi:type="dcterms:W3CDTF">2015-06-05T18:17:20Z</dcterms:created>
  <dcterms:modified xsi:type="dcterms:W3CDTF">2025-10-03T22:03:03Z</dcterms:modified>
</cp:coreProperties>
</file>